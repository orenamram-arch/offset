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8_{930DF2D3-FFB3-49C9-8FA8-DE26137814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l 18.08.24" sheetId="5" r:id="rId1"/>
  </sheets>
  <definedNames>
    <definedName name="_xlnm._FilterDatabase" localSheetId="0" hidden="1">'avl 18.08.24'!$A$35:$DW$346</definedName>
    <definedName name="_xlnm.Criteria" localSheetId="0">'avl 18.08.24'!#REF!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37" i="5" l="1" a="1"/>
  <c r="EI37" i="5" s="1"/>
  <c r="EJ37" i="5" a="1"/>
  <c r="EJ37" i="5" s="1"/>
  <c r="EK37" i="5" a="1"/>
  <c r="EK37" i="5" s="1"/>
  <c r="EL37" i="5" a="1"/>
  <c r="EL37" i="5" s="1"/>
  <c r="EM37" i="5" a="1"/>
  <c r="EM37" i="5" s="1"/>
  <c r="EN37" i="5" a="1"/>
  <c r="EN37" i="5" s="1"/>
  <c r="EO37" i="5" a="1"/>
  <c r="EO37" i="5" s="1"/>
  <c r="EP37" i="5" a="1"/>
  <c r="EP37" i="5" s="1"/>
  <c r="EQ37" i="5" a="1"/>
  <c r="EQ37" i="5" s="1"/>
  <c r="ER37" i="5" a="1"/>
  <c r="ER37" i="5" s="1"/>
  <c r="ES37" i="5" a="1"/>
  <c r="ES37" i="5" s="1"/>
  <c r="ET37" i="5" a="1"/>
  <c r="ET37" i="5" s="1"/>
  <c r="EU37" i="5" a="1"/>
  <c r="EU37" i="5" s="1"/>
  <c r="EV37" i="5" a="1"/>
  <c r="EV37" i="5" s="1"/>
  <c r="EW37" i="5" a="1"/>
  <c r="EW37" i="5" s="1"/>
  <c r="EX37" i="5" a="1"/>
  <c r="EX37" i="5" s="1"/>
  <c r="EY37" i="5" a="1"/>
  <c r="EY37" i="5"/>
  <c r="EZ37" i="5" a="1"/>
  <c r="EZ37" i="5" s="1"/>
  <c r="FA37" i="5" a="1"/>
  <c r="FA37" i="5" s="1"/>
  <c r="FB37" i="5" a="1"/>
  <c r="FB37" i="5" s="1"/>
  <c r="FC37" i="5" a="1"/>
  <c r="FC37" i="5" s="1"/>
  <c r="FD37" i="5" a="1"/>
  <c r="FD37" i="5" s="1"/>
  <c r="FE37" i="5" a="1"/>
  <c r="FE37" i="5" s="1"/>
  <c r="FF37" i="5" a="1"/>
  <c r="FF37" i="5" s="1"/>
  <c r="FG37" i="5" a="1"/>
  <c r="FG37" i="5" s="1"/>
  <c r="FH37" i="5" a="1"/>
  <c r="FH37" i="5" s="1"/>
  <c r="FI37" i="5" a="1"/>
  <c r="FI37" i="5" s="1"/>
  <c r="FJ37" i="5" a="1"/>
  <c r="FJ37" i="5" s="1"/>
  <c r="FK37" i="5" a="1"/>
  <c r="FK37" i="5" s="1"/>
  <c r="FL37" i="5" a="1"/>
  <c r="FL37" i="5" s="1"/>
  <c r="FM37" i="5" a="1"/>
  <c r="FM37" i="5" s="1"/>
  <c r="FN37" i="5" a="1"/>
  <c r="FN37" i="5" s="1"/>
  <c r="FO37" i="5" a="1"/>
  <c r="FO37" i="5" s="1"/>
  <c r="EI38" i="5" a="1"/>
  <c r="EI38" i="5" s="1"/>
  <c r="EJ38" i="5" a="1"/>
  <c r="EJ38" i="5" s="1"/>
  <c r="EK38" i="5" a="1"/>
  <c r="EK38" i="5" s="1"/>
  <c r="EL38" i="5" a="1"/>
  <c r="EL38" i="5" s="1"/>
  <c r="EM38" i="5" a="1"/>
  <c r="EM38" i="5" s="1"/>
  <c r="EN38" i="5" a="1"/>
  <c r="EN38" i="5" s="1"/>
  <c r="EO38" i="5" a="1"/>
  <c r="EO38" i="5" s="1"/>
  <c r="EP38" i="5" a="1"/>
  <c r="EP38" i="5" s="1"/>
  <c r="EQ38" i="5" a="1"/>
  <c r="EQ38" i="5" s="1"/>
  <c r="ER38" i="5" a="1"/>
  <c r="ER38" i="5" s="1"/>
  <c r="ES38" i="5" a="1"/>
  <c r="ES38" i="5" s="1"/>
  <c r="ET38" i="5" a="1"/>
  <c r="ET38" i="5" s="1"/>
  <c r="EU38" i="5" a="1"/>
  <c r="EU38" i="5" s="1"/>
  <c r="EV38" i="5" a="1"/>
  <c r="EV38" i="5" s="1"/>
  <c r="EW38" i="5" a="1"/>
  <c r="EW38" i="5" s="1"/>
  <c r="EX38" i="5" a="1"/>
  <c r="EX38" i="5" s="1"/>
  <c r="EY38" i="5" a="1"/>
  <c r="EY38" i="5" s="1"/>
  <c r="EZ38" i="5" a="1"/>
  <c r="EZ38" i="5" s="1"/>
  <c r="FA38" i="5" a="1"/>
  <c r="FA38" i="5"/>
  <c r="FB38" i="5" a="1"/>
  <c r="FB38" i="5" s="1"/>
  <c r="FC38" i="5" a="1"/>
  <c r="FC38" i="5" s="1"/>
  <c r="FD38" i="5" a="1"/>
  <c r="FD38" i="5" s="1"/>
  <c r="FE38" i="5" a="1"/>
  <c r="FE38" i="5" s="1"/>
  <c r="FF38" i="5" a="1"/>
  <c r="FF38" i="5" s="1"/>
  <c r="FG38" i="5" a="1"/>
  <c r="FG38" i="5" s="1"/>
  <c r="FH38" i="5" a="1"/>
  <c r="FH38" i="5" s="1"/>
  <c r="FI38" i="5" a="1"/>
  <c r="FI38" i="5" s="1"/>
  <c r="FJ38" i="5" a="1"/>
  <c r="FJ38" i="5" s="1"/>
  <c r="FK38" i="5" a="1"/>
  <c r="FK38" i="5" s="1"/>
  <c r="FL38" i="5" a="1"/>
  <c r="FL38" i="5" s="1"/>
  <c r="FM38" i="5" a="1"/>
  <c r="FM38" i="5" s="1"/>
  <c r="FN38" i="5" a="1"/>
  <c r="FN38" i="5" s="1"/>
  <c r="FO38" i="5" a="1"/>
  <c r="FO38" i="5" s="1"/>
  <c r="EI39" i="5" a="1"/>
  <c r="EI39" i="5" s="1"/>
  <c r="EJ39" i="5" a="1"/>
  <c r="EJ39" i="5" s="1"/>
  <c r="EK39" i="5" a="1"/>
  <c r="EK39" i="5" s="1"/>
  <c r="EL39" i="5" a="1"/>
  <c r="EL39" i="5" s="1"/>
  <c r="EM39" i="5" a="1"/>
  <c r="EM39" i="5" s="1"/>
  <c r="EN39" i="5" a="1"/>
  <c r="EN39" i="5" s="1"/>
  <c r="EO39" i="5" a="1"/>
  <c r="EO39" i="5" s="1"/>
  <c r="EP39" i="5" a="1"/>
  <c r="EP39" i="5" s="1"/>
  <c r="EQ39" i="5" a="1"/>
  <c r="EQ39" i="5" s="1"/>
  <c r="ER39" i="5" a="1"/>
  <c r="ER39" i="5" s="1"/>
  <c r="ES39" i="5" a="1"/>
  <c r="ES39" i="5" s="1"/>
  <c r="ET39" i="5" a="1"/>
  <c r="ET39" i="5" s="1"/>
  <c r="EU39" i="5" a="1"/>
  <c r="EU39" i="5" s="1"/>
  <c r="EV39" i="5" a="1"/>
  <c r="EV39" i="5" s="1"/>
  <c r="EW39" i="5" a="1"/>
  <c r="EW39" i="5" s="1"/>
  <c r="EX39" i="5" a="1"/>
  <c r="EX39" i="5" s="1"/>
  <c r="EY39" i="5" a="1"/>
  <c r="EY39" i="5" s="1"/>
  <c r="EZ39" i="5" a="1"/>
  <c r="EZ39" i="5" s="1"/>
  <c r="FA39" i="5" a="1"/>
  <c r="FA39" i="5" s="1"/>
  <c r="FB39" i="5" a="1"/>
  <c r="FB39" i="5" s="1"/>
  <c r="FC39" i="5" a="1"/>
  <c r="FC39" i="5" s="1"/>
  <c r="FD39" i="5" a="1"/>
  <c r="FD39" i="5" s="1"/>
  <c r="FE39" i="5" a="1"/>
  <c r="FE39" i="5" s="1"/>
  <c r="FF39" i="5" a="1"/>
  <c r="FF39" i="5" s="1"/>
  <c r="FG39" i="5" a="1"/>
  <c r="FG39" i="5" s="1"/>
  <c r="FH39" i="5" a="1"/>
  <c r="FH39" i="5" s="1"/>
  <c r="FI39" i="5" a="1"/>
  <c r="FI39" i="5" s="1"/>
  <c r="FJ39" i="5" a="1"/>
  <c r="FJ39" i="5" s="1"/>
  <c r="FK39" i="5" a="1"/>
  <c r="FK39" i="5" s="1"/>
  <c r="FL39" i="5" a="1"/>
  <c r="FL39" i="5" s="1"/>
  <c r="FM39" i="5" a="1"/>
  <c r="FM39" i="5" s="1"/>
  <c r="FN39" i="5" a="1"/>
  <c r="FN39" i="5" s="1"/>
  <c r="FO39" i="5" a="1"/>
  <c r="FO39" i="5" s="1"/>
  <c r="EI40" i="5" a="1"/>
  <c r="EI40" i="5" s="1"/>
  <c r="EJ40" i="5" a="1"/>
  <c r="EJ40" i="5" s="1"/>
  <c r="EK40" i="5" a="1"/>
  <c r="EK40" i="5" s="1"/>
  <c r="EL40" i="5" a="1"/>
  <c r="EL40" i="5" s="1"/>
  <c r="EM40" i="5" a="1"/>
  <c r="EM40" i="5" s="1"/>
  <c r="EN40" i="5" a="1"/>
  <c r="EN40" i="5" s="1"/>
  <c r="EO40" i="5" a="1"/>
  <c r="EO40" i="5" s="1"/>
  <c r="EP40" i="5" a="1"/>
  <c r="EP40" i="5" s="1"/>
  <c r="EQ40" i="5" a="1"/>
  <c r="EQ40" i="5" s="1"/>
  <c r="ER40" i="5" a="1"/>
  <c r="ER40" i="5" s="1"/>
  <c r="ES40" i="5" a="1"/>
  <c r="ES40" i="5" s="1"/>
  <c r="ET40" i="5" a="1"/>
  <c r="ET40" i="5" s="1"/>
  <c r="EU40" i="5" a="1"/>
  <c r="EU40" i="5" s="1"/>
  <c r="EV40" i="5" a="1"/>
  <c r="EV40" i="5" s="1"/>
  <c r="EW40" i="5" a="1"/>
  <c r="EW40" i="5" s="1"/>
  <c r="EX40" i="5" a="1"/>
  <c r="EX40" i="5" s="1"/>
  <c r="EY40" i="5" a="1"/>
  <c r="EY40" i="5" s="1"/>
  <c r="EZ40" i="5" a="1"/>
  <c r="EZ40" i="5" s="1"/>
  <c r="FA40" i="5" a="1"/>
  <c r="FA40" i="5" s="1"/>
  <c r="FB40" i="5" a="1"/>
  <c r="FB40" i="5" s="1"/>
  <c r="FC40" i="5" a="1"/>
  <c r="FC40" i="5" s="1"/>
  <c r="FD40" i="5" a="1"/>
  <c r="FD40" i="5" s="1"/>
  <c r="FE40" i="5" a="1"/>
  <c r="FE40" i="5" s="1"/>
  <c r="FF40" i="5" a="1"/>
  <c r="FF40" i="5" s="1"/>
  <c r="FG40" i="5" a="1"/>
  <c r="FG40" i="5" s="1"/>
  <c r="FH40" i="5" a="1"/>
  <c r="FH40" i="5" s="1"/>
  <c r="FI40" i="5" a="1"/>
  <c r="FI40" i="5" s="1"/>
  <c r="FJ40" i="5" a="1"/>
  <c r="FJ40" i="5" s="1"/>
  <c r="FK40" i="5" a="1"/>
  <c r="FK40" i="5" s="1"/>
  <c r="FL40" i="5" a="1"/>
  <c r="FL40" i="5" s="1"/>
  <c r="FM40" i="5" a="1"/>
  <c r="FM40" i="5" s="1"/>
  <c r="FN40" i="5" a="1"/>
  <c r="FN40" i="5" s="1"/>
  <c r="FO40" i="5" a="1"/>
  <c r="FO40" i="5" s="1"/>
  <c r="EI41" i="5" a="1"/>
  <c r="EI41" i="5" s="1"/>
  <c r="EJ41" i="5" a="1"/>
  <c r="EJ41" i="5" s="1"/>
  <c r="EK41" i="5" a="1"/>
  <c r="EK41" i="5" s="1"/>
  <c r="EL41" i="5" a="1"/>
  <c r="EL41" i="5" s="1"/>
  <c r="EM41" i="5" a="1"/>
  <c r="EM41" i="5" s="1"/>
  <c r="EN41" i="5" a="1"/>
  <c r="EN41" i="5" s="1"/>
  <c r="EO41" i="5" a="1"/>
  <c r="EO41" i="5" s="1"/>
  <c r="EP41" i="5" a="1"/>
  <c r="EP41" i="5" s="1"/>
  <c r="EQ41" i="5" a="1"/>
  <c r="EQ41" i="5" s="1"/>
  <c r="ER41" i="5" a="1"/>
  <c r="ER41" i="5" s="1"/>
  <c r="ES41" i="5" a="1"/>
  <c r="ES41" i="5" s="1"/>
  <c r="ET41" i="5" a="1"/>
  <c r="ET41" i="5" s="1"/>
  <c r="EU41" i="5" a="1"/>
  <c r="EU41" i="5" s="1"/>
  <c r="EV41" i="5" a="1"/>
  <c r="EV41" i="5" s="1"/>
  <c r="EW41" i="5" a="1"/>
  <c r="EW41" i="5" s="1"/>
  <c r="EX41" i="5" a="1"/>
  <c r="EX41" i="5" s="1"/>
  <c r="EY41" i="5" a="1"/>
  <c r="EY41" i="5" s="1"/>
  <c r="EZ41" i="5" a="1"/>
  <c r="EZ41" i="5" s="1"/>
  <c r="FA41" i="5" a="1"/>
  <c r="FA41" i="5" s="1"/>
  <c r="FB41" i="5" a="1"/>
  <c r="FB41" i="5" s="1"/>
  <c r="FC41" i="5" a="1"/>
  <c r="FC41" i="5" s="1"/>
  <c r="FD41" i="5" a="1"/>
  <c r="FD41" i="5" s="1"/>
  <c r="FE41" i="5" a="1"/>
  <c r="FE41" i="5" s="1"/>
  <c r="FF41" i="5" a="1"/>
  <c r="FF41" i="5" s="1"/>
  <c r="FG41" i="5" a="1"/>
  <c r="FG41" i="5"/>
  <c r="FH41" i="5" a="1"/>
  <c r="FH41" i="5" s="1"/>
  <c r="FI41" i="5" a="1"/>
  <c r="FI41" i="5" s="1"/>
  <c r="FJ41" i="5" a="1"/>
  <c r="FJ41" i="5" s="1"/>
  <c r="FK41" i="5" a="1"/>
  <c r="FK41" i="5" s="1"/>
  <c r="FL41" i="5" a="1"/>
  <c r="FL41" i="5" s="1"/>
  <c r="FM41" i="5" a="1"/>
  <c r="FM41" i="5" s="1"/>
  <c r="FN41" i="5" a="1"/>
  <c r="FN41" i="5" s="1"/>
  <c r="FO41" i="5" a="1"/>
  <c r="FO41" i="5" s="1"/>
  <c r="EI42" i="5" a="1"/>
  <c r="EI42" i="5" s="1"/>
  <c r="EJ42" i="5" a="1"/>
  <c r="EJ42" i="5" s="1"/>
  <c r="EK42" i="5" a="1"/>
  <c r="EK42" i="5" s="1"/>
  <c r="EL42" i="5" a="1"/>
  <c r="EL42" i="5" s="1"/>
  <c r="EM42" i="5" a="1"/>
  <c r="EM42" i="5" s="1"/>
  <c r="EN42" i="5" a="1"/>
  <c r="EN42" i="5" s="1"/>
  <c r="EO42" i="5" a="1"/>
  <c r="EO42" i="5" s="1"/>
  <c r="EP42" i="5" a="1"/>
  <c r="EP42" i="5" s="1"/>
  <c r="EQ42" i="5" a="1"/>
  <c r="EQ42" i="5"/>
  <c r="ER42" i="5" a="1"/>
  <c r="ER42" i="5" s="1"/>
  <c r="ES42" i="5" a="1"/>
  <c r="ES42" i="5" s="1"/>
  <c r="ET42" i="5" a="1"/>
  <c r="ET42" i="5" s="1"/>
  <c r="EU42" i="5" a="1"/>
  <c r="EU42" i="5" s="1"/>
  <c r="EV42" i="5" a="1"/>
  <c r="EV42" i="5" s="1"/>
  <c r="EW42" i="5" a="1"/>
  <c r="EW42" i="5" s="1"/>
  <c r="EX42" i="5" a="1"/>
  <c r="EX42" i="5" s="1"/>
  <c r="EY42" i="5" a="1"/>
  <c r="EY42" i="5" s="1"/>
  <c r="EZ42" i="5" a="1"/>
  <c r="EZ42" i="5" s="1"/>
  <c r="FA42" i="5" a="1"/>
  <c r="FA42" i="5" s="1"/>
  <c r="FB42" i="5" a="1"/>
  <c r="FB42" i="5" s="1"/>
  <c r="FC42" i="5" a="1"/>
  <c r="FC42" i="5" s="1"/>
  <c r="FD42" i="5" a="1"/>
  <c r="FD42" i="5" s="1"/>
  <c r="FE42" i="5" a="1"/>
  <c r="FE42" i="5" s="1"/>
  <c r="FF42" i="5" a="1"/>
  <c r="FF42" i="5" s="1"/>
  <c r="FG42" i="5" a="1"/>
  <c r="FG42" i="5" s="1"/>
  <c r="FH42" i="5" a="1"/>
  <c r="FH42" i="5" s="1"/>
  <c r="FI42" i="5" a="1"/>
  <c r="FI42" i="5" s="1"/>
  <c r="FJ42" i="5" a="1"/>
  <c r="FJ42" i="5" s="1"/>
  <c r="FK42" i="5" a="1"/>
  <c r="FK42" i="5" s="1"/>
  <c r="FL42" i="5" a="1"/>
  <c r="FL42" i="5" s="1"/>
  <c r="FM42" i="5" a="1"/>
  <c r="FM42" i="5" s="1"/>
  <c r="FN42" i="5" a="1"/>
  <c r="FN42" i="5" s="1"/>
  <c r="FO42" i="5" a="1"/>
  <c r="FO42" i="5" s="1"/>
  <c r="EI43" i="5" a="1"/>
  <c r="EI43" i="5" s="1"/>
  <c r="EJ43" i="5" a="1"/>
  <c r="EJ43" i="5" s="1"/>
  <c r="EK43" i="5" a="1"/>
  <c r="EK43" i="5" s="1"/>
  <c r="EL43" i="5" a="1"/>
  <c r="EL43" i="5" s="1"/>
  <c r="EM43" i="5" a="1"/>
  <c r="EM43" i="5" s="1"/>
  <c r="EN43" i="5" a="1"/>
  <c r="EN43" i="5" s="1"/>
  <c r="EO43" i="5" a="1"/>
  <c r="EO43" i="5" s="1"/>
  <c r="EP43" i="5" a="1"/>
  <c r="EP43" i="5" s="1"/>
  <c r="EQ43" i="5" a="1"/>
  <c r="EQ43" i="5" s="1"/>
  <c r="ER43" i="5" a="1"/>
  <c r="ER43" i="5" s="1"/>
  <c r="ES43" i="5" a="1"/>
  <c r="ES43" i="5" s="1"/>
  <c r="ET43" i="5" a="1"/>
  <c r="ET43" i="5" s="1"/>
  <c r="EU43" i="5" a="1"/>
  <c r="EU43" i="5" s="1"/>
  <c r="EV43" i="5" a="1"/>
  <c r="EV43" i="5" s="1"/>
  <c r="EW43" i="5" a="1"/>
  <c r="EW43" i="5" s="1"/>
  <c r="EX43" i="5" a="1"/>
  <c r="EX43" i="5" s="1"/>
  <c r="EY43" i="5" a="1"/>
  <c r="EY43" i="5" s="1"/>
  <c r="EZ43" i="5" a="1"/>
  <c r="EZ43" i="5" s="1"/>
  <c r="FA43" i="5" a="1"/>
  <c r="FA43" i="5" s="1"/>
  <c r="FB43" i="5" a="1"/>
  <c r="FB43" i="5" s="1"/>
  <c r="FC43" i="5" a="1"/>
  <c r="FC43" i="5" s="1"/>
  <c r="FD43" i="5" a="1"/>
  <c r="FD43" i="5" s="1"/>
  <c r="FE43" i="5" a="1"/>
  <c r="FE43" i="5" s="1"/>
  <c r="FF43" i="5" a="1"/>
  <c r="FF43" i="5" s="1"/>
  <c r="FG43" i="5" a="1"/>
  <c r="FG43" i="5" s="1"/>
  <c r="FH43" i="5" a="1"/>
  <c r="FH43" i="5" s="1"/>
  <c r="FI43" i="5" a="1"/>
  <c r="FI43" i="5" s="1"/>
  <c r="FJ43" i="5" a="1"/>
  <c r="FJ43" i="5" s="1"/>
  <c r="FK43" i="5" a="1"/>
  <c r="FK43" i="5" s="1"/>
  <c r="FL43" i="5" a="1"/>
  <c r="FL43" i="5" s="1"/>
  <c r="FM43" i="5" a="1"/>
  <c r="FM43" i="5" s="1"/>
  <c r="FN43" i="5" a="1"/>
  <c r="FN43" i="5" s="1"/>
  <c r="FO43" i="5" a="1"/>
  <c r="FO43" i="5" s="1"/>
  <c r="EI44" i="5" a="1"/>
  <c r="EI44" i="5" s="1"/>
  <c r="EJ44" i="5" a="1"/>
  <c r="EJ44" i="5" s="1"/>
  <c r="EK44" i="5" a="1"/>
  <c r="EK44" i="5" s="1"/>
  <c r="EL44" i="5" a="1"/>
  <c r="EL44" i="5" s="1"/>
  <c r="EM44" i="5" a="1"/>
  <c r="EM44" i="5" s="1"/>
  <c r="EN44" i="5" a="1"/>
  <c r="EN44" i="5" s="1"/>
  <c r="EO44" i="5" a="1"/>
  <c r="EO44" i="5" s="1"/>
  <c r="EP44" i="5" a="1"/>
  <c r="EP44" i="5" s="1"/>
  <c r="EQ44" i="5" a="1"/>
  <c r="EQ44" i="5" s="1"/>
  <c r="ER44" i="5" a="1"/>
  <c r="ER44" i="5" s="1"/>
  <c r="ES44" i="5" a="1"/>
  <c r="ES44" i="5" s="1"/>
  <c r="ET44" i="5" a="1"/>
  <c r="ET44" i="5" s="1"/>
  <c r="EU44" i="5" a="1"/>
  <c r="EU44" i="5" s="1"/>
  <c r="EV44" i="5" a="1"/>
  <c r="EV44" i="5" s="1"/>
  <c r="EW44" i="5" a="1"/>
  <c r="EW44" i="5" s="1"/>
  <c r="EX44" i="5" a="1"/>
  <c r="EX44" i="5" s="1"/>
  <c r="EY44" i="5" a="1"/>
  <c r="EY44" i="5" s="1"/>
  <c r="EZ44" i="5" a="1"/>
  <c r="EZ44" i="5" s="1"/>
  <c r="FA44" i="5" a="1"/>
  <c r="FA44" i="5" s="1"/>
  <c r="FB44" i="5" a="1"/>
  <c r="FB44" i="5" s="1"/>
  <c r="FC44" i="5" a="1"/>
  <c r="FC44" i="5" s="1"/>
  <c r="FD44" i="5" a="1"/>
  <c r="FD44" i="5" s="1"/>
  <c r="FE44" i="5" a="1"/>
  <c r="FE44" i="5" s="1"/>
  <c r="FF44" i="5" a="1"/>
  <c r="FF44" i="5" s="1"/>
  <c r="FG44" i="5" a="1"/>
  <c r="FG44" i="5" s="1"/>
  <c r="FH44" i="5" a="1"/>
  <c r="FH44" i="5" s="1"/>
  <c r="FI44" i="5" a="1"/>
  <c r="FI44" i="5" s="1"/>
  <c r="FJ44" i="5" a="1"/>
  <c r="FJ44" i="5" s="1"/>
  <c r="FK44" i="5" a="1"/>
  <c r="FK44" i="5" s="1"/>
  <c r="FL44" i="5" a="1"/>
  <c r="FL44" i="5" s="1"/>
  <c r="FM44" i="5" a="1"/>
  <c r="FM44" i="5" s="1"/>
  <c r="FN44" i="5" a="1"/>
  <c r="FN44" i="5" s="1"/>
  <c r="FO44" i="5" a="1"/>
  <c r="FO44" i="5" s="1"/>
  <c r="EI45" i="5" a="1"/>
  <c r="EI45" i="5" s="1"/>
  <c r="EJ45" i="5" a="1"/>
  <c r="EJ45" i="5" s="1"/>
  <c r="EK45" i="5" a="1"/>
  <c r="EK45" i="5" s="1"/>
  <c r="EL45" i="5" a="1"/>
  <c r="EL45" i="5" s="1"/>
  <c r="EM45" i="5" a="1"/>
  <c r="EM45" i="5" s="1"/>
  <c r="EN45" i="5" a="1"/>
  <c r="EN45" i="5" s="1"/>
  <c r="EO45" i="5" a="1"/>
  <c r="EO45" i="5" s="1"/>
  <c r="EP45" i="5" a="1"/>
  <c r="EP45" i="5" s="1"/>
  <c r="EQ45" i="5" a="1"/>
  <c r="EQ45" i="5" s="1"/>
  <c r="ER45" i="5" a="1"/>
  <c r="ER45" i="5"/>
  <c r="ES45" i="5" a="1"/>
  <c r="ES45" i="5" s="1"/>
  <c r="ET45" i="5" a="1"/>
  <c r="ET45" i="5" s="1"/>
  <c r="EU45" i="5" a="1"/>
  <c r="EU45" i="5" s="1"/>
  <c r="EV45" i="5" a="1"/>
  <c r="EV45" i="5" s="1"/>
  <c r="EW45" i="5" a="1"/>
  <c r="EW45" i="5" s="1"/>
  <c r="EX45" i="5" a="1"/>
  <c r="EX45" i="5" s="1"/>
  <c r="EY45" i="5" a="1"/>
  <c r="EY45" i="5" s="1"/>
  <c r="EZ45" i="5" a="1"/>
  <c r="EZ45" i="5" s="1"/>
  <c r="FA45" i="5" a="1"/>
  <c r="FA45" i="5" s="1"/>
  <c r="FB45" i="5" a="1"/>
  <c r="FB45" i="5" s="1"/>
  <c r="FC45" i="5" a="1"/>
  <c r="FC45" i="5" s="1"/>
  <c r="FD45" i="5" a="1"/>
  <c r="FD45" i="5" s="1"/>
  <c r="FE45" i="5" a="1"/>
  <c r="FE45" i="5" s="1"/>
  <c r="FF45" i="5" a="1"/>
  <c r="FF45" i="5" s="1"/>
  <c r="FG45" i="5" a="1"/>
  <c r="FG45" i="5" s="1"/>
  <c r="FH45" i="5" a="1"/>
  <c r="FH45" i="5" s="1"/>
  <c r="FI45" i="5" a="1"/>
  <c r="FI45" i="5" s="1"/>
  <c r="FJ45" i="5" a="1"/>
  <c r="FJ45" i="5" s="1"/>
  <c r="FK45" i="5" a="1"/>
  <c r="FK45" i="5" s="1"/>
  <c r="FL45" i="5" a="1"/>
  <c r="FL45" i="5" s="1"/>
  <c r="FM45" i="5" a="1"/>
  <c r="FM45" i="5" s="1"/>
  <c r="FN45" i="5" a="1"/>
  <c r="FN45" i="5" s="1"/>
  <c r="FO45" i="5" a="1"/>
  <c r="FO45" i="5" s="1"/>
  <c r="EI46" i="5" a="1"/>
  <c r="EI46" i="5" s="1"/>
  <c r="EJ46" i="5" a="1"/>
  <c r="EJ46" i="5" s="1"/>
  <c r="EK46" i="5" a="1"/>
  <c r="EK46" i="5" s="1"/>
  <c r="EL46" i="5" a="1"/>
  <c r="EL46" i="5" s="1"/>
  <c r="EM46" i="5" a="1"/>
  <c r="EM46" i="5" s="1"/>
  <c r="EN46" i="5" a="1"/>
  <c r="EN46" i="5" s="1"/>
  <c r="EO46" i="5" a="1"/>
  <c r="EO46" i="5" s="1"/>
  <c r="EP46" i="5" a="1"/>
  <c r="EP46" i="5" s="1"/>
  <c r="EQ46" i="5" a="1"/>
  <c r="EQ46" i="5" s="1"/>
  <c r="ER46" i="5" a="1"/>
  <c r="ER46" i="5" s="1"/>
  <c r="ES46" i="5" a="1"/>
  <c r="ES46" i="5" s="1"/>
  <c r="ET46" i="5" a="1"/>
  <c r="ET46" i="5" s="1"/>
  <c r="EU46" i="5" a="1"/>
  <c r="EU46" i="5" s="1"/>
  <c r="EV46" i="5" a="1"/>
  <c r="EV46" i="5" s="1"/>
  <c r="EW46" i="5" a="1"/>
  <c r="EW46" i="5"/>
  <c r="EX46" i="5" a="1"/>
  <c r="EX46" i="5" s="1"/>
  <c r="EY46" i="5" a="1"/>
  <c r="EY46" i="5" s="1"/>
  <c r="EZ46" i="5" a="1"/>
  <c r="EZ46" i="5" s="1"/>
  <c r="FA46" i="5" a="1"/>
  <c r="FA46" i="5" s="1"/>
  <c r="FB46" i="5" a="1"/>
  <c r="FB46" i="5" s="1"/>
  <c r="FC46" i="5" a="1"/>
  <c r="FC46" i="5" s="1"/>
  <c r="FD46" i="5" a="1"/>
  <c r="FD46" i="5" s="1"/>
  <c r="FE46" i="5" a="1"/>
  <c r="FE46" i="5" s="1"/>
  <c r="FF46" i="5" a="1"/>
  <c r="FF46" i="5" s="1"/>
  <c r="FG46" i="5" a="1"/>
  <c r="FG46" i="5" s="1"/>
  <c r="FH46" i="5" a="1"/>
  <c r="FH46" i="5" s="1"/>
  <c r="FI46" i="5" a="1"/>
  <c r="FI46" i="5" s="1"/>
  <c r="FJ46" i="5" a="1"/>
  <c r="FJ46" i="5" s="1"/>
  <c r="FK46" i="5" a="1"/>
  <c r="FK46" i="5" s="1"/>
  <c r="FL46" i="5" a="1"/>
  <c r="FL46" i="5" s="1"/>
  <c r="FM46" i="5" a="1"/>
  <c r="FM46" i="5" s="1"/>
  <c r="FN46" i="5" a="1"/>
  <c r="FN46" i="5" s="1"/>
  <c r="FO46" i="5" a="1"/>
  <c r="FO46" i="5" s="1"/>
  <c r="EI47" i="5" a="1"/>
  <c r="EI47" i="5" s="1"/>
  <c r="EJ47" i="5" a="1"/>
  <c r="EJ47" i="5" s="1"/>
  <c r="EK47" i="5" a="1"/>
  <c r="EK47" i="5" s="1"/>
  <c r="EL47" i="5" a="1"/>
  <c r="EL47" i="5" s="1"/>
  <c r="EM47" i="5" a="1"/>
  <c r="EM47" i="5" s="1"/>
  <c r="EN47" i="5" a="1"/>
  <c r="EN47" i="5" s="1"/>
  <c r="EO47" i="5" a="1"/>
  <c r="EO47" i="5" s="1"/>
  <c r="EP47" i="5" a="1"/>
  <c r="EP47" i="5"/>
  <c r="EQ47" i="5" a="1"/>
  <c r="EQ47" i="5" s="1"/>
  <c r="ER47" i="5" a="1"/>
  <c r="ER47" i="5" s="1"/>
  <c r="ES47" i="5" a="1"/>
  <c r="ES47" i="5" s="1"/>
  <c r="ET47" i="5" a="1"/>
  <c r="ET47" i="5" s="1"/>
  <c r="EU47" i="5" a="1"/>
  <c r="EU47" i="5" s="1"/>
  <c r="EV47" i="5" a="1"/>
  <c r="EV47" i="5" s="1"/>
  <c r="EW47" i="5" a="1"/>
  <c r="EW47" i="5" s="1"/>
  <c r="EX47" i="5" a="1"/>
  <c r="EX47" i="5" s="1"/>
  <c r="EY47" i="5" a="1"/>
  <c r="EY47" i="5" s="1"/>
  <c r="EZ47" i="5" a="1"/>
  <c r="EZ47" i="5" s="1"/>
  <c r="FA47" i="5" a="1"/>
  <c r="FA47" i="5" s="1"/>
  <c r="FB47" i="5" a="1"/>
  <c r="FB47" i="5" s="1"/>
  <c r="FC47" i="5" a="1"/>
  <c r="FC47" i="5" s="1"/>
  <c r="FD47" i="5" a="1"/>
  <c r="FD47" i="5" s="1"/>
  <c r="FE47" i="5" a="1"/>
  <c r="FE47" i="5" s="1"/>
  <c r="FF47" i="5" a="1"/>
  <c r="FF47" i="5" s="1"/>
  <c r="FG47" i="5" a="1"/>
  <c r="FG47" i="5" s="1"/>
  <c r="FH47" i="5" a="1"/>
  <c r="FH47" i="5" s="1"/>
  <c r="FI47" i="5" a="1"/>
  <c r="FI47" i="5" s="1"/>
  <c r="FJ47" i="5" a="1"/>
  <c r="FJ47" i="5" s="1"/>
  <c r="FK47" i="5" a="1"/>
  <c r="FK47" i="5" s="1"/>
  <c r="FL47" i="5" a="1"/>
  <c r="FL47" i="5" s="1"/>
  <c r="FM47" i="5" a="1"/>
  <c r="FM47" i="5" s="1"/>
  <c r="FN47" i="5" a="1"/>
  <c r="FN47" i="5" s="1"/>
  <c r="FO47" i="5" a="1"/>
  <c r="FO47" i="5" s="1"/>
  <c r="EI48" i="5" a="1"/>
  <c r="EI48" i="5" s="1"/>
  <c r="EJ48" i="5" a="1"/>
  <c r="EJ48" i="5" s="1"/>
  <c r="EK48" i="5" a="1"/>
  <c r="EK48" i="5" s="1"/>
  <c r="EL48" i="5" a="1"/>
  <c r="EL48" i="5" s="1"/>
  <c r="EM48" i="5" a="1"/>
  <c r="EM48" i="5" s="1"/>
  <c r="EN48" i="5" a="1"/>
  <c r="EN48" i="5" s="1"/>
  <c r="EO48" i="5" a="1"/>
  <c r="EO48" i="5" s="1"/>
  <c r="EP48" i="5" a="1"/>
  <c r="EP48" i="5" s="1"/>
  <c r="EQ48" i="5" a="1"/>
  <c r="EQ48" i="5" s="1"/>
  <c r="ER48" i="5" a="1"/>
  <c r="ER48" i="5" s="1"/>
  <c r="ES48" i="5" a="1"/>
  <c r="ES48" i="5" s="1"/>
  <c r="ET48" i="5" a="1"/>
  <c r="ET48" i="5" s="1"/>
  <c r="EU48" i="5" a="1"/>
  <c r="EU48" i="5" s="1"/>
  <c r="EV48" i="5" a="1"/>
  <c r="EV48" i="5" s="1"/>
  <c r="EW48" i="5" a="1"/>
  <c r="EW48" i="5" s="1"/>
  <c r="EX48" i="5" a="1"/>
  <c r="EX48" i="5" s="1"/>
  <c r="EY48" i="5" a="1"/>
  <c r="EY48" i="5" s="1"/>
  <c r="EZ48" i="5" a="1"/>
  <c r="EZ48" i="5" s="1"/>
  <c r="FA48" i="5" a="1"/>
  <c r="FA48" i="5" s="1"/>
  <c r="FB48" i="5" a="1"/>
  <c r="FB48" i="5" s="1"/>
  <c r="FC48" i="5" a="1"/>
  <c r="FC48" i="5" s="1"/>
  <c r="FD48" i="5" a="1"/>
  <c r="FD48" i="5" s="1"/>
  <c r="FE48" i="5" a="1"/>
  <c r="FE48" i="5" s="1"/>
  <c r="FF48" i="5" a="1"/>
  <c r="FF48" i="5" s="1"/>
  <c r="FG48" i="5" a="1"/>
  <c r="FG48" i="5" s="1"/>
  <c r="FH48" i="5" a="1"/>
  <c r="FH48" i="5" s="1"/>
  <c r="FI48" i="5" a="1"/>
  <c r="FI48" i="5" s="1"/>
  <c r="FJ48" i="5" a="1"/>
  <c r="FJ48" i="5" s="1"/>
  <c r="FK48" i="5" a="1"/>
  <c r="FK48" i="5" s="1"/>
  <c r="FL48" i="5" a="1"/>
  <c r="FL48" i="5" s="1"/>
  <c r="FM48" i="5" a="1"/>
  <c r="FM48" i="5" s="1"/>
  <c r="FN48" i="5" a="1"/>
  <c r="FN48" i="5" s="1"/>
  <c r="FO48" i="5" a="1"/>
  <c r="FO48" i="5" s="1"/>
  <c r="EI49" i="5" a="1"/>
  <c r="EI49" i="5" s="1"/>
  <c r="EJ49" i="5" a="1"/>
  <c r="EJ49" i="5" s="1"/>
  <c r="EK49" i="5" a="1"/>
  <c r="EK49" i="5" s="1"/>
  <c r="EL49" i="5" a="1"/>
  <c r="EL49" i="5" s="1"/>
  <c r="EM49" i="5" a="1"/>
  <c r="EM49" i="5" s="1"/>
  <c r="EN49" i="5" a="1"/>
  <c r="EN49" i="5" s="1"/>
  <c r="EO49" i="5" a="1"/>
  <c r="EO49" i="5" s="1"/>
  <c r="EP49" i="5" a="1"/>
  <c r="EP49" i="5" s="1"/>
  <c r="EQ49" i="5" a="1"/>
  <c r="EQ49" i="5" s="1"/>
  <c r="ER49" i="5" a="1"/>
  <c r="ER49" i="5" s="1"/>
  <c r="ES49" i="5" a="1"/>
  <c r="ES49" i="5" s="1"/>
  <c r="ET49" i="5" a="1"/>
  <c r="ET49" i="5" s="1"/>
  <c r="EU49" i="5" a="1"/>
  <c r="EU49" i="5" s="1"/>
  <c r="EV49" i="5" a="1"/>
  <c r="EV49" i="5" s="1"/>
  <c r="EW49" i="5" a="1"/>
  <c r="EW49" i="5" s="1"/>
  <c r="EX49" i="5" a="1"/>
  <c r="EX49" i="5" s="1"/>
  <c r="EY49" i="5" a="1"/>
  <c r="EY49" i="5" s="1"/>
  <c r="EZ49" i="5" a="1"/>
  <c r="EZ49" i="5" s="1"/>
  <c r="FA49" i="5" a="1"/>
  <c r="FA49" i="5" s="1"/>
  <c r="FB49" i="5" a="1"/>
  <c r="FB49" i="5" s="1"/>
  <c r="FC49" i="5" a="1"/>
  <c r="FC49" i="5"/>
  <c r="FD49" i="5" a="1"/>
  <c r="FD49" i="5" s="1"/>
  <c r="FE49" i="5" a="1"/>
  <c r="FE49" i="5" s="1"/>
  <c r="FF49" i="5" a="1"/>
  <c r="FF49" i="5" s="1"/>
  <c r="FG49" i="5" a="1"/>
  <c r="FG49" i="5" s="1"/>
  <c r="FH49" i="5" a="1"/>
  <c r="FH49" i="5" s="1"/>
  <c r="FI49" i="5" a="1"/>
  <c r="FI49" i="5" s="1"/>
  <c r="FJ49" i="5" a="1"/>
  <c r="FJ49" i="5" s="1"/>
  <c r="FK49" i="5" a="1"/>
  <c r="FK49" i="5" s="1"/>
  <c r="FL49" i="5" a="1"/>
  <c r="FL49" i="5" s="1"/>
  <c r="FM49" i="5" a="1"/>
  <c r="FM49" i="5" s="1"/>
  <c r="FN49" i="5" a="1"/>
  <c r="FN49" i="5" s="1"/>
  <c r="FO49" i="5" a="1"/>
  <c r="FO49" i="5" s="1"/>
  <c r="EI50" i="5" a="1"/>
  <c r="EI50" i="5" s="1"/>
  <c r="EJ50" i="5" a="1"/>
  <c r="EJ50" i="5" s="1"/>
  <c r="EK50" i="5" a="1"/>
  <c r="EK50" i="5" s="1"/>
  <c r="EL50" i="5" a="1"/>
  <c r="EL50" i="5" s="1"/>
  <c r="EM50" i="5" a="1"/>
  <c r="EM50" i="5" s="1"/>
  <c r="EN50" i="5" a="1"/>
  <c r="EN50" i="5" s="1"/>
  <c r="EO50" i="5" a="1"/>
  <c r="EO50" i="5" s="1"/>
  <c r="EP50" i="5" a="1"/>
  <c r="EP50" i="5" s="1"/>
  <c r="EQ50" i="5" a="1"/>
  <c r="EQ50" i="5" s="1"/>
  <c r="ER50" i="5" a="1"/>
  <c r="ER50" i="5" s="1"/>
  <c r="ES50" i="5" a="1"/>
  <c r="ES50" i="5" s="1"/>
  <c r="ET50" i="5" a="1"/>
  <c r="ET50" i="5" s="1"/>
  <c r="EU50" i="5" a="1"/>
  <c r="EU50" i="5" s="1"/>
  <c r="EV50" i="5" a="1"/>
  <c r="EV50" i="5" s="1"/>
  <c r="EW50" i="5" a="1"/>
  <c r="EW50" i="5" s="1"/>
  <c r="EX50" i="5" a="1"/>
  <c r="EX50" i="5" s="1"/>
  <c r="EY50" i="5" a="1"/>
  <c r="EY50" i="5" s="1"/>
  <c r="EZ50" i="5" a="1"/>
  <c r="EZ50" i="5" s="1"/>
  <c r="FA50" i="5" a="1"/>
  <c r="FA50" i="5" s="1"/>
  <c r="FB50" i="5" a="1"/>
  <c r="FB50" i="5" s="1"/>
  <c r="FC50" i="5" a="1"/>
  <c r="FC50" i="5" s="1"/>
  <c r="FD50" i="5" a="1"/>
  <c r="FD50" i="5" s="1"/>
  <c r="FE50" i="5" a="1"/>
  <c r="FE50" i="5"/>
  <c r="FF50" i="5" a="1"/>
  <c r="FF50" i="5" s="1"/>
  <c r="FG50" i="5" a="1"/>
  <c r="FG50" i="5" s="1"/>
  <c r="FH50" i="5" a="1"/>
  <c r="FH50" i="5" s="1"/>
  <c r="FI50" i="5" a="1"/>
  <c r="FI50" i="5" s="1"/>
  <c r="FJ50" i="5" a="1"/>
  <c r="FJ50" i="5" s="1"/>
  <c r="FK50" i="5" a="1"/>
  <c r="FK50" i="5" s="1"/>
  <c r="FL50" i="5" a="1"/>
  <c r="FL50" i="5" s="1"/>
  <c r="FM50" i="5" a="1"/>
  <c r="FM50" i="5" s="1"/>
  <c r="FN50" i="5" a="1"/>
  <c r="FN50" i="5" s="1"/>
  <c r="FO50" i="5" a="1"/>
  <c r="FO50" i="5" s="1"/>
  <c r="EI51" i="5" a="1"/>
  <c r="EI51" i="5" s="1"/>
  <c r="EJ51" i="5" a="1"/>
  <c r="EJ51" i="5" s="1"/>
  <c r="EK51" i="5" a="1"/>
  <c r="EK51" i="5" s="1"/>
  <c r="EL51" i="5" a="1"/>
  <c r="EL51" i="5" s="1"/>
  <c r="EM51" i="5" a="1"/>
  <c r="EM51" i="5" s="1"/>
  <c r="EN51" i="5" a="1"/>
  <c r="EN51" i="5" s="1"/>
  <c r="EO51" i="5" a="1"/>
  <c r="EO51" i="5" s="1"/>
  <c r="EP51" i="5" a="1"/>
  <c r="EP51" i="5" s="1"/>
  <c r="EQ51" i="5" a="1"/>
  <c r="EQ51" i="5" s="1"/>
  <c r="ER51" i="5" a="1"/>
  <c r="ER51" i="5" s="1"/>
  <c r="ES51" i="5" a="1"/>
  <c r="ES51" i="5" s="1"/>
  <c r="ET51" i="5" a="1"/>
  <c r="ET51" i="5" s="1"/>
  <c r="EU51" i="5" a="1"/>
  <c r="EU51" i="5" s="1"/>
  <c r="EV51" i="5" a="1"/>
  <c r="EV51" i="5" s="1"/>
  <c r="EW51" i="5" a="1"/>
  <c r="EW51" i="5" s="1"/>
  <c r="EX51" i="5" a="1"/>
  <c r="EX51" i="5" s="1"/>
  <c r="EY51" i="5" a="1"/>
  <c r="EY51" i="5" s="1"/>
  <c r="EZ51" i="5" a="1"/>
  <c r="EZ51" i="5" s="1"/>
  <c r="FA51" i="5" a="1"/>
  <c r="FA51" i="5" s="1"/>
  <c r="FB51" i="5" a="1"/>
  <c r="FB51" i="5" s="1"/>
  <c r="FC51" i="5" a="1"/>
  <c r="FC51" i="5" s="1"/>
  <c r="FD51" i="5" a="1"/>
  <c r="FD51" i="5" s="1"/>
  <c r="FE51" i="5" a="1"/>
  <c r="FE51" i="5" s="1"/>
  <c r="FF51" i="5" a="1"/>
  <c r="FF51" i="5" s="1"/>
  <c r="FG51" i="5" a="1"/>
  <c r="FG51" i="5" s="1"/>
  <c r="FH51" i="5" a="1"/>
  <c r="FH51" i="5" s="1"/>
  <c r="FI51" i="5" a="1"/>
  <c r="FI51" i="5" s="1"/>
  <c r="FJ51" i="5" a="1"/>
  <c r="FJ51" i="5" s="1"/>
  <c r="FK51" i="5" a="1"/>
  <c r="FK51" i="5" s="1"/>
  <c r="FL51" i="5" a="1"/>
  <c r="FL51" i="5" s="1"/>
  <c r="FM51" i="5" a="1"/>
  <c r="FM51" i="5" s="1"/>
  <c r="FN51" i="5" a="1"/>
  <c r="FN51" i="5" s="1"/>
  <c r="FO51" i="5" a="1"/>
  <c r="FO51" i="5" s="1"/>
  <c r="EI52" i="5" a="1"/>
  <c r="EI52" i="5" s="1"/>
  <c r="EJ52" i="5" a="1"/>
  <c r="EJ52" i="5" s="1"/>
  <c r="EK52" i="5" a="1"/>
  <c r="EK52" i="5" s="1"/>
  <c r="EL52" i="5" a="1"/>
  <c r="EL52" i="5" s="1"/>
  <c r="EM52" i="5" a="1"/>
  <c r="EM52" i="5" s="1"/>
  <c r="EN52" i="5" a="1"/>
  <c r="EN52" i="5" s="1"/>
  <c r="EO52" i="5" a="1"/>
  <c r="EO52" i="5" s="1"/>
  <c r="EP52" i="5" a="1"/>
  <c r="EP52" i="5" s="1"/>
  <c r="EQ52" i="5" a="1"/>
  <c r="EQ52" i="5" s="1"/>
  <c r="ER52" i="5" a="1"/>
  <c r="ER52" i="5" s="1"/>
  <c r="ES52" i="5" a="1"/>
  <c r="ES52" i="5" s="1"/>
  <c r="ET52" i="5" a="1"/>
  <c r="ET52" i="5" s="1"/>
  <c r="EU52" i="5" a="1"/>
  <c r="EU52" i="5" s="1"/>
  <c r="EV52" i="5" a="1"/>
  <c r="EV52" i="5" s="1"/>
  <c r="EW52" i="5" a="1"/>
  <c r="EW52" i="5" s="1"/>
  <c r="EX52" i="5" a="1"/>
  <c r="EX52" i="5" s="1"/>
  <c r="EY52" i="5" a="1"/>
  <c r="EY52" i="5" s="1"/>
  <c r="EZ52" i="5" a="1"/>
  <c r="EZ52" i="5" s="1"/>
  <c r="FA52" i="5" a="1"/>
  <c r="FA52" i="5" s="1"/>
  <c r="FB52" i="5" a="1"/>
  <c r="FB52" i="5" s="1"/>
  <c r="FC52" i="5" a="1"/>
  <c r="FC52" i="5" s="1"/>
  <c r="FD52" i="5" a="1"/>
  <c r="FD52" i="5" s="1"/>
  <c r="FE52" i="5" a="1"/>
  <c r="FE52" i="5" s="1"/>
  <c r="FF52" i="5" a="1"/>
  <c r="FF52" i="5" s="1"/>
  <c r="FG52" i="5" a="1"/>
  <c r="FG52" i="5" s="1"/>
  <c r="FH52" i="5" a="1"/>
  <c r="FH52" i="5" s="1"/>
  <c r="FI52" i="5" a="1"/>
  <c r="FI52" i="5"/>
  <c r="FJ52" i="5" a="1"/>
  <c r="FJ52" i="5" s="1"/>
  <c r="FK52" i="5" a="1"/>
  <c r="FK52" i="5" s="1"/>
  <c r="FL52" i="5" a="1"/>
  <c r="FL52" i="5" s="1"/>
  <c r="FM52" i="5" a="1"/>
  <c r="FM52" i="5" s="1"/>
  <c r="FN52" i="5" a="1"/>
  <c r="FN52" i="5" s="1"/>
  <c r="FO52" i="5" a="1"/>
  <c r="FO52" i="5" s="1"/>
  <c r="EI53" i="5" a="1"/>
  <c r="EI53" i="5" s="1"/>
  <c r="EJ53" i="5" a="1"/>
  <c r="EJ53" i="5" s="1"/>
  <c r="EK53" i="5" a="1"/>
  <c r="EK53" i="5" s="1"/>
  <c r="EL53" i="5" a="1"/>
  <c r="EL53" i="5" s="1"/>
  <c r="EM53" i="5" a="1"/>
  <c r="EM53" i="5" s="1"/>
  <c r="EN53" i="5" a="1"/>
  <c r="EN53" i="5" s="1"/>
  <c r="EO53" i="5" a="1"/>
  <c r="EO53" i="5" s="1"/>
  <c r="EP53" i="5" a="1"/>
  <c r="EP53" i="5" s="1"/>
  <c r="EQ53" i="5" a="1"/>
  <c r="EQ53" i="5" s="1"/>
  <c r="ER53" i="5" a="1"/>
  <c r="ER53" i="5" s="1"/>
  <c r="ES53" i="5" a="1"/>
  <c r="ES53" i="5" s="1"/>
  <c r="ET53" i="5" a="1"/>
  <c r="ET53" i="5" s="1"/>
  <c r="EU53" i="5" a="1"/>
  <c r="EU53" i="5" s="1"/>
  <c r="EV53" i="5" a="1"/>
  <c r="EV53" i="5" s="1"/>
  <c r="EW53" i="5" a="1"/>
  <c r="EW53" i="5" s="1"/>
  <c r="EX53" i="5" a="1"/>
  <c r="EX53" i="5" s="1"/>
  <c r="EY53" i="5" a="1"/>
  <c r="EY53" i="5" s="1"/>
  <c r="EZ53" i="5" a="1"/>
  <c r="EZ53" i="5" s="1"/>
  <c r="FA53" i="5" a="1"/>
  <c r="FA53" i="5" s="1"/>
  <c r="FB53" i="5" a="1"/>
  <c r="FB53" i="5" s="1"/>
  <c r="FC53" i="5" a="1"/>
  <c r="FC53" i="5" s="1"/>
  <c r="FD53" i="5" a="1"/>
  <c r="FD53" i="5" s="1"/>
  <c r="FE53" i="5" a="1"/>
  <c r="FE53" i="5" s="1"/>
  <c r="FF53" i="5" a="1"/>
  <c r="FF53" i="5" s="1"/>
  <c r="FG53" i="5" a="1"/>
  <c r="FG53" i="5" s="1"/>
  <c r="FH53" i="5" a="1"/>
  <c r="FH53" i="5" s="1"/>
  <c r="FI53" i="5" a="1"/>
  <c r="FI53" i="5" s="1"/>
  <c r="FJ53" i="5" a="1"/>
  <c r="FJ53" i="5" s="1"/>
  <c r="FK53" i="5" a="1"/>
  <c r="FK53" i="5"/>
  <c r="FL53" i="5" a="1"/>
  <c r="FL53" i="5" s="1"/>
  <c r="FM53" i="5" a="1"/>
  <c r="FM53" i="5" s="1"/>
  <c r="FN53" i="5" a="1"/>
  <c r="FN53" i="5" s="1"/>
  <c r="FO53" i="5" a="1"/>
  <c r="FO53" i="5" s="1"/>
  <c r="EI54" i="5" a="1"/>
  <c r="EI54" i="5" s="1"/>
  <c r="EJ54" i="5" a="1"/>
  <c r="EJ54" i="5" s="1"/>
  <c r="EK54" i="5" a="1"/>
  <c r="EK54" i="5" s="1"/>
  <c r="EL54" i="5" a="1"/>
  <c r="EL54" i="5" s="1"/>
  <c r="EM54" i="5" a="1"/>
  <c r="EM54" i="5" s="1"/>
  <c r="EN54" i="5" a="1"/>
  <c r="EN54" i="5" s="1"/>
  <c r="EO54" i="5" a="1"/>
  <c r="EO54" i="5" s="1"/>
  <c r="EP54" i="5" a="1"/>
  <c r="EP54" i="5" s="1"/>
  <c r="EQ54" i="5" a="1"/>
  <c r="EQ54" i="5" s="1"/>
  <c r="ER54" i="5" a="1"/>
  <c r="ER54" i="5" s="1"/>
  <c r="ES54" i="5" a="1"/>
  <c r="ES54" i="5" s="1"/>
  <c r="ET54" i="5" a="1"/>
  <c r="ET54" i="5" s="1"/>
  <c r="EU54" i="5" a="1"/>
  <c r="EU54" i="5"/>
  <c r="EV54" i="5" a="1"/>
  <c r="EV54" i="5" s="1"/>
  <c r="EW54" i="5" a="1"/>
  <c r="EW54" i="5" s="1"/>
  <c r="EX54" i="5" a="1"/>
  <c r="EX54" i="5" s="1"/>
  <c r="EY54" i="5" a="1"/>
  <c r="EY54" i="5" s="1"/>
  <c r="EZ54" i="5" a="1"/>
  <c r="EZ54" i="5" s="1"/>
  <c r="FA54" i="5" a="1"/>
  <c r="FA54" i="5" s="1"/>
  <c r="FB54" i="5" a="1"/>
  <c r="FB54" i="5" s="1"/>
  <c r="FC54" i="5" a="1"/>
  <c r="FC54" i="5" s="1"/>
  <c r="FD54" i="5" a="1"/>
  <c r="FD54" i="5" s="1"/>
  <c r="FE54" i="5" a="1"/>
  <c r="FE54" i="5" s="1"/>
  <c r="FF54" i="5" a="1"/>
  <c r="FF54" i="5" s="1"/>
  <c r="FG54" i="5" a="1"/>
  <c r="FG54" i="5" s="1"/>
  <c r="FH54" i="5" a="1"/>
  <c r="FH54" i="5" s="1"/>
  <c r="FI54" i="5" a="1"/>
  <c r="FI54" i="5" s="1"/>
  <c r="FJ54" i="5" a="1"/>
  <c r="FJ54" i="5" s="1"/>
  <c r="FK54" i="5" a="1"/>
  <c r="FK54" i="5" s="1"/>
  <c r="FL54" i="5" a="1"/>
  <c r="FL54" i="5" s="1"/>
  <c r="FM54" i="5" a="1"/>
  <c r="FM54" i="5" s="1"/>
  <c r="FN54" i="5" a="1"/>
  <c r="FN54" i="5" s="1"/>
  <c r="FO54" i="5" a="1"/>
  <c r="FO54" i="5" s="1"/>
  <c r="EI55" i="5" a="1"/>
  <c r="EI55" i="5" s="1"/>
  <c r="EJ55" i="5" a="1"/>
  <c r="EJ55" i="5" s="1"/>
  <c r="EK55" i="5" a="1"/>
  <c r="EK55" i="5" s="1"/>
  <c r="EL55" i="5" a="1"/>
  <c r="EL55" i="5" s="1"/>
  <c r="EM55" i="5" a="1"/>
  <c r="EM55" i="5" s="1"/>
  <c r="EN55" i="5" a="1"/>
  <c r="EN55" i="5" s="1"/>
  <c r="EO55" i="5" a="1"/>
  <c r="EO55" i="5" s="1"/>
  <c r="EP55" i="5" a="1"/>
  <c r="EP55" i="5" s="1"/>
  <c r="EQ55" i="5" a="1"/>
  <c r="EQ55" i="5" s="1"/>
  <c r="ER55" i="5" a="1"/>
  <c r="ER55" i="5" s="1"/>
  <c r="ES55" i="5" a="1"/>
  <c r="ES55" i="5" s="1"/>
  <c r="ET55" i="5" a="1"/>
  <c r="ET55" i="5" s="1"/>
  <c r="EU55" i="5" a="1"/>
  <c r="EU55" i="5" s="1"/>
  <c r="EV55" i="5" a="1"/>
  <c r="EV55" i="5" s="1"/>
  <c r="EW55" i="5" a="1"/>
  <c r="EW55" i="5" s="1"/>
  <c r="EX55" i="5" a="1"/>
  <c r="EX55" i="5" s="1"/>
  <c r="EY55" i="5" a="1"/>
  <c r="EY55" i="5" s="1"/>
  <c r="EZ55" i="5" a="1"/>
  <c r="EZ55" i="5" s="1"/>
  <c r="FA55" i="5" a="1"/>
  <c r="FA55" i="5" s="1"/>
  <c r="FB55" i="5" a="1"/>
  <c r="FB55" i="5" s="1"/>
  <c r="FC55" i="5" a="1"/>
  <c r="FC55" i="5"/>
  <c r="FD55" i="5" a="1"/>
  <c r="FD55" i="5" s="1"/>
  <c r="FE55" i="5" a="1"/>
  <c r="FE55" i="5" s="1"/>
  <c r="FF55" i="5" a="1"/>
  <c r="FF55" i="5" s="1"/>
  <c r="FG55" i="5" a="1"/>
  <c r="FG55" i="5" s="1"/>
  <c r="FH55" i="5" a="1"/>
  <c r="FH55" i="5" s="1"/>
  <c r="FI55" i="5" a="1"/>
  <c r="FI55" i="5" s="1"/>
  <c r="FJ55" i="5" a="1"/>
  <c r="FJ55" i="5" s="1"/>
  <c r="FK55" i="5" a="1"/>
  <c r="FK55" i="5" s="1"/>
  <c r="FL55" i="5" a="1"/>
  <c r="FL55" i="5" s="1"/>
  <c r="FM55" i="5" a="1"/>
  <c r="FM55" i="5" s="1"/>
  <c r="FN55" i="5" a="1"/>
  <c r="FN55" i="5" s="1"/>
  <c r="FO55" i="5" a="1"/>
  <c r="FO55" i="5" s="1"/>
  <c r="EI56" i="5" a="1"/>
  <c r="EI56" i="5" s="1"/>
  <c r="EJ56" i="5" a="1"/>
  <c r="EJ56" i="5" s="1"/>
  <c r="EK56" i="5" a="1"/>
  <c r="EK56" i="5" s="1"/>
  <c r="EL56" i="5" a="1"/>
  <c r="EL56" i="5" s="1"/>
  <c r="EM56" i="5" a="1"/>
  <c r="EM56" i="5" s="1"/>
  <c r="EN56" i="5" a="1"/>
  <c r="EN56" i="5" s="1"/>
  <c r="EO56" i="5" a="1"/>
  <c r="EO56" i="5" s="1"/>
  <c r="EP56" i="5" a="1"/>
  <c r="EP56" i="5" s="1"/>
  <c r="EQ56" i="5" a="1"/>
  <c r="EQ56" i="5" s="1"/>
  <c r="ER56" i="5" a="1"/>
  <c r="ER56" i="5" s="1"/>
  <c r="ES56" i="5" a="1"/>
  <c r="ES56" i="5" s="1"/>
  <c r="ET56" i="5" a="1"/>
  <c r="ET56" i="5" s="1"/>
  <c r="EU56" i="5" a="1"/>
  <c r="EU56" i="5" s="1"/>
  <c r="EV56" i="5" a="1"/>
  <c r="EV56" i="5" s="1"/>
  <c r="EW56" i="5" a="1"/>
  <c r="EW56" i="5" s="1"/>
  <c r="EX56" i="5" a="1"/>
  <c r="EX56" i="5" s="1"/>
  <c r="EY56" i="5" a="1"/>
  <c r="EY56" i="5" s="1"/>
  <c r="EZ56" i="5" a="1"/>
  <c r="EZ56" i="5" s="1"/>
  <c r="FA56" i="5" a="1"/>
  <c r="FA56" i="5" s="1"/>
  <c r="FB56" i="5" a="1"/>
  <c r="FB56" i="5" s="1"/>
  <c r="FC56" i="5" a="1"/>
  <c r="FC56" i="5" s="1"/>
  <c r="FD56" i="5" a="1"/>
  <c r="FD56" i="5" s="1"/>
  <c r="FE56" i="5" a="1"/>
  <c r="FE56" i="5" s="1"/>
  <c r="FF56" i="5" a="1"/>
  <c r="FF56" i="5" s="1"/>
  <c r="FG56" i="5" a="1"/>
  <c r="FG56" i="5" s="1"/>
  <c r="FH56" i="5" a="1"/>
  <c r="FH56" i="5" s="1"/>
  <c r="FI56" i="5" a="1"/>
  <c r="FI56" i="5" s="1"/>
  <c r="FJ56" i="5" a="1"/>
  <c r="FJ56" i="5" s="1"/>
  <c r="FK56" i="5" a="1"/>
  <c r="FK56" i="5" s="1"/>
  <c r="FL56" i="5" a="1"/>
  <c r="FL56" i="5" s="1"/>
  <c r="FM56" i="5" a="1"/>
  <c r="FM56" i="5" s="1"/>
  <c r="FN56" i="5" a="1"/>
  <c r="FN56" i="5" s="1"/>
  <c r="FO56" i="5" a="1"/>
  <c r="FO56" i="5" s="1"/>
  <c r="EI57" i="5" a="1"/>
  <c r="EI57" i="5" s="1"/>
  <c r="EJ57" i="5" a="1"/>
  <c r="EJ57" i="5" s="1"/>
  <c r="EK57" i="5" a="1"/>
  <c r="EK57" i="5" s="1"/>
  <c r="EL57" i="5" a="1"/>
  <c r="EL57" i="5" s="1"/>
  <c r="EM57" i="5" a="1"/>
  <c r="EM57" i="5" s="1"/>
  <c r="EN57" i="5" a="1"/>
  <c r="EN57" i="5" s="1"/>
  <c r="EO57" i="5" a="1"/>
  <c r="EO57" i="5" s="1"/>
  <c r="EP57" i="5" a="1"/>
  <c r="EP57" i="5" s="1"/>
  <c r="EQ57" i="5" a="1"/>
  <c r="EQ57" i="5" s="1"/>
  <c r="ER57" i="5" a="1"/>
  <c r="ER57" i="5" s="1"/>
  <c r="ES57" i="5" a="1"/>
  <c r="ES57" i="5" s="1"/>
  <c r="ET57" i="5" a="1"/>
  <c r="ET57" i="5" s="1"/>
  <c r="EU57" i="5" a="1"/>
  <c r="EU57" i="5" s="1"/>
  <c r="EV57" i="5" a="1"/>
  <c r="EV57" i="5" s="1"/>
  <c r="EW57" i="5" a="1"/>
  <c r="EW57" i="5" s="1"/>
  <c r="EX57" i="5" a="1"/>
  <c r="EX57" i="5" s="1"/>
  <c r="EY57" i="5" a="1"/>
  <c r="EY57" i="5" s="1"/>
  <c r="EZ57" i="5" a="1"/>
  <c r="EZ57" i="5" s="1"/>
  <c r="FA57" i="5" a="1"/>
  <c r="FA57" i="5" s="1"/>
  <c r="FB57" i="5" a="1"/>
  <c r="FB57" i="5" s="1"/>
  <c r="FC57" i="5" a="1"/>
  <c r="FC57" i="5" s="1"/>
  <c r="FD57" i="5" a="1"/>
  <c r="FD57" i="5" s="1"/>
  <c r="FE57" i="5" a="1"/>
  <c r="FE57" i="5"/>
  <c r="FF57" i="5" a="1"/>
  <c r="FF57" i="5" s="1"/>
  <c r="FG57" i="5" a="1"/>
  <c r="FG57" i="5" s="1"/>
  <c r="FH57" i="5" a="1"/>
  <c r="FH57" i="5" s="1"/>
  <c r="FI57" i="5" a="1"/>
  <c r="FI57" i="5" s="1"/>
  <c r="FJ57" i="5" a="1"/>
  <c r="FJ57" i="5" s="1"/>
  <c r="FK57" i="5" a="1"/>
  <c r="FK57" i="5" s="1"/>
  <c r="FL57" i="5" a="1"/>
  <c r="FL57" i="5" s="1"/>
  <c r="FM57" i="5" a="1"/>
  <c r="FM57" i="5" s="1"/>
  <c r="FN57" i="5" a="1"/>
  <c r="FN57" i="5" s="1"/>
  <c r="FO57" i="5" a="1"/>
  <c r="FO57" i="5" s="1"/>
  <c r="EI58" i="5" a="1"/>
  <c r="EI58" i="5" s="1"/>
  <c r="EJ58" i="5" a="1"/>
  <c r="EJ58" i="5" s="1"/>
  <c r="EK58" i="5" a="1"/>
  <c r="EK58" i="5" s="1"/>
  <c r="EL58" i="5" a="1"/>
  <c r="EL58" i="5" s="1"/>
  <c r="EM58" i="5" a="1"/>
  <c r="EM58" i="5" s="1"/>
  <c r="EN58" i="5" a="1"/>
  <c r="EN58" i="5" s="1"/>
  <c r="EO58" i="5" a="1"/>
  <c r="EO58" i="5" s="1"/>
  <c r="EP58" i="5" a="1"/>
  <c r="EP58" i="5" s="1"/>
  <c r="EQ58" i="5" a="1"/>
  <c r="EQ58" i="5" s="1"/>
  <c r="ER58" i="5" a="1"/>
  <c r="ER58" i="5" s="1"/>
  <c r="ES58" i="5" a="1"/>
  <c r="ES58" i="5" s="1"/>
  <c r="ET58" i="5" a="1"/>
  <c r="ET58" i="5" s="1"/>
  <c r="EU58" i="5" a="1"/>
  <c r="EU58" i="5" s="1"/>
  <c r="EV58" i="5" a="1"/>
  <c r="EV58" i="5" s="1"/>
  <c r="EW58" i="5" a="1"/>
  <c r="EW58" i="5" s="1"/>
  <c r="EX58" i="5" a="1"/>
  <c r="EX58" i="5" s="1"/>
  <c r="EY58" i="5" a="1"/>
  <c r="EY58" i="5" s="1"/>
  <c r="EZ58" i="5" a="1"/>
  <c r="EZ58" i="5" s="1"/>
  <c r="FA58" i="5" a="1"/>
  <c r="FA58" i="5" s="1"/>
  <c r="FB58" i="5" a="1"/>
  <c r="FB58" i="5" s="1"/>
  <c r="FC58" i="5" a="1"/>
  <c r="FC58" i="5" s="1"/>
  <c r="FD58" i="5" a="1"/>
  <c r="FD58" i="5" s="1"/>
  <c r="FE58" i="5" a="1"/>
  <c r="FE58" i="5" s="1"/>
  <c r="FF58" i="5" a="1"/>
  <c r="FF58" i="5" s="1"/>
  <c r="FG58" i="5" a="1"/>
  <c r="FG58" i="5" s="1"/>
  <c r="FH58" i="5" a="1"/>
  <c r="FH58" i="5" s="1"/>
  <c r="FI58" i="5" a="1"/>
  <c r="FI58" i="5" s="1"/>
  <c r="FJ58" i="5" a="1"/>
  <c r="FJ58" i="5" s="1"/>
  <c r="FK58" i="5" a="1"/>
  <c r="FK58" i="5" s="1"/>
  <c r="FL58" i="5" a="1"/>
  <c r="FL58" i="5" s="1"/>
  <c r="FM58" i="5" a="1"/>
  <c r="FM58" i="5" s="1"/>
  <c r="FN58" i="5" a="1"/>
  <c r="FN58" i="5" s="1"/>
  <c r="FO58" i="5" a="1"/>
  <c r="FO58" i="5" s="1"/>
  <c r="EI59" i="5" a="1"/>
  <c r="EI59" i="5" s="1"/>
  <c r="EJ59" i="5" a="1"/>
  <c r="EJ59" i="5" s="1"/>
  <c r="EK59" i="5" a="1"/>
  <c r="EK59" i="5" s="1"/>
  <c r="EL59" i="5" a="1"/>
  <c r="EL59" i="5" s="1"/>
  <c r="EM59" i="5" a="1"/>
  <c r="EM59" i="5" s="1"/>
  <c r="EN59" i="5" a="1"/>
  <c r="EN59" i="5" s="1"/>
  <c r="EO59" i="5" a="1"/>
  <c r="EO59" i="5" s="1"/>
  <c r="EP59" i="5" a="1"/>
  <c r="EP59" i="5" s="1"/>
  <c r="EQ59" i="5" a="1"/>
  <c r="EQ59" i="5" s="1"/>
  <c r="ER59" i="5" a="1"/>
  <c r="ER59" i="5" s="1"/>
  <c r="ES59" i="5" a="1"/>
  <c r="ES59" i="5" s="1"/>
  <c r="ET59" i="5" a="1"/>
  <c r="ET59" i="5" s="1"/>
  <c r="EU59" i="5" a="1"/>
  <c r="EU59" i="5" s="1"/>
  <c r="EV59" i="5" a="1"/>
  <c r="EV59" i="5" s="1"/>
  <c r="EW59" i="5" a="1"/>
  <c r="EW59" i="5" s="1"/>
  <c r="EX59" i="5" a="1"/>
  <c r="EX59" i="5" s="1"/>
  <c r="EY59" i="5" a="1"/>
  <c r="EY59" i="5" s="1"/>
  <c r="EZ59" i="5" a="1"/>
  <c r="EZ59" i="5" s="1"/>
  <c r="FA59" i="5" a="1"/>
  <c r="FA59" i="5" s="1"/>
  <c r="FB59" i="5" a="1"/>
  <c r="FB59" i="5" s="1"/>
  <c r="FC59" i="5" a="1"/>
  <c r="FC59" i="5" s="1"/>
  <c r="FD59" i="5" a="1"/>
  <c r="FD59" i="5" s="1"/>
  <c r="FE59" i="5" a="1"/>
  <c r="FE59" i="5" s="1"/>
  <c r="FF59" i="5" a="1"/>
  <c r="FF59" i="5" s="1"/>
  <c r="FG59" i="5" a="1"/>
  <c r="FG59" i="5" s="1"/>
  <c r="FH59" i="5" a="1"/>
  <c r="FH59" i="5" s="1"/>
  <c r="FI59" i="5" a="1"/>
  <c r="FI59" i="5" s="1"/>
  <c r="FJ59" i="5" a="1"/>
  <c r="FJ59" i="5" s="1"/>
  <c r="FK59" i="5" a="1"/>
  <c r="FK59" i="5" s="1"/>
  <c r="FL59" i="5" a="1"/>
  <c r="FL59" i="5" s="1"/>
  <c r="FM59" i="5" a="1"/>
  <c r="FM59" i="5" s="1"/>
  <c r="FN59" i="5" a="1"/>
  <c r="FN59" i="5" s="1"/>
  <c r="FO59" i="5" a="1"/>
  <c r="FO59" i="5" s="1"/>
  <c r="EI60" i="5" a="1"/>
  <c r="EI60" i="5" s="1"/>
  <c r="EJ60" i="5" a="1"/>
  <c r="EJ60" i="5" s="1"/>
  <c r="EK60" i="5" a="1"/>
  <c r="EK60" i="5" s="1"/>
  <c r="EL60" i="5" a="1"/>
  <c r="EL60" i="5" s="1"/>
  <c r="EM60" i="5" a="1"/>
  <c r="EM60" i="5" s="1"/>
  <c r="EN60" i="5" a="1"/>
  <c r="EN60" i="5" s="1"/>
  <c r="EO60" i="5" a="1"/>
  <c r="EO60" i="5" s="1"/>
  <c r="EP60" i="5" a="1"/>
  <c r="EP60" i="5" s="1"/>
  <c r="EQ60" i="5" a="1"/>
  <c r="EQ60" i="5" s="1"/>
  <c r="ER60" i="5" a="1"/>
  <c r="ER60" i="5" s="1"/>
  <c r="ES60" i="5" a="1"/>
  <c r="ES60" i="5" s="1"/>
  <c r="ET60" i="5" a="1"/>
  <c r="ET60" i="5" s="1"/>
  <c r="EU60" i="5" a="1"/>
  <c r="EU60" i="5" s="1"/>
  <c r="EV60" i="5" a="1"/>
  <c r="EV60" i="5"/>
  <c r="EW60" i="5" a="1"/>
  <c r="EW60" i="5" s="1"/>
  <c r="EX60" i="5" a="1"/>
  <c r="EX60" i="5" s="1"/>
  <c r="EY60" i="5" a="1"/>
  <c r="EY60" i="5" s="1"/>
  <c r="EZ60" i="5" a="1"/>
  <c r="EZ60" i="5" s="1"/>
  <c r="FA60" i="5" a="1"/>
  <c r="FA60" i="5" s="1"/>
  <c r="FB60" i="5" a="1"/>
  <c r="FB60" i="5" s="1"/>
  <c r="FC60" i="5" a="1"/>
  <c r="FC60" i="5" s="1"/>
  <c r="FD60" i="5" a="1"/>
  <c r="FD60" i="5" s="1"/>
  <c r="FE60" i="5" a="1"/>
  <c r="FE60" i="5" s="1"/>
  <c r="FF60" i="5" a="1"/>
  <c r="FF60" i="5" s="1"/>
  <c r="FG60" i="5" a="1"/>
  <c r="FG60" i="5" s="1"/>
  <c r="FH60" i="5" a="1"/>
  <c r="FH60" i="5" s="1"/>
  <c r="FI60" i="5" a="1"/>
  <c r="FI60" i="5" s="1"/>
  <c r="FJ60" i="5" a="1"/>
  <c r="FJ60" i="5" s="1"/>
  <c r="FK60" i="5" a="1"/>
  <c r="FK60" i="5" s="1"/>
  <c r="FL60" i="5" a="1"/>
  <c r="FL60" i="5" s="1"/>
  <c r="FM60" i="5" a="1"/>
  <c r="FM60" i="5" s="1"/>
  <c r="FN60" i="5" a="1"/>
  <c r="FN60" i="5" s="1"/>
  <c r="FO60" i="5" a="1"/>
  <c r="FO60" i="5" s="1"/>
  <c r="EI61" i="5" a="1"/>
  <c r="EI61" i="5" s="1"/>
  <c r="EJ61" i="5" a="1"/>
  <c r="EJ61" i="5" s="1"/>
  <c r="EK61" i="5" a="1"/>
  <c r="EK61" i="5" s="1"/>
  <c r="EL61" i="5" a="1"/>
  <c r="EL61" i="5" s="1"/>
  <c r="EM61" i="5" a="1"/>
  <c r="EM61" i="5" s="1"/>
  <c r="EN61" i="5" a="1"/>
  <c r="EN61" i="5" s="1"/>
  <c r="EO61" i="5" a="1"/>
  <c r="EO61" i="5" s="1"/>
  <c r="EP61" i="5" a="1"/>
  <c r="EP61" i="5" s="1"/>
  <c r="EQ61" i="5" a="1"/>
  <c r="EQ61" i="5" s="1"/>
  <c r="ER61" i="5" a="1"/>
  <c r="ER61" i="5" s="1"/>
  <c r="ES61" i="5" a="1"/>
  <c r="ES61" i="5" s="1"/>
  <c r="ET61" i="5" a="1"/>
  <c r="ET61" i="5" s="1"/>
  <c r="EU61" i="5" a="1"/>
  <c r="EU61" i="5" s="1"/>
  <c r="EV61" i="5" a="1"/>
  <c r="EV61" i="5" s="1"/>
  <c r="EW61" i="5" a="1"/>
  <c r="EW61" i="5" s="1"/>
  <c r="EX61" i="5" a="1"/>
  <c r="EX61" i="5"/>
  <c r="EY61" i="5" a="1"/>
  <c r="EY61" i="5" s="1"/>
  <c r="EZ61" i="5" a="1"/>
  <c r="EZ61" i="5" s="1"/>
  <c r="FA61" i="5" a="1"/>
  <c r="FA61" i="5" s="1"/>
  <c r="FB61" i="5" a="1"/>
  <c r="FB61" i="5" s="1"/>
  <c r="FC61" i="5" a="1"/>
  <c r="FC61" i="5" s="1"/>
  <c r="FD61" i="5" a="1"/>
  <c r="FD61" i="5" s="1"/>
  <c r="FE61" i="5" a="1"/>
  <c r="FE61" i="5" s="1"/>
  <c r="FF61" i="5" a="1"/>
  <c r="FF61" i="5" s="1"/>
  <c r="FG61" i="5" a="1"/>
  <c r="FG61" i="5" s="1"/>
  <c r="FH61" i="5" a="1"/>
  <c r="FH61" i="5" s="1"/>
  <c r="FI61" i="5" a="1"/>
  <c r="FI61" i="5" s="1"/>
  <c r="FJ61" i="5" a="1"/>
  <c r="FJ61" i="5" s="1"/>
  <c r="FK61" i="5" a="1"/>
  <c r="FK61" i="5" s="1"/>
  <c r="FL61" i="5" a="1"/>
  <c r="FL61" i="5" s="1"/>
  <c r="FM61" i="5" a="1"/>
  <c r="FM61" i="5" s="1"/>
  <c r="FN61" i="5" a="1"/>
  <c r="FN61" i="5" s="1"/>
  <c r="FO61" i="5" a="1"/>
  <c r="FO61" i="5" s="1"/>
  <c r="EI62" i="5" a="1"/>
  <c r="EI62" i="5" s="1"/>
  <c r="EJ62" i="5" a="1"/>
  <c r="EJ62" i="5" s="1"/>
  <c r="EK62" i="5" a="1"/>
  <c r="EK62" i="5" s="1"/>
  <c r="EL62" i="5" a="1"/>
  <c r="EL62" i="5" s="1"/>
  <c r="EM62" i="5" a="1"/>
  <c r="EM62" i="5" s="1"/>
  <c r="EN62" i="5" a="1"/>
  <c r="EN62" i="5" s="1"/>
  <c r="EO62" i="5" a="1"/>
  <c r="EO62" i="5" s="1"/>
  <c r="EP62" i="5" a="1"/>
  <c r="EP62" i="5" s="1"/>
  <c r="EQ62" i="5" a="1"/>
  <c r="EQ62" i="5" s="1"/>
  <c r="ER62" i="5" a="1"/>
  <c r="ER62" i="5" s="1"/>
  <c r="ES62" i="5" a="1"/>
  <c r="ES62" i="5" s="1"/>
  <c r="ET62" i="5" a="1"/>
  <c r="ET62" i="5" s="1"/>
  <c r="EU62" i="5" a="1"/>
  <c r="EU62" i="5" s="1"/>
  <c r="EV62" i="5" a="1"/>
  <c r="EV62" i="5" s="1"/>
  <c r="EW62" i="5" a="1"/>
  <c r="EW62" i="5" s="1"/>
  <c r="EX62" i="5" a="1"/>
  <c r="EX62" i="5" s="1"/>
  <c r="EY62" i="5" a="1"/>
  <c r="EY62" i="5" s="1"/>
  <c r="EZ62" i="5" a="1"/>
  <c r="EZ62" i="5" s="1"/>
  <c r="FA62" i="5" a="1"/>
  <c r="FA62" i="5" s="1"/>
  <c r="FB62" i="5" a="1"/>
  <c r="FB62" i="5" s="1"/>
  <c r="FC62" i="5" a="1"/>
  <c r="FC62" i="5" s="1"/>
  <c r="FD62" i="5" a="1"/>
  <c r="FD62" i="5" s="1"/>
  <c r="FE62" i="5" a="1"/>
  <c r="FE62" i="5" s="1"/>
  <c r="FF62" i="5" a="1"/>
  <c r="FF62" i="5" s="1"/>
  <c r="FG62" i="5" a="1"/>
  <c r="FG62" i="5" s="1"/>
  <c r="FH62" i="5" a="1"/>
  <c r="FH62" i="5" s="1"/>
  <c r="FI62" i="5" a="1"/>
  <c r="FI62" i="5" s="1"/>
  <c r="FJ62" i="5" a="1"/>
  <c r="FJ62" i="5" s="1"/>
  <c r="FK62" i="5" a="1"/>
  <c r="FK62" i="5" s="1"/>
  <c r="FL62" i="5" a="1"/>
  <c r="FL62" i="5" s="1"/>
  <c r="FM62" i="5" a="1"/>
  <c r="FM62" i="5" s="1"/>
  <c r="FN62" i="5" a="1"/>
  <c r="FN62" i="5" s="1"/>
  <c r="FO62" i="5" a="1"/>
  <c r="FO62" i="5" s="1"/>
  <c r="EI63" i="5" a="1"/>
  <c r="EI63" i="5" s="1"/>
  <c r="EJ63" i="5" a="1"/>
  <c r="EJ63" i="5" s="1"/>
  <c r="EK63" i="5" a="1"/>
  <c r="EK63" i="5" s="1"/>
  <c r="EL63" i="5" a="1"/>
  <c r="EL63" i="5" s="1"/>
  <c r="EM63" i="5" a="1"/>
  <c r="EM63" i="5" s="1"/>
  <c r="EN63" i="5" a="1"/>
  <c r="EN63" i="5" s="1"/>
  <c r="EO63" i="5" a="1"/>
  <c r="EO63" i="5" s="1"/>
  <c r="EP63" i="5" a="1"/>
  <c r="EP63" i="5" s="1"/>
  <c r="EQ63" i="5" a="1"/>
  <c r="EQ63" i="5" s="1"/>
  <c r="ER63" i="5" a="1"/>
  <c r="ER63" i="5" s="1"/>
  <c r="ES63" i="5" a="1"/>
  <c r="ES63" i="5" s="1"/>
  <c r="ET63" i="5" a="1"/>
  <c r="ET63" i="5" s="1"/>
  <c r="EU63" i="5" a="1"/>
  <c r="EU63" i="5" s="1"/>
  <c r="EV63" i="5" a="1"/>
  <c r="EV63" i="5" s="1"/>
  <c r="EW63" i="5" a="1"/>
  <c r="EW63" i="5" s="1"/>
  <c r="EX63" i="5" a="1"/>
  <c r="EX63" i="5" s="1"/>
  <c r="EY63" i="5" a="1"/>
  <c r="EY63" i="5" s="1"/>
  <c r="EZ63" i="5" a="1"/>
  <c r="EZ63" i="5" s="1"/>
  <c r="FA63" i="5" a="1"/>
  <c r="FA63" i="5" s="1"/>
  <c r="FB63" i="5" a="1"/>
  <c r="FB63" i="5" s="1"/>
  <c r="FC63" i="5" a="1"/>
  <c r="FC63" i="5" s="1"/>
  <c r="FD63" i="5" a="1"/>
  <c r="FD63" i="5" s="1"/>
  <c r="FE63" i="5" a="1"/>
  <c r="FE63" i="5" s="1"/>
  <c r="FF63" i="5" a="1"/>
  <c r="FF63" i="5" s="1"/>
  <c r="FG63" i="5" a="1"/>
  <c r="FG63" i="5" s="1"/>
  <c r="FH63" i="5" a="1"/>
  <c r="FH63" i="5" s="1"/>
  <c r="FI63" i="5" a="1"/>
  <c r="FI63" i="5" s="1"/>
  <c r="FJ63" i="5" a="1"/>
  <c r="FJ63" i="5" s="1"/>
  <c r="FK63" i="5" a="1"/>
  <c r="FK63" i="5" s="1"/>
  <c r="FL63" i="5" a="1"/>
  <c r="FL63" i="5" s="1"/>
  <c r="FM63" i="5" a="1"/>
  <c r="FM63" i="5" s="1"/>
  <c r="FN63" i="5" a="1"/>
  <c r="FN63" i="5" s="1"/>
  <c r="FO63" i="5" a="1"/>
  <c r="FO63" i="5" s="1"/>
  <c r="EI64" i="5" a="1"/>
  <c r="EI64" i="5"/>
  <c r="EJ64" i="5" a="1"/>
  <c r="EJ64" i="5" s="1"/>
  <c r="EK64" i="5" a="1"/>
  <c r="EK64" i="5" s="1"/>
  <c r="EL64" i="5" a="1"/>
  <c r="EL64" i="5" s="1"/>
  <c r="EM64" i="5" a="1"/>
  <c r="EM64" i="5" s="1"/>
  <c r="EN64" i="5" a="1"/>
  <c r="EN64" i="5" s="1"/>
  <c r="EO64" i="5" a="1"/>
  <c r="EO64" i="5" s="1"/>
  <c r="EP64" i="5" a="1"/>
  <c r="EP64" i="5" s="1"/>
  <c r="EQ64" i="5" a="1"/>
  <c r="EQ64" i="5" s="1"/>
  <c r="ER64" i="5" a="1"/>
  <c r="ER64" i="5" s="1"/>
  <c r="ES64" i="5" a="1"/>
  <c r="ES64" i="5" s="1"/>
  <c r="ET64" i="5" a="1"/>
  <c r="ET64" i="5" s="1"/>
  <c r="EU64" i="5" a="1"/>
  <c r="EU64" i="5" s="1"/>
  <c r="EV64" i="5" a="1"/>
  <c r="EV64" i="5" s="1"/>
  <c r="EW64" i="5" a="1"/>
  <c r="EW64" i="5" s="1"/>
  <c r="EX64" i="5" a="1"/>
  <c r="EX64" i="5" s="1"/>
  <c r="EY64" i="5" a="1"/>
  <c r="EY64" i="5" s="1"/>
  <c r="EZ64" i="5" a="1"/>
  <c r="EZ64" i="5" s="1"/>
  <c r="FA64" i="5" a="1"/>
  <c r="FA64" i="5" s="1"/>
  <c r="FB64" i="5" a="1"/>
  <c r="FB64" i="5" s="1"/>
  <c r="FC64" i="5" a="1"/>
  <c r="FC64" i="5" s="1"/>
  <c r="FD64" i="5" a="1"/>
  <c r="FD64" i="5" s="1"/>
  <c r="FE64" i="5" a="1"/>
  <c r="FE64" i="5" s="1"/>
  <c r="FF64" i="5" a="1"/>
  <c r="FF64" i="5" s="1"/>
  <c r="FG64" i="5" a="1"/>
  <c r="FG64" i="5" s="1"/>
  <c r="FH64" i="5" a="1"/>
  <c r="FH64" i="5" s="1"/>
  <c r="FI64" i="5" a="1"/>
  <c r="FI64" i="5" s="1"/>
  <c r="FJ64" i="5" a="1"/>
  <c r="FJ64" i="5"/>
  <c r="FK64" i="5" a="1"/>
  <c r="FK64" i="5" s="1"/>
  <c r="FL64" i="5" a="1"/>
  <c r="FL64" i="5" s="1"/>
  <c r="FM64" i="5" a="1"/>
  <c r="FM64" i="5" s="1"/>
  <c r="FN64" i="5" a="1"/>
  <c r="FN64" i="5" s="1"/>
  <c r="FO64" i="5" a="1"/>
  <c r="FO64" i="5" s="1"/>
  <c r="EI65" i="5" a="1"/>
  <c r="EI65" i="5" s="1"/>
  <c r="EJ65" i="5" a="1"/>
  <c r="EJ65" i="5" s="1"/>
  <c r="EK65" i="5" a="1"/>
  <c r="EK65" i="5" s="1"/>
  <c r="EL65" i="5" a="1"/>
  <c r="EL65" i="5" s="1"/>
  <c r="EM65" i="5" a="1"/>
  <c r="EM65" i="5" s="1"/>
  <c r="EN65" i="5" a="1"/>
  <c r="EN65" i="5"/>
  <c r="EO65" i="5" a="1"/>
  <c r="EO65" i="5" s="1"/>
  <c r="EP65" i="5" a="1"/>
  <c r="EP65" i="5" s="1"/>
  <c r="EQ65" i="5" a="1"/>
  <c r="EQ65" i="5" s="1"/>
  <c r="ER65" i="5" a="1"/>
  <c r="ER65" i="5" s="1"/>
  <c r="ES65" i="5" a="1"/>
  <c r="ES65" i="5" s="1"/>
  <c r="ET65" i="5" a="1"/>
  <c r="ET65" i="5" s="1"/>
  <c r="EU65" i="5" a="1"/>
  <c r="EU65" i="5" s="1"/>
  <c r="EV65" i="5" a="1"/>
  <c r="EV65" i="5" s="1"/>
  <c r="EW65" i="5" a="1"/>
  <c r="EW65" i="5" s="1"/>
  <c r="EX65" i="5" a="1"/>
  <c r="EX65" i="5" s="1"/>
  <c r="EY65" i="5" a="1"/>
  <c r="EY65" i="5" s="1"/>
  <c r="EZ65" i="5" a="1"/>
  <c r="EZ65" i="5" s="1"/>
  <c r="FA65" i="5" a="1"/>
  <c r="FA65" i="5" s="1"/>
  <c r="FB65" i="5" a="1"/>
  <c r="FB65" i="5" s="1"/>
  <c r="FC65" i="5" a="1"/>
  <c r="FC65" i="5" s="1"/>
  <c r="FD65" i="5" a="1"/>
  <c r="FD65" i="5" s="1"/>
  <c r="FE65" i="5" a="1"/>
  <c r="FE65" i="5" s="1"/>
  <c r="FF65" i="5" a="1"/>
  <c r="FF65" i="5" s="1"/>
  <c r="FG65" i="5" a="1"/>
  <c r="FG65" i="5" s="1"/>
  <c r="FH65" i="5" a="1"/>
  <c r="FH65" i="5" s="1"/>
  <c r="FI65" i="5" a="1"/>
  <c r="FI65" i="5" s="1"/>
  <c r="FJ65" i="5" a="1"/>
  <c r="FJ65" i="5" s="1"/>
  <c r="FK65" i="5" a="1"/>
  <c r="FK65" i="5" s="1"/>
  <c r="FL65" i="5" a="1"/>
  <c r="FL65" i="5"/>
  <c r="FM65" i="5" a="1"/>
  <c r="FM65" i="5" s="1"/>
  <c r="FN65" i="5" a="1"/>
  <c r="FN65" i="5" s="1"/>
  <c r="FO65" i="5" a="1"/>
  <c r="FO65" i="5" s="1"/>
  <c r="EI66" i="5" a="1"/>
  <c r="EI66" i="5" s="1"/>
  <c r="EJ66" i="5" a="1"/>
  <c r="EJ66" i="5" s="1"/>
  <c r="EK66" i="5" a="1"/>
  <c r="EK66" i="5" s="1"/>
  <c r="EL66" i="5" a="1"/>
  <c r="EL66" i="5" s="1"/>
  <c r="EM66" i="5" a="1"/>
  <c r="EM66" i="5" s="1"/>
  <c r="EN66" i="5" a="1"/>
  <c r="EN66" i="5" s="1"/>
  <c r="EO66" i="5" a="1"/>
  <c r="EO66" i="5" s="1"/>
  <c r="EP66" i="5" a="1"/>
  <c r="EP66" i="5"/>
  <c r="EQ66" i="5" a="1"/>
  <c r="EQ66" i="5" s="1"/>
  <c r="ER66" i="5" a="1"/>
  <c r="ER66" i="5" s="1"/>
  <c r="ES66" i="5" a="1"/>
  <c r="ES66" i="5" s="1"/>
  <c r="ET66" i="5" a="1"/>
  <c r="ET66" i="5" s="1"/>
  <c r="EU66" i="5" a="1"/>
  <c r="EU66" i="5" s="1"/>
  <c r="EV66" i="5" a="1"/>
  <c r="EV66" i="5" s="1"/>
  <c r="EW66" i="5" a="1"/>
  <c r="EW66" i="5" s="1"/>
  <c r="EX66" i="5" a="1"/>
  <c r="EX66" i="5" s="1"/>
  <c r="EY66" i="5" a="1"/>
  <c r="EY66" i="5" s="1"/>
  <c r="EZ66" i="5" a="1"/>
  <c r="EZ66" i="5" s="1"/>
  <c r="FA66" i="5" a="1"/>
  <c r="FA66" i="5" s="1"/>
  <c r="FB66" i="5" a="1"/>
  <c r="FB66" i="5" s="1"/>
  <c r="FC66" i="5" a="1"/>
  <c r="FC66" i="5" s="1"/>
  <c r="FD66" i="5" a="1"/>
  <c r="FD66" i="5" s="1"/>
  <c r="FE66" i="5" a="1"/>
  <c r="FE66" i="5" s="1"/>
  <c r="FF66" i="5" a="1"/>
  <c r="FF66" i="5" s="1"/>
  <c r="FG66" i="5" a="1"/>
  <c r="FG66" i="5" s="1"/>
  <c r="FH66" i="5" a="1"/>
  <c r="FH66" i="5" s="1"/>
  <c r="FI66" i="5" a="1"/>
  <c r="FI66" i="5" s="1"/>
  <c r="FJ66" i="5" a="1"/>
  <c r="FJ66" i="5" s="1"/>
  <c r="FK66" i="5" a="1"/>
  <c r="FK66" i="5" s="1"/>
  <c r="FL66" i="5" a="1"/>
  <c r="FL66" i="5" s="1"/>
  <c r="FM66" i="5" a="1"/>
  <c r="FM66" i="5" s="1"/>
  <c r="FN66" i="5" a="1"/>
  <c r="FN66" i="5" s="1"/>
  <c r="FO66" i="5" a="1"/>
  <c r="FO66" i="5" s="1"/>
  <c r="EI67" i="5" a="1"/>
  <c r="EI67" i="5" s="1"/>
  <c r="EJ67" i="5" a="1"/>
  <c r="EJ67" i="5" s="1"/>
  <c r="EK67" i="5" a="1"/>
  <c r="EK67" i="5" s="1"/>
  <c r="EL67" i="5" a="1"/>
  <c r="EL67" i="5" s="1"/>
  <c r="EM67" i="5" a="1"/>
  <c r="EM67" i="5" s="1"/>
  <c r="EN67" i="5" a="1"/>
  <c r="EN67" i="5" s="1"/>
  <c r="EO67" i="5" a="1"/>
  <c r="EO67" i="5" s="1"/>
  <c r="EP67" i="5" a="1"/>
  <c r="EP67" i="5" s="1"/>
  <c r="EQ67" i="5" a="1"/>
  <c r="EQ67" i="5" s="1"/>
  <c r="ER67" i="5" a="1"/>
  <c r="ER67" i="5" s="1"/>
  <c r="ES67" i="5" a="1"/>
  <c r="ES67" i="5" s="1"/>
  <c r="ET67" i="5" a="1"/>
  <c r="ET67" i="5" s="1"/>
  <c r="EU67" i="5" a="1"/>
  <c r="EU67" i="5" s="1"/>
  <c r="EV67" i="5" a="1"/>
  <c r="EV67" i="5" s="1"/>
  <c r="EW67" i="5" a="1"/>
  <c r="EW67" i="5" s="1"/>
  <c r="EX67" i="5" a="1"/>
  <c r="EX67" i="5" s="1"/>
  <c r="EY67" i="5" a="1"/>
  <c r="EY67" i="5" s="1"/>
  <c r="EZ67" i="5" a="1"/>
  <c r="EZ67" i="5" s="1"/>
  <c r="FA67" i="5" a="1"/>
  <c r="FA67" i="5" s="1"/>
  <c r="FB67" i="5" a="1"/>
  <c r="FB67" i="5" s="1"/>
  <c r="FC67" i="5" a="1"/>
  <c r="FC67" i="5" s="1"/>
  <c r="FD67" i="5" a="1"/>
  <c r="FD67" i="5" s="1"/>
  <c r="FE67" i="5" a="1"/>
  <c r="FE67" i="5" s="1"/>
  <c r="FF67" i="5" a="1"/>
  <c r="FF67" i="5" s="1"/>
  <c r="FG67" i="5" a="1"/>
  <c r="FG67" i="5" s="1"/>
  <c r="FH67" i="5" a="1"/>
  <c r="FH67" i="5" s="1"/>
  <c r="FI67" i="5" a="1"/>
  <c r="FI67" i="5" s="1"/>
  <c r="FJ67" i="5" a="1"/>
  <c r="FJ67" i="5" s="1"/>
  <c r="FK67" i="5" a="1"/>
  <c r="FK67" i="5" s="1"/>
  <c r="FL67" i="5" a="1"/>
  <c r="FL67" i="5" s="1"/>
  <c r="FM67" i="5" a="1"/>
  <c r="FM67" i="5" s="1"/>
  <c r="FN67" i="5" a="1"/>
  <c r="FN67" i="5" s="1"/>
  <c r="FO67" i="5" a="1"/>
  <c r="FO67" i="5" s="1"/>
  <c r="EI68" i="5" a="1"/>
  <c r="EI68" i="5" s="1"/>
  <c r="EJ68" i="5" a="1"/>
  <c r="EJ68" i="5" s="1"/>
  <c r="EK68" i="5" a="1"/>
  <c r="EK68" i="5" s="1"/>
  <c r="EL68" i="5" a="1"/>
  <c r="EL68" i="5" s="1"/>
  <c r="EM68" i="5" a="1"/>
  <c r="EM68" i="5" s="1"/>
  <c r="EN68" i="5" a="1"/>
  <c r="EN68" i="5" s="1"/>
  <c r="EO68" i="5" a="1"/>
  <c r="EO68" i="5" s="1"/>
  <c r="EP68" i="5" a="1"/>
  <c r="EP68" i="5" s="1"/>
  <c r="EQ68" i="5" a="1"/>
  <c r="EQ68" i="5" s="1"/>
  <c r="ER68" i="5" a="1"/>
  <c r="ER68" i="5" s="1"/>
  <c r="ES68" i="5" a="1"/>
  <c r="ES68" i="5" s="1"/>
  <c r="ET68" i="5" a="1"/>
  <c r="ET68" i="5" s="1"/>
  <c r="EU68" i="5" a="1"/>
  <c r="EU68" i="5" s="1"/>
  <c r="EV68" i="5" a="1"/>
  <c r="EV68" i="5" s="1"/>
  <c r="EW68" i="5" a="1"/>
  <c r="EW68" i="5" s="1"/>
  <c r="EX68" i="5" a="1"/>
  <c r="EX68" i="5" s="1"/>
  <c r="EY68" i="5" a="1"/>
  <c r="EY68" i="5" s="1"/>
  <c r="EZ68" i="5" a="1"/>
  <c r="EZ68" i="5" s="1"/>
  <c r="FA68" i="5" a="1"/>
  <c r="FA68" i="5" s="1"/>
  <c r="FB68" i="5" a="1"/>
  <c r="FB68" i="5" s="1"/>
  <c r="FC68" i="5" a="1"/>
  <c r="FC68" i="5" s="1"/>
  <c r="FD68" i="5" a="1"/>
  <c r="FD68" i="5" s="1"/>
  <c r="FE68" i="5" a="1"/>
  <c r="FE68" i="5" s="1"/>
  <c r="FF68" i="5" a="1"/>
  <c r="FF68" i="5" s="1"/>
  <c r="FG68" i="5" a="1"/>
  <c r="FG68" i="5" s="1"/>
  <c r="FH68" i="5" a="1"/>
  <c r="FH68" i="5" s="1"/>
  <c r="FI68" i="5" a="1"/>
  <c r="FI68" i="5" s="1"/>
  <c r="FJ68" i="5" a="1"/>
  <c r="FJ68" i="5" s="1"/>
  <c r="FK68" i="5" a="1"/>
  <c r="FK68" i="5" s="1"/>
  <c r="FL68" i="5" a="1"/>
  <c r="FL68" i="5" s="1"/>
  <c r="FM68" i="5" a="1"/>
  <c r="FM68" i="5" s="1"/>
  <c r="FN68" i="5" a="1"/>
  <c r="FN68" i="5" s="1"/>
  <c r="FO68" i="5" a="1"/>
  <c r="FO68" i="5" s="1"/>
  <c r="EI69" i="5" a="1"/>
  <c r="EI69" i="5" s="1"/>
  <c r="EJ69" i="5" a="1"/>
  <c r="EJ69" i="5" s="1"/>
  <c r="EK69" i="5" a="1"/>
  <c r="EK69" i="5" s="1"/>
  <c r="EL69" i="5" a="1"/>
  <c r="EL69" i="5" s="1"/>
  <c r="EM69" i="5" a="1"/>
  <c r="EM69" i="5" s="1"/>
  <c r="EN69" i="5" a="1"/>
  <c r="EN69" i="5" s="1"/>
  <c r="EO69" i="5" a="1"/>
  <c r="EO69" i="5" s="1"/>
  <c r="EP69" i="5" a="1"/>
  <c r="EP69" i="5" s="1"/>
  <c r="EQ69" i="5" a="1"/>
  <c r="EQ69" i="5" s="1"/>
  <c r="ER69" i="5" a="1"/>
  <c r="ER69" i="5" s="1"/>
  <c r="ES69" i="5" a="1"/>
  <c r="ES69" i="5" s="1"/>
  <c r="ET69" i="5" a="1"/>
  <c r="ET69" i="5" s="1"/>
  <c r="EU69" i="5" a="1"/>
  <c r="EU69" i="5" s="1"/>
  <c r="EV69" i="5" a="1"/>
  <c r="EV69" i="5" s="1"/>
  <c r="EW69" i="5" a="1"/>
  <c r="EW69" i="5" s="1"/>
  <c r="EX69" i="5" a="1"/>
  <c r="EX69" i="5" s="1"/>
  <c r="EY69" i="5" a="1"/>
  <c r="EY69" i="5" s="1"/>
  <c r="EZ69" i="5" a="1"/>
  <c r="EZ69" i="5" s="1"/>
  <c r="FA69" i="5" a="1"/>
  <c r="FA69" i="5" s="1"/>
  <c r="FB69" i="5" a="1"/>
  <c r="FB69" i="5" s="1"/>
  <c r="FC69" i="5" a="1"/>
  <c r="FC69" i="5" s="1"/>
  <c r="FD69" i="5" a="1"/>
  <c r="FD69" i="5" s="1"/>
  <c r="FE69" i="5" a="1"/>
  <c r="FE69" i="5" s="1"/>
  <c r="FF69" i="5" a="1"/>
  <c r="FF69" i="5" s="1"/>
  <c r="FG69" i="5" a="1"/>
  <c r="FG69" i="5" s="1"/>
  <c r="FH69" i="5" a="1"/>
  <c r="FH69" i="5" s="1"/>
  <c r="FI69" i="5" a="1"/>
  <c r="FI69" i="5" s="1"/>
  <c r="FJ69" i="5" a="1"/>
  <c r="FJ69" i="5" s="1"/>
  <c r="FK69" i="5" a="1"/>
  <c r="FK69" i="5"/>
  <c r="FL69" i="5" a="1"/>
  <c r="FL69" i="5" s="1"/>
  <c r="FM69" i="5" a="1"/>
  <c r="FM69" i="5" s="1"/>
  <c r="FN69" i="5" a="1"/>
  <c r="FN69" i="5" s="1"/>
  <c r="FO69" i="5" a="1"/>
  <c r="FO69" i="5" s="1"/>
  <c r="EI70" i="5" a="1"/>
  <c r="EI70" i="5" s="1"/>
  <c r="EJ70" i="5" a="1"/>
  <c r="EJ70" i="5" s="1"/>
  <c r="EK70" i="5" a="1"/>
  <c r="EK70" i="5" s="1"/>
  <c r="EL70" i="5" a="1"/>
  <c r="EL70" i="5" s="1"/>
  <c r="EM70" i="5" a="1"/>
  <c r="EM70" i="5" s="1"/>
  <c r="EN70" i="5" a="1"/>
  <c r="EN70" i="5" s="1"/>
  <c r="EO70" i="5" a="1"/>
  <c r="EO70" i="5" s="1"/>
  <c r="EP70" i="5" a="1"/>
  <c r="EP70" i="5" s="1"/>
  <c r="EQ70" i="5" a="1"/>
  <c r="EQ70" i="5" s="1"/>
  <c r="ER70" i="5" a="1"/>
  <c r="ER70" i="5" s="1"/>
  <c r="ES70" i="5" a="1"/>
  <c r="ES70" i="5" s="1"/>
  <c r="ET70" i="5" a="1"/>
  <c r="ET70" i="5" s="1"/>
  <c r="EU70" i="5" a="1"/>
  <c r="EU70" i="5"/>
  <c r="EV70" i="5" a="1"/>
  <c r="EV70" i="5" s="1"/>
  <c r="EW70" i="5" a="1"/>
  <c r="EW70" i="5" s="1"/>
  <c r="EX70" i="5" a="1"/>
  <c r="EX70" i="5" s="1"/>
  <c r="EY70" i="5" a="1"/>
  <c r="EY70" i="5" s="1"/>
  <c r="EZ70" i="5" a="1"/>
  <c r="EZ70" i="5" s="1"/>
  <c r="FA70" i="5" a="1"/>
  <c r="FA70" i="5" s="1"/>
  <c r="FB70" i="5" a="1"/>
  <c r="FB70" i="5" s="1"/>
  <c r="FC70" i="5" a="1"/>
  <c r="FC70" i="5" s="1"/>
  <c r="FD70" i="5" a="1"/>
  <c r="FD70" i="5" s="1"/>
  <c r="FE70" i="5" a="1"/>
  <c r="FE70" i="5" s="1"/>
  <c r="FF70" i="5" a="1"/>
  <c r="FF70" i="5" s="1"/>
  <c r="FG70" i="5" a="1"/>
  <c r="FG70" i="5" s="1"/>
  <c r="FH70" i="5" a="1"/>
  <c r="FH70" i="5" s="1"/>
  <c r="FI70" i="5" a="1"/>
  <c r="FI70" i="5" s="1"/>
  <c r="FJ70" i="5" a="1"/>
  <c r="FJ70" i="5" s="1"/>
  <c r="FK70" i="5" a="1"/>
  <c r="FK70" i="5" s="1"/>
  <c r="FL70" i="5" a="1"/>
  <c r="FL70" i="5" s="1"/>
  <c r="FM70" i="5" a="1"/>
  <c r="FM70" i="5" s="1"/>
  <c r="FN70" i="5" a="1"/>
  <c r="FN70" i="5" s="1"/>
  <c r="FO70" i="5" a="1"/>
  <c r="FO70" i="5" s="1"/>
  <c r="EI71" i="5" a="1"/>
  <c r="EI71" i="5" s="1"/>
  <c r="EJ71" i="5" a="1"/>
  <c r="EJ71" i="5" s="1"/>
  <c r="EK71" i="5" a="1"/>
  <c r="EK71" i="5" s="1"/>
  <c r="EL71" i="5" a="1"/>
  <c r="EL71" i="5" s="1"/>
  <c r="EM71" i="5" a="1"/>
  <c r="EM71" i="5" s="1"/>
  <c r="EN71" i="5" a="1"/>
  <c r="EN71" i="5" s="1"/>
  <c r="EO71" i="5" a="1"/>
  <c r="EO71" i="5" s="1"/>
  <c r="EP71" i="5" a="1"/>
  <c r="EP71" i="5" s="1"/>
  <c r="EQ71" i="5" a="1"/>
  <c r="EQ71" i="5" s="1"/>
  <c r="ER71" i="5" a="1"/>
  <c r="ER71" i="5" s="1"/>
  <c r="ES71" i="5" a="1"/>
  <c r="ES71" i="5" s="1"/>
  <c r="ET71" i="5" a="1"/>
  <c r="ET71" i="5" s="1"/>
  <c r="EU71" i="5" a="1"/>
  <c r="EU71" i="5" s="1"/>
  <c r="EV71" i="5" a="1"/>
  <c r="EV71" i="5" s="1"/>
  <c r="EW71" i="5" a="1"/>
  <c r="EW71" i="5"/>
  <c r="EX71" i="5" a="1"/>
  <c r="EX71" i="5" s="1"/>
  <c r="EY71" i="5" a="1"/>
  <c r="EY71" i="5" s="1"/>
  <c r="EZ71" i="5" a="1"/>
  <c r="EZ71" i="5" s="1"/>
  <c r="FA71" i="5" a="1"/>
  <c r="FA71" i="5" s="1"/>
  <c r="FB71" i="5" a="1"/>
  <c r="FB71" i="5" s="1"/>
  <c r="FC71" i="5" a="1"/>
  <c r="FC71" i="5" s="1"/>
  <c r="FD71" i="5" a="1"/>
  <c r="FD71" i="5" s="1"/>
  <c r="FE71" i="5" a="1"/>
  <c r="FE71" i="5" s="1"/>
  <c r="FF71" i="5" a="1"/>
  <c r="FF71" i="5"/>
  <c r="FG71" i="5" a="1"/>
  <c r="FG71" i="5" s="1"/>
  <c r="FH71" i="5" a="1"/>
  <c r="FH71" i="5" s="1"/>
  <c r="FI71" i="5" a="1"/>
  <c r="FI71" i="5" s="1"/>
  <c r="FJ71" i="5" a="1"/>
  <c r="FJ71" i="5" s="1"/>
  <c r="FK71" i="5" a="1"/>
  <c r="FK71" i="5" s="1"/>
  <c r="FL71" i="5" a="1"/>
  <c r="FL71" i="5" s="1"/>
  <c r="FM71" i="5" a="1"/>
  <c r="FM71" i="5" s="1"/>
  <c r="FN71" i="5" a="1"/>
  <c r="FN71" i="5" s="1"/>
  <c r="FO71" i="5" a="1"/>
  <c r="FO71" i="5" s="1"/>
  <c r="EI72" i="5" a="1"/>
  <c r="EI72" i="5" s="1"/>
  <c r="EJ72" i="5" a="1"/>
  <c r="EJ72" i="5" s="1"/>
  <c r="EK72" i="5" a="1"/>
  <c r="EK72" i="5" s="1"/>
  <c r="EL72" i="5" a="1"/>
  <c r="EL72" i="5" s="1"/>
  <c r="EM72" i="5" a="1"/>
  <c r="EM72" i="5" s="1"/>
  <c r="EN72" i="5" a="1"/>
  <c r="EN72" i="5" s="1"/>
  <c r="EO72" i="5" a="1"/>
  <c r="EO72" i="5" s="1"/>
  <c r="EP72" i="5" a="1"/>
  <c r="EP72" i="5" s="1"/>
  <c r="EQ72" i="5" a="1"/>
  <c r="EQ72" i="5" s="1"/>
  <c r="ER72" i="5" a="1"/>
  <c r="ER72" i="5" s="1"/>
  <c r="ES72" i="5" a="1"/>
  <c r="ES72" i="5" s="1"/>
  <c r="ET72" i="5" a="1"/>
  <c r="ET72" i="5" s="1"/>
  <c r="EU72" i="5" a="1"/>
  <c r="EU72" i="5" s="1"/>
  <c r="EV72" i="5" a="1"/>
  <c r="EV72" i="5" s="1"/>
  <c r="EW72" i="5" a="1"/>
  <c r="EW72" i="5" s="1"/>
  <c r="EX72" i="5" a="1"/>
  <c r="EX72" i="5" s="1"/>
  <c r="EY72" i="5" a="1"/>
  <c r="EY72" i="5" s="1"/>
  <c r="EZ72" i="5" a="1"/>
  <c r="EZ72" i="5" s="1"/>
  <c r="FA72" i="5" a="1"/>
  <c r="FA72" i="5" s="1"/>
  <c r="FB72" i="5" a="1"/>
  <c r="FB72" i="5" s="1"/>
  <c r="FC72" i="5" a="1"/>
  <c r="FC72" i="5" s="1"/>
  <c r="FD72" i="5" a="1"/>
  <c r="FD72" i="5" s="1"/>
  <c r="FE72" i="5" a="1"/>
  <c r="FE72" i="5" s="1"/>
  <c r="FF72" i="5" a="1"/>
  <c r="FF72" i="5" s="1"/>
  <c r="FG72" i="5" a="1"/>
  <c r="FG72" i="5" s="1"/>
  <c r="FH72" i="5" a="1"/>
  <c r="FH72" i="5"/>
  <c r="FI72" i="5" a="1"/>
  <c r="FI72" i="5" s="1"/>
  <c r="FJ72" i="5" a="1"/>
  <c r="FJ72" i="5" s="1"/>
  <c r="FK72" i="5" a="1"/>
  <c r="FK72" i="5" s="1"/>
  <c r="FL72" i="5" a="1"/>
  <c r="FL72" i="5" s="1"/>
  <c r="FM72" i="5" a="1"/>
  <c r="FM72" i="5" s="1"/>
  <c r="FN72" i="5" a="1"/>
  <c r="FN72" i="5" s="1"/>
  <c r="FO72" i="5" a="1"/>
  <c r="FO72" i="5" s="1"/>
  <c r="EI73" i="5" a="1"/>
  <c r="EI73" i="5" s="1"/>
  <c r="EJ73" i="5" a="1"/>
  <c r="EJ73" i="5" s="1"/>
  <c r="EK73" i="5" a="1"/>
  <c r="EK73" i="5" s="1"/>
  <c r="EL73" i="5" a="1"/>
  <c r="EL73" i="5" s="1"/>
  <c r="EM73" i="5" a="1"/>
  <c r="EM73" i="5" s="1"/>
  <c r="EN73" i="5" a="1"/>
  <c r="EN73" i="5" s="1"/>
  <c r="EO73" i="5" a="1"/>
  <c r="EO73" i="5" s="1"/>
  <c r="EP73" i="5" a="1"/>
  <c r="EP73" i="5" s="1"/>
  <c r="EQ73" i="5" a="1"/>
  <c r="EQ73" i="5" s="1"/>
  <c r="ER73" i="5" a="1"/>
  <c r="ER73" i="5" s="1"/>
  <c r="ES73" i="5" a="1"/>
  <c r="ES73" i="5" s="1"/>
  <c r="ET73" i="5" a="1"/>
  <c r="ET73" i="5" s="1"/>
  <c r="EU73" i="5" a="1"/>
  <c r="EU73" i="5" s="1"/>
  <c r="EV73" i="5" a="1"/>
  <c r="EV73" i="5" s="1"/>
  <c r="EW73" i="5" a="1"/>
  <c r="EW73" i="5" s="1"/>
  <c r="EX73" i="5" a="1"/>
  <c r="EX73" i="5" s="1"/>
  <c r="EY73" i="5" a="1"/>
  <c r="EY73" i="5" s="1"/>
  <c r="EZ73" i="5" a="1"/>
  <c r="EZ73" i="5" s="1"/>
  <c r="FA73" i="5" a="1"/>
  <c r="FA73" i="5" s="1"/>
  <c r="FB73" i="5" a="1"/>
  <c r="FB73" i="5" s="1"/>
  <c r="FC73" i="5" a="1"/>
  <c r="FC73" i="5" s="1"/>
  <c r="FD73" i="5" a="1"/>
  <c r="FD73" i="5"/>
  <c r="FE73" i="5" a="1"/>
  <c r="FE73" i="5" s="1"/>
  <c r="FF73" i="5" a="1"/>
  <c r="FF73" i="5" s="1"/>
  <c r="FG73" i="5" a="1"/>
  <c r="FG73" i="5" s="1"/>
  <c r="FH73" i="5" a="1"/>
  <c r="FH73" i="5" s="1"/>
  <c r="FI73" i="5" a="1"/>
  <c r="FI73" i="5" s="1"/>
  <c r="FJ73" i="5" a="1"/>
  <c r="FJ73" i="5" s="1"/>
  <c r="FK73" i="5" a="1"/>
  <c r="FK73" i="5" s="1"/>
  <c r="FL73" i="5" a="1"/>
  <c r="FL73" i="5" s="1"/>
  <c r="FM73" i="5" a="1"/>
  <c r="FM73" i="5" s="1"/>
  <c r="FN73" i="5" a="1"/>
  <c r="FN73" i="5" s="1"/>
  <c r="FO73" i="5" a="1"/>
  <c r="FO73" i="5" s="1"/>
  <c r="EI74" i="5" a="1"/>
  <c r="EI74" i="5" s="1"/>
  <c r="EJ74" i="5" a="1"/>
  <c r="EJ74" i="5" s="1"/>
  <c r="EK74" i="5" a="1"/>
  <c r="EK74" i="5" s="1"/>
  <c r="EL74" i="5" a="1"/>
  <c r="EL74" i="5" s="1"/>
  <c r="EM74" i="5" a="1"/>
  <c r="EM74" i="5" s="1"/>
  <c r="EN74" i="5" a="1"/>
  <c r="EN74" i="5"/>
  <c r="EO74" i="5" a="1"/>
  <c r="EO74" i="5" s="1"/>
  <c r="EP74" i="5" a="1"/>
  <c r="EP74" i="5" s="1"/>
  <c r="EQ74" i="5" a="1"/>
  <c r="EQ74" i="5" s="1"/>
  <c r="ER74" i="5" a="1"/>
  <c r="ER74" i="5" s="1"/>
  <c r="ES74" i="5" a="1"/>
  <c r="ES74" i="5" s="1"/>
  <c r="ET74" i="5" a="1"/>
  <c r="ET74" i="5" s="1"/>
  <c r="EU74" i="5" a="1"/>
  <c r="EU74" i="5" s="1"/>
  <c r="EV74" i="5" a="1"/>
  <c r="EV74" i="5" s="1"/>
  <c r="EW74" i="5" a="1"/>
  <c r="EW74" i="5" s="1"/>
  <c r="EX74" i="5" a="1"/>
  <c r="EX74" i="5" s="1"/>
  <c r="EY74" i="5" a="1"/>
  <c r="EY74" i="5" s="1"/>
  <c r="EZ74" i="5" a="1"/>
  <c r="EZ74" i="5" s="1"/>
  <c r="FA74" i="5" a="1"/>
  <c r="FA74" i="5" s="1"/>
  <c r="FB74" i="5" a="1"/>
  <c r="FB74" i="5" s="1"/>
  <c r="FC74" i="5" a="1"/>
  <c r="FC74" i="5" s="1"/>
  <c r="FD74" i="5" a="1"/>
  <c r="FD74" i="5" s="1"/>
  <c r="FE74" i="5" a="1"/>
  <c r="FE74" i="5" s="1"/>
  <c r="FF74" i="5" a="1"/>
  <c r="FF74" i="5" s="1"/>
  <c r="FG74" i="5" a="1"/>
  <c r="FG74" i="5" s="1"/>
  <c r="FH74" i="5" a="1"/>
  <c r="FH74" i="5" s="1"/>
  <c r="FI74" i="5" a="1"/>
  <c r="FI74" i="5" s="1"/>
  <c r="FJ74" i="5" a="1"/>
  <c r="FJ74" i="5" s="1"/>
  <c r="FK74" i="5" a="1"/>
  <c r="FK74" i="5" s="1"/>
  <c r="FL74" i="5" a="1"/>
  <c r="FL74" i="5" s="1"/>
  <c r="FM74" i="5" a="1"/>
  <c r="FM74" i="5" s="1"/>
  <c r="FN74" i="5" a="1"/>
  <c r="FN74" i="5" s="1"/>
  <c r="FO74" i="5" a="1"/>
  <c r="FO74" i="5" s="1"/>
  <c r="EI75" i="5" a="1"/>
  <c r="EI75" i="5" s="1"/>
  <c r="EJ75" i="5" a="1"/>
  <c r="EJ75" i="5" s="1"/>
  <c r="EK75" i="5" a="1"/>
  <c r="EK75" i="5" s="1"/>
  <c r="EL75" i="5" a="1"/>
  <c r="EL75" i="5" s="1"/>
  <c r="EM75" i="5" a="1"/>
  <c r="EM75" i="5" s="1"/>
  <c r="EN75" i="5" a="1"/>
  <c r="EN75" i="5" s="1"/>
  <c r="EO75" i="5" a="1"/>
  <c r="EO75" i="5" s="1"/>
  <c r="EP75" i="5" a="1"/>
  <c r="EP75" i="5" s="1"/>
  <c r="EQ75" i="5" a="1"/>
  <c r="EQ75" i="5" s="1"/>
  <c r="ER75" i="5" a="1"/>
  <c r="ER75" i="5" s="1"/>
  <c r="ES75" i="5" a="1"/>
  <c r="ES75" i="5" s="1"/>
  <c r="ET75" i="5" a="1"/>
  <c r="ET75" i="5" s="1"/>
  <c r="EU75" i="5" a="1"/>
  <c r="EU75" i="5" s="1"/>
  <c r="EV75" i="5" a="1"/>
  <c r="EV75" i="5" s="1"/>
  <c r="EW75" i="5" a="1"/>
  <c r="EW75" i="5" s="1"/>
  <c r="EX75" i="5" a="1"/>
  <c r="EX75" i="5" s="1"/>
  <c r="EY75" i="5" a="1"/>
  <c r="EY75" i="5" s="1"/>
  <c r="EZ75" i="5" a="1"/>
  <c r="EZ75" i="5" s="1"/>
  <c r="FA75" i="5" a="1"/>
  <c r="FA75" i="5" s="1"/>
  <c r="FB75" i="5" a="1"/>
  <c r="FB75" i="5" s="1"/>
  <c r="FC75" i="5" a="1"/>
  <c r="FC75" i="5" s="1"/>
  <c r="FD75" i="5" a="1"/>
  <c r="FD75" i="5" s="1"/>
  <c r="FE75" i="5" a="1"/>
  <c r="FE75" i="5" s="1"/>
  <c r="FF75" i="5" a="1"/>
  <c r="FF75" i="5" s="1"/>
  <c r="FG75" i="5" a="1"/>
  <c r="FG75" i="5" s="1"/>
  <c r="FH75" i="5" a="1"/>
  <c r="FH75" i="5" s="1"/>
  <c r="FI75" i="5" a="1"/>
  <c r="FI75" i="5" s="1"/>
  <c r="FJ75" i="5" a="1"/>
  <c r="FJ75" i="5" s="1"/>
  <c r="FK75" i="5" a="1"/>
  <c r="FK75" i="5" s="1"/>
  <c r="FL75" i="5" a="1"/>
  <c r="FL75" i="5" s="1"/>
  <c r="FM75" i="5" a="1"/>
  <c r="FM75" i="5" s="1"/>
  <c r="FN75" i="5" a="1"/>
  <c r="FN75" i="5"/>
  <c r="FO75" i="5" a="1"/>
  <c r="FO75" i="5" s="1"/>
  <c r="EI76" i="5" a="1"/>
  <c r="EI76" i="5" s="1"/>
  <c r="EJ76" i="5" a="1"/>
  <c r="EJ76" i="5" s="1"/>
  <c r="EK76" i="5" a="1"/>
  <c r="EK76" i="5" s="1"/>
  <c r="EL76" i="5" a="1"/>
  <c r="EL76" i="5" s="1"/>
  <c r="EM76" i="5" a="1"/>
  <c r="EM76" i="5" s="1"/>
  <c r="EN76" i="5" a="1"/>
  <c r="EN76" i="5" s="1"/>
  <c r="EO76" i="5" a="1"/>
  <c r="EO76" i="5" s="1"/>
  <c r="EP76" i="5" a="1"/>
  <c r="EP76" i="5" s="1"/>
  <c r="EQ76" i="5" a="1"/>
  <c r="EQ76" i="5" s="1"/>
  <c r="ER76" i="5" a="1"/>
  <c r="ER76" i="5"/>
  <c r="ES76" i="5" a="1"/>
  <c r="ES76" i="5" s="1"/>
  <c r="ET76" i="5" a="1"/>
  <c r="ET76" i="5" s="1"/>
  <c r="EU76" i="5" a="1"/>
  <c r="EU76" i="5" s="1"/>
  <c r="EV76" i="5" a="1"/>
  <c r="EV76" i="5" s="1"/>
  <c r="EW76" i="5" a="1"/>
  <c r="EW76" i="5" s="1"/>
  <c r="EX76" i="5" a="1"/>
  <c r="EX76" i="5" s="1"/>
  <c r="EY76" i="5" a="1"/>
  <c r="EY76" i="5" s="1"/>
  <c r="EZ76" i="5" a="1"/>
  <c r="EZ76" i="5" s="1"/>
  <c r="FA76" i="5" a="1"/>
  <c r="FA76" i="5" s="1"/>
  <c r="FB76" i="5" a="1"/>
  <c r="FB76" i="5" s="1"/>
  <c r="FC76" i="5" a="1"/>
  <c r="FC76" i="5" s="1"/>
  <c r="FD76" i="5" a="1"/>
  <c r="FD76" i="5" s="1"/>
  <c r="FE76" i="5" a="1"/>
  <c r="FE76" i="5" s="1"/>
  <c r="FF76" i="5" a="1"/>
  <c r="FF76" i="5" s="1"/>
  <c r="FG76" i="5" a="1"/>
  <c r="FG76" i="5" s="1"/>
  <c r="FH76" i="5" a="1"/>
  <c r="FH76" i="5" s="1"/>
  <c r="FI76" i="5" a="1"/>
  <c r="FI76" i="5" s="1"/>
  <c r="FJ76" i="5" a="1"/>
  <c r="FJ76" i="5" s="1"/>
  <c r="FK76" i="5" a="1"/>
  <c r="FK76" i="5" s="1"/>
  <c r="FL76" i="5" a="1"/>
  <c r="FL76" i="5" s="1"/>
  <c r="FM76" i="5" a="1"/>
  <c r="FM76" i="5" s="1"/>
  <c r="FN76" i="5" a="1"/>
  <c r="FN76" i="5" s="1"/>
  <c r="FO76" i="5" a="1"/>
  <c r="FO76" i="5" s="1"/>
  <c r="EI77" i="5" a="1"/>
  <c r="EI77" i="5" s="1"/>
  <c r="EJ77" i="5" a="1"/>
  <c r="EJ77" i="5" s="1"/>
  <c r="EK77" i="5" a="1"/>
  <c r="EK77" i="5" s="1"/>
  <c r="EL77" i="5" a="1"/>
  <c r="EL77" i="5" s="1"/>
  <c r="EM77" i="5" a="1"/>
  <c r="EM77" i="5" s="1"/>
  <c r="EN77" i="5" a="1"/>
  <c r="EN77" i="5" s="1"/>
  <c r="EO77" i="5" a="1"/>
  <c r="EO77" i="5" s="1"/>
  <c r="EP77" i="5" a="1"/>
  <c r="EP77" i="5" s="1"/>
  <c r="EQ77" i="5" a="1"/>
  <c r="EQ77" i="5" s="1"/>
  <c r="ER77" i="5" a="1"/>
  <c r="ER77" i="5" s="1"/>
  <c r="ES77" i="5" a="1"/>
  <c r="ES77" i="5" s="1"/>
  <c r="ET77" i="5" a="1"/>
  <c r="ET77" i="5" s="1"/>
  <c r="EU77" i="5" a="1"/>
  <c r="EU77" i="5" s="1"/>
  <c r="EV77" i="5" a="1"/>
  <c r="EV77" i="5" s="1"/>
  <c r="EW77" i="5" a="1"/>
  <c r="EW77" i="5" s="1"/>
  <c r="EX77" i="5" a="1"/>
  <c r="EX77" i="5" s="1"/>
  <c r="EY77" i="5" a="1"/>
  <c r="EY77" i="5" s="1"/>
  <c r="EZ77" i="5" a="1"/>
  <c r="EZ77" i="5" s="1"/>
  <c r="FA77" i="5" a="1"/>
  <c r="FA77" i="5" s="1"/>
  <c r="FB77" i="5" a="1"/>
  <c r="FB77" i="5" s="1"/>
  <c r="FC77" i="5" a="1"/>
  <c r="FC77" i="5" s="1"/>
  <c r="FD77" i="5" a="1"/>
  <c r="FD77" i="5" s="1"/>
  <c r="FE77" i="5" a="1"/>
  <c r="FE77" i="5" s="1"/>
  <c r="FF77" i="5" a="1"/>
  <c r="FF77" i="5" s="1"/>
  <c r="FG77" i="5" a="1"/>
  <c r="FG77" i="5" s="1"/>
  <c r="FH77" i="5" a="1"/>
  <c r="FH77" i="5" s="1"/>
  <c r="FI77" i="5" a="1"/>
  <c r="FI77" i="5" s="1"/>
  <c r="FJ77" i="5" a="1"/>
  <c r="FJ77" i="5" s="1"/>
  <c r="FK77" i="5" a="1"/>
  <c r="FK77" i="5" s="1"/>
  <c r="FL77" i="5" a="1"/>
  <c r="FL77" i="5" s="1"/>
  <c r="FM77" i="5" a="1"/>
  <c r="FM77" i="5" s="1"/>
  <c r="FN77" i="5" a="1"/>
  <c r="FN77" i="5" s="1"/>
  <c r="FO77" i="5" a="1"/>
  <c r="FO77" i="5" s="1"/>
  <c r="EI78" i="5" a="1"/>
  <c r="EI78" i="5" s="1"/>
  <c r="EJ78" i="5" a="1"/>
  <c r="EJ78" i="5" s="1"/>
  <c r="EK78" i="5" a="1"/>
  <c r="EK78" i="5" s="1"/>
  <c r="EL78" i="5" a="1"/>
  <c r="EL78" i="5" s="1"/>
  <c r="EM78" i="5" a="1"/>
  <c r="EM78" i="5" s="1"/>
  <c r="EN78" i="5" a="1"/>
  <c r="EN78" i="5" s="1"/>
  <c r="EO78" i="5" a="1"/>
  <c r="EO78" i="5" s="1"/>
  <c r="EP78" i="5" a="1"/>
  <c r="EP78" i="5" s="1"/>
  <c r="EQ78" i="5" a="1"/>
  <c r="EQ78" i="5" s="1"/>
  <c r="ER78" i="5" a="1"/>
  <c r="ER78" i="5" s="1"/>
  <c r="ES78" i="5" a="1"/>
  <c r="ES78" i="5" s="1"/>
  <c r="ET78" i="5" a="1"/>
  <c r="ET78" i="5" s="1"/>
  <c r="EU78" i="5" a="1"/>
  <c r="EU78" i="5" s="1"/>
  <c r="EV78" i="5" a="1"/>
  <c r="EV78" i="5" s="1"/>
  <c r="EW78" i="5" a="1"/>
  <c r="EW78" i="5" s="1"/>
  <c r="EX78" i="5" a="1"/>
  <c r="EX78" i="5" s="1"/>
  <c r="EY78" i="5" a="1"/>
  <c r="EY78" i="5" s="1"/>
  <c r="EZ78" i="5" a="1"/>
  <c r="EZ78" i="5" s="1"/>
  <c r="FA78" i="5" a="1"/>
  <c r="FA78" i="5" s="1"/>
  <c r="FB78" i="5" a="1"/>
  <c r="FB78" i="5" s="1"/>
  <c r="FC78" i="5" a="1"/>
  <c r="FC78" i="5" s="1"/>
  <c r="FD78" i="5" a="1"/>
  <c r="FD78" i="5" s="1"/>
  <c r="FE78" i="5" a="1"/>
  <c r="FE78" i="5" s="1"/>
  <c r="FF78" i="5" a="1"/>
  <c r="FF78" i="5" s="1"/>
  <c r="FG78" i="5" a="1"/>
  <c r="FG78" i="5" s="1"/>
  <c r="FH78" i="5" a="1"/>
  <c r="FH78" i="5" s="1"/>
  <c r="FI78" i="5" a="1"/>
  <c r="FI78" i="5" s="1"/>
  <c r="FJ78" i="5" a="1"/>
  <c r="FJ78" i="5" s="1"/>
  <c r="FK78" i="5" a="1"/>
  <c r="FK78" i="5" s="1"/>
  <c r="FL78" i="5" a="1"/>
  <c r="FL78" i="5" s="1"/>
  <c r="FM78" i="5" a="1"/>
  <c r="FM78" i="5" s="1"/>
  <c r="FN78" i="5" a="1"/>
  <c r="FN78" i="5" s="1"/>
  <c r="FO78" i="5" a="1"/>
  <c r="FO78" i="5" s="1"/>
  <c r="EI79" i="5" a="1"/>
  <c r="EI79" i="5" s="1"/>
  <c r="EJ79" i="5" a="1"/>
  <c r="EJ79" i="5" s="1"/>
  <c r="EK79" i="5" a="1"/>
  <c r="EK79" i="5" s="1"/>
  <c r="EL79" i="5" a="1"/>
  <c r="EL79" i="5" s="1"/>
  <c r="EM79" i="5" a="1"/>
  <c r="EM79" i="5" s="1"/>
  <c r="EN79" i="5" a="1"/>
  <c r="EN79" i="5" s="1"/>
  <c r="EO79" i="5" a="1"/>
  <c r="EO79" i="5" s="1"/>
  <c r="EP79" i="5" a="1"/>
  <c r="EP79" i="5" s="1"/>
  <c r="EQ79" i="5" a="1"/>
  <c r="EQ79" i="5" s="1"/>
  <c r="ER79" i="5" a="1"/>
  <c r="ER79" i="5" s="1"/>
  <c r="ES79" i="5" a="1"/>
  <c r="ES79" i="5" s="1"/>
  <c r="ET79" i="5" a="1"/>
  <c r="ET79" i="5" s="1"/>
  <c r="EU79" i="5" a="1"/>
  <c r="EU79" i="5" s="1"/>
  <c r="EV79" i="5" a="1"/>
  <c r="EV79" i="5" s="1"/>
  <c r="EW79" i="5" a="1"/>
  <c r="EW79" i="5" s="1"/>
  <c r="EX79" i="5" a="1"/>
  <c r="EX79" i="5" s="1"/>
  <c r="EY79" i="5" a="1"/>
  <c r="EY79" i="5" s="1"/>
  <c r="EZ79" i="5" a="1"/>
  <c r="EZ79" i="5" s="1"/>
  <c r="FA79" i="5" a="1"/>
  <c r="FA79" i="5" s="1"/>
  <c r="FB79" i="5" a="1"/>
  <c r="FB79" i="5" s="1"/>
  <c r="FC79" i="5" a="1"/>
  <c r="FC79" i="5" s="1"/>
  <c r="FD79" i="5" a="1"/>
  <c r="FD79" i="5" s="1"/>
  <c r="FE79" i="5" a="1"/>
  <c r="FE79" i="5" s="1"/>
  <c r="FF79" i="5" a="1"/>
  <c r="FF79" i="5" s="1"/>
  <c r="FG79" i="5" a="1"/>
  <c r="FG79" i="5" s="1"/>
  <c r="FH79" i="5" a="1"/>
  <c r="FH79" i="5" s="1"/>
  <c r="FI79" i="5" a="1"/>
  <c r="FI79" i="5" s="1"/>
  <c r="FJ79" i="5" a="1"/>
  <c r="FJ79" i="5" s="1"/>
  <c r="FK79" i="5" a="1"/>
  <c r="FK79" i="5" s="1"/>
  <c r="FL79" i="5" a="1"/>
  <c r="FL79" i="5" s="1"/>
  <c r="FM79" i="5" a="1"/>
  <c r="FM79" i="5" s="1"/>
  <c r="FN79" i="5" a="1"/>
  <c r="FN79" i="5" s="1"/>
  <c r="FO79" i="5" a="1"/>
  <c r="FO79" i="5" s="1"/>
  <c r="EI80" i="5" a="1"/>
  <c r="EI80" i="5" s="1"/>
  <c r="EJ80" i="5" a="1"/>
  <c r="EJ80" i="5" s="1"/>
  <c r="EK80" i="5" a="1"/>
  <c r="EK80" i="5" s="1"/>
  <c r="EL80" i="5" a="1"/>
  <c r="EL80" i="5" s="1"/>
  <c r="EM80" i="5" a="1"/>
  <c r="EM80" i="5" s="1"/>
  <c r="EN80" i="5" a="1"/>
  <c r="EN80" i="5" s="1"/>
  <c r="EO80" i="5" a="1"/>
  <c r="EO80" i="5" s="1"/>
  <c r="EP80" i="5" a="1"/>
  <c r="EP80" i="5" s="1"/>
  <c r="EQ80" i="5" a="1"/>
  <c r="EQ80" i="5" s="1"/>
  <c r="ER80" i="5" a="1"/>
  <c r="ER80" i="5" s="1"/>
  <c r="ES80" i="5" a="1"/>
  <c r="ES80" i="5" s="1"/>
  <c r="ET80" i="5" a="1"/>
  <c r="ET80" i="5" s="1"/>
  <c r="EU80" i="5" a="1"/>
  <c r="EU80" i="5" s="1"/>
  <c r="EV80" i="5" a="1"/>
  <c r="EV80" i="5" s="1"/>
  <c r="EW80" i="5" a="1"/>
  <c r="EW80" i="5" s="1"/>
  <c r="EX80" i="5" a="1"/>
  <c r="EX80" i="5" s="1"/>
  <c r="EY80" i="5" a="1"/>
  <c r="EY80" i="5" s="1"/>
  <c r="EZ80" i="5" a="1"/>
  <c r="EZ80" i="5" s="1"/>
  <c r="FA80" i="5" a="1"/>
  <c r="FA80" i="5" s="1"/>
  <c r="FB80" i="5" a="1"/>
  <c r="FB80" i="5" s="1"/>
  <c r="FC80" i="5" a="1"/>
  <c r="FC80" i="5" s="1"/>
  <c r="FD80" i="5" a="1"/>
  <c r="FD80" i="5" s="1"/>
  <c r="FE80" i="5" a="1"/>
  <c r="FE80" i="5" s="1"/>
  <c r="FF80" i="5" a="1"/>
  <c r="FF80" i="5" s="1"/>
  <c r="FG80" i="5" a="1"/>
  <c r="FG80" i="5" s="1"/>
  <c r="FH80" i="5" a="1"/>
  <c r="FH80" i="5" s="1"/>
  <c r="FI80" i="5" a="1"/>
  <c r="FI80" i="5" s="1"/>
  <c r="FJ80" i="5" a="1"/>
  <c r="FJ80" i="5" s="1"/>
  <c r="FK80" i="5" a="1"/>
  <c r="FK80" i="5" s="1"/>
  <c r="FL80" i="5" a="1"/>
  <c r="FL80" i="5" s="1"/>
  <c r="FM80" i="5" a="1"/>
  <c r="FM80" i="5" s="1"/>
  <c r="FN80" i="5" a="1"/>
  <c r="FN80" i="5" s="1"/>
  <c r="FO80" i="5" a="1"/>
  <c r="FO80" i="5" s="1"/>
  <c r="EI81" i="5" a="1"/>
  <c r="EI81" i="5" s="1"/>
  <c r="EJ81" i="5" a="1"/>
  <c r="EJ81" i="5" s="1"/>
  <c r="EK81" i="5" a="1"/>
  <c r="EK81" i="5" s="1"/>
  <c r="EL81" i="5" a="1"/>
  <c r="EL81" i="5" s="1"/>
  <c r="EM81" i="5" a="1"/>
  <c r="EM81" i="5" s="1"/>
  <c r="EN81" i="5" a="1"/>
  <c r="EN81" i="5" s="1"/>
  <c r="EO81" i="5" a="1"/>
  <c r="EO81" i="5" s="1"/>
  <c r="EP81" i="5" a="1"/>
  <c r="EP81" i="5" s="1"/>
  <c r="EQ81" i="5" a="1"/>
  <c r="EQ81" i="5" s="1"/>
  <c r="ER81" i="5" a="1"/>
  <c r="ER81" i="5" s="1"/>
  <c r="ES81" i="5" a="1"/>
  <c r="ES81" i="5" s="1"/>
  <c r="ET81" i="5" a="1"/>
  <c r="ET81" i="5" s="1"/>
  <c r="EU81" i="5" a="1"/>
  <c r="EU81" i="5" s="1"/>
  <c r="EV81" i="5" a="1"/>
  <c r="EV81" i="5" s="1"/>
  <c r="EW81" i="5" a="1"/>
  <c r="EW81" i="5" s="1"/>
  <c r="EX81" i="5" a="1"/>
  <c r="EX81" i="5" s="1"/>
  <c r="EY81" i="5" a="1"/>
  <c r="EY81" i="5" s="1"/>
  <c r="EZ81" i="5" a="1"/>
  <c r="EZ81" i="5" s="1"/>
  <c r="FA81" i="5" a="1"/>
  <c r="FA81" i="5"/>
  <c r="FB81" i="5" a="1"/>
  <c r="FB81" i="5" s="1"/>
  <c r="FC81" i="5" a="1"/>
  <c r="FC81" i="5" s="1"/>
  <c r="FD81" i="5" a="1"/>
  <c r="FD81" i="5" s="1"/>
  <c r="FE81" i="5" a="1"/>
  <c r="FE81" i="5" s="1"/>
  <c r="FF81" i="5" a="1"/>
  <c r="FF81" i="5" s="1"/>
  <c r="FG81" i="5" a="1"/>
  <c r="FG81" i="5" s="1"/>
  <c r="FH81" i="5" a="1"/>
  <c r="FH81" i="5" s="1"/>
  <c r="FI81" i="5" a="1"/>
  <c r="FI81" i="5" s="1"/>
  <c r="FJ81" i="5" a="1"/>
  <c r="FJ81" i="5" s="1"/>
  <c r="FK81" i="5" a="1"/>
  <c r="FK81" i="5" s="1"/>
  <c r="FL81" i="5" a="1"/>
  <c r="FL81" i="5" s="1"/>
  <c r="FM81" i="5" a="1"/>
  <c r="FM81" i="5" s="1"/>
  <c r="FN81" i="5" a="1"/>
  <c r="FN81" i="5" s="1"/>
  <c r="FO81" i="5" a="1"/>
  <c r="FO81" i="5" s="1"/>
  <c r="EI82" i="5" a="1"/>
  <c r="EI82" i="5" s="1"/>
  <c r="EJ82" i="5" a="1"/>
  <c r="EJ82" i="5" s="1"/>
  <c r="EK82" i="5" a="1"/>
  <c r="EK82" i="5" s="1"/>
  <c r="EL82" i="5" a="1"/>
  <c r="EL82" i="5" s="1"/>
  <c r="EM82" i="5" a="1"/>
  <c r="EM82" i="5" s="1"/>
  <c r="EN82" i="5" a="1"/>
  <c r="EN82" i="5" s="1"/>
  <c r="EO82" i="5" a="1"/>
  <c r="EO82" i="5" s="1"/>
  <c r="EP82" i="5" a="1"/>
  <c r="EP82" i="5" s="1"/>
  <c r="EQ82" i="5" a="1"/>
  <c r="EQ82" i="5" s="1"/>
  <c r="ER82" i="5" a="1"/>
  <c r="ER82" i="5" s="1"/>
  <c r="ES82" i="5" a="1"/>
  <c r="ES82" i="5" s="1"/>
  <c r="ET82" i="5" a="1"/>
  <c r="ET82" i="5" s="1"/>
  <c r="EU82" i="5" a="1"/>
  <c r="EU82" i="5" s="1"/>
  <c r="EV82" i="5" a="1"/>
  <c r="EV82" i="5" s="1"/>
  <c r="EW82" i="5" a="1"/>
  <c r="EW82" i="5" s="1"/>
  <c r="EX82" i="5" a="1"/>
  <c r="EX82" i="5" s="1"/>
  <c r="EY82" i="5" a="1"/>
  <c r="EY82" i="5" s="1"/>
  <c r="EZ82" i="5" a="1"/>
  <c r="EZ82" i="5" s="1"/>
  <c r="FA82" i="5" a="1"/>
  <c r="FA82" i="5" s="1"/>
  <c r="FB82" i="5" a="1"/>
  <c r="FB82" i="5" s="1"/>
  <c r="FC82" i="5" a="1"/>
  <c r="FC82" i="5" s="1"/>
  <c r="FD82" i="5" a="1"/>
  <c r="FD82" i="5" s="1"/>
  <c r="FE82" i="5" a="1"/>
  <c r="FE82" i="5" s="1"/>
  <c r="FF82" i="5" a="1"/>
  <c r="FF82" i="5" s="1"/>
  <c r="FG82" i="5" a="1"/>
  <c r="FG82" i="5" s="1"/>
  <c r="FH82" i="5" a="1"/>
  <c r="FH82" i="5" s="1"/>
  <c r="FI82" i="5" a="1"/>
  <c r="FI82" i="5" s="1"/>
  <c r="FJ82" i="5" a="1"/>
  <c r="FJ82" i="5" s="1"/>
  <c r="FK82" i="5" a="1"/>
  <c r="FK82" i="5" s="1"/>
  <c r="FL82" i="5" a="1"/>
  <c r="FL82" i="5" s="1"/>
  <c r="FM82" i="5" a="1"/>
  <c r="FM82" i="5" s="1"/>
  <c r="FN82" i="5" a="1"/>
  <c r="FN82" i="5" s="1"/>
  <c r="FO82" i="5" a="1"/>
  <c r="FO82" i="5" s="1"/>
  <c r="EI83" i="5" a="1"/>
  <c r="EI83" i="5" s="1"/>
  <c r="EJ83" i="5" a="1"/>
  <c r="EJ83" i="5" s="1"/>
  <c r="EK83" i="5" a="1"/>
  <c r="EK83" i="5" s="1"/>
  <c r="EL83" i="5" a="1"/>
  <c r="EL83" i="5" s="1"/>
  <c r="EM83" i="5" a="1"/>
  <c r="EM83" i="5" s="1"/>
  <c r="EN83" i="5" a="1"/>
  <c r="EN83" i="5" s="1"/>
  <c r="EO83" i="5" a="1"/>
  <c r="EO83" i="5" s="1"/>
  <c r="EP83" i="5" a="1"/>
  <c r="EP83" i="5" s="1"/>
  <c r="EQ83" i="5" a="1"/>
  <c r="EQ83" i="5" s="1"/>
  <c r="ER83" i="5" a="1"/>
  <c r="ER83" i="5" s="1"/>
  <c r="ES83" i="5" a="1"/>
  <c r="ES83" i="5" s="1"/>
  <c r="ET83" i="5" a="1"/>
  <c r="ET83" i="5" s="1"/>
  <c r="EU83" i="5" a="1"/>
  <c r="EU83" i="5" s="1"/>
  <c r="EV83" i="5" a="1"/>
  <c r="EV83" i="5" s="1"/>
  <c r="EW83" i="5" a="1"/>
  <c r="EW83" i="5" s="1"/>
  <c r="EX83" i="5" a="1"/>
  <c r="EX83" i="5" s="1"/>
  <c r="EY83" i="5" a="1"/>
  <c r="EY83" i="5" s="1"/>
  <c r="EZ83" i="5" a="1"/>
  <c r="EZ83" i="5" s="1"/>
  <c r="FA83" i="5" a="1"/>
  <c r="FA83" i="5" s="1"/>
  <c r="FB83" i="5" a="1"/>
  <c r="FB83" i="5" s="1"/>
  <c r="FC83" i="5" a="1"/>
  <c r="FC83" i="5" s="1"/>
  <c r="FD83" i="5" a="1"/>
  <c r="FD83" i="5" s="1"/>
  <c r="FE83" i="5" a="1"/>
  <c r="FE83" i="5" s="1"/>
  <c r="FF83" i="5" a="1"/>
  <c r="FF83" i="5" s="1"/>
  <c r="FG83" i="5" a="1"/>
  <c r="FG83" i="5" s="1"/>
  <c r="FH83" i="5" a="1"/>
  <c r="FH83" i="5" s="1"/>
  <c r="FI83" i="5" a="1"/>
  <c r="FI83" i="5" s="1"/>
  <c r="FJ83" i="5" a="1"/>
  <c r="FJ83" i="5" s="1"/>
  <c r="FK83" i="5" a="1"/>
  <c r="FK83" i="5" s="1"/>
  <c r="FL83" i="5" a="1"/>
  <c r="FL83" i="5" s="1"/>
  <c r="FM83" i="5" a="1"/>
  <c r="FM83" i="5" s="1"/>
  <c r="FN83" i="5" a="1"/>
  <c r="FN83" i="5" s="1"/>
  <c r="FO83" i="5" a="1"/>
  <c r="FO83" i="5" s="1"/>
  <c r="EI84" i="5" a="1"/>
  <c r="EI84" i="5" s="1"/>
  <c r="EJ84" i="5" a="1"/>
  <c r="EJ84" i="5" s="1"/>
  <c r="EK84" i="5" a="1"/>
  <c r="EK84" i="5" s="1"/>
  <c r="EL84" i="5" a="1"/>
  <c r="EL84" i="5" s="1"/>
  <c r="EM84" i="5" a="1"/>
  <c r="EM84" i="5" s="1"/>
  <c r="EN84" i="5" a="1"/>
  <c r="EN84" i="5" s="1"/>
  <c r="EO84" i="5" a="1"/>
  <c r="EO84" i="5" s="1"/>
  <c r="EP84" i="5" a="1"/>
  <c r="EP84" i="5" s="1"/>
  <c r="EQ84" i="5" a="1"/>
  <c r="EQ84" i="5" s="1"/>
  <c r="ER84" i="5" a="1"/>
  <c r="ER84" i="5" s="1"/>
  <c r="ES84" i="5" a="1"/>
  <c r="ES84" i="5" s="1"/>
  <c r="ET84" i="5" a="1"/>
  <c r="ET84" i="5" s="1"/>
  <c r="EU84" i="5" a="1"/>
  <c r="EU84" i="5" s="1"/>
  <c r="EV84" i="5" a="1"/>
  <c r="EV84" i="5" s="1"/>
  <c r="EW84" i="5" a="1"/>
  <c r="EW84" i="5" s="1"/>
  <c r="EX84" i="5" a="1"/>
  <c r="EX84" i="5" s="1"/>
  <c r="EY84" i="5" a="1"/>
  <c r="EY84" i="5" s="1"/>
  <c r="EZ84" i="5" a="1"/>
  <c r="EZ84" i="5" s="1"/>
  <c r="FA84" i="5" a="1"/>
  <c r="FA84" i="5" s="1"/>
  <c r="FB84" i="5" a="1"/>
  <c r="FB84" i="5" s="1"/>
  <c r="FC84" i="5" a="1"/>
  <c r="FC84" i="5" s="1"/>
  <c r="FD84" i="5" a="1"/>
  <c r="FD84" i="5" s="1"/>
  <c r="FE84" i="5" a="1"/>
  <c r="FE84" i="5" s="1"/>
  <c r="FF84" i="5" a="1"/>
  <c r="FF84" i="5" s="1"/>
  <c r="FG84" i="5" a="1"/>
  <c r="FG84" i="5" s="1"/>
  <c r="FH84" i="5" a="1"/>
  <c r="FH84" i="5" s="1"/>
  <c r="FI84" i="5" a="1"/>
  <c r="FI84" i="5" s="1"/>
  <c r="FJ84" i="5" a="1"/>
  <c r="FJ84" i="5" s="1"/>
  <c r="FK84" i="5" a="1"/>
  <c r="FK84" i="5" s="1"/>
  <c r="FL84" i="5" a="1"/>
  <c r="FL84" i="5" s="1"/>
  <c r="FM84" i="5" a="1"/>
  <c r="FM84" i="5" s="1"/>
  <c r="FN84" i="5" a="1"/>
  <c r="FN84" i="5" s="1"/>
  <c r="FO84" i="5" a="1"/>
  <c r="FO84" i="5" s="1"/>
  <c r="EI85" i="5" a="1"/>
  <c r="EI85" i="5" s="1"/>
  <c r="EJ85" i="5" a="1"/>
  <c r="EJ85" i="5" s="1"/>
  <c r="EK85" i="5" a="1"/>
  <c r="EK85" i="5" s="1"/>
  <c r="EL85" i="5" a="1"/>
  <c r="EL85" i="5" s="1"/>
  <c r="EM85" i="5" a="1"/>
  <c r="EM85" i="5" s="1"/>
  <c r="EN85" i="5" a="1"/>
  <c r="EN85" i="5" s="1"/>
  <c r="EO85" i="5" a="1"/>
  <c r="EO85" i="5" s="1"/>
  <c r="EP85" i="5" a="1"/>
  <c r="EP85" i="5" s="1"/>
  <c r="EQ85" i="5" a="1"/>
  <c r="EQ85" i="5" s="1"/>
  <c r="ER85" i="5" a="1"/>
  <c r="ER85" i="5" s="1"/>
  <c r="ES85" i="5" a="1"/>
  <c r="ES85" i="5" s="1"/>
  <c r="ET85" i="5" a="1"/>
  <c r="ET85" i="5" s="1"/>
  <c r="EU85" i="5" a="1"/>
  <c r="EU85" i="5" s="1"/>
  <c r="EV85" i="5" a="1"/>
  <c r="EV85" i="5" s="1"/>
  <c r="EW85" i="5" a="1"/>
  <c r="EW85" i="5" s="1"/>
  <c r="EX85" i="5" a="1"/>
  <c r="EX85" i="5" s="1"/>
  <c r="EY85" i="5" a="1"/>
  <c r="EY85" i="5" s="1"/>
  <c r="EZ85" i="5" a="1"/>
  <c r="EZ85" i="5" s="1"/>
  <c r="FA85" i="5" a="1"/>
  <c r="FA85" i="5" s="1"/>
  <c r="FB85" i="5" a="1"/>
  <c r="FB85" i="5" s="1"/>
  <c r="FC85" i="5" a="1"/>
  <c r="FC85" i="5" s="1"/>
  <c r="FD85" i="5" a="1"/>
  <c r="FD85" i="5" s="1"/>
  <c r="FE85" i="5" a="1"/>
  <c r="FE85" i="5" s="1"/>
  <c r="FF85" i="5" a="1"/>
  <c r="FF85" i="5" s="1"/>
  <c r="FG85" i="5" a="1"/>
  <c r="FG85" i="5" s="1"/>
  <c r="FH85" i="5" a="1"/>
  <c r="FH85" i="5" s="1"/>
  <c r="FI85" i="5" a="1"/>
  <c r="FI85" i="5" s="1"/>
  <c r="FJ85" i="5" a="1"/>
  <c r="FJ85" i="5" s="1"/>
  <c r="FK85" i="5" a="1"/>
  <c r="FK85" i="5" s="1"/>
  <c r="FL85" i="5" a="1"/>
  <c r="FL85" i="5" s="1"/>
  <c r="FM85" i="5" a="1"/>
  <c r="FM85" i="5" s="1"/>
  <c r="FN85" i="5" a="1"/>
  <c r="FN85" i="5" s="1"/>
  <c r="FO85" i="5" a="1"/>
  <c r="FO85" i="5" s="1"/>
  <c r="EI86" i="5" a="1"/>
  <c r="EI86" i="5" s="1"/>
  <c r="EJ86" i="5" a="1"/>
  <c r="EJ86" i="5" s="1"/>
  <c r="EK86" i="5" a="1"/>
  <c r="EK86" i="5" s="1"/>
  <c r="EL86" i="5" a="1"/>
  <c r="EL86" i="5" s="1"/>
  <c r="EM86" i="5" a="1"/>
  <c r="EM86" i="5" s="1"/>
  <c r="EN86" i="5" a="1"/>
  <c r="EN86" i="5" s="1"/>
  <c r="EO86" i="5" a="1"/>
  <c r="EO86" i="5" s="1"/>
  <c r="EP86" i="5" a="1"/>
  <c r="EP86" i="5" s="1"/>
  <c r="EQ86" i="5" a="1"/>
  <c r="EQ86" i="5" s="1"/>
  <c r="ER86" i="5" a="1"/>
  <c r="ER86" i="5" s="1"/>
  <c r="ES86" i="5" a="1"/>
  <c r="ES86" i="5" s="1"/>
  <c r="ET86" i="5" a="1"/>
  <c r="ET86" i="5" s="1"/>
  <c r="EU86" i="5" a="1"/>
  <c r="EU86" i="5" s="1"/>
  <c r="EV86" i="5" a="1"/>
  <c r="EV86" i="5" s="1"/>
  <c r="EW86" i="5" a="1"/>
  <c r="EW86" i="5" s="1"/>
  <c r="EX86" i="5" a="1"/>
  <c r="EX86" i="5" s="1"/>
  <c r="EY86" i="5" a="1"/>
  <c r="EY86" i="5" s="1"/>
  <c r="EZ86" i="5" a="1"/>
  <c r="EZ86" i="5" s="1"/>
  <c r="FA86" i="5" a="1"/>
  <c r="FA86" i="5" s="1"/>
  <c r="FB86" i="5" a="1"/>
  <c r="FB86" i="5" s="1"/>
  <c r="FC86" i="5" a="1"/>
  <c r="FC86" i="5" s="1"/>
  <c r="FD86" i="5" a="1"/>
  <c r="FD86" i="5" s="1"/>
  <c r="FE86" i="5" a="1"/>
  <c r="FE86" i="5" s="1"/>
  <c r="FF86" i="5" a="1"/>
  <c r="FF86" i="5" s="1"/>
  <c r="FG86" i="5" a="1"/>
  <c r="FG86" i="5" s="1"/>
  <c r="FH86" i="5" a="1"/>
  <c r="FH86" i="5" s="1"/>
  <c r="FI86" i="5" a="1"/>
  <c r="FI86" i="5" s="1"/>
  <c r="FJ86" i="5" a="1"/>
  <c r="FJ86" i="5" s="1"/>
  <c r="FK86" i="5" a="1"/>
  <c r="FK86" i="5" s="1"/>
  <c r="FL86" i="5" a="1"/>
  <c r="FL86" i="5" s="1"/>
  <c r="FM86" i="5" a="1"/>
  <c r="FM86" i="5" s="1"/>
  <c r="FN86" i="5" a="1"/>
  <c r="FN86" i="5" s="1"/>
  <c r="FO86" i="5" a="1"/>
  <c r="FO86" i="5" s="1"/>
  <c r="EI87" i="5" a="1"/>
  <c r="EI87" i="5" s="1"/>
  <c r="EJ87" i="5" a="1"/>
  <c r="EJ87" i="5" s="1"/>
  <c r="EK87" i="5" a="1"/>
  <c r="EK87" i="5" s="1"/>
  <c r="EL87" i="5" a="1"/>
  <c r="EL87" i="5" s="1"/>
  <c r="EM87" i="5" a="1"/>
  <c r="EM87" i="5" s="1"/>
  <c r="EN87" i="5" a="1"/>
  <c r="EN87" i="5" s="1"/>
  <c r="EO87" i="5" a="1"/>
  <c r="EO87" i="5" s="1"/>
  <c r="EP87" i="5" a="1"/>
  <c r="EP87" i="5" s="1"/>
  <c r="EQ87" i="5" a="1"/>
  <c r="EQ87" i="5" s="1"/>
  <c r="ER87" i="5" a="1"/>
  <c r="ER87" i="5" s="1"/>
  <c r="ES87" i="5" a="1"/>
  <c r="ES87" i="5" s="1"/>
  <c r="ET87" i="5" a="1"/>
  <c r="ET87" i="5" s="1"/>
  <c r="EU87" i="5" a="1"/>
  <c r="EU87" i="5" s="1"/>
  <c r="EV87" i="5" a="1"/>
  <c r="EV87" i="5" s="1"/>
  <c r="EW87" i="5" a="1"/>
  <c r="EW87" i="5" s="1"/>
  <c r="EX87" i="5" a="1"/>
  <c r="EX87" i="5" s="1"/>
  <c r="EY87" i="5" a="1"/>
  <c r="EY87" i="5" s="1"/>
  <c r="EZ87" i="5" a="1"/>
  <c r="EZ87" i="5" s="1"/>
  <c r="FA87" i="5" a="1"/>
  <c r="FA87" i="5" s="1"/>
  <c r="FB87" i="5" a="1"/>
  <c r="FB87" i="5" s="1"/>
  <c r="FC87" i="5" a="1"/>
  <c r="FC87" i="5" s="1"/>
  <c r="FD87" i="5" a="1"/>
  <c r="FD87" i="5" s="1"/>
  <c r="FE87" i="5" a="1"/>
  <c r="FE87" i="5" s="1"/>
  <c r="FF87" i="5" a="1"/>
  <c r="FF87" i="5" s="1"/>
  <c r="FG87" i="5" a="1"/>
  <c r="FG87" i="5" s="1"/>
  <c r="FH87" i="5" a="1"/>
  <c r="FH87" i="5" s="1"/>
  <c r="FI87" i="5" a="1"/>
  <c r="FI87" i="5" s="1"/>
  <c r="FJ87" i="5" a="1"/>
  <c r="FJ87" i="5" s="1"/>
  <c r="FK87" i="5" a="1"/>
  <c r="FK87" i="5" s="1"/>
  <c r="FL87" i="5" a="1"/>
  <c r="FL87" i="5" s="1"/>
  <c r="FM87" i="5" a="1"/>
  <c r="FM87" i="5" s="1"/>
  <c r="FN87" i="5" a="1"/>
  <c r="FN87" i="5" s="1"/>
  <c r="FO87" i="5" a="1"/>
  <c r="FO87" i="5" s="1"/>
  <c r="EI88" i="5" a="1"/>
  <c r="EI88" i="5" s="1"/>
  <c r="EJ88" i="5" a="1"/>
  <c r="EJ88" i="5" s="1"/>
  <c r="EK88" i="5" a="1"/>
  <c r="EK88" i="5" s="1"/>
  <c r="EL88" i="5" a="1"/>
  <c r="EL88" i="5" s="1"/>
  <c r="EM88" i="5" a="1"/>
  <c r="EM88" i="5" s="1"/>
  <c r="EN88" i="5" a="1"/>
  <c r="EN88" i="5" s="1"/>
  <c r="EO88" i="5" a="1"/>
  <c r="EO88" i="5" s="1"/>
  <c r="EP88" i="5" a="1"/>
  <c r="EP88" i="5" s="1"/>
  <c r="EQ88" i="5" a="1"/>
  <c r="EQ88" i="5" s="1"/>
  <c r="ER88" i="5" a="1"/>
  <c r="ER88" i="5" s="1"/>
  <c r="ES88" i="5" a="1"/>
  <c r="ES88" i="5" s="1"/>
  <c r="ET88" i="5" a="1"/>
  <c r="ET88" i="5" s="1"/>
  <c r="EU88" i="5" a="1"/>
  <c r="EU88" i="5" s="1"/>
  <c r="EV88" i="5" a="1"/>
  <c r="EV88" i="5" s="1"/>
  <c r="EW88" i="5" a="1"/>
  <c r="EW88" i="5" s="1"/>
  <c r="EX88" i="5" a="1"/>
  <c r="EX88" i="5" s="1"/>
  <c r="EY88" i="5" a="1"/>
  <c r="EY88" i="5" s="1"/>
  <c r="EZ88" i="5" a="1"/>
  <c r="EZ88" i="5" s="1"/>
  <c r="FA88" i="5" a="1"/>
  <c r="FA88" i="5" s="1"/>
  <c r="FB88" i="5" a="1"/>
  <c r="FB88" i="5" s="1"/>
  <c r="FC88" i="5" a="1"/>
  <c r="FC88" i="5" s="1"/>
  <c r="FD88" i="5" a="1"/>
  <c r="FD88" i="5" s="1"/>
  <c r="FE88" i="5" a="1"/>
  <c r="FE88" i="5" s="1"/>
  <c r="FF88" i="5" a="1"/>
  <c r="FF88" i="5" s="1"/>
  <c r="FG88" i="5" a="1"/>
  <c r="FG88" i="5" s="1"/>
  <c r="FH88" i="5" a="1"/>
  <c r="FH88" i="5" s="1"/>
  <c r="FI88" i="5" a="1"/>
  <c r="FI88" i="5" s="1"/>
  <c r="FJ88" i="5" a="1"/>
  <c r="FJ88" i="5" s="1"/>
  <c r="FK88" i="5" a="1"/>
  <c r="FK88" i="5" s="1"/>
  <c r="FL88" i="5" a="1"/>
  <c r="FL88" i="5" s="1"/>
  <c r="FM88" i="5" a="1"/>
  <c r="FM88" i="5" s="1"/>
  <c r="FN88" i="5" a="1"/>
  <c r="FN88" i="5" s="1"/>
  <c r="FO88" i="5" a="1"/>
  <c r="FO88" i="5" s="1"/>
  <c r="EI89" i="5" a="1"/>
  <c r="EI89" i="5" s="1"/>
  <c r="EJ89" i="5" a="1"/>
  <c r="EJ89" i="5" s="1"/>
  <c r="EK89" i="5" a="1"/>
  <c r="EK89" i="5" s="1"/>
  <c r="EL89" i="5" a="1"/>
  <c r="EL89" i="5" s="1"/>
  <c r="EM89" i="5" a="1"/>
  <c r="EM89" i="5" s="1"/>
  <c r="EN89" i="5" a="1"/>
  <c r="EN89" i="5" s="1"/>
  <c r="EO89" i="5" a="1"/>
  <c r="EO89" i="5" s="1"/>
  <c r="EP89" i="5" a="1"/>
  <c r="EP89" i="5" s="1"/>
  <c r="EQ89" i="5" a="1"/>
  <c r="EQ89" i="5" s="1"/>
  <c r="ER89" i="5" a="1"/>
  <c r="ER89" i="5" s="1"/>
  <c r="ES89" i="5" a="1"/>
  <c r="ES89" i="5" s="1"/>
  <c r="ET89" i="5" a="1"/>
  <c r="ET89" i="5" s="1"/>
  <c r="EU89" i="5" a="1"/>
  <c r="EU89" i="5" s="1"/>
  <c r="EV89" i="5" a="1"/>
  <c r="EV89" i="5" s="1"/>
  <c r="EW89" i="5" a="1"/>
  <c r="EW89" i="5" s="1"/>
  <c r="EX89" i="5" a="1"/>
  <c r="EX89" i="5" s="1"/>
  <c r="EY89" i="5" a="1"/>
  <c r="EY89" i="5" s="1"/>
  <c r="EZ89" i="5" a="1"/>
  <c r="EZ89" i="5" s="1"/>
  <c r="FA89" i="5" a="1"/>
  <c r="FA89" i="5" s="1"/>
  <c r="FB89" i="5" a="1"/>
  <c r="FB89" i="5" s="1"/>
  <c r="FC89" i="5" a="1"/>
  <c r="FC89" i="5" s="1"/>
  <c r="FD89" i="5" a="1"/>
  <c r="FD89" i="5" s="1"/>
  <c r="FE89" i="5" a="1"/>
  <c r="FE89" i="5" s="1"/>
  <c r="FF89" i="5" a="1"/>
  <c r="FF89" i="5" s="1"/>
  <c r="FG89" i="5" a="1"/>
  <c r="FG89" i="5" s="1"/>
  <c r="FH89" i="5" a="1"/>
  <c r="FH89" i="5" s="1"/>
  <c r="FI89" i="5" a="1"/>
  <c r="FI89" i="5" s="1"/>
  <c r="FJ89" i="5" a="1"/>
  <c r="FJ89" i="5" s="1"/>
  <c r="FK89" i="5" a="1"/>
  <c r="FK89" i="5" s="1"/>
  <c r="FL89" i="5" a="1"/>
  <c r="FL89" i="5" s="1"/>
  <c r="FM89" i="5" a="1"/>
  <c r="FM89" i="5" s="1"/>
  <c r="FN89" i="5" a="1"/>
  <c r="FN89" i="5" s="1"/>
  <c r="FO89" i="5" a="1"/>
  <c r="FO89" i="5" s="1"/>
  <c r="EI90" i="5" a="1"/>
  <c r="EI90" i="5" s="1"/>
  <c r="EJ90" i="5" a="1"/>
  <c r="EJ90" i="5" s="1"/>
  <c r="EK90" i="5" a="1"/>
  <c r="EK90" i="5" s="1"/>
  <c r="EL90" i="5" a="1"/>
  <c r="EL90" i="5" s="1"/>
  <c r="EM90" i="5" a="1"/>
  <c r="EM90" i="5" s="1"/>
  <c r="EN90" i="5" a="1"/>
  <c r="EN90" i="5" s="1"/>
  <c r="EO90" i="5" a="1"/>
  <c r="EO90" i="5" s="1"/>
  <c r="EP90" i="5" a="1"/>
  <c r="EP90" i="5" s="1"/>
  <c r="EQ90" i="5" a="1"/>
  <c r="EQ90" i="5" s="1"/>
  <c r="ER90" i="5" a="1"/>
  <c r="ER90" i="5" s="1"/>
  <c r="ES90" i="5" a="1"/>
  <c r="ES90" i="5" s="1"/>
  <c r="ET90" i="5" a="1"/>
  <c r="ET90" i="5" s="1"/>
  <c r="EU90" i="5" a="1"/>
  <c r="EU90" i="5" s="1"/>
  <c r="EV90" i="5" a="1"/>
  <c r="EV90" i="5" s="1"/>
  <c r="EW90" i="5" a="1"/>
  <c r="EW90" i="5" s="1"/>
  <c r="EX90" i="5" a="1"/>
  <c r="EX90" i="5" s="1"/>
  <c r="EY90" i="5" a="1"/>
  <c r="EY90" i="5" s="1"/>
  <c r="EZ90" i="5" a="1"/>
  <c r="EZ90" i="5" s="1"/>
  <c r="FA90" i="5" a="1"/>
  <c r="FA90" i="5" s="1"/>
  <c r="FB90" i="5" a="1"/>
  <c r="FB90" i="5" s="1"/>
  <c r="FC90" i="5" a="1"/>
  <c r="FC90" i="5" s="1"/>
  <c r="FD90" i="5" a="1"/>
  <c r="FD90" i="5" s="1"/>
  <c r="FE90" i="5" a="1"/>
  <c r="FE90" i="5" s="1"/>
  <c r="FF90" i="5" a="1"/>
  <c r="FF90" i="5" s="1"/>
  <c r="FG90" i="5" a="1"/>
  <c r="FG90" i="5" s="1"/>
  <c r="FH90" i="5" a="1"/>
  <c r="FH90" i="5" s="1"/>
  <c r="FI90" i="5" a="1"/>
  <c r="FI90" i="5" s="1"/>
  <c r="FJ90" i="5" a="1"/>
  <c r="FJ90" i="5" s="1"/>
  <c r="FK90" i="5" a="1"/>
  <c r="FK90" i="5" s="1"/>
  <c r="FL90" i="5" a="1"/>
  <c r="FL90" i="5" s="1"/>
  <c r="FM90" i="5" a="1"/>
  <c r="FM90" i="5" s="1"/>
  <c r="FN90" i="5" a="1"/>
  <c r="FN90" i="5" s="1"/>
  <c r="FO90" i="5" a="1"/>
  <c r="FO90" i="5" s="1"/>
  <c r="EI91" i="5" a="1"/>
  <c r="EI91" i="5" s="1"/>
  <c r="EJ91" i="5" a="1"/>
  <c r="EJ91" i="5" s="1"/>
  <c r="EK91" i="5" a="1"/>
  <c r="EK91" i="5" s="1"/>
  <c r="EL91" i="5" a="1"/>
  <c r="EL91" i="5" s="1"/>
  <c r="EM91" i="5" a="1"/>
  <c r="EM91" i="5" s="1"/>
  <c r="EN91" i="5" a="1"/>
  <c r="EN91" i="5" s="1"/>
  <c r="EO91" i="5" a="1"/>
  <c r="EO91" i="5" s="1"/>
  <c r="EP91" i="5" a="1"/>
  <c r="EP91" i="5" s="1"/>
  <c r="EQ91" i="5" a="1"/>
  <c r="EQ91" i="5"/>
  <c r="ER91" i="5" a="1"/>
  <c r="ER91" i="5" s="1"/>
  <c r="ES91" i="5" a="1"/>
  <c r="ES91" i="5" s="1"/>
  <c r="ET91" i="5" a="1"/>
  <c r="ET91" i="5" s="1"/>
  <c r="EU91" i="5" a="1"/>
  <c r="EU91" i="5" s="1"/>
  <c r="EV91" i="5" a="1"/>
  <c r="EV91" i="5" s="1"/>
  <c r="EW91" i="5" a="1"/>
  <c r="EW91" i="5" s="1"/>
  <c r="EX91" i="5" a="1"/>
  <c r="EX91" i="5" s="1"/>
  <c r="EY91" i="5" a="1"/>
  <c r="EY91" i="5" s="1"/>
  <c r="EZ91" i="5" a="1"/>
  <c r="EZ91" i="5" s="1"/>
  <c r="FA91" i="5" a="1"/>
  <c r="FA91" i="5" s="1"/>
  <c r="FB91" i="5" a="1"/>
  <c r="FB91" i="5" s="1"/>
  <c r="FC91" i="5" a="1"/>
  <c r="FC91" i="5" s="1"/>
  <c r="FD91" i="5" a="1"/>
  <c r="FD91" i="5" s="1"/>
  <c r="FE91" i="5" a="1"/>
  <c r="FE91" i="5" s="1"/>
  <c r="FF91" i="5" a="1"/>
  <c r="FF91" i="5" s="1"/>
  <c r="FG91" i="5" a="1"/>
  <c r="FG91" i="5" s="1"/>
  <c r="FH91" i="5" a="1"/>
  <c r="FH91" i="5" s="1"/>
  <c r="FI91" i="5" a="1"/>
  <c r="FI91" i="5" s="1"/>
  <c r="FJ91" i="5" a="1"/>
  <c r="FJ91" i="5" s="1"/>
  <c r="FK91" i="5" a="1"/>
  <c r="FK91" i="5" s="1"/>
  <c r="FL91" i="5" a="1"/>
  <c r="FL91" i="5" s="1"/>
  <c r="FM91" i="5" a="1"/>
  <c r="FM91" i="5" s="1"/>
  <c r="FN91" i="5" a="1"/>
  <c r="FN91" i="5" s="1"/>
  <c r="FO91" i="5" a="1"/>
  <c r="FO91" i="5" s="1"/>
  <c r="EI92" i="5" a="1"/>
  <c r="EI92" i="5" s="1"/>
  <c r="EJ92" i="5" a="1"/>
  <c r="EJ92" i="5" s="1"/>
  <c r="EK92" i="5" a="1"/>
  <c r="EK92" i="5" s="1"/>
  <c r="EL92" i="5" a="1"/>
  <c r="EL92" i="5" s="1"/>
  <c r="EM92" i="5" a="1"/>
  <c r="EM92" i="5" s="1"/>
  <c r="EN92" i="5" a="1"/>
  <c r="EN92" i="5" s="1"/>
  <c r="EO92" i="5" a="1"/>
  <c r="EO92" i="5" s="1"/>
  <c r="EP92" i="5" a="1"/>
  <c r="EP92" i="5" s="1"/>
  <c r="EQ92" i="5" a="1"/>
  <c r="EQ92" i="5" s="1"/>
  <c r="ER92" i="5" a="1"/>
  <c r="ER92" i="5" s="1"/>
  <c r="ES92" i="5" a="1"/>
  <c r="ES92" i="5" s="1"/>
  <c r="ET92" i="5" a="1"/>
  <c r="ET92" i="5" s="1"/>
  <c r="EU92" i="5" a="1"/>
  <c r="EU92" i="5" s="1"/>
  <c r="EV92" i="5" a="1"/>
  <c r="EV92" i="5" s="1"/>
  <c r="EW92" i="5" a="1"/>
  <c r="EW92" i="5" s="1"/>
  <c r="EX92" i="5" a="1"/>
  <c r="EX92" i="5" s="1"/>
  <c r="EY92" i="5" a="1"/>
  <c r="EY92" i="5" s="1"/>
  <c r="EZ92" i="5" a="1"/>
  <c r="EZ92" i="5" s="1"/>
  <c r="FA92" i="5" a="1"/>
  <c r="FA92" i="5" s="1"/>
  <c r="FB92" i="5" a="1"/>
  <c r="FB92" i="5" s="1"/>
  <c r="FC92" i="5" a="1"/>
  <c r="FC92" i="5" s="1"/>
  <c r="FD92" i="5" a="1"/>
  <c r="FD92" i="5" s="1"/>
  <c r="FE92" i="5" a="1"/>
  <c r="FE92" i="5" s="1"/>
  <c r="FF92" i="5" a="1"/>
  <c r="FF92" i="5" s="1"/>
  <c r="FG92" i="5" a="1"/>
  <c r="FG92" i="5" s="1"/>
  <c r="FH92" i="5" a="1"/>
  <c r="FH92" i="5" s="1"/>
  <c r="FI92" i="5" a="1"/>
  <c r="FI92" i="5" s="1"/>
  <c r="FJ92" i="5" a="1"/>
  <c r="FJ92" i="5" s="1"/>
  <c r="FK92" i="5" a="1"/>
  <c r="FK92" i="5" s="1"/>
  <c r="FL92" i="5" a="1"/>
  <c r="FL92" i="5" s="1"/>
  <c r="FM92" i="5" a="1"/>
  <c r="FM92" i="5" s="1"/>
  <c r="FN92" i="5" a="1"/>
  <c r="FN92" i="5" s="1"/>
  <c r="FO92" i="5" a="1"/>
  <c r="FO92" i="5" s="1"/>
  <c r="EI93" i="5" a="1"/>
  <c r="EI93" i="5" s="1"/>
  <c r="EJ93" i="5" a="1"/>
  <c r="EJ93" i="5" s="1"/>
  <c r="EK93" i="5" a="1"/>
  <c r="EK93" i="5" s="1"/>
  <c r="EL93" i="5" a="1"/>
  <c r="EL93" i="5" s="1"/>
  <c r="EM93" i="5" a="1"/>
  <c r="EM93" i="5" s="1"/>
  <c r="EN93" i="5" a="1"/>
  <c r="EN93" i="5" s="1"/>
  <c r="EO93" i="5" a="1"/>
  <c r="EO93" i="5" s="1"/>
  <c r="EP93" i="5" a="1"/>
  <c r="EP93" i="5" s="1"/>
  <c r="EQ93" i="5" a="1"/>
  <c r="EQ93" i="5" s="1"/>
  <c r="ER93" i="5" a="1"/>
  <c r="ER93" i="5" s="1"/>
  <c r="ES93" i="5" a="1"/>
  <c r="ES93" i="5" s="1"/>
  <c r="ET93" i="5" a="1"/>
  <c r="ET93" i="5" s="1"/>
  <c r="EU93" i="5" a="1"/>
  <c r="EU93" i="5" s="1"/>
  <c r="EV93" i="5" a="1"/>
  <c r="EV93" i="5" s="1"/>
  <c r="EW93" i="5" a="1"/>
  <c r="EW93" i="5" s="1"/>
  <c r="EX93" i="5" a="1"/>
  <c r="EX93" i="5" s="1"/>
  <c r="EY93" i="5" a="1"/>
  <c r="EY93" i="5" s="1"/>
  <c r="EZ93" i="5" a="1"/>
  <c r="EZ93" i="5" s="1"/>
  <c r="FA93" i="5" a="1"/>
  <c r="FA93" i="5" s="1"/>
  <c r="FB93" i="5" a="1"/>
  <c r="FB93" i="5" s="1"/>
  <c r="FC93" i="5" a="1"/>
  <c r="FC93" i="5" s="1"/>
  <c r="FD93" i="5" a="1"/>
  <c r="FD93" i="5" s="1"/>
  <c r="FE93" i="5" a="1"/>
  <c r="FE93" i="5" s="1"/>
  <c r="FF93" i="5" a="1"/>
  <c r="FF93" i="5" s="1"/>
  <c r="FG93" i="5" a="1"/>
  <c r="FG93" i="5" s="1"/>
  <c r="FH93" i="5" a="1"/>
  <c r="FH93" i="5" s="1"/>
  <c r="FI93" i="5" a="1"/>
  <c r="FI93" i="5" s="1"/>
  <c r="FJ93" i="5" a="1"/>
  <c r="FJ93" i="5" s="1"/>
  <c r="FK93" i="5" a="1"/>
  <c r="FK93" i="5" s="1"/>
  <c r="FL93" i="5" a="1"/>
  <c r="FL93" i="5" s="1"/>
  <c r="FM93" i="5" a="1"/>
  <c r="FM93" i="5" s="1"/>
  <c r="FN93" i="5" a="1"/>
  <c r="FN93" i="5" s="1"/>
  <c r="FO93" i="5" a="1"/>
  <c r="FO93" i="5" s="1"/>
  <c r="EI94" i="5" a="1"/>
  <c r="EI94" i="5" s="1"/>
  <c r="EJ94" i="5" a="1"/>
  <c r="EJ94" i="5" s="1"/>
  <c r="EK94" i="5" a="1"/>
  <c r="EK94" i="5" s="1"/>
  <c r="EL94" i="5" a="1"/>
  <c r="EL94" i="5" s="1"/>
  <c r="EM94" i="5" a="1"/>
  <c r="EM94" i="5" s="1"/>
  <c r="EN94" i="5" a="1"/>
  <c r="EN94" i="5" s="1"/>
  <c r="EO94" i="5" a="1"/>
  <c r="EO94" i="5" s="1"/>
  <c r="EP94" i="5" a="1"/>
  <c r="EP94" i="5" s="1"/>
  <c r="EQ94" i="5" a="1"/>
  <c r="EQ94" i="5" s="1"/>
  <c r="ER94" i="5" a="1"/>
  <c r="ER94" i="5" s="1"/>
  <c r="ES94" i="5" a="1"/>
  <c r="ES94" i="5" s="1"/>
  <c r="ET94" i="5" a="1"/>
  <c r="ET94" i="5" s="1"/>
  <c r="EU94" i="5" a="1"/>
  <c r="EU94" i="5" s="1"/>
  <c r="EV94" i="5" a="1"/>
  <c r="EV94" i="5" s="1"/>
  <c r="EW94" i="5" a="1"/>
  <c r="EW94" i="5" s="1"/>
  <c r="EX94" i="5" a="1"/>
  <c r="EX94" i="5" s="1"/>
  <c r="EY94" i="5" a="1"/>
  <c r="EY94" i="5" s="1"/>
  <c r="EZ94" i="5" a="1"/>
  <c r="EZ94" i="5" s="1"/>
  <c r="FA94" i="5" a="1"/>
  <c r="FA94" i="5" s="1"/>
  <c r="FB94" i="5" a="1"/>
  <c r="FB94" i="5" s="1"/>
  <c r="FC94" i="5" a="1"/>
  <c r="FC94" i="5" s="1"/>
  <c r="FD94" i="5" a="1"/>
  <c r="FD94" i="5" s="1"/>
  <c r="FE94" i="5" a="1"/>
  <c r="FE94" i="5" s="1"/>
  <c r="FF94" i="5" a="1"/>
  <c r="FF94" i="5" s="1"/>
  <c r="FG94" i="5" a="1"/>
  <c r="FG94" i="5" s="1"/>
  <c r="FH94" i="5" a="1"/>
  <c r="FH94" i="5" s="1"/>
  <c r="FI94" i="5" a="1"/>
  <c r="FI94" i="5" s="1"/>
  <c r="FJ94" i="5" a="1"/>
  <c r="FJ94" i="5" s="1"/>
  <c r="FK94" i="5" a="1"/>
  <c r="FK94" i="5" s="1"/>
  <c r="FL94" i="5" a="1"/>
  <c r="FL94" i="5" s="1"/>
  <c r="FM94" i="5" a="1"/>
  <c r="FM94" i="5" s="1"/>
  <c r="FN94" i="5" a="1"/>
  <c r="FN94" i="5" s="1"/>
  <c r="FO94" i="5" a="1"/>
  <c r="FO94" i="5" s="1"/>
  <c r="EI95" i="5" a="1"/>
  <c r="EI95" i="5" s="1"/>
  <c r="EJ95" i="5" a="1"/>
  <c r="EJ95" i="5" s="1"/>
  <c r="EK95" i="5" a="1"/>
  <c r="EK95" i="5" s="1"/>
  <c r="EL95" i="5" a="1"/>
  <c r="EL95" i="5" s="1"/>
  <c r="EM95" i="5" a="1"/>
  <c r="EM95" i="5" s="1"/>
  <c r="EN95" i="5" a="1"/>
  <c r="EN95" i="5" s="1"/>
  <c r="EO95" i="5" a="1"/>
  <c r="EO95" i="5" s="1"/>
  <c r="EP95" i="5" a="1"/>
  <c r="EP95" i="5" s="1"/>
  <c r="EQ95" i="5" a="1"/>
  <c r="EQ95" i="5" s="1"/>
  <c r="ER95" i="5" a="1"/>
  <c r="ER95" i="5" s="1"/>
  <c r="ES95" i="5" a="1"/>
  <c r="ES95" i="5" s="1"/>
  <c r="ET95" i="5" a="1"/>
  <c r="ET95" i="5" s="1"/>
  <c r="EU95" i="5" a="1"/>
  <c r="EU95" i="5" s="1"/>
  <c r="EV95" i="5" a="1"/>
  <c r="EV95" i="5" s="1"/>
  <c r="EW95" i="5" a="1"/>
  <c r="EW95" i="5" s="1"/>
  <c r="EX95" i="5" a="1"/>
  <c r="EX95" i="5" s="1"/>
  <c r="EY95" i="5" a="1"/>
  <c r="EY95" i="5" s="1"/>
  <c r="EZ95" i="5" a="1"/>
  <c r="EZ95" i="5" s="1"/>
  <c r="FA95" i="5" a="1"/>
  <c r="FA95" i="5" s="1"/>
  <c r="FB95" i="5" a="1"/>
  <c r="FB95" i="5" s="1"/>
  <c r="FC95" i="5" a="1"/>
  <c r="FC95" i="5" s="1"/>
  <c r="FD95" i="5" a="1"/>
  <c r="FD95" i="5" s="1"/>
  <c r="FE95" i="5" a="1"/>
  <c r="FE95" i="5" s="1"/>
  <c r="FF95" i="5" a="1"/>
  <c r="FF95" i="5" s="1"/>
  <c r="FG95" i="5" a="1"/>
  <c r="FG95" i="5" s="1"/>
  <c r="FH95" i="5" a="1"/>
  <c r="FH95" i="5" s="1"/>
  <c r="FI95" i="5" a="1"/>
  <c r="FI95" i="5" s="1"/>
  <c r="FJ95" i="5" a="1"/>
  <c r="FJ95" i="5" s="1"/>
  <c r="FK95" i="5" a="1"/>
  <c r="FK95" i="5" s="1"/>
  <c r="FL95" i="5" a="1"/>
  <c r="FL95" i="5" s="1"/>
  <c r="FM95" i="5" a="1"/>
  <c r="FM95" i="5" s="1"/>
  <c r="FN95" i="5" a="1"/>
  <c r="FN95" i="5" s="1"/>
  <c r="FO95" i="5" a="1"/>
  <c r="FO95" i="5" s="1"/>
  <c r="EI96" i="5" a="1"/>
  <c r="EI96" i="5" s="1"/>
  <c r="EJ96" i="5" a="1"/>
  <c r="EJ96" i="5" s="1"/>
  <c r="EK96" i="5" a="1"/>
  <c r="EK96" i="5" s="1"/>
  <c r="EL96" i="5" a="1"/>
  <c r="EL96" i="5" s="1"/>
  <c r="EM96" i="5" a="1"/>
  <c r="EM96" i="5" s="1"/>
  <c r="EN96" i="5" a="1"/>
  <c r="EN96" i="5" s="1"/>
  <c r="EO96" i="5" a="1"/>
  <c r="EO96" i="5" s="1"/>
  <c r="EP96" i="5" a="1"/>
  <c r="EP96" i="5" s="1"/>
  <c r="EQ96" i="5" a="1"/>
  <c r="EQ96" i="5" s="1"/>
  <c r="ER96" i="5" a="1"/>
  <c r="ER96" i="5" s="1"/>
  <c r="ES96" i="5" a="1"/>
  <c r="ES96" i="5" s="1"/>
  <c r="ET96" i="5" a="1"/>
  <c r="ET96" i="5" s="1"/>
  <c r="EU96" i="5" a="1"/>
  <c r="EU96" i="5" s="1"/>
  <c r="EV96" i="5" a="1"/>
  <c r="EV96" i="5" s="1"/>
  <c r="EW96" i="5" a="1"/>
  <c r="EW96" i="5" s="1"/>
  <c r="EX96" i="5" a="1"/>
  <c r="EX96" i="5" s="1"/>
  <c r="EY96" i="5" a="1"/>
  <c r="EY96" i="5" s="1"/>
  <c r="EZ96" i="5" a="1"/>
  <c r="EZ96" i="5" s="1"/>
  <c r="FA96" i="5" a="1"/>
  <c r="FA96" i="5" s="1"/>
  <c r="FB96" i="5" a="1"/>
  <c r="FB96" i="5" s="1"/>
  <c r="FC96" i="5" a="1"/>
  <c r="FC96" i="5" s="1"/>
  <c r="FD96" i="5" a="1"/>
  <c r="FD96" i="5" s="1"/>
  <c r="FE96" i="5" a="1"/>
  <c r="FE96" i="5" s="1"/>
  <c r="FF96" i="5" a="1"/>
  <c r="FF96" i="5" s="1"/>
  <c r="FG96" i="5" a="1"/>
  <c r="FG96" i="5" s="1"/>
  <c r="FH96" i="5" a="1"/>
  <c r="FH96" i="5" s="1"/>
  <c r="FI96" i="5" a="1"/>
  <c r="FI96" i="5" s="1"/>
  <c r="FJ96" i="5" a="1"/>
  <c r="FJ96" i="5" s="1"/>
  <c r="FK96" i="5" a="1"/>
  <c r="FK96" i="5" s="1"/>
  <c r="FL96" i="5" a="1"/>
  <c r="FL96" i="5" s="1"/>
  <c r="FM96" i="5" a="1"/>
  <c r="FM96" i="5" s="1"/>
  <c r="FN96" i="5" a="1"/>
  <c r="FN96" i="5" s="1"/>
  <c r="FO96" i="5" a="1"/>
  <c r="FO96" i="5" s="1"/>
  <c r="EI97" i="5" a="1"/>
  <c r="EI97" i="5" s="1"/>
  <c r="EJ97" i="5" a="1"/>
  <c r="EJ97" i="5" s="1"/>
  <c r="EK97" i="5" a="1"/>
  <c r="EK97" i="5" s="1"/>
  <c r="EL97" i="5" a="1"/>
  <c r="EL97" i="5" s="1"/>
  <c r="EM97" i="5" a="1"/>
  <c r="EM97" i="5" s="1"/>
  <c r="EN97" i="5" a="1"/>
  <c r="EN97" i="5" s="1"/>
  <c r="EO97" i="5" a="1"/>
  <c r="EO97" i="5" s="1"/>
  <c r="EP97" i="5" a="1"/>
  <c r="EP97" i="5" s="1"/>
  <c r="EQ97" i="5" a="1"/>
  <c r="EQ97" i="5" s="1"/>
  <c r="ER97" i="5" a="1"/>
  <c r="ER97" i="5" s="1"/>
  <c r="ES97" i="5" a="1"/>
  <c r="ES97" i="5" s="1"/>
  <c r="ET97" i="5" a="1"/>
  <c r="ET97" i="5" s="1"/>
  <c r="EU97" i="5" a="1"/>
  <c r="EU97" i="5" s="1"/>
  <c r="EV97" i="5" a="1"/>
  <c r="EV97" i="5" s="1"/>
  <c r="EW97" i="5" a="1"/>
  <c r="EW97" i="5" s="1"/>
  <c r="EX97" i="5" a="1"/>
  <c r="EX97" i="5" s="1"/>
  <c r="EY97" i="5" a="1"/>
  <c r="EY97" i="5" s="1"/>
  <c r="EZ97" i="5" a="1"/>
  <c r="EZ97" i="5" s="1"/>
  <c r="FA97" i="5" a="1"/>
  <c r="FA97" i="5" s="1"/>
  <c r="FB97" i="5" a="1"/>
  <c r="FB97" i="5" s="1"/>
  <c r="FC97" i="5" a="1"/>
  <c r="FC97" i="5" s="1"/>
  <c r="FD97" i="5" a="1"/>
  <c r="FD97" i="5" s="1"/>
  <c r="FE97" i="5" a="1"/>
  <c r="FE97" i="5" s="1"/>
  <c r="FF97" i="5" a="1"/>
  <c r="FF97" i="5" s="1"/>
  <c r="FG97" i="5" a="1"/>
  <c r="FG97" i="5" s="1"/>
  <c r="FH97" i="5" a="1"/>
  <c r="FH97" i="5" s="1"/>
  <c r="FI97" i="5" a="1"/>
  <c r="FI97" i="5" s="1"/>
  <c r="FJ97" i="5" a="1"/>
  <c r="FJ97" i="5" s="1"/>
  <c r="FK97" i="5" a="1"/>
  <c r="FK97" i="5" s="1"/>
  <c r="FL97" i="5" a="1"/>
  <c r="FL97" i="5" s="1"/>
  <c r="FM97" i="5" a="1"/>
  <c r="FM97" i="5" s="1"/>
  <c r="FN97" i="5" a="1"/>
  <c r="FN97" i="5" s="1"/>
  <c r="FO97" i="5" a="1"/>
  <c r="FO97" i="5" s="1"/>
  <c r="EI98" i="5" a="1"/>
  <c r="EI98" i="5" s="1"/>
  <c r="EJ98" i="5" a="1"/>
  <c r="EJ98" i="5" s="1"/>
  <c r="EK98" i="5" a="1"/>
  <c r="EK98" i="5" s="1"/>
  <c r="EL98" i="5" a="1"/>
  <c r="EL98" i="5" s="1"/>
  <c r="EM98" i="5" a="1"/>
  <c r="EM98" i="5" s="1"/>
  <c r="EN98" i="5" a="1"/>
  <c r="EN98" i="5" s="1"/>
  <c r="EO98" i="5" a="1"/>
  <c r="EO98" i="5" s="1"/>
  <c r="EP98" i="5" a="1"/>
  <c r="EP98" i="5" s="1"/>
  <c r="EQ98" i="5" a="1"/>
  <c r="EQ98" i="5" s="1"/>
  <c r="ER98" i="5" a="1"/>
  <c r="ER98" i="5" s="1"/>
  <c r="ES98" i="5" a="1"/>
  <c r="ES98" i="5" s="1"/>
  <c r="ET98" i="5" a="1"/>
  <c r="ET98" i="5" s="1"/>
  <c r="EU98" i="5" a="1"/>
  <c r="EU98" i="5" s="1"/>
  <c r="EV98" i="5" a="1"/>
  <c r="EV98" i="5" s="1"/>
  <c r="EW98" i="5" a="1"/>
  <c r="EW98" i="5" s="1"/>
  <c r="EX98" i="5" a="1"/>
  <c r="EX98" i="5" s="1"/>
  <c r="EY98" i="5" a="1"/>
  <c r="EY98" i="5" s="1"/>
  <c r="EZ98" i="5" a="1"/>
  <c r="EZ98" i="5" s="1"/>
  <c r="FA98" i="5" a="1"/>
  <c r="FA98" i="5" s="1"/>
  <c r="FB98" i="5" a="1"/>
  <c r="FB98" i="5" s="1"/>
  <c r="FC98" i="5" a="1"/>
  <c r="FC98" i="5" s="1"/>
  <c r="FD98" i="5" a="1"/>
  <c r="FD98" i="5" s="1"/>
  <c r="FE98" i="5" a="1"/>
  <c r="FE98" i="5" s="1"/>
  <c r="FF98" i="5" a="1"/>
  <c r="FF98" i="5" s="1"/>
  <c r="FG98" i="5" a="1"/>
  <c r="FG98" i="5" s="1"/>
  <c r="FH98" i="5" a="1"/>
  <c r="FH98" i="5" s="1"/>
  <c r="FI98" i="5" a="1"/>
  <c r="FI98" i="5" s="1"/>
  <c r="FJ98" i="5" a="1"/>
  <c r="FJ98" i="5" s="1"/>
  <c r="FK98" i="5" a="1"/>
  <c r="FK98" i="5" s="1"/>
  <c r="FL98" i="5" a="1"/>
  <c r="FL98" i="5" s="1"/>
  <c r="FM98" i="5" a="1"/>
  <c r="FM98" i="5" s="1"/>
  <c r="FN98" i="5" a="1"/>
  <c r="FN98" i="5" s="1"/>
  <c r="FO98" i="5" a="1"/>
  <c r="FO98" i="5" s="1"/>
  <c r="EI99" i="5" a="1"/>
  <c r="EI99" i="5" s="1"/>
  <c r="EJ99" i="5" a="1"/>
  <c r="EJ99" i="5" s="1"/>
  <c r="EK99" i="5" a="1"/>
  <c r="EK99" i="5" s="1"/>
  <c r="EL99" i="5" a="1"/>
  <c r="EL99" i="5" s="1"/>
  <c r="EM99" i="5" a="1"/>
  <c r="EM99" i="5" s="1"/>
  <c r="EN99" i="5" a="1"/>
  <c r="EN99" i="5" s="1"/>
  <c r="EO99" i="5" a="1"/>
  <c r="EO99" i="5" s="1"/>
  <c r="EP99" i="5" a="1"/>
  <c r="EP99" i="5" s="1"/>
  <c r="EQ99" i="5" a="1"/>
  <c r="EQ99" i="5" s="1"/>
  <c r="ER99" i="5" a="1"/>
  <c r="ER99" i="5" s="1"/>
  <c r="ES99" i="5" a="1"/>
  <c r="ES99" i="5" s="1"/>
  <c r="ET99" i="5" a="1"/>
  <c r="ET99" i="5" s="1"/>
  <c r="EU99" i="5" a="1"/>
  <c r="EU99" i="5" s="1"/>
  <c r="EV99" i="5" a="1"/>
  <c r="EV99" i="5" s="1"/>
  <c r="EW99" i="5" a="1"/>
  <c r="EW99" i="5" s="1"/>
  <c r="EX99" i="5" a="1"/>
  <c r="EX99" i="5" s="1"/>
  <c r="EY99" i="5" a="1"/>
  <c r="EY99" i="5" s="1"/>
  <c r="EZ99" i="5" a="1"/>
  <c r="EZ99" i="5" s="1"/>
  <c r="FA99" i="5" a="1"/>
  <c r="FA99" i="5" s="1"/>
  <c r="FB99" i="5" a="1"/>
  <c r="FB99" i="5" s="1"/>
  <c r="FC99" i="5" a="1"/>
  <c r="FC99" i="5" s="1"/>
  <c r="FD99" i="5" a="1"/>
  <c r="FD99" i="5" s="1"/>
  <c r="FE99" i="5" a="1"/>
  <c r="FE99" i="5" s="1"/>
  <c r="FF99" i="5" a="1"/>
  <c r="FF99" i="5" s="1"/>
  <c r="FG99" i="5" a="1"/>
  <c r="FG99" i="5" s="1"/>
  <c r="FH99" i="5" a="1"/>
  <c r="FH99" i="5" s="1"/>
  <c r="FI99" i="5" a="1"/>
  <c r="FI99" i="5" s="1"/>
  <c r="FJ99" i="5" a="1"/>
  <c r="FJ99" i="5" s="1"/>
  <c r="FK99" i="5" a="1"/>
  <c r="FK99" i="5" s="1"/>
  <c r="FL99" i="5" a="1"/>
  <c r="FL99" i="5" s="1"/>
  <c r="FM99" i="5" a="1"/>
  <c r="FM99" i="5" s="1"/>
  <c r="FN99" i="5" a="1"/>
  <c r="FN99" i="5" s="1"/>
  <c r="FO99" i="5" a="1"/>
  <c r="FO99" i="5" s="1"/>
  <c r="EI100" i="5" a="1"/>
  <c r="EI100" i="5" s="1"/>
  <c r="EJ100" i="5" a="1"/>
  <c r="EJ100" i="5" s="1"/>
  <c r="EK100" i="5" a="1"/>
  <c r="EK100" i="5" s="1"/>
  <c r="EL100" i="5" a="1"/>
  <c r="EL100" i="5" s="1"/>
  <c r="EM100" i="5" a="1"/>
  <c r="EM100" i="5" s="1"/>
  <c r="EN100" i="5" a="1"/>
  <c r="EN100" i="5" s="1"/>
  <c r="EO100" i="5" a="1"/>
  <c r="EO100" i="5" s="1"/>
  <c r="EP100" i="5" a="1"/>
  <c r="EP100" i="5" s="1"/>
  <c r="EQ100" i="5" a="1"/>
  <c r="EQ100" i="5" s="1"/>
  <c r="ER100" i="5" a="1"/>
  <c r="ER100" i="5" s="1"/>
  <c r="ES100" i="5" a="1"/>
  <c r="ES100" i="5" s="1"/>
  <c r="ET100" i="5" a="1"/>
  <c r="ET100" i="5" s="1"/>
  <c r="EU100" i="5" a="1"/>
  <c r="EU100" i="5" s="1"/>
  <c r="EV100" i="5" a="1"/>
  <c r="EV100" i="5" s="1"/>
  <c r="EW100" i="5" a="1"/>
  <c r="EW100" i="5" s="1"/>
  <c r="EX100" i="5" a="1"/>
  <c r="EX100" i="5" s="1"/>
  <c r="EY100" i="5" a="1"/>
  <c r="EY100" i="5" s="1"/>
  <c r="EZ100" i="5" a="1"/>
  <c r="EZ100" i="5" s="1"/>
  <c r="FA100" i="5" a="1"/>
  <c r="FA100" i="5" s="1"/>
  <c r="FB100" i="5" a="1"/>
  <c r="FB100" i="5" s="1"/>
  <c r="FC100" i="5" a="1"/>
  <c r="FC100" i="5" s="1"/>
  <c r="FD100" i="5" a="1"/>
  <c r="FD100" i="5" s="1"/>
  <c r="FE100" i="5" a="1"/>
  <c r="FE100" i="5" s="1"/>
  <c r="FF100" i="5" a="1"/>
  <c r="FF100" i="5" s="1"/>
  <c r="FG100" i="5" a="1"/>
  <c r="FG100" i="5" s="1"/>
  <c r="FH100" i="5" a="1"/>
  <c r="FH100" i="5" s="1"/>
  <c r="FI100" i="5" a="1"/>
  <c r="FI100" i="5" s="1"/>
  <c r="FJ100" i="5" a="1"/>
  <c r="FJ100" i="5" s="1"/>
  <c r="FK100" i="5" a="1"/>
  <c r="FK100" i="5" s="1"/>
  <c r="FL100" i="5" a="1"/>
  <c r="FL100" i="5" s="1"/>
  <c r="FM100" i="5" a="1"/>
  <c r="FM100" i="5" s="1"/>
  <c r="FN100" i="5" a="1"/>
  <c r="FN100" i="5" s="1"/>
  <c r="FO100" i="5" a="1"/>
  <c r="FO100" i="5" s="1"/>
  <c r="EI101" i="5" a="1"/>
  <c r="EI101" i="5" s="1"/>
  <c r="EJ101" i="5" a="1"/>
  <c r="EJ101" i="5" s="1"/>
  <c r="EK101" i="5" a="1"/>
  <c r="EK101" i="5" s="1"/>
  <c r="EL101" i="5" a="1"/>
  <c r="EL101" i="5" s="1"/>
  <c r="EM101" i="5" a="1"/>
  <c r="EM101" i="5" s="1"/>
  <c r="EN101" i="5" a="1"/>
  <c r="EN101" i="5" s="1"/>
  <c r="EO101" i="5" a="1"/>
  <c r="EO101" i="5" s="1"/>
  <c r="EP101" i="5" a="1"/>
  <c r="EP101" i="5" s="1"/>
  <c r="EQ101" i="5" a="1"/>
  <c r="EQ101" i="5" s="1"/>
  <c r="ER101" i="5" a="1"/>
  <c r="ER101" i="5" s="1"/>
  <c r="ES101" i="5" a="1"/>
  <c r="ES101" i="5" s="1"/>
  <c r="ET101" i="5" a="1"/>
  <c r="ET101" i="5" s="1"/>
  <c r="EU101" i="5" a="1"/>
  <c r="EU101" i="5" s="1"/>
  <c r="EV101" i="5" a="1"/>
  <c r="EV101" i="5" s="1"/>
  <c r="EW101" i="5" a="1"/>
  <c r="EW101" i="5" s="1"/>
  <c r="EX101" i="5" a="1"/>
  <c r="EX101" i="5" s="1"/>
  <c r="EY101" i="5" a="1"/>
  <c r="EY101" i="5" s="1"/>
  <c r="EZ101" i="5" a="1"/>
  <c r="EZ101" i="5" s="1"/>
  <c r="FA101" i="5" a="1"/>
  <c r="FA101" i="5" s="1"/>
  <c r="FB101" i="5" a="1"/>
  <c r="FB101" i="5" s="1"/>
  <c r="FC101" i="5" a="1"/>
  <c r="FC101" i="5" s="1"/>
  <c r="FD101" i="5" a="1"/>
  <c r="FD101" i="5" s="1"/>
  <c r="FE101" i="5" a="1"/>
  <c r="FE101" i="5" s="1"/>
  <c r="FF101" i="5" a="1"/>
  <c r="FF101" i="5" s="1"/>
  <c r="FG101" i="5" a="1"/>
  <c r="FG101" i="5" s="1"/>
  <c r="FH101" i="5" a="1"/>
  <c r="FH101" i="5" s="1"/>
  <c r="FI101" i="5" a="1"/>
  <c r="FI101" i="5" s="1"/>
  <c r="FJ101" i="5" a="1"/>
  <c r="FJ101" i="5" s="1"/>
  <c r="FK101" i="5" a="1"/>
  <c r="FK101" i="5" s="1"/>
  <c r="FL101" i="5" a="1"/>
  <c r="FL101" i="5" s="1"/>
  <c r="FM101" i="5" a="1"/>
  <c r="FM101" i="5" s="1"/>
  <c r="FN101" i="5" a="1"/>
  <c r="FN101" i="5" s="1"/>
  <c r="FO101" i="5" a="1"/>
  <c r="FO101" i="5" s="1"/>
  <c r="EI102" i="5" a="1"/>
  <c r="EI102" i="5" s="1"/>
  <c r="EJ102" i="5" a="1"/>
  <c r="EJ102" i="5" s="1"/>
  <c r="EK102" i="5" a="1"/>
  <c r="EK102" i="5" s="1"/>
  <c r="EL102" i="5" a="1"/>
  <c r="EL102" i="5" s="1"/>
  <c r="EM102" i="5" a="1"/>
  <c r="EM102" i="5" s="1"/>
  <c r="EN102" i="5" a="1"/>
  <c r="EN102" i="5" s="1"/>
  <c r="EO102" i="5" a="1"/>
  <c r="EO102" i="5" s="1"/>
  <c r="EP102" i="5" a="1"/>
  <c r="EP102" i="5" s="1"/>
  <c r="EQ102" i="5" a="1"/>
  <c r="EQ102" i="5" s="1"/>
  <c r="ER102" i="5" a="1"/>
  <c r="ER102" i="5" s="1"/>
  <c r="ES102" i="5" a="1"/>
  <c r="ES102" i="5" s="1"/>
  <c r="ET102" i="5" a="1"/>
  <c r="ET102" i="5" s="1"/>
  <c r="EU102" i="5" a="1"/>
  <c r="EU102" i="5" s="1"/>
  <c r="EV102" i="5" a="1"/>
  <c r="EV102" i="5" s="1"/>
  <c r="EW102" i="5" a="1"/>
  <c r="EW102" i="5" s="1"/>
  <c r="EX102" i="5" a="1"/>
  <c r="EX102" i="5" s="1"/>
  <c r="EY102" i="5" a="1"/>
  <c r="EY102" i="5" s="1"/>
  <c r="EZ102" i="5" a="1"/>
  <c r="EZ102" i="5" s="1"/>
  <c r="FA102" i="5" a="1"/>
  <c r="FA102" i="5" s="1"/>
  <c r="FB102" i="5" a="1"/>
  <c r="FB102" i="5" s="1"/>
  <c r="FC102" i="5" a="1"/>
  <c r="FC102" i="5" s="1"/>
  <c r="FD102" i="5" a="1"/>
  <c r="FD102" i="5" s="1"/>
  <c r="FE102" i="5" a="1"/>
  <c r="FE102" i="5" s="1"/>
  <c r="FF102" i="5" a="1"/>
  <c r="FF102" i="5" s="1"/>
  <c r="FG102" i="5" a="1"/>
  <c r="FG102" i="5" s="1"/>
  <c r="FH102" i="5" a="1"/>
  <c r="FH102" i="5" s="1"/>
  <c r="FI102" i="5" a="1"/>
  <c r="FI102" i="5" s="1"/>
  <c r="FJ102" i="5" a="1"/>
  <c r="FJ102" i="5" s="1"/>
  <c r="FK102" i="5" a="1"/>
  <c r="FK102" i="5" s="1"/>
  <c r="FL102" i="5" a="1"/>
  <c r="FL102" i="5" s="1"/>
  <c r="FM102" i="5" a="1"/>
  <c r="FM102" i="5" s="1"/>
  <c r="FN102" i="5" a="1"/>
  <c r="FN102" i="5" s="1"/>
  <c r="FO102" i="5" a="1"/>
  <c r="FO102" i="5" s="1"/>
  <c r="EI103" i="5" a="1"/>
  <c r="EI103" i="5" s="1"/>
  <c r="EJ103" i="5" a="1"/>
  <c r="EJ103" i="5" s="1"/>
  <c r="EK103" i="5" a="1"/>
  <c r="EK103" i="5" s="1"/>
  <c r="EL103" i="5" a="1"/>
  <c r="EL103" i="5" s="1"/>
  <c r="EM103" i="5" a="1"/>
  <c r="EM103" i="5" s="1"/>
  <c r="EN103" i="5" a="1"/>
  <c r="EN103" i="5" s="1"/>
  <c r="EO103" i="5" a="1"/>
  <c r="EO103" i="5" s="1"/>
  <c r="EP103" i="5" a="1"/>
  <c r="EP103" i="5" s="1"/>
  <c r="EQ103" i="5" a="1"/>
  <c r="EQ103" i="5" s="1"/>
  <c r="ER103" i="5" a="1"/>
  <c r="ER103" i="5" s="1"/>
  <c r="ES103" i="5" a="1"/>
  <c r="ES103" i="5" s="1"/>
  <c r="ET103" i="5" a="1"/>
  <c r="ET103" i="5" s="1"/>
  <c r="EU103" i="5" a="1"/>
  <c r="EU103" i="5" s="1"/>
  <c r="EV103" i="5" a="1"/>
  <c r="EV103" i="5" s="1"/>
  <c r="EW103" i="5" a="1"/>
  <c r="EW103" i="5" s="1"/>
  <c r="EX103" i="5" a="1"/>
  <c r="EX103" i="5" s="1"/>
  <c r="EY103" i="5" a="1"/>
  <c r="EY103" i="5" s="1"/>
  <c r="EZ103" i="5" a="1"/>
  <c r="EZ103" i="5" s="1"/>
  <c r="FA103" i="5" a="1"/>
  <c r="FA103" i="5" s="1"/>
  <c r="FB103" i="5" a="1"/>
  <c r="FB103" i="5" s="1"/>
  <c r="FC103" i="5" a="1"/>
  <c r="FC103" i="5" s="1"/>
  <c r="FD103" i="5" a="1"/>
  <c r="FD103" i="5" s="1"/>
  <c r="FE103" i="5" a="1"/>
  <c r="FE103" i="5" s="1"/>
  <c r="FF103" i="5" a="1"/>
  <c r="FF103" i="5" s="1"/>
  <c r="FG103" i="5" a="1"/>
  <c r="FG103" i="5" s="1"/>
  <c r="FH103" i="5" a="1"/>
  <c r="FH103" i="5" s="1"/>
  <c r="FI103" i="5" a="1"/>
  <c r="FI103" i="5" s="1"/>
  <c r="FJ103" i="5" a="1"/>
  <c r="FJ103" i="5" s="1"/>
  <c r="FK103" i="5" a="1"/>
  <c r="FK103" i="5" s="1"/>
  <c r="FL103" i="5" a="1"/>
  <c r="FL103" i="5" s="1"/>
  <c r="FM103" i="5" a="1"/>
  <c r="FM103" i="5" s="1"/>
  <c r="FN103" i="5" a="1"/>
  <c r="FN103" i="5" s="1"/>
  <c r="FO103" i="5" a="1"/>
  <c r="FO103" i="5" s="1"/>
  <c r="EI104" i="5" a="1"/>
  <c r="EI104" i="5" s="1"/>
  <c r="EJ104" i="5" a="1"/>
  <c r="EJ104" i="5" s="1"/>
  <c r="EK104" i="5" a="1"/>
  <c r="EK104" i="5" s="1"/>
  <c r="EL104" i="5" a="1"/>
  <c r="EL104" i="5" s="1"/>
  <c r="EM104" i="5" a="1"/>
  <c r="EM104" i="5" s="1"/>
  <c r="EN104" i="5" a="1"/>
  <c r="EN104" i="5" s="1"/>
  <c r="EO104" i="5" a="1"/>
  <c r="EO104" i="5" s="1"/>
  <c r="EP104" i="5" a="1"/>
  <c r="EP104" i="5" s="1"/>
  <c r="EQ104" i="5" a="1"/>
  <c r="EQ104" i="5" s="1"/>
  <c r="ER104" i="5" a="1"/>
  <c r="ER104" i="5" s="1"/>
  <c r="ES104" i="5" a="1"/>
  <c r="ES104" i="5" s="1"/>
  <c r="ET104" i="5" a="1"/>
  <c r="ET104" i="5" s="1"/>
  <c r="EU104" i="5" a="1"/>
  <c r="EU104" i="5" s="1"/>
  <c r="EV104" i="5" a="1"/>
  <c r="EV104" i="5" s="1"/>
  <c r="EW104" i="5" a="1"/>
  <c r="EW104" i="5" s="1"/>
  <c r="EX104" i="5" a="1"/>
  <c r="EX104" i="5" s="1"/>
  <c r="EY104" i="5" a="1"/>
  <c r="EY104" i="5" s="1"/>
  <c r="EZ104" i="5" a="1"/>
  <c r="EZ104" i="5" s="1"/>
  <c r="FA104" i="5" a="1"/>
  <c r="FA104" i="5" s="1"/>
  <c r="FB104" i="5" a="1"/>
  <c r="FB104" i="5" s="1"/>
  <c r="FC104" i="5" a="1"/>
  <c r="FC104" i="5" s="1"/>
  <c r="FD104" i="5" a="1"/>
  <c r="FD104" i="5" s="1"/>
  <c r="FE104" i="5" a="1"/>
  <c r="FE104" i="5" s="1"/>
  <c r="FF104" i="5" a="1"/>
  <c r="FF104" i="5" s="1"/>
  <c r="FG104" i="5" a="1"/>
  <c r="FG104" i="5" s="1"/>
  <c r="FH104" i="5" a="1"/>
  <c r="FH104" i="5" s="1"/>
  <c r="FI104" i="5" a="1"/>
  <c r="FI104" i="5" s="1"/>
  <c r="FJ104" i="5" a="1"/>
  <c r="FJ104" i="5" s="1"/>
  <c r="FK104" i="5" a="1"/>
  <c r="FK104" i="5" s="1"/>
  <c r="FL104" i="5" a="1"/>
  <c r="FL104" i="5" s="1"/>
  <c r="FM104" i="5" a="1"/>
  <c r="FM104" i="5" s="1"/>
  <c r="FN104" i="5" a="1"/>
  <c r="FN104" i="5" s="1"/>
  <c r="FO104" i="5" a="1"/>
  <c r="FO104" i="5" s="1"/>
  <c r="EI105" i="5" a="1"/>
  <c r="EI105" i="5" s="1"/>
  <c r="EJ105" i="5" a="1"/>
  <c r="EJ105" i="5" s="1"/>
  <c r="EK105" i="5" a="1"/>
  <c r="EK105" i="5" s="1"/>
  <c r="EL105" i="5" a="1"/>
  <c r="EL105" i="5" s="1"/>
  <c r="EM105" i="5" a="1"/>
  <c r="EM105" i="5" s="1"/>
  <c r="EN105" i="5" a="1"/>
  <c r="EN105" i="5" s="1"/>
  <c r="EO105" i="5" a="1"/>
  <c r="EO105" i="5" s="1"/>
  <c r="EP105" i="5" a="1"/>
  <c r="EP105" i="5" s="1"/>
  <c r="EQ105" i="5" a="1"/>
  <c r="EQ105" i="5" s="1"/>
  <c r="ER105" i="5" a="1"/>
  <c r="ER105" i="5" s="1"/>
  <c r="ES105" i="5" a="1"/>
  <c r="ES105" i="5" s="1"/>
  <c r="ET105" i="5" a="1"/>
  <c r="ET105" i="5" s="1"/>
  <c r="EU105" i="5" a="1"/>
  <c r="EU105" i="5" s="1"/>
  <c r="EV105" i="5" a="1"/>
  <c r="EV105" i="5" s="1"/>
  <c r="EW105" i="5" a="1"/>
  <c r="EW105" i="5" s="1"/>
  <c r="EX105" i="5" a="1"/>
  <c r="EX105" i="5" s="1"/>
  <c r="EY105" i="5" a="1"/>
  <c r="EY105" i="5" s="1"/>
  <c r="EZ105" i="5" a="1"/>
  <c r="EZ105" i="5" s="1"/>
  <c r="FA105" i="5" a="1"/>
  <c r="FA105" i="5" s="1"/>
  <c r="FB105" i="5" a="1"/>
  <c r="FB105" i="5" s="1"/>
  <c r="FC105" i="5" a="1"/>
  <c r="FC105" i="5" s="1"/>
  <c r="FD105" i="5" a="1"/>
  <c r="FD105" i="5" s="1"/>
  <c r="FE105" i="5" a="1"/>
  <c r="FE105" i="5" s="1"/>
  <c r="FF105" i="5" a="1"/>
  <c r="FF105" i="5" s="1"/>
  <c r="FG105" i="5" a="1"/>
  <c r="FG105" i="5" s="1"/>
  <c r="FH105" i="5" a="1"/>
  <c r="FH105" i="5" s="1"/>
  <c r="FI105" i="5" a="1"/>
  <c r="FI105" i="5" s="1"/>
  <c r="FJ105" i="5" a="1"/>
  <c r="FJ105" i="5" s="1"/>
  <c r="FK105" i="5" a="1"/>
  <c r="FK105" i="5" s="1"/>
  <c r="FL105" i="5" a="1"/>
  <c r="FL105" i="5" s="1"/>
  <c r="FM105" i="5" a="1"/>
  <c r="FM105" i="5" s="1"/>
  <c r="FN105" i="5" a="1"/>
  <c r="FN105" i="5" s="1"/>
  <c r="FO105" i="5" a="1"/>
  <c r="FO105" i="5" s="1"/>
  <c r="EI106" i="5" a="1"/>
  <c r="EI106" i="5" s="1"/>
  <c r="EJ106" i="5" a="1"/>
  <c r="EJ106" i="5" s="1"/>
  <c r="EK106" i="5" a="1"/>
  <c r="EK106" i="5" s="1"/>
  <c r="EL106" i="5" a="1"/>
  <c r="EL106" i="5" s="1"/>
  <c r="EM106" i="5" a="1"/>
  <c r="EM106" i="5" s="1"/>
  <c r="EN106" i="5" a="1"/>
  <c r="EN106" i="5" s="1"/>
  <c r="EO106" i="5" a="1"/>
  <c r="EO106" i="5" s="1"/>
  <c r="EP106" i="5" a="1"/>
  <c r="EP106" i="5" s="1"/>
  <c r="EQ106" i="5" a="1"/>
  <c r="EQ106" i="5" s="1"/>
  <c r="ER106" i="5" a="1"/>
  <c r="ER106" i="5" s="1"/>
  <c r="ES106" i="5" a="1"/>
  <c r="ES106" i="5" s="1"/>
  <c r="ET106" i="5" a="1"/>
  <c r="ET106" i="5" s="1"/>
  <c r="EU106" i="5" a="1"/>
  <c r="EU106" i="5" s="1"/>
  <c r="EV106" i="5" a="1"/>
  <c r="EV106" i="5" s="1"/>
  <c r="EW106" i="5" a="1"/>
  <c r="EW106" i="5" s="1"/>
  <c r="EX106" i="5" a="1"/>
  <c r="EX106" i="5" s="1"/>
  <c r="EY106" i="5" a="1"/>
  <c r="EY106" i="5" s="1"/>
  <c r="EZ106" i="5" a="1"/>
  <c r="EZ106" i="5" s="1"/>
  <c r="FA106" i="5" a="1"/>
  <c r="FA106" i="5" s="1"/>
  <c r="FB106" i="5" a="1"/>
  <c r="FB106" i="5" s="1"/>
  <c r="FC106" i="5" a="1"/>
  <c r="FC106" i="5" s="1"/>
  <c r="FD106" i="5" a="1"/>
  <c r="FD106" i="5" s="1"/>
  <c r="FE106" i="5" a="1"/>
  <c r="FE106" i="5" s="1"/>
  <c r="FF106" i="5" a="1"/>
  <c r="FF106" i="5" s="1"/>
  <c r="FG106" i="5" a="1"/>
  <c r="FG106" i="5" s="1"/>
  <c r="FH106" i="5" a="1"/>
  <c r="FH106" i="5" s="1"/>
  <c r="FI106" i="5" a="1"/>
  <c r="FI106" i="5" s="1"/>
  <c r="FJ106" i="5" a="1"/>
  <c r="FJ106" i="5" s="1"/>
  <c r="FK106" i="5" a="1"/>
  <c r="FK106" i="5" s="1"/>
  <c r="FL106" i="5" a="1"/>
  <c r="FL106" i="5" s="1"/>
  <c r="FM106" i="5" a="1"/>
  <c r="FM106" i="5" s="1"/>
  <c r="FN106" i="5" a="1"/>
  <c r="FN106" i="5" s="1"/>
  <c r="FO106" i="5" a="1"/>
  <c r="FO106" i="5" s="1"/>
  <c r="EI107" i="5" a="1"/>
  <c r="EI107" i="5" s="1"/>
  <c r="EJ107" i="5" a="1"/>
  <c r="EJ107" i="5" s="1"/>
  <c r="EK107" i="5" a="1"/>
  <c r="EK107" i="5" s="1"/>
  <c r="EL107" i="5" a="1"/>
  <c r="EL107" i="5" s="1"/>
  <c r="EM107" i="5" a="1"/>
  <c r="EM107" i="5" s="1"/>
  <c r="EN107" i="5" a="1"/>
  <c r="EN107" i="5" s="1"/>
  <c r="EO107" i="5" a="1"/>
  <c r="EO107" i="5" s="1"/>
  <c r="EP107" i="5" a="1"/>
  <c r="EP107" i="5" s="1"/>
  <c r="EQ107" i="5" a="1"/>
  <c r="EQ107" i="5" s="1"/>
  <c r="ER107" i="5" a="1"/>
  <c r="ER107" i="5" s="1"/>
  <c r="ES107" i="5" a="1"/>
  <c r="ES107" i="5" s="1"/>
  <c r="ET107" i="5" a="1"/>
  <c r="ET107" i="5" s="1"/>
  <c r="EU107" i="5" a="1"/>
  <c r="EU107" i="5" s="1"/>
  <c r="EV107" i="5" a="1"/>
  <c r="EV107" i="5" s="1"/>
  <c r="EW107" i="5" a="1"/>
  <c r="EW107" i="5" s="1"/>
  <c r="EX107" i="5" a="1"/>
  <c r="EX107" i="5" s="1"/>
  <c r="EY107" i="5" a="1"/>
  <c r="EY107" i="5" s="1"/>
  <c r="EZ107" i="5" a="1"/>
  <c r="EZ107" i="5" s="1"/>
  <c r="FA107" i="5" a="1"/>
  <c r="FA107" i="5" s="1"/>
  <c r="FB107" i="5" a="1"/>
  <c r="FB107" i="5" s="1"/>
  <c r="FC107" i="5" a="1"/>
  <c r="FC107" i="5" s="1"/>
  <c r="FD107" i="5" a="1"/>
  <c r="FD107" i="5" s="1"/>
  <c r="FE107" i="5" a="1"/>
  <c r="FE107" i="5" s="1"/>
  <c r="FF107" i="5" a="1"/>
  <c r="FF107" i="5" s="1"/>
  <c r="FG107" i="5" a="1"/>
  <c r="FG107" i="5" s="1"/>
  <c r="FH107" i="5" a="1"/>
  <c r="FH107" i="5" s="1"/>
  <c r="FI107" i="5" a="1"/>
  <c r="FI107" i="5" s="1"/>
  <c r="FJ107" i="5" a="1"/>
  <c r="FJ107" i="5" s="1"/>
  <c r="FK107" i="5" a="1"/>
  <c r="FK107" i="5" s="1"/>
  <c r="FL107" i="5" a="1"/>
  <c r="FL107" i="5" s="1"/>
  <c r="FM107" i="5" a="1"/>
  <c r="FM107" i="5" s="1"/>
  <c r="FN107" i="5" a="1"/>
  <c r="FN107" i="5" s="1"/>
  <c r="FO107" i="5" a="1"/>
  <c r="FO107" i="5" s="1"/>
  <c r="EI108" i="5" a="1"/>
  <c r="EI108" i="5" s="1"/>
  <c r="EJ108" i="5" a="1"/>
  <c r="EJ108" i="5" s="1"/>
  <c r="EK108" i="5" a="1"/>
  <c r="EK108" i="5" s="1"/>
  <c r="EL108" i="5" a="1"/>
  <c r="EL108" i="5" s="1"/>
  <c r="EM108" i="5" a="1"/>
  <c r="EM108" i="5" s="1"/>
  <c r="EN108" i="5" a="1"/>
  <c r="EN108" i="5" s="1"/>
  <c r="EO108" i="5" a="1"/>
  <c r="EO108" i="5" s="1"/>
  <c r="EP108" i="5" a="1"/>
  <c r="EP108" i="5" s="1"/>
  <c r="EQ108" i="5" a="1"/>
  <c r="EQ108" i="5" s="1"/>
  <c r="ER108" i="5" a="1"/>
  <c r="ER108" i="5" s="1"/>
  <c r="ES108" i="5" a="1"/>
  <c r="ES108" i="5" s="1"/>
  <c r="ET108" i="5" a="1"/>
  <c r="ET108" i="5" s="1"/>
  <c r="EU108" i="5" a="1"/>
  <c r="EU108" i="5" s="1"/>
  <c r="EV108" i="5" a="1"/>
  <c r="EV108" i="5" s="1"/>
  <c r="EW108" i="5" a="1"/>
  <c r="EW108" i="5" s="1"/>
  <c r="EX108" i="5" a="1"/>
  <c r="EX108" i="5" s="1"/>
  <c r="EY108" i="5" a="1"/>
  <c r="EY108" i="5" s="1"/>
  <c r="EZ108" i="5" a="1"/>
  <c r="EZ108" i="5" s="1"/>
  <c r="FA108" i="5" a="1"/>
  <c r="FA108" i="5" s="1"/>
  <c r="FB108" i="5" a="1"/>
  <c r="FB108" i="5" s="1"/>
  <c r="FC108" i="5" a="1"/>
  <c r="FC108" i="5" s="1"/>
  <c r="FD108" i="5" a="1"/>
  <c r="FD108" i="5" s="1"/>
  <c r="FE108" i="5" a="1"/>
  <c r="FE108" i="5" s="1"/>
  <c r="FF108" i="5" a="1"/>
  <c r="FF108" i="5" s="1"/>
  <c r="FG108" i="5" a="1"/>
  <c r="FG108" i="5" s="1"/>
  <c r="FH108" i="5" a="1"/>
  <c r="FH108" i="5" s="1"/>
  <c r="FI108" i="5" a="1"/>
  <c r="FI108" i="5" s="1"/>
  <c r="FJ108" i="5" a="1"/>
  <c r="FJ108" i="5" s="1"/>
  <c r="FK108" i="5" a="1"/>
  <c r="FK108" i="5" s="1"/>
  <c r="FL108" i="5" a="1"/>
  <c r="FL108" i="5" s="1"/>
  <c r="FM108" i="5" a="1"/>
  <c r="FM108" i="5" s="1"/>
  <c r="FN108" i="5" a="1"/>
  <c r="FN108" i="5" s="1"/>
  <c r="FO108" i="5" a="1"/>
  <c r="FO108" i="5" s="1"/>
  <c r="EI109" i="5" a="1"/>
  <c r="EI109" i="5" s="1"/>
  <c r="EJ109" i="5" a="1"/>
  <c r="EJ109" i="5" s="1"/>
  <c r="EK109" i="5" a="1"/>
  <c r="EK109" i="5" s="1"/>
  <c r="EL109" i="5" a="1"/>
  <c r="EL109" i="5" s="1"/>
  <c r="EM109" i="5" a="1"/>
  <c r="EM109" i="5" s="1"/>
  <c r="EN109" i="5" a="1"/>
  <c r="EN109" i="5" s="1"/>
  <c r="EO109" i="5" a="1"/>
  <c r="EO109" i="5" s="1"/>
  <c r="EP109" i="5" a="1"/>
  <c r="EP109" i="5" s="1"/>
  <c r="EQ109" i="5" a="1"/>
  <c r="EQ109" i="5" s="1"/>
  <c r="ER109" i="5" a="1"/>
  <c r="ER109" i="5" s="1"/>
  <c r="ES109" i="5" a="1"/>
  <c r="ES109" i="5" s="1"/>
  <c r="ET109" i="5" a="1"/>
  <c r="ET109" i="5" s="1"/>
  <c r="EU109" i="5" a="1"/>
  <c r="EU109" i="5" s="1"/>
  <c r="EV109" i="5" a="1"/>
  <c r="EV109" i="5" s="1"/>
  <c r="EW109" i="5" a="1"/>
  <c r="EW109" i="5" s="1"/>
  <c r="EX109" i="5" a="1"/>
  <c r="EX109" i="5" s="1"/>
  <c r="EY109" i="5" a="1"/>
  <c r="EY109" i="5" s="1"/>
  <c r="EZ109" i="5" a="1"/>
  <c r="EZ109" i="5" s="1"/>
  <c r="FA109" i="5" a="1"/>
  <c r="FA109" i="5" s="1"/>
  <c r="FB109" i="5" a="1"/>
  <c r="FB109" i="5" s="1"/>
  <c r="FC109" i="5" a="1"/>
  <c r="FC109" i="5" s="1"/>
  <c r="FD109" i="5" a="1"/>
  <c r="FD109" i="5" s="1"/>
  <c r="FE109" i="5" a="1"/>
  <c r="FE109" i="5" s="1"/>
  <c r="FF109" i="5" a="1"/>
  <c r="FF109" i="5" s="1"/>
  <c r="FG109" i="5" a="1"/>
  <c r="FG109" i="5" s="1"/>
  <c r="FH109" i="5" a="1"/>
  <c r="FH109" i="5" s="1"/>
  <c r="FI109" i="5" a="1"/>
  <c r="FI109" i="5" s="1"/>
  <c r="FJ109" i="5" a="1"/>
  <c r="FJ109" i="5" s="1"/>
  <c r="FK109" i="5" a="1"/>
  <c r="FK109" i="5" s="1"/>
  <c r="FL109" i="5" a="1"/>
  <c r="FL109" i="5" s="1"/>
  <c r="FM109" i="5" a="1"/>
  <c r="FM109" i="5" s="1"/>
  <c r="FN109" i="5" a="1"/>
  <c r="FN109" i="5" s="1"/>
  <c r="FO109" i="5" a="1"/>
  <c r="FO109" i="5" s="1"/>
  <c r="EI110" i="5" a="1"/>
  <c r="EI110" i="5" s="1"/>
  <c r="EJ110" i="5" a="1"/>
  <c r="EJ110" i="5" s="1"/>
  <c r="EK110" i="5" a="1"/>
  <c r="EK110" i="5" s="1"/>
  <c r="EL110" i="5" a="1"/>
  <c r="EL110" i="5" s="1"/>
  <c r="EM110" i="5" a="1"/>
  <c r="EM110" i="5" s="1"/>
  <c r="EN110" i="5" a="1"/>
  <c r="EN110" i="5" s="1"/>
  <c r="EO110" i="5" a="1"/>
  <c r="EO110" i="5" s="1"/>
  <c r="EP110" i="5" a="1"/>
  <c r="EP110" i="5" s="1"/>
  <c r="EQ110" i="5" a="1"/>
  <c r="EQ110" i="5" s="1"/>
  <c r="ER110" i="5" a="1"/>
  <c r="ER110" i="5" s="1"/>
  <c r="ES110" i="5" a="1"/>
  <c r="ES110" i="5" s="1"/>
  <c r="ET110" i="5" a="1"/>
  <c r="ET110" i="5" s="1"/>
  <c r="EU110" i="5" a="1"/>
  <c r="EU110" i="5" s="1"/>
  <c r="EV110" i="5" a="1"/>
  <c r="EV110" i="5" s="1"/>
  <c r="EW110" i="5" a="1"/>
  <c r="EW110" i="5" s="1"/>
  <c r="EX110" i="5" a="1"/>
  <c r="EX110" i="5" s="1"/>
  <c r="EY110" i="5" a="1"/>
  <c r="EY110" i="5" s="1"/>
  <c r="EZ110" i="5" a="1"/>
  <c r="EZ110" i="5" s="1"/>
  <c r="FA110" i="5" a="1"/>
  <c r="FA110" i="5" s="1"/>
  <c r="FB110" i="5" a="1"/>
  <c r="FB110" i="5" s="1"/>
  <c r="FC110" i="5" a="1"/>
  <c r="FC110" i="5" s="1"/>
  <c r="FD110" i="5" a="1"/>
  <c r="FD110" i="5" s="1"/>
  <c r="FE110" i="5" a="1"/>
  <c r="FE110" i="5" s="1"/>
  <c r="FF110" i="5" a="1"/>
  <c r="FF110" i="5" s="1"/>
  <c r="FG110" i="5" a="1"/>
  <c r="FG110" i="5" s="1"/>
  <c r="FH110" i="5" a="1"/>
  <c r="FH110" i="5" s="1"/>
  <c r="FI110" i="5" a="1"/>
  <c r="FI110" i="5" s="1"/>
  <c r="FJ110" i="5" a="1"/>
  <c r="FJ110" i="5" s="1"/>
  <c r="FK110" i="5" a="1"/>
  <c r="FK110" i="5" s="1"/>
  <c r="FL110" i="5" a="1"/>
  <c r="FL110" i="5" s="1"/>
  <c r="FM110" i="5" a="1"/>
  <c r="FM110" i="5" s="1"/>
  <c r="FN110" i="5" a="1"/>
  <c r="FN110" i="5" s="1"/>
  <c r="FO110" i="5" a="1"/>
  <c r="FO110" i="5" s="1"/>
  <c r="EI111" i="5" a="1"/>
  <c r="EI111" i="5" s="1"/>
  <c r="EJ111" i="5" a="1"/>
  <c r="EJ111" i="5" s="1"/>
  <c r="EK111" i="5" a="1"/>
  <c r="EK111" i="5" s="1"/>
  <c r="EL111" i="5" a="1"/>
  <c r="EL111" i="5" s="1"/>
  <c r="EM111" i="5" a="1"/>
  <c r="EM111" i="5" s="1"/>
  <c r="EN111" i="5" a="1"/>
  <c r="EN111" i="5" s="1"/>
  <c r="EO111" i="5" a="1"/>
  <c r="EO111" i="5" s="1"/>
  <c r="EP111" i="5" a="1"/>
  <c r="EP111" i="5" s="1"/>
  <c r="EQ111" i="5" a="1"/>
  <c r="EQ111" i="5" s="1"/>
  <c r="ER111" i="5" a="1"/>
  <c r="ER111" i="5" s="1"/>
  <c r="ES111" i="5" a="1"/>
  <c r="ES111" i="5" s="1"/>
  <c r="ET111" i="5" a="1"/>
  <c r="ET111" i="5" s="1"/>
  <c r="EU111" i="5" a="1"/>
  <c r="EU111" i="5" s="1"/>
  <c r="EV111" i="5" a="1"/>
  <c r="EV111" i="5" s="1"/>
  <c r="EW111" i="5" a="1"/>
  <c r="EW111" i="5" s="1"/>
  <c r="EX111" i="5" a="1"/>
  <c r="EX111" i="5" s="1"/>
  <c r="EY111" i="5" a="1"/>
  <c r="EY111" i="5" s="1"/>
  <c r="EZ111" i="5" a="1"/>
  <c r="EZ111" i="5" s="1"/>
  <c r="FA111" i="5" a="1"/>
  <c r="FA111" i="5" s="1"/>
  <c r="FB111" i="5" a="1"/>
  <c r="FB111" i="5" s="1"/>
  <c r="FC111" i="5" a="1"/>
  <c r="FC111" i="5" s="1"/>
  <c r="FD111" i="5" a="1"/>
  <c r="FD111" i="5" s="1"/>
  <c r="FE111" i="5" a="1"/>
  <c r="FE111" i="5" s="1"/>
  <c r="FF111" i="5" a="1"/>
  <c r="FF111" i="5" s="1"/>
  <c r="FG111" i="5" a="1"/>
  <c r="FG111" i="5" s="1"/>
  <c r="FH111" i="5" a="1"/>
  <c r="FH111" i="5" s="1"/>
  <c r="FI111" i="5" a="1"/>
  <c r="FI111" i="5" s="1"/>
  <c r="FJ111" i="5" a="1"/>
  <c r="FJ111" i="5" s="1"/>
  <c r="FK111" i="5" a="1"/>
  <c r="FK111" i="5" s="1"/>
  <c r="FL111" i="5" a="1"/>
  <c r="FL111" i="5" s="1"/>
  <c r="FM111" i="5" a="1"/>
  <c r="FM111" i="5" s="1"/>
  <c r="FN111" i="5" a="1"/>
  <c r="FN111" i="5" s="1"/>
  <c r="FO111" i="5" a="1"/>
  <c r="FO111" i="5" s="1"/>
  <c r="EI112" i="5" a="1"/>
  <c r="EI112" i="5" s="1"/>
  <c r="EJ112" i="5" a="1"/>
  <c r="EJ112" i="5" s="1"/>
  <c r="EK112" i="5" a="1"/>
  <c r="EK112" i="5" s="1"/>
  <c r="EL112" i="5" a="1"/>
  <c r="EL112" i="5" s="1"/>
  <c r="EM112" i="5" a="1"/>
  <c r="EM112" i="5" s="1"/>
  <c r="EN112" i="5" a="1"/>
  <c r="EN112" i="5" s="1"/>
  <c r="EO112" i="5" a="1"/>
  <c r="EO112" i="5" s="1"/>
  <c r="EP112" i="5" a="1"/>
  <c r="EP112" i="5" s="1"/>
  <c r="EQ112" i="5" a="1"/>
  <c r="EQ112" i="5" s="1"/>
  <c r="ER112" i="5" a="1"/>
  <c r="ER112" i="5" s="1"/>
  <c r="ES112" i="5" a="1"/>
  <c r="ES112" i="5" s="1"/>
  <c r="ET112" i="5" a="1"/>
  <c r="ET112" i="5" s="1"/>
  <c r="EU112" i="5" a="1"/>
  <c r="EU112" i="5" s="1"/>
  <c r="EV112" i="5" a="1"/>
  <c r="EV112" i="5" s="1"/>
  <c r="EW112" i="5" a="1"/>
  <c r="EW112" i="5" s="1"/>
  <c r="EX112" i="5" a="1"/>
  <c r="EX112" i="5" s="1"/>
  <c r="EY112" i="5" a="1"/>
  <c r="EY112" i="5" s="1"/>
  <c r="EZ112" i="5" a="1"/>
  <c r="EZ112" i="5" s="1"/>
  <c r="FA112" i="5" a="1"/>
  <c r="FA112" i="5" s="1"/>
  <c r="FB112" i="5" a="1"/>
  <c r="FB112" i="5" s="1"/>
  <c r="FC112" i="5" a="1"/>
  <c r="FC112" i="5" s="1"/>
  <c r="FD112" i="5" a="1"/>
  <c r="FD112" i="5" s="1"/>
  <c r="FE112" i="5" a="1"/>
  <c r="FE112" i="5" s="1"/>
  <c r="FF112" i="5" a="1"/>
  <c r="FF112" i="5" s="1"/>
  <c r="FG112" i="5" a="1"/>
  <c r="FG112" i="5" s="1"/>
  <c r="FH112" i="5" a="1"/>
  <c r="FH112" i="5" s="1"/>
  <c r="FI112" i="5" a="1"/>
  <c r="FI112" i="5" s="1"/>
  <c r="FJ112" i="5" a="1"/>
  <c r="FJ112" i="5" s="1"/>
  <c r="FK112" i="5" a="1"/>
  <c r="FK112" i="5" s="1"/>
  <c r="FL112" i="5" a="1"/>
  <c r="FL112" i="5" s="1"/>
  <c r="FM112" i="5" a="1"/>
  <c r="FM112" i="5" s="1"/>
  <c r="FN112" i="5" a="1"/>
  <c r="FN112" i="5" s="1"/>
  <c r="FO112" i="5" a="1"/>
  <c r="FO112" i="5" s="1"/>
  <c r="EI113" i="5" a="1"/>
  <c r="EI113" i="5" s="1"/>
  <c r="EJ113" i="5" a="1"/>
  <c r="EJ113" i="5" s="1"/>
  <c r="EK113" i="5" a="1"/>
  <c r="EK113" i="5" s="1"/>
  <c r="EL113" i="5" a="1"/>
  <c r="EL113" i="5" s="1"/>
  <c r="EM113" i="5" a="1"/>
  <c r="EM113" i="5" s="1"/>
  <c r="EN113" i="5" a="1"/>
  <c r="EN113" i="5" s="1"/>
  <c r="EO113" i="5" a="1"/>
  <c r="EO113" i="5" s="1"/>
  <c r="EP113" i="5" a="1"/>
  <c r="EP113" i="5" s="1"/>
  <c r="EQ113" i="5" a="1"/>
  <c r="EQ113" i="5" s="1"/>
  <c r="ER113" i="5" a="1"/>
  <c r="ER113" i="5" s="1"/>
  <c r="ES113" i="5" a="1"/>
  <c r="ES113" i="5" s="1"/>
  <c r="ET113" i="5" a="1"/>
  <c r="ET113" i="5" s="1"/>
  <c r="EU113" i="5" a="1"/>
  <c r="EU113" i="5" s="1"/>
  <c r="EV113" i="5" a="1"/>
  <c r="EV113" i="5" s="1"/>
  <c r="EW113" i="5" a="1"/>
  <c r="EW113" i="5" s="1"/>
  <c r="EX113" i="5" a="1"/>
  <c r="EX113" i="5" s="1"/>
  <c r="EY113" i="5" a="1"/>
  <c r="EY113" i="5" s="1"/>
  <c r="EZ113" i="5" a="1"/>
  <c r="EZ113" i="5" s="1"/>
  <c r="FA113" i="5" a="1"/>
  <c r="FA113" i="5" s="1"/>
  <c r="FB113" i="5" a="1"/>
  <c r="FB113" i="5" s="1"/>
  <c r="FC113" i="5" a="1"/>
  <c r="FC113" i="5" s="1"/>
  <c r="FD113" i="5" a="1"/>
  <c r="FD113" i="5" s="1"/>
  <c r="FE113" i="5" a="1"/>
  <c r="FE113" i="5" s="1"/>
  <c r="FF113" i="5" a="1"/>
  <c r="FF113" i="5" s="1"/>
  <c r="FG113" i="5" a="1"/>
  <c r="FG113" i="5" s="1"/>
  <c r="FH113" i="5" a="1"/>
  <c r="FH113" i="5" s="1"/>
  <c r="FI113" i="5" a="1"/>
  <c r="FI113" i="5" s="1"/>
  <c r="FJ113" i="5" a="1"/>
  <c r="FJ113" i="5" s="1"/>
  <c r="FK113" i="5" a="1"/>
  <c r="FK113" i="5" s="1"/>
  <c r="FL113" i="5" a="1"/>
  <c r="FL113" i="5" s="1"/>
  <c r="FM113" i="5" a="1"/>
  <c r="FM113" i="5" s="1"/>
  <c r="FN113" i="5" a="1"/>
  <c r="FN113" i="5" s="1"/>
  <c r="FO113" i="5" a="1"/>
  <c r="FO113" i="5" s="1"/>
  <c r="EI114" i="5" a="1"/>
  <c r="EI114" i="5" s="1"/>
  <c r="EJ114" i="5" a="1"/>
  <c r="EJ114" i="5" s="1"/>
  <c r="EK114" i="5" a="1"/>
  <c r="EK114" i="5" s="1"/>
  <c r="EL114" i="5" a="1"/>
  <c r="EL114" i="5" s="1"/>
  <c r="EM114" i="5" a="1"/>
  <c r="EM114" i="5" s="1"/>
  <c r="EN114" i="5" a="1"/>
  <c r="EN114" i="5" s="1"/>
  <c r="EO114" i="5" a="1"/>
  <c r="EO114" i="5" s="1"/>
  <c r="EP114" i="5" a="1"/>
  <c r="EP114" i="5" s="1"/>
  <c r="EQ114" i="5" a="1"/>
  <c r="EQ114" i="5" s="1"/>
  <c r="ER114" i="5" a="1"/>
  <c r="ER114" i="5" s="1"/>
  <c r="ES114" i="5" a="1"/>
  <c r="ES114" i="5" s="1"/>
  <c r="ET114" i="5" a="1"/>
  <c r="ET114" i="5" s="1"/>
  <c r="EU114" i="5" a="1"/>
  <c r="EU114" i="5" s="1"/>
  <c r="EV114" i="5" a="1"/>
  <c r="EV114" i="5" s="1"/>
  <c r="EW114" i="5" a="1"/>
  <c r="EW114" i="5" s="1"/>
  <c r="EX114" i="5" a="1"/>
  <c r="EX114" i="5" s="1"/>
  <c r="EY114" i="5" a="1"/>
  <c r="EY114" i="5" s="1"/>
  <c r="EZ114" i="5" a="1"/>
  <c r="EZ114" i="5" s="1"/>
  <c r="FA114" i="5" a="1"/>
  <c r="FA114" i="5" s="1"/>
  <c r="FB114" i="5" a="1"/>
  <c r="FB114" i="5" s="1"/>
  <c r="FC114" i="5" a="1"/>
  <c r="FC114" i="5" s="1"/>
  <c r="FD114" i="5" a="1"/>
  <c r="FD114" i="5" s="1"/>
  <c r="FE114" i="5" a="1"/>
  <c r="FE114" i="5" s="1"/>
  <c r="FF114" i="5" a="1"/>
  <c r="FF114" i="5" s="1"/>
  <c r="FG114" i="5" a="1"/>
  <c r="FG114" i="5" s="1"/>
  <c r="FH114" i="5" a="1"/>
  <c r="FH114" i="5" s="1"/>
  <c r="FI114" i="5" a="1"/>
  <c r="FI114" i="5" s="1"/>
  <c r="FJ114" i="5" a="1"/>
  <c r="FJ114" i="5" s="1"/>
  <c r="FK114" i="5" a="1"/>
  <c r="FK114" i="5" s="1"/>
  <c r="FL114" i="5" a="1"/>
  <c r="FL114" i="5" s="1"/>
  <c r="FM114" i="5" a="1"/>
  <c r="FM114" i="5" s="1"/>
  <c r="FN114" i="5" a="1"/>
  <c r="FN114" i="5" s="1"/>
  <c r="FO114" i="5" a="1"/>
  <c r="FO114" i="5" s="1"/>
  <c r="EI115" i="5" a="1"/>
  <c r="EI115" i="5" s="1"/>
  <c r="EJ115" i="5" a="1"/>
  <c r="EJ115" i="5" s="1"/>
  <c r="EK115" i="5" a="1"/>
  <c r="EK115" i="5" s="1"/>
  <c r="EL115" i="5" a="1"/>
  <c r="EL115" i="5" s="1"/>
  <c r="EM115" i="5" a="1"/>
  <c r="EM115" i="5" s="1"/>
  <c r="EN115" i="5" a="1"/>
  <c r="EN115" i="5" s="1"/>
  <c r="EO115" i="5" a="1"/>
  <c r="EO115" i="5" s="1"/>
  <c r="EP115" i="5" a="1"/>
  <c r="EP115" i="5" s="1"/>
  <c r="EQ115" i="5" a="1"/>
  <c r="EQ115" i="5" s="1"/>
  <c r="ER115" i="5" a="1"/>
  <c r="ER115" i="5" s="1"/>
  <c r="ES115" i="5" a="1"/>
  <c r="ES115" i="5" s="1"/>
  <c r="ET115" i="5" a="1"/>
  <c r="ET115" i="5" s="1"/>
  <c r="EU115" i="5" a="1"/>
  <c r="EU115" i="5" s="1"/>
  <c r="EV115" i="5" a="1"/>
  <c r="EV115" i="5" s="1"/>
  <c r="EW115" i="5" a="1"/>
  <c r="EW115" i="5" s="1"/>
  <c r="EX115" i="5" a="1"/>
  <c r="EX115" i="5" s="1"/>
  <c r="EY115" i="5" a="1"/>
  <c r="EY115" i="5" s="1"/>
  <c r="EZ115" i="5" a="1"/>
  <c r="EZ115" i="5" s="1"/>
  <c r="FA115" i="5" a="1"/>
  <c r="FA115" i="5" s="1"/>
  <c r="FB115" i="5" a="1"/>
  <c r="FB115" i="5" s="1"/>
  <c r="FC115" i="5" a="1"/>
  <c r="FC115" i="5" s="1"/>
  <c r="FD115" i="5" a="1"/>
  <c r="FD115" i="5" s="1"/>
  <c r="FE115" i="5" a="1"/>
  <c r="FE115" i="5" s="1"/>
  <c r="FF115" i="5" a="1"/>
  <c r="FF115" i="5"/>
  <c r="FG115" i="5" a="1"/>
  <c r="FG115" i="5" s="1"/>
  <c r="FH115" i="5" a="1"/>
  <c r="FH115" i="5" s="1"/>
  <c r="FI115" i="5" a="1"/>
  <c r="FI115" i="5" s="1"/>
  <c r="FJ115" i="5" a="1"/>
  <c r="FJ115" i="5" s="1"/>
  <c r="FK115" i="5" a="1"/>
  <c r="FK115" i="5" s="1"/>
  <c r="FL115" i="5" a="1"/>
  <c r="FL115" i="5" s="1"/>
  <c r="FM115" i="5" a="1"/>
  <c r="FM115" i="5" s="1"/>
  <c r="FN115" i="5" a="1"/>
  <c r="FN115" i="5" s="1"/>
  <c r="FO115" i="5" a="1"/>
  <c r="FO115" i="5"/>
  <c r="EI116" i="5" a="1"/>
  <c r="EI116" i="5" s="1"/>
  <c r="EJ116" i="5" a="1"/>
  <c r="EJ116" i="5" s="1"/>
  <c r="EK116" i="5" a="1"/>
  <c r="EK116" i="5" s="1"/>
  <c r="EL116" i="5" a="1"/>
  <c r="EL116" i="5" s="1"/>
  <c r="EM116" i="5" a="1"/>
  <c r="EM116" i="5" s="1"/>
  <c r="EN116" i="5" a="1"/>
  <c r="EN116" i="5" s="1"/>
  <c r="EO116" i="5" a="1"/>
  <c r="EO116" i="5" s="1"/>
  <c r="EP116" i="5" a="1"/>
  <c r="EP116" i="5" s="1"/>
  <c r="EQ116" i="5" a="1"/>
  <c r="EQ116" i="5" s="1"/>
  <c r="ER116" i="5" a="1"/>
  <c r="ER116" i="5" s="1"/>
  <c r="ES116" i="5" a="1"/>
  <c r="ES116" i="5"/>
  <c r="ET116" i="5" a="1"/>
  <c r="ET116" i="5" s="1"/>
  <c r="EU116" i="5" a="1"/>
  <c r="EU116" i="5" s="1"/>
  <c r="EV116" i="5" a="1"/>
  <c r="EV116" i="5" s="1"/>
  <c r="EW116" i="5" a="1"/>
  <c r="EW116" i="5" s="1"/>
  <c r="EX116" i="5" a="1"/>
  <c r="EX116" i="5" s="1"/>
  <c r="EY116" i="5" a="1"/>
  <c r="EY116" i="5" s="1"/>
  <c r="EZ116" i="5" a="1"/>
  <c r="EZ116" i="5" s="1"/>
  <c r="FA116" i="5" a="1"/>
  <c r="FA116" i="5" s="1"/>
  <c r="FB116" i="5" a="1"/>
  <c r="FB116" i="5" s="1"/>
  <c r="FC116" i="5" a="1"/>
  <c r="FC116" i="5" s="1"/>
  <c r="FD116" i="5" a="1"/>
  <c r="FD116" i="5" s="1"/>
  <c r="FE116" i="5" a="1"/>
  <c r="FE116" i="5" s="1"/>
  <c r="FF116" i="5" a="1"/>
  <c r="FF116" i="5" s="1"/>
  <c r="FG116" i="5" a="1"/>
  <c r="FG116" i="5" s="1"/>
  <c r="FH116" i="5" a="1"/>
  <c r="FH116" i="5" s="1"/>
  <c r="FI116" i="5" a="1"/>
  <c r="FI116" i="5" s="1"/>
  <c r="FJ116" i="5" a="1"/>
  <c r="FJ116" i="5" s="1"/>
  <c r="FK116" i="5" a="1"/>
  <c r="FK116" i="5" s="1"/>
  <c r="FL116" i="5" a="1"/>
  <c r="FL116" i="5" s="1"/>
  <c r="FM116" i="5" a="1"/>
  <c r="FM116" i="5" s="1"/>
  <c r="FN116" i="5" a="1"/>
  <c r="FN116" i="5" s="1"/>
  <c r="FO116" i="5" a="1"/>
  <c r="FO116" i="5" s="1"/>
  <c r="EI117" i="5" a="1"/>
  <c r="EI117" i="5" s="1"/>
  <c r="EJ117" i="5" a="1"/>
  <c r="EJ117" i="5" s="1"/>
  <c r="EK117" i="5" a="1"/>
  <c r="EK117" i="5" s="1"/>
  <c r="EL117" i="5" a="1"/>
  <c r="EL117" i="5" s="1"/>
  <c r="EM117" i="5" a="1"/>
  <c r="EM117" i="5" s="1"/>
  <c r="EN117" i="5" a="1"/>
  <c r="EN117" i="5" s="1"/>
  <c r="EO117" i="5" a="1"/>
  <c r="EO117" i="5" s="1"/>
  <c r="EP117" i="5" a="1"/>
  <c r="EP117" i="5" s="1"/>
  <c r="EQ117" i="5" a="1"/>
  <c r="EQ117" i="5" s="1"/>
  <c r="ER117" i="5" a="1"/>
  <c r="ER117" i="5" s="1"/>
  <c r="ES117" i="5" a="1"/>
  <c r="ES117" i="5" s="1"/>
  <c r="ET117" i="5" a="1"/>
  <c r="ET117" i="5" s="1"/>
  <c r="EU117" i="5" a="1"/>
  <c r="EU117" i="5" s="1"/>
  <c r="EV117" i="5" a="1"/>
  <c r="EV117" i="5" s="1"/>
  <c r="EW117" i="5" a="1"/>
  <c r="EW117" i="5" s="1"/>
  <c r="EX117" i="5" a="1"/>
  <c r="EX117" i="5" s="1"/>
  <c r="EY117" i="5" a="1"/>
  <c r="EY117" i="5" s="1"/>
  <c r="EZ117" i="5" a="1"/>
  <c r="EZ117" i="5" s="1"/>
  <c r="FA117" i="5" a="1"/>
  <c r="FA117" i="5" s="1"/>
  <c r="FB117" i="5" a="1"/>
  <c r="FB117" i="5" s="1"/>
  <c r="FC117" i="5" a="1"/>
  <c r="FC117" i="5" s="1"/>
  <c r="FD117" i="5" a="1"/>
  <c r="FD117" i="5" s="1"/>
  <c r="FE117" i="5" a="1"/>
  <c r="FE117" i="5" s="1"/>
  <c r="FF117" i="5" a="1"/>
  <c r="FF117" i="5" s="1"/>
  <c r="FG117" i="5" a="1"/>
  <c r="FG117" i="5" s="1"/>
  <c r="FH117" i="5" a="1"/>
  <c r="FH117" i="5" s="1"/>
  <c r="FI117" i="5" a="1"/>
  <c r="FI117" i="5" s="1"/>
  <c r="FJ117" i="5" a="1"/>
  <c r="FJ117" i="5" s="1"/>
  <c r="FK117" i="5" a="1"/>
  <c r="FK117" i="5" s="1"/>
  <c r="FL117" i="5" a="1"/>
  <c r="FL117" i="5" s="1"/>
  <c r="FM117" i="5" a="1"/>
  <c r="FM117" i="5" s="1"/>
  <c r="FN117" i="5" a="1"/>
  <c r="FN117" i="5" s="1"/>
  <c r="FO117" i="5" a="1"/>
  <c r="FO117" i="5" s="1"/>
  <c r="EI118" i="5" a="1"/>
  <c r="EI118" i="5" s="1"/>
  <c r="EJ118" i="5" a="1"/>
  <c r="EJ118" i="5" s="1"/>
  <c r="EK118" i="5" a="1"/>
  <c r="EK118" i="5" s="1"/>
  <c r="EL118" i="5" a="1"/>
  <c r="EL118" i="5" s="1"/>
  <c r="EM118" i="5" a="1"/>
  <c r="EM118" i="5" s="1"/>
  <c r="EN118" i="5" a="1"/>
  <c r="EN118" i="5" s="1"/>
  <c r="EO118" i="5" a="1"/>
  <c r="EO118" i="5" s="1"/>
  <c r="EP118" i="5" a="1"/>
  <c r="EP118" i="5" s="1"/>
  <c r="EQ118" i="5" a="1"/>
  <c r="EQ118" i="5" s="1"/>
  <c r="ER118" i="5" a="1"/>
  <c r="ER118" i="5" s="1"/>
  <c r="ES118" i="5" a="1"/>
  <c r="ES118" i="5" s="1"/>
  <c r="ET118" i="5" a="1"/>
  <c r="ET118" i="5" s="1"/>
  <c r="EU118" i="5" a="1"/>
  <c r="EU118" i="5" s="1"/>
  <c r="EV118" i="5" a="1"/>
  <c r="EV118" i="5" s="1"/>
  <c r="EW118" i="5" a="1"/>
  <c r="EW118" i="5" s="1"/>
  <c r="EX118" i="5" a="1"/>
  <c r="EX118" i="5" s="1"/>
  <c r="EY118" i="5" a="1"/>
  <c r="EY118" i="5" s="1"/>
  <c r="EZ118" i="5" a="1"/>
  <c r="EZ118" i="5" s="1"/>
  <c r="FA118" i="5" a="1"/>
  <c r="FA118" i="5" s="1"/>
  <c r="FB118" i="5" a="1"/>
  <c r="FB118" i="5" s="1"/>
  <c r="FC118" i="5" a="1"/>
  <c r="FC118" i="5" s="1"/>
  <c r="FD118" i="5" a="1"/>
  <c r="FD118" i="5" s="1"/>
  <c r="FE118" i="5" a="1"/>
  <c r="FE118" i="5" s="1"/>
  <c r="FF118" i="5" a="1"/>
  <c r="FF118" i="5" s="1"/>
  <c r="FG118" i="5" a="1"/>
  <c r="FG118" i="5" s="1"/>
  <c r="FH118" i="5" a="1"/>
  <c r="FH118" i="5" s="1"/>
  <c r="FI118" i="5" a="1"/>
  <c r="FI118" i="5" s="1"/>
  <c r="FJ118" i="5" a="1"/>
  <c r="FJ118" i="5" s="1"/>
  <c r="FK118" i="5" a="1"/>
  <c r="FK118" i="5" s="1"/>
  <c r="FL118" i="5" a="1"/>
  <c r="FL118" i="5" s="1"/>
  <c r="FM118" i="5" a="1"/>
  <c r="FM118" i="5" s="1"/>
  <c r="FN118" i="5" a="1"/>
  <c r="FN118" i="5" s="1"/>
  <c r="FO118" i="5" a="1"/>
  <c r="FO118" i="5" s="1"/>
  <c r="EI119" i="5" a="1"/>
  <c r="EI119" i="5" s="1"/>
  <c r="EJ119" i="5" a="1"/>
  <c r="EJ119" i="5" s="1"/>
  <c r="EK119" i="5" a="1"/>
  <c r="EK119" i="5" s="1"/>
  <c r="EL119" i="5" a="1"/>
  <c r="EL119" i="5" s="1"/>
  <c r="EM119" i="5" a="1"/>
  <c r="EM119" i="5" s="1"/>
  <c r="EN119" i="5" a="1"/>
  <c r="EN119" i="5" s="1"/>
  <c r="EO119" i="5" a="1"/>
  <c r="EO119" i="5" s="1"/>
  <c r="EP119" i="5" a="1"/>
  <c r="EP119" i="5" s="1"/>
  <c r="EQ119" i="5" a="1"/>
  <c r="EQ119" i="5" s="1"/>
  <c r="ER119" i="5" a="1"/>
  <c r="ER119" i="5" s="1"/>
  <c r="ES119" i="5" a="1"/>
  <c r="ES119" i="5" s="1"/>
  <c r="ET119" i="5" a="1"/>
  <c r="ET119" i="5" s="1"/>
  <c r="EU119" i="5" a="1"/>
  <c r="EU119" i="5" s="1"/>
  <c r="EV119" i="5" a="1"/>
  <c r="EV119" i="5" s="1"/>
  <c r="EW119" i="5" a="1"/>
  <c r="EW119" i="5" s="1"/>
  <c r="EX119" i="5" a="1"/>
  <c r="EX119" i="5" s="1"/>
  <c r="EY119" i="5" a="1"/>
  <c r="EY119" i="5" s="1"/>
  <c r="EZ119" i="5" a="1"/>
  <c r="EZ119" i="5" s="1"/>
  <c r="FA119" i="5" a="1"/>
  <c r="FA119" i="5" s="1"/>
  <c r="FB119" i="5" a="1"/>
  <c r="FB119" i="5" s="1"/>
  <c r="FC119" i="5" a="1"/>
  <c r="FC119" i="5" s="1"/>
  <c r="FD119" i="5" a="1"/>
  <c r="FD119" i="5" s="1"/>
  <c r="FE119" i="5" a="1"/>
  <c r="FE119" i="5" s="1"/>
  <c r="FF119" i="5" a="1"/>
  <c r="FF119" i="5" s="1"/>
  <c r="FG119" i="5" a="1"/>
  <c r="FG119" i="5" s="1"/>
  <c r="FH119" i="5" a="1"/>
  <c r="FH119" i="5" s="1"/>
  <c r="FI119" i="5" a="1"/>
  <c r="FI119" i="5" s="1"/>
  <c r="FJ119" i="5" a="1"/>
  <c r="FJ119" i="5" s="1"/>
  <c r="FK119" i="5" a="1"/>
  <c r="FK119" i="5" s="1"/>
  <c r="FL119" i="5" a="1"/>
  <c r="FL119" i="5" s="1"/>
  <c r="FM119" i="5" a="1"/>
  <c r="FM119" i="5" s="1"/>
  <c r="FN119" i="5" a="1"/>
  <c r="FN119" i="5" s="1"/>
  <c r="FO119" i="5" a="1"/>
  <c r="FO119" i="5" s="1"/>
  <c r="EI120" i="5" a="1"/>
  <c r="EI120" i="5" s="1"/>
  <c r="EJ120" i="5" a="1"/>
  <c r="EJ120" i="5" s="1"/>
  <c r="EK120" i="5" a="1"/>
  <c r="EK120" i="5" s="1"/>
  <c r="EL120" i="5" a="1"/>
  <c r="EL120" i="5" s="1"/>
  <c r="EM120" i="5" a="1"/>
  <c r="EM120" i="5" s="1"/>
  <c r="EN120" i="5" a="1"/>
  <c r="EN120" i="5" s="1"/>
  <c r="EO120" i="5" a="1"/>
  <c r="EO120" i="5" s="1"/>
  <c r="EP120" i="5" a="1"/>
  <c r="EP120" i="5" s="1"/>
  <c r="EQ120" i="5" a="1"/>
  <c r="EQ120" i="5" s="1"/>
  <c r="ER120" i="5" a="1"/>
  <c r="ER120" i="5" s="1"/>
  <c r="ES120" i="5" a="1"/>
  <c r="ES120" i="5" s="1"/>
  <c r="ET120" i="5" a="1"/>
  <c r="ET120" i="5" s="1"/>
  <c r="EU120" i="5" a="1"/>
  <c r="EU120" i="5" s="1"/>
  <c r="EV120" i="5" a="1"/>
  <c r="EV120" i="5" s="1"/>
  <c r="EW120" i="5" a="1"/>
  <c r="EW120" i="5" s="1"/>
  <c r="EX120" i="5" a="1"/>
  <c r="EX120" i="5" s="1"/>
  <c r="EY120" i="5" a="1"/>
  <c r="EY120" i="5" s="1"/>
  <c r="EZ120" i="5" a="1"/>
  <c r="EZ120" i="5" s="1"/>
  <c r="FA120" i="5" a="1"/>
  <c r="FA120" i="5" s="1"/>
  <c r="FB120" i="5" a="1"/>
  <c r="FB120" i="5" s="1"/>
  <c r="FC120" i="5" a="1"/>
  <c r="FC120" i="5" s="1"/>
  <c r="FD120" i="5" a="1"/>
  <c r="FD120" i="5" s="1"/>
  <c r="FE120" i="5" a="1"/>
  <c r="FE120" i="5" s="1"/>
  <c r="FF120" i="5" a="1"/>
  <c r="FF120" i="5" s="1"/>
  <c r="FG120" i="5" a="1"/>
  <c r="FG120" i="5" s="1"/>
  <c r="FH120" i="5" a="1"/>
  <c r="FH120" i="5" s="1"/>
  <c r="FI120" i="5" a="1"/>
  <c r="FI120" i="5" s="1"/>
  <c r="FJ120" i="5" a="1"/>
  <c r="FJ120" i="5" s="1"/>
  <c r="FK120" i="5" a="1"/>
  <c r="FK120" i="5" s="1"/>
  <c r="FL120" i="5" a="1"/>
  <c r="FL120" i="5" s="1"/>
  <c r="FM120" i="5" a="1"/>
  <c r="FM120" i="5" s="1"/>
  <c r="FN120" i="5" a="1"/>
  <c r="FN120" i="5" s="1"/>
  <c r="FO120" i="5" a="1"/>
  <c r="FO120" i="5" s="1"/>
  <c r="EI121" i="5" a="1"/>
  <c r="EI121" i="5" s="1"/>
  <c r="EJ121" i="5" a="1"/>
  <c r="EJ121" i="5" s="1"/>
  <c r="EK121" i="5" a="1"/>
  <c r="EK121" i="5" s="1"/>
  <c r="EL121" i="5" a="1"/>
  <c r="EL121" i="5" s="1"/>
  <c r="EM121" i="5" a="1"/>
  <c r="EM121" i="5" s="1"/>
  <c r="EN121" i="5" a="1"/>
  <c r="EN121" i="5" s="1"/>
  <c r="EO121" i="5" a="1"/>
  <c r="EO121" i="5" s="1"/>
  <c r="EP121" i="5" a="1"/>
  <c r="EP121" i="5" s="1"/>
  <c r="EQ121" i="5" a="1"/>
  <c r="EQ121" i="5" s="1"/>
  <c r="ER121" i="5" a="1"/>
  <c r="ER121" i="5" s="1"/>
  <c r="ES121" i="5" a="1"/>
  <c r="ES121" i="5" s="1"/>
  <c r="ET121" i="5" a="1"/>
  <c r="ET121" i="5" s="1"/>
  <c r="EU121" i="5" a="1"/>
  <c r="EU121" i="5" s="1"/>
  <c r="EV121" i="5" a="1"/>
  <c r="EV121" i="5" s="1"/>
  <c r="EW121" i="5" a="1"/>
  <c r="EW121" i="5" s="1"/>
  <c r="EX121" i="5" a="1"/>
  <c r="EX121" i="5" s="1"/>
  <c r="EY121" i="5" a="1"/>
  <c r="EY121" i="5" s="1"/>
  <c r="EZ121" i="5" a="1"/>
  <c r="EZ121" i="5" s="1"/>
  <c r="FA121" i="5" a="1"/>
  <c r="FA121" i="5" s="1"/>
  <c r="FB121" i="5" a="1"/>
  <c r="FB121" i="5" s="1"/>
  <c r="FC121" i="5" a="1"/>
  <c r="FC121" i="5" s="1"/>
  <c r="FD121" i="5" a="1"/>
  <c r="FD121" i="5" s="1"/>
  <c r="FE121" i="5" a="1"/>
  <c r="FE121" i="5" s="1"/>
  <c r="FF121" i="5" a="1"/>
  <c r="FF121" i="5" s="1"/>
  <c r="FG121" i="5" a="1"/>
  <c r="FG121" i="5" s="1"/>
  <c r="FH121" i="5" a="1"/>
  <c r="FH121" i="5" s="1"/>
  <c r="FI121" i="5" a="1"/>
  <c r="FI121" i="5" s="1"/>
  <c r="FJ121" i="5" a="1"/>
  <c r="FJ121" i="5" s="1"/>
  <c r="FK121" i="5" a="1"/>
  <c r="FK121" i="5" s="1"/>
  <c r="FL121" i="5" a="1"/>
  <c r="FL121" i="5" s="1"/>
  <c r="FM121" i="5" a="1"/>
  <c r="FM121" i="5" s="1"/>
  <c r="FN121" i="5" a="1"/>
  <c r="FN121" i="5" s="1"/>
  <c r="FO121" i="5" a="1"/>
  <c r="FO121" i="5" s="1"/>
  <c r="EI122" i="5" a="1"/>
  <c r="EI122" i="5" s="1"/>
  <c r="EJ122" i="5" a="1"/>
  <c r="EJ122" i="5" s="1"/>
  <c r="EK122" i="5" a="1"/>
  <c r="EK122" i="5" s="1"/>
  <c r="EL122" i="5" a="1"/>
  <c r="EL122" i="5" s="1"/>
  <c r="EM122" i="5" a="1"/>
  <c r="EM122" i="5" s="1"/>
  <c r="EN122" i="5" a="1"/>
  <c r="EN122" i="5" s="1"/>
  <c r="EO122" i="5" a="1"/>
  <c r="EO122" i="5" s="1"/>
  <c r="EP122" i="5" a="1"/>
  <c r="EP122" i="5" s="1"/>
  <c r="EQ122" i="5" a="1"/>
  <c r="EQ122" i="5" s="1"/>
  <c r="ER122" i="5" a="1"/>
  <c r="ER122" i="5" s="1"/>
  <c r="ES122" i="5" a="1"/>
  <c r="ES122" i="5" s="1"/>
  <c r="ET122" i="5" a="1"/>
  <c r="ET122" i="5" s="1"/>
  <c r="EU122" i="5" a="1"/>
  <c r="EU122" i="5" s="1"/>
  <c r="EV122" i="5" a="1"/>
  <c r="EV122" i="5" s="1"/>
  <c r="EW122" i="5" a="1"/>
  <c r="EW122" i="5" s="1"/>
  <c r="EX122" i="5" a="1"/>
  <c r="EX122" i="5" s="1"/>
  <c r="EY122" i="5" a="1"/>
  <c r="EY122" i="5" s="1"/>
  <c r="EZ122" i="5" a="1"/>
  <c r="EZ122" i="5" s="1"/>
  <c r="FA122" i="5" a="1"/>
  <c r="FA122" i="5" s="1"/>
  <c r="FB122" i="5" a="1"/>
  <c r="FB122" i="5" s="1"/>
  <c r="FC122" i="5" a="1"/>
  <c r="FC122" i="5" s="1"/>
  <c r="FD122" i="5" a="1"/>
  <c r="FD122" i="5" s="1"/>
  <c r="FE122" i="5" a="1"/>
  <c r="FE122" i="5" s="1"/>
  <c r="FF122" i="5" a="1"/>
  <c r="FF122" i="5" s="1"/>
  <c r="FG122" i="5" a="1"/>
  <c r="FG122" i="5" s="1"/>
  <c r="FH122" i="5" a="1"/>
  <c r="FH122" i="5" s="1"/>
  <c r="FI122" i="5" a="1"/>
  <c r="FI122" i="5" s="1"/>
  <c r="FJ122" i="5" a="1"/>
  <c r="FJ122" i="5" s="1"/>
  <c r="FK122" i="5" a="1"/>
  <c r="FK122" i="5" s="1"/>
  <c r="FL122" i="5" a="1"/>
  <c r="FL122" i="5" s="1"/>
  <c r="FM122" i="5" a="1"/>
  <c r="FM122" i="5" s="1"/>
  <c r="FN122" i="5" a="1"/>
  <c r="FN122" i="5" s="1"/>
  <c r="FO122" i="5" a="1"/>
  <c r="FO122" i="5" s="1"/>
  <c r="EI123" i="5" a="1"/>
  <c r="EI123" i="5" s="1"/>
  <c r="EJ123" i="5" a="1"/>
  <c r="EJ123" i="5" s="1"/>
  <c r="EK123" i="5" a="1"/>
  <c r="EK123" i="5" s="1"/>
  <c r="EL123" i="5" a="1"/>
  <c r="EL123" i="5" s="1"/>
  <c r="EM123" i="5" a="1"/>
  <c r="EM123" i="5" s="1"/>
  <c r="EN123" i="5" a="1"/>
  <c r="EN123" i="5" s="1"/>
  <c r="EO123" i="5" a="1"/>
  <c r="EO123" i="5" s="1"/>
  <c r="EP123" i="5" a="1"/>
  <c r="EP123" i="5" s="1"/>
  <c r="EQ123" i="5" a="1"/>
  <c r="EQ123" i="5" s="1"/>
  <c r="ER123" i="5" a="1"/>
  <c r="ER123" i="5" s="1"/>
  <c r="ES123" i="5" a="1"/>
  <c r="ES123" i="5" s="1"/>
  <c r="ET123" i="5" a="1"/>
  <c r="ET123" i="5" s="1"/>
  <c r="EU123" i="5" a="1"/>
  <c r="EU123" i="5" s="1"/>
  <c r="EV123" i="5" a="1"/>
  <c r="EV123" i="5" s="1"/>
  <c r="EW123" i="5" a="1"/>
  <c r="EW123" i="5" s="1"/>
  <c r="EX123" i="5" a="1"/>
  <c r="EX123" i="5" s="1"/>
  <c r="EY123" i="5" a="1"/>
  <c r="EY123" i="5" s="1"/>
  <c r="EZ123" i="5" a="1"/>
  <c r="EZ123" i="5" s="1"/>
  <c r="FA123" i="5" a="1"/>
  <c r="FA123" i="5" s="1"/>
  <c r="FB123" i="5" a="1"/>
  <c r="FB123" i="5" s="1"/>
  <c r="FC123" i="5" a="1"/>
  <c r="FC123" i="5" s="1"/>
  <c r="FD123" i="5" a="1"/>
  <c r="FD123" i="5" s="1"/>
  <c r="FE123" i="5" a="1"/>
  <c r="FE123" i="5" s="1"/>
  <c r="FF123" i="5" a="1"/>
  <c r="FF123" i="5" s="1"/>
  <c r="FG123" i="5" a="1"/>
  <c r="FG123" i="5" s="1"/>
  <c r="FH123" i="5" a="1"/>
  <c r="FH123" i="5" s="1"/>
  <c r="FI123" i="5" a="1"/>
  <c r="FI123" i="5" s="1"/>
  <c r="FJ123" i="5" a="1"/>
  <c r="FJ123" i="5" s="1"/>
  <c r="FK123" i="5" a="1"/>
  <c r="FK123" i="5" s="1"/>
  <c r="FL123" i="5" a="1"/>
  <c r="FL123" i="5" s="1"/>
  <c r="FM123" i="5" a="1"/>
  <c r="FM123" i="5" s="1"/>
  <c r="FN123" i="5" a="1"/>
  <c r="FN123" i="5" s="1"/>
  <c r="FO123" i="5" a="1"/>
  <c r="FO123" i="5" s="1"/>
  <c r="EI124" i="5" a="1"/>
  <c r="EI124" i="5" s="1"/>
  <c r="EJ124" i="5" a="1"/>
  <c r="EJ124" i="5" s="1"/>
  <c r="EK124" i="5" a="1"/>
  <c r="EK124" i="5" s="1"/>
  <c r="EL124" i="5" a="1"/>
  <c r="EL124" i="5" s="1"/>
  <c r="EM124" i="5" a="1"/>
  <c r="EM124" i="5" s="1"/>
  <c r="EN124" i="5" a="1"/>
  <c r="EN124" i="5" s="1"/>
  <c r="EO124" i="5" a="1"/>
  <c r="EO124" i="5" s="1"/>
  <c r="EP124" i="5" a="1"/>
  <c r="EP124" i="5" s="1"/>
  <c r="EQ124" i="5" a="1"/>
  <c r="EQ124" i="5" s="1"/>
  <c r="ER124" i="5" a="1"/>
  <c r="ER124" i="5" s="1"/>
  <c r="ES124" i="5" a="1"/>
  <c r="ES124" i="5" s="1"/>
  <c r="ET124" i="5" a="1"/>
  <c r="ET124" i="5" s="1"/>
  <c r="EU124" i="5" a="1"/>
  <c r="EU124" i="5" s="1"/>
  <c r="EV124" i="5" a="1"/>
  <c r="EV124" i="5" s="1"/>
  <c r="EW124" i="5" a="1"/>
  <c r="EW124" i="5" s="1"/>
  <c r="EX124" i="5" a="1"/>
  <c r="EX124" i="5" s="1"/>
  <c r="EY124" i="5" a="1"/>
  <c r="EY124" i="5" s="1"/>
  <c r="EZ124" i="5" a="1"/>
  <c r="EZ124" i="5" s="1"/>
  <c r="FA124" i="5" a="1"/>
  <c r="FA124" i="5" s="1"/>
  <c r="FB124" i="5" a="1"/>
  <c r="FB124" i="5" s="1"/>
  <c r="FC124" i="5" a="1"/>
  <c r="FC124" i="5" s="1"/>
  <c r="FD124" i="5" a="1"/>
  <c r="FD124" i="5" s="1"/>
  <c r="FE124" i="5" a="1"/>
  <c r="FE124" i="5" s="1"/>
  <c r="FF124" i="5" a="1"/>
  <c r="FF124" i="5" s="1"/>
  <c r="FG124" i="5" a="1"/>
  <c r="FG124" i="5" s="1"/>
  <c r="FH124" i="5" a="1"/>
  <c r="FH124" i="5" s="1"/>
  <c r="FI124" i="5" a="1"/>
  <c r="FI124" i="5" s="1"/>
  <c r="FJ124" i="5" a="1"/>
  <c r="FJ124" i="5" s="1"/>
  <c r="FK124" i="5" a="1"/>
  <c r="FK124" i="5" s="1"/>
  <c r="FL124" i="5" a="1"/>
  <c r="FL124" i="5" s="1"/>
  <c r="FM124" i="5" a="1"/>
  <c r="FM124" i="5" s="1"/>
  <c r="FN124" i="5" a="1"/>
  <c r="FN124" i="5" s="1"/>
  <c r="FO124" i="5" a="1"/>
  <c r="FO124" i="5" s="1"/>
  <c r="EI125" i="5" a="1"/>
  <c r="EI125" i="5" s="1"/>
  <c r="EJ125" i="5" a="1"/>
  <c r="EJ125" i="5" s="1"/>
  <c r="EK125" i="5" a="1"/>
  <c r="EK125" i="5" s="1"/>
  <c r="EL125" i="5" a="1"/>
  <c r="EL125" i="5" s="1"/>
  <c r="EM125" i="5" a="1"/>
  <c r="EM125" i="5" s="1"/>
  <c r="EN125" i="5" a="1"/>
  <c r="EN125" i="5" s="1"/>
  <c r="EO125" i="5" a="1"/>
  <c r="EO125" i="5" s="1"/>
  <c r="EP125" i="5" a="1"/>
  <c r="EP125" i="5" s="1"/>
  <c r="EQ125" i="5" a="1"/>
  <c r="EQ125" i="5" s="1"/>
  <c r="ER125" i="5" a="1"/>
  <c r="ER125" i="5" s="1"/>
  <c r="ES125" i="5" a="1"/>
  <c r="ES125" i="5" s="1"/>
  <c r="ET125" i="5" a="1"/>
  <c r="ET125" i="5" s="1"/>
  <c r="EU125" i="5" a="1"/>
  <c r="EU125" i="5" s="1"/>
  <c r="EV125" i="5" a="1"/>
  <c r="EV125" i="5" s="1"/>
  <c r="EW125" i="5" a="1"/>
  <c r="EW125" i="5" s="1"/>
  <c r="EX125" i="5" a="1"/>
  <c r="EX125" i="5" s="1"/>
  <c r="EY125" i="5" a="1"/>
  <c r="EY125" i="5" s="1"/>
  <c r="EZ125" i="5" a="1"/>
  <c r="EZ125" i="5" s="1"/>
  <c r="FA125" i="5" a="1"/>
  <c r="FA125" i="5" s="1"/>
  <c r="FB125" i="5" a="1"/>
  <c r="FB125" i="5" s="1"/>
  <c r="FC125" i="5" a="1"/>
  <c r="FC125" i="5" s="1"/>
  <c r="FD125" i="5" a="1"/>
  <c r="FD125" i="5" s="1"/>
  <c r="FE125" i="5" a="1"/>
  <c r="FE125" i="5" s="1"/>
  <c r="FF125" i="5" a="1"/>
  <c r="FF125" i="5" s="1"/>
  <c r="FG125" i="5" a="1"/>
  <c r="FG125" i="5" s="1"/>
  <c r="FH125" i="5" a="1"/>
  <c r="FH125" i="5" s="1"/>
  <c r="FI125" i="5" a="1"/>
  <c r="FI125" i="5" s="1"/>
  <c r="FJ125" i="5" a="1"/>
  <c r="FJ125" i="5" s="1"/>
  <c r="FK125" i="5" a="1"/>
  <c r="FK125" i="5" s="1"/>
  <c r="FL125" i="5" a="1"/>
  <c r="FL125" i="5" s="1"/>
  <c r="FM125" i="5" a="1"/>
  <c r="FM125" i="5" s="1"/>
  <c r="FN125" i="5" a="1"/>
  <c r="FN125" i="5" s="1"/>
  <c r="FO125" i="5" a="1"/>
  <c r="FO125" i="5" s="1"/>
  <c r="EI126" i="5" a="1"/>
  <c r="EI126" i="5" s="1"/>
  <c r="EJ126" i="5" a="1"/>
  <c r="EJ126" i="5" s="1"/>
  <c r="EK126" i="5" a="1"/>
  <c r="EK126" i="5" s="1"/>
  <c r="EL126" i="5" a="1"/>
  <c r="EL126" i="5" s="1"/>
  <c r="EM126" i="5" a="1"/>
  <c r="EM126" i="5" s="1"/>
  <c r="EN126" i="5" a="1"/>
  <c r="EN126" i="5" s="1"/>
  <c r="EO126" i="5" a="1"/>
  <c r="EO126" i="5" s="1"/>
  <c r="EP126" i="5" a="1"/>
  <c r="EP126" i="5" s="1"/>
  <c r="EQ126" i="5" a="1"/>
  <c r="EQ126" i="5" s="1"/>
  <c r="ER126" i="5" a="1"/>
  <c r="ER126" i="5" s="1"/>
  <c r="ES126" i="5" a="1"/>
  <c r="ES126" i="5" s="1"/>
  <c r="ET126" i="5" a="1"/>
  <c r="ET126" i="5" s="1"/>
  <c r="EU126" i="5" a="1"/>
  <c r="EU126" i="5" s="1"/>
  <c r="EV126" i="5" a="1"/>
  <c r="EV126" i="5" s="1"/>
  <c r="EW126" i="5" a="1"/>
  <c r="EW126" i="5" s="1"/>
  <c r="EX126" i="5" a="1"/>
  <c r="EX126" i="5" s="1"/>
  <c r="EY126" i="5" a="1"/>
  <c r="EY126" i="5" s="1"/>
  <c r="EZ126" i="5" a="1"/>
  <c r="EZ126" i="5" s="1"/>
  <c r="FA126" i="5" a="1"/>
  <c r="FA126" i="5" s="1"/>
  <c r="FB126" i="5" a="1"/>
  <c r="FB126" i="5" s="1"/>
  <c r="FC126" i="5" a="1"/>
  <c r="FC126" i="5" s="1"/>
  <c r="FD126" i="5" a="1"/>
  <c r="FD126" i="5" s="1"/>
  <c r="FE126" i="5" a="1"/>
  <c r="FE126" i="5" s="1"/>
  <c r="FF126" i="5" a="1"/>
  <c r="FF126" i="5" s="1"/>
  <c r="FG126" i="5" a="1"/>
  <c r="FG126" i="5" s="1"/>
  <c r="FH126" i="5" a="1"/>
  <c r="FH126" i="5" s="1"/>
  <c r="FI126" i="5" a="1"/>
  <c r="FI126" i="5" s="1"/>
  <c r="FJ126" i="5" a="1"/>
  <c r="FJ126" i="5" s="1"/>
  <c r="FK126" i="5" a="1"/>
  <c r="FK126" i="5" s="1"/>
  <c r="FL126" i="5" a="1"/>
  <c r="FL126" i="5" s="1"/>
  <c r="FM126" i="5" a="1"/>
  <c r="FM126" i="5" s="1"/>
  <c r="FN126" i="5" a="1"/>
  <c r="FN126" i="5" s="1"/>
  <c r="FO126" i="5" a="1"/>
  <c r="FO126" i="5" s="1"/>
  <c r="EI127" i="5" a="1"/>
  <c r="EI127" i="5" s="1"/>
  <c r="EJ127" i="5" a="1"/>
  <c r="EJ127" i="5" s="1"/>
  <c r="EK127" i="5" a="1"/>
  <c r="EK127" i="5" s="1"/>
  <c r="EL127" i="5" a="1"/>
  <c r="EL127" i="5" s="1"/>
  <c r="EM127" i="5" a="1"/>
  <c r="EM127" i="5" s="1"/>
  <c r="EN127" i="5" a="1"/>
  <c r="EN127" i="5" s="1"/>
  <c r="EO127" i="5" a="1"/>
  <c r="EO127" i="5" s="1"/>
  <c r="EP127" i="5" a="1"/>
  <c r="EP127" i="5" s="1"/>
  <c r="EQ127" i="5" a="1"/>
  <c r="EQ127" i="5" s="1"/>
  <c r="ER127" i="5" a="1"/>
  <c r="ER127" i="5" s="1"/>
  <c r="ES127" i="5" a="1"/>
  <c r="ES127" i="5" s="1"/>
  <c r="ET127" i="5" a="1"/>
  <c r="ET127" i="5" s="1"/>
  <c r="EU127" i="5" a="1"/>
  <c r="EU127" i="5" s="1"/>
  <c r="EV127" i="5" a="1"/>
  <c r="EV127" i="5" s="1"/>
  <c r="EW127" i="5" a="1"/>
  <c r="EW127" i="5" s="1"/>
  <c r="EX127" i="5" a="1"/>
  <c r="EX127" i="5" s="1"/>
  <c r="EY127" i="5" a="1"/>
  <c r="EY127" i="5" s="1"/>
  <c r="EZ127" i="5" a="1"/>
  <c r="EZ127" i="5" s="1"/>
  <c r="FA127" i="5" a="1"/>
  <c r="FA127" i="5" s="1"/>
  <c r="FB127" i="5" a="1"/>
  <c r="FB127" i="5" s="1"/>
  <c r="FC127" i="5" a="1"/>
  <c r="FC127" i="5" s="1"/>
  <c r="FD127" i="5" a="1"/>
  <c r="FD127" i="5" s="1"/>
  <c r="FE127" i="5" a="1"/>
  <c r="FE127" i="5" s="1"/>
  <c r="FF127" i="5" a="1"/>
  <c r="FF127" i="5" s="1"/>
  <c r="FG127" i="5" a="1"/>
  <c r="FG127" i="5" s="1"/>
  <c r="FH127" i="5" a="1"/>
  <c r="FH127" i="5" s="1"/>
  <c r="FI127" i="5" a="1"/>
  <c r="FI127" i="5" s="1"/>
  <c r="FJ127" i="5" a="1"/>
  <c r="FJ127" i="5" s="1"/>
  <c r="FK127" i="5" a="1"/>
  <c r="FK127" i="5" s="1"/>
  <c r="FL127" i="5" a="1"/>
  <c r="FL127" i="5" s="1"/>
  <c r="FM127" i="5" a="1"/>
  <c r="FM127" i="5" s="1"/>
  <c r="FN127" i="5" a="1"/>
  <c r="FN127" i="5" s="1"/>
  <c r="FO127" i="5" a="1"/>
  <c r="FO127" i="5" s="1"/>
  <c r="EI128" i="5" a="1"/>
  <c r="EI128" i="5" s="1"/>
  <c r="EJ128" i="5" a="1"/>
  <c r="EJ128" i="5" s="1"/>
  <c r="EK128" i="5" a="1"/>
  <c r="EK128" i="5" s="1"/>
  <c r="EL128" i="5" a="1"/>
  <c r="EL128" i="5" s="1"/>
  <c r="EM128" i="5" a="1"/>
  <c r="EM128" i="5" s="1"/>
  <c r="EN128" i="5" a="1"/>
  <c r="EN128" i="5" s="1"/>
  <c r="EO128" i="5" a="1"/>
  <c r="EO128" i="5" s="1"/>
  <c r="EP128" i="5" a="1"/>
  <c r="EP128" i="5" s="1"/>
  <c r="EQ128" i="5" a="1"/>
  <c r="EQ128" i="5" s="1"/>
  <c r="ER128" i="5" a="1"/>
  <c r="ER128" i="5" s="1"/>
  <c r="ES128" i="5" a="1"/>
  <c r="ES128" i="5" s="1"/>
  <c r="ET128" i="5" a="1"/>
  <c r="ET128" i="5" s="1"/>
  <c r="EU128" i="5" a="1"/>
  <c r="EU128" i="5" s="1"/>
  <c r="EV128" i="5" a="1"/>
  <c r="EV128" i="5" s="1"/>
  <c r="EW128" i="5" a="1"/>
  <c r="EW128" i="5" s="1"/>
  <c r="EX128" i="5" a="1"/>
  <c r="EX128" i="5" s="1"/>
  <c r="EY128" i="5" a="1"/>
  <c r="EY128" i="5" s="1"/>
  <c r="EZ128" i="5" a="1"/>
  <c r="EZ128" i="5" s="1"/>
  <c r="FA128" i="5" a="1"/>
  <c r="FA128" i="5" s="1"/>
  <c r="FB128" i="5" a="1"/>
  <c r="FB128" i="5" s="1"/>
  <c r="FC128" i="5" a="1"/>
  <c r="FC128" i="5" s="1"/>
  <c r="FD128" i="5" a="1"/>
  <c r="FD128" i="5" s="1"/>
  <c r="FE128" i="5" a="1"/>
  <c r="FE128" i="5" s="1"/>
  <c r="FF128" i="5" a="1"/>
  <c r="FF128" i="5" s="1"/>
  <c r="FG128" i="5" a="1"/>
  <c r="FG128" i="5" s="1"/>
  <c r="FH128" i="5" a="1"/>
  <c r="FH128" i="5" s="1"/>
  <c r="FI128" i="5" a="1"/>
  <c r="FI128" i="5" s="1"/>
  <c r="FJ128" i="5" a="1"/>
  <c r="FJ128" i="5" s="1"/>
  <c r="FK128" i="5" a="1"/>
  <c r="FK128" i="5" s="1"/>
  <c r="FL128" i="5" a="1"/>
  <c r="FL128" i="5" s="1"/>
  <c r="FM128" i="5" a="1"/>
  <c r="FM128" i="5" s="1"/>
  <c r="FN128" i="5" a="1"/>
  <c r="FN128" i="5" s="1"/>
  <c r="FO128" i="5" a="1"/>
  <c r="FO128" i="5" s="1"/>
  <c r="EI129" i="5" a="1"/>
  <c r="EI129" i="5" s="1"/>
  <c r="EJ129" i="5" a="1"/>
  <c r="EJ129" i="5" s="1"/>
  <c r="EK129" i="5" a="1"/>
  <c r="EK129" i="5" s="1"/>
  <c r="EL129" i="5" a="1"/>
  <c r="EL129" i="5" s="1"/>
  <c r="EM129" i="5" a="1"/>
  <c r="EM129" i="5" s="1"/>
  <c r="EN129" i="5" a="1"/>
  <c r="EN129" i="5" s="1"/>
  <c r="EO129" i="5" a="1"/>
  <c r="EO129" i="5" s="1"/>
  <c r="EP129" i="5" a="1"/>
  <c r="EP129" i="5" s="1"/>
  <c r="EQ129" i="5" a="1"/>
  <c r="EQ129" i="5" s="1"/>
  <c r="ER129" i="5" a="1"/>
  <c r="ER129" i="5" s="1"/>
  <c r="ES129" i="5" a="1"/>
  <c r="ES129" i="5" s="1"/>
  <c r="ET129" i="5" a="1"/>
  <c r="ET129" i="5" s="1"/>
  <c r="EU129" i="5" a="1"/>
  <c r="EU129" i="5" s="1"/>
  <c r="EV129" i="5" a="1"/>
  <c r="EV129" i="5" s="1"/>
  <c r="EW129" i="5" a="1"/>
  <c r="EW129" i="5" s="1"/>
  <c r="EX129" i="5" a="1"/>
  <c r="EX129" i="5" s="1"/>
  <c r="EY129" i="5" a="1"/>
  <c r="EY129" i="5" s="1"/>
  <c r="EZ129" i="5" a="1"/>
  <c r="EZ129" i="5" s="1"/>
  <c r="FA129" i="5" a="1"/>
  <c r="FA129" i="5" s="1"/>
  <c r="FB129" i="5" a="1"/>
  <c r="FB129" i="5" s="1"/>
  <c r="FC129" i="5" a="1"/>
  <c r="FC129" i="5" s="1"/>
  <c r="FD129" i="5" a="1"/>
  <c r="FD129" i="5" s="1"/>
  <c r="FE129" i="5" a="1"/>
  <c r="FE129" i="5" s="1"/>
  <c r="FF129" i="5" a="1"/>
  <c r="FF129" i="5" s="1"/>
  <c r="FG129" i="5" a="1"/>
  <c r="FG129" i="5" s="1"/>
  <c r="FH129" i="5" a="1"/>
  <c r="FH129" i="5" s="1"/>
  <c r="FI129" i="5" a="1"/>
  <c r="FI129" i="5" s="1"/>
  <c r="FJ129" i="5" a="1"/>
  <c r="FJ129" i="5" s="1"/>
  <c r="FK129" i="5" a="1"/>
  <c r="FK129" i="5" s="1"/>
  <c r="FL129" i="5" a="1"/>
  <c r="FL129" i="5" s="1"/>
  <c r="FM129" i="5" a="1"/>
  <c r="FM129" i="5" s="1"/>
  <c r="FN129" i="5" a="1"/>
  <c r="FN129" i="5" s="1"/>
  <c r="FO129" i="5" a="1"/>
  <c r="FO129" i="5" s="1"/>
  <c r="EI130" i="5" a="1"/>
  <c r="EI130" i="5" s="1"/>
  <c r="EJ130" i="5" a="1"/>
  <c r="EJ130" i="5" s="1"/>
  <c r="EK130" i="5" a="1"/>
  <c r="EK130" i="5" s="1"/>
  <c r="EL130" i="5" a="1"/>
  <c r="EL130" i="5" s="1"/>
  <c r="EM130" i="5" a="1"/>
  <c r="EM130" i="5" s="1"/>
  <c r="EN130" i="5" a="1"/>
  <c r="EN130" i="5" s="1"/>
  <c r="EO130" i="5" a="1"/>
  <c r="EO130" i="5" s="1"/>
  <c r="EP130" i="5" a="1"/>
  <c r="EP130" i="5" s="1"/>
  <c r="EQ130" i="5" a="1"/>
  <c r="EQ130" i="5" s="1"/>
  <c r="ER130" i="5" a="1"/>
  <c r="ER130" i="5" s="1"/>
  <c r="ES130" i="5" a="1"/>
  <c r="ES130" i="5" s="1"/>
  <c r="ET130" i="5" a="1"/>
  <c r="ET130" i="5" s="1"/>
  <c r="EU130" i="5" a="1"/>
  <c r="EU130" i="5" s="1"/>
  <c r="EV130" i="5" a="1"/>
  <c r="EV130" i="5" s="1"/>
  <c r="EW130" i="5" a="1"/>
  <c r="EW130" i="5" s="1"/>
  <c r="EX130" i="5" a="1"/>
  <c r="EX130" i="5" s="1"/>
  <c r="EY130" i="5" a="1"/>
  <c r="EY130" i="5" s="1"/>
  <c r="EZ130" i="5" a="1"/>
  <c r="EZ130" i="5" s="1"/>
  <c r="FA130" i="5" a="1"/>
  <c r="FA130" i="5" s="1"/>
  <c r="FB130" i="5" a="1"/>
  <c r="FB130" i="5" s="1"/>
  <c r="FC130" i="5" a="1"/>
  <c r="FC130" i="5" s="1"/>
  <c r="FD130" i="5" a="1"/>
  <c r="FD130" i="5" s="1"/>
  <c r="FE130" i="5" a="1"/>
  <c r="FE130" i="5" s="1"/>
  <c r="FF130" i="5" a="1"/>
  <c r="FF130" i="5" s="1"/>
  <c r="FG130" i="5" a="1"/>
  <c r="FG130" i="5" s="1"/>
  <c r="FH130" i="5" a="1"/>
  <c r="FH130" i="5" s="1"/>
  <c r="FI130" i="5" a="1"/>
  <c r="FI130" i="5" s="1"/>
  <c r="FJ130" i="5" a="1"/>
  <c r="FJ130" i="5" s="1"/>
  <c r="FK130" i="5" a="1"/>
  <c r="FK130" i="5" s="1"/>
  <c r="FL130" i="5" a="1"/>
  <c r="FL130" i="5" s="1"/>
  <c r="FM130" i="5" a="1"/>
  <c r="FM130" i="5" s="1"/>
  <c r="FN130" i="5" a="1"/>
  <c r="FN130" i="5" s="1"/>
  <c r="FO130" i="5" a="1"/>
  <c r="FO130" i="5" s="1"/>
  <c r="EI131" i="5" a="1"/>
  <c r="EI131" i="5" s="1"/>
  <c r="EJ131" i="5" a="1"/>
  <c r="EJ131" i="5" s="1"/>
  <c r="EK131" i="5" a="1"/>
  <c r="EK131" i="5" s="1"/>
  <c r="EL131" i="5" a="1"/>
  <c r="EL131" i="5" s="1"/>
  <c r="EM131" i="5" a="1"/>
  <c r="EM131" i="5" s="1"/>
  <c r="EN131" i="5" a="1"/>
  <c r="EN131" i="5" s="1"/>
  <c r="EO131" i="5" a="1"/>
  <c r="EO131" i="5" s="1"/>
  <c r="EP131" i="5" a="1"/>
  <c r="EP131" i="5" s="1"/>
  <c r="EQ131" i="5" a="1"/>
  <c r="EQ131" i="5" s="1"/>
  <c r="ER131" i="5" a="1"/>
  <c r="ER131" i="5" s="1"/>
  <c r="ES131" i="5" a="1"/>
  <c r="ES131" i="5" s="1"/>
  <c r="ET131" i="5" a="1"/>
  <c r="ET131" i="5" s="1"/>
  <c r="EU131" i="5" a="1"/>
  <c r="EU131" i="5" s="1"/>
  <c r="EV131" i="5" a="1"/>
  <c r="EV131" i="5" s="1"/>
  <c r="EW131" i="5" a="1"/>
  <c r="EW131" i="5" s="1"/>
  <c r="EX131" i="5" a="1"/>
  <c r="EX131" i="5" s="1"/>
  <c r="EY131" i="5" a="1"/>
  <c r="EY131" i="5" s="1"/>
  <c r="EZ131" i="5" a="1"/>
  <c r="EZ131" i="5" s="1"/>
  <c r="FA131" i="5" a="1"/>
  <c r="FA131" i="5" s="1"/>
  <c r="FB131" i="5" a="1"/>
  <c r="FB131" i="5" s="1"/>
  <c r="FC131" i="5" a="1"/>
  <c r="FC131" i="5" s="1"/>
  <c r="FD131" i="5" a="1"/>
  <c r="FD131" i="5" s="1"/>
  <c r="FE131" i="5" a="1"/>
  <c r="FE131" i="5" s="1"/>
  <c r="FF131" i="5" a="1"/>
  <c r="FF131" i="5" s="1"/>
  <c r="FG131" i="5" a="1"/>
  <c r="FG131" i="5" s="1"/>
  <c r="FH131" i="5" a="1"/>
  <c r="FH131" i="5" s="1"/>
  <c r="FI131" i="5" a="1"/>
  <c r="FI131" i="5" s="1"/>
  <c r="FJ131" i="5" a="1"/>
  <c r="FJ131" i="5" s="1"/>
  <c r="FK131" i="5" a="1"/>
  <c r="FK131" i="5" s="1"/>
  <c r="FL131" i="5" a="1"/>
  <c r="FL131" i="5" s="1"/>
  <c r="FM131" i="5" a="1"/>
  <c r="FM131" i="5" s="1"/>
  <c r="FN131" i="5" a="1"/>
  <c r="FN131" i="5" s="1"/>
  <c r="FO131" i="5" a="1"/>
  <c r="FO131" i="5" s="1"/>
  <c r="EI132" i="5" a="1"/>
  <c r="EI132" i="5" s="1"/>
  <c r="EJ132" i="5" a="1"/>
  <c r="EJ132" i="5" s="1"/>
  <c r="EK132" i="5" a="1"/>
  <c r="EK132" i="5" s="1"/>
  <c r="EL132" i="5" a="1"/>
  <c r="EL132" i="5" s="1"/>
  <c r="EM132" i="5" a="1"/>
  <c r="EM132" i="5" s="1"/>
  <c r="EN132" i="5" a="1"/>
  <c r="EN132" i="5" s="1"/>
  <c r="EO132" i="5" a="1"/>
  <c r="EO132" i="5" s="1"/>
  <c r="EP132" i="5" a="1"/>
  <c r="EP132" i="5" s="1"/>
  <c r="EQ132" i="5" a="1"/>
  <c r="EQ132" i="5" s="1"/>
  <c r="ER132" i="5" a="1"/>
  <c r="ER132" i="5" s="1"/>
  <c r="ES132" i="5" a="1"/>
  <c r="ES132" i="5" s="1"/>
  <c r="ET132" i="5" a="1"/>
  <c r="ET132" i="5" s="1"/>
  <c r="EU132" i="5" a="1"/>
  <c r="EU132" i="5" s="1"/>
  <c r="EV132" i="5" a="1"/>
  <c r="EV132" i="5" s="1"/>
  <c r="EW132" i="5" a="1"/>
  <c r="EW132" i="5" s="1"/>
  <c r="EX132" i="5" a="1"/>
  <c r="EX132" i="5" s="1"/>
  <c r="EY132" i="5" a="1"/>
  <c r="EY132" i="5" s="1"/>
  <c r="EZ132" i="5" a="1"/>
  <c r="EZ132" i="5" s="1"/>
  <c r="FA132" i="5" a="1"/>
  <c r="FA132" i="5" s="1"/>
  <c r="FB132" i="5" a="1"/>
  <c r="FB132" i="5" s="1"/>
  <c r="FC132" i="5" a="1"/>
  <c r="FC132" i="5" s="1"/>
  <c r="FD132" i="5" a="1"/>
  <c r="FD132" i="5" s="1"/>
  <c r="FE132" i="5" a="1"/>
  <c r="FE132" i="5" s="1"/>
  <c r="FF132" i="5" a="1"/>
  <c r="FF132" i="5" s="1"/>
  <c r="FG132" i="5" a="1"/>
  <c r="FG132" i="5" s="1"/>
  <c r="FH132" i="5" a="1"/>
  <c r="FH132" i="5" s="1"/>
  <c r="FI132" i="5" a="1"/>
  <c r="FI132" i="5" s="1"/>
  <c r="FJ132" i="5" a="1"/>
  <c r="FJ132" i="5" s="1"/>
  <c r="FK132" i="5" a="1"/>
  <c r="FK132" i="5" s="1"/>
  <c r="FL132" i="5" a="1"/>
  <c r="FL132" i="5" s="1"/>
  <c r="FM132" i="5" a="1"/>
  <c r="FM132" i="5" s="1"/>
  <c r="FN132" i="5" a="1"/>
  <c r="FN132" i="5" s="1"/>
  <c r="FO132" i="5" a="1"/>
  <c r="FO132" i="5" s="1"/>
  <c r="EI133" i="5" a="1"/>
  <c r="EI133" i="5" s="1"/>
  <c r="EJ133" i="5" a="1"/>
  <c r="EJ133" i="5" s="1"/>
  <c r="EK133" i="5" a="1"/>
  <c r="EK133" i="5" s="1"/>
  <c r="EL133" i="5" a="1"/>
  <c r="EL133" i="5" s="1"/>
  <c r="EM133" i="5" a="1"/>
  <c r="EM133" i="5" s="1"/>
  <c r="EN133" i="5" a="1"/>
  <c r="EN133" i="5" s="1"/>
  <c r="EO133" i="5" a="1"/>
  <c r="EO133" i="5" s="1"/>
  <c r="EP133" i="5" a="1"/>
  <c r="EP133" i="5" s="1"/>
  <c r="EQ133" i="5" a="1"/>
  <c r="EQ133" i="5" s="1"/>
  <c r="ER133" i="5" a="1"/>
  <c r="ER133" i="5" s="1"/>
  <c r="ES133" i="5" a="1"/>
  <c r="ES133" i="5" s="1"/>
  <c r="ET133" i="5" a="1"/>
  <c r="ET133" i="5" s="1"/>
  <c r="EU133" i="5" a="1"/>
  <c r="EU133" i="5" s="1"/>
  <c r="EV133" i="5" a="1"/>
  <c r="EV133" i="5" s="1"/>
  <c r="EW133" i="5" a="1"/>
  <c r="EW133" i="5" s="1"/>
  <c r="EX133" i="5" a="1"/>
  <c r="EX133" i="5" s="1"/>
  <c r="EY133" i="5" a="1"/>
  <c r="EY133" i="5" s="1"/>
  <c r="EZ133" i="5" a="1"/>
  <c r="EZ133" i="5" s="1"/>
  <c r="FA133" i="5" a="1"/>
  <c r="FA133" i="5" s="1"/>
  <c r="FB133" i="5" a="1"/>
  <c r="FB133" i="5" s="1"/>
  <c r="FC133" i="5" a="1"/>
  <c r="FC133" i="5" s="1"/>
  <c r="FD133" i="5" a="1"/>
  <c r="FD133" i="5" s="1"/>
  <c r="FE133" i="5" a="1"/>
  <c r="FE133" i="5" s="1"/>
  <c r="FF133" i="5" a="1"/>
  <c r="FF133" i="5" s="1"/>
  <c r="FG133" i="5" a="1"/>
  <c r="FG133" i="5" s="1"/>
  <c r="FH133" i="5" a="1"/>
  <c r="FH133" i="5" s="1"/>
  <c r="FI133" i="5" a="1"/>
  <c r="FI133" i="5" s="1"/>
  <c r="FJ133" i="5" a="1"/>
  <c r="FJ133" i="5" s="1"/>
  <c r="FK133" i="5" a="1"/>
  <c r="FK133" i="5" s="1"/>
  <c r="FL133" i="5" a="1"/>
  <c r="FL133" i="5" s="1"/>
  <c r="FM133" i="5" a="1"/>
  <c r="FM133" i="5" s="1"/>
  <c r="FN133" i="5" a="1"/>
  <c r="FN133" i="5" s="1"/>
  <c r="FO133" i="5" a="1"/>
  <c r="FO133" i="5" s="1"/>
  <c r="EI134" i="5" a="1"/>
  <c r="EI134" i="5" s="1"/>
  <c r="EJ134" i="5" a="1"/>
  <c r="EJ134" i="5" s="1"/>
  <c r="EK134" i="5" a="1"/>
  <c r="EK134" i="5" s="1"/>
  <c r="EL134" i="5" a="1"/>
  <c r="EL134" i="5" s="1"/>
  <c r="EM134" i="5" a="1"/>
  <c r="EM134" i="5" s="1"/>
  <c r="EN134" i="5" a="1"/>
  <c r="EN134" i="5" s="1"/>
  <c r="EO134" i="5" a="1"/>
  <c r="EO134" i="5" s="1"/>
  <c r="EP134" i="5" a="1"/>
  <c r="EP134" i="5" s="1"/>
  <c r="EQ134" i="5" a="1"/>
  <c r="EQ134" i="5" s="1"/>
  <c r="ER134" i="5" a="1"/>
  <c r="ER134" i="5" s="1"/>
  <c r="ES134" i="5" a="1"/>
  <c r="ES134" i="5" s="1"/>
  <c r="ET134" i="5" a="1"/>
  <c r="ET134" i="5" s="1"/>
  <c r="EU134" i="5" a="1"/>
  <c r="EU134" i="5" s="1"/>
  <c r="EV134" i="5" a="1"/>
  <c r="EV134" i="5" s="1"/>
  <c r="EW134" i="5" a="1"/>
  <c r="EW134" i="5" s="1"/>
  <c r="EX134" i="5" a="1"/>
  <c r="EX134" i="5" s="1"/>
  <c r="EY134" i="5" a="1"/>
  <c r="EY134" i="5" s="1"/>
  <c r="EZ134" i="5" a="1"/>
  <c r="EZ134" i="5" s="1"/>
  <c r="FA134" i="5" a="1"/>
  <c r="FA134" i="5" s="1"/>
  <c r="FB134" i="5" a="1"/>
  <c r="FB134" i="5" s="1"/>
  <c r="FC134" i="5" a="1"/>
  <c r="FC134" i="5" s="1"/>
  <c r="FD134" i="5" a="1"/>
  <c r="FD134" i="5" s="1"/>
  <c r="FE134" i="5" a="1"/>
  <c r="FE134" i="5" s="1"/>
  <c r="FF134" i="5" a="1"/>
  <c r="FF134" i="5" s="1"/>
  <c r="FG134" i="5" a="1"/>
  <c r="FG134" i="5" s="1"/>
  <c r="FH134" i="5" a="1"/>
  <c r="FH134" i="5" s="1"/>
  <c r="FI134" i="5" a="1"/>
  <c r="FI134" i="5" s="1"/>
  <c r="FJ134" i="5" a="1"/>
  <c r="FJ134" i="5" s="1"/>
  <c r="FK134" i="5" a="1"/>
  <c r="FK134" i="5" s="1"/>
  <c r="FL134" i="5" a="1"/>
  <c r="FL134" i="5" s="1"/>
  <c r="FM134" i="5" a="1"/>
  <c r="FM134" i="5" s="1"/>
  <c r="FN134" i="5" a="1"/>
  <c r="FN134" i="5" s="1"/>
  <c r="FO134" i="5" a="1"/>
  <c r="FO134" i="5" s="1"/>
  <c r="EI135" i="5" a="1"/>
  <c r="EI135" i="5" s="1"/>
  <c r="EJ135" i="5" a="1"/>
  <c r="EJ135" i="5" s="1"/>
  <c r="EK135" i="5" a="1"/>
  <c r="EK135" i="5" s="1"/>
  <c r="EL135" i="5" a="1"/>
  <c r="EL135" i="5" s="1"/>
  <c r="EM135" i="5" a="1"/>
  <c r="EM135" i="5" s="1"/>
  <c r="EN135" i="5" a="1"/>
  <c r="EN135" i="5" s="1"/>
  <c r="EO135" i="5" a="1"/>
  <c r="EO135" i="5" s="1"/>
  <c r="EP135" i="5" a="1"/>
  <c r="EP135" i="5" s="1"/>
  <c r="EQ135" i="5" a="1"/>
  <c r="EQ135" i="5" s="1"/>
  <c r="ER135" i="5" a="1"/>
  <c r="ER135" i="5" s="1"/>
  <c r="ES135" i="5" a="1"/>
  <c r="ES135" i="5" s="1"/>
  <c r="ET135" i="5" a="1"/>
  <c r="ET135" i="5" s="1"/>
  <c r="EU135" i="5" a="1"/>
  <c r="EU135" i="5" s="1"/>
  <c r="EV135" i="5" a="1"/>
  <c r="EV135" i="5" s="1"/>
  <c r="EW135" i="5" a="1"/>
  <c r="EW135" i="5" s="1"/>
  <c r="EX135" i="5" a="1"/>
  <c r="EX135" i="5" s="1"/>
  <c r="EY135" i="5" a="1"/>
  <c r="EY135" i="5" s="1"/>
  <c r="EZ135" i="5" a="1"/>
  <c r="EZ135" i="5" s="1"/>
  <c r="FA135" i="5" a="1"/>
  <c r="FA135" i="5" s="1"/>
  <c r="FB135" i="5" a="1"/>
  <c r="FB135" i="5" s="1"/>
  <c r="FC135" i="5" a="1"/>
  <c r="FC135" i="5" s="1"/>
  <c r="FD135" i="5" a="1"/>
  <c r="FD135" i="5" s="1"/>
  <c r="FE135" i="5" a="1"/>
  <c r="FE135" i="5" s="1"/>
  <c r="FF135" i="5" a="1"/>
  <c r="FF135" i="5" s="1"/>
  <c r="FG135" i="5" a="1"/>
  <c r="FG135" i="5" s="1"/>
  <c r="FH135" i="5" a="1"/>
  <c r="FH135" i="5" s="1"/>
  <c r="FI135" i="5" a="1"/>
  <c r="FI135" i="5" s="1"/>
  <c r="FJ135" i="5" a="1"/>
  <c r="FJ135" i="5" s="1"/>
  <c r="FK135" i="5" a="1"/>
  <c r="FK135" i="5" s="1"/>
  <c r="FL135" i="5" a="1"/>
  <c r="FL135" i="5" s="1"/>
  <c r="FM135" i="5" a="1"/>
  <c r="FM135" i="5" s="1"/>
  <c r="FN135" i="5" a="1"/>
  <c r="FN135" i="5" s="1"/>
  <c r="FO135" i="5" a="1"/>
  <c r="FO135" i="5" s="1"/>
  <c r="EI136" i="5" a="1"/>
  <c r="EI136" i="5" s="1"/>
  <c r="EJ136" i="5" a="1"/>
  <c r="EJ136" i="5" s="1"/>
  <c r="EK136" i="5" a="1"/>
  <c r="EK136" i="5" s="1"/>
  <c r="EL136" i="5" a="1"/>
  <c r="EL136" i="5" s="1"/>
  <c r="EM136" i="5" a="1"/>
  <c r="EM136" i="5" s="1"/>
  <c r="EN136" i="5" a="1"/>
  <c r="EN136" i="5" s="1"/>
  <c r="EO136" i="5" a="1"/>
  <c r="EO136" i="5" s="1"/>
  <c r="EP136" i="5" a="1"/>
  <c r="EP136" i="5" s="1"/>
  <c r="EQ136" i="5" a="1"/>
  <c r="EQ136" i="5" s="1"/>
  <c r="ER136" i="5" a="1"/>
  <c r="ER136" i="5" s="1"/>
  <c r="ES136" i="5" a="1"/>
  <c r="ES136" i="5" s="1"/>
  <c r="ET136" i="5" a="1"/>
  <c r="ET136" i="5" s="1"/>
  <c r="EU136" i="5" a="1"/>
  <c r="EU136" i="5" s="1"/>
  <c r="EV136" i="5" a="1"/>
  <c r="EV136" i="5" s="1"/>
  <c r="EW136" i="5" a="1"/>
  <c r="EW136" i="5" s="1"/>
  <c r="EX136" i="5" a="1"/>
  <c r="EX136" i="5" s="1"/>
  <c r="EY136" i="5" a="1"/>
  <c r="EY136" i="5" s="1"/>
  <c r="EZ136" i="5" a="1"/>
  <c r="EZ136" i="5" s="1"/>
  <c r="FA136" i="5" a="1"/>
  <c r="FA136" i="5" s="1"/>
  <c r="FB136" i="5" a="1"/>
  <c r="FB136" i="5" s="1"/>
  <c r="FC136" i="5" a="1"/>
  <c r="FC136" i="5" s="1"/>
  <c r="FD136" i="5" a="1"/>
  <c r="FD136" i="5" s="1"/>
  <c r="FE136" i="5" a="1"/>
  <c r="FE136" i="5" s="1"/>
  <c r="FF136" i="5" a="1"/>
  <c r="FF136" i="5" s="1"/>
  <c r="FG136" i="5" a="1"/>
  <c r="FG136" i="5" s="1"/>
  <c r="FH136" i="5" a="1"/>
  <c r="FH136" i="5" s="1"/>
  <c r="FI136" i="5" a="1"/>
  <c r="FI136" i="5" s="1"/>
  <c r="FJ136" i="5" a="1"/>
  <c r="FJ136" i="5" s="1"/>
  <c r="FK136" i="5" a="1"/>
  <c r="FK136" i="5" s="1"/>
  <c r="FL136" i="5" a="1"/>
  <c r="FL136" i="5" s="1"/>
  <c r="FM136" i="5" a="1"/>
  <c r="FM136" i="5" s="1"/>
  <c r="FN136" i="5" a="1"/>
  <c r="FN136" i="5" s="1"/>
  <c r="FO136" i="5" a="1"/>
  <c r="FO136" i="5" s="1"/>
  <c r="EI137" i="5" a="1"/>
  <c r="EI137" i="5" s="1"/>
  <c r="EJ137" i="5" a="1"/>
  <c r="EJ137" i="5" s="1"/>
  <c r="EK137" i="5" a="1"/>
  <c r="EK137" i="5" s="1"/>
  <c r="EL137" i="5" a="1"/>
  <c r="EL137" i="5" s="1"/>
  <c r="EM137" i="5" a="1"/>
  <c r="EM137" i="5" s="1"/>
  <c r="EN137" i="5" a="1"/>
  <c r="EN137" i="5" s="1"/>
  <c r="EO137" i="5" a="1"/>
  <c r="EO137" i="5" s="1"/>
  <c r="EP137" i="5" a="1"/>
  <c r="EP137" i="5" s="1"/>
  <c r="EQ137" i="5" a="1"/>
  <c r="EQ137" i="5" s="1"/>
  <c r="ER137" i="5" a="1"/>
  <c r="ER137" i="5" s="1"/>
  <c r="ES137" i="5" a="1"/>
  <c r="ES137" i="5" s="1"/>
  <c r="ET137" i="5" a="1"/>
  <c r="ET137" i="5" s="1"/>
  <c r="EU137" i="5" a="1"/>
  <c r="EU137" i="5" s="1"/>
  <c r="EV137" i="5" a="1"/>
  <c r="EV137" i="5" s="1"/>
  <c r="EW137" i="5" a="1"/>
  <c r="EW137" i="5" s="1"/>
  <c r="EX137" i="5" a="1"/>
  <c r="EX137" i="5" s="1"/>
  <c r="EY137" i="5" a="1"/>
  <c r="EY137" i="5" s="1"/>
  <c r="EZ137" i="5" a="1"/>
  <c r="EZ137" i="5" s="1"/>
  <c r="FA137" i="5" a="1"/>
  <c r="FA137" i="5" s="1"/>
  <c r="FB137" i="5" a="1"/>
  <c r="FB137" i="5" s="1"/>
  <c r="FC137" i="5" a="1"/>
  <c r="FC137" i="5" s="1"/>
  <c r="FD137" i="5" a="1"/>
  <c r="FD137" i="5" s="1"/>
  <c r="FE137" i="5" a="1"/>
  <c r="FE137" i="5" s="1"/>
  <c r="FF137" i="5" a="1"/>
  <c r="FF137" i="5" s="1"/>
  <c r="FG137" i="5" a="1"/>
  <c r="FG137" i="5" s="1"/>
  <c r="FH137" i="5" a="1"/>
  <c r="FH137" i="5" s="1"/>
  <c r="FI137" i="5" a="1"/>
  <c r="FI137" i="5" s="1"/>
  <c r="FJ137" i="5" a="1"/>
  <c r="FJ137" i="5" s="1"/>
  <c r="FK137" i="5" a="1"/>
  <c r="FK137" i="5" s="1"/>
  <c r="FL137" i="5" a="1"/>
  <c r="FL137" i="5" s="1"/>
  <c r="FM137" i="5" a="1"/>
  <c r="FM137" i="5" s="1"/>
  <c r="FN137" i="5" a="1"/>
  <c r="FN137" i="5" s="1"/>
  <c r="FO137" i="5" a="1"/>
  <c r="FO137" i="5" s="1"/>
  <c r="EI138" i="5" a="1"/>
  <c r="EI138" i="5" s="1"/>
  <c r="EJ138" i="5" a="1"/>
  <c r="EJ138" i="5" s="1"/>
  <c r="EK138" i="5" a="1"/>
  <c r="EK138" i="5" s="1"/>
  <c r="EL138" i="5" a="1"/>
  <c r="EL138" i="5" s="1"/>
  <c r="EM138" i="5" a="1"/>
  <c r="EM138" i="5" s="1"/>
  <c r="EN138" i="5" a="1"/>
  <c r="EN138" i="5" s="1"/>
  <c r="EO138" i="5" a="1"/>
  <c r="EO138" i="5" s="1"/>
  <c r="EP138" i="5" a="1"/>
  <c r="EP138" i="5" s="1"/>
  <c r="EQ138" i="5" a="1"/>
  <c r="EQ138" i="5" s="1"/>
  <c r="ER138" i="5" a="1"/>
  <c r="ER138" i="5" s="1"/>
  <c r="ES138" i="5" a="1"/>
  <c r="ES138" i="5" s="1"/>
  <c r="ET138" i="5" a="1"/>
  <c r="ET138" i="5" s="1"/>
  <c r="EU138" i="5" a="1"/>
  <c r="EU138" i="5" s="1"/>
  <c r="EV138" i="5" a="1"/>
  <c r="EV138" i="5" s="1"/>
  <c r="EW138" i="5" a="1"/>
  <c r="EW138" i="5" s="1"/>
  <c r="EX138" i="5" a="1"/>
  <c r="EX138" i="5" s="1"/>
  <c r="EY138" i="5" a="1"/>
  <c r="EY138" i="5" s="1"/>
  <c r="EZ138" i="5" a="1"/>
  <c r="EZ138" i="5" s="1"/>
  <c r="FA138" i="5" a="1"/>
  <c r="FA138" i="5" s="1"/>
  <c r="FB138" i="5" a="1"/>
  <c r="FB138" i="5" s="1"/>
  <c r="FC138" i="5" a="1"/>
  <c r="FC138" i="5" s="1"/>
  <c r="FD138" i="5" a="1"/>
  <c r="FD138" i="5" s="1"/>
  <c r="FE138" i="5" a="1"/>
  <c r="FE138" i="5" s="1"/>
  <c r="FF138" i="5" a="1"/>
  <c r="FF138" i="5" s="1"/>
  <c r="FG138" i="5" a="1"/>
  <c r="FG138" i="5" s="1"/>
  <c r="FH138" i="5" a="1"/>
  <c r="FH138" i="5" s="1"/>
  <c r="FI138" i="5" a="1"/>
  <c r="FI138" i="5" s="1"/>
  <c r="FJ138" i="5" a="1"/>
  <c r="FJ138" i="5" s="1"/>
  <c r="FK138" i="5" a="1"/>
  <c r="FK138" i="5" s="1"/>
  <c r="FL138" i="5" a="1"/>
  <c r="FL138" i="5" s="1"/>
  <c r="FM138" i="5" a="1"/>
  <c r="FM138" i="5" s="1"/>
  <c r="FN138" i="5" a="1"/>
  <c r="FN138" i="5" s="1"/>
  <c r="FO138" i="5" a="1"/>
  <c r="FO138" i="5" s="1"/>
  <c r="EI139" i="5" a="1"/>
  <c r="EI139" i="5" s="1"/>
  <c r="EJ139" i="5" a="1"/>
  <c r="EJ139" i="5" s="1"/>
  <c r="EK139" i="5" a="1"/>
  <c r="EK139" i="5" s="1"/>
  <c r="EL139" i="5" a="1"/>
  <c r="EL139" i="5" s="1"/>
  <c r="EM139" i="5" a="1"/>
  <c r="EM139" i="5" s="1"/>
  <c r="EN139" i="5" a="1"/>
  <c r="EN139" i="5" s="1"/>
  <c r="EO139" i="5" a="1"/>
  <c r="EO139" i="5" s="1"/>
  <c r="EP139" i="5" a="1"/>
  <c r="EP139" i="5" s="1"/>
  <c r="EQ139" i="5" a="1"/>
  <c r="EQ139" i="5" s="1"/>
  <c r="ER139" i="5" a="1"/>
  <c r="ER139" i="5" s="1"/>
  <c r="ES139" i="5" a="1"/>
  <c r="ES139" i="5" s="1"/>
  <c r="ET139" i="5" a="1"/>
  <c r="ET139" i="5" s="1"/>
  <c r="EU139" i="5" a="1"/>
  <c r="EU139" i="5" s="1"/>
  <c r="EV139" i="5" a="1"/>
  <c r="EV139" i="5" s="1"/>
  <c r="EW139" i="5" a="1"/>
  <c r="EW139" i="5" s="1"/>
  <c r="EX139" i="5" a="1"/>
  <c r="EX139" i="5" s="1"/>
  <c r="EY139" i="5" a="1"/>
  <c r="EY139" i="5" s="1"/>
  <c r="EZ139" i="5" a="1"/>
  <c r="EZ139" i="5" s="1"/>
  <c r="FA139" i="5" a="1"/>
  <c r="FA139" i="5" s="1"/>
  <c r="FB139" i="5" a="1"/>
  <c r="FB139" i="5" s="1"/>
  <c r="FC139" i="5" a="1"/>
  <c r="FC139" i="5" s="1"/>
  <c r="FD139" i="5" a="1"/>
  <c r="FD139" i="5" s="1"/>
  <c r="FE139" i="5" a="1"/>
  <c r="FE139" i="5" s="1"/>
  <c r="FF139" i="5" a="1"/>
  <c r="FF139" i="5" s="1"/>
  <c r="FG139" i="5" a="1"/>
  <c r="FG139" i="5" s="1"/>
  <c r="FH139" i="5" a="1"/>
  <c r="FH139" i="5" s="1"/>
  <c r="FI139" i="5" a="1"/>
  <c r="FI139" i="5" s="1"/>
  <c r="FJ139" i="5" a="1"/>
  <c r="FJ139" i="5" s="1"/>
  <c r="FK139" i="5" a="1"/>
  <c r="FK139" i="5" s="1"/>
  <c r="FL139" i="5" a="1"/>
  <c r="FL139" i="5" s="1"/>
  <c r="FM139" i="5" a="1"/>
  <c r="FM139" i="5" s="1"/>
  <c r="FN139" i="5" a="1"/>
  <c r="FN139" i="5" s="1"/>
  <c r="FO139" i="5" a="1"/>
  <c r="FO139" i="5" s="1"/>
  <c r="EI140" i="5" a="1"/>
  <c r="EI140" i="5" s="1"/>
  <c r="EJ140" i="5" a="1"/>
  <c r="EJ140" i="5" s="1"/>
  <c r="EK140" i="5" a="1"/>
  <c r="EK140" i="5" s="1"/>
  <c r="EL140" i="5" a="1"/>
  <c r="EL140" i="5" s="1"/>
  <c r="EM140" i="5" a="1"/>
  <c r="EM140" i="5" s="1"/>
  <c r="EN140" i="5" a="1"/>
  <c r="EN140" i="5" s="1"/>
  <c r="EO140" i="5" a="1"/>
  <c r="EO140" i="5" s="1"/>
  <c r="EP140" i="5" a="1"/>
  <c r="EP140" i="5" s="1"/>
  <c r="EQ140" i="5" a="1"/>
  <c r="EQ140" i="5" s="1"/>
  <c r="ER140" i="5" a="1"/>
  <c r="ER140" i="5" s="1"/>
  <c r="ES140" i="5" a="1"/>
  <c r="ES140" i="5" s="1"/>
  <c r="ET140" i="5" a="1"/>
  <c r="ET140" i="5" s="1"/>
  <c r="EU140" i="5" a="1"/>
  <c r="EU140" i="5" s="1"/>
  <c r="EV140" i="5" a="1"/>
  <c r="EV140" i="5" s="1"/>
  <c r="EW140" i="5" a="1"/>
  <c r="EW140" i="5" s="1"/>
  <c r="EX140" i="5" a="1"/>
  <c r="EX140" i="5" s="1"/>
  <c r="EY140" i="5" a="1"/>
  <c r="EY140" i="5" s="1"/>
  <c r="EZ140" i="5" a="1"/>
  <c r="EZ140" i="5" s="1"/>
  <c r="FA140" i="5" a="1"/>
  <c r="FA140" i="5" s="1"/>
  <c r="FB140" i="5" a="1"/>
  <c r="FB140" i="5" s="1"/>
  <c r="FC140" i="5" a="1"/>
  <c r="FC140" i="5" s="1"/>
  <c r="FD140" i="5" a="1"/>
  <c r="FD140" i="5" s="1"/>
  <c r="FE140" i="5" a="1"/>
  <c r="FE140" i="5" s="1"/>
  <c r="FF140" i="5" a="1"/>
  <c r="FF140" i="5" s="1"/>
  <c r="FG140" i="5" a="1"/>
  <c r="FG140" i="5" s="1"/>
  <c r="FH140" i="5" a="1"/>
  <c r="FH140" i="5" s="1"/>
  <c r="FI140" i="5" a="1"/>
  <c r="FI140" i="5" s="1"/>
  <c r="FJ140" i="5" a="1"/>
  <c r="FJ140" i="5" s="1"/>
  <c r="FK140" i="5" a="1"/>
  <c r="FK140" i="5" s="1"/>
  <c r="FL140" i="5" a="1"/>
  <c r="FL140" i="5" s="1"/>
  <c r="FM140" i="5" a="1"/>
  <c r="FM140" i="5" s="1"/>
  <c r="FN140" i="5" a="1"/>
  <c r="FN140" i="5" s="1"/>
  <c r="FO140" i="5" a="1"/>
  <c r="FO140" i="5" s="1"/>
  <c r="EI141" i="5" a="1"/>
  <c r="EI141" i="5" s="1"/>
  <c r="EJ141" i="5" a="1"/>
  <c r="EJ141" i="5" s="1"/>
  <c r="EK141" i="5" a="1"/>
  <c r="EK141" i="5" s="1"/>
  <c r="EL141" i="5" a="1"/>
  <c r="EL141" i="5" s="1"/>
  <c r="EM141" i="5" a="1"/>
  <c r="EM141" i="5" s="1"/>
  <c r="EN141" i="5" a="1"/>
  <c r="EN141" i="5" s="1"/>
  <c r="EO141" i="5" a="1"/>
  <c r="EO141" i="5" s="1"/>
  <c r="EP141" i="5" a="1"/>
  <c r="EP141" i="5" s="1"/>
  <c r="EQ141" i="5" a="1"/>
  <c r="EQ141" i="5" s="1"/>
  <c r="ER141" i="5" a="1"/>
  <c r="ER141" i="5" s="1"/>
  <c r="ES141" i="5" a="1"/>
  <c r="ES141" i="5" s="1"/>
  <c r="ET141" i="5" a="1"/>
  <c r="ET141" i="5" s="1"/>
  <c r="EU141" i="5" a="1"/>
  <c r="EU141" i="5" s="1"/>
  <c r="EV141" i="5" a="1"/>
  <c r="EV141" i="5" s="1"/>
  <c r="EW141" i="5" a="1"/>
  <c r="EW141" i="5" s="1"/>
  <c r="EX141" i="5" a="1"/>
  <c r="EX141" i="5" s="1"/>
  <c r="EY141" i="5" a="1"/>
  <c r="EY141" i="5" s="1"/>
  <c r="EZ141" i="5" a="1"/>
  <c r="EZ141" i="5" s="1"/>
  <c r="FA141" i="5" a="1"/>
  <c r="FA141" i="5" s="1"/>
  <c r="FB141" i="5" a="1"/>
  <c r="FB141" i="5" s="1"/>
  <c r="FC141" i="5" a="1"/>
  <c r="FC141" i="5" s="1"/>
  <c r="FD141" i="5" a="1"/>
  <c r="FD141" i="5" s="1"/>
  <c r="FE141" i="5" a="1"/>
  <c r="FE141" i="5" s="1"/>
  <c r="FF141" i="5" a="1"/>
  <c r="FF141" i="5" s="1"/>
  <c r="FG141" i="5" a="1"/>
  <c r="FG141" i="5" s="1"/>
  <c r="FH141" i="5" a="1"/>
  <c r="FH141" i="5" s="1"/>
  <c r="FI141" i="5" a="1"/>
  <c r="FI141" i="5" s="1"/>
  <c r="FJ141" i="5" a="1"/>
  <c r="FJ141" i="5" s="1"/>
  <c r="FK141" i="5" a="1"/>
  <c r="FK141" i="5" s="1"/>
  <c r="FL141" i="5" a="1"/>
  <c r="FL141" i="5" s="1"/>
  <c r="FM141" i="5" a="1"/>
  <c r="FM141" i="5" s="1"/>
  <c r="FN141" i="5" a="1"/>
  <c r="FN141" i="5" s="1"/>
  <c r="FO141" i="5" a="1"/>
  <c r="FO141" i="5" s="1"/>
  <c r="EI142" i="5" a="1"/>
  <c r="EI142" i="5" s="1"/>
  <c r="EJ142" i="5" a="1"/>
  <c r="EJ142" i="5" s="1"/>
  <c r="EK142" i="5" a="1"/>
  <c r="EK142" i="5" s="1"/>
  <c r="EL142" i="5" a="1"/>
  <c r="EL142" i="5" s="1"/>
  <c r="EM142" i="5" a="1"/>
  <c r="EM142" i="5" s="1"/>
  <c r="EN142" i="5" a="1"/>
  <c r="EN142" i="5" s="1"/>
  <c r="EO142" i="5" a="1"/>
  <c r="EO142" i="5" s="1"/>
  <c r="EP142" i="5" a="1"/>
  <c r="EP142" i="5" s="1"/>
  <c r="EQ142" i="5" a="1"/>
  <c r="EQ142" i="5" s="1"/>
  <c r="ER142" i="5" a="1"/>
  <c r="ER142" i="5" s="1"/>
  <c r="ES142" i="5" a="1"/>
  <c r="ES142" i="5" s="1"/>
  <c r="ET142" i="5" a="1"/>
  <c r="ET142" i="5" s="1"/>
  <c r="EU142" i="5" a="1"/>
  <c r="EU142" i="5" s="1"/>
  <c r="EV142" i="5" a="1"/>
  <c r="EV142" i="5" s="1"/>
  <c r="EW142" i="5" a="1"/>
  <c r="EW142" i="5" s="1"/>
  <c r="EX142" i="5" a="1"/>
  <c r="EX142" i="5" s="1"/>
  <c r="EY142" i="5" a="1"/>
  <c r="EY142" i="5" s="1"/>
  <c r="EZ142" i="5" a="1"/>
  <c r="EZ142" i="5" s="1"/>
  <c r="FA142" i="5" a="1"/>
  <c r="FA142" i="5" s="1"/>
  <c r="FB142" i="5" a="1"/>
  <c r="FB142" i="5" s="1"/>
  <c r="FC142" i="5" a="1"/>
  <c r="FC142" i="5" s="1"/>
  <c r="FD142" i="5" a="1"/>
  <c r="FD142" i="5" s="1"/>
  <c r="FE142" i="5" a="1"/>
  <c r="FE142" i="5" s="1"/>
  <c r="FF142" i="5" a="1"/>
  <c r="FF142" i="5" s="1"/>
  <c r="FG142" i="5" a="1"/>
  <c r="FG142" i="5" s="1"/>
  <c r="FH142" i="5" a="1"/>
  <c r="FH142" i="5" s="1"/>
  <c r="FI142" i="5" a="1"/>
  <c r="FI142" i="5" s="1"/>
  <c r="FJ142" i="5" a="1"/>
  <c r="FJ142" i="5" s="1"/>
  <c r="FK142" i="5" a="1"/>
  <c r="FK142" i="5" s="1"/>
  <c r="FL142" i="5" a="1"/>
  <c r="FL142" i="5" s="1"/>
  <c r="FM142" i="5" a="1"/>
  <c r="FM142" i="5" s="1"/>
  <c r="FN142" i="5" a="1"/>
  <c r="FN142" i="5" s="1"/>
  <c r="FO142" i="5" a="1"/>
  <c r="FO142" i="5" s="1"/>
  <c r="EI143" i="5" a="1"/>
  <c r="EI143" i="5" s="1"/>
  <c r="EJ143" i="5" a="1"/>
  <c r="EJ143" i="5" s="1"/>
  <c r="EK143" i="5" a="1"/>
  <c r="EK143" i="5" s="1"/>
  <c r="EL143" i="5" a="1"/>
  <c r="EL143" i="5" s="1"/>
  <c r="EM143" i="5" a="1"/>
  <c r="EM143" i="5" s="1"/>
  <c r="EN143" i="5" a="1"/>
  <c r="EN143" i="5" s="1"/>
  <c r="EO143" i="5" a="1"/>
  <c r="EO143" i="5" s="1"/>
  <c r="EP143" i="5" a="1"/>
  <c r="EP143" i="5" s="1"/>
  <c r="EQ143" i="5" a="1"/>
  <c r="EQ143" i="5" s="1"/>
  <c r="ER143" i="5" a="1"/>
  <c r="ER143" i="5" s="1"/>
  <c r="ES143" i="5" a="1"/>
  <c r="ES143" i="5" s="1"/>
  <c r="ET143" i="5" a="1"/>
  <c r="ET143" i="5" s="1"/>
  <c r="EU143" i="5" a="1"/>
  <c r="EU143" i="5" s="1"/>
  <c r="EV143" i="5" a="1"/>
  <c r="EV143" i="5" s="1"/>
  <c r="EW143" i="5" a="1"/>
  <c r="EW143" i="5" s="1"/>
  <c r="EX143" i="5" a="1"/>
  <c r="EX143" i="5" s="1"/>
  <c r="EY143" i="5" a="1"/>
  <c r="EY143" i="5" s="1"/>
  <c r="EZ143" i="5" a="1"/>
  <c r="EZ143" i="5" s="1"/>
  <c r="FA143" i="5" a="1"/>
  <c r="FA143" i="5" s="1"/>
  <c r="FB143" i="5" a="1"/>
  <c r="FB143" i="5" s="1"/>
  <c r="FC143" i="5" a="1"/>
  <c r="FC143" i="5" s="1"/>
  <c r="FD143" i="5" a="1"/>
  <c r="FD143" i="5" s="1"/>
  <c r="FE143" i="5" a="1"/>
  <c r="FE143" i="5" s="1"/>
  <c r="FF143" i="5" a="1"/>
  <c r="FF143" i="5" s="1"/>
  <c r="FG143" i="5" a="1"/>
  <c r="FG143" i="5" s="1"/>
  <c r="FH143" i="5" a="1"/>
  <c r="FH143" i="5" s="1"/>
  <c r="FI143" i="5" a="1"/>
  <c r="FI143" i="5" s="1"/>
  <c r="FJ143" i="5" a="1"/>
  <c r="FJ143" i="5" s="1"/>
  <c r="FK143" i="5" a="1"/>
  <c r="FK143" i="5" s="1"/>
  <c r="FL143" i="5" a="1"/>
  <c r="FL143" i="5" s="1"/>
  <c r="FM143" i="5" a="1"/>
  <c r="FM143" i="5" s="1"/>
  <c r="FN143" i="5" a="1"/>
  <c r="FN143" i="5" s="1"/>
  <c r="FO143" i="5" a="1"/>
  <c r="FO143" i="5" s="1"/>
  <c r="EI144" i="5" a="1"/>
  <c r="EI144" i="5" s="1"/>
  <c r="EJ144" i="5" a="1"/>
  <c r="EJ144" i="5" s="1"/>
  <c r="EK144" i="5" a="1"/>
  <c r="EK144" i="5" s="1"/>
  <c r="EL144" i="5" a="1"/>
  <c r="EL144" i="5" s="1"/>
  <c r="EM144" i="5" a="1"/>
  <c r="EM144" i="5" s="1"/>
  <c r="EN144" i="5" a="1"/>
  <c r="EN144" i="5" s="1"/>
  <c r="EO144" i="5" a="1"/>
  <c r="EO144" i="5" s="1"/>
  <c r="EP144" i="5" a="1"/>
  <c r="EP144" i="5" s="1"/>
  <c r="EQ144" i="5" a="1"/>
  <c r="EQ144" i="5" s="1"/>
  <c r="ER144" i="5" a="1"/>
  <c r="ER144" i="5" s="1"/>
  <c r="ES144" i="5" a="1"/>
  <c r="ES144" i="5" s="1"/>
  <c r="ET144" i="5" a="1"/>
  <c r="ET144" i="5" s="1"/>
  <c r="EU144" i="5" a="1"/>
  <c r="EU144" i="5" s="1"/>
  <c r="EV144" i="5" a="1"/>
  <c r="EV144" i="5" s="1"/>
  <c r="EW144" i="5" a="1"/>
  <c r="EW144" i="5" s="1"/>
  <c r="EX144" i="5" a="1"/>
  <c r="EX144" i="5" s="1"/>
  <c r="EY144" i="5" a="1"/>
  <c r="EY144" i="5" s="1"/>
  <c r="EZ144" i="5" a="1"/>
  <c r="EZ144" i="5" s="1"/>
  <c r="FA144" i="5" a="1"/>
  <c r="FA144" i="5" s="1"/>
  <c r="FB144" i="5" a="1"/>
  <c r="FB144" i="5" s="1"/>
  <c r="FC144" i="5" a="1"/>
  <c r="FC144" i="5" s="1"/>
  <c r="FD144" i="5" a="1"/>
  <c r="FD144" i="5" s="1"/>
  <c r="FE144" i="5" a="1"/>
  <c r="FE144" i="5" s="1"/>
  <c r="FF144" i="5" a="1"/>
  <c r="FF144" i="5" s="1"/>
  <c r="FG144" i="5" a="1"/>
  <c r="FG144" i="5" s="1"/>
  <c r="FH144" i="5" a="1"/>
  <c r="FH144" i="5" s="1"/>
  <c r="FI144" i="5" a="1"/>
  <c r="FI144" i="5" s="1"/>
  <c r="FJ144" i="5" a="1"/>
  <c r="FJ144" i="5" s="1"/>
  <c r="FK144" i="5" a="1"/>
  <c r="FK144" i="5" s="1"/>
  <c r="FL144" i="5" a="1"/>
  <c r="FL144" i="5" s="1"/>
  <c r="FM144" i="5" a="1"/>
  <c r="FM144" i="5" s="1"/>
  <c r="FN144" i="5" a="1"/>
  <c r="FN144" i="5" s="1"/>
  <c r="FO144" i="5" a="1"/>
  <c r="FO144" i="5" s="1"/>
  <c r="EI145" i="5" a="1"/>
  <c r="EI145" i="5" s="1"/>
  <c r="EJ145" i="5" a="1"/>
  <c r="EJ145" i="5" s="1"/>
  <c r="EK145" i="5" a="1"/>
  <c r="EK145" i="5" s="1"/>
  <c r="EL145" i="5" a="1"/>
  <c r="EL145" i="5" s="1"/>
  <c r="EM145" i="5" a="1"/>
  <c r="EM145" i="5" s="1"/>
  <c r="EN145" i="5" a="1"/>
  <c r="EN145" i="5" s="1"/>
  <c r="EO145" i="5" a="1"/>
  <c r="EO145" i="5" s="1"/>
  <c r="EP145" i="5" a="1"/>
  <c r="EP145" i="5" s="1"/>
  <c r="EQ145" i="5" a="1"/>
  <c r="EQ145" i="5" s="1"/>
  <c r="ER145" i="5" a="1"/>
  <c r="ER145" i="5" s="1"/>
  <c r="ES145" i="5" a="1"/>
  <c r="ES145" i="5" s="1"/>
  <c r="ET145" i="5" a="1"/>
  <c r="ET145" i="5" s="1"/>
  <c r="EU145" i="5" a="1"/>
  <c r="EU145" i="5" s="1"/>
  <c r="EV145" i="5" a="1"/>
  <c r="EV145" i="5" s="1"/>
  <c r="EW145" i="5" a="1"/>
  <c r="EW145" i="5" s="1"/>
  <c r="EX145" i="5" a="1"/>
  <c r="EX145" i="5" s="1"/>
  <c r="EY145" i="5" a="1"/>
  <c r="EY145" i="5" s="1"/>
  <c r="EZ145" i="5" a="1"/>
  <c r="EZ145" i="5" s="1"/>
  <c r="FA145" i="5" a="1"/>
  <c r="FA145" i="5" s="1"/>
  <c r="FB145" i="5" a="1"/>
  <c r="FB145" i="5" s="1"/>
  <c r="FC145" i="5" a="1"/>
  <c r="FC145" i="5" s="1"/>
  <c r="FD145" i="5" a="1"/>
  <c r="FD145" i="5" s="1"/>
  <c r="FE145" i="5" a="1"/>
  <c r="FE145" i="5" s="1"/>
  <c r="FF145" i="5" a="1"/>
  <c r="FF145" i="5" s="1"/>
  <c r="FG145" i="5" a="1"/>
  <c r="FG145" i="5" s="1"/>
  <c r="FH145" i="5" a="1"/>
  <c r="FH145" i="5" s="1"/>
  <c r="FI145" i="5" a="1"/>
  <c r="FI145" i="5" s="1"/>
  <c r="FJ145" i="5" a="1"/>
  <c r="FJ145" i="5" s="1"/>
  <c r="FK145" i="5" a="1"/>
  <c r="FK145" i="5" s="1"/>
  <c r="FL145" i="5" a="1"/>
  <c r="FL145" i="5" s="1"/>
  <c r="FM145" i="5" a="1"/>
  <c r="FM145" i="5" s="1"/>
  <c r="FN145" i="5" a="1"/>
  <c r="FN145" i="5" s="1"/>
  <c r="FO145" i="5" a="1"/>
  <c r="FO145" i="5" s="1"/>
  <c r="EI146" i="5" a="1"/>
  <c r="EI146" i="5" s="1"/>
  <c r="EJ146" i="5" a="1"/>
  <c r="EJ146" i="5" s="1"/>
  <c r="EK146" i="5" a="1"/>
  <c r="EK146" i="5" s="1"/>
  <c r="EL146" i="5" a="1"/>
  <c r="EL146" i="5" s="1"/>
  <c r="EM146" i="5" a="1"/>
  <c r="EM146" i="5" s="1"/>
  <c r="EN146" i="5" a="1"/>
  <c r="EN146" i="5" s="1"/>
  <c r="EO146" i="5" a="1"/>
  <c r="EO146" i="5" s="1"/>
  <c r="EP146" i="5" a="1"/>
  <c r="EP146" i="5" s="1"/>
  <c r="EQ146" i="5" a="1"/>
  <c r="EQ146" i="5" s="1"/>
  <c r="ER146" i="5" a="1"/>
  <c r="ER146" i="5" s="1"/>
  <c r="ES146" i="5" a="1"/>
  <c r="ES146" i="5" s="1"/>
  <c r="ET146" i="5" a="1"/>
  <c r="ET146" i="5" s="1"/>
  <c r="EU146" i="5" a="1"/>
  <c r="EU146" i="5" s="1"/>
  <c r="EV146" i="5" a="1"/>
  <c r="EV146" i="5" s="1"/>
  <c r="EW146" i="5" a="1"/>
  <c r="EW146" i="5" s="1"/>
  <c r="EX146" i="5" a="1"/>
  <c r="EX146" i="5" s="1"/>
  <c r="EY146" i="5" a="1"/>
  <c r="EY146" i="5" s="1"/>
  <c r="EZ146" i="5" a="1"/>
  <c r="EZ146" i="5" s="1"/>
  <c r="FA146" i="5" a="1"/>
  <c r="FA146" i="5" s="1"/>
  <c r="FB146" i="5" a="1"/>
  <c r="FB146" i="5" s="1"/>
  <c r="FC146" i="5" a="1"/>
  <c r="FC146" i="5" s="1"/>
  <c r="FD146" i="5" a="1"/>
  <c r="FD146" i="5" s="1"/>
  <c r="FE146" i="5" a="1"/>
  <c r="FE146" i="5" s="1"/>
  <c r="FF146" i="5" a="1"/>
  <c r="FF146" i="5" s="1"/>
  <c r="FG146" i="5" a="1"/>
  <c r="FG146" i="5" s="1"/>
  <c r="FH146" i="5" a="1"/>
  <c r="FH146" i="5" s="1"/>
  <c r="FI146" i="5" a="1"/>
  <c r="FI146" i="5" s="1"/>
  <c r="FJ146" i="5" a="1"/>
  <c r="FJ146" i="5" s="1"/>
  <c r="FK146" i="5" a="1"/>
  <c r="FK146" i="5" s="1"/>
  <c r="FL146" i="5" a="1"/>
  <c r="FL146" i="5" s="1"/>
  <c r="FM146" i="5" a="1"/>
  <c r="FM146" i="5" s="1"/>
  <c r="FN146" i="5" a="1"/>
  <c r="FN146" i="5" s="1"/>
  <c r="FO146" i="5" a="1"/>
  <c r="FO146" i="5" s="1"/>
  <c r="EI147" i="5" a="1"/>
  <c r="EI147" i="5" s="1"/>
  <c r="EJ147" i="5" a="1"/>
  <c r="EJ147" i="5" s="1"/>
  <c r="EK147" i="5" a="1"/>
  <c r="EK147" i="5" s="1"/>
  <c r="EL147" i="5" a="1"/>
  <c r="EL147" i="5" s="1"/>
  <c r="EM147" i="5" a="1"/>
  <c r="EM147" i="5" s="1"/>
  <c r="EN147" i="5" a="1"/>
  <c r="EN147" i="5" s="1"/>
  <c r="EO147" i="5" a="1"/>
  <c r="EO147" i="5" s="1"/>
  <c r="EP147" i="5" a="1"/>
  <c r="EP147" i="5" s="1"/>
  <c r="EQ147" i="5" a="1"/>
  <c r="EQ147" i="5" s="1"/>
  <c r="ER147" i="5" a="1"/>
  <c r="ER147" i="5" s="1"/>
  <c r="ES147" i="5" a="1"/>
  <c r="ES147" i="5" s="1"/>
  <c r="ET147" i="5" a="1"/>
  <c r="ET147" i="5" s="1"/>
  <c r="EU147" i="5" a="1"/>
  <c r="EU147" i="5" s="1"/>
  <c r="EV147" i="5" a="1"/>
  <c r="EV147" i="5" s="1"/>
  <c r="EW147" i="5" a="1"/>
  <c r="EW147" i="5" s="1"/>
  <c r="EX147" i="5" a="1"/>
  <c r="EX147" i="5" s="1"/>
  <c r="EY147" i="5" a="1"/>
  <c r="EY147" i="5" s="1"/>
  <c r="EZ147" i="5" a="1"/>
  <c r="EZ147" i="5" s="1"/>
  <c r="FA147" i="5" a="1"/>
  <c r="FA147" i="5" s="1"/>
  <c r="FB147" i="5" a="1"/>
  <c r="FB147" i="5" s="1"/>
  <c r="FC147" i="5" a="1"/>
  <c r="FC147" i="5" s="1"/>
  <c r="FD147" i="5" a="1"/>
  <c r="FD147" i="5" s="1"/>
  <c r="FE147" i="5" a="1"/>
  <c r="FE147" i="5" s="1"/>
  <c r="FF147" i="5" a="1"/>
  <c r="FF147" i="5" s="1"/>
  <c r="FG147" i="5" a="1"/>
  <c r="FG147" i="5" s="1"/>
  <c r="FH147" i="5" a="1"/>
  <c r="FH147" i="5" s="1"/>
  <c r="FI147" i="5" a="1"/>
  <c r="FI147" i="5" s="1"/>
  <c r="FJ147" i="5" a="1"/>
  <c r="FJ147" i="5" s="1"/>
  <c r="FK147" i="5" a="1"/>
  <c r="FK147" i="5" s="1"/>
  <c r="FL147" i="5" a="1"/>
  <c r="FL147" i="5" s="1"/>
  <c r="FM147" i="5" a="1"/>
  <c r="FM147" i="5" s="1"/>
  <c r="FN147" i="5" a="1"/>
  <c r="FN147" i="5" s="1"/>
  <c r="FO147" i="5" a="1"/>
  <c r="FO147" i="5" s="1"/>
  <c r="EI148" i="5" a="1"/>
  <c r="EI148" i="5" s="1"/>
  <c r="EJ148" i="5" a="1"/>
  <c r="EJ148" i="5" s="1"/>
  <c r="EK148" i="5" a="1"/>
  <c r="EK148" i="5" s="1"/>
  <c r="EL148" i="5" a="1"/>
  <c r="EL148" i="5" s="1"/>
  <c r="EM148" i="5" a="1"/>
  <c r="EM148" i="5" s="1"/>
  <c r="EN148" i="5" a="1"/>
  <c r="EN148" i="5" s="1"/>
  <c r="EO148" i="5" a="1"/>
  <c r="EO148" i="5" s="1"/>
  <c r="EP148" i="5" a="1"/>
  <c r="EP148" i="5" s="1"/>
  <c r="EQ148" i="5" a="1"/>
  <c r="EQ148" i="5" s="1"/>
  <c r="ER148" i="5" a="1"/>
  <c r="ER148" i="5" s="1"/>
  <c r="ES148" i="5" a="1"/>
  <c r="ES148" i="5" s="1"/>
  <c r="ET148" i="5" a="1"/>
  <c r="ET148" i="5" s="1"/>
  <c r="EU148" i="5" a="1"/>
  <c r="EU148" i="5" s="1"/>
  <c r="EV148" i="5" a="1"/>
  <c r="EV148" i="5" s="1"/>
  <c r="EW148" i="5" a="1"/>
  <c r="EW148" i="5" s="1"/>
  <c r="EX148" i="5" a="1"/>
  <c r="EX148" i="5" s="1"/>
  <c r="EY148" i="5" a="1"/>
  <c r="EY148" i="5" s="1"/>
  <c r="EZ148" i="5" a="1"/>
  <c r="EZ148" i="5" s="1"/>
  <c r="FA148" i="5" a="1"/>
  <c r="FA148" i="5" s="1"/>
  <c r="FB148" i="5" a="1"/>
  <c r="FB148" i="5" s="1"/>
  <c r="FC148" i="5" a="1"/>
  <c r="FC148" i="5" s="1"/>
  <c r="FD148" i="5" a="1"/>
  <c r="FD148" i="5" s="1"/>
  <c r="FE148" i="5" a="1"/>
  <c r="FE148" i="5" s="1"/>
  <c r="FF148" i="5" a="1"/>
  <c r="FF148" i="5" s="1"/>
  <c r="FG148" i="5" a="1"/>
  <c r="FG148" i="5" s="1"/>
  <c r="FH148" i="5" a="1"/>
  <c r="FH148" i="5" s="1"/>
  <c r="FI148" i="5" a="1"/>
  <c r="FI148" i="5" s="1"/>
  <c r="FJ148" i="5" a="1"/>
  <c r="FJ148" i="5" s="1"/>
  <c r="FK148" i="5" a="1"/>
  <c r="FK148" i="5" s="1"/>
  <c r="FL148" i="5" a="1"/>
  <c r="FL148" i="5" s="1"/>
  <c r="FM148" i="5" a="1"/>
  <c r="FM148" i="5" s="1"/>
  <c r="FN148" i="5" a="1"/>
  <c r="FN148" i="5" s="1"/>
  <c r="FO148" i="5" a="1"/>
  <c r="FO148" i="5" s="1"/>
  <c r="EI149" i="5" a="1"/>
  <c r="EI149" i="5" s="1"/>
  <c r="EJ149" i="5" a="1"/>
  <c r="EJ149" i="5" s="1"/>
  <c r="EK149" i="5" a="1"/>
  <c r="EK149" i="5" s="1"/>
  <c r="EL149" i="5" a="1"/>
  <c r="EL149" i="5" s="1"/>
  <c r="EM149" i="5" a="1"/>
  <c r="EM149" i="5" s="1"/>
  <c r="EN149" i="5" a="1"/>
  <c r="EN149" i="5" s="1"/>
  <c r="EO149" i="5" a="1"/>
  <c r="EO149" i="5" s="1"/>
  <c r="EP149" i="5" a="1"/>
  <c r="EP149" i="5" s="1"/>
  <c r="EQ149" i="5" a="1"/>
  <c r="EQ149" i="5" s="1"/>
  <c r="ER149" i="5" a="1"/>
  <c r="ER149" i="5" s="1"/>
  <c r="ES149" i="5" a="1"/>
  <c r="ES149" i="5" s="1"/>
  <c r="ET149" i="5" a="1"/>
  <c r="ET149" i="5" s="1"/>
  <c r="EU149" i="5" a="1"/>
  <c r="EU149" i="5" s="1"/>
  <c r="EV149" i="5" a="1"/>
  <c r="EV149" i="5" s="1"/>
  <c r="EW149" i="5" a="1"/>
  <c r="EW149" i="5" s="1"/>
  <c r="EX149" i="5" a="1"/>
  <c r="EX149" i="5" s="1"/>
  <c r="EY149" i="5" a="1"/>
  <c r="EY149" i="5" s="1"/>
  <c r="EZ149" i="5" a="1"/>
  <c r="EZ149" i="5" s="1"/>
  <c r="FA149" i="5" a="1"/>
  <c r="FA149" i="5" s="1"/>
  <c r="FB149" i="5" a="1"/>
  <c r="FB149" i="5" s="1"/>
  <c r="FC149" i="5" a="1"/>
  <c r="FC149" i="5" s="1"/>
  <c r="FD149" i="5" a="1"/>
  <c r="FD149" i="5" s="1"/>
  <c r="FE149" i="5" a="1"/>
  <c r="FE149" i="5" s="1"/>
  <c r="FF149" i="5" a="1"/>
  <c r="FF149" i="5" s="1"/>
  <c r="FG149" i="5" a="1"/>
  <c r="FG149" i="5" s="1"/>
  <c r="FH149" i="5" a="1"/>
  <c r="FH149" i="5" s="1"/>
  <c r="FI149" i="5" a="1"/>
  <c r="FI149" i="5" s="1"/>
  <c r="FJ149" i="5" a="1"/>
  <c r="FJ149" i="5" s="1"/>
  <c r="FK149" i="5" a="1"/>
  <c r="FK149" i="5" s="1"/>
  <c r="FL149" i="5" a="1"/>
  <c r="FL149" i="5" s="1"/>
  <c r="FM149" i="5" a="1"/>
  <c r="FM149" i="5" s="1"/>
  <c r="FN149" i="5" a="1"/>
  <c r="FN149" i="5" s="1"/>
  <c r="FO149" i="5" a="1"/>
  <c r="FO149" i="5" s="1"/>
  <c r="EI150" i="5" a="1"/>
  <c r="EI150" i="5" s="1"/>
  <c r="EJ150" i="5" a="1"/>
  <c r="EJ150" i="5" s="1"/>
  <c r="EK150" i="5" a="1"/>
  <c r="EK150" i="5" s="1"/>
  <c r="EL150" i="5" a="1"/>
  <c r="EL150" i="5" s="1"/>
  <c r="EM150" i="5" a="1"/>
  <c r="EM150" i="5" s="1"/>
  <c r="EN150" i="5" a="1"/>
  <c r="EN150" i="5" s="1"/>
  <c r="EO150" i="5" a="1"/>
  <c r="EO150" i="5" s="1"/>
  <c r="EP150" i="5" a="1"/>
  <c r="EP150" i="5" s="1"/>
  <c r="EQ150" i="5" a="1"/>
  <c r="EQ150" i="5" s="1"/>
  <c r="ER150" i="5" a="1"/>
  <c r="ER150" i="5" s="1"/>
  <c r="ES150" i="5" a="1"/>
  <c r="ES150" i="5" s="1"/>
  <c r="ET150" i="5" a="1"/>
  <c r="ET150" i="5" s="1"/>
  <c r="EU150" i="5" a="1"/>
  <c r="EU150" i="5" s="1"/>
  <c r="EV150" i="5" a="1"/>
  <c r="EV150" i="5" s="1"/>
  <c r="EW150" i="5" a="1"/>
  <c r="EW150" i="5" s="1"/>
  <c r="EX150" i="5" a="1"/>
  <c r="EX150" i="5" s="1"/>
  <c r="EY150" i="5" a="1"/>
  <c r="EY150" i="5" s="1"/>
  <c r="EZ150" i="5" a="1"/>
  <c r="EZ150" i="5" s="1"/>
  <c r="FA150" i="5" a="1"/>
  <c r="FA150" i="5" s="1"/>
  <c r="FB150" i="5" a="1"/>
  <c r="FB150" i="5" s="1"/>
  <c r="FC150" i="5" a="1"/>
  <c r="FC150" i="5" s="1"/>
  <c r="FD150" i="5" a="1"/>
  <c r="FD150" i="5" s="1"/>
  <c r="FE150" i="5" a="1"/>
  <c r="FE150" i="5" s="1"/>
  <c r="FF150" i="5" a="1"/>
  <c r="FF150" i="5" s="1"/>
  <c r="FG150" i="5" a="1"/>
  <c r="FG150" i="5" s="1"/>
  <c r="FH150" i="5" a="1"/>
  <c r="FH150" i="5" s="1"/>
  <c r="FI150" i="5" a="1"/>
  <c r="FI150" i="5" s="1"/>
  <c r="FJ150" i="5" a="1"/>
  <c r="FJ150" i="5" s="1"/>
  <c r="FK150" i="5" a="1"/>
  <c r="FK150" i="5" s="1"/>
  <c r="FL150" i="5" a="1"/>
  <c r="FL150" i="5" s="1"/>
  <c r="FM150" i="5" a="1"/>
  <c r="FM150" i="5" s="1"/>
  <c r="FN150" i="5" a="1"/>
  <c r="FN150" i="5" s="1"/>
  <c r="FO150" i="5" a="1"/>
  <c r="FO150" i="5" s="1"/>
  <c r="EI151" i="5" a="1"/>
  <c r="EI151" i="5" s="1"/>
  <c r="EJ151" i="5" a="1"/>
  <c r="EJ151" i="5" s="1"/>
  <c r="EK151" i="5" a="1"/>
  <c r="EK151" i="5" s="1"/>
  <c r="EL151" i="5" a="1"/>
  <c r="EL151" i="5" s="1"/>
  <c r="EM151" i="5" a="1"/>
  <c r="EM151" i="5" s="1"/>
  <c r="EN151" i="5" a="1"/>
  <c r="EN151" i="5" s="1"/>
  <c r="EO151" i="5" a="1"/>
  <c r="EO151" i="5" s="1"/>
  <c r="EP151" i="5" a="1"/>
  <c r="EP151" i="5" s="1"/>
  <c r="EQ151" i="5" a="1"/>
  <c r="EQ151" i="5" s="1"/>
  <c r="ER151" i="5" a="1"/>
  <c r="ER151" i="5" s="1"/>
  <c r="ES151" i="5" a="1"/>
  <c r="ES151" i="5" s="1"/>
  <c r="ET151" i="5" a="1"/>
  <c r="ET151" i="5" s="1"/>
  <c r="EU151" i="5" a="1"/>
  <c r="EU151" i="5" s="1"/>
  <c r="EV151" i="5" a="1"/>
  <c r="EV151" i="5" s="1"/>
  <c r="EW151" i="5" a="1"/>
  <c r="EW151" i="5" s="1"/>
  <c r="EX151" i="5" a="1"/>
  <c r="EX151" i="5" s="1"/>
  <c r="EY151" i="5" a="1"/>
  <c r="EY151" i="5" s="1"/>
  <c r="EZ151" i="5" a="1"/>
  <c r="EZ151" i="5" s="1"/>
  <c r="FA151" i="5" a="1"/>
  <c r="FA151" i="5" s="1"/>
  <c r="FB151" i="5" a="1"/>
  <c r="FB151" i="5" s="1"/>
  <c r="FC151" i="5" a="1"/>
  <c r="FC151" i="5" s="1"/>
  <c r="FD151" i="5" a="1"/>
  <c r="FD151" i="5" s="1"/>
  <c r="FE151" i="5" a="1"/>
  <c r="FE151" i="5" s="1"/>
  <c r="FF151" i="5" a="1"/>
  <c r="FF151" i="5" s="1"/>
  <c r="FG151" i="5" a="1"/>
  <c r="FG151" i="5" s="1"/>
  <c r="FH151" i="5" a="1"/>
  <c r="FH151" i="5" s="1"/>
  <c r="FI151" i="5" a="1"/>
  <c r="FI151" i="5" s="1"/>
  <c r="FJ151" i="5" a="1"/>
  <c r="FJ151" i="5" s="1"/>
  <c r="FK151" i="5" a="1"/>
  <c r="FK151" i="5" s="1"/>
  <c r="FL151" i="5" a="1"/>
  <c r="FL151" i="5" s="1"/>
  <c r="FM151" i="5" a="1"/>
  <c r="FM151" i="5" s="1"/>
  <c r="FN151" i="5" a="1"/>
  <c r="FN151" i="5" s="1"/>
  <c r="FO151" i="5" a="1"/>
  <c r="FO151" i="5" s="1"/>
  <c r="EI152" i="5" a="1"/>
  <c r="EI152" i="5" s="1"/>
  <c r="EJ152" i="5" a="1"/>
  <c r="EJ152" i="5" s="1"/>
  <c r="EK152" i="5" a="1"/>
  <c r="EK152" i="5" s="1"/>
  <c r="EL152" i="5" a="1"/>
  <c r="EL152" i="5" s="1"/>
  <c r="EM152" i="5" a="1"/>
  <c r="EM152" i="5" s="1"/>
  <c r="EN152" i="5" a="1"/>
  <c r="EN152" i="5" s="1"/>
  <c r="EO152" i="5" a="1"/>
  <c r="EO152" i="5" s="1"/>
  <c r="EP152" i="5" a="1"/>
  <c r="EP152" i="5" s="1"/>
  <c r="EQ152" i="5" a="1"/>
  <c r="EQ152" i="5" s="1"/>
  <c r="ER152" i="5" a="1"/>
  <c r="ER152" i="5" s="1"/>
  <c r="ES152" i="5" a="1"/>
  <c r="ES152" i="5" s="1"/>
  <c r="ET152" i="5" a="1"/>
  <c r="ET152" i="5"/>
  <c r="EU152" i="5" a="1"/>
  <c r="EU152" i="5" s="1"/>
  <c r="EV152" i="5" a="1"/>
  <c r="EV152" i="5" s="1"/>
  <c r="EW152" i="5" a="1"/>
  <c r="EW152" i="5" s="1"/>
  <c r="EX152" i="5" a="1"/>
  <c r="EX152" i="5" s="1"/>
  <c r="EY152" i="5" a="1"/>
  <c r="EY152" i="5"/>
  <c r="EZ152" i="5" a="1"/>
  <c r="EZ152" i="5" s="1"/>
  <c r="FA152" i="5" a="1"/>
  <c r="FA152" i="5" s="1"/>
  <c r="FB152" i="5" a="1"/>
  <c r="FB152" i="5" s="1"/>
  <c r="FC152" i="5" a="1"/>
  <c r="FC152" i="5" s="1"/>
  <c r="FD152" i="5" a="1"/>
  <c r="FD152" i="5" s="1"/>
  <c r="FE152" i="5" a="1"/>
  <c r="FE152" i="5" s="1"/>
  <c r="FF152" i="5" a="1"/>
  <c r="FF152" i="5" s="1"/>
  <c r="FG152" i="5" a="1"/>
  <c r="FG152" i="5" s="1"/>
  <c r="FH152" i="5" a="1"/>
  <c r="FH152" i="5" s="1"/>
  <c r="FI152" i="5" a="1"/>
  <c r="FI152" i="5" s="1"/>
  <c r="FJ152" i="5" a="1"/>
  <c r="FJ152" i="5" s="1"/>
  <c r="FK152" i="5" a="1"/>
  <c r="FK152" i="5" s="1"/>
  <c r="FL152" i="5" a="1"/>
  <c r="FL152" i="5" s="1"/>
  <c r="FM152" i="5" a="1"/>
  <c r="FM152" i="5" s="1"/>
  <c r="FN152" i="5" a="1"/>
  <c r="FN152" i="5" s="1"/>
  <c r="FO152" i="5" a="1"/>
  <c r="FO152" i="5" s="1"/>
  <c r="EI153" i="5" a="1"/>
  <c r="EI153" i="5" s="1"/>
  <c r="EJ153" i="5" a="1"/>
  <c r="EJ153" i="5" s="1"/>
  <c r="EK153" i="5" a="1"/>
  <c r="EK153" i="5" s="1"/>
  <c r="EL153" i="5" a="1"/>
  <c r="EL153" i="5" s="1"/>
  <c r="EM153" i="5" a="1"/>
  <c r="EM153" i="5" s="1"/>
  <c r="EN153" i="5" a="1"/>
  <c r="EN153" i="5" s="1"/>
  <c r="EO153" i="5" a="1"/>
  <c r="EO153" i="5" s="1"/>
  <c r="EP153" i="5" a="1"/>
  <c r="EP153" i="5" s="1"/>
  <c r="EQ153" i="5" a="1"/>
  <c r="EQ153" i="5" s="1"/>
  <c r="ER153" i="5" a="1"/>
  <c r="ER153" i="5" s="1"/>
  <c r="ES153" i="5" a="1"/>
  <c r="ES153" i="5" s="1"/>
  <c r="ET153" i="5" a="1"/>
  <c r="ET153" i="5" s="1"/>
  <c r="EU153" i="5" a="1"/>
  <c r="EU153" i="5" s="1"/>
  <c r="EV153" i="5" a="1"/>
  <c r="EV153" i="5" s="1"/>
  <c r="EW153" i="5" a="1"/>
  <c r="EW153" i="5" s="1"/>
  <c r="EX153" i="5" a="1"/>
  <c r="EX153" i="5" s="1"/>
  <c r="EY153" i="5" a="1"/>
  <c r="EY153" i="5" s="1"/>
  <c r="EZ153" i="5" a="1"/>
  <c r="EZ153" i="5" s="1"/>
  <c r="FA153" i="5" a="1"/>
  <c r="FA153" i="5" s="1"/>
  <c r="FB153" i="5" a="1"/>
  <c r="FB153" i="5" s="1"/>
  <c r="FC153" i="5" a="1"/>
  <c r="FC153" i="5" s="1"/>
  <c r="FD153" i="5" a="1"/>
  <c r="FD153" i="5" s="1"/>
  <c r="FE153" i="5" a="1"/>
  <c r="FE153" i="5" s="1"/>
  <c r="FF153" i="5" a="1"/>
  <c r="FF153" i="5" s="1"/>
  <c r="FG153" i="5" a="1"/>
  <c r="FG153" i="5" s="1"/>
  <c r="FH153" i="5" a="1"/>
  <c r="FH153" i="5" s="1"/>
  <c r="FI153" i="5" a="1"/>
  <c r="FI153" i="5" s="1"/>
  <c r="FJ153" i="5" a="1"/>
  <c r="FJ153" i="5" s="1"/>
  <c r="FK153" i="5" a="1"/>
  <c r="FK153" i="5" s="1"/>
  <c r="FL153" i="5" a="1"/>
  <c r="FL153" i="5" s="1"/>
  <c r="FM153" i="5" a="1"/>
  <c r="FM153" i="5" s="1"/>
  <c r="FN153" i="5" a="1"/>
  <c r="FN153" i="5" s="1"/>
  <c r="FO153" i="5" a="1"/>
  <c r="FO153" i="5" s="1"/>
  <c r="EI154" i="5" a="1"/>
  <c r="EI154" i="5" s="1"/>
  <c r="EJ154" i="5" a="1"/>
  <c r="EJ154" i="5" s="1"/>
  <c r="EK154" i="5" a="1"/>
  <c r="EK154" i="5" s="1"/>
  <c r="EL154" i="5" a="1"/>
  <c r="EL154" i="5" s="1"/>
  <c r="EM154" i="5" a="1"/>
  <c r="EM154" i="5" s="1"/>
  <c r="EN154" i="5" a="1"/>
  <c r="EN154" i="5" s="1"/>
  <c r="EO154" i="5" a="1"/>
  <c r="EO154" i="5" s="1"/>
  <c r="EP154" i="5" a="1"/>
  <c r="EP154" i="5" s="1"/>
  <c r="EQ154" i="5" a="1"/>
  <c r="EQ154" i="5" s="1"/>
  <c r="ER154" i="5" a="1"/>
  <c r="ER154" i="5" s="1"/>
  <c r="ES154" i="5" a="1"/>
  <c r="ES154" i="5" s="1"/>
  <c r="ET154" i="5" a="1"/>
  <c r="ET154" i="5" s="1"/>
  <c r="EU154" i="5" a="1"/>
  <c r="EU154" i="5" s="1"/>
  <c r="EV154" i="5" a="1"/>
  <c r="EV154" i="5" s="1"/>
  <c r="EW154" i="5" a="1"/>
  <c r="EW154" i="5" s="1"/>
  <c r="EX154" i="5" a="1"/>
  <c r="EX154" i="5"/>
  <c r="EY154" i="5" a="1"/>
  <c r="EY154" i="5" s="1"/>
  <c r="EZ154" i="5" a="1"/>
  <c r="EZ154" i="5" s="1"/>
  <c r="FA154" i="5" a="1"/>
  <c r="FA154" i="5" s="1"/>
  <c r="FB154" i="5" a="1"/>
  <c r="FB154" i="5" s="1"/>
  <c r="FC154" i="5" a="1"/>
  <c r="FC154" i="5"/>
  <c r="FD154" i="5" a="1"/>
  <c r="FD154" i="5" s="1"/>
  <c r="FE154" i="5" a="1"/>
  <c r="FE154" i="5" s="1"/>
  <c r="FF154" i="5" a="1"/>
  <c r="FF154" i="5" s="1"/>
  <c r="FG154" i="5" a="1"/>
  <c r="FG154" i="5" s="1"/>
  <c r="FH154" i="5" a="1"/>
  <c r="FH154" i="5" s="1"/>
  <c r="FI154" i="5" a="1"/>
  <c r="FI154" i="5" s="1"/>
  <c r="FJ154" i="5" a="1"/>
  <c r="FJ154" i="5" s="1"/>
  <c r="FK154" i="5" a="1"/>
  <c r="FK154" i="5" s="1"/>
  <c r="FL154" i="5" a="1"/>
  <c r="FL154" i="5" s="1"/>
  <c r="FM154" i="5" a="1"/>
  <c r="FM154" i="5" s="1"/>
  <c r="FN154" i="5" a="1"/>
  <c r="FN154" i="5" s="1"/>
  <c r="FO154" i="5" a="1"/>
  <c r="FO154" i="5" s="1"/>
  <c r="EI155" i="5" a="1"/>
  <c r="EI155" i="5" s="1"/>
  <c r="EJ155" i="5" a="1"/>
  <c r="EJ155" i="5" s="1"/>
  <c r="EK155" i="5" a="1"/>
  <c r="EK155" i="5" s="1"/>
  <c r="EL155" i="5" a="1"/>
  <c r="EL155" i="5" s="1"/>
  <c r="EM155" i="5" a="1"/>
  <c r="EM155" i="5" s="1"/>
  <c r="EN155" i="5" a="1"/>
  <c r="EN155" i="5" s="1"/>
  <c r="EO155" i="5" a="1"/>
  <c r="EO155" i="5" s="1"/>
  <c r="EP155" i="5" a="1"/>
  <c r="EP155" i="5" s="1"/>
  <c r="EQ155" i="5" a="1"/>
  <c r="EQ155" i="5" s="1"/>
  <c r="ER155" i="5" a="1"/>
  <c r="ER155" i="5" s="1"/>
  <c r="ES155" i="5" a="1"/>
  <c r="ES155" i="5" s="1"/>
  <c r="ET155" i="5" a="1"/>
  <c r="ET155" i="5" s="1"/>
  <c r="EU155" i="5" a="1"/>
  <c r="EU155" i="5" s="1"/>
  <c r="EV155" i="5" a="1"/>
  <c r="EV155" i="5" s="1"/>
  <c r="EW155" i="5" a="1"/>
  <c r="EW155" i="5" s="1"/>
  <c r="EX155" i="5" a="1"/>
  <c r="EX155" i="5" s="1"/>
  <c r="EY155" i="5" a="1"/>
  <c r="EY155" i="5" s="1"/>
  <c r="EZ155" i="5" a="1"/>
  <c r="EZ155" i="5" s="1"/>
  <c r="FA155" i="5" a="1"/>
  <c r="FA155" i="5" s="1"/>
  <c r="FB155" i="5" a="1"/>
  <c r="FB155" i="5" s="1"/>
  <c r="FC155" i="5" a="1"/>
  <c r="FC155" i="5" s="1"/>
  <c r="FD155" i="5" a="1"/>
  <c r="FD155" i="5" s="1"/>
  <c r="FE155" i="5" a="1"/>
  <c r="FE155" i="5" s="1"/>
  <c r="FF155" i="5" a="1"/>
  <c r="FF155" i="5" s="1"/>
  <c r="FG155" i="5" a="1"/>
  <c r="FG155" i="5" s="1"/>
  <c r="FH155" i="5" a="1"/>
  <c r="FH155" i="5" s="1"/>
  <c r="FI155" i="5" a="1"/>
  <c r="FI155" i="5" s="1"/>
  <c r="FJ155" i="5" a="1"/>
  <c r="FJ155" i="5" s="1"/>
  <c r="FK155" i="5" a="1"/>
  <c r="FK155" i="5" s="1"/>
  <c r="FL155" i="5" a="1"/>
  <c r="FL155" i="5" s="1"/>
  <c r="FM155" i="5" a="1"/>
  <c r="FM155" i="5" s="1"/>
  <c r="FN155" i="5" a="1"/>
  <c r="FN155" i="5" s="1"/>
  <c r="FO155" i="5" a="1"/>
  <c r="FO155" i="5" s="1"/>
  <c r="EI156" i="5" a="1"/>
  <c r="EI156" i="5" s="1"/>
  <c r="EJ156" i="5" a="1"/>
  <c r="EJ156" i="5"/>
  <c r="EK156" i="5" a="1"/>
  <c r="EK156" i="5" s="1"/>
  <c r="EL156" i="5" a="1"/>
  <c r="EL156" i="5" s="1"/>
  <c r="EM156" i="5" a="1"/>
  <c r="EM156" i="5" s="1"/>
  <c r="EN156" i="5" a="1"/>
  <c r="EN156" i="5" s="1"/>
  <c r="EO156" i="5" a="1"/>
  <c r="EO156" i="5"/>
  <c r="EP156" i="5" a="1"/>
  <c r="EP156" i="5"/>
  <c r="EQ156" i="5" a="1"/>
  <c r="EQ156" i="5" s="1"/>
  <c r="ER156" i="5" a="1"/>
  <c r="ER156" i="5" s="1"/>
  <c r="ES156" i="5" a="1"/>
  <c r="ES156" i="5" s="1"/>
  <c r="ET156" i="5" a="1"/>
  <c r="ET156" i="5" s="1"/>
  <c r="EU156" i="5" a="1"/>
  <c r="EU156" i="5"/>
  <c r="EV156" i="5" a="1"/>
  <c r="EV156" i="5" s="1"/>
  <c r="EW156" i="5" a="1"/>
  <c r="EW156" i="5" s="1"/>
  <c r="EX156" i="5" a="1"/>
  <c r="EX156" i="5" s="1"/>
  <c r="EY156" i="5" a="1"/>
  <c r="EY156" i="5" s="1"/>
  <c r="EZ156" i="5" a="1"/>
  <c r="EZ156" i="5" s="1"/>
  <c r="FA156" i="5" a="1"/>
  <c r="FA156" i="5" s="1"/>
  <c r="FB156" i="5" a="1"/>
  <c r="FB156" i="5" s="1"/>
  <c r="FC156" i="5" a="1"/>
  <c r="FC156" i="5" s="1"/>
  <c r="FD156" i="5" a="1"/>
  <c r="FD156" i="5" s="1"/>
  <c r="FE156" i="5" a="1"/>
  <c r="FE156" i="5" s="1"/>
  <c r="FF156" i="5" a="1"/>
  <c r="FF156" i="5" s="1"/>
  <c r="FG156" i="5" a="1"/>
  <c r="FG156" i="5" s="1"/>
  <c r="FH156" i="5" a="1"/>
  <c r="FH156" i="5" s="1"/>
  <c r="FI156" i="5" a="1"/>
  <c r="FI156" i="5" s="1"/>
  <c r="FJ156" i="5" a="1"/>
  <c r="FJ156" i="5" s="1"/>
  <c r="FK156" i="5" a="1"/>
  <c r="FK156" i="5" s="1"/>
  <c r="FL156" i="5" a="1"/>
  <c r="FL156" i="5" s="1"/>
  <c r="FM156" i="5" a="1"/>
  <c r="FM156" i="5" s="1"/>
  <c r="FN156" i="5" a="1"/>
  <c r="FN156" i="5" s="1"/>
  <c r="FO156" i="5" a="1"/>
  <c r="FO156" i="5" s="1"/>
  <c r="EI157" i="5" a="1"/>
  <c r="EI157" i="5" s="1"/>
  <c r="EJ157" i="5" a="1"/>
  <c r="EJ157" i="5" s="1"/>
  <c r="EK157" i="5" a="1"/>
  <c r="EK157" i="5" s="1"/>
  <c r="EL157" i="5" a="1"/>
  <c r="EL157" i="5" s="1"/>
  <c r="EM157" i="5" a="1"/>
  <c r="EM157" i="5" s="1"/>
  <c r="EN157" i="5" a="1"/>
  <c r="EN157" i="5" s="1"/>
  <c r="EO157" i="5" a="1"/>
  <c r="EO157" i="5" s="1"/>
  <c r="EP157" i="5" a="1"/>
  <c r="EP157" i="5" s="1"/>
  <c r="EQ157" i="5" a="1"/>
  <c r="EQ157" i="5" s="1"/>
  <c r="ER157" i="5" a="1"/>
  <c r="ER157" i="5" s="1"/>
  <c r="ES157" i="5" a="1"/>
  <c r="ES157" i="5" s="1"/>
  <c r="ET157" i="5" a="1"/>
  <c r="ET157" i="5" s="1"/>
  <c r="EU157" i="5" a="1"/>
  <c r="EU157" i="5" s="1"/>
  <c r="EV157" i="5" a="1"/>
  <c r="EV157" i="5" s="1"/>
  <c r="EW157" i="5" a="1"/>
  <c r="EW157" i="5" s="1"/>
  <c r="EX157" i="5" a="1"/>
  <c r="EX157" i="5" s="1"/>
  <c r="EY157" i="5" a="1"/>
  <c r="EY157" i="5" s="1"/>
  <c r="EZ157" i="5" a="1"/>
  <c r="EZ157" i="5" s="1"/>
  <c r="FA157" i="5" a="1"/>
  <c r="FA157" i="5" s="1"/>
  <c r="FB157" i="5" a="1"/>
  <c r="FB157" i="5" s="1"/>
  <c r="FC157" i="5" a="1"/>
  <c r="FC157" i="5" s="1"/>
  <c r="FD157" i="5" a="1"/>
  <c r="FD157" i="5" s="1"/>
  <c r="FE157" i="5" a="1"/>
  <c r="FE157" i="5" s="1"/>
  <c r="FF157" i="5" a="1"/>
  <c r="FF157" i="5" s="1"/>
  <c r="FG157" i="5" a="1"/>
  <c r="FG157" i="5" s="1"/>
  <c r="FH157" i="5" a="1"/>
  <c r="FH157" i="5" s="1"/>
  <c r="FI157" i="5" a="1"/>
  <c r="FI157" i="5" s="1"/>
  <c r="FJ157" i="5" a="1"/>
  <c r="FJ157" i="5" s="1"/>
  <c r="FK157" i="5" a="1"/>
  <c r="FK157" i="5" s="1"/>
  <c r="FL157" i="5" a="1"/>
  <c r="FL157" i="5" s="1"/>
  <c r="FM157" i="5" a="1"/>
  <c r="FM157" i="5" s="1"/>
  <c r="FN157" i="5" a="1"/>
  <c r="FN157" i="5" s="1"/>
  <c r="FO157" i="5" a="1"/>
  <c r="FO157" i="5" s="1"/>
  <c r="EI158" i="5" a="1"/>
  <c r="EI158" i="5" s="1"/>
  <c r="EJ158" i="5" a="1"/>
  <c r="EJ158" i="5" s="1"/>
  <c r="EK158" i="5" a="1"/>
  <c r="EK158" i="5" s="1"/>
  <c r="EL158" i="5" a="1"/>
  <c r="EL158" i="5" s="1"/>
  <c r="EM158" i="5" a="1"/>
  <c r="EM158" i="5" s="1"/>
  <c r="EN158" i="5" a="1"/>
  <c r="EN158" i="5"/>
  <c r="EO158" i="5" a="1"/>
  <c r="EO158" i="5" s="1"/>
  <c r="EP158" i="5" a="1"/>
  <c r="EP158" i="5" s="1"/>
  <c r="EQ158" i="5" a="1"/>
  <c r="EQ158" i="5" s="1"/>
  <c r="ER158" i="5" a="1"/>
  <c r="ER158" i="5" s="1"/>
  <c r="ES158" i="5" a="1"/>
  <c r="ES158" i="5"/>
  <c r="ET158" i="5" a="1"/>
  <c r="ET158" i="5" s="1"/>
  <c r="EU158" i="5" a="1"/>
  <c r="EU158" i="5" s="1"/>
  <c r="EV158" i="5" a="1"/>
  <c r="EV158" i="5" s="1"/>
  <c r="EW158" i="5" a="1"/>
  <c r="EW158" i="5" s="1"/>
  <c r="EX158" i="5" a="1"/>
  <c r="EX158" i="5" s="1"/>
  <c r="EY158" i="5" a="1"/>
  <c r="EY158" i="5" s="1"/>
  <c r="EZ158" i="5" a="1"/>
  <c r="EZ158" i="5" s="1"/>
  <c r="FA158" i="5" a="1"/>
  <c r="FA158" i="5" s="1"/>
  <c r="FB158" i="5" a="1"/>
  <c r="FB158" i="5" s="1"/>
  <c r="FC158" i="5" a="1"/>
  <c r="FC158" i="5" s="1"/>
  <c r="FD158" i="5" a="1"/>
  <c r="FD158" i="5" s="1"/>
  <c r="FE158" i="5" a="1"/>
  <c r="FE158" i="5" s="1"/>
  <c r="FF158" i="5" a="1"/>
  <c r="FF158" i="5" s="1"/>
  <c r="FG158" i="5" a="1"/>
  <c r="FG158" i="5" s="1"/>
  <c r="FH158" i="5" a="1"/>
  <c r="FH158" i="5" s="1"/>
  <c r="FI158" i="5" a="1"/>
  <c r="FI158" i="5" s="1"/>
  <c r="FJ158" i="5" a="1"/>
  <c r="FJ158" i="5" s="1"/>
  <c r="FK158" i="5" a="1"/>
  <c r="FK158" i="5" s="1"/>
  <c r="FL158" i="5" a="1"/>
  <c r="FL158" i="5" s="1"/>
  <c r="FM158" i="5" a="1"/>
  <c r="FM158" i="5" s="1"/>
  <c r="FN158" i="5" a="1"/>
  <c r="FN158" i="5" s="1"/>
  <c r="FO158" i="5" a="1"/>
  <c r="FO158" i="5" s="1"/>
  <c r="EI159" i="5" a="1"/>
  <c r="EI159" i="5" s="1"/>
  <c r="EJ159" i="5" a="1"/>
  <c r="EJ159" i="5" s="1"/>
  <c r="EK159" i="5" a="1"/>
  <c r="EK159" i="5" s="1"/>
  <c r="EL159" i="5" a="1"/>
  <c r="EL159" i="5" s="1"/>
  <c r="EM159" i="5" a="1"/>
  <c r="EM159" i="5"/>
  <c r="EN159" i="5" a="1"/>
  <c r="EN159" i="5" s="1"/>
  <c r="EO159" i="5" a="1"/>
  <c r="EO159" i="5" s="1"/>
  <c r="EP159" i="5" a="1"/>
  <c r="EP159" i="5" s="1"/>
  <c r="EQ159" i="5" a="1"/>
  <c r="EQ159" i="5" s="1"/>
  <c r="ER159" i="5" a="1"/>
  <c r="ER159" i="5" s="1"/>
  <c r="ES159" i="5" a="1"/>
  <c r="ES159" i="5" s="1"/>
  <c r="ET159" i="5" a="1"/>
  <c r="ET159" i="5" s="1"/>
  <c r="EU159" i="5" a="1"/>
  <c r="EU159" i="5" s="1"/>
  <c r="EV159" i="5" a="1"/>
  <c r="EV159" i="5" s="1"/>
  <c r="EW159" i="5" a="1"/>
  <c r="EW159" i="5" s="1"/>
  <c r="EX159" i="5" a="1"/>
  <c r="EX159" i="5" s="1"/>
  <c r="EY159" i="5" a="1"/>
  <c r="EY159" i="5" s="1"/>
  <c r="EZ159" i="5" a="1"/>
  <c r="EZ159" i="5"/>
  <c r="FA159" i="5" a="1"/>
  <c r="FA159" i="5" s="1"/>
  <c r="FB159" i="5" a="1"/>
  <c r="FB159" i="5"/>
  <c r="FC159" i="5" a="1"/>
  <c r="FC159" i="5" s="1"/>
  <c r="FD159" i="5" a="1"/>
  <c r="FD159" i="5" s="1"/>
  <c r="FE159" i="5" a="1"/>
  <c r="FE159" i="5" s="1"/>
  <c r="FF159" i="5" a="1"/>
  <c r="FF159" i="5" s="1"/>
  <c r="FG159" i="5" a="1"/>
  <c r="FG159" i="5" s="1"/>
  <c r="FH159" i="5" a="1"/>
  <c r="FH159" i="5" s="1"/>
  <c r="FI159" i="5" a="1"/>
  <c r="FI159" i="5" s="1"/>
  <c r="FJ159" i="5" a="1"/>
  <c r="FJ159" i="5" s="1"/>
  <c r="FK159" i="5" a="1"/>
  <c r="FK159" i="5" s="1"/>
  <c r="FL159" i="5" a="1"/>
  <c r="FL159" i="5" s="1"/>
  <c r="FM159" i="5" a="1"/>
  <c r="FM159" i="5" s="1"/>
  <c r="FN159" i="5" a="1"/>
  <c r="FN159" i="5" s="1"/>
  <c r="FO159" i="5" a="1"/>
  <c r="FO159" i="5" s="1"/>
  <c r="EI160" i="5" a="1"/>
  <c r="EI160" i="5" s="1"/>
  <c r="EJ160" i="5" a="1"/>
  <c r="EJ160" i="5" s="1"/>
  <c r="EK160" i="5" a="1"/>
  <c r="EK160" i="5" s="1"/>
  <c r="EL160" i="5" a="1"/>
  <c r="EL160" i="5" s="1"/>
  <c r="EM160" i="5" a="1"/>
  <c r="EM160" i="5" s="1"/>
  <c r="EN160" i="5" a="1"/>
  <c r="EN160" i="5" s="1"/>
  <c r="EO160" i="5" a="1"/>
  <c r="EO160" i="5" s="1"/>
  <c r="EP160" i="5" a="1"/>
  <c r="EP160" i="5" s="1"/>
  <c r="EQ160" i="5" a="1"/>
  <c r="EQ160" i="5" s="1"/>
  <c r="ER160" i="5" a="1"/>
  <c r="ER160" i="5" s="1"/>
  <c r="ES160" i="5" a="1"/>
  <c r="ES160" i="5" s="1"/>
  <c r="ET160" i="5" a="1"/>
  <c r="ET160" i="5" s="1"/>
  <c r="EU160" i="5" a="1"/>
  <c r="EU160" i="5"/>
  <c r="EV160" i="5" a="1"/>
  <c r="EV160" i="5" s="1"/>
  <c r="EW160" i="5" a="1"/>
  <c r="EW160" i="5" s="1"/>
  <c r="EX160" i="5" a="1"/>
  <c r="EX160" i="5" s="1"/>
  <c r="EY160" i="5" a="1"/>
  <c r="EY160" i="5" s="1"/>
  <c r="EZ160" i="5" a="1"/>
  <c r="EZ160" i="5" s="1"/>
  <c r="FA160" i="5" a="1"/>
  <c r="FA160" i="5" s="1"/>
  <c r="FB160" i="5" a="1"/>
  <c r="FB160" i="5" s="1"/>
  <c r="FC160" i="5" a="1"/>
  <c r="FC160" i="5" s="1"/>
  <c r="FD160" i="5" a="1"/>
  <c r="FD160" i="5" s="1"/>
  <c r="FE160" i="5" a="1"/>
  <c r="FE160" i="5"/>
  <c r="FF160" i="5" a="1"/>
  <c r="FF160" i="5" s="1"/>
  <c r="FG160" i="5" a="1"/>
  <c r="FG160" i="5" s="1"/>
  <c r="FH160" i="5" a="1"/>
  <c r="FH160" i="5" s="1"/>
  <c r="FI160" i="5" a="1"/>
  <c r="FI160" i="5"/>
  <c r="FJ160" i="5" a="1"/>
  <c r="FJ160" i="5" s="1"/>
  <c r="FK160" i="5" a="1"/>
  <c r="FK160" i="5" s="1"/>
  <c r="FL160" i="5" a="1"/>
  <c r="FL160" i="5" s="1"/>
  <c r="FM160" i="5" a="1"/>
  <c r="FM160" i="5" s="1"/>
  <c r="FN160" i="5" a="1"/>
  <c r="FN160" i="5" s="1"/>
  <c r="FO160" i="5" a="1"/>
  <c r="FO160" i="5" s="1"/>
  <c r="EI161" i="5" a="1"/>
  <c r="EI161" i="5" s="1"/>
  <c r="EJ161" i="5" a="1"/>
  <c r="EJ161" i="5" s="1"/>
  <c r="EK161" i="5" a="1"/>
  <c r="EK161" i="5" s="1"/>
  <c r="EL161" i="5" a="1"/>
  <c r="EL161" i="5" s="1"/>
  <c r="EM161" i="5" a="1"/>
  <c r="EM161" i="5" s="1"/>
  <c r="EN161" i="5" a="1"/>
  <c r="EN161" i="5" s="1"/>
  <c r="EO161" i="5" a="1"/>
  <c r="EO161" i="5" s="1"/>
  <c r="EP161" i="5" a="1"/>
  <c r="EP161" i="5" s="1"/>
  <c r="EQ161" i="5" a="1"/>
  <c r="EQ161" i="5" s="1"/>
  <c r="ER161" i="5" a="1"/>
  <c r="ER161" i="5" s="1"/>
  <c r="ES161" i="5" a="1"/>
  <c r="ES161" i="5"/>
  <c r="ET161" i="5" a="1"/>
  <c r="ET161" i="5" s="1"/>
  <c r="EU161" i="5" a="1"/>
  <c r="EU161" i="5" s="1"/>
  <c r="EV161" i="5" a="1"/>
  <c r="EV161" i="5" s="1"/>
  <c r="EW161" i="5" a="1"/>
  <c r="EW161" i="5" s="1"/>
  <c r="EX161" i="5" a="1"/>
  <c r="EX161" i="5" s="1"/>
  <c r="EY161" i="5" a="1"/>
  <c r="EY161" i="5" s="1"/>
  <c r="EZ161" i="5" a="1"/>
  <c r="EZ161" i="5" s="1"/>
  <c r="FA161" i="5" a="1"/>
  <c r="FA161" i="5" s="1"/>
  <c r="FB161" i="5" a="1"/>
  <c r="FB161" i="5" s="1"/>
  <c r="FC161" i="5" a="1"/>
  <c r="FC161" i="5" s="1"/>
  <c r="FD161" i="5" a="1"/>
  <c r="FD161" i="5" s="1"/>
  <c r="FE161" i="5" a="1"/>
  <c r="FE161" i="5"/>
  <c r="FF161" i="5" a="1"/>
  <c r="FF161" i="5" s="1"/>
  <c r="FG161" i="5" a="1"/>
  <c r="FG161" i="5" s="1"/>
  <c r="FH161" i="5" a="1"/>
  <c r="FH161" i="5" s="1"/>
  <c r="FI161" i="5" a="1"/>
  <c r="FI161" i="5" s="1"/>
  <c r="FJ161" i="5" a="1"/>
  <c r="FJ161" i="5" s="1"/>
  <c r="FK161" i="5" a="1"/>
  <c r="FK161" i="5" s="1"/>
  <c r="FL161" i="5" a="1"/>
  <c r="FL161" i="5" s="1"/>
  <c r="FM161" i="5" a="1"/>
  <c r="FM161" i="5" s="1"/>
  <c r="FN161" i="5" a="1"/>
  <c r="FN161" i="5" s="1"/>
  <c r="FO161" i="5" a="1"/>
  <c r="FO161" i="5" s="1"/>
  <c r="EI162" i="5" a="1"/>
  <c r="EI162" i="5" s="1"/>
  <c r="EJ162" i="5" a="1"/>
  <c r="EJ162" i="5" s="1"/>
  <c r="EK162" i="5" a="1"/>
  <c r="EK162" i="5" s="1"/>
  <c r="EL162" i="5" a="1"/>
  <c r="EL162" i="5" s="1"/>
  <c r="EM162" i="5" a="1"/>
  <c r="EM162" i="5" s="1"/>
  <c r="EN162" i="5" a="1"/>
  <c r="EN162" i="5" s="1"/>
  <c r="EO162" i="5" a="1"/>
  <c r="EO162" i="5" s="1"/>
  <c r="EP162" i="5" a="1"/>
  <c r="EP162" i="5" s="1"/>
  <c r="EQ162" i="5" a="1"/>
  <c r="EQ162" i="5" s="1"/>
  <c r="ER162" i="5" a="1"/>
  <c r="ER162" i="5"/>
  <c r="ES162" i="5" a="1"/>
  <c r="ES162" i="5" s="1"/>
  <c r="ET162" i="5" a="1"/>
  <c r="ET162" i="5" s="1"/>
  <c r="EU162" i="5" a="1"/>
  <c r="EU162" i="5" s="1"/>
  <c r="EV162" i="5" a="1"/>
  <c r="EV162" i="5" s="1"/>
  <c r="EW162" i="5" a="1"/>
  <c r="EW162" i="5" s="1"/>
  <c r="EX162" i="5" a="1"/>
  <c r="EX162" i="5" s="1"/>
  <c r="EY162" i="5" a="1"/>
  <c r="EY162" i="5" s="1"/>
  <c r="EZ162" i="5" a="1"/>
  <c r="EZ162" i="5" s="1"/>
  <c r="FA162" i="5" a="1"/>
  <c r="FA162" i="5" s="1"/>
  <c r="FB162" i="5" a="1"/>
  <c r="FB162" i="5" s="1"/>
  <c r="FC162" i="5" a="1"/>
  <c r="FC162" i="5" s="1"/>
  <c r="FD162" i="5" a="1"/>
  <c r="FD162" i="5" s="1"/>
  <c r="FE162" i="5" a="1"/>
  <c r="FE162" i="5" s="1"/>
  <c r="FF162" i="5" a="1"/>
  <c r="FF162" i="5" s="1"/>
  <c r="FG162" i="5" a="1"/>
  <c r="FG162" i="5" s="1"/>
  <c r="FH162" i="5" a="1"/>
  <c r="FH162" i="5" s="1"/>
  <c r="FI162" i="5" a="1"/>
  <c r="FI162" i="5" s="1"/>
  <c r="FJ162" i="5" a="1"/>
  <c r="FJ162" i="5" s="1"/>
  <c r="FK162" i="5" a="1"/>
  <c r="FK162" i="5" s="1"/>
  <c r="FL162" i="5" a="1"/>
  <c r="FL162" i="5" s="1"/>
  <c r="FM162" i="5" a="1"/>
  <c r="FM162" i="5" s="1"/>
  <c r="FN162" i="5" a="1"/>
  <c r="FN162" i="5" s="1"/>
  <c r="FO162" i="5" a="1"/>
  <c r="FO162" i="5" s="1"/>
  <c r="EI163" i="5" a="1"/>
  <c r="EI163" i="5" s="1"/>
  <c r="EJ163" i="5" a="1"/>
  <c r="EJ163" i="5" s="1"/>
  <c r="EK163" i="5" a="1"/>
  <c r="EK163" i="5" s="1"/>
  <c r="EL163" i="5" a="1"/>
  <c r="EL163" i="5" s="1"/>
  <c r="EM163" i="5" a="1"/>
  <c r="EM163" i="5" s="1"/>
  <c r="EN163" i="5" a="1"/>
  <c r="EN163" i="5" s="1"/>
  <c r="EO163" i="5" a="1"/>
  <c r="EO163" i="5" s="1"/>
  <c r="EP163" i="5" a="1"/>
  <c r="EP163" i="5" s="1"/>
  <c r="EQ163" i="5" a="1"/>
  <c r="EQ163" i="5" s="1"/>
  <c r="ER163" i="5" a="1"/>
  <c r="ER163" i="5" s="1"/>
  <c r="ES163" i="5" a="1"/>
  <c r="ES163" i="5" s="1"/>
  <c r="ET163" i="5" a="1"/>
  <c r="ET163" i="5" s="1"/>
  <c r="EU163" i="5" a="1"/>
  <c r="EU163" i="5" s="1"/>
  <c r="EV163" i="5" a="1"/>
  <c r="EV163" i="5" s="1"/>
  <c r="EW163" i="5" a="1"/>
  <c r="EW163" i="5"/>
  <c r="EX163" i="5" a="1"/>
  <c r="EX163" i="5" s="1"/>
  <c r="EY163" i="5" a="1"/>
  <c r="EY163" i="5" s="1"/>
  <c r="EZ163" i="5" a="1"/>
  <c r="EZ163" i="5" s="1"/>
  <c r="FA163" i="5" a="1"/>
  <c r="FA163" i="5" s="1"/>
  <c r="FB163" i="5" a="1"/>
  <c r="FB163" i="5"/>
  <c r="FC163" i="5" a="1"/>
  <c r="FC163" i="5" s="1"/>
  <c r="FD163" i="5" a="1"/>
  <c r="FD163" i="5" s="1"/>
  <c r="FE163" i="5" a="1"/>
  <c r="FE163" i="5" s="1"/>
  <c r="FF163" i="5" a="1"/>
  <c r="FF163" i="5" s="1"/>
  <c r="FG163" i="5" a="1"/>
  <c r="FG163" i="5" s="1"/>
  <c r="FH163" i="5" a="1"/>
  <c r="FH163" i="5" s="1"/>
  <c r="FI163" i="5" a="1"/>
  <c r="FI163" i="5" s="1"/>
  <c r="FJ163" i="5" a="1"/>
  <c r="FJ163" i="5" s="1"/>
  <c r="FK163" i="5" a="1"/>
  <c r="FK163" i="5" s="1"/>
  <c r="FL163" i="5" a="1"/>
  <c r="FL163" i="5" s="1"/>
  <c r="FM163" i="5" a="1"/>
  <c r="FM163" i="5" s="1"/>
  <c r="FN163" i="5" a="1"/>
  <c r="FN163" i="5" s="1"/>
  <c r="FO163" i="5" a="1"/>
  <c r="FO163" i="5" s="1"/>
  <c r="EI164" i="5" a="1"/>
  <c r="EI164" i="5" s="1"/>
  <c r="EJ164" i="5" a="1"/>
  <c r="EJ164" i="5" s="1"/>
  <c r="EK164" i="5" a="1"/>
  <c r="EK164" i="5" s="1"/>
  <c r="EL164" i="5" a="1"/>
  <c r="EL164" i="5" s="1"/>
  <c r="EM164" i="5" a="1"/>
  <c r="EM164" i="5" s="1"/>
  <c r="EN164" i="5" a="1"/>
  <c r="EN164" i="5" s="1"/>
  <c r="EO164" i="5" a="1"/>
  <c r="EO164" i="5" s="1"/>
  <c r="EP164" i="5" a="1"/>
  <c r="EP164" i="5" s="1"/>
  <c r="EQ164" i="5" a="1"/>
  <c r="EQ164" i="5" s="1"/>
  <c r="ER164" i="5" a="1"/>
  <c r="ER164" i="5" s="1"/>
  <c r="ES164" i="5" a="1"/>
  <c r="ES164" i="5" s="1"/>
  <c r="ET164" i="5" a="1"/>
  <c r="ET164" i="5" s="1"/>
  <c r="EU164" i="5" a="1"/>
  <c r="EU164" i="5" s="1"/>
  <c r="EV164" i="5" a="1"/>
  <c r="EV164" i="5"/>
  <c r="EW164" i="5" a="1"/>
  <c r="EW164" i="5" s="1"/>
  <c r="EX164" i="5" a="1"/>
  <c r="EX164" i="5" s="1"/>
  <c r="EY164" i="5" a="1"/>
  <c r="EY164" i="5" s="1"/>
  <c r="EZ164" i="5" a="1"/>
  <c r="EZ164" i="5" s="1"/>
  <c r="FA164" i="5" a="1"/>
  <c r="FA164" i="5" s="1"/>
  <c r="FB164" i="5" a="1"/>
  <c r="FB164" i="5" s="1"/>
  <c r="FC164" i="5" a="1"/>
  <c r="FC164" i="5" s="1"/>
  <c r="FD164" i="5" a="1"/>
  <c r="FD164" i="5" s="1"/>
  <c r="FE164" i="5" a="1"/>
  <c r="FE164" i="5" s="1"/>
  <c r="FF164" i="5" a="1"/>
  <c r="FF164" i="5" s="1"/>
  <c r="FG164" i="5" a="1"/>
  <c r="FG164" i="5" s="1"/>
  <c r="FH164" i="5" a="1"/>
  <c r="FH164" i="5" s="1"/>
  <c r="FI164" i="5" a="1"/>
  <c r="FI164" i="5" s="1"/>
  <c r="FJ164" i="5" a="1"/>
  <c r="FJ164" i="5" s="1"/>
  <c r="FK164" i="5" a="1"/>
  <c r="FK164" i="5"/>
  <c r="FL164" i="5" a="1"/>
  <c r="FL164" i="5" s="1"/>
  <c r="FM164" i="5" a="1"/>
  <c r="FM164" i="5" s="1"/>
  <c r="FN164" i="5" a="1"/>
  <c r="FN164" i="5" s="1"/>
  <c r="FO164" i="5" a="1"/>
  <c r="FO164" i="5" s="1"/>
  <c r="EI165" i="5" a="1"/>
  <c r="EI165" i="5" s="1"/>
  <c r="EJ165" i="5" a="1"/>
  <c r="EJ165" i="5" s="1"/>
  <c r="EK165" i="5" a="1"/>
  <c r="EK165" i="5" s="1"/>
  <c r="EL165" i="5" a="1"/>
  <c r="EL165" i="5" s="1"/>
  <c r="EM165" i="5" a="1"/>
  <c r="EM165" i="5" s="1"/>
  <c r="EN165" i="5" a="1"/>
  <c r="EN165" i="5" s="1"/>
  <c r="EO165" i="5" a="1"/>
  <c r="EO165" i="5"/>
  <c r="EP165" i="5" a="1"/>
  <c r="EP165" i="5" s="1"/>
  <c r="EQ165" i="5" a="1"/>
  <c r="EQ165" i="5" s="1"/>
  <c r="ER165" i="5" a="1"/>
  <c r="ER165" i="5" s="1"/>
  <c r="ES165" i="5" a="1"/>
  <c r="ES165" i="5" s="1"/>
  <c r="ET165" i="5" a="1"/>
  <c r="ET165" i="5" s="1"/>
  <c r="EU165" i="5" a="1"/>
  <c r="EU165" i="5" s="1"/>
  <c r="EV165" i="5" a="1"/>
  <c r="EV165" i="5" s="1"/>
  <c r="EW165" i="5" a="1"/>
  <c r="EW165" i="5" s="1"/>
  <c r="EX165" i="5" a="1"/>
  <c r="EX165" i="5" s="1"/>
  <c r="EY165" i="5" a="1"/>
  <c r="EY165" i="5" s="1"/>
  <c r="EZ165" i="5" a="1"/>
  <c r="EZ165" i="5" s="1"/>
  <c r="FA165" i="5" a="1"/>
  <c r="FA165" i="5" s="1"/>
  <c r="FB165" i="5" a="1"/>
  <c r="FB165" i="5" s="1"/>
  <c r="FC165" i="5" a="1"/>
  <c r="FC165" i="5" s="1"/>
  <c r="FD165" i="5" a="1"/>
  <c r="FD165" i="5" s="1"/>
  <c r="FE165" i="5" a="1"/>
  <c r="FE165" i="5" s="1"/>
  <c r="FF165" i="5" a="1"/>
  <c r="FF165" i="5" s="1"/>
  <c r="FG165" i="5" a="1"/>
  <c r="FG165" i="5" s="1"/>
  <c r="FH165" i="5" a="1"/>
  <c r="FH165" i="5" s="1"/>
  <c r="FI165" i="5" a="1"/>
  <c r="FI165" i="5" s="1"/>
  <c r="FJ165" i="5" a="1"/>
  <c r="FJ165" i="5" s="1"/>
  <c r="FK165" i="5" a="1"/>
  <c r="FK165" i="5" s="1"/>
  <c r="FL165" i="5" a="1"/>
  <c r="FL165" i="5" s="1"/>
  <c r="FM165" i="5" a="1"/>
  <c r="FM165" i="5" s="1"/>
  <c r="FN165" i="5" a="1"/>
  <c r="FN165" i="5" s="1"/>
  <c r="FO165" i="5" a="1"/>
  <c r="FO165" i="5" s="1"/>
  <c r="EI166" i="5" a="1"/>
  <c r="EI166" i="5" s="1"/>
  <c r="EJ166" i="5" a="1"/>
  <c r="EJ166" i="5" s="1"/>
  <c r="EK166" i="5" a="1"/>
  <c r="EK166" i="5" s="1"/>
  <c r="EL166" i="5" a="1"/>
  <c r="EL166" i="5" s="1"/>
  <c r="EM166" i="5" a="1"/>
  <c r="EM166" i="5" s="1"/>
  <c r="EN166" i="5" a="1"/>
  <c r="EN166" i="5" s="1"/>
  <c r="EO166" i="5" a="1"/>
  <c r="EO166" i="5" s="1"/>
  <c r="EP166" i="5" a="1"/>
  <c r="EP166" i="5" s="1"/>
  <c r="EQ166" i="5" a="1"/>
  <c r="EQ166" i="5" s="1"/>
  <c r="ER166" i="5" a="1"/>
  <c r="ER166" i="5" s="1"/>
  <c r="ES166" i="5" a="1"/>
  <c r="ES166" i="5" s="1"/>
  <c r="ET166" i="5" a="1"/>
  <c r="ET166" i="5" s="1"/>
  <c r="EU166" i="5" a="1"/>
  <c r="EU166" i="5" s="1"/>
  <c r="EV166" i="5" a="1"/>
  <c r="EV166" i="5" s="1"/>
  <c r="EW166" i="5" a="1"/>
  <c r="EW166" i="5" s="1"/>
  <c r="EX166" i="5" a="1"/>
  <c r="EX166" i="5" s="1"/>
  <c r="EY166" i="5" a="1"/>
  <c r="EY166" i="5" s="1"/>
  <c r="EZ166" i="5" a="1"/>
  <c r="EZ166" i="5" s="1"/>
  <c r="FA166" i="5" a="1"/>
  <c r="FA166" i="5" s="1"/>
  <c r="FB166" i="5" a="1"/>
  <c r="FB166" i="5" s="1"/>
  <c r="FC166" i="5" a="1"/>
  <c r="FC166" i="5" s="1"/>
  <c r="FD166" i="5" a="1"/>
  <c r="FD166" i="5" s="1"/>
  <c r="FE166" i="5" a="1"/>
  <c r="FE166" i="5" s="1"/>
  <c r="FF166" i="5" a="1"/>
  <c r="FF166" i="5" s="1"/>
  <c r="FG166" i="5" a="1"/>
  <c r="FG166" i="5" s="1"/>
  <c r="FH166" i="5" a="1"/>
  <c r="FH166" i="5" s="1"/>
  <c r="FI166" i="5" a="1"/>
  <c r="FI166" i="5" s="1"/>
  <c r="FJ166" i="5" a="1"/>
  <c r="FJ166" i="5" s="1"/>
  <c r="FK166" i="5" a="1"/>
  <c r="FK166" i="5" s="1"/>
  <c r="FL166" i="5" a="1"/>
  <c r="FL166" i="5" s="1"/>
  <c r="FM166" i="5" a="1"/>
  <c r="FM166" i="5" s="1"/>
  <c r="FN166" i="5" a="1"/>
  <c r="FN166" i="5" s="1"/>
  <c r="FO166" i="5" a="1"/>
  <c r="FO166" i="5" s="1"/>
  <c r="EI167" i="5" a="1"/>
  <c r="EI167" i="5" s="1"/>
  <c r="EJ167" i="5" a="1"/>
  <c r="EJ167" i="5" s="1"/>
  <c r="EK167" i="5" a="1"/>
  <c r="EK167" i="5" s="1"/>
  <c r="EL167" i="5" a="1"/>
  <c r="EL167" i="5" s="1"/>
  <c r="EM167" i="5" a="1"/>
  <c r="EM167" i="5" s="1"/>
  <c r="EN167" i="5" a="1"/>
  <c r="EN167" i="5" s="1"/>
  <c r="EO167" i="5" a="1"/>
  <c r="EO167" i="5" s="1"/>
  <c r="EP167" i="5" a="1"/>
  <c r="EP167" i="5" s="1"/>
  <c r="EQ167" i="5" a="1"/>
  <c r="EQ167" i="5" s="1"/>
  <c r="ER167" i="5" a="1"/>
  <c r="ER167" i="5" s="1"/>
  <c r="ES167" i="5" a="1"/>
  <c r="ES167" i="5"/>
  <c r="ET167" i="5" a="1"/>
  <c r="ET167" i="5" s="1"/>
  <c r="EU167" i="5" a="1"/>
  <c r="EU167" i="5" s="1"/>
  <c r="EV167" i="5" a="1"/>
  <c r="EV167" i="5" s="1"/>
  <c r="EW167" i="5" a="1"/>
  <c r="EW167" i="5" s="1"/>
  <c r="EX167" i="5" a="1"/>
  <c r="EX167" i="5" s="1"/>
  <c r="EY167" i="5" a="1"/>
  <c r="EY167" i="5" s="1"/>
  <c r="EZ167" i="5" a="1"/>
  <c r="EZ167" i="5" s="1"/>
  <c r="FA167" i="5" a="1"/>
  <c r="FA167" i="5" s="1"/>
  <c r="FB167" i="5" a="1"/>
  <c r="FB167" i="5" s="1"/>
  <c r="FC167" i="5" a="1"/>
  <c r="FC167" i="5" s="1"/>
  <c r="FD167" i="5" a="1"/>
  <c r="FD167" i="5" s="1"/>
  <c r="FE167" i="5" a="1"/>
  <c r="FE167" i="5" s="1"/>
  <c r="FF167" i="5" a="1"/>
  <c r="FF167" i="5" s="1"/>
  <c r="FG167" i="5" a="1"/>
  <c r="FG167" i="5" s="1"/>
  <c r="FH167" i="5" a="1"/>
  <c r="FH167" i="5" s="1"/>
  <c r="FI167" i="5" a="1"/>
  <c r="FI167" i="5" s="1"/>
  <c r="FJ167" i="5" a="1"/>
  <c r="FJ167" i="5" s="1"/>
  <c r="FK167" i="5" a="1"/>
  <c r="FK167" i="5" s="1"/>
  <c r="FL167" i="5" a="1"/>
  <c r="FL167" i="5" s="1"/>
  <c r="FM167" i="5" a="1"/>
  <c r="FM167" i="5" s="1"/>
  <c r="FN167" i="5" a="1"/>
  <c r="FN167" i="5" s="1"/>
  <c r="FO167" i="5" a="1"/>
  <c r="FO167" i="5" s="1"/>
  <c r="EI168" i="5" a="1"/>
  <c r="EI168" i="5" s="1"/>
  <c r="EJ168" i="5" a="1"/>
  <c r="EJ168" i="5" s="1"/>
  <c r="EK168" i="5" a="1"/>
  <c r="EK168" i="5" s="1"/>
  <c r="EL168" i="5" a="1"/>
  <c r="EL168" i="5" s="1"/>
  <c r="EM168" i="5" a="1"/>
  <c r="EM168" i="5" s="1"/>
  <c r="EN168" i="5" a="1"/>
  <c r="EN168" i="5" s="1"/>
  <c r="EO168" i="5" a="1"/>
  <c r="EO168" i="5" s="1"/>
  <c r="EP168" i="5" a="1"/>
  <c r="EP168" i="5" s="1"/>
  <c r="EQ168" i="5" a="1"/>
  <c r="EQ168" i="5" s="1"/>
  <c r="ER168" i="5" a="1"/>
  <c r="ER168" i="5" s="1"/>
  <c r="ES168" i="5" a="1"/>
  <c r="ES168" i="5" s="1"/>
  <c r="ET168" i="5" a="1"/>
  <c r="ET168" i="5" s="1"/>
  <c r="EU168" i="5" a="1"/>
  <c r="EU168" i="5" s="1"/>
  <c r="EV168" i="5" a="1"/>
  <c r="EV168" i="5" s="1"/>
  <c r="EW168" i="5" a="1"/>
  <c r="EW168" i="5" s="1"/>
  <c r="EX168" i="5" a="1"/>
  <c r="EX168" i="5" s="1"/>
  <c r="EY168" i="5" a="1"/>
  <c r="EY168" i="5" s="1"/>
  <c r="EZ168" i="5" a="1"/>
  <c r="EZ168" i="5" s="1"/>
  <c r="FA168" i="5" a="1"/>
  <c r="FA168" i="5" s="1"/>
  <c r="FB168" i="5" a="1"/>
  <c r="FB168" i="5" s="1"/>
  <c r="FC168" i="5" a="1"/>
  <c r="FC168" i="5" s="1"/>
  <c r="FD168" i="5" a="1"/>
  <c r="FD168" i="5"/>
  <c r="FE168" i="5" a="1"/>
  <c r="FE168" i="5" s="1"/>
  <c r="FF168" i="5" a="1"/>
  <c r="FF168" i="5" s="1"/>
  <c r="FG168" i="5" a="1"/>
  <c r="FG168" i="5" s="1"/>
  <c r="FH168" i="5" a="1"/>
  <c r="FH168" i="5" s="1"/>
  <c r="FI168" i="5" a="1"/>
  <c r="FI168" i="5" s="1"/>
  <c r="FJ168" i="5" a="1"/>
  <c r="FJ168" i="5" s="1"/>
  <c r="FK168" i="5" a="1"/>
  <c r="FK168" i="5" s="1"/>
  <c r="FL168" i="5" a="1"/>
  <c r="FL168" i="5" s="1"/>
  <c r="FM168" i="5" a="1"/>
  <c r="FM168" i="5" s="1"/>
  <c r="FN168" i="5" a="1"/>
  <c r="FN168" i="5" s="1"/>
  <c r="FO168" i="5" a="1"/>
  <c r="FO168" i="5" s="1"/>
  <c r="EI169" i="5" a="1"/>
  <c r="EI169" i="5" s="1"/>
  <c r="EJ169" i="5" a="1"/>
  <c r="EJ169" i="5"/>
  <c r="EK169" i="5" a="1"/>
  <c r="EK169" i="5" s="1"/>
  <c r="EL169" i="5" a="1"/>
  <c r="EL169" i="5" s="1"/>
  <c r="EM169" i="5" a="1"/>
  <c r="EM169" i="5" s="1"/>
  <c r="EN169" i="5" a="1"/>
  <c r="EN169" i="5"/>
  <c r="EO169" i="5" a="1"/>
  <c r="EO169" i="5" s="1"/>
  <c r="EP169" i="5" a="1"/>
  <c r="EP169" i="5" s="1"/>
  <c r="EQ169" i="5" a="1"/>
  <c r="EQ169" i="5" s="1"/>
  <c r="ER169" i="5" a="1"/>
  <c r="ER169" i="5" s="1"/>
  <c r="ES169" i="5" a="1"/>
  <c r="ES169" i="5" s="1"/>
  <c r="ET169" i="5" a="1"/>
  <c r="ET169" i="5" s="1"/>
  <c r="EU169" i="5" a="1"/>
  <c r="EU169" i="5" s="1"/>
  <c r="EV169" i="5" a="1"/>
  <c r="EV169" i="5" s="1"/>
  <c r="EW169" i="5" a="1"/>
  <c r="EW169" i="5" s="1"/>
  <c r="EX169" i="5" a="1"/>
  <c r="EX169" i="5" s="1"/>
  <c r="EY169" i="5" a="1"/>
  <c r="EY169" i="5"/>
  <c r="EZ169" i="5" a="1"/>
  <c r="EZ169" i="5" s="1"/>
  <c r="FA169" i="5" a="1"/>
  <c r="FA169" i="5" s="1"/>
  <c r="FB169" i="5" a="1"/>
  <c r="FB169" i="5" s="1"/>
  <c r="FC169" i="5" a="1"/>
  <c r="FC169" i="5" s="1"/>
  <c r="FD169" i="5" a="1"/>
  <c r="FD169" i="5" s="1"/>
  <c r="FE169" i="5" a="1"/>
  <c r="FE169" i="5" s="1"/>
  <c r="FF169" i="5" a="1"/>
  <c r="FF169" i="5" s="1"/>
  <c r="FG169" i="5" a="1"/>
  <c r="FG169" i="5" s="1"/>
  <c r="FH169" i="5" a="1"/>
  <c r="FH169" i="5" s="1"/>
  <c r="FI169" i="5" a="1"/>
  <c r="FI169" i="5" s="1"/>
  <c r="FJ169" i="5" a="1"/>
  <c r="FJ169" i="5" s="1"/>
  <c r="FK169" i="5" a="1"/>
  <c r="FK169" i="5" s="1"/>
  <c r="FL169" i="5" a="1"/>
  <c r="FL169" i="5" s="1"/>
  <c r="FM169" i="5" a="1"/>
  <c r="FM169" i="5" s="1"/>
  <c r="FN169" i="5" a="1"/>
  <c r="FN169" i="5" s="1"/>
  <c r="FO169" i="5" a="1"/>
  <c r="FO169" i="5"/>
  <c r="EI170" i="5" a="1"/>
  <c r="EI170" i="5" s="1"/>
  <c r="EJ170" i="5" a="1"/>
  <c r="EJ170" i="5" s="1"/>
  <c r="EK170" i="5" a="1"/>
  <c r="EK170" i="5" s="1"/>
  <c r="EL170" i="5" a="1"/>
  <c r="EL170" i="5" s="1"/>
  <c r="EM170" i="5" a="1"/>
  <c r="EM170" i="5" s="1"/>
  <c r="EN170" i="5" a="1"/>
  <c r="EN170" i="5" s="1"/>
  <c r="EO170" i="5" a="1"/>
  <c r="EO170" i="5" s="1"/>
  <c r="EP170" i="5" a="1"/>
  <c r="EP170" i="5" s="1"/>
  <c r="EQ170" i="5" a="1"/>
  <c r="EQ170" i="5" s="1"/>
  <c r="ER170" i="5" a="1"/>
  <c r="ER170" i="5" s="1"/>
  <c r="ES170" i="5" a="1"/>
  <c r="ES170" i="5" s="1"/>
  <c r="ET170" i="5" a="1"/>
  <c r="ET170" i="5" s="1"/>
  <c r="EU170" i="5" a="1"/>
  <c r="EU170" i="5" s="1"/>
  <c r="EV170" i="5" a="1"/>
  <c r="EV170" i="5" s="1"/>
  <c r="EW170" i="5" a="1"/>
  <c r="EW170" i="5" s="1"/>
  <c r="EX170" i="5" a="1"/>
  <c r="EX170" i="5" s="1"/>
  <c r="EY170" i="5" a="1"/>
  <c r="EY170" i="5"/>
  <c r="EZ170" i="5" a="1"/>
  <c r="EZ170" i="5" s="1"/>
  <c r="FA170" i="5" a="1"/>
  <c r="FA170" i="5" s="1"/>
  <c r="FB170" i="5" a="1"/>
  <c r="FB170" i="5"/>
  <c r="FC170" i="5" a="1"/>
  <c r="FC170" i="5" s="1"/>
  <c r="FD170" i="5" a="1"/>
  <c r="FD170" i="5" s="1"/>
  <c r="FE170" i="5" a="1"/>
  <c r="FE170" i="5" s="1"/>
  <c r="FF170" i="5" a="1"/>
  <c r="FF170" i="5" s="1"/>
  <c r="FG170" i="5" a="1"/>
  <c r="FG170" i="5"/>
  <c r="FH170" i="5" a="1"/>
  <c r="FH170" i="5" s="1"/>
  <c r="FI170" i="5" a="1"/>
  <c r="FI170" i="5" s="1"/>
  <c r="FJ170" i="5" a="1"/>
  <c r="FJ170" i="5" s="1"/>
  <c r="FK170" i="5" a="1"/>
  <c r="FK170" i="5" s="1"/>
  <c r="FL170" i="5" a="1"/>
  <c r="FL170" i="5" s="1"/>
  <c r="FM170" i="5" a="1"/>
  <c r="FM170" i="5" s="1"/>
  <c r="FN170" i="5" a="1"/>
  <c r="FN170" i="5" s="1"/>
  <c r="FO170" i="5" a="1"/>
  <c r="FO170" i="5" s="1"/>
  <c r="EI171" i="5" a="1"/>
  <c r="EI171" i="5" s="1"/>
  <c r="EJ171" i="5" a="1"/>
  <c r="EJ171" i="5" s="1"/>
  <c r="EK171" i="5" a="1"/>
  <c r="EK171" i="5"/>
  <c r="EL171" i="5" a="1"/>
  <c r="EL171" i="5" s="1"/>
  <c r="EM171" i="5" a="1"/>
  <c r="EM171" i="5" s="1"/>
  <c r="EN171" i="5" a="1"/>
  <c r="EN171" i="5" s="1"/>
  <c r="EO171" i="5" a="1"/>
  <c r="EO171" i="5" s="1"/>
  <c r="EP171" i="5" a="1"/>
  <c r="EP171" i="5" s="1"/>
  <c r="EQ171" i="5" a="1"/>
  <c r="EQ171" i="5" s="1"/>
  <c r="ER171" i="5" a="1"/>
  <c r="ER171" i="5" s="1"/>
  <c r="ES171" i="5" a="1"/>
  <c r="ES171" i="5" s="1"/>
  <c r="ET171" i="5" a="1"/>
  <c r="ET171" i="5" s="1"/>
  <c r="EU171" i="5" a="1"/>
  <c r="EU171" i="5" s="1"/>
  <c r="EV171" i="5" a="1"/>
  <c r="EV171" i="5" s="1"/>
  <c r="EW171" i="5" a="1"/>
  <c r="EW171" i="5" s="1"/>
  <c r="EX171" i="5" a="1"/>
  <c r="EX171" i="5"/>
  <c r="EY171" i="5" a="1"/>
  <c r="EY171" i="5" s="1"/>
  <c r="EZ171" i="5" a="1"/>
  <c r="EZ171" i="5" s="1"/>
  <c r="FA171" i="5" a="1"/>
  <c r="FA171" i="5" s="1"/>
  <c r="FB171" i="5" a="1"/>
  <c r="FB171" i="5" s="1"/>
  <c r="FC171" i="5" a="1"/>
  <c r="FC171" i="5"/>
  <c r="FD171" i="5" a="1"/>
  <c r="FD171" i="5" s="1"/>
  <c r="FE171" i="5" a="1"/>
  <c r="FE171" i="5" s="1"/>
  <c r="FF171" i="5" a="1"/>
  <c r="FF171" i="5" s="1"/>
  <c r="FG171" i="5" a="1"/>
  <c r="FG171" i="5" s="1"/>
  <c r="FH171" i="5" a="1"/>
  <c r="FH171" i="5" s="1"/>
  <c r="FI171" i="5" a="1"/>
  <c r="FI171" i="5" s="1"/>
  <c r="FJ171" i="5" a="1"/>
  <c r="FJ171" i="5" s="1"/>
  <c r="FK171" i="5" a="1"/>
  <c r="FK171" i="5" s="1"/>
  <c r="FL171" i="5" a="1"/>
  <c r="FL171" i="5" s="1"/>
  <c r="FM171" i="5" a="1"/>
  <c r="FM171" i="5"/>
  <c r="FN171" i="5" a="1"/>
  <c r="FN171" i="5" s="1"/>
  <c r="FO171" i="5" a="1"/>
  <c r="FO171" i="5" s="1"/>
  <c r="EI172" i="5" a="1"/>
  <c r="EI172" i="5" s="1"/>
  <c r="EJ172" i="5" a="1"/>
  <c r="EJ172" i="5" s="1"/>
  <c r="EK172" i="5" a="1"/>
  <c r="EK172" i="5"/>
  <c r="EL172" i="5" a="1"/>
  <c r="EL172" i="5" s="1"/>
  <c r="EM172" i="5" a="1"/>
  <c r="EM172" i="5" s="1"/>
  <c r="EN172" i="5" a="1"/>
  <c r="EN172" i="5" s="1"/>
  <c r="EO172" i="5" a="1"/>
  <c r="EO172" i="5" s="1"/>
  <c r="EP172" i="5" a="1"/>
  <c r="EP172" i="5" s="1"/>
  <c r="EQ172" i="5" a="1"/>
  <c r="EQ172" i="5" s="1"/>
  <c r="ER172" i="5" a="1"/>
  <c r="ER172" i="5" s="1"/>
  <c r="ES172" i="5" a="1"/>
  <c r="ES172" i="5" s="1"/>
  <c r="ET172" i="5" a="1"/>
  <c r="ET172" i="5" s="1"/>
  <c r="EU172" i="5" a="1"/>
  <c r="EU172" i="5" s="1"/>
  <c r="EV172" i="5" a="1"/>
  <c r="EV172" i="5" s="1"/>
  <c r="EW172" i="5" a="1"/>
  <c r="EW172" i="5" s="1"/>
  <c r="EX172" i="5" a="1"/>
  <c r="EX172" i="5" s="1"/>
  <c r="EY172" i="5" a="1"/>
  <c r="EY172" i="5" s="1"/>
  <c r="EZ172" i="5" a="1"/>
  <c r="EZ172" i="5" s="1"/>
  <c r="FA172" i="5" a="1"/>
  <c r="FA172" i="5" s="1"/>
  <c r="FB172" i="5" a="1"/>
  <c r="FB172" i="5"/>
  <c r="FC172" i="5" a="1"/>
  <c r="FC172" i="5" s="1"/>
  <c r="FD172" i="5" a="1"/>
  <c r="FD172" i="5" s="1"/>
  <c r="FE172" i="5" a="1"/>
  <c r="FE172" i="5" s="1"/>
  <c r="FF172" i="5" a="1"/>
  <c r="FF172" i="5" s="1"/>
  <c r="FG172" i="5" a="1"/>
  <c r="FG172" i="5" s="1"/>
  <c r="FH172" i="5" a="1"/>
  <c r="FH172" i="5" s="1"/>
  <c r="FI172" i="5" a="1"/>
  <c r="FI172" i="5" s="1"/>
  <c r="FJ172" i="5" a="1"/>
  <c r="FJ172" i="5" s="1"/>
  <c r="FK172" i="5" a="1"/>
  <c r="FK172" i="5"/>
  <c r="FL172" i="5" a="1"/>
  <c r="FL172" i="5" s="1"/>
  <c r="FM172" i="5" a="1"/>
  <c r="FM172" i="5" s="1"/>
  <c r="FN172" i="5" a="1"/>
  <c r="FN172" i="5" s="1"/>
  <c r="FO172" i="5" a="1"/>
  <c r="FO172" i="5" s="1"/>
  <c r="EI173" i="5" a="1"/>
  <c r="EI173" i="5" s="1"/>
  <c r="EJ173" i="5" a="1"/>
  <c r="EJ173" i="5" s="1"/>
  <c r="EK173" i="5" a="1"/>
  <c r="EK173" i="5" s="1"/>
  <c r="EL173" i="5" a="1"/>
  <c r="EL173" i="5" s="1"/>
  <c r="EM173" i="5" a="1"/>
  <c r="EM173" i="5" s="1"/>
  <c r="EN173" i="5" a="1"/>
  <c r="EN173" i="5" s="1"/>
  <c r="EO173" i="5" a="1"/>
  <c r="EO173" i="5" s="1"/>
  <c r="EP173" i="5" a="1"/>
  <c r="EP173" i="5" s="1"/>
  <c r="EQ173" i="5" a="1"/>
  <c r="EQ173" i="5" s="1"/>
  <c r="ER173" i="5" a="1"/>
  <c r="ER173" i="5" s="1"/>
  <c r="ES173" i="5" a="1"/>
  <c r="ES173" i="5" s="1"/>
  <c r="ET173" i="5" a="1"/>
  <c r="ET173" i="5" s="1"/>
  <c r="EU173" i="5" a="1"/>
  <c r="EU173" i="5"/>
  <c r="EV173" i="5" a="1"/>
  <c r="EV173" i="5" s="1"/>
  <c r="EW173" i="5" a="1"/>
  <c r="EW173" i="5" s="1"/>
  <c r="EX173" i="5" a="1"/>
  <c r="EX173" i="5" s="1"/>
  <c r="EY173" i="5" a="1"/>
  <c r="EY173" i="5" s="1"/>
  <c r="EZ173" i="5" a="1"/>
  <c r="EZ173" i="5" s="1"/>
  <c r="FA173" i="5" a="1"/>
  <c r="FA173" i="5" s="1"/>
  <c r="FB173" i="5" a="1"/>
  <c r="FB173" i="5" s="1"/>
  <c r="FC173" i="5" a="1"/>
  <c r="FC173" i="5" s="1"/>
  <c r="FD173" i="5" a="1"/>
  <c r="FD173" i="5" s="1"/>
  <c r="FE173" i="5" a="1"/>
  <c r="FE173" i="5" s="1"/>
  <c r="FF173" i="5" a="1"/>
  <c r="FF173" i="5" s="1"/>
  <c r="FG173" i="5" a="1"/>
  <c r="FG173" i="5" s="1"/>
  <c r="FH173" i="5" a="1"/>
  <c r="FH173" i="5" s="1"/>
  <c r="FI173" i="5" a="1"/>
  <c r="FI173" i="5" s="1"/>
  <c r="FJ173" i="5" a="1"/>
  <c r="FJ173" i="5" s="1"/>
  <c r="FK173" i="5" a="1"/>
  <c r="FK173" i="5" s="1"/>
  <c r="FL173" i="5" a="1"/>
  <c r="FL173" i="5" s="1"/>
  <c r="FM173" i="5" a="1"/>
  <c r="FM173" i="5"/>
  <c r="FN173" i="5" a="1"/>
  <c r="FN173" i="5" s="1"/>
  <c r="FO173" i="5" a="1"/>
  <c r="FO173" i="5" s="1"/>
  <c r="EI174" i="5" a="1"/>
  <c r="EI174" i="5" s="1"/>
  <c r="EJ174" i="5" a="1"/>
  <c r="EJ174" i="5" s="1"/>
  <c r="EK174" i="5" a="1"/>
  <c r="EK174" i="5" s="1"/>
  <c r="EL174" i="5" a="1"/>
  <c r="EL174" i="5" s="1"/>
  <c r="EM174" i="5" a="1"/>
  <c r="EM174" i="5" s="1"/>
  <c r="EN174" i="5" a="1"/>
  <c r="EN174" i="5" s="1"/>
  <c r="EO174" i="5" a="1"/>
  <c r="EO174" i="5" s="1"/>
  <c r="EP174" i="5" a="1"/>
  <c r="EP174" i="5" s="1"/>
  <c r="EQ174" i="5" a="1"/>
  <c r="EQ174" i="5"/>
  <c r="ER174" i="5" a="1"/>
  <c r="ER174" i="5" s="1"/>
  <c r="ES174" i="5" a="1"/>
  <c r="ES174" i="5" s="1"/>
  <c r="ET174" i="5" a="1"/>
  <c r="ET174" i="5" s="1"/>
  <c r="EU174" i="5" a="1"/>
  <c r="EU174" i="5" s="1"/>
  <c r="EV174" i="5" a="1"/>
  <c r="EV174" i="5" s="1"/>
  <c r="EW174" i="5" a="1"/>
  <c r="EW174" i="5" s="1"/>
  <c r="EX174" i="5" a="1"/>
  <c r="EX174" i="5" s="1"/>
  <c r="EY174" i="5" a="1"/>
  <c r="EY174" i="5" s="1"/>
  <c r="EZ174" i="5" a="1"/>
  <c r="EZ174" i="5" s="1"/>
  <c r="FA174" i="5" a="1"/>
  <c r="FA174" i="5" s="1"/>
  <c r="FB174" i="5" a="1"/>
  <c r="FB174" i="5" s="1"/>
  <c r="FC174" i="5" a="1"/>
  <c r="FC174" i="5" s="1"/>
  <c r="FD174" i="5" a="1"/>
  <c r="FD174" i="5" s="1"/>
  <c r="FE174" i="5" a="1"/>
  <c r="FE174" i="5" s="1"/>
  <c r="FF174" i="5" a="1"/>
  <c r="FF174" i="5" s="1"/>
  <c r="FG174" i="5" a="1"/>
  <c r="FG174" i="5" s="1"/>
  <c r="FH174" i="5" a="1"/>
  <c r="FH174" i="5" s="1"/>
  <c r="FI174" i="5" a="1"/>
  <c r="FI174" i="5" s="1"/>
  <c r="FJ174" i="5" a="1"/>
  <c r="FJ174" i="5" s="1"/>
  <c r="FK174" i="5" a="1"/>
  <c r="FK174" i="5" s="1"/>
  <c r="FL174" i="5" a="1"/>
  <c r="FL174" i="5" s="1"/>
  <c r="FM174" i="5" a="1"/>
  <c r="FM174" i="5" s="1"/>
  <c r="FN174" i="5" a="1"/>
  <c r="FN174" i="5" s="1"/>
  <c r="FO174" i="5" a="1"/>
  <c r="FO174" i="5" s="1"/>
  <c r="EI175" i="5" a="1"/>
  <c r="EI175" i="5" s="1"/>
  <c r="EJ175" i="5" a="1"/>
  <c r="EJ175" i="5" s="1"/>
  <c r="EK175" i="5" a="1"/>
  <c r="EK175" i="5" s="1"/>
  <c r="EL175" i="5" a="1"/>
  <c r="EL175" i="5" s="1"/>
  <c r="EM175" i="5" a="1"/>
  <c r="EM175" i="5" s="1"/>
  <c r="EN175" i="5" a="1"/>
  <c r="EN175" i="5" s="1"/>
  <c r="EO175" i="5" a="1"/>
  <c r="EO175" i="5" s="1"/>
  <c r="EP175" i="5" a="1"/>
  <c r="EP175" i="5" s="1"/>
  <c r="EQ175" i="5" a="1"/>
  <c r="EQ175" i="5" s="1"/>
  <c r="ER175" i="5" a="1"/>
  <c r="ER175" i="5" s="1"/>
  <c r="ES175" i="5" a="1"/>
  <c r="ES175" i="5" s="1"/>
  <c r="ET175" i="5" a="1"/>
  <c r="ET175" i="5" s="1"/>
  <c r="EU175" i="5" a="1"/>
  <c r="EU175" i="5" s="1"/>
  <c r="EV175" i="5" a="1"/>
  <c r="EV175" i="5" s="1"/>
  <c r="EW175" i="5" a="1"/>
  <c r="EW175" i="5" s="1"/>
  <c r="EX175" i="5" a="1"/>
  <c r="EX175" i="5" s="1"/>
  <c r="EY175" i="5" a="1"/>
  <c r="EY175" i="5" s="1"/>
  <c r="EZ175" i="5" a="1"/>
  <c r="EZ175" i="5" s="1"/>
  <c r="FA175" i="5" a="1"/>
  <c r="FA175" i="5" s="1"/>
  <c r="FB175" i="5" a="1"/>
  <c r="FB175" i="5" s="1"/>
  <c r="FC175" i="5" a="1"/>
  <c r="FC175" i="5" s="1"/>
  <c r="FD175" i="5" a="1"/>
  <c r="FD175" i="5" s="1"/>
  <c r="FE175" i="5" a="1"/>
  <c r="FE175" i="5" s="1"/>
  <c r="FF175" i="5" a="1"/>
  <c r="FF175" i="5" s="1"/>
  <c r="FG175" i="5" a="1"/>
  <c r="FG175" i="5" s="1"/>
  <c r="FH175" i="5" a="1"/>
  <c r="FH175" i="5" s="1"/>
  <c r="FI175" i="5" a="1"/>
  <c r="FI175" i="5" s="1"/>
  <c r="FJ175" i="5" a="1"/>
  <c r="FJ175" i="5" s="1"/>
  <c r="FK175" i="5" a="1"/>
  <c r="FK175" i="5"/>
  <c r="FL175" i="5" a="1"/>
  <c r="FL175" i="5" s="1"/>
  <c r="FM175" i="5" a="1"/>
  <c r="FM175" i="5" s="1"/>
  <c r="FN175" i="5" a="1"/>
  <c r="FN175" i="5" s="1"/>
  <c r="FO175" i="5" a="1"/>
  <c r="FO175" i="5"/>
  <c r="EI176" i="5" a="1"/>
  <c r="EI176" i="5" s="1"/>
  <c r="EJ176" i="5" a="1"/>
  <c r="EJ176" i="5" s="1"/>
  <c r="EK176" i="5" a="1"/>
  <c r="EK176" i="5" s="1"/>
  <c r="EL176" i="5" a="1"/>
  <c r="EL176" i="5" s="1"/>
  <c r="EM176" i="5" a="1"/>
  <c r="EM176" i="5"/>
  <c r="EN176" i="5" a="1"/>
  <c r="EN176" i="5" s="1"/>
  <c r="EO176" i="5" a="1"/>
  <c r="EO176" i="5" s="1"/>
  <c r="EP176" i="5" a="1"/>
  <c r="EP176" i="5" s="1"/>
  <c r="EQ176" i="5" a="1"/>
  <c r="EQ176" i="5" s="1"/>
  <c r="ER176" i="5" a="1"/>
  <c r="ER176" i="5" s="1"/>
  <c r="ES176" i="5" a="1"/>
  <c r="ES176" i="5" s="1"/>
  <c r="ET176" i="5" a="1"/>
  <c r="ET176" i="5" s="1"/>
  <c r="EU176" i="5" a="1"/>
  <c r="EU176" i="5" s="1"/>
  <c r="EV176" i="5" a="1"/>
  <c r="EV176" i="5" s="1"/>
  <c r="EW176" i="5" a="1"/>
  <c r="EW176" i="5" s="1"/>
  <c r="EX176" i="5" a="1"/>
  <c r="EX176" i="5" s="1"/>
  <c r="EY176" i="5" a="1"/>
  <c r="EY176" i="5" s="1"/>
  <c r="EZ176" i="5" a="1"/>
  <c r="EZ176" i="5" s="1"/>
  <c r="FA176" i="5" a="1"/>
  <c r="FA176" i="5" s="1"/>
  <c r="FB176" i="5" a="1"/>
  <c r="FB176" i="5" s="1"/>
  <c r="FC176" i="5" a="1"/>
  <c r="FC176" i="5" s="1"/>
  <c r="FD176" i="5" a="1"/>
  <c r="FD176" i="5" s="1"/>
  <c r="FE176" i="5" a="1"/>
  <c r="FE176" i="5" s="1"/>
  <c r="FF176" i="5" a="1"/>
  <c r="FF176" i="5" s="1"/>
  <c r="FG176" i="5" a="1"/>
  <c r="FG176" i="5" s="1"/>
  <c r="FH176" i="5" a="1"/>
  <c r="FH176" i="5" s="1"/>
  <c r="FI176" i="5" a="1"/>
  <c r="FI176" i="5" s="1"/>
  <c r="FJ176" i="5" a="1"/>
  <c r="FJ176" i="5" s="1"/>
  <c r="FK176" i="5" a="1"/>
  <c r="FK176" i="5"/>
  <c r="FL176" i="5" a="1"/>
  <c r="FL176" i="5" s="1"/>
  <c r="FM176" i="5" a="1"/>
  <c r="FM176" i="5" s="1"/>
  <c r="FN176" i="5" a="1"/>
  <c r="FN176" i="5" s="1"/>
  <c r="FO176" i="5" a="1"/>
  <c r="FO176" i="5" s="1"/>
  <c r="EI177" i="5" a="1"/>
  <c r="EI177" i="5" s="1"/>
  <c r="EJ177" i="5" a="1"/>
  <c r="EJ177" i="5" s="1"/>
  <c r="EK177" i="5" a="1"/>
  <c r="EK177" i="5" s="1"/>
  <c r="EL177" i="5" a="1"/>
  <c r="EL177" i="5" s="1"/>
  <c r="EM177" i="5" a="1"/>
  <c r="EM177" i="5" s="1"/>
  <c r="EN177" i="5" a="1"/>
  <c r="EN177" i="5" s="1"/>
  <c r="EO177" i="5" a="1"/>
  <c r="EO177" i="5"/>
  <c r="EP177" i="5" a="1"/>
  <c r="EP177" i="5" s="1"/>
  <c r="EQ177" i="5" a="1"/>
  <c r="EQ177" i="5" s="1"/>
  <c r="ER177" i="5" a="1"/>
  <c r="ER177" i="5" s="1"/>
  <c r="ES177" i="5" a="1"/>
  <c r="ES177" i="5" s="1"/>
  <c r="ET177" i="5" a="1"/>
  <c r="ET177" i="5" s="1"/>
  <c r="EU177" i="5" a="1"/>
  <c r="EU177" i="5" s="1"/>
  <c r="EV177" i="5" a="1"/>
  <c r="EV177" i="5" s="1"/>
  <c r="EW177" i="5" a="1"/>
  <c r="EW177" i="5" s="1"/>
  <c r="EX177" i="5" a="1"/>
  <c r="EX177" i="5" s="1"/>
  <c r="EY177" i="5" a="1"/>
  <c r="EY177" i="5" s="1"/>
  <c r="EZ177" i="5" a="1"/>
  <c r="EZ177" i="5" s="1"/>
  <c r="FA177" i="5" a="1"/>
  <c r="FA177" i="5" s="1"/>
  <c r="FB177" i="5" a="1"/>
  <c r="FB177" i="5" s="1"/>
  <c r="FC177" i="5" a="1"/>
  <c r="FC177" i="5" s="1"/>
  <c r="FD177" i="5" a="1"/>
  <c r="FD177" i="5"/>
  <c r="FE177" i="5" a="1"/>
  <c r="FE177" i="5" s="1"/>
  <c r="FF177" i="5" a="1"/>
  <c r="FF177" i="5" s="1"/>
  <c r="FG177" i="5" a="1"/>
  <c r="FG177" i="5" s="1"/>
  <c r="FH177" i="5" a="1"/>
  <c r="FH177" i="5" s="1"/>
  <c r="FI177" i="5" a="1"/>
  <c r="FI177" i="5" s="1"/>
  <c r="FJ177" i="5" a="1"/>
  <c r="FJ177" i="5" s="1"/>
  <c r="FK177" i="5" a="1"/>
  <c r="FK177" i="5" s="1"/>
  <c r="FL177" i="5" a="1"/>
  <c r="FL177" i="5" s="1"/>
  <c r="FM177" i="5" a="1"/>
  <c r="FM177" i="5" s="1"/>
  <c r="FN177" i="5" a="1"/>
  <c r="FN177" i="5" s="1"/>
  <c r="FO177" i="5" a="1"/>
  <c r="FO177" i="5" s="1"/>
  <c r="EI178" i="5" a="1"/>
  <c r="EI178" i="5" s="1"/>
  <c r="EJ178" i="5" a="1"/>
  <c r="EJ178" i="5" s="1"/>
  <c r="EK178" i="5" a="1"/>
  <c r="EK178" i="5" s="1"/>
  <c r="EL178" i="5" a="1"/>
  <c r="EL178" i="5" s="1"/>
  <c r="EM178" i="5" a="1"/>
  <c r="EM178" i="5" s="1"/>
  <c r="EN178" i="5" a="1"/>
  <c r="EN178" i="5"/>
  <c r="EO178" i="5" a="1"/>
  <c r="EO178" i="5" s="1"/>
  <c r="EP178" i="5" a="1"/>
  <c r="EP178" i="5" s="1"/>
  <c r="EQ178" i="5" a="1"/>
  <c r="EQ178" i="5" s="1"/>
  <c r="ER178" i="5" a="1"/>
  <c r="ER178" i="5" s="1"/>
  <c r="ES178" i="5" a="1"/>
  <c r="ES178" i="5" s="1"/>
  <c r="ET178" i="5" a="1"/>
  <c r="ET178" i="5" s="1"/>
  <c r="EU178" i="5" a="1"/>
  <c r="EU178" i="5" s="1"/>
  <c r="EV178" i="5" a="1"/>
  <c r="EV178" i="5" s="1"/>
  <c r="EW178" i="5" a="1"/>
  <c r="EW178" i="5" s="1"/>
  <c r="EX178" i="5" a="1"/>
  <c r="EX178" i="5" s="1"/>
  <c r="EY178" i="5" a="1"/>
  <c r="EY178" i="5" s="1"/>
  <c r="EZ178" i="5" a="1"/>
  <c r="EZ178" i="5" s="1"/>
  <c r="FA178" i="5" a="1"/>
  <c r="FA178" i="5" s="1"/>
  <c r="FB178" i="5" a="1"/>
  <c r="FB178" i="5" s="1"/>
  <c r="FC178" i="5" a="1"/>
  <c r="FC178" i="5" s="1"/>
  <c r="FD178" i="5" a="1"/>
  <c r="FD178" i="5" s="1"/>
  <c r="FE178" i="5" a="1"/>
  <c r="FE178" i="5" s="1"/>
  <c r="FF178" i="5" a="1"/>
  <c r="FF178" i="5" s="1"/>
  <c r="FG178" i="5" a="1"/>
  <c r="FG178" i="5" s="1"/>
  <c r="FH178" i="5" a="1"/>
  <c r="FH178" i="5" s="1"/>
  <c r="FI178" i="5" a="1"/>
  <c r="FI178" i="5" s="1"/>
  <c r="FJ178" i="5" a="1"/>
  <c r="FJ178" i="5" s="1"/>
  <c r="FK178" i="5" a="1"/>
  <c r="FK178" i="5" s="1"/>
  <c r="FL178" i="5" a="1"/>
  <c r="FL178" i="5" s="1"/>
  <c r="FM178" i="5" a="1"/>
  <c r="FM178" i="5" s="1"/>
  <c r="FN178" i="5" a="1"/>
  <c r="FN178" i="5" s="1"/>
  <c r="FO178" i="5" a="1"/>
  <c r="FO178" i="5"/>
  <c r="EI179" i="5" a="1"/>
  <c r="EI179" i="5" s="1"/>
  <c r="EJ179" i="5" a="1"/>
  <c r="EJ179" i="5" s="1"/>
  <c r="EK179" i="5" a="1"/>
  <c r="EK179" i="5" s="1"/>
  <c r="EL179" i="5" a="1"/>
  <c r="EL179" i="5" s="1"/>
  <c r="EM179" i="5" a="1"/>
  <c r="EM179" i="5" s="1"/>
  <c r="EN179" i="5" a="1"/>
  <c r="EN179" i="5" s="1"/>
  <c r="EO179" i="5" a="1"/>
  <c r="EO179" i="5" s="1"/>
  <c r="EP179" i="5" a="1"/>
  <c r="EP179" i="5" s="1"/>
  <c r="EQ179" i="5" a="1"/>
  <c r="EQ179" i="5" s="1"/>
  <c r="ER179" i="5" a="1"/>
  <c r="ER179" i="5" s="1"/>
  <c r="ES179" i="5" a="1"/>
  <c r="ES179" i="5"/>
  <c r="ET179" i="5" a="1"/>
  <c r="ET179" i="5" s="1"/>
  <c r="EU179" i="5" a="1"/>
  <c r="EU179" i="5" s="1"/>
  <c r="EV179" i="5" a="1"/>
  <c r="EV179" i="5" s="1"/>
  <c r="EW179" i="5" a="1"/>
  <c r="EW179" i="5" s="1"/>
  <c r="EX179" i="5" a="1"/>
  <c r="EX179" i="5" s="1"/>
  <c r="EY179" i="5" a="1"/>
  <c r="EY179" i="5" s="1"/>
  <c r="EZ179" i="5" a="1"/>
  <c r="EZ179" i="5" s="1"/>
  <c r="FA179" i="5" a="1"/>
  <c r="FA179" i="5" s="1"/>
  <c r="FB179" i="5" a="1"/>
  <c r="FB179" i="5" s="1"/>
  <c r="FC179" i="5" a="1"/>
  <c r="FC179" i="5" s="1"/>
  <c r="FD179" i="5" a="1"/>
  <c r="FD179" i="5" s="1"/>
  <c r="FE179" i="5" a="1"/>
  <c r="FE179" i="5" s="1"/>
  <c r="FF179" i="5" a="1"/>
  <c r="FF179" i="5" s="1"/>
  <c r="FG179" i="5" a="1"/>
  <c r="FG179" i="5" s="1"/>
  <c r="FH179" i="5" a="1"/>
  <c r="FH179" i="5" s="1"/>
  <c r="FI179" i="5" a="1"/>
  <c r="FI179" i="5" s="1"/>
  <c r="FJ179" i="5" a="1"/>
  <c r="FJ179" i="5" s="1"/>
  <c r="FK179" i="5" a="1"/>
  <c r="FK179" i="5"/>
  <c r="FL179" i="5" a="1"/>
  <c r="FL179" i="5" s="1"/>
  <c r="FM179" i="5" a="1"/>
  <c r="FM179" i="5" s="1"/>
  <c r="FN179" i="5" a="1"/>
  <c r="FN179" i="5" s="1"/>
  <c r="FO179" i="5" a="1"/>
  <c r="FO179" i="5" s="1"/>
  <c r="EI180" i="5" a="1"/>
  <c r="EI180" i="5"/>
  <c r="EJ180" i="5" a="1"/>
  <c r="EJ180" i="5" s="1"/>
  <c r="EK180" i="5" a="1"/>
  <c r="EK180" i="5" s="1"/>
  <c r="EL180" i="5" a="1"/>
  <c r="EL180" i="5" s="1"/>
  <c r="EM180" i="5" a="1"/>
  <c r="EM180" i="5" s="1"/>
  <c r="EN180" i="5" a="1"/>
  <c r="EN180" i="5" s="1"/>
  <c r="EO180" i="5" a="1"/>
  <c r="EO180" i="5" s="1"/>
  <c r="EP180" i="5" a="1"/>
  <c r="EP180" i="5" s="1"/>
  <c r="EQ180" i="5" a="1"/>
  <c r="EQ180" i="5" s="1"/>
  <c r="ER180" i="5" a="1"/>
  <c r="ER180" i="5" s="1"/>
  <c r="ES180" i="5" a="1"/>
  <c r="ES180" i="5" s="1"/>
  <c r="ET180" i="5" a="1"/>
  <c r="ET180" i="5" s="1"/>
  <c r="EU180" i="5" a="1"/>
  <c r="EU180" i="5" s="1"/>
  <c r="EV180" i="5" a="1"/>
  <c r="EV180" i="5" s="1"/>
  <c r="EW180" i="5" a="1"/>
  <c r="EW180" i="5" s="1"/>
  <c r="EX180" i="5" a="1"/>
  <c r="EX180" i="5" s="1"/>
  <c r="EY180" i="5" a="1"/>
  <c r="EY180" i="5" s="1"/>
  <c r="EZ180" i="5" a="1"/>
  <c r="EZ180" i="5" s="1"/>
  <c r="FA180" i="5" a="1"/>
  <c r="FA180" i="5" s="1"/>
  <c r="FB180" i="5" a="1"/>
  <c r="FB180" i="5" s="1"/>
  <c r="FC180" i="5" a="1"/>
  <c r="FC180" i="5" s="1"/>
  <c r="FD180" i="5" a="1"/>
  <c r="FD180" i="5" s="1"/>
  <c r="FE180" i="5" a="1"/>
  <c r="FE180" i="5" s="1"/>
  <c r="FF180" i="5" a="1"/>
  <c r="FF180" i="5" s="1"/>
  <c r="FG180" i="5" a="1"/>
  <c r="FG180" i="5" s="1"/>
  <c r="FH180" i="5" a="1"/>
  <c r="FH180" i="5" s="1"/>
  <c r="FI180" i="5" a="1"/>
  <c r="FI180" i="5" s="1"/>
  <c r="FJ180" i="5" a="1"/>
  <c r="FJ180" i="5" s="1"/>
  <c r="FK180" i="5" a="1"/>
  <c r="FK180" i="5" s="1"/>
  <c r="FL180" i="5" a="1"/>
  <c r="FL180" i="5" s="1"/>
  <c r="FM180" i="5" a="1"/>
  <c r="FM180" i="5"/>
  <c r="FN180" i="5" a="1"/>
  <c r="FN180" i="5" s="1"/>
  <c r="FO180" i="5" a="1"/>
  <c r="FO180" i="5" s="1"/>
  <c r="EI181" i="5" a="1"/>
  <c r="EI181" i="5" s="1"/>
  <c r="EJ181" i="5" a="1"/>
  <c r="EJ181" i="5" s="1"/>
  <c r="EK181" i="5" a="1"/>
  <c r="EK181" i="5"/>
  <c r="EL181" i="5" a="1"/>
  <c r="EL181" i="5" s="1"/>
  <c r="EM181" i="5" a="1"/>
  <c r="EM181" i="5" s="1"/>
  <c r="EN181" i="5" a="1"/>
  <c r="EN181" i="5" s="1"/>
  <c r="EO181" i="5" a="1"/>
  <c r="EO181" i="5" s="1"/>
  <c r="EP181" i="5" a="1"/>
  <c r="EP181" i="5" s="1"/>
  <c r="EQ181" i="5" a="1"/>
  <c r="EQ181" i="5" s="1"/>
  <c r="ER181" i="5" a="1"/>
  <c r="ER181" i="5" s="1"/>
  <c r="ES181" i="5" a="1"/>
  <c r="ES181" i="5" s="1"/>
  <c r="ET181" i="5" a="1"/>
  <c r="ET181" i="5"/>
  <c r="EU181" i="5" a="1"/>
  <c r="EU181" i="5" s="1"/>
  <c r="EV181" i="5" a="1"/>
  <c r="EV181" i="5" s="1"/>
  <c r="EW181" i="5" a="1"/>
  <c r="EW181" i="5" s="1"/>
  <c r="EX181" i="5" a="1"/>
  <c r="EX181" i="5" s="1"/>
  <c r="EY181" i="5" a="1"/>
  <c r="EY181" i="5" s="1"/>
  <c r="EZ181" i="5" a="1"/>
  <c r="EZ181" i="5" s="1"/>
  <c r="FA181" i="5" a="1"/>
  <c r="FA181" i="5" s="1"/>
  <c r="FB181" i="5" a="1"/>
  <c r="FB181" i="5" s="1"/>
  <c r="FC181" i="5" a="1"/>
  <c r="FC181" i="5" s="1"/>
  <c r="FD181" i="5" a="1"/>
  <c r="FD181" i="5" s="1"/>
  <c r="FE181" i="5" a="1"/>
  <c r="FE181" i="5" s="1"/>
  <c r="FF181" i="5" a="1"/>
  <c r="FF181" i="5" s="1"/>
  <c r="FG181" i="5" a="1"/>
  <c r="FG181" i="5" s="1"/>
  <c r="FH181" i="5" a="1"/>
  <c r="FH181" i="5" s="1"/>
  <c r="FI181" i="5" a="1"/>
  <c r="FI181" i="5" s="1"/>
  <c r="FJ181" i="5" a="1"/>
  <c r="FJ181" i="5" s="1"/>
  <c r="FK181" i="5" a="1"/>
  <c r="FK181" i="5" s="1"/>
  <c r="FL181" i="5" a="1"/>
  <c r="FL181" i="5" s="1"/>
  <c r="FM181" i="5" a="1"/>
  <c r="FM181" i="5" s="1"/>
  <c r="FN181" i="5" a="1"/>
  <c r="FN181" i="5" s="1"/>
  <c r="FO181" i="5" a="1"/>
  <c r="FO181" i="5" s="1"/>
  <c r="EI182" i="5" a="1"/>
  <c r="EI182" i="5" s="1"/>
  <c r="EJ182" i="5" a="1"/>
  <c r="EJ182" i="5" s="1"/>
  <c r="EK182" i="5" a="1"/>
  <c r="EK182" i="5" s="1"/>
  <c r="EL182" i="5" a="1"/>
  <c r="EL182" i="5" s="1"/>
  <c r="EM182" i="5" a="1"/>
  <c r="EM182" i="5" s="1"/>
  <c r="EN182" i="5" a="1"/>
  <c r="EN182" i="5" s="1"/>
  <c r="EO182" i="5" a="1"/>
  <c r="EO182" i="5" s="1"/>
  <c r="EP182" i="5" a="1"/>
  <c r="EP182" i="5" s="1"/>
  <c r="EQ182" i="5" a="1"/>
  <c r="EQ182" i="5" s="1"/>
  <c r="ER182" i="5" a="1"/>
  <c r="ER182" i="5" s="1"/>
  <c r="ES182" i="5" a="1"/>
  <c r="ES182" i="5" s="1"/>
  <c r="ET182" i="5" a="1"/>
  <c r="ET182" i="5" s="1"/>
  <c r="EU182" i="5" a="1"/>
  <c r="EU182" i="5" s="1"/>
  <c r="EV182" i="5" a="1"/>
  <c r="EV182" i="5" s="1"/>
  <c r="EW182" i="5" a="1"/>
  <c r="EW182" i="5" s="1"/>
  <c r="EX182" i="5" a="1"/>
  <c r="EX182" i="5" s="1"/>
  <c r="EY182" i="5" a="1"/>
  <c r="EY182" i="5" s="1"/>
  <c r="EZ182" i="5" a="1"/>
  <c r="EZ182" i="5" s="1"/>
  <c r="FA182" i="5" a="1"/>
  <c r="FA182" i="5" s="1"/>
  <c r="FB182" i="5" a="1"/>
  <c r="FB182" i="5" s="1"/>
  <c r="FC182" i="5" a="1"/>
  <c r="FC182" i="5" s="1"/>
  <c r="FD182" i="5" a="1"/>
  <c r="FD182" i="5" s="1"/>
  <c r="FE182" i="5" a="1"/>
  <c r="FE182" i="5" s="1"/>
  <c r="FF182" i="5" a="1"/>
  <c r="FF182" i="5" s="1"/>
  <c r="FG182" i="5" a="1"/>
  <c r="FG182" i="5" s="1"/>
  <c r="FH182" i="5" a="1"/>
  <c r="FH182" i="5" s="1"/>
  <c r="FI182" i="5" a="1"/>
  <c r="FI182" i="5" s="1"/>
  <c r="FJ182" i="5" a="1"/>
  <c r="FJ182" i="5" s="1"/>
  <c r="FK182" i="5" a="1"/>
  <c r="FK182" i="5" s="1"/>
  <c r="FL182" i="5" a="1"/>
  <c r="FL182" i="5" s="1"/>
  <c r="FM182" i="5" a="1"/>
  <c r="FM182" i="5" s="1"/>
  <c r="FN182" i="5" a="1"/>
  <c r="FN182" i="5" s="1"/>
  <c r="FO182" i="5" a="1"/>
  <c r="FO182" i="5" s="1"/>
  <c r="EI183" i="5" a="1"/>
  <c r="EI183" i="5" s="1"/>
  <c r="EJ183" i="5" a="1"/>
  <c r="EJ183" i="5" s="1"/>
  <c r="EK183" i="5" a="1"/>
  <c r="EK183" i="5" s="1"/>
  <c r="EL183" i="5" a="1"/>
  <c r="EL183" i="5" s="1"/>
  <c r="EM183" i="5" a="1"/>
  <c r="EM183" i="5" s="1"/>
  <c r="EN183" i="5" a="1"/>
  <c r="EN183" i="5" s="1"/>
  <c r="EO183" i="5" a="1"/>
  <c r="EO183" i="5" s="1"/>
  <c r="EP183" i="5" a="1"/>
  <c r="EP183" i="5" s="1"/>
  <c r="EQ183" i="5" a="1"/>
  <c r="EQ183" i="5" s="1"/>
  <c r="ER183" i="5" a="1"/>
  <c r="ER183" i="5" s="1"/>
  <c r="ES183" i="5" a="1"/>
  <c r="ES183" i="5" s="1"/>
  <c r="ET183" i="5" a="1"/>
  <c r="ET183" i="5" s="1"/>
  <c r="EU183" i="5" a="1"/>
  <c r="EU183" i="5" s="1"/>
  <c r="EV183" i="5" a="1"/>
  <c r="EV183" i="5" s="1"/>
  <c r="EW183" i="5" a="1"/>
  <c r="EW183" i="5" s="1"/>
  <c r="EX183" i="5" a="1"/>
  <c r="EX183" i="5" s="1"/>
  <c r="EY183" i="5" a="1"/>
  <c r="EY183" i="5" s="1"/>
  <c r="EZ183" i="5" a="1"/>
  <c r="EZ183" i="5" s="1"/>
  <c r="FA183" i="5" a="1"/>
  <c r="FA183" i="5" s="1"/>
  <c r="FB183" i="5" a="1"/>
  <c r="FB183" i="5" s="1"/>
  <c r="FC183" i="5" a="1"/>
  <c r="FC183" i="5" s="1"/>
  <c r="FD183" i="5" a="1"/>
  <c r="FD183" i="5" s="1"/>
  <c r="FE183" i="5" a="1"/>
  <c r="FE183" i="5" s="1"/>
  <c r="FF183" i="5" a="1"/>
  <c r="FF183" i="5" s="1"/>
  <c r="FG183" i="5" a="1"/>
  <c r="FG183" i="5" s="1"/>
  <c r="FH183" i="5" a="1"/>
  <c r="FH183" i="5" s="1"/>
  <c r="FI183" i="5" a="1"/>
  <c r="FI183" i="5" s="1"/>
  <c r="FJ183" i="5" a="1"/>
  <c r="FJ183" i="5" s="1"/>
  <c r="FK183" i="5" a="1"/>
  <c r="FK183" i="5" s="1"/>
  <c r="FL183" i="5" a="1"/>
  <c r="FL183" i="5" s="1"/>
  <c r="FM183" i="5" a="1"/>
  <c r="FM183" i="5" s="1"/>
  <c r="FN183" i="5" a="1"/>
  <c r="FN183" i="5" s="1"/>
  <c r="FO183" i="5" a="1"/>
  <c r="FO183" i="5" s="1"/>
  <c r="EI184" i="5" a="1"/>
  <c r="EI184" i="5" s="1"/>
  <c r="EJ184" i="5" a="1"/>
  <c r="EJ184" i="5" s="1"/>
  <c r="EK184" i="5" a="1"/>
  <c r="EK184" i="5" s="1"/>
  <c r="EL184" i="5" a="1"/>
  <c r="EL184" i="5" s="1"/>
  <c r="EM184" i="5" a="1"/>
  <c r="EM184" i="5" s="1"/>
  <c r="EN184" i="5" a="1"/>
  <c r="EN184" i="5" s="1"/>
  <c r="EO184" i="5" a="1"/>
  <c r="EO184" i="5" s="1"/>
  <c r="EP184" i="5" a="1"/>
  <c r="EP184" i="5" s="1"/>
  <c r="EQ184" i="5" a="1"/>
  <c r="EQ184" i="5" s="1"/>
  <c r="ER184" i="5" a="1"/>
  <c r="ER184" i="5" s="1"/>
  <c r="ES184" i="5" a="1"/>
  <c r="ES184" i="5" s="1"/>
  <c r="ET184" i="5" a="1"/>
  <c r="ET184" i="5" s="1"/>
  <c r="EU184" i="5" a="1"/>
  <c r="EU184" i="5" s="1"/>
  <c r="EV184" i="5" a="1"/>
  <c r="EV184" i="5" s="1"/>
  <c r="EW184" i="5" a="1"/>
  <c r="EW184" i="5" s="1"/>
  <c r="EX184" i="5" a="1"/>
  <c r="EX184" i="5" s="1"/>
  <c r="EY184" i="5" a="1"/>
  <c r="EY184" i="5" s="1"/>
  <c r="EZ184" i="5" a="1"/>
  <c r="EZ184" i="5"/>
  <c r="FA184" i="5" a="1"/>
  <c r="FA184" i="5" s="1"/>
  <c r="FB184" i="5" a="1"/>
  <c r="FB184" i="5" s="1"/>
  <c r="FC184" i="5" a="1"/>
  <c r="FC184" i="5" s="1"/>
  <c r="FD184" i="5" a="1"/>
  <c r="FD184" i="5" s="1"/>
  <c r="FE184" i="5" a="1"/>
  <c r="FE184" i="5" s="1"/>
  <c r="FF184" i="5" a="1"/>
  <c r="FF184" i="5"/>
  <c r="FG184" i="5" a="1"/>
  <c r="FG184" i="5" s="1"/>
  <c r="FH184" i="5" a="1"/>
  <c r="FH184" i="5" s="1"/>
  <c r="FI184" i="5" a="1"/>
  <c r="FI184" i="5" s="1"/>
  <c r="FJ184" i="5" a="1"/>
  <c r="FJ184" i="5" s="1"/>
  <c r="FK184" i="5" a="1"/>
  <c r="FK184" i="5" s="1"/>
  <c r="FL184" i="5" a="1"/>
  <c r="FL184" i="5" s="1"/>
  <c r="FM184" i="5" a="1"/>
  <c r="FM184" i="5" s="1"/>
  <c r="FN184" i="5" a="1"/>
  <c r="FN184" i="5" s="1"/>
  <c r="FO184" i="5" a="1"/>
  <c r="FO184" i="5" s="1"/>
  <c r="EI185" i="5" a="1"/>
  <c r="EI185" i="5" s="1"/>
  <c r="EJ185" i="5" a="1"/>
  <c r="EJ185" i="5" s="1"/>
  <c r="EK185" i="5" a="1"/>
  <c r="EK185" i="5" s="1"/>
  <c r="EL185" i="5" a="1"/>
  <c r="EL185" i="5" s="1"/>
  <c r="EM185" i="5" a="1"/>
  <c r="EM185" i="5" s="1"/>
  <c r="EN185" i="5" a="1"/>
  <c r="EN185" i="5" s="1"/>
  <c r="EO185" i="5" a="1"/>
  <c r="EO185" i="5" s="1"/>
  <c r="EP185" i="5" a="1"/>
  <c r="EP185" i="5" s="1"/>
  <c r="EQ185" i="5" a="1"/>
  <c r="EQ185" i="5" s="1"/>
  <c r="ER185" i="5" a="1"/>
  <c r="ER185" i="5" s="1"/>
  <c r="ES185" i="5" a="1"/>
  <c r="ES185" i="5" s="1"/>
  <c r="ET185" i="5" a="1"/>
  <c r="ET185" i="5" s="1"/>
  <c r="EU185" i="5" a="1"/>
  <c r="EU185" i="5" s="1"/>
  <c r="EV185" i="5" a="1"/>
  <c r="EV185" i="5" s="1"/>
  <c r="EW185" i="5" a="1"/>
  <c r="EW185" i="5" s="1"/>
  <c r="EX185" i="5" a="1"/>
  <c r="EX185" i="5" s="1"/>
  <c r="EY185" i="5" a="1"/>
  <c r="EY185" i="5" s="1"/>
  <c r="EZ185" i="5" a="1"/>
  <c r="EZ185" i="5" s="1"/>
  <c r="FA185" i="5" a="1"/>
  <c r="FA185" i="5" s="1"/>
  <c r="FB185" i="5" a="1"/>
  <c r="FB185" i="5" s="1"/>
  <c r="FC185" i="5" a="1"/>
  <c r="FC185" i="5" s="1"/>
  <c r="FD185" i="5" a="1"/>
  <c r="FD185" i="5" s="1"/>
  <c r="FE185" i="5" a="1"/>
  <c r="FE185" i="5" s="1"/>
  <c r="FF185" i="5" a="1"/>
  <c r="FF185" i="5" s="1"/>
  <c r="FG185" i="5" a="1"/>
  <c r="FG185" i="5" s="1"/>
  <c r="FH185" i="5" a="1"/>
  <c r="FH185" i="5" s="1"/>
  <c r="FI185" i="5" a="1"/>
  <c r="FI185" i="5" s="1"/>
  <c r="FJ185" i="5" a="1"/>
  <c r="FJ185" i="5" s="1"/>
  <c r="FK185" i="5" a="1"/>
  <c r="FK185" i="5" s="1"/>
  <c r="FL185" i="5" a="1"/>
  <c r="FL185" i="5" s="1"/>
  <c r="FM185" i="5" a="1"/>
  <c r="FM185" i="5" s="1"/>
  <c r="FN185" i="5" a="1"/>
  <c r="FN185" i="5" s="1"/>
  <c r="FO185" i="5" a="1"/>
  <c r="FO185" i="5" s="1"/>
  <c r="EI186" i="5" a="1"/>
  <c r="EI186" i="5" s="1"/>
  <c r="EJ186" i="5" a="1"/>
  <c r="EJ186" i="5" s="1"/>
  <c r="EK186" i="5" a="1"/>
  <c r="EK186" i="5" s="1"/>
  <c r="EL186" i="5" a="1"/>
  <c r="EL186" i="5" s="1"/>
  <c r="EM186" i="5" a="1"/>
  <c r="EM186" i="5" s="1"/>
  <c r="EN186" i="5" a="1"/>
  <c r="EN186" i="5" s="1"/>
  <c r="EO186" i="5" a="1"/>
  <c r="EO186" i="5" s="1"/>
  <c r="EP186" i="5" a="1"/>
  <c r="EP186" i="5" s="1"/>
  <c r="EQ186" i="5" a="1"/>
  <c r="EQ186" i="5" s="1"/>
  <c r="ER186" i="5" a="1"/>
  <c r="ER186" i="5" s="1"/>
  <c r="ES186" i="5" a="1"/>
  <c r="ES186" i="5" s="1"/>
  <c r="ET186" i="5" a="1"/>
  <c r="ET186" i="5" s="1"/>
  <c r="EU186" i="5" a="1"/>
  <c r="EU186" i="5" s="1"/>
  <c r="EV186" i="5" a="1"/>
  <c r="EV186" i="5" s="1"/>
  <c r="EW186" i="5" a="1"/>
  <c r="EW186" i="5" s="1"/>
  <c r="EX186" i="5" a="1"/>
  <c r="EX186" i="5" s="1"/>
  <c r="EY186" i="5" a="1"/>
  <c r="EY186" i="5" s="1"/>
  <c r="EZ186" i="5" a="1"/>
  <c r="EZ186" i="5" s="1"/>
  <c r="FA186" i="5" a="1"/>
  <c r="FA186" i="5" s="1"/>
  <c r="FB186" i="5" a="1"/>
  <c r="FB186" i="5" s="1"/>
  <c r="FC186" i="5" a="1"/>
  <c r="FC186" i="5" s="1"/>
  <c r="FD186" i="5" a="1"/>
  <c r="FD186" i="5" s="1"/>
  <c r="FE186" i="5" a="1"/>
  <c r="FE186" i="5" s="1"/>
  <c r="FF186" i="5" a="1"/>
  <c r="FF186" i="5" s="1"/>
  <c r="FG186" i="5" a="1"/>
  <c r="FG186" i="5" s="1"/>
  <c r="FH186" i="5" a="1"/>
  <c r="FH186" i="5" s="1"/>
  <c r="FI186" i="5" a="1"/>
  <c r="FI186" i="5" s="1"/>
  <c r="FJ186" i="5" a="1"/>
  <c r="FJ186" i="5" s="1"/>
  <c r="FK186" i="5" a="1"/>
  <c r="FK186" i="5" s="1"/>
  <c r="FL186" i="5" a="1"/>
  <c r="FL186" i="5" s="1"/>
  <c r="FM186" i="5" a="1"/>
  <c r="FM186" i="5" s="1"/>
  <c r="FN186" i="5" a="1"/>
  <c r="FN186" i="5" s="1"/>
  <c r="FO186" i="5" a="1"/>
  <c r="FO186" i="5" s="1"/>
  <c r="EI187" i="5" a="1"/>
  <c r="EI187" i="5" s="1"/>
  <c r="EJ187" i="5" a="1"/>
  <c r="EJ187" i="5" s="1"/>
  <c r="EK187" i="5" a="1"/>
  <c r="EK187" i="5" s="1"/>
  <c r="EL187" i="5" a="1"/>
  <c r="EL187" i="5" s="1"/>
  <c r="EM187" i="5" a="1"/>
  <c r="EM187" i="5" s="1"/>
  <c r="EN187" i="5" a="1"/>
  <c r="EN187" i="5" s="1"/>
  <c r="EO187" i="5" a="1"/>
  <c r="EO187" i="5" s="1"/>
  <c r="EP187" i="5" a="1"/>
  <c r="EP187" i="5" s="1"/>
  <c r="EQ187" i="5" a="1"/>
  <c r="EQ187" i="5" s="1"/>
  <c r="ER187" i="5" a="1"/>
  <c r="ER187" i="5" s="1"/>
  <c r="ES187" i="5" a="1"/>
  <c r="ES187" i="5" s="1"/>
  <c r="ET187" i="5" a="1"/>
  <c r="ET187" i="5" s="1"/>
  <c r="EU187" i="5" a="1"/>
  <c r="EU187" i="5" s="1"/>
  <c r="EV187" i="5" a="1"/>
  <c r="EV187" i="5" s="1"/>
  <c r="EW187" i="5" a="1"/>
  <c r="EW187" i="5" s="1"/>
  <c r="EX187" i="5" a="1"/>
  <c r="EX187" i="5" s="1"/>
  <c r="EY187" i="5" a="1"/>
  <c r="EY187" i="5" s="1"/>
  <c r="EZ187" i="5" a="1"/>
  <c r="EZ187" i="5" s="1"/>
  <c r="FA187" i="5" a="1"/>
  <c r="FA187" i="5" s="1"/>
  <c r="FB187" i="5" a="1"/>
  <c r="FB187" i="5" s="1"/>
  <c r="FC187" i="5" a="1"/>
  <c r="FC187" i="5" s="1"/>
  <c r="FD187" i="5" a="1"/>
  <c r="FD187" i="5" s="1"/>
  <c r="FE187" i="5" a="1"/>
  <c r="FE187" i="5" s="1"/>
  <c r="FF187" i="5" a="1"/>
  <c r="FF187" i="5" s="1"/>
  <c r="FG187" i="5" a="1"/>
  <c r="FG187" i="5" s="1"/>
  <c r="FH187" i="5" a="1"/>
  <c r="FH187" i="5" s="1"/>
  <c r="FI187" i="5" a="1"/>
  <c r="FI187" i="5" s="1"/>
  <c r="FJ187" i="5" a="1"/>
  <c r="FJ187" i="5" s="1"/>
  <c r="FK187" i="5" a="1"/>
  <c r="FK187" i="5" s="1"/>
  <c r="FL187" i="5" a="1"/>
  <c r="FL187" i="5" s="1"/>
  <c r="FM187" i="5" a="1"/>
  <c r="FM187" i="5" s="1"/>
  <c r="FN187" i="5" a="1"/>
  <c r="FN187" i="5" s="1"/>
  <c r="FO187" i="5" a="1"/>
  <c r="FO187" i="5" s="1"/>
  <c r="EI188" i="5" a="1"/>
  <c r="EI188" i="5" s="1"/>
  <c r="EJ188" i="5" a="1"/>
  <c r="EJ188" i="5" s="1"/>
  <c r="EK188" i="5" a="1"/>
  <c r="EK188" i="5" s="1"/>
  <c r="EL188" i="5" a="1"/>
  <c r="EL188" i="5" s="1"/>
  <c r="EM188" i="5" a="1"/>
  <c r="EM188" i="5" s="1"/>
  <c r="EN188" i="5" a="1"/>
  <c r="EN188" i="5" s="1"/>
  <c r="EO188" i="5" a="1"/>
  <c r="EO188" i="5" s="1"/>
  <c r="EP188" i="5" a="1"/>
  <c r="EP188" i="5" s="1"/>
  <c r="EQ188" i="5" a="1"/>
  <c r="EQ188" i="5" s="1"/>
  <c r="ER188" i="5" a="1"/>
  <c r="ER188" i="5" s="1"/>
  <c r="ES188" i="5" a="1"/>
  <c r="ES188" i="5" s="1"/>
  <c r="ET188" i="5" a="1"/>
  <c r="ET188" i="5" s="1"/>
  <c r="EU188" i="5" a="1"/>
  <c r="EU188" i="5" s="1"/>
  <c r="EV188" i="5" a="1"/>
  <c r="EV188" i="5" s="1"/>
  <c r="EW188" i="5" a="1"/>
  <c r="EW188" i="5" s="1"/>
  <c r="EX188" i="5" a="1"/>
  <c r="EX188" i="5" s="1"/>
  <c r="EY188" i="5" a="1"/>
  <c r="EY188" i="5" s="1"/>
  <c r="EZ188" i="5" a="1"/>
  <c r="EZ188" i="5" s="1"/>
  <c r="FA188" i="5" a="1"/>
  <c r="FA188" i="5" s="1"/>
  <c r="FB188" i="5" a="1"/>
  <c r="FB188" i="5" s="1"/>
  <c r="FC188" i="5" a="1"/>
  <c r="FC188" i="5" s="1"/>
  <c r="FD188" i="5" a="1"/>
  <c r="FD188" i="5" s="1"/>
  <c r="FE188" i="5" a="1"/>
  <c r="FE188" i="5" s="1"/>
  <c r="FF188" i="5" a="1"/>
  <c r="FF188" i="5" s="1"/>
  <c r="FG188" i="5" a="1"/>
  <c r="FG188" i="5" s="1"/>
  <c r="FH188" i="5" a="1"/>
  <c r="FH188" i="5" s="1"/>
  <c r="FI188" i="5" a="1"/>
  <c r="FI188" i="5" s="1"/>
  <c r="FJ188" i="5" a="1"/>
  <c r="FJ188" i="5" s="1"/>
  <c r="FK188" i="5" a="1"/>
  <c r="FK188" i="5" s="1"/>
  <c r="FL188" i="5" a="1"/>
  <c r="FL188" i="5" s="1"/>
  <c r="FM188" i="5" a="1"/>
  <c r="FM188" i="5" s="1"/>
  <c r="FN188" i="5" a="1"/>
  <c r="FN188" i="5" s="1"/>
  <c r="FO188" i="5" a="1"/>
  <c r="FO188" i="5" s="1"/>
  <c r="EI189" i="5" a="1"/>
  <c r="EI189" i="5" s="1"/>
  <c r="EJ189" i="5" a="1"/>
  <c r="EJ189" i="5" s="1"/>
  <c r="EK189" i="5" a="1"/>
  <c r="EK189" i="5" s="1"/>
  <c r="EL189" i="5" a="1"/>
  <c r="EL189" i="5" s="1"/>
  <c r="EM189" i="5" a="1"/>
  <c r="EM189" i="5" s="1"/>
  <c r="EN189" i="5" a="1"/>
  <c r="EN189" i="5" s="1"/>
  <c r="EO189" i="5" a="1"/>
  <c r="EO189" i="5" s="1"/>
  <c r="EP189" i="5" a="1"/>
  <c r="EP189" i="5" s="1"/>
  <c r="EQ189" i="5" a="1"/>
  <c r="EQ189" i="5" s="1"/>
  <c r="ER189" i="5" a="1"/>
  <c r="ER189" i="5" s="1"/>
  <c r="ES189" i="5" a="1"/>
  <c r="ES189" i="5" s="1"/>
  <c r="ET189" i="5" a="1"/>
  <c r="ET189" i="5" s="1"/>
  <c r="EU189" i="5" a="1"/>
  <c r="EU189" i="5" s="1"/>
  <c r="EV189" i="5" a="1"/>
  <c r="EV189" i="5" s="1"/>
  <c r="EW189" i="5" a="1"/>
  <c r="EW189" i="5" s="1"/>
  <c r="EX189" i="5" a="1"/>
  <c r="EX189" i="5" s="1"/>
  <c r="EY189" i="5" a="1"/>
  <c r="EY189" i="5" s="1"/>
  <c r="EZ189" i="5" a="1"/>
  <c r="EZ189" i="5" s="1"/>
  <c r="FA189" i="5" a="1"/>
  <c r="FA189" i="5" s="1"/>
  <c r="FB189" i="5" a="1"/>
  <c r="FB189" i="5" s="1"/>
  <c r="FC189" i="5" a="1"/>
  <c r="FC189" i="5" s="1"/>
  <c r="FD189" i="5" a="1"/>
  <c r="FD189" i="5" s="1"/>
  <c r="FE189" i="5" a="1"/>
  <c r="FE189" i="5" s="1"/>
  <c r="FF189" i="5" a="1"/>
  <c r="FF189" i="5" s="1"/>
  <c r="FG189" i="5" a="1"/>
  <c r="FG189" i="5" s="1"/>
  <c r="FH189" i="5" a="1"/>
  <c r="FH189" i="5" s="1"/>
  <c r="FI189" i="5" a="1"/>
  <c r="FI189" i="5" s="1"/>
  <c r="FJ189" i="5" a="1"/>
  <c r="FJ189" i="5" s="1"/>
  <c r="FK189" i="5" a="1"/>
  <c r="FK189" i="5" s="1"/>
  <c r="FL189" i="5" a="1"/>
  <c r="FL189" i="5" s="1"/>
  <c r="FM189" i="5" a="1"/>
  <c r="FM189" i="5" s="1"/>
  <c r="FN189" i="5" a="1"/>
  <c r="FN189" i="5" s="1"/>
  <c r="FO189" i="5" a="1"/>
  <c r="FO189" i="5" s="1"/>
  <c r="EI190" i="5" a="1"/>
  <c r="EI190" i="5" s="1"/>
  <c r="EJ190" i="5" a="1"/>
  <c r="EJ190" i="5" s="1"/>
  <c r="EK190" i="5" a="1"/>
  <c r="EK190" i="5" s="1"/>
  <c r="EL190" i="5" a="1"/>
  <c r="EL190" i="5" s="1"/>
  <c r="EM190" i="5" a="1"/>
  <c r="EM190" i="5" s="1"/>
  <c r="EN190" i="5" a="1"/>
  <c r="EN190" i="5" s="1"/>
  <c r="EO190" i="5" a="1"/>
  <c r="EO190" i="5" s="1"/>
  <c r="EP190" i="5" a="1"/>
  <c r="EP190" i="5" s="1"/>
  <c r="EQ190" i="5" a="1"/>
  <c r="EQ190" i="5"/>
  <c r="ER190" i="5" a="1"/>
  <c r="ER190" i="5" s="1"/>
  <c r="ES190" i="5" a="1"/>
  <c r="ES190" i="5" s="1"/>
  <c r="ET190" i="5" a="1"/>
  <c r="ET190" i="5" s="1"/>
  <c r="EU190" i="5" a="1"/>
  <c r="EU190" i="5" s="1"/>
  <c r="EV190" i="5" a="1"/>
  <c r="EV190" i="5" s="1"/>
  <c r="EW190" i="5" a="1"/>
  <c r="EW190" i="5" s="1"/>
  <c r="EX190" i="5" a="1"/>
  <c r="EX190" i="5" s="1"/>
  <c r="EY190" i="5" a="1"/>
  <c r="EY190" i="5" s="1"/>
  <c r="EZ190" i="5" a="1"/>
  <c r="EZ190" i="5" s="1"/>
  <c r="FA190" i="5" a="1"/>
  <c r="FA190" i="5" s="1"/>
  <c r="FB190" i="5" a="1"/>
  <c r="FB190" i="5" s="1"/>
  <c r="FC190" i="5" a="1"/>
  <c r="FC190" i="5" s="1"/>
  <c r="FD190" i="5" a="1"/>
  <c r="FD190" i="5" s="1"/>
  <c r="FE190" i="5" a="1"/>
  <c r="FE190" i="5" s="1"/>
  <c r="FF190" i="5" a="1"/>
  <c r="FF190" i="5" s="1"/>
  <c r="FG190" i="5" a="1"/>
  <c r="FG190" i="5"/>
  <c r="FH190" i="5" a="1"/>
  <c r="FH190" i="5" s="1"/>
  <c r="FI190" i="5" a="1"/>
  <c r="FI190" i="5" s="1"/>
  <c r="FJ190" i="5" a="1"/>
  <c r="FJ190" i="5" s="1"/>
  <c r="FK190" i="5" a="1"/>
  <c r="FK190" i="5" s="1"/>
  <c r="FL190" i="5" a="1"/>
  <c r="FL190" i="5"/>
  <c r="FM190" i="5" a="1"/>
  <c r="FM190" i="5" s="1"/>
  <c r="FN190" i="5" a="1"/>
  <c r="FN190" i="5" s="1"/>
  <c r="FO190" i="5" a="1"/>
  <c r="FO190" i="5" s="1"/>
  <c r="EI191" i="5" a="1"/>
  <c r="EI191" i="5" s="1"/>
  <c r="EJ191" i="5" a="1"/>
  <c r="EJ191" i="5" s="1"/>
  <c r="EK191" i="5" a="1"/>
  <c r="EK191" i="5" s="1"/>
  <c r="EL191" i="5" a="1"/>
  <c r="EL191" i="5" s="1"/>
  <c r="EM191" i="5" a="1"/>
  <c r="EM191" i="5" s="1"/>
  <c r="EN191" i="5" a="1"/>
  <c r="EN191" i="5" s="1"/>
  <c r="EO191" i="5" a="1"/>
  <c r="EO191" i="5" s="1"/>
  <c r="EP191" i="5" a="1"/>
  <c r="EP191" i="5" s="1"/>
  <c r="EQ191" i="5" a="1"/>
  <c r="EQ191" i="5" s="1"/>
  <c r="ER191" i="5" a="1"/>
  <c r="ER191" i="5" s="1"/>
  <c r="ES191" i="5" a="1"/>
  <c r="ES191" i="5" s="1"/>
  <c r="ET191" i="5" a="1"/>
  <c r="ET191" i="5" s="1"/>
  <c r="EU191" i="5" a="1"/>
  <c r="EU191" i="5" s="1"/>
  <c r="EV191" i="5" a="1"/>
  <c r="EV191" i="5" s="1"/>
  <c r="EW191" i="5" a="1"/>
  <c r="EW191" i="5" s="1"/>
  <c r="EX191" i="5" a="1"/>
  <c r="EX191" i="5" s="1"/>
  <c r="EY191" i="5" a="1"/>
  <c r="EY191" i="5" s="1"/>
  <c r="EZ191" i="5" a="1"/>
  <c r="EZ191" i="5" s="1"/>
  <c r="FA191" i="5" a="1"/>
  <c r="FA191" i="5"/>
  <c r="FB191" i="5" a="1"/>
  <c r="FB191" i="5" s="1"/>
  <c r="FC191" i="5" a="1"/>
  <c r="FC191" i="5" s="1"/>
  <c r="FD191" i="5" a="1"/>
  <c r="FD191" i="5" s="1"/>
  <c r="FE191" i="5" a="1"/>
  <c r="FE191" i="5" s="1"/>
  <c r="FF191" i="5" a="1"/>
  <c r="FF191" i="5" s="1"/>
  <c r="FG191" i="5" a="1"/>
  <c r="FG191" i="5" s="1"/>
  <c r="FH191" i="5" a="1"/>
  <c r="FH191" i="5" s="1"/>
  <c r="FI191" i="5" a="1"/>
  <c r="FI191" i="5" s="1"/>
  <c r="FJ191" i="5" a="1"/>
  <c r="FJ191" i="5" s="1"/>
  <c r="FK191" i="5" a="1"/>
  <c r="FK191" i="5" s="1"/>
  <c r="FL191" i="5" a="1"/>
  <c r="FL191" i="5" s="1"/>
  <c r="FM191" i="5" a="1"/>
  <c r="FM191" i="5" s="1"/>
  <c r="FN191" i="5" a="1"/>
  <c r="FN191" i="5" s="1"/>
  <c r="FO191" i="5" a="1"/>
  <c r="FO191" i="5" s="1"/>
  <c r="EI192" i="5" a="1"/>
  <c r="EI192" i="5" s="1"/>
  <c r="EJ192" i="5" a="1"/>
  <c r="EJ192" i="5" s="1"/>
  <c r="EK192" i="5" a="1"/>
  <c r="EK192" i="5" s="1"/>
  <c r="EL192" i="5" a="1"/>
  <c r="EL192" i="5" s="1"/>
  <c r="EM192" i="5" a="1"/>
  <c r="EM192" i="5" s="1"/>
  <c r="EN192" i="5" a="1"/>
  <c r="EN192" i="5" s="1"/>
  <c r="EO192" i="5" a="1"/>
  <c r="EO192" i="5" s="1"/>
  <c r="EP192" i="5" a="1"/>
  <c r="EP192" i="5" s="1"/>
  <c r="EQ192" i="5" a="1"/>
  <c r="EQ192" i="5"/>
  <c r="ER192" i="5" a="1"/>
  <c r="ER192" i="5" s="1"/>
  <c r="ES192" i="5" a="1"/>
  <c r="ES192" i="5" s="1"/>
  <c r="ET192" i="5" a="1"/>
  <c r="ET192" i="5"/>
  <c r="EU192" i="5" a="1"/>
  <c r="EU192" i="5" s="1"/>
  <c r="EV192" i="5" a="1"/>
  <c r="EV192" i="5" s="1"/>
  <c r="EW192" i="5" a="1"/>
  <c r="EW192" i="5" s="1"/>
  <c r="EX192" i="5" a="1"/>
  <c r="EX192" i="5" s="1"/>
  <c r="EY192" i="5" a="1"/>
  <c r="EY192" i="5" s="1"/>
  <c r="EZ192" i="5" a="1"/>
  <c r="EZ192" i="5" s="1"/>
  <c r="FA192" i="5" a="1"/>
  <c r="FA192" i="5"/>
  <c r="FB192" i="5" a="1"/>
  <c r="FB192" i="5" s="1"/>
  <c r="FC192" i="5" a="1"/>
  <c r="FC192" i="5" s="1"/>
  <c r="FD192" i="5" a="1"/>
  <c r="FD192" i="5" s="1"/>
  <c r="FE192" i="5" a="1"/>
  <c r="FE192" i="5" s="1"/>
  <c r="FF192" i="5" a="1"/>
  <c r="FF192" i="5" s="1"/>
  <c r="FG192" i="5" a="1"/>
  <c r="FG192" i="5" s="1"/>
  <c r="FH192" i="5" a="1"/>
  <c r="FH192" i="5" s="1"/>
  <c r="FI192" i="5" a="1"/>
  <c r="FI192" i="5" s="1"/>
  <c r="FJ192" i="5" a="1"/>
  <c r="FJ192" i="5" s="1"/>
  <c r="FK192" i="5" a="1"/>
  <c r="FK192" i="5" s="1"/>
  <c r="FL192" i="5" a="1"/>
  <c r="FL192" i="5"/>
  <c r="FM192" i="5" a="1"/>
  <c r="FM192" i="5" s="1"/>
  <c r="FN192" i="5" a="1"/>
  <c r="FN192" i="5" s="1"/>
  <c r="FO192" i="5" a="1"/>
  <c r="FO192" i="5" s="1"/>
  <c r="EI193" i="5" a="1"/>
  <c r="EI193" i="5" s="1"/>
  <c r="EJ193" i="5" a="1"/>
  <c r="EJ193" i="5" s="1"/>
  <c r="EK193" i="5" a="1"/>
  <c r="EK193" i="5" s="1"/>
  <c r="EL193" i="5" a="1"/>
  <c r="EL193" i="5" s="1"/>
  <c r="EM193" i="5" a="1"/>
  <c r="EM193" i="5" s="1"/>
  <c r="EN193" i="5" a="1"/>
  <c r="EN193" i="5" s="1"/>
  <c r="EO193" i="5" a="1"/>
  <c r="EO193" i="5" s="1"/>
  <c r="EP193" i="5" a="1"/>
  <c r="EP193" i="5" s="1"/>
  <c r="EQ193" i="5" a="1"/>
  <c r="EQ193" i="5" s="1"/>
  <c r="ER193" i="5" a="1"/>
  <c r="ER193" i="5" s="1"/>
  <c r="ES193" i="5" a="1"/>
  <c r="ES193" i="5" s="1"/>
  <c r="ET193" i="5" a="1"/>
  <c r="ET193" i="5" s="1"/>
  <c r="EU193" i="5" a="1"/>
  <c r="EU193" i="5" s="1"/>
  <c r="EV193" i="5" a="1"/>
  <c r="EV193" i="5"/>
  <c r="EW193" i="5" a="1"/>
  <c r="EW193" i="5" s="1"/>
  <c r="EX193" i="5" a="1"/>
  <c r="EX193" i="5" s="1"/>
  <c r="EY193" i="5" a="1"/>
  <c r="EY193" i="5"/>
  <c r="EZ193" i="5" a="1"/>
  <c r="EZ193" i="5" s="1"/>
  <c r="FA193" i="5" a="1"/>
  <c r="FA193" i="5" s="1"/>
  <c r="FB193" i="5" a="1"/>
  <c r="FB193" i="5" s="1"/>
  <c r="FC193" i="5" a="1"/>
  <c r="FC193" i="5" s="1"/>
  <c r="FD193" i="5" a="1"/>
  <c r="FD193" i="5" s="1"/>
  <c r="FE193" i="5" a="1"/>
  <c r="FE193" i="5" s="1"/>
  <c r="FF193" i="5" a="1"/>
  <c r="FF193" i="5" s="1"/>
  <c r="FG193" i="5" a="1"/>
  <c r="FG193" i="5" s="1"/>
  <c r="FH193" i="5" a="1"/>
  <c r="FH193" i="5" s="1"/>
  <c r="FI193" i="5" a="1"/>
  <c r="FI193" i="5" s="1"/>
  <c r="FJ193" i="5" a="1"/>
  <c r="FJ193" i="5" s="1"/>
  <c r="FK193" i="5" a="1"/>
  <c r="FK193" i="5" s="1"/>
  <c r="FL193" i="5" a="1"/>
  <c r="FL193" i="5" s="1"/>
  <c r="FM193" i="5" a="1"/>
  <c r="FM193" i="5" s="1"/>
  <c r="FN193" i="5" a="1"/>
  <c r="FN193" i="5" s="1"/>
  <c r="FO193" i="5" a="1"/>
  <c r="FO193" i="5" s="1"/>
  <c r="EI194" i="5" a="1"/>
  <c r="EI194" i="5" s="1"/>
  <c r="EJ194" i="5" a="1"/>
  <c r="EJ194" i="5" s="1"/>
  <c r="EK194" i="5" a="1"/>
  <c r="EK194" i="5" s="1"/>
  <c r="EL194" i="5" a="1"/>
  <c r="EL194" i="5" s="1"/>
  <c r="EM194" i="5" a="1"/>
  <c r="EM194" i="5" s="1"/>
  <c r="EN194" i="5" a="1"/>
  <c r="EN194" i="5" s="1"/>
  <c r="EO194" i="5" a="1"/>
  <c r="EO194" i="5" s="1"/>
  <c r="EP194" i="5" a="1"/>
  <c r="EP194" i="5" s="1"/>
  <c r="EQ194" i="5" a="1"/>
  <c r="EQ194" i="5" s="1"/>
  <c r="ER194" i="5" a="1"/>
  <c r="ER194" i="5" s="1"/>
  <c r="ES194" i="5" a="1"/>
  <c r="ES194" i="5" s="1"/>
  <c r="ET194" i="5" a="1"/>
  <c r="ET194" i="5"/>
  <c r="EU194" i="5" a="1"/>
  <c r="EU194" i="5" s="1"/>
  <c r="EV194" i="5" a="1"/>
  <c r="EV194" i="5" s="1"/>
  <c r="EW194" i="5" a="1"/>
  <c r="EW194" i="5" s="1"/>
  <c r="EX194" i="5" a="1"/>
  <c r="EX194" i="5" s="1"/>
  <c r="EY194" i="5" a="1"/>
  <c r="EY194" i="5" s="1"/>
  <c r="EZ194" i="5" a="1"/>
  <c r="EZ194" i="5" s="1"/>
  <c r="FA194" i="5" a="1"/>
  <c r="FA194" i="5" s="1"/>
  <c r="FB194" i="5" a="1"/>
  <c r="FB194" i="5" s="1"/>
  <c r="FC194" i="5" a="1"/>
  <c r="FC194" i="5" s="1"/>
  <c r="FD194" i="5" a="1"/>
  <c r="FD194" i="5" s="1"/>
  <c r="FE194" i="5" a="1"/>
  <c r="FE194" i="5"/>
  <c r="FF194" i="5" a="1"/>
  <c r="FF194" i="5" s="1"/>
  <c r="FG194" i="5" a="1"/>
  <c r="FG194" i="5" s="1"/>
  <c r="FH194" i="5" a="1"/>
  <c r="FH194" i="5" s="1"/>
  <c r="FI194" i="5" a="1"/>
  <c r="FI194" i="5" s="1"/>
  <c r="FJ194" i="5" a="1"/>
  <c r="FJ194" i="5" s="1"/>
  <c r="FK194" i="5" a="1"/>
  <c r="FK194" i="5" s="1"/>
  <c r="FL194" i="5" a="1"/>
  <c r="FL194" i="5" s="1"/>
  <c r="FM194" i="5" a="1"/>
  <c r="FM194" i="5" s="1"/>
  <c r="FN194" i="5" a="1"/>
  <c r="FN194" i="5" s="1"/>
  <c r="FO194" i="5" a="1"/>
  <c r="FO194" i="5" s="1"/>
  <c r="EI195" i="5" a="1"/>
  <c r="EI195" i="5" s="1"/>
  <c r="EJ195" i="5" a="1"/>
  <c r="EJ195" i="5" s="1"/>
  <c r="EK195" i="5" a="1"/>
  <c r="EK195" i="5" s="1"/>
  <c r="EL195" i="5" a="1"/>
  <c r="EL195" i="5" s="1"/>
  <c r="EM195" i="5" a="1"/>
  <c r="EM195" i="5" s="1"/>
  <c r="EN195" i="5" a="1"/>
  <c r="EN195" i="5" s="1"/>
  <c r="EO195" i="5" a="1"/>
  <c r="EO195" i="5" s="1"/>
  <c r="EP195" i="5" a="1"/>
  <c r="EP195" i="5" s="1"/>
  <c r="EQ195" i="5" a="1"/>
  <c r="EQ195" i="5" s="1"/>
  <c r="ER195" i="5" a="1"/>
  <c r="ER195" i="5" s="1"/>
  <c r="ES195" i="5" a="1"/>
  <c r="ES195" i="5" s="1"/>
  <c r="ET195" i="5" a="1"/>
  <c r="ET195" i="5" s="1"/>
  <c r="EU195" i="5" a="1"/>
  <c r="EU195" i="5" s="1"/>
  <c r="EV195" i="5" a="1"/>
  <c r="EV195" i="5" s="1"/>
  <c r="EW195" i="5" a="1"/>
  <c r="EW195" i="5" s="1"/>
  <c r="EX195" i="5" a="1"/>
  <c r="EX195" i="5" s="1"/>
  <c r="EY195" i="5" a="1"/>
  <c r="EY195" i="5" s="1"/>
  <c r="EZ195" i="5" a="1"/>
  <c r="EZ195" i="5" s="1"/>
  <c r="FA195" i="5" a="1"/>
  <c r="FA195" i="5" s="1"/>
  <c r="FB195" i="5" a="1"/>
  <c r="FB195" i="5" s="1"/>
  <c r="FC195" i="5" a="1"/>
  <c r="FC195" i="5" s="1"/>
  <c r="FD195" i="5" a="1"/>
  <c r="FD195" i="5" s="1"/>
  <c r="FE195" i="5" a="1"/>
  <c r="FE195" i="5" s="1"/>
  <c r="FF195" i="5" a="1"/>
  <c r="FF195" i="5" s="1"/>
  <c r="FG195" i="5" a="1"/>
  <c r="FG195" i="5" s="1"/>
  <c r="FH195" i="5" a="1"/>
  <c r="FH195" i="5" s="1"/>
  <c r="FI195" i="5" a="1"/>
  <c r="FI195" i="5" s="1"/>
  <c r="FJ195" i="5" a="1"/>
  <c r="FJ195" i="5" s="1"/>
  <c r="FK195" i="5" a="1"/>
  <c r="FK195" i="5" s="1"/>
  <c r="FL195" i="5" a="1"/>
  <c r="FL195" i="5" s="1"/>
  <c r="FM195" i="5" a="1"/>
  <c r="FM195" i="5" s="1"/>
  <c r="FN195" i="5" a="1"/>
  <c r="FN195" i="5" s="1"/>
  <c r="FO195" i="5" a="1"/>
  <c r="FO195" i="5" s="1"/>
  <c r="EI196" i="5" a="1"/>
  <c r="EI196" i="5" s="1"/>
  <c r="EJ196" i="5" a="1"/>
  <c r="EJ196" i="5" s="1"/>
  <c r="EK196" i="5" a="1"/>
  <c r="EK196" i="5" s="1"/>
  <c r="EL196" i="5" a="1"/>
  <c r="EL196" i="5" s="1"/>
  <c r="EM196" i="5" a="1"/>
  <c r="EM196" i="5" s="1"/>
  <c r="EN196" i="5" a="1"/>
  <c r="EN196" i="5" s="1"/>
  <c r="EO196" i="5" a="1"/>
  <c r="EO196" i="5" s="1"/>
  <c r="EP196" i="5" a="1"/>
  <c r="EP196" i="5" s="1"/>
  <c r="EQ196" i="5" a="1"/>
  <c r="EQ196" i="5" s="1"/>
  <c r="ER196" i="5" a="1"/>
  <c r="ER196" i="5" s="1"/>
  <c r="ES196" i="5" a="1"/>
  <c r="ES196" i="5" s="1"/>
  <c r="ET196" i="5" a="1"/>
  <c r="ET196" i="5" s="1"/>
  <c r="EU196" i="5" a="1"/>
  <c r="EU196" i="5" s="1"/>
  <c r="EV196" i="5" a="1"/>
  <c r="EV196" i="5" s="1"/>
  <c r="EW196" i="5" a="1"/>
  <c r="EW196" i="5" s="1"/>
  <c r="EX196" i="5" a="1"/>
  <c r="EX196" i="5" s="1"/>
  <c r="EY196" i="5" a="1"/>
  <c r="EY196" i="5" s="1"/>
  <c r="EZ196" i="5" a="1"/>
  <c r="EZ196" i="5" s="1"/>
  <c r="FA196" i="5" a="1"/>
  <c r="FA196" i="5" s="1"/>
  <c r="FB196" i="5" a="1"/>
  <c r="FB196" i="5" s="1"/>
  <c r="FC196" i="5" a="1"/>
  <c r="FC196" i="5" s="1"/>
  <c r="FD196" i="5" a="1"/>
  <c r="FD196" i="5" s="1"/>
  <c r="FE196" i="5" a="1"/>
  <c r="FE196" i="5" s="1"/>
  <c r="FF196" i="5" a="1"/>
  <c r="FF196" i="5" s="1"/>
  <c r="FG196" i="5" a="1"/>
  <c r="FG196" i="5" s="1"/>
  <c r="FH196" i="5" a="1"/>
  <c r="FH196" i="5" s="1"/>
  <c r="FI196" i="5" a="1"/>
  <c r="FI196" i="5" s="1"/>
  <c r="FJ196" i="5" a="1"/>
  <c r="FJ196" i="5" s="1"/>
  <c r="FK196" i="5" a="1"/>
  <c r="FK196" i="5" s="1"/>
  <c r="FL196" i="5" a="1"/>
  <c r="FL196" i="5" s="1"/>
  <c r="FM196" i="5" a="1"/>
  <c r="FM196" i="5" s="1"/>
  <c r="FN196" i="5" a="1"/>
  <c r="FN196" i="5" s="1"/>
  <c r="FO196" i="5" a="1"/>
  <c r="FO196" i="5" s="1"/>
  <c r="EI197" i="5" a="1"/>
  <c r="EI197" i="5" s="1"/>
  <c r="EJ197" i="5" a="1"/>
  <c r="EJ197" i="5" s="1"/>
  <c r="EK197" i="5" a="1"/>
  <c r="EK197" i="5" s="1"/>
  <c r="EL197" i="5" a="1"/>
  <c r="EL197" i="5" s="1"/>
  <c r="EM197" i="5" a="1"/>
  <c r="EM197" i="5" s="1"/>
  <c r="EN197" i="5" a="1"/>
  <c r="EN197" i="5" s="1"/>
  <c r="EO197" i="5" a="1"/>
  <c r="EO197" i="5" s="1"/>
  <c r="EP197" i="5" a="1"/>
  <c r="EP197" i="5" s="1"/>
  <c r="EQ197" i="5" a="1"/>
  <c r="EQ197" i="5" s="1"/>
  <c r="ER197" i="5" a="1"/>
  <c r="ER197" i="5" s="1"/>
  <c r="ES197" i="5" a="1"/>
  <c r="ES197" i="5" s="1"/>
  <c r="ET197" i="5" a="1"/>
  <c r="ET197" i="5" s="1"/>
  <c r="EU197" i="5" a="1"/>
  <c r="EU197" i="5" s="1"/>
  <c r="EV197" i="5" a="1"/>
  <c r="EV197" i="5" s="1"/>
  <c r="EW197" i="5" a="1"/>
  <c r="EW197" i="5" s="1"/>
  <c r="EX197" i="5" a="1"/>
  <c r="EX197" i="5" s="1"/>
  <c r="EY197" i="5" a="1"/>
  <c r="EY197" i="5" s="1"/>
  <c r="EZ197" i="5" a="1"/>
  <c r="EZ197" i="5" s="1"/>
  <c r="FA197" i="5" a="1"/>
  <c r="FA197" i="5" s="1"/>
  <c r="FB197" i="5" a="1"/>
  <c r="FB197" i="5" s="1"/>
  <c r="FC197" i="5" a="1"/>
  <c r="FC197" i="5" s="1"/>
  <c r="FD197" i="5" a="1"/>
  <c r="FD197" i="5" s="1"/>
  <c r="FE197" i="5" a="1"/>
  <c r="FE197" i="5" s="1"/>
  <c r="FF197" i="5" a="1"/>
  <c r="FF197" i="5" s="1"/>
  <c r="FG197" i="5" a="1"/>
  <c r="FG197" i="5" s="1"/>
  <c r="FH197" i="5" a="1"/>
  <c r="FH197" i="5" s="1"/>
  <c r="FI197" i="5" a="1"/>
  <c r="FI197" i="5" s="1"/>
  <c r="FJ197" i="5" a="1"/>
  <c r="FJ197" i="5" s="1"/>
  <c r="FK197" i="5" a="1"/>
  <c r="FK197" i="5" s="1"/>
  <c r="FL197" i="5" a="1"/>
  <c r="FL197" i="5" s="1"/>
  <c r="FM197" i="5" a="1"/>
  <c r="FM197" i="5" s="1"/>
  <c r="FN197" i="5" a="1"/>
  <c r="FN197" i="5"/>
  <c r="FO197" i="5" a="1"/>
  <c r="FO197" i="5" s="1"/>
  <c r="EI198" i="5" a="1"/>
  <c r="EI198" i="5" s="1"/>
  <c r="EJ198" i="5" a="1"/>
  <c r="EJ198" i="5" s="1"/>
  <c r="EK198" i="5" a="1"/>
  <c r="EK198" i="5" s="1"/>
  <c r="EL198" i="5" a="1"/>
  <c r="EL198" i="5" s="1"/>
  <c r="EM198" i="5" a="1"/>
  <c r="EM198" i="5" s="1"/>
  <c r="EN198" i="5" a="1"/>
  <c r="EN198" i="5" s="1"/>
  <c r="EO198" i="5" a="1"/>
  <c r="EO198" i="5" s="1"/>
  <c r="EP198" i="5" a="1"/>
  <c r="EP198" i="5" s="1"/>
  <c r="EQ198" i="5" a="1"/>
  <c r="EQ198" i="5" s="1"/>
  <c r="ER198" i="5" a="1"/>
  <c r="ER198" i="5" s="1"/>
  <c r="ES198" i="5" a="1"/>
  <c r="ES198" i="5" s="1"/>
  <c r="ET198" i="5" a="1"/>
  <c r="ET198" i="5" s="1"/>
  <c r="EU198" i="5" a="1"/>
  <c r="EU198" i="5" s="1"/>
  <c r="EV198" i="5" a="1"/>
  <c r="EV198" i="5" s="1"/>
  <c r="EW198" i="5" a="1"/>
  <c r="EW198" i="5" s="1"/>
  <c r="EX198" i="5" a="1"/>
  <c r="EX198" i="5"/>
  <c r="EY198" i="5" a="1"/>
  <c r="EY198" i="5" s="1"/>
  <c r="EZ198" i="5" a="1"/>
  <c r="EZ198" i="5" s="1"/>
  <c r="FA198" i="5" a="1"/>
  <c r="FA198" i="5" s="1"/>
  <c r="FB198" i="5" a="1"/>
  <c r="FB198" i="5" s="1"/>
  <c r="FC198" i="5" a="1"/>
  <c r="FC198" i="5" s="1"/>
  <c r="FD198" i="5" a="1"/>
  <c r="FD198" i="5" s="1"/>
  <c r="FE198" i="5" a="1"/>
  <c r="FE198" i="5" s="1"/>
  <c r="FF198" i="5" a="1"/>
  <c r="FF198" i="5" s="1"/>
  <c r="FG198" i="5" a="1"/>
  <c r="FG198" i="5" s="1"/>
  <c r="FH198" i="5" a="1"/>
  <c r="FH198" i="5" s="1"/>
  <c r="FI198" i="5" a="1"/>
  <c r="FI198" i="5" s="1"/>
  <c r="FJ198" i="5" a="1"/>
  <c r="FJ198" i="5" s="1"/>
  <c r="FK198" i="5" a="1"/>
  <c r="FK198" i="5" s="1"/>
  <c r="FL198" i="5" a="1"/>
  <c r="FL198" i="5" s="1"/>
  <c r="FM198" i="5" a="1"/>
  <c r="FM198" i="5" s="1"/>
  <c r="FN198" i="5" a="1"/>
  <c r="FN198" i="5" s="1"/>
  <c r="FO198" i="5" a="1"/>
  <c r="FO198" i="5" s="1"/>
  <c r="EI199" i="5" a="1"/>
  <c r="EI199" i="5" s="1"/>
  <c r="EJ199" i="5" a="1"/>
  <c r="EJ199" i="5" s="1"/>
  <c r="EK199" i="5" a="1"/>
  <c r="EK199" i="5" s="1"/>
  <c r="EL199" i="5" a="1"/>
  <c r="EL199" i="5" s="1"/>
  <c r="EM199" i="5" a="1"/>
  <c r="EM199" i="5" s="1"/>
  <c r="EN199" i="5" a="1"/>
  <c r="EN199" i="5" s="1"/>
  <c r="EO199" i="5" a="1"/>
  <c r="EO199" i="5" s="1"/>
  <c r="EP199" i="5" a="1"/>
  <c r="EP199" i="5" s="1"/>
  <c r="EQ199" i="5" a="1"/>
  <c r="EQ199" i="5" s="1"/>
  <c r="ER199" i="5" a="1"/>
  <c r="ER199" i="5" s="1"/>
  <c r="ES199" i="5" a="1"/>
  <c r="ES199" i="5" s="1"/>
  <c r="ET199" i="5" a="1"/>
  <c r="ET199" i="5" s="1"/>
  <c r="EU199" i="5" a="1"/>
  <c r="EU199" i="5" s="1"/>
  <c r="EV199" i="5" a="1"/>
  <c r="EV199" i="5" s="1"/>
  <c r="EW199" i="5" a="1"/>
  <c r="EW199" i="5" s="1"/>
  <c r="EX199" i="5" a="1"/>
  <c r="EX199" i="5" s="1"/>
  <c r="EY199" i="5" a="1"/>
  <c r="EY199" i="5" s="1"/>
  <c r="EZ199" i="5" a="1"/>
  <c r="EZ199" i="5"/>
  <c r="FA199" i="5" a="1"/>
  <c r="FA199" i="5" s="1"/>
  <c r="FB199" i="5" a="1"/>
  <c r="FB199" i="5" s="1"/>
  <c r="FC199" i="5" a="1"/>
  <c r="FC199" i="5" s="1"/>
  <c r="FD199" i="5" a="1"/>
  <c r="FD199" i="5" s="1"/>
  <c r="FE199" i="5" a="1"/>
  <c r="FE199" i="5" s="1"/>
  <c r="FF199" i="5" a="1"/>
  <c r="FF199" i="5" s="1"/>
  <c r="FG199" i="5" a="1"/>
  <c r="FG199" i="5" s="1"/>
  <c r="FH199" i="5" a="1"/>
  <c r="FH199" i="5" s="1"/>
  <c r="FI199" i="5" a="1"/>
  <c r="FI199" i="5" s="1"/>
  <c r="FJ199" i="5" a="1"/>
  <c r="FJ199" i="5" s="1"/>
  <c r="FK199" i="5" a="1"/>
  <c r="FK199" i="5" s="1"/>
  <c r="FL199" i="5" a="1"/>
  <c r="FL199" i="5" s="1"/>
  <c r="FM199" i="5" a="1"/>
  <c r="FM199" i="5" s="1"/>
  <c r="FN199" i="5" a="1"/>
  <c r="FN199" i="5" s="1"/>
  <c r="FO199" i="5" a="1"/>
  <c r="FO199" i="5" s="1"/>
  <c r="EI200" i="5" a="1"/>
  <c r="EI200" i="5" s="1"/>
  <c r="EJ200" i="5" a="1"/>
  <c r="EJ200" i="5" s="1"/>
  <c r="EK200" i="5" a="1"/>
  <c r="EK200" i="5" s="1"/>
  <c r="EL200" i="5" a="1"/>
  <c r="EL200" i="5" s="1"/>
  <c r="EM200" i="5" a="1"/>
  <c r="EM200" i="5" s="1"/>
  <c r="EN200" i="5" a="1"/>
  <c r="EN200" i="5" s="1"/>
  <c r="EO200" i="5" a="1"/>
  <c r="EO200" i="5" s="1"/>
  <c r="EP200" i="5" a="1"/>
  <c r="EP200" i="5" s="1"/>
  <c r="EQ200" i="5" a="1"/>
  <c r="EQ200" i="5" s="1"/>
  <c r="ER200" i="5" a="1"/>
  <c r="ER200" i="5" s="1"/>
  <c r="ES200" i="5" a="1"/>
  <c r="ES200" i="5" s="1"/>
  <c r="ET200" i="5" a="1"/>
  <c r="ET200" i="5" s="1"/>
  <c r="EU200" i="5" a="1"/>
  <c r="EU200" i="5" s="1"/>
  <c r="EV200" i="5" a="1"/>
  <c r="EV200" i="5" s="1"/>
  <c r="EW200" i="5" a="1"/>
  <c r="EW200" i="5" s="1"/>
  <c r="EX200" i="5" a="1"/>
  <c r="EX200" i="5" s="1"/>
  <c r="EY200" i="5" a="1"/>
  <c r="EY200" i="5" s="1"/>
  <c r="EZ200" i="5" a="1"/>
  <c r="EZ200" i="5" s="1"/>
  <c r="FA200" i="5" a="1"/>
  <c r="FA200" i="5" s="1"/>
  <c r="FB200" i="5" a="1"/>
  <c r="FB200" i="5" s="1"/>
  <c r="FC200" i="5" a="1"/>
  <c r="FC200" i="5" s="1"/>
  <c r="FD200" i="5" a="1"/>
  <c r="FD200" i="5" s="1"/>
  <c r="FE200" i="5" a="1"/>
  <c r="FE200" i="5" s="1"/>
  <c r="FF200" i="5" a="1"/>
  <c r="FF200" i="5" s="1"/>
  <c r="FG200" i="5" a="1"/>
  <c r="FG200" i="5" s="1"/>
  <c r="FH200" i="5" a="1"/>
  <c r="FH200" i="5" s="1"/>
  <c r="FI200" i="5" a="1"/>
  <c r="FI200" i="5" s="1"/>
  <c r="FJ200" i="5" a="1"/>
  <c r="FJ200" i="5" s="1"/>
  <c r="FK200" i="5" a="1"/>
  <c r="FK200" i="5" s="1"/>
  <c r="FL200" i="5" a="1"/>
  <c r="FL200" i="5" s="1"/>
  <c r="FM200" i="5" a="1"/>
  <c r="FM200" i="5" s="1"/>
  <c r="FN200" i="5" a="1"/>
  <c r="FN200" i="5" s="1"/>
  <c r="FO200" i="5" a="1"/>
  <c r="FO200" i="5" s="1"/>
  <c r="EI201" i="5" a="1"/>
  <c r="EI201" i="5" s="1"/>
  <c r="EJ201" i="5" a="1"/>
  <c r="EJ201" i="5" s="1"/>
  <c r="EK201" i="5" a="1"/>
  <c r="EK201" i="5" s="1"/>
  <c r="EL201" i="5" a="1"/>
  <c r="EL201" i="5" s="1"/>
  <c r="EM201" i="5" a="1"/>
  <c r="EM201" i="5" s="1"/>
  <c r="EN201" i="5" a="1"/>
  <c r="EN201" i="5" s="1"/>
  <c r="EO201" i="5" a="1"/>
  <c r="EO201" i="5" s="1"/>
  <c r="EP201" i="5" a="1"/>
  <c r="EP201" i="5" s="1"/>
  <c r="EQ201" i="5" a="1"/>
  <c r="EQ201" i="5" s="1"/>
  <c r="ER201" i="5" a="1"/>
  <c r="ER201" i="5" s="1"/>
  <c r="ES201" i="5" a="1"/>
  <c r="ES201" i="5" s="1"/>
  <c r="ET201" i="5" a="1"/>
  <c r="ET201" i="5" s="1"/>
  <c r="EU201" i="5" a="1"/>
  <c r="EU201" i="5" s="1"/>
  <c r="EV201" i="5" a="1"/>
  <c r="EV201" i="5" s="1"/>
  <c r="EW201" i="5" a="1"/>
  <c r="EW201" i="5" s="1"/>
  <c r="EX201" i="5" a="1"/>
  <c r="EX201" i="5" s="1"/>
  <c r="EY201" i="5" a="1"/>
  <c r="EY201" i="5" s="1"/>
  <c r="EZ201" i="5" a="1"/>
  <c r="EZ201" i="5" s="1"/>
  <c r="FA201" i="5" a="1"/>
  <c r="FA201" i="5" s="1"/>
  <c r="FB201" i="5" a="1"/>
  <c r="FB201" i="5" s="1"/>
  <c r="FC201" i="5" a="1"/>
  <c r="FC201" i="5" s="1"/>
  <c r="FD201" i="5" a="1"/>
  <c r="FD201" i="5" s="1"/>
  <c r="FE201" i="5" a="1"/>
  <c r="FE201" i="5" s="1"/>
  <c r="FF201" i="5" a="1"/>
  <c r="FF201" i="5" s="1"/>
  <c r="FG201" i="5" a="1"/>
  <c r="FG201" i="5" s="1"/>
  <c r="FH201" i="5" a="1"/>
  <c r="FH201" i="5" s="1"/>
  <c r="FI201" i="5" a="1"/>
  <c r="FI201" i="5" s="1"/>
  <c r="FJ201" i="5" a="1"/>
  <c r="FJ201" i="5" s="1"/>
  <c r="FK201" i="5" a="1"/>
  <c r="FK201" i="5" s="1"/>
  <c r="FL201" i="5" a="1"/>
  <c r="FL201" i="5" s="1"/>
  <c r="FM201" i="5" a="1"/>
  <c r="FM201" i="5" s="1"/>
  <c r="FN201" i="5" a="1"/>
  <c r="FN201" i="5" s="1"/>
  <c r="FO201" i="5" a="1"/>
  <c r="FO201" i="5" s="1"/>
  <c r="EI202" i="5" a="1"/>
  <c r="EI202" i="5" s="1"/>
  <c r="EJ202" i="5" a="1"/>
  <c r="EJ202" i="5" s="1"/>
  <c r="EK202" i="5" a="1"/>
  <c r="EK202" i="5" s="1"/>
  <c r="EL202" i="5" a="1"/>
  <c r="EL202" i="5" s="1"/>
  <c r="EM202" i="5" a="1"/>
  <c r="EM202" i="5" s="1"/>
  <c r="EN202" i="5" a="1"/>
  <c r="EN202" i="5" s="1"/>
  <c r="EO202" i="5" a="1"/>
  <c r="EO202" i="5" s="1"/>
  <c r="EP202" i="5" a="1"/>
  <c r="EP202" i="5" s="1"/>
  <c r="EQ202" i="5" a="1"/>
  <c r="EQ202" i="5" s="1"/>
  <c r="ER202" i="5" a="1"/>
  <c r="ER202" i="5" s="1"/>
  <c r="ES202" i="5" a="1"/>
  <c r="ES202" i="5" s="1"/>
  <c r="ET202" i="5" a="1"/>
  <c r="ET202" i="5" s="1"/>
  <c r="EU202" i="5" a="1"/>
  <c r="EU202" i="5" s="1"/>
  <c r="EV202" i="5" a="1"/>
  <c r="EV202" i="5" s="1"/>
  <c r="EW202" i="5" a="1"/>
  <c r="EW202" i="5" s="1"/>
  <c r="EX202" i="5" a="1"/>
  <c r="EX202" i="5" s="1"/>
  <c r="EY202" i="5" a="1"/>
  <c r="EY202" i="5" s="1"/>
  <c r="EZ202" i="5" a="1"/>
  <c r="EZ202" i="5" s="1"/>
  <c r="FA202" i="5" a="1"/>
  <c r="FA202" i="5" s="1"/>
  <c r="FB202" i="5" a="1"/>
  <c r="FB202" i="5" s="1"/>
  <c r="FC202" i="5" a="1"/>
  <c r="FC202" i="5" s="1"/>
  <c r="FD202" i="5" a="1"/>
  <c r="FD202" i="5" s="1"/>
  <c r="FE202" i="5" a="1"/>
  <c r="FE202" i="5" s="1"/>
  <c r="FF202" i="5" a="1"/>
  <c r="FF202" i="5" s="1"/>
  <c r="FG202" i="5" a="1"/>
  <c r="FG202" i="5" s="1"/>
  <c r="FH202" i="5" a="1"/>
  <c r="FH202" i="5" s="1"/>
  <c r="FI202" i="5" a="1"/>
  <c r="FI202" i="5" s="1"/>
  <c r="FJ202" i="5" a="1"/>
  <c r="FJ202" i="5" s="1"/>
  <c r="FK202" i="5" a="1"/>
  <c r="FK202" i="5" s="1"/>
  <c r="FL202" i="5" a="1"/>
  <c r="FL202" i="5" s="1"/>
  <c r="FM202" i="5" a="1"/>
  <c r="FM202" i="5" s="1"/>
  <c r="FN202" i="5" a="1"/>
  <c r="FN202" i="5" s="1"/>
  <c r="FO202" i="5" a="1"/>
  <c r="FO202" i="5" s="1"/>
  <c r="EI203" i="5" a="1"/>
  <c r="EI203" i="5" s="1"/>
  <c r="EJ203" i="5" a="1"/>
  <c r="EJ203" i="5" s="1"/>
  <c r="EK203" i="5" a="1"/>
  <c r="EK203" i="5" s="1"/>
  <c r="EL203" i="5" a="1"/>
  <c r="EL203" i="5" s="1"/>
  <c r="EM203" i="5" a="1"/>
  <c r="EM203" i="5" s="1"/>
  <c r="EN203" i="5" a="1"/>
  <c r="EN203" i="5" s="1"/>
  <c r="EO203" i="5" a="1"/>
  <c r="EO203" i="5" s="1"/>
  <c r="EP203" i="5" a="1"/>
  <c r="EP203" i="5" s="1"/>
  <c r="EQ203" i="5" a="1"/>
  <c r="EQ203" i="5" s="1"/>
  <c r="ER203" i="5" a="1"/>
  <c r="ER203" i="5" s="1"/>
  <c r="ES203" i="5" a="1"/>
  <c r="ES203" i="5" s="1"/>
  <c r="ET203" i="5" a="1"/>
  <c r="ET203" i="5" s="1"/>
  <c r="EU203" i="5" a="1"/>
  <c r="EU203" i="5" s="1"/>
  <c r="EV203" i="5" a="1"/>
  <c r="EV203" i="5" s="1"/>
  <c r="EW203" i="5" a="1"/>
  <c r="EW203" i="5" s="1"/>
  <c r="EX203" i="5" a="1"/>
  <c r="EX203" i="5" s="1"/>
  <c r="EY203" i="5" a="1"/>
  <c r="EY203" i="5" s="1"/>
  <c r="EZ203" i="5" a="1"/>
  <c r="EZ203" i="5" s="1"/>
  <c r="FA203" i="5" a="1"/>
  <c r="FA203" i="5" s="1"/>
  <c r="FB203" i="5" a="1"/>
  <c r="FB203" i="5" s="1"/>
  <c r="FC203" i="5" a="1"/>
  <c r="FC203" i="5" s="1"/>
  <c r="FD203" i="5" a="1"/>
  <c r="FD203" i="5" s="1"/>
  <c r="FE203" i="5" a="1"/>
  <c r="FE203" i="5" s="1"/>
  <c r="FF203" i="5" a="1"/>
  <c r="FF203" i="5" s="1"/>
  <c r="FG203" i="5" a="1"/>
  <c r="FG203" i="5" s="1"/>
  <c r="FH203" i="5" a="1"/>
  <c r="FH203" i="5" s="1"/>
  <c r="FI203" i="5" a="1"/>
  <c r="FI203" i="5" s="1"/>
  <c r="FJ203" i="5" a="1"/>
  <c r="FJ203" i="5" s="1"/>
  <c r="FK203" i="5" a="1"/>
  <c r="FK203" i="5" s="1"/>
  <c r="FL203" i="5" a="1"/>
  <c r="FL203" i="5" s="1"/>
  <c r="FM203" i="5" a="1"/>
  <c r="FM203" i="5" s="1"/>
  <c r="FN203" i="5" a="1"/>
  <c r="FN203" i="5" s="1"/>
  <c r="FO203" i="5" a="1"/>
  <c r="FO203" i="5" s="1"/>
  <c r="EI204" i="5" a="1"/>
  <c r="EI204" i="5" s="1"/>
  <c r="EJ204" i="5" a="1"/>
  <c r="EJ204" i="5" s="1"/>
  <c r="EK204" i="5" a="1"/>
  <c r="EK204" i="5" s="1"/>
  <c r="EL204" i="5" a="1"/>
  <c r="EL204" i="5" s="1"/>
  <c r="EM204" i="5" a="1"/>
  <c r="EM204" i="5" s="1"/>
  <c r="EN204" i="5" a="1"/>
  <c r="EN204" i="5" s="1"/>
  <c r="EO204" i="5" a="1"/>
  <c r="EO204" i="5" s="1"/>
  <c r="EP204" i="5" a="1"/>
  <c r="EP204" i="5" s="1"/>
  <c r="EQ204" i="5" a="1"/>
  <c r="EQ204" i="5" s="1"/>
  <c r="ER204" i="5" a="1"/>
  <c r="ER204" i="5" s="1"/>
  <c r="ES204" i="5" a="1"/>
  <c r="ES204" i="5" s="1"/>
  <c r="ET204" i="5" a="1"/>
  <c r="ET204" i="5" s="1"/>
  <c r="EU204" i="5" a="1"/>
  <c r="EU204" i="5" s="1"/>
  <c r="EV204" i="5" a="1"/>
  <c r="EV204" i="5" s="1"/>
  <c r="EW204" i="5" a="1"/>
  <c r="EW204" i="5" s="1"/>
  <c r="EX204" i="5" a="1"/>
  <c r="EX204" i="5" s="1"/>
  <c r="EY204" i="5" a="1"/>
  <c r="EY204" i="5" s="1"/>
  <c r="EZ204" i="5" a="1"/>
  <c r="EZ204" i="5" s="1"/>
  <c r="FA204" i="5" a="1"/>
  <c r="FA204" i="5" s="1"/>
  <c r="FB204" i="5" a="1"/>
  <c r="FB204" i="5" s="1"/>
  <c r="FC204" i="5" a="1"/>
  <c r="FC204" i="5" s="1"/>
  <c r="FD204" i="5" a="1"/>
  <c r="FD204" i="5" s="1"/>
  <c r="FE204" i="5" a="1"/>
  <c r="FE204" i="5" s="1"/>
  <c r="FF204" i="5" a="1"/>
  <c r="FF204" i="5" s="1"/>
  <c r="FG204" i="5" a="1"/>
  <c r="FG204" i="5" s="1"/>
  <c r="FH204" i="5" a="1"/>
  <c r="FH204" i="5" s="1"/>
  <c r="FI204" i="5" a="1"/>
  <c r="FI204" i="5" s="1"/>
  <c r="FJ204" i="5" a="1"/>
  <c r="FJ204" i="5" s="1"/>
  <c r="FK204" i="5" a="1"/>
  <c r="FK204" i="5" s="1"/>
  <c r="FL204" i="5" a="1"/>
  <c r="FL204" i="5" s="1"/>
  <c r="FM204" i="5" a="1"/>
  <c r="FM204" i="5" s="1"/>
  <c r="FN204" i="5" a="1"/>
  <c r="FN204" i="5" s="1"/>
  <c r="FO204" i="5" a="1"/>
  <c r="FO204" i="5" s="1"/>
  <c r="EI205" i="5" a="1"/>
  <c r="EI205" i="5" s="1"/>
  <c r="EJ205" i="5" a="1"/>
  <c r="EJ205" i="5" s="1"/>
  <c r="EK205" i="5" a="1"/>
  <c r="EK205" i="5" s="1"/>
  <c r="EL205" i="5" a="1"/>
  <c r="EL205" i="5" s="1"/>
  <c r="EM205" i="5" a="1"/>
  <c r="EM205" i="5" s="1"/>
  <c r="EN205" i="5" a="1"/>
  <c r="EN205" i="5" s="1"/>
  <c r="EO205" i="5" a="1"/>
  <c r="EO205" i="5" s="1"/>
  <c r="EP205" i="5" a="1"/>
  <c r="EP205" i="5" s="1"/>
  <c r="EQ205" i="5" a="1"/>
  <c r="EQ205" i="5" s="1"/>
  <c r="ER205" i="5" a="1"/>
  <c r="ER205" i="5" s="1"/>
  <c r="ES205" i="5" a="1"/>
  <c r="ES205" i="5" s="1"/>
  <c r="ET205" i="5" a="1"/>
  <c r="ET205" i="5" s="1"/>
  <c r="EU205" i="5" a="1"/>
  <c r="EU205" i="5" s="1"/>
  <c r="EV205" i="5" a="1"/>
  <c r="EV205" i="5" s="1"/>
  <c r="EW205" i="5" a="1"/>
  <c r="EW205" i="5" s="1"/>
  <c r="EX205" i="5" a="1"/>
  <c r="EX205" i="5" s="1"/>
  <c r="EY205" i="5" a="1"/>
  <c r="EY205" i="5" s="1"/>
  <c r="EZ205" i="5" a="1"/>
  <c r="EZ205" i="5" s="1"/>
  <c r="FA205" i="5" a="1"/>
  <c r="FA205" i="5" s="1"/>
  <c r="FB205" i="5" a="1"/>
  <c r="FB205" i="5" s="1"/>
  <c r="FC205" i="5" a="1"/>
  <c r="FC205" i="5" s="1"/>
  <c r="FD205" i="5" a="1"/>
  <c r="FD205" i="5" s="1"/>
  <c r="FE205" i="5" a="1"/>
  <c r="FE205" i="5" s="1"/>
  <c r="FF205" i="5" a="1"/>
  <c r="FF205" i="5" s="1"/>
  <c r="FG205" i="5" a="1"/>
  <c r="FG205" i="5" s="1"/>
  <c r="FH205" i="5" a="1"/>
  <c r="FH205" i="5" s="1"/>
  <c r="FI205" i="5" a="1"/>
  <c r="FI205" i="5" s="1"/>
  <c r="FJ205" i="5" a="1"/>
  <c r="FJ205" i="5" s="1"/>
  <c r="FK205" i="5" a="1"/>
  <c r="FK205" i="5" s="1"/>
  <c r="FL205" i="5" a="1"/>
  <c r="FL205" i="5" s="1"/>
  <c r="FM205" i="5" a="1"/>
  <c r="FM205" i="5" s="1"/>
  <c r="FN205" i="5" a="1"/>
  <c r="FN205" i="5" s="1"/>
  <c r="FO205" i="5" a="1"/>
  <c r="FO205" i="5" s="1"/>
  <c r="EI206" i="5" a="1"/>
  <c r="EI206" i="5" s="1"/>
  <c r="EJ206" i="5" a="1"/>
  <c r="EJ206" i="5" s="1"/>
  <c r="EK206" i="5" a="1"/>
  <c r="EK206" i="5" s="1"/>
  <c r="EL206" i="5" a="1"/>
  <c r="EL206" i="5" s="1"/>
  <c r="EM206" i="5" a="1"/>
  <c r="EM206" i="5" s="1"/>
  <c r="EN206" i="5" a="1"/>
  <c r="EN206" i="5" s="1"/>
  <c r="EO206" i="5" a="1"/>
  <c r="EO206" i="5" s="1"/>
  <c r="EP206" i="5" a="1"/>
  <c r="EP206" i="5" s="1"/>
  <c r="EQ206" i="5" a="1"/>
  <c r="EQ206" i="5" s="1"/>
  <c r="ER206" i="5" a="1"/>
  <c r="ER206" i="5" s="1"/>
  <c r="ES206" i="5" a="1"/>
  <c r="ES206" i="5" s="1"/>
  <c r="ET206" i="5" a="1"/>
  <c r="ET206" i="5" s="1"/>
  <c r="EU206" i="5" a="1"/>
  <c r="EU206" i="5" s="1"/>
  <c r="EV206" i="5" a="1"/>
  <c r="EV206" i="5" s="1"/>
  <c r="EW206" i="5" a="1"/>
  <c r="EW206" i="5" s="1"/>
  <c r="EX206" i="5" a="1"/>
  <c r="EX206" i="5" s="1"/>
  <c r="EY206" i="5" a="1"/>
  <c r="EY206" i="5" s="1"/>
  <c r="EZ206" i="5" a="1"/>
  <c r="EZ206" i="5" s="1"/>
  <c r="FA206" i="5" a="1"/>
  <c r="FA206" i="5" s="1"/>
  <c r="FB206" i="5" a="1"/>
  <c r="FB206" i="5" s="1"/>
  <c r="FC206" i="5" a="1"/>
  <c r="FC206" i="5" s="1"/>
  <c r="FD206" i="5" a="1"/>
  <c r="FD206" i="5" s="1"/>
  <c r="FE206" i="5" a="1"/>
  <c r="FE206" i="5" s="1"/>
  <c r="FF206" i="5" a="1"/>
  <c r="FF206" i="5" s="1"/>
  <c r="FG206" i="5" a="1"/>
  <c r="FG206" i="5" s="1"/>
  <c r="FH206" i="5" a="1"/>
  <c r="FH206" i="5" s="1"/>
  <c r="FI206" i="5" a="1"/>
  <c r="FI206" i="5" s="1"/>
  <c r="FJ206" i="5" a="1"/>
  <c r="FJ206" i="5" s="1"/>
  <c r="FK206" i="5" a="1"/>
  <c r="FK206" i="5" s="1"/>
  <c r="FL206" i="5" a="1"/>
  <c r="FL206" i="5" s="1"/>
  <c r="FM206" i="5" a="1"/>
  <c r="FM206" i="5" s="1"/>
  <c r="FN206" i="5" a="1"/>
  <c r="FN206" i="5" s="1"/>
  <c r="FO206" i="5" a="1"/>
  <c r="FO206" i="5" s="1"/>
  <c r="EI207" i="5" a="1"/>
  <c r="EI207" i="5" s="1"/>
  <c r="EJ207" i="5" a="1"/>
  <c r="EJ207" i="5" s="1"/>
  <c r="EK207" i="5" a="1"/>
  <c r="EK207" i="5" s="1"/>
  <c r="EL207" i="5" a="1"/>
  <c r="EL207" i="5" s="1"/>
  <c r="EM207" i="5" a="1"/>
  <c r="EM207" i="5" s="1"/>
  <c r="EN207" i="5" a="1"/>
  <c r="EN207" i="5" s="1"/>
  <c r="EO207" i="5" a="1"/>
  <c r="EO207" i="5" s="1"/>
  <c r="EP207" i="5" a="1"/>
  <c r="EP207" i="5" s="1"/>
  <c r="EQ207" i="5" a="1"/>
  <c r="EQ207" i="5" s="1"/>
  <c r="ER207" i="5" a="1"/>
  <c r="ER207" i="5" s="1"/>
  <c r="ES207" i="5" a="1"/>
  <c r="ES207" i="5" s="1"/>
  <c r="ET207" i="5" a="1"/>
  <c r="ET207" i="5" s="1"/>
  <c r="EU207" i="5" a="1"/>
  <c r="EU207" i="5" s="1"/>
  <c r="EV207" i="5" a="1"/>
  <c r="EV207" i="5" s="1"/>
  <c r="EW207" i="5" a="1"/>
  <c r="EW207" i="5" s="1"/>
  <c r="EX207" i="5" a="1"/>
  <c r="EX207" i="5" s="1"/>
  <c r="EY207" i="5" a="1"/>
  <c r="EY207" i="5" s="1"/>
  <c r="EZ207" i="5" a="1"/>
  <c r="EZ207" i="5" s="1"/>
  <c r="FA207" i="5" a="1"/>
  <c r="FA207" i="5" s="1"/>
  <c r="FB207" i="5" a="1"/>
  <c r="FB207" i="5" s="1"/>
  <c r="FC207" i="5" a="1"/>
  <c r="FC207" i="5" s="1"/>
  <c r="FD207" i="5" a="1"/>
  <c r="FD207" i="5" s="1"/>
  <c r="FE207" i="5" a="1"/>
  <c r="FE207" i="5" s="1"/>
  <c r="FF207" i="5" a="1"/>
  <c r="FF207" i="5" s="1"/>
  <c r="FG207" i="5" a="1"/>
  <c r="FG207" i="5" s="1"/>
  <c r="FH207" i="5" a="1"/>
  <c r="FH207" i="5" s="1"/>
  <c r="FI207" i="5" a="1"/>
  <c r="FI207" i="5" s="1"/>
  <c r="FJ207" i="5" a="1"/>
  <c r="FJ207" i="5" s="1"/>
  <c r="FK207" i="5" a="1"/>
  <c r="FK207" i="5" s="1"/>
  <c r="FL207" i="5" a="1"/>
  <c r="FL207" i="5" s="1"/>
  <c r="FM207" i="5" a="1"/>
  <c r="FM207" i="5" s="1"/>
  <c r="FN207" i="5" a="1"/>
  <c r="FN207" i="5" s="1"/>
  <c r="FO207" i="5" a="1"/>
  <c r="FO207" i="5" s="1"/>
  <c r="EI208" i="5" a="1"/>
  <c r="EI208" i="5" s="1"/>
  <c r="EJ208" i="5" a="1"/>
  <c r="EJ208" i="5" s="1"/>
  <c r="EK208" i="5" a="1"/>
  <c r="EK208" i="5" s="1"/>
  <c r="EL208" i="5" a="1"/>
  <c r="EL208" i="5" s="1"/>
  <c r="EM208" i="5" a="1"/>
  <c r="EM208" i="5" s="1"/>
  <c r="EN208" i="5" a="1"/>
  <c r="EN208" i="5" s="1"/>
  <c r="EO208" i="5" a="1"/>
  <c r="EO208" i="5" s="1"/>
  <c r="EP208" i="5" a="1"/>
  <c r="EP208" i="5" s="1"/>
  <c r="EQ208" i="5" a="1"/>
  <c r="EQ208" i="5" s="1"/>
  <c r="ER208" i="5" a="1"/>
  <c r="ER208" i="5" s="1"/>
  <c r="ES208" i="5" a="1"/>
  <c r="ES208" i="5" s="1"/>
  <c r="ET208" i="5" a="1"/>
  <c r="ET208" i="5" s="1"/>
  <c r="EU208" i="5" a="1"/>
  <c r="EU208" i="5" s="1"/>
  <c r="EV208" i="5" a="1"/>
  <c r="EV208" i="5" s="1"/>
  <c r="EW208" i="5" a="1"/>
  <c r="EW208" i="5" s="1"/>
  <c r="EX208" i="5" a="1"/>
  <c r="EX208" i="5" s="1"/>
  <c r="EY208" i="5" a="1"/>
  <c r="EY208" i="5" s="1"/>
  <c r="EZ208" i="5" a="1"/>
  <c r="EZ208" i="5" s="1"/>
  <c r="FA208" i="5" a="1"/>
  <c r="FA208" i="5" s="1"/>
  <c r="FB208" i="5" a="1"/>
  <c r="FB208" i="5" s="1"/>
  <c r="FC208" i="5" a="1"/>
  <c r="FC208" i="5" s="1"/>
  <c r="FD208" i="5" a="1"/>
  <c r="FD208" i="5" s="1"/>
  <c r="FE208" i="5" a="1"/>
  <c r="FE208" i="5" s="1"/>
  <c r="FF208" i="5" a="1"/>
  <c r="FF208" i="5" s="1"/>
  <c r="FG208" i="5" a="1"/>
  <c r="FG208" i="5" s="1"/>
  <c r="FH208" i="5" a="1"/>
  <c r="FH208" i="5" s="1"/>
  <c r="FI208" i="5" a="1"/>
  <c r="FI208" i="5" s="1"/>
  <c r="FJ208" i="5" a="1"/>
  <c r="FJ208" i="5" s="1"/>
  <c r="FK208" i="5" a="1"/>
  <c r="FK208" i="5" s="1"/>
  <c r="FL208" i="5" a="1"/>
  <c r="FL208" i="5" s="1"/>
  <c r="FM208" i="5" a="1"/>
  <c r="FM208" i="5" s="1"/>
  <c r="FN208" i="5" a="1"/>
  <c r="FN208" i="5" s="1"/>
  <c r="FO208" i="5" a="1"/>
  <c r="FO208" i="5" s="1"/>
  <c r="EI209" i="5" a="1"/>
  <c r="EI209" i="5" s="1"/>
  <c r="EJ209" i="5" a="1"/>
  <c r="EJ209" i="5" s="1"/>
  <c r="EK209" i="5" a="1"/>
  <c r="EK209" i="5" s="1"/>
  <c r="EL209" i="5" a="1"/>
  <c r="EL209" i="5" s="1"/>
  <c r="EM209" i="5" a="1"/>
  <c r="EM209" i="5" s="1"/>
  <c r="EN209" i="5" a="1"/>
  <c r="EN209" i="5" s="1"/>
  <c r="EO209" i="5" a="1"/>
  <c r="EO209" i="5" s="1"/>
  <c r="EP209" i="5" a="1"/>
  <c r="EP209" i="5" s="1"/>
  <c r="EQ209" i="5" a="1"/>
  <c r="EQ209" i="5" s="1"/>
  <c r="ER209" i="5" a="1"/>
  <c r="ER209" i="5" s="1"/>
  <c r="ES209" i="5" a="1"/>
  <c r="ES209" i="5" s="1"/>
  <c r="ET209" i="5" a="1"/>
  <c r="ET209" i="5" s="1"/>
  <c r="EU209" i="5" a="1"/>
  <c r="EU209" i="5" s="1"/>
  <c r="EV209" i="5" a="1"/>
  <c r="EV209" i="5" s="1"/>
  <c r="EW209" i="5" a="1"/>
  <c r="EW209" i="5" s="1"/>
  <c r="EX209" i="5" a="1"/>
  <c r="EX209" i="5" s="1"/>
  <c r="EY209" i="5" a="1"/>
  <c r="EY209" i="5" s="1"/>
  <c r="EZ209" i="5" a="1"/>
  <c r="EZ209" i="5" s="1"/>
  <c r="FA209" i="5" a="1"/>
  <c r="FA209" i="5" s="1"/>
  <c r="FB209" i="5" a="1"/>
  <c r="FB209" i="5" s="1"/>
  <c r="FC209" i="5" a="1"/>
  <c r="FC209" i="5" s="1"/>
  <c r="FD209" i="5" a="1"/>
  <c r="FD209" i="5" s="1"/>
  <c r="FE209" i="5" a="1"/>
  <c r="FE209" i="5" s="1"/>
  <c r="FF209" i="5" a="1"/>
  <c r="FF209" i="5" s="1"/>
  <c r="FG209" i="5" a="1"/>
  <c r="FG209" i="5" s="1"/>
  <c r="FH209" i="5" a="1"/>
  <c r="FH209" i="5" s="1"/>
  <c r="FI209" i="5" a="1"/>
  <c r="FI209" i="5" s="1"/>
  <c r="FJ209" i="5" a="1"/>
  <c r="FJ209" i="5" s="1"/>
  <c r="FK209" i="5" a="1"/>
  <c r="FK209" i="5" s="1"/>
  <c r="FL209" i="5" a="1"/>
  <c r="FL209" i="5" s="1"/>
  <c r="FM209" i="5" a="1"/>
  <c r="FM209" i="5" s="1"/>
  <c r="FN209" i="5" a="1"/>
  <c r="FN209" i="5" s="1"/>
  <c r="FO209" i="5" a="1"/>
  <c r="FO209" i="5" s="1"/>
  <c r="EI210" i="5" a="1"/>
  <c r="EI210" i="5" s="1"/>
  <c r="EJ210" i="5" a="1"/>
  <c r="EJ210" i="5" s="1"/>
  <c r="EK210" i="5" a="1"/>
  <c r="EK210" i="5" s="1"/>
  <c r="EL210" i="5" a="1"/>
  <c r="EL210" i="5" s="1"/>
  <c r="EM210" i="5" a="1"/>
  <c r="EM210" i="5" s="1"/>
  <c r="EN210" i="5" a="1"/>
  <c r="EN210" i="5" s="1"/>
  <c r="EO210" i="5" a="1"/>
  <c r="EO210" i="5" s="1"/>
  <c r="EP210" i="5" a="1"/>
  <c r="EP210" i="5" s="1"/>
  <c r="EQ210" i="5" a="1"/>
  <c r="EQ210" i="5" s="1"/>
  <c r="ER210" i="5" a="1"/>
  <c r="ER210" i="5" s="1"/>
  <c r="ES210" i="5" a="1"/>
  <c r="ES210" i="5" s="1"/>
  <c r="ET210" i="5" a="1"/>
  <c r="ET210" i="5" s="1"/>
  <c r="EU210" i="5" a="1"/>
  <c r="EU210" i="5" s="1"/>
  <c r="EV210" i="5" a="1"/>
  <c r="EV210" i="5" s="1"/>
  <c r="EW210" i="5" a="1"/>
  <c r="EW210" i="5" s="1"/>
  <c r="EX210" i="5" a="1"/>
  <c r="EX210" i="5" s="1"/>
  <c r="EY210" i="5" a="1"/>
  <c r="EY210" i="5" s="1"/>
  <c r="EZ210" i="5" a="1"/>
  <c r="EZ210" i="5" s="1"/>
  <c r="FA210" i="5" a="1"/>
  <c r="FA210" i="5" s="1"/>
  <c r="FB210" i="5" a="1"/>
  <c r="FB210" i="5" s="1"/>
  <c r="FC210" i="5" a="1"/>
  <c r="FC210" i="5" s="1"/>
  <c r="FD210" i="5" a="1"/>
  <c r="FD210" i="5" s="1"/>
  <c r="FE210" i="5" a="1"/>
  <c r="FE210" i="5" s="1"/>
  <c r="FF210" i="5" a="1"/>
  <c r="FF210" i="5" s="1"/>
  <c r="FG210" i="5" a="1"/>
  <c r="FG210" i="5" s="1"/>
  <c r="FH210" i="5" a="1"/>
  <c r="FH210" i="5" s="1"/>
  <c r="FI210" i="5" a="1"/>
  <c r="FI210" i="5" s="1"/>
  <c r="FJ210" i="5" a="1"/>
  <c r="FJ210" i="5" s="1"/>
  <c r="FK210" i="5" a="1"/>
  <c r="FK210" i="5" s="1"/>
  <c r="FL210" i="5" a="1"/>
  <c r="FL210" i="5" s="1"/>
  <c r="FM210" i="5" a="1"/>
  <c r="FM210" i="5" s="1"/>
  <c r="FN210" i="5" a="1"/>
  <c r="FN210" i="5" s="1"/>
  <c r="FO210" i="5" a="1"/>
  <c r="FO210" i="5" s="1"/>
  <c r="EI211" i="5" a="1"/>
  <c r="EI211" i="5" s="1"/>
  <c r="EJ211" i="5" a="1"/>
  <c r="EJ211" i="5" s="1"/>
  <c r="EK211" i="5" a="1"/>
  <c r="EK211" i="5" s="1"/>
  <c r="EL211" i="5" a="1"/>
  <c r="EL211" i="5" s="1"/>
  <c r="EM211" i="5" a="1"/>
  <c r="EM211" i="5" s="1"/>
  <c r="EN211" i="5" a="1"/>
  <c r="EN211" i="5" s="1"/>
  <c r="EO211" i="5" a="1"/>
  <c r="EO211" i="5" s="1"/>
  <c r="EP211" i="5" a="1"/>
  <c r="EP211" i="5" s="1"/>
  <c r="EQ211" i="5" a="1"/>
  <c r="EQ211" i="5" s="1"/>
  <c r="ER211" i="5" a="1"/>
  <c r="ER211" i="5" s="1"/>
  <c r="ES211" i="5" a="1"/>
  <c r="ES211" i="5" s="1"/>
  <c r="ET211" i="5" a="1"/>
  <c r="ET211" i="5" s="1"/>
  <c r="EU211" i="5" a="1"/>
  <c r="EU211" i="5" s="1"/>
  <c r="EV211" i="5" a="1"/>
  <c r="EV211" i="5" s="1"/>
  <c r="EW211" i="5" a="1"/>
  <c r="EW211" i="5" s="1"/>
  <c r="EX211" i="5" a="1"/>
  <c r="EX211" i="5" s="1"/>
  <c r="EY211" i="5" a="1"/>
  <c r="EY211" i="5" s="1"/>
  <c r="EZ211" i="5" a="1"/>
  <c r="EZ211" i="5" s="1"/>
  <c r="FA211" i="5" a="1"/>
  <c r="FA211" i="5" s="1"/>
  <c r="FB211" i="5" a="1"/>
  <c r="FB211" i="5" s="1"/>
  <c r="FC211" i="5" a="1"/>
  <c r="FC211" i="5" s="1"/>
  <c r="FD211" i="5" a="1"/>
  <c r="FD211" i="5" s="1"/>
  <c r="FE211" i="5" a="1"/>
  <c r="FE211" i="5" s="1"/>
  <c r="FF211" i="5" a="1"/>
  <c r="FF211" i="5" s="1"/>
  <c r="FG211" i="5" a="1"/>
  <c r="FG211" i="5" s="1"/>
  <c r="FH211" i="5" a="1"/>
  <c r="FH211" i="5" s="1"/>
  <c r="FI211" i="5" a="1"/>
  <c r="FI211" i="5" s="1"/>
  <c r="FJ211" i="5" a="1"/>
  <c r="FJ211" i="5" s="1"/>
  <c r="FK211" i="5" a="1"/>
  <c r="FK211" i="5" s="1"/>
  <c r="FL211" i="5" a="1"/>
  <c r="FL211" i="5" s="1"/>
  <c r="FM211" i="5" a="1"/>
  <c r="FM211" i="5" s="1"/>
  <c r="FN211" i="5" a="1"/>
  <c r="FN211" i="5" s="1"/>
  <c r="FO211" i="5" a="1"/>
  <c r="FO211" i="5" s="1"/>
  <c r="EI212" i="5" a="1"/>
  <c r="EI212" i="5" s="1"/>
  <c r="EJ212" i="5" a="1"/>
  <c r="EJ212" i="5" s="1"/>
  <c r="EK212" i="5" a="1"/>
  <c r="EK212" i="5" s="1"/>
  <c r="EL212" i="5" a="1"/>
  <c r="EL212" i="5" s="1"/>
  <c r="EM212" i="5" a="1"/>
  <c r="EM212" i="5" s="1"/>
  <c r="EN212" i="5" a="1"/>
  <c r="EN212" i="5" s="1"/>
  <c r="EO212" i="5" a="1"/>
  <c r="EO212" i="5" s="1"/>
  <c r="EP212" i="5" a="1"/>
  <c r="EP212" i="5" s="1"/>
  <c r="EQ212" i="5" a="1"/>
  <c r="EQ212" i="5" s="1"/>
  <c r="ER212" i="5" a="1"/>
  <c r="ER212" i="5" s="1"/>
  <c r="ES212" i="5" a="1"/>
  <c r="ES212" i="5" s="1"/>
  <c r="ET212" i="5" a="1"/>
  <c r="ET212" i="5" s="1"/>
  <c r="EU212" i="5" a="1"/>
  <c r="EU212" i="5" s="1"/>
  <c r="EV212" i="5" a="1"/>
  <c r="EV212" i="5" s="1"/>
  <c r="EW212" i="5" a="1"/>
  <c r="EW212" i="5" s="1"/>
  <c r="EX212" i="5" a="1"/>
  <c r="EX212" i="5" s="1"/>
  <c r="EY212" i="5" a="1"/>
  <c r="EY212" i="5" s="1"/>
  <c r="EZ212" i="5" a="1"/>
  <c r="EZ212" i="5" s="1"/>
  <c r="FA212" i="5" a="1"/>
  <c r="FA212" i="5" s="1"/>
  <c r="FB212" i="5" a="1"/>
  <c r="FB212" i="5" s="1"/>
  <c r="FC212" i="5" a="1"/>
  <c r="FC212" i="5" s="1"/>
  <c r="FD212" i="5" a="1"/>
  <c r="FD212" i="5" s="1"/>
  <c r="FE212" i="5" a="1"/>
  <c r="FE212" i="5" s="1"/>
  <c r="FF212" i="5" a="1"/>
  <c r="FF212" i="5" s="1"/>
  <c r="FG212" i="5" a="1"/>
  <c r="FG212" i="5" s="1"/>
  <c r="FH212" i="5" a="1"/>
  <c r="FH212" i="5" s="1"/>
  <c r="FI212" i="5" a="1"/>
  <c r="FI212" i="5" s="1"/>
  <c r="FJ212" i="5" a="1"/>
  <c r="FJ212" i="5" s="1"/>
  <c r="FK212" i="5" a="1"/>
  <c r="FK212" i="5" s="1"/>
  <c r="FL212" i="5" a="1"/>
  <c r="FL212" i="5" s="1"/>
  <c r="FM212" i="5" a="1"/>
  <c r="FM212" i="5" s="1"/>
  <c r="FN212" i="5" a="1"/>
  <c r="FN212" i="5" s="1"/>
  <c r="FO212" i="5" a="1"/>
  <c r="FO212" i="5" s="1"/>
  <c r="EI213" i="5" a="1"/>
  <c r="EI213" i="5" s="1"/>
  <c r="EJ213" i="5" a="1"/>
  <c r="EJ213" i="5" s="1"/>
  <c r="EK213" i="5" a="1"/>
  <c r="EK213" i="5" s="1"/>
  <c r="EL213" i="5" a="1"/>
  <c r="EL213" i="5" s="1"/>
  <c r="EM213" i="5" a="1"/>
  <c r="EM213" i="5" s="1"/>
  <c r="EN213" i="5" a="1"/>
  <c r="EN213" i="5" s="1"/>
  <c r="EO213" i="5" a="1"/>
  <c r="EO213" i="5" s="1"/>
  <c r="EP213" i="5" a="1"/>
  <c r="EP213" i="5" s="1"/>
  <c r="EQ213" i="5" a="1"/>
  <c r="EQ213" i="5" s="1"/>
  <c r="ER213" i="5" a="1"/>
  <c r="ER213" i="5" s="1"/>
  <c r="ES213" i="5" a="1"/>
  <c r="ES213" i="5" s="1"/>
  <c r="ET213" i="5" a="1"/>
  <c r="ET213" i="5" s="1"/>
  <c r="EU213" i="5" a="1"/>
  <c r="EU213" i="5" s="1"/>
  <c r="EV213" i="5" a="1"/>
  <c r="EV213" i="5" s="1"/>
  <c r="EW213" i="5" a="1"/>
  <c r="EW213" i="5" s="1"/>
  <c r="EX213" i="5" a="1"/>
  <c r="EX213" i="5" s="1"/>
  <c r="EY213" i="5" a="1"/>
  <c r="EY213" i="5" s="1"/>
  <c r="EZ213" i="5" a="1"/>
  <c r="EZ213" i="5" s="1"/>
  <c r="FA213" i="5" a="1"/>
  <c r="FA213" i="5" s="1"/>
  <c r="FB213" i="5" a="1"/>
  <c r="FB213" i="5" s="1"/>
  <c r="FC213" i="5" a="1"/>
  <c r="FC213" i="5" s="1"/>
  <c r="FD213" i="5" a="1"/>
  <c r="FD213" i="5" s="1"/>
  <c r="FE213" i="5" a="1"/>
  <c r="FE213" i="5" s="1"/>
  <c r="FF213" i="5" a="1"/>
  <c r="FF213" i="5" s="1"/>
  <c r="FG213" i="5" a="1"/>
  <c r="FG213" i="5" s="1"/>
  <c r="FH213" i="5" a="1"/>
  <c r="FH213" i="5" s="1"/>
  <c r="FI213" i="5" a="1"/>
  <c r="FI213" i="5" s="1"/>
  <c r="FJ213" i="5" a="1"/>
  <c r="FJ213" i="5" s="1"/>
  <c r="FK213" i="5" a="1"/>
  <c r="FK213" i="5" s="1"/>
  <c r="FL213" i="5" a="1"/>
  <c r="FL213" i="5" s="1"/>
  <c r="FM213" i="5" a="1"/>
  <c r="FM213" i="5" s="1"/>
  <c r="FN213" i="5" a="1"/>
  <c r="FN213" i="5" s="1"/>
  <c r="FO213" i="5" a="1"/>
  <c r="FO213" i="5" s="1"/>
  <c r="EI214" i="5" a="1"/>
  <c r="EI214" i="5" s="1"/>
  <c r="EJ214" i="5" a="1"/>
  <c r="EJ214" i="5" s="1"/>
  <c r="EK214" i="5" a="1"/>
  <c r="EK214" i="5" s="1"/>
  <c r="EL214" i="5" a="1"/>
  <c r="EL214" i="5" s="1"/>
  <c r="EM214" i="5" a="1"/>
  <c r="EM214" i="5" s="1"/>
  <c r="EN214" i="5" a="1"/>
  <c r="EN214" i="5" s="1"/>
  <c r="EO214" i="5" a="1"/>
  <c r="EO214" i="5" s="1"/>
  <c r="EP214" i="5" a="1"/>
  <c r="EP214" i="5" s="1"/>
  <c r="EQ214" i="5" a="1"/>
  <c r="EQ214" i="5" s="1"/>
  <c r="ER214" i="5" a="1"/>
  <c r="ER214" i="5" s="1"/>
  <c r="ES214" i="5" a="1"/>
  <c r="ES214" i="5" s="1"/>
  <c r="ET214" i="5" a="1"/>
  <c r="ET214" i="5" s="1"/>
  <c r="EU214" i="5" a="1"/>
  <c r="EU214" i="5" s="1"/>
  <c r="EV214" i="5" a="1"/>
  <c r="EV214" i="5" s="1"/>
  <c r="EW214" i="5" a="1"/>
  <c r="EW214" i="5" s="1"/>
  <c r="EX214" i="5" a="1"/>
  <c r="EX214" i="5" s="1"/>
  <c r="EY214" i="5" a="1"/>
  <c r="EY214" i="5" s="1"/>
  <c r="EZ214" i="5" a="1"/>
  <c r="EZ214" i="5" s="1"/>
  <c r="FA214" i="5" a="1"/>
  <c r="FA214" i="5" s="1"/>
  <c r="FB214" i="5" a="1"/>
  <c r="FB214" i="5" s="1"/>
  <c r="FC214" i="5" a="1"/>
  <c r="FC214" i="5" s="1"/>
  <c r="FD214" i="5" a="1"/>
  <c r="FD214" i="5" s="1"/>
  <c r="FE214" i="5" a="1"/>
  <c r="FE214" i="5" s="1"/>
  <c r="FF214" i="5" a="1"/>
  <c r="FF214" i="5" s="1"/>
  <c r="FG214" i="5" a="1"/>
  <c r="FG214" i="5" s="1"/>
  <c r="FH214" i="5" a="1"/>
  <c r="FH214" i="5" s="1"/>
  <c r="FI214" i="5" a="1"/>
  <c r="FI214" i="5" s="1"/>
  <c r="FJ214" i="5" a="1"/>
  <c r="FJ214" i="5" s="1"/>
  <c r="FK214" i="5" a="1"/>
  <c r="FK214" i="5" s="1"/>
  <c r="FL214" i="5" a="1"/>
  <c r="FL214" i="5" s="1"/>
  <c r="FM214" i="5" a="1"/>
  <c r="FM214" i="5" s="1"/>
  <c r="FN214" i="5" a="1"/>
  <c r="FN214" i="5" s="1"/>
  <c r="FO214" i="5" a="1"/>
  <c r="FO214" i="5" s="1"/>
  <c r="EI215" i="5" a="1"/>
  <c r="EI215" i="5" s="1"/>
  <c r="EJ215" i="5" a="1"/>
  <c r="EJ215" i="5" s="1"/>
  <c r="EK215" i="5" a="1"/>
  <c r="EK215" i="5" s="1"/>
  <c r="EL215" i="5" a="1"/>
  <c r="EL215" i="5" s="1"/>
  <c r="EM215" i="5" a="1"/>
  <c r="EM215" i="5" s="1"/>
  <c r="EN215" i="5" a="1"/>
  <c r="EN215" i="5" s="1"/>
  <c r="EO215" i="5" a="1"/>
  <c r="EO215" i="5" s="1"/>
  <c r="EP215" i="5" a="1"/>
  <c r="EP215" i="5" s="1"/>
  <c r="EQ215" i="5" a="1"/>
  <c r="EQ215" i="5" s="1"/>
  <c r="ER215" i="5" a="1"/>
  <c r="ER215" i="5" s="1"/>
  <c r="ES215" i="5" a="1"/>
  <c r="ES215" i="5" s="1"/>
  <c r="ET215" i="5" a="1"/>
  <c r="ET215" i="5" s="1"/>
  <c r="EU215" i="5" a="1"/>
  <c r="EU215" i="5" s="1"/>
  <c r="EV215" i="5" a="1"/>
  <c r="EV215" i="5" s="1"/>
  <c r="EW215" i="5" a="1"/>
  <c r="EW215" i="5" s="1"/>
  <c r="EX215" i="5" a="1"/>
  <c r="EX215" i="5" s="1"/>
  <c r="EY215" i="5" a="1"/>
  <c r="EY215" i="5" s="1"/>
  <c r="EZ215" i="5" a="1"/>
  <c r="EZ215" i="5" s="1"/>
  <c r="FA215" i="5" a="1"/>
  <c r="FA215" i="5" s="1"/>
  <c r="FB215" i="5" a="1"/>
  <c r="FB215" i="5" s="1"/>
  <c r="FC215" i="5" a="1"/>
  <c r="FC215" i="5" s="1"/>
  <c r="FD215" i="5" a="1"/>
  <c r="FD215" i="5" s="1"/>
  <c r="FE215" i="5" a="1"/>
  <c r="FE215" i="5" s="1"/>
  <c r="FF215" i="5" a="1"/>
  <c r="FF215" i="5" s="1"/>
  <c r="FG215" i="5" a="1"/>
  <c r="FG215" i="5" s="1"/>
  <c r="FH215" i="5" a="1"/>
  <c r="FH215" i="5" s="1"/>
  <c r="FI215" i="5" a="1"/>
  <c r="FI215" i="5" s="1"/>
  <c r="FJ215" i="5" a="1"/>
  <c r="FJ215" i="5" s="1"/>
  <c r="FK215" i="5" a="1"/>
  <c r="FK215" i="5" s="1"/>
  <c r="FL215" i="5" a="1"/>
  <c r="FL215" i="5" s="1"/>
  <c r="FM215" i="5" a="1"/>
  <c r="FM215" i="5" s="1"/>
  <c r="FN215" i="5" a="1"/>
  <c r="FN215" i="5" s="1"/>
  <c r="FO215" i="5" a="1"/>
  <c r="FO215" i="5" s="1"/>
  <c r="EI216" i="5" a="1"/>
  <c r="EI216" i="5" s="1"/>
  <c r="EJ216" i="5" a="1"/>
  <c r="EJ216" i="5" s="1"/>
  <c r="EK216" i="5" a="1"/>
  <c r="EK216" i="5" s="1"/>
  <c r="EL216" i="5" a="1"/>
  <c r="EL216" i="5" s="1"/>
  <c r="EM216" i="5" a="1"/>
  <c r="EM216" i="5" s="1"/>
  <c r="EN216" i="5" a="1"/>
  <c r="EN216" i="5" s="1"/>
  <c r="EO216" i="5" a="1"/>
  <c r="EO216" i="5" s="1"/>
  <c r="EP216" i="5" a="1"/>
  <c r="EP216" i="5" s="1"/>
  <c r="EQ216" i="5" a="1"/>
  <c r="EQ216" i="5" s="1"/>
  <c r="ER216" i="5" a="1"/>
  <c r="ER216" i="5" s="1"/>
  <c r="ES216" i="5" a="1"/>
  <c r="ES216" i="5" s="1"/>
  <c r="ET216" i="5" a="1"/>
  <c r="ET216" i="5" s="1"/>
  <c r="EU216" i="5" a="1"/>
  <c r="EU216" i="5" s="1"/>
  <c r="EV216" i="5" a="1"/>
  <c r="EV216" i="5" s="1"/>
  <c r="EW216" i="5" a="1"/>
  <c r="EW216" i="5" s="1"/>
  <c r="EX216" i="5" a="1"/>
  <c r="EX216" i="5" s="1"/>
  <c r="EY216" i="5" a="1"/>
  <c r="EY216" i="5" s="1"/>
  <c r="EZ216" i="5" a="1"/>
  <c r="EZ216" i="5" s="1"/>
  <c r="FA216" i="5" a="1"/>
  <c r="FA216" i="5" s="1"/>
  <c r="FB216" i="5" a="1"/>
  <c r="FB216" i="5" s="1"/>
  <c r="FC216" i="5" a="1"/>
  <c r="FC216" i="5" s="1"/>
  <c r="FD216" i="5" a="1"/>
  <c r="FD216" i="5" s="1"/>
  <c r="FE216" i="5" a="1"/>
  <c r="FE216" i="5" s="1"/>
  <c r="FF216" i="5" a="1"/>
  <c r="FF216" i="5" s="1"/>
  <c r="FG216" i="5" a="1"/>
  <c r="FG216" i="5" s="1"/>
  <c r="FH216" i="5" a="1"/>
  <c r="FH216" i="5" s="1"/>
  <c r="FI216" i="5" a="1"/>
  <c r="FI216" i="5" s="1"/>
  <c r="FJ216" i="5" a="1"/>
  <c r="FJ216" i="5" s="1"/>
  <c r="FK216" i="5" a="1"/>
  <c r="FK216" i="5" s="1"/>
  <c r="FL216" i="5" a="1"/>
  <c r="FL216" i="5" s="1"/>
  <c r="FM216" i="5" a="1"/>
  <c r="FM216" i="5" s="1"/>
  <c r="FN216" i="5" a="1"/>
  <c r="FN216" i="5" s="1"/>
  <c r="FO216" i="5" a="1"/>
  <c r="FO216" i="5" s="1"/>
  <c r="EI217" i="5" a="1"/>
  <c r="EI217" i="5" s="1"/>
  <c r="EJ217" i="5" a="1"/>
  <c r="EJ217" i="5" s="1"/>
  <c r="EK217" i="5" a="1"/>
  <c r="EK217" i="5" s="1"/>
  <c r="EL217" i="5" a="1"/>
  <c r="EL217" i="5" s="1"/>
  <c r="EM217" i="5" a="1"/>
  <c r="EM217" i="5" s="1"/>
  <c r="EN217" i="5" a="1"/>
  <c r="EN217" i="5" s="1"/>
  <c r="EO217" i="5" a="1"/>
  <c r="EO217" i="5" s="1"/>
  <c r="EP217" i="5" a="1"/>
  <c r="EP217" i="5" s="1"/>
  <c r="EQ217" i="5" a="1"/>
  <c r="EQ217" i="5" s="1"/>
  <c r="ER217" i="5" a="1"/>
  <c r="ER217" i="5" s="1"/>
  <c r="ES217" i="5" a="1"/>
  <c r="ES217" i="5" s="1"/>
  <c r="ET217" i="5" a="1"/>
  <c r="ET217" i="5" s="1"/>
  <c r="EU217" i="5" a="1"/>
  <c r="EU217" i="5" s="1"/>
  <c r="EV217" i="5" a="1"/>
  <c r="EV217" i="5" s="1"/>
  <c r="EW217" i="5" a="1"/>
  <c r="EW217" i="5" s="1"/>
  <c r="EX217" i="5" a="1"/>
  <c r="EX217" i="5" s="1"/>
  <c r="EY217" i="5" a="1"/>
  <c r="EY217" i="5" s="1"/>
  <c r="EZ217" i="5" a="1"/>
  <c r="EZ217" i="5" s="1"/>
  <c r="FA217" i="5" a="1"/>
  <c r="FA217" i="5" s="1"/>
  <c r="FB217" i="5" a="1"/>
  <c r="FB217" i="5" s="1"/>
  <c r="FC217" i="5" a="1"/>
  <c r="FC217" i="5" s="1"/>
  <c r="FD217" i="5" a="1"/>
  <c r="FD217" i="5" s="1"/>
  <c r="FE217" i="5" a="1"/>
  <c r="FE217" i="5" s="1"/>
  <c r="FF217" i="5" a="1"/>
  <c r="FF217" i="5" s="1"/>
  <c r="FG217" i="5" a="1"/>
  <c r="FG217" i="5" s="1"/>
  <c r="FH217" i="5" a="1"/>
  <c r="FH217" i="5" s="1"/>
  <c r="FI217" i="5" a="1"/>
  <c r="FI217" i="5" s="1"/>
  <c r="FJ217" i="5" a="1"/>
  <c r="FJ217" i="5" s="1"/>
  <c r="FK217" i="5" a="1"/>
  <c r="FK217" i="5" s="1"/>
  <c r="FL217" i="5" a="1"/>
  <c r="FL217" i="5" s="1"/>
  <c r="FM217" i="5" a="1"/>
  <c r="FM217" i="5" s="1"/>
  <c r="FN217" i="5" a="1"/>
  <c r="FN217" i="5" s="1"/>
  <c r="FO217" i="5" a="1"/>
  <c r="FO217" i="5" s="1"/>
  <c r="EI218" i="5" a="1"/>
  <c r="EI218" i="5" s="1"/>
  <c r="EJ218" i="5" a="1"/>
  <c r="EJ218" i="5" s="1"/>
  <c r="EK218" i="5" a="1"/>
  <c r="EK218" i="5" s="1"/>
  <c r="EL218" i="5" a="1"/>
  <c r="EL218" i="5" s="1"/>
  <c r="EM218" i="5" a="1"/>
  <c r="EM218" i="5" s="1"/>
  <c r="EN218" i="5" a="1"/>
  <c r="EN218" i="5" s="1"/>
  <c r="EO218" i="5" a="1"/>
  <c r="EO218" i="5" s="1"/>
  <c r="EP218" i="5" a="1"/>
  <c r="EP218" i="5" s="1"/>
  <c r="EQ218" i="5" a="1"/>
  <c r="EQ218" i="5" s="1"/>
  <c r="ER218" i="5" a="1"/>
  <c r="ER218" i="5" s="1"/>
  <c r="ES218" i="5" a="1"/>
  <c r="ES218" i="5" s="1"/>
  <c r="ET218" i="5" a="1"/>
  <c r="ET218" i="5" s="1"/>
  <c r="EU218" i="5" a="1"/>
  <c r="EU218" i="5" s="1"/>
  <c r="EV218" i="5" a="1"/>
  <c r="EV218" i="5" s="1"/>
  <c r="EW218" i="5" a="1"/>
  <c r="EW218" i="5" s="1"/>
  <c r="EX218" i="5" a="1"/>
  <c r="EX218" i="5" s="1"/>
  <c r="EY218" i="5" a="1"/>
  <c r="EY218" i="5" s="1"/>
  <c r="EZ218" i="5" a="1"/>
  <c r="EZ218" i="5" s="1"/>
  <c r="FA218" i="5" a="1"/>
  <c r="FA218" i="5" s="1"/>
  <c r="FB218" i="5" a="1"/>
  <c r="FB218" i="5" s="1"/>
  <c r="FC218" i="5" a="1"/>
  <c r="FC218" i="5" s="1"/>
  <c r="FD218" i="5" a="1"/>
  <c r="FD218" i="5" s="1"/>
  <c r="FE218" i="5" a="1"/>
  <c r="FE218" i="5" s="1"/>
  <c r="FF218" i="5" a="1"/>
  <c r="FF218" i="5" s="1"/>
  <c r="FG218" i="5" a="1"/>
  <c r="FG218" i="5" s="1"/>
  <c r="FH218" i="5" a="1"/>
  <c r="FH218" i="5" s="1"/>
  <c r="FI218" i="5" a="1"/>
  <c r="FI218" i="5" s="1"/>
  <c r="FJ218" i="5" a="1"/>
  <c r="FJ218" i="5" s="1"/>
  <c r="FK218" i="5" a="1"/>
  <c r="FK218" i="5" s="1"/>
  <c r="FL218" i="5" a="1"/>
  <c r="FL218" i="5" s="1"/>
  <c r="FM218" i="5" a="1"/>
  <c r="FM218" i="5" s="1"/>
  <c r="FN218" i="5" a="1"/>
  <c r="FN218" i="5" s="1"/>
  <c r="FO218" i="5" a="1"/>
  <c r="FO218" i="5" s="1"/>
  <c r="EI219" i="5" a="1"/>
  <c r="EI219" i="5" s="1"/>
  <c r="EJ219" i="5" a="1"/>
  <c r="EJ219" i="5" s="1"/>
  <c r="EK219" i="5" a="1"/>
  <c r="EK219" i="5" s="1"/>
  <c r="EL219" i="5" a="1"/>
  <c r="EL219" i="5" s="1"/>
  <c r="EM219" i="5" a="1"/>
  <c r="EM219" i="5" s="1"/>
  <c r="EN219" i="5" a="1"/>
  <c r="EN219" i="5" s="1"/>
  <c r="EO219" i="5" a="1"/>
  <c r="EO219" i="5" s="1"/>
  <c r="EP219" i="5" a="1"/>
  <c r="EP219" i="5" s="1"/>
  <c r="EQ219" i="5" a="1"/>
  <c r="EQ219" i="5" s="1"/>
  <c r="ER219" i="5" a="1"/>
  <c r="ER219" i="5" s="1"/>
  <c r="ES219" i="5" a="1"/>
  <c r="ES219" i="5" s="1"/>
  <c r="ET219" i="5" a="1"/>
  <c r="ET219" i="5" s="1"/>
  <c r="EU219" i="5" a="1"/>
  <c r="EU219" i="5" s="1"/>
  <c r="EV219" i="5" a="1"/>
  <c r="EV219" i="5" s="1"/>
  <c r="EW219" i="5" a="1"/>
  <c r="EW219" i="5" s="1"/>
  <c r="EX219" i="5" a="1"/>
  <c r="EX219" i="5" s="1"/>
  <c r="EY219" i="5" a="1"/>
  <c r="EY219" i="5" s="1"/>
  <c r="EZ219" i="5" a="1"/>
  <c r="EZ219" i="5" s="1"/>
  <c r="FA219" i="5" a="1"/>
  <c r="FA219" i="5" s="1"/>
  <c r="FB219" i="5" a="1"/>
  <c r="FB219" i="5" s="1"/>
  <c r="FC219" i="5" a="1"/>
  <c r="FC219" i="5" s="1"/>
  <c r="FD219" i="5" a="1"/>
  <c r="FD219" i="5" s="1"/>
  <c r="FE219" i="5" a="1"/>
  <c r="FE219" i="5" s="1"/>
  <c r="FF219" i="5" a="1"/>
  <c r="FF219" i="5" s="1"/>
  <c r="FG219" i="5" a="1"/>
  <c r="FG219" i="5" s="1"/>
  <c r="FH219" i="5" a="1"/>
  <c r="FH219" i="5" s="1"/>
  <c r="FI219" i="5" a="1"/>
  <c r="FI219" i="5" s="1"/>
  <c r="FJ219" i="5" a="1"/>
  <c r="FJ219" i="5" s="1"/>
  <c r="FK219" i="5" a="1"/>
  <c r="FK219" i="5" s="1"/>
  <c r="FL219" i="5" a="1"/>
  <c r="FL219" i="5" s="1"/>
  <c r="FM219" i="5" a="1"/>
  <c r="FM219" i="5" s="1"/>
  <c r="FN219" i="5" a="1"/>
  <c r="FN219" i="5" s="1"/>
  <c r="FO219" i="5" a="1"/>
  <c r="FO219" i="5" s="1"/>
  <c r="EI220" i="5" a="1"/>
  <c r="EI220" i="5" s="1"/>
  <c r="EJ220" i="5" a="1"/>
  <c r="EJ220" i="5" s="1"/>
  <c r="EK220" i="5" a="1"/>
  <c r="EK220" i="5" s="1"/>
  <c r="EL220" i="5" a="1"/>
  <c r="EL220" i="5" s="1"/>
  <c r="EM220" i="5" a="1"/>
  <c r="EM220" i="5" s="1"/>
  <c r="EN220" i="5" a="1"/>
  <c r="EN220" i="5" s="1"/>
  <c r="EO220" i="5" a="1"/>
  <c r="EO220" i="5" s="1"/>
  <c r="EP220" i="5" a="1"/>
  <c r="EP220" i="5" s="1"/>
  <c r="EQ220" i="5" a="1"/>
  <c r="EQ220" i="5" s="1"/>
  <c r="ER220" i="5" a="1"/>
  <c r="ER220" i="5" s="1"/>
  <c r="ES220" i="5" a="1"/>
  <c r="ES220" i="5" s="1"/>
  <c r="ET220" i="5" a="1"/>
  <c r="ET220" i="5" s="1"/>
  <c r="EU220" i="5" a="1"/>
  <c r="EU220" i="5" s="1"/>
  <c r="EV220" i="5" a="1"/>
  <c r="EV220" i="5" s="1"/>
  <c r="EW220" i="5" a="1"/>
  <c r="EW220" i="5" s="1"/>
  <c r="EX220" i="5" a="1"/>
  <c r="EX220" i="5" s="1"/>
  <c r="EY220" i="5" a="1"/>
  <c r="EY220" i="5" s="1"/>
  <c r="EZ220" i="5" a="1"/>
  <c r="EZ220" i="5" s="1"/>
  <c r="FA220" i="5" a="1"/>
  <c r="FA220" i="5" s="1"/>
  <c r="FB220" i="5" a="1"/>
  <c r="FB220" i="5" s="1"/>
  <c r="FC220" i="5" a="1"/>
  <c r="FC220" i="5" s="1"/>
  <c r="FD220" i="5" a="1"/>
  <c r="FD220" i="5" s="1"/>
  <c r="FE220" i="5" a="1"/>
  <c r="FE220" i="5" s="1"/>
  <c r="FF220" i="5" a="1"/>
  <c r="FF220" i="5" s="1"/>
  <c r="FG220" i="5" a="1"/>
  <c r="FG220" i="5" s="1"/>
  <c r="FH220" i="5" a="1"/>
  <c r="FH220" i="5" s="1"/>
  <c r="FI220" i="5" a="1"/>
  <c r="FI220" i="5" s="1"/>
  <c r="FJ220" i="5" a="1"/>
  <c r="FJ220" i="5" s="1"/>
  <c r="FK220" i="5" a="1"/>
  <c r="FK220" i="5" s="1"/>
  <c r="FL220" i="5" a="1"/>
  <c r="FL220" i="5" s="1"/>
  <c r="FM220" i="5" a="1"/>
  <c r="FM220" i="5" s="1"/>
  <c r="FN220" i="5" a="1"/>
  <c r="FN220" i="5" s="1"/>
  <c r="FO220" i="5" a="1"/>
  <c r="FO220" i="5" s="1"/>
  <c r="EI221" i="5" a="1"/>
  <c r="EI221" i="5" s="1"/>
  <c r="EJ221" i="5" a="1"/>
  <c r="EJ221" i="5" s="1"/>
  <c r="EK221" i="5" a="1"/>
  <c r="EK221" i="5" s="1"/>
  <c r="EL221" i="5" a="1"/>
  <c r="EL221" i="5" s="1"/>
  <c r="EM221" i="5" a="1"/>
  <c r="EM221" i="5" s="1"/>
  <c r="EN221" i="5" a="1"/>
  <c r="EN221" i="5" s="1"/>
  <c r="EO221" i="5" a="1"/>
  <c r="EO221" i="5" s="1"/>
  <c r="EP221" i="5" a="1"/>
  <c r="EP221" i="5" s="1"/>
  <c r="EQ221" i="5" a="1"/>
  <c r="EQ221" i="5" s="1"/>
  <c r="ER221" i="5" a="1"/>
  <c r="ER221" i="5" s="1"/>
  <c r="ES221" i="5" a="1"/>
  <c r="ES221" i="5" s="1"/>
  <c r="ET221" i="5" a="1"/>
  <c r="ET221" i="5" s="1"/>
  <c r="EU221" i="5" a="1"/>
  <c r="EU221" i="5" s="1"/>
  <c r="EV221" i="5" a="1"/>
  <c r="EV221" i="5" s="1"/>
  <c r="EW221" i="5" a="1"/>
  <c r="EW221" i="5" s="1"/>
  <c r="EX221" i="5" a="1"/>
  <c r="EX221" i="5" s="1"/>
  <c r="EY221" i="5" a="1"/>
  <c r="EY221" i="5" s="1"/>
  <c r="EZ221" i="5" a="1"/>
  <c r="EZ221" i="5" s="1"/>
  <c r="FA221" i="5" a="1"/>
  <c r="FA221" i="5" s="1"/>
  <c r="FB221" i="5" a="1"/>
  <c r="FB221" i="5" s="1"/>
  <c r="FC221" i="5" a="1"/>
  <c r="FC221" i="5" s="1"/>
  <c r="FD221" i="5" a="1"/>
  <c r="FD221" i="5" s="1"/>
  <c r="FE221" i="5" a="1"/>
  <c r="FE221" i="5" s="1"/>
  <c r="FF221" i="5" a="1"/>
  <c r="FF221" i="5" s="1"/>
  <c r="FG221" i="5" a="1"/>
  <c r="FG221" i="5" s="1"/>
  <c r="FH221" i="5" a="1"/>
  <c r="FH221" i="5" s="1"/>
  <c r="FI221" i="5" a="1"/>
  <c r="FI221" i="5" s="1"/>
  <c r="FJ221" i="5" a="1"/>
  <c r="FJ221" i="5" s="1"/>
  <c r="FK221" i="5" a="1"/>
  <c r="FK221" i="5" s="1"/>
  <c r="FL221" i="5" a="1"/>
  <c r="FL221" i="5" s="1"/>
  <c r="FM221" i="5" a="1"/>
  <c r="FM221" i="5" s="1"/>
  <c r="FN221" i="5" a="1"/>
  <c r="FN221" i="5" s="1"/>
  <c r="FO221" i="5" a="1"/>
  <c r="FO221" i="5" s="1"/>
  <c r="EI222" i="5" a="1"/>
  <c r="EI222" i="5" s="1"/>
  <c r="EJ222" i="5" a="1"/>
  <c r="EJ222" i="5" s="1"/>
  <c r="EK222" i="5" a="1"/>
  <c r="EK222" i="5" s="1"/>
  <c r="EL222" i="5" a="1"/>
  <c r="EL222" i="5" s="1"/>
  <c r="EM222" i="5" a="1"/>
  <c r="EM222" i="5" s="1"/>
  <c r="EN222" i="5" a="1"/>
  <c r="EN222" i="5" s="1"/>
  <c r="EO222" i="5" a="1"/>
  <c r="EO222" i="5" s="1"/>
  <c r="EP222" i="5" a="1"/>
  <c r="EP222" i="5" s="1"/>
  <c r="EQ222" i="5" a="1"/>
  <c r="EQ222" i="5" s="1"/>
  <c r="ER222" i="5" a="1"/>
  <c r="ER222" i="5" s="1"/>
  <c r="ES222" i="5" a="1"/>
  <c r="ES222" i="5" s="1"/>
  <c r="ET222" i="5" a="1"/>
  <c r="ET222" i="5" s="1"/>
  <c r="EU222" i="5" a="1"/>
  <c r="EU222" i="5" s="1"/>
  <c r="EV222" i="5" a="1"/>
  <c r="EV222" i="5" s="1"/>
  <c r="EW222" i="5" a="1"/>
  <c r="EW222" i="5" s="1"/>
  <c r="EX222" i="5" a="1"/>
  <c r="EX222" i="5" s="1"/>
  <c r="EY222" i="5" a="1"/>
  <c r="EY222" i="5" s="1"/>
  <c r="EZ222" i="5" a="1"/>
  <c r="EZ222" i="5" s="1"/>
  <c r="FA222" i="5" a="1"/>
  <c r="FA222" i="5" s="1"/>
  <c r="FB222" i="5" a="1"/>
  <c r="FB222" i="5" s="1"/>
  <c r="FC222" i="5" a="1"/>
  <c r="FC222" i="5" s="1"/>
  <c r="FD222" i="5" a="1"/>
  <c r="FD222" i="5" s="1"/>
  <c r="FE222" i="5" a="1"/>
  <c r="FE222" i="5" s="1"/>
  <c r="FF222" i="5" a="1"/>
  <c r="FF222" i="5" s="1"/>
  <c r="FG222" i="5" a="1"/>
  <c r="FG222" i="5" s="1"/>
  <c r="FH222" i="5" a="1"/>
  <c r="FH222" i="5" s="1"/>
  <c r="FI222" i="5" a="1"/>
  <c r="FI222" i="5" s="1"/>
  <c r="FJ222" i="5" a="1"/>
  <c r="FJ222" i="5" s="1"/>
  <c r="FK222" i="5" a="1"/>
  <c r="FK222" i="5" s="1"/>
  <c r="FL222" i="5" a="1"/>
  <c r="FL222" i="5" s="1"/>
  <c r="FM222" i="5" a="1"/>
  <c r="FM222" i="5" s="1"/>
  <c r="FN222" i="5" a="1"/>
  <c r="FN222" i="5" s="1"/>
  <c r="FO222" i="5" a="1"/>
  <c r="FO222" i="5" s="1"/>
  <c r="EI223" i="5" a="1"/>
  <c r="EI223" i="5" s="1"/>
  <c r="EJ223" i="5" a="1"/>
  <c r="EJ223" i="5" s="1"/>
  <c r="EK223" i="5" a="1"/>
  <c r="EK223" i="5" s="1"/>
  <c r="EL223" i="5" a="1"/>
  <c r="EL223" i="5" s="1"/>
  <c r="EM223" i="5" a="1"/>
  <c r="EM223" i="5" s="1"/>
  <c r="EN223" i="5" a="1"/>
  <c r="EN223" i="5" s="1"/>
  <c r="EO223" i="5" a="1"/>
  <c r="EO223" i="5" s="1"/>
  <c r="EP223" i="5" a="1"/>
  <c r="EP223" i="5" s="1"/>
  <c r="EQ223" i="5" a="1"/>
  <c r="EQ223" i="5" s="1"/>
  <c r="ER223" i="5" a="1"/>
  <c r="ER223" i="5" s="1"/>
  <c r="ES223" i="5" a="1"/>
  <c r="ES223" i="5" s="1"/>
  <c r="ET223" i="5" a="1"/>
  <c r="ET223" i="5" s="1"/>
  <c r="EU223" i="5" a="1"/>
  <c r="EU223" i="5" s="1"/>
  <c r="EV223" i="5" a="1"/>
  <c r="EV223" i="5" s="1"/>
  <c r="EW223" i="5" a="1"/>
  <c r="EW223" i="5" s="1"/>
  <c r="EX223" i="5" a="1"/>
  <c r="EX223" i="5" s="1"/>
  <c r="EY223" i="5" a="1"/>
  <c r="EY223" i="5" s="1"/>
  <c r="EZ223" i="5" a="1"/>
  <c r="EZ223" i="5" s="1"/>
  <c r="FA223" i="5" a="1"/>
  <c r="FA223" i="5" s="1"/>
  <c r="FB223" i="5" a="1"/>
  <c r="FB223" i="5" s="1"/>
  <c r="FC223" i="5" a="1"/>
  <c r="FC223" i="5" s="1"/>
  <c r="FD223" i="5" a="1"/>
  <c r="FD223" i="5" s="1"/>
  <c r="FE223" i="5" a="1"/>
  <c r="FE223" i="5" s="1"/>
  <c r="FF223" i="5" a="1"/>
  <c r="FF223" i="5" s="1"/>
  <c r="FG223" i="5" a="1"/>
  <c r="FG223" i="5" s="1"/>
  <c r="FH223" i="5" a="1"/>
  <c r="FH223" i="5" s="1"/>
  <c r="FI223" i="5" a="1"/>
  <c r="FI223" i="5" s="1"/>
  <c r="FJ223" i="5" a="1"/>
  <c r="FJ223" i="5" s="1"/>
  <c r="FK223" i="5" a="1"/>
  <c r="FK223" i="5" s="1"/>
  <c r="FL223" i="5" a="1"/>
  <c r="FL223" i="5" s="1"/>
  <c r="FM223" i="5" a="1"/>
  <c r="FM223" i="5" s="1"/>
  <c r="FN223" i="5" a="1"/>
  <c r="FN223" i="5" s="1"/>
  <c r="FO223" i="5" a="1"/>
  <c r="FO223" i="5" s="1"/>
  <c r="EI224" i="5" a="1"/>
  <c r="EI224" i="5" s="1"/>
  <c r="EJ224" i="5" a="1"/>
  <c r="EJ224" i="5" s="1"/>
  <c r="EK224" i="5" a="1"/>
  <c r="EK224" i="5" s="1"/>
  <c r="EL224" i="5" a="1"/>
  <c r="EL224" i="5" s="1"/>
  <c r="EM224" i="5" a="1"/>
  <c r="EM224" i="5" s="1"/>
  <c r="EN224" i="5" a="1"/>
  <c r="EN224" i="5" s="1"/>
  <c r="EO224" i="5" a="1"/>
  <c r="EO224" i="5" s="1"/>
  <c r="EP224" i="5" a="1"/>
  <c r="EP224" i="5" s="1"/>
  <c r="EQ224" i="5" a="1"/>
  <c r="EQ224" i="5" s="1"/>
  <c r="ER224" i="5" a="1"/>
  <c r="ER224" i="5" s="1"/>
  <c r="ES224" i="5" a="1"/>
  <c r="ES224" i="5" s="1"/>
  <c r="ET224" i="5" a="1"/>
  <c r="ET224" i="5" s="1"/>
  <c r="EU224" i="5" a="1"/>
  <c r="EU224" i="5" s="1"/>
  <c r="EV224" i="5" a="1"/>
  <c r="EV224" i="5" s="1"/>
  <c r="EW224" i="5" a="1"/>
  <c r="EW224" i="5" s="1"/>
  <c r="EX224" i="5" a="1"/>
  <c r="EX224" i="5" s="1"/>
  <c r="EY224" i="5" a="1"/>
  <c r="EY224" i="5" s="1"/>
  <c r="EZ224" i="5" a="1"/>
  <c r="EZ224" i="5" s="1"/>
  <c r="FA224" i="5" a="1"/>
  <c r="FA224" i="5" s="1"/>
  <c r="FB224" i="5" a="1"/>
  <c r="FB224" i="5" s="1"/>
  <c r="FC224" i="5" a="1"/>
  <c r="FC224" i="5" s="1"/>
  <c r="FD224" i="5" a="1"/>
  <c r="FD224" i="5" s="1"/>
  <c r="FE224" i="5" a="1"/>
  <c r="FE224" i="5" s="1"/>
  <c r="FF224" i="5" a="1"/>
  <c r="FF224" i="5" s="1"/>
  <c r="FG224" i="5" a="1"/>
  <c r="FG224" i="5" s="1"/>
  <c r="FH224" i="5" a="1"/>
  <c r="FH224" i="5" s="1"/>
  <c r="FI224" i="5" a="1"/>
  <c r="FI224" i="5" s="1"/>
  <c r="FJ224" i="5" a="1"/>
  <c r="FJ224" i="5" s="1"/>
  <c r="FK224" i="5" a="1"/>
  <c r="FK224" i="5" s="1"/>
  <c r="FL224" i="5" a="1"/>
  <c r="FL224" i="5" s="1"/>
  <c r="FM224" i="5" a="1"/>
  <c r="FM224" i="5" s="1"/>
  <c r="FN224" i="5" a="1"/>
  <c r="FN224" i="5" s="1"/>
  <c r="FO224" i="5" a="1"/>
  <c r="FO224" i="5" s="1"/>
  <c r="EI225" i="5" a="1"/>
  <c r="EI225" i="5" s="1"/>
  <c r="EJ225" i="5" a="1"/>
  <c r="EJ225" i="5" s="1"/>
  <c r="EK225" i="5" a="1"/>
  <c r="EK225" i="5" s="1"/>
  <c r="EL225" i="5" a="1"/>
  <c r="EL225" i="5" s="1"/>
  <c r="EM225" i="5" a="1"/>
  <c r="EM225" i="5" s="1"/>
  <c r="EN225" i="5" a="1"/>
  <c r="EN225" i="5" s="1"/>
  <c r="EO225" i="5" a="1"/>
  <c r="EO225" i="5" s="1"/>
  <c r="EP225" i="5" a="1"/>
  <c r="EP225" i="5" s="1"/>
  <c r="EQ225" i="5" a="1"/>
  <c r="EQ225" i="5" s="1"/>
  <c r="ER225" i="5" a="1"/>
  <c r="ER225" i="5" s="1"/>
  <c r="ES225" i="5" a="1"/>
  <c r="ES225" i="5" s="1"/>
  <c r="ET225" i="5" a="1"/>
  <c r="ET225" i="5" s="1"/>
  <c r="EU225" i="5" a="1"/>
  <c r="EU225" i="5" s="1"/>
  <c r="EV225" i="5" a="1"/>
  <c r="EV225" i="5" s="1"/>
  <c r="EW225" i="5" a="1"/>
  <c r="EW225" i="5" s="1"/>
  <c r="EX225" i="5" a="1"/>
  <c r="EX225" i="5" s="1"/>
  <c r="EY225" i="5" a="1"/>
  <c r="EY225" i="5" s="1"/>
  <c r="EZ225" i="5" a="1"/>
  <c r="EZ225" i="5" s="1"/>
  <c r="FA225" i="5" a="1"/>
  <c r="FA225" i="5" s="1"/>
  <c r="FB225" i="5" a="1"/>
  <c r="FB225" i="5" s="1"/>
  <c r="FC225" i="5" a="1"/>
  <c r="FC225" i="5" s="1"/>
  <c r="FD225" i="5" a="1"/>
  <c r="FD225" i="5" s="1"/>
  <c r="FE225" i="5" a="1"/>
  <c r="FE225" i="5" s="1"/>
  <c r="FF225" i="5" a="1"/>
  <c r="FF225" i="5" s="1"/>
  <c r="FG225" i="5" a="1"/>
  <c r="FG225" i="5" s="1"/>
  <c r="FH225" i="5" a="1"/>
  <c r="FH225" i="5" s="1"/>
  <c r="FI225" i="5" a="1"/>
  <c r="FI225" i="5" s="1"/>
  <c r="FJ225" i="5" a="1"/>
  <c r="FJ225" i="5" s="1"/>
  <c r="FK225" i="5" a="1"/>
  <c r="FK225" i="5" s="1"/>
  <c r="FL225" i="5" a="1"/>
  <c r="FL225" i="5" s="1"/>
  <c r="FM225" i="5" a="1"/>
  <c r="FM225" i="5" s="1"/>
  <c r="FN225" i="5" a="1"/>
  <c r="FN225" i="5" s="1"/>
  <c r="FO225" i="5" a="1"/>
  <c r="FO225" i="5" s="1"/>
  <c r="EI226" i="5" a="1"/>
  <c r="EI226" i="5" s="1"/>
  <c r="EJ226" i="5" a="1"/>
  <c r="EJ226" i="5" s="1"/>
  <c r="EK226" i="5" a="1"/>
  <c r="EK226" i="5" s="1"/>
  <c r="EL226" i="5" a="1"/>
  <c r="EL226" i="5" s="1"/>
  <c r="EM226" i="5" a="1"/>
  <c r="EM226" i="5" s="1"/>
  <c r="EN226" i="5" a="1"/>
  <c r="EN226" i="5" s="1"/>
  <c r="EO226" i="5" a="1"/>
  <c r="EO226" i="5" s="1"/>
  <c r="EP226" i="5" a="1"/>
  <c r="EP226" i="5" s="1"/>
  <c r="EQ226" i="5" a="1"/>
  <c r="EQ226" i="5" s="1"/>
  <c r="ER226" i="5" a="1"/>
  <c r="ER226" i="5" s="1"/>
  <c r="ES226" i="5" a="1"/>
  <c r="ES226" i="5" s="1"/>
  <c r="ET226" i="5" a="1"/>
  <c r="ET226" i="5" s="1"/>
  <c r="EU226" i="5" a="1"/>
  <c r="EU226" i="5" s="1"/>
  <c r="EV226" i="5" a="1"/>
  <c r="EV226" i="5" s="1"/>
  <c r="EW226" i="5" a="1"/>
  <c r="EW226" i="5" s="1"/>
  <c r="EX226" i="5" a="1"/>
  <c r="EX226" i="5" s="1"/>
  <c r="EY226" i="5" a="1"/>
  <c r="EY226" i="5" s="1"/>
  <c r="EZ226" i="5" a="1"/>
  <c r="EZ226" i="5" s="1"/>
  <c r="FA226" i="5" a="1"/>
  <c r="FA226" i="5" s="1"/>
  <c r="FB226" i="5" a="1"/>
  <c r="FB226" i="5" s="1"/>
  <c r="FC226" i="5" a="1"/>
  <c r="FC226" i="5" s="1"/>
  <c r="FD226" i="5" a="1"/>
  <c r="FD226" i="5" s="1"/>
  <c r="FE226" i="5" a="1"/>
  <c r="FE226" i="5" s="1"/>
  <c r="FF226" i="5" a="1"/>
  <c r="FF226" i="5" s="1"/>
  <c r="FG226" i="5" a="1"/>
  <c r="FG226" i="5" s="1"/>
  <c r="FH226" i="5" a="1"/>
  <c r="FH226" i="5" s="1"/>
  <c r="FI226" i="5" a="1"/>
  <c r="FI226" i="5" s="1"/>
  <c r="FJ226" i="5" a="1"/>
  <c r="FJ226" i="5" s="1"/>
  <c r="FK226" i="5" a="1"/>
  <c r="FK226" i="5" s="1"/>
  <c r="FL226" i="5" a="1"/>
  <c r="FL226" i="5" s="1"/>
  <c r="FM226" i="5" a="1"/>
  <c r="FM226" i="5" s="1"/>
  <c r="FN226" i="5" a="1"/>
  <c r="FN226" i="5" s="1"/>
  <c r="FO226" i="5" a="1"/>
  <c r="FO226" i="5" s="1"/>
  <c r="EI227" i="5" a="1"/>
  <c r="EI227" i="5" s="1"/>
  <c r="EJ227" i="5" a="1"/>
  <c r="EJ227" i="5" s="1"/>
  <c r="EK227" i="5" a="1"/>
  <c r="EK227" i="5" s="1"/>
  <c r="EL227" i="5" a="1"/>
  <c r="EL227" i="5" s="1"/>
  <c r="EM227" i="5" a="1"/>
  <c r="EM227" i="5" s="1"/>
  <c r="EN227" i="5" a="1"/>
  <c r="EN227" i="5" s="1"/>
  <c r="EO227" i="5" a="1"/>
  <c r="EO227" i="5" s="1"/>
  <c r="EP227" i="5" a="1"/>
  <c r="EP227" i="5" s="1"/>
  <c r="EQ227" i="5" a="1"/>
  <c r="EQ227" i="5" s="1"/>
  <c r="ER227" i="5" a="1"/>
  <c r="ER227" i="5" s="1"/>
  <c r="ES227" i="5" a="1"/>
  <c r="ES227" i="5" s="1"/>
  <c r="ET227" i="5" a="1"/>
  <c r="ET227" i="5" s="1"/>
  <c r="EU227" i="5" a="1"/>
  <c r="EU227" i="5" s="1"/>
  <c r="EV227" i="5" a="1"/>
  <c r="EV227" i="5" s="1"/>
  <c r="EW227" i="5" a="1"/>
  <c r="EW227" i="5" s="1"/>
  <c r="EX227" i="5" a="1"/>
  <c r="EX227" i="5" s="1"/>
  <c r="EY227" i="5" a="1"/>
  <c r="EY227" i="5" s="1"/>
  <c r="EZ227" i="5" a="1"/>
  <c r="EZ227" i="5" s="1"/>
  <c r="FA227" i="5" a="1"/>
  <c r="FA227" i="5" s="1"/>
  <c r="FB227" i="5" a="1"/>
  <c r="FB227" i="5" s="1"/>
  <c r="FC227" i="5" a="1"/>
  <c r="FC227" i="5" s="1"/>
  <c r="FD227" i="5" a="1"/>
  <c r="FD227" i="5" s="1"/>
  <c r="FE227" i="5" a="1"/>
  <c r="FE227" i="5" s="1"/>
  <c r="FF227" i="5" a="1"/>
  <c r="FF227" i="5" s="1"/>
  <c r="FG227" i="5" a="1"/>
  <c r="FG227" i="5" s="1"/>
  <c r="FH227" i="5" a="1"/>
  <c r="FH227" i="5" s="1"/>
  <c r="FI227" i="5" a="1"/>
  <c r="FI227" i="5" s="1"/>
  <c r="FJ227" i="5" a="1"/>
  <c r="FJ227" i="5" s="1"/>
  <c r="FK227" i="5" a="1"/>
  <c r="FK227" i="5" s="1"/>
  <c r="FL227" i="5" a="1"/>
  <c r="FL227" i="5" s="1"/>
  <c r="FM227" i="5" a="1"/>
  <c r="FM227" i="5" s="1"/>
  <c r="FN227" i="5" a="1"/>
  <c r="FN227" i="5" s="1"/>
  <c r="FO227" i="5" a="1"/>
  <c r="FO227" i="5" s="1"/>
  <c r="EI228" i="5" a="1"/>
  <c r="EI228" i="5" s="1"/>
  <c r="EJ228" i="5" a="1"/>
  <c r="EJ228" i="5" s="1"/>
  <c r="EK228" i="5" a="1"/>
  <c r="EK228" i="5" s="1"/>
  <c r="EL228" i="5" a="1"/>
  <c r="EL228" i="5" s="1"/>
  <c r="EM228" i="5" a="1"/>
  <c r="EM228" i="5" s="1"/>
  <c r="EN228" i="5" a="1"/>
  <c r="EN228" i="5" s="1"/>
  <c r="EO228" i="5" a="1"/>
  <c r="EO228" i="5" s="1"/>
  <c r="EP228" i="5" a="1"/>
  <c r="EP228" i="5" s="1"/>
  <c r="EQ228" i="5" a="1"/>
  <c r="EQ228" i="5" s="1"/>
  <c r="ER228" i="5" a="1"/>
  <c r="ER228" i="5" s="1"/>
  <c r="ES228" i="5" a="1"/>
  <c r="ES228" i="5" s="1"/>
  <c r="ET228" i="5" a="1"/>
  <c r="ET228" i="5" s="1"/>
  <c r="EU228" i="5" a="1"/>
  <c r="EU228" i="5" s="1"/>
  <c r="EV228" i="5" a="1"/>
  <c r="EV228" i="5" s="1"/>
  <c r="EW228" i="5" a="1"/>
  <c r="EW228" i="5" s="1"/>
  <c r="EX228" i="5" a="1"/>
  <c r="EX228" i="5" s="1"/>
  <c r="EY228" i="5" a="1"/>
  <c r="EY228" i="5" s="1"/>
  <c r="EZ228" i="5" a="1"/>
  <c r="EZ228" i="5" s="1"/>
  <c r="FA228" i="5" a="1"/>
  <c r="FA228" i="5" s="1"/>
  <c r="FB228" i="5" a="1"/>
  <c r="FB228" i="5" s="1"/>
  <c r="FC228" i="5" a="1"/>
  <c r="FC228" i="5" s="1"/>
  <c r="FD228" i="5" a="1"/>
  <c r="FD228" i="5" s="1"/>
  <c r="FE228" i="5" a="1"/>
  <c r="FE228" i="5" s="1"/>
  <c r="FF228" i="5" a="1"/>
  <c r="FF228" i="5" s="1"/>
  <c r="FG228" i="5" a="1"/>
  <c r="FG228" i="5" s="1"/>
  <c r="FH228" i="5" a="1"/>
  <c r="FH228" i="5" s="1"/>
  <c r="FI228" i="5" a="1"/>
  <c r="FI228" i="5" s="1"/>
  <c r="FJ228" i="5" a="1"/>
  <c r="FJ228" i="5" s="1"/>
  <c r="FK228" i="5" a="1"/>
  <c r="FK228" i="5" s="1"/>
  <c r="FL228" i="5" a="1"/>
  <c r="FL228" i="5" s="1"/>
  <c r="FM228" i="5" a="1"/>
  <c r="FM228" i="5" s="1"/>
  <c r="FN228" i="5" a="1"/>
  <c r="FN228" i="5" s="1"/>
  <c r="FO228" i="5" a="1"/>
  <c r="FO228" i="5" s="1"/>
  <c r="EI229" i="5" a="1"/>
  <c r="EI229" i="5" s="1"/>
  <c r="EJ229" i="5" a="1"/>
  <c r="EJ229" i="5" s="1"/>
  <c r="EK229" i="5" a="1"/>
  <c r="EK229" i="5" s="1"/>
  <c r="EL229" i="5" a="1"/>
  <c r="EL229" i="5" s="1"/>
  <c r="EM229" i="5" a="1"/>
  <c r="EM229" i="5" s="1"/>
  <c r="EN229" i="5" a="1"/>
  <c r="EN229" i="5" s="1"/>
  <c r="EO229" i="5" a="1"/>
  <c r="EO229" i="5" s="1"/>
  <c r="EP229" i="5" a="1"/>
  <c r="EP229" i="5" s="1"/>
  <c r="EQ229" i="5" a="1"/>
  <c r="EQ229" i="5" s="1"/>
  <c r="ER229" i="5" a="1"/>
  <c r="ER229" i="5" s="1"/>
  <c r="ES229" i="5" a="1"/>
  <c r="ES229" i="5" s="1"/>
  <c r="ET229" i="5" a="1"/>
  <c r="ET229" i="5" s="1"/>
  <c r="EU229" i="5" a="1"/>
  <c r="EU229" i="5" s="1"/>
  <c r="EV229" i="5" a="1"/>
  <c r="EV229" i="5" s="1"/>
  <c r="EW229" i="5" a="1"/>
  <c r="EW229" i="5" s="1"/>
  <c r="EX229" i="5" a="1"/>
  <c r="EX229" i="5" s="1"/>
  <c r="EY229" i="5" a="1"/>
  <c r="EY229" i="5" s="1"/>
  <c r="EZ229" i="5" a="1"/>
  <c r="EZ229" i="5" s="1"/>
  <c r="FA229" i="5" a="1"/>
  <c r="FA229" i="5" s="1"/>
  <c r="FB229" i="5" a="1"/>
  <c r="FB229" i="5" s="1"/>
  <c r="FC229" i="5" a="1"/>
  <c r="FC229" i="5" s="1"/>
  <c r="FD229" i="5" a="1"/>
  <c r="FD229" i="5" s="1"/>
  <c r="FE229" i="5" a="1"/>
  <c r="FE229" i="5" s="1"/>
  <c r="FF229" i="5" a="1"/>
  <c r="FF229" i="5" s="1"/>
  <c r="FG229" i="5" a="1"/>
  <c r="FG229" i="5" s="1"/>
  <c r="FH229" i="5" a="1"/>
  <c r="FH229" i="5" s="1"/>
  <c r="FI229" i="5" a="1"/>
  <c r="FI229" i="5" s="1"/>
  <c r="FJ229" i="5" a="1"/>
  <c r="FJ229" i="5" s="1"/>
  <c r="FK229" i="5" a="1"/>
  <c r="FK229" i="5" s="1"/>
  <c r="FL229" i="5" a="1"/>
  <c r="FL229" i="5" s="1"/>
  <c r="FM229" i="5" a="1"/>
  <c r="FM229" i="5" s="1"/>
  <c r="FN229" i="5" a="1"/>
  <c r="FN229" i="5" s="1"/>
  <c r="FO229" i="5" a="1"/>
  <c r="FO229" i="5" s="1"/>
  <c r="EI230" i="5" a="1"/>
  <c r="EI230" i="5" s="1"/>
  <c r="EJ230" i="5" a="1"/>
  <c r="EJ230" i="5" s="1"/>
  <c r="EK230" i="5" a="1"/>
  <c r="EK230" i="5" s="1"/>
  <c r="EL230" i="5" a="1"/>
  <c r="EL230" i="5" s="1"/>
  <c r="EM230" i="5" a="1"/>
  <c r="EM230" i="5" s="1"/>
  <c r="EN230" i="5" a="1"/>
  <c r="EN230" i="5" s="1"/>
  <c r="EO230" i="5" a="1"/>
  <c r="EO230" i="5" s="1"/>
  <c r="EP230" i="5" a="1"/>
  <c r="EP230" i="5" s="1"/>
  <c r="EQ230" i="5" a="1"/>
  <c r="EQ230" i="5" s="1"/>
  <c r="ER230" i="5" a="1"/>
  <c r="ER230" i="5" s="1"/>
  <c r="ES230" i="5" a="1"/>
  <c r="ES230" i="5" s="1"/>
  <c r="ET230" i="5" a="1"/>
  <c r="ET230" i="5" s="1"/>
  <c r="EU230" i="5" a="1"/>
  <c r="EU230" i="5" s="1"/>
  <c r="EV230" i="5" a="1"/>
  <c r="EV230" i="5" s="1"/>
  <c r="EW230" i="5" a="1"/>
  <c r="EW230" i="5" s="1"/>
  <c r="EX230" i="5" a="1"/>
  <c r="EX230" i="5" s="1"/>
  <c r="EY230" i="5" a="1"/>
  <c r="EY230" i="5" s="1"/>
  <c r="EZ230" i="5" a="1"/>
  <c r="EZ230" i="5" s="1"/>
  <c r="FA230" i="5" a="1"/>
  <c r="FA230" i="5" s="1"/>
  <c r="FB230" i="5" a="1"/>
  <c r="FB230" i="5" s="1"/>
  <c r="FC230" i="5" a="1"/>
  <c r="FC230" i="5" s="1"/>
  <c r="FD230" i="5" a="1"/>
  <c r="FD230" i="5" s="1"/>
  <c r="FE230" i="5" a="1"/>
  <c r="FE230" i="5" s="1"/>
  <c r="FF230" i="5" a="1"/>
  <c r="FF230" i="5" s="1"/>
  <c r="FG230" i="5" a="1"/>
  <c r="FG230" i="5" s="1"/>
  <c r="FH230" i="5" a="1"/>
  <c r="FH230" i="5" s="1"/>
  <c r="FI230" i="5" a="1"/>
  <c r="FI230" i="5" s="1"/>
  <c r="FJ230" i="5" a="1"/>
  <c r="FJ230" i="5" s="1"/>
  <c r="FK230" i="5" a="1"/>
  <c r="FK230" i="5" s="1"/>
  <c r="FL230" i="5" a="1"/>
  <c r="FL230" i="5" s="1"/>
  <c r="FM230" i="5" a="1"/>
  <c r="FM230" i="5" s="1"/>
  <c r="FN230" i="5" a="1"/>
  <c r="FN230" i="5" s="1"/>
  <c r="FO230" i="5" a="1"/>
  <c r="FO230" i="5" s="1"/>
  <c r="EI231" i="5" a="1"/>
  <c r="EI231" i="5" s="1"/>
  <c r="EJ231" i="5" a="1"/>
  <c r="EJ231" i="5" s="1"/>
  <c r="EK231" i="5" a="1"/>
  <c r="EK231" i="5" s="1"/>
  <c r="EL231" i="5" a="1"/>
  <c r="EL231" i="5" s="1"/>
  <c r="EM231" i="5" a="1"/>
  <c r="EM231" i="5" s="1"/>
  <c r="EN231" i="5" a="1"/>
  <c r="EN231" i="5" s="1"/>
  <c r="EO231" i="5" a="1"/>
  <c r="EO231" i="5" s="1"/>
  <c r="EP231" i="5" a="1"/>
  <c r="EP231" i="5" s="1"/>
  <c r="EQ231" i="5" a="1"/>
  <c r="EQ231" i="5" s="1"/>
  <c r="ER231" i="5" a="1"/>
  <c r="ER231" i="5" s="1"/>
  <c r="ES231" i="5" a="1"/>
  <c r="ES231" i="5" s="1"/>
  <c r="ET231" i="5" a="1"/>
  <c r="ET231" i="5" s="1"/>
  <c r="EU231" i="5" a="1"/>
  <c r="EU231" i="5" s="1"/>
  <c r="EV231" i="5" a="1"/>
  <c r="EV231" i="5" s="1"/>
  <c r="EW231" i="5" a="1"/>
  <c r="EW231" i="5" s="1"/>
  <c r="EX231" i="5" a="1"/>
  <c r="EX231" i="5" s="1"/>
  <c r="EY231" i="5" a="1"/>
  <c r="EY231" i="5" s="1"/>
  <c r="EZ231" i="5" a="1"/>
  <c r="EZ231" i="5" s="1"/>
  <c r="FA231" i="5" a="1"/>
  <c r="FA231" i="5" s="1"/>
  <c r="FB231" i="5" a="1"/>
  <c r="FB231" i="5" s="1"/>
  <c r="FC231" i="5" a="1"/>
  <c r="FC231" i="5" s="1"/>
  <c r="FD231" i="5" a="1"/>
  <c r="FD231" i="5" s="1"/>
  <c r="FE231" i="5" a="1"/>
  <c r="FE231" i="5" s="1"/>
  <c r="FF231" i="5" a="1"/>
  <c r="FF231" i="5" s="1"/>
  <c r="FG231" i="5" a="1"/>
  <c r="FG231" i="5" s="1"/>
  <c r="FH231" i="5" a="1"/>
  <c r="FH231" i="5" s="1"/>
  <c r="FI231" i="5" a="1"/>
  <c r="FI231" i="5" s="1"/>
  <c r="FJ231" i="5" a="1"/>
  <c r="FJ231" i="5" s="1"/>
  <c r="FK231" i="5" a="1"/>
  <c r="FK231" i="5" s="1"/>
  <c r="FL231" i="5" a="1"/>
  <c r="FL231" i="5" s="1"/>
  <c r="FM231" i="5" a="1"/>
  <c r="FM231" i="5" s="1"/>
  <c r="FN231" i="5" a="1"/>
  <c r="FN231" i="5" s="1"/>
  <c r="FO231" i="5" a="1"/>
  <c r="FO231" i="5" s="1"/>
  <c r="EI232" i="5" a="1"/>
  <c r="EI232" i="5" s="1"/>
  <c r="EJ232" i="5" a="1"/>
  <c r="EJ232" i="5" s="1"/>
  <c r="EK232" i="5" a="1"/>
  <c r="EK232" i="5" s="1"/>
  <c r="EL232" i="5" a="1"/>
  <c r="EL232" i="5" s="1"/>
  <c r="EM232" i="5" a="1"/>
  <c r="EM232" i="5" s="1"/>
  <c r="EN232" i="5" a="1"/>
  <c r="EN232" i="5" s="1"/>
  <c r="EO232" i="5" a="1"/>
  <c r="EO232" i="5" s="1"/>
  <c r="EP232" i="5" a="1"/>
  <c r="EP232" i="5" s="1"/>
  <c r="EQ232" i="5" a="1"/>
  <c r="EQ232" i="5" s="1"/>
  <c r="ER232" i="5" a="1"/>
  <c r="ER232" i="5" s="1"/>
  <c r="ES232" i="5" a="1"/>
  <c r="ES232" i="5" s="1"/>
  <c r="ET232" i="5" a="1"/>
  <c r="ET232" i="5" s="1"/>
  <c r="EU232" i="5" a="1"/>
  <c r="EU232" i="5" s="1"/>
  <c r="EV232" i="5" a="1"/>
  <c r="EV232" i="5" s="1"/>
  <c r="EW232" i="5" a="1"/>
  <c r="EW232" i="5" s="1"/>
  <c r="EX232" i="5" a="1"/>
  <c r="EX232" i="5" s="1"/>
  <c r="EY232" i="5" a="1"/>
  <c r="EY232" i="5" s="1"/>
  <c r="EZ232" i="5" a="1"/>
  <c r="EZ232" i="5" s="1"/>
  <c r="FA232" i="5" a="1"/>
  <c r="FA232" i="5" s="1"/>
  <c r="FB232" i="5" a="1"/>
  <c r="FB232" i="5" s="1"/>
  <c r="FC232" i="5" a="1"/>
  <c r="FC232" i="5" s="1"/>
  <c r="FD232" i="5" a="1"/>
  <c r="FD232" i="5" s="1"/>
  <c r="FE232" i="5" a="1"/>
  <c r="FE232" i="5" s="1"/>
  <c r="FF232" i="5" a="1"/>
  <c r="FF232" i="5" s="1"/>
  <c r="FG232" i="5" a="1"/>
  <c r="FG232" i="5" s="1"/>
  <c r="FH232" i="5" a="1"/>
  <c r="FH232" i="5" s="1"/>
  <c r="FI232" i="5" a="1"/>
  <c r="FI232" i="5" s="1"/>
  <c r="FJ232" i="5" a="1"/>
  <c r="FJ232" i="5" s="1"/>
  <c r="FK232" i="5" a="1"/>
  <c r="FK232" i="5" s="1"/>
  <c r="FL232" i="5" a="1"/>
  <c r="FL232" i="5" s="1"/>
  <c r="FM232" i="5" a="1"/>
  <c r="FM232" i="5" s="1"/>
  <c r="FN232" i="5" a="1"/>
  <c r="FN232" i="5" s="1"/>
  <c r="FO232" i="5" a="1"/>
  <c r="FO232" i="5" s="1"/>
  <c r="EI233" i="5" a="1"/>
  <c r="EI233" i="5" s="1"/>
  <c r="EJ233" i="5" a="1"/>
  <c r="EJ233" i="5" s="1"/>
  <c r="EK233" i="5" a="1"/>
  <c r="EK233" i="5" s="1"/>
  <c r="EL233" i="5" a="1"/>
  <c r="EL233" i="5" s="1"/>
  <c r="EM233" i="5" a="1"/>
  <c r="EM233" i="5" s="1"/>
  <c r="EN233" i="5" a="1"/>
  <c r="EN233" i="5" s="1"/>
  <c r="EO233" i="5" a="1"/>
  <c r="EO233" i="5" s="1"/>
  <c r="EP233" i="5" a="1"/>
  <c r="EP233" i="5" s="1"/>
  <c r="EQ233" i="5" a="1"/>
  <c r="EQ233" i="5" s="1"/>
  <c r="ER233" i="5" a="1"/>
  <c r="ER233" i="5" s="1"/>
  <c r="ES233" i="5" a="1"/>
  <c r="ES233" i="5" s="1"/>
  <c r="ET233" i="5" a="1"/>
  <c r="ET233" i="5" s="1"/>
  <c r="EU233" i="5" a="1"/>
  <c r="EU233" i="5" s="1"/>
  <c r="EV233" i="5" a="1"/>
  <c r="EV233" i="5" s="1"/>
  <c r="EW233" i="5" a="1"/>
  <c r="EW233" i="5" s="1"/>
  <c r="EX233" i="5" a="1"/>
  <c r="EX233" i="5" s="1"/>
  <c r="EY233" i="5" a="1"/>
  <c r="EY233" i="5" s="1"/>
  <c r="EZ233" i="5" a="1"/>
  <c r="EZ233" i="5" s="1"/>
  <c r="FA233" i="5" a="1"/>
  <c r="FA233" i="5" s="1"/>
  <c r="FB233" i="5" a="1"/>
  <c r="FB233" i="5" s="1"/>
  <c r="FC233" i="5" a="1"/>
  <c r="FC233" i="5" s="1"/>
  <c r="FD233" i="5" a="1"/>
  <c r="FD233" i="5" s="1"/>
  <c r="FE233" i="5" a="1"/>
  <c r="FE233" i="5" s="1"/>
  <c r="FF233" i="5" a="1"/>
  <c r="FF233" i="5" s="1"/>
  <c r="FG233" i="5" a="1"/>
  <c r="FG233" i="5" s="1"/>
  <c r="FH233" i="5" a="1"/>
  <c r="FH233" i="5" s="1"/>
  <c r="FI233" i="5" a="1"/>
  <c r="FI233" i="5" s="1"/>
  <c r="FJ233" i="5" a="1"/>
  <c r="FJ233" i="5" s="1"/>
  <c r="FK233" i="5" a="1"/>
  <c r="FK233" i="5" s="1"/>
  <c r="FL233" i="5" a="1"/>
  <c r="FL233" i="5" s="1"/>
  <c r="FM233" i="5" a="1"/>
  <c r="FM233" i="5" s="1"/>
  <c r="FN233" i="5" a="1"/>
  <c r="FN233" i="5" s="1"/>
  <c r="FO233" i="5" a="1"/>
  <c r="FO233" i="5" s="1"/>
  <c r="EI234" i="5" a="1"/>
  <c r="EI234" i="5" s="1"/>
  <c r="EJ234" i="5" a="1"/>
  <c r="EJ234" i="5" s="1"/>
  <c r="EK234" i="5" a="1"/>
  <c r="EK234" i="5" s="1"/>
  <c r="EL234" i="5" a="1"/>
  <c r="EL234" i="5" s="1"/>
  <c r="EM234" i="5" a="1"/>
  <c r="EM234" i="5" s="1"/>
  <c r="EN234" i="5" a="1"/>
  <c r="EN234" i="5" s="1"/>
  <c r="EO234" i="5" a="1"/>
  <c r="EO234" i="5" s="1"/>
  <c r="EP234" i="5" a="1"/>
  <c r="EP234" i="5" s="1"/>
  <c r="EQ234" i="5" a="1"/>
  <c r="EQ234" i="5" s="1"/>
  <c r="ER234" i="5" a="1"/>
  <c r="ER234" i="5" s="1"/>
  <c r="ES234" i="5" a="1"/>
  <c r="ES234" i="5" s="1"/>
  <c r="ET234" i="5" a="1"/>
  <c r="ET234" i="5" s="1"/>
  <c r="EU234" i="5" a="1"/>
  <c r="EU234" i="5" s="1"/>
  <c r="EV234" i="5" a="1"/>
  <c r="EV234" i="5" s="1"/>
  <c r="EW234" i="5" a="1"/>
  <c r="EW234" i="5" s="1"/>
  <c r="EX234" i="5" a="1"/>
  <c r="EX234" i="5" s="1"/>
  <c r="EY234" i="5" a="1"/>
  <c r="EY234" i="5" s="1"/>
  <c r="EZ234" i="5" a="1"/>
  <c r="EZ234" i="5" s="1"/>
  <c r="FA234" i="5" a="1"/>
  <c r="FA234" i="5" s="1"/>
  <c r="FB234" i="5" a="1"/>
  <c r="FB234" i="5" s="1"/>
  <c r="FC234" i="5" a="1"/>
  <c r="FC234" i="5" s="1"/>
  <c r="FD234" i="5" a="1"/>
  <c r="FD234" i="5" s="1"/>
  <c r="FE234" i="5" a="1"/>
  <c r="FE234" i="5" s="1"/>
  <c r="FF234" i="5" a="1"/>
  <c r="FF234" i="5" s="1"/>
  <c r="FG234" i="5" a="1"/>
  <c r="FG234" i="5" s="1"/>
  <c r="FH234" i="5" a="1"/>
  <c r="FH234" i="5" s="1"/>
  <c r="FI234" i="5" a="1"/>
  <c r="FI234" i="5" s="1"/>
  <c r="FJ234" i="5" a="1"/>
  <c r="FJ234" i="5" s="1"/>
  <c r="FK234" i="5" a="1"/>
  <c r="FK234" i="5" s="1"/>
  <c r="FL234" i="5" a="1"/>
  <c r="FL234" i="5" s="1"/>
  <c r="FM234" i="5" a="1"/>
  <c r="FM234" i="5" s="1"/>
  <c r="FN234" i="5" a="1"/>
  <c r="FN234" i="5" s="1"/>
  <c r="FO234" i="5" a="1"/>
  <c r="FO234" i="5" s="1"/>
  <c r="EI235" i="5" a="1"/>
  <c r="EI235" i="5" s="1"/>
  <c r="EJ235" i="5" a="1"/>
  <c r="EJ235" i="5" s="1"/>
  <c r="EK235" i="5" a="1"/>
  <c r="EK235" i="5" s="1"/>
  <c r="EL235" i="5" a="1"/>
  <c r="EL235" i="5" s="1"/>
  <c r="EM235" i="5" a="1"/>
  <c r="EM235" i="5" s="1"/>
  <c r="EN235" i="5" a="1"/>
  <c r="EN235" i="5" s="1"/>
  <c r="EO235" i="5" a="1"/>
  <c r="EO235" i="5" s="1"/>
  <c r="EP235" i="5" a="1"/>
  <c r="EP235" i="5" s="1"/>
  <c r="EQ235" i="5" a="1"/>
  <c r="EQ235" i="5" s="1"/>
  <c r="ER235" i="5" a="1"/>
  <c r="ER235" i="5" s="1"/>
  <c r="ES235" i="5" a="1"/>
  <c r="ES235" i="5" s="1"/>
  <c r="ET235" i="5" a="1"/>
  <c r="ET235" i="5" s="1"/>
  <c r="EU235" i="5" a="1"/>
  <c r="EU235" i="5" s="1"/>
  <c r="EV235" i="5" a="1"/>
  <c r="EV235" i="5" s="1"/>
  <c r="EW235" i="5" a="1"/>
  <c r="EW235" i="5" s="1"/>
  <c r="EX235" i="5" a="1"/>
  <c r="EX235" i="5" s="1"/>
  <c r="EY235" i="5" a="1"/>
  <c r="EY235" i="5" s="1"/>
  <c r="EZ235" i="5" a="1"/>
  <c r="EZ235" i="5" s="1"/>
  <c r="FA235" i="5" a="1"/>
  <c r="FA235" i="5" s="1"/>
  <c r="FB235" i="5" a="1"/>
  <c r="FB235" i="5" s="1"/>
  <c r="FC235" i="5" a="1"/>
  <c r="FC235" i="5" s="1"/>
  <c r="FD235" i="5" a="1"/>
  <c r="FD235" i="5" s="1"/>
  <c r="FE235" i="5" a="1"/>
  <c r="FE235" i="5" s="1"/>
  <c r="FF235" i="5" a="1"/>
  <c r="FF235" i="5" s="1"/>
  <c r="FG235" i="5" a="1"/>
  <c r="FG235" i="5" s="1"/>
  <c r="FH235" i="5" a="1"/>
  <c r="FH235" i="5" s="1"/>
  <c r="FI235" i="5" a="1"/>
  <c r="FI235" i="5" s="1"/>
  <c r="FJ235" i="5" a="1"/>
  <c r="FJ235" i="5" s="1"/>
  <c r="FK235" i="5" a="1"/>
  <c r="FK235" i="5" s="1"/>
  <c r="FL235" i="5" a="1"/>
  <c r="FL235" i="5" s="1"/>
  <c r="FM235" i="5" a="1"/>
  <c r="FM235" i="5" s="1"/>
  <c r="FN235" i="5" a="1"/>
  <c r="FN235" i="5" s="1"/>
  <c r="FO235" i="5" a="1"/>
  <c r="FO235" i="5" s="1"/>
  <c r="EI236" i="5" a="1"/>
  <c r="EI236" i="5" s="1"/>
  <c r="EJ236" i="5" a="1"/>
  <c r="EJ236" i="5" s="1"/>
  <c r="EK236" i="5" a="1"/>
  <c r="EK236" i="5" s="1"/>
  <c r="EL236" i="5" a="1"/>
  <c r="EL236" i="5" s="1"/>
  <c r="EM236" i="5" a="1"/>
  <c r="EM236" i="5" s="1"/>
  <c r="EN236" i="5" a="1"/>
  <c r="EN236" i="5" s="1"/>
  <c r="EO236" i="5" a="1"/>
  <c r="EO236" i="5" s="1"/>
  <c r="EP236" i="5" a="1"/>
  <c r="EP236" i="5" s="1"/>
  <c r="EQ236" i="5" a="1"/>
  <c r="EQ236" i="5" s="1"/>
  <c r="ER236" i="5" a="1"/>
  <c r="ER236" i="5" s="1"/>
  <c r="ES236" i="5" a="1"/>
  <c r="ES236" i="5" s="1"/>
  <c r="ET236" i="5" a="1"/>
  <c r="ET236" i="5" s="1"/>
  <c r="EU236" i="5" a="1"/>
  <c r="EU236" i="5" s="1"/>
  <c r="EV236" i="5" a="1"/>
  <c r="EV236" i="5" s="1"/>
  <c r="EW236" i="5" a="1"/>
  <c r="EW236" i="5" s="1"/>
  <c r="EX236" i="5" a="1"/>
  <c r="EX236" i="5" s="1"/>
  <c r="EY236" i="5" a="1"/>
  <c r="EY236" i="5" s="1"/>
  <c r="EZ236" i="5" a="1"/>
  <c r="EZ236" i="5" s="1"/>
  <c r="FA236" i="5" a="1"/>
  <c r="FA236" i="5" s="1"/>
  <c r="FB236" i="5" a="1"/>
  <c r="FB236" i="5" s="1"/>
  <c r="FC236" i="5" a="1"/>
  <c r="FC236" i="5" s="1"/>
  <c r="FD236" i="5" a="1"/>
  <c r="FD236" i="5" s="1"/>
  <c r="FE236" i="5" a="1"/>
  <c r="FE236" i="5" s="1"/>
  <c r="FF236" i="5" a="1"/>
  <c r="FF236" i="5" s="1"/>
  <c r="FG236" i="5" a="1"/>
  <c r="FG236" i="5" s="1"/>
  <c r="FH236" i="5" a="1"/>
  <c r="FH236" i="5" s="1"/>
  <c r="FI236" i="5" a="1"/>
  <c r="FI236" i="5" s="1"/>
  <c r="FJ236" i="5" a="1"/>
  <c r="FJ236" i="5" s="1"/>
  <c r="FK236" i="5" a="1"/>
  <c r="FK236" i="5" s="1"/>
  <c r="FL236" i="5" a="1"/>
  <c r="FL236" i="5" s="1"/>
  <c r="FM236" i="5" a="1"/>
  <c r="FM236" i="5" s="1"/>
  <c r="FN236" i="5" a="1"/>
  <c r="FN236" i="5" s="1"/>
  <c r="FO236" i="5" a="1"/>
  <c r="FO236" i="5" s="1"/>
  <c r="EI237" i="5" a="1"/>
  <c r="EI237" i="5" s="1"/>
  <c r="EJ237" i="5" a="1"/>
  <c r="EJ237" i="5" s="1"/>
  <c r="EK237" i="5" a="1"/>
  <c r="EK237" i="5" s="1"/>
  <c r="EL237" i="5" a="1"/>
  <c r="EL237" i="5" s="1"/>
  <c r="EM237" i="5" a="1"/>
  <c r="EM237" i="5" s="1"/>
  <c r="EN237" i="5" a="1"/>
  <c r="EN237" i="5" s="1"/>
  <c r="EO237" i="5" a="1"/>
  <c r="EO237" i="5" s="1"/>
  <c r="EP237" i="5" a="1"/>
  <c r="EP237" i="5" s="1"/>
  <c r="EQ237" i="5" a="1"/>
  <c r="EQ237" i="5" s="1"/>
  <c r="ER237" i="5" a="1"/>
  <c r="ER237" i="5" s="1"/>
  <c r="ES237" i="5" a="1"/>
  <c r="ES237" i="5" s="1"/>
  <c r="ET237" i="5" a="1"/>
  <c r="ET237" i="5" s="1"/>
  <c r="EU237" i="5" a="1"/>
  <c r="EU237" i="5" s="1"/>
  <c r="EV237" i="5" a="1"/>
  <c r="EV237" i="5" s="1"/>
  <c r="EW237" i="5" a="1"/>
  <c r="EW237" i="5" s="1"/>
  <c r="EX237" i="5" a="1"/>
  <c r="EX237" i="5" s="1"/>
  <c r="EY237" i="5" a="1"/>
  <c r="EY237" i="5" s="1"/>
  <c r="EZ237" i="5" a="1"/>
  <c r="EZ237" i="5" s="1"/>
  <c r="FA237" i="5" a="1"/>
  <c r="FA237" i="5" s="1"/>
  <c r="FB237" i="5" a="1"/>
  <c r="FB237" i="5" s="1"/>
  <c r="FC237" i="5" a="1"/>
  <c r="FC237" i="5" s="1"/>
  <c r="FD237" i="5" a="1"/>
  <c r="FD237" i="5" s="1"/>
  <c r="FE237" i="5" a="1"/>
  <c r="FE237" i="5" s="1"/>
  <c r="FF237" i="5" a="1"/>
  <c r="FF237" i="5" s="1"/>
  <c r="FG237" i="5" a="1"/>
  <c r="FG237" i="5" s="1"/>
  <c r="FH237" i="5" a="1"/>
  <c r="FH237" i="5" s="1"/>
  <c r="FI237" i="5" a="1"/>
  <c r="FI237" i="5" s="1"/>
  <c r="FJ237" i="5" a="1"/>
  <c r="FJ237" i="5" s="1"/>
  <c r="FK237" i="5" a="1"/>
  <c r="FK237" i="5" s="1"/>
  <c r="FL237" i="5" a="1"/>
  <c r="FL237" i="5" s="1"/>
  <c r="FM237" i="5" a="1"/>
  <c r="FM237" i="5" s="1"/>
  <c r="FN237" i="5" a="1"/>
  <c r="FN237" i="5" s="1"/>
  <c r="FO237" i="5" a="1"/>
  <c r="FO237" i="5" s="1"/>
  <c r="EI238" i="5" a="1"/>
  <c r="EI238" i="5" s="1"/>
  <c r="EJ238" i="5" a="1"/>
  <c r="EJ238" i="5" s="1"/>
  <c r="EK238" i="5" a="1"/>
  <c r="EK238" i="5" s="1"/>
  <c r="EL238" i="5" a="1"/>
  <c r="EL238" i="5" s="1"/>
  <c r="EM238" i="5" a="1"/>
  <c r="EM238" i="5" s="1"/>
  <c r="EN238" i="5" a="1"/>
  <c r="EN238" i="5" s="1"/>
  <c r="EO238" i="5" a="1"/>
  <c r="EO238" i="5" s="1"/>
  <c r="EP238" i="5" a="1"/>
  <c r="EP238" i="5" s="1"/>
  <c r="EQ238" i="5" a="1"/>
  <c r="EQ238" i="5" s="1"/>
  <c r="ER238" i="5" a="1"/>
  <c r="ER238" i="5" s="1"/>
  <c r="ES238" i="5" a="1"/>
  <c r="ES238" i="5" s="1"/>
  <c r="ET238" i="5" a="1"/>
  <c r="ET238" i="5" s="1"/>
  <c r="EU238" i="5" a="1"/>
  <c r="EU238" i="5" s="1"/>
  <c r="EV238" i="5" a="1"/>
  <c r="EV238" i="5" s="1"/>
  <c r="EW238" i="5" a="1"/>
  <c r="EW238" i="5" s="1"/>
  <c r="EX238" i="5" a="1"/>
  <c r="EX238" i="5" s="1"/>
  <c r="EY238" i="5" a="1"/>
  <c r="EY238" i="5" s="1"/>
  <c r="EZ238" i="5" a="1"/>
  <c r="EZ238" i="5" s="1"/>
  <c r="FA238" i="5" a="1"/>
  <c r="FA238" i="5" s="1"/>
  <c r="FB238" i="5" a="1"/>
  <c r="FB238" i="5" s="1"/>
  <c r="FC238" i="5" a="1"/>
  <c r="FC238" i="5" s="1"/>
  <c r="FD238" i="5" a="1"/>
  <c r="FD238" i="5" s="1"/>
  <c r="FE238" i="5" a="1"/>
  <c r="FE238" i="5" s="1"/>
  <c r="FF238" i="5" a="1"/>
  <c r="FF238" i="5" s="1"/>
  <c r="FG238" i="5" a="1"/>
  <c r="FG238" i="5" s="1"/>
  <c r="FH238" i="5" a="1"/>
  <c r="FH238" i="5" s="1"/>
  <c r="FI238" i="5" a="1"/>
  <c r="FI238" i="5" s="1"/>
  <c r="FJ238" i="5" a="1"/>
  <c r="FJ238" i="5" s="1"/>
  <c r="FK238" i="5" a="1"/>
  <c r="FK238" i="5" s="1"/>
  <c r="FL238" i="5" a="1"/>
  <c r="FL238" i="5" s="1"/>
  <c r="FM238" i="5" a="1"/>
  <c r="FM238" i="5" s="1"/>
  <c r="FN238" i="5" a="1"/>
  <c r="FN238" i="5" s="1"/>
  <c r="FO238" i="5" a="1"/>
  <c r="FO238" i="5" s="1"/>
  <c r="EI239" i="5" a="1"/>
  <c r="EI239" i="5" s="1"/>
  <c r="EJ239" i="5" a="1"/>
  <c r="EJ239" i="5" s="1"/>
  <c r="EK239" i="5" a="1"/>
  <c r="EK239" i="5" s="1"/>
  <c r="EL239" i="5" a="1"/>
  <c r="EL239" i="5" s="1"/>
  <c r="EM239" i="5" a="1"/>
  <c r="EM239" i="5" s="1"/>
  <c r="EN239" i="5" a="1"/>
  <c r="EN239" i="5" s="1"/>
  <c r="EO239" i="5" a="1"/>
  <c r="EO239" i="5" s="1"/>
  <c r="EP239" i="5" a="1"/>
  <c r="EP239" i="5" s="1"/>
  <c r="EQ239" i="5" a="1"/>
  <c r="EQ239" i="5" s="1"/>
  <c r="ER239" i="5" a="1"/>
  <c r="ER239" i="5" s="1"/>
  <c r="ES239" i="5" a="1"/>
  <c r="ES239" i="5" s="1"/>
  <c r="ET239" i="5" a="1"/>
  <c r="ET239" i="5" s="1"/>
  <c r="EU239" i="5" a="1"/>
  <c r="EU239" i="5" s="1"/>
  <c r="EV239" i="5" a="1"/>
  <c r="EV239" i="5" s="1"/>
  <c r="EW239" i="5" a="1"/>
  <c r="EW239" i="5" s="1"/>
  <c r="EX239" i="5" a="1"/>
  <c r="EX239" i="5" s="1"/>
  <c r="EY239" i="5" a="1"/>
  <c r="EY239" i="5" s="1"/>
  <c r="EZ239" i="5" a="1"/>
  <c r="EZ239" i="5" s="1"/>
  <c r="FA239" i="5" a="1"/>
  <c r="FA239" i="5" s="1"/>
  <c r="FB239" i="5" a="1"/>
  <c r="FB239" i="5" s="1"/>
  <c r="FC239" i="5" a="1"/>
  <c r="FC239" i="5" s="1"/>
  <c r="FD239" i="5" a="1"/>
  <c r="FD239" i="5" s="1"/>
  <c r="FE239" i="5" a="1"/>
  <c r="FE239" i="5" s="1"/>
  <c r="FF239" i="5" a="1"/>
  <c r="FF239" i="5" s="1"/>
  <c r="FG239" i="5" a="1"/>
  <c r="FG239" i="5" s="1"/>
  <c r="FH239" i="5" a="1"/>
  <c r="FH239" i="5" s="1"/>
  <c r="FI239" i="5" a="1"/>
  <c r="FI239" i="5" s="1"/>
  <c r="FJ239" i="5" a="1"/>
  <c r="FJ239" i="5" s="1"/>
  <c r="FK239" i="5" a="1"/>
  <c r="FK239" i="5" s="1"/>
  <c r="FL239" i="5" a="1"/>
  <c r="FL239" i="5" s="1"/>
  <c r="FM239" i="5" a="1"/>
  <c r="FM239" i="5" s="1"/>
  <c r="FN239" i="5" a="1"/>
  <c r="FN239" i="5" s="1"/>
  <c r="FO239" i="5" a="1"/>
  <c r="FO239" i="5" s="1"/>
  <c r="EI240" i="5" a="1"/>
  <c r="EI240" i="5" s="1"/>
  <c r="EJ240" i="5" a="1"/>
  <c r="EJ240" i="5" s="1"/>
  <c r="EK240" i="5" a="1"/>
  <c r="EK240" i="5" s="1"/>
  <c r="EL240" i="5" a="1"/>
  <c r="EL240" i="5" s="1"/>
  <c r="EM240" i="5" a="1"/>
  <c r="EM240" i="5" s="1"/>
  <c r="EN240" i="5" a="1"/>
  <c r="EN240" i="5" s="1"/>
  <c r="EO240" i="5" a="1"/>
  <c r="EO240" i="5" s="1"/>
  <c r="EP240" i="5" a="1"/>
  <c r="EP240" i="5" s="1"/>
  <c r="EQ240" i="5" a="1"/>
  <c r="EQ240" i="5" s="1"/>
  <c r="ER240" i="5" a="1"/>
  <c r="ER240" i="5" s="1"/>
  <c r="ES240" i="5" a="1"/>
  <c r="ES240" i="5" s="1"/>
  <c r="ET240" i="5" a="1"/>
  <c r="ET240" i="5" s="1"/>
  <c r="EU240" i="5" a="1"/>
  <c r="EU240" i="5" s="1"/>
  <c r="EV240" i="5" a="1"/>
  <c r="EV240" i="5" s="1"/>
  <c r="EW240" i="5" a="1"/>
  <c r="EW240" i="5" s="1"/>
  <c r="EX240" i="5" a="1"/>
  <c r="EX240" i="5" s="1"/>
  <c r="EY240" i="5" a="1"/>
  <c r="EY240" i="5" s="1"/>
  <c r="EZ240" i="5" a="1"/>
  <c r="EZ240" i="5" s="1"/>
  <c r="FA240" i="5" a="1"/>
  <c r="FA240" i="5" s="1"/>
  <c r="FB240" i="5" a="1"/>
  <c r="FB240" i="5" s="1"/>
  <c r="FC240" i="5" a="1"/>
  <c r="FC240" i="5" s="1"/>
  <c r="FD240" i="5" a="1"/>
  <c r="FD240" i="5" s="1"/>
  <c r="FE240" i="5" a="1"/>
  <c r="FE240" i="5" s="1"/>
  <c r="FF240" i="5" a="1"/>
  <c r="FF240" i="5" s="1"/>
  <c r="FG240" i="5" a="1"/>
  <c r="FG240" i="5" s="1"/>
  <c r="FH240" i="5" a="1"/>
  <c r="FH240" i="5" s="1"/>
  <c r="FI240" i="5" a="1"/>
  <c r="FI240" i="5" s="1"/>
  <c r="FJ240" i="5" a="1"/>
  <c r="FJ240" i="5" s="1"/>
  <c r="FK240" i="5" a="1"/>
  <c r="FK240" i="5" s="1"/>
  <c r="FL240" i="5" a="1"/>
  <c r="FL240" i="5" s="1"/>
  <c r="FM240" i="5" a="1"/>
  <c r="FM240" i="5" s="1"/>
  <c r="FN240" i="5" a="1"/>
  <c r="FN240" i="5" s="1"/>
  <c r="FO240" i="5" a="1"/>
  <c r="FO240" i="5" s="1"/>
  <c r="EI241" i="5" a="1"/>
  <c r="EI241" i="5" s="1"/>
  <c r="EJ241" i="5" a="1"/>
  <c r="EJ241" i="5" s="1"/>
  <c r="EK241" i="5" a="1"/>
  <c r="EK241" i="5" s="1"/>
  <c r="EL241" i="5" a="1"/>
  <c r="EL241" i="5" s="1"/>
  <c r="EM241" i="5" a="1"/>
  <c r="EM241" i="5" s="1"/>
  <c r="EN241" i="5" a="1"/>
  <c r="EN241" i="5" s="1"/>
  <c r="EO241" i="5" a="1"/>
  <c r="EO241" i="5" s="1"/>
  <c r="EP241" i="5" a="1"/>
  <c r="EP241" i="5" s="1"/>
  <c r="EQ241" i="5" a="1"/>
  <c r="EQ241" i="5" s="1"/>
  <c r="ER241" i="5" a="1"/>
  <c r="ER241" i="5" s="1"/>
  <c r="ES241" i="5" a="1"/>
  <c r="ES241" i="5" s="1"/>
  <c r="ET241" i="5" a="1"/>
  <c r="ET241" i="5" s="1"/>
  <c r="EU241" i="5" a="1"/>
  <c r="EU241" i="5" s="1"/>
  <c r="EV241" i="5" a="1"/>
  <c r="EV241" i="5" s="1"/>
  <c r="EW241" i="5" a="1"/>
  <c r="EW241" i="5" s="1"/>
  <c r="EX241" i="5" a="1"/>
  <c r="EX241" i="5" s="1"/>
  <c r="EY241" i="5" a="1"/>
  <c r="EY241" i="5" s="1"/>
  <c r="EZ241" i="5" a="1"/>
  <c r="EZ241" i="5" s="1"/>
  <c r="FA241" i="5" a="1"/>
  <c r="FA241" i="5" s="1"/>
  <c r="FB241" i="5" a="1"/>
  <c r="FB241" i="5" s="1"/>
  <c r="FC241" i="5" a="1"/>
  <c r="FC241" i="5" s="1"/>
  <c r="FD241" i="5" a="1"/>
  <c r="FD241" i="5" s="1"/>
  <c r="FE241" i="5" a="1"/>
  <c r="FE241" i="5" s="1"/>
  <c r="FF241" i="5" a="1"/>
  <c r="FF241" i="5" s="1"/>
  <c r="FG241" i="5" a="1"/>
  <c r="FG241" i="5" s="1"/>
  <c r="FH241" i="5" a="1"/>
  <c r="FH241" i="5" s="1"/>
  <c r="FI241" i="5" a="1"/>
  <c r="FI241" i="5" s="1"/>
  <c r="FJ241" i="5" a="1"/>
  <c r="FJ241" i="5" s="1"/>
  <c r="FK241" i="5" a="1"/>
  <c r="FK241" i="5" s="1"/>
  <c r="FL241" i="5" a="1"/>
  <c r="FL241" i="5" s="1"/>
  <c r="FM241" i="5" a="1"/>
  <c r="FM241" i="5" s="1"/>
  <c r="FN241" i="5" a="1"/>
  <c r="FN241" i="5" s="1"/>
  <c r="FO241" i="5" a="1"/>
  <c r="FO241" i="5" s="1"/>
  <c r="EI242" i="5" a="1"/>
  <c r="EI242" i="5" s="1"/>
  <c r="EJ242" i="5" a="1"/>
  <c r="EJ242" i="5" s="1"/>
  <c r="EK242" i="5" a="1"/>
  <c r="EK242" i="5" s="1"/>
  <c r="EL242" i="5" a="1"/>
  <c r="EL242" i="5" s="1"/>
  <c r="EM242" i="5" a="1"/>
  <c r="EM242" i="5" s="1"/>
  <c r="EN242" i="5" a="1"/>
  <c r="EN242" i="5" s="1"/>
  <c r="EO242" i="5" a="1"/>
  <c r="EO242" i="5" s="1"/>
  <c r="EP242" i="5" a="1"/>
  <c r="EP242" i="5" s="1"/>
  <c r="EQ242" i="5" a="1"/>
  <c r="EQ242" i="5" s="1"/>
  <c r="ER242" i="5" a="1"/>
  <c r="ER242" i="5" s="1"/>
  <c r="ES242" i="5" a="1"/>
  <c r="ES242" i="5" s="1"/>
  <c r="ET242" i="5" a="1"/>
  <c r="ET242" i="5" s="1"/>
  <c r="EU242" i="5" a="1"/>
  <c r="EU242" i="5" s="1"/>
  <c r="EV242" i="5" a="1"/>
  <c r="EV242" i="5" s="1"/>
  <c r="EW242" i="5" a="1"/>
  <c r="EW242" i="5" s="1"/>
  <c r="EX242" i="5" a="1"/>
  <c r="EX242" i="5" s="1"/>
  <c r="EY242" i="5" a="1"/>
  <c r="EY242" i="5" s="1"/>
  <c r="EZ242" i="5" a="1"/>
  <c r="EZ242" i="5" s="1"/>
  <c r="FA242" i="5" a="1"/>
  <c r="FA242" i="5" s="1"/>
  <c r="FB242" i="5" a="1"/>
  <c r="FB242" i="5" s="1"/>
  <c r="FC242" i="5" a="1"/>
  <c r="FC242" i="5" s="1"/>
  <c r="FD242" i="5" a="1"/>
  <c r="FD242" i="5" s="1"/>
  <c r="FE242" i="5" a="1"/>
  <c r="FE242" i="5" s="1"/>
  <c r="FF242" i="5" a="1"/>
  <c r="FF242" i="5" s="1"/>
  <c r="FG242" i="5" a="1"/>
  <c r="FG242" i="5" s="1"/>
  <c r="FH242" i="5" a="1"/>
  <c r="FH242" i="5" s="1"/>
  <c r="FI242" i="5" a="1"/>
  <c r="FI242" i="5" s="1"/>
  <c r="FJ242" i="5" a="1"/>
  <c r="FJ242" i="5" s="1"/>
  <c r="FK242" i="5" a="1"/>
  <c r="FK242" i="5" s="1"/>
  <c r="FL242" i="5" a="1"/>
  <c r="FL242" i="5" s="1"/>
  <c r="FM242" i="5" a="1"/>
  <c r="FM242" i="5" s="1"/>
  <c r="FN242" i="5" a="1"/>
  <c r="FN242" i="5" s="1"/>
  <c r="FO242" i="5" a="1"/>
  <c r="FO242" i="5" s="1"/>
  <c r="EI243" i="5" a="1"/>
  <c r="EI243" i="5" s="1"/>
  <c r="EJ243" i="5" a="1"/>
  <c r="EJ243" i="5" s="1"/>
  <c r="EK243" i="5" a="1"/>
  <c r="EK243" i="5" s="1"/>
  <c r="EL243" i="5" a="1"/>
  <c r="EL243" i="5" s="1"/>
  <c r="EM243" i="5" a="1"/>
  <c r="EM243" i="5" s="1"/>
  <c r="EN243" i="5" a="1"/>
  <c r="EN243" i="5" s="1"/>
  <c r="EO243" i="5" a="1"/>
  <c r="EO243" i="5" s="1"/>
  <c r="EP243" i="5" a="1"/>
  <c r="EP243" i="5" s="1"/>
  <c r="EQ243" i="5" a="1"/>
  <c r="EQ243" i="5" s="1"/>
  <c r="ER243" i="5" a="1"/>
  <c r="ER243" i="5" s="1"/>
  <c r="ES243" i="5" a="1"/>
  <c r="ES243" i="5" s="1"/>
  <c r="ET243" i="5" a="1"/>
  <c r="ET243" i="5" s="1"/>
  <c r="EU243" i="5" a="1"/>
  <c r="EU243" i="5" s="1"/>
  <c r="EV243" i="5" a="1"/>
  <c r="EV243" i="5" s="1"/>
  <c r="EW243" i="5" a="1"/>
  <c r="EW243" i="5" s="1"/>
  <c r="EX243" i="5" a="1"/>
  <c r="EX243" i="5" s="1"/>
  <c r="EY243" i="5" a="1"/>
  <c r="EY243" i="5" s="1"/>
  <c r="EZ243" i="5" a="1"/>
  <c r="EZ243" i="5" s="1"/>
  <c r="FA243" i="5" a="1"/>
  <c r="FA243" i="5" s="1"/>
  <c r="FB243" i="5" a="1"/>
  <c r="FB243" i="5"/>
  <c r="FC243" i="5" a="1"/>
  <c r="FC243" i="5" s="1"/>
  <c r="FD243" i="5" a="1"/>
  <c r="FD243" i="5" s="1"/>
  <c r="FE243" i="5" a="1"/>
  <c r="FE243" i="5" s="1"/>
  <c r="FF243" i="5" a="1"/>
  <c r="FF243" i="5" s="1"/>
  <c r="FG243" i="5" a="1"/>
  <c r="FG243" i="5" s="1"/>
  <c r="FH243" i="5" a="1"/>
  <c r="FH243" i="5" s="1"/>
  <c r="FI243" i="5" a="1"/>
  <c r="FI243" i="5" s="1"/>
  <c r="FJ243" i="5" a="1"/>
  <c r="FJ243" i="5" s="1"/>
  <c r="FK243" i="5" a="1"/>
  <c r="FK243" i="5" s="1"/>
  <c r="FL243" i="5" a="1"/>
  <c r="FL243" i="5" s="1"/>
  <c r="FM243" i="5" a="1"/>
  <c r="FM243" i="5" s="1"/>
  <c r="FN243" i="5" a="1"/>
  <c r="FN243" i="5"/>
  <c r="FO243" i="5" a="1"/>
  <c r="FO243" i="5" s="1"/>
  <c r="EI244" i="5" a="1"/>
  <c r="EI244" i="5" s="1"/>
  <c r="EJ244" i="5" a="1"/>
  <c r="EJ244" i="5" s="1"/>
  <c r="EK244" i="5" a="1"/>
  <c r="EK244" i="5" s="1"/>
  <c r="EL244" i="5" a="1"/>
  <c r="EL244" i="5" s="1"/>
  <c r="EM244" i="5" a="1"/>
  <c r="EM244" i="5" s="1"/>
  <c r="EN244" i="5" a="1"/>
  <c r="EN244" i="5" s="1"/>
  <c r="EO244" i="5" a="1"/>
  <c r="EO244" i="5" s="1"/>
  <c r="EP244" i="5" a="1"/>
  <c r="EP244" i="5" s="1"/>
  <c r="EQ244" i="5" a="1"/>
  <c r="EQ244" i="5" s="1"/>
  <c r="ER244" i="5" a="1"/>
  <c r="ER244" i="5" s="1"/>
  <c r="ES244" i="5" a="1"/>
  <c r="ES244" i="5" s="1"/>
  <c r="ET244" i="5" a="1"/>
  <c r="ET244" i="5" s="1"/>
  <c r="EU244" i="5" a="1"/>
  <c r="EU244" i="5" s="1"/>
  <c r="EV244" i="5" a="1"/>
  <c r="EV244" i="5" s="1"/>
  <c r="EW244" i="5" a="1"/>
  <c r="EW244" i="5" s="1"/>
  <c r="EX244" i="5" a="1"/>
  <c r="EX244" i="5" s="1"/>
  <c r="EY244" i="5" a="1"/>
  <c r="EY244" i="5" s="1"/>
  <c r="EZ244" i="5" a="1"/>
  <c r="EZ244" i="5" s="1"/>
  <c r="FA244" i="5" a="1"/>
  <c r="FA244" i="5" s="1"/>
  <c r="FB244" i="5" a="1"/>
  <c r="FB244" i="5" s="1"/>
  <c r="FC244" i="5" a="1"/>
  <c r="FC244" i="5"/>
  <c r="FD244" i="5" a="1"/>
  <c r="FD244" i="5" s="1"/>
  <c r="FE244" i="5" a="1"/>
  <c r="FE244" i="5" s="1"/>
  <c r="FF244" i="5" a="1"/>
  <c r="FF244" i="5" s="1"/>
  <c r="FG244" i="5" a="1"/>
  <c r="FG244" i="5" s="1"/>
  <c r="FH244" i="5" a="1"/>
  <c r="FH244" i="5" s="1"/>
  <c r="FI244" i="5" a="1"/>
  <c r="FI244" i="5" s="1"/>
  <c r="FJ244" i="5" a="1"/>
  <c r="FJ244" i="5" s="1"/>
  <c r="FK244" i="5" a="1"/>
  <c r="FK244" i="5" s="1"/>
  <c r="FL244" i="5" a="1"/>
  <c r="FL244" i="5" s="1"/>
  <c r="FM244" i="5" a="1"/>
  <c r="FM244" i="5" s="1"/>
  <c r="FN244" i="5" a="1"/>
  <c r="FN244" i="5" s="1"/>
  <c r="FO244" i="5" a="1"/>
  <c r="FO244" i="5" s="1"/>
  <c r="EI245" i="5" a="1"/>
  <c r="EI245" i="5" s="1"/>
  <c r="EJ245" i="5" a="1"/>
  <c r="EJ245" i="5" s="1"/>
  <c r="EK245" i="5" a="1"/>
  <c r="EK245" i="5" s="1"/>
  <c r="EL245" i="5" a="1"/>
  <c r="EL245" i="5" s="1"/>
  <c r="EM245" i="5" a="1"/>
  <c r="EM245" i="5" s="1"/>
  <c r="EN245" i="5" a="1"/>
  <c r="EN245" i="5" s="1"/>
  <c r="EO245" i="5" a="1"/>
  <c r="EO245" i="5" s="1"/>
  <c r="EP245" i="5" a="1"/>
  <c r="EP245" i="5" s="1"/>
  <c r="EQ245" i="5" a="1"/>
  <c r="EQ245" i="5" s="1"/>
  <c r="ER245" i="5" a="1"/>
  <c r="ER245" i="5" s="1"/>
  <c r="ES245" i="5" a="1"/>
  <c r="ES245" i="5" s="1"/>
  <c r="ET245" i="5" a="1"/>
  <c r="ET245" i="5" s="1"/>
  <c r="EU245" i="5" a="1"/>
  <c r="EU245" i="5" s="1"/>
  <c r="EV245" i="5" a="1"/>
  <c r="EV245" i="5" s="1"/>
  <c r="EW245" i="5" a="1"/>
  <c r="EW245" i="5" s="1"/>
  <c r="EX245" i="5" a="1"/>
  <c r="EX245" i="5" s="1"/>
  <c r="EY245" i="5" a="1"/>
  <c r="EY245" i="5" s="1"/>
  <c r="EZ245" i="5" a="1"/>
  <c r="EZ245" i="5" s="1"/>
  <c r="FA245" i="5" a="1"/>
  <c r="FA245" i="5" s="1"/>
  <c r="FB245" i="5" a="1"/>
  <c r="FB245" i="5" s="1"/>
  <c r="FC245" i="5" a="1"/>
  <c r="FC245" i="5" s="1"/>
  <c r="FD245" i="5" a="1"/>
  <c r="FD245" i="5" s="1"/>
  <c r="FE245" i="5" a="1"/>
  <c r="FE245" i="5" s="1"/>
  <c r="FF245" i="5" a="1"/>
  <c r="FF245" i="5" s="1"/>
  <c r="FG245" i="5" a="1"/>
  <c r="FG245" i="5" s="1"/>
  <c r="FH245" i="5" a="1"/>
  <c r="FH245" i="5" s="1"/>
  <c r="FI245" i="5" a="1"/>
  <c r="FI245" i="5" s="1"/>
  <c r="FJ245" i="5" a="1"/>
  <c r="FJ245" i="5" s="1"/>
  <c r="FK245" i="5" a="1"/>
  <c r="FK245" i="5" s="1"/>
  <c r="FL245" i="5" a="1"/>
  <c r="FL245" i="5" s="1"/>
  <c r="FM245" i="5" a="1"/>
  <c r="FM245" i="5" s="1"/>
  <c r="FN245" i="5" a="1"/>
  <c r="FN245" i="5" s="1"/>
  <c r="FO245" i="5" a="1"/>
  <c r="FO245" i="5" s="1"/>
  <c r="EI246" i="5" a="1"/>
  <c r="EI246" i="5" s="1"/>
  <c r="EJ246" i="5" a="1"/>
  <c r="EJ246" i="5" s="1"/>
  <c r="EK246" i="5" a="1"/>
  <c r="EK246" i="5" s="1"/>
  <c r="EL246" i="5" a="1"/>
  <c r="EL246" i="5" s="1"/>
  <c r="EM246" i="5" a="1"/>
  <c r="EM246" i="5" s="1"/>
  <c r="EN246" i="5" a="1"/>
  <c r="EN246" i="5" s="1"/>
  <c r="EO246" i="5" a="1"/>
  <c r="EO246" i="5" s="1"/>
  <c r="EP246" i="5" a="1"/>
  <c r="EP246" i="5" s="1"/>
  <c r="EQ246" i="5" a="1"/>
  <c r="EQ246" i="5" s="1"/>
  <c r="ER246" i="5" a="1"/>
  <c r="ER246" i="5" s="1"/>
  <c r="ES246" i="5" a="1"/>
  <c r="ES246" i="5" s="1"/>
  <c r="ET246" i="5" a="1"/>
  <c r="ET246" i="5" s="1"/>
  <c r="EU246" i="5" a="1"/>
  <c r="EU246" i="5" s="1"/>
  <c r="EV246" i="5" a="1"/>
  <c r="EV246" i="5" s="1"/>
  <c r="EW246" i="5" a="1"/>
  <c r="EW246" i="5" s="1"/>
  <c r="EX246" i="5" a="1"/>
  <c r="EX246" i="5" s="1"/>
  <c r="EY246" i="5" a="1"/>
  <c r="EY246" i="5" s="1"/>
  <c r="EZ246" i="5" a="1"/>
  <c r="EZ246" i="5" s="1"/>
  <c r="FA246" i="5" a="1"/>
  <c r="FA246" i="5" s="1"/>
  <c r="FB246" i="5" a="1"/>
  <c r="FB246" i="5" s="1"/>
  <c r="FC246" i="5" a="1"/>
  <c r="FC246" i="5" s="1"/>
  <c r="FD246" i="5" a="1"/>
  <c r="FD246" i="5" s="1"/>
  <c r="FE246" i="5" a="1"/>
  <c r="FE246" i="5" s="1"/>
  <c r="FF246" i="5" a="1"/>
  <c r="FF246" i="5" s="1"/>
  <c r="FG246" i="5" a="1"/>
  <c r="FG246" i="5" s="1"/>
  <c r="FH246" i="5" a="1"/>
  <c r="FH246" i="5" s="1"/>
  <c r="FI246" i="5" a="1"/>
  <c r="FI246" i="5" s="1"/>
  <c r="FJ246" i="5" a="1"/>
  <c r="FJ246" i="5" s="1"/>
  <c r="FK246" i="5" a="1"/>
  <c r="FK246" i="5" s="1"/>
  <c r="FL246" i="5" a="1"/>
  <c r="FL246" i="5" s="1"/>
  <c r="FM246" i="5" a="1"/>
  <c r="FM246" i="5" s="1"/>
  <c r="FN246" i="5" a="1"/>
  <c r="FN246" i="5" s="1"/>
  <c r="FO246" i="5" a="1"/>
  <c r="FO246" i="5" s="1"/>
  <c r="EI247" i="5" a="1"/>
  <c r="EI247" i="5" s="1"/>
  <c r="EJ247" i="5" a="1"/>
  <c r="EJ247" i="5" s="1"/>
  <c r="EK247" i="5" a="1"/>
  <c r="EK247" i="5" s="1"/>
  <c r="EL247" i="5" a="1"/>
  <c r="EL247" i="5" s="1"/>
  <c r="EM247" i="5" a="1"/>
  <c r="EM247" i="5" s="1"/>
  <c r="EN247" i="5" a="1"/>
  <c r="EN247" i="5" s="1"/>
  <c r="EO247" i="5" a="1"/>
  <c r="EO247" i="5" s="1"/>
  <c r="EP247" i="5" a="1"/>
  <c r="EP247" i="5" s="1"/>
  <c r="EQ247" i="5" a="1"/>
  <c r="EQ247" i="5" s="1"/>
  <c r="ER247" i="5" a="1"/>
  <c r="ER247" i="5" s="1"/>
  <c r="ES247" i="5" a="1"/>
  <c r="ES247" i="5" s="1"/>
  <c r="ET247" i="5" a="1"/>
  <c r="ET247" i="5" s="1"/>
  <c r="EU247" i="5" a="1"/>
  <c r="EU247" i="5" s="1"/>
  <c r="EV247" i="5" a="1"/>
  <c r="EV247" i="5" s="1"/>
  <c r="EW247" i="5" a="1"/>
  <c r="EW247" i="5" s="1"/>
  <c r="EX247" i="5" a="1"/>
  <c r="EX247" i="5" s="1"/>
  <c r="EY247" i="5" a="1"/>
  <c r="EY247" i="5" s="1"/>
  <c r="EZ247" i="5" a="1"/>
  <c r="EZ247" i="5"/>
  <c r="FA247" i="5" a="1"/>
  <c r="FA247" i="5" s="1"/>
  <c r="FB247" i="5" a="1"/>
  <c r="FB247" i="5" s="1"/>
  <c r="FC247" i="5" a="1"/>
  <c r="FC247" i="5" s="1"/>
  <c r="FD247" i="5" a="1"/>
  <c r="FD247" i="5" s="1"/>
  <c r="FE247" i="5" a="1"/>
  <c r="FE247" i="5" s="1"/>
  <c r="FF247" i="5" a="1"/>
  <c r="FF247" i="5" s="1"/>
  <c r="FG247" i="5" a="1"/>
  <c r="FG247" i="5" s="1"/>
  <c r="FH247" i="5" a="1"/>
  <c r="FH247" i="5" s="1"/>
  <c r="FI247" i="5" a="1"/>
  <c r="FI247" i="5" s="1"/>
  <c r="FJ247" i="5" a="1"/>
  <c r="FJ247" i="5" s="1"/>
  <c r="FK247" i="5" a="1"/>
  <c r="FK247" i="5" s="1"/>
  <c r="FL247" i="5" a="1"/>
  <c r="FL247" i="5" s="1"/>
  <c r="FM247" i="5" a="1"/>
  <c r="FM247" i="5" s="1"/>
  <c r="FN247" i="5" a="1"/>
  <c r="FN247" i="5" s="1"/>
  <c r="FO247" i="5" a="1"/>
  <c r="FO247" i="5" s="1"/>
  <c r="EI248" i="5" a="1"/>
  <c r="EI248" i="5" s="1"/>
  <c r="EJ248" i="5" a="1"/>
  <c r="EJ248" i="5" s="1"/>
  <c r="EK248" i="5" a="1"/>
  <c r="EK248" i="5" s="1"/>
  <c r="EL248" i="5" a="1"/>
  <c r="EL248" i="5" s="1"/>
  <c r="EM248" i="5" a="1"/>
  <c r="EM248" i="5" s="1"/>
  <c r="EN248" i="5" a="1"/>
  <c r="EN248" i="5" s="1"/>
  <c r="EO248" i="5" a="1"/>
  <c r="EO248" i="5" s="1"/>
  <c r="EP248" i="5" a="1"/>
  <c r="EP248" i="5" s="1"/>
  <c r="EQ248" i="5" a="1"/>
  <c r="EQ248" i="5" s="1"/>
  <c r="ER248" i="5" a="1"/>
  <c r="ER248" i="5" s="1"/>
  <c r="ES248" i="5" a="1"/>
  <c r="ES248" i="5" s="1"/>
  <c r="ET248" i="5" a="1"/>
  <c r="ET248" i="5" s="1"/>
  <c r="EU248" i="5" a="1"/>
  <c r="EU248" i="5" s="1"/>
  <c r="EV248" i="5" a="1"/>
  <c r="EV248" i="5" s="1"/>
  <c r="EW248" i="5" a="1"/>
  <c r="EW248" i="5" s="1"/>
  <c r="EX248" i="5" a="1"/>
  <c r="EX248" i="5" s="1"/>
  <c r="EY248" i="5" a="1"/>
  <c r="EY248" i="5" s="1"/>
  <c r="EZ248" i="5" a="1"/>
  <c r="EZ248" i="5" s="1"/>
  <c r="FA248" i="5" a="1"/>
  <c r="FA248" i="5" s="1"/>
  <c r="FB248" i="5" a="1"/>
  <c r="FB248" i="5" s="1"/>
  <c r="FC248" i="5" a="1"/>
  <c r="FC248" i="5" s="1"/>
  <c r="FD248" i="5" a="1"/>
  <c r="FD248" i="5" s="1"/>
  <c r="FE248" i="5" a="1"/>
  <c r="FE248" i="5" s="1"/>
  <c r="FF248" i="5" a="1"/>
  <c r="FF248" i="5" s="1"/>
  <c r="FG248" i="5" a="1"/>
  <c r="FG248" i="5" s="1"/>
  <c r="FH248" i="5" a="1"/>
  <c r="FH248" i="5" s="1"/>
  <c r="FI248" i="5" a="1"/>
  <c r="FI248" i="5" s="1"/>
  <c r="FJ248" i="5" a="1"/>
  <c r="FJ248" i="5" s="1"/>
  <c r="FK248" i="5" a="1"/>
  <c r="FK248" i="5" s="1"/>
  <c r="FL248" i="5" a="1"/>
  <c r="FL248" i="5" s="1"/>
  <c r="FM248" i="5" a="1"/>
  <c r="FM248" i="5" s="1"/>
  <c r="FN248" i="5" a="1"/>
  <c r="FN248" i="5" s="1"/>
  <c r="FO248" i="5" a="1"/>
  <c r="FO248" i="5" s="1"/>
  <c r="EI249" i="5" a="1"/>
  <c r="EI249" i="5" s="1"/>
  <c r="EJ249" i="5" a="1"/>
  <c r="EJ249" i="5" s="1"/>
  <c r="EK249" i="5" a="1"/>
  <c r="EK249" i="5" s="1"/>
  <c r="EL249" i="5" a="1"/>
  <c r="EL249" i="5" s="1"/>
  <c r="EM249" i="5" a="1"/>
  <c r="EM249" i="5" s="1"/>
  <c r="EN249" i="5" a="1"/>
  <c r="EN249" i="5" s="1"/>
  <c r="EO249" i="5" a="1"/>
  <c r="EO249" i="5" s="1"/>
  <c r="EP249" i="5" a="1"/>
  <c r="EP249" i="5" s="1"/>
  <c r="EQ249" i="5" a="1"/>
  <c r="EQ249" i="5" s="1"/>
  <c r="ER249" i="5" a="1"/>
  <c r="ER249" i="5" s="1"/>
  <c r="ES249" i="5" a="1"/>
  <c r="ES249" i="5" s="1"/>
  <c r="ET249" i="5" a="1"/>
  <c r="ET249" i="5" s="1"/>
  <c r="EU249" i="5" a="1"/>
  <c r="EU249" i="5" s="1"/>
  <c r="EV249" i="5" a="1"/>
  <c r="EV249" i="5" s="1"/>
  <c r="EW249" i="5" a="1"/>
  <c r="EW249" i="5" s="1"/>
  <c r="EX249" i="5" a="1"/>
  <c r="EX249" i="5" s="1"/>
  <c r="EY249" i="5" a="1"/>
  <c r="EY249" i="5" s="1"/>
  <c r="EZ249" i="5" a="1"/>
  <c r="EZ249" i="5" s="1"/>
  <c r="FA249" i="5" a="1"/>
  <c r="FA249" i="5" s="1"/>
  <c r="FB249" i="5" a="1"/>
  <c r="FB249" i="5" s="1"/>
  <c r="FC249" i="5" a="1"/>
  <c r="FC249" i="5" s="1"/>
  <c r="FD249" i="5" a="1"/>
  <c r="FD249" i="5" s="1"/>
  <c r="FE249" i="5" a="1"/>
  <c r="FE249" i="5" s="1"/>
  <c r="FF249" i="5" a="1"/>
  <c r="FF249" i="5" s="1"/>
  <c r="FG249" i="5" a="1"/>
  <c r="FG249" i="5" s="1"/>
  <c r="FH249" i="5" a="1"/>
  <c r="FH249" i="5" s="1"/>
  <c r="FI249" i="5" a="1"/>
  <c r="FI249" i="5" s="1"/>
  <c r="FJ249" i="5" a="1"/>
  <c r="FJ249" i="5" s="1"/>
  <c r="FK249" i="5" a="1"/>
  <c r="FK249" i="5" s="1"/>
  <c r="FL249" i="5" a="1"/>
  <c r="FL249" i="5" s="1"/>
  <c r="FM249" i="5" a="1"/>
  <c r="FM249" i="5" s="1"/>
  <c r="FN249" i="5" a="1"/>
  <c r="FN249" i="5" s="1"/>
  <c r="FO249" i="5" a="1"/>
  <c r="FO249" i="5" s="1"/>
  <c r="EI250" i="5" a="1"/>
  <c r="EI250" i="5" s="1"/>
  <c r="EJ250" i="5" a="1"/>
  <c r="EJ250" i="5" s="1"/>
  <c r="EK250" i="5" a="1"/>
  <c r="EK250" i="5" s="1"/>
  <c r="EL250" i="5" a="1"/>
  <c r="EL250" i="5" s="1"/>
  <c r="EM250" i="5" a="1"/>
  <c r="EM250" i="5" s="1"/>
  <c r="EN250" i="5" a="1"/>
  <c r="EN250" i="5" s="1"/>
  <c r="EO250" i="5" a="1"/>
  <c r="EO250" i="5" s="1"/>
  <c r="EP250" i="5" a="1"/>
  <c r="EP250" i="5" s="1"/>
  <c r="EQ250" i="5" a="1"/>
  <c r="EQ250" i="5" s="1"/>
  <c r="ER250" i="5" a="1"/>
  <c r="ER250" i="5" s="1"/>
  <c r="ES250" i="5" a="1"/>
  <c r="ES250" i="5" s="1"/>
  <c r="ET250" i="5" a="1"/>
  <c r="ET250" i="5" s="1"/>
  <c r="EU250" i="5" a="1"/>
  <c r="EU250" i="5" s="1"/>
  <c r="EV250" i="5" a="1"/>
  <c r="EV250" i="5" s="1"/>
  <c r="EW250" i="5" a="1"/>
  <c r="EW250" i="5" s="1"/>
  <c r="EX250" i="5" a="1"/>
  <c r="EX250" i="5" s="1"/>
  <c r="EY250" i="5" a="1"/>
  <c r="EY250" i="5" s="1"/>
  <c r="EZ250" i="5" a="1"/>
  <c r="EZ250" i="5" s="1"/>
  <c r="FA250" i="5" a="1"/>
  <c r="FA250" i="5" s="1"/>
  <c r="FB250" i="5" a="1"/>
  <c r="FB250" i="5" s="1"/>
  <c r="FC250" i="5" a="1"/>
  <c r="FC250" i="5" s="1"/>
  <c r="FD250" i="5" a="1"/>
  <c r="FD250" i="5" s="1"/>
  <c r="FE250" i="5" a="1"/>
  <c r="FE250" i="5" s="1"/>
  <c r="FF250" i="5" a="1"/>
  <c r="FF250" i="5" s="1"/>
  <c r="FG250" i="5" a="1"/>
  <c r="FG250" i="5" s="1"/>
  <c r="FH250" i="5" a="1"/>
  <c r="FH250" i="5" s="1"/>
  <c r="FI250" i="5" a="1"/>
  <c r="FI250" i="5" s="1"/>
  <c r="FJ250" i="5" a="1"/>
  <c r="FJ250" i="5" s="1"/>
  <c r="FK250" i="5" a="1"/>
  <c r="FK250" i="5" s="1"/>
  <c r="FL250" i="5" a="1"/>
  <c r="FL250" i="5" s="1"/>
  <c r="FM250" i="5" a="1"/>
  <c r="FM250" i="5" s="1"/>
  <c r="FN250" i="5" a="1"/>
  <c r="FN250" i="5" s="1"/>
  <c r="FO250" i="5" a="1"/>
  <c r="FO250" i="5" s="1"/>
  <c r="EI251" i="5" a="1"/>
  <c r="EI251" i="5" s="1"/>
  <c r="EJ251" i="5" a="1"/>
  <c r="EJ251" i="5" s="1"/>
  <c r="EK251" i="5" a="1"/>
  <c r="EK251" i="5" s="1"/>
  <c r="EL251" i="5" a="1"/>
  <c r="EL251" i="5" s="1"/>
  <c r="EM251" i="5" a="1"/>
  <c r="EM251" i="5" s="1"/>
  <c r="EN251" i="5" a="1"/>
  <c r="EN251" i="5" s="1"/>
  <c r="EO251" i="5" a="1"/>
  <c r="EO251" i="5" s="1"/>
  <c r="EP251" i="5" a="1"/>
  <c r="EP251" i="5" s="1"/>
  <c r="EQ251" i="5" a="1"/>
  <c r="EQ251" i="5" s="1"/>
  <c r="ER251" i="5" a="1"/>
  <c r="ER251" i="5" s="1"/>
  <c r="ES251" i="5" a="1"/>
  <c r="ES251" i="5" s="1"/>
  <c r="ET251" i="5" a="1"/>
  <c r="ET251" i="5" s="1"/>
  <c r="EU251" i="5" a="1"/>
  <c r="EU251" i="5" s="1"/>
  <c r="EV251" i="5" a="1"/>
  <c r="EV251" i="5" s="1"/>
  <c r="EW251" i="5" a="1"/>
  <c r="EW251" i="5" s="1"/>
  <c r="EX251" i="5" a="1"/>
  <c r="EX251" i="5" s="1"/>
  <c r="EY251" i="5" a="1"/>
  <c r="EY251" i="5" s="1"/>
  <c r="EZ251" i="5" a="1"/>
  <c r="EZ251" i="5" s="1"/>
  <c r="FA251" i="5" a="1"/>
  <c r="FA251" i="5" s="1"/>
  <c r="FB251" i="5" a="1"/>
  <c r="FB251" i="5" s="1"/>
  <c r="FC251" i="5" a="1"/>
  <c r="FC251" i="5" s="1"/>
  <c r="FD251" i="5" a="1"/>
  <c r="FD251" i="5" s="1"/>
  <c r="FE251" i="5" a="1"/>
  <c r="FE251" i="5" s="1"/>
  <c r="FF251" i="5" a="1"/>
  <c r="FF251" i="5" s="1"/>
  <c r="FG251" i="5" a="1"/>
  <c r="FG251" i="5" s="1"/>
  <c r="FH251" i="5" a="1"/>
  <c r="FH251" i="5" s="1"/>
  <c r="FI251" i="5" a="1"/>
  <c r="FI251" i="5" s="1"/>
  <c r="FJ251" i="5" a="1"/>
  <c r="FJ251" i="5" s="1"/>
  <c r="FK251" i="5" a="1"/>
  <c r="FK251" i="5" s="1"/>
  <c r="FL251" i="5" a="1"/>
  <c r="FL251" i="5" s="1"/>
  <c r="FM251" i="5" a="1"/>
  <c r="FM251" i="5" s="1"/>
  <c r="FN251" i="5" a="1"/>
  <c r="FN251" i="5" s="1"/>
  <c r="FO251" i="5" a="1"/>
  <c r="FO251" i="5" s="1"/>
  <c r="EI252" i="5" a="1"/>
  <c r="EI252" i="5" s="1"/>
  <c r="EJ252" i="5" a="1"/>
  <c r="EJ252" i="5" s="1"/>
  <c r="EK252" i="5" a="1"/>
  <c r="EK252" i="5" s="1"/>
  <c r="EL252" i="5" a="1"/>
  <c r="EL252" i="5" s="1"/>
  <c r="EM252" i="5" a="1"/>
  <c r="EM252" i="5" s="1"/>
  <c r="EN252" i="5" a="1"/>
  <c r="EN252" i="5" s="1"/>
  <c r="EO252" i="5" a="1"/>
  <c r="EO252" i="5" s="1"/>
  <c r="EP252" i="5" a="1"/>
  <c r="EP252" i="5" s="1"/>
  <c r="EQ252" i="5" a="1"/>
  <c r="EQ252" i="5" s="1"/>
  <c r="ER252" i="5" a="1"/>
  <c r="ER252" i="5" s="1"/>
  <c r="ES252" i="5" a="1"/>
  <c r="ES252" i="5" s="1"/>
  <c r="ET252" i="5" a="1"/>
  <c r="ET252" i="5" s="1"/>
  <c r="EU252" i="5" a="1"/>
  <c r="EU252" i="5" s="1"/>
  <c r="EV252" i="5" a="1"/>
  <c r="EV252" i="5" s="1"/>
  <c r="EW252" i="5" a="1"/>
  <c r="EW252" i="5" s="1"/>
  <c r="EX252" i="5" a="1"/>
  <c r="EX252" i="5" s="1"/>
  <c r="EY252" i="5" a="1"/>
  <c r="EY252" i="5" s="1"/>
  <c r="EZ252" i="5" a="1"/>
  <c r="EZ252" i="5" s="1"/>
  <c r="FA252" i="5" a="1"/>
  <c r="FA252" i="5" s="1"/>
  <c r="FB252" i="5" a="1"/>
  <c r="FB252" i="5" s="1"/>
  <c r="FC252" i="5" a="1"/>
  <c r="FC252" i="5" s="1"/>
  <c r="FD252" i="5" a="1"/>
  <c r="FD252" i="5" s="1"/>
  <c r="FE252" i="5" a="1"/>
  <c r="FE252" i="5" s="1"/>
  <c r="FF252" i="5" a="1"/>
  <c r="FF252" i="5" s="1"/>
  <c r="FG252" i="5" a="1"/>
  <c r="FG252" i="5" s="1"/>
  <c r="FH252" i="5" a="1"/>
  <c r="FH252" i="5" s="1"/>
  <c r="FI252" i="5" a="1"/>
  <c r="FI252" i="5" s="1"/>
  <c r="FJ252" i="5" a="1"/>
  <c r="FJ252" i="5" s="1"/>
  <c r="FK252" i="5" a="1"/>
  <c r="FK252" i="5" s="1"/>
  <c r="FL252" i="5" a="1"/>
  <c r="FL252" i="5" s="1"/>
  <c r="FM252" i="5" a="1"/>
  <c r="FM252" i="5" s="1"/>
  <c r="FN252" i="5" a="1"/>
  <c r="FN252" i="5" s="1"/>
  <c r="FO252" i="5" a="1"/>
  <c r="FO252" i="5" s="1"/>
  <c r="EI253" i="5" a="1"/>
  <c r="EI253" i="5" s="1"/>
  <c r="EJ253" i="5" a="1"/>
  <c r="EJ253" i="5" s="1"/>
  <c r="EK253" i="5" a="1"/>
  <c r="EK253" i="5" s="1"/>
  <c r="EL253" i="5" a="1"/>
  <c r="EL253" i="5" s="1"/>
  <c r="EM253" i="5" a="1"/>
  <c r="EM253" i="5" s="1"/>
  <c r="EN253" i="5" a="1"/>
  <c r="EN253" i="5" s="1"/>
  <c r="EO253" i="5" a="1"/>
  <c r="EO253" i="5" s="1"/>
  <c r="EP253" i="5" a="1"/>
  <c r="EP253" i="5" s="1"/>
  <c r="EQ253" i="5" a="1"/>
  <c r="EQ253" i="5" s="1"/>
  <c r="ER253" i="5" a="1"/>
  <c r="ER253" i="5" s="1"/>
  <c r="ES253" i="5" a="1"/>
  <c r="ES253" i="5" s="1"/>
  <c r="ET253" i="5" a="1"/>
  <c r="ET253" i="5" s="1"/>
  <c r="EU253" i="5" a="1"/>
  <c r="EU253" i="5" s="1"/>
  <c r="EV253" i="5" a="1"/>
  <c r="EV253" i="5" s="1"/>
  <c r="EW253" i="5" a="1"/>
  <c r="EW253" i="5" s="1"/>
  <c r="EX253" i="5" a="1"/>
  <c r="EX253" i="5" s="1"/>
  <c r="EY253" i="5" a="1"/>
  <c r="EY253" i="5" s="1"/>
  <c r="EZ253" i="5" a="1"/>
  <c r="EZ253" i="5" s="1"/>
  <c r="FA253" i="5" a="1"/>
  <c r="FA253" i="5" s="1"/>
  <c r="FB253" i="5" a="1"/>
  <c r="FB253" i="5" s="1"/>
  <c r="FC253" i="5" a="1"/>
  <c r="FC253" i="5" s="1"/>
  <c r="FD253" i="5" a="1"/>
  <c r="FD253" i="5" s="1"/>
  <c r="FE253" i="5" a="1"/>
  <c r="FE253" i="5" s="1"/>
  <c r="FF253" i="5" a="1"/>
  <c r="FF253" i="5" s="1"/>
  <c r="FG253" i="5" a="1"/>
  <c r="FG253" i="5" s="1"/>
  <c r="FH253" i="5" a="1"/>
  <c r="FH253" i="5" s="1"/>
  <c r="FI253" i="5" a="1"/>
  <c r="FI253" i="5" s="1"/>
  <c r="FJ253" i="5" a="1"/>
  <c r="FJ253" i="5" s="1"/>
  <c r="FK253" i="5" a="1"/>
  <c r="FK253" i="5" s="1"/>
  <c r="FL253" i="5" a="1"/>
  <c r="FL253" i="5" s="1"/>
  <c r="FM253" i="5" a="1"/>
  <c r="FM253" i="5" s="1"/>
  <c r="FN253" i="5" a="1"/>
  <c r="FN253" i="5" s="1"/>
  <c r="FO253" i="5" a="1"/>
  <c r="FO253" i="5" s="1"/>
  <c r="EI254" i="5" a="1"/>
  <c r="EI254" i="5" s="1"/>
  <c r="EJ254" i="5" a="1"/>
  <c r="EJ254" i="5" s="1"/>
  <c r="EK254" i="5" a="1"/>
  <c r="EK254" i="5" s="1"/>
  <c r="EL254" i="5" a="1"/>
  <c r="EL254" i="5" s="1"/>
  <c r="EM254" i="5" a="1"/>
  <c r="EM254" i="5" s="1"/>
  <c r="EN254" i="5" a="1"/>
  <c r="EN254" i="5" s="1"/>
  <c r="EO254" i="5" a="1"/>
  <c r="EO254" i="5" s="1"/>
  <c r="EP254" i="5" a="1"/>
  <c r="EP254" i="5" s="1"/>
  <c r="EQ254" i="5" a="1"/>
  <c r="EQ254" i="5" s="1"/>
  <c r="ER254" i="5" a="1"/>
  <c r="ER254" i="5" s="1"/>
  <c r="ES254" i="5" a="1"/>
  <c r="ES254" i="5" s="1"/>
  <c r="ET254" i="5" a="1"/>
  <c r="ET254" i="5" s="1"/>
  <c r="EU254" i="5" a="1"/>
  <c r="EU254" i="5" s="1"/>
  <c r="EV254" i="5" a="1"/>
  <c r="EV254" i="5" s="1"/>
  <c r="EW254" i="5" a="1"/>
  <c r="EW254" i="5" s="1"/>
  <c r="EX254" i="5" a="1"/>
  <c r="EX254" i="5" s="1"/>
  <c r="EY254" i="5" a="1"/>
  <c r="EY254" i="5" s="1"/>
  <c r="EZ254" i="5" a="1"/>
  <c r="EZ254" i="5" s="1"/>
  <c r="FA254" i="5" a="1"/>
  <c r="FA254" i="5" s="1"/>
  <c r="FB254" i="5" a="1"/>
  <c r="FB254" i="5" s="1"/>
  <c r="FC254" i="5" a="1"/>
  <c r="FC254" i="5" s="1"/>
  <c r="FD254" i="5" a="1"/>
  <c r="FD254" i="5" s="1"/>
  <c r="FE254" i="5" a="1"/>
  <c r="FE254" i="5" s="1"/>
  <c r="FF254" i="5" a="1"/>
  <c r="FF254" i="5" s="1"/>
  <c r="FG254" i="5" a="1"/>
  <c r="FG254" i="5" s="1"/>
  <c r="FH254" i="5" a="1"/>
  <c r="FH254" i="5" s="1"/>
  <c r="FI254" i="5" a="1"/>
  <c r="FI254" i="5" s="1"/>
  <c r="FJ254" i="5" a="1"/>
  <c r="FJ254" i="5" s="1"/>
  <c r="FK254" i="5" a="1"/>
  <c r="FK254" i="5" s="1"/>
  <c r="FL254" i="5" a="1"/>
  <c r="FL254" i="5" s="1"/>
  <c r="FM254" i="5" a="1"/>
  <c r="FM254" i="5" s="1"/>
  <c r="FN254" i="5" a="1"/>
  <c r="FN254" i="5" s="1"/>
  <c r="FO254" i="5" a="1"/>
  <c r="FO254" i="5" s="1"/>
  <c r="EI255" i="5" a="1"/>
  <c r="EI255" i="5" s="1"/>
  <c r="EJ255" i="5" a="1"/>
  <c r="EJ255" i="5" s="1"/>
  <c r="EK255" i="5" a="1"/>
  <c r="EK255" i="5" s="1"/>
  <c r="EL255" i="5" a="1"/>
  <c r="EL255" i="5" s="1"/>
  <c r="EM255" i="5" a="1"/>
  <c r="EM255" i="5" s="1"/>
  <c r="EN255" i="5" a="1"/>
  <c r="EN255" i="5" s="1"/>
  <c r="EO255" i="5" a="1"/>
  <c r="EO255" i="5" s="1"/>
  <c r="EP255" i="5" a="1"/>
  <c r="EP255" i="5" s="1"/>
  <c r="EQ255" i="5" a="1"/>
  <c r="EQ255" i="5" s="1"/>
  <c r="ER255" i="5" a="1"/>
  <c r="ER255" i="5" s="1"/>
  <c r="ES255" i="5" a="1"/>
  <c r="ES255" i="5" s="1"/>
  <c r="ET255" i="5" a="1"/>
  <c r="ET255" i="5" s="1"/>
  <c r="EU255" i="5" a="1"/>
  <c r="EU255" i="5" s="1"/>
  <c r="EV255" i="5" a="1"/>
  <c r="EV255" i="5" s="1"/>
  <c r="EW255" i="5" a="1"/>
  <c r="EW255" i="5" s="1"/>
  <c r="EX255" i="5" a="1"/>
  <c r="EX255" i="5" s="1"/>
  <c r="EY255" i="5" a="1"/>
  <c r="EY255" i="5" s="1"/>
  <c r="EZ255" i="5" a="1"/>
  <c r="EZ255" i="5" s="1"/>
  <c r="FA255" i="5" a="1"/>
  <c r="FA255" i="5" s="1"/>
  <c r="FB255" i="5" a="1"/>
  <c r="FB255" i="5" s="1"/>
  <c r="FC255" i="5" a="1"/>
  <c r="FC255" i="5" s="1"/>
  <c r="FD255" i="5" a="1"/>
  <c r="FD255" i="5" s="1"/>
  <c r="FE255" i="5" a="1"/>
  <c r="FE255" i="5" s="1"/>
  <c r="FF255" i="5" a="1"/>
  <c r="FF255" i="5" s="1"/>
  <c r="FG255" i="5" a="1"/>
  <c r="FG255" i="5" s="1"/>
  <c r="FH255" i="5" a="1"/>
  <c r="FH255" i="5" s="1"/>
  <c r="FI255" i="5" a="1"/>
  <c r="FI255" i="5" s="1"/>
  <c r="FJ255" i="5" a="1"/>
  <c r="FJ255" i="5" s="1"/>
  <c r="FK255" i="5" a="1"/>
  <c r="FK255" i="5" s="1"/>
  <c r="FL255" i="5" a="1"/>
  <c r="FL255" i="5" s="1"/>
  <c r="FM255" i="5" a="1"/>
  <c r="FM255" i="5" s="1"/>
  <c r="FN255" i="5" a="1"/>
  <c r="FN255" i="5" s="1"/>
  <c r="FO255" i="5" a="1"/>
  <c r="FO255" i="5" s="1"/>
  <c r="EI256" i="5" a="1"/>
  <c r="EI256" i="5" s="1"/>
  <c r="EJ256" i="5" a="1"/>
  <c r="EJ256" i="5" s="1"/>
  <c r="EK256" i="5" a="1"/>
  <c r="EK256" i="5" s="1"/>
  <c r="EL256" i="5" a="1"/>
  <c r="EL256" i="5" s="1"/>
  <c r="EM256" i="5" a="1"/>
  <c r="EM256" i="5" s="1"/>
  <c r="EN256" i="5" a="1"/>
  <c r="EN256" i="5" s="1"/>
  <c r="EO256" i="5" a="1"/>
  <c r="EO256" i="5" s="1"/>
  <c r="EP256" i="5" a="1"/>
  <c r="EP256" i="5" s="1"/>
  <c r="EQ256" i="5" a="1"/>
  <c r="EQ256" i="5" s="1"/>
  <c r="ER256" i="5" a="1"/>
  <c r="ER256" i="5" s="1"/>
  <c r="ES256" i="5" a="1"/>
  <c r="ES256" i="5" s="1"/>
  <c r="ET256" i="5" a="1"/>
  <c r="ET256" i="5" s="1"/>
  <c r="EU256" i="5" a="1"/>
  <c r="EU256" i="5" s="1"/>
  <c r="EV256" i="5" a="1"/>
  <c r="EV256" i="5" s="1"/>
  <c r="EW256" i="5" a="1"/>
  <c r="EW256" i="5" s="1"/>
  <c r="EX256" i="5" a="1"/>
  <c r="EX256" i="5" s="1"/>
  <c r="EY256" i="5" a="1"/>
  <c r="EY256" i="5" s="1"/>
  <c r="EZ256" i="5" a="1"/>
  <c r="EZ256" i="5" s="1"/>
  <c r="FA256" i="5" a="1"/>
  <c r="FA256" i="5" s="1"/>
  <c r="FB256" i="5" a="1"/>
  <c r="FB256" i="5" s="1"/>
  <c r="FC256" i="5" a="1"/>
  <c r="FC256" i="5" s="1"/>
  <c r="FD256" i="5" a="1"/>
  <c r="FD256" i="5" s="1"/>
  <c r="FE256" i="5" a="1"/>
  <c r="FE256" i="5" s="1"/>
  <c r="FF256" i="5" a="1"/>
  <c r="FF256" i="5" s="1"/>
  <c r="FG256" i="5" a="1"/>
  <c r="FG256" i="5" s="1"/>
  <c r="FH256" i="5" a="1"/>
  <c r="FH256" i="5" s="1"/>
  <c r="FI256" i="5" a="1"/>
  <c r="FI256" i="5" s="1"/>
  <c r="FJ256" i="5" a="1"/>
  <c r="FJ256" i="5" s="1"/>
  <c r="FK256" i="5" a="1"/>
  <c r="FK256" i="5" s="1"/>
  <c r="FL256" i="5" a="1"/>
  <c r="FL256" i="5" s="1"/>
  <c r="FM256" i="5" a="1"/>
  <c r="FM256" i="5" s="1"/>
  <c r="FN256" i="5" a="1"/>
  <c r="FN256" i="5" s="1"/>
  <c r="FO256" i="5" a="1"/>
  <c r="FO256" i="5" s="1"/>
  <c r="EI257" i="5" a="1"/>
  <c r="EI257" i="5" s="1"/>
  <c r="EJ257" i="5" a="1"/>
  <c r="EJ257" i="5" s="1"/>
  <c r="EK257" i="5" a="1"/>
  <c r="EK257" i="5" s="1"/>
  <c r="EL257" i="5" a="1"/>
  <c r="EL257" i="5" s="1"/>
  <c r="EM257" i="5" a="1"/>
  <c r="EM257" i="5" s="1"/>
  <c r="EN257" i="5" a="1"/>
  <c r="EN257" i="5" s="1"/>
  <c r="EO257" i="5" a="1"/>
  <c r="EO257" i="5" s="1"/>
  <c r="EP257" i="5" a="1"/>
  <c r="EP257" i="5" s="1"/>
  <c r="EQ257" i="5" a="1"/>
  <c r="EQ257" i="5" s="1"/>
  <c r="ER257" i="5" a="1"/>
  <c r="ER257" i="5" s="1"/>
  <c r="ES257" i="5" a="1"/>
  <c r="ES257" i="5" s="1"/>
  <c r="ET257" i="5" a="1"/>
  <c r="ET257" i="5" s="1"/>
  <c r="EU257" i="5" a="1"/>
  <c r="EU257" i="5" s="1"/>
  <c r="EV257" i="5" a="1"/>
  <c r="EV257" i="5" s="1"/>
  <c r="EW257" i="5" a="1"/>
  <c r="EW257" i="5" s="1"/>
  <c r="EX257" i="5" a="1"/>
  <c r="EX257" i="5" s="1"/>
  <c r="EY257" i="5" a="1"/>
  <c r="EY257" i="5" s="1"/>
  <c r="EZ257" i="5" a="1"/>
  <c r="EZ257" i="5" s="1"/>
  <c r="FA257" i="5" a="1"/>
  <c r="FA257" i="5" s="1"/>
  <c r="FB257" i="5" a="1"/>
  <c r="FB257" i="5" s="1"/>
  <c r="FC257" i="5" a="1"/>
  <c r="FC257" i="5" s="1"/>
  <c r="FD257" i="5" a="1"/>
  <c r="FD257" i="5" s="1"/>
  <c r="FE257" i="5" a="1"/>
  <c r="FE257" i="5" s="1"/>
  <c r="FF257" i="5" a="1"/>
  <c r="FF257" i="5" s="1"/>
  <c r="FG257" i="5" a="1"/>
  <c r="FG257" i="5" s="1"/>
  <c r="FH257" i="5" a="1"/>
  <c r="FH257" i="5" s="1"/>
  <c r="FI257" i="5" a="1"/>
  <c r="FI257" i="5" s="1"/>
  <c r="FJ257" i="5" a="1"/>
  <c r="FJ257" i="5" s="1"/>
  <c r="FK257" i="5" a="1"/>
  <c r="FK257" i="5" s="1"/>
  <c r="FL257" i="5" a="1"/>
  <c r="FL257" i="5" s="1"/>
  <c r="FM257" i="5" a="1"/>
  <c r="FM257" i="5" s="1"/>
  <c r="FN257" i="5" a="1"/>
  <c r="FN257" i="5" s="1"/>
  <c r="FO257" i="5" a="1"/>
  <c r="FO257" i="5" s="1"/>
  <c r="EI258" i="5" a="1"/>
  <c r="EI258" i="5" s="1"/>
  <c r="EJ258" i="5" a="1"/>
  <c r="EJ258" i="5" s="1"/>
  <c r="EK258" i="5" a="1"/>
  <c r="EK258" i="5" s="1"/>
  <c r="EL258" i="5" a="1"/>
  <c r="EL258" i="5" s="1"/>
  <c r="EM258" i="5" a="1"/>
  <c r="EM258" i="5" s="1"/>
  <c r="EN258" i="5" a="1"/>
  <c r="EN258" i="5" s="1"/>
  <c r="EO258" i="5" a="1"/>
  <c r="EO258" i="5" s="1"/>
  <c r="EP258" i="5" a="1"/>
  <c r="EP258" i="5" s="1"/>
  <c r="EQ258" i="5" a="1"/>
  <c r="EQ258" i="5" s="1"/>
  <c r="ER258" i="5" a="1"/>
  <c r="ER258" i="5" s="1"/>
  <c r="ES258" i="5" a="1"/>
  <c r="ES258" i="5" s="1"/>
  <c r="ET258" i="5" a="1"/>
  <c r="ET258" i="5" s="1"/>
  <c r="EU258" i="5" a="1"/>
  <c r="EU258" i="5" s="1"/>
  <c r="EV258" i="5" a="1"/>
  <c r="EV258" i="5" s="1"/>
  <c r="EW258" i="5" a="1"/>
  <c r="EW258" i="5" s="1"/>
  <c r="EX258" i="5" a="1"/>
  <c r="EX258" i="5" s="1"/>
  <c r="EY258" i="5" a="1"/>
  <c r="EY258" i="5" s="1"/>
  <c r="EZ258" i="5" a="1"/>
  <c r="EZ258" i="5" s="1"/>
  <c r="FA258" i="5" a="1"/>
  <c r="FA258" i="5" s="1"/>
  <c r="FB258" i="5" a="1"/>
  <c r="FB258" i="5" s="1"/>
  <c r="FC258" i="5" a="1"/>
  <c r="FC258" i="5" s="1"/>
  <c r="FD258" i="5" a="1"/>
  <c r="FD258" i="5" s="1"/>
  <c r="FE258" i="5" a="1"/>
  <c r="FE258" i="5" s="1"/>
  <c r="FF258" i="5" a="1"/>
  <c r="FF258" i="5" s="1"/>
  <c r="FG258" i="5" a="1"/>
  <c r="FG258" i="5" s="1"/>
  <c r="FH258" i="5" a="1"/>
  <c r="FH258" i="5" s="1"/>
  <c r="FI258" i="5" a="1"/>
  <c r="FI258" i="5" s="1"/>
  <c r="FJ258" i="5" a="1"/>
  <c r="FJ258" i="5" s="1"/>
  <c r="FK258" i="5" a="1"/>
  <c r="FK258" i="5" s="1"/>
  <c r="FL258" i="5" a="1"/>
  <c r="FL258" i="5" s="1"/>
  <c r="FM258" i="5" a="1"/>
  <c r="FM258" i="5" s="1"/>
  <c r="FN258" i="5" a="1"/>
  <c r="FN258" i="5" s="1"/>
  <c r="FO258" i="5" a="1"/>
  <c r="FO258" i="5" s="1"/>
  <c r="EI259" i="5" a="1"/>
  <c r="EI259" i="5" s="1"/>
  <c r="EJ259" i="5" a="1"/>
  <c r="EJ259" i="5" s="1"/>
  <c r="EK259" i="5" a="1"/>
  <c r="EK259" i="5" s="1"/>
  <c r="EL259" i="5" a="1"/>
  <c r="EL259" i="5" s="1"/>
  <c r="EM259" i="5" a="1"/>
  <c r="EM259" i="5" s="1"/>
  <c r="EN259" i="5" a="1"/>
  <c r="EN259" i="5" s="1"/>
  <c r="EO259" i="5" a="1"/>
  <c r="EO259" i="5" s="1"/>
  <c r="EP259" i="5" a="1"/>
  <c r="EP259" i="5" s="1"/>
  <c r="EQ259" i="5" a="1"/>
  <c r="EQ259" i="5" s="1"/>
  <c r="ER259" i="5" a="1"/>
  <c r="ER259" i="5" s="1"/>
  <c r="ES259" i="5" a="1"/>
  <c r="ES259" i="5" s="1"/>
  <c r="ET259" i="5" a="1"/>
  <c r="ET259" i="5" s="1"/>
  <c r="EU259" i="5" a="1"/>
  <c r="EU259" i="5" s="1"/>
  <c r="EV259" i="5" a="1"/>
  <c r="EV259" i="5" s="1"/>
  <c r="EW259" i="5" a="1"/>
  <c r="EW259" i="5" s="1"/>
  <c r="EX259" i="5" a="1"/>
  <c r="EX259" i="5" s="1"/>
  <c r="EY259" i="5" a="1"/>
  <c r="EY259" i="5" s="1"/>
  <c r="EZ259" i="5" a="1"/>
  <c r="EZ259" i="5" s="1"/>
  <c r="FA259" i="5" a="1"/>
  <c r="FA259" i="5" s="1"/>
  <c r="FB259" i="5" a="1"/>
  <c r="FB259" i="5" s="1"/>
  <c r="FC259" i="5" a="1"/>
  <c r="FC259" i="5" s="1"/>
  <c r="FD259" i="5" a="1"/>
  <c r="FD259" i="5" s="1"/>
  <c r="FE259" i="5" a="1"/>
  <c r="FE259" i="5" s="1"/>
  <c r="FF259" i="5" a="1"/>
  <c r="FF259" i="5" s="1"/>
  <c r="FG259" i="5" a="1"/>
  <c r="FG259" i="5" s="1"/>
  <c r="FH259" i="5" a="1"/>
  <c r="FH259" i="5" s="1"/>
  <c r="FI259" i="5" a="1"/>
  <c r="FI259" i="5" s="1"/>
  <c r="FJ259" i="5" a="1"/>
  <c r="FJ259" i="5" s="1"/>
  <c r="FK259" i="5" a="1"/>
  <c r="FK259" i="5" s="1"/>
  <c r="FL259" i="5" a="1"/>
  <c r="FL259" i="5" s="1"/>
  <c r="FM259" i="5" a="1"/>
  <c r="FM259" i="5" s="1"/>
  <c r="FN259" i="5" a="1"/>
  <c r="FN259" i="5" s="1"/>
  <c r="FO259" i="5" a="1"/>
  <c r="FO259" i="5" s="1"/>
  <c r="EI260" i="5" a="1"/>
  <c r="EI260" i="5" s="1"/>
  <c r="EJ260" i="5" a="1"/>
  <c r="EJ260" i="5" s="1"/>
  <c r="EK260" i="5" a="1"/>
  <c r="EK260" i="5" s="1"/>
  <c r="EL260" i="5" a="1"/>
  <c r="EL260" i="5" s="1"/>
  <c r="EM260" i="5" a="1"/>
  <c r="EM260" i="5" s="1"/>
  <c r="EN260" i="5" a="1"/>
  <c r="EN260" i="5" s="1"/>
  <c r="EO260" i="5" a="1"/>
  <c r="EO260" i="5" s="1"/>
  <c r="EP260" i="5" a="1"/>
  <c r="EP260" i="5" s="1"/>
  <c r="EQ260" i="5" a="1"/>
  <c r="EQ260" i="5" s="1"/>
  <c r="ER260" i="5" a="1"/>
  <c r="ER260" i="5" s="1"/>
  <c r="ES260" i="5" a="1"/>
  <c r="ES260" i="5" s="1"/>
  <c r="ET260" i="5" a="1"/>
  <c r="ET260" i="5" s="1"/>
  <c r="EU260" i="5" a="1"/>
  <c r="EU260" i="5" s="1"/>
  <c r="EV260" i="5" a="1"/>
  <c r="EV260" i="5" s="1"/>
  <c r="EW260" i="5" a="1"/>
  <c r="EW260" i="5" s="1"/>
  <c r="EX260" i="5" a="1"/>
  <c r="EX260" i="5" s="1"/>
  <c r="EY260" i="5" a="1"/>
  <c r="EY260" i="5" s="1"/>
  <c r="EZ260" i="5" a="1"/>
  <c r="EZ260" i="5" s="1"/>
  <c r="FA260" i="5" a="1"/>
  <c r="FA260" i="5" s="1"/>
  <c r="FB260" i="5" a="1"/>
  <c r="FB260" i="5" s="1"/>
  <c r="FC260" i="5" a="1"/>
  <c r="FC260" i="5" s="1"/>
  <c r="FD260" i="5" a="1"/>
  <c r="FD260" i="5" s="1"/>
  <c r="FE260" i="5" a="1"/>
  <c r="FE260" i="5" s="1"/>
  <c r="FF260" i="5" a="1"/>
  <c r="FF260" i="5" s="1"/>
  <c r="FG260" i="5" a="1"/>
  <c r="FG260" i="5" s="1"/>
  <c r="FH260" i="5" a="1"/>
  <c r="FH260" i="5" s="1"/>
  <c r="FI260" i="5" a="1"/>
  <c r="FI260" i="5" s="1"/>
  <c r="FJ260" i="5" a="1"/>
  <c r="FJ260" i="5" s="1"/>
  <c r="FK260" i="5" a="1"/>
  <c r="FK260" i="5" s="1"/>
  <c r="FL260" i="5" a="1"/>
  <c r="FL260" i="5" s="1"/>
  <c r="FM260" i="5" a="1"/>
  <c r="FM260" i="5" s="1"/>
  <c r="FN260" i="5" a="1"/>
  <c r="FN260" i="5" s="1"/>
  <c r="FO260" i="5" a="1"/>
  <c r="FO260" i="5" s="1"/>
  <c r="EI261" i="5" a="1"/>
  <c r="EI261" i="5" s="1"/>
  <c r="EJ261" i="5" a="1"/>
  <c r="EJ261" i="5" s="1"/>
  <c r="EK261" i="5" a="1"/>
  <c r="EK261" i="5" s="1"/>
  <c r="EL261" i="5" a="1"/>
  <c r="EL261" i="5" s="1"/>
  <c r="EM261" i="5" a="1"/>
  <c r="EM261" i="5" s="1"/>
  <c r="EN261" i="5" a="1"/>
  <c r="EN261" i="5" s="1"/>
  <c r="EO261" i="5" a="1"/>
  <c r="EO261" i="5" s="1"/>
  <c r="EP261" i="5" a="1"/>
  <c r="EP261" i="5" s="1"/>
  <c r="EQ261" i="5" a="1"/>
  <c r="EQ261" i="5" s="1"/>
  <c r="ER261" i="5" a="1"/>
  <c r="ER261" i="5" s="1"/>
  <c r="ES261" i="5" a="1"/>
  <c r="ES261" i="5" s="1"/>
  <c r="ET261" i="5" a="1"/>
  <c r="ET261" i="5" s="1"/>
  <c r="EU261" i="5" a="1"/>
  <c r="EU261" i="5" s="1"/>
  <c r="EV261" i="5" a="1"/>
  <c r="EV261" i="5" s="1"/>
  <c r="EW261" i="5" a="1"/>
  <c r="EW261" i="5" s="1"/>
  <c r="EX261" i="5" a="1"/>
  <c r="EX261" i="5" s="1"/>
  <c r="EY261" i="5" a="1"/>
  <c r="EY261" i="5" s="1"/>
  <c r="EZ261" i="5" a="1"/>
  <c r="EZ261" i="5" s="1"/>
  <c r="FA261" i="5" a="1"/>
  <c r="FA261" i="5" s="1"/>
  <c r="FB261" i="5" a="1"/>
  <c r="FB261" i="5" s="1"/>
  <c r="FC261" i="5" a="1"/>
  <c r="FC261" i="5" s="1"/>
  <c r="FD261" i="5" a="1"/>
  <c r="FD261" i="5" s="1"/>
  <c r="FE261" i="5" a="1"/>
  <c r="FE261" i="5" s="1"/>
  <c r="FF261" i="5" a="1"/>
  <c r="FF261" i="5" s="1"/>
  <c r="FG261" i="5" a="1"/>
  <c r="FG261" i="5" s="1"/>
  <c r="FH261" i="5" a="1"/>
  <c r="FH261" i="5" s="1"/>
  <c r="FI261" i="5" a="1"/>
  <c r="FI261" i="5" s="1"/>
  <c r="FJ261" i="5" a="1"/>
  <c r="FJ261" i="5" s="1"/>
  <c r="FK261" i="5" a="1"/>
  <c r="FK261" i="5" s="1"/>
  <c r="FL261" i="5" a="1"/>
  <c r="FL261" i="5" s="1"/>
  <c r="FM261" i="5" a="1"/>
  <c r="FM261" i="5" s="1"/>
  <c r="FN261" i="5" a="1"/>
  <c r="FN261" i="5" s="1"/>
  <c r="FO261" i="5" a="1"/>
  <c r="FO261" i="5" s="1"/>
  <c r="EI262" i="5" a="1"/>
  <c r="EI262" i="5" s="1"/>
  <c r="EJ262" i="5" a="1"/>
  <c r="EJ262" i="5" s="1"/>
  <c r="EK262" i="5" a="1"/>
  <c r="EK262" i="5" s="1"/>
  <c r="EL262" i="5" a="1"/>
  <c r="EL262" i="5" s="1"/>
  <c r="EM262" i="5" a="1"/>
  <c r="EM262" i="5" s="1"/>
  <c r="EN262" i="5" a="1"/>
  <c r="EN262" i="5" s="1"/>
  <c r="EO262" i="5" a="1"/>
  <c r="EO262" i="5" s="1"/>
  <c r="EP262" i="5" a="1"/>
  <c r="EP262" i="5" s="1"/>
  <c r="EQ262" i="5" a="1"/>
  <c r="EQ262" i="5" s="1"/>
  <c r="ER262" i="5" a="1"/>
  <c r="ER262" i="5" s="1"/>
  <c r="ES262" i="5" a="1"/>
  <c r="ES262" i="5" s="1"/>
  <c r="ET262" i="5" a="1"/>
  <c r="ET262" i="5" s="1"/>
  <c r="EU262" i="5" a="1"/>
  <c r="EU262" i="5" s="1"/>
  <c r="EV262" i="5" a="1"/>
  <c r="EV262" i="5" s="1"/>
  <c r="EW262" i="5" a="1"/>
  <c r="EW262" i="5" s="1"/>
  <c r="EX262" i="5" a="1"/>
  <c r="EX262" i="5" s="1"/>
  <c r="EY262" i="5" a="1"/>
  <c r="EY262" i="5" s="1"/>
  <c r="EZ262" i="5" a="1"/>
  <c r="EZ262" i="5" s="1"/>
  <c r="FA262" i="5" a="1"/>
  <c r="FA262" i="5" s="1"/>
  <c r="FB262" i="5" a="1"/>
  <c r="FB262" i="5" s="1"/>
  <c r="FC262" i="5" a="1"/>
  <c r="FC262" i="5" s="1"/>
  <c r="FD262" i="5" a="1"/>
  <c r="FD262" i="5" s="1"/>
  <c r="FE262" i="5" a="1"/>
  <c r="FE262" i="5" s="1"/>
  <c r="FF262" i="5" a="1"/>
  <c r="FF262" i="5" s="1"/>
  <c r="FG262" i="5" a="1"/>
  <c r="FG262" i="5" s="1"/>
  <c r="FH262" i="5" a="1"/>
  <c r="FH262" i="5" s="1"/>
  <c r="FI262" i="5" a="1"/>
  <c r="FI262" i="5" s="1"/>
  <c r="FJ262" i="5" a="1"/>
  <c r="FJ262" i="5" s="1"/>
  <c r="FK262" i="5" a="1"/>
  <c r="FK262" i="5" s="1"/>
  <c r="FL262" i="5" a="1"/>
  <c r="FL262" i="5" s="1"/>
  <c r="FM262" i="5" a="1"/>
  <c r="FM262" i="5" s="1"/>
  <c r="FN262" i="5" a="1"/>
  <c r="FN262" i="5" s="1"/>
  <c r="FO262" i="5" a="1"/>
  <c r="FO262" i="5" s="1"/>
  <c r="EI263" i="5" a="1"/>
  <c r="EI263" i="5" s="1"/>
  <c r="EJ263" i="5" a="1"/>
  <c r="EJ263" i="5" s="1"/>
  <c r="EK263" i="5" a="1"/>
  <c r="EK263" i="5" s="1"/>
  <c r="EL263" i="5" a="1"/>
  <c r="EL263" i="5" s="1"/>
  <c r="EM263" i="5" a="1"/>
  <c r="EM263" i="5" s="1"/>
  <c r="EN263" i="5" a="1"/>
  <c r="EN263" i="5" s="1"/>
  <c r="EO263" i="5" a="1"/>
  <c r="EO263" i="5" s="1"/>
  <c r="EP263" i="5" a="1"/>
  <c r="EP263" i="5" s="1"/>
  <c r="EQ263" i="5" a="1"/>
  <c r="EQ263" i="5" s="1"/>
  <c r="ER263" i="5" a="1"/>
  <c r="ER263" i="5" s="1"/>
  <c r="ES263" i="5" a="1"/>
  <c r="ES263" i="5" s="1"/>
  <c r="ET263" i="5" a="1"/>
  <c r="ET263" i="5" s="1"/>
  <c r="EU263" i="5" a="1"/>
  <c r="EU263" i="5" s="1"/>
  <c r="EV263" i="5" a="1"/>
  <c r="EV263" i="5" s="1"/>
  <c r="EW263" i="5" a="1"/>
  <c r="EW263" i="5" s="1"/>
  <c r="EX263" i="5" a="1"/>
  <c r="EX263" i="5" s="1"/>
  <c r="EY263" i="5" a="1"/>
  <c r="EY263" i="5" s="1"/>
  <c r="EZ263" i="5" a="1"/>
  <c r="EZ263" i="5" s="1"/>
  <c r="FA263" i="5" a="1"/>
  <c r="FA263" i="5" s="1"/>
  <c r="FB263" i="5" a="1"/>
  <c r="FB263" i="5" s="1"/>
  <c r="FC263" i="5" a="1"/>
  <c r="FC263" i="5" s="1"/>
  <c r="FD263" i="5" a="1"/>
  <c r="FD263" i="5" s="1"/>
  <c r="FE263" i="5" a="1"/>
  <c r="FE263" i="5" s="1"/>
  <c r="FF263" i="5" a="1"/>
  <c r="FF263" i="5" s="1"/>
  <c r="FG263" i="5" a="1"/>
  <c r="FG263" i="5" s="1"/>
  <c r="FH263" i="5" a="1"/>
  <c r="FH263" i="5" s="1"/>
  <c r="FI263" i="5" a="1"/>
  <c r="FI263" i="5" s="1"/>
  <c r="FJ263" i="5" a="1"/>
  <c r="FJ263" i="5" s="1"/>
  <c r="FK263" i="5" a="1"/>
  <c r="FK263" i="5" s="1"/>
  <c r="FL263" i="5" a="1"/>
  <c r="FL263" i="5" s="1"/>
  <c r="FM263" i="5" a="1"/>
  <c r="FM263" i="5" s="1"/>
  <c r="FN263" i="5" a="1"/>
  <c r="FN263" i="5" s="1"/>
  <c r="FO263" i="5" a="1"/>
  <c r="FO263" i="5" s="1"/>
  <c r="EI264" i="5" a="1"/>
  <c r="EI264" i="5" s="1"/>
  <c r="EJ264" i="5" a="1"/>
  <c r="EJ264" i="5" s="1"/>
  <c r="EK264" i="5" a="1"/>
  <c r="EK264" i="5" s="1"/>
  <c r="EL264" i="5" a="1"/>
  <c r="EL264" i="5" s="1"/>
  <c r="EM264" i="5" a="1"/>
  <c r="EM264" i="5" s="1"/>
  <c r="EN264" i="5" a="1"/>
  <c r="EN264" i="5" s="1"/>
  <c r="EO264" i="5" a="1"/>
  <c r="EO264" i="5" s="1"/>
  <c r="EP264" i="5" a="1"/>
  <c r="EP264" i="5" s="1"/>
  <c r="EQ264" i="5" a="1"/>
  <c r="EQ264" i="5" s="1"/>
  <c r="ER264" i="5" a="1"/>
  <c r="ER264" i="5" s="1"/>
  <c r="ES264" i="5" a="1"/>
  <c r="ES264" i="5" s="1"/>
  <c r="ET264" i="5" a="1"/>
  <c r="ET264" i="5" s="1"/>
  <c r="EU264" i="5" a="1"/>
  <c r="EU264" i="5" s="1"/>
  <c r="EV264" i="5" a="1"/>
  <c r="EV264" i="5" s="1"/>
  <c r="EW264" i="5" a="1"/>
  <c r="EW264" i="5" s="1"/>
  <c r="EX264" i="5" a="1"/>
  <c r="EX264" i="5" s="1"/>
  <c r="EY264" i="5" a="1"/>
  <c r="EY264" i="5" s="1"/>
  <c r="EZ264" i="5" a="1"/>
  <c r="EZ264" i="5" s="1"/>
  <c r="FA264" i="5" a="1"/>
  <c r="FA264" i="5" s="1"/>
  <c r="FB264" i="5" a="1"/>
  <c r="FB264" i="5" s="1"/>
  <c r="FC264" i="5" a="1"/>
  <c r="FC264" i="5" s="1"/>
  <c r="FD264" i="5" a="1"/>
  <c r="FD264" i="5" s="1"/>
  <c r="FE264" i="5" a="1"/>
  <c r="FE264" i="5" s="1"/>
  <c r="FF264" i="5" a="1"/>
  <c r="FF264" i="5" s="1"/>
  <c r="FG264" i="5" a="1"/>
  <c r="FG264" i="5" s="1"/>
  <c r="FH264" i="5" a="1"/>
  <c r="FH264" i="5" s="1"/>
  <c r="FI264" i="5" a="1"/>
  <c r="FI264" i="5" s="1"/>
  <c r="FJ264" i="5" a="1"/>
  <c r="FJ264" i="5" s="1"/>
  <c r="FK264" i="5" a="1"/>
  <c r="FK264" i="5" s="1"/>
  <c r="FL264" i="5" a="1"/>
  <c r="FL264" i="5" s="1"/>
  <c r="FM264" i="5" a="1"/>
  <c r="FM264" i="5" s="1"/>
  <c r="FN264" i="5" a="1"/>
  <c r="FN264" i="5" s="1"/>
  <c r="FO264" i="5" a="1"/>
  <c r="FO264" i="5" s="1"/>
  <c r="EI265" i="5" a="1"/>
  <c r="EI265" i="5" s="1"/>
  <c r="EJ265" i="5" a="1"/>
  <c r="EJ265" i="5" s="1"/>
  <c r="EK265" i="5" a="1"/>
  <c r="EK265" i="5" s="1"/>
  <c r="EL265" i="5" a="1"/>
  <c r="EL265" i="5" s="1"/>
  <c r="EM265" i="5" a="1"/>
  <c r="EM265" i="5" s="1"/>
  <c r="EN265" i="5" a="1"/>
  <c r="EN265" i="5" s="1"/>
  <c r="EO265" i="5" a="1"/>
  <c r="EO265" i="5" s="1"/>
  <c r="EP265" i="5" a="1"/>
  <c r="EP265" i="5" s="1"/>
  <c r="EQ265" i="5" a="1"/>
  <c r="EQ265" i="5" s="1"/>
  <c r="ER265" i="5" a="1"/>
  <c r="ER265" i="5" s="1"/>
  <c r="ES265" i="5" a="1"/>
  <c r="ES265" i="5" s="1"/>
  <c r="ET265" i="5" a="1"/>
  <c r="ET265" i="5" s="1"/>
  <c r="EU265" i="5" a="1"/>
  <c r="EU265" i="5" s="1"/>
  <c r="EV265" i="5" a="1"/>
  <c r="EV265" i="5" s="1"/>
  <c r="EW265" i="5" a="1"/>
  <c r="EW265" i="5" s="1"/>
  <c r="EX265" i="5" a="1"/>
  <c r="EX265" i="5" s="1"/>
  <c r="EY265" i="5" a="1"/>
  <c r="EY265" i="5" s="1"/>
  <c r="EZ265" i="5" a="1"/>
  <c r="EZ265" i="5" s="1"/>
  <c r="FA265" i="5" a="1"/>
  <c r="FA265" i="5" s="1"/>
  <c r="FB265" i="5" a="1"/>
  <c r="FB265" i="5" s="1"/>
  <c r="FC265" i="5" a="1"/>
  <c r="FC265" i="5" s="1"/>
  <c r="FD265" i="5" a="1"/>
  <c r="FD265" i="5" s="1"/>
  <c r="FE265" i="5" a="1"/>
  <c r="FE265" i="5" s="1"/>
  <c r="FF265" i="5" a="1"/>
  <c r="FF265" i="5" s="1"/>
  <c r="FG265" i="5" a="1"/>
  <c r="FG265" i="5" s="1"/>
  <c r="FH265" i="5" a="1"/>
  <c r="FH265" i="5" s="1"/>
  <c r="FI265" i="5" a="1"/>
  <c r="FI265" i="5" s="1"/>
  <c r="FJ265" i="5" a="1"/>
  <c r="FJ265" i="5" s="1"/>
  <c r="FK265" i="5" a="1"/>
  <c r="FK265" i="5" s="1"/>
  <c r="FL265" i="5" a="1"/>
  <c r="FL265" i="5" s="1"/>
  <c r="FM265" i="5" a="1"/>
  <c r="FM265" i="5" s="1"/>
  <c r="FN265" i="5" a="1"/>
  <c r="FN265" i="5" s="1"/>
  <c r="FO265" i="5" a="1"/>
  <c r="FO265" i="5" s="1"/>
  <c r="EI266" i="5" a="1"/>
  <c r="EI266" i="5" s="1"/>
  <c r="EJ266" i="5" a="1"/>
  <c r="EJ266" i="5" s="1"/>
  <c r="EK266" i="5" a="1"/>
  <c r="EK266" i="5" s="1"/>
  <c r="EL266" i="5" a="1"/>
  <c r="EL266" i="5" s="1"/>
  <c r="EM266" i="5" a="1"/>
  <c r="EM266" i="5" s="1"/>
  <c r="EN266" i="5" a="1"/>
  <c r="EN266" i="5" s="1"/>
  <c r="EO266" i="5" a="1"/>
  <c r="EO266" i="5" s="1"/>
  <c r="EP266" i="5" a="1"/>
  <c r="EP266" i="5" s="1"/>
  <c r="EQ266" i="5" a="1"/>
  <c r="EQ266" i="5" s="1"/>
  <c r="ER266" i="5" a="1"/>
  <c r="ER266" i="5" s="1"/>
  <c r="ES266" i="5" a="1"/>
  <c r="ES266" i="5" s="1"/>
  <c r="ET266" i="5" a="1"/>
  <c r="ET266" i="5" s="1"/>
  <c r="EU266" i="5" a="1"/>
  <c r="EU266" i="5" s="1"/>
  <c r="EV266" i="5" a="1"/>
  <c r="EV266" i="5" s="1"/>
  <c r="EW266" i="5" a="1"/>
  <c r="EW266" i="5" s="1"/>
  <c r="EX266" i="5" a="1"/>
  <c r="EX266" i="5" s="1"/>
  <c r="EY266" i="5" a="1"/>
  <c r="EY266" i="5" s="1"/>
  <c r="EZ266" i="5" a="1"/>
  <c r="EZ266" i="5" s="1"/>
  <c r="FA266" i="5" a="1"/>
  <c r="FA266" i="5" s="1"/>
  <c r="FB266" i="5" a="1"/>
  <c r="FB266" i="5" s="1"/>
  <c r="FC266" i="5" a="1"/>
  <c r="FC266" i="5" s="1"/>
  <c r="FD266" i="5" a="1"/>
  <c r="FD266" i="5" s="1"/>
  <c r="FE266" i="5" a="1"/>
  <c r="FE266" i="5" s="1"/>
  <c r="FF266" i="5" a="1"/>
  <c r="FF266" i="5" s="1"/>
  <c r="FG266" i="5" a="1"/>
  <c r="FG266" i="5" s="1"/>
  <c r="FH266" i="5" a="1"/>
  <c r="FH266" i="5" s="1"/>
  <c r="FI266" i="5" a="1"/>
  <c r="FI266" i="5" s="1"/>
  <c r="FJ266" i="5" a="1"/>
  <c r="FJ266" i="5" s="1"/>
  <c r="FK266" i="5" a="1"/>
  <c r="FK266" i="5" s="1"/>
  <c r="FL266" i="5" a="1"/>
  <c r="FL266" i="5" s="1"/>
  <c r="FM266" i="5" a="1"/>
  <c r="FM266" i="5" s="1"/>
  <c r="FN266" i="5" a="1"/>
  <c r="FN266" i="5" s="1"/>
  <c r="FO266" i="5" a="1"/>
  <c r="FO266" i="5" s="1"/>
  <c r="EI267" i="5" a="1"/>
  <c r="EI267" i="5" s="1"/>
  <c r="EJ267" i="5" a="1"/>
  <c r="EJ267" i="5" s="1"/>
  <c r="EK267" i="5" a="1"/>
  <c r="EK267" i="5" s="1"/>
  <c r="EL267" i="5" a="1"/>
  <c r="EL267" i="5" s="1"/>
  <c r="EM267" i="5" a="1"/>
  <c r="EM267" i="5" s="1"/>
  <c r="EN267" i="5" a="1"/>
  <c r="EN267" i="5" s="1"/>
  <c r="EO267" i="5" a="1"/>
  <c r="EO267" i="5" s="1"/>
  <c r="EP267" i="5" a="1"/>
  <c r="EP267" i="5" s="1"/>
  <c r="EQ267" i="5" a="1"/>
  <c r="EQ267" i="5" s="1"/>
  <c r="ER267" i="5" a="1"/>
  <c r="ER267" i="5" s="1"/>
  <c r="ES267" i="5" a="1"/>
  <c r="ES267" i="5" s="1"/>
  <c r="ET267" i="5" a="1"/>
  <c r="ET267" i="5" s="1"/>
  <c r="EU267" i="5" a="1"/>
  <c r="EU267" i="5" s="1"/>
  <c r="EV267" i="5" a="1"/>
  <c r="EV267" i="5" s="1"/>
  <c r="EW267" i="5" a="1"/>
  <c r="EW267" i="5" s="1"/>
  <c r="EX267" i="5" a="1"/>
  <c r="EX267" i="5" s="1"/>
  <c r="EY267" i="5" a="1"/>
  <c r="EY267" i="5" s="1"/>
  <c r="EZ267" i="5" a="1"/>
  <c r="EZ267" i="5" s="1"/>
  <c r="FA267" i="5" a="1"/>
  <c r="FA267" i="5" s="1"/>
  <c r="FB267" i="5" a="1"/>
  <c r="FB267" i="5" s="1"/>
  <c r="FC267" i="5" a="1"/>
  <c r="FC267" i="5" s="1"/>
  <c r="FD267" i="5" a="1"/>
  <c r="FD267" i="5" s="1"/>
  <c r="FE267" i="5" a="1"/>
  <c r="FE267" i="5" s="1"/>
  <c r="FF267" i="5" a="1"/>
  <c r="FF267" i="5" s="1"/>
  <c r="FG267" i="5" a="1"/>
  <c r="FG267" i="5" s="1"/>
  <c r="FH267" i="5" a="1"/>
  <c r="FH267" i="5" s="1"/>
  <c r="FI267" i="5" a="1"/>
  <c r="FI267" i="5" s="1"/>
  <c r="FJ267" i="5" a="1"/>
  <c r="FJ267" i="5" s="1"/>
  <c r="FK267" i="5" a="1"/>
  <c r="FK267" i="5" s="1"/>
  <c r="FL267" i="5" a="1"/>
  <c r="FL267" i="5" s="1"/>
  <c r="FM267" i="5" a="1"/>
  <c r="FM267" i="5" s="1"/>
  <c r="FN267" i="5" a="1"/>
  <c r="FN267" i="5" s="1"/>
  <c r="FO267" i="5" a="1"/>
  <c r="FO267" i="5" s="1"/>
  <c r="EI268" i="5" a="1"/>
  <c r="EI268" i="5" s="1"/>
  <c r="EJ268" i="5" a="1"/>
  <c r="EJ268" i="5" s="1"/>
  <c r="EK268" i="5" a="1"/>
  <c r="EK268" i="5" s="1"/>
  <c r="EL268" i="5" a="1"/>
  <c r="EL268" i="5" s="1"/>
  <c r="EM268" i="5" a="1"/>
  <c r="EM268" i="5" s="1"/>
  <c r="EN268" i="5" a="1"/>
  <c r="EN268" i="5" s="1"/>
  <c r="EO268" i="5" a="1"/>
  <c r="EO268" i="5" s="1"/>
  <c r="EP268" i="5" a="1"/>
  <c r="EP268" i="5" s="1"/>
  <c r="EQ268" i="5" a="1"/>
  <c r="EQ268" i="5" s="1"/>
  <c r="ER268" i="5" a="1"/>
  <c r="ER268" i="5" s="1"/>
  <c r="ES268" i="5" a="1"/>
  <c r="ES268" i="5" s="1"/>
  <c r="ET268" i="5" a="1"/>
  <c r="ET268" i="5" s="1"/>
  <c r="EU268" i="5" a="1"/>
  <c r="EU268" i="5" s="1"/>
  <c r="EV268" i="5" a="1"/>
  <c r="EV268" i="5" s="1"/>
  <c r="EW268" i="5" a="1"/>
  <c r="EW268" i="5" s="1"/>
  <c r="EX268" i="5" a="1"/>
  <c r="EX268" i="5" s="1"/>
  <c r="EY268" i="5" a="1"/>
  <c r="EY268" i="5" s="1"/>
  <c r="EZ268" i="5" a="1"/>
  <c r="EZ268" i="5" s="1"/>
  <c r="FA268" i="5" a="1"/>
  <c r="FA268" i="5" s="1"/>
  <c r="FB268" i="5" a="1"/>
  <c r="FB268" i="5" s="1"/>
  <c r="FC268" i="5" a="1"/>
  <c r="FC268" i="5" s="1"/>
  <c r="FD268" i="5" a="1"/>
  <c r="FD268" i="5" s="1"/>
  <c r="FE268" i="5" a="1"/>
  <c r="FE268" i="5" s="1"/>
  <c r="FF268" i="5" a="1"/>
  <c r="FF268" i="5" s="1"/>
  <c r="FG268" i="5" a="1"/>
  <c r="FG268" i="5" s="1"/>
  <c r="FH268" i="5" a="1"/>
  <c r="FH268" i="5" s="1"/>
  <c r="FI268" i="5" a="1"/>
  <c r="FI268" i="5" s="1"/>
  <c r="FJ268" i="5" a="1"/>
  <c r="FJ268" i="5" s="1"/>
  <c r="FK268" i="5" a="1"/>
  <c r="FK268" i="5" s="1"/>
  <c r="FL268" i="5" a="1"/>
  <c r="FL268" i="5" s="1"/>
  <c r="FM268" i="5" a="1"/>
  <c r="FM268" i="5" s="1"/>
  <c r="FN268" i="5" a="1"/>
  <c r="FN268" i="5" s="1"/>
  <c r="FO268" i="5" a="1"/>
  <c r="FO268" i="5" s="1"/>
  <c r="EI269" i="5" a="1"/>
  <c r="EI269" i="5" s="1"/>
  <c r="EJ269" i="5" a="1"/>
  <c r="EJ269" i="5" s="1"/>
  <c r="EK269" i="5" a="1"/>
  <c r="EK269" i="5" s="1"/>
  <c r="EL269" i="5" a="1"/>
  <c r="EL269" i="5" s="1"/>
  <c r="EM269" i="5" a="1"/>
  <c r="EM269" i="5" s="1"/>
  <c r="EN269" i="5" a="1"/>
  <c r="EN269" i="5" s="1"/>
  <c r="EO269" i="5" a="1"/>
  <c r="EO269" i="5" s="1"/>
  <c r="EP269" i="5" a="1"/>
  <c r="EP269" i="5" s="1"/>
  <c r="EQ269" i="5" a="1"/>
  <c r="EQ269" i="5" s="1"/>
  <c r="ER269" i="5" a="1"/>
  <c r="ER269" i="5" s="1"/>
  <c r="ES269" i="5" a="1"/>
  <c r="ES269" i="5" s="1"/>
  <c r="ET269" i="5" a="1"/>
  <c r="ET269" i="5" s="1"/>
  <c r="EU269" i="5" a="1"/>
  <c r="EU269" i="5" s="1"/>
  <c r="EV269" i="5" a="1"/>
  <c r="EV269" i="5" s="1"/>
  <c r="EW269" i="5" a="1"/>
  <c r="EW269" i="5" s="1"/>
  <c r="EX269" i="5" a="1"/>
  <c r="EX269" i="5" s="1"/>
  <c r="EY269" i="5" a="1"/>
  <c r="EY269" i="5" s="1"/>
  <c r="EZ269" i="5" a="1"/>
  <c r="EZ269" i="5" s="1"/>
  <c r="FA269" i="5" a="1"/>
  <c r="FA269" i="5" s="1"/>
  <c r="FB269" i="5" a="1"/>
  <c r="FB269" i="5" s="1"/>
  <c r="FC269" i="5" a="1"/>
  <c r="FC269" i="5" s="1"/>
  <c r="FD269" i="5" a="1"/>
  <c r="FD269" i="5" s="1"/>
  <c r="FE269" i="5" a="1"/>
  <c r="FE269" i="5" s="1"/>
  <c r="FF269" i="5" a="1"/>
  <c r="FF269" i="5" s="1"/>
  <c r="FG269" i="5" a="1"/>
  <c r="FG269" i="5" s="1"/>
  <c r="FH269" i="5" a="1"/>
  <c r="FH269" i="5" s="1"/>
  <c r="FI269" i="5" a="1"/>
  <c r="FI269" i="5" s="1"/>
  <c r="FJ269" i="5" a="1"/>
  <c r="FJ269" i="5" s="1"/>
  <c r="FK269" i="5" a="1"/>
  <c r="FK269" i="5" s="1"/>
  <c r="FL269" i="5" a="1"/>
  <c r="FL269" i="5" s="1"/>
  <c r="FM269" i="5" a="1"/>
  <c r="FM269" i="5" s="1"/>
  <c r="FN269" i="5" a="1"/>
  <c r="FN269" i="5" s="1"/>
  <c r="FO269" i="5" a="1"/>
  <c r="FO269" i="5" s="1"/>
  <c r="EI270" i="5" a="1"/>
  <c r="EI270" i="5" s="1"/>
  <c r="EJ270" i="5" a="1"/>
  <c r="EJ270" i="5" s="1"/>
  <c r="EK270" i="5" a="1"/>
  <c r="EK270" i="5" s="1"/>
  <c r="EL270" i="5" a="1"/>
  <c r="EL270" i="5" s="1"/>
  <c r="EM270" i="5" a="1"/>
  <c r="EM270" i="5" s="1"/>
  <c r="EN270" i="5" a="1"/>
  <c r="EN270" i="5" s="1"/>
  <c r="EO270" i="5" a="1"/>
  <c r="EO270" i="5" s="1"/>
  <c r="EP270" i="5" a="1"/>
  <c r="EP270" i="5" s="1"/>
  <c r="EQ270" i="5" a="1"/>
  <c r="EQ270" i="5" s="1"/>
  <c r="ER270" i="5" a="1"/>
  <c r="ER270" i="5" s="1"/>
  <c r="ES270" i="5" a="1"/>
  <c r="ES270" i="5" s="1"/>
  <c r="ET270" i="5" a="1"/>
  <c r="ET270" i="5" s="1"/>
  <c r="EU270" i="5" a="1"/>
  <c r="EU270" i="5" s="1"/>
  <c r="EV270" i="5" a="1"/>
  <c r="EV270" i="5" s="1"/>
  <c r="EW270" i="5" a="1"/>
  <c r="EW270" i="5" s="1"/>
  <c r="EX270" i="5" a="1"/>
  <c r="EX270" i="5" s="1"/>
  <c r="EY270" i="5" a="1"/>
  <c r="EY270" i="5" s="1"/>
  <c r="EZ270" i="5" a="1"/>
  <c r="EZ270" i="5" s="1"/>
  <c r="FA270" i="5" a="1"/>
  <c r="FA270" i="5" s="1"/>
  <c r="FB270" i="5" a="1"/>
  <c r="FB270" i="5" s="1"/>
  <c r="FC270" i="5" a="1"/>
  <c r="FC270" i="5" s="1"/>
  <c r="FD270" i="5" a="1"/>
  <c r="FD270" i="5" s="1"/>
  <c r="FE270" i="5" a="1"/>
  <c r="FE270" i="5" s="1"/>
  <c r="FF270" i="5" a="1"/>
  <c r="FF270" i="5" s="1"/>
  <c r="FG270" i="5" a="1"/>
  <c r="FG270" i="5" s="1"/>
  <c r="FH270" i="5" a="1"/>
  <c r="FH270" i="5" s="1"/>
  <c r="FI270" i="5" a="1"/>
  <c r="FI270" i="5" s="1"/>
  <c r="FJ270" i="5" a="1"/>
  <c r="FJ270" i="5" s="1"/>
  <c r="FK270" i="5" a="1"/>
  <c r="FK270" i="5" s="1"/>
  <c r="FL270" i="5" a="1"/>
  <c r="FL270" i="5" s="1"/>
  <c r="FM270" i="5" a="1"/>
  <c r="FM270" i="5" s="1"/>
  <c r="FN270" i="5" a="1"/>
  <c r="FN270" i="5" s="1"/>
  <c r="FO270" i="5" a="1"/>
  <c r="FO270" i="5" s="1"/>
  <c r="EI271" i="5" a="1"/>
  <c r="EI271" i="5" s="1"/>
  <c r="EJ271" i="5" a="1"/>
  <c r="EJ271" i="5" s="1"/>
  <c r="EK271" i="5" a="1"/>
  <c r="EK271" i="5" s="1"/>
  <c r="EL271" i="5" a="1"/>
  <c r="EL271" i="5" s="1"/>
  <c r="EM271" i="5" a="1"/>
  <c r="EM271" i="5" s="1"/>
  <c r="EN271" i="5" a="1"/>
  <c r="EN271" i="5" s="1"/>
  <c r="EO271" i="5" a="1"/>
  <c r="EO271" i="5" s="1"/>
  <c r="EP271" i="5" a="1"/>
  <c r="EP271" i="5" s="1"/>
  <c r="EQ271" i="5" a="1"/>
  <c r="EQ271" i="5" s="1"/>
  <c r="ER271" i="5" a="1"/>
  <c r="ER271" i="5" s="1"/>
  <c r="ES271" i="5" a="1"/>
  <c r="ES271" i="5" s="1"/>
  <c r="ET271" i="5" a="1"/>
  <c r="ET271" i="5" s="1"/>
  <c r="EU271" i="5" a="1"/>
  <c r="EU271" i="5" s="1"/>
  <c r="EV271" i="5" a="1"/>
  <c r="EV271" i="5" s="1"/>
  <c r="EW271" i="5" a="1"/>
  <c r="EW271" i="5" s="1"/>
  <c r="EX271" i="5" a="1"/>
  <c r="EX271" i="5" s="1"/>
  <c r="EY271" i="5" a="1"/>
  <c r="EY271" i="5" s="1"/>
  <c r="EZ271" i="5" a="1"/>
  <c r="EZ271" i="5" s="1"/>
  <c r="FA271" i="5" a="1"/>
  <c r="FA271" i="5" s="1"/>
  <c r="FB271" i="5" a="1"/>
  <c r="FB271" i="5" s="1"/>
  <c r="FC271" i="5" a="1"/>
  <c r="FC271" i="5" s="1"/>
  <c r="FD271" i="5" a="1"/>
  <c r="FD271" i="5" s="1"/>
  <c r="FE271" i="5" a="1"/>
  <c r="FE271" i="5" s="1"/>
  <c r="FF271" i="5" a="1"/>
  <c r="FF271" i="5" s="1"/>
  <c r="FG271" i="5" a="1"/>
  <c r="FG271" i="5" s="1"/>
  <c r="FH271" i="5" a="1"/>
  <c r="FH271" i="5" s="1"/>
  <c r="FI271" i="5" a="1"/>
  <c r="FI271" i="5" s="1"/>
  <c r="FJ271" i="5" a="1"/>
  <c r="FJ271" i="5" s="1"/>
  <c r="FK271" i="5" a="1"/>
  <c r="FK271" i="5" s="1"/>
  <c r="FL271" i="5" a="1"/>
  <c r="FL271" i="5" s="1"/>
  <c r="FM271" i="5" a="1"/>
  <c r="FM271" i="5" s="1"/>
  <c r="FN271" i="5" a="1"/>
  <c r="FN271" i="5" s="1"/>
  <c r="FO271" i="5" a="1"/>
  <c r="FO271" i="5" s="1"/>
  <c r="EI272" i="5" a="1"/>
  <c r="EI272" i="5" s="1"/>
  <c r="EJ272" i="5" a="1"/>
  <c r="EJ272" i="5" s="1"/>
  <c r="EK272" i="5" a="1"/>
  <c r="EK272" i="5" s="1"/>
  <c r="EL272" i="5" a="1"/>
  <c r="EL272" i="5" s="1"/>
  <c r="EM272" i="5" a="1"/>
  <c r="EM272" i="5" s="1"/>
  <c r="EN272" i="5" a="1"/>
  <c r="EN272" i="5" s="1"/>
  <c r="EO272" i="5" a="1"/>
  <c r="EO272" i="5" s="1"/>
  <c r="EP272" i="5" a="1"/>
  <c r="EP272" i="5" s="1"/>
  <c r="EQ272" i="5" a="1"/>
  <c r="EQ272" i="5" s="1"/>
  <c r="ER272" i="5" a="1"/>
  <c r="ER272" i="5" s="1"/>
  <c r="ES272" i="5" a="1"/>
  <c r="ES272" i="5" s="1"/>
  <c r="ET272" i="5" a="1"/>
  <c r="ET272" i="5" s="1"/>
  <c r="EU272" i="5" a="1"/>
  <c r="EU272" i="5" s="1"/>
  <c r="EV272" i="5" a="1"/>
  <c r="EV272" i="5" s="1"/>
  <c r="EW272" i="5" a="1"/>
  <c r="EW272" i="5" s="1"/>
  <c r="EX272" i="5" a="1"/>
  <c r="EX272" i="5" s="1"/>
  <c r="EY272" i="5" a="1"/>
  <c r="EY272" i="5" s="1"/>
  <c r="EZ272" i="5" a="1"/>
  <c r="EZ272" i="5" s="1"/>
  <c r="FA272" i="5" a="1"/>
  <c r="FA272" i="5" s="1"/>
  <c r="FB272" i="5" a="1"/>
  <c r="FB272" i="5" s="1"/>
  <c r="FC272" i="5" a="1"/>
  <c r="FC272" i="5" s="1"/>
  <c r="FD272" i="5" a="1"/>
  <c r="FD272" i="5" s="1"/>
  <c r="FE272" i="5" a="1"/>
  <c r="FE272" i="5" s="1"/>
  <c r="FF272" i="5" a="1"/>
  <c r="FF272" i="5" s="1"/>
  <c r="FG272" i="5" a="1"/>
  <c r="FG272" i="5" s="1"/>
  <c r="FH272" i="5" a="1"/>
  <c r="FH272" i="5" s="1"/>
  <c r="FI272" i="5" a="1"/>
  <c r="FI272" i="5" s="1"/>
  <c r="FJ272" i="5" a="1"/>
  <c r="FJ272" i="5" s="1"/>
  <c r="FK272" i="5" a="1"/>
  <c r="FK272" i="5" s="1"/>
  <c r="FL272" i="5" a="1"/>
  <c r="FL272" i="5" s="1"/>
  <c r="FM272" i="5" a="1"/>
  <c r="FM272" i="5" s="1"/>
  <c r="FN272" i="5" a="1"/>
  <c r="FN272" i="5" s="1"/>
  <c r="FO272" i="5" a="1"/>
  <c r="FO272" i="5" s="1"/>
  <c r="EI273" i="5" a="1"/>
  <c r="EI273" i="5" s="1"/>
  <c r="EJ273" i="5" a="1"/>
  <c r="EJ273" i="5" s="1"/>
  <c r="EK273" i="5" a="1"/>
  <c r="EK273" i="5" s="1"/>
  <c r="EL273" i="5" a="1"/>
  <c r="EL273" i="5" s="1"/>
  <c r="EM273" i="5" a="1"/>
  <c r="EM273" i="5" s="1"/>
  <c r="EN273" i="5" a="1"/>
  <c r="EN273" i="5" s="1"/>
  <c r="EO273" i="5" a="1"/>
  <c r="EO273" i="5" s="1"/>
  <c r="EP273" i="5" a="1"/>
  <c r="EP273" i="5" s="1"/>
  <c r="EQ273" i="5" a="1"/>
  <c r="EQ273" i="5" s="1"/>
  <c r="ER273" i="5" a="1"/>
  <c r="ER273" i="5" s="1"/>
  <c r="ES273" i="5" a="1"/>
  <c r="ES273" i="5" s="1"/>
  <c r="ET273" i="5" a="1"/>
  <c r="ET273" i="5" s="1"/>
  <c r="EU273" i="5" a="1"/>
  <c r="EU273" i="5" s="1"/>
  <c r="EV273" i="5" a="1"/>
  <c r="EV273" i="5" s="1"/>
  <c r="EW273" i="5" a="1"/>
  <c r="EW273" i="5" s="1"/>
  <c r="EX273" i="5" a="1"/>
  <c r="EX273" i="5" s="1"/>
  <c r="EY273" i="5" a="1"/>
  <c r="EY273" i="5" s="1"/>
  <c r="EZ273" i="5" a="1"/>
  <c r="EZ273" i="5" s="1"/>
  <c r="FA273" i="5" a="1"/>
  <c r="FA273" i="5" s="1"/>
  <c r="FB273" i="5" a="1"/>
  <c r="FB273" i="5" s="1"/>
  <c r="FC273" i="5" a="1"/>
  <c r="FC273" i="5" s="1"/>
  <c r="FD273" i="5" a="1"/>
  <c r="FD273" i="5" s="1"/>
  <c r="FE273" i="5" a="1"/>
  <c r="FE273" i="5" s="1"/>
  <c r="FF273" i="5" a="1"/>
  <c r="FF273" i="5" s="1"/>
  <c r="FG273" i="5" a="1"/>
  <c r="FG273" i="5" s="1"/>
  <c r="FH273" i="5" a="1"/>
  <c r="FH273" i="5" s="1"/>
  <c r="FI273" i="5" a="1"/>
  <c r="FI273" i="5" s="1"/>
  <c r="FJ273" i="5" a="1"/>
  <c r="FJ273" i="5" s="1"/>
  <c r="FK273" i="5" a="1"/>
  <c r="FK273" i="5" s="1"/>
  <c r="FL273" i="5" a="1"/>
  <c r="FL273" i="5" s="1"/>
  <c r="FM273" i="5" a="1"/>
  <c r="FM273" i="5" s="1"/>
  <c r="FN273" i="5" a="1"/>
  <c r="FN273" i="5" s="1"/>
  <c r="FO273" i="5" a="1"/>
  <c r="FO273" i="5" s="1"/>
  <c r="EI274" i="5" a="1"/>
  <c r="EI274" i="5" s="1"/>
  <c r="EJ274" i="5" a="1"/>
  <c r="EJ274" i="5" s="1"/>
  <c r="EK274" i="5" a="1"/>
  <c r="EK274" i="5" s="1"/>
  <c r="EL274" i="5" a="1"/>
  <c r="EL274" i="5" s="1"/>
  <c r="EM274" i="5" a="1"/>
  <c r="EM274" i="5" s="1"/>
  <c r="EN274" i="5" a="1"/>
  <c r="EN274" i="5" s="1"/>
  <c r="EO274" i="5" a="1"/>
  <c r="EO274" i="5" s="1"/>
  <c r="EP274" i="5" a="1"/>
  <c r="EP274" i="5" s="1"/>
  <c r="EQ274" i="5" a="1"/>
  <c r="EQ274" i="5" s="1"/>
  <c r="ER274" i="5" a="1"/>
  <c r="ER274" i="5" s="1"/>
  <c r="ES274" i="5" a="1"/>
  <c r="ES274" i="5" s="1"/>
  <c r="ET274" i="5" a="1"/>
  <c r="ET274" i="5" s="1"/>
  <c r="EU274" i="5" a="1"/>
  <c r="EU274" i="5" s="1"/>
  <c r="EV274" i="5" a="1"/>
  <c r="EV274" i="5" s="1"/>
  <c r="EW274" i="5" a="1"/>
  <c r="EW274" i="5" s="1"/>
  <c r="EX274" i="5" a="1"/>
  <c r="EX274" i="5" s="1"/>
  <c r="EY274" i="5" a="1"/>
  <c r="EY274" i="5" s="1"/>
  <c r="EZ274" i="5" a="1"/>
  <c r="EZ274" i="5" s="1"/>
  <c r="FA274" i="5" a="1"/>
  <c r="FA274" i="5" s="1"/>
  <c r="FB274" i="5" a="1"/>
  <c r="FB274" i="5" s="1"/>
  <c r="FC274" i="5" a="1"/>
  <c r="FC274" i="5" s="1"/>
  <c r="FD274" i="5" a="1"/>
  <c r="FD274" i="5" s="1"/>
  <c r="FE274" i="5" a="1"/>
  <c r="FE274" i="5" s="1"/>
  <c r="FF274" i="5" a="1"/>
  <c r="FF274" i="5" s="1"/>
  <c r="FG274" i="5" a="1"/>
  <c r="FG274" i="5" s="1"/>
  <c r="FH274" i="5" a="1"/>
  <c r="FH274" i="5" s="1"/>
  <c r="FI274" i="5" a="1"/>
  <c r="FI274" i="5" s="1"/>
  <c r="FJ274" i="5" a="1"/>
  <c r="FJ274" i="5" s="1"/>
  <c r="FK274" i="5" a="1"/>
  <c r="FK274" i="5" s="1"/>
  <c r="FL274" i="5" a="1"/>
  <c r="FL274" i="5" s="1"/>
  <c r="FM274" i="5" a="1"/>
  <c r="FM274" i="5" s="1"/>
  <c r="FN274" i="5" a="1"/>
  <c r="FN274" i="5" s="1"/>
  <c r="FO274" i="5" a="1"/>
  <c r="FO274" i="5" s="1"/>
  <c r="EI275" i="5" a="1"/>
  <c r="EI275" i="5" s="1"/>
  <c r="EJ275" i="5" a="1"/>
  <c r="EJ275" i="5" s="1"/>
  <c r="EK275" i="5" a="1"/>
  <c r="EK275" i="5" s="1"/>
  <c r="EL275" i="5" a="1"/>
  <c r="EL275" i="5" s="1"/>
  <c r="EM275" i="5" a="1"/>
  <c r="EM275" i="5" s="1"/>
  <c r="EN275" i="5" a="1"/>
  <c r="EN275" i="5" s="1"/>
  <c r="EO275" i="5" a="1"/>
  <c r="EO275" i="5" s="1"/>
  <c r="EP275" i="5" a="1"/>
  <c r="EP275" i="5" s="1"/>
  <c r="EQ275" i="5" a="1"/>
  <c r="EQ275" i="5" s="1"/>
  <c r="ER275" i="5" a="1"/>
  <c r="ER275" i="5" s="1"/>
  <c r="ES275" i="5" a="1"/>
  <c r="ES275" i="5" s="1"/>
  <c r="ET275" i="5" a="1"/>
  <c r="ET275" i="5" s="1"/>
  <c r="EU275" i="5" a="1"/>
  <c r="EU275" i="5" s="1"/>
  <c r="EV275" i="5" a="1"/>
  <c r="EV275" i="5" s="1"/>
  <c r="EW275" i="5" a="1"/>
  <c r="EW275" i="5" s="1"/>
  <c r="EX275" i="5" a="1"/>
  <c r="EX275" i="5" s="1"/>
  <c r="EY275" i="5" a="1"/>
  <c r="EY275" i="5" s="1"/>
  <c r="EZ275" i="5" a="1"/>
  <c r="EZ275" i="5" s="1"/>
  <c r="FA275" i="5" a="1"/>
  <c r="FA275" i="5" s="1"/>
  <c r="FB275" i="5" a="1"/>
  <c r="FB275" i="5" s="1"/>
  <c r="FC275" i="5" a="1"/>
  <c r="FC275" i="5" s="1"/>
  <c r="FD275" i="5" a="1"/>
  <c r="FD275" i="5" s="1"/>
  <c r="FE275" i="5" a="1"/>
  <c r="FE275" i="5" s="1"/>
  <c r="FF275" i="5" a="1"/>
  <c r="FF275" i="5" s="1"/>
  <c r="FG275" i="5" a="1"/>
  <c r="FG275" i="5" s="1"/>
  <c r="FH275" i="5" a="1"/>
  <c r="FH275" i="5" s="1"/>
  <c r="FI275" i="5" a="1"/>
  <c r="FI275" i="5" s="1"/>
  <c r="FJ275" i="5" a="1"/>
  <c r="FJ275" i="5" s="1"/>
  <c r="FK275" i="5" a="1"/>
  <c r="FK275" i="5" s="1"/>
  <c r="FL275" i="5" a="1"/>
  <c r="FL275" i="5" s="1"/>
  <c r="FM275" i="5" a="1"/>
  <c r="FM275" i="5" s="1"/>
  <c r="FN275" i="5" a="1"/>
  <c r="FN275" i="5" s="1"/>
  <c r="FO275" i="5" a="1"/>
  <c r="FO275" i="5" s="1"/>
  <c r="EI276" i="5" a="1"/>
  <c r="EI276" i="5" s="1"/>
  <c r="EJ276" i="5" a="1"/>
  <c r="EJ276" i="5" s="1"/>
  <c r="EK276" i="5" a="1"/>
  <c r="EK276" i="5" s="1"/>
  <c r="EL276" i="5" a="1"/>
  <c r="EL276" i="5" s="1"/>
  <c r="EM276" i="5" a="1"/>
  <c r="EM276" i="5" s="1"/>
  <c r="EN276" i="5" a="1"/>
  <c r="EN276" i="5" s="1"/>
  <c r="EO276" i="5" a="1"/>
  <c r="EO276" i="5" s="1"/>
  <c r="EP276" i="5" a="1"/>
  <c r="EP276" i="5" s="1"/>
  <c r="EQ276" i="5" a="1"/>
  <c r="EQ276" i="5" s="1"/>
  <c r="ER276" i="5" a="1"/>
  <c r="ER276" i="5" s="1"/>
  <c r="ES276" i="5" a="1"/>
  <c r="ES276" i="5" s="1"/>
  <c r="ET276" i="5" a="1"/>
  <c r="ET276" i="5" s="1"/>
  <c r="EU276" i="5" a="1"/>
  <c r="EU276" i="5" s="1"/>
  <c r="EV276" i="5" a="1"/>
  <c r="EV276" i="5" s="1"/>
  <c r="EW276" i="5" a="1"/>
  <c r="EW276" i="5" s="1"/>
  <c r="EX276" i="5" a="1"/>
  <c r="EX276" i="5" s="1"/>
  <c r="EY276" i="5" a="1"/>
  <c r="EY276" i="5" s="1"/>
  <c r="EZ276" i="5" a="1"/>
  <c r="EZ276" i="5" s="1"/>
  <c r="FA276" i="5" a="1"/>
  <c r="FA276" i="5" s="1"/>
  <c r="FB276" i="5" a="1"/>
  <c r="FB276" i="5" s="1"/>
  <c r="FC276" i="5" a="1"/>
  <c r="FC276" i="5" s="1"/>
  <c r="FD276" i="5" a="1"/>
  <c r="FD276" i="5" s="1"/>
  <c r="FE276" i="5" a="1"/>
  <c r="FE276" i="5" s="1"/>
  <c r="FF276" i="5" a="1"/>
  <c r="FF276" i="5" s="1"/>
  <c r="FG276" i="5" a="1"/>
  <c r="FG276" i="5" s="1"/>
  <c r="FH276" i="5" a="1"/>
  <c r="FH276" i="5" s="1"/>
  <c r="FI276" i="5" a="1"/>
  <c r="FI276" i="5" s="1"/>
  <c r="FJ276" i="5" a="1"/>
  <c r="FJ276" i="5" s="1"/>
  <c r="FK276" i="5" a="1"/>
  <c r="FK276" i="5" s="1"/>
  <c r="FL276" i="5" a="1"/>
  <c r="FL276" i="5" s="1"/>
  <c r="FM276" i="5" a="1"/>
  <c r="FM276" i="5" s="1"/>
  <c r="FN276" i="5" a="1"/>
  <c r="FN276" i="5" s="1"/>
  <c r="FO276" i="5" a="1"/>
  <c r="FO276" i="5" s="1"/>
  <c r="EI277" i="5" a="1"/>
  <c r="EI277" i="5" s="1"/>
  <c r="EJ277" i="5" a="1"/>
  <c r="EJ277" i="5" s="1"/>
  <c r="EK277" i="5" a="1"/>
  <c r="EK277" i="5" s="1"/>
  <c r="EL277" i="5" a="1"/>
  <c r="EL277" i="5" s="1"/>
  <c r="EM277" i="5" a="1"/>
  <c r="EM277" i="5" s="1"/>
  <c r="EN277" i="5" a="1"/>
  <c r="EN277" i="5" s="1"/>
  <c r="EO277" i="5" a="1"/>
  <c r="EO277" i="5" s="1"/>
  <c r="EP277" i="5" a="1"/>
  <c r="EP277" i="5" s="1"/>
  <c r="EQ277" i="5" a="1"/>
  <c r="EQ277" i="5" s="1"/>
  <c r="ER277" i="5" a="1"/>
  <c r="ER277" i="5" s="1"/>
  <c r="ES277" i="5" a="1"/>
  <c r="ES277" i="5" s="1"/>
  <c r="ET277" i="5" a="1"/>
  <c r="ET277" i="5" s="1"/>
  <c r="EU277" i="5" a="1"/>
  <c r="EU277" i="5" s="1"/>
  <c r="EV277" i="5" a="1"/>
  <c r="EV277" i="5" s="1"/>
  <c r="EW277" i="5" a="1"/>
  <c r="EW277" i="5" s="1"/>
  <c r="EX277" i="5" a="1"/>
  <c r="EX277" i="5" s="1"/>
  <c r="EY277" i="5" a="1"/>
  <c r="EY277" i="5" s="1"/>
  <c r="EZ277" i="5" a="1"/>
  <c r="EZ277" i="5" s="1"/>
  <c r="FA277" i="5" a="1"/>
  <c r="FA277" i="5" s="1"/>
  <c r="FB277" i="5" a="1"/>
  <c r="FB277" i="5" s="1"/>
  <c r="FC277" i="5" a="1"/>
  <c r="FC277" i="5" s="1"/>
  <c r="FD277" i="5" a="1"/>
  <c r="FD277" i="5" s="1"/>
  <c r="FE277" i="5" a="1"/>
  <c r="FE277" i="5" s="1"/>
  <c r="FF277" i="5" a="1"/>
  <c r="FF277" i="5" s="1"/>
  <c r="FG277" i="5" a="1"/>
  <c r="FG277" i="5" s="1"/>
  <c r="FH277" i="5" a="1"/>
  <c r="FH277" i="5" s="1"/>
  <c r="FI277" i="5" a="1"/>
  <c r="FI277" i="5" s="1"/>
  <c r="FJ277" i="5" a="1"/>
  <c r="FJ277" i="5" s="1"/>
  <c r="FK277" i="5" a="1"/>
  <c r="FK277" i="5" s="1"/>
  <c r="FL277" i="5" a="1"/>
  <c r="FL277" i="5" s="1"/>
  <c r="FM277" i="5" a="1"/>
  <c r="FM277" i="5" s="1"/>
  <c r="FN277" i="5" a="1"/>
  <c r="FN277" i="5" s="1"/>
  <c r="FO277" i="5" a="1"/>
  <c r="FO277" i="5" s="1"/>
  <c r="EI278" i="5" a="1"/>
  <c r="EI278" i="5" s="1"/>
  <c r="EJ278" i="5" a="1"/>
  <c r="EJ278" i="5" s="1"/>
  <c r="EK278" i="5" a="1"/>
  <c r="EK278" i="5" s="1"/>
  <c r="EL278" i="5" a="1"/>
  <c r="EL278" i="5" s="1"/>
  <c r="EM278" i="5" a="1"/>
  <c r="EM278" i="5" s="1"/>
  <c r="EN278" i="5" a="1"/>
  <c r="EN278" i="5" s="1"/>
  <c r="EO278" i="5" a="1"/>
  <c r="EO278" i="5" s="1"/>
  <c r="EP278" i="5" a="1"/>
  <c r="EP278" i="5" s="1"/>
  <c r="EQ278" i="5" a="1"/>
  <c r="EQ278" i="5" s="1"/>
  <c r="ER278" i="5" a="1"/>
  <c r="ER278" i="5" s="1"/>
  <c r="ES278" i="5" a="1"/>
  <c r="ES278" i="5" s="1"/>
  <c r="ET278" i="5" a="1"/>
  <c r="ET278" i="5" s="1"/>
  <c r="EU278" i="5" a="1"/>
  <c r="EU278" i="5" s="1"/>
  <c r="EV278" i="5" a="1"/>
  <c r="EV278" i="5" s="1"/>
  <c r="EW278" i="5" a="1"/>
  <c r="EW278" i="5" s="1"/>
  <c r="EX278" i="5" a="1"/>
  <c r="EX278" i="5" s="1"/>
  <c r="EY278" i="5" a="1"/>
  <c r="EY278" i="5" s="1"/>
  <c r="EZ278" i="5" a="1"/>
  <c r="EZ278" i="5" s="1"/>
  <c r="FA278" i="5" a="1"/>
  <c r="FA278" i="5" s="1"/>
  <c r="FB278" i="5" a="1"/>
  <c r="FB278" i="5" s="1"/>
  <c r="FC278" i="5" a="1"/>
  <c r="FC278" i="5" s="1"/>
  <c r="FD278" i="5" a="1"/>
  <c r="FD278" i="5" s="1"/>
  <c r="FE278" i="5" a="1"/>
  <c r="FE278" i="5" s="1"/>
  <c r="FF278" i="5" a="1"/>
  <c r="FF278" i="5" s="1"/>
  <c r="FG278" i="5" a="1"/>
  <c r="FG278" i="5" s="1"/>
  <c r="FH278" i="5" a="1"/>
  <c r="FH278" i="5" s="1"/>
  <c r="FI278" i="5" a="1"/>
  <c r="FI278" i="5" s="1"/>
  <c r="FJ278" i="5" a="1"/>
  <c r="FJ278" i="5" s="1"/>
  <c r="FK278" i="5" a="1"/>
  <c r="FK278" i="5" s="1"/>
  <c r="FL278" i="5" a="1"/>
  <c r="FL278" i="5" s="1"/>
  <c r="FM278" i="5" a="1"/>
  <c r="FM278" i="5" s="1"/>
  <c r="FN278" i="5" a="1"/>
  <c r="FN278" i="5" s="1"/>
  <c r="FO278" i="5" a="1"/>
  <c r="FO278" i="5" s="1"/>
  <c r="EI279" i="5" a="1"/>
  <c r="EI279" i="5" s="1"/>
  <c r="EJ279" i="5" a="1"/>
  <c r="EJ279" i="5" s="1"/>
  <c r="EK279" i="5" a="1"/>
  <c r="EK279" i="5" s="1"/>
  <c r="EL279" i="5" a="1"/>
  <c r="EL279" i="5" s="1"/>
  <c r="EM279" i="5" a="1"/>
  <c r="EM279" i="5" s="1"/>
  <c r="EN279" i="5" a="1"/>
  <c r="EN279" i="5" s="1"/>
  <c r="EO279" i="5" a="1"/>
  <c r="EO279" i="5" s="1"/>
  <c r="EP279" i="5" a="1"/>
  <c r="EP279" i="5" s="1"/>
  <c r="EQ279" i="5" a="1"/>
  <c r="EQ279" i="5" s="1"/>
  <c r="ER279" i="5" a="1"/>
  <c r="ER279" i="5" s="1"/>
  <c r="ES279" i="5" a="1"/>
  <c r="ES279" i="5" s="1"/>
  <c r="ET279" i="5" a="1"/>
  <c r="ET279" i="5" s="1"/>
  <c r="EU279" i="5" a="1"/>
  <c r="EU279" i="5" s="1"/>
  <c r="EV279" i="5" a="1"/>
  <c r="EV279" i="5" s="1"/>
  <c r="EW279" i="5" a="1"/>
  <c r="EW279" i="5" s="1"/>
  <c r="EX279" i="5" a="1"/>
  <c r="EX279" i="5" s="1"/>
  <c r="EY279" i="5" a="1"/>
  <c r="EY279" i="5" s="1"/>
  <c r="EZ279" i="5" a="1"/>
  <c r="EZ279" i="5" s="1"/>
  <c r="FA279" i="5" a="1"/>
  <c r="FA279" i="5" s="1"/>
  <c r="FB279" i="5" a="1"/>
  <c r="FB279" i="5" s="1"/>
  <c r="FC279" i="5" a="1"/>
  <c r="FC279" i="5" s="1"/>
  <c r="FD279" i="5" a="1"/>
  <c r="FD279" i="5" s="1"/>
  <c r="FE279" i="5" a="1"/>
  <c r="FE279" i="5" s="1"/>
  <c r="FF279" i="5" a="1"/>
  <c r="FF279" i="5" s="1"/>
  <c r="FG279" i="5" a="1"/>
  <c r="FG279" i="5" s="1"/>
  <c r="FH279" i="5" a="1"/>
  <c r="FH279" i="5" s="1"/>
  <c r="FI279" i="5" a="1"/>
  <c r="FI279" i="5" s="1"/>
  <c r="FJ279" i="5" a="1"/>
  <c r="FJ279" i="5" s="1"/>
  <c r="FK279" i="5" a="1"/>
  <c r="FK279" i="5" s="1"/>
  <c r="FL279" i="5" a="1"/>
  <c r="FL279" i="5" s="1"/>
  <c r="FM279" i="5" a="1"/>
  <c r="FM279" i="5" s="1"/>
  <c r="FN279" i="5" a="1"/>
  <c r="FN279" i="5" s="1"/>
  <c r="FO279" i="5" a="1"/>
  <c r="FO279" i="5" s="1"/>
  <c r="EI280" i="5" a="1"/>
  <c r="EI280" i="5" s="1"/>
  <c r="EJ280" i="5" a="1"/>
  <c r="EJ280" i="5" s="1"/>
  <c r="EK280" i="5" a="1"/>
  <c r="EK280" i="5" s="1"/>
  <c r="EL280" i="5" a="1"/>
  <c r="EL280" i="5" s="1"/>
  <c r="EM280" i="5" a="1"/>
  <c r="EM280" i="5" s="1"/>
  <c r="EN280" i="5" a="1"/>
  <c r="EN280" i="5" s="1"/>
  <c r="EO280" i="5" a="1"/>
  <c r="EO280" i="5" s="1"/>
  <c r="EP280" i="5" a="1"/>
  <c r="EP280" i="5" s="1"/>
  <c r="EQ280" i="5" a="1"/>
  <c r="EQ280" i="5" s="1"/>
  <c r="ER280" i="5" a="1"/>
  <c r="ER280" i="5" s="1"/>
  <c r="ES280" i="5" a="1"/>
  <c r="ES280" i="5" s="1"/>
  <c r="ET280" i="5" a="1"/>
  <c r="ET280" i="5" s="1"/>
  <c r="EU280" i="5" a="1"/>
  <c r="EU280" i="5" s="1"/>
  <c r="EV280" i="5" a="1"/>
  <c r="EV280" i="5" s="1"/>
  <c r="EW280" i="5" a="1"/>
  <c r="EW280" i="5" s="1"/>
  <c r="EX280" i="5" a="1"/>
  <c r="EX280" i="5" s="1"/>
  <c r="EY280" i="5" a="1"/>
  <c r="EY280" i="5" s="1"/>
  <c r="EZ280" i="5" a="1"/>
  <c r="EZ280" i="5" s="1"/>
  <c r="FA280" i="5" a="1"/>
  <c r="FA280" i="5" s="1"/>
  <c r="FB280" i="5" a="1"/>
  <c r="FB280" i="5" s="1"/>
  <c r="FC280" i="5" a="1"/>
  <c r="FC280" i="5" s="1"/>
  <c r="FD280" i="5" a="1"/>
  <c r="FD280" i="5" s="1"/>
  <c r="FE280" i="5" a="1"/>
  <c r="FE280" i="5" s="1"/>
  <c r="FF280" i="5" a="1"/>
  <c r="FF280" i="5" s="1"/>
  <c r="FG280" i="5" a="1"/>
  <c r="FG280" i="5" s="1"/>
  <c r="FH280" i="5" a="1"/>
  <c r="FH280" i="5" s="1"/>
  <c r="FI280" i="5" a="1"/>
  <c r="FI280" i="5" s="1"/>
  <c r="FJ280" i="5" a="1"/>
  <c r="FJ280" i="5" s="1"/>
  <c r="FK280" i="5" a="1"/>
  <c r="FK280" i="5" s="1"/>
  <c r="FL280" i="5" a="1"/>
  <c r="FL280" i="5" s="1"/>
  <c r="FM280" i="5" a="1"/>
  <c r="FM280" i="5" s="1"/>
  <c r="FN280" i="5" a="1"/>
  <c r="FN280" i="5" s="1"/>
  <c r="FO280" i="5" a="1"/>
  <c r="FO280" i="5" s="1"/>
  <c r="EI281" i="5" a="1"/>
  <c r="EI281" i="5" s="1"/>
  <c r="EJ281" i="5" a="1"/>
  <c r="EJ281" i="5" s="1"/>
  <c r="EK281" i="5" a="1"/>
  <c r="EK281" i="5" s="1"/>
  <c r="EL281" i="5" a="1"/>
  <c r="EL281" i="5" s="1"/>
  <c r="EM281" i="5" a="1"/>
  <c r="EM281" i="5" s="1"/>
  <c r="EN281" i="5" a="1"/>
  <c r="EN281" i="5" s="1"/>
  <c r="EO281" i="5" a="1"/>
  <c r="EO281" i="5" s="1"/>
  <c r="EP281" i="5" a="1"/>
  <c r="EP281" i="5" s="1"/>
  <c r="EQ281" i="5" a="1"/>
  <c r="EQ281" i="5" s="1"/>
  <c r="ER281" i="5" a="1"/>
  <c r="ER281" i="5" s="1"/>
  <c r="ES281" i="5" a="1"/>
  <c r="ES281" i="5" s="1"/>
  <c r="ET281" i="5" a="1"/>
  <c r="ET281" i="5" s="1"/>
  <c r="EU281" i="5" a="1"/>
  <c r="EU281" i="5" s="1"/>
  <c r="EV281" i="5" a="1"/>
  <c r="EV281" i="5" s="1"/>
  <c r="EW281" i="5" a="1"/>
  <c r="EW281" i="5" s="1"/>
  <c r="EX281" i="5" a="1"/>
  <c r="EX281" i="5" s="1"/>
  <c r="EY281" i="5" a="1"/>
  <c r="EY281" i="5" s="1"/>
  <c r="EZ281" i="5" a="1"/>
  <c r="EZ281" i="5" s="1"/>
  <c r="FA281" i="5" a="1"/>
  <c r="FA281" i="5" s="1"/>
  <c r="FB281" i="5" a="1"/>
  <c r="FB281" i="5" s="1"/>
  <c r="FC281" i="5" a="1"/>
  <c r="FC281" i="5" s="1"/>
  <c r="FD281" i="5" a="1"/>
  <c r="FD281" i="5" s="1"/>
  <c r="FE281" i="5" a="1"/>
  <c r="FE281" i="5" s="1"/>
  <c r="FF281" i="5" a="1"/>
  <c r="FF281" i="5" s="1"/>
  <c r="FG281" i="5" a="1"/>
  <c r="FG281" i="5" s="1"/>
  <c r="FH281" i="5" a="1"/>
  <c r="FH281" i="5" s="1"/>
  <c r="FI281" i="5" a="1"/>
  <c r="FI281" i="5" s="1"/>
  <c r="FJ281" i="5" a="1"/>
  <c r="FJ281" i="5" s="1"/>
  <c r="FK281" i="5" a="1"/>
  <c r="FK281" i="5" s="1"/>
  <c r="FL281" i="5" a="1"/>
  <c r="FL281" i="5" s="1"/>
  <c r="FM281" i="5" a="1"/>
  <c r="FM281" i="5" s="1"/>
  <c r="FN281" i="5" a="1"/>
  <c r="FN281" i="5" s="1"/>
  <c r="FO281" i="5" a="1"/>
  <c r="FO281" i="5" s="1"/>
  <c r="EI282" i="5" a="1"/>
  <c r="EI282" i="5" s="1"/>
  <c r="EJ282" i="5" a="1"/>
  <c r="EJ282" i="5" s="1"/>
  <c r="EK282" i="5" a="1"/>
  <c r="EK282" i="5" s="1"/>
  <c r="EL282" i="5" a="1"/>
  <c r="EL282" i="5" s="1"/>
  <c r="EM282" i="5" a="1"/>
  <c r="EM282" i="5" s="1"/>
  <c r="EN282" i="5" a="1"/>
  <c r="EN282" i="5" s="1"/>
  <c r="EO282" i="5" a="1"/>
  <c r="EO282" i="5" s="1"/>
  <c r="EP282" i="5" a="1"/>
  <c r="EP282" i="5" s="1"/>
  <c r="EQ282" i="5" a="1"/>
  <c r="EQ282" i="5" s="1"/>
  <c r="ER282" i="5" a="1"/>
  <c r="ER282" i="5" s="1"/>
  <c r="ES282" i="5" a="1"/>
  <c r="ES282" i="5" s="1"/>
  <c r="ET282" i="5" a="1"/>
  <c r="ET282" i="5" s="1"/>
  <c r="EU282" i="5" a="1"/>
  <c r="EU282" i="5" s="1"/>
  <c r="EV282" i="5" a="1"/>
  <c r="EV282" i="5" s="1"/>
  <c r="EW282" i="5" a="1"/>
  <c r="EW282" i="5" s="1"/>
  <c r="EX282" i="5" a="1"/>
  <c r="EX282" i="5" s="1"/>
  <c r="EY282" i="5" a="1"/>
  <c r="EY282" i="5" s="1"/>
  <c r="EZ282" i="5" a="1"/>
  <c r="EZ282" i="5" s="1"/>
  <c r="FA282" i="5" a="1"/>
  <c r="FA282" i="5" s="1"/>
  <c r="FB282" i="5" a="1"/>
  <c r="FB282" i="5" s="1"/>
  <c r="FC282" i="5" a="1"/>
  <c r="FC282" i="5" s="1"/>
  <c r="FD282" i="5" a="1"/>
  <c r="FD282" i="5" s="1"/>
  <c r="FE282" i="5" a="1"/>
  <c r="FE282" i="5" s="1"/>
  <c r="FF282" i="5" a="1"/>
  <c r="FF282" i="5" s="1"/>
  <c r="FG282" i="5" a="1"/>
  <c r="FG282" i="5" s="1"/>
  <c r="FH282" i="5" a="1"/>
  <c r="FH282" i="5" s="1"/>
  <c r="FI282" i="5" a="1"/>
  <c r="FI282" i="5" s="1"/>
  <c r="FJ282" i="5" a="1"/>
  <c r="FJ282" i="5" s="1"/>
  <c r="FK282" i="5" a="1"/>
  <c r="FK282" i="5" s="1"/>
  <c r="FL282" i="5" a="1"/>
  <c r="FL282" i="5" s="1"/>
  <c r="FM282" i="5" a="1"/>
  <c r="FM282" i="5" s="1"/>
  <c r="FN282" i="5" a="1"/>
  <c r="FN282" i="5" s="1"/>
  <c r="FO282" i="5" a="1"/>
  <c r="FO282" i="5" s="1"/>
  <c r="EI283" i="5" a="1"/>
  <c r="EI283" i="5" s="1"/>
  <c r="EJ283" i="5" a="1"/>
  <c r="EJ283" i="5" s="1"/>
  <c r="EK283" i="5" a="1"/>
  <c r="EK283" i="5" s="1"/>
  <c r="EL283" i="5" a="1"/>
  <c r="EL283" i="5" s="1"/>
  <c r="EM283" i="5" a="1"/>
  <c r="EM283" i="5" s="1"/>
  <c r="EN283" i="5" a="1"/>
  <c r="EN283" i="5" s="1"/>
  <c r="EO283" i="5" a="1"/>
  <c r="EO283" i="5" s="1"/>
  <c r="EP283" i="5" a="1"/>
  <c r="EP283" i="5" s="1"/>
  <c r="EQ283" i="5" a="1"/>
  <c r="EQ283" i="5" s="1"/>
  <c r="ER283" i="5" a="1"/>
  <c r="ER283" i="5" s="1"/>
  <c r="ES283" i="5" a="1"/>
  <c r="ES283" i="5" s="1"/>
  <c r="ET283" i="5" a="1"/>
  <c r="ET283" i="5" s="1"/>
  <c r="EU283" i="5" a="1"/>
  <c r="EU283" i="5" s="1"/>
  <c r="EV283" i="5" a="1"/>
  <c r="EV283" i="5" s="1"/>
  <c r="EW283" i="5" a="1"/>
  <c r="EW283" i="5" s="1"/>
  <c r="EX283" i="5" a="1"/>
  <c r="EX283" i="5" s="1"/>
  <c r="EY283" i="5" a="1"/>
  <c r="EY283" i="5" s="1"/>
  <c r="EZ283" i="5" a="1"/>
  <c r="EZ283" i="5" s="1"/>
  <c r="FA283" i="5" a="1"/>
  <c r="FA283" i="5" s="1"/>
  <c r="FB283" i="5" a="1"/>
  <c r="FB283" i="5" s="1"/>
  <c r="FC283" i="5" a="1"/>
  <c r="FC283" i="5" s="1"/>
  <c r="FD283" i="5" a="1"/>
  <c r="FD283" i="5" s="1"/>
  <c r="FE283" i="5" a="1"/>
  <c r="FE283" i="5" s="1"/>
  <c r="FF283" i="5" a="1"/>
  <c r="FF283" i="5" s="1"/>
  <c r="FG283" i="5" a="1"/>
  <c r="FG283" i="5" s="1"/>
  <c r="FH283" i="5" a="1"/>
  <c r="FH283" i="5" s="1"/>
  <c r="FI283" i="5" a="1"/>
  <c r="FI283" i="5" s="1"/>
  <c r="FJ283" i="5" a="1"/>
  <c r="FJ283" i="5" s="1"/>
  <c r="FK283" i="5" a="1"/>
  <c r="FK283" i="5" s="1"/>
  <c r="FL283" i="5" a="1"/>
  <c r="FL283" i="5" s="1"/>
  <c r="FM283" i="5" a="1"/>
  <c r="FM283" i="5" s="1"/>
  <c r="FN283" i="5" a="1"/>
  <c r="FN283" i="5" s="1"/>
  <c r="FO283" i="5" a="1"/>
  <c r="FO283" i="5" s="1"/>
  <c r="EI284" i="5" a="1"/>
  <c r="EI284" i="5" s="1"/>
  <c r="EJ284" i="5" a="1"/>
  <c r="EJ284" i="5" s="1"/>
  <c r="EK284" i="5" a="1"/>
  <c r="EK284" i="5" s="1"/>
  <c r="EL284" i="5" a="1"/>
  <c r="EL284" i="5" s="1"/>
  <c r="EM284" i="5" a="1"/>
  <c r="EM284" i="5" s="1"/>
  <c r="EN284" i="5" a="1"/>
  <c r="EN284" i="5" s="1"/>
  <c r="EO284" i="5" a="1"/>
  <c r="EO284" i="5" s="1"/>
  <c r="EP284" i="5" a="1"/>
  <c r="EP284" i="5" s="1"/>
  <c r="EQ284" i="5" a="1"/>
  <c r="EQ284" i="5" s="1"/>
  <c r="ER284" i="5" a="1"/>
  <c r="ER284" i="5" s="1"/>
  <c r="ES284" i="5" a="1"/>
  <c r="ES284" i="5" s="1"/>
  <c r="ET284" i="5" a="1"/>
  <c r="ET284" i="5" s="1"/>
  <c r="EU284" i="5" a="1"/>
  <c r="EU284" i="5" s="1"/>
  <c r="EV284" i="5" a="1"/>
  <c r="EV284" i="5" s="1"/>
  <c r="EW284" i="5" a="1"/>
  <c r="EW284" i="5" s="1"/>
  <c r="EX284" i="5" a="1"/>
  <c r="EX284" i="5" s="1"/>
  <c r="EY284" i="5" a="1"/>
  <c r="EY284" i="5" s="1"/>
  <c r="EZ284" i="5" a="1"/>
  <c r="EZ284" i="5" s="1"/>
  <c r="FA284" i="5" a="1"/>
  <c r="FA284" i="5" s="1"/>
  <c r="FB284" i="5" a="1"/>
  <c r="FB284" i="5" s="1"/>
  <c r="FC284" i="5" a="1"/>
  <c r="FC284" i="5" s="1"/>
  <c r="FD284" i="5" a="1"/>
  <c r="FD284" i="5" s="1"/>
  <c r="FE284" i="5" a="1"/>
  <c r="FE284" i="5" s="1"/>
  <c r="FF284" i="5" a="1"/>
  <c r="FF284" i="5" s="1"/>
  <c r="FG284" i="5" a="1"/>
  <c r="FG284" i="5" s="1"/>
  <c r="FH284" i="5" a="1"/>
  <c r="FH284" i="5" s="1"/>
  <c r="FI284" i="5" a="1"/>
  <c r="FI284" i="5" s="1"/>
  <c r="FJ284" i="5" a="1"/>
  <c r="FJ284" i="5" s="1"/>
  <c r="FK284" i="5" a="1"/>
  <c r="FK284" i="5" s="1"/>
  <c r="FL284" i="5" a="1"/>
  <c r="FL284" i="5" s="1"/>
  <c r="FM284" i="5" a="1"/>
  <c r="FM284" i="5" s="1"/>
  <c r="FN284" i="5" a="1"/>
  <c r="FN284" i="5" s="1"/>
  <c r="FO284" i="5" a="1"/>
  <c r="FO284" i="5" s="1"/>
  <c r="EI285" i="5" a="1"/>
  <c r="EI285" i="5" s="1"/>
  <c r="EJ285" i="5" a="1"/>
  <c r="EJ285" i="5" s="1"/>
  <c r="EK285" i="5" a="1"/>
  <c r="EK285" i="5" s="1"/>
  <c r="EL285" i="5" a="1"/>
  <c r="EL285" i="5" s="1"/>
  <c r="EM285" i="5" a="1"/>
  <c r="EM285" i="5" s="1"/>
  <c r="EN285" i="5" a="1"/>
  <c r="EN285" i="5" s="1"/>
  <c r="EO285" i="5" a="1"/>
  <c r="EO285" i="5" s="1"/>
  <c r="EP285" i="5" a="1"/>
  <c r="EP285" i="5" s="1"/>
  <c r="EQ285" i="5" a="1"/>
  <c r="EQ285" i="5" s="1"/>
  <c r="ER285" i="5" a="1"/>
  <c r="ER285" i="5" s="1"/>
  <c r="ES285" i="5" a="1"/>
  <c r="ES285" i="5" s="1"/>
  <c r="ET285" i="5" a="1"/>
  <c r="ET285" i="5" s="1"/>
  <c r="EU285" i="5" a="1"/>
  <c r="EU285" i="5" s="1"/>
  <c r="EV285" i="5" a="1"/>
  <c r="EV285" i="5" s="1"/>
  <c r="EW285" i="5" a="1"/>
  <c r="EW285" i="5" s="1"/>
  <c r="EX285" i="5" a="1"/>
  <c r="EX285" i="5" s="1"/>
  <c r="EY285" i="5" a="1"/>
  <c r="EY285" i="5" s="1"/>
  <c r="EZ285" i="5" a="1"/>
  <c r="EZ285" i="5" s="1"/>
  <c r="FA285" i="5" a="1"/>
  <c r="FA285" i="5" s="1"/>
  <c r="FB285" i="5" a="1"/>
  <c r="FB285" i="5" s="1"/>
  <c r="FC285" i="5" a="1"/>
  <c r="FC285" i="5" s="1"/>
  <c r="FD285" i="5" a="1"/>
  <c r="FD285" i="5" s="1"/>
  <c r="FE285" i="5" a="1"/>
  <c r="FE285" i="5" s="1"/>
  <c r="FF285" i="5" a="1"/>
  <c r="FF285" i="5" s="1"/>
  <c r="FG285" i="5" a="1"/>
  <c r="FG285" i="5" s="1"/>
  <c r="FH285" i="5" a="1"/>
  <c r="FH285" i="5" s="1"/>
  <c r="FI285" i="5" a="1"/>
  <c r="FI285" i="5" s="1"/>
  <c r="FJ285" i="5" a="1"/>
  <c r="FJ285" i="5" s="1"/>
  <c r="FK285" i="5" a="1"/>
  <c r="FK285" i="5" s="1"/>
  <c r="FL285" i="5" a="1"/>
  <c r="FL285" i="5" s="1"/>
  <c r="FM285" i="5" a="1"/>
  <c r="FM285" i="5" s="1"/>
  <c r="FN285" i="5" a="1"/>
  <c r="FN285" i="5" s="1"/>
  <c r="FO285" i="5" a="1"/>
  <c r="FO285" i="5" s="1"/>
  <c r="EI286" i="5" a="1"/>
  <c r="EI286" i="5" s="1"/>
  <c r="EJ286" i="5" a="1"/>
  <c r="EJ286" i="5" s="1"/>
  <c r="EK286" i="5" a="1"/>
  <c r="EK286" i="5" s="1"/>
  <c r="EL286" i="5" a="1"/>
  <c r="EL286" i="5" s="1"/>
  <c r="EM286" i="5" a="1"/>
  <c r="EM286" i="5" s="1"/>
  <c r="EN286" i="5" a="1"/>
  <c r="EN286" i="5" s="1"/>
  <c r="EO286" i="5" a="1"/>
  <c r="EO286" i="5" s="1"/>
  <c r="EP286" i="5" a="1"/>
  <c r="EP286" i="5" s="1"/>
  <c r="EQ286" i="5" a="1"/>
  <c r="EQ286" i="5" s="1"/>
  <c r="ER286" i="5" a="1"/>
  <c r="ER286" i="5" s="1"/>
  <c r="ES286" i="5" a="1"/>
  <c r="ES286" i="5" s="1"/>
  <c r="ET286" i="5" a="1"/>
  <c r="ET286" i="5" s="1"/>
  <c r="EU286" i="5" a="1"/>
  <c r="EU286" i="5" s="1"/>
  <c r="EV286" i="5" a="1"/>
  <c r="EV286" i="5" s="1"/>
  <c r="EW286" i="5" a="1"/>
  <c r="EW286" i="5" s="1"/>
  <c r="EX286" i="5" a="1"/>
  <c r="EX286" i="5" s="1"/>
  <c r="EY286" i="5" a="1"/>
  <c r="EY286" i="5" s="1"/>
  <c r="EZ286" i="5" a="1"/>
  <c r="EZ286" i="5" s="1"/>
  <c r="FA286" i="5" a="1"/>
  <c r="FA286" i="5" s="1"/>
  <c r="FB286" i="5" a="1"/>
  <c r="FB286" i="5" s="1"/>
  <c r="FC286" i="5" a="1"/>
  <c r="FC286" i="5" s="1"/>
  <c r="FD286" i="5" a="1"/>
  <c r="FD286" i="5" s="1"/>
  <c r="FE286" i="5" a="1"/>
  <c r="FE286" i="5" s="1"/>
  <c r="FF286" i="5" a="1"/>
  <c r="FF286" i="5" s="1"/>
  <c r="FG286" i="5" a="1"/>
  <c r="FG286" i="5" s="1"/>
  <c r="FH286" i="5" a="1"/>
  <c r="FH286" i="5" s="1"/>
  <c r="FI286" i="5" a="1"/>
  <c r="FI286" i="5" s="1"/>
  <c r="FJ286" i="5" a="1"/>
  <c r="FJ286" i="5" s="1"/>
  <c r="FK286" i="5" a="1"/>
  <c r="FK286" i="5" s="1"/>
  <c r="FL286" i="5" a="1"/>
  <c r="FL286" i="5" s="1"/>
  <c r="FM286" i="5" a="1"/>
  <c r="FM286" i="5" s="1"/>
  <c r="FN286" i="5" a="1"/>
  <c r="FN286" i="5" s="1"/>
  <c r="FO286" i="5" a="1"/>
  <c r="FO286" i="5" s="1"/>
  <c r="EI287" i="5" a="1"/>
  <c r="EI287" i="5" s="1"/>
  <c r="EJ287" i="5" a="1"/>
  <c r="EJ287" i="5" s="1"/>
  <c r="EK287" i="5" a="1"/>
  <c r="EK287" i="5" s="1"/>
  <c r="EL287" i="5" a="1"/>
  <c r="EL287" i="5" s="1"/>
  <c r="EM287" i="5" a="1"/>
  <c r="EM287" i="5" s="1"/>
  <c r="EN287" i="5" a="1"/>
  <c r="EN287" i="5" s="1"/>
  <c r="EO287" i="5" a="1"/>
  <c r="EO287" i="5" s="1"/>
  <c r="EP287" i="5" a="1"/>
  <c r="EP287" i="5" s="1"/>
  <c r="EQ287" i="5" a="1"/>
  <c r="EQ287" i="5" s="1"/>
  <c r="ER287" i="5" a="1"/>
  <c r="ER287" i="5" s="1"/>
  <c r="ES287" i="5" a="1"/>
  <c r="ES287" i="5" s="1"/>
  <c r="ET287" i="5" a="1"/>
  <c r="ET287" i="5" s="1"/>
  <c r="EU287" i="5" a="1"/>
  <c r="EU287" i="5" s="1"/>
  <c r="EV287" i="5" a="1"/>
  <c r="EV287" i="5" s="1"/>
  <c r="EW287" i="5" a="1"/>
  <c r="EW287" i="5" s="1"/>
  <c r="EX287" i="5" a="1"/>
  <c r="EX287" i="5" s="1"/>
  <c r="EY287" i="5" a="1"/>
  <c r="EY287" i="5" s="1"/>
  <c r="EZ287" i="5" a="1"/>
  <c r="EZ287" i="5" s="1"/>
  <c r="FA287" i="5" a="1"/>
  <c r="FA287" i="5" s="1"/>
  <c r="FB287" i="5" a="1"/>
  <c r="FB287" i="5" s="1"/>
  <c r="FC287" i="5" a="1"/>
  <c r="FC287" i="5" s="1"/>
  <c r="FD287" i="5" a="1"/>
  <c r="FD287" i="5" s="1"/>
  <c r="FE287" i="5" a="1"/>
  <c r="FE287" i="5" s="1"/>
  <c r="FF287" i="5" a="1"/>
  <c r="FF287" i="5" s="1"/>
  <c r="FG287" i="5" a="1"/>
  <c r="FG287" i="5" s="1"/>
  <c r="FH287" i="5" a="1"/>
  <c r="FH287" i="5" s="1"/>
  <c r="FI287" i="5" a="1"/>
  <c r="FI287" i="5" s="1"/>
  <c r="FJ287" i="5" a="1"/>
  <c r="FJ287" i="5" s="1"/>
  <c r="FK287" i="5" a="1"/>
  <c r="FK287" i="5" s="1"/>
  <c r="FL287" i="5" a="1"/>
  <c r="FL287" i="5" s="1"/>
  <c r="FM287" i="5" a="1"/>
  <c r="FM287" i="5" s="1"/>
  <c r="FN287" i="5" a="1"/>
  <c r="FN287" i="5" s="1"/>
  <c r="FO287" i="5" a="1"/>
  <c r="FO287" i="5" s="1"/>
  <c r="EI288" i="5" a="1"/>
  <c r="EI288" i="5" s="1"/>
  <c r="EJ288" i="5" a="1"/>
  <c r="EJ288" i="5" s="1"/>
  <c r="EK288" i="5" a="1"/>
  <c r="EK288" i="5" s="1"/>
  <c r="EL288" i="5" a="1"/>
  <c r="EL288" i="5" s="1"/>
  <c r="EM288" i="5" a="1"/>
  <c r="EM288" i="5" s="1"/>
  <c r="EN288" i="5" a="1"/>
  <c r="EN288" i="5" s="1"/>
  <c r="EO288" i="5" a="1"/>
  <c r="EO288" i="5" s="1"/>
  <c r="EP288" i="5" a="1"/>
  <c r="EP288" i="5" s="1"/>
  <c r="EQ288" i="5" a="1"/>
  <c r="EQ288" i="5" s="1"/>
  <c r="ER288" i="5" a="1"/>
  <c r="ER288" i="5" s="1"/>
  <c r="ES288" i="5" a="1"/>
  <c r="ES288" i="5" s="1"/>
  <c r="ET288" i="5" a="1"/>
  <c r="ET288" i="5" s="1"/>
  <c r="EU288" i="5" a="1"/>
  <c r="EU288" i="5" s="1"/>
  <c r="EV288" i="5" a="1"/>
  <c r="EV288" i="5" s="1"/>
  <c r="EW288" i="5" a="1"/>
  <c r="EW288" i="5" s="1"/>
  <c r="EX288" i="5" a="1"/>
  <c r="EX288" i="5" s="1"/>
  <c r="EY288" i="5" a="1"/>
  <c r="EY288" i="5" s="1"/>
  <c r="EZ288" i="5" a="1"/>
  <c r="EZ288" i="5" s="1"/>
  <c r="FA288" i="5" a="1"/>
  <c r="FA288" i="5" s="1"/>
  <c r="FB288" i="5" a="1"/>
  <c r="FB288" i="5" s="1"/>
  <c r="FC288" i="5" a="1"/>
  <c r="FC288" i="5" s="1"/>
  <c r="FD288" i="5" a="1"/>
  <c r="FD288" i="5" s="1"/>
  <c r="FE288" i="5" a="1"/>
  <c r="FE288" i="5" s="1"/>
  <c r="FF288" i="5" a="1"/>
  <c r="FF288" i="5" s="1"/>
  <c r="FG288" i="5" a="1"/>
  <c r="FG288" i="5" s="1"/>
  <c r="FH288" i="5" a="1"/>
  <c r="FH288" i="5" s="1"/>
  <c r="FI288" i="5" a="1"/>
  <c r="FI288" i="5" s="1"/>
  <c r="FJ288" i="5" a="1"/>
  <c r="FJ288" i="5" s="1"/>
  <c r="FK288" i="5" a="1"/>
  <c r="FK288" i="5" s="1"/>
  <c r="FL288" i="5" a="1"/>
  <c r="FL288" i="5" s="1"/>
  <c r="FM288" i="5" a="1"/>
  <c r="FM288" i="5" s="1"/>
  <c r="FN288" i="5" a="1"/>
  <c r="FN288" i="5" s="1"/>
  <c r="FO288" i="5" a="1"/>
  <c r="FO288" i="5" s="1"/>
  <c r="EI289" i="5" a="1"/>
  <c r="EI289" i="5" s="1"/>
  <c r="EJ289" i="5" a="1"/>
  <c r="EJ289" i="5" s="1"/>
  <c r="EK289" i="5" a="1"/>
  <c r="EK289" i="5" s="1"/>
  <c r="EL289" i="5" a="1"/>
  <c r="EL289" i="5" s="1"/>
  <c r="EM289" i="5" a="1"/>
  <c r="EM289" i="5" s="1"/>
  <c r="EN289" i="5" a="1"/>
  <c r="EN289" i="5" s="1"/>
  <c r="EO289" i="5" a="1"/>
  <c r="EO289" i="5" s="1"/>
  <c r="EP289" i="5" a="1"/>
  <c r="EP289" i="5" s="1"/>
  <c r="EQ289" i="5" a="1"/>
  <c r="EQ289" i="5" s="1"/>
  <c r="ER289" i="5" a="1"/>
  <c r="ER289" i="5" s="1"/>
  <c r="ES289" i="5" a="1"/>
  <c r="ES289" i="5" s="1"/>
  <c r="ET289" i="5" a="1"/>
  <c r="ET289" i="5" s="1"/>
  <c r="EU289" i="5" a="1"/>
  <c r="EU289" i="5" s="1"/>
  <c r="EV289" i="5" a="1"/>
  <c r="EV289" i="5" s="1"/>
  <c r="EW289" i="5" a="1"/>
  <c r="EW289" i="5" s="1"/>
  <c r="EX289" i="5" a="1"/>
  <c r="EX289" i="5" s="1"/>
  <c r="EY289" i="5" a="1"/>
  <c r="EY289" i="5" s="1"/>
  <c r="EZ289" i="5" a="1"/>
  <c r="EZ289" i="5" s="1"/>
  <c r="FA289" i="5" a="1"/>
  <c r="FA289" i="5" s="1"/>
  <c r="FB289" i="5" a="1"/>
  <c r="FB289" i="5" s="1"/>
  <c r="FC289" i="5" a="1"/>
  <c r="FC289" i="5" s="1"/>
  <c r="FD289" i="5" a="1"/>
  <c r="FD289" i="5" s="1"/>
  <c r="FE289" i="5" a="1"/>
  <c r="FE289" i="5" s="1"/>
  <c r="FF289" i="5" a="1"/>
  <c r="FF289" i="5" s="1"/>
  <c r="FG289" i="5" a="1"/>
  <c r="FG289" i="5" s="1"/>
  <c r="FH289" i="5" a="1"/>
  <c r="FH289" i="5" s="1"/>
  <c r="FI289" i="5" a="1"/>
  <c r="FI289" i="5" s="1"/>
  <c r="FJ289" i="5" a="1"/>
  <c r="FJ289" i="5" s="1"/>
  <c r="FK289" i="5" a="1"/>
  <c r="FK289" i="5" s="1"/>
  <c r="FL289" i="5" a="1"/>
  <c r="FL289" i="5" s="1"/>
  <c r="FM289" i="5" a="1"/>
  <c r="FM289" i="5" s="1"/>
  <c r="FN289" i="5" a="1"/>
  <c r="FN289" i="5" s="1"/>
  <c r="FO289" i="5" a="1"/>
  <c r="FO289" i="5" s="1"/>
  <c r="EI290" i="5" a="1"/>
  <c r="EI290" i="5" s="1"/>
  <c r="EJ290" i="5" a="1"/>
  <c r="EJ290" i="5" s="1"/>
  <c r="EK290" i="5" a="1"/>
  <c r="EK290" i="5" s="1"/>
  <c r="EL290" i="5" a="1"/>
  <c r="EL290" i="5" s="1"/>
  <c r="EM290" i="5" a="1"/>
  <c r="EM290" i="5" s="1"/>
  <c r="EN290" i="5" a="1"/>
  <c r="EN290" i="5" s="1"/>
  <c r="EO290" i="5" a="1"/>
  <c r="EO290" i="5" s="1"/>
  <c r="EP290" i="5" a="1"/>
  <c r="EP290" i="5" s="1"/>
  <c r="EQ290" i="5" a="1"/>
  <c r="EQ290" i="5" s="1"/>
  <c r="ER290" i="5" a="1"/>
  <c r="ER290" i="5" s="1"/>
  <c r="ES290" i="5" a="1"/>
  <c r="ES290" i="5" s="1"/>
  <c r="ET290" i="5" a="1"/>
  <c r="ET290" i="5" s="1"/>
  <c r="EU290" i="5" a="1"/>
  <c r="EU290" i="5" s="1"/>
  <c r="EV290" i="5" a="1"/>
  <c r="EV290" i="5" s="1"/>
  <c r="EW290" i="5" a="1"/>
  <c r="EW290" i="5" s="1"/>
  <c r="EX290" i="5" a="1"/>
  <c r="EX290" i="5" s="1"/>
  <c r="EY290" i="5" a="1"/>
  <c r="EY290" i="5" s="1"/>
  <c r="EZ290" i="5" a="1"/>
  <c r="EZ290" i="5" s="1"/>
  <c r="FA290" i="5" a="1"/>
  <c r="FA290" i="5" s="1"/>
  <c r="FB290" i="5" a="1"/>
  <c r="FB290" i="5" s="1"/>
  <c r="FC290" i="5" a="1"/>
  <c r="FC290" i="5" s="1"/>
  <c r="FD290" i="5" a="1"/>
  <c r="FD290" i="5" s="1"/>
  <c r="FE290" i="5" a="1"/>
  <c r="FE290" i="5" s="1"/>
  <c r="FF290" i="5" a="1"/>
  <c r="FF290" i="5" s="1"/>
  <c r="FG290" i="5" a="1"/>
  <c r="FG290" i="5" s="1"/>
  <c r="FH290" i="5" a="1"/>
  <c r="FH290" i="5" s="1"/>
  <c r="FI290" i="5" a="1"/>
  <c r="FI290" i="5" s="1"/>
  <c r="FJ290" i="5" a="1"/>
  <c r="FJ290" i="5" s="1"/>
  <c r="FK290" i="5" a="1"/>
  <c r="FK290" i="5" s="1"/>
  <c r="FL290" i="5" a="1"/>
  <c r="FL290" i="5" s="1"/>
  <c r="FM290" i="5" a="1"/>
  <c r="FM290" i="5" s="1"/>
  <c r="FN290" i="5" a="1"/>
  <c r="FN290" i="5" s="1"/>
  <c r="FO290" i="5" a="1"/>
  <c r="FO290" i="5" s="1"/>
  <c r="EI291" i="5" a="1"/>
  <c r="EI291" i="5" s="1"/>
  <c r="EJ291" i="5" a="1"/>
  <c r="EJ291" i="5" s="1"/>
  <c r="EK291" i="5" a="1"/>
  <c r="EK291" i="5" s="1"/>
  <c r="EL291" i="5" a="1"/>
  <c r="EL291" i="5" s="1"/>
  <c r="EM291" i="5" a="1"/>
  <c r="EM291" i="5" s="1"/>
  <c r="EN291" i="5" a="1"/>
  <c r="EN291" i="5" s="1"/>
  <c r="EO291" i="5" a="1"/>
  <c r="EO291" i="5" s="1"/>
  <c r="EP291" i="5" a="1"/>
  <c r="EP291" i="5" s="1"/>
  <c r="EQ291" i="5" a="1"/>
  <c r="EQ291" i="5" s="1"/>
  <c r="ER291" i="5" a="1"/>
  <c r="ER291" i="5" s="1"/>
  <c r="ES291" i="5" a="1"/>
  <c r="ES291" i="5" s="1"/>
  <c r="ET291" i="5" a="1"/>
  <c r="ET291" i="5" s="1"/>
  <c r="EU291" i="5" a="1"/>
  <c r="EU291" i="5" s="1"/>
  <c r="EV291" i="5" a="1"/>
  <c r="EV291" i="5" s="1"/>
  <c r="EW291" i="5" a="1"/>
  <c r="EW291" i="5" s="1"/>
  <c r="EX291" i="5" a="1"/>
  <c r="EX291" i="5" s="1"/>
  <c r="EY291" i="5" a="1"/>
  <c r="EY291" i="5" s="1"/>
  <c r="EZ291" i="5" a="1"/>
  <c r="EZ291" i="5" s="1"/>
  <c r="FA291" i="5" a="1"/>
  <c r="FA291" i="5" s="1"/>
  <c r="FB291" i="5" a="1"/>
  <c r="FB291" i="5" s="1"/>
  <c r="FC291" i="5" a="1"/>
  <c r="FC291" i="5" s="1"/>
  <c r="FD291" i="5" a="1"/>
  <c r="FD291" i="5" s="1"/>
  <c r="FE291" i="5" a="1"/>
  <c r="FE291" i="5" s="1"/>
  <c r="FF291" i="5" a="1"/>
  <c r="FF291" i="5" s="1"/>
  <c r="FG291" i="5" a="1"/>
  <c r="FG291" i="5" s="1"/>
  <c r="FH291" i="5" a="1"/>
  <c r="FH291" i="5" s="1"/>
  <c r="FI291" i="5" a="1"/>
  <c r="FI291" i="5" s="1"/>
  <c r="FJ291" i="5" a="1"/>
  <c r="FJ291" i="5" s="1"/>
  <c r="FK291" i="5" a="1"/>
  <c r="FK291" i="5" s="1"/>
  <c r="FL291" i="5" a="1"/>
  <c r="FL291" i="5" s="1"/>
  <c r="FM291" i="5" a="1"/>
  <c r="FM291" i="5" s="1"/>
  <c r="FN291" i="5" a="1"/>
  <c r="FN291" i="5" s="1"/>
  <c r="FO291" i="5" a="1"/>
  <c r="FO291" i="5" s="1"/>
  <c r="EI292" i="5" a="1"/>
  <c r="EI292" i="5" s="1"/>
  <c r="EJ292" i="5" a="1"/>
  <c r="EJ292" i="5" s="1"/>
  <c r="EK292" i="5" a="1"/>
  <c r="EK292" i="5" s="1"/>
  <c r="EL292" i="5" a="1"/>
  <c r="EL292" i="5" s="1"/>
  <c r="EM292" i="5" a="1"/>
  <c r="EM292" i="5" s="1"/>
  <c r="EN292" i="5" a="1"/>
  <c r="EN292" i="5" s="1"/>
  <c r="EO292" i="5" a="1"/>
  <c r="EO292" i="5" s="1"/>
  <c r="EP292" i="5" a="1"/>
  <c r="EP292" i="5" s="1"/>
  <c r="EQ292" i="5" a="1"/>
  <c r="EQ292" i="5" s="1"/>
  <c r="ER292" i="5" a="1"/>
  <c r="ER292" i="5" s="1"/>
  <c r="ES292" i="5" a="1"/>
  <c r="ES292" i="5" s="1"/>
  <c r="ET292" i="5" a="1"/>
  <c r="ET292" i="5" s="1"/>
  <c r="EU292" i="5" a="1"/>
  <c r="EU292" i="5" s="1"/>
  <c r="EV292" i="5" a="1"/>
  <c r="EV292" i="5" s="1"/>
  <c r="EW292" i="5" a="1"/>
  <c r="EW292" i="5" s="1"/>
  <c r="EX292" i="5" a="1"/>
  <c r="EX292" i="5" s="1"/>
  <c r="EY292" i="5" a="1"/>
  <c r="EY292" i="5" s="1"/>
  <c r="EZ292" i="5" a="1"/>
  <c r="EZ292" i="5" s="1"/>
  <c r="FA292" i="5" a="1"/>
  <c r="FA292" i="5" s="1"/>
  <c r="FB292" i="5" a="1"/>
  <c r="FB292" i="5" s="1"/>
  <c r="FC292" i="5" a="1"/>
  <c r="FC292" i="5" s="1"/>
  <c r="FD292" i="5" a="1"/>
  <c r="FD292" i="5" s="1"/>
  <c r="FE292" i="5" a="1"/>
  <c r="FE292" i="5" s="1"/>
  <c r="FF292" i="5" a="1"/>
  <c r="FF292" i="5" s="1"/>
  <c r="FG292" i="5" a="1"/>
  <c r="FG292" i="5" s="1"/>
  <c r="FH292" i="5" a="1"/>
  <c r="FH292" i="5" s="1"/>
  <c r="FI292" i="5" a="1"/>
  <c r="FI292" i="5" s="1"/>
  <c r="FJ292" i="5" a="1"/>
  <c r="FJ292" i="5" s="1"/>
  <c r="FK292" i="5" a="1"/>
  <c r="FK292" i="5" s="1"/>
  <c r="FL292" i="5" a="1"/>
  <c r="FL292" i="5" s="1"/>
  <c r="FM292" i="5" a="1"/>
  <c r="FM292" i="5" s="1"/>
  <c r="FN292" i="5" a="1"/>
  <c r="FN292" i="5" s="1"/>
  <c r="FO292" i="5" a="1"/>
  <c r="FO292" i="5" s="1"/>
  <c r="EI293" i="5" a="1"/>
  <c r="EI293" i="5" s="1"/>
  <c r="EJ293" i="5" a="1"/>
  <c r="EJ293" i="5" s="1"/>
  <c r="EK293" i="5" a="1"/>
  <c r="EK293" i="5" s="1"/>
  <c r="EL293" i="5" a="1"/>
  <c r="EL293" i="5" s="1"/>
  <c r="EM293" i="5" a="1"/>
  <c r="EM293" i="5" s="1"/>
  <c r="EN293" i="5" a="1"/>
  <c r="EN293" i="5" s="1"/>
  <c r="EO293" i="5" a="1"/>
  <c r="EO293" i="5" s="1"/>
  <c r="EP293" i="5" a="1"/>
  <c r="EP293" i="5" s="1"/>
  <c r="EQ293" i="5" a="1"/>
  <c r="EQ293" i="5" s="1"/>
  <c r="ER293" i="5" a="1"/>
  <c r="ER293" i="5" s="1"/>
  <c r="ES293" i="5" a="1"/>
  <c r="ES293" i="5" s="1"/>
  <c r="ET293" i="5" a="1"/>
  <c r="ET293" i="5" s="1"/>
  <c r="EU293" i="5" a="1"/>
  <c r="EU293" i="5" s="1"/>
  <c r="EV293" i="5" a="1"/>
  <c r="EV293" i="5" s="1"/>
  <c r="EW293" i="5" a="1"/>
  <c r="EW293" i="5" s="1"/>
  <c r="EX293" i="5" a="1"/>
  <c r="EX293" i="5" s="1"/>
  <c r="EY293" i="5" a="1"/>
  <c r="EY293" i="5" s="1"/>
  <c r="EZ293" i="5" a="1"/>
  <c r="EZ293" i="5" s="1"/>
  <c r="FA293" i="5" a="1"/>
  <c r="FA293" i="5" s="1"/>
  <c r="FB293" i="5" a="1"/>
  <c r="FB293" i="5" s="1"/>
  <c r="FC293" i="5" a="1"/>
  <c r="FC293" i="5" s="1"/>
  <c r="FD293" i="5" a="1"/>
  <c r="FD293" i="5" s="1"/>
  <c r="FE293" i="5" a="1"/>
  <c r="FE293" i="5" s="1"/>
  <c r="FF293" i="5" a="1"/>
  <c r="FF293" i="5" s="1"/>
  <c r="FG293" i="5" a="1"/>
  <c r="FG293" i="5" s="1"/>
  <c r="FH293" i="5" a="1"/>
  <c r="FH293" i="5" s="1"/>
  <c r="FI293" i="5" a="1"/>
  <c r="FI293" i="5" s="1"/>
  <c r="FJ293" i="5" a="1"/>
  <c r="FJ293" i="5" s="1"/>
  <c r="FK293" i="5" a="1"/>
  <c r="FK293" i="5" s="1"/>
  <c r="FL293" i="5" a="1"/>
  <c r="FL293" i="5" s="1"/>
  <c r="FM293" i="5" a="1"/>
  <c r="FM293" i="5" s="1"/>
  <c r="FN293" i="5" a="1"/>
  <c r="FN293" i="5" s="1"/>
  <c r="FO293" i="5" a="1"/>
  <c r="FO293" i="5" s="1"/>
  <c r="EI294" i="5" a="1"/>
  <c r="EI294" i="5" s="1"/>
  <c r="EJ294" i="5" a="1"/>
  <c r="EJ294" i="5" s="1"/>
  <c r="EK294" i="5" a="1"/>
  <c r="EK294" i="5" s="1"/>
  <c r="EL294" i="5" a="1"/>
  <c r="EL294" i="5" s="1"/>
  <c r="EM294" i="5" a="1"/>
  <c r="EM294" i="5" s="1"/>
  <c r="EN294" i="5" a="1"/>
  <c r="EN294" i="5" s="1"/>
  <c r="EO294" i="5" a="1"/>
  <c r="EO294" i="5" s="1"/>
  <c r="EP294" i="5" a="1"/>
  <c r="EP294" i="5" s="1"/>
  <c r="EQ294" i="5" a="1"/>
  <c r="EQ294" i="5" s="1"/>
  <c r="ER294" i="5" a="1"/>
  <c r="ER294" i="5" s="1"/>
  <c r="ES294" i="5" a="1"/>
  <c r="ES294" i="5" s="1"/>
  <c r="ET294" i="5" a="1"/>
  <c r="ET294" i="5" s="1"/>
  <c r="EU294" i="5" a="1"/>
  <c r="EU294" i="5" s="1"/>
  <c r="EV294" i="5" a="1"/>
  <c r="EV294" i="5" s="1"/>
  <c r="EW294" i="5" a="1"/>
  <c r="EW294" i="5" s="1"/>
  <c r="EX294" i="5" a="1"/>
  <c r="EX294" i="5" s="1"/>
  <c r="EY294" i="5" a="1"/>
  <c r="EY294" i="5" s="1"/>
  <c r="EZ294" i="5" a="1"/>
  <c r="EZ294" i="5" s="1"/>
  <c r="FA294" i="5" a="1"/>
  <c r="FA294" i="5" s="1"/>
  <c r="FB294" i="5" a="1"/>
  <c r="FB294" i="5" s="1"/>
  <c r="FC294" i="5" a="1"/>
  <c r="FC294" i="5" s="1"/>
  <c r="FD294" i="5" a="1"/>
  <c r="FD294" i="5" s="1"/>
  <c r="FE294" i="5" a="1"/>
  <c r="FE294" i="5" s="1"/>
  <c r="FF294" i="5" a="1"/>
  <c r="FF294" i="5" s="1"/>
  <c r="FG294" i="5" a="1"/>
  <c r="FG294" i="5" s="1"/>
  <c r="FH294" i="5" a="1"/>
  <c r="FH294" i="5" s="1"/>
  <c r="FI294" i="5" a="1"/>
  <c r="FI294" i="5" s="1"/>
  <c r="FJ294" i="5" a="1"/>
  <c r="FJ294" i="5" s="1"/>
  <c r="FK294" i="5" a="1"/>
  <c r="FK294" i="5" s="1"/>
  <c r="FL294" i="5" a="1"/>
  <c r="FL294" i="5" s="1"/>
  <c r="FM294" i="5" a="1"/>
  <c r="FM294" i="5" s="1"/>
  <c r="FN294" i="5" a="1"/>
  <c r="FN294" i="5" s="1"/>
  <c r="FO294" i="5" a="1"/>
  <c r="FO294" i="5" s="1"/>
  <c r="EI295" i="5" a="1"/>
  <c r="EI295" i="5" s="1"/>
  <c r="EJ295" i="5" a="1"/>
  <c r="EJ295" i="5" s="1"/>
  <c r="EK295" i="5" a="1"/>
  <c r="EK295" i="5" s="1"/>
  <c r="EL295" i="5" a="1"/>
  <c r="EL295" i="5" s="1"/>
  <c r="EM295" i="5" a="1"/>
  <c r="EM295" i="5" s="1"/>
  <c r="EN295" i="5" a="1"/>
  <c r="EN295" i="5" s="1"/>
  <c r="EO295" i="5" a="1"/>
  <c r="EO295" i="5" s="1"/>
  <c r="EP295" i="5" a="1"/>
  <c r="EP295" i="5" s="1"/>
  <c r="EQ295" i="5" a="1"/>
  <c r="EQ295" i="5" s="1"/>
  <c r="ER295" i="5" a="1"/>
  <c r="ER295" i="5" s="1"/>
  <c r="ES295" i="5" a="1"/>
  <c r="ES295" i="5" s="1"/>
  <c r="ET295" i="5" a="1"/>
  <c r="ET295" i="5" s="1"/>
  <c r="EU295" i="5" a="1"/>
  <c r="EU295" i="5" s="1"/>
  <c r="EV295" i="5" a="1"/>
  <c r="EV295" i="5" s="1"/>
  <c r="EW295" i="5" a="1"/>
  <c r="EW295" i="5" s="1"/>
  <c r="EX295" i="5" a="1"/>
  <c r="EX295" i="5" s="1"/>
  <c r="EY295" i="5" a="1"/>
  <c r="EY295" i="5" s="1"/>
  <c r="EZ295" i="5" a="1"/>
  <c r="EZ295" i="5" s="1"/>
  <c r="FA295" i="5" a="1"/>
  <c r="FA295" i="5" s="1"/>
  <c r="FB295" i="5" a="1"/>
  <c r="FB295" i="5" s="1"/>
  <c r="FC295" i="5" a="1"/>
  <c r="FC295" i="5" s="1"/>
  <c r="FD295" i="5" a="1"/>
  <c r="FD295" i="5" s="1"/>
  <c r="FE295" i="5" a="1"/>
  <c r="FE295" i="5" s="1"/>
  <c r="FF295" i="5" a="1"/>
  <c r="FF295" i="5" s="1"/>
  <c r="FG295" i="5" a="1"/>
  <c r="FG295" i="5" s="1"/>
  <c r="FH295" i="5" a="1"/>
  <c r="FH295" i="5" s="1"/>
  <c r="FI295" i="5" a="1"/>
  <c r="FI295" i="5" s="1"/>
  <c r="FJ295" i="5" a="1"/>
  <c r="FJ295" i="5" s="1"/>
  <c r="FK295" i="5" a="1"/>
  <c r="FK295" i="5" s="1"/>
  <c r="FL295" i="5" a="1"/>
  <c r="FL295" i="5" s="1"/>
  <c r="FM295" i="5" a="1"/>
  <c r="FM295" i="5" s="1"/>
  <c r="FN295" i="5" a="1"/>
  <c r="FN295" i="5" s="1"/>
  <c r="FO295" i="5" a="1"/>
  <c r="FO295" i="5" s="1"/>
  <c r="EI296" i="5" a="1"/>
  <c r="EI296" i="5" s="1"/>
  <c r="EJ296" i="5" a="1"/>
  <c r="EJ296" i="5" s="1"/>
  <c r="EK296" i="5" a="1"/>
  <c r="EK296" i="5" s="1"/>
  <c r="EL296" i="5" a="1"/>
  <c r="EL296" i="5" s="1"/>
  <c r="EM296" i="5" a="1"/>
  <c r="EM296" i="5" s="1"/>
  <c r="EN296" i="5" a="1"/>
  <c r="EN296" i="5" s="1"/>
  <c r="EO296" i="5" a="1"/>
  <c r="EO296" i="5" s="1"/>
  <c r="EP296" i="5" a="1"/>
  <c r="EP296" i="5" s="1"/>
  <c r="EQ296" i="5" a="1"/>
  <c r="EQ296" i="5" s="1"/>
  <c r="ER296" i="5" a="1"/>
  <c r="ER296" i="5" s="1"/>
  <c r="ES296" i="5" a="1"/>
  <c r="ES296" i="5" s="1"/>
  <c r="ET296" i="5" a="1"/>
  <c r="ET296" i="5" s="1"/>
  <c r="EU296" i="5" a="1"/>
  <c r="EU296" i="5" s="1"/>
  <c r="EV296" i="5" a="1"/>
  <c r="EV296" i="5" s="1"/>
  <c r="EW296" i="5" a="1"/>
  <c r="EW296" i="5" s="1"/>
  <c r="EX296" i="5" a="1"/>
  <c r="EX296" i="5" s="1"/>
  <c r="EY296" i="5" a="1"/>
  <c r="EY296" i="5" s="1"/>
  <c r="EZ296" i="5" a="1"/>
  <c r="EZ296" i="5" s="1"/>
  <c r="FA296" i="5" a="1"/>
  <c r="FA296" i="5" s="1"/>
  <c r="FB296" i="5" a="1"/>
  <c r="FB296" i="5" s="1"/>
  <c r="FC296" i="5" a="1"/>
  <c r="FC296" i="5" s="1"/>
  <c r="FD296" i="5" a="1"/>
  <c r="FD296" i="5" s="1"/>
  <c r="FE296" i="5" a="1"/>
  <c r="FE296" i="5" s="1"/>
  <c r="FF296" i="5" a="1"/>
  <c r="FF296" i="5" s="1"/>
  <c r="FG296" i="5" a="1"/>
  <c r="FG296" i="5" s="1"/>
  <c r="FH296" i="5" a="1"/>
  <c r="FH296" i="5" s="1"/>
  <c r="FI296" i="5" a="1"/>
  <c r="FI296" i="5" s="1"/>
  <c r="FJ296" i="5" a="1"/>
  <c r="FJ296" i="5" s="1"/>
  <c r="FK296" i="5" a="1"/>
  <c r="FK296" i="5" s="1"/>
  <c r="FL296" i="5" a="1"/>
  <c r="FL296" i="5" s="1"/>
  <c r="FM296" i="5" a="1"/>
  <c r="FM296" i="5" s="1"/>
  <c r="FN296" i="5" a="1"/>
  <c r="FN296" i="5" s="1"/>
  <c r="FO296" i="5" a="1"/>
  <c r="FO296" i="5" s="1"/>
  <c r="EI297" i="5" a="1"/>
  <c r="EI297" i="5" s="1"/>
  <c r="EJ297" i="5" a="1"/>
  <c r="EJ297" i="5" s="1"/>
  <c r="EK297" i="5" a="1"/>
  <c r="EK297" i="5" s="1"/>
  <c r="EL297" i="5" a="1"/>
  <c r="EL297" i="5" s="1"/>
  <c r="EM297" i="5" a="1"/>
  <c r="EM297" i="5" s="1"/>
  <c r="EN297" i="5" a="1"/>
  <c r="EN297" i="5" s="1"/>
  <c r="EO297" i="5" a="1"/>
  <c r="EO297" i="5" s="1"/>
  <c r="EP297" i="5" a="1"/>
  <c r="EP297" i="5" s="1"/>
  <c r="EQ297" i="5" a="1"/>
  <c r="EQ297" i="5" s="1"/>
  <c r="ER297" i="5" a="1"/>
  <c r="ER297" i="5" s="1"/>
  <c r="ES297" i="5" a="1"/>
  <c r="ES297" i="5" s="1"/>
  <c r="ET297" i="5" a="1"/>
  <c r="ET297" i="5" s="1"/>
  <c r="EU297" i="5" a="1"/>
  <c r="EU297" i="5" s="1"/>
  <c r="EV297" i="5" a="1"/>
  <c r="EV297" i="5" s="1"/>
  <c r="EW297" i="5" a="1"/>
  <c r="EW297" i="5" s="1"/>
  <c r="EX297" i="5" a="1"/>
  <c r="EX297" i="5" s="1"/>
  <c r="EY297" i="5" a="1"/>
  <c r="EY297" i="5" s="1"/>
  <c r="EZ297" i="5" a="1"/>
  <c r="EZ297" i="5" s="1"/>
  <c r="FA297" i="5" a="1"/>
  <c r="FA297" i="5" s="1"/>
  <c r="FB297" i="5" a="1"/>
  <c r="FB297" i="5" s="1"/>
  <c r="FC297" i="5" a="1"/>
  <c r="FC297" i="5" s="1"/>
  <c r="FD297" i="5" a="1"/>
  <c r="FD297" i="5" s="1"/>
  <c r="FE297" i="5" a="1"/>
  <c r="FE297" i="5" s="1"/>
  <c r="FF297" i="5" a="1"/>
  <c r="FF297" i="5" s="1"/>
  <c r="FG297" i="5" a="1"/>
  <c r="FG297" i="5" s="1"/>
  <c r="FH297" i="5" a="1"/>
  <c r="FH297" i="5" s="1"/>
  <c r="FI297" i="5" a="1"/>
  <c r="FI297" i="5" s="1"/>
  <c r="FJ297" i="5" a="1"/>
  <c r="FJ297" i="5" s="1"/>
  <c r="FK297" i="5" a="1"/>
  <c r="FK297" i="5" s="1"/>
  <c r="FL297" i="5" a="1"/>
  <c r="FL297" i="5" s="1"/>
  <c r="FM297" i="5" a="1"/>
  <c r="FM297" i="5" s="1"/>
  <c r="FN297" i="5" a="1"/>
  <c r="FN297" i="5" s="1"/>
  <c r="FO297" i="5" a="1"/>
  <c r="FO297" i="5" s="1"/>
  <c r="EI298" i="5" a="1"/>
  <c r="EI298" i="5" s="1"/>
  <c r="EJ298" i="5" a="1"/>
  <c r="EJ298" i="5" s="1"/>
  <c r="EK298" i="5" a="1"/>
  <c r="EK298" i="5" s="1"/>
  <c r="EL298" i="5" a="1"/>
  <c r="EL298" i="5" s="1"/>
  <c r="EM298" i="5" a="1"/>
  <c r="EM298" i="5" s="1"/>
  <c r="EN298" i="5" a="1"/>
  <c r="EN298" i="5" s="1"/>
  <c r="EO298" i="5" a="1"/>
  <c r="EO298" i="5" s="1"/>
  <c r="EP298" i="5" a="1"/>
  <c r="EP298" i="5" s="1"/>
  <c r="EQ298" i="5" a="1"/>
  <c r="EQ298" i="5" s="1"/>
  <c r="ER298" i="5" a="1"/>
  <c r="ER298" i="5" s="1"/>
  <c r="ES298" i="5" a="1"/>
  <c r="ES298" i="5" s="1"/>
  <c r="ET298" i="5" a="1"/>
  <c r="ET298" i="5" s="1"/>
  <c r="EU298" i="5" a="1"/>
  <c r="EU298" i="5" s="1"/>
  <c r="EV298" i="5" a="1"/>
  <c r="EV298" i="5" s="1"/>
  <c r="EW298" i="5" a="1"/>
  <c r="EW298" i="5" s="1"/>
  <c r="EX298" i="5" a="1"/>
  <c r="EX298" i="5" s="1"/>
  <c r="EY298" i="5" a="1"/>
  <c r="EY298" i="5" s="1"/>
  <c r="EZ298" i="5" a="1"/>
  <c r="EZ298" i="5" s="1"/>
  <c r="FA298" i="5" a="1"/>
  <c r="FA298" i="5" s="1"/>
  <c r="FB298" i="5" a="1"/>
  <c r="FB298" i="5" s="1"/>
  <c r="FC298" i="5" a="1"/>
  <c r="FC298" i="5" s="1"/>
  <c r="FD298" i="5" a="1"/>
  <c r="FD298" i="5" s="1"/>
  <c r="FE298" i="5" a="1"/>
  <c r="FE298" i="5" s="1"/>
  <c r="FF298" i="5" a="1"/>
  <c r="FF298" i="5" s="1"/>
  <c r="FG298" i="5" a="1"/>
  <c r="FG298" i="5" s="1"/>
  <c r="FH298" i="5" a="1"/>
  <c r="FH298" i="5" s="1"/>
  <c r="FI298" i="5" a="1"/>
  <c r="FI298" i="5" s="1"/>
  <c r="FJ298" i="5" a="1"/>
  <c r="FJ298" i="5" s="1"/>
  <c r="FK298" i="5" a="1"/>
  <c r="FK298" i="5" s="1"/>
  <c r="FL298" i="5" a="1"/>
  <c r="FL298" i="5" s="1"/>
  <c r="FM298" i="5" a="1"/>
  <c r="FM298" i="5" s="1"/>
  <c r="FN298" i="5" a="1"/>
  <c r="FN298" i="5" s="1"/>
  <c r="FO298" i="5" a="1"/>
  <c r="FO298" i="5" s="1"/>
  <c r="EI299" i="5" a="1"/>
  <c r="EI299" i="5" s="1"/>
  <c r="EJ299" i="5" a="1"/>
  <c r="EJ299" i="5" s="1"/>
  <c r="EK299" i="5" a="1"/>
  <c r="EK299" i="5" s="1"/>
  <c r="EL299" i="5" a="1"/>
  <c r="EL299" i="5" s="1"/>
  <c r="EM299" i="5" a="1"/>
  <c r="EM299" i="5" s="1"/>
  <c r="EN299" i="5" a="1"/>
  <c r="EN299" i="5" s="1"/>
  <c r="EO299" i="5" a="1"/>
  <c r="EO299" i="5" s="1"/>
  <c r="EP299" i="5" a="1"/>
  <c r="EP299" i="5" s="1"/>
  <c r="EQ299" i="5" a="1"/>
  <c r="EQ299" i="5" s="1"/>
  <c r="ER299" i="5" a="1"/>
  <c r="ER299" i="5" s="1"/>
  <c r="ES299" i="5" a="1"/>
  <c r="ES299" i="5" s="1"/>
  <c r="ET299" i="5" a="1"/>
  <c r="ET299" i="5" s="1"/>
  <c r="EU299" i="5" a="1"/>
  <c r="EU299" i="5" s="1"/>
  <c r="EV299" i="5" a="1"/>
  <c r="EV299" i="5" s="1"/>
  <c r="EW299" i="5" a="1"/>
  <c r="EW299" i="5" s="1"/>
  <c r="EX299" i="5" a="1"/>
  <c r="EX299" i="5" s="1"/>
  <c r="EY299" i="5" a="1"/>
  <c r="EY299" i="5" s="1"/>
  <c r="EZ299" i="5" a="1"/>
  <c r="EZ299" i="5" s="1"/>
  <c r="FA299" i="5" a="1"/>
  <c r="FA299" i="5" s="1"/>
  <c r="FB299" i="5" a="1"/>
  <c r="FB299" i="5" s="1"/>
  <c r="FC299" i="5" a="1"/>
  <c r="FC299" i="5" s="1"/>
  <c r="FD299" i="5" a="1"/>
  <c r="FD299" i="5" s="1"/>
  <c r="FE299" i="5" a="1"/>
  <c r="FE299" i="5" s="1"/>
  <c r="FF299" i="5" a="1"/>
  <c r="FF299" i="5" s="1"/>
  <c r="FG299" i="5" a="1"/>
  <c r="FG299" i="5" s="1"/>
  <c r="FH299" i="5" a="1"/>
  <c r="FH299" i="5" s="1"/>
  <c r="FI299" i="5" a="1"/>
  <c r="FI299" i="5" s="1"/>
  <c r="FJ299" i="5" a="1"/>
  <c r="FJ299" i="5" s="1"/>
  <c r="FK299" i="5" a="1"/>
  <c r="FK299" i="5" s="1"/>
  <c r="FL299" i="5" a="1"/>
  <c r="FL299" i="5" s="1"/>
  <c r="FM299" i="5" a="1"/>
  <c r="FM299" i="5" s="1"/>
  <c r="FN299" i="5" a="1"/>
  <c r="FN299" i="5" s="1"/>
  <c r="FO299" i="5" a="1"/>
  <c r="FO299" i="5" s="1"/>
  <c r="EI300" i="5" a="1"/>
  <c r="EI300" i="5" s="1"/>
  <c r="EJ300" i="5" a="1"/>
  <c r="EJ300" i="5" s="1"/>
  <c r="EK300" i="5" a="1"/>
  <c r="EK300" i="5" s="1"/>
  <c r="EL300" i="5" a="1"/>
  <c r="EL300" i="5" s="1"/>
  <c r="EM300" i="5" a="1"/>
  <c r="EM300" i="5" s="1"/>
  <c r="EN300" i="5" a="1"/>
  <c r="EN300" i="5" s="1"/>
  <c r="EO300" i="5" a="1"/>
  <c r="EO300" i="5" s="1"/>
  <c r="EP300" i="5" a="1"/>
  <c r="EP300" i="5" s="1"/>
  <c r="EQ300" i="5" a="1"/>
  <c r="EQ300" i="5" s="1"/>
  <c r="ER300" i="5" a="1"/>
  <c r="ER300" i="5" s="1"/>
  <c r="ES300" i="5" a="1"/>
  <c r="ES300" i="5" s="1"/>
  <c r="ET300" i="5" a="1"/>
  <c r="ET300" i="5" s="1"/>
  <c r="EU300" i="5" a="1"/>
  <c r="EU300" i="5" s="1"/>
  <c r="EV300" i="5" a="1"/>
  <c r="EV300" i="5" s="1"/>
  <c r="EW300" i="5" a="1"/>
  <c r="EW300" i="5" s="1"/>
  <c r="EX300" i="5" a="1"/>
  <c r="EX300" i="5" s="1"/>
  <c r="EY300" i="5" a="1"/>
  <c r="EY300" i="5" s="1"/>
  <c r="EZ300" i="5" a="1"/>
  <c r="EZ300" i="5" s="1"/>
  <c r="FA300" i="5" a="1"/>
  <c r="FA300" i="5" s="1"/>
  <c r="FB300" i="5" a="1"/>
  <c r="FB300" i="5" s="1"/>
  <c r="FC300" i="5" a="1"/>
  <c r="FC300" i="5" s="1"/>
  <c r="FD300" i="5" a="1"/>
  <c r="FD300" i="5" s="1"/>
  <c r="FE300" i="5" a="1"/>
  <c r="FE300" i="5" s="1"/>
  <c r="FF300" i="5" a="1"/>
  <c r="FF300" i="5" s="1"/>
  <c r="FG300" i="5" a="1"/>
  <c r="FG300" i="5" s="1"/>
  <c r="FH300" i="5" a="1"/>
  <c r="FH300" i="5" s="1"/>
  <c r="FI300" i="5" a="1"/>
  <c r="FI300" i="5" s="1"/>
  <c r="FJ300" i="5" a="1"/>
  <c r="FJ300" i="5" s="1"/>
  <c r="FK300" i="5" a="1"/>
  <c r="FK300" i="5" s="1"/>
  <c r="FL300" i="5" a="1"/>
  <c r="FL300" i="5" s="1"/>
  <c r="FM300" i="5" a="1"/>
  <c r="FM300" i="5" s="1"/>
  <c r="FN300" i="5" a="1"/>
  <c r="FN300" i="5" s="1"/>
  <c r="FO300" i="5" a="1"/>
  <c r="FO300" i="5" s="1"/>
  <c r="EI301" i="5" a="1"/>
  <c r="EI301" i="5" s="1"/>
  <c r="EJ301" i="5" a="1"/>
  <c r="EJ301" i="5" s="1"/>
  <c r="EK301" i="5" a="1"/>
  <c r="EK301" i="5" s="1"/>
  <c r="EL301" i="5" a="1"/>
  <c r="EL301" i="5" s="1"/>
  <c r="EM301" i="5" a="1"/>
  <c r="EM301" i="5" s="1"/>
  <c r="EN301" i="5" a="1"/>
  <c r="EN301" i="5" s="1"/>
  <c r="EO301" i="5" a="1"/>
  <c r="EO301" i="5" s="1"/>
  <c r="EP301" i="5" a="1"/>
  <c r="EP301" i="5" s="1"/>
  <c r="EQ301" i="5" a="1"/>
  <c r="EQ301" i="5" s="1"/>
  <c r="ER301" i="5" a="1"/>
  <c r="ER301" i="5" s="1"/>
  <c r="ES301" i="5" a="1"/>
  <c r="ES301" i="5" s="1"/>
  <c r="ET301" i="5" a="1"/>
  <c r="ET301" i="5" s="1"/>
  <c r="EU301" i="5" a="1"/>
  <c r="EU301" i="5" s="1"/>
  <c r="EV301" i="5" a="1"/>
  <c r="EV301" i="5" s="1"/>
  <c r="EW301" i="5" a="1"/>
  <c r="EW301" i="5" s="1"/>
  <c r="EX301" i="5" a="1"/>
  <c r="EX301" i="5" s="1"/>
  <c r="EY301" i="5" a="1"/>
  <c r="EY301" i="5" s="1"/>
  <c r="EZ301" i="5" a="1"/>
  <c r="EZ301" i="5" s="1"/>
  <c r="FA301" i="5" a="1"/>
  <c r="FA301" i="5" s="1"/>
  <c r="FB301" i="5" a="1"/>
  <c r="FB301" i="5" s="1"/>
  <c r="FC301" i="5" a="1"/>
  <c r="FC301" i="5" s="1"/>
  <c r="FD301" i="5" a="1"/>
  <c r="FD301" i="5" s="1"/>
  <c r="FE301" i="5" a="1"/>
  <c r="FE301" i="5" s="1"/>
  <c r="FF301" i="5" a="1"/>
  <c r="FF301" i="5" s="1"/>
  <c r="FG301" i="5" a="1"/>
  <c r="FG301" i="5" s="1"/>
  <c r="FH301" i="5" a="1"/>
  <c r="FH301" i="5" s="1"/>
  <c r="FI301" i="5" a="1"/>
  <c r="FI301" i="5" s="1"/>
  <c r="FJ301" i="5" a="1"/>
  <c r="FJ301" i="5" s="1"/>
  <c r="FK301" i="5" a="1"/>
  <c r="FK301" i="5" s="1"/>
  <c r="FL301" i="5" a="1"/>
  <c r="FL301" i="5" s="1"/>
  <c r="FM301" i="5" a="1"/>
  <c r="FM301" i="5" s="1"/>
  <c r="FN301" i="5" a="1"/>
  <c r="FN301" i="5" s="1"/>
  <c r="FO301" i="5" a="1"/>
  <c r="FO301" i="5" s="1"/>
  <c r="EI302" i="5" a="1"/>
  <c r="EI302" i="5" s="1"/>
  <c r="EJ302" i="5" a="1"/>
  <c r="EJ302" i="5" s="1"/>
  <c r="EK302" i="5" a="1"/>
  <c r="EK302" i="5" s="1"/>
  <c r="EL302" i="5" a="1"/>
  <c r="EL302" i="5"/>
  <c r="EM302" i="5" a="1"/>
  <c r="EM302" i="5" s="1"/>
  <c r="EN302" i="5" a="1"/>
  <c r="EN302" i="5" s="1"/>
  <c r="EO302" i="5" a="1"/>
  <c r="EO302" i="5" s="1"/>
  <c r="EP302" i="5" a="1"/>
  <c r="EP302" i="5" s="1"/>
  <c r="EQ302" i="5" a="1"/>
  <c r="EQ302" i="5" s="1"/>
  <c r="ER302" i="5" a="1"/>
  <c r="ER302" i="5" s="1"/>
  <c r="ES302" i="5" a="1"/>
  <c r="ES302" i="5" s="1"/>
  <c r="ET302" i="5" a="1"/>
  <c r="ET302" i="5" s="1"/>
  <c r="EU302" i="5" a="1"/>
  <c r="EU302" i="5" s="1"/>
  <c r="EV302" i="5" a="1"/>
  <c r="EV302" i="5" s="1"/>
  <c r="EW302" i="5" a="1"/>
  <c r="EW302" i="5" s="1"/>
  <c r="EX302" i="5" a="1"/>
  <c r="EX302" i="5" s="1"/>
  <c r="EY302" i="5" a="1"/>
  <c r="EY302" i="5" s="1"/>
  <c r="EZ302" i="5" a="1"/>
  <c r="EZ302" i="5" s="1"/>
  <c r="FA302" i="5" a="1"/>
  <c r="FA302" i="5" s="1"/>
  <c r="FB302" i="5" a="1"/>
  <c r="FB302" i="5" s="1"/>
  <c r="FC302" i="5" a="1"/>
  <c r="FC302" i="5" s="1"/>
  <c r="FD302" i="5" a="1"/>
  <c r="FD302" i="5" s="1"/>
  <c r="FE302" i="5" a="1"/>
  <c r="FE302" i="5" s="1"/>
  <c r="FF302" i="5" a="1"/>
  <c r="FF302" i="5" s="1"/>
  <c r="FG302" i="5" a="1"/>
  <c r="FG302" i="5" s="1"/>
  <c r="FH302" i="5" a="1"/>
  <c r="FH302" i="5" s="1"/>
  <c r="FI302" i="5" a="1"/>
  <c r="FI302" i="5" s="1"/>
  <c r="FJ302" i="5" a="1"/>
  <c r="FJ302" i="5" s="1"/>
  <c r="FK302" i="5" a="1"/>
  <c r="FK302" i="5" s="1"/>
  <c r="FL302" i="5" a="1"/>
  <c r="FL302" i="5" s="1"/>
  <c r="FM302" i="5" a="1"/>
  <c r="FM302" i="5" s="1"/>
  <c r="FN302" i="5" a="1"/>
  <c r="FN302" i="5" s="1"/>
  <c r="FO302" i="5" a="1"/>
  <c r="FO302" i="5" s="1"/>
  <c r="EI303" i="5" a="1"/>
  <c r="EI303" i="5" s="1"/>
  <c r="EJ303" i="5" a="1"/>
  <c r="EJ303" i="5" s="1"/>
  <c r="EK303" i="5" a="1"/>
  <c r="EK303" i="5" s="1"/>
  <c r="EL303" i="5" a="1"/>
  <c r="EL303" i="5" s="1"/>
  <c r="EM303" i="5" a="1"/>
  <c r="EM303" i="5" s="1"/>
  <c r="EN303" i="5" a="1"/>
  <c r="EN303" i="5" s="1"/>
  <c r="EO303" i="5" a="1"/>
  <c r="EO303" i="5" s="1"/>
  <c r="EP303" i="5" a="1"/>
  <c r="EP303" i="5" s="1"/>
  <c r="EQ303" i="5" a="1"/>
  <c r="EQ303" i="5" s="1"/>
  <c r="ER303" i="5" a="1"/>
  <c r="ER303" i="5" s="1"/>
  <c r="ES303" i="5" a="1"/>
  <c r="ES303" i="5" s="1"/>
  <c r="ET303" i="5" a="1"/>
  <c r="ET303" i="5" s="1"/>
  <c r="EU303" i="5" a="1"/>
  <c r="EU303" i="5" s="1"/>
  <c r="EV303" i="5" a="1"/>
  <c r="EV303" i="5" s="1"/>
  <c r="EW303" i="5" a="1"/>
  <c r="EW303" i="5" s="1"/>
  <c r="EX303" i="5" a="1"/>
  <c r="EX303" i="5" s="1"/>
  <c r="EY303" i="5" a="1"/>
  <c r="EY303" i="5" s="1"/>
  <c r="EZ303" i="5" a="1"/>
  <c r="EZ303" i="5" s="1"/>
  <c r="FA303" i="5" a="1"/>
  <c r="FA303" i="5" s="1"/>
  <c r="FB303" i="5" a="1"/>
  <c r="FB303" i="5" s="1"/>
  <c r="FC303" i="5" a="1"/>
  <c r="FC303" i="5" s="1"/>
  <c r="FD303" i="5" a="1"/>
  <c r="FD303" i="5" s="1"/>
  <c r="FE303" i="5" a="1"/>
  <c r="FE303" i="5" s="1"/>
  <c r="FF303" i="5" a="1"/>
  <c r="FF303" i="5" s="1"/>
  <c r="FG303" i="5" a="1"/>
  <c r="FG303" i="5" s="1"/>
  <c r="FH303" i="5" a="1"/>
  <c r="FH303" i="5" s="1"/>
  <c r="FI303" i="5" a="1"/>
  <c r="FI303" i="5" s="1"/>
  <c r="FJ303" i="5" a="1"/>
  <c r="FJ303" i="5" s="1"/>
  <c r="FK303" i="5" a="1"/>
  <c r="FK303" i="5" s="1"/>
  <c r="FL303" i="5" a="1"/>
  <c r="FL303" i="5" s="1"/>
  <c r="FM303" i="5" a="1"/>
  <c r="FM303" i="5" s="1"/>
  <c r="FN303" i="5" a="1"/>
  <c r="FN303" i="5" s="1"/>
  <c r="FO303" i="5" a="1"/>
  <c r="FO303" i="5" s="1"/>
  <c r="EI304" i="5" a="1"/>
  <c r="EI304" i="5" s="1"/>
  <c r="EJ304" i="5" a="1"/>
  <c r="EJ304" i="5" s="1"/>
  <c r="EK304" i="5" a="1"/>
  <c r="EK304" i="5"/>
  <c r="EL304" i="5" a="1"/>
  <c r="EL304" i="5" s="1"/>
  <c r="EM304" i="5" a="1"/>
  <c r="EM304" i="5" s="1"/>
  <c r="EN304" i="5" a="1"/>
  <c r="EN304" i="5" s="1"/>
  <c r="EO304" i="5" a="1"/>
  <c r="EO304" i="5" s="1"/>
  <c r="EP304" i="5" a="1"/>
  <c r="EP304" i="5"/>
  <c r="EQ304" i="5" a="1"/>
  <c r="EQ304" i="5" s="1"/>
  <c r="ER304" i="5" a="1"/>
  <c r="ER304" i="5" s="1"/>
  <c r="ES304" i="5" a="1"/>
  <c r="ES304" i="5" s="1"/>
  <c r="ET304" i="5" a="1"/>
  <c r="ET304" i="5" s="1"/>
  <c r="EU304" i="5" a="1"/>
  <c r="EU304" i="5" s="1"/>
  <c r="EV304" i="5" a="1"/>
  <c r="EV304" i="5" s="1"/>
  <c r="EW304" i="5" a="1"/>
  <c r="EW304" i="5" s="1"/>
  <c r="EX304" i="5" a="1"/>
  <c r="EX304" i="5" s="1"/>
  <c r="EY304" i="5" a="1"/>
  <c r="EY304" i="5" s="1"/>
  <c r="EZ304" i="5" a="1"/>
  <c r="EZ304" i="5" s="1"/>
  <c r="FA304" i="5" a="1"/>
  <c r="FA304" i="5" s="1"/>
  <c r="FB304" i="5" a="1"/>
  <c r="FB304" i="5" s="1"/>
  <c r="FC304" i="5" a="1"/>
  <c r="FC304" i="5" s="1"/>
  <c r="FD304" i="5" a="1"/>
  <c r="FD304" i="5" s="1"/>
  <c r="FE304" i="5" a="1"/>
  <c r="FE304" i="5" s="1"/>
  <c r="FF304" i="5" a="1"/>
  <c r="FF304" i="5" s="1"/>
  <c r="FG304" i="5" a="1"/>
  <c r="FG304" i="5" s="1"/>
  <c r="FH304" i="5" a="1"/>
  <c r="FH304" i="5" s="1"/>
  <c r="FI304" i="5" a="1"/>
  <c r="FI304" i="5" s="1"/>
  <c r="FJ304" i="5" a="1"/>
  <c r="FJ304" i="5" s="1"/>
  <c r="FK304" i="5" a="1"/>
  <c r="FK304" i="5" s="1"/>
  <c r="FL304" i="5" a="1"/>
  <c r="FL304" i="5" s="1"/>
  <c r="FM304" i="5" a="1"/>
  <c r="FM304" i="5" s="1"/>
  <c r="FN304" i="5" a="1"/>
  <c r="FN304" i="5" s="1"/>
  <c r="FO304" i="5" a="1"/>
  <c r="FO304" i="5" s="1"/>
  <c r="EI305" i="5" a="1"/>
  <c r="EI305" i="5" s="1"/>
  <c r="EJ305" i="5" a="1"/>
  <c r="EJ305" i="5" s="1"/>
  <c r="EK305" i="5" a="1"/>
  <c r="EK305" i="5" s="1"/>
  <c r="EL305" i="5" a="1"/>
  <c r="EL305" i="5" s="1"/>
  <c r="EM305" i="5" a="1"/>
  <c r="EM305" i="5" s="1"/>
  <c r="EN305" i="5" a="1"/>
  <c r="EN305" i="5" s="1"/>
  <c r="EO305" i="5" a="1"/>
  <c r="EO305" i="5" s="1"/>
  <c r="EP305" i="5" a="1"/>
  <c r="EP305" i="5" s="1"/>
  <c r="EQ305" i="5" a="1"/>
  <c r="EQ305" i="5" s="1"/>
  <c r="ER305" i="5" a="1"/>
  <c r="ER305" i="5"/>
  <c r="ES305" i="5" a="1"/>
  <c r="ES305" i="5" s="1"/>
  <c r="ET305" i="5" a="1"/>
  <c r="ET305" i="5" s="1"/>
  <c r="EU305" i="5" a="1"/>
  <c r="EU305" i="5" s="1"/>
  <c r="EV305" i="5" a="1"/>
  <c r="EV305" i="5" s="1"/>
  <c r="EW305" i="5" a="1"/>
  <c r="EW305" i="5" s="1"/>
  <c r="EX305" i="5" a="1"/>
  <c r="EX305" i="5" s="1"/>
  <c r="EY305" i="5" a="1"/>
  <c r="EY305" i="5" s="1"/>
  <c r="EZ305" i="5" a="1"/>
  <c r="EZ305" i="5" s="1"/>
  <c r="FA305" i="5" a="1"/>
  <c r="FA305" i="5" s="1"/>
  <c r="FB305" i="5" a="1"/>
  <c r="FB305" i="5" s="1"/>
  <c r="FC305" i="5" a="1"/>
  <c r="FC305" i="5" s="1"/>
  <c r="FD305" i="5" a="1"/>
  <c r="FD305" i="5" s="1"/>
  <c r="FE305" i="5" a="1"/>
  <c r="FE305" i="5" s="1"/>
  <c r="FF305" i="5" a="1"/>
  <c r="FF305" i="5" s="1"/>
  <c r="FG305" i="5" a="1"/>
  <c r="FG305" i="5" s="1"/>
  <c r="FH305" i="5" a="1"/>
  <c r="FH305" i="5" s="1"/>
  <c r="FI305" i="5" a="1"/>
  <c r="FI305" i="5" s="1"/>
  <c r="FJ305" i="5" a="1"/>
  <c r="FJ305" i="5" s="1"/>
  <c r="FK305" i="5" a="1"/>
  <c r="FK305" i="5" s="1"/>
  <c r="FL305" i="5" a="1"/>
  <c r="FL305" i="5" s="1"/>
  <c r="FM305" i="5" a="1"/>
  <c r="FM305" i="5" s="1"/>
  <c r="FN305" i="5" a="1"/>
  <c r="FN305" i="5" s="1"/>
  <c r="FO305" i="5" a="1"/>
  <c r="FO305" i="5" s="1"/>
  <c r="EI306" i="5" a="1"/>
  <c r="EI306" i="5" s="1"/>
  <c r="EJ306" i="5" a="1"/>
  <c r="EJ306" i="5" s="1"/>
  <c r="EK306" i="5" a="1"/>
  <c r="EK306" i="5" s="1"/>
  <c r="EL306" i="5" a="1"/>
  <c r="EL306" i="5" s="1"/>
  <c r="EM306" i="5" a="1"/>
  <c r="EM306" i="5" s="1"/>
  <c r="EN306" i="5" a="1"/>
  <c r="EN306" i="5" s="1"/>
  <c r="EO306" i="5" a="1"/>
  <c r="EO306" i="5" s="1"/>
  <c r="EP306" i="5" a="1"/>
  <c r="EP306" i="5" s="1"/>
  <c r="EQ306" i="5" a="1"/>
  <c r="EQ306" i="5" s="1"/>
  <c r="ER306" i="5" a="1"/>
  <c r="ER306" i="5" s="1"/>
  <c r="ES306" i="5" a="1"/>
  <c r="ES306" i="5" s="1"/>
  <c r="ET306" i="5" a="1"/>
  <c r="ET306" i="5" s="1"/>
  <c r="EU306" i="5" a="1"/>
  <c r="EU306" i="5" s="1"/>
  <c r="EV306" i="5" a="1"/>
  <c r="EV306" i="5" s="1"/>
  <c r="EW306" i="5" a="1"/>
  <c r="EW306" i="5" s="1"/>
  <c r="EX306" i="5" a="1"/>
  <c r="EX306" i="5" s="1"/>
  <c r="EY306" i="5" a="1"/>
  <c r="EY306" i="5" s="1"/>
  <c r="EZ306" i="5" a="1"/>
  <c r="EZ306" i="5" s="1"/>
  <c r="FA306" i="5" a="1"/>
  <c r="FA306" i="5" s="1"/>
  <c r="FB306" i="5" a="1"/>
  <c r="FB306" i="5" s="1"/>
  <c r="FC306" i="5" a="1"/>
  <c r="FC306" i="5" s="1"/>
  <c r="FD306" i="5" a="1"/>
  <c r="FD306" i="5" s="1"/>
  <c r="FE306" i="5" a="1"/>
  <c r="FE306" i="5" s="1"/>
  <c r="FF306" i="5" a="1"/>
  <c r="FF306" i="5" s="1"/>
  <c r="FG306" i="5" a="1"/>
  <c r="FG306" i="5" s="1"/>
  <c r="FH306" i="5" a="1"/>
  <c r="FH306" i="5" s="1"/>
  <c r="FI306" i="5" a="1"/>
  <c r="FI306" i="5"/>
  <c r="FJ306" i="5" a="1"/>
  <c r="FJ306" i="5" s="1"/>
  <c r="FK306" i="5" a="1"/>
  <c r="FK306" i="5" s="1"/>
  <c r="FL306" i="5" a="1"/>
  <c r="FL306" i="5" s="1"/>
  <c r="FM306" i="5" a="1"/>
  <c r="FM306" i="5" s="1"/>
  <c r="FN306" i="5" a="1"/>
  <c r="FN306" i="5" s="1"/>
  <c r="FO306" i="5" a="1"/>
  <c r="FO306" i="5" s="1"/>
  <c r="EI307" i="5" a="1"/>
  <c r="EI307" i="5" s="1"/>
  <c r="EJ307" i="5" a="1"/>
  <c r="EJ307" i="5" s="1"/>
  <c r="EK307" i="5" a="1"/>
  <c r="EK307" i="5" s="1"/>
  <c r="EL307" i="5" a="1"/>
  <c r="EL307" i="5" s="1"/>
  <c r="EM307" i="5" a="1"/>
  <c r="EM307" i="5" s="1"/>
  <c r="EN307" i="5" a="1"/>
  <c r="EN307" i="5" s="1"/>
  <c r="EO307" i="5" a="1"/>
  <c r="EO307" i="5" s="1"/>
  <c r="EP307" i="5" a="1"/>
  <c r="EP307" i="5" s="1"/>
  <c r="EQ307" i="5" a="1"/>
  <c r="EQ307" i="5" s="1"/>
  <c r="ER307" i="5" a="1"/>
  <c r="ER307" i="5" s="1"/>
  <c r="ES307" i="5" a="1"/>
  <c r="ES307" i="5" s="1"/>
  <c r="ET307" i="5" a="1"/>
  <c r="ET307" i="5" s="1"/>
  <c r="EU307" i="5" a="1"/>
  <c r="EU307" i="5" s="1"/>
  <c r="EV307" i="5" a="1"/>
  <c r="EV307" i="5" s="1"/>
  <c r="EW307" i="5" a="1"/>
  <c r="EW307" i="5" s="1"/>
  <c r="EX307" i="5" a="1"/>
  <c r="EX307" i="5" s="1"/>
  <c r="EY307" i="5" a="1"/>
  <c r="EY307" i="5"/>
  <c r="EZ307" i="5" a="1"/>
  <c r="EZ307" i="5" s="1"/>
  <c r="FA307" i="5" a="1"/>
  <c r="FA307" i="5" s="1"/>
  <c r="FB307" i="5" a="1"/>
  <c r="FB307" i="5" s="1"/>
  <c r="FC307" i="5" a="1"/>
  <c r="FC307" i="5" s="1"/>
  <c r="FD307" i="5" a="1"/>
  <c r="FD307" i="5" s="1"/>
  <c r="FE307" i="5" a="1"/>
  <c r="FE307" i="5" s="1"/>
  <c r="FF307" i="5" a="1"/>
  <c r="FF307" i="5" s="1"/>
  <c r="FG307" i="5" a="1"/>
  <c r="FG307" i="5" s="1"/>
  <c r="FH307" i="5" a="1"/>
  <c r="FH307" i="5" s="1"/>
  <c r="FI307" i="5" a="1"/>
  <c r="FI307" i="5" s="1"/>
  <c r="FJ307" i="5" a="1"/>
  <c r="FJ307" i="5" s="1"/>
  <c r="FK307" i="5" a="1"/>
  <c r="FK307" i="5" s="1"/>
  <c r="FL307" i="5" a="1"/>
  <c r="FL307" i="5" s="1"/>
  <c r="FM307" i="5" a="1"/>
  <c r="FM307" i="5" s="1"/>
  <c r="FN307" i="5" a="1"/>
  <c r="FN307" i="5" s="1"/>
  <c r="FO307" i="5" a="1"/>
  <c r="FO307" i="5" s="1"/>
  <c r="EI308" i="5" a="1"/>
  <c r="EI308" i="5" s="1"/>
  <c r="EJ308" i="5" a="1"/>
  <c r="EJ308" i="5" s="1"/>
  <c r="EK308" i="5" a="1"/>
  <c r="EK308" i="5" s="1"/>
  <c r="EL308" i="5" a="1"/>
  <c r="EL308" i="5" s="1"/>
  <c r="EM308" i="5" a="1"/>
  <c r="EM308" i="5" s="1"/>
  <c r="EN308" i="5" a="1"/>
  <c r="EN308" i="5" s="1"/>
  <c r="EO308" i="5" a="1"/>
  <c r="EO308" i="5"/>
  <c r="EP308" i="5" a="1"/>
  <c r="EP308" i="5" s="1"/>
  <c r="EQ308" i="5" a="1"/>
  <c r="EQ308" i="5" s="1"/>
  <c r="ER308" i="5" a="1"/>
  <c r="ER308" i="5" s="1"/>
  <c r="ES308" i="5" a="1"/>
  <c r="ES308" i="5" s="1"/>
  <c r="ET308" i="5" a="1"/>
  <c r="ET308" i="5" s="1"/>
  <c r="EU308" i="5" a="1"/>
  <c r="EU308" i="5" s="1"/>
  <c r="EV308" i="5" a="1"/>
  <c r="EV308" i="5" s="1"/>
  <c r="EW308" i="5" a="1"/>
  <c r="EW308" i="5" s="1"/>
  <c r="EX308" i="5" a="1"/>
  <c r="EX308" i="5" s="1"/>
  <c r="EY308" i="5" a="1"/>
  <c r="EY308" i="5" s="1"/>
  <c r="EZ308" i="5" a="1"/>
  <c r="EZ308" i="5" s="1"/>
  <c r="FA308" i="5" a="1"/>
  <c r="FA308" i="5" s="1"/>
  <c r="FB308" i="5" a="1"/>
  <c r="FB308" i="5" s="1"/>
  <c r="FC308" i="5" a="1"/>
  <c r="FC308" i="5" s="1"/>
  <c r="FD308" i="5" a="1"/>
  <c r="FD308" i="5" s="1"/>
  <c r="FE308" i="5" a="1"/>
  <c r="FE308" i="5" s="1"/>
  <c r="FF308" i="5" a="1"/>
  <c r="FF308" i="5" s="1"/>
  <c r="FG308" i="5" a="1"/>
  <c r="FG308" i="5" s="1"/>
  <c r="FH308" i="5" a="1"/>
  <c r="FH308" i="5" s="1"/>
  <c r="FI308" i="5" a="1"/>
  <c r="FI308" i="5" s="1"/>
  <c r="FJ308" i="5" a="1"/>
  <c r="FJ308" i="5" s="1"/>
  <c r="FK308" i="5" a="1"/>
  <c r="FK308" i="5" s="1"/>
  <c r="FL308" i="5" a="1"/>
  <c r="FL308" i="5" s="1"/>
  <c r="FM308" i="5" a="1"/>
  <c r="FM308" i="5" s="1"/>
  <c r="FN308" i="5" a="1"/>
  <c r="FN308" i="5" s="1"/>
  <c r="FO308" i="5" a="1"/>
  <c r="FO308" i="5" s="1"/>
  <c r="EI309" i="5" a="1"/>
  <c r="EI309" i="5" s="1"/>
  <c r="EJ309" i="5" a="1"/>
  <c r="EJ309" i="5" s="1"/>
  <c r="EK309" i="5" a="1"/>
  <c r="EK309" i="5" s="1"/>
  <c r="EL309" i="5" a="1"/>
  <c r="EL309" i="5" s="1"/>
  <c r="EM309" i="5" a="1"/>
  <c r="EM309" i="5" s="1"/>
  <c r="EN309" i="5" a="1"/>
  <c r="EN309" i="5" s="1"/>
  <c r="EO309" i="5" a="1"/>
  <c r="EO309" i="5" s="1"/>
  <c r="EP309" i="5" a="1"/>
  <c r="EP309" i="5" s="1"/>
  <c r="EQ309" i="5" a="1"/>
  <c r="EQ309" i="5" s="1"/>
  <c r="ER309" i="5" a="1"/>
  <c r="ER309" i="5" s="1"/>
  <c r="ES309" i="5" a="1"/>
  <c r="ES309" i="5" s="1"/>
  <c r="ET309" i="5" a="1"/>
  <c r="ET309" i="5" s="1"/>
  <c r="EU309" i="5" a="1"/>
  <c r="EU309" i="5" s="1"/>
  <c r="EV309" i="5" a="1"/>
  <c r="EV309" i="5" s="1"/>
  <c r="EW309" i="5" a="1"/>
  <c r="EW309" i="5" s="1"/>
  <c r="EX309" i="5" a="1"/>
  <c r="EX309" i="5" s="1"/>
  <c r="EY309" i="5" a="1"/>
  <c r="EY309" i="5" s="1"/>
  <c r="EZ309" i="5" a="1"/>
  <c r="EZ309" i="5" s="1"/>
  <c r="FA309" i="5" a="1"/>
  <c r="FA309" i="5" s="1"/>
  <c r="FB309" i="5" a="1"/>
  <c r="FB309" i="5" s="1"/>
  <c r="FC309" i="5" a="1"/>
  <c r="FC309" i="5" s="1"/>
  <c r="FD309" i="5" a="1"/>
  <c r="FD309" i="5" s="1"/>
  <c r="FE309" i="5" a="1"/>
  <c r="FE309" i="5" s="1"/>
  <c r="FF309" i="5" a="1"/>
  <c r="FF309" i="5"/>
  <c r="FG309" i="5" a="1"/>
  <c r="FG309" i="5" s="1"/>
  <c r="FH309" i="5" a="1"/>
  <c r="FH309" i="5" s="1"/>
  <c r="FI309" i="5" a="1"/>
  <c r="FI309" i="5" s="1"/>
  <c r="FJ309" i="5" a="1"/>
  <c r="FJ309" i="5" s="1"/>
  <c r="FK309" i="5" a="1"/>
  <c r="FK309" i="5" s="1"/>
  <c r="FL309" i="5" a="1"/>
  <c r="FL309" i="5" s="1"/>
  <c r="FM309" i="5" a="1"/>
  <c r="FM309" i="5" s="1"/>
  <c r="FN309" i="5" a="1"/>
  <c r="FN309" i="5" s="1"/>
  <c r="FO309" i="5" a="1"/>
  <c r="FO309" i="5" s="1"/>
  <c r="EI310" i="5" a="1"/>
  <c r="EI310" i="5" s="1"/>
  <c r="EJ310" i="5" a="1"/>
  <c r="EJ310" i="5" s="1"/>
  <c r="EK310" i="5" a="1"/>
  <c r="EK310" i="5" s="1"/>
  <c r="EL310" i="5" a="1"/>
  <c r="EL310" i="5" s="1"/>
  <c r="EM310" i="5" a="1"/>
  <c r="EM310" i="5" s="1"/>
  <c r="EN310" i="5" a="1"/>
  <c r="EN310" i="5" s="1"/>
  <c r="EO310" i="5" a="1"/>
  <c r="EO310" i="5" s="1"/>
  <c r="EP310" i="5" a="1"/>
  <c r="EP310" i="5" s="1"/>
  <c r="EQ310" i="5" a="1"/>
  <c r="EQ310" i="5" s="1"/>
  <c r="ER310" i="5" a="1"/>
  <c r="ER310" i="5" s="1"/>
  <c r="ES310" i="5" a="1"/>
  <c r="ES310" i="5" s="1"/>
  <c r="ET310" i="5" a="1"/>
  <c r="ET310" i="5" s="1"/>
  <c r="EU310" i="5" a="1"/>
  <c r="EU310" i="5" s="1"/>
  <c r="EV310" i="5" a="1"/>
  <c r="EV310" i="5" s="1"/>
  <c r="EW310" i="5" a="1"/>
  <c r="EW310" i="5" s="1"/>
  <c r="EX310" i="5" a="1"/>
  <c r="EX310" i="5" s="1"/>
  <c r="EY310" i="5" a="1"/>
  <c r="EY310" i="5" s="1"/>
  <c r="EZ310" i="5" a="1"/>
  <c r="EZ310" i="5" s="1"/>
  <c r="FA310" i="5" a="1"/>
  <c r="FA310" i="5" s="1"/>
  <c r="FB310" i="5" a="1"/>
  <c r="FB310" i="5" s="1"/>
  <c r="FC310" i="5" a="1"/>
  <c r="FC310" i="5" s="1"/>
  <c r="FD310" i="5" a="1"/>
  <c r="FD310" i="5" s="1"/>
  <c r="FE310" i="5" a="1"/>
  <c r="FE310" i="5" s="1"/>
  <c r="FF310" i="5" a="1"/>
  <c r="FF310" i="5" s="1"/>
  <c r="FG310" i="5" a="1"/>
  <c r="FG310" i="5" s="1"/>
  <c r="FH310" i="5" a="1"/>
  <c r="FH310" i="5"/>
  <c r="FI310" i="5" a="1"/>
  <c r="FI310" i="5" s="1"/>
  <c r="FJ310" i="5" a="1"/>
  <c r="FJ310" i="5" s="1"/>
  <c r="FK310" i="5" a="1"/>
  <c r="FK310" i="5" s="1"/>
  <c r="FL310" i="5" a="1"/>
  <c r="FL310" i="5" s="1"/>
  <c r="FM310" i="5" a="1"/>
  <c r="FM310" i="5" s="1"/>
  <c r="FN310" i="5" a="1"/>
  <c r="FN310" i="5" s="1"/>
  <c r="FO310" i="5" a="1"/>
  <c r="FO310" i="5" s="1"/>
  <c r="EI311" i="5" a="1"/>
  <c r="EI311" i="5" s="1"/>
  <c r="EJ311" i="5" a="1"/>
  <c r="EJ311" i="5" s="1"/>
  <c r="EK311" i="5" a="1"/>
  <c r="EK311" i="5" s="1"/>
  <c r="EL311" i="5" a="1"/>
  <c r="EL311" i="5" s="1"/>
  <c r="EM311" i="5" a="1"/>
  <c r="EM311" i="5" s="1"/>
  <c r="EN311" i="5" a="1"/>
  <c r="EN311" i="5" s="1"/>
  <c r="EO311" i="5" a="1"/>
  <c r="EO311" i="5" s="1"/>
  <c r="EP311" i="5" a="1"/>
  <c r="EP311" i="5" s="1"/>
  <c r="EQ311" i="5" a="1"/>
  <c r="EQ311" i="5" s="1"/>
  <c r="ER311" i="5" a="1"/>
  <c r="ER311" i="5" s="1"/>
  <c r="ES311" i="5" a="1"/>
  <c r="ES311" i="5" s="1"/>
  <c r="ET311" i="5" a="1"/>
  <c r="ET311" i="5" s="1"/>
  <c r="EU311" i="5" a="1"/>
  <c r="EU311" i="5" s="1"/>
  <c r="EV311" i="5" a="1"/>
  <c r="EV311" i="5" s="1"/>
  <c r="EW311" i="5" a="1"/>
  <c r="EW311" i="5" s="1"/>
  <c r="EX311" i="5" a="1"/>
  <c r="EX311" i="5" s="1"/>
  <c r="EY311" i="5" a="1"/>
  <c r="EY311" i="5" s="1"/>
  <c r="EZ311" i="5" a="1"/>
  <c r="EZ311" i="5" s="1"/>
  <c r="FA311" i="5" a="1"/>
  <c r="FA311" i="5"/>
  <c r="FB311" i="5" a="1"/>
  <c r="FB311" i="5" s="1"/>
  <c r="FC311" i="5" a="1"/>
  <c r="FC311" i="5" s="1"/>
  <c r="FD311" i="5" a="1"/>
  <c r="FD311" i="5" s="1"/>
  <c r="FE311" i="5" a="1"/>
  <c r="FE311" i="5" s="1"/>
  <c r="FF311" i="5" a="1"/>
  <c r="FF311" i="5" s="1"/>
  <c r="FG311" i="5" a="1"/>
  <c r="FG311" i="5" s="1"/>
  <c r="FH311" i="5" a="1"/>
  <c r="FH311" i="5" s="1"/>
  <c r="FI311" i="5" a="1"/>
  <c r="FI311" i="5" s="1"/>
  <c r="FJ311" i="5" a="1"/>
  <c r="FJ311" i="5" s="1"/>
  <c r="FK311" i="5" a="1"/>
  <c r="FK311" i="5" s="1"/>
  <c r="FL311" i="5" a="1"/>
  <c r="FL311" i="5" s="1"/>
  <c r="FM311" i="5" a="1"/>
  <c r="FM311" i="5" s="1"/>
  <c r="FN311" i="5" a="1"/>
  <c r="FN311" i="5" s="1"/>
  <c r="FO311" i="5" a="1"/>
  <c r="FO311" i="5" s="1"/>
  <c r="EI312" i="5" a="1"/>
  <c r="EI312" i="5" s="1"/>
  <c r="EJ312" i="5" a="1"/>
  <c r="EJ312" i="5" s="1"/>
  <c r="EK312" i="5" a="1"/>
  <c r="EK312" i="5" s="1"/>
  <c r="EL312" i="5" a="1"/>
  <c r="EL312" i="5" s="1"/>
  <c r="EM312" i="5" a="1"/>
  <c r="EM312" i="5" s="1"/>
  <c r="EN312" i="5" a="1"/>
  <c r="EN312" i="5" s="1"/>
  <c r="EO312" i="5" a="1"/>
  <c r="EO312" i="5" s="1"/>
  <c r="EP312" i="5" a="1"/>
  <c r="EP312" i="5" s="1"/>
  <c r="EQ312" i="5" a="1"/>
  <c r="EQ312" i="5"/>
  <c r="ER312" i="5" a="1"/>
  <c r="ER312" i="5" s="1"/>
  <c r="ES312" i="5" a="1"/>
  <c r="ES312" i="5" s="1"/>
  <c r="ET312" i="5" a="1"/>
  <c r="ET312" i="5" s="1"/>
  <c r="EU312" i="5" a="1"/>
  <c r="EU312" i="5" s="1"/>
  <c r="EV312" i="5" a="1"/>
  <c r="EV312" i="5" s="1"/>
  <c r="EW312" i="5" a="1"/>
  <c r="EW312" i="5" s="1"/>
  <c r="EX312" i="5" a="1"/>
  <c r="EX312" i="5" s="1"/>
  <c r="EY312" i="5" a="1"/>
  <c r="EY312" i="5" s="1"/>
  <c r="EZ312" i="5" a="1"/>
  <c r="EZ312" i="5" s="1"/>
  <c r="FA312" i="5" a="1"/>
  <c r="FA312" i="5" s="1"/>
  <c r="FB312" i="5" a="1"/>
  <c r="FB312" i="5" s="1"/>
  <c r="FC312" i="5" a="1"/>
  <c r="FC312" i="5" s="1"/>
  <c r="FD312" i="5" a="1"/>
  <c r="FD312" i="5" s="1"/>
  <c r="FE312" i="5" a="1"/>
  <c r="FE312" i="5" s="1"/>
  <c r="FF312" i="5" a="1"/>
  <c r="FF312" i="5" s="1"/>
  <c r="FG312" i="5" a="1"/>
  <c r="FG312" i="5" s="1"/>
  <c r="FH312" i="5" a="1"/>
  <c r="FH312" i="5" s="1"/>
  <c r="FI312" i="5" a="1"/>
  <c r="FI312" i="5" s="1"/>
  <c r="FJ312" i="5" a="1"/>
  <c r="FJ312" i="5" s="1"/>
  <c r="FK312" i="5" a="1"/>
  <c r="FK312" i="5" s="1"/>
  <c r="FL312" i="5" a="1"/>
  <c r="FL312" i="5" s="1"/>
  <c r="FM312" i="5" a="1"/>
  <c r="FM312" i="5" s="1"/>
  <c r="FN312" i="5" a="1"/>
  <c r="FN312" i="5" s="1"/>
  <c r="FO312" i="5" a="1"/>
  <c r="FO312" i="5" s="1"/>
  <c r="EI313" i="5" a="1"/>
  <c r="EI313" i="5" s="1"/>
  <c r="EJ313" i="5" a="1"/>
  <c r="EJ313" i="5" s="1"/>
  <c r="EK313" i="5" a="1"/>
  <c r="EK313" i="5" s="1"/>
  <c r="EL313" i="5" a="1"/>
  <c r="EL313" i="5" s="1"/>
  <c r="EM313" i="5" a="1"/>
  <c r="EM313" i="5" s="1"/>
  <c r="EN313" i="5" a="1"/>
  <c r="EN313" i="5" s="1"/>
  <c r="EO313" i="5" a="1"/>
  <c r="EO313" i="5" s="1"/>
  <c r="EP313" i="5" a="1"/>
  <c r="EP313" i="5" s="1"/>
  <c r="EQ313" i="5" a="1"/>
  <c r="EQ313" i="5" s="1"/>
  <c r="ER313" i="5" a="1"/>
  <c r="ER313" i="5" s="1"/>
  <c r="ES313" i="5" a="1"/>
  <c r="ES313" i="5" s="1"/>
  <c r="ET313" i="5" a="1"/>
  <c r="ET313" i="5" s="1"/>
  <c r="EU313" i="5" a="1"/>
  <c r="EU313" i="5" s="1"/>
  <c r="EV313" i="5" a="1"/>
  <c r="EV313" i="5" s="1"/>
  <c r="EW313" i="5" a="1"/>
  <c r="EW313" i="5" s="1"/>
  <c r="EX313" i="5" a="1"/>
  <c r="EX313" i="5" s="1"/>
  <c r="EY313" i="5" a="1"/>
  <c r="EY313" i="5" s="1"/>
  <c r="EZ313" i="5" a="1"/>
  <c r="EZ313" i="5" s="1"/>
  <c r="FA313" i="5" a="1"/>
  <c r="FA313" i="5" s="1"/>
  <c r="FB313" i="5" a="1"/>
  <c r="FB313" i="5" s="1"/>
  <c r="FC313" i="5" a="1"/>
  <c r="FC313" i="5" s="1"/>
  <c r="FD313" i="5" a="1"/>
  <c r="FD313" i="5" s="1"/>
  <c r="FE313" i="5" a="1"/>
  <c r="FE313" i="5" s="1"/>
  <c r="FF313" i="5" a="1"/>
  <c r="FF313" i="5" s="1"/>
  <c r="FG313" i="5" a="1"/>
  <c r="FG313" i="5" s="1"/>
  <c r="FH313" i="5" a="1"/>
  <c r="FH313" i="5" s="1"/>
  <c r="FI313" i="5" a="1"/>
  <c r="FI313" i="5" s="1"/>
  <c r="FJ313" i="5" a="1"/>
  <c r="FJ313" i="5" s="1"/>
  <c r="FK313" i="5" a="1"/>
  <c r="FK313" i="5" s="1"/>
  <c r="FL313" i="5" a="1"/>
  <c r="FL313" i="5" s="1"/>
  <c r="FM313" i="5" a="1"/>
  <c r="FM313" i="5" s="1"/>
  <c r="FN313" i="5" a="1"/>
  <c r="FN313" i="5" s="1"/>
  <c r="FO313" i="5" a="1"/>
  <c r="FO313" i="5" s="1"/>
  <c r="EI314" i="5" a="1"/>
  <c r="EI314" i="5" s="1"/>
  <c r="EJ314" i="5" a="1"/>
  <c r="EJ314" i="5" s="1"/>
  <c r="EK314" i="5" a="1"/>
  <c r="EK314" i="5" s="1"/>
  <c r="EL314" i="5" a="1"/>
  <c r="EL314" i="5" s="1"/>
  <c r="EM314" i="5" a="1"/>
  <c r="EM314" i="5" s="1"/>
  <c r="EN314" i="5" a="1"/>
  <c r="EN314" i="5" s="1"/>
  <c r="EO314" i="5" a="1"/>
  <c r="EO314" i="5" s="1"/>
  <c r="EP314" i="5" a="1"/>
  <c r="EP314" i="5" s="1"/>
  <c r="EQ314" i="5" a="1"/>
  <c r="EQ314" i="5" s="1"/>
  <c r="ER314" i="5" a="1"/>
  <c r="ER314" i="5" s="1"/>
  <c r="ES314" i="5" a="1"/>
  <c r="ES314" i="5" s="1"/>
  <c r="ET314" i="5" a="1"/>
  <c r="ET314" i="5" s="1"/>
  <c r="EU314" i="5" a="1"/>
  <c r="EU314" i="5" s="1"/>
  <c r="EV314" i="5" a="1"/>
  <c r="EV314" i="5" s="1"/>
  <c r="EW314" i="5" a="1"/>
  <c r="EW314" i="5" s="1"/>
  <c r="EX314" i="5" a="1"/>
  <c r="EX314" i="5" s="1"/>
  <c r="EY314" i="5" a="1"/>
  <c r="EY314" i="5" s="1"/>
  <c r="EZ314" i="5" a="1"/>
  <c r="EZ314" i="5" s="1"/>
  <c r="FA314" i="5" a="1"/>
  <c r="FA314" i="5"/>
  <c r="FB314" i="5" a="1"/>
  <c r="FB314" i="5" s="1"/>
  <c r="FC314" i="5" a="1"/>
  <c r="FC314" i="5" s="1"/>
  <c r="FD314" i="5" a="1"/>
  <c r="FD314" i="5" s="1"/>
  <c r="FE314" i="5" a="1"/>
  <c r="FE314" i="5" s="1"/>
  <c r="FF314" i="5" a="1"/>
  <c r="FF314" i="5" s="1"/>
  <c r="FG314" i="5" a="1"/>
  <c r="FG314" i="5" s="1"/>
  <c r="FH314" i="5" a="1"/>
  <c r="FH314" i="5" s="1"/>
  <c r="FI314" i="5" a="1"/>
  <c r="FI314" i="5" s="1"/>
  <c r="FJ314" i="5" a="1"/>
  <c r="FJ314" i="5" s="1"/>
  <c r="FK314" i="5" a="1"/>
  <c r="FK314" i="5" s="1"/>
  <c r="FL314" i="5" a="1"/>
  <c r="FL314" i="5" s="1"/>
  <c r="FM314" i="5" a="1"/>
  <c r="FM314" i="5" s="1"/>
  <c r="FN314" i="5" a="1"/>
  <c r="FN314" i="5" s="1"/>
  <c r="FO314" i="5" a="1"/>
  <c r="FO314" i="5" s="1"/>
  <c r="EI315" i="5" a="1"/>
  <c r="EI315" i="5" s="1"/>
  <c r="EJ315" i="5" a="1"/>
  <c r="EJ315" i="5" s="1"/>
  <c r="EK315" i="5" a="1"/>
  <c r="EK315" i="5" s="1"/>
  <c r="EL315" i="5" a="1"/>
  <c r="EL315" i="5" s="1"/>
  <c r="EM315" i="5" a="1"/>
  <c r="EM315" i="5" s="1"/>
  <c r="EN315" i="5" a="1"/>
  <c r="EN315" i="5" s="1"/>
  <c r="EO315" i="5" a="1"/>
  <c r="EO315" i="5" s="1"/>
  <c r="EP315" i="5" a="1"/>
  <c r="EP315" i="5" s="1"/>
  <c r="EQ315" i="5" a="1"/>
  <c r="EQ315" i="5"/>
  <c r="ER315" i="5" a="1"/>
  <c r="ER315" i="5" s="1"/>
  <c r="ES315" i="5" a="1"/>
  <c r="ES315" i="5" s="1"/>
  <c r="ET315" i="5" a="1"/>
  <c r="ET315" i="5" s="1"/>
  <c r="EU315" i="5" a="1"/>
  <c r="EU315" i="5" s="1"/>
  <c r="EV315" i="5" a="1"/>
  <c r="EV315" i="5" s="1"/>
  <c r="EW315" i="5" a="1"/>
  <c r="EW315" i="5"/>
  <c r="EX315" i="5" a="1"/>
  <c r="EX315" i="5" s="1"/>
  <c r="EY315" i="5" a="1"/>
  <c r="EY315" i="5" s="1"/>
  <c r="EZ315" i="5" a="1"/>
  <c r="EZ315" i="5" s="1"/>
  <c r="FA315" i="5" a="1"/>
  <c r="FA315" i="5" s="1"/>
  <c r="FB315" i="5" a="1"/>
  <c r="FB315" i="5" s="1"/>
  <c r="FC315" i="5" a="1"/>
  <c r="FC315" i="5" s="1"/>
  <c r="FD315" i="5" a="1"/>
  <c r="FD315" i="5" s="1"/>
  <c r="FE315" i="5" a="1"/>
  <c r="FE315" i="5" s="1"/>
  <c r="FF315" i="5" a="1"/>
  <c r="FF315" i="5" s="1"/>
  <c r="FG315" i="5" a="1"/>
  <c r="FG315" i="5" s="1"/>
  <c r="FH315" i="5" a="1"/>
  <c r="FH315" i="5" s="1"/>
  <c r="FI315" i="5" a="1"/>
  <c r="FI315" i="5" s="1"/>
  <c r="FJ315" i="5" a="1"/>
  <c r="FJ315" i="5" s="1"/>
  <c r="FK315" i="5" a="1"/>
  <c r="FK315" i="5" s="1"/>
  <c r="FL315" i="5" a="1"/>
  <c r="FL315" i="5" s="1"/>
  <c r="FM315" i="5" a="1"/>
  <c r="FM315" i="5" s="1"/>
  <c r="FN315" i="5" a="1"/>
  <c r="FN315" i="5" s="1"/>
  <c r="FO315" i="5" a="1"/>
  <c r="FO315" i="5" s="1"/>
  <c r="EI316" i="5" a="1"/>
  <c r="EI316" i="5" s="1"/>
  <c r="EJ316" i="5" a="1"/>
  <c r="EJ316" i="5" s="1"/>
  <c r="EK316" i="5" a="1"/>
  <c r="EK316" i="5" s="1"/>
  <c r="EL316" i="5" a="1"/>
  <c r="EL316" i="5" s="1"/>
  <c r="EM316" i="5" a="1"/>
  <c r="EM316" i="5" s="1"/>
  <c r="EN316" i="5" a="1"/>
  <c r="EN316" i="5" s="1"/>
  <c r="EO316" i="5" a="1"/>
  <c r="EO316" i="5" s="1"/>
  <c r="EP316" i="5" a="1"/>
  <c r="EP316" i="5" s="1"/>
  <c r="EQ316" i="5" a="1"/>
  <c r="EQ316" i="5" s="1"/>
  <c r="ER316" i="5" a="1"/>
  <c r="ER316" i="5" s="1"/>
  <c r="ES316" i="5" a="1"/>
  <c r="ES316" i="5" s="1"/>
  <c r="ET316" i="5" a="1"/>
  <c r="ET316" i="5" s="1"/>
  <c r="EU316" i="5" a="1"/>
  <c r="EU316" i="5" s="1"/>
  <c r="EV316" i="5" a="1"/>
  <c r="EV316" i="5" s="1"/>
  <c r="EW316" i="5" a="1"/>
  <c r="EW316" i="5" s="1"/>
  <c r="EX316" i="5" a="1"/>
  <c r="EX316" i="5"/>
  <c r="EY316" i="5" a="1"/>
  <c r="EY316" i="5" s="1"/>
  <c r="EZ316" i="5" a="1"/>
  <c r="EZ316" i="5" s="1"/>
  <c r="FA316" i="5" a="1"/>
  <c r="FA316" i="5" s="1"/>
  <c r="FB316" i="5" a="1"/>
  <c r="FB316" i="5" s="1"/>
  <c r="FC316" i="5" a="1"/>
  <c r="FC316" i="5" s="1"/>
  <c r="FD316" i="5" a="1"/>
  <c r="FD316" i="5" s="1"/>
  <c r="FE316" i="5" a="1"/>
  <c r="FE316" i="5" s="1"/>
  <c r="FF316" i="5" a="1"/>
  <c r="FF316" i="5" s="1"/>
  <c r="FG316" i="5" a="1"/>
  <c r="FG316" i="5" s="1"/>
  <c r="FH316" i="5" a="1"/>
  <c r="FH316" i="5" s="1"/>
  <c r="FI316" i="5" a="1"/>
  <c r="FI316" i="5" s="1"/>
  <c r="FJ316" i="5" a="1"/>
  <c r="FJ316" i="5" s="1"/>
  <c r="FK316" i="5" a="1"/>
  <c r="FK316" i="5" s="1"/>
  <c r="FL316" i="5" a="1"/>
  <c r="FL316" i="5" s="1"/>
  <c r="FM316" i="5" a="1"/>
  <c r="FM316" i="5" s="1"/>
  <c r="FN316" i="5" a="1"/>
  <c r="FN316" i="5" s="1"/>
  <c r="FO316" i="5" a="1"/>
  <c r="FO316" i="5"/>
  <c r="EI317" i="5" a="1"/>
  <c r="EI317" i="5" s="1"/>
  <c r="EJ317" i="5" a="1"/>
  <c r="EJ317" i="5" s="1"/>
  <c r="EK317" i="5" a="1"/>
  <c r="EK317" i="5" s="1"/>
  <c r="EL317" i="5" a="1"/>
  <c r="EL317" i="5" s="1"/>
  <c r="EM317" i="5" a="1"/>
  <c r="EM317" i="5"/>
  <c r="EN317" i="5" a="1"/>
  <c r="EN317" i="5" s="1"/>
  <c r="EO317" i="5" a="1"/>
  <c r="EO317" i="5" s="1"/>
  <c r="EP317" i="5" a="1"/>
  <c r="EP317" i="5"/>
  <c r="EQ317" i="5" a="1"/>
  <c r="EQ317" i="5"/>
  <c r="ER317" i="5" a="1"/>
  <c r="ER317" i="5" s="1"/>
  <c r="ES317" i="5" a="1"/>
  <c r="ES317" i="5" s="1"/>
  <c r="ET317" i="5" a="1"/>
  <c r="ET317" i="5"/>
  <c r="EU317" i="5" a="1"/>
  <c r="EU317" i="5" s="1"/>
  <c r="EV317" i="5" a="1"/>
  <c r="EV317" i="5" s="1"/>
  <c r="EW317" i="5" a="1"/>
  <c r="EW317" i="5" s="1"/>
  <c r="EX317" i="5" a="1"/>
  <c r="EX317" i="5" s="1"/>
  <c r="EY317" i="5" a="1"/>
  <c r="EY317" i="5" s="1"/>
  <c r="EZ317" i="5" a="1"/>
  <c r="EZ317" i="5" s="1"/>
  <c r="FA317" i="5" a="1"/>
  <c r="FA317" i="5" s="1"/>
  <c r="FB317" i="5" a="1"/>
  <c r="FB317" i="5" s="1"/>
  <c r="FC317" i="5" a="1"/>
  <c r="FC317" i="5" s="1"/>
  <c r="FD317" i="5" a="1"/>
  <c r="FD317" i="5" s="1"/>
  <c r="FE317" i="5" a="1"/>
  <c r="FE317" i="5" s="1"/>
  <c r="FF317" i="5" a="1"/>
  <c r="FF317" i="5" s="1"/>
  <c r="FG317" i="5" a="1"/>
  <c r="FG317" i="5" s="1"/>
  <c r="FH317" i="5" a="1"/>
  <c r="FH317" i="5" s="1"/>
  <c r="FI317" i="5" a="1"/>
  <c r="FI317" i="5" s="1"/>
  <c r="FJ317" i="5" a="1"/>
  <c r="FJ317" i="5" s="1"/>
  <c r="FK317" i="5" a="1"/>
  <c r="FK317" i="5" s="1"/>
  <c r="FL317" i="5" a="1"/>
  <c r="FL317" i="5"/>
  <c r="FM317" i="5" a="1"/>
  <c r="FM317" i="5" s="1"/>
  <c r="FN317" i="5" a="1"/>
  <c r="FN317" i="5" s="1"/>
  <c r="FO317" i="5" a="1"/>
  <c r="FO317" i="5" s="1"/>
  <c r="EI318" i="5" a="1"/>
  <c r="EI318" i="5" s="1"/>
  <c r="EJ318" i="5" a="1"/>
  <c r="EJ318" i="5" s="1"/>
  <c r="EK318" i="5" a="1"/>
  <c r="EK318" i="5" s="1"/>
  <c r="EL318" i="5" a="1"/>
  <c r="EL318" i="5" s="1"/>
  <c r="EM318" i="5" a="1"/>
  <c r="EM318" i="5" s="1"/>
  <c r="EN318" i="5" a="1"/>
  <c r="EN318" i="5" s="1"/>
  <c r="EO318" i="5" a="1"/>
  <c r="EO318" i="5" s="1"/>
  <c r="EP318" i="5" a="1"/>
  <c r="EP318" i="5"/>
  <c r="EQ318" i="5" a="1"/>
  <c r="EQ318" i="5" s="1"/>
  <c r="ER318" i="5" a="1"/>
  <c r="ER318" i="5" s="1"/>
  <c r="ES318" i="5" a="1"/>
  <c r="ES318" i="5" s="1"/>
  <c r="ET318" i="5" a="1"/>
  <c r="ET318" i="5" s="1"/>
  <c r="EU318" i="5" a="1"/>
  <c r="EU318" i="5" s="1"/>
  <c r="EV318" i="5" a="1"/>
  <c r="EV318" i="5" s="1"/>
  <c r="EW318" i="5" a="1"/>
  <c r="EW318" i="5" s="1"/>
  <c r="EX318" i="5" a="1"/>
  <c r="EX318" i="5" s="1"/>
  <c r="EY318" i="5" a="1"/>
  <c r="EY318" i="5"/>
  <c r="EZ318" i="5" a="1"/>
  <c r="EZ318" i="5" s="1"/>
  <c r="FA318" i="5" a="1"/>
  <c r="FA318" i="5" s="1"/>
  <c r="FB318" i="5" a="1"/>
  <c r="FB318" i="5" s="1"/>
  <c r="FC318" i="5" a="1"/>
  <c r="FC318" i="5" s="1"/>
  <c r="FD318" i="5" a="1"/>
  <c r="FD318" i="5"/>
  <c r="FE318" i="5" a="1"/>
  <c r="FE318" i="5" s="1"/>
  <c r="FF318" i="5" a="1"/>
  <c r="FF318" i="5" s="1"/>
  <c r="FG318" i="5" a="1"/>
  <c r="FG318" i="5" s="1"/>
  <c r="FH318" i="5" a="1"/>
  <c r="FH318" i="5"/>
  <c r="FI318" i="5" a="1"/>
  <c r="FI318" i="5" s="1"/>
  <c r="FJ318" i="5" a="1"/>
  <c r="FJ318" i="5" s="1"/>
  <c r="FK318" i="5" a="1"/>
  <c r="FK318" i="5" s="1"/>
  <c r="FL318" i="5" a="1"/>
  <c r="FL318" i="5" s="1"/>
  <c r="FM318" i="5" a="1"/>
  <c r="FM318" i="5" s="1"/>
  <c r="FN318" i="5" a="1"/>
  <c r="FN318" i="5" s="1"/>
  <c r="FO318" i="5" a="1"/>
  <c r="FO318" i="5" s="1"/>
  <c r="EI319" i="5" a="1"/>
  <c r="EI319" i="5" s="1"/>
  <c r="EJ319" i="5" a="1"/>
  <c r="EJ319" i="5" s="1"/>
  <c r="EK319" i="5" a="1"/>
  <c r="EK319" i="5" s="1"/>
  <c r="EL319" i="5" a="1"/>
  <c r="EL319" i="5" s="1"/>
  <c r="EM319" i="5" a="1"/>
  <c r="EM319" i="5" s="1"/>
  <c r="EN319" i="5" a="1"/>
  <c r="EN319" i="5" s="1"/>
  <c r="EO319" i="5" a="1"/>
  <c r="EO319" i="5" s="1"/>
  <c r="EP319" i="5" a="1"/>
  <c r="EP319" i="5" s="1"/>
  <c r="EQ319" i="5" a="1"/>
  <c r="EQ319" i="5" s="1"/>
  <c r="ER319" i="5" a="1"/>
  <c r="ER319" i="5" s="1"/>
  <c r="ES319" i="5" a="1"/>
  <c r="ES319" i="5" s="1"/>
  <c r="ET319" i="5" a="1"/>
  <c r="ET319" i="5" s="1"/>
  <c r="EU319" i="5" a="1"/>
  <c r="EU319" i="5" s="1"/>
  <c r="EV319" i="5" a="1"/>
  <c r="EV319" i="5" s="1"/>
  <c r="EW319" i="5" a="1"/>
  <c r="EW319" i="5" s="1"/>
  <c r="EX319" i="5" a="1"/>
  <c r="EX319" i="5" s="1"/>
  <c r="EY319" i="5" a="1"/>
  <c r="EY319" i="5" s="1"/>
  <c r="EZ319" i="5" a="1"/>
  <c r="EZ319" i="5" s="1"/>
  <c r="FA319" i="5" a="1"/>
  <c r="FA319" i="5" s="1"/>
  <c r="FB319" i="5" a="1"/>
  <c r="FB319" i="5" s="1"/>
  <c r="FC319" i="5" a="1"/>
  <c r="FC319" i="5" s="1"/>
  <c r="FD319" i="5" a="1"/>
  <c r="FD319" i="5" s="1"/>
  <c r="FE319" i="5" a="1"/>
  <c r="FE319" i="5" s="1"/>
  <c r="FF319" i="5" a="1"/>
  <c r="FF319" i="5" s="1"/>
  <c r="FG319" i="5" a="1"/>
  <c r="FG319" i="5" s="1"/>
  <c r="FH319" i="5" a="1"/>
  <c r="FH319" i="5" s="1"/>
  <c r="FI319" i="5" a="1"/>
  <c r="FI319" i="5" s="1"/>
  <c r="FJ319" i="5" a="1"/>
  <c r="FJ319" i="5" s="1"/>
  <c r="FK319" i="5" a="1"/>
  <c r="FK319" i="5" s="1"/>
  <c r="FL319" i="5" a="1"/>
  <c r="FL319" i="5"/>
  <c r="FM319" i="5" a="1"/>
  <c r="FM319" i="5" s="1"/>
  <c r="FN319" i="5" a="1"/>
  <c r="FN319" i="5" s="1"/>
  <c r="FO319" i="5" a="1"/>
  <c r="FO319" i="5" s="1"/>
  <c r="EI320" i="5" a="1"/>
  <c r="EI320" i="5" s="1"/>
  <c r="EJ320" i="5" a="1"/>
  <c r="EJ320" i="5" s="1"/>
  <c r="EK320" i="5" a="1"/>
  <c r="EK320" i="5" s="1"/>
  <c r="EL320" i="5" a="1"/>
  <c r="EL320" i="5" s="1"/>
  <c r="EM320" i="5" a="1"/>
  <c r="EM320" i="5" s="1"/>
  <c r="EN320" i="5" a="1"/>
  <c r="EN320" i="5" s="1"/>
  <c r="EO320" i="5" a="1"/>
  <c r="EO320" i="5" s="1"/>
  <c r="EP320" i="5" a="1"/>
  <c r="EP320" i="5" s="1"/>
  <c r="EQ320" i="5" a="1"/>
  <c r="EQ320" i="5" s="1"/>
  <c r="ER320" i="5" a="1"/>
  <c r="ER320" i="5" s="1"/>
  <c r="ES320" i="5" a="1"/>
  <c r="ES320" i="5" s="1"/>
  <c r="ET320" i="5" a="1"/>
  <c r="ET320" i="5" s="1"/>
  <c r="EU320" i="5" a="1"/>
  <c r="EU320" i="5" s="1"/>
  <c r="EV320" i="5" a="1"/>
  <c r="EV320" i="5" s="1"/>
  <c r="EW320" i="5" a="1"/>
  <c r="EW320" i="5" s="1"/>
  <c r="EX320" i="5" a="1"/>
  <c r="EX320" i="5" s="1"/>
  <c r="EY320" i="5" a="1"/>
  <c r="EY320" i="5" s="1"/>
  <c r="EZ320" i="5" a="1"/>
  <c r="EZ320" i="5" s="1"/>
  <c r="FA320" i="5" a="1"/>
  <c r="FA320" i="5" s="1"/>
  <c r="FB320" i="5" a="1"/>
  <c r="FB320" i="5" s="1"/>
  <c r="FC320" i="5" a="1"/>
  <c r="FC320" i="5" s="1"/>
  <c r="FD320" i="5" a="1"/>
  <c r="FD320" i="5" s="1"/>
  <c r="FE320" i="5" a="1"/>
  <c r="FE320" i="5" s="1"/>
  <c r="FF320" i="5" a="1"/>
  <c r="FF320" i="5" s="1"/>
  <c r="FG320" i="5" a="1"/>
  <c r="FG320" i="5" s="1"/>
  <c r="FH320" i="5" a="1"/>
  <c r="FH320" i="5"/>
  <c r="FI320" i="5" a="1"/>
  <c r="FI320" i="5" s="1"/>
  <c r="FJ320" i="5" a="1"/>
  <c r="FJ320" i="5" s="1"/>
  <c r="FK320" i="5" a="1"/>
  <c r="FK320" i="5" s="1"/>
  <c r="FL320" i="5" a="1"/>
  <c r="FL320" i="5" s="1"/>
  <c r="FM320" i="5" a="1"/>
  <c r="FM320" i="5"/>
  <c r="FN320" i="5" a="1"/>
  <c r="FN320" i="5" s="1"/>
  <c r="FO320" i="5" a="1"/>
  <c r="FO320" i="5" s="1"/>
  <c r="EI321" i="5" a="1"/>
  <c r="EI321" i="5" s="1"/>
  <c r="EJ321" i="5" a="1"/>
  <c r="EJ321" i="5" s="1"/>
  <c r="EK321" i="5" a="1"/>
  <c r="EK321" i="5" s="1"/>
  <c r="EL321" i="5" a="1"/>
  <c r="EL321" i="5" s="1"/>
  <c r="EM321" i="5" a="1"/>
  <c r="EM321" i="5" s="1"/>
  <c r="EN321" i="5" a="1"/>
  <c r="EN321" i="5"/>
  <c r="EO321" i="5" a="1"/>
  <c r="EO321" i="5" s="1"/>
  <c r="EP321" i="5" a="1"/>
  <c r="EP321" i="5" s="1"/>
  <c r="EQ321" i="5" a="1"/>
  <c r="EQ321" i="5" s="1"/>
  <c r="ER321" i="5" a="1"/>
  <c r="ER321" i="5" s="1"/>
  <c r="ES321" i="5" a="1"/>
  <c r="ES321" i="5" s="1"/>
  <c r="ET321" i="5" a="1"/>
  <c r="ET321" i="5" s="1"/>
  <c r="EU321" i="5" a="1"/>
  <c r="EU321" i="5" s="1"/>
  <c r="EV321" i="5" a="1"/>
  <c r="EV321" i="5" s="1"/>
  <c r="EW321" i="5" a="1"/>
  <c r="EW321" i="5" s="1"/>
  <c r="EX321" i="5" a="1"/>
  <c r="EX321" i="5" s="1"/>
  <c r="EY321" i="5" a="1"/>
  <c r="EY321" i="5" s="1"/>
  <c r="EZ321" i="5" a="1"/>
  <c r="EZ321" i="5" s="1"/>
  <c r="FA321" i="5" a="1"/>
  <c r="FA321" i="5" s="1"/>
  <c r="FB321" i="5" a="1"/>
  <c r="FB321" i="5" s="1"/>
  <c r="FC321" i="5" a="1"/>
  <c r="FC321" i="5" s="1"/>
  <c r="FD321" i="5" a="1"/>
  <c r="FD321" i="5" s="1"/>
  <c r="FE321" i="5" a="1"/>
  <c r="FE321" i="5" s="1"/>
  <c r="FF321" i="5" a="1"/>
  <c r="FF321" i="5"/>
  <c r="FG321" i="5" a="1"/>
  <c r="FG321" i="5" s="1"/>
  <c r="FH321" i="5" a="1"/>
  <c r="FH321" i="5" s="1"/>
  <c r="FI321" i="5" a="1"/>
  <c r="FI321" i="5" s="1"/>
  <c r="FJ321" i="5" a="1"/>
  <c r="FJ321" i="5" s="1"/>
  <c r="FK321" i="5" a="1"/>
  <c r="FK321" i="5" s="1"/>
  <c r="FL321" i="5" a="1"/>
  <c r="FL321" i="5" s="1"/>
  <c r="FM321" i="5" a="1"/>
  <c r="FM321" i="5" s="1"/>
  <c r="FN321" i="5" a="1"/>
  <c r="FN321" i="5" s="1"/>
  <c r="FO321" i="5" a="1"/>
  <c r="FO321" i="5" s="1"/>
  <c r="EI322" i="5" a="1"/>
  <c r="EI322" i="5" s="1"/>
  <c r="EJ322" i="5" a="1"/>
  <c r="EJ322" i="5" s="1"/>
  <c r="EK322" i="5" a="1"/>
  <c r="EK322" i="5" s="1"/>
  <c r="EL322" i="5" a="1"/>
  <c r="EL322" i="5" s="1"/>
  <c r="EM322" i="5" a="1"/>
  <c r="EM322" i="5" s="1"/>
  <c r="EN322" i="5" a="1"/>
  <c r="EN322" i="5" s="1"/>
  <c r="EO322" i="5" a="1"/>
  <c r="EO322" i="5" s="1"/>
  <c r="EP322" i="5" a="1"/>
  <c r="EP322" i="5"/>
  <c r="EQ322" i="5" a="1"/>
  <c r="EQ322" i="5" s="1"/>
  <c r="ER322" i="5" a="1"/>
  <c r="ER322" i="5" s="1"/>
  <c r="ES322" i="5" a="1"/>
  <c r="ES322" i="5" s="1"/>
  <c r="ET322" i="5" a="1"/>
  <c r="ET322" i="5" s="1"/>
  <c r="EU322" i="5" a="1"/>
  <c r="EU322" i="5" s="1"/>
  <c r="EV322" i="5" a="1"/>
  <c r="EV322" i="5" s="1"/>
  <c r="EW322" i="5" a="1"/>
  <c r="EW322" i="5" s="1"/>
  <c r="EX322" i="5" a="1"/>
  <c r="EX322" i="5" s="1"/>
  <c r="EY322" i="5" a="1"/>
  <c r="EY322" i="5" s="1"/>
  <c r="EZ322" i="5" a="1"/>
  <c r="EZ322" i="5" s="1"/>
  <c r="FA322" i="5" a="1"/>
  <c r="FA322" i="5" s="1"/>
  <c r="FB322" i="5" a="1"/>
  <c r="FB322" i="5" s="1"/>
  <c r="FC322" i="5" a="1"/>
  <c r="FC322" i="5" s="1"/>
  <c r="FD322" i="5" a="1"/>
  <c r="FD322" i="5" s="1"/>
  <c r="FE322" i="5" a="1"/>
  <c r="FE322" i="5" s="1"/>
  <c r="FF322" i="5" a="1"/>
  <c r="FF322" i="5" s="1"/>
  <c r="FG322" i="5" a="1"/>
  <c r="FG322" i="5" s="1"/>
  <c r="FH322" i="5" a="1"/>
  <c r="FH322" i="5"/>
  <c r="FI322" i="5" a="1"/>
  <c r="FI322" i="5" s="1"/>
  <c r="FJ322" i="5" a="1"/>
  <c r="FJ322" i="5" s="1"/>
  <c r="FK322" i="5" a="1"/>
  <c r="FK322" i="5" s="1"/>
  <c r="FL322" i="5" a="1"/>
  <c r="FL322" i="5"/>
  <c r="FM322" i="5" a="1"/>
  <c r="FM322" i="5" s="1"/>
  <c r="FN322" i="5" a="1"/>
  <c r="FN322" i="5" s="1"/>
  <c r="FO322" i="5" a="1"/>
  <c r="FO322" i="5" s="1"/>
  <c r="EI323" i="5" a="1"/>
  <c r="EI323" i="5"/>
  <c r="EJ323" i="5" a="1"/>
  <c r="EJ323" i="5" s="1"/>
  <c r="EK323" i="5" a="1"/>
  <c r="EK323" i="5" s="1"/>
  <c r="EL323" i="5" a="1"/>
  <c r="EL323" i="5" s="1"/>
  <c r="EM323" i="5" a="1"/>
  <c r="EM323" i="5" s="1"/>
  <c r="EN323" i="5" a="1"/>
  <c r="EN323" i="5" s="1"/>
  <c r="EO323" i="5" a="1"/>
  <c r="EO323" i="5"/>
  <c r="EP323" i="5" a="1"/>
  <c r="EP323" i="5" s="1"/>
  <c r="EQ323" i="5" a="1"/>
  <c r="EQ323" i="5" s="1"/>
  <c r="ER323" i="5" a="1"/>
  <c r="ER323" i="5" s="1"/>
  <c r="ES323" i="5" a="1"/>
  <c r="ES323" i="5" s="1"/>
  <c r="ET323" i="5" a="1"/>
  <c r="ET323" i="5" s="1"/>
  <c r="EU323" i="5" a="1"/>
  <c r="EU323" i="5" s="1"/>
  <c r="EV323" i="5" a="1"/>
  <c r="EV323" i="5" s="1"/>
  <c r="EW323" i="5" a="1"/>
  <c r="EW323" i="5" s="1"/>
  <c r="EX323" i="5" a="1"/>
  <c r="EX323" i="5" s="1"/>
  <c r="EY323" i="5" a="1"/>
  <c r="EY323" i="5" s="1"/>
  <c r="EZ323" i="5" a="1"/>
  <c r="EZ323" i="5" s="1"/>
  <c r="FA323" i="5" a="1"/>
  <c r="FA323" i="5"/>
  <c r="FB323" i="5" a="1"/>
  <c r="FB323" i="5" s="1"/>
  <c r="FC323" i="5" a="1"/>
  <c r="FC323" i="5" s="1"/>
  <c r="FD323" i="5" a="1"/>
  <c r="FD323" i="5" s="1"/>
  <c r="FE323" i="5" a="1"/>
  <c r="FE323" i="5" s="1"/>
  <c r="FF323" i="5" a="1"/>
  <c r="FF323" i="5" s="1"/>
  <c r="FG323" i="5" a="1"/>
  <c r="FG323" i="5" s="1"/>
  <c r="FH323" i="5" a="1"/>
  <c r="FH323" i="5" s="1"/>
  <c r="FI323" i="5" a="1"/>
  <c r="FI323" i="5" s="1"/>
  <c r="FJ323" i="5" a="1"/>
  <c r="FJ323" i="5" s="1"/>
  <c r="FK323" i="5" a="1"/>
  <c r="FK323" i="5" s="1"/>
  <c r="FL323" i="5" a="1"/>
  <c r="FL323" i="5" s="1"/>
  <c r="FM323" i="5" a="1"/>
  <c r="FM323" i="5" s="1"/>
  <c r="FN323" i="5" a="1"/>
  <c r="FN323" i="5" s="1"/>
  <c r="FO323" i="5" a="1"/>
  <c r="FO323" i="5" s="1"/>
  <c r="EI324" i="5" a="1"/>
  <c r="EI324" i="5" s="1"/>
  <c r="EJ324" i="5" a="1"/>
  <c r="EJ324" i="5" s="1"/>
  <c r="EK324" i="5" a="1"/>
  <c r="EK324" i="5" s="1"/>
  <c r="EL324" i="5" a="1"/>
  <c r="EL324" i="5" s="1"/>
  <c r="EM324" i="5" a="1"/>
  <c r="EM324" i="5" s="1"/>
  <c r="EN324" i="5" a="1"/>
  <c r="EN324" i="5" s="1"/>
  <c r="EO324" i="5" a="1"/>
  <c r="EO324" i="5" s="1"/>
  <c r="EP324" i="5" a="1"/>
  <c r="EP324" i="5" s="1"/>
  <c r="EQ324" i="5" a="1"/>
  <c r="EQ324" i="5" s="1"/>
  <c r="ER324" i="5" a="1"/>
  <c r="ER324" i="5" s="1"/>
  <c r="ES324" i="5" a="1"/>
  <c r="ES324" i="5" s="1"/>
  <c r="ET324" i="5" a="1"/>
  <c r="ET324" i="5" s="1"/>
  <c r="EU324" i="5" a="1"/>
  <c r="EU324" i="5" s="1"/>
  <c r="EV324" i="5" a="1"/>
  <c r="EV324" i="5" s="1"/>
  <c r="EW324" i="5" a="1"/>
  <c r="EW324" i="5" s="1"/>
  <c r="EX324" i="5" a="1"/>
  <c r="EX324" i="5" s="1"/>
  <c r="EY324" i="5" a="1"/>
  <c r="EY324" i="5" s="1"/>
  <c r="EZ324" i="5" a="1"/>
  <c r="EZ324" i="5" s="1"/>
  <c r="FA324" i="5" a="1"/>
  <c r="FA324" i="5" s="1"/>
  <c r="FB324" i="5" a="1"/>
  <c r="FB324" i="5" s="1"/>
  <c r="FC324" i="5" a="1"/>
  <c r="FC324" i="5" s="1"/>
  <c r="FD324" i="5" a="1"/>
  <c r="FD324" i="5" s="1"/>
  <c r="FE324" i="5" a="1"/>
  <c r="FE324" i="5" s="1"/>
  <c r="FF324" i="5" a="1"/>
  <c r="FF324" i="5" s="1"/>
  <c r="FG324" i="5" a="1"/>
  <c r="FG324" i="5" s="1"/>
  <c r="FH324" i="5" a="1"/>
  <c r="FH324" i="5" s="1"/>
  <c r="FI324" i="5" a="1"/>
  <c r="FI324" i="5" s="1"/>
  <c r="FJ324" i="5" a="1"/>
  <c r="FJ324" i="5" s="1"/>
  <c r="FK324" i="5" a="1"/>
  <c r="FK324" i="5" s="1"/>
  <c r="FL324" i="5" a="1"/>
  <c r="FL324" i="5" s="1"/>
  <c r="FM324" i="5" a="1"/>
  <c r="FM324" i="5" s="1"/>
  <c r="FN324" i="5" a="1"/>
  <c r="FN324" i="5" s="1"/>
  <c r="FO324" i="5" a="1"/>
  <c r="FO324" i="5" s="1"/>
  <c r="EI325" i="5" a="1"/>
  <c r="EI325" i="5" s="1"/>
  <c r="EJ325" i="5" a="1"/>
  <c r="EJ325" i="5" s="1"/>
  <c r="EK325" i="5" a="1"/>
  <c r="EK325" i="5" s="1"/>
  <c r="EL325" i="5" a="1"/>
  <c r="EL325" i="5" s="1"/>
  <c r="EM325" i="5" a="1"/>
  <c r="EM325" i="5" s="1"/>
  <c r="EN325" i="5" a="1"/>
  <c r="EN325" i="5" s="1"/>
  <c r="EO325" i="5" a="1"/>
  <c r="EO325" i="5" s="1"/>
  <c r="EP325" i="5" a="1"/>
  <c r="EP325" i="5" s="1"/>
  <c r="EQ325" i="5" a="1"/>
  <c r="EQ325" i="5" s="1"/>
  <c r="ER325" i="5" a="1"/>
  <c r="ER325" i="5" s="1"/>
  <c r="ES325" i="5" a="1"/>
  <c r="ES325" i="5" s="1"/>
  <c r="ET325" i="5" a="1"/>
  <c r="ET325" i="5" s="1"/>
  <c r="EU325" i="5" a="1"/>
  <c r="EU325" i="5" s="1"/>
  <c r="EV325" i="5" a="1"/>
  <c r="EV325" i="5" s="1"/>
  <c r="EW325" i="5" a="1"/>
  <c r="EW325" i="5" s="1"/>
  <c r="EX325" i="5" a="1"/>
  <c r="EX325" i="5" s="1"/>
  <c r="EY325" i="5" a="1"/>
  <c r="EY325" i="5" s="1"/>
  <c r="EZ325" i="5" a="1"/>
  <c r="EZ325" i="5" s="1"/>
  <c r="FA325" i="5" a="1"/>
  <c r="FA325" i="5" s="1"/>
  <c r="FB325" i="5" a="1"/>
  <c r="FB325" i="5" s="1"/>
  <c r="FC325" i="5" a="1"/>
  <c r="FC325" i="5" s="1"/>
  <c r="FD325" i="5" a="1"/>
  <c r="FD325" i="5" s="1"/>
  <c r="FE325" i="5" a="1"/>
  <c r="FE325" i="5" s="1"/>
  <c r="FF325" i="5" a="1"/>
  <c r="FF325" i="5" s="1"/>
  <c r="FG325" i="5" a="1"/>
  <c r="FG325" i="5" s="1"/>
  <c r="FH325" i="5" a="1"/>
  <c r="FH325" i="5" s="1"/>
  <c r="FI325" i="5" a="1"/>
  <c r="FI325" i="5" s="1"/>
  <c r="FJ325" i="5" a="1"/>
  <c r="FJ325" i="5" s="1"/>
  <c r="FK325" i="5" a="1"/>
  <c r="FK325" i="5" s="1"/>
  <c r="FL325" i="5" a="1"/>
  <c r="FL325" i="5" s="1"/>
  <c r="FM325" i="5" a="1"/>
  <c r="FM325" i="5" s="1"/>
  <c r="FN325" i="5" a="1"/>
  <c r="FN325" i="5" s="1"/>
  <c r="FO325" i="5" a="1"/>
  <c r="FO325" i="5" s="1"/>
  <c r="EI326" i="5" a="1"/>
  <c r="EI326" i="5" s="1"/>
  <c r="EJ326" i="5" a="1"/>
  <c r="EJ326" i="5" s="1"/>
  <c r="EK326" i="5" a="1"/>
  <c r="EK326" i="5" s="1"/>
  <c r="EL326" i="5" a="1"/>
  <c r="EL326" i="5" s="1"/>
  <c r="EM326" i="5" a="1"/>
  <c r="EM326" i="5" s="1"/>
  <c r="EN326" i="5" a="1"/>
  <c r="EN326" i="5" s="1"/>
  <c r="EO326" i="5" a="1"/>
  <c r="EO326" i="5" s="1"/>
  <c r="EP326" i="5" a="1"/>
  <c r="EP326" i="5" s="1"/>
  <c r="EQ326" i="5" a="1"/>
  <c r="EQ326" i="5" s="1"/>
  <c r="ER326" i="5" a="1"/>
  <c r="ER326" i="5" s="1"/>
  <c r="ES326" i="5" a="1"/>
  <c r="ES326" i="5" s="1"/>
  <c r="ET326" i="5" a="1"/>
  <c r="ET326" i="5" s="1"/>
  <c r="EU326" i="5" a="1"/>
  <c r="EU326" i="5" s="1"/>
  <c r="EV326" i="5" a="1"/>
  <c r="EV326" i="5"/>
  <c r="EW326" i="5" a="1"/>
  <c r="EW326" i="5" s="1"/>
  <c r="EX326" i="5" a="1"/>
  <c r="EX326" i="5" s="1"/>
  <c r="EY326" i="5" a="1"/>
  <c r="EY326" i="5" s="1"/>
  <c r="EZ326" i="5" a="1"/>
  <c r="EZ326" i="5" s="1"/>
  <c r="FA326" i="5" a="1"/>
  <c r="FA326" i="5"/>
  <c r="FB326" i="5" a="1"/>
  <c r="FB326" i="5" s="1"/>
  <c r="FC326" i="5" a="1"/>
  <c r="FC326" i="5" s="1"/>
  <c r="FD326" i="5" a="1"/>
  <c r="FD326" i="5" s="1"/>
  <c r="FE326" i="5" a="1"/>
  <c r="FE326" i="5" s="1"/>
  <c r="FF326" i="5" a="1"/>
  <c r="FF326" i="5" s="1"/>
  <c r="FG326" i="5" a="1"/>
  <c r="FG326" i="5"/>
  <c r="FH326" i="5" a="1"/>
  <c r="FH326" i="5" s="1"/>
  <c r="FI326" i="5" a="1"/>
  <c r="FI326" i="5" s="1"/>
  <c r="FJ326" i="5" a="1"/>
  <c r="FJ326" i="5" s="1"/>
  <c r="FK326" i="5" a="1"/>
  <c r="FK326" i="5"/>
  <c r="FL326" i="5" a="1"/>
  <c r="FL326" i="5" s="1"/>
  <c r="FM326" i="5" a="1"/>
  <c r="FM326" i="5" s="1"/>
  <c r="FN326" i="5" a="1"/>
  <c r="FN326" i="5" s="1"/>
  <c r="FO326" i="5" a="1"/>
  <c r="FO326" i="5" s="1"/>
  <c r="EI327" i="5" a="1"/>
  <c r="EI327" i="5" s="1"/>
  <c r="EJ327" i="5" a="1"/>
  <c r="EJ327" i="5" s="1"/>
  <c r="EK327" i="5" a="1"/>
  <c r="EK327" i="5" s="1"/>
  <c r="EL327" i="5" a="1"/>
  <c r="EL327" i="5" s="1"/>
  <c r="EM327" i="5" a="1"/>
  <c r="EM327" i="5" s="1"/>
  <c r="EN327" i="5" a="1"/>
  <c r="EN327" i="5" s="1"/>
  <c r="EO327" i="5" a="1"/>
  <c r="EO327" i="5" s="1"/>
  <c r="EP327" i="5" a="1"/>
  <c r="EP327" i="5" s="1"/>
  <c r="EQ327" i="5" a="1"/>
  <c r="EQ327" i="5" s="1"/>
  <c r="ER327" i="5" a="1"/>
  <c r="ER327" i="5" s="1"/>
  <c r="ES327" i="5" a="1"/>
  <c r="ES327" i="5" s="1"/>
  <c r="ET327" i="5" a="1"/>
  <c r="ET327" i="5" s="1"/>
  <c r="EU327" i="5" a="1"/>
  <c r="EU327" i="5" s="1"/>
  <c r="EV327" i="5" a="1"/>
  <c r="EV327" i="5" s="1"/>
  <c r="EW327" i="5" a="1"/>
  <c r="EW327" i="5"/>
  <c r="EX327" i="5" a="1"/>
  <c r="EX327" i="5" s="1"/>
  <c r="EY327" i="5" a="1"/>
  <c r="EY327" i="5" s="1"/>
  <c r="EZ327" i="5" a="1"/>
  <c r="EZ327" i="5" s="1"/>
  <c r="FA327" i="5" a="1"/>
  <c r="FA327" i="5" s="1"/>
  <c r="FB327" i="5" a="1"/>
  <c r="FB327" i="5" s="1"/>
  <c r="FC327" i="5" a="1"/>
  <c r="FC327" i="5" s="1"/>
  <c r="FD327" i="5" a="1"/>
  <c r="FD327" i="5" s="1"/>
  <c r="FE327" i="5" a="1"/>
  <c r="FE327" i="5" s="1"/>
  <c r="FF327" i="5" a="1"/>
  <c r="FF327" i="5" s="1"/>
  <c r="FG327" i="5" a="1"/>
  <c r="FG327" i="5" s="1"/>
  <c r="FH327" i="5" a="1"/>
  <c r="FH327" i="5" s="1"/>
  <c r="FI327" i="5" a="1"/>
  <c r="FI327" i="5" s="1"/>
  <c r="FJ327" i="5" a="1"/>
  <c r="FJ327" i="5" s="1"/>
  <c r="FK327" i="5" a="1"/>
  <c r="FK327" i="5" s="1"/>
  <c r="FL327" i="5" a="1"/>
  <c r="FL327" i="5" s="1"/>
  <c r="FM327" i="5" a="1"/>
  <c r="FM327" i="5" s="1"/>
  <c r="FN327" i="5" a="1"/>
  <c r="FN327" i="5" s="1"/>
  <c r="FO327" i="5" a="1"/>
  <c r="FO327" i="5" s="1"/>
  <c r="EI328" i="5" a="1"/>
  <c r="EI328" i="5" s="1"/>
  <c r="EJ328" i="5" a="1"/>
  <c r="EJ328" i="5" s="1"/>
  <c r="EK328" i="5" a="1"/>
  <c r="EK328" i="5" s="1"/>
  <c r="EL328" i="5" a="1"/>
  <c r="EL328" i="5" s="1"/>
  <c r="EM328" i="5" a="1"/>
  <c r="EM328" i="5" s="1"/>
  <c r="EN328" i="5" a="1"/>
  <c r="EN328" i="5" s="1"/>
  <c r="EO328" i="5" a="1"/>
  <c r="EO328" i="5" s="1"/>
  <c r="EP328" i="5" a="1"/>
  <c r="EP328" i="5" s="1"/>
  <c r="EQ328" i="5" a="1"/>
  <c r="EQ328" i="5" s="1"/>
  <c r="ER328" i="5" a="1"/>
  <c r="ER328" i="5" s="1"/>
  <c r="ES328" i="5" a="1"/>
  <c r="ES328" i="5" s="1"/>
  <c r="ET328" i="5" a="1"/>
  <c r="ET328" i="5" s="1"/>
  <c r="EU328" i="5" a="1"/>
  <c r="EU328" i="5" s="1"/>
  <c r="EV328" i="5" a="1"/>
  <c r="EV328" i="5" s="1"/>
  <c r="EW328" i="5" a="1"/>
  <c r="EW328" i="5" s="1"/>
  <c r="EX328" i="5" a="1"/>
  <c r="EX328" i="5" s="1"/>
  <c r="EY328" i="5" a="1"/>
  <c r="EY328" i="5" s="1"/>
  <c r="EZ328" i="5" a="1"/>
  <c r="EZ328" i="5" s="1"/>
  <c r="FA328" i="5" a="1"/>
  <c r="FA328" i="5" s="1"/>
  <c r="FB328" i="5" a="1"/>
  <c r="FB328" i="5" s="1"/>
  <c r="FC328" i="5" a="1"/>
  <c r="FC328" i="5" s="1"/>
  <c r="FD328" i="5" a="1"/>
  <c r="FD328" i="5" s="1"/>
  <c r="FE328" i="5" a="1"/>
  <c r="FE328" i="5" s="1"/>
  <c r="FF328" i="5" a="1"/>
  <c r="FF328" i="5" s="1"/>
  <c r="FG328" i="5" a="1"/>
  <c r="FG328" i="5" s="1"/>
  <c r="FH328" i="5" a="1"/>
  <c r="FH328" i="5" s="1"/>
  <c r="FI328" i="5" a="1"/>
  <c r="FI328" i="5" s="1"/>
  <c r="FJ328" i="5" a="1"/>
  <c r="FJ328" i="5" s="1"/>
  <c r="FK328" i="5" a="1"/>
  <c r="FK328" i="5" s="1"/>
  <c r="FL328" i="5" a="1"/>
  <c r="FL328" i="5" s="1"/>
  <c r="FM328" i="5" a="1"/>
  <c r="FM328" i="5" s="1"/>
  <c r="FN328" i="5" a="1"/>
  <c r="FN328" i="5" s="1"/>
  <c r="FO328" i="5" a="1"/>
  <c r="FO328" i="5"/>
  <c r="EI329" i="5" a="1"/>
  <c r="EI329" i="5" s="1"/>
  <c r="EJ329" i="5" a="1"/>
  <c r="EJ329" i="5" s="1"/>
  <c r="EK329" i="5" a="1"/>
  <c r="EK329" i="5" s="1"/>
  <c r="EL329" i="5" a="1"/>
  <c r="EL329" i="5" s="1"/>
  <c r="EM329" i="5" a="1"/>
  <c r="EM329" i="5" s="1"/>
  <c r="EN329" i="5" a="1"/>
  <c r="EN329" i="5" s="1"/>
  <c r="EO329" i="5" a="1"/>
  <c r="EO329" i="5" s="1"/>
  <c r="EP329" i="5" a="1"/>
  <c r="EP329" i="5" s="1"/>
  <c r="EQ329" i="5" a="1"/>
  <c r="EQ329" i="5" s="1"/>
  <c r="ER329" i="5" a="1"/>
  <c r="ER329" i="5" s="1"/>
  <c r="ES329" i="5" a="1"/>
  <c r="ES329" i="5" s="1"/>
  <c r="ET329" i="5" a="1"/>
  <c r="ET329" i="5" s="1"/>
  <c r="EU329" i="5" a="1"/>
  <c r="EU329" i="5" s="1"/>
  <c r="EV329" i="5" a="1"/>
  <c r="EV329" i="5" s="1"/>
  <c r="EW329" i="5" a="1"/>
  <c r="EW329" i="5" s="1"/>
  <c r="EX329" i="5" a="1"/>
  <c r="EX329" i="5" s="1"/>
  <c r="EY329" i="5" a="1"/>
  <c r="EY329" i="5" s="1"/>
  <c r="EZ329" i="5" a="1"/>
  <c r="EZ329" i="5" s="1"/>
  <c r="FA329" i="5" a="1"/>
  <c r="FA329" i="5" s="1"/>
  <c r="FB329" i="5" a="1"/>
  <c r="FB329" i="5" s="1"/>
  <c r="FC329" i="5" a="1"/>
  <c r="FC329" i="5" s="1"/>
  <c r="FD329" i="5" a="1"/>
  <c r="FD329" i="5" s="1"/>
  <c r="FE329" i="5" a="1"/>
  <c r="FE329" i="5"/>
  <c r="FF329" i="5" a="1"/>
  <c r="FF329" i="5" s="1"/>
  <c r="FG329" i="5" a="1"/>
  <c r="FG329" i="5" s="1"/>
  <c r="FH329" i="5" a="1"/>
  <c r="FH329" i="5" s="1"/>
  <c r="FI329" i="5" a="1"/>
  <c r="FI329" i="5" s="1"/>
  <c r="FJ329" i="5" a="1"/>
  <c r="FJ329" i="5" s="1"/>
  <c r="FK329" i="5" a="1"/>
  <c r="FK329" i="5" s="1"/>
  <c r="FL329" i="5" a="1"/>
  <c r="FL329" i="5" s="1"/>
  <c r="FM329" i="5" a="1"/>
  <c r="FM329" i="5" s="1"/>
  <c r="FN329" i="5" a="1"/>
  <c r="FN329" i="5"/>
  <c r="FO329" i="5" a="1"/>
  <c r="FO329" i="5" s="1"/>
  <c r="EI330" i="5" a="1"/>
  <c r="EI330" i="5" s="1"/>
  <c r="EJ330" i="5" a="1"/>
  <c r="EJ330" i="5" s="1"/>
  <c r="EK330" i="5" a="1"/>
  <c r="EK330" i="5" s="1"/>
  <c r="EL330" i="5" a="1"/>
  <c r="EL330" i="5"/>
  <c r="EM330" i="5" a="1"/>
  <c r="EM330" i="5" s="1"/>
  <c r="EN330" i="5" a="1"/>
  <c r="EN330" i="5" s="1"/>
  <c r="EO330" i="5" a="1"/>
  <c r="EO330" i="5" s="1"/>
  <c r="EP330" i="5" a="1"/>
  <c r="EP330" i="5" s="1"/>
  <c r="EQ330" i="5" a="1"/>
  <c r="EQ330" i="5" s="1"/>
  <c r="ER330" i="5" a="1"/>
  <c r="ER330" i="5" s="1"/>
  <c r="ES330" i="5" a="1"/>
  <c r="ES330" i="5" s="1"/>
  <c r="ET330" i="5" a="1"/>
  <c r="ET330" i="5" s="1"/>
  <c r="EU330" i="5" a="1"/>
  <c r="EU330" i="5" s="1"/>
  <c r="EV330" i="5" a="1"/>
  <c r="EV330" i="5" s="1"/>
  <c r="EW330" i="5" a="1"/>
  <c r="EW330" i="5" s="1"/>
  <c r="EX330" i="5" a="1"/>
  <c r="EX330" i="5" s="1"/>
  <c r="EY330" i="5" a="1"/>
  <c r="EY330" i="5" s="1"/>
  <c r="EZ330" i="5" a="1"/>
  <c r="EZ330" i="5" s="1"/>
  <c r="FA330" i="5" a="1"/>
  <c r="FA330" i="5" s="1"/>
  <c r="FB330" i="5" a="1"/>
  <c r="FB330" i="5" s="1"/>
  <c r="FC330" i="5" a="1"/>
  <c r="FC330" i="5" s="1"/>
  <c r="FD330" i="5" a="1"/>
  <c r="FD330" i="5" s="1"/>
  <c r="FE330" i="5" a="1"/>
  <c r="FE330" i="5" s="1"/>
  <c r="FF330" i="5" a="1"/>
  <c r="FF330" i="5" s="1"/>
  <c r="FG330" i="5" a="1"/>
  <c r="FG330" i="5" s="1"/>
  <c r="FH330" i="5" a="1"/>
  <c r="FH330" i="5" s="1"/>
  <c r="FI330" i="5" a="1"/>
  <c r="FI330" i="5" s="1"/>
  <c r="FJ330" i="5" a="1"/>
  <c r="FJ330" i="5" s="1"/>
  <c r="FK330" i="5" a="1"/>
  <c r="FK330" i="5" s="1"/>
  <c r="FL330" i="5" a="1"/>
  <c r="FL330" i="5" s="1"/>
  <c r="FM330" i="5" a="1"/>
  <c r="FM330" i="5" s="1"/>
  <c r="FN330" i="5" a="1"/>
  <c r="FN330" i="5" s="1"/>
  <c r="FO330" i="5" a="1"/>
  <c r="FO330" i="5" s="1"/>
  <c r="EI331" i="5" a="1"/>
  <c r="EI331" i="5" s="1"/>
  <c r="EJ331" i="5" a="1"/>
  <c r="EJ331" i="5" s="1"/>
  <c r="EK331" i="5" a="1"/>
  <c r="EK331" i="5" s="1"/>
  <c r="EL331" i="5" a="1"/>
  <c r="EL331" i="5" s="1"/>
  <c r="EM331" i="5" a="1"/>
  <c r="EM331" i="5" s="1"/>
  <c r="EN331" i="5" a="1"/>
  <c r="EN331" i="5"/>
  <c r="EO331" i="5" a="1"/>
  <c r="EO331" i="5" s="1"/>
  <c r="EP331" i="5" a="1"/>
  <c r="EP331" i="5" s="1"/>
  <c r="EQ331" i="5" a="1"/>
  <c r="EQ331" i="5" s="1"/>
  <c r="ER331" i="5" a="1"/>
  <c r="ER331" i="5" s="1"/>
  <c r="ES331" i="5" a="1"/>
  <c r="ES331" i="5" s="1"/>
  <c r="ET331" i="5" a="1"/>
  <c r="ET331" i="5" s="1"/>
  <c r="EU331" i="5" a="1"/>
  <c r="EU331" i="5" s="1"/>
  <c r="EV331" i="5" a="1"/>
  <c r="EV331" i="5" s="1"/>
  <c r="EW331" i="5" a="1"/>
  <c r="EW331" i="5" s="1"/>
  <c r="EX331" i="5" a="1"/>
  <c r="EX331" i="5" s="1"/>
  <c r="EY331" i="5" a="1"/>
  <c r="EY331" i="5" s="1"/>
  <c r="EZ331" i="5" a="1"/>
  <c r="EZ331" i="5" s="1"/>
  <c r="FA331" i="5" a="1"/>
  <c r="FA331" i="5" s="1"/>
  <c r="FB331" i="5" a="1"/>
  <c r="FB331" i="5" s="1"/>
  <c r="FC331" i="5" a="1"/>
  <c r="FC331" i="5" s="1"/>
  <c r="FD331" i="5" a="1"/>
  <c r="FD331" i="5" s="1"/>
  <c r="FE331" i="5" a="1"/>
  <c r="FE331" i="5" s="1"/>
  <c r="FF331" i="5" a="1"/>
  <c r="FF331" i="5" s="1"/>
  <c r="FG331" i="5" a="1"/>
  <c r="FG331" i="5" s="1"/>
  <c r="FH331" i="5" a="1"/>
  <c r="FH331" i="5" s="1"/>
  <c r="FI331" i="5" a="1"/>
  <c r="FI331" i="5" s="1"/>
  <c r="FJ331" i="5" a="1"/>
  <c r="FJ331" i="5" s="1"/>
  <c r="FK331" i="5" a="1"/>
  <c r="FK331" i="5" s="1"/>
  <c r="FL331" i="5" a="1"/>
  <c r="FL331" i="5" s="1"/>
  <c r="FM331" i="5" a="1"/>
  <c r="FM331" i="5" s="1"/>
  <c r="FN331" i="5" a="1"/>
  <c r="FN331" i="5" s="1"/>
  <c r="FO331" i="5" a="1"/>
  <c r="FO331" i="5" s="1"/>
  <c r="EI332" i="5" a="1"/>
  <c r="EI332" i="5" s="1"/>
  <c r="EJ332" i="5" a="1"/>
  <c r="EJ332" i="5" s="1"/>
  <c r="EK332" i="5" a="1"/>
  <c r="EK332" i="5" s="1"/>
  <c r="EL332" i="5" a="1"/>
  <c r="EL332" i="5" s="1"/>
  <c r="EM332" i="5" a="1"/>
  <c r="EM332" i="5" s="1"/>
  <c r="EN332" i="5" a="1"/>
  <c r="EN332" i="5" s="1"/>
  <c r="EO332" i="5" a="1"/>
  <c r="EO332" i="5" s="1"/>
  <c r="EP332" i="5" a="1"/>
  <c r="EP332" i="5" s="1"/>
  <c r="EQ332" i="5" a="1"/>
  <c r="EQ332" i="5" s="1"/>
  <c r="ER332" i="5" a="1"/>
  <c r="ER332" i="5" s="1"/>
  <c r="ES332" i="5" a="1"/>
  <c r="ES332" i="5" s="1"/>
  <c r="ET332" i="5" a="1"/>
  <c r="ET332" i="5" s="1"/>
  <c r="EU332" i="5" a="1"/>
  <c r="EU332" i="5" s="1"/>
  <c r="EV332" i="5" a="1"/>
  <c r="EV332" i="5" s="1"/>
  <c r="EW332" i="5" a="1"/>
  <c r="EW332" i="5" s="1"/>
  <c r="EX332" i="5" a="1"/>
  <c r="EX332" i="5" s="1"/>
  <c r="EY332" i="5" a="1"/>
  <c r="EY332" i="5" s="1"/>
  <c r="EZ332" i="5" a="1"/>
  <c r="EZ332" i="5" s="1"/>
  <c r="FA332" i="5" a="1"/>
  <c r="FA332" i="5" s="1"/>
  <c r="FB332" i="5" a="1"/>
  <c r="FB332" i="5" s="1"/>
  <c r="FC332" i="5" a="1"/>
  <c r="FC332" i="5" s="1"/>
  <c r="FD332" i="5" a="1"/>
  <c r="FD332" i="5" s="1"/>
  <c r="FE332" i="5" a="1"/>
  <c r="FE332" i="5" s="1"/>
  <c r="FF332" i="5" a="1"/>
  <c r="FF332" i="5" s="1"/>
  <c r="FG332" i="5" a="1"/>
  <c r="FG332" i="5" s="1"/>
  <c r="FH332" i="5" a="1"/>
  <c r="FH332" i="5" s="1"/>
  <c r="FI332" i="5" a="1"/>
  <c r="FI332" i="5" s="1"/>
  <c r="FJ332" i="5" a="1"/>
  <c r="FJ332" i="5" s="1"/>
  <c r="FK332" i="5" a="1"/>
  <c r="FK332" i="5" s="1"/>
  <c r="FL332" i="5" a="1"/>
  <c r="FL332" i="5" s="1"/>
  <c r="FM332" i="5" a="1"/>
  <c r="FM332" i="5" s="1"/>
  <c r="FN332" i="5" a="1"/>
  <c r="FN332" i="5" s="1"/>
  <c r="FO332" i="5" a="1"/>
  <c r="FO332" i="5" s="1"/>
  <c r="EI333" i="5" a="1"/>
  <c r="EI333" i="5" s="1"/>
  <c r="EJ333" i="5" a="1"/>
  <c r="EJ333" i="5" s="1"/>
  <c r="EK333" i="5" a="1"/>
  <c r="EK333" i="5" s="1"/>
  <c r="EL333" i="5" a="1"/>
  <c r="EL333" i="5" s="1"/>
  <c r="EM333" i="5" a="1"/>
  <c r="EM333" i="5" s="1"/>
  <c r="EN333" i="5" a="1"/>
  <c r="EN333" i="5" s="1"/>
  <c r="EO333" i="5" a="1"/>
  <c r="EO333" i="5" s="1"/>
  <c r="EP333" i="5" a="1"/>
  <c r="EP333" i="5" s="1"/>
  <c r="EQ333" i="5" a="1"/>
  <c r="EQ333" i="5" s="1"/>
  <c r="ER333" i="5" a="1"/>
  <c r="ER333" i="5" s="1"/>
  <c r="ES333" i="5" a="1"/>
  <c r="ES333" i="5" s="1"/>
  <c r="ET333" i="5" a="1"/>
  <c r="ET333" i="5" s="1"/>
  <c r="EU333" i="5" a="1"/>
  <c r="EU333" i="5" s="1"/>
  <c r="EV333" i="5" a="1"/>
  <c r="EV333" i="5" s="1"/>
  <c r="EW333" i="5" a="1"/>
  <c r="EW333" i="5" s="1"/>
  <c r="EX333" i="5" a="1"/>
  <c r="EX333" i="5" s="1"/>
  <c r="EY333" i="5" a="1"/>
  <c r="EY333" i="5" s="1"/>
  <c r="EZ333" i="5" a="1"/>
  <c r="EZ333" i="5" s="1"/>
  <c r="FA333" i="5" a="1"/>
  <c r="FA333" i="5" s="1"/>
  <c r="FB333" i="5" a="1"/>
  <c r="FB333" i="5" s="1"/>
  <c r="FC333" i="5" a="1"/>
  <c r="FC333" i="5" s="1"/>
  <c r="FD333" i="5" a="1"/>
  <c r="FD333" i="5"/>
  <c r="FE333" i="5" a="1"/>
  <c r="FE333" i="5" s="1"/>
  <c r="FF333" i="5" a="1"/>
  <c r="FF333" i="5" s="1"/>
  <c r="FG333" i="5" a="1"/>
  <c r="FG333" i="5" s="1"/>
  <c r="FH333" i="5" a="1"/>
  <c r="FH333" i="5" s="1"/>
  <c r="FI333" i="5" a="1"/>
  <c r="FI333" i="5" s="1"/>
  <c r="FJ333" i="5" a="1"/>
  <c r="FJ333" i="5" s="1"/>
  <c r="FK333" i="5" a="1"/>
  <c r="FK333" i="5" s="1"/>
  <c r="FL333" i="5" a="1"/>
  <c r="FL333" i="5" s="1"/>
  <c r="FM333" i="5" a="1"/>
  <c r="FM333" i="5" s="1"/>
  <c r="FN333" i="5" a="1"/>
  <c r="FN333" i="5" s="1"/>
  <c r="FO333" i="5" a="1"/>
  <c r="FO333" i="5" s="1"/>
  <c r="EI334" i="5" a="1"/>
  <c r="EI334" i="5" s="1"/>
  <c r="EJ334" i="5" a="1"/>
  <c r="EJ334" i="5" s="1"/>
  <c r="EK334" i="5" a="1"/>
  <c r="EK334" i="5" s="1"/>
  <c r="EL334" i="5" a="1"/>
  <c r="EL334" i="5" s="1"/>
  <c r="EM334" i="5" a="1"/>
  <c r="EM334" i="5" s="1"/>
  <c r="EN334" i="5" a="1"/>
  <c r="EN334" i="5" s="1"/>
  <c r="EO334" i="5" a="1"/>
  <c r="EO334" i="5" s="1"/>
  <c r="EP334" i="5" a="1"/>
  <c r="EP334" i="5" s="1"/>
  <c r="EQ334" i="5" a="1"/>
  <c r="EQ334" i="5" s="1"/>
  <c r="ER334" i="5" a="1"/>
  <c r="ER334" i="5" s="1"/>
  <c r="ES334" i="5" a="1"/>
  <c r="ES334" i="5" s="1"/>
  <c r="ET334" i="5" a="1"/>
  <c r="ET334" i="5" s="1"/>
  <c r="EU334" i="5" a="1"/>
  <c r="EU334" i="5" s="1"/>
  <c r="EV334" i="5" a="1"/>
  <c r="EV334" i="5" s="1"/>
  <c r="EW334" i="5" a="1"/>
  <c r="EW334" i="5" s="1"/>
  <c r="EX334" i="5" a="1"/>
  <c r="EX334" i="5" s="1"/>
  <c r="EY334" i="5" a="1"/>
  <c r="EY334" i="5" s="1"/>
  <c r="EZ334" i="5" a="1"/>
  <c r="EZ334" i="5" s="1"/>
  <c r="FA334" i="5" a="1"/>
  <c r="FA334" i="5" s="1"/>
  <c r="FB334" i="5" a="1"/>
  <c r="FB334" i="5" s="1"/>
  <c r="FC334" i="5" a="1"/>
  <c r="FC334" i="5" s="1"/>
  <c r="FD334" i="5" a="1"/>
  <c r="FD334" i="5" s="1"/>
  <c r="FE334" i="5" a="1"/>
  <c r="FE334" i="5" s="1"/>
  <c r="FF334" i="5" a="1"/>
  <c r="FF334" i="5" s="1"/>
  <c r="FG334" i="5" a="1"/>
  <c r="FG334" i="5" s="1"/>
  <c r="FH334" i="5" a="1"/>
  <c r="FH334" i="5" s="1"/>
  <c r="FI334" i="5" a="1"/>
  <c r="FI334" i="5" s="1"/>
  <c r="FJ334" i="5" a="1"/>
  <c r="FJ334" i="5" s="1"/>
  <c r="FK334" i="5" a="1"/>
  <c r="FK334" i="5" s="1"/>
  <c r="FL334" i="5" a="1"/>
  <c r="FL334" i="5" s="1"/>
  <c r="FM334" i="5" a="1"/>
  <c r="FM334" i="5" s="1"/>
  <c r="FN334" i="5" a="1"/>
  <c r="FN334" i="5" s="1"/>
  <c r="FO334" i="5" a="1"/>
  <c r="FO334" i="5" s="1"/>
  <c r="EI335" i="5" a="1"/>
  <c r="EI335" i="5" s="1"/>
  <c r="EJ335" i="5" a="1"/>
  <c r="EJ335" i="5" s="1"/>
  <c r="EK335" i="5" a="1"/>
  <c r="EK335" i="5" s="1"/>
  <c r="EL335" i="5" a="1"/>
  <c r="EL335" i="5" s="1"/>
  <c r="EM335" i="5" a="1"/>
  <c r="EM335" i="5" s="1"/>
  <c r="EN335" i="5" a="1"/>
  <c r="EN335" i="5" s="1"/>
  <c r="EO335" i="5" a="1"/>
  <c r="EO335" i="5" s="1"/>
  <c r="EP335" i="5" a="1"/>
  <c r="EP335" i="5" s="1"/>
  <c r="EQ335" i="5" a="1"/>
  <c r="EQ335" i="5" s="1"/>
  <c r="ER335" i="5" a="1"/>
  <c r="ER335" i="5" s="1"/>
  <c r="ES335" i="5" a="1"/>
  <c r="ES335" i="5" s="1"/>
  <c r="ET335" i="5" a="1"/>
  <c r="ET335" i="5" s="1"/>
  <c r="EU335" i="5" a="1"/>
  <c r="EU335" i="5" s="1"/>
  <c r="EV335" i="5" a="1"/>
  <c r="EV335" i="5"/>
  <c r="EW335" i="5" a="1"/>
  <c r="EW335" i="5" s="1"/>
  <c r="EX335" i="5" a="1"/>
  <c r="EX335" i="5" s="1"/>
  <c r="EY335" i="5" a="1"/>
  <c r="EY335" i="5" s="1"/>
  <c r="EZ335" i="5" a="1"/>
  <c r="EZ335" i="5" s="1"/>
  <c r="FA335" i="5" a="1"/>
  <c r="FA335" i="5" s="1"/>
  <c r="FB335" i="5" a="1"/>
  <c r="FB335" i="5" s="1"/>
  <c r="FC335" i="5" a="1"/>
  <c r="FC335" i="5" s="1"/>
  <c r="FD335" i="5" a="1"/>
  <c r="FD335" i="5" s="1"/>
  <c r="FE335" i="5" a="1"/>
  <c r="FE335" i="5" s="1"/>
  <c r="FF335" i="5" a="1"/>
  <c r="FF335" i="5" s="1"/>
  <c r="FG335" i="5" a="1"/>
  <c r="FG335" i="5" s="1"/>
  <c r="FH335" i="5" a="1"/>
  <c r="FH335" i="5" s="1"/>
  <c r="FI335" i="5" a="1"/>
  <c r="FI335" i="5" s="1"/>
  <c r="FJ335" i="5" a="1"/>
  <c r="FJ335" i="5" s="1"/>
  <c r="FK335" i="5" a="1"/>
  <c r="FK335" i="5" s="1"/>
  <c r="FL335" i="5" a="1"/>
  <c r="FL335" i="5" s="1"/>
  <c r="FM335" i="5" a="1"/>
  <c r="FM335" i="5" s="1"/>
  <c r="FN335" i="5" a="1"/>
  <c r="FN335" i="5"/>
  <c r="FO335" i="5" a="1"/>
  <c r="FO335" i="5" s="1"/>
  <c r="EI36" i="5" a="1"/>
  <c r="EI36" i="5" s="1"/>
  <c r="EJ36" i="5" a="1"/>
  <c r="EJ36" i="5" s="1"/>
  <c r="EK36" i="5" a="1"/>
  <c r="EK36" i="5" s="1"/>
  <c r="EL36" i="5" a="1"/>
  <c r="EL36" i="5" s="1"/>
  <c r="EM36" i="5" a="1"/>
  <c r="EM36" i="5" s="1"/>
  <c r="EN36" i="5" a="1"/>
  <c r="EN36" i="5" s="1"/>
  <c r="EO36" i="5" a="1"/>
  <c r="EO36" i="5" s="1"/>
  <c r="EP36" i="5" a="1"/>
  <c r="EP36" i="5" s="1"/>
  <c r="EQ36" i="5" a="1"/>
  <c r="EQ36" i="5" s="1"/>
  <c r="ER36" i="5" a="1"/>
  <c r="ER36" i="5" s="1"/>
  <c r="ES36" i="5" a="1"/>
  <c r="ES36" i="5" s="1"/>
  <c r="ET36" i="5" a="1"/>
  <c r="ET36" i="5" s="1"/>
  <c r="EU36" i="5" a="1"/>
  <c r="EU36" i="5" s="1"/>
  <c r="EV36" i="5" a="1"/>
  <c r="EV36" i="5" s="1"/>
  <c r="EW36" i="5" a="1"/>
  <c r="EW36" i="5" s="1"/>
  <c r="EX36" i="5" a="1"/>
  <c r="EX36" i="5" s="1"/>
  <c r="EY36" i="5" a="1"/>
  <c r="EY36" i="5" s="1"/>
  <c r="EZ36" i="5" a="1"/>
  <c r="EZ36" i="5" s="1"/>
  <c r="FA36" i="5" a="1"/>
  <c r="FA36" i="5" s="1"/>
  <c r="FB36" i="5" a="1"/>
  <c r="FB36" i="5" s="1"/>
  <c r="FC36" i="5" a="1"/>
  <c r="FC36" i="5" s="1"/>
  <c r="FD36" i="5" a="1"/>
  <c r="FD36" i="5" s="1"/>
  <c r="FE36" i="5" a="1"/>
  <c r="FE36" i="5" s="1"/>
  <c r="FF36" i="5" a="1"/>
  <c r="FF36" i="5" s="1"/>
  <c r="FG36" i="5" a="1"/>
  <c r="FG36" i="5" s="1"/>
  <c r="FH36" i="5" a="1"/>
  <c r="FH36" i="5" s="1"/>
  <c r="FI36" i="5" a="1"/>
  <c r="FI36" i="5" s="1"/>
  <c r="FJ36" i="5" a="1"/>
  <c r="FJ36" i="5" s="1"/>
  <c r="FK36" i="5" a="1"/>
  <c r="FK36" i="5" s="1"/>
  <c r="FL36" i="5" a="1"/>
  <c r="FL36" i="5" s="1"/>
  <c r="FM36" i="5" a="1"/>
  <c r="FM36" i="5" s="1"/>
  <c r="FN36" i="5" a="1"/>
  <c r="FN36" i="5" s="1"/>
  <c r="FO36" i="5" a="1"/>
  <c r="FO36" i="5" s="1"/>
  <c r="EH10" i="5"/>
  <c r="EH9" i="5"/>
  <c r="EH209" i="5" s="1" a="1"/>
  <c r="EH209" i="5" s="1"/>
  <c r="CR209" i="5" s="1"/>
  <c r="CP10" i="5"/>
  <c r="CP9" i="5"/>
  <c r="AJ340" i="5"/>
  <c r="AI340" i="5"/>
  <c r="AH340" i="5"/>
  <c r="AG340" i="5"/>
  <c r="AF340" i="5"/>
  <c r="AE340" i="5"/>
  <c r="AD340" i="5"/>
  <c r="AC340" i="5"/>
  <c r="AB340" i="5"/>
  <c r="AA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AJ339" i="5"/>
  <c r="AI339" i="5"/>
  <c r="AH339" i="5"/>
  <c r="AG339" i="5"/>
  <c r="AF339" i="5"/>
  <c r="AE339" i="5"/>
  <c r="AD339" i="5"/>
  <c r="AC339" i="5"/>
  <c r="AB339" i="5"/>
  <c r="AA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AJ338" i="5"/>
  <c r="AI338" i="5"/>
  <c r="AH338" i="5"/>
  <c r="AG338" i="5"/>
  <c r="AF338" i="5"/>
  <c r="AE338" i="5"/>
  <c r="AD338" i="5"/>
  <c r="AC338" i="5"/>
  <c r="AB338" i="5"/>
  <c r="AA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AK331" i="5"/>
  <c r="AK330" i="5"/>
  <c r="AK329" i="5"/>
  <c r="AK328" i="5"/>
  <c r="AK327" i="5"/>
  <c r="AK326" i="5"/>
  <c r="AK325" i="5"/>
  <c r="AK324" i="5"/>
  <c r="AK323" i="5"/>
  <c r="AK322" i="5"/>
  <c r="AK321" i="5"/>
  <c r="AK320" i="5"/>
  <c r="AK319" i="5"/>
  <c r="AK318" i="5"/>
  <c r="AK317" i="5"/>
  <c r="AK316" i="5"/>
  <c r="AK315" i="5"/>
  <c r="AK314" i="5"/>
  <c r="AK313" i="5"/>
  <c r="AK312" i="5"/>
  <c r="AK311" i="5"/>
  <c r="AK310" i="5"/>
  <c r="AK309" i="5"/>
  <c r="AK308" i="5"/>
  <c r="AK307" i="5"/>
  <c r="AK306" i="5"/>
  <c r="AK305" i="5"/>
  <c r="AK304" i="5"/>
  <c r="AK303" i="5"/>
  <c r="AK302" i="5"/>
  <c r="AK301" i="5"/>
  <c r="AK300" i="5"/>
  <c r="AK299" i="5"/>
  <c r="AK298" i="5"/>
  <c r="AK297" i="5"/>
  <c r="AK296" i="5"/>
  <c r="AK295" i="5"/>
  <c r="AK294" i="5"/>
  <c r="AK293" i="5"/>
  <c r="AK292" i="5"/>
  <c r="AK291" i="5"/>
  <c r="AK290" i="5"/>
  <c r="AK289" i="5"/>
  <c r="AK288" i="5"/>
  <c r="AK287" i="5"/>
  <c r="AK286" i="5"/>
  <c r="AK285" i="5"/>
  <c r="AK284" i="5"/>
  <c r="AK283" i="5"/>
  <c r="AK282" i="5"/>
  <c r="AK281" i="5"/>
  <c r="AK280" i="5"/>
  <c r="AK279" i="5"/>
  <c r="AK278" i="5"/>
  <c r="AK277" i="5"/>
  <c r="AK276" i="5"/>
  <c r="AK275" i="5"/>
  <c r="AK274" i="5"/>
  <c r="AK273" i="5"/>
  <c r="AK272" i="5"/>
  <c r="AK271" i="5"/>
  <c r="AK270" i="5"/>
  <c r="AK269" i="5"/>
  <c r="AK268" i="5"/>
  <c r="AK267" i="5"/>
  <c r="AK266" i="5"/>
  <c r="AK265" i="5"/>
  <c r="AK264" i="5"/>
  <c r="AK263" i="5"/>
  <c r="AK262" i="5"/>
  <c r="AK261" i="5"/>
  <c r="AK260" i="5"/>
  <c r="AK259" i="5"/>
  <c r="AK258" i="5"/>
  <c r="AK257" i="5"/>
  <c r="AK256" i="5"/>
  <c r="AK255" i="5"/>
  <c r="AK254" i="5"/>
  <c r="AK253" i="5"/>
  <c r="AK252" i="5"/>
  <c r="AK251" i="5"/>
  <c r="AK250" i="5"/>
  <c r="AK249" i="5"/>
  <c r="AK248" i="5"/>
  <c r="AK247" i="5"/>
  <c r="AK246" i="5"/>
  <c r="AK245" i="5"/>
  <c r="AK244" i="5"/>
  <c r="AK243" i="5"/>
  <c r="AK242" i="5"/>
  <c r="AK241" i="5"/>
  <c r="AK240" i="5"/>
  <c r="AK239" i="5"/>
  <c r="AK238" i="5"/>
  <c r="AK237" i="5"/>
  <c r="AK236" i="5"/>
  <c r="AK235" i="5"/>
  <c r="AK234" i="5"/>
  <c r="AK233" i="5"/>
  <c r="AK232" i="5"/>
  <c r="AK231" i="5"/>
  <c r="AK230" i="5"/>
  <c r="AK229" i="5"/>
  <c r="AK228" i="5"/>
  <c r="AK227" i="5"/>
  <c r="AK226" i="5"/>
  <c r="AK225" i="5"/>
  <c r="AK224" i="5"/>
  <c r="AK223" i="5"/>
  <c r="AK222" i="5"/>
  <c r="AK221" i="5"/>
  <c r="AK220" i="5"/>
  <c r="AK219" i="5"/>
  <c r="AK218" i="5"/>
  <c r="AK217" i="5"/>
  <c r="AK216" i="5"/>
  <c r="AK215" i="5"/>
  <c r="AK214" i="5"/>
  <c r="AK213" i="5"/>
  <c r="AK212" i="5"/>
  <c r="AK211" i="5"/>
  <c r="AK210" i="5"/>
  <c r="AK209" i="5"/>
  <c r="AK208" i="5"/>
  <c r="AK207" i="5"/>
  <c r="AK206" i="5"/>
  <c r="AK205" i="5"/>
  <c r="AK204" i="5"/>
  <c r="AK203" i="5"/>
  <c r="AK202" i="5"/>
  <c r="AK201" i="5"/>
  <c r="AK200" i="5"/>
  <c r="AK199" i="5"/>
  <c r="AK198" i="5"/>
  <c r="AK197" i="5"/>
  <c r="AK196" i="5"/>
  <c r="AK195" i="5"/>
  <c r="AK194" i="5"/>
  <c r="AK193" i="5"/>
  <c r="AK192" i="5"/>
  <c r="AK191" i="5"/>
  <c r="AK190" i="5"/>
  <c r="AK189" i="5"/>
  <c r="AK188" i="5"/>
  <c r="AK187" i="5"/>
  <c r="AK186" i="5"/>
  <c r="AK185" i="5"/>
  <c r="AK184" i="5"/>
  <c r="AK183" i="5"/>
  <c r="AK182" i="5"/>
  <c r="AK181" i="5"/>
  <c r="AK180" i="5"/>
  <c r="AK179" i="5"/>
  <c r="AK178" i="5"/>
  <c r="AK177" i="5"/>
  <c r="AK176" i="5"/>
  <c r="AK175" i="5"/>
  <c r="AK174" i="5"/>
  <c r="AK173" i="5"/>
  <c r="AK172" i="5"/>
  <c r="AK171" i="5"/>
  <c r="AK170" i="5"/>
  <c r="AK169" i="5"/>
  <c r="AK168" i="5"/>
  <c r="AK167" i="5"/>
  <c r="AK166" i="5"/>
  <c r="AK165" i="5"/>
  <c r="AK164" i="5"/>
  <c r="AK163" i="5"/>
  <c r="AK162" i="5"/>
  <c r="AK161" i="5"/>
  <c r="AK160" i="5"/>
  <c r="AK159" i="5"/>
  <c r="AK158" i="5"/>
  <c r="AK157" i="5"/>
  <c r="AK156" i="5"/>
  <c r="AK155" i="5"/>
  <c r="AK154" i="5"/>
  <c r="AK153" i="5"/>
  <c r="AK152" i="5"/>
  <c r="AK151" i="5"/>
  <c r="AK150" i="5"/>
  <c r="AK149" i="5"/>
  <c r="AK148" i="5"/>
  <c r="AK147" i="5"/>
  <c r="AK146" i="5"/>
  <c r="AK145" i="5"/>
  <c r="AK144" i="5"/>
  <c r="AK143" i="5"/>
  <c r="AK142" i="5"/>
  <c r="AK141" i="5"/>
  <c r="AK140" i="5"/>
  <c r="AK139" i="5"/>
  <c r="AK138" i="5"/>
  <c r="AK137" i="5"/>
  <c r="AK136" i="5"/>
  <c r="AK135" i="5"/>
  <c r="AK134" i="5"/>
  <c r="AK133" i="5"/>
  <c r="AK132" i="5"/>
  <c r="AK131" i="5"/>
  <c r="AK130" i="5"/>
  <c r="AK129" i="5"/>
  <c r="AK128" i="5"/>
  <c r="AK127" i="5"/>
  <c r="AK126" i="5"/>
  <c r="AK125" i="5"/>
  <c r="AK124" i="5"/>
  <c r="AK123" i="5"/>
  <c r="AK122" i="5"/>
  <c r="AK121" i="5"/>
  <c r="AK120" i="5"/>
  <c r="AK119" i="5"/>
  <c r="AK118" i="5"/>
  <c r="AK117" i="5"/>
  <c r="AK116" i="5"/>
  <c r="AK115" i="5"/>
  <c r="AK114" i="5"/>
  <c r="AK113" i="5"/>
  <c r="AK112" i="5"/>
  <c r="AK111" i="5"/>
  <c r="AK110" i="5"/>
  <c r="AK109" i="5"/>
  <c r="AK108" i="5"/>
  <c r="AK107" i="5"/>
  <c r="AK106" i="5"/>
  <c r="AK105" i="5"/>
  <c r="AK104" i="5"/>
  <c r="AK103" i="5"/>
  <c r="AK102" i="5"/>
  <c r="AK101" i="5"/>
  <c r="AK100" i="5"/>
  <c r="AK99" i="5"/>
  <c r="AK98" i="5"/>
  <c r="AK97" i="5"/>
  <c r="AK96" i="5"/>
  <c r="AK95" i="5"/>
  <c r="AK94" i="5"/>
  <c r="AK93" i="5"/>
  <c r="AK92" i="5"/>
  <c r="AK91" i="5"/>
  <c r="AK90" i="5"/>
  <c r="AK89" i="5"/>
  <c r="AK88" i="5"/>
  <c r="AK87" i="5"/>
  <c r="AK86" i="5"/>
  <c r="AK85" i="5"/>
  <c r="AK84" i="5"/>
  <c r="AK83" i="5"/>
  <c r="AK82" i="5"/>
  <c r="AK81" i="5"/>
  <c r="AK80" i="5"/>
  <c r="AK79" i="5"/>
  <c r="AK78" i="5"/>
  <c r="AK77" i="5"/>
  <c r="AK76" i="5"/>
  <c r="AK75" i="5"/>
  <c r="AK74" i="5"/>
  <c r="AK73" i="5"/>
  <c r="AK72" i="5"/>
  <c r="AK71" i="5"/>
  <c r="AK70" i="5"/>
  <c r="AK69" i="5"/>
  <c r="AK68" i="5"/>
  <c r="AK67" i="5"/>
  <c r="AK66" i="5"/>
  <c r="AK65" i="5"/>
  <c r="AK64" i="5"/>
  <c r="AK63" i="5"/>
  <c r="AK62" i="5"/>
  <c r="AK61" i="5"/>
  <c r="AK60" i="5"/>
  <c r="AK58" i="5"/>
  <c r="AK57" i="5"/>
  <c r="AK56" i="5"/>
  <c r="AK55" i="5"/>
  <c r="AK54" i="5"/>
  <c r="AK53" i="5"/>
  <c r="AK52" i="5"/>
  <c r="AK51" i="5"/>
  <c r="AK50" i="5"/>
  <c r="AK49" i="5"/>
  <c r="AK48" i="5"/>
  <c r="AK47" i="5"/>
  <c r="AK46" i="5"/>
  <c r="AK45" i="5"/>
  <c r="AK44" i="5"/>
  <c r="AK43" i="5"/>
  <c r="AK42" i="5"/>
  <c r="AK41" i="5"/>
  <c r="AK40" i="5"/>
  <c r="AK39" i="5"/>
  <c r="AK38" i="5"/>
  <c r="AK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K36" i="5"/>
  <c r="AJ32" i="5"/>
  <c r="AI32" i="5"/>
  <c r="AH32" i="5"/>
  <c r="AG32" i="5"/>
  <c r="AF32" i="5"/>
  <c r="AE32" i="5"/>
  <c r="AD32" i="5"/>
  <c r="AC32" i="5"/>
  <c r="AB32" i="5"/>
  <c r="AA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AH31" i="5"/>
  <c r="AG31" i="5"/>
  <c r="AF31" i="5"/>
  <c r="AE31" i="5"/>
  <c r="AC31" i="5"/>
  <c r="Z31" i="5"/>
  <c r="Y31" i="5"/>
  <c r="X31" i="5"/>
  <c r="W31" i="5"/>
  <c r="V31" i="5"/>
  <c r="U31" i="5"/>
  <c r="T31" i="5"/>
  <c r="Q31" i="5"/>
  <c r="P31" i="5"/>
  <c r="O31" i="5"/>
  <c r="N31" i="5"/>
  <c r="M31" i="5"/>
  <c r="CV209" i="5" l="1"/>
  <c r="DR209" i="5"/>
  <c r="DF209" i="5"/>
  <c r="DK209" i="5"/>
  <c r="DS209" i="5"/>
  <c r="CX209" i="5"/>
  <c r="CY209" i="5"/>
  <c r="DJ209" i="5"/>
  <c r="DT209" i="5"/>
  <c r="DE209" i="5"/>
  <c r="DM209" i="5"/>
  <c r="DD209" i="5"/>
  <c r="CQ209" i="5"/>
  <c r="CW209" i="5"/>
  <c r="DC209" i="5"/>
  <c r="DI209" i="5"/>
  <c r="DO209" i="5"/>
  <c r="DU209" i="5"/>
  <c r="CS209" i="5"/>
  <c r="CZ209" i="5"/>
  <c r="DG209" i="5"/>
  <c r="DN209" i="5"/>
  <c r="CT209" i="5"/>
  <c r="DA209" i="5"/>
  <c r="DH209" i="5"/>
  <c r="DP209" i="5"/>
  <c r="DQ209" i="5"/>
  <c r="CU209" i="5"/>
  <c r="DL209" i="5"/>
  <c r="DB209" i="5"/>
  <c r="CP209" i="5"/>
  <c r="DV209" i="5" s="1"/>
  <c r="EH140" i="5" a="1"/>
  <c r="EH140" i="5" s="1"/>
  <c r="EH284" i="5" a="1"/>
  <c r="EH284" i="5" s="1"/>
  <c r="EH269" i="5" a="1"/>
  <c r="EH269" i="5" s="1"/>
  <c r="EH263" i="5" a="1"/>
  <c r="EH263" i="5" s="1"/>
  <c r="EH212" i="5" a="1"/>
  <c r="EH212" i="5" s="1"/>
  <c r="EH183" i="5" a="1"/>
  <c r="EH183" i="5" s="1"/>
  <c r="EH156" i="5" a="1"/>
  <c r="EH156" i="5" s="1"/>
  <c r="EH302" i="5" a="1"/>
  <c r="EH302" i="5" s="1"/>
  <c r="EH235" i="5" a="1"/>
  <c r="EH235" i="5" s="1"/>
  <c r="EH148" i="5" a="1"/>
  <c r="EH148" i="5" s="1"/>
  <c r="EH305" i="5" a="1"/>
  <c r="EH305" i="5" s="1"/>
  <c r="EH300" i="5" a="1"/>
  <c r="EH300" i="5" s="1"/>
  <c r="EH297" i="5" a="1"/>
  <c r="EH297" i="5" s="1"/>
  <c r="EH294" i="5" a="1"/>
  <c r="EH294" i="5" s="1"/>
  <c r="EH291" i="5" a="1"/>
  <c r="EH291" i="5" s="1"/>
  <c r="EH288" i="5" a="1"/>
  <c r="EH288" i="5" s="1"/>
  <c r="EH285" i="5" a="1"/>
  <c r="EH285" i="5" s="1"/>
  <c r="EH282" i="5" a="1"/>
  <c r="EH282" i="5" s="1"/>
  <c r="EH279" i="5" a="1"/>
  <c r="EH279" i="5" s="1"/>
  <c r="EH276" i="5" a="1"/>
  <c r="EH276" i="5" s="1"/>
  <c r="EH273" i="5" a="1"/>
  <c r="EH273" i="5" s="1"/>
  <c r="EH270" i="5" a="1"/>
  <c r="EH270" i="5" s="1"/>
  <c r="EH267" i="5" a="1"/>
  <c r="EH267" i="5" s="1"/>
  <c r="EH264" i="5" a="1"/>
  <c r="EH264" i="5" s="1"/>
  <c r="EH261" i="5" a="1"/>
  <c r="EH261" i="5" s="1"/>
  <c r="EH258" i="5" a="1"/>
  <c r="EH258" i="5" s="1"/>
  <c r="EH255" i="5" a="1"/>
  <c r="EH255" i="5" s="1"/>
  <c r="EH250" i="5" a="1"/>
  <c r="EH250" i="5" s="1"/>
  <c r="EH238" i="5" a="1"/>
  <c r="EH238" i="5" s="1"/>
  <c r="EH222" i="5" a="1"/>
  <c r="EH222" i="5" s="1"/>
  <c r="EH198" i="5" a="1"/>
  <c r="EH198" i="5" s="1"/>
  <c r="EH185" i="5" a="1"/>
  <c r="EH185" i="5" s="1"/>
  <c r="EH176" i="5" a="1"/>
  <c r="EH176" i="5" s="1"/>
  <c r="EH170" i="5" a="1"/>
  <c r="EH170" i="5" s="1"/>
  <c r="EH167" i="5" a="1"/>
  <c r="EH167" i="5" s="1"/>
  <c r="EH139" i="5" a="1"/>
  <c r="EH139" i="5" s="1"/>
  <c r="EH109" i="5" a="1"/>
  <c r="EH109" i="5" s="1"/>
  <c r="EH303" i="5" a="1"/>
  <c r="EH303" i="5" s="1"/>
  <c r="EH299" i="5" a="1"/>
  <c r="EH299" i="5" s="1"/>
  <c r="EH287" i="5" a="1"/>
  <c r="EH287" i="5" s="1"/>
  <c r="EH260" i="5" a="1"/>
  <c r="EH260" i="5" s="1"/>
  <c r="EH325" i="5" a="1"/>
  <c r="EH325" i="5" s="1"/>
  <c r="EH224" i="5" a="1"/>
  <c r="EH224" i="5" s="1"/>
  <c r="EH191" i="5" a="1"/>
  <c r="EH191" i="5" s="1"/>
  <c r="EH327" i="5" a="1"/>
  <c r="EH327" i="5" s="1"/>
  <c r="EH334" i="5" a="1"/>
  <c r="EH334" i="5" s="1"/>
  <c r="EH332" i="5" a="1"/>
  <c r="EH332" i="5" s="1"/>
  <c r="EH322" i="5" a="1"/>
  <c r="EH322" i="5" s="1"/>
  <c r="EH312" i="5" a="1"/>
  <c r="EH312" i="5" s="1"/>
  <c r="EH310" i="5" a="1"/>
  <c r="EH310" i="5" s="1"/>
  <c r="EH301" i="5" a="1"/>
  <c r="EH301" i="5" s="1"/>
  <c r="EH253" i="5" a="1"/>
  <c r="EH253" i="5" s="1"/>
  <c r="EH244" i="5" a="1"/>
  <c r="EH244" i="5" s="1"/>
  <c r="EH241" i="5" a="1"/>
  <c r="EH241" i="5" s="1"/>
  <c r="EH227" i="5" a="1"/>
  <c r="EH227" i="5" s="1"/>
  <c r="EH197" i="5" a="1"/>
  <c r="EH197" i="5" s="1"/>
  <c r="EH193" i="5" a="1"/>
  <c r="EH193" i="5" s="1"/>
  <c r="EH177" i="5" a="1"/>
  <c r="EH177" i="5" s="1"/>
  <c r="EH165" i="5" a="1"/>
  <c r="EH165" i="5" s="1"/>
  <c r="EH130" i="5" a="1"/>
  <c r="EH130" i="5" s="1"/>
  <c r="EH108" i="5" a="1"/>
  <c r="EH108" i="5" s="1"/>
  <c r="EH321" i="5" a="1"/>
  <c r="EH321" i="5" s="1"/>
  <c r="EH296" i="5" a="1"/>
  <c r="EH296" i="5" s="1"/>
  <c r="EH290" i="5" a="1"/>
  <c r="EH290" i="5" s="1"/>
  <c r="EH272" i="5" a="1"/>
  <c r="EH272" i="5" s="1"/>
  <c r="EH257" i="5" a="1"/>
  <c r="EH257" i="5" s="1"/>
  <c r="EH237" i="5" a="1"/>
  <c r="EH237" i="5" s="1"/>
  <c r="EH171" i="5" a="1"/>
  <c r="EH171" i="5" s="1"/>
  <c r="EH36" i="5" a="1"/>
  <c r="EH36" i="5" s="1"/>
  <c r="EH329" i="5" a="1"/>
  <c r="EH329" i="5" s="1"/>
  <c r="EH309" i="5" a="1"/>
  <c r="EH309" i="5" s="1"/>
  <c r="EH240" i="5" a="1"/>
  <c r="EH240" i="5" s="1"/>
  <c r="EH219" i="5" a="1"/>
  <c r="EH219" i="5" s="1"/>
  <c r="EH320" i="5" a="1"/>
  <c r="EH320" i="5" s="1"/>
  <c r="EH317" i="5" a="1"/>
  <c r="EH317" i="5" s="1"/>
  <c r="EH314" i="5" a="1"/>
  <c r="EH314" i="5" s="1"/>
  <c r="EH330" i="5" a="1"/>
  <c r="EH330" i="5" s="1"/>
  <c r="EH326" i="5" a="1"/>
  <c r="EH326" i="5" s="1"/>
  <c r="EH324" i="5" a="1"/>
  <c r="EH324" i="5" s="1"/>
  <c r="EH319" i="5" a="1"/>
  <c r="EH319" i="5" s="1"/>
  <c r="EH308" i="5" a="1"/>
  <c r="EH308" i="5" s="1"/>
  <c r="EH304" i="5" a="1"/>
  <c r="EH304" i="5" s="1"/>
  <c r="EH298" i="5" a="1"/>
  <c r="EH298" i="5" s="1"/>
  <c r="EH295" i="5" a="1"/>
  <c r="EH295" i="5" s="1"/>
  <c r="EH292" i="5" a="1"/>
  <c r="EH292" i="5" s="1"/>
  <c r="EH289" i="5" a="1"/>
  <c r="EH289" i="5" s="1"/>
  <c r="EH286" i="5" a="1"/>
  <c r="EH286" i="5" s="1"/>
  <c r="EH283" i="5" a="1"/>
  <c r="EH283" i="5" s="1"/>
  <c r="EH280" i="5" a="1"/>
  <c r="EH280" i="5" s="1"/>
  <c r="EH277" i="5" a="1"/>
  <c r="EH277" i="5" s="1"/>
  <c r="EH274" i="5" a="1"/>
  <c r="EH274" i="5" s="1"/>
  <c r="EH271" i="5" a="1"/>
  <c r="EH271" i="5" s="1"/>
  <c r="EH268" i="5" a="1"/>
  <c r="EH268" i="5" s="1"/>
  <c r="EH265" i="5" a="1"/>
  <c r="EH265" i="5" s="1"/>
  <c r="EH262" i="5" a="1"/>
  <c r="EH262" i="5" s="1"/>
  <c r="EH259" i="5" a="1"/>
  <c r="EH259" i="5" s="1"/>
  <c r="EH256" i="5" a="1"/>
  <c r="EH256" i="5" s="1"/>
  <c r="EH248" i="5" a="1"/>
  <c r="EH248" i="5" s="1"/>
  <c r="EH333" i="5" a="1"/>
  <c r="EH333" i="5" s="1"/>
  <c r="EH323" i="5" a="1"/>
  <c r="EH323" i="5" s="1"/>
  <c r="EH318" i="5" a="1"/>
  <c r="EH318" i="5" s="1"/>
  <c r="EH311" i="5" a="1"/>
  <c r="EH311" i="5" s="1"/>
  <c r="EH293" i="5" a="1"/>
  <c r="EH293" i="5" s="1"/>
  <c r="EH281" i="5" a="1"/>
  <c r="EH281" i="5" s="1"/>
  <c r="EH278" i="5" a="1"/>
  <c r="EH278" i="5" s="1"/>
  <c r="EH275" i="5" a="1"/>
  <c r="EH275" i="5" s="1"/>
  <c r="EH266" i="5" a="1"/>
  <c r="EH266" i="5" s="1"/>
  <c r="EH246" i="5" a="1"/>
  <c r="EH246" i="5" s="1"/>
  <c r="EH221" i="5" a="1"/>
  <c r="EH221" i="5" s="1"/>
  <c r="EH331" i="5" a="1"/>
  <c r="EH331" i="5" s="1"/>
  <c r="EH316" i="5" a="1"/>
  <c r="EH316" i="5" s="1"/>
  <c r="EH307" i="5" a="1"/>
  <c r="EH307" i="5" s="1"/>
  <c r="EH252" i="5" a="1"/>
  <c r="EH252" i="5" s="1"/>
  <c r="EH166" i="5" a="1"/>
  <c r="EH166" i="5" s="1"/>
  <c r="EH37" i="5" a="1"/>
  <c r="EH37" i="5" s="1"/>
  <c r="EH41" i="5" a="1"/>
  <c r="EH41" i="5" s="1"/>
  <c r="EH42" i="5" a="1"/>
  <c r="EH42" i="5" s="1"/>
  <c r="EH43" i="5" a="1"/>
  <c r="EH43" i="5" s="1"/>
  <c r="EH49" i="5" a="1"/>
  <c r="EH49" i="5" s="1"/>
  <c r="EH54" i="5" a="1"/>
  <c r="EH54" i="5" s="1"/>
  <c r="EH61" i="5" a="1"/>
  <c r="EH61" i="5" s="1"/>
  <c r="EH63" i="5" a="1"/>
  <c r="EH63" i="5" s="1"/>
  <c r="EH70" i="5" a="1"/>
  <c r="EH70" i="5" s="1"/>
  <c r="EH72" i="5" a="1"/>
  <c r="EH72" i="5" s="1"/>
  <c r="EH44" i="5" a="1"/>
  <c r="EH44" i="5" s="1"/>
  <c r="EH46" i="5" a="1"/>
  <c r="EH46" i="5" s="1"/>
  <c r="EH48" i="5" a="1"/>
  <c r="EH48" i="5" s="1"/>
  <c r="EH51" i="5" a="1"/>
  <c r="EH51" i="5" s="1"/>
  <c r="EH53" i="5" a="1"/>
  <c r="EH53" i="5" s="1"/>
  <c r="EH60" i="5" a="1"/>
  <c r="EH60" i="5" s="1"/>
  <c r="EH69" i="5" a="1"/>
  <c r="EH69" i="5" s="1"/>
  <c r="EH40" i="5" a="1"/>
  <c r="EH40" i="5" s="1"/>
  <c r="EH45" i="5" a="1"/>
  <c r="EH45" i="5" s="1"/>
  <c r="EH50" i="5" a="1"/>
  <c r="EH50" i="5" s="1"/>
  <c r="EH56" i="5" a="1"/>
  <c r="EH56" i="5" s="1"/>
  <c r="EH59" i="5" a="1"/>
  <c r="EH59" i="5" s="1"/>
  <c r="EH68" i="5" a="1"/>
  <c r="EH68" i="5" s="1"/>
  <c r="EH81" i="5" a="1"/>
  <c r="EH81" i="5" s="1"/>
  <c r="EH84" i="5" a="1"/>
  <c r="EH84" i="5" s="1"/>
  <c r="EH88" i="5" a="1"/>
  <c r="EH88" i="5" s="1"/>
  <c r="EH90" i="5" a="1"/>
  <c r="EH90" i="5" s="1"/>
  <c r="EH98" i="5" a="1"/>
  <c r="EH98" i="5" s="1"/>
  <c r="EH102" i="5" a="1"/>
  <c r="EH102" i="5" s="1"/>
  <c r="EH106" i="5" a="1"/>
  <c r="EH106" i="5" s="1"/>
  <c r="EH38" i="5" a="1"/>
  <c r="EH38" i="5" s="1"/>
  <c r="EH39" i="5" a="1"/>
  <c r="EH39" i="5" s="1"/>
  <c r="EH65" i="5" a="1"/>
  <c r="EH65" i="5" s="1"/>
  <c r="EH75" i="5" a="1"/>
  <c r="EH75" i="5" s="1"/>
  <c r="EH77" i="5" a="1"/>
  <c r="EH77" i="5" s="1"/>
  <c r="EH52" i="5" a="1"/>
  <c r="EH52" i="5" s="1"/>
  <c r="EH57" i="5" a="1"/>
  <c r="EH57" i="5" s="1"/>
  <c r="EH66" i="5" a="1"/>
  <c r="EH66" i="5" s="1"/>
  <c r="EH85" i="5" a="1"/>
  <c r="EH85" i="5" s="1"/>
  <c r="EH87" i="5" a="1"/>
  <c r="EH87" i="5" s="1"/>
  <c r="EH89" i="5" a="1"/>
  <c r="EH89" i="5" s="1"/>
  <c r="EH99" i="5" a="1"/>
  <c r="EH99" i="5" s="1"/>
  <c r="EH107" i="5" a="1"/>
  <c r="EH107" i="5" s="1"/>
  <c r="EH55" i="5" a="1"/>
  <c r="EH55" i="5" s="1"/>
  <c r="EH64" i="5" a="1"/>
  <c r="EH64" i="5" s="1"/>
  <c r="EH73" i="5" a="1"/>
  <c r="EH73" i="5" s="1"/>
  <c r="EH76" i="5" a="1"/>
  <c r="EH76" i="5" s="1"/>
  <c r="EH91" i="5" a="1"/>
  <c r="EH91" i="5" s="1"/>
  <c r="EH96" i="5" a="1"/>
  <c r="EH96" i="5" s="1"/>
  <c r="EH101" i="5" a="1"/>
  <c r="EH101" i="5" s="1"/>
  <c r="EH103" i="5" a="1"/>
  <c r="EH103" i="5" s="1"/>
  <c r="EH104" i="5" a="1"/>
  <c r="EH104" i="5" s="1"/>
  <c r="EH111" i="5" a="1"/>
  <c r="EH111" i="5" s="1"/>
  <c r="EH113" i="5" a="1"/>
  <c r="EH113" i="5" s="1"/>
  <c r="EH74" i="5" a="1"/>
  <c r="EH74" i="5" s="1"/>
  <c r="EH82" i="5" a="1"/>
  <c r="EH82" i="5" s="1"/>
  <c r="EH95" i="5" a="1"/>
  <c r="EH95" i="5" s="1"/>
  <c r="EH100" i="5" a="1"/>
  <c r="EH100" i="5" s="1"/>
  <c r="EH115" i="5" a="1"/>
  <c r="EH115" i="5" s="1"/>
  <c r="EH58" i="5" a="1"/>
  <c r="EH58" i="5" s="1"/>
  <c r="EH62" i="5" a="1"/>
  <c r="EH62" i="5" s="1"/>
  <c r="EH67" i="5" a="1"/>
  <c r="EH67" i="5" s="1"/>
  <c r="EH71" i="5" a="1"/>
  <c r="EH71" i="5" s="1"/>
  <c r="EH79" i="5" a="1"/>
  <c r="EH79" i="5" s="1"/>
  <c r="EH83" i="5" a="1"/>
  <c r="EH83" i="5" s="1"/>
  <c r="EH86" i="5" a="1"/>
  <c r="EH86" i="5" s="1"/>
  <c r="EH93" i="5" a="1"/>
  <c r="EH93" i="5" s="1"/>
  <c r="EH105" i="5" a="1"/>
  <c r="EH105" i="5" s="1"/>
  <c r="EH117" i="5" a="1"/>
  <c r="EH117" i="5" s="1"/>
  <c r="EH120" i="5" a="1"/>
  <c r="EH120" i="5" s="1"/>
  <c r="EH47" i="5" a="1"/>
  <c r="EH47" i="5" s="1"/>
  <c r="EH78" i="5" a="1"/>
  <c r="EH78" i="5" s="1"/>
  <c r="EH92" i="5" a="1"/>
  <c r="EH92" i="5" s="1"/>
  <c r="EH110" i="5" a="1"/>
  <c r="EH110" i="5" s="1"/>
  <c r="EH112" i="5" a="1"/>
  <c r="EH112" i="5" s="1"/>
  <c r="EH114" i="5" a="1"/>
  <c r="EH114" i="5" s="1"/>
  <c r="EH119" i="5" a="1"/>
  <c r="EH119" i="5" s="1"/>
  <c r="EH122" i="5" a="1"/>
  <c r="EH122" i="5" s="1"/>
  <c r="EH129" i="5" a="1"/>
  <c r="EH129" i="5" s="1"/>
  <c r="EH131" i="5" a="1"/>
  <c r="EH131" i="5" s="1"/>
  <c r="EH138" i="5" a="1"/>
  <c r="EH138" i="5" s="1"/>
  <c r="EH142" i="5" a="1"/>
  <c r="EH142" i="5" s="1"/>
  <c r="EH149" i="5" a="1"/>
  <c r="EH149" i="5" s="1"/>
  <c r="EH158" i="5" a="1"/>
  <c r="EH158" i="5" s="1"/>
  <c r="EH124" i="5" a="1"/>
  <c r="EH124" i="5" s="1"/>
  <c r="EH133" i="5" a="1"/>
  <c r="EH133" i="5" s="1"/>
  <c r="EH146" i="5" a="1"/>
  <c r="EH146" i="5" s="1"/>
  <c r="EH151" i="5" a="1"/>
  <c r="EH151" i="5" s="1"/>
  <c r="EH153" i="5" a="1"/>
  <c r="EH153" i="5" s="1"/>
  <c r="EH128" i="5" a="1"/>
  <c r="EH128" i="5" s="1"/>
  <c r="EH134" i="5" a="1"/>
  <c r="EH134" i="5" s="1"/>
  <c r="EH135" i="5" a="1"/>
  <c r="EH135" i="5" s="1"/>
  <c r="EH136" i="5" a="1"/>
  <c r="EH136" i="5" s="1"/>
  <c r="EH141" i="5" a="1"/>
  <c r="EH141" i="5" s="1"/>
  <c r="EH143" i="5" a="1"/>
  <c r="EH143" i="5" s="1"/>
  <c r="EH147" i="5" a="1"/>
  <c r="EH147" i="5" s="1"/>
  <c r="EH154" i="5" a="1"/>
  <c r="EH154" i="5" s="1"/>
  <c r="EH172" i="5" a="1"/>
  <c r="EH172" i="5" s="1"/>
  <c r="EH174" i="5" a="1"/>
  <c r="EH174" i="5" s="1"/>
  <c r="EH179" i="5" a="1"/>
  <c r="EH179" i="5" s="1"/>
  <c r="EH181" i="5" a="1"/>
  <c r="EH181" i="5" s="1"/>
  <c r="EH190" i="5" a="1"/>
  <c r="EH190" i="5" s="1"/>
  <c r="EH199" i="5" a="1"/>
  <c r="EH199" i="5" s="1"/>
  <c r="EH202" i="5" a="1"/>
  <c r="EH202" i="5" s="1"/>
  <c r="EH205" i="5" a="1"/>
  <c r="EH205" i="5" s="1"/>
  <c r="EH208" i="5" a="1"/>
  <c r="EH208" i="5" s="1"/>
  <c r="EH211" i="5" a="1"/>
  <c r="EH211" i="5" s="1"/>
  <c r="EH214" i="5" a="1"/>
  <c r="EH214" i="5" s="1"/>
  <c r="EH217" i="5" a="1"/>
  <c r="EH217" i="5" s="1"/>
  <c r="EH220" i="5" a="1"/>
  <c r="EH220" i="5" s="1"/>
  <c r="EH223" i="5" a="1"/>
  <c r="EH223" i="5" s="1"/>
  <c r="EH226" i="5" a="1"/>
  <c r="EH226" i="5" s="1"/>
  <c r="EH229" i="5" a="1"/>
  <c r="EH229" i="5" s="1"/>
  <c r="EH232" i="5" a="1"/>
  <c r="EH232" i="5" s="1"/>
  <c r="EH97" i="5" a="1"/>
  <c r="EH97" i="5" s="1"/>
  <c r="EH125" i="5" a="1"/>
  <c r="EH125" i="5" s="1"/>
  <c r="EH126" i="5" a="1"/>
  <c r="EH126" i="5" s="1"/>
  <c r="EH127" i="5" a="1"/>
  <c r="EH127" i="5" s="1"/>
  <c r="EH144" i="5" a="1"/>
  <c r="EH144" i="5" s="1"/>
  <c r="EH159" i="5" a="1"/>
  <c r="EH159" i="5" s="1"/>
  <c r="EH163" i="5" a="1"/>
  <c r="EH163" i="5" s="1"/>
  <c r="EH173" i="5" a="1"/>
  <c r="EH173" i="5" s="1"/>
  <c r="EH188" i="5" a="1"/>
  <c r="EH188" i="5" s="1"/>
  <c r="EH192" i="5" a="1"/>
  <c r="EH192" i="5" s="1"/>
  <c r="EH195" i="5" a="1"/>
  <c r="EH195" i="5" s="1"/>
  <c r="EH196" i="5" a="1"/>
  <c r="EH196" i="5" s="1"/>
  <c r="EH80" i="5" a="1"/>
  <c r="EH80" i="5" s="1"/>
  <c r="EH94" i="5" a="1"/>
  <c r="EH94" i="5" s="1"/>
  <c r="EH118" i="5" a="1"/>
  <c r="EH118" i="5" s="1"/>
  <c r="EH132" i="5" a="1"/>
  <c r="EH132" i="5" s="1"/>
  <c r="EH152" i="5" a="1"/>
  <c r="EH152" i="5" s="1"/>
  <c r="EH161" i="5" a="1"/>
  <c r="EH161" i="5" s="1"/>
  <c r="EH178" i="5" a="1"/>
  <c r="EH178" i="5" s="1"/>
  <c r="EH187" i="5" a="1"/>
  <c r="EH187" i="5" s="1"/>
  <c r="EH194" i="5" a="1"/>
  <c r="EH194" i="5" s="1"/>
  <c r="EH200" i="5" a="1"/>
  <c r="EH200" i="5" s="1"/>
  <c r="EH201" i="5" a="1"/>
  <c r="EH201" i="5" s="1"/>
  <c r="EH204" i="5" a="1"/>
  <c r="EH204" i="5" s="1"/>
  <c r="EH207" i="5" a="1"/>
  <c r="EH207" i="5" s="1"/>
  <c r="EH210" i="5" a="1"/>
  <c r="EH210" i="5" s="1"/>
  <c r="EH213" i="5" a="1"/>
  <c r="EH213" i="5" s="1"/>
  <c r="EH162" i="5" a="1"/>
  <c r="EH162" i="5" s="1"/>
  <c r="EH164" i="5" a="1"/>
  <c r="EH164" i="5" s="1"/>
  <c r="EH182" i="5" a="1"/>
  <c r="EH182" i="5" s="1"/>
  <c r="EH184" i="5" a="1"/>
  <c r="EH184" i="5" s="1"/>
  <c r="EH186" i="5" a="1"/>
  <c r="EH186" i="5" s="1"/>
  <c r="EH189" i="5" a="1"/>
  <c r="EH189" i="5" s="1"/>
  <c r="EH218" i="5" a="1"/>
  <c r="EH218" i="5" s="1"/>
  <c r="EH231" i="5" a="1"/>
  <c r="EH231" i="5" s="1"/>
  <c r="EH243" i="5" a="1"/>
  <c r="EH243" i="5" s="1"/>
  <c r="EH137" i="5" a="1"/>
  <c r="EH137" i="5" s="1"/>
  <c r="EH145" i="5" a="1"/>
  <c r="EH145" i="5" s="1"/>
  <c r="EH155" i="5" a="1"/>
  <c r="EH155" i="5" s="1"/>
  <c r="EH157" i="5" a="1"/>
  <c r="EH157" i="5" s="1"/>
  <c r="EH180" i="5" a="1"/>
  <c r="EH180" i="5" s="1"/>
  <c r="EH206" i="5" a="1"/>
  <c r="EH206" i="5" s="1"/>
  <c r="EH215" i="5" a="1"/>
  <c r="EH215" i="5" s="1"/>
  <c r="EH228" i="5" a="1"/>
  <c r="EH228" i="5" s="1"/>
  <c r="EH233" i="5" a="1"/>
  <c r="EH233" i="5" s="1"/>
  <c r="EH236" i="5" a="1"/>
  <c r="EH236" i="5" s="1"/>
  <c r="EH239" i="5" a="1"/>
  <c r="EH239" i="5" s="1"/>
  <c r="EH242" i="5" a="1"/>
  <c r="EH242" i="5" s="1"/>
  <c r="EH245" i="5" a="1"/>
  <c r="EH245" i="5" s="1"/>
  <c r="EH247" i="5" a="1"/>
  <c r="EH247" i="5" s="1"/>
  <c r="EH251" i="5" a="1"/>
  <c r="EH251" i="5" s="1"/>
  <c r="EH254" i="5" a="1"/>
  <c r="EH254" i="5" s="1"/>
  <c r="EH121" i="5" a="1"/>
  <c r="EH121" i="5" s="1"/>
  <c r="EH150" i="5" a="1"/>
  <c r="EH150" i="5" s="1"/>
  <c r="EH168" i="5" a="1"/>
  <c r="EH168" i="5" s="1"/>
  <c r="EH169" i="5" a="1"/>
  <c r="EH169" i="5" s="1"/>
  <c r="EH175" i="5" a="1"/>
  <c r="EH175" i="5" s="1"/>
  <c r="EH225" i="5" a="1"/>
  <c r="EH225" i="5" s="1"/>
  <c r="EH230" i="5" a="1"/>
  <c r="EH230" i="5" s="1"/>
  <c r="EH249" i="5" a="1"/>
  <c r="EH249" i="5" s="1"/>
  <c r="EH335" i="5" a="1"/>
  <c r="EH335" i="5" s="1"/>
  <c r="EH328" i="5" a="1"/>
  <c r="EH328" i="5" s="1"/>
  <c r="EH315" i="5" a="1"/>
  <c r="EH315" i="5" s="1"/>
  <c r="EH313" i="5" a="1"/>
  <c r="EH313" i="5" s="1"/>
  <c r="EH306" i="5" a="1"/>
  <c r="EH306" i="5" s="1"/>
  <c r="EH234" i="5" a="1"/>
  <c r="EH234" i="5" s="1"/>
  <c r="EH216" i="5" a="1"/>
  <c r="EH216" i="5" s="1"/>
  <c r="EH203" i="5" a="1"/>
  <c r="EH203" i="5" s="1"/>
  <c r="EH160" i="5" a="1"/>
  <c r="EH160" i="5" s="1"/>
  <c r="EH123" i="5" a="1"/>
  <c r="EH123" i="5" s="1"/>
  <c r="EH116" i="5" a="1"/>
  <c r="EH116" i="5" s="1"/>
  <c r="AL273" i="5"/>
  <c r="AL232" i="5"/>
  <c r="AL50" i="5"/>
  <c r="AL74" i="5"/>
  <c r="AL208" i="5"/>
  <c r="AL92" i="5"/>
  <c r="AL45" i="5"/>
  <c r="AL91" i="5"/>
  <c r="AL161" i="5"/>
  <c r="AL48" i="5"/>
  <c r="AL95" i="5"/>
  <c r="AL169" i="5"/>
  <c r="AL49" i="5"/>
  <c r="AL102" i="5"/>
  <c r="AL267" i="5"/>
  <c r="AL41" i="5"/>
  <c r="AL190" i="5"/>
  <c r="AL39" i="5"/>
  <c r="AL43" i="5"/>
  <c r="AL112" i="5"/>
  <c r="AL113" i="5"/>
  <c r="AL288" i="5"/>
  <c r="AL325" i="5"/>
  <c r="AL36" i="5"/>
  <c r="AL96" i="5"/>
  <c r="AL258" i="5"/>
  <c r="AL317" i="5"/>
  <c r="AL54" i="5"/>
  <c r="AL318" i="5"/>
  <c r="AL284" i="5"/>
  <c r="AL166" i="5"/>
  <c r="AL156" i="5"/>
  <c r="AL133" i="5"/>
  <c r="AL120" i="5"/>
  <c r="AL97" i="5"/>
  <c r="AL40" i="5"/>
  <c r="AL285" i="5"/>
  <c r="AL82" i="5"/>
  <c r="AL73" i="5"/>
  <c r="AL65" i="5"/>
  <c r="AL56" i="5"/>
  <c r="AL302" i="5"/>
  <c r="AL122" i="5"/>
  <c r="AL61" i="5"/>
  <c r="AL59" i="5"/>
  <c r="AL60" i="5"/>
  <c r="AL62" i="5"/>
  <c r="AL80" i="5"/>
  <c r="AL81" i="5"/>
  <c r="AL83" i="5"/>
  <c r="AL126" i="5"/>
  <c r="AL127" i="5"/>
  <c r="AL135" i="5"/>
  <c r="AL160" i="5"/>
  <c r="AL162" i="5"/>
  <c r="AL165" i="5"/>
  <c r="AL185" i="5"/>
  <c r="AL189" i="5"/>
  <c r="AL191" i="5"/>
  <c r="AL199" i="5"/>
  <c r="AL200" i="5"/>
  <c r="AL286" i="5"/>
  <c r="AL293" i="5"/>
  <c r="AL312" i="5"/>
  <c r="AL111" i="5"/>
  <c r="AL119" i="5"/>
  <c r="AL244" i="5"/>
  <c r="AL251" i="5"/>
  <c r="AL257" i="5"/>
  <c r="AL263" i="5"/>
  <c r="AL55" i="5"/>
  <c r="AL66" i="5"/>
  <c r="AL89" i="5"/>
  <c r="AL104" i="5"/>
  <c r="AL72" i="5"/>
  <c r="AL79" i="5"/>
  <c r="AL88" i="5"/>
  <c r="AL98" i="5"/>
  <c r="AL99" i="5"/>
  <c r="AL103" i="5"/>
  <c r="AL108" i="5"/>
  <c r="AL239" i="5"/>
  <c r="AL256" i="5"/>
  <c r="AL327" i="5"/>
  <c r="AL46" i="5"/>
  <c r="AL51" i="5"/>
  <c r="AL52" i="5"/>
  <c r="AL71" i="5"/>
  <c r="AL76" i="5"/>
  <c r="AL77" i="5"/>
  <c r="AL84" i="5"/>
  <c r="AL107" i="5"/>
  <c r="AL114" i="5"/>
  <c r="AL124" i="5"/>
  <c r="AL129" i="5"/>
  <c r="AL141" i="5"/>
  <c r="AL142" i="5"/>
  <c r="AL144" i="5"/>
  <c r="AL146" i="5"/>
  <c r="AL193" i="5"/>
  <c r="AL204" i="5"/>
  <c r="AL205" i="5"/>
  <c r="AL180" i="5"/>
  <c r="AL187" i="5"/>
  <c r="AL209" i="5"/>
  <c r="AL222" i="5"/>
  <c r="AL236" i="5"/>
  <c r="AL261" i="5"/>
  <c r="AL307" i="5"/>
  <c r="AL308" i="5"/>
  <c r="AL328" i="5"/>
  <c r="AL170" i="5"/>
  <c r="AL47" i="5"/>
  <c r="AL57" i="5"/>
  <c r="AL58" i="5"/>
  <c r="AL63" i="5"/>
  <c r="AL64" i="5"/>
  <c r="AL70" i="5"/>
  <c r="AL78" i="5"/>
  <c r="AL93" i="5"/>
  <c r="AL94" i="5"/>
  <c r="AL106" i="5"/>
  <c r="AL110" i="5"/>
  <c r="AL130" i="5"/>
  <c r="AL167" i="5"/>
  <c r="AL177" i="5"/>
  <c r="AL196" i="5"/>
  <c r="AL214" i="5"/>
  <c r="AL219" i="5"/>
  <c r="AL220" i="5"/>
  <c r="AL249" i="5"/>
  <c r="AL268" i="5"/>
  <c r="AL300" i="5"/>
  <c r="AL309" i="5"/>
  <c r="AL172" i="5"/>
  <c r="AL37" i="5"/>
  <c r="AL44" i="5"/>
  <c r="AL326" i="5"/>
  <c r="AL322" i="5"/>
  <c r="AL304" i="5"/>
  <c r="AL295" i="5"/>
  <c r="AL287" i="5"/>
  <c r="AL270" i="5"/>
  <c r="AL266" i="5"/>
  <c r="AL264" i="5"/>
  <c r="AL255" i="5"/>
  <c r="AL253" i="5"/>
  <c r="AL242" i="5"/>
  <c r="AL230" i="5"/>
  <c r="AL228" i="5"/>
  <c r="AL226" i="5"/>
  <c r="AL225" i="5"/>
  <c r="AL218" i="5"/>
  <c r="AL217" i="5"/>
  <c r="AL212" i="5"/>
  <c r="AL207" i="5"/>
  <c r="AL201" i="5"/>
  <c r="AL198" i="5"/>
  <c r="AL192" i="5"/>
  <c r="AL175" i="5"/>
  <c r="AL164" i="5"/>
  <c r="AL163" i="5"/>
  <c r="AL158" i="5"/>
  <c r="AL143" i="5"/>
  <c r="AL139" i="5"/>
  <c r="AL335" i="5"/>
  <c r="AL333" i="5"/>
  <c r="AL329" i="5"/>
  <c r="AL321" i="5"/>
  <c r="AL320" i="5"/>
  <c r="AL315" i="5"/>
  <c r="AL305" i="5"/>
  <c r="AL301" i="5"/>
  <c r="AL297" i="5"/>
  <c r="AL292" i="5"/>
  <c r="AL282" i="5"/>
  <c r="AL281" i="5"/>
  <c r="AL280" i="5"/>
  <c r="AL279" i="5"/>
  <c r="AL277" i="5"/>
  <c r="AL275" i="5"/>
  <c r="AL271" i="5"/>
  <c r="AL254" i="5"/>
  <c r="AL252" i="5"/>
  <c r="AL247" i="5"/>
  <c r="AL238" i="5"/>
  <c r="AL237" i="5"/>
  <c r="AL231" i="5"/>
  <c r="AL227" i="5"/>
  <c r="AL224" i="5"/>
  <c r="AL223" i="5"/>
  <c r="AL215" i="5"/>
  <c r="AL213" i="5"/>
  <c r="AL206" i="5"/>
  <c r="AL197" i="5"/>
  <c r="AL188" i="5"/>
  <c r="AL186" i="5"/>
  <c r="AL179" i="5"/>
  <c r="AL331" i="5"/>
  <c r="AL330" i="5"/>
  <c r="AL323" i="5"/>
  <c r="AL319" i="5"/>
  <c r="AL314" i="5"/>
  <c r="AL313" i="5"/>
  <c r="AL310" i="5"/>
  <c r="AL303" i="5"/>
  <c r="AL299" i="5"/>
  <c r="AL283" i="5"/>
  <c r="AL276" i="5"/>
  <c r="AL274" i="5"/>
  <c r="AL269" i="5"/>
  <c r="AL262" i="5"/>
  <c r="AL260" i="5"/>
  <c r="AL259" i="5"/>
  <c r="AL250" i="5"/>
  <c r="AL245" i="5"/>
  <c r="AL243" i="5"/>
  <c r="AL241" i="5"/>
  <c r="AL240" i="5"/>
  <c r="AL235" i="5"/>
  <c r="AL234" i="5"/>
  <c r="AL233" i="5"/>
  <c r="AL229" i="5"/>
  <c r="AL221" i="5"/>
  <c r="AL211" i="5"/>
  <c r="AL210" i="5"/>
  <c r="AL203" i="5"/>
  <c r="AL194" i="5"/>
  <c r="AL181" i="5"/>
  <c r="AL178" i="5"/>
  <c r="AL174" i="5"/>
  <c r="AL159" i="5"/>
  <c r="AL148" i="5"/>
  <c r="AL145" i="5"/>
  <c r="AL140" i="5"/>
  <c r="AL138" i="5"/>
  <c r="AL137" i="5"/>
  <c r="AL136" i="5"/>
  <c r="AL134" i="5"/>
  <c r="AL132" i="5"/>
  <c r="AL131" i="5"/>
  <c r="AL38" i="5"/>
  <c r="AL42" i="5"/>
  <c r="AL53" i="5"/>
  <c r="AL67" i="5"/>
  <c r="AL68" i="5"/>
  <c r="AL69" i="5"/>
  <c r="AL90" i="5"/>
  <c r="AL101" i="5"/>
  <c r="AL105" i="5"/>
  <c r="AL116" i="5"/>
  <c r="AL117" i="5"/>
  <c r="AL118" i="5"/>
  <c r="AL121" i="5"/>
  <c r="AL123" i="5"/>
  <c r="AL125" i="5"/>
  <c r="AL128" i="5"/>
  <c r="AL150" i="5"/>
  <c r="AL151" i="5"/>
  <c r="AL154" i="5"/>
  <c r="AL157" i="5"/>
  <c r="AL171" i="5"/>
  <c r="AL182" i="5"/>
  <c r="AL183" i="5"/>
  <c r="AL184" i="5"/>
  <c r="AL195" i="5"/>
  <c r="AL246" i="5"/>
  <c r="AL278" i="5"/>
  <c r="AL289" i="5"/>
  <c r="AL290" i="5"/>
  <c r="AL291" i="5"/>
  <c r="AL306" i="5"/>
  <c r="AL311" i="5"/>
  <c r="AL316" i="5"/>
  <c r="AL332" i="5"/>
  <c r="AL334" i="5"/>
  <c r="AL75" i="5"/>
  <c r="AL85" i="5"/>
  <c r="AL86" i="5"/>
  <c r="AL87" i="5"/>
  <c r="AL100" i="5"/>
  <c r="AL109" i="5"/>
  <c r="AL115" i="5"/>
  <c r="AL147" i="5"/>
  <c r="AL149" i="5"/>
  <c r="AL152" i="5"/>
  <c r="AL153" i="5"/>
  <c r="AL155" i="5"/>
  <c r="AL168" i="5"/>
  <c r="AL173" i="5"/>
  <c r="AL176" i="5"/>
  <c r="AL202" i="5"/>
  <c r="AL216" i="5"/>
  <c r="AL248" i="5"/>
  <c r="AL265" i="5"/>
  <c r="AL272" i="5"/>
  <c r="AL294" i="5"/>
  <c r="AL296" i="5"/>
  <c r="AL298" i="5"/>
  <c r="AL324" i="5"/>
  <c r="CQ328" i="5" l="1"/>
  <c r="CW328" i="5"/>
  <c r="DC328" i="5"/>
  <c r="DI328" i="5"/>
  <c r="DO328" i="5"/>
  <c r="DU328" i="5"/>
  <c r="CS328" i="5"/>
  <c r="DE328" i="5"/>
  <c r="DQ328" i="5"/>
  <c r="CR328" i="5"/>
  <c r="CX328" i="5"/>
  <c r="DD328" i="5"/>
  <c r="DJ328" i="5"/>
  <c r="DP328" i="5"/>
  <c r="CY328" i="5"/>
  <c r="DK328" i="5"/>
  <c r="CV328" i="5"/>
  <c r="DH328" i="5"/>
  <c r="DT328" i="5"/>
  <c r="CZ328" i="5"/>
  <c r="DL328" i="5"/>
  <c r="DA328" i="5"/>
  <c r="DM328" i="5"/>
  <c r="DF328" i="5"/>
  <c r="DG328" i="5"/>
  <c r="CP328" i="5"/>
  <c r="DN328" i="5"/>
  <c r="CU328" i="5"/>
  <c r="DB328" i="5"/>
  <c r="CT328" i="5"/>
  <c r="DR328" i="5"/>
  <c r="DS328" i="5"/>
  <c r="CT228" i="5"/>
  <c r="CZ228" i="5"/>
  <c r="DF228" i="5"/>
  <c r="DL228" i="5"/>
  <c r="DR228" i="5"/>
  <c r="CR228" i="5"/>
  <c r="CY228" i="5"/>
  <c r="DG228" i="5"/>
  <c r="DN228" i="5"/>
  <c r="DU228" i="5"/>
  <c r="CS228" i="5"/>
  <c r="DA228" i="5"/>
  <c r="DH228" i="5"/>
  <c r="DO228" i="5"/>
  <c r="CP228" i="5"/>
  <c r="DB228" i="5"/>
  <c r="DK228" i="5"/>
  <c r="CU228" i="5"/>
  <c r="DP228" i="5"/>
  <c r="CV228" i="5"/>
  <c r="DQ228" i="5"/>
  <c r="CQ228" i="5"/>
  <c r="DC228" i="5"/>
  <c r="DM228" i="5"/>
  <c r="DD228" i="5"/>
  <c r="DE228" i="5"/>
  <c r="CX228" i="5"/>
  <c r="DI228" i="5"/>
  <c r="CW228" i="5"/>
  <c r="DJ228" i="5"/>
  <c r="DT228" i="5"/>
  <c r="DS228" i="5"/>
  <c r="CT210" i="5"/>
  <c r="CZ210" i="5"/>
  <c r="DF210" i="5"/>
  <c r="DL210" i="5"/>
  <c r="DR210" i="5"/>
  <c r="CV210" i="5"/>
  <c r="DC210" i="5"/>
  <c r="DJ210" i="5"/>
  <c r="DQ210" i="5"/>
  <c r="CP210" i="5"/>
  <c r="CW210" i="5"/>
  <c r="DD210" i="5"/>
  <c r="DK210" i="5"/>
  <c r="DS210" i="5"/>
  <c r="CQ210" i="5"/>
  <c r="DA210" i="5"/>
  <c r="DM210" i="5"/>
  <c r="DE210" i="5"/>
  <c r="DG210" i="5"/>
  <c r="CR210" i="5"/>
  <c r="DB210" i="5"/>
  <c r="DN210" i="5"/>
  <c r="CS210" i="5"/>
  <c r="DO210" i="5"/>
  <c r="CU210" i="5"/>
  <c r="DP210" i="5"/>
  <c r="DI210" i="5"/>
  <c r="DT210" i="5"/>
  <c r="CX210" i="5"/>
  <c r="CY210" i="5"/>
  <c r="DH210" i="5"/>
  <c r="DU210" i="5"/>
  <c r="CS173" i="5"/>
  <c r="CY173" i="5"/>
  <c r="DE173" i="5"/>
  <c r="DK173" i="5"/>
  <c r="DQ173" i="5"/>
  <c r="CP173" i="5"/>
  <c r="DV173" i="5" s="1"/>
  <c r="CW173" i="5"/>
  <c r="DD173" i="5"/>
  <c r="DL173" i="5"/>
  <c r="DS173" i="5"/>
  <c r="CU173" i="5"/>
  <c r="DC173" i="5"/>
  <c r="DM173" i="5"/>
  <c r="DU173" i="5"/>
  <c r="CV173" i="5"/>
  <c r="DF173" i="5"/>
  <c r="DN173" i="5"/>
  <c r="CR173" i="5"/>
  <c r="DG173" i="5"/>
  <c r="DR173" i="5"/>
  <c r="CT173" i="5"/>
  <c r="DI173" i="5"/>
  <c r="DA173" i="5"/>
  <c r="CX173" i="5"/>
  <c r="DJ173" i="5"/>
  <c r="CZ173" i="5"/>
  <c r="DO173" i="5"/>
  <c r="DP173" i="5"/>
  <c r="CQ173" i="5"/>
  <c r="DB173" i="5"/>
  <c r="DH173" i="5"/>
  <c r="DT173" i="5"/>
  <c r="CT202" i="5"/>
  <c r="CZ202" i="5"/>
  <c r="DF202" i="5"/>
  <c r="DL202" i="5"/>
  <c r="DR202" i="5"/>
  <c r="CS202" i="5"/>
  <c r="DA202" i="5"/>
  <c r="DH202" i="5"/>
  <c r="DO202" i="5"/>
  <c r="CU202" i="5"/>
  <c r="DB202" i="5"/>
  <c r="DI202" i="5"/>
  <c r="DP202" i="5"/>
  <c r="CV202" i="5"/>
  <c r="DE202" i="5"/>
  <c r="DQ202" i="5"/>
  <c r="DJ202" i="5"/>
  <c r="CP202" i="5"/>
  <c r="DV202" i="5" s="1"/>
  <c r="DK202" i="5"/>
  <c r="CW202" i="5"/>
  <c r="DG202" i="5"/>
  <c r="DS202" i="5"/>
  <c r="CX202" i="5"/>
  <c r="DT202" i="5"/>
  <c r="CY202" i="5"/>
  <c r="DU202" i="5"/>
  <c r="DM202" i="5"/>
  <c r="DN202" i="5"/>
  <c r="CQ202" i="5"/>
  <c r="CR202" i="5"/>
  <c r="DC202" i="5"/>
  <c r="DD202" i="5"/>
  <c r="CS133" i="5"/>
  <c r="CY133" i="5"/>
  <c r="DE133" i="5"/>
  <c r="DK133" i="5"/>
  <c r="DQ133" i="5"/>
  <c r="CR133" i="5"/>
  <c r="CZ133" i="5"/>
  <c r="DG133" i="5"/>
  <c r="DN133" i="5"/>
  <c r="DU133" i="5"/>
  <c r="CU133" i="5"/>
  <c r="DC133" i="5"/>
  <c r="DL133" i="5"/>
  <c r="DT133" i="5"/>
  <c r="CV133" i="5"/>
  <c r="DD133" i="5"/>
  <c r="DM133" i="5"/>
  <c r="CQ133" i="5"/>
  <c r="DF133" i="5"/>
  <c r="DR133" i="5"/>
  <c r="CT133" i="5"/>
  <c r="DH133" i="5"/>
  <c r="DS133" i="5"/>
  <c r="CW133" i="5"/>
  <c r="DO133" i="5"/>
  <c r="DA133" i="5"/>
  <c r="DB133" i="5"/>
  <c r="DI133" i="5"/>
  <c r="DJ133" i="5"/>
  <c r="DP133" i="5"/>
  <c r="CP133" i="5"/>
  <c r="DV133" i="5" s="1"/>
  <c r="CX133" i="5"/>
  <c r="CP67" i="5"/>
  <c r="CV67" i="5"/>
  <c r="DB67" i="5"/>
  <c r="DH67" i="5"/>
  <c r="DN67" i="5"/>
  <c r="DT67" i="5"/>
  <c r="CT67" i="5"/>
  <c r="DA67" i="5"/>
  <c r="DI67" i="5"/>
  <c r="DP67" i="5"/>
  <c r="CS67" i="5"/>
  <c r="DC67" i="5"/>
  <c r="DK67" i="5"/>
  <c r="DS67" i="5"/>
  <c r="CQ67" i="5"/>
  <c r="CZ67" i="5"/>
  <c r="DL67" i="5"/>
  <c r="CR67" i="5"/>
  <c r="DE67" i="5"/>
  <c r="DQ67" i="5"/>
  <c r="CU67" i="5"/>
  <c r="DF67" i="5"/>
  <c r="DR67" i="5"/>
  <c r="DG67" i="5"/>
  <c r="DJ67" i="5"/>
  <c r="CY67" i="5"/>
  <c r="DD67" i="5"/>
  <c r="CW67" i="5"/>
  <c r="CX67" i="5"/>
  <c r="DM67" i="5"/>
  <c r="DO67" i="5"/>
  <c r="DU67" i="5"/>
  <c r="CR55" i="5"/>
  <c r="CX55" i="5"/>
  <c r="DD55" i="5"/>
  <c r="DJ55" i="5"/>
  <c r="DP55" i="5"/>
  <c r="CP55" i="5"/>
  <c r="CW55" i="5"/>
  <c r="DE55" i="5"/>
  <c r="DL55" i="5"/>
  <c r="DS55" i="5"/>
  <c r="CV55" i="5"/>
  <c r="DF55" i="5"/>
  <c r="DN55" i="5"/>
  <c r="CZ55" i="5"/>
  <c r="DI55" i="5"/>
  <c r="DT55" i="5"/>
  <c r="CY55" i="5"/>
  <c r="DK55" i="5"/>
  <c r="DA55" i="5"/>
  <c r="DM55" i="5"/>
  <c r="CQ55" i="5"/>
  <c r="DG55" i="5"/>
  <c r="CS55" i="5"/>
  <c r="DH55" i="5"/>
  <c r="DB55" i="5"/>
  <c r="DC55" i="5"/>
  <c r="DO55" i="5"/>
  <c r="DQ55" i="5"/>
  <c r="DR55" i="5"/>
  <c r="DU55" i="5"/>
  <c r="CT55" i="5"/>
  <c r="CU55" i="5"/>
  <c r="CR50" i="5"/>
  <c r="CX50" i="5"/>
  <c r="DD50" i="5"/>
  <c r="DJ50" i="5"/>
  <c r="DP50" i="5"/>
  <c r="CS50" i="5"/>
  <c r="CY50" i="5"/>
  <c r="DE50" i="5"/>
  <c r="DK50" i="5"/>
  <c r="DQ50" i="5"/>
  <c r="CP50" i="5"/>
  <c r="DV50" i="5" s="1"/>
  <c r="CZ50" i="5"/>
  <c r="DH50" i="5"/>
  <c r="DR50" i="5"/>
  <c r="DA50" i="5"/>
  <c r="DL50" i="5"/>
  <c r="DU50" i="5"/>
  <c r="CV50" i="5"/>
  <c r="DI50" i="5"/>
  <c r="CQ50" i="5"/>
  <c r="DW50" i="5" s="1"/>
  <c r="DF50" i="5"/>
  <c r="DT50" i="5"/>
  <c r="DB50" i="5"/>
  <c r="DS50" i="5"/>
  <c r="DC50" i="5"/>
  <c r="CU50" i="5"/>
  <c r="CW50" i="5"/>
  <c r="DG50" i="5"/>
  <c r="DM50" i="5"/>
  <c r="CT50" i="5"/>
  <c r="DN50" i="5"/>
  <c r="DO50" i="5"/>
  <c r="CR41" i="5"/>
  <c r="CX41" i="5"/>
  <c r="DD41" i="5"/>
  <c r="DJ41" i="5"/>
  <c r="DP41" i="5"/>
  <c r="CS41" i="5"/>
  <c r="CY41" i="5"/>
  <c r="DE41" i="5"/>
  <c r="DK41" i="5"/>
  <c r="DQ41" i="5"/>
  <c r="CV41" i="5"/>
  <c r="DF41" i="5"/>
  <c r="DN41" i="5"/>
  <c r="CQ41" i="5"/>
  <c r="DB41" i="5"/>
  <c r="DM41" i="5"/>
  <c r="CT41" i="5"/>
  <c r="DG41" i="5"/>
  <c r="DS41" i="5"/>
  <c r="DC41" i="5"/>
  <c r="DT41" i="5"/>
  <c r="CW41" i="5"/>
  <c r="DO41" i="5"/>
  <c r="CZ41" i="5"/>
  <c r="DR41" i="5"/>
  <c r="DI41" i="5"/>
  <c r="DL41" i="5"/>
  <c r="DA41" i="5"/>
  <c r="DH41" i="5"/>
  <c r="DU41" i="5"/>
  <c r="CP41" i="5"/>
  <c r="DV41" i="5" s="1"/>
  <c r="CU41" i="5"/>
  <c r="CT248" i="5"/>
  <c r="CZ248" i="5"/>
  <c r="DF248" i="5"/>
  <c r="DL248" i="5"/>
  <c r="DR248" i="5"/>
  <c r="CU248" i="5"/>
  <c r="DB248" i="5"/>
  <c r="DI248" i="5"/>
  <c r="DP248" i="5"/>
  <c r="CV248" i="5"/>
  <c r="DC248" i="5"/>
  <c r="DJ248" i="5"/>
  <c r="DQ248" i="5"/>
  <c r="CP248" i="5"/>
  <c r="DV248" i="5" s="1"/>
  <c r="CY248" i="5"/>
  <c r="DK248" i="5"/>
  <c r="DU248" i="5"/>
  <c r="DD248" i="5"/>
  <c r="CQ248" i="5"/>
  <c r="DA248" i="5"/>
  <c r="DM248" i="5"/>
  <c r="CR248" i="5"/>
  <c r="DN248" i="5"/>
  <c r="CX248" i="5"/>
  <c r="DT248" i="5"/>
  <c r="DE248" i="5"/>
  <c r="DS248" i="5"/>
  <c r="CS248" i="5"/>
  <c r="CW248" i="5"/>
  <c r="DG248" i="5"/>
  <c r="DO248" i="5"/>
  <c r="DH248" i="5"/>
  <c r="CU319" i="5"/>
  <c r="DA319" i="5"/>
  <c r="DG319" i="5"/>
  <c r="DM319" i="5"/>
  <c r="DS319" i="5"/>
  <c r="CQ319" i="5"/>
  <c r="CX319" i="5"/>
  <c r="DE319" i="5"/>
  <c r="DL319" i="5"/>
  <c r="DT319" i="5"/>
  <c r="CS319" i="5"/>
  <c r="DH319" i="5"/>
  <c r="CR319" i="5"/>
  <c r="CY319" i="5"/>
  <c r="DF319" i="5"/>
  <c r="DN319" i="5"/>
  <c r="DU319" i="5"/>
  <c r="CZ319" i="5"/>
  <c r="DO319" i="5"/>
  <c r="CP319" i="5"/>
  <c r="DD319" i="5"/>
  <c r="DR319" i="5"/>
  <c r="CT319" i="5"/>
  <c r="DI319" i="5"/>
  <c r="CV319" i="5"/>
  <c r="DJ319" i="5"/>
  <c r="DP319" i="5"/>
  <c r="DQ319" i="5"/>
  <c r="CW319" i="5"/>
  <c r="DC319" i="5"/>
  <c r="DK319" i="5"/>
  <c r="DB319" i="5"/>
  <c r="CQ321" i="5"/>
  <c r="CW321" i="5"/>
  <c r="DC321" i="5"/>
  <c r="DI321" i="5"/>
  <c r="DO321" i="5"/>
  <c r="DU321" i="5"/>
  <c r="CR321" i="5"/>
  <c r="CY321" i="5"/>
  <c r="DF321" i="5"/>
  <c r="DM321" i="5"/>
  <c r="DT321" i="5"/>
  <c r="DA321" i="5"/>
  <c r="CS321" i="5"/>
  <c r="CZ321" i="5"/>
  <c r="DG321" i="5"/>
  <c r="DN321" i="5"/>
  <c r="CT321" i="5"/>
  <c r="DH321" i="5"/>
  <c r="DP321" i="5"/>
  <c r="CX321" i="5"/>
  <c r="DL321" i="5"/>
  <c r="DB321" i="5"/>
  <c r="DQ321" i="5"/>
  <c r="DD321" i="5"/>
  <c r="DR321" i="5"/>
  <c r="DJ321" i="5"/>
  <c r="DK321" i="5"/>
  <c r="CP321" i="5"/>
  <c r="DS321" i="5"/>
  <c r="CV321" i="5"/>
  <c r="DE321" i="5"/>
  <c r="CU321" i="5"/>
  <c r="CQ191" i="5"/>
  <c r="CW191" i="5"/>
  <c r="DC191" i="5"/>
  <c r="DI191" i="5"/>
  <c r="DO191" i="5"/>
  <c r="DU191" i="5"/>
  <c r="CV191" i="5"/>
  <c r="DD191" i="5"/>
  <c r="DK191" i="5"/>
  <c r="DR191" i="5"/>
  <c r="CP191" i="5"/>
  <c r="DV191" i="5" s="1"/>
  <c r="CX191" i="5"/>
  <c r="DE191" i="5"/>
  <c r="DL191" i="5"/>
  <c r="DS191" i="5"/>
  <c r="CR191" i="5"/>
  <c r="DA191" i="5"/>
  <c r="DM191" i="5"/>
  <c r="DG191" i="5"/>
  <c r="CS191" i="5"/>
  <c r="DB191" i="5"/>
  <c r="DN191" i="5"/>
  <c r="CT191" i="5"/>
  <c r="DF191" i="5"/>
  <c r="DP191" i="5"/>
  <c r="CU191" i="5"/>
  <c r="DQ191" i="5"/>
  <c r="DT191" i="5"/>
  <c r="CY191" i="5"/>
  <c r="CZ191" i="5"/>
  <c r="DH191" i="5"/>
  <c r="DJ191" i="5"/>
  <c r="CT258" i="5"/>
  <c r="CZ258" i="5"/>
  <c r="DF258" i="5"/>
  <c r="DL258" i="5"/>
  <c r="DR258" i="5"/>
  <c r="CV258" i="5"/>
  <c r="DC258" i="5"/>
  <c r="DJ258" i="5"/>
  <c r="DQ258" i="5"/>
  <c r="CP258" i="5"/>
  <c r="CW258" i="5"/>
  <c r="DD258" i="5"/>
  <c r="DK258" i="5"/>
  <c r="DS258" i="5"/>
  <c r="CS258" i="5"/>
  <c r="DE258" i="5"/>
  <c r="DO258" i="5"/>
  <c r="CX258" i="5"/>
  <c r="DT258" i="5"/>
  <c r="CU258" i="5"/>
  <c r="DG258" i="5"/>
  <c r="DP258" i="5"/>
  <c r="DH258" i="5"/>
  <c r="CR258" i="5"/>
  <c r="DN258" i="5"/>
  <c r="CY258" i="5"/>
  <c r="DU258" i="5"/>
  <c r="DM258" i="5"/>
  <c r="CQ258" i="5"/>
  <c r="DA258" i="5"/>
  <c r="DB258" i="5"/>
  <c r="DI258" i="5"/>
  <c r="CS302" i="5"/>
  <c r="CY302" i="5"/>
  <c r="DE302" i="5"/>
  <c r="DK302" i="5"/>
  <c r="DQ302" i="5"/>
  <c r="CT302" i="5"/>
  <c r="DA302" i="5"/>
  <c r="DH302" i="5"/>
  <c r="DO302" i="5"/>
  <c r="DC302" i="5"/>
  <c r="DR302" i="5"/>
  <c r="CU302" i="5"/>
  <c r="DB302" i="5"/>
  <c r="DI302" i="5"/>
  <c r="DP302" i="5"/>
  <c r="CV302" i="5"/>
  <c r="DJ302" i="5"/>
  <c r="CR302" i="5"/>
  <c r="DG302" i="5"/>
  <c r="DU302" i="5"/>
  <c r="CW302" i="5"/>
  <c r="DL302" i="5"/>
  <c r="CX302" i="5"/>
  <c r="DM302" i="5"/>
  <c r="CP302" i="5"/>
  <c r="DS302" i="5"/>
  <c r="CQ302" i="5"/>
  <c r="DT302" i="5"/>
  <c r="CZ302" i="5"/>
  <c r="DN302" i="5"/>
  <c r="DD302" i="5"/>
  <c r="DF302" i="5"/>
  <c r="CT216" i="5"/>
  <c r="CZ216" i="5"/>
  <c r="DF216" i="5"/>
  <c r="DL216" i="5"/>
  <c r="DR216" i="5"/>
  <c r="CR216" i="5"/>
  <c r="CY216" i="5"/>
  <c r="DG216" i="5"/>
  <c r="DN216" i="5"/>
  <c r="DU216" i="5"/>
  <c r="CS216" i="5"/>
  <c r="DA216" i="5"/>
  <c r="DH216" i="5"/>
  <c r="DO216" i="5"/>
  <c r="CW216" i="5"/>
  <c r="DI216" i="5"/>
  <c r="DS216" i="5"/>
  <c r="DB216" i="5"/>
  <c r="DC216" i="5"/>
  <c r="CX216" i="5"/>
  <c r="DJ216" i="5"/>
  <c r="DT216" i="5"/>
  <c r="CP216" i="5"/>
  <c r="DK216" i="5"/>
  <c r="CQ216" i="5"/>
  <c r="DM216" i="5"/>
  <c r="DE216" i="5"/>
  <c r="DP216" i="5"/>
  <c r="CU216" i="5"/>
  <c r="CV216" i="5"/>
  <c r="DD216" i="5"/>
  <c r="DQ216" i="5"/>
  <c r="CQ245" i="5"/>
  <c r="DW245" i="5" s="1"/>
  <c r="CW245" i="5"/>
  <c r="DC245" i="5"/>
  <c r="DI245" i="5"/>
  <c r="DO245" i="5"/>
  <c r="DU245" i="5"/>
  <c r="CS245" i="5"/>
  <c r="CZ245" i="5"/>
  <c r="DG245" i="5"/>
  <c r="DN245" i="5"/>
  <c r="CT245" i="5"/>
  <c r="DA245" i="5"/>
  <c r="DH245" i="5"/>
  <c r="DP245" i="5"/>
  <c r="CP245" i="5"/>
  <c r="DV245" i="5" s="1"/>
  <c r="DB245" i="5"/>
  <c r="DL245" i="5"/>
  <c r="CU245" i="5"/>
  <c r="DQ245" i="5"/>
  <c r="CR245" i="5"/>
  <c r="DD245" i="5"/>
  <c r="DM245" i="5"/>
  <c r="DE245" i="5"/>
  <c r="DK245" i="5"/>
  <c r="CV245" i="5"/>
  <c r="DR245" i="5"/>
  <c r="DT245" i="5"/>
  <c r="CX245" i="5"/>
  <c r="CY245" i="5"/>
  <c r="DF245" i="5"/>
  <c r="DS245" i="5"/>
  <c r="DJ245" i="5"/>
  <c r="CT184" i="5"/>
  <c r="CZ184" i="5"/>
  <c r="DF184" i="5"/>
  <c r="DL184" i="5"/>
  <c r="DR184" i="5"/>
  <c r="CP184" i="5"/>
  <c r="DV184" i="5" s="1"/>
  <c r="CW184" i="5"/>
  <c r="DD184" i="5"/>
  <c r="DK184" i="5"/>
  <c r="DS184" i="5"/>
  <c r="CQ184" i="5"/>
  <c r="CX184" i="5"/>
  <c r="DE184" i="5"/>
  <c r="DM184" i="5"/>
  <c r="DT184" i="5"/>
  <c r="CR184" i="5"/>
  <c r="DB184" i="5"/>
  <c r="DN184" i="5"/>
  <c r="DC184" i="5"/>
  <c r="DP184" i="5"/>
  <c r="CV184" i="5"/>
  <c r="CS184" i="5"/>
  <c r="DG184" i="5"/>
  <c r="DQ184" i="5"/>
  <c r="CU184" i="5"/>
  <c r="DH184" i="5"/>
  <c r="DU184" i="5"/>
  <c r="DI184" i="5"/>
  <c r="CY184" i="5"/>
  <c r="DA184" i="5"/>
  <c r="DJ184" i="5"/>
  <c r="DO184" i="5"/>
  <c r="CQ80" i="5"/>
  <c r="CW80" i="5"/>
  <c r="DC80" i="5"/>
  <c r="DI80" i="5"/>
  <c r="DO80" i="5"/>
  <c r="DU80" i="5"/>
  <c r="CV80" i="5"/>
  <c r="DD80" i="5"/>
  <c r="DK80" i="5"/>
  <c r="DR80" i="5"/>
  <c r="CU80" i="5"/>
  <c r="DE80" i="5"/>
  <c r="DM80" i="5"/>
  <c r="CS80" i="5"/>
  <c r="DB80" i="5"/>
  <c r="DN80" i="5"/>
  <c r="CT80" i="5"/>
  <c r="DF80" i="5"/>
  <c r="DP80" i="5"/>
  <c r="CZ80" i="5"/>
  <c r="DQ80" i="5"/>
  <c r="DA80" i="5"/>
  <c r="DS80" i="5"/>
  <c r="DG80" i="5"/>
  <c r="DH80" i="5"/>
  <c r="CP80" i="5"/>
  <c r="DV80" i="5" s="1"/>
  <c r="DT80" i="5"/>
  <c r="CR80" i="5"/>
  <c r="CX80" i="5"/>
  <c r="CY80" i="5"/>
  <c r="DJ80" i="5"/>
  <c r="DL80" i="5"/>
  <c r="CT97" i="5"/>
  <c r="CZ97" i="5"/>
  <c r="DF97" i="5"/>
  <c r="DL97" i="5"/>
  <c r="DR97" i="5"/>
  <c r="CP97" i="5"/>
  <c r="DV97" i="5" s="1"/>
  <c r="CW97" i="5"/>
  <c r="DD97" i="5"/>
  <c r="DK97" i="5"/>
  <c r="DS97" i="5"/>
  <c r="CV97" i="5"/>
  <c r="DE97" i="5"/>
  <c r="DN97" i="5"/>
  <c r="CR97" i="5"/>
  <c r="DB97" i="5"/>
  <c r="DM97" i="5"/>
  <c r="CS97" i="5"/>
  <c r="DC97" i="5"/>
  <c r="DO97" i="5"/>
  <c r="CY97" i="5"/>
  <c r="DP97" i="5"/>
  <c r="DA97" i="5"/>
  <c r="DQ97" i="5"/>
  <c r="DG97" i="5"/>
  <c r="DH97" i="5"/>
  <c r="DT97" i="5"/>
  <c r="CQ97" i="5"/>
  <c r="DU97" i="5"/>
  <c r="CU97" i="5"/>
  <c r="CX97" i="5"/>
  <c r="DI97" i="5"/>
  <c r="DJ97" i="5"/>
  <c r="CP154" i="5"/>
  <c r="DV154" i="5" s="1"/>
  <c r="CV154" i="5"/>
  <c r="DB154" i="5"/>
  <c r="DH154" i="5"/>
  <c r="DN154" i="5"/>
  <c r="DT154" i="5"/>
  <c r="CQ154" i="5"/>
  <c r="DW154" i="5" s="1"/>
  <c r="CX154" i="5"/>
  <c r="DE154" i="5"/>
  <c r="DL154" i="5"/>
  <c r="DS154" i="5"/>
  <c r="CS154" i="5"/>
  <c r="DA154" i="5"/>
  <c r="DJ154" i="5"/>
  <c r="DR154" i="5"/>
  <c r="CT154" i="5"/>
  <c r="DC154" i="5"/>
  <c r="DK154" i="5"/>
  <c r="DU154" i="5"/>
  <c r="CY154" i="5"/>
  <c r="DM154" i="5"/>
  <c r="CZ154" i="5"/>
  <c r="DO154" i="5"/>
  <c r="DD154" i="5"/>
  <c r="DG154" i="5"/>
  <c r="CU154" i="5"/>
  <c r="DI154" i="5"/>
  <c r="CR154" i="5"/>
  <c r="DP154" i="5"/>
  <c r="DQ154" i="5"/>
  <c r="DF154" i="5"/>
  <c r="CW154" i="5"/>
  <c r="CQ92" i="5"/>
  <c r="CW92" i="5"/>
  <c r="DC92" i="5"/>
  <c r="DI92" i="5"/>
  <c r="DO92" i="5"/>
  <c r="DU92" i="5"/>
  <c r="CV92" i="5"/>
  <c r="DD92" i="5"/>
  <c r="DK92" i="5"/>
  <c r="DR92" i="5"/>
  <c r="CX92" i="5"/>
  <c r="DF92" i="5"/>
  <c r="DN92" i="5"/>
  <c r="CR92" i="5"/>
  <c r="DA92" i="5"/>
  <c r="DL92" i="5"/>
  <c r="CS92" i="5"/>
  <c r="DB92" i="5"/>
  <c r="DM92" i="5"/>
  <c r="CT92" i="5"/>
  <c r="DH92" i="5"/>
  <c r="CU92" i="5"/>
  <c r="DJ92" i="5"/>
  <c r="DE92" i="5"/>
  <c r="DG92" i="5"/>
  <c r="DP92" i="5"/>
  <c r="DQ92" i="5"/>
  <c r="DS92" i="5"/>
  <c r="DT92" i="5"/>
  <c r="CP92" i="5"/>
  <c r="DV92" i="5" s="1"/>
  <c r="CY92" i="5"/>
  <c r="CZ92" i="5"/>
  <c r="CR62" i="5"/>
  <c r="CX62" i="5"/>
  <c r="DD62" i="5"/>
  <c r="DJ62" i="5"/>
  <c r="DP62" i="5"/>
  <c r="CS62" i="5"/>
  <c r="CZ62" i="5"/>
  <c r="DG62" i="5"/>
  <c r="DN62" i="5"/>
  <c r="DU62" i="5"/>
  <c r="CT62" i="5"/>
  <c r="DB62" i="5"/>
  <c r="DK62" i="5"/>
  <c r="DS62" i="5"/>
  <c r="CY62" i="5"/>
  <c r="DI62" i="5"/>
  <c r="DT62" i="5"/>
  <c r="CU62" i="5"/>
  <c r="DF62" i="5"/>
  <c r="DR62" i="5"/>
  <c r="CV62" i="5"/>
  <c r="DH62" i="5"/>
  <c r="DC62" i="5"/>
  <c r="DE62" i="5"/>
  <c r="CW62" i="5"/>
  <c r="DA62" i="5"/>
  <c r="CP62" i="5"/>
  <c r="DV62" i="5" s="1"/>
  <c r="CQ62" i="5"/>
  <c r="DW62" i="5" s="1"/>
  <c r="DL62" i="5"/>
  <c r="DM62" i="5"/>
  <c r="DO62" i="5"/>
  <c r="DQ62" i="5"/>
  <c r="CT107" i="5"/>
  <c r="CZ107" i="5"/>
  <c r="DF107" i="5"/>
  <c r="DL107" i="5"/>
  <c r="DR107" i="5"/>
  <c r="CQ107" i="5"/>
  <c r="DW107" i="5" s="1"/>
  <c r="CX107" i="5"/>
  <c r="DE107" i="5"/>
  <c r="DM107" i="5"/>
  <c r="DT107" i="5"/>
  <c r="CU107" i="5"/>
  <c r="DC107" i="5"/>
  <c r="DK107" i="5"/>
  <c r="DU107" i="5"/>
  <c r="CR107" i="5"/>
  <c r="DB107" i="5"/>
  <c r="DN107" i="5"/>
  <c r="CS107" i="5"/>
  <c r="DD107" i="5"/>
  <c r="DO107" i="5"/>
  <c r="CV107" i="5"/>
  <c r="DI107" i="5"/>
  <c r="CW107" i="5"/>
  <c r="DJ107" i="5"/>
  <c r="DG107" i="5"/>
  <c r="DH107" i="5"/>
  <c r="DP107" i="5"/>
  <c r="CP107" i="5"/>
  <c r="DV107" i="5" s="1"/>
  <c r="CY107" i="5"/>
  <c r="DA107" i="5"/>
  <c r="DQ107" i="5"/>
  <c r="DS107" i="5"/>
  <c r="CQ84" i="5"/>
  <c r="CW84" i="5"/>
  <c r="DC84" i="5"/>
  <c r="DI84" i="5"/>
  <c r="DO84" i="5"/>
  <c r="DU84" i="5"/>
  <c r="CT84" i="5"/>
  <c r="DA84" i="5"/>
  <c r="DH84" i="5"/>
  <c r="DP84" i="5"/>
  <c r="CS84" i="5"/>
  <c r="DB84" i="5"/>
  <c r="DK84" i="5"/>
  <c r="DS84" i="5"/>
  <c r="CV84" i="5"/>
  <c r="DF84" i="5"/>
  <c r="DQ84" i="5"/>
  <c r="CX84" i="5"/>
  <c r="DG84" i="5"/>
  <c r="DR84" i="5"/>
  <c r="CR84" i="5"/>
  <c r="DJ84" i="5"/>
  <c r="CU84" i="5"/>
  <c r="DL84" i="5"/>
  <c r="DM84" i="5"/>
  <c r="CP84" i="5"/>
  <c r="DN84" i="5"/>
  <c r="CY84" i="5"/>
  <c r="CZ84" i="5"/>
  <c r="DD84" i="5"/>
  <c r="DE84" i="5"/>
  <c r="DT84" i="5"/>
  <c r="CT61" i="5"/>
  <c r="CZ61" i="5"/>
  <c r="DF61" i="5"/>
  <c r="DL61" i="5"/>
  <c r="DR61" i="5"/>
  <c r="CV61" i="5"/>
  <c r="DC61" i="5"/>
  <c r="DJ61" i="5"/>
  <c r="DQ61" i="5"/>
  <c r="CQ61" i="5"/>
  <c r="CY61" i="5"/>
  <c r="DH61" i="5"/>
  <c r="DP61" i="5"/>
  <c r="CP61" i="5"/>
  <c r="DA61" i="5"/>
  <c r="DK61" i="5"/>
  <c r="DU61" i="5"/>
  <c r="DB61" i="5"/>
  <c r="DN61" i="5"/>
  <c r="CR61" i="5"/>
  <c r="DD61" i="5"/>
  <c r="DO61" i="5"/>
  <c r="CW61" i="5"/>
  <c r="DS61" i="5"/>
  <c r="CX61" i="5"/>
  <c r="DT61" i="5"/>
  <c r="DE61" i="5"/>
  <c r="DG61" i="5"/>
  <c r="CS61" i="5"/>
  <c r="CU61" i="5"/>
  <c r="DI61" i="5"/>
  <c r="DM61" i="5"/>
  <c r="CP293" i="5"/>
  <c r="CV293" i="5"/>
  <c r="DB293" i="5"/>
  <c r="DH293" i="5"/>
  <c r="DN293" i="5"/>
  <c r="DT293" i="5"/>
  <c r="CW293" i="5"/>
  <c r="DD293" i="5"/>
  <c r="DK293" i="5"/>
  <c r="DR293" i="5"/>
  <c r="CR293" i="5"/>
  <c r="DF293" i="5"/>
  <c r="DU293" i="5"/>
  <c r="CQ293" i="5"/>
  <c r="CX293" i="5"/>
  <c r="DE293" i="5"/>
  <c r="DL293" i="5"/>
  <c r="DS293" i="5"/>
  <c r="CY293" i="5"/>
  <c r="DM293" i="5"/>
  <c r="CU293" i="5"/>
  <c r="DJ293" i="5"/>
  <c r="CZ293" i="5"/>
  <c r="DO293" i="5"/>
  <c r="DA293" i="5"/>
  <c r="DP293" i="5"/>
  <c r="CS293" i="5"/>
  <c r="CT293" i="5"/>
  <c r="DC293" i="5"/>
  <c r="DQ293" i="5"/>
  <c r="DI293" i="5"/>
  <c r="DG293" i="5"/>
  <c r="CR292" i="5"/>
  <c r="CX292" i="5"/>
  <c r="DD292" i="5"/>
  <c r="DJ292" i="5"/>
  <c r="DP292" i="5"/>
  <c r="CS292" i="5"/>
  <c r="CZ292" i="5"/>
  <c r="DG292" i="5"/>
  <c r="DN292" i="5"/>
  <c r="DU292" i="5"/>
  <c r="CU292" i="5"/>
  <c r="DI292" i="5"/>
  <c r="CT292" i="5"/>
  <c r="DA292" i="5"/>
  <c r="DH292" i="5"/>
  <c r="DO292" i="5"/>
  <c r="DB292" i="5"/>
  <c r="DQ292" i="5"/>
  <c r="CY292" i="5"/>
  <c r="DM292" i="5"/>
  <c r="DC292" i="5"/>
  <c r="DR292" i="5"/>
  <c r="CP292" i="5"/>
  <c r="DE292" i="5"/>
  <c r="DS292" i="5"/>
  <c r="CV292" i="5"/>
  <c r="CW292" i="5"/>
  <c r="DF292" i="5"/>
  <c r="CQ292" i="5"/>
  <c r="DT292" i="5"/>
  <c r="DK292" i="5"/>
  <c r="DL292" i="5"/>
  <c r="CQ237" i="5"/>
  <c r="CW237" i="5"/>
  <c r="DC237" i="5"/>
  <c r="DI237" i="5"/>
  <c r="DO237" i="5"/>
  <c r="DU237" i="5"/>
  <c r="CP237" i="5"/>
  <c r="CX237" i="5"/>
  <c r="DE237" i="5"/>
  <c r="DL237" i="5"/>
  <c r="DS237" i="5"/>
  <c r="CR237" i="5"/>
  <c r="CY237" i="5"/>
  <c r="DF237" i="5"/>
  <c r="DM237" i="5"/>
  <c r="DT237" i="5"/>
  <c r="CU237" i="5"/>
  <c r="DG237" i="5"/>
  <c r="DQ237" i="5"/>
  <c r="CZ237" i="5"/>
  <c r="CV237" i="5"/>
  <c r="DH237" i="5"/>
  <c r="DR237" i="5"/>
  <c r="DJ237" i="5"/>
  <c r="CT237" i="5"/>
  <c r="DP237" i="5"/>
  <c r="DA237" i="5"/>
  <c r="CS237" i="5"/>
  <c r="DB237" i="5"/>
  <c r="DD237" i="5"/>
  <c r="DK237" i="5"/>
  <c r="DN237" i="5"/>
  <c r="CT312" i="5"/>
  <c r="CZ312" i="5"/>
  <c r="DF312" i="5"/>
  <c r="DL312" i="5"/>
  <c r="DR312" i="5"/>
  <c r="CU312" i="5"/>
  <c r="DB312" i="5"/>
  <c r="DI312" i="5"/>
  <c r="DP312" i="5"/>
  <c r="CW312" i="5"/>
  <c r="DD312" i="5"/>
  <c r="DS312" i="5"/>
  <c r="CV312" i="5"/>
  <c r="DC312" i="5"/>
  <c r="DJ312" i="5"/>
  <c r="DQ312" i="5"/>
  <c r="CP312" i="5"/>
  <c r="DK312" i="5"/>
  <c r="DA312" i="5"/>
  <c r="DO312" i="5"/>
  <c r="CQ312" i="5"/>
  <c r="DE312" i="5"/>
  <c r="DT312" i="5"/>
  <c r="CR312" i="5"/>
  <c r="DG312" i="5"/>
  <c r="DU312" i="5"/>
  <c r="DM312" i="5"/>
  <c r="DN312" i="5"/>
  <c r="CS312" i="5"/>
  <c r="DH312" i="5"/>
  <c r="CX312" i="5"/>
  <c r="CY312" i="5"/>
  <c r="CT198" i="5"/>
  <c r="CZ198" i="5"/>
  <c r="DF198" i="5"/>
  <c r="DL198" i="5"/>
  <c r="DR198" i="5"/>
  <c r="CV198" i="5"/>
  <c r="DC198" i="5"/>
  <c r="DJ198" i="5"/>
  <c r="DQ198" i="5"/>
  <c r="CP198" i="5"/>
  <c r="CW198" i="5"/>
  <c r="DD198" i="5"/>
  <c r="DK198" i="5"/>
  <c r="DS198" i="5"/>
  <c r="CX198" i="5"/>
  <c r="DH198" i="5"/>
  <c r="DT198" i="5"/>
  <c r="CR198" i="5"/>
  <c r="DN198" i="5"/>
  <c r="CY198" i="5"/>
  <c r="DI198" i="5"/>
  <c r="DU198" i="5"/>
  <c r="CQ198" i="5"/>
  <c r="DA198" i="5"/>
  <c r="DM198" i="5"/>
  <c r="DB198" i="5"/>
  <c r="DO198" i="5"/>
  <c r="DP198" i="5"/>
  <c r="CS198" i="5"/>
  <c r="CU198" i="5"/>
  <c r="DE198" i="5"/>
  <c r="DG198" i="5"/>
  <c r="CP156" i="5"/>
  <c r="CV156" i="5"/>
  <c r="DB156" i="5"/>
  <c r="DH156" i="5"/>
  <c r="DN156" i="5"/>
  <c r="DT156" i="5"/>
  <c r="CW156" i="5"/>
  <c r="DD156" i="5"/>
  <c r="DK156" i="5"/>
  <c r="DR156" i="5"/>
  <c r="CU156" i="5"/>
  <c r="DE156" i="5"/>
  <c r="DM156" i="5"/>
  <c r="CX156" i="5"/>
  <c r="DF156" i="5"/>
  <c r="DO156" i="5"/>
  <c r="CY156" i="5"/>
  <c r="DJ156" i="5"/>
  <c r="CZ156" i="5"/>
  <c r="DL156" i="5"/>
  <c r="CS156" i="5"/>
  <c r="DP156" i="5"/>
  <c r="CQ156" i="5"/>
  <c r="DI156" i="5"/>
  <c r="DU156" i="5"/>
  <c r="CR156" i="5"/>
  <c r="DQ156" i="5"/>
  <c r="CT156" i="5"/>
  <c r="DS156" i="5"/>
  <c r="DA156" i="5"/>
  <c r="DC156" i="5"/>
  <c r="DG156" i="5"/>
  <c r="CT234" i="5"/>
  <c r="CZ234" i="5"/>
  <c r="DF234" i="5"/>
  <c r="DL234" i="5"/>
  <c r="DR234" i="5"/>
  <c r="CV234" i="5"/>
  <c r="DC234" i="5"/>
  <c r="DJ234" i="5"/>
  <c r="DQ234" i="5"/>
  <c r="CP234" i="5"/>
  <c r="CW234" i="5"/>
  <c r="DD234" i="5"/>
  <c r="DK234" i="5"/>
  <c r="DS234" i="5"/>
  <c r="CX234" i="5"/>
  <c r="DH234" i="5"/>
  <c r="DT234" i="5"/>
  <c r="CQ234" i="5"/>
  <c r="DM234" i="5"/>
  <c r="CR234" i="5"/>
  <c r="DN234" i="5"/>
  <c r="CY234" i="5"/>
  <c r="DI234" i="5"/>
  <c r="DU234" i="5"/>
  <c r="DA234" i="5"/>
  <c r="DB234" i="5"/>
  <c r="CU234" i="5"/>
  <c r="DE234" i="5"/>
  <c r="CS234" i="5"/>
  <c r="DG234" i="5"/>
  <c r="DO234" i="5"/>
  <c r="DP234" i="5"/>
  <c r="CT242" i="5"/>
  <c r="CZ242" i="5"/>
  <c r="DF242" i="5"/>
  <c r="DL242" i="5"/>
  <c r="DR242" i="5"/>
  <c r="CQ242" i="5"/>
  <c r="CX242" i="5"/>
  <c r="DE242" i="5"/>
  <c r="DM242" i="5"/>
  <c r="DT242" i="5"/>
  <c r="CR242" i="5"/>
  <c r="CY242" i="5"/>
  <c r="DG242" i="5"/>
  <c r="DN242" i="5"/>
  <c r="DU242" i="5"/>
  <c r="CS242" i="5"/>
  <c r="DC242" i="5"/>
  <c r="DO242" i="5"/>
  <c r="DH242" i="5"/>
  <c r="CU242" i="5"/>
  <c r="DD242" i="5"/>
  <c r="DP242" i="5"/>
  <c r="CV242" i="5"/>
  <c r="DQ242" i="5"/>
  <c r="DB242" i="5"/>
  <c r="DI242" i="5"/>
  <c r="CP242" i="5"/>
  <c r="DV242" i="5" s="1"/>
  <c r="CW242" i="5"/>
  <c r="DA242" i="5"/>
  <c r="DJ242" i="5"/>
  <c r="DS242" i="5"/>
  <c r="DK242" i="5"/>
  <c r="CT182" i="5"/>
  <c r="CZ182" i="5"/>
  <c r="DF182" i="5"/>
  <c r="DL182" i="5"/>
  <c r="DR182" i="5"/>
  <c r="CQ182" i="5"/>
  <c r="CX182" i="5"/>
  <c r="DE182" i="5"/>
  <c r="DM182" i="5"/>
  <c r="DT182" i="5"/>
  <c r="CR182" i="5"/>
  <c r="CY182" i="5"/>
  <c r="DG182" i="5"/>
  <c r="DN182" i="5"/>
  <c r="DU182" i="5"/>
  <c r="CS182" i="5"/>
  <c r="DC182" i="5"/>
  <c r="DO182" i="5"/>
  <c r="CP182" i="5"/>
  <c r="DV182" i="5" s="1"/>
  <c r="DD182" i="5"/>
  <c r="DQ182" i="5"/>
  <c r="DJ182" i="5"/>
  <c r="CU182" i="5"/>
  <c r="DH182" i="5"/>
  <c r="DS182" i="5"/>
  <c r="CV182" i="5"/>
  <c r="DI182" i="5"/>
  <c r="CW182" i="5"/>
  <c r="DK182" i="5"/>
  <c r="DP182" i="5"/>
  <c r="DB182" i="5"/>
  <c r="DA182" i="5"/>
  <c r="CT196" i="5"/>
  <c r="CZ196" i="5"/>
  <c r="DF196" i="5"/>
  <c r="DL196" i="5"/>
  <c r="DR196" i="5"/>
  <c r="CP196" i="5"/>
  <c r="DV196" i="5" s="1"/>
  <c r="CW196" i="5"/>
  <c r="DD196" i="5"/>
  <c r="DK196" i="5"/>
  <c r="DS196" i="5"/>
  <c r="CQ196" i="5"/>
  <c r="CX196" i="5"/>
  <c r="DE196" i="5"/>
  <c r="DM196" i="5"/>
  <c r="DT196" i="5"/>
  <c r="CY196" i="5"/>
  <c r="DI196" i="5"/>
  <c r="DU196" i="5"/>
  <c r="CS196" i="5"/>
  <c r="DO196" i="5"/>
  <c r="DA196" i="5"/>
  <c r="DJ196" i="5"/>
  <c r="CR196" i="5"/>
  <c r="DB196" i="5"/>
  <c r="DN196" i="5"/>
  <c r="DC196" i="5"/>
  <c r="DP196" i="5"/>
  <c r="DQ196" i="5"/>
  <c r="CU196" i="5"/>
  <c r="CV196" i="5"/>
  <c r="DG196" i="5"/>
  <c r="DH196" i="5"/>
  <c r="CT214" i="5"/>
  <c r="CZ214" i="5"/>
  <c r="DF214" i="5"/>
  <c r="DL214" i="5"/>
  <c r="DR214" i="5"/>
  <c r="CS214" i="5"/>
  <c r="DA214" i="5"/>
  <c r="DH214" i="5"/>
  <c r="DO214" i="5"/>
  <c r="CU214" i="5"/>
  <c r="DB214" i="5"/>
  <c r="DI214" i="5"/>
  <c r="DP214" i="5"/>
  <c r="CX214" i="5"/>
  <c r="DJ214" i="5"/>
  <c r="DT214" i="5"/>
  <c r="DC214" i="5"/>
  <c r="DD214" i="5"/>
  <c r="CP214" i="5"/>
  <c r="DV214" i="5" s="1"/>
  <c r="CY214" i="5"/>
  <c r="DK214" i="5"/>
  <c r="DU214" i="5"/>
  <c r="CQ214" i="5"/>
  <c r="DM214" i="5"/>
  <c r="CR214" i="5"/>
  <c r="DN214" i="5"/>
  <c r="DG214" i="5"/>
  <c r="DQ214" i="5"/>
  <c r="DE214" i="5"/>
  <c r="DS214" i="5"/>
  <c r="CV214" i="5"/>
  <c r="CW214" i="5"/>
  <c r="CP128" i="5"/>
  <c r="DV128" i="5" s="1"/>
  <c r="CV128" i="5"/>
  <c r="DB128" i="5"/>
  <c r="DH128" i="5"/>
  <c r="DN128" i="5"/>
  <c r="DT128" i="5"/>
  <c r="CR128" i="5"/>
  <c r="CY128" i="5"/>
  <c r="DF128" i="5"/>
  <c r="DM128" i="5"/>
  <c r="DU128" i="5"/>
  <c r="CU128" i="5"/>
  <c r="DD128" i="5"/>
  <c r="DL128" i="5"/>
  <c r="CW128" i="5"/>
  <c r="DE128" i="5"/>
  <c r="DO128" i="5"/>
  <c r="DA128" i="5"/>
  <c r="DP128" i="5"/>
  <c r="CQ128" i="5"/>
  <c r="DW128" i="5" s="1"/>
  <c r="DC128" i="5"/>
  <c r="DQ128" i="5"/>
  <c r="DG128" i="5"/>
  <c r="CZ128" i="5"/>
  <c r="CS128" i="5"/>
  <c r="DI128" i="5"/>
  <c r="DJ128" i="5"/>
  <c r="DK128" i="5"/>
  <c r="CT128" i="5"/>
  <c r="CX128" i="5"/>
  <c r="DS128" i="5"/>
  <c r="DR128" i="5"/>
  <c r="CP158" i="5"/>
  <c r="DV158" i="5" s="1"/>
  <c r="CV158" i="5"/>
  <c r="DB158" i="5"/>
  <c r="DH158" i="5"/>
  <c r="DN158" i="5"/>
  <c r="DT158" i="5"/>
  <c r="CU158" i="5"/>
  <c r="DC158" i="5"/>
  <c r="DJ158" i="5"/>
  <c r="DQ158" i="5"/>
  <c r="CQ158" i="5"/>
  <c r="DW158" i="5" s="1"/>
  <c r="CY158" i="5"/>
  <c r="DG158" i="5"/>
  <c r="DP158" i="5"/>
  <c r="CR158" i="5"/>
  <c r="CZ158" i="5"/>
  <c r="DI158" i="5"/>
  <c r="DR158" i="5"/>
  <c r="CW158" i="5"/>
  <c r="DK158" i="5"/>
  <c r="CX158" i="5"/>
  <c r="DL158" i="5"/>
  <c r="DE158" i="5"/>
  <c r="CS158" i="5"/>
  <c r="DO158" i="5"/>
  <c r="DD158" i="5"/>
  <c r="CT158" i="5"/>
  <c r="DS158" i="5"/>
  <c r="DA158" i="5"/>
  <c r="DU158" i="5"/>
  <c r="DF158" i="5"/>
  <c r="DM158" i="5"/>
  <c r="CQ78" i="5"/>
  <c r="CW78" i="5"/>
  <c r="DC78" i="5"/>
  <c r="DI78" i="5"/>
  <c r="DO78" i="5"/>
  <c r="DU78" i="5"/>
  <c r="CP78" i="5"/>
  <c r="CX78" i="5"/>
  <c r="DE78" i="5"/>
  <c r="DL78" i="5"/>
  <c r="DS78" i="5"/>
  <c r="CS78" i="5"/>
  <c r="DA78" i="5"/>
  <c r="DJ78" i="5"/>
  <c r="DR78" i="5"/>
  <c r="CV78" i="5"/>
  <c r="DG78" i="5"/>
  <c r="DQ78" i="5"/>
  <c r="CY78" i="5"/>
  <c r="DH78" i="5"/>
  <c r="DT78" i="5"/>
  <c r="DD78" i="5"/>
  <c r="CR78" i="5"/>
  <c r="DF78" i="5"/>
  <c r="CZ78" i="5"/>
  <c r="DB78" i="5"/>
  <c r="DN78" i="5"/>
  <c r="DP78" i="5"/>
  <c r="CT78" i="5"/>
  <c r="CU78" i="5"/>
  <c r="DK78" i="5"/>
  <c r="DM78" i="5"/>
  <c r="CP58" i="5"/>
  <c r="CV58" i="5"/>
  <c r="DB58" i="5"/>
  <c r="DH58" i="5"/>
  <c r="DN58" i="5"/>
  <c r="DT58" i="5"/>
  <c r="CS58" i="5"/>
  <c r="CZ58" i="5"/>
  <c r="DG58" i="5"/>
  <c r="DO58" i="5"/>
  <c r="CT58" i="5"/>
  <c r="DC58" i="5"/>
  <c r="DK58" i="5"/>
  <c r="DS58" i="5"/>
  <c r="CU58" i="5"/>
  <c r="DE58" i="5"/>
  <c r="DP58" i="5"/>
  <c r="CY58" i="5"/>
  <c r="DL58" i="5"/>
  <c r="DA58" i="5"/>
  <c r="DM58" i="5"/>
  <c r="DD58" i="5"/>
  <c r="DU58" i="5"/>
  <c r="DF58" i="5"/>
  <c r="CQ58" i="5"/>
  <c r="DQ58" i="5"/>
  <c r="CR58" i="5"/>
  <c r="DR58" i="5"/>
  <c r="CW58" i="5"/>
  <c r="CX58" i="5"/>
  <c r="DI58" i="5"/>
  <c r="DJ58" i="5"/>
  <c r="CS113" i="5"/>
  <c r="CY113" i="5"/>
  <c r="DE113" i="5"/>
  <c r="DK113" i="5"/>
  <c r="DQ113" i="5"/>
  <c r="CP113" i="5"/>
  <c r="DV113" i="5" s="1"/>
  <c r="CW113" i="5"/>
  <c r="DD113" i="5"/>
  <c r="DL113" i="5"/>
  <c r="DS113" i="5"/>
  <c r="CX113" i="5"/>
  <c r="DG113" i="5"/>
  <c r="DO113" i="5"/>
  <c r="CQ113" i="5"/>
  <c r="CZ113" i="5"/>
  <c r="DH113" i="5"/>
  <c r="DP113" i="5"/>
  <c r="CR113" i="5"/>
  <c r="DC113" i="5"/>
  <c r="DR113" i="5"/>
  <c r="CT113" i="5"/>
  <c r="DF113" i="5"/>
  <c r="DT113" i="5"/>
  <c r="CU113" i="5"/>
  <c r="DM113" i="5"/>
  <c r="DA113" i="5"/>
  <c r="DU113" i="5"/>
  <c r="DN113" i="5"/>
  <c r="DB113" i="5"/>
  <c r="CV113" i="5"/>
  <c r="DI113" i="5"/>
  <c r="DJ113" i="5"/>
  <c r="CT91" i="5"/>
  <c r="CZ91" i="5"/>
  <c r="DF91" i="5"/>
  <c r="DL91" i="5"/>
  <c r="DR91" i="5"/>
  <c r="CS91" i="5"/>
  <c r="DA91" i="5"/>
  <c r="DH91" i="5"/>
  <c r="DO91" i="5"/>
  <c r="CV91" i="5"/>
  <c r="DD91" i="5"/>
  <c r="DM91" i="5"/>
  <c r="DU91" i="5"/>
  <c r="CR91" i="5"/>
  <c r="DC91" i="5"/>
  <c r="DN91" i="5"/>
  <c r="CU91" i="5"/>
  <c r="DE91" i="5"/>
  <c r="DP91" i="5"/>
  <c r="CW91" i="5"/>
  <c r="DJ91" i="5"/>
  <c r="CX91" i="5"/>
  <c r="DK91" i="5"/>
  <c r="CP91" i="5"/>
  <c r="DV91" i="5" s="1"/>
  <c r="DQ91" i="5"/>
  <c r="CQ91" i="5"/>
  <c r="DW91" i="5" s="1"/>
  <c r="DS91" i="5"/>
  <c r="DG91" i="5"/>
  <c r="DI91" i="5"/>
  <c r="DT91" i="5"/>
  <c r="CY91" i="5"/>
  <c r="DB91" i="5"/>
  <c r="CT99" i="5"/>
  <c r="CZ99" i="5"/>
  <c r="DF99" i="5"/>
  <c r="DL99" i="5"/>
  <c r="DR99" i="5"/>
  <c r="CV99" i="5"/>
  <c r="DC99" i="5"/>
  <c r="DJ99" i="5"/>
  <c r="DQ99" i="5"/>
  <c r="CQ99" i="5"/>
  <c r="CY99" i="5"/>
  <c r="DH99" i="5"/>
  <c r="DP99" i="5"/>
  <c r="CX99" i="5"/>
  <c r="DI99" i="5"/>
  <c r="DT99" i="5"/>
  <c r="CP99" i="5"/>
  <c r="DA99" i="5"/>
  <c r="DK99" i="5"/>
  <c r="DU99" i="5"/>
  <c r="CU99" i="5"/>
  <c r="DM99" i="5"/>
  <c r="CW99" i="5"/>
  <c r="DN99" i="5"/>
  <c r="DE99" i="5"/>
  <c r="DG99" i="5"/>
  <c r="CR99" i="5"/>
  <c r="CS99" i="5"/>
  <c r="DB99" i="5"/>
  <c r="DD99" i="5"/>
  <c r="DO99" i="5"/>
  <c r="DS99" i="5"/>
  <c r="CR52" i="5"/>
  <c r="CX52" i="5"/>
  <c r="DD52" i="5"/>
  <c r="CS52" i="5"/>
  <c r="CY52" i="5"/>
  <c r="DE52" i="5"/>
  <c r="CV52" i="5"/>
  <c r="DF52" i="5"/>
  <c r="DL52" i="5"/>
  <c r="DR52" i="5"/>
  <c r="CZ52" i="5"/>
  <c r="DI52" i="5"/>
  <c r="DP52" i="5"/>
  <c r="CU52" i="5"/>
  <c r="DH52" i="5"/>
  <c r="DQ52" i="5"/>
  <c r="DB52" i="5"/>
  <c r="DN52" i="5"/>
  <c r="CQ52" i="5"/>
  <c r="DJ52" i="5"/>
  <c r="DU52" i="5"/>
  <c r="CT52" i="5"/>
  <c r="DK52" i="5"/>
  <c r="DM52" i="5"/>
  <c r="CP52" i="5"/>
  <c r="DO52" i="5"/>
  <c r="DS52" i="5"/>
  <c r="DT52" i="5"/>
  <c r="CW52" i="5"/>
  <c r="DA52" i="5"/>
  <c r="DC52" i="5"/>
  <c r="DG52" i="5"/>
  <c r="CQ106" i="5"/>
  <c r="CW106" i="5"/>
  <c r="DC106" i="5"/>
  <c r="DI106" i="5"/>
  <c r="DO106" i="5"/>
  <c r="DU106" i="5"/>
  <c r="CU106" i="5"/>
  <c r="DB106" i="5"/>
  <c r="DJ106" i="5"/>
  <c r="DQ106" i="5"/>
  <c r="CS106" i="5"/>
  <c r="DA106" i="5"/>
  <c r="DK106" i="5"/>
  <c r="DS106" i="5"/>
  <c r="CT106" i="5"/>
  <c r="DE106" i="5"/>
  <c r="DN106" i="5"/>
  <c r="CV106" i="5"/>
  <c r="DF106" i="5"/>
  <c r="DP106" i="5"/>
  <c r="CX106" i="5"/>
  <c r="DL106" i="5"/>
  <c r="CY106" i="5"/>
  <c r="DM106" i="5"/>
  <c r="CP106" i="5"/>
  <c r="DV106" i="5" s="1"/>
  <c r="DR106" i="5"/>
  <c r="CR106" i="5"/>
  <c r="DT106" i="5"/>
  <c r="CZ106" i="5"/>
  <c r="DD106" i="5"/>
  <c r="DG106" i="5"/>
  <c r="DH106" i="5"/>
  <c r="CT81" i="5"/>
  <c r="CZ81" i="5"/>
  <c r="DF81" i="5"/>
  <c r="DL81" i="5"/>
  <c r="DR81" i="5"/>
  <c r="CR81" i="5"/>
  <c r="CY81" i="5"/>
  <c r="DG81" i="5"/>
  <c r="DN81" i="5"/>
  <c r="DU81" i="5"/>
  <c r="CW81" i="5"/>
  <c r="DE81" i="5"/>
  <c r="DO81" i="5"/>
  <c r="CQ81" i="5"/>
  <c r="DB81" i="5"/>
  <c r="DK81" i="5"/>
  <c r="CS81" i="5"/>
  <c r="DC81" i="5"/>
  <c r="DM81" i="5"/>
  <c r="CX81" i="5"/>
  <c r="DP81" i="5"/>
  <c r="DA81" i="5"/>
  <c r="DQ81" i="5"/>
  <c r="CU81" i="5"/>
  <c r="DS81" i="5"/>
  <c r="CV81" i="5"/>
  <c r="DT81" i="5"/>
  <c r="CP81" i="5"/>
  <c r="DD81" i="5"/>
  <c r="DH81" i="5"/>
  <c r="DI81" i="5"/>
  <c r="DJ81" i="5"/>
  <c r="CT40" i="5"/>
  <c r="CZ40" i="5"/>
  <c r="DF40" i="5"/>
  <c r="DL40" i="5"/>
  <c r="DR40" i="5"/>
  <c r="CU40" i="5"/>
  <c r="DA40" i="5"/>
  <c r="DG40" i="5"/>
  <c r="DM40" i="5"/>
  <c r="DS40" i="5"/>
  <c r="CR40" i="5"/>
  <c r="DB40" i="5"/>
  <c r="DJ40" i="5"/>
  <c r="DT40" i="5"/>
  <c r="CQ40" i="5"/>
  <c r="DC40" i="5"/>
  <c r="DN40" i="5"/>
  <c r="CX40" i="5"/>
  <c r="DK40" i="5"/>
  <c r="CP40" i="5"/>
  <c r="DE40" i="5"/>
  <c r="DU40" i="5"/>
  <c r="CS40" i="5"/>
  <c r="DI40" i="5"/>
  <c r="CV40" i="5"/>
  <c r="DO40" i="5"/>
  <c r="DP40" i="5"/>
  <c r="DQ40" i="5"/>
  <c r="CW40" i="5"/>
  <c r="CY40" i="5"/>
  <c r="DD40" i="5"/>
  <c r="DH40" i="5"/>
  <c r="CP46" i="5"/>
  <c r="CV46" i="5"/>
  <c r="DB46" i="5"/>
  <c r="DH46" i="5"/>
  <c r="DN46" i="5"/>
  <c r="DT46" i="5"/>
  <c r="CQ46" i="5"/>
  <c r="CW46" i="5"/>
  <c r="DC46" i="5"/>
  <c r="DI46" i="5"/>
  <c r="DO46" i="5"/>
  <c r="DU46" i="5"/>
  <c r="CT46" i="5"/>
  <c r="DD46" i="5"/>
  <c r="DL46" i="5"/>
  <c r="CZ46" i="5"/>
  <c r="DK46" i="5"/>
  <c r="CX46" i="5"/>
  <c r="DJ46" i="5"/>
  <c r="CU46" i="5"/>
  <c r="DM46" i="5"/>
  <c r="DA46" i="5"/>
  <c r="DR46" i="5"/>
  <c r="DE46" i="5"/>
  <c r="DS46" i="5"/>
  <c r="DP46" i="5"/>
  <c r="CR46" i="5"/>
  <c r="DQ46" i="5"/>
  <c r="DF46" i="5"/>
  <c r="DG46" i="5"/>
  <c r="CS46" i="5"/>
  <c r="CY46" i="5"/>
  <c r="CU54" i="5"/>
  <c r="DA54" i="5"/>
  <c r="DG54" i="5"/>
  <c r="DM54" i="5"/>
  <c r="DS54" i="5"/>
  <c r="CT54" i="5"/>
  <c r="DB54" i="5"/>
  <c r="DI54" i="5"/>
  <c r="DP54" i="5"/>
  <c r="CV54" i="5"/>
  <c r="DD54" i="5"/>
  <c r="DL54" i="5"/>
  <c r="DU54" i="5"/>
  <c r="CQ54" i="5"/>
  <c r="CZ54" i="5"/>
  <c r="DK54" i="5"/>
  <c r="CS54" i="5"/>
  <c r="DF54" i="5"/>
  <c r="DR54" i="5"/>
  <c r="CW54" i="5"/>
  <c r="DH54" i="5"/>
  <c r="DT54" i="5"/>
  <c r="DC54" i="5"/>
  <c r="DE54" i="5"/>
  <c r="DJ54" i="5"/>
  <c r="DN54" i="5"/>
  <c r="CX54" i="5"/>
  <c r="CY54" i="5"/>
  <c r="DO54" i="5"/>
  <c r="DQ54" i="5"/>
  <c r="CP54" i="5"/>
  <c r="CR54" i="5"/>
  <c r="CP166" i="5"/>
  <c r="DV166" i="5" s="1"/>
  <c r="CV166" i="5"/>
  <c r="DB166" i="5"/>
  <c r="DH166" i="5"/>
  <c r="DN166" i="5"/>
  <c r="DT166" i="5"/>
  <c r="CQ166" i="5"/>
  <c r="DW166" i="5" s="1"/>
  <c r="CX166" i="5"/>
  <c r="DE166" i="5"/>
  <c r="DL166" i="5"/>
  <c r="DS166" i="5"/>
  <c r="CS166" i="5"/>
  <c r="DA166" i="5"/>
  <c r="DJ166" i="5"/>
  <c r="DR166" i="5"/>
  <c r="CT166" i="5"/>
  <c r="DC166" i="5"/>
  <c r="DK166" i="5"/>
  <c r="DU166" i="5"/>
  <c r="DD166" i="5"/>
  <c r="DP166" i="5"/>
  <c r="CR166" i="5"/>
  <c r="DG166" i="5"/>
  <c r="DO166" i="5"/>
  <c r="CU166" i="5"/>
  <c r="DI166" i="5"/>
  <c r="CW166" i="5"/>
  <c r="DM166" i="5"/>
  <c r="CY166" i="5"/>
  <c r="CZ166" i="5"/>
  <c r="DF166" i="5"/>
  <c r="DQ166" i="5"/>
  <c r="CT246" i="5"/>
  <c r="CZ246" i="5"/>
  <c r="DF246" i="5"/>
  <c r="DL246" i="5"/>
  <c r="DR246" i="5"/>
  <c r="CV246" i="5"/>
  <c r="DC246" i="5"/>
  <c r="DJ246" i="5"/>
  <c r="DQ246" i="5"/>
  <c r="CP246" i="5"/>
  <c r="CW246" i="5"/>
  <c r="DD246" i="5"/>
  <c r="DK246" i="5"/>
  <c r="DS246" i="5"/>
  <c r="CQ246" i="5"/>
  <c r="DA246" i="5"/>
  <c r="DM246" i="5"/>
  <c r="DE246" i="5"/>
  <c r="CR246" i="5"/>
  <c r="DB246" i="5"/>
  <c r="DN246" i="5"/>
  <c r="CS246" i="5"/>
  <c r="DO246" i="5"/>
  <c r="CY246" i="5"/>
  <c r="DU246" i="5"/>
  <c r="DG246" i="5"/>
  <c r="DT246" i="5"/>
  <c r="CU246" i="5"/>
  <c r="CX246" i="5"/>
  <c r="DH246" i="5"/>
  <c r="DI246" i="5"/>
  <c r="DP246" i="5"/>
  <c r="CP311" i="5"/>
  <c r="CV311" i="5"/>
  <c r="DB311" i="5"/>
  <c r="DH311" i="5"/>
  <c r="DN311" i="5"/>
  <c r="DT311" i="5"/>
  <c r="CQ311" i="5"/>
  <c r="CX311" i="5"/>
  <c r="DE311" i="5"/>
  <c r="DL311" i="5"/>
  <c r="DS311" i="5"/>
  <c r="CZ311" i="5"/>
  <c r="DO311" i="5"/>
  <c r="CR311" i="5"/>
  <c r="CY311" i="5"/>
  <c r="DF311" i="5"/>
  <c r="DM311" i="5"/>
  <c r="DU311" i="5"/>
  <c r="CS311" i="5"/>
  <c r="DG311" i="5"/>
  <c r="DD311" i="5"/>
  <c r="DR311" i="5"/>
  <c r="CT311" i="5"/>
  <c r="DI311" i="5"/>
  <c r="CU311" i="5"/>
  <c r="DJ311" i="5"/>
  <c r="DP311" i="5"/>
  <c r="DQ311" i="5"/>
  <c r="CW311" i="5"/>
  <c r="DK311" i="5"/>
  <c r="DA311" i="5"/>
  <c r="DC311" i="5"/>
  <c r="CQ259" i="5"/>
  <c r="CW259" i="5"/>
  <c r="DC259" i="5"/>
  <c r="DI259" i="5"/>
  <c r="DO259" i="5"/>
  <c r="DU259" i="5"/>
  <c r="CR259" i="5"/>
  <c r="CY259" i="5"/>
  <c r="DF259" i="5"/>
  <c r="DM259" i="5"/>
  <c r="DT259" i="5"/>
  <c r="CS259" i="5"/>
  <c r="CZ259" i="5"/>
  <c r="DG259" i="5"/>
  <c r="DN259" i="5"/>
  <c r="CT259" i="5"/>
  <c r="DD259" i="5"/>
  <c r="DP259" i="5"/>
  <c r="DH259" i="5"/>
  <c r="CU259" i="5"/>
  <c r="DE259" i="5"/>
  <c r="DQ259" i="5"/>
  <c r="CV259" i="5"/>
  <c r="DR259" i="5"/>
  <c r="DB259" i="5"/>
  <c r="DJ259" i="5"/>
  <c r="DL259" i="5"/>
  <c r="DS259" i="5"/>
  <c r="CP259" i="5"/>
  <c r="DV259" i="5" s="1"/>
  <c r="CX259" i="5"/>
  <c r="DA259" i="5"/>
  <c r="DK259" i="5"/>
  <c r="CU277" i="5"/>
  <c r="DA277" i="5"/>
  <c r="DG277" i="5"/>
  <c r="DM277" i="5"/>
  <c r="DS277" i="5"/>
  <c r="CQ277" i="5"/>
  <c r="CX277" i="5"/>
  <c r="DE277" i="5"/>
  <c r="DL277" i="5"/>
  <c r="DT277" i="5"/>
  <c r="CS277" i="5"/>
  <c r="DH277" i="5"/>
  <c r="CR277" i="5"/>
  <c r="CY277" i="5"/>
  <c r="DF277" i="5"/>
  <c r="DN277" i="5"/>
  <c r="DU277" i="5"/>
  <c r="CZ277" i="5"/>
  <c r="DO277" i="5"/>
  <c r="CP277" i="5"/>
  <c r="DV277" i="5" s="1"/>
  <c r="DD277" i="5"/>
  <c r="DR277" i="5"/>
  <c r="CT277" i="5"/>
  <c r="DI277" i="5"/>
  <c r="CV277" i="5"/>
  <c r="DJ277" i="5"/>
  <c r="DB277" i="5"/>
  <c r="DC277" i="5"/>
  <c r="DK277" i="5"/>
  <c r="CW277" i="5"/>
  <c r="DQ277" i="5"/>
  <c r="DP277" i="5"/>
  <c r="CQ295" i="5"/>
  <c r="CW295" i="5"/>
  <c r="DC295" i="5"/>
  <c r="DI295" i="5"/>
  <c r="DO295" i="5"/>
  <c r="DU295" i="5"/>
  <c r="CV295" i="5"/>
  <c r="DD295" i="5"/>
  <c r="DK295" i="5"/>
  <c r="DR295" i="5"/>
  <c r="CY295" i="5"/>
  <c r="DM295" i="5"/>
  <c r="CP295" i="5"/>
  <c r="CX295" i="5"/>
  <c r="DE295" i="5"/>
  <c r="DL295" i="5"/>
  <c r="DS295" i="5"/>
  <c r="CR295" i="5"/>
  <c r="DF295" i="5"/>
  <c r="DT295" i="5"/>
  <c r="DB295" i="5"/>
  <c r="DQ295" i="5"/>
  <c r="CS295" i="5"/>
  <c r="DG295" i="5"/>
  <c r="CT295" i="5"/>
  <c r="DH295" i="5"/>
  <c r="DN295" i="5"/>
  <c r="DP295" i="5"/>
  <c r="CU295" i="5"/>
  <c r="DJ295" i="5"/>
  <c r="CZ295" i="5"/>
  <c r="DA295" i="5"/>
  <c r="CQ326" i="5"/>
  <c r="CW326" i="5"/>
  <c r="DC326" i="5"/>
  <c r="DI326" i="5"/>
  <c r="DO326" i="5"/>
  <c r="DU326" i="5"/>
  <c r="CU326" i="5"/>
  <c r="DB326" i="5"/>
  <c r="DJ326" i="5"/>
  <c r="DQ326" i="5"/>
  <c r="CP326" i="5"/>
  <c r="DE326" i="5"/>
  <c r="DS326" i="5"/>
  <c r="CV326" i="5"/>
  <c r="DD326" i="5"/>
  <c r="DK326" i="5"/>
  <c r="DR326" i="5"/>
  <c r="CX326" i="5"/>
  <c r="DL326" i="5"/>
  <c r="CT326" i="5"/>
  <c r="DH326" i="5"/>
  <c r="CY326" i="5"/>
  <c r="DM326" i="5"/>
  <c r="CZ326" i="5"/>
  <c r="DN326" i="5"/>
  <c r="CR326" i="5"/>
  <c r="DT326" i="5"/>
  <c r="CS326" i="5"/>
  <c r="DA326" i="5"/>
  <c r="DG326" i="5"/>
  <c r="DP326" i="5"/>
  <c r="DF326" i="5"/>
  <c r="CT240" i="5"/>
  <c r="CZ240" i="5"/>
  <c r="DF240" i="5"/>
  <c r="DL240" i="5"/>
  <c r="DR240" i="5"/>
  <c r="CR240" i="5"/>
  <c r="CY240" i="5"/>
  <c r="DG240" i="5"/>
  <c r="DN240" i="5"/>
  <c r="DU240" i="5"/>
  <c r="CS240" i="5"/>
  <c r="DA240" i="5"/>
  <c r="DH240" i="5"/>
  <c r="DO240" i="5"/>
  <c r="CU240" i="5"/>
  <c r="DD240" i="5"/>
  <c r="DP240" i="5"/>
  <c r="DI240" i="5"/>
  <c r="CV240" i="5"/>
  <c r="DE240" i="5"/>
  <c r="DQ240" i="5"/>
  <c r="CW240" i="5"/>
  <c r="DS240" i="5"/>
  <c r="DC240" i="5"/>
  <c r="DJ240" i="5"/>
  <c r="CQ240" i="5"/>
  <c r="CX240" i="5"/>
  <c r="DB240" i="5"/>
  <c r="DK240" i="5"/>
  <c r="DM240" i="5"/>
  <c r="DT240" i="5"/>
  <c r="CP240" i="5"/>
  <c r="CQ257" i="5"/>
  <c r="DW257" i="5" s="1"/>
  <c r="CW257" i="5"/>
  <c r="DC257" i="5"/>
  <c r="DI257" i="5"/>
  <c r="DO257" i="5"/>
  <c r="DU257" i="5"/>
  <c r="CS257" i="5"/>
  <c r="CZ257" i="5"/>
  <c r="DG257" i="5"/>
  <c r="DN257" i="5"/>
  <c r="CT257" i="5"/>
  <c r="DA257" i="5"/>
  <c r="DH257" i="5"/>
  <c r="DP257" i="5"/>
  <c r="CU257" i="5"/>
  <c r="DE257" i="5"/>
  <c r="DQ257" i="5"/>
  <c r="DJ257" i="5"/>
  <c r="CV257" i="5"/>
  <c r="DF257" i="5"/>
  <c r="DR257" i="5"/>
  <c r="CX257" i="5"/>
  <c r="DS257" i="5"/>
  <c r="DD257" i="5"/>
  <c r="DK257" i="5"/>
  <c r="DM257" i="5"/>
  <c r="CP257" i="5"/>
  <c r="DV257" i="5" s="1"/>
  <c r="DT257" i="5"/>
  <c r="CR257" i="5"/>
  <c r="CY257" i="5"/>
  <c r="DL257" i="5"/>
  <c r="DB257" i="5"/>
  <c r="CP130" i="5"/>
  <c r="DV130" i="5" s="1"/>
  <c r="CV130" i="5"/>
  <c r="DB130" i="5"/>
  <c r="DH130" i="5"/>
  <c r="DN130" i="5"/>
  <c r="DT130" i="5"/>
  <c r="CQ130" i="5"/>
  <c r="DW130" i="5" s="1"/>
  <c r="CX130" i="5"/>
  <c r="DE130" i="5"/>
  <c r="DL130" i="5"/>
  <c r="DS130" i="5"/>
  <c r="CY130" i="5"/>
  <c r="DG130" i="5"/>
  <c r="DP130" i="5"/>
  <c r="CR130" i="5"/>
  <c r="CZ130" i="5"/>
  <c r="DI130" i="5"/>
  <c r="DQ130" i="5"/>
  <c r="DA130" i="5"/>
  <c r="DM130" i="5"/>
  <c r="DC130" i="5"/>
  <c r="DO130" i="5"/>
  <c r="CU130" i="5"/>
  <c r="DR130" i="5"/>
  <c r="DF130" i="5"/>
  <c r="DJ130" i="5"/>
  <c r="CS130" i="5"/>
  <c r="DK130" i="5"/>
  <c r="CT130" i="5"/>
  <c r="DU130" i="5"/>
  <c r="CW130" i="5"/>
  <c r="DD130" i="5"/>
  <c r="CQ241" i="5"/>
  <c r="CW241" i="5"/>
  <c r="DC241" i="5"/>
  <c r="DI241" i="5"/>
  <c r="DO241" i="5"/>
  <c r="DU241" i="5"/>
  <c r="CU241" i="5"/>
  <c r="DB241" i="5"/>
  <c r="DJ241" i="5"/>
  <c r="DQ241" i="5"/>
  <c r="CV241" i="5"/>
  <c r="DD241" i="5"/>
  <c r="DK241" i="5"/>
  <c r="DR241" i="5"/>
  <c r="CS241" i="5"/>
  <c r="DE241" i="5"/>
  <c r="DN241" i="5"/>
  <c r="CX241" i="5"/>
  <c r="DS241" i="5"/>
  <c r="CT241" i="5"/>
  <c r="DF241" i="5"/>
  <c r="DP241" i="5"/>
  <c r="DG241" i="5"/>
  <c r="CR241" i="5"/>
  <c r="DM241" i="5"/>
  <c r="CY241" i="5"/>
  <c r="DT241" i="5"/>
  <c r="CP241" i="5"/>
  <c r="DV241" i="5" s="1"/>
  <c r="CZ241" i="5"/>
  <c r="DA241" i="5"/>
  <c r="DH241" i="5"/>
  <c r="DL241" i="5"/>
  <c r="CT322" i="5"/>
  <c r="CZ322" i="5"/>
  <c r="DF322" i="5"/>
  <c r="DL322" i="5"/>
  <c r="DR322" i="5"/>
  <c r="CU322" i="5"/>
  <c r="DB322" i="5"/>
  <c r="DI322" i="5"/>
  <c r="DP322" i="5"/>
  <c r="CP322" i="5"/>
  <c r="DD322" i="5"/>
  <c r="DS322" i="5"/>
  <c r="CV322" i="5"/>
  <c r="DC322" i="5"/>
  <c r="DJ322" i="5"/>
  <c r="DQ322" i="5"/>
  <c r="CW322" i="5"/>
  <c r="DK322" i="5"/>
  <c r="CS322" i="5"/>
  <c r="DH322" i="5"/>
  <c r="CX322" i="5"/>
  <c r="DM322" i="5"/>
  <c r="CY322" i="5"/>
  <c r="DN322" i="5"/>
  <c r="DE322" i="5"/>
  <c r="DG322" i="5"/>
  <c r="DO322" i="5"/>
  <c r="DU322" i="5"/>
  <c r="DT322" i="5"/>
  <c r="CQ322" i="5"/>
  <c r="DA322" i="5"/>
  <c r="CR322" i="5"/>
  <c r="CS325" i="5"/>
  <c r="CY325" i="5"/>
  <c r="DE325" i="5"/>
  <c r="DK325" i="5"/>
  <c r="DQ325" i="5"/>
  <c r="CQ325" i="5"/>
  <c r="CX325" i="5"/>
  <c r="DF325" i="5"/>
  <c r="DM325" i="5"/>
  <c r="DT325" i="5"/>
  <c r="CT325" i="5"/>
  <c r="DH325" i="5"/>
  <c r="CR325" i="5"/>
  <c r="CZ325" i="5"/>
  <c r="DG325" i="5"/>
  <c r="DN325" i="5"/>
  <c r="DU325" i="5"/>
  <c r="DA325" i="5"/>
  <c r="DO325" i="5"/>
  <c r="CW325" i="5"/>
  <c r="DL325" i="5"/>
  <c r="DB325" i="5"/>
  <c r="DP325" i="5"/>
  <c r="DC325" i="5"/>
  <c r="DR325" i="5"/>
  <c r="CU325" i="5"/>
  <c r="CV325" i="5"/>
  <c r="DD325" i="5"/>
  <c r="CP325" i="5"/>
  <c r="DI325" i="5"/>
  <c r="DS325" i="5"/>
  <c r="DJ325" i="5"/>
  <c r="CS139" i="5"/>
  <c r="CY139" i="5"/>
  <c r="DE139" i="5"/>
  <c r="DK139" i="5"/>
  <c r="DQ139" i="5"/>
  <c r="CV139" i="5"/>
  <c r="DC139" i="5"/>
  <c r="DJ139" i="5"/>
  <c r="DR139" i="5"/>
  <c r="CU139" i="5"/>
  <c r="DD139" i="5"/>
  <c r="DM139" i="5"/>
  <c r="DU139" i="5"/>
  <c r="CW139" i="5"/>
  <c r="DF139" i="5"/>
  <c r="DN139" i="5"/>
  <c r="CP139" i="5"/>
  <c r="DV139" i="5" s="1"/>
  <c r="DA139" i="5"/>
  <c r="DO139" i="5"/>
  <c r="CQ139" i="5"/>
  <c r="DW139" i="5" s="1"/>
  <c r="DB139" i="5"/>
  <c r="DP139" i="5"/>
  <c r="CR139" i="5"/>
  <c r="DI139" i="5"/>
  <c r="DL139" i="5"/>
  <c r="CT139" i="5"/>
  <c r="DS139" i="5"/>
  <c r="CX139" i="5"/>
  <c r="DT139" i="5"/>
  <c r="CZ139" i="5"/>
  <c r="DG139" i="5"/>
  <c r="DH139" i="5"/>
  <c r="CT222" i="5"/>
  <c r="CZ222" i="5"/>
  <c r="DF222" i="5"/>
  <c r="DL222" i="5"/>
  <c r="DR222" i="5"/>
  <c r="CV222" i="5"/>
  <c r="DC222" i="5"/>
  <c r="DJ222" i="5"/>
  <c r="DQ222" i="5"/>
  <c r="CP222" i="5"/>
  <c r="CW222" i="5"/>
  <c r="DD222" i="5"/>
  <c r="DK222" i="5"/>
  <c r="DS222" i="5"/>
  <c r="CS222" i="5"/>
  <c r="DE222" i="5"/>
  <c r="DO222" i="5"/>
  <c r="CX222" i="5"/>
  <c r="DT222" i="5"/>
  <c r="CY222" i="5"/>
  <c r="DU222" i="5"/>
  <c r="CU222" i="5"/>
  <c r="DG222" i="5"/>
  <c r="DP222" i="5"/>
  <c r="DH222" i="5"/>
  <c r="DI222" i="5"/>
  <c r="DB222" i="5"/>
  <c r="DM222" i="5"/>
  <c r="CQ222" i="5"/>
  <c r="CR222" i="5"/>
  <c r="DA222" i="5"/>
  <c r="DN222" i="5"/>
  <c r="CS264" i="5"/>
  <c r="CY264" i="5"/>
  <c r="DE264" i="5"/>
  <c r="DK264" i="5"/>
  <c r="DQ264" i="5"/>
  <c r="CQ264" i="5"/>
  <c r="CX264" i="5"/>
  <c r="DF264" i="5"/>
  <c r="CR264" i="5"/>
  <c r="CZ264" i="5"/>
  <c r="DG264" i="5"/>
  <c r="DA264" i="5"/>
  <c r="DJ264" i="5"/>
  <c r="DR264" i="5"/>
  <c r="DC264" i="5"/>
  <c r="DT264" i="5"/>
  <c r="CP264" i="5"/>
  <c r="DB264" i="5"/>
  <c r="DL264" i="5"/>
  <c r="DS264" i="5"/>
  <c r="CT264" i="5"/>
  <c r="DM264" i="5"/>
  <c r="CU264" i="5"/>
  <c r="DN264" i="5"/>
  <c r="CV264" i="5"/>
  <c r="DP264" i="5"/>
  <c r="CW264" i="5"/>
  <c r="DU264" i="5"/>
  <c r="DD264" i="5"/>
  <c r="DH264" i="5"/>
  <c r="DI264" i="5"/>
  <c r="DO264" i="5"/>
  <c r="CP282" i="5"/>
  <c r="CV282" i="5"/>
  <c r="DB282" i="5"/>
  <c r="DH282" i="5"/>
  <c r="DN282" i="5"/>
  <c r="DT282" i="5"/>
  <c r="CW282" i="5"/>
  <c r="DD282" i="5"/>
  <c r="DK282" i="5"/>
  <c r="DR282" i="5"/>
  <c r="CY282" i="5"/>
  <c r="DM282" i="5"/>
  <c r="CQ282" i="5"/>
  <c r="CX282" i="5"/>
  <c r="DE282" i="5"/>
  <c r="DL282" i="5"/>
  <c r="DS282" i="5"/>
  <c r="CR282" i="5"/>
  <c r="DF282" i="5"/>
  <c r="DU282" i="5"/>
  <c r="CU282" i="5"/>
  <c r="DJ282" i="5"/>
  <c r="CZ282" i="5"/>
  <c r="DO282" i="5"/>
  <c r="DA282" i="5"/>
  <c r="DP282" i="5"/>
  <c r="DG282" i="5"/>
  <c r="DI282" i="5"/>
  <c r="DQ282" i="5"/>
  <c r="DC282" i="5"/>
  <c r="CS282" i="5"/>
  <c r="CT282" i="5"/>
  <c r="CR300" i="5"/>
  <c r="CX300" i="5"/>
  <c r="DD300" i="5"/>
  <c r="DJ300" i="5"/>
  <c r="DP300" i="5"/>
  <c r="CT300" i="5"/>
  <c r="DA300" i="5"/>
  <c r="DH300" i="5"/>
  <c r="DO300" i="5"/>
  <c r="CV300" i="5"/>
  <c r="DK300" i="5"/>
  <c r="CU300" i="5"/>
  <c r="DB300" i="5"/>
  <c r="DI300" i="5"/>
  <c r="DQ300" i="5"/>
  <c r="DC300" i="5"/>
  <c r="DR300" i="5"/>
  <c r="CZ300" i="5"/>
  <c r="DN300" i="5"/>
  <c r="CP300" i="5"/>
  <c r="DE300" i="5"/>
  <c r="DS300" i="5"/>
  <c r="CQ300" i="5"/>
  <c r="DF300" i="5"/>
  <c r="DT300" i="5"/>
  <c r="CW300" i="5"/>
  <c r="CY300" i="5"/>
  <c r="DG300" i="5"/>
  <c r="CS300" i="5"/>
  <c r="DU300" i="5"/>
  <c r="DL300" i="5"/>
  <c r="DM300" i="5"/>
  <c r="CQ183" i="5"/>
  <c r="CW183" i="5"/>
  <c r="DC183" i="5"/>
  <c r="DI183" i="5"/>
  <c r="DO183" i="5"/>
  <c r="DU183" i="5"/>
  <c r="CT183" i="5"/>
  <c r="DA183" i="5"/>
  <c r="DH183" i="5"/>
  <c r="DP183" i="5"/>
  <c r="CU183" i="5"/>
  <c r="DB183" i="5"/>
  <c r="DJ183" i="5"/>
  <c r="DQ183" i="5"/>
  <c r="CR183" i="5"/>
  <c r="DD183" i="5"/>
  <c r="DM183" i="5"/>
  <c r="CX183" i="5"/>
  <c r="DK183" i="5"/>
  <c r="DE183" i="5"/>
  <c r="CY183" i="5"/>
  <c r="DL183" i="5"/>
  <c r="CZ183" i="5"/>
  <c r="DN183" i="5"/>
  <c r="CP183" i="5"/>
  <c r="DR183" i="5"/>
  <c r="DS183" i="5"/>
  <c r="DT183" i="5"/>
  <c r="CS183" i="5"/>
  <c r="CV183" i="5"/>
  <c r="DF183" i="5"/>
  <c r="DG183" i="5"/>
  <c r="CS169" i="5"/>
  <c r="CY169" i="5"/>
  <c r="DE169" i="5"/>
  <c r="DK169" i="5"/>
  <c r="DQ169" i="5"/>
  <c r="CR169" i="5"/>
  <c r="CZ169" i="5"/>
  <c r="DG169" i="5"/>
  <c r="DN169" i="5"/>
  <c r="DU169" i="5"/>
  <c r="CW169" i="5"/>
  <c r="DF169" i="5"/>
  <c r="DO169" i="5"/>
  <c r="CP169" i="5"/>
  <c r="DV169" i="5" s="1"/>
  <c r="CX169" i="5"/>
  <c r="DH169" i="5"/>
  <c r="DP169" i="5"/>
  <c r="CU169" i="5"/>
  <c r="DI169" i="5"/>
  <c r="DT169" i="5"/>
  <c r="DB169" i="5"/>
  <c r="DR169" i="5"/>
  <c r="CT169" i="5"/>
  <c r="DC169" i="5"/>
  <c r="DS169" i="5"/>
  <c r="CQ169" i="5"/>
  <c r="DW169" i="5" s="1"/>
  <c r="DD169" i="5"/>
  <c r="DJ169" i="5"/>
  <c r="CV169" i="5"/>
  <c r="DA169" i="5"/>
  <c r="DL169" i="5"/>
  <c r="DM169" i="5"/>
  <c r="CS145" i="5"/>
  <c r="CY145" i="5"/>
  <c r="DE145" i="5"/>
  <c r="DK145" i="5"/>
  <c r="DQ145" i="5"/>
  <c r="CR145" i="5"/>
  <c r="CZ145" i="5"/>
  <c r="DG145" i="5"/>
  <c r="DN145" i="5"/>
  <c r="DU145" i="5"/>
  <c r="CV145" i="5"/>
  <c r="DD145" i="5"/>
  <c r="DM145" i="5"/>
  <c r="CW145" i="5"/>
  <c r="DF145" i="5"/>
  <c r="DO145" i="5"/>
  <c r="CX145" i="5"/>
  <c r="DJ145" i="5"/>
  <c r="DA145" i="5"/>
  <c r="DL145" i="5"/>
  <c r="CP145" i="5"/>
  <c r="DV145" i="5" s="1"/>
  <c r="DH145" i="5"/>
  <c r="DB145" i="5"/>
  <c r="DT145" i="5"/>
  <c r="CQ145" i="5"/>
  <c r="DW145" i="5" s="1"/>
  <c r="DC145" i="5"/>
  <c r="DI145" i="5"/>
  <c r="DP145" i="5"/>
  <c r="CT145" i="5"/>
  <c r="CU145" i="5"/>
  <c r="DR145" i="5"/>
  <c r="DS145" i="5"/>
  <c r="CQ187" i="5"/>
  <c r="CW187" i="5"/>
  <c r="DC187" i="5"/>
  <c r="DI187" i="5"/>
  <c r="DO187" i="5"/>
  <c r="DU187" i="5"/>
  <c r="CR187" i="5"/>
  <c r="CY187" i="5"/>
  <c r="DF187" i="5"/>
  <c r="DM187" i="5"/>
  <c r="DT187" i="5"/>
  <c r="CS187" i="5"/>
  <c r="CZ187" i="5"/>
  <c r="DG187" i="5"/>
  <c r="DN187" i="5"/>
  <c r="DA187" i="5"/>
  <c r="DK187" i="5"/>
  <c r="CU187" i="5"/>
  <c r="DH187" i="5"/>
  <c r="DS187" i="5"/>
  <c r="DP187" i="5"/>
  <c r="CV187" i="5"/>
  <c r="DJ187" i="5"/>
  <c r="CX187" i="5"/>
  <c r="DL187" i="5"/>
  <c r="DB187" i="5"/>
  <c r="DD187" i="5"/>
  <c r="DE187" i="5"/>
  <c r="DQ187" i="5"/>
  <c r="DR187" i="5"/>
  <c r="CP187" i="5"/>
  <c r="DV187" i="5" s="1"/>
  <c r="CT187" i="5"/>
  <c r="CS125" i="5"/>
  <c r="CY125" i="5"/>
  <c r="DE125" i="5"/>
  <c r="DK125" i="5"/>
  <c r="DQ125" i="5"/>
  <c r="CP125" i="5"/>
  <c r="DV125" i="5" s="1"/>
  <c r="CW125" i="5"/>
  <c r="DD125" i="5"/>
  <c r="DL125" i="5"/>
  <c r="DS125" i="5"/>
  <c r="CQ125" i="5"/>
  <c r="CZ125" i="5"/>
  <c r="DH125" i="5"/>
  <c r="DP125" i="5"/>
  <c r="CR125" i="5"/>
  <c r="DA125" i="5"/>
  <c r="DI125" i="5"/>
  <c r="DR125" i="5"/>
  <c r="CV125" i="5"/>
  <c r="DJ125" i="5"/>
  <c r="CX125" i="5"/>
  <c r="DM125" i="5"/>
  <c r="DF125" i="5"/>
  <c r="DG125" i="5"/>
  <c r="CU125" i="5"/>
  <c r="DN125" i="5"/>
  <c r="CT125" i="5"/>
  <c r="DO125" i="5"/>
  <c r="DT125" i="5"/>
  <c r="DB125" i="5"/>
  <c r="DC125" i="5"/>
  <c r="DU125" i="5"/>
  <c r="CP172" i="5"/>
  <c r="DV172" i="5" s="1"/>
  <c r="CV172" i="5"/>
  <c r="DB172" i="5"/>
  <c r="DH172" i="5"/>
  <c r="DN172" i="5"/>
  <c r="DT172" i="5"/>
  <c r="CT172" i="5"/>
  <c r="DA172" i="5"/>
  <c r="DI172" i="5"/>
  <c r="DP172" i="5"/>
  <c r="CS172" i="5"/>
  <c r="DC172" i="5"/>
  <c r="DK172" i="5"/>
  <c r="DS172" i="5"/>
  <c r="CU172" i="5"/>
  <c r="DD172" i="5"/>
  <c r="DL172" i="5"/>
  <c r="DU172" i="5"/>
  <c r="CY172" i="5"/>
  <c r="DM172" i="5"/>
  <c r="CW172" i="5"/>
  <c r="DJ172" i="5"/>
  <c r="DR172" i="5"/>
  <c r="CX172" i="5"/>
  <c r="DO172" i="5"/>
  <c r="CZ172" i="5"/>
  <c r="DQ172" i="5"/>
  <c r="DE172" i="5"/>
  <c r="CQ172" i="5"/>
  <c r="CR172" i="5"/>
  <c r="DF172" i="5"/>
  <c r="DG172" i="5"/>
  <c r="CS131" i="5"/>
  <c r="CY131" i="5"/>
  <c r="DE131" i="5"/>
  <c r="DK131" i="5"/>
  <c r="DQ131" i="5"/>
  <c r="CT131" i="5"/>
  <c r="DA131" i="5"/>
  <c r="DH131" i="5"/>
  <c r="DO131" i="5"/>
  <c r="CQ131" i="5"/>
  <c r="DW131" i="5" s="1"/>
  <c r="CZ131" i="5"/>
  <c r="DI131" i="5"/>
  <c r="DR131" i="5"/>
  <c r="CR131" i="5"/>
  <c r="DB131" i="5"/>
  <c r="DJ131" i="5"/>
  <c r="DS131" i="5"/>
  <c r="CU131" i="5"/>
  <c r="DF131" i="5"/>
  <c r="DT131" i="5"/>
  <c r="CV131" i="5"/>
  <c r="DG131" i="5"/>
  <c r="DU131" i="5"/>
  <c r="DC131" i="5"/>
  <c r="CW131" i="5"/>
  <c r="DP131" i="5"/>
  <c r="DL131" i="5"/>
  <c r="CX131" i="5"/>
  <c r="DD131" i="5"/>
  <c r="DM131" i="5"/>
  <c r="DN131" i="5"/>
  <c r="CP131" i="5"/>
  <c r="DV131" i="5" s="1"/>
  <c r="CQ82" i="5"/>
  <c r="CW82" i="5"/>
  <c r="DC82" i="5"/>
  <c r="DI82" i="5"/>
  <c r="DO82" i="5"/>
  <c r="DU82" i="5"/>
  <c r="CU82" i="5"/>
  <c r="DB82" i="5"/>
  <c r="DJ82" i="5"/>
  <c r="DQ82" i="5"/>
  <c r="CP82" i="5"/>
  <c r="DV82" i="5" s="1"/>
  <c r="CY82" i="5"/>
  <c r="DG82" i="5"/>
  <c r="DP82" i="5"/>
  <c r="CZ82" i="5"/>
  <c r="DK82" i="5"/>
  <c r="DT82" i="5"/>
  <c r="CR82" i="5"/>
  <c r="DA82" i="5"/>
  <c r="DL82" i="5"/>
  <c r="CV82" i="5"/>
  <c r="DM82" i="5"/>
  <c r="CX82" i="5"/>
  <c r="DN82" i="5"/>
  <c r="DF82" i="5"/>
  <c r="DH82" i="5"/>
  <c r="CS82" i="5"/>
  <c r="CT82" i="5"/>
  <c r="DD82" i="5"/>
  <c r="DE82" i="5"/>
  <c r="DR82" i="5"/>
  <c r="DS82" i="5"/>
  <c r="CS66" i="5"/>
  <c r="CY66" i="5"/>
  <c r="DE66" i="5"/>
  <c r="DK66" i="5"/>
  <c r="DQ66" i="5"/>
  <c r="CQ66" i="5"/>
  <c r="CX66" i="5"/>
  <c r="DF66" i="5"/>
  <c r="DM66" i="5"/>
  <c r="DT66" i="5"/>
  <c r="CR66" i="5"/>
  <c r="DA66" i="5"/>
  <c r="DI66" i="5"/>
  <c r="DR66" i="5"/>
  <c r="CT66" i="5"/>
  <c r="DC66" i="5"/>
  <c r="DN66" i="5"/>
  <c r="CZ66" i="5"/>
  <c r="DL66" i="5"/>
  <c r="DB66" i="5"/>
  <c r="DO66" i="5"/>
  <c r="DD66" i="5"/>
  <c r="DU66" i="5"/>
  <c r="DG66" i="5"/>
  <c r="DH66" i="5"/>
  <c r="DJ66" i="5"/>
  <c r="CP66" i="5"/>
  <c r="CU66" i="5"/>
  <c r="CV66" i="5"/>
  <c r="CW66" i="5"/>
  <c r="DP66" i="5"/>
  <c r="DS66" i="5"/>
  <c r="CQ88" i="5"/>
  <c r="CW88" i="5"/>
  <c r="DC88" i="5"/>
  <c r="DI88" i="5"/>
  <c r="DO88" i="5"/>
  <c r="DU88" i="5"/>
  <c r="CR88" i="5"/>
  <c r="CY88" i="5"/>
  <c r="DF88" i="5"/>
  <c r="DM88" i="5"/>
  <c r="DT88" i="5"/>
  <c r="CP88" i="5"/>
  <c r="DV88" i="5" s="1"/>
  <c r="CZ88" i="5"/>
  <c r="DH88" i="5"/>
  <c r="DQ88" i="5"/>
  <c r="CX88" i="5"/>
  <c r="DJ88" i="5"/>
  <c r="DS88" i="5"/>
  <c r="DA88" i="5"/>
  <c r="DK88" i="5"/>
  <c r="DB88" i="5"/>
  <c r="DP88" i="5"/>
  <c r="DD88" i="5"/>
  <c r="DR88" i="5"/>
  <c r="CU88" i="5"/>
  <c r="CV88" i="5"/>
  <c r="DE88" i="5"/>
  <c r="DG88" i="5"/>
  <c r="DL88" i="5"/>
  <c r="DN88" i="5"/>
  <c r="CS88" i="5"/>
  <c r="CT88" i="5"/>
  <c r="CU63" i="5"/>
  <c r="DA63" i="5"/>
  <c r="DG63" i="5"/>
  <c r="DM63" i="5"/>
  <c r="DS63" i="5"/>
  <c r="CV63" i="5"/>
  <c r="DC63" i="5"/>
  <c r="DJ63" i="5"/>
  <c r="DQ63" i="5"/>
  <c r="CT63" i="5"/>
  <c r="DD63" i="5"/>
  <c r="DL63" i="5"/>
  <c r="DU63" i="5"/>
  <c r="CX63" i="5"/>
  <c r="DH63" i="5"/>
  <c r="DR63" i="5"/>
  <c r="CY63" i="5"/>
  <c r="DK63" i="5"/>
  <c r="CP63" i="5"/>
  <c r="CZ63" i="5"/>
  <c r="DN63" i="5"/>
  <c r="CQ63" i="5"/>
  <c r="DF63" i="5"/>
  <c r="CR63" i="5"/>
  <c r="DI63" i="5"/>
  <c r="CS63" i="5"/>
  <c r="DT63" i="5"/>
  <c r="CW63" i="5"/>
  <c r="DB63" i="5"/>
  <c r="DE63" i="5"/>
  <c r="DO63" i="5"/>
  <c r="DP63" i="5"/>
  <c r="CT281" i="5"/>
  <c r="CZ281" i="5"/>
  <c r="DF281" i="5"/>
  <c r="DL281" i="5"/>
  <c r="DR281" i="5"/>
  <c r="CU281" i="5"/>
  <c r="DB281" i="5"/>
  <c r="DI281" i="5"/>
  <c r="DP281" i="5"/>
  <c r="CP281" i="5"/>
  <c r="DD281" i="5"/>
  <c r="DS281" i="5"/>
  <c r="CV281" i="5"/>
  <c r="DC281" i="5"/>
  <c r="DJ281" i="5"/>
  <c r="DQ281" i="5"/>
  <c r="CW281" i="5"/>
  <c r="DK281" i="5"/>
  <c r="DA281" i="5"/>
  <c r="DO281" i="5"/>
  <c r="CQ281" i="5"/>
  <c r="DE281" i="5"/>
  <c r="DT281" i="5"/>
  <c r="CR281" i="5"/>
  <c r="DG281" i="5"/>
  <c r="DU281" i="5"/>
  <c r="DM281" i="5"/>
  <c r="DN281" i="5"/>
  <c r="CS281" i="5"/>
  <c r="DH281" i="5"/>
  <c r="CX281" i="5"/>
  <c r="CY281" i="5"/>
  <c r="CT289" i="5"/>
  <c r="CZ289" i="5"/>
  <c r="DF289" i="5"/>
  <c r="DL289" i="5"/>
  <c r="DR289" i="5"/>
  <c r="CP289" i="5"/>
  <c r="CW289" i="5"/>
  <c r="DD289" i="5"/>
  <c r="DK289" i="5"/>
  <c r="DS289" i="5"/>
  <c r="CR289" i="5"/>
  <c r="DG289" i="5"/>
  <c r="DU289" i="5"/>
  <c r="CQ289" i="5"/>
  <c r="CX289" i="5"/>
  <c r="DE289" i="5"/>
  <c r="DM289" i="5"/>
  <c r="DT289" i="5"/>
  <c r="CY289" i="5"/>
  <c r="DN289" i="5"/>
  <c r="CV289" i="5"/>
  <c r="DJ289" i="5"/>
  <c r="DA289" i="5"/>
  <c r="DO289" i="5"/>
  <c r="DB289" i="5"/>
  <c r="DP289" i="5"/>
  <c r="DH289" i="5"/>
  <c r="DI289" i="5"/>
  <c r="DQ289" i="5"/>
  <c r="DC289" i="5"/>
  <c r="CS289" i="5"/>
  <c r="CU289" i="5"/>
  <c r="CS171" i="5"/>
  <c r="CY171" i="5"/>
  <c r="DE171" i="5"/>
  <c r="DK171" i="5"/>
  <c r="DQ171" i="5"/>
  <c r="CQ171" i="5"/>
  <c r="CX171" i="5"/>
  <c r="DF171" i="5"/>
  <c r="DM171" i="5"/>
  <c r="DT171" i="5"/>
  <c r="CR171" i="5"/>
  <c r="DA171" i="5"/>
  <c r="DI171" i="5"/>
  <c r="DR171" i="5"/>
  <c r="CT171" i="5"/>
  <c r="DB171" i="5"/>
  <c r="DJ171" i="5"/>
  <c r="DS171" i="5"/>
  <c r="CU171" i="5"/>
  <c r="DG171" i="5"/>
  <c r="DU171" i="5"/>
  <c r="CW171" i="5"/>
  <c r="DN171" i="5"/>
  <c r="CZ171" i="5"/>
  <c r="DO171" i="5"/>
  <c r="DC171" i="5"/>
  <c r="DP171" i="5"/>
  <c r="DD171" i="5"/>
  <c r="DH171" i="5"/>
  <c r="DL171" i="5"/>
  <c r="CP171" i="5"/>
  <c r="CV171" i="5"/>
  <c r="CR310" i="5"/>
  <c r="CX310" i="5"/>
  <c r="DD310" i="5"/>
  <c r="DJ310" i="5"/>
  <c r="DP310" i="5"/>
  <c r="CT310" i="5"/>
  <c r="DA310" i="5"/>
  <c r="DH310" i="5"/>
  <c r="DO310" i="5"/>
  <c r="CV310" i="5"/>
  <c r="DK310" i="5"/>
  <c r="CU310" i="5"/>
  <c r="DB310" i="5"/>
  <c r="DI310" i="5"/>
  <c r="DQ310" i="5"/>
  <c r="DC310" i="5"/>
  <c r="DR310" i="5"/>
  <c r="CS310" i="5"/>
  <c r="DG310" i="5"/>
  <c r="DU310" i="5"/>
  <c r="CW310" i="5"/>
  <c r="DL310" i="5"/>
  <c r="CY310" i="5"/>
  <c r="DM310" i="5"/>
  <c r="CP310" i="5"/>
  <c r="DS310" i="5"/>
  <c r="CQ310" i="5"/>
  <c r="DT310" i="5"/>
  <c r="CZ310" i="5"/>
  <c r="DN310" i="5"/>
  <c r="DE310" i="5"/>
  <c r="DF310" i="5"/>
  <c r="CQ185" i="5"/>
  <c r="CW185" i="5"/>
  <c r="DC185" i="5"/>
  <c r="DI185" i="5"/>
  <c r="DO185" i="5"/>
  <c r="DU185" i="5"/>
  <c r="CS185" i="5"/>
  <c r="CZ185" i="5"/>
  <c r="DG185" i="5"/>
  <c r="DN185" i="5"/>
  <c r="CT185" i="5"/>
  <c r="DA185" i="5"/>
  <c r="DH185" i="5"/>
  <c r="DP185" i="5"/>
  <c r="CP185" i="5"/>
  <c r="DV185" i="5" s="1"/>
  <c r="DB185" i="5"/>
  <c r="DL185" i="5"/>
  <c r="CV185" i="5"/>
  <c r="DJ185" i="5"/>
  <c r="DT185" i="5"/>
  <c r="DD185" i="5"/>
  <c r="CX185" i="5"/>
  <c r="DK185" i="5"/>
  <c r="CY185" i="5"/>
  <c r="DM185" i="5"/>
  <c r="DQ185" i="5"/>
  <c r="CR185" i="5"/>
  <c r="CU185" i="5"/>
  <c r="DE185" i="5"/>
  <c r="DF185" i="5"/>
  <c r="DR185" i="5"/>
  <c r="DS185" i="5"/>
  <c r="CT294" i="5"/>
  <c r="CZ294" i="5"/>
  <c r="DF294" i="5"/>
  <c r="DL294" i="5"/>
  <c r="DR294" i="5"/>
  <c r="CS294" i="5"/>
  <c r="DA294" i="5"/>
  <c r="DH294" i="5"/>
  <c r="DO294" i="5"/>
  <c r="DC294" i="5"/>
  <c r="DQ294" i="5"/>
  <c r="CU294" i="5"/>
  <c r="DB294" i="5"/>
  <c r="DI294" i="5"/>
  <c r="DP294" i="5"/>
  <c r="CV294" i="5"/>
  <c r="DJ294" i="5"/>
  <c r="CR294" i="5"/>
  <c r="DG294" i="5"/>
  <c r="DU294" i="5"/>
  <c r="CW294" i="5"/>
  <c r="DK294" i="5"/>
  <c r="CX294" i="5"/>
  <c r="DM294" i="5"/>
  <c r="CP294" i="5"/>
  <c r="DS294" i="5"/>
  <c r="CQ294" i="5"/>
  <c r="DT294" i="5"/>
  <c r="CY294" i="5"/>
  <c r="DN294" i="5"/>
  <c r="DD294" i="5"/>
  <c r="DE294" i="5"/>
  <c r="CS335" i="5"/>
  <c r="CY335" i="5"/>
  <c r="DE335" i="5"/>
  <c r="DK335" i="5"/>
  <c r="DQ335" i="5"/>
  <c r="CU335" i="5"/>
  <c r="DG335" i="5"/>
  <c r="DS335" i="5"/>
  <c r="CT335" i="5"/>
  <c r="CZ335" i="5"/>
  <c r="DF335" i="5"/>
  <c r="DL335" i="5"/>
  <c r="DR335" i="5"/>
  <c r="DA335" i="5"/>
  <c r="DM335" i="5"/>
  <c r="CX335" i="5"/>
  <c r="DJ335" i="5"/>
  <c r="CP335" i="5"/>
  <c r="DB335" i="5"/>
  <c r="DN335" i="5"/>
  <c r="CQ335" i="5"/>
  <c r="DC335" i="5"/>
  <c r="DO335" i="5"/>
  <c r="CV335" i="5"/>
  <c r="DT335" i="5"/>
  <c r="CW335" i="5"/>
  <c r="DU335" i="5"/>
  <c r="DD335" i="5"/>
  <c r="DI335" i="5"/>
  <c r="DP335" i="5"/>
  <c r="CR335" i="5"/>
  <c r="DH335" i="5"/>
  <c r="CQ215" i="5"/>
  <c r="CW215" i="5"/>
  <c r="DC215" i="5"/>
  <c r="DI215" i="5"/>
  <c r="DO215" i="5"/>
  <c r="DU215" i="5"/>
  <c r="CV215" i="5"/>
  <c r="DD215" i="5"/>
  <c r="DK215" i="5"/>
  <c r="DR215" i="5"/>
  <c r="CP215" i="5"/>
  <c r="DV215" i="5" s="1"/>
  <c r="CX215" i="5"/>
  <c r="DE215" i="5"/>
  <c r="DL215" i="5"/>
  <c r="DS215" i="5"/>
  <c r="CY215" i="5"/>
  <c r="DH215" i="5"/>
  <c r="DT215" i="5"/>
  <c r="CR215" i="5"/>
  <c r="DM215" i="5"/>
  <c r="CS215" i="5"/>
  <c r="DN215" i="5"/>
  <c r="CZ215" i="5"/>
  <c r="DJ215" i="5"/>
  <c r="DA215" i="5"/>
  <c r="DB215" i="5"/>
  <c r="DG215" i="5"/>
  <c r="DP215" i="5"/>
  <c r="CT215" i="5"/>
  <c r="CU215" i="5"/>
  <c r="DQ215" i="5"/>
  <c r="DF215" i="5"/>
  <c r="CQ207" i="5"/>
  <c r="CW207" i="5"/>
  <c r="DC207" i="5"/>
  <c r="DI207" i="5"/>
  <c r="DO207" i="5"/>
  <c r="DU207" i="5"/>
  <c r="CT207" i="5"/>
  <c r="DA207" i="5"/>
  <c r="DH207" i="5"/>
  <c r="DP207" i="5"/>
  <c r="CU207" i="5"/>
  <c r="DB207" i="5"/>
  <c r="DJ207" i="5"/>
  <c r="DQ207" i="5"/>
  <c r="CR207" i="5"/>
  <c r="DD207" i="5"/>
  <c r="DM207" i="5"/>
  <c r="CV207" i="5"/>
  <c r="DF207" i="5"/>
  <c r="DR207" i="5"/>
  <c r="CX207" i="5"/>
  <c r="DS207" i="5"/>
  <c r="CS207" i="5"/>
  <c r="DE207" i="5"/>
  <c r="DN207" i="5"/>
  <c r="DG207" i="5"/>
  <c r="DL207" i="5"/>
  <c r="DT207" i="5"/>
  <c r="CY207" i="5"/>
  <c r="CZ207" i="5"/>
  <c r="DK207" i="5"/>
  <c r="CP207" i="5"/>
  <c r="CS163" i="5"/>
  <c r="CY163" i="5"/>
  <c r="DE163" i="5"/>
  <c r="DK163" i="5"/>
  <c r="DQ163" i="5"/>
  <c r="CV163" i="5"/>
  <c r="DC163" i="5"/>
  <c r="DJ163" i="5"/>
  <c r="DR163" i="5"/>
  <c r="CW163" i="5"/>
  <c r="DF163" i="5"/>
  <c r="DN163" i="5"/>
  <c r="CP163" i="5"/>
  <c r="DV163" i="5" s="1"/>
  <c r="CX163" i="5"/>
  <c r="DG163" i="5"/>
  <c r="DO163" i="5"/>
  <c r="CZ163" i="5"/>
  <c r="DL163" i="5"/>
  <c r="CU163" i="5"/>
  <c r="DM163" i="5"/>
  <c r="DD163" i="5"/>
  <c r="DA163" i="5"/>
  <c r="DP163" i="5"/>
  <c r="DB163" i="5"/>
  <c r="DS163" i="5"/>
  <c r="CQ163" i="5"/>
  <c r="DW163" i="5" s="1"/>
  <c r="DT163" i="5"/>
  <c r="CR163" i="5"/>
  <c r="CT163" i="5"/>
  <c r="DH163" i="5"/>
  <c r="DI163" i="5"/>
  <c r="DU163" i="5"/>
  <c r="CQ199" i="5"/>
  <c r="CW199" i="5"/>
  <c r="DC199" i="5"/>
  <c r="DI199" i="5"/>
  <c r="DO199" i="5"/>
  <c r="DU199" i="5"/>
  <c r="CR199" i="5"/>
  <c r="CY199" i="5"/>
  <c r="DF199" i="5"/>
  <c r="DM199" i="5"/>
  <c r="DT199" i="5"/>
  <c r="CS199" i="5"/>
  <c r="CZ199" i="5"/>
  <c r="DG199" i="5"/>
  <c r="DN199" i="5"/>
  <c r="CV199" i="5"/>
  <c r="DH199" i="5"/>
  <c r="DR199" i="5"/>
  <c r="DB199" i="5"/>
  <c r="CX199" i="5"/>
  <c r="DJ199" i="5"/>
  <c r="DS199" i="5"/>
  <c r="DA199" i="5"/>
  <c r="DK199" i="5"/>
  <c r="CP199" i="5"/>
  <c r="DV199" i="5" s="1"/>
  <c r="DL199" i="5"/>
  <c r="DP199" i="5"/>
  <c r="DQ199" i="5"/>
  <c r="CT199" i="5"/>
  <c r="CU199" i="5"/>
  <c r="DD199" i="5"/>
  <c r="DE199" i="5"/>
  <c r="CP124" i="5"/>
  <c r="DV124" i="5" s="1"/>
  <c r="CV124" i="5"/>
  <c r="DB124" i="5"/>
  <c r="DH124" i="5"/>
  <c r="DN124" i="5"/>
  <c r="DT124" i="5"/>
  <c r="CT124" i="5"/>
  <c r="DA124" i="5"/>
  <c r="DI124" i="5"/>
  <c r="DP124" i="5"/>
  <c r="CX124" i="5"/>
  <c r="DF124" i="5"/>
  <c r="DO124" i="5"/>
  <c r="CQ124" i="5"/>
  <c r="DW124" i="5" s="1"/>
  <c r="CY124" i="5"/>
  <c r="DG124" i="5"/>
  <c r="DQ124" i="5"/>
  <c r="CR124" i="5"/>
  <c r="DD124" i="5"/>
  <c r="DR124" i="5"/>
  <c r="CS124" i="5"/>
  <c r="DE124" i="5"/>
  <c r="DS124" i="5"/>
  <c r="CZ124" i="5"/>
  <c r="DU124" i="5"/>
  <c r="CU124" i="5"/>
  <c r="DM124" i="5"/>
  <c r="CW124" i="5"/>
  <c r="DC124" i="5"/>
  <c r="DJ124" i="5"/>
  <c r="DK124" i="5"/>
  <c r="DL124" i="5"/>
  <c r="CT93" i="5"/>
  <c r="CZ93" i="5"/>
  <c r="DF93" i="5"/>
  <c r="DL93" i="5"/>
  <c r="DR93" i="5"/>
  <c r="CR93" i="5"/>
  <c r="CY93" i="5"/>
  <c r="DG93" i="5"/>
  <c r="DN93" i="5"/>
  <c r="DU93" i="5"/>
  <c r="CP93" i="5"/>
  <c r="CX93" i="5"/>
  <c r="DH93" i="5"/>
  <c r="DP93" i="5"/>
  <c r="DA93" i="5"/>
  <c r="DJ93" i="5"/>
  <c r="DT93" i="5"/>
  <c r="CQ93" i="5"/>
  <c r="DB93" i="5"/>
  <c r="DK93" i="5"/>
  <c r="CS93" i="5"/>
  <c r="DE93" i="5"/>
  <c r="CU93" i="5"/>
  <c r="DI93" i="5"/>
  <c r="CV93" i="5"/>
  <c r="DQ93" i="5"/>
  <c r="CW93" i="5"/>
  <c r="DS93" i="5"/>
  <c r="DM93" i="5"/>
  <c r="DO93" i="5"/>
  <c r="DC93" i="5"/>
  <c r="DD93" i="5"/>
  <c r="CQ96" i="5"/>
  <c r="CW96" i="5"/>
  <c r="DC96" i="5"/>
  <c r="DI96" i="5"/>
  <c r="DO96" i="5"/>
  <c r="DU96" i="5"/>
  <c r="CT96" i="5"/>
  <c r="DA96" i="5"/>
  <c r="DH96" i="5"/>
  <c r="DP96" i="5"/>
  <c r="CU96" i="5"/>
  <c r="DD96" i="5"/>
  <c r="DL96" i="5"/>
  <c r="DT96" i="5"/>
  <c r="CS96" i="5"/>
  <c r="DE96" i="5"/>
  <c r="DN96" i="5"/>
  <c r="CV96" i="5"/>
  <c r="DF96" i="5"/>
  <c r="DQ96" i="5"/>
  <c r="CZ96" i="5"/>
  <c r="DR96" i="5"/>
  <c r="DB96" i="5"/>
  <c r="DS96" i="5"/>
  <c r="CP96" i="5"/>
  <c r="DK96" i="5"/>
  <c r="CR96" i="5"/>
  <c r="DM96" i="5"/>
  <c r="CX96" i="5"/>
  <c r="CY96" i="5"/>
  <c r="DG96" i="5"/>
  <c r="DJ96" i="5"/>
  <c r="CT38" i="5"/>
  <c r="CZ38" i="5"/>
  <c r="DF38" i="5"/>
  <c r="DL38" i="5"/>
  <c r="DR38" i="5"/>
  <c r="CU38" i="5"/>
  <c r="DA38" i="5"/>
  <c r="DG38" i="5"/>
  <c r="DM38" i="5"/>
  <c r="DS38" i="5"/>
  <c r="CV38" i="5"/>
  <c r="DD38" i="5"/>
  <c r="DN38" i="5"/>
  <c r="CR38" i="5"/>
  <c r="DC38" i="5"/>
  <c r="DO38" i="5"/>
  <c r="CY38" i="5"/>
  <c r="DK38" i="5"/>
  <c r="CS38" i="5"/>
  <c r="DI38" i="5"/>
  <c r="DB38" i="5"/>
  <c r="DT38" i="5"/>
  <c r="DE38" i="5"/>
  <c r="DU38" i="5"/>
  <c r="CW38" i="5"/>
  <c r="CX38" i="5"/>
  <c r="DP38" i="5"/>
  <c r="DQ38" i="5"/>
  <c r="CP38" i="5"/>
  <c r="DV38" i="5" s="1"/>
  <c r="CQ38" i="5"/>
  <c r="DW38" i="5" s="1"/>
  <c r="DH38" i="5"/>
  <c r="DJ38" i="5"/>
  <c r="CQ48" i="5"/>
  <c r="CW48" i="5"/>
  <c r="DC48" i="5"/>
  <c r="DI48" i="5"/>
  <c r="DO48" i="5"/>
  <c r="DU48" i="5"/>
  <c r="CR48" i="5"/>
  <c r="CX48" i="5"/>
  <c r="DD48" i="5"/>
  <c r="DJ48" i="5"/>
  <c r="DP48" i="5"/>
  <c r="CS48" i="5"/>
  <c r="DA48" i="5"/>
  <c r="DK48" i="5"/>
  <c r="DS48" i="5"/>
  <c r="CZ48" i="5"/>
  <c r="DL48" i="5"/>
  <c r="CV48" i="5"/>
  <c r="DH48" i="5"/>
  <c r="CT48" i="5"/>
  <c r="DG48" i="5"/>
  <c r="CP48" i="5"/>
  <c r="DM48" i="5"/>
  <c r="CU48" i="5"/>
  <c r="DN48" i="5"/>
  <c r="DE48" i="5"/>
  <c r="DF48" i="5"/>
  <c r="DT48" i="5"/>
  <c r="CY48" i="5"/>
  <c r="DB48" i="5"/>
  <c r="DQ48" i="5"/>
  <c r="DR48" i="5"/>
  <c r="CQ221" i="5"/>
  <c r="CW221" i="5"/>
  <c r="DC221" i="5"/>
  <c r="DI221" i="5"/>
  <c r="DO221" i="5"/>
  <c r="DU221" i="5"/>
  <c r="CS221" i="5"/>
  <c r="CZ221" i="5"/>
  <c r="DG221" i="5"/>
  <c r="DN221" i="5"/>
  <c r="CT221" i="5"/>
  <c r="DA221" i="5"/>
  <c r="DH221" i="5"/>
  <c r="DP221" i="5"/>
  <c r="CU221" i="5"/>
  <c r="DE221" i="5"/>
  <c r="DQ221" i="5"/>
  <c r="DJ221" i="5"/>
  <c r="DK221" i="5"/>
  <c r="CV221" i="5"/>
  <c r="DF221" i="5"/>
  <c r="DR221" i="5"/>
  <c r="CX221" i="5"/>
  <c r="DS221" i="5"/>
  <c r="CY221" i="5"/>
  <c r="DT221" i="5"/>
  <c r="DD221" i="5"/>
  <c r="DL221" i="5"/>
  <c r="CP221" i="5"/>
  <c r="DV221" i="5" s="1"/>
  <c r="CR221" i="5"/>
  <c r="DB221" i="5"/>
  <c r="DM221" i="5"/>
  <c r="CR274" i="5"/>
  <c r="CX274" i="5"/>
  <c r="DD274" i="5"/>
  <c r="DJ274" i="5"/>
  <c r="DP274" i="5"/>
  <c r="CV274" i="5"/>
  <c r="DC274" i="5"/>
  <c r="DK274" i="5"/>
  <c r="DR274" i="5"/>
  <c r="CQ274" i="5"/>
  <c r="DW274" i="5" s="1"/>
  <c r="DF274" i="5"/>
  <c r="DT274" i="5"/>
  <c r="CP274" i="5"/>
  <c r="DV274" i="5" s="1"/>
  <c r="CW274" i="5"/>
  <c r="DE274" i="5"/>
  <c r="DL274" i="5"/>
  <c r="DS274" i="5"/>
  <c r="CY274" i="5"/>
  <c r="DM274" i="5"/>
  <c r="CZ274" i="5"/>
  <c r="DN274" i="5"/>
  <c r="CU274" i="5"/>
  <c r="DO274" i="5"/>
  <c r="DA274" i="5"/>
  <c r="DQ274" i="5"/>
  <c r="DB274" i="5"/>
  <c r="DU274" i="5"/>
  <c r="DH274" i="5"/>
  <c r="DI274" i="5"/>
  <c r="DG274" i="5"/>
  <c r="CS274" i="5"/>
  <c r="CT274" i="5"/>
  <c r="CQ219" i="5"/>
  <c r="CW219" i="5"/>
  <c r="DC219" i="5"/>
  <c r="DI219" i="5"/>
  <c r="DO219" i="5"/>
  <c r="DU219" i="5"/>
  <c r="CT219" i="5"/>
  <c r="DA219" i="5"/>
  <c r="DH219" i="5"/>
  <c r="DP219" i="5"/>
  <c r="CU219" i="5"/>
  <c r="DB219" i="5"/>
  <c r="DJ219" i="5"/>
  <c r="DQ219" i="5"/>
  <c r="CV219" i="5"/>
  <c r="DF219" i="5"/>
  <c r="DR219" i="5"/>
  <c r="DK219" i="5"/>
  <c r="CP219" i="5"/>
  <c r="DL219" i="5"/>
  <c r="CX219" i="5"/>
  <c r="DG219" i="5"/>
  <c r="DS219" i="5"/>
  <c r="CY219" i="5"/>
  <c r="DT219" i="5"/>
  <c r="CZ219" i="5"/>
  <c r="DE219" i="5"/>
  <c r="DM219" i="5"/>
  <c r="CR219" i="5"/>
  <c r="CS219" i="5"/>
  <c r="DD219" i="5"/>
  <c r="DN219" i="5"/>
  <c r="CQ227" i="5"/>
  <c r="CW227" i="5"/>
  <c r="DC227" i="5"/>
  <c r="DI227" i="5"/>
  <c r="DO227" i="5"/>
  <c r="DU227" i="5"/>
  <c r="CV227" i="5"/>
  <c r="DD227" i="5"/>
  <c r="DK227" i="5"/>
  <c r="DR227" i="5"/>
  <c r="CP227" i="5"/>
  <c r="DV227" i="5" s="1"/>
  <c r="CX227" i="5"/>
  <c r="DE227" i="5"/>
  <c r="DL227" i="5"/>
  <c r="DS227" i="5"/>
  <c r="CR227" i="5"/>
  <c r="DA227" i="5"/>
  <c r="DM227" i="5"/>
  <c r="DF227" i="5"/>
  <c r="DG227" i="5"/>
  <c r="CS227" i="5"/>
  <c r="DB227" i="5"/>
  <c r="DN227" i="5"/>
  <c r="CT227" i="5"/>
  <c r="DP227" i="5"/>
  <c r="CU227" i="5"/>
  <c r="DQ227" i="5"/>
  <c r="CZ227" i="5"/>
  <c r="DH227" i="5"/>
  <c r="DT227" i="5"/>
  <c r="CY227" i="5"/>
  <c r="DJ227" i="5"/>
  <c r="CT109" i="5"/>
  <c r="CZ109" i="5"/>
  <c r="DF109" i="5"/>
  <c r="CP109" i="5"/>
  <c r="DV109" i="5" s="1"/>
  <c r="CW109" i="5"/>
  <c r="DD109" i="5"/>
  <c r="DK109" i="5"/>
  <c r="DQ109" i="5"/>
  <c r="CX109" i="5"/>
  <c r="DG109" i="5"/>
  <c r="DN109" i="5"/>
  <c r="DU109" i="5"/>
  <c r="CY109" i="5"/>
  <c r="DI109" i="5"/>
  <c r="DR109" i="5"/>
  <c r="CQ109" i="5"/>
  <c r="DW109" i="5" s="1"/>
  <c r="DA109" i="5"/>
  <c r="DJ109" i="5"/>
  <c r="DS109" i="5"/>
  <c r="CR109" i="5"/>
  <c r="DE109" i="5"/>
  <c r="DT109" i="5"/>
  <c r="CS109" i="5"/>
  <c r="DH109" i="5"/>
  <c r="DL109" i="5"/>
  <c r="DM109" i="5"/>
  <c r="CU109" i="5"/>
  <c r="DO109" i="5"/>
  <c r="DP109" i="5"/>
  <c r="CV109" i="5"/>
  <c r="DB109" i="5"/>
  <c r="DC109" i="5"/>
  <c r="CU279" i="5"/>
  <c r="DA279" i="5"/>
  <c r="DG279" i="5"/>
  <c r="DM279" i="5"/>
  <c r="DS279" i="5"/>
  <c r="CP279" i="5"/>
  <c r="CW279" i="5"/>
  <c r="DD279" i="5"/>
  <c r="DK279" i="5"/>
  <c r="DR279" i="5"/>
  <c r="CY279" i="5"/>
  <c r="DN279" i="5"/>
  <c r="CQ279" i="5"/>
  <c r="CX279" i="5"/>
  <c r="DE279" i="5"/>
  <c r="DL279" i="5"/>
  <c r="DT279" i="5"/>
  <c r="CR279" i="5"/>
  <c r="DF279" i="5"/>
  <c r="DU279" i="5"/>
  <c r="CV279" i="5"/>
  <c r="DJ279" i="5"/>
  <c r="CZ279" i="5"/>
  <c r="DO279" i="5"/>
  <c r="DB279" i="5"/>
  <c r="DP279" i="5"/>
  <c r="CS279" i="5"/>
  <c r="CT279" i="5"/>
  <c r="DC279" i="5"/>
  <c r="DQ279" i="5"/>
  <c r="DH279" i="5"/>
  <c r="DI279" i="5"/>
  <c r="CP140" i="5"/>
  <c r="DV140" i="5" s="1"/>
  <c r="CV140" i="5"/>
  <c r="DB140" i="5"/>
  <c r="DH140" i="5"/>
  <c r="DN140" i="5"/>
  <c r="DT140" i="5"/>
  <c r="CR140" i="5"/>
  <c r="CY140" i="5"/>
  <c r="DF140" i="5"/>
  <c r="DM140" i="5"/>
  <c r="DU140" i="5"/>
  <c r="CW140" i="5"/>
  <c r="DE140" i="5"/>
  <c r="DO140" i="5"/>
  <c r="CX140" i="5"/>
  <c r="DG140" i="5"/>
  <c r="DP140" i="5"/>
  <c r="CT140" i="5"/>
  <c r="DI140" i="5"/>
  <c r="DS140" i="5"/>
  <c r="CU140" i="5"/>
  <c r="DJ140" i="5"/>
  <c r="CZ140" i="5"/>
  <c r="DQ140" i="5"/>
  <c r="DC140" i="5"/>
  <c r="CQ140" i="5"/>
  <c r="DW140" i="5" s="1"/>
  <c r="DD140" i="5"/>
  <c r="DK140" i="5"/>
  <c r="DL140" i="5"/>
  <c r="CS140" i="5"/>
  <c r="DA140" i="5"/>
  <c r="DR140" i="5"/>
  <c r="CP150" i="5"/>
  <c r="CV150" i="5"/>
  <c r="DB150" i="5"/>
  <c r="DH150" i="5"/>
  <c r="DN150" i="5"/>
  <c r="DT150" i="5"/>
  <c r="CS150" i="5"/>
  <c r="CZ150" i="5"/>
  <c r="DG150" i="5"/>
  <c r="DO150" i="5"/>
  <c r="CU150" i="5"/>
  <c r="DD150" i="5"/>
  <c r="DL150" i="5"/>
  <c r="DU150" i="5"/>
  <c r="CW150" i="5"/>
  <c r="DE150" i="5"/>
  <c r="DM150" i="5"/>
  <c r="DA150" i="5"/>
  <c r="DP150" i="5"/>
  <c r="CQ150" i="5"/>
  <c r="DC150" i="5"/>
  <c r="DQ150" i="5"/>
  <c r="CX150" i="5"/>
  <c r="DR150" i="5"/>
  <c r="CY150" i="5"/>
  <c r="DF150" i="5"/>
  <c r="DI150" i="5"/>
  <c r="DJ150" i="5"/>
  <c r="DK150" i="5"/>
  <c r="DS150" i="5"/>
  <c r="CR150" i="5"/>
  <c r="CT150" i="5"/>
  <c r="CT206" i="5"/>
  <c r="CZ206" i="5"/>
  <c r="DF206" i="5"/>
  <c r="DL206" i="5"/>
  <c r="DR206" i="5"/>
  <c r="CQ206" i="5"/>
  <c r="DW206" i="5" s="1"/>
  <c r="CX206" i="5"/>
  <c r="DE206" i="5"/>
  <c r="DM206" i="5"/>
  <c r="DT206" i="5"/>
  <c r="CR206" i="5"/>
  <c r="CY206" i="5"/>
  <c r="DG206" i="5"/>
  <c r="DN206" i="5"/>
  <c r="DU206" i="5"/>
  <c r="CS206" i="5"/>
  <c r="DC206" i="5"/>
  <c r="DO206" i="5"/>
  <c r="CV206" i="5"/>
  <c r="DH206" i="5"/>
  <c r="DQ206" i="5"/>
  <c r="DI206" i="5"/>
  <c r="CU206" i="5"/>
  <c r="DD206" i="5"/>
  <c r="DP206" i="5"/>
  <c r="CW206" i="5"/>
  <c r="DS206" i="5"/>
  <c r="DK206" i="5"/>
  <c r="CP206" i="5"/>
  <c r="DV206" i="5" s="1"/>
  <c r="DA206" i="5"/>
  <c r="DB206" i="5"/>
  <c r="DJ206" i="5"/>
  <c r="CS161" i="5"/>
  <c r="CY161" i="5"/>
  <c r="DE161" i="5"/>
  <c r="DK161" i="5"/>
  <c r="DQ161" i="5"/>
  <c r="CP161" i="5"/>
  <c r="DV161" i="5" s="1"/>
  <c r="CW161" i="5"/>
  <c r="DD161" i="5"/>
  <c r="DL161" i="5"/>
  <c r="DS161" i="5"/>
  <c r="CU161" i="5"/>
  <c r="DC161" i="5"/>
  <c r="DM161" i="5"/>
  <c r="DU161" i="5"/>
  <c r="CV161" i="5"/>
  <c r="DF161" i="5"/>
  <c r="DN161" i="5"/>
  <c r="DA161" i="5"/>
  <c r="DO161" i="5"/>
  <c r="CQ161" i="5"/>
  <c r="DB161" i="5"/>
  <c r="DP161" i="5"/>
  <c r="DG161" i="5"/>
  <c r="DI161" i="5"/>
  <c r="CX161" i="5"/>
  <c r="CR161" i="5"/>
  <c r="DJ161" i="5"/>
  <c r="CT161" i="5"/>
  <c r="DR161" i="5"/>
  <c r="DT161" i="5"/>
  <c r="CZ161" i="5"/>
  <c r="DH161" i="5"/>
  <c r="CT232" i="5"/>
  <c r="CZ232" i="5"/>
  <c r="DF232" i="5"/>
  <c r="DL232" i="5"/>
  <c r="DR232" i="5"/>
  <c r="CP232" i="5"/>
  <c r="DV232" i="5" s="1"/>
  <c r="CW232" i="5"/>
  <c r="DD232" i="5"/>
  <c r="DK232" i="5"/>
  <c r="DS232" i="5"/>
  <c r="CQ232" i="5"/>
  <c r="CX232" i="5"/>
  <c r="DE232" i="5"/>
  <c r="DM232" i="5"/>
  <c r="DT232" i="5"/>
  <c r="CY232" i="5"/>
  <c r="DI232" i="5"/>
  <c r="DU232" i="5"/>
  <c r="CR232" i="5"/>
  <c r="DN232" i="5"/>
  <c r="CS232" i="5"/>
  <c r="DO232" i="5"/>
  <c r="DA232" i="5"/>
  <c r="DJ232" i="5"/>
  <c r="DB232" i="5"/>
  <c r="DC232" i="5"/>
  <c r="CV232" i="5"/>
  <c r="DG232" i="5"/>
  <c r="CU232" i="5"/>
  <c r="DH232" i="5"/>
  <c r="DP232" i="5"/>
  <c r="DQ232" i="5"/>
  <c r="CS147" i="5"/>
  <c r="CY147" i="5"/>
  <c r="DE147" i="5"/>
  <c r="DK147" i="5"/>
  <c r="DQ147" i="5"/>
  <c r="CQ147" i="5"/>
  <c r="CX147" i="5"/>
  <c r="DF147" i="5"/>
  <c r="DM147" i="5"/>
  <c r="DT147" i="5"/>
  <c r="CP147" i="5"/>
  <c r="CZ147" i="5"/>
  <c r="DH147" i="5"/>
  <c r="DP147" i="5"/>
  <c r="CR147" i="5"/>
  <c r="DA147" i="5"/>
  <c r="DI147" i="5"/>
  <c r="DR147" i="5"/>
  <c r="CV147" i="5"/>
  <c r="DJ147" i="5"/>
  <c r="CW147" i="5"/>
  <c r="DL147" i="5"/>
  <c r="DB147" i="5"/>
  <c r="DS147" i="5"/>
  <c r="DD147" i="5"/>
  <c r="DG147" i="5"/>
  <c r="DN147" i="5"/>
  <c r="CT147" i="5"/>
  <c r="DO147" i="5"/>
  <c r="CU147" i="5"/>
  <c r="DC147" i="5"/>
  <c r="DU147" i="5"/>
  <c r="CP122" i="5"/>
  <c r="DV122" i="5" s="1"/>
  <c r="CV122" i="5"/>
  <c r="DB122" i="5"/>
  <c r="DH122" i="5"/>
  <c r="DN122" i="5"/>
  <c r="DT122" i="5"/>
  <c r="CU122" i="5"/>
  <c r="DC122" i="5"/>
  <c r="DJ122" i="5"/>
  <c r="DQ122" i="5"/>
  <c r="CT122" i="5"/>
  <c r="DD122" i="5"/>
  <c r="DL122" i="5"/>
  <c r="DU122" i="5"/>
  <c r="CW122" i="5"/>
  <c r="DE122" i="5"/>
  <c r="DM122" i="5"/>
  <c r="CR122" i="5"/>
  <c r="DF122" i="5"/>
  <c r="DR122" i="5"/>
  <c r="CS122" i="5"/>
  <c r="DG122" i="5"/>
  <c r="DS122" i="5"/>
  <c r="DI122" i="5"/>
  <c r="CX122" i="5"/>
  <c r="DO122" i="5"/>
  <c r="DK122" i="5"/>
  <c r="CY122" i="5"/>
  <c r="DP122" i="5"/>
  <c r="CQ122" i="5"/>
  <c r="DW122" i="5" s="1"/>
  <c r="CZ122" i="5"/>
  <c r="DA122" i="5"/>
  <c r="CP116" i="5"/>
  <c r="DV116" i="5" s="1"/>
  <c r="CV116" i="5"/>
  <c r="DB116" i="5"/>
  <c r="DH116" i="5"/>
  <c r="DN116" i="5"/>
  <c r="DT116" i="5"/>
  <c r="CR116" i="5"/>
  <c r="CY116" i="5"/>
  <c r="DF116" i="5"/>
  <c r="DM116" i="5"/>
  <c r="DU116" i="5"/>
  <c r="CT116" i="5"/>
  <c r="DC116" i="5"/>
  <c r="DK116" i="5"/>
  <c r="DS116" i="5"/>
  <c r="CU116" i="5"/>
  <c r="DD116" i="5"/>
  <c r="DL116" i="5"/>
  <c r="CW116" i="5"/>
  <c r="DI116" i="5"/>
  <c r="CX116" i="5"/>
  <c r="DJ116" i="5"/>
  <c r="CQ116" i="5"/>
  <c r="DO116" i="5"/>
  <c r="CZ116" i="5"/>
  <c r="DQ116" i="5"/>
  <c r="DE116" i="5"/>
  <c r="DR116" i="5"/>
  <c r="DG116" i="5"/>
  <c r="DP116" i="5"/>
  <c r="CS116" i="5"/>
  <c r="DA116" i="5"/>
  <c r="CP306" i="5"/>
  <c r="CV306" i="5"/>
  <c r="DB306" i="5"/>
  <c r="DH306" i="5"/>
  <c r="DN306" i="5"/>
  <c r="DT306" i="5"/>
  <c r="CT306" i="5"/>
  <c r="DA306" i="5"/>
  <c r="DI306" i="5"/>
  <c r="DP306" i="5"/>
  <c r="DD306" i="5"/>
  <c r="CU306" i="5"/>
  <c r="DC306" i="5"/>
  <c r="DJ306" i="5"/>
  <c r="DQ306" i="5"/>
  <c r="CW306" i="5"/>
  <c r="DK306" i="5"/>
  <c r="DR306" i="5"/>
  <c r="CS306" i="5"/>
  <c r="DG306" i="5"/>
  <c r="CX306" i="5"/>
  <c r="DL306" i="5"/>
  <c r="CY306" i="5"/>
  <c r="DM306" i="5"/>
  <c r="DE306" i="5"/>
  <c r="DF306" i="5"/>
  <c r="DO306" i="5"/>
  <c r="CZ306" i="5"/>
  <c r="DU306" i="5"/>
  <c r="CQ306" i="5"/>
  <c r="DS306" i="5"/>
  <c r="CR306" i="5"/>
  <c r="CT230" i="5"/>
  <c r="CZ230" i="5"/>
  <c r="DF230" i="5"/>
  <c r="DL230" i="5"/>
  <c r="DR230" i="5"/>
  <c r="CQ230" i="5"/>
  <c r="DW230" i="5" s="1"/>
  <c r="CX230" i="5"/>
  <c r="DE230" i="5"/>
  <c r="DM230" i="5"/>
  <c r="DT230" i="5"/>
  <c r="CR230" i="5"/>
  <c r="CY230" i="5"/>
  <c r="DG230" i="5"/>
  <c r="DN230" i="5"/>
  <c r="DU230" i="5"/>
  <c r="DA230" i="5"/>
  <c r="DJ230" i="5"/>
  <c r="CS230" i="5"/>
  <c r="DO230" i="5"/>
  <c r="CU230" i="5"/>
  <c r="DP230" i="5"/>
  <c r="CP230" i="5"/>
  <c r="DV230" i="5" s="1"/>
  <c r="DB230" i="5"/>
  <c r="DK230" i="5"/>
  <c r="DC230" i="5"/>
  <c r="DD230" i="5"/>
  <c r="CW230" i="5"/>
  <c r="DH230" i="5"/>
  <c r="DQ230" i="5"/>
  <c r="DS230" i="5"/>
  <c r="CV230" i="5"/>
  <c r="DI230" i="5"/>
  <c r="CS121" i="5"/>
  <c r="CY121" i="5"/>
  <c r="DE121" i="5"/>
  <c r="DK121" i="5"/>
  <c r="DQ121" i="5"/>
  <c r="CR121" i="5"/>
  <c r="CZ121" i="5"/>
  <c r="DG121" i="5"/>
  <c r="DN121" i="5"/>
  <c r="DU121" i="5"/>
  <c r="CT121" i="5"/>
  <c r="DB121" i="5"/>
  <c r="DJ121" i="5"/>
  <c r="DS121" i="5"/>
  <c r="CU121" i="5"/>
  <c r="DC121" i="5"/>
  <c r="DL121" i="5"/>
  <c r="DT121" i="5"/>
  <c r="CX121" i="5"/>
  <c r="DM121" i="5"/>
  <c r="DA121" i="5"/>
  <c r="DO121" i="5"/>
  <c r="DD121" i="5"/>
  <c r="CP121" i="5"/>
  <c r="DV121" i="5" s="1"/>
  <c r="DH121" i="5"/>
  <c r="DP121" i="5"/>
  <c r="CW121" i="5"/>
  <c r="CQ121" i="5"/>
  <c r="DW121" i="5" s="1"/>
  <c r="DR121" i="5"/>
  <c r="CV121" i="5"/>
  <c r="DF121" i="5"/>
  <c r="DI121" i="5"/>
  <c r="CQ239" i="5"/>
  <c r="DW239" i="5" s="1"/>
  <c r="CW239" i="5"/>
  <c r="DC239" i="5"/>
  <c r="DI239" i="5"/>
  <c r="DO239" i="5"/>
  <c r="DU239" i="5"/>
  <c r="CV239" i="5"/>
  <c r="DD239" i="5"/>
  <c r="DK239" i="5"/>
  <c r="DR239" i="5"/>
  <c r="CP239" i="5"/>
  <c r="DV239" i="5" s="1"/>
  <c r="CX239" i="5"/>
  <c r="DE239" i="5"/>
  <c r="DL239" i="5"/>
  <c r="DS239" i="5"/>
  <c r="CT239" i="5"/>
  <c r="DF239" i="5"/>
  <c r="DP239" i="5"/>
  <c r="CY239" i="5"/>
  <c r="DT239" i="5"/>
  <c r="CU239" i="5"/>
  <c r="DG239" i="5"/>
  <c r="DQ239" i="5"/>
  <c r="DH239" i="5"/>
  <c r="CS239" i="5"/>
  <c r="DN239" i="5"/>
  <c r="CZ239" i="5"/>
  <c r="CR239" i="5"/>
  <c r="DA239" i="5"/>
  <c r="DB239" i="5"/>
  <c r="DJ239" i="5"/>
  <c r="DM239" i="5"/>
  <c r="CP180" i="5"/>
  <c r="CV180" i="5"/>
  <c r="DB180" i="5"/>
  <c r="DH180" i="5"/>
  <c r="DN180" i="5"/>
  <c r="DT180" i="5"/>
  <c r="CW180" i="5"/>
  <c r="DD180" i="5"/>
  <c r="DK180" i="5"/>
  <c r="DR180" i="5"/>
  <c r="CX180" i="5"/>
  <c r="DF180" i="5"/>
  <c r="DO180" i="5"/>
  <c r="CQ180" i="5"/>
  <c r="CY180" i="5"/>
  <c r="DG180" i="5"/>
  <c r="DP180" i="5"/>
  <c r="CT180" i="5"/>
  <c r="DI180" i="5"/>
  <c r="DU180" i="5"/>
  <c r="CU180" i="5"/>
  <c r="DL180" i="5"/>
  <c r="DS180" i="5"/>
  <c r="CZ180" i="5"/>
  <c r="DM180" i="5"/>
  <c r="DA180" i="5"/>
  <c r="DQ180" i="5"/>
  <c r="DC180" i="5"/>
  <c r="CR180" i="5"/>
  <c r="CS180" i="5"/>
  <c r="DE180" i="5"/>
  <c r="DJ180" i="5"/>
  <c r="CQ231" i="5"/>
  <c r="CW231" i="5"/>
  <c r="DC231" i="5"/>
  <c r="DI231" i="5"/>
  <c r="DO231" i="5"/>
  <c r="DU231" i="5"/>
  <c r="CT231" i="5"/>
  <c r="DA231" i="5"/>
  <c r="DH231" i="5"/>
  <c r="DP231" i="5"/>
  <c r="CU231" i="5"/>
  <c r="DB231" i="5"/>
  <c r="DJ231" i="5"/>
  <c r="DQ231" i="5"/>
  <c r="CY231" i="5"/>
  <c r="DK231" i="5"/>
  <c r="DT231" i="5"/>
  <c r="DD231" i="5"/>
  <c r="DE231" i="5"/>
  <c r="CP231" i="5"/>
  <c r="CZ231" i="5"/>
  <c r="DL231" i="5"/>
  <c r="CR231" i="5"/>
  <c r="DM231" i="5"/>
  <c r="CS231" i="5"/>
  <c r="DN231" i="5"/>
  <c r="CX231" i="5"/>
  <c r="DF231" i="5"/>
  <c r="CV231" i="5"/>
  <c r="DG231" i="5"/>
  <c r="DR231" i="5"/>
  <c r="DS231" i="5"/>
  <c r="CP164" i="5"/>
  <c r="DV164" i="5" s="1"/>
  <c r="CV164" i="5"/>
  <c r="DB164" i="5"/>
  <c r="DH164" i="5"/>
  <c r="DN164" i="5"/>
  <c r="DT164" i="5"/>
  <c r="CR164" i="5"/>
  <c r="CY164" i="5"/>
  <c r="DF164" i="5"/>
  <c r="DM164" i="5"/>
  <c r="DU164" i="5"/>
  <c r="CX164" i="5"/>
  <c r="DG164" i="5"/>
  <c r="DP164" i="5"/>
  <c r="CQ164" i="5"/>
  <c r="CZ164" i="5"/>
  <c r="DI164" i="5"/>
  <c r="DQ164" i="5"/>
  <c r="CS164" i="5"/>
  <c r="DD164" i="5"/>
  <c r="DR164" i="5"/>
  <c r="CU164" i="5"/>
  <c r="DK164" i="5"/>
  <c r="DC164" i="5"/>
  <c r="CW164" i="5"/>
  <c r="DL164" i="5"/>
  <c r="DA164" i="5"/>
  <c r="DO164" i="5"/>
  <c r="DS164" i="5"/>
  <c r="DE164" i="5"/>
  <c r="DJ164" i="5"/>
  <c r="CT164" i="5"/>
  <c r="CQ201" i="5"/>
  <c r="CW201" i="5"/>
  <c r="DC201" i="5"/>
  <c r="DI201" i="5"/>
  <c r="DO201" i="5"/>
  <c r="DU201" i="5"/>
  <c r="CP201" i="5"/>
  <c r="CX201" i="5"/>
  <c r="DE201" i="5"/>
  <c r="DL201" i="5"/>
  <c r="DS201" i="5"/>
  <c r="CR201" i="5"/>
  <c r="CY201" i="5"/>
  <c r="DF201" i="5"/>
  <c r="DM201" i="5"/>
  <c r="DT201" i="5"/>
  <c r="CU201" i="5"/>
  <c r="DG201" i="5"/>
  <c r="DQ201" i="5"/>
  <c r="DA201" i="5"/>
  <c r="CV201" i="5"/>
  <c r="DH201" i="5"/>
  <c r="DR201" i="5"/>
  <c r="CZ201" i="5"/>
  <c r="DJ201" i="5"/>
  <c r="DK201" i="5"/>
  <c r="DN201" i="5"/>
  <c r="DP201" i="5"/>
  <c r="CS201" i="5"/>
  <c r="CT201" i="5"/>
  <c r="DD201" i="5"/>
  <c r="DB201" i="5"/>
  <c r="CP152" i="5"/>
  <c r="DV152" i="5" s="1"/>
  <c r="CV152" i="5"/>
  <c r="DB152" i="5"/>
  <c r="DH152" i="5"/>
  <c r="DN152" i="5"/>
  <c r="DT152" i="5"/>
  <c r="CR152" i="5"/>
  <c r="CY152" i="5"/>
  <c r="DF152" i="5"/>
  <c r="DM152" i="5"/>
  <c r="DU152" i="5"/>
  <c r="CX152" i="5"/>
  <c r="DG152" i="5"/>
  <c r="DP152" i="5"/>
  <c r="CQ152" i="5"/>
  <c r="DW152" i="5" s="1"/>
  <c r="CZ152" i="5"/>
  <c r="DI152" i="5"/>
  <c r="DQ152" i="5"/>
  <c r="DA152" i="5"/>
  <c r="DL152" i="5"/>
  <c r="DC152" i="5"/>
  <c r="DO152" i="5"/>
  <c r="CS152" i="5"/>
  <c r="DJ152" i="5"/>
  <c r="DD152" i="5"/>
  <c r="DR152" i="5"/>
  <c r="DE152" i="5"/>
  <c r="DK152" i="5"/>
  <c r="CT152" i="5"/>
  <c r="DS152" i="5"/>
  <c r="CU152" i="5"/>
  <c r="CW152" i="5"/>
  <c r="CQ195" i="5"/>
  <c r="CW195" i="5"/>
  <c r="DC195" i="5"/>
  <c r="DI195" i="5"/>
  <c r="DO195" i="5"/>
  <c r="DU195" i="5"/>
  <c r="CT195" i="5"/>
  <c r="DA195" i="5"/>
  <c r="DH195" i="5"/>
  <c r="DP195" i="5"/>
  <c r="CU195" i="5"/>
  <c r="DB195" i="5"/>
  <c r="DJ195" i="5"/>
  <c r="DQ195" i="5"/>
  <c r="CY195" i="5"/>
  <c r="DK195" i="5"/>
  <c r="DT195" i="5"/>
  <c r="DE195" i="5"/>
  <c r="CP195" i="5"/>
  <c r="CZ195" i="5"/>
  <c r="DL195" i="5"/>
  <c r="CR195" i="5"/>
  <c r="DD195" i="5"/>
  <c r="DM195" i="5"/>
  <c r="CS195" i="5"/>
  <c r="DN195" i="5"/>
  <c r="DR195" i="5"/>
  <c r="DS195" i="5"/>
  <c r="CV195" i="5"/>
  <c r="CX195" i="5"/>
  <c r="DG195" i="5"/>
  <c r="DF195" i="5"/>
  <c r="CP144" i="5"/>
  <c r="CV144" i="5"/>
  <c r="DB144" i="5"/>
  <c r="DH144" i="5"/>
  <c r="DN144" i="5"/>
  <c r="DT144" i="5"/>
  <c r="CW144" i="5"/>
  <c r="DD144" i="5"/>
  <c r="DK144" i="5"/>
  <c r="DR144" i="5"/>
  <c r="CT144" i="5"/>
  <c r="DC144" i="5"/>
  <c r="DL144" i="5"/>
  <c r="DU144" i="5"/>
  <c r="CU144" i="5"/>
  <c r="DE144" i="5"/>
  <c r="DM144" i="5"/>
  <c r="CR144" i="5"/>
  <c r="DF144" i="5"/>
  <c r="DQ144" i="5"/>
  <c r="CS144" i="5"/>
  <c r="DG144" i="5"/>
  <c r="DS144" i="5"/>
  <c r="CZ144" i="5"/>
  <c r="DJ144" i="5"/>
  <c r="CY144" i="5"/>
  <c r="CQ144" i="5"/>
  <c r="DO144" i="5"/>
  <c r="CX144" i="5"/>
  <c r="DP144" i="5"/>
  <c r="DA144" i="5"/>
  <c r="DI144" i="5"/>
  <c r="CQ229" i="5"/>
  <c r="CW229" i="5"/>
  <c r="DC229" i="5"/>
  <c r="DI229" i="5"/>
  <c r="DO229" i="5"/>
  <c r="DU229" i="5"/>
  <c r="CU229" i="5"/>
  <c r="DB229" i="5"/>
  <c r="DJ229" i="5"/>
  <c r="DQ229" i="5"/>
  <c r="CV229" i="5"/>
  <c r="DD229" i="5"/>
  <c r="DK229" i="5"/>
  <c r="DR229" i="5"/>
  <c r="CP229" i="5"/>
  <c r="DV229" i="5" s="1"/>
  <c r="CZ229" i="5"/>
  <c r="DL229" i="5"/>
  <c r="DE229" i="5"/>
  <c r="DF229" i="5"/>
  <c r="CR229" i="5"/>
  <c r="DA229" i="5"/>
  <c r="DM229" i="5"/>
  <c r="CS229" i="5"/>
  <c r="DN229" i="5"/>
  <c r="CT229" i="5"/>
  <c r="DP229" i="5"/>
  <c r="CY229" i="5"/>
  <c r="DG229" i="5"/>
  <c r="CX229" i="5"/>
  <c r="DH229" i="5"/>
  <c r="DS229" i="5"/>
  <c r="DT229" i="5"/>
  <c r="CQ211" i="5"/>
  <c r="DW211" i="5" s="1"/>
  <c r="CW211" i="5"/>
  <c r="DC211" i="5"/>
  <c r="DI211" i="5"/>
  <c r="DO211" i="5"/>
  <c r="DU211" i="5"/>
  <c r="CR211" i="5"/>
  <c r="CY211" i="5"/>
  <c r="DF211" i="5"/>
  <c r="DM211" i="5"/>
  <c r="DT211" i="5"/>
  <c r="CS211" i="5"/>
  <c r="CZ211" i="5"/>
  <c r="DG211" i="5"/>
  <c r="DN211" i="5"/>
  <c r="DA211" i="5"/>
  <c r="DK211" i="5"/>
  <c r="CT211" i="5"/>
  <c r="DP211" i="5"/>
  <c r="CU211" i="5"/>
  <c r="DQ211" i="5"/>
  <c r="CP211" i="5"/>
  <c r="DV211" i="5" s="1"/>
  <c r="DB211" i="5"/>
  <c r="DL211" i="5"/>
  <c r="DD211" i="5"/>
  <c r="DE211" i="5"/>
  <c r="DJ211" i="5"/>
  <c r="DR211" i="5"/>
  <c r="DH211" i="5"/>
  <c r="DS211" i="5"/>
  <c r="CX211" i="5"/>
  <c r="CV211" i="5"/>
  <c r="CS181" i="5"/>
  <c r="CY181" i="5"/>
  <c r="DE181" i="5"/>
  <c r="DK181" i="5"/>
  <c r="DQ181" i="5"/>
  <c r="CR181" i="5"/>
  <c r="CZ181" i="5"/>
  <c r="DG181" i="5"/>
  <c r="DN181" i="5"/>
  <c r="DU181" i="5"/>
  <c r="CP181" i="5"/>
  <c r="DV181" i="5" s="1"/>
  <c r="CX181" i="5"/>
  <c r="DH181" i="5"/>
  <c r="DP181" i="5"/>
  <c r="CQ181" i="5"/>
  <c r="DA181" i="5"/>
  <c r="DI181" i="5"/>
  <c r="DR181" i="5"/>
  <c r="DB181" i="5"/>
  <c r="DM181" i="5"/>
  <c r="CU181" i="5"/>
  <c r="DJ181" i="5"/>
  <c r="DS181" i="5"/>
  <c r="CV181" i="5"/>
  <c r="DL181" i="5"/>
  <c r="CW181" i="5"/>
  <c r="DO181" i="5"/>
  <c r="DC181" i="5"/>
  <c r="DD181" i="5"/>
  <c r="DF181" i="5"/>
  <c r="DT181" i="5"/>
  <c r="CT181" i="5"/>
  <c r="CS143" i="5"/>
  <c r="CY143" i="5"/>
  <c r="DE143" i="5"/>
  <c r="DK143" i="5"/>
  <c r="DQ143" i="5"/>
  <c r="CT143" i="5"/>
  <c r="DA143" i="5"/>
  <c r="DH143" i="5"/>
  <c r="DO143" i="5"/>
  <c r="CR143" i="5"/>
  <c r="DB143" i="5"/>
  <c r="DJ143" i="5"/>
  <c r="DS143" i="5"/>
  <c r="CU143" i="5"/>
  <c r="DC143" i="5"/>
  <c r="DL143" i="5"/>
  <c r="DT143" i="5"/>
  <c r="CX143" i="5"/>
  <c r="DM143" i="5"/>
  <c r="CZ143" i="5"/>
  <c r="DN143" i="5"/>
  <c r="CV143" i="5"/>
  <c r="DP143" i="5"/>
  <c r="CW143" i="5"/>
  <c r="DU143" i="5"/>
  <c r="DD143" i="5"/>
  <c r="DF143" i="5"/>
  <c r="DG143" i="5"/>
  <c r="CP143" i="5"/>
  <c r="DV143" i="5" s="1"/>
  <c r="CQ143" i="5"/>
  <c r="DI143" i="5"/>
  <c r="DR143" i="5"/>
  <c r="CS153" i="5"/>
  <c r="CY153" i="5"/>
  <c r="DE153" i="5"/>
  <c r="DK153" i="5"/>
  <c r="DQ153" i="5"/>
  <c r="CU153" i="5"/>
  <c r="DB153" i="5"/>
  <c r="DI153" i="5"/>
  <c r="DP153" i="5"/>
  <c r="CQ153" i="5"/>
  <c r="CZ153" i="5"/>
  <c r="DH153" i="5"/>
  <c r="DR153" i="5"/>
  <c r="CR153" i="5"/>
  <c r="DA153" i="5"/>
  <c r="DJ153" i="5"/>
  <c r="DS153" i="5"/>
  <c r="CT153" i="5"/>
  <c r="DF153" i="5"/>
  <c r="DT153" i="5"/>
  <c r="CV153" i="5"/>
  <c r="DG153" i="5"/>
  <c r="DU153" i="5"/>
  <c r="CW153" i="5"/>
  <c r="DN153" i="5"/>
  <c r="CP153" i="5"/>
  <c r="DO153" i="5"/>
  <c r="CX153" i="5"/>
  <c r="DC153" i="5"/>
  <c r="DD153" i="5"/>
  <c r="DL153" i="5"/>
  <c r="DM153" i="5"/>
  <c r="CS149" i="5"/>
  <c r="CY149" i="5"/>
  <c r="DE149" i="5"/>
  <c r="DK149" i="5"/>
  <c r="DQ149" i="5"/>
  <c r="CP149" i="5"/>
  <c r="DV149" i="5" s="1"/>
  <c r="CW149" i="5"/>
  <c r="DD149" i="5"/>
  <c r="DL149" i="5"/>
  <c r="DS149" i="5"/>
  <c r="CT149" i="5"/>
  <c r="DB149" i="5"/>
  <c r="DJ149" i="5"/>
  <c r="DT149" i="5"/>
  <c r="CU149" i="5"/>
  <c r="DC149" i="5"/>
  <c r="DM149" i="5"/>
  <c r="DU149" i="5"/>
  <c r="CV149" i="5"/>
  <c r="DH149" i="5"/>
  <c r="CX149" i="5"/>
  <c r="DI149" i="5"/>
  <c r="CQ149" i="5"/>
  <c r="DN149" i="5"/>
  <c r="DG149" i="5"/>
  <c r="DR149" i="5"/>
  <c r="DO149" i="5"/>
  <c r="CR149" i="5"/>
  <c r="DP149" i="5"/>
  <c r="CZ149" i="5"/>
  <c r="DA149" i="5"/>
  <c r="DF149" i="5"/>
  <c r="CS119" i="5"/>
  <c r="CY119" i="5"/>
  <c r="DE119" i="5"/>
  <c r="DK119" i="5"/>
  <c r="DQ119" i="5"/>
  <c r="CT119" i="5"/>
  <c r="DA119" i="5"/>
  <c r="DH119" i="5"/>
  <c r="DO119" i="5"/>
  <c r="CP119" i="5"/>
  <c r="DV119" i="5" s="1"/>
  <c r="CX119" i="5"/>
  <c r="DG119" i="5"/>
  <c r="DP119" i="5"/>
  <c r="CQ119" i="5"/>
  <c r="CZ119" i="5"/>
  <c r="DI119" i="5"/>
  <c r="DR119" i="5"/>
  <c r="DB119" i="5"/>
  <c r="DM119" i="5"/>
  <c r="DC119" i="5"/>
  <c r="DN119" i="5"/>
  <c r="CR119" i="5"/>
  <c r="DJ119" i="5"/>
  <c r="CV119" i="5"/>
  <c r="DS119" i="5"/>
  <c r="CU119" i="5"/>
  <c r="DU119" i="5"/>
  <c r="CW119" i="5"/>
  <c r="DD119" i="5"/>
  <c r="DF119" i="5"/>
  <c r="DL119" i="5"/>
  <c r="DT119" i="5"/>
  <c r="CT47" i="5"/>
  <c r="CZ47" i="5"/>
  <c r="DF47" i="5"/>
  <c r="DL47" i="5"/>
  <c r="DR47" i="5"/>
  <c r="CU47" i="5"/>
  <c r="DA47" i="5"/>
  <c r="DG47" i="5"/>
  <c r="DM47" i="5"/>
  <c r="DS47" i="5"/>
  <c r="CP47" i="5"/>
  <c r="DV47" i="5" s="1"/>
  <c r="CX47" i="5"/>
  <c r="DH47" i="5"/>
  <c r="DP47" i="5"/>
  <c r="CQ47" i="5"/>
  <c r="DB47" i="5"/>
  <c r="DK47" i="5"/>
  <c r="CR47" i="5"/>
  <c r="DD47" i="5"/>
  <c r="DQ47" i="5"/>
  <c r="CV47" i="5"/>
  <c r="DJ47" i="5"/>
  <c r="DE47" i="5"/>
  <c r="DI47" i="5"/>
  <c r="DN47" i="5"/>
  <c r="DO47" i="5"/>
  <c r="DT47" i="5"/>
  <c r="DU47" i="5"/>
  <c r="CY47" i="5"/>
  <c r="DC47" i="5"/>
  <c r="CS47" i="5"/>
  <c r="CW47" i="5"/>
  <c r="CT83" i="5"/>
  <c r="CZ83" i="5"/>
  <c r="DF83" i="5"/>
  <c r="DL83" i="5"/>
  <c r="DR83" i="5"/>
  <c r="CQ83" i="5"/>
  <c r="DW83" i="5" s="1"/>
  <c r="CX83" i="5"/>
  <c r="DE83" i="5"/>
  <c r="DM83" i="5"/>
  <c r="DT83" i="5"/>
  <c r="CR83" i="5"/>
  <c r="DA83" i="5"/>
  <c r="DI83" i="5"/>
  <c r="DQ83" i="5"/>
  <c r="CW83" i="5"/>
  <c r="DH83" i="5"/>
  <c r="DS83" i="5"/>
  <c r="CY83" i="5"/>
  <c r="DJ83" i="5"/>
  <c r="DU83" i="5"/>
  <c r="CU83" i="5"/>
  <c r="DK83" i="5"/>
  <c r="CV83" i="5"/>
  <c r="DN83" i="5"/>
  <c r="DB83" i="5"/>
  <c r="DC83" i="5"/>
  <c r="CP83" i="5"/>
  <c r="DV83" i="5" s="1"/>
  <c r="CS83" i="5"/>
  <c r="DD83" i="5"/>
  <c r="DG83" i="5"/>
  <c r="DO83" i="5"/>
  <c r="DP83" i="5"/>
  <c r="CS115" i="5"/>
  <c r="CY115" i="5"/>
  <c r="DE115" i="5"/>
  <c r="DK115" i="5"/>
  <c r="DQ115" i="5"/>
  <c r="CV115" i="5"/>
  <c r="DC115" i="5"/>
  <c r="DJ115" i="5"/>
  <c r="DR115" i="5"/>
  <c r="CR115" i="5"/>
  <c r="DA115" i="5"/>
  <c r="DI115" i="5"/>
  <c r="DS115" i="5"/>
  <c r="CT115" i="5"/>
  <c r="DB115" i="5"/>
  <c r="DL115" i="5"/>
  <c r="DT115" i="5"/>
  <c r="CP115" i="5"/>
  <c r="DV115" i="5" s="1"/>
  <c r="DD115" i="5"/>
  <c r="DO115" i="5"/>
  <c r="CQ115" i="5"/>
  <c r="DW115" i="5" s="1"/>
  <c r="DF115" i="5"/>
  <c r="DP115" i="5"/>
  <c r="DG115" i="5"/>
  <c r="CU115" i="5"/>
  <c r="DM115" i="5"/>
  <c r="DH115" i="5"/>
  <c r="DN115" i="5"/>
  <c r="DU115" i="5"/>
  <c r="CW115" i="5"/>
  <c r="CX115" i="5"/>
  <c r="CZ115" i="5"/>
  <c r="CS111" i="5"/>
  <c r="CY111" i="5"/>
  <c r="DE111" i="5"/>
  <c r="DK111" i="5"/>
  <c r="DQ111" i="5"/>
  <c r="CQ111" i="5"/>
  <c r="CX111" i="5"/>
  <c r="DF111" i="5"/>
  <c r="DM111" i="5"/>
  <c r="DT111" i="5"/>
  <c r="CU111" i="5"/>
  <c r="DC111" i="5"/>
  <c r="DL111" i="5"/>
  <c r="DU111" i="5"/>
  <c r="CV111" i="5"/>
  <c r="DD111" i="5"/>
  <c r="DN111" i="5"/>
  <c r="CR111" i="5"/>
  <c r="DG111" i="5"/>
  <c r="DR111" i="5"/>
  <c r="CT111" i="5"/>
  <c r="DH111" i="5"/>
  <c r="DS111" i="5"/>
  <c r="DA111" i="5"/>
  <c r="DB111" i="5"/>
  <c r="DI111" i="5"/>
  <c r="CP111" i="5"/>
  <c r="DJ111" i="5"/>
  <c r="CW111" i="5"/>
  <c r="CZ111" i="5"/>
  <c r="DO111" i="5"/>
  <c r="DP111" i="5"/>
  <c r="CQ76" i="5"/>
  <c r="CW76" i="5"/>
  <c r="DC76" i="5"/>
  <c r="DI76" i="5"/>
  <c r="DO76" i="5"/>
  <c r="DU76" i="5"/>
  <c r="CR76" i="5"/>
  <c r="CY76" i="5"/>
  <c r="DF76" i="5"/>
  <c r="DM76" i="5"/>
  <c r="DT76" i="5"/>
  <c r="CX76" i="5"/>
  <c r="DG76" i="5"/>
  <c r="DP76" i="5"/>
  <c r="CP76" i="5"/>
  <c r="DV76" i="5" s="1"/>
  <c r="DA76" i="5"/>
  <c r="DK76" i="5"/>
  <c r="CS76" i="5"/>
  <c r="DB76" i="5"/>
  <c r="DL76" i="5"/>
  <c r="CT76" i="5"/>
  <c r="DH76" i="5"/>
  <c r="CU76" i="5"/>
  <c r="DJ76" i="5"/>
  <c r="CV76" i="5"/>
  <c r="DR76" i="5"/>
  <c r="CZ76" i="5"/>
  <c r="DS76" i="5"/>
  <c r="DN76" i="5"/>
  <c r="DQ76" i="5"/>
  <c r="DD76" i="5"/>
  <c r="DE76" i="5"/>
  <c r="CT89" i="5"/>
  <c r="CZ89" i="5"/>
  <c r="DF89" i="5"/>
  <c r="DL89" i="5"/>
  <c r="DR89" i="5"/>
  <c r="CU89" i="5"/>
  <c r="DB89" i="5"/>
  <c r="DI89" i="5"/>
  <c r="DP89" i="5"/>
  <c r="CR89" i="5"/>
  <c r="DA89" i="5"/>
  <c r="DJ89" i="5"/>
  <c r="DS89" i="5"/>
  <c r="CW89" i="5"/>
  <c r="DG89" i="5"/>
  <c r="DQ89" i="5"/>
  <c r="CX89" i="5"/>
  <c r="DH89" i="5"/>
  <c r="DT89" i="5"/>
  <c r="CY89" i="5"/>
  <c r="DN89" i="5"/>
  <c r="DC89" i="5"/>
  <c r="DO89" i="5"/>
  <c r="CP89" i="5"/>
  <c r="DV89" i="5" s="1"/>
  <c r="DK89" i="5"/>
  <c r="CQ89" i="5"/>
  <c r="DW89" i="5" s="1"/>
  <c r="DM89" i="5"/>
  <c r="DD89" i="5"/>
  <c r="DE89" i="5"/>
  <c r="DU89" i="5"/>
  <c r="CS89" i="5"/>
  <c r="CV89" i="5"/>
  <c r="CT77" i="5"/>
  <c r="CZ77" i="5"/>
  <c r="DF77" i="5"/>
  <c r="DL77" i="5"/>
  <c r="DR77" i="5"/>
  <c r="CU77" i="5"/>
  <c r="DB77" i="5"/>
  <c r="DI77" i="5"/>
  <c r="DP77" i="5"/>
  <c r="CQ77" i="5"/>
  <c r="CY77" i="5"/>
  <c r="DH77" i="5"/>
  <c r="DQ77" i="5"/>
  <c r="CX77" i="5"/>
  <c r="DJ77" i="5"/>
  <c r="DT77" i="5"/>
  <c r="CP77" i="5"/>
  <c r="DV77" i="5" s="1"/>
  <c r="DA77" i="5"/>
  <c r="DK77" i="5"/>
  <c r="DU77" i="5"/>
  <c r="CR77" i="5"/>
  <c r="DE77" i="5"/>
  <c r="CS77" i="5"/>
  <c r="DG77" i="5"/>
  <c r="DM77" i="5"/>
  <c r="DN77" i="5"/>
  <c r="DO77" i="5"/>
  <c r="DS77" i="5"/>
  <c r="CV77" i="5"/>
  <c r="CW77" i="5"/>
  <c r="DC77" i="5"/>
  <c r="DD77" i="5"/>
  <c r="CQ102" i="5"/>
  <c r="CW102" i="5"/>
  <c r="DC102" i="5"/>
  <c r="DI102" i="5"/>
  <c r="DO102" i="5"/>
  <c r="DU102" i="5"/>
  <c r="CP102" i="5"/>
  <c r="CX102" i="5"/>
  <c r="DE102" i="5"/>
  <c r="DL102" i="5"/>
  <c r="DS102" i="5"/>
  <c r="CU102" i="5"/>
  <c r="DD102" i="5"/>
  <c r="DM102" i="5"/>
  <c r="CR102" i="5"/>
  <c r="DA102" i="5"/>
  <c r="DK102" i="5"/>
  <c r="CS102" i="5"/>
  <c r="DB102" i="5"/>
  <c r="DN102" i="5"/>
  <c r="DF102" i="5"/>
  <c r="DR102" i="5"/>
  <c r="DG102" i="5"/>
  <c r="DT102" i="5"/>
  <c r="DH102" i="5"/>
  <c r="DJ102" i="5"/>
  <c r="CT102" i="5"/>
  <c r="DP102" i="5"/>
  <c r="DQ102" i="5"/>
  <c r="CV102" i="5"/>
  <c r="CY102" i="5"/>
  <c r="CZ102" i="5"/>
  <c r="CT68" i="5"/>
  <c r="CZ68" i="5"/>
  <c r="DF68" i="5"/>
  <c r="DL68" i="5"/>
  <c r="DR68" i="5"/>
  <c r="CQ68" i="5"/>
  <c r="CX68" i="5"/>
  <c r="DE68" i="5"/>
  <c r="DM68" i="5"/>
  <c r="DT68" i="5"/>
  <c r="CV68" i="5"/>
  <c r="DD68" i="5"/>
  <c r="DN68" i="5"/>
  <c r="CP68" i="5"/>
  <c r="DV68" i="5" s="1"/>
  <c r="DA68" i="5"/>
  <c r="DJ68" i="5"/>
  <c r="DU68" i="5"/>
  <c r="CW68" i="5"/>
  <c r="DI68" i="5"/>
  <c r="CY68" i="5"/>
  <c r="DK68" i="5"/>
  <c r="CS68" i="5"/>
  <c r="DO68" i="5"/>
  <c r="CU68" i="5"/>
  <c r="DP68" i="5"/>
  <c r="DB68" i="5"/>
  <c r="DC68" i="5"/>
  <c r="DG68" i="5"/>
  <c r="DH68" i="5"/>
  <c r="DQ68" i="5"/>
  <c r="DS68" i="5"/>
  <c r="CR68" i="5"/>
  <c r="CQ69" i="5"/>
  <c r="CW69" i="5"/>
  <c r="DC69" i="5"/>
  <c r="DI69" i="5"/>
  <c r="DO69" i="5"/>
  <c r="DU69" i="5"/>
  <c r="CT69" i="5"/>
  <c r="DA69" i="5"/>
  <c r="DH69" i="5"/>
  <c r="DP69" i="5"/>
  <c r="CX69" i="5"/>
  <c r="DF69" i="5"/>
  <c r="DN69" i="5"/>
  <c r="CY69" i="5"/>
  <c r="DJ69" i="5"/>
  <c r="DS69" i="5"/>
  <c r="CP69" i="5"/>
  <c r="DB69" i="5"/>
  <c r="DM69" i="5"/>
  <c r="CR69" i="5"/>
  <c r="DD69" i="5"/>
  <c r="DQ69" i="5"/>
  <c r="CV69" i="5"/>
  <c r="DR69" i="5"/>
  <c r="CZ69" i="5"/>
  <c r="DT69" i="5"/>
  <c r="CS69" i="5"/>
  <c r="CU69" i="5"/>
  <c r="DK69" i="5"/>
  <c r="DL69" i="5"/>
  <c r="DE69" i="5"/>
  <c r="DG69" i="5"/>
  <c r="CP44" i="5"/>
  <c r="DV44" i="5" s="1"/>
  <c r="CV44" i="5"/>
  <c r="DB44" i="5"/>
  <c r="DH44" i="5"/>
  <c r="DN44" i="5"/>
  <c r="DT44" i="5"/>
  <c r="CQ44" i="5"/>
  <c r="DW44" i="5" s="1"/>
  <c r="CW44" i="5"/>
  <c r="DC44" i="5"/>
  <c r="DI44" i="5"/>
  <c r="DO44" i="5"/>
  <c r="DU44" i="5"/>
  <c r="CX44" i="5"/>
  <c r="DF44" i="5"/>
  <c r="DP44" i="5"/>
  <c r="CR44" i="5"/>
  <c r="DA44" i="5"/>
  <c r="DL44" i="5"/>
  <c r="CY44" i="5"/>
  <c r="DK44" i="5"/>
  <c r="CZ44" i="5"/>
  <c r="DQ44" i="5"/>
  <c r="CS44" i="5"/>
  <c r="DJ44" i="5"/>
  <c r="CT44" i="5"/>
  <c r="DM44" i="5"/>
  <c r="CU44" i="5"/>
  <c r="DD44" i="5"/>
  <c r="DE44" i="5"/>
  <c r="DG44" i="5"/>
  <c r="DR44" i="5"/>
  <c r="DS44" i="5"/>
  <c r="CT49" i="5"/>
  <c r="CZ49" i="5"/>
  <c r="DF49" i="5"/>
  <c r="DL49" i="5"/>
  <c r="DR49" i="5"/>
  <c r="CU49" i="5"/>
  <c r="DA49" i="5"/>
  <c r="DG49" i="5"/>
  <c r="DM49" i="5"/>
  <c r="DS49" i="5"/>
  <c r="CV49" i="5"/>
  <c r="DD49" i="5"/>
  <c r="DN49" i="5"/>
  <c r="CP49" i="5"/>
  <c r="CY49" i="5"/>
  <c r="DJ49" i="5"/>
  <c r="DU49" i="5"/>
  <c r="CQ49" i="5"/>
  <c r="DC49" i="5"/>
  <c r="DP49" i="5"/>
  <c r="CR49" i="5"/>
  <c r="DH49" i="5"/>
  <c r="CW49" i="5"/>
  <c r="DO49" i="5"/>
  <c r="CX49" i="5"/>
  <c r="DQ49" i="5"/>
  <c r="DB49" i="5"/>
  <c r="DE49" i="5"/>
  <c r="CS49" i="5"/>
  <c r="DI49" i="5"/>
  <c r="DK49" i="5"/>
  <c r="DT49" i="5"/>
  <c r="CT252" i="5"/>
  <c r="CZ252" i="5"/>
  <c r="DF252" i="5"/>
  <c r="DL252" i="5"/>
  <c r="DR252" i="5"/>
  <c r="CR252" i="5"/>
  <c r="CY252" i="5"/>
  <c r="DG252" i="5"/>
  <c r="DN252" i="5"/>
  <c r="DU252" i="5"/>
  <c r="CS252" i="5"/>
  <c r="DA252" i="5"/>
  <c r="DH252" i="5"/>
  <c r="DO252" i="5"/>
  <c r="CW252" i="5"/>
  <c r="DI252" i="5"/>
  <c r="DS252" i="5"/>
  <c r="DB252" i="5"/>
  <c r="CX252" i="5"/>
  <c r="DJ252" i="5"/>
  <c r="DT252" i="5"/>
  <c r="CP252" i="5"/>
  <c r="DK252" i="5"/>
  <c r="CV252" i="5"/>
  <c r="DQ252" i="5"/>
  <c r="DC252" i="5"/>
  <c r="DP252" i="5"/>
  <c r="CQ252" i="5"/>
  <c r="CU252" i="5"/>
  <c r="DD252" i="5"/>
  <c r="DE252" i="5"/>
  <c r="DM252" i="5"/>
  <c r="CS266" i="5"/>
  <c r="CY266" i="5"/>
  <c r="DE266" i="5"/>
  <c r="DK266" i="5"/>
  <c r="DQ266" i="5"/>
  <c r="CU266" i="5"/>
  <c r="DB266" i="5"/>
  <c r="DI266" i="5"/>
  <c r="DP266" i="5"/>
  <c r="CW266" i="5"/>
  <c r="DL266" i="5"/>
  <c r="CV266" i="5"/>
  <c r="DC266" i="5"/>
  <c r="DJ266" i="5"/>
  <c r="DR266" i="5"/>
  <c r="CP266" i="5"/>
  <c r="DV266" i="5" s="1"/>
  <c r="DD266" i="5"/>
  <c r="DS266" i="5"/>
  <c r="CQ266" i="5"/>
  <c r="DF266" i="5"/>
  <c r="DT266" i="5"/>
  <c r="DA266" i="5"/>
  <c r="DU266" i="5"/>
  <c r="DG266" i="5"/>
  <c r="CR266" i="5"/>
  <c r="DH266" i="5"/>
  <c r="CX266" i="5"/>
  <c r="CZ266" i="5"/>
  <c r="DM266" i="5"/>
  <c r="CT266" i="5"/>
  <c r="DN266" i="5"/>
  <c r="DO266" i="5"/>
  <c r="CR318" i="5"/>
  <c r="CX318" i="5"/>
  <c r="DD318" i="5"/>
  <c r="DJ318" i="5"/>
  <c r="DP318" i="5"/>
  <c r="CU318" i="5"/>
  <c r="DB318" i="5"/>
  <c r="DI318" i="5"/>
  <c r="DQ318" i="5"/>
  <c r="CW318" i="5"/>
  <c r="DL318" i="5"/>
  <c r="CV318" i="5"/>
  <c r="DC318" i="5"/>
  <c r="DK318" i="5"/>
  <c r="DR318" i="5"/>
  <c r="CP318" i="5"/>
  <c r="DE318" i="5"/>
  <c r="DS318" i="5"/>
  <c r="CT318" i="5"/>
  <c r="DH318" i="5"/>
  <c r="CY318" i="5"/>
  <c r="DM318" i="5"/>
  <c r="CZ318" i="5"/>
  <c r="DN318" i="5"/>
  <c r="CQ318" i="5"/>
  <c r="DT318" i="5"/>
  <c r="CS318" i="5"/>
  <c r="DU318" i="5"/>
  <c r="DA318" i="5"/>
  <c r="DF318" i="5"/>
  <c r="DO318" i="5"/>
  <c r="DG318" i="5"/>
  <c r="CT262" i="5"/>
  <c r="CZ262" i="5"/>
  <c r="DF262" i="5"/>
  <c r="DL262" i="5"/>
  <c r="DR262" i="5"/>
  <c r="CS262" i="5"/>
  <c r="DA262" i="5"/>
  <c r="DH262" i="5"/>
  <c r="DO262" i="5"/>
  <c r="CU262" i="5"/>
  <c r="DB262" i="5"/>
  <c r="DI262" i="5"/>
  <c r="DP262" i="5"/>
  <c r="CQ262" i="5"/>
  <c r="DW262" i="5" s="1"/>
  <c r="DC262" i="5"/>
  <c r="DM262" i="5"/>
  <c r="CV262" i="5"/>
  <c r="DQ262" i="5"/>
  <c r="CR262" i="5"/>
  <c r="DD262" i="5"/>
  <c r="DN262" i="5"/>
  <c r="DE262" i="5"/>
  <c r="CP262" i="5"/>
  <c r="DV262" i="5" s="1"/>
  <c r="CW262" i="5"/>
  <c r="DS262" i="5"/>
  <c r="DJ262" i="5"/>
  <c r="DK262" i="5"/>
  <c r="DT262" i="5"/>
  <c r="CX262" i="5"/>
  <c r="DU262" i="5"/>
  <c r="CY262" i="5"/>
  <c r="DG262" i="5"/>
  <c r="CR280" i="5"/>
  <c r="CX280" i="5"/>
  <c r="DD280" i="5"/>
  <c r="DJ280" i="5"/>
  <c r="DP280" i="5"/>
  <c r="CS280" i="5"/>
  <c r="CZ280" i="5"/>
  <c r="DG280" i="5"/>
  <c r="DN280" i="5"/>
  <c r="DU280" i="5"/>
  <c r="CU280" i="5"/>
  <c r="DI280" i="5"/>
  <c r="CT280" i="5"/>
  <c r="DA280" i="5"/>
  <c r="DH280" i="5"/>
  <c r="DO280" i="5"/>
  <c r="DB280" i="5"/>
  <c r="DQ280" i="5"/>
  <c r="CQ280" i="5"/>
  <c r="DF280" i="5"/>
  <c r="DT280" i="5"/>
  <c r="CV280" i="5"/>
  <c r="DK280" i="5"/>
  <c r="CW280" i="5"/>
  <c r="DL280" i="5"/>
  <c r="DR280" i="5"/>
  <c r="CP280" i="5"/>
  <c r="DS280" i="5"/>
  <c r="CY280" i="5"/>
  <c r="DM280" i="5"/>
  <c r="DE280" i="5"/>
  <c r="DC280" i="5"/>
  <c r="CP298" i="5"/>
  <c r="CV298" i="5"/>
  <c r="DB298" i="5"/>
  <c r="DH298" i="5"/>
  <c r="DN298" i="5"/>
  <c r="DT298" i="5"/>
  <c r="CS298" i="5"/>
  <c r="CZ298" i="5"/>
  <c r="DG298" i="5"/>
  <c r="DO298" i="5"/>
  <c r="DC298" i="5"/>
  <c r="DQ298" i="5"/>
  <c r="CT298" i="5"/>
  <c r="DA298" i="5"/>
  <c r="DI298" i="5"/>
  <c r="DP298" i="5"/>
  <c r="CU298" i="5"/>
  <c r="DJ298" i="5"/>
  <c r="CR298" i="5"/>
  <c r="DF298" i="5"/>
  <c r="DU298" i="5"/>
  <c r="CW298" i="5"/>
  <c r="DK298" i="5"/>
  <c r="CX298" i="5"/>
  <c r="DL298" i="5"/>
  <c r="DD298" i="5"/>
  <c r="DE298" i="5"/>
  <c r="DM298" i="5"/>
  <c r="CY298" i="5"/>
  <c r="DR298" i="5"/>
  <c r="DS298" i="5"/>
  <c r="CQ298" i="5"/>
  <c r="CS330" i="5"/>
  <c r="CY330" i="5"/>
  <c r="DE330" i="5"/>
  <c r="DK330" i="5"/>
  <c r="DQ330" i="5"/>
  <c r="DA330" i="5"/>
  <c r="DM330" i="5"/>
  <c r="CT330" i="5"/>
  <c r="CZ330" i="5"/>
  <c r="DF330" i="5"/>
  <c r="DL330" i="5"/>
  <c r="DR330" i="5"/>
  <c r="CU330" i="5"/>
  <c r="DG330" i="5"/>
  <c r="DS330" i="5"/>
  <c r="CR330" i="5"/>
  <c r="DD330" i="5"/>
  <c r="DP330" i="5"/>
  <c r="CV330" i="5"/>
  <c r="DH330" i="5"/>
  <c r="DT330" i="5"/>
  <c r="CW330" i="5"/>
  <c r="DI330" i="5"/>
  <c r="DU330" i="5"/>
  <c r="CP330" i="5"/>
  <c r="DN330" i="5"/>
  <c r="CQ330" i="5"/>
  <c r="DO330" i="5"/>
  <c r="CX330" i="5"/>
  <c r="DB330" i="5"/>
  <c r="DJ330" i="5"/>
  <c r="DC330" i="5"/>
  <c r="CU309" i="5"/>
  <c r="DA309" i="5"/>
  <c r="DG309" i="5"/>
  <c r="DM309" i="5"/>
  <c r="DS309" i="5"/>
  <c r="CQ309" i="5"/>
  <c r="CX309" i="5"/>
  <c r="DE309" i="5"/>
  <c r="DL309" i="5"/>
  <c r="DT309" i="5"/>
  <c r="CZ309" i="5"/>
  <c r="DO309" i="5"/>
  <c r="CR309" i="5"/>
  <c r="CY309" i="5"/>
  <c r="DF309" i="5"/>
  <c r="DN309" i="5"/>
  <c r="DU309" i="5"/>
  <c r="CS309" i="5"/>
  <c r="DH309" i="5"/>
  <c r="CW309" i="5"/>
  <c r="DK309" i="5"/>
  <c r="DB309" i="5"/>
  <c r="DP309" i="5"/>
  <c r="DC309" i="5"/>
  <c r="DQ309" i="5"/>
  <c r="CT309" i="5"/>
  <c r="CV309" i="5"/>
  <c r="DD309" i="5"/>
  <c r="CP309" i="5"/>
  <c r="DR309" i="5"/>
  <c r="DJ309" i="5"/>
  <c r="DI309" i="5"/>
  <c r="CS272" i="5"/>
  <c r="CY272" i="5"/>
  <c r="DE272" i="5"/>
  <c r="DK272" i="5"/>
  <c r="DQ272" i="5"/>
  <c r="CQ272" i="5"/>
  <c r="CX272" i="5"/>
  <c r="DF272" i="5"/>
  <c r="DM272" i="5"/>
  <c r="DT272" i="5"/>
  <c r="DA272" i="5"/>
  <c r="DO272" i="5"/>
  <c r="CR272" i="5"/>
  <c r="CZ272" i="5"/>
  <c r="DG272" i="5"/>
  <c r="DN272" i="5"/>
  <c r="DU272" i="5"/>
  <c r="CT272" i="5"/>
  <c r="DH272" i="5"/>
  <c r="CU272" i="5"/>
  <c r="DI272" i="5"/>
  <c r="CV272" i="5"/>
  <c r="DL272" i="5"/>
  <c r="CW272" i="5"/>
  <c r="DP272" i="5"/>
  <c r="DB272" i="5"/>
  <c r="DR272" i="5"/>
  <c r="DD272" i="5"/>
  <c r="DJ272" i="5"/>
  <c r="DS272" i="5"/>
  <c r="DC272" i="5"/>
  <c r="CP272" i="5"/>
  <c r="CS165" i="5"/>
  <c r="CY165" i="5"/>
  <c r="DE165" i="5"/>
  <c r="DK165" i="5"/>
  <c r="DQ165" i="5"/>
  <c r="CU165" i="5"/>
  <c r="DB165" i="5"/>
  <c r="DI165" i="5"/>
  <c r="DP165" i="5"/>
  <c r="CQ165" i="5"/>
  <c r="CZ165" i="5"/>
  <c r="DH165" i="5"/>
  <c r="DR165" i="5"/>
  <c r="CR165" i="5"/>
  <c r="DA165" i="5"/>
  <c r="DJ165" i="5"/>
  <c r="DS165" i="5"/>
  <c r="CW165" i="5"/>
  <c r="DL165" i="5"/>
  <c r="CT165" i="5"/>
  <c r="DG165" i="5"/>
  <c r="DC165" i="5"/>
  <c r="CV165" i="5"/>
  <c r="DM165" i="5"/>
  <c r="CX165" i="5"/>
  <c r="DN165" i="5"/>
  <c r="DO165" i="5"/>
  <c r="DT165" i="5"/>
  <c r="DU165" i="5"/>
  <c r="CP165" i="5"/>
  <c r="DF165" i="5"/>
  <c r="DD165" i="5"/>
  <c r="CT244" i="5"/>
  <c r="CZ244" i="5"/>
  <c r="DF244" i="5"/>
  <c r="DL244" i="5"/>
  <c r="DR244" i="5"/>
  <c r="CP244" i="5"/>
  <c r="DV244" i="5" s="1"/>
  <c r="CW244" i="5"/>
  <c r="DD244" i="5"/>
  <c r="DK244" i="5"/>
  <c r="DS244" i="5"/>
  <c r="CQ244" i="5"/>
  <c r="CX244" i="5"/>
  <c r="DE244" i="5"/>
  <c r="DM244" i="5"/>
  <c r="DT244" i="5"/>
  <c r="CR244" i="5"/>
  <c r="DB244" i="5"/>
  <c r="DN244" i="5"/>
  <c r="DG244" i="5"/>
  <c r="CS244" i="5"/>
  <c r="DC244" i="5"/>
  <c r="DO244" i="5"/>
  <c r="CU244" i="5"/>
  <c r="DP244" i="5"/>
  <c r="DA244" i="5"/>
  <c r="DH244" i="5"/>
  <c r="DU244" i="5"/>
  <c r="CV244" i="5"/>
  <c r="CY244" i="5"/>
  <c r="DI244" i="5"/>
  <c r="DJ244" i="5"/>
  <c r="DQ244" i="5"/>
  <c r="CT332" i="5"/>
  <c r="CZ332" i="5"/>
  <c r="DF332" i="5"/>
  <c r="DL332" i="5"/>
  <c r="DR332" i="5"/>
  <c r="CV332" i="5"/>
  <c r="DH332" i="5"/>
  <c r="DT332" i="5"/>
  <c r="CU332" i="5"/>
  <c r="DA332" i="5"/>
  <c r="DG332" i="5"/>
  <c r="DM332" i="5"/>
  <c r="DS332" i="5"/>
  <c r="CP332" i="5"/>
  <c r="DB332" i="5"/>
  <c r="DN332" i="5"/>
  <c r="CY332" i="5"/>
  <c r="DK332" i="5"/>
  <c r="CQ332" i="5"/>
  <c r="DC332" i="5"/>
  <c r="DO332" i="5"/>
  <c r="CR332" i="5"/>
  <c r="DD332" i="5"/>
  <c r="DP332" i="5"/>
  <c r="CW332" i="5"/>
  <c r="DU332" i="5"/>
  <c r="CX332" i="5"/>
  <c r="DE332" i="5"/>
  <c r="DJ332" i="5"/>
  <c r="DQ332" i="5"/>
  <c r="DI332" i="5"/>
  <c r="CS332" i="5"/>
  <c r="CT260" i="5"/>
  <c r="CZ260" i="5"/>
  <c r="DF260" i="5"/>
  <c r="DL260" i="5"/>
  <c r="DR260" i="5"/>
  <c r="CU260" i="5"/>
  <c r="DB260" i="5"/>
  <c r="DI260" i="5"/>
  <c r="DP260" i="5"/>
  <c r="CV260" i="5"/>
  <c r="DC260" i="5"/>
  <c r="DJ260" i="5"/>
  <c r="DQ260" i="5"/>
  <c r="CR260" i="5"/>
  <c r="DD260" i="5"/>
  <c r="DN260" i="5"/>
  <c r="CW260" i="5"/>
  <c r="DS260" i="5"/>
  <c r="CS260" i="5"/>
  <c r="DE260" i="5"/>
  <c r="DO260" i="5"/>
  <c r="DG260" i="5"/>
  <c r="CQ260" i="5"/>
  <c r="DM260" i="5"/>
  <c r="CX260" i="5"/>
  <c r="DT260" i="5"/>
  <c r="DK260" i="5"/>
  <c r="DU260" i="5"/>
  <c r="CP260" i="5"/>
  <c r="DV260" i="5" s="1"/>
  <c r="CY260" i="5"/>
  <c r="DH260" i="5"/>
  <c r="DA260" i="5"/>
  <c r="CS167" i="5"/>
  <c r="CY167" i="5"/>
  <c r="DE167" i="5"/>
  <c r="DK167" i="5"/>
  <c r="DQ167" i="5"/>
  <c r="CT167" i="5"/>
  <c r="DA167" i="5"/>
  <c r="DH167" i="5"/>
  <c r="DO167" i="5"/>
  <c r="CU167" i="5"/>
  <c r="DC167" i="5"/>
  <c r="DL167" i="5"/>
  <c r="DT167" i="5"/>
  <c r="CV167" i="5"/>
  <c r="DD167" i="5"/>
  <c r="DM167" i="5"/>
  <c r="DU167" i="5"/>
  <c r="CW167" i="5"/>
  <c r="DI167" i="5"/>
  <c r="CP167" i="5"/>
  <c r="DV167" i="5" s="1"/>
  <c r="DF167" i="5"/>
  <c r="DS167" i="5"/>
  <c r="DN167" i="5"/>
  <c r="CQ167" i="5"/>
  <c r="DW167" i="5" s="1"/>
  <c r="DG167" i="5"/>
  <c r="CR167" i="5"/>
  <c r="DJ167" i="5"/>
  <c r="CX167" i="5"/>
  <c r="CZ167" i="5"/>
  <c r="DB167" i="5"/>
  <c r="DP167" i="5"/>
  <c r="DR167" i="5"/>
  <c r="CT238" i="5"/>
  <c r="CZ238" i="5"/>
  <c r="DF238" i="5"/>
  <c r="DL238" i="5"/>
  <c r="DR238" i="5"/>
  <c r="CS238" i="5"/>
  <c r="DA238" i="5"/>
  <c r="DH238" i="5"/>
  <c r="DO238" i="5"/>
  <c r="CU238" i="5"/>
  <c r="DB238" i="5"/>
  <c r="DI238" i="5"/>
  <c r="DP238" i="5"/>
  <c r="CV238" i="5"/>
  <c r="DE238" i="5"/>
  <c r="DQ238" i="5"/>
  <c r="DJ238" i="5"/>
  <c r="CW238" i="5"/>
  <c r="DG238" i="5"/>
  <c r="DS238" i="5"/>
  <c r="CX238" i="5"/>
  <c r="DT238" i="5"/>
  <c r="DD238" i="5"/>
  <c r="CP238" i="5"/>
  <c r="DV238" i="5" s="1"/>
  <c r="DK238" i="5"/>
  <c r="CR238" i="5"/>
  <c r="CY238" i="5"/>
  <c r="DC238" i="5"/>
  <c r="DM238" i="5"/>
  <c r="CQ238" i="5"/>
  <c r="DW238" i="5" s="1"/>
  <c r="DN238" i="5"/>
  <c r="DU238" i="5"/>
  <c r="CP267" i="5"/>
  <c r="CV267" i="5"/>
  <c r="DB267" i="5"/>
  <c r="DH267" i="5"/>
  <c r="DN267" i="5"/>
  <c r="DT267" i="5"/>
  <c r="CQ267" i="5"/>
  <c r="CX267" i="5"/>
  <c r="DE267" i="5"/>
  <c r="DL267" i="5"/>
  <c r="DS267" i="5"/>
  <c r="CS267" i="5"/>
  <c r="DG267" i="5"/>
  <c r="CR267" i="5"/>
  <c r="CY267" i="5"/>
  <c r="DF267" i="5"/>
  <c r="DM267" i="5"/>
  <c r="DU267" i="5"/>
  <c r="CZ267" i="5"/>
  <c r="DO267" i="5"/>
  <c r="DA267" i="5"/>
  <c r="DP267" i="5"/>
  <c r="DD267" i="5"/>
  <c r="DI267" i="5"/>
  <c r="CT267" i="5"/>
  <c r="DJ267" i="5"/>
  <c r="CW267" i="5"/>
  <c r="DC267" i="5"/>
  <c r="DK267" i="5"/>
  <c r="CU267" i="5"/>
  <c r="DQ267" i="5"/>
  <c r="DR267" i="5"/>
  <c r="CS285" i="5"/>
  <c r="CY285" i="5"/>
  <c r="DE285" i="5"/>
  <c r="DK285" i="5"/>
  <c r="DQ285" i="5"/>
  <c r="CQ285" i="5"/>
  <c r="DW285" i="5" s="1"/>
  <c r="CX285" i="5"/>
  <c r="DF285" i="5"/>
  <c r="DM285" i="5"/>
  <c r="DT285" i="5"/>
  <c r="CT285" i="5"/>
  <c r="DH285" i="5"/>
  <c r="CR285" i="5"/>
  <c r="CZ285" i="5"/>
  <c r="DG285" i="5"/>
  <c r="DN285" i="5"/>
  <c r="DU285" i="5"/>
  <c r="DA285" i="5"/>
  <c r="DO285" i="5"/>
  <c r="CW285" i="5"/>
  <c r="DL285" i="5"/>
  <c r="DB285" i="5"/>
  <c r="DP285" i="5"/>
  <c r="DC285" i="5"/>
  <c r="DR285" i="5"/>
  <c r="CU285" i="5"/>
  <c r="CV285" i="5"/>
  <c r="DD285" i="5"/>
  <c r="CP285" i="5"/>
  <c r="DV285" i="5" s="1"/>
  <c r="DS285" i="5"/>
  <c r="DJ285" i="5"/>
  <c r="DI285" i="5"/>
  <c r="CR305" i="5"/>
  <c r="CX305" i="5"/>
  <c r="DD305" i="5"/>
  <c r="DJ305" i="5"/>
  <c r="DP305" i="5"/>
  <c r="CP305" i="5"/>
  <c r="CW305" i="5"/>
  <c r="DE305" i="5"/>
  <c r="DL305" i="5"/>
  <c r="DS305" i="5"/>
  <c r="CS305" i="5"/>
  <c r="DG305" i="5"/>
  <c r="DU305" i="5"/>
  <c r="CQ305" i="5"/>
  <c r="CY305" i="5"/>
  <c r="DF305" i="5"/>
  <c r="DM305" i="5"/>
  <c r="DT305" i="5"/>
  <c r="CZ305" i="5"/>
  <c r="DN305" i="5"/>
  <c r="CV305" i="5"/>
  <c r="DK305" i="5"/>
  <c r="DA305" i="5"/>
  <c r="DO305" i="5"/>
  <c r="DB305" i="5"/>
  <c r="DQ305" i="5"/>
  <c r="DH305" i="5"/>
  <c r="DI305" i="5"/>
  <c r="DR305" i="5"/>
  <c r="DC305" i="5"/>
  <c r="CT305" i="5"/>
  <c r="CU305" i="5"/>
  <c r="CT212" i="5"/>
  <c r="CZ212" i="5"/>
  <c r="DF212" i="5"/>
  <c r="DL212" i="5"/>
  <c r="DR212" i="5"/>
  <c r="CU212" i="5"/>
  <c r="DB212" i="5"/>
  <c r="DI212" i="5"/>
  <c r="DP212" i="5"/>
  <c r="CV212" i="5"/>
  <c r="DC212" i="5"/>
  <c r="DJ212" i="5"/>
  <c r="DQ212" i="5"/>
  <c r="CP212" i="5"/>
  <c r="DV212" i="5" s="1"/>
  <c r="CY212" i="5"/>
  <c r="DK212" i="5"/>
  <c r="DU212" i="5"/>
  <c r="DD212" i="5"/>
  <c r="DE212" i="5"/>
  <c r="CQ212" i="5"/>
  <c r="DW212" i="5" s="1"/>
  <c r="DA212" i="5"/>
  <c r="DM212" i="5"/>
  <c r="CR212" i="5"/>
  <c r="DN212" i="5"/>
  <c r="CS212" i="5"/>
  <c r="DO212" i="5"/>
  <c r="DH212" i="5"/>
  <c r="DS212" i="5"/>
  <c r="CW212" i="5"/>
  <c r="CX212" i="5"/>
  <c r="DG212" i="5"/>
  <c r="DT212" i="5"/>
  <c r="CQ203" i="5"/>
  <c r="CW203" i="5"/>
  <c r="DC203" i="5"/>
  <c r="DI203" i="5"/>
  <c r="DO203" i="5"/>
  <c r="DU203" i="5"/>
  <c r="CV203" i="5"/>
  <c r="DD203" i="5"/>
  <c r="DK203" i="5"/>
  <c r="DR203" i="5"/>
  <c r="CP203" i="5"/>
  <c r="DV203" i="5" s="1"/>
  <c r="CX203" i="5"/>
  <c r="DE203" i="5"/>
  <c r="DL203" i="5"/>
  <c r="DS203" i="5"/>
  <c r="CT203" i="5"/>
  <c r="DF203" i="5"/>
  <c r="DP203" i="5"/>
  <c r="CZ203" i="5"/>
  <c r="CU203" i="5"/>
  <c r="DG203" i="5"/>
  <c r="DQ203" i="5"/>
  <c r="CY203" i="5"/>
  <c r="DH203" i="5"/>
  <c r="DT203" i="5"/>
  <c r="DJ203" i="5"/>
  <c r="DM203" i="5"/>
  <c r="DN203" i="5"/>
  <c r="CR203" i="5"/>
  <c r="CS203" i="5"/>
  <c r="DA203" i="5"/>
  <c r="DB203" i="5"/>
  <c r="CQ247" i="5"/>
  <c r="CW247" i="5"/>
  <c r="DC247" i="5"/>
  <c r="DI247" i="5"/>
  <c r="DO247" i="5"/>
  <c r="DU247" i="5"/>
  <c r="CR247" i="5"/>
  <c r="CY247" i="5"/>
  <c r="DF247" i="5"/>
  <c r="DM247" i="5"/>
  <c r="DT247" i="5"/>
  <c r="CS247" i="5"/>
  <c r="CZ247" i="5"/>
  <c r="DG247" i="5"/>
  <c r="DN247" i="5"/>
  <c r="DA247" i="5"/>
  <c r="DK247" i="5"/>
  <c r="CT247" i="5"/>
  <c r="DP247" i="5"/>
  <c r="CP247" i="5"/>
  <c r="DV247" i="5" s="1"/>
  <c r="DB247" i="5"/>
  <c r="DL247" i="5"/>
  <c r="DD247" i="5"/>
  <c r="DJ247" i="5"/>
  <c r="CU247" i="5"/>
  <c r="DQ247" i="5"/>
  <c r="DS247" i="5"/>
  <c r="CV247" i="5"/>
  <c r="CX247" i="5"/>
  <c r="DE247" i="5"/>
  <c r="DH247" i="5"/>
  <c r="DR247" i="5"/>
  <c r="CT186" i="5"/>
  <c r="CZ186" i="5"/>
  <c r="DF186" i="5"/>
  <c r="DL186" i="5"/>
  <c r="DR186" i="5"/>
  <c r="CV186" i="5"/>
  <c r="DC186" i="5"/>
  <c r="DJ186" i="5"/>
  <c r="DQ186" i="5"/>
  <c r="CP186" i="5"/>
  <c r="CW186" i="5"/>
  <c r="DD186" i="5"/>
  <c r="DK186" i="5"/>
  <c r="DS186" i="5"/>
  <c r="CQ186" i="5"/>
  <c r="DA186" i="5"/>
  <c r="DM186" i="5"/>
  <c r="DB186" i="5"/>
  <c r="DO186" i="5"/>
  <c r="CU186" i="5"/>
  <c r="DU186" i="5"/>
  <c r="CR186" i="5"/>
  <c r="DE186" i="5"/>
  <c r="DP186" i="5"/>
  <c r="CS186" i="5"/>
  <c r="DG186" i="5"/>
  <c r="DT186" i="5"/>
  <c r="DH186" i="5"/>
  <c r="CX186" i="5"/>
  <c r="CY186" i="5"/>
  <c r="DI186" i="5"/>
  <c r="DN186" i="5"/>
  <c r="CQ94" i="5"/>
  <c r="CW94" i="5"/>
  <c r="DC94" i="5"/>
  <c r="DI94" i="5"/>
  <c r="DO94" i="5"/>
  <c r="DU94" i="5"/>
  <c r="CU94" i="5"/>
  <c r="DB94" i="5"/>
  <c r="DJ94" i="5"/>
  <c r="DQ94" i="5"/>
  <c r="CR94" i="5"/>
  <c r="CZ94" i="5"/>
  <c r="DH94" i="5"/>
  <c r="DR94" i="5"/>
  <c r="CX94" i="5"/>
  <c r="DG94" i="5"/>
  <c r="DS94" i="5"/>
  <c r="CY94" i="5"/>
  <c r="DK94" i="5"/>
  <c r="DT94" i="5"/>
  <c r="CP94" i="5"/>
  <c r="DV94" i="5" s="1"/>
  <c r="DE94" i="5"/>
  <c r="CS94" i="5"/>
  <c r="DF94" i="5"/>
  <c r="DL94" i="5"/>
  <c r="DM94" i="5"/>
  <c r="DN94" i="5"/>
  <c r="DP94" i="5"/>
  <c r="CT94" i="5"/>
  <c r="CV94" i="5"/>
  <c r="DA94" i="5"/>
  <c r="DD94" i="5"/>
  <c r="CT220" i="5"/>
  <c r="CZ220" i="5"/>
  <c r="DF220" i="5"/>
  <c r="DL220" i="5"/>
  <c r="DR220" i="5"/>
  <c r="CP220" i="5"/>
  <c r="DV220" i="5" s="1"/>
  <c r="CW220" i="5"/>
  <c r="DD220" i="5"/>
  <c r="DK220" i="5"/>
  <c r="DS220" i="5"/>
  <c r="CQ220" i="5"/>
  <c r="CX220" i="5"/>
  <c r="DE220" i="5"/>
  <c r="DM220" i="5"/>
  <c r="DT220" i="5"/>
  <c r="CU220" i="5"/>
  <c r="DG220" i="5"/>
  <c r="DP220" i="5"/>
  <c r="CY220" i="5"/>
  <c r="DU220" i="5"/>
  <c r="DA220" i="5"/>
  <c r="CV220" i="5"/>
  <c r="DH220" i="5"/>
  <c r="DQ220" i="5"/>
  <c r="DI220" i="5"/>
  <c r="DJ220" i="5"/>
  <c r="DC220" i="5"/>
  <c r="DN220" i="5"/>
  <c r="DB220" i="5"/>
  <c r="DO220" i="5"/>
  <c r="CS220" i="5"/>
  <c r="CR220" i="5"/>
  <c r="CS135" i="5"/>
  <c r="CY135" i="5"/>
  <c r="DE135" i="5"/>
  <c r="DK135" i="5"/>
  <c r="DQ135" i="5"/>
  <c r="CQ135" i="5"/>
  <c r="CX135" i="5"/>
  <c r="DF135" i="5"/>
  <c r="DM135" i="5"/>
  <c r="DT135" i="5"/>
  <c r="CW135" i="5"/>
  <c r="DG135" i="5"/>
  <c r="DO135" i="5"/>
  <c r="CP135" i="5"/>
  <c r="CZ135" i="5"/>
  <c r="DH135" i="5"/>
  <c r="DP135" i="5"/>
  <c r="CR135" i="5"/>
  <c r="DC135" i="5"/>
  <c r="DR135" i="5"/>
  <c r="CT135" i="5"/>
  <c r="DD135" i="5"/>
  <c r="DS135" i="5"/>
  <c r="DI135" i="5"/>
  <c r="DB135" i="5"/>
  <c r="DN135" i="5"/>
  <c r="DJ135" i="5"/>
  <c r="DL135" i="5"/>
  <c r="CU135" i="5"/>
  <c r="DU135" i="5"/>
  <c r="CV135" i="5"/>
  <c r="DA135" i="5"/>
  <c r="CP110" i="5"/>
  <c r="DV110" i="5" s="1"/>
  <c r="CV110" i="5"/>
  <c r="DB110" i="5"/>
  <c r="DH110" i="5"/>
  <c r="DN110" i="5"/>
  <c r="DT110" i="5"/>
  <c r="CU110" i="5"/>
  <c r="DC110" i="5"/>
  <c r="DJ110" i="5"/>
  <c r="DQ110" i="5"/>
  <c r="CS110" i="5"/>
  <c r="DA110" i="5"/>
  <c r="DK110" i="5"/>
  <c r="DS110" i="5"/>
  <c r="CT110" i="5"/>
  <c r="DD110" i="5"/>
  <c r="DL110" i="5"/>
  <c r="DU110" i="5"/>
  <c r="CY110" i="5"/>
  <c r="DM110" i="5"/>
  <c r="CZ110" i="5"/>
  <c r="DO110" i="5"/>
  <c r="CW110" i="5"/>
  <c r="DP110" i="5"/>
  <c r="CX110" i="5"/>
  <c r="DR110" i="5"/>
  <c r="DE110" i="5"/>
  <c r="CQ110" i="5"/>
  <c r="DW110" i="5" s="1"/>
  <c r="CR110" i="5"/>
  <c r="DF110" i="5"/>
  <c r="DG110" i="5"/>
  <c r="DI110" i="5"/>
  <c r="CT101" i="5"/>
  <c r="CZ101" i="5"/>
  <c r="DF101" i="5"/>
  <c r="DL101" i="5"/>
  <c r="DR101" i="5"/>
  <c r="CU101" i="5"/>
  <c r="DB101" i="5"/>
  <c r="DI101" i="5"/>
  <c r="DP101" i="5"/>
  <c r="CS101" i="5"/>
  <c r="DC101" i="5"/>
  <c r="DK101" i="5"/>
  <c r="DT101" i="5"/>
  <c r="CV101" i="5"/>
  <c r="CQ101" i="5"/>
  <c r="DW101" i="5" s="1"/>
  <c r="DD101" i="5"/>
  <c r="DN101" i="5"/>
  <c r="CR101" i="5"/>
  <c r="DE101" i="5"/>
  <c r="DO101" i="5"/>
  <c r="DG101" i="5"/>
  <c r="DU101" i="5"/>
  <c r="CP101" i="5"/>
  <c r="DV101" i="5" s="1"/>
  <c r="DH101" i="5"/>
  <c r="CW101" i="5"/>
  <c r="DQ101" i="5"/>
  <c r="CX101" i="5"/>
  <c r="DS101" i="5"/>
  <c r="CY101" i="5"/>
  <c r="DA101" i="5"/>
  <c r="DJ101" i="5"/>
  <c r="DM101" i="5"/>
  <c r="CQ39" i="5"/>
  <c r="CW39" i="5"/>
  <c r="DC39" i="5"/>
  <c r="DI39" i="5"/>
  <c r="DO39" i="5"/>
  <c r="DU39" i="5"/>
  <c r="CR39" i="5"/>
  <c r="CX39" i="5"/>
  <c r="DD39" i="5"/>
  <c r="DJ39" i="5"/>
  <c r="DP39" i="5"/>
  <c r="CY39" i="5"/>
  <c r="DG39" i="5"/>
  <c r="DQ39" i="5"/>
  <c r="CS39" i="5"/>
  <c r="DB39" i="5"/>
  <c r="DM39" i="5"/>
  <c r="CT39" i="5"/>
  <c r="DF39" i="5"/>
  <c r="DS39" i="5"/>
  <c r="CP39" i="5"/>
  <c r="DH39" i="5"/>
  <c r="DE39" i="5"/>
  <c r="DK39" i="5"/>
  <c r="CU39" i="5"/>
  <c r="DR39" i="5"/>
  <c r="CV39" i="5"/>
  <c r="DT39" i="5"/>
  <c r="DL39" i="5"/>
  <c r="DN39" i="5"/>
  <c r="CZ39" i="5"/>
  <c r="DA39" i="5"/>
  <c r="CU51" i="5"/>
  <c r="DA51" i="5"/>
  <c r="DG51" i="5"/>
  <c r="DM51" i="5"/>
  <c r="DS51" i="5"/>
  <c r="CP51" i="5"/>
  <c r="CV51" i="5"/>
  <c r="DB51" i="5"/>
  <c r="DH51" i="5"/>
  <c r="DN51" i="5"/>
  <c r="DT51" i="5"/>
  <c r="CS51" i="5"/>
  <c r="DC51" i="5"/>
  <c r="DK51" i="5"/>
  <c r="DU51" i="5"/>
  <c r="CY51" i="5"/>
  <c r="DJ51" i="5"/>
  <c r="CQ51" i="5"/>
  <c r="DD51" i="5"/>
  <c r="DP51" i="5"/>
  <c r="DE51" i="5"/>
  <c r="DR51" i="5"/>
  <c r="DF51" i="5"/>
  <c r="CR51" i="5"/>
  <c r="DI51" i="5"/>
  <c r="CT51" i="5"/>
  <c r="DQ51" i="5"/>
  <c r="CW51" i="5"/>
  <c r="DL51" i="5"/>
  <c r="DO51" i="5"/>
  <c r="CX51" i="5"/>
  <c r="CZ51" i="5"/>
  <c r="CP331" i="5"/>
  <c r="CV331" i="5"/>
  <c r="DB331" i="5"/>
  <c r="DH331" i="5"/>
  <c r="DN331" i="5"/>
  <c r="DT331" i="5"/>
  <c r="CR331" i="5"/>
  <c r="DD331" i="5"/>
  <c r="DP331" i="5"/>
  <c r="CQ331" i="5"/>
  <c r="CW331" i="5"/>
  <c r="DC331" i="5"/>
  <c r="DI331" i="5"/>
  <c r="DO331" i="5"/>
  <c r="DU331" i="5"/>
  <c r="CX331" i="5"/>
  <c r="DJ331" i="5"/>
  <c r="CU331" i="5"/>
  <c r="DG331" i="5"/>
  <c r="DS331" i="5"/>
  <c r="CY331" i="5"/>
  <c r="DK331" i="5"/>
  <c r="CZ331" i="5"/>
  <c r="DL331" i="5"/>
  <c r="DE331" i="5"/>
  <c r="DF331" i="5"/>
  <c r="DM331" i="5"/>
  <c r="CT331" i="5"/>
  <c r="DA331" i="5"/>
  <c r="DQ331" i="5"/>
  <c r="CS331" i="5"/>
  <c r="DR331" i="5"/>
  <c r="CP271" i="5"/>
  <c r="DV271" i="5" s="1"/>
  <c r="CV271" i="5"/>
  <c r="DB271" i="5"/>
  <c r="DH271" i="5"/>
  <c r="DN271" i="5"/>
  <c r="DT271" i="5"/>
  <c r="CU271" i="5"/>
  <c r="DC271" i="5"/>
  <c r="DJ271" i="5"/>
  <c r="DQ271" i="5"/>
  <c r="CQ271" i="5"/>
  <c r="DE271" i="5"/>
  <c r="DS271" i="5"/>
  <c r="CW271" i="5"/>
  <c r="DD271" i="5"/>
  <c r="DK271" i="5"/>
  <c r="DR271" i="5"/>
  <c r="CX271" i="5"/>
  <c r="DL271" i="5"/>
  <c r="CY271" i="5"/>
  <c r="DM271" i="5"/>
  <c r="CS271" i="5"/>
  <c r="DI271" i="5"/>
  <c r="CT271" i="5"/>
  <c r="DO271" i="5"/>
  <c r="CZ271" i="5"/>
  <c r="DP271" i="5"/>
  <c r="DF271" i="5"/>
  <c r="DG271" i="5"/>
  <c r="DU271" i="5"/>
  <c r="DA271" i="5"/>
  <c r="CR271" i="5"/>
  <c r="CS320" i="5"/>
  <c r="CY320" i="5"/>
  <c r="DE320" i="5"/>
  <c r="DK320" i="5"/>
  <c r="DQ320" i="5"/>
  <c r="CU320" i="5"/>
  <c r="DB320" i="5"/>
  <c r="DI320" i="5"/>
  <c r="DP320" i="5"/>
  <c r="CP320" i="5"/>
  <c r="DD320" i="5"/>
  <c r="DS320" i="5"/>
  <c r="CV320" i="5"/>
  <c r="DC320" i="5"/>
  <c r="DJ320" i="5"/>
  <c r="DR320" i="5"/>
  <c r="CW320" i="5"/>
  <c r="DL320" i="5"/>
  <c r="DA320" i="5"/>
  <c r="DO320" i="5"/>
  <c r="CQ320" i="5"/>
  <c r="DF320" i="5"/>
  <c r="DT320" i="5"/>
  <c r="CR320" i="5"/>
  <c r="DG320" i="5"/>
  <c r="DU320" i="5"/>
  <c r="DM320" i="5"/>
  <c r="DN320" i="5"/>
  <c r="CT320" i="5"/>
  <c r="CX320" i="5"/>
  <c r="DH320" i="5"/>
  <c r="CZ320" i="5"/>
  <c r="CQ197" i="5"/>
  <c r="CW197" i="5"/>
  <c r="DC197" i="5"/>
  <c r="DI197" i="5"/>
  <c r="DO197" i="5"/>
  <c r="DU197" i="5"/>
  <c r="CS197" i="5"/>
  <c r="CZ197" i="5"/>
  <c r="DG197" i="5"/>
  <c r="DN197" i="5"/>
  <c r="CT197" i="5"/>
  <c r="DA197" i="5"/>
  <c r="DH197" i="5"/>
  <c r="DP197" i="5"/>
  <c r="CX197" i="5"/>
  <c r="DJ197" i="5"/>
  <c r="DS197" i="5"/>
  <c r="DD197" i="5"/>
  <c r="CY197" i="5"/>
  <c r="DK197" i="5"/>
  <c r="DT197" i="5"/>
  <c r="CP197" i="5"/>
  <c r="DV197" i="5" s="1"/>
  <c r="DB197" i="5"/>
  <c r="DL197" i="5"/>
  <c r="CR197" i="5"/>
  <c r="DM197" i="5"/>
  <c r="DQ197" i="5"/>
  <c r="DR197" i="5"/>
  <c r="CU197" i="5"/>
  <c r="CV197" i="5"/>
  <c r="DE197" i="5"/>
  <c r="DF197" i="5"/>
  <c r="CQ303" i="5"/>
  <c r="CW303" i="5"/>
  <c r="DC303" i="5"/>
  <c r="DI303" i="5"/>
  <c r="DO303" i="5"/>
  <c r="DU303" i="5"/>
  <c r="CP303" i="5"/>
  <c r="CX303" i="5"/>
  <c r="DE303" i="5"/>
  <c r="DL303" i="5"/>
  <c r="DS303" i="5"/>
  <c r="CZ303" i="5"/>
  <c r="DN303" i="5"/>
  <c r="CR303" i="5"/>
  <c r="CY303" i="5"/>
  <c r="DF303" i="5"/>
  <c r="DM303" i="5"/>
  <c r="DT303" i="5"/>
  <c r="CS303" i="5"/>
  <c r="DG303" i="5"/>
  <c r="DD303" i="5"/>
  <c r="DR303" i="5"/>
  <c r="CT303" i="5"/>
  <c r="DH303" i="5"/>
  <c r="CU303" i="5"/>
  <c r="DJ303" i="5"/>
  <c r="DP303" i="5"/>
  <c r="DQ303" i="5"/>
  <c r="CV303" i="5"/>
  <c r="DK303" i="5"/>
  <c r="DA303" i="5"/>
  <c r="DB303" i="5"/>
  <c r="CR276" i="5"/>
  <c r="CX276" i="5"/>
  <c r="DD276" i="5"/>
  <c r="DJ276" i="5"/>
  <c r="DP276" i="5"/>
  <c r="CU276" i="5"/>
  <c r="DB276" i="5"/>
  <c r="DI276" i="5"/>
  <c r="DQ276" i="5"/>
  <c r="CW276" i="5"/>
  <c r="DL276" i="5"/>
  <c r="CV276" i="5"/>
  <c r="DC276" i="5"/>
  <c r="DK276" i="5"/>
  <c r="DR276" i="5"/>
  <c r="CP276" i="5"/>
  <c r="DE276" i="5"/>
  <c r="DS276" i="5"/>
  <c r="CT276" i="5"/>
  <c r="DH276" i="5"/>
  <c r="CY276" i="5"/>
  <c r="DM276" i="5"/>
  <c r="CZ276" i="5"/>
  <c r="DN276" i="5"/>
  <c r="DF276" i="5"/>
  <c r="DG276" i="5"/>
  <c r="DO276" i="5"/>
  <c r="DA276" i="5"/>
  <c r="CQ276" i="5"/>
  <c r="CS276" i="5"/>
  <c r="DT276" i="5"/>
  <c r="DU276" i="5"/>
  <c r="CQ284" i="5"/>
  <c r="CW284" i="5"/>
  <c r="DC284" i="5"/>
  <c r="DI284" i="5"/>
  <c r="DO284" i="5"/>
  <c r="DU284" i="5"/>
  <c r="CV284" i="5"/>
  <c r="DD284" i="5"/>
  <c r="DK284" i="5"/>
  <c r="DR284" i="5"/>
  <c r="CY284" i="5"/>
  <c r="DM284" i="5"/>
  <c r="CP284" i="5"/>
  <c r="CX284" i="5"/>
  <c r="DE284" i="5"/>
  <c r="DL284" i="5"/>
  <c r="DS284" i="5"/>
  <c r="CR284" i="5"/>
  <c r="DF284" i="5"/>
  <c r="DT284" i="5"/>
  <c r="DB284" i="5"/>
  <c r="DQ284" i="5"/>
  <c r="CS284" i="5"/>
  <c r="DG284" i="5"/>
  <c r="CT284" i="5"/>
  <c r="DH284" i="5"/>
  <c r="CZ284" i="5"/>
  <c r="DA284" i="5"/>
  <c r="DJ284" i="5"/>
  <c r="CU284" i="5"/>
  <c r="DN284" i="5"/>
  <c r="DP284" i="5"/>
  <c r="CP168" i="5"/>
  <c r="CV168" i="5"/>
  <c r="DB168" i="5"/>
  <c r="DH168" i="5"/>
  <c r="DN168" i="5"/>
  <c r="DT168" i="5"/>
  <c r="CW168" i="5"/>
  <c r="DD168" i="5"/>
  <c r="DK168" i="5"/>
  <c r="DR168" i="5"/>
  <c r="CU168" i="5"/>
  <c r="DE168" i="5"/>
  <c r="DM168" i="5"/>
  <c r="CX168" i="5"/>
  <c r="DF168" i="5"/>
  <c r="DO168" i="5"/>
  <c r="CQ168" i="5"/>
  <c r="DA168" i="5"/>
  <c r="DP168" i="5"/>
  <c r="DC168" i="5"/>
  <c r="DS168" i="5"/>
  <c r="DJ168" i="5"/>
  <c r="CR168" i="5"/>
  <c r="DG168" i="5"/>
  <c r="DU168" i="5"/>
  <c r="CS168" i="5"/>
  <c r="DI168" i="5"/>
  <c r="CT168" i="5"/>
  <c r="DL168" i="5"/>
  <c r="DQ168" i="5"/>
  <c r="CY168" i="5"/>
  <c r="CZ168" i="5"/>
  <c r="CS137" i="5"/>
  <c r="CY137" i="5"/>
  <c r="DE137" i="5"/>
  <c r="DK137" i="5"/>
  <c r="DQ137" i="5"/>
  <c r="CP137" i="5"/>
  <c r="DV137" i="5" s="1"/>
  <c r="CW137" i="5"/>
  <c r="DD137" i="5"/>
  <c r="DL137" i="5"/>
  <c r="DS137" i="5"/>
  <c r="CR137" i="5"/>
  <c r="DA137" i="5"/>
  <c r="DI137" i="5"/>
  <c r="DR137" i="5"/>
  <c r="CT137" i="5"/>
  <c r="DB137" i="5"/>
  <c r="DJ137" i="5"/>
  <c r="DT137" i="5"/>
  <c r="DC137" i="5"/>
  <c r="DO137" i="5"/>
  <c r="CQ137" i="5"/>
  <c r="DF137" i="5"/>
  <c r="DP137" i="5"/>
  <c r="CX137" i="5"/>
  <c r="DU137" i="5"/>
  <c r="DH137" i="5"/>
  <c r="CV137" i="5"/>
  <c r="DM137" i="5"/>
  <c r="CU137" i="5"/>
  <c r="DN137" i="5"/>
  <c r="CZ137" i="5"/>
  <c r="DG137" i="5"/>
  <c r="CP178" i="5"/>
  <c r="DV178" i="5" s="1"/>
  <c r="CV178" i="5"/>
  <c r="DB178" i="5"/>
  <c r="DH178" i="5"/>
  <c r="DN178" i="5"/>
  <c r="DT178" i="5"/>
  <c r="CQ178" i="5"/>
  <c r="DW178" i="5" s="1"/>
  <c r="CX178" i="5"/>
  <c r="DE178" i="5"/>
  <c r="DL178" i="5"/>
  <c r="DS178" i="5"/>
  <c r="CT178" i="5"/>
  <c r="DC178" i="5"/>
  <c r="DK178" i="5"/>
  <c r="DU178" i="5"/>
  <c r="CU178" i="5"/>
  <c r="DD178" i="5"/>
  <c r="DM178" i="5"/>
  <c r="CW178" i="5"/>
  <c r="DI178" i="5"/>
  <c r="CZ178" i="5"/>
  <c r="DP178" i="5"/>
  <c r="CR178" i="5"/>
  <c r="DA178" i="5"/>
  <c r="DQ178" i="5"/>
  <c r="DF178" i="5"/>
  <c r="DR178" i="5"/>
  <c r="DG178" i="5"/>
  <c r="DJ178" i="5"/>
  <c r="DO178" i="5"/>
  <c r="CS178" i="5"/>
  <c r="CY178" i="5"/>
  <c r="CQ217" i="5"/>
  <c r="DW217" i="5" s="1"/>
  <c r="CW217" i="5"/>
  <c r="DC217" i="5"/>
  <c r="DI217" i="5"/>
  <c r="DO217" i="5"/>
  <c r="DU217" i="5"/>
  <c r="CU217" i="5"/>
  <c r="DB217" i="5"/>
  <c r="DJ217" i="5"/>
  <c r="DQ217" i="5"/>
  <c r="CV217" i="5"/>
  <c r="DD217" i="5"/>
  <c r="DK217" i="5"/>
  <c r="DR217" i="5"/>
  <c r="CX217" i="5"/>
  <c r="DG217" i="5"/>
  <c r="DS217" i="5"/>
  <c r="CP217" i="5"/>
  <c r="DV217" i="5" s="1"/>
  <c r="DL217" i="5"/>
  <c r="CR217" i="5"/>
  <c r="DM217" i="5"/>
  <c r="CY217" i="5"/>
  <c r="DH217" i="5"/>
  <c r="DT217" i="5"/>
  <c r="CZ217" i="5"/>
  <c r="DA217" i="5"/>
  <c r="DF217" i="5"/>
  <c r="DN217" i="5"/>
  <c r="DE217" i="5"/>
  <c r="DP217" i="5"/>
  <c r="CS217" i="5"/>
  <c r="CT217" i="5"/>
  <c r="CP134" i="5"/>
  <c r="DV134" i="5" s="1"/>
  <c r="CV134" i="5"/>
  <c r="DB134" i="5"/>
  <c r="DH134" i="5"/>
  <c r="DN134" i="5"/>
  <c r="DT134" i="5"/>
  <c r="CU134" i="5"/>
  <c r="DC134" i="5"/>
  <c r="DJ134" i="5"/>
  <c r="DQ134" i="5"/>
  <c r="CW134" i="5"/>
  <c r="DE134" i="5"/>
  <c r="DM134" i="5"/>
  <c r="CX134" i="5"/>
  <c r="DF134" i="5"/>
  <c r="DO134" i="5"/>
  <c r="CY134" i="5"/>
  <c r="DK134" i="5"/>
  <c r="CZ134" i="5"/>
  <c r="DL134" i="5"/>
  <c r="DA134" i="5"/>
  <c r="DS134" i="5"/>
  <c r="CR134" i="5"/>
  <c r="DP134" i="5"/>
  <c r="DD134" i="5"/>
  <c r="CS134" i="5"/>
  <c r="DR134" i="5"/>
  <c r="CT134" i="5"/>
  <c r="DU134" i="5"/>
  <c r="CQ134" i="5"/>
  <c r="DW134" i="5" s="1"/>
  <c r="DG134" i="5"/>
  <c r="DI134" i="5"/>
  <c r="CS129" i="5"/>
  <c r="CY129" i="5"/>
  <c r="DE129" i="5"/>
  <c r="DK129" i="5"/>
  <c r="DQ129" i="5"/>
  <c r="CU129" i="5"/>
  <c r="DB129" i="5"/>
  <c r="DI129" i="5"/>
  <c r="DP129" i="5"/>
  <c r="CW129" i="5"/>
  <c r="DF129" i="5"/>
  <c r="DN129" i="5"/>
  <c r="CP129" i="5"/>
  <c r="CX129" i="5"/>
  <c r="DG129" i="5"/>
  <c r="DO129" i="5"/>
  <c r="CT129" i="5"/>
  <c r="DH129" i="5"/>
  <c r="DT129" i="5"/>
  <c r="CV129" i="5"/>
  <c r="DJ129" i="5"/>
  <c r="DU129" i="5"/>
  <c r="CQ129" i="5"/>
  <c r="DL129" i="5"/>
  <c r="CR129" i="5"/>
  <c r="DR129" i="5"/>
  <c r="DC129" i="5"/>
  <c r="CZ129" i="5"/>
  <c r="DS129" i="5"/>
  <c r="DA129" i="5"/>
  <c r="DD129" i="5"/>
  <c r="DM129" i="5"/>
  <c r="CQ74" i="5"/>
  <c r="CW74" i="5"/>
  <c r="DC74" i="5"/>
  <c r="DI74" i="5"/>
  <c r="DO74" i="5"/>
  <c r="DU74" i="5"/>
  <c r="CS74" i="5"/>
  <c r="CZ74" i="5"/>
  <c r="DG74" i="5"/>
  <c r="DN74" i="5"/>
  <c r="CU74" i="5"/>
  <c r="DD74" i="5"/>
  <c r="DL74" i="5"/>
  <c r="DT74" i="5"/>
  <c r="CT74" i="5"/>
  <c r="DE74" i="5"/>
  <c r="DP74" i="5"/>
  <c r="CV74" i="5"/>
  <c r="DF74" i="5"/>
  <c r="DQ74" i="5"/>
  <c r="CX74" i="5"/>
  <c r="DK74" i="5"/>
  <c r="CY74" i="5"/>
  <c r="DM74" i="5"/>
  <c r="CP74" i="5"/>
  <c r="DV74" i="5" s="1"/>
  <c r="DR74" i="5"/>
  <c r="CR74" i="5"/>
  <c r="DS74" i="5"/>
  <c r="DH74" i="5"/>
  <c r="DJ74" i="5"/>
  <c r="DA74" i="5"/>
  <c r="DB74" i="5"/>
  <c r="CS57" i="5"/>
  <c r="CY57" i="5"/>
  <c r="DE57" i="5"/>
  <c r="DK57" i="5"/>
  <c r="DQ57" i="5"/>
  <c r="CP57" i="5"/>
  <c r="CW57" i="5"/>
  <c r="DD57" i="5"/>
  <c r="DL57" i="5"/>
  <c r="DS57" i="5"/>
  <c r="CR57" i="5"/>
  <c r="DA57" i="5"/>
  <c r="DI57" i="5"/>
  <c r="DR57" i="5"/>
  <c r="CV57" i="5"/>
  <c r="DG57" i="5"/>
  <c r="DP57" i="5"/>
  <c r="CU57" i="5"/>
  <c r="DH57" i="5"/>
  <c r="DU57" i="5"/>
  <c r="CX57" i="5"/>
  <c r="DJ57" i="5"/>
  <c r="CZ57" i="5"/>
  <c r="DO57" i="5"/>
  <c r="DB57" i="5"/>
  <c r="DT57" i="5"/>
  <c r="CQ57" i="5"/>
  <c r="CT57" i="5"/>
  <c r="DC57" i="5"/>
  <c r="DF57" i="5"/>
  <c r="DM57" i="5"/>
  <c r="DN57" i="5"/>
  <c r="CS45" i="5"/>
  <c r="CY45" i="5"/>
  <c r="DE45" i="5"/>
  <c r="DK45" i="5"/>
  <c r="DQ45" i="5"/>
  <c r="CT45" i="5"/>
  <c r="CZ45" i="5"/>
  <c r="DF45" i="5"/>
  <c r="DL45" i="5"/>
  <c r="DR45" i="5"/>
  <c r="CQ45" i="5"/>
  <c r="DA45" i="5"/>
  <c r="DI45" i="5"/>
  <c r="DS45" i="5"/>
  <c r="CP45" i="5"/>
  <c r="DB45" i="5"/>
  <c r="DM45" i="5"/>
  <c r="CR45" i="5"/>
  <c r="DD45" i="5"/>
  <c r="DP45" i="5"/>
  <c r="CW45" i="5"/>
  <c r="DN45" i="5"/>
  <c r="CV45" i="5"/>
  <c r="DO45" i="5"/>
  <c r="CX45" i="5"/>
  <c r="DT45" i="5"/>
  <c r="DU45" i="5"/>
  <c r="CU45" i="5"/>
  <c r="DC45" i="5"/>
  <c r="DG45" i="5"/>
  <c r="DH45" i="5"/>
  <c r="DJ45" i="5"/>
  <c r="CP37" i="5"/>
  <c r="CV37" i="5"/>
  <c r="DB37" i="5"/>
  <c r="DH37" i="5"/>
  <c r="DN37" i="5"/>
  <c r="DT37" i="5"/>
  <c r="CQ37" i="5"/>
  <c r="CW37" i="5"/>
  <c r="DC37" i="5"/>
  <c r="DI37" i="5"/>
  <c r="DO37" i="5"/>
  <c r="DU37" i="5"/>
  <c r="CR37" i="5"/>
  <c r="CZ37" i="5"/>
  <c r="DJ37" i="5"/>
  <c r="DR37" i="5"/>
  <c r="CS37" i="5"/>
  <c r="DD37" i="5"/>
  <c r="DM37" i="5"/>
  <c r="CT37" i="5"/>
  <c r="DF37" i="5"/>
  <c r="DS37" i="5"/>
  <c r="CU37" i="5"/>
  <c r="DK37" i="5"/>
  <c r="CX37" i="5"/>
  <c r="DP37" i="5"/>
  <c r="CY37" i="5"/>
  <c r="DQ37" i="5"/>
  <c r="DA37" i="5"/>
  <c r="DE37" i="5"/>
  <c r="DG37" i="5"/>
  <c r="DL37" i="5"/>
  <c r="CT256" i="5"/>
  <c r="CZ256" i="5"/>
  <c r="DF256" i="5"/>
  <c r="DL256" i="5"/>
  <c r="DR256" i="5"/>
  <c r="CP256" i="5"/>
  <c r="DV256" i="5" s="1"/>
  <c r="CW256" i="5"/>
  <c r="DD256" i="5"/>
  <c r="DK256" i="5"/>
  <c r="DS256" i="5"/>
  <c r="CQ256" i="5"/>
  <c r="CX256" i="5"/>
  <c r="DE256" i="5"/>
  <c r="DM256" i="5"/>
  <c r="DT256" i="5"/>
  <c r="CU256" i="5"/>
  <c r="DG256" i="5"/>
  <c r="DP256" i="5"/>
  <c r="CY256" i="5"/>
  <c r="DU256" i="5"/>
  <c r="CV256" i="5"/>
  <c r="DH256" i="5"/>
  <c r="DQ256" i="5"/>
  <c r="DI256" i="5"/>
  <c r="CS256" i="5"/>
  <c r="DO256" i="5"/>
  <c r="DA256" i="5"/>
  <c r="DN256" i="5"/>
  <c r="CR256" i="5"/>
  <c r="DB256" i="5"/>
  <c r="DC256" i="5"/>
  <c r="DJ256" i="5"/>
  <c r="CP324" i="5"/>
  <c r="CV324" i="5"/>
  <c r="DB324" i="5"/>
  <c r="DH324" i="5"/>
  <c r="DN324" i="5"/>
  <c r="DT324" i="5"/>
  <c r="CU324" i="5"/>
  <c r="DC324" i="5"/>
  <c r="DJ324" i="5"/>
  <c r="DQ324" i="5"/>
  <c r="CX324" i="5"/>
  <c r="DL324" i="5"/>
  <c r="CW324" i="5"/>
  <c r="DD324" i="5"/>
  <c r="DK324" i="5"/>
  <c r="DR324" i="5"/>
  <c r="CQ324" i="5"/>
  <c r="DE324" i="5"/>
  <c r="DS324" i="5"/>
  <c r="DA324" i="5"/>
  <c r="DP324" i="5"/>
  <c r="CR324" i="5"/>
  <c r="DF324" i="5"/>
  <c r="DU324" i="5"/>
  <c r="CS324" i="5"/>
  <c r="DG324" i="5"/>
  <c r="CY324" i="5"/>
  <c r="CZ324" i="5"/>
  <c r="DI324" i="5"/>
  <c r="DO324" i="5"/>
  <c r="DM324" i="5"/>
  <c r="CT324" i="5"/>
  <c r="CQ108" i="5"/>
  <c r="CW108" i="5"/>
  <c r="DC108" i="5"/>
  <c r="DI108" i="5"/>
  <c r="DO108" i="5"/>
  <c r="DU108" i="5"/>
  <c r="CT108" i="5"/>
  <c r="DA108" i="5"/>
  <c r="DH108" i="5"/>
  <c r="DP108" i="5"/>
  <c r="CV108" i="5"/>
  <c r="DE108" i="5"/>
  <c r="DM108" i="5"/>
  <c r="CP108" i="5"/>
  <c r="CZ108" i="5"/>
  <c r="DK108" i="5"/>
  <c r="DT108" i="5"/>
  <c r="CR108" i="5"/>
  <c r="DB108" i="5"/>
  <c r="DL108" i="5"/>
  <c r="CS108" i="5"/>
  <c r="DG108" i="5"/>
  <c r="CU108" i="5"/>
  <c r="DJ108" i="5"/>
  <c r="CX108" i="5"/>
  <c r="DR108" i="5"/>
  <c r="CY108" i="5"/>
  <c r="DS108" i="5"/>
  <c r="DD108" i="5"/>
  <c r="DF108" i="5"/>
  <c r="DN108" i="5"/>
  <c r="DQ108" i="5"/>
  <c r="CT224" i="5"/>
  <c r="CZ224" i="5"/>
  <c r="DF224" i="5"/>
  <c r="DL224" i="5"/>
  <c r="DR224" i="5"/>
  <c r="CU224" i="5"/>
  <c r="DB224" i="5"/>
  <c r="DI224" i="5"/>
  <c r="DP224" i="5"/>
  <c r="CV224" i="5"/>
  <c r="DC224" i="5"/>
  <c r="DJ224" i="5"/>
  <c r="DQ224" i="5"/>
  <c r="CR224" i="5"/>
  <c r="DD224" i="5"/>
  <c r="DN224" i="5"/>
  <c r="CW224" i="5"/>
  <c r="DS224" i="5"/>
  <c r="CX224" i="5"/>
  <c r="DT224" i="5"/>
  <c r="CS224" i="5"/>
  <c r="DE224" i="5"/>
  <c r="DO224" i="5"/>
  <c r="DG224" i="5"/>
  <c r="DH224" i="5"/>
  <c r="DA224" i="5"/>
  <c r="DK224" i="5"/>
  <c r="DU224" i="5"/>
  <c r="CP224" i="5"/>
  <c r="DV224" i="5" s="1"/>
  <c r="CQ224" i="5"/>
  <c r="DW224" i="5" s="1"/>
  <c r="DM224" i="5"/>
  <c r="CY224" i="5"/>
  <c r="CQ261" i="5"/>
  <c r="CW261" i="5"/>
  <c r="DC261" i="5"/>
  <c r="DI261" i="5"/>
  <c r="DO261" i="5"/>
  <c r="DU261" i="5"/>
  <c r="CP261" i="5"/>
  <c r="CX261" i="5"/>
  <c r="DE261" i="5"/>
  <c r="DL261" i="5"/>
  <c r="DS261" i="5"/>
  <c r="CR261" i="5"/>
  <c r="CY261" i="5"/>
  <c r="DF261" i="5"/>
  <c r="DM261" i="5"/>
  <c r="DT261" i="5"/>
  <c r="CS261" i="5"/>
  <c r="DB261" i="5"/>
  <c r="DN261" i="5"/>
  <c r="DG261" i="5"/>
  <c r="CT261" i="5"/>
  <c r="DD261" i="5"/>
  <c r="DP261" i="5"/>
  <c r="CU261" i="5"/>
  <c r="DQ261" i="5"/>
  <c r="DA261" i="5"/>
  <c r="DH261" i="5"/>
  <c r="DK261" i="5"/>
  <c r="DR261" i="5"/>
  <c r="CV261" i="5"/>
  <c r="CZ261" i="5"/>
  <c r="DJ261" i="5"/>
  <c r="CS297" i="5"/>
  <c r="CY297" i="5"/>
  <c r="DE297" i="5"/>
  <c r="DK297" i="5"/>
  <c r="DQ297" i="5"/>
  <c r="CP297" i="5"/>
  <c r="CW297" i="5"/>
  <c r="DD297" i="5"/>
  <c r="DL297" i="5"/>
  <c r="DS297" i="5"/>
  <c r="CR297" i="5"/>
  <c r="DG297" i="5"/>
  <c r="DU297" i="5"/>
  <c r="CQ297" i="5"/>
  <c r="CX297" i="5"/>
  <c r="DF297" i="5"/>
  <c r="DM297" i="5"/>
  <c r="DT297" i="5"/>
  <c r="CZ297" i="5"/>
  <c r="DN297" i="5"/>
  <c r="CV297" i="5"/>
  <c r="DJ297" i="5"/>
  <c r="DA297" i="5"/>
  <c r="DO297" i="5"/>
  <c r="DB297" i="5"/>
  <c r="DP297" i="5"/>
  <c r="DH297" i="5"/>
  <c r="DI297" i="5"/>
  <c r="DR297" i="5"/>
  <c r="DC297" i="5"/>
  <c r="CT297" i="5"/>
  <c r="CU297" i="5"/>
  <c r="CQ249" i="5"/>
  <c r="CW249" i="5"/>
  <c r="DC249" i="5"/>
  <c r="DI249" i="5"/>
  <c r="DO249" i="5"/>
  <c r="DU249" i="5"/>
  <c r="CP249" i="5"/>
  <c r="CX249" i="5"/>
  <c r="DE249" i="5"/>
  <c r="DL249" i="5"/>
  <c r="DS249" i="5"/>
  <c r="CR249" i="5"/>
  <c r="CY249" i="5"/>
  <c r="DF249" i="5"/>
  <c r="DM249" i="5"/>
  <c r="DT249" i="5"/>
  <c r="CZ249" i="5"/>
  <c r="DJ249" i="5"/>
  <c r="CS249" i="5"/>
  <c r="DN249" i="5"/>
  <c r="DA249" i="5"/>
  <c r="DK249" i="5"/>
  <c r="DB249" i="5"/>
  <c r="DH249" i="5"/>
  <c r="CT249" i="5"/>
  <c r="DP249" i="5"/>
  <c r="DR249" i="5"/>
  <c r="CU249" i="5"/>
  <c r="CV249" i="5"/>
  <c r="DD249" i="5"/>
  <c r="DG249" i="5"/>
  <c r="DQ249" i="5"/>
  <c r="CQ243" i="5"/>
  <c r="CW243" i="5"/>
  <c r="DC243" i="5"/>
  <c r="DI243" i="5"/>
  <c r="DO243" i="5"/>
  <c r="DU243" i="5"/>
  <c r="CT243" i="5"/>
  <c r="DA243" i="5"/>
  <c r="DH243" i="5"/>
  <c r="DP243" i="5"/>
  <c r="CU243" i="5"/>
  <c r="DB243" i="5"/>
  <c r="DJ243" i="5"/>
  <c r="DQ243" i="5"/>
  <c r="CR243" i="5"/>
  <c r="DD243" i="5"/>
  <c r="DM243" i="5"/>
  <c r="CV243" i="5"/>
  <c r="DR243" i="5"/>
  <c r="CS243" i="5"/>
  <c r="DE243" i="5"/>
  <c r="DN243" i="5"/>
  <c r="DF243" i="5"/>
  <c r="CP243" i="5"/>
  <c r="DL243" i="5"/>
  <c r="CX243" i="5"/>
  <c r="DS243" i="5"/>
  <c r="CY243" i="5"/>
  <c r="CZ243" i="5"/>
  <c r="DG243" i="5"/>
  <c r="DK243" i="5"/>
  <c r="DT243" i="5"/>
  <c r="CT204" i="5"/>
  <c r="CZ204" i="5"/>
  <c r="DF204" i="5"/>
  <c r="DL204" i="5"/>
  <c r="DR204" i="5"/>
  <c r="CR204" i="5"/>
  <c r="CY204" i="5"/>
  <c r="DG204" i="5"/>
  <c r="DN204" i="5"/>
  <c r="DU204" i="5"/>
  <c r="CS204" i="5"/>
  <c r="DA204" i="5"/>
  <c r="DH204" i="5"/>
  <c r="DO204" i="5"/>
  <c r="CU204" i="5"/>
  <c r="DD204" i="5"/>
  <c r="DP204" i="5"/>
  <c r="DJ204" i="5"/>
  <c r="CV204" i="5"/>
  <c r="DE204" i="5"/>
  <c r="DQ204" i="5"/>
  <c r="CW204" i="5"/>
  <c r="DI204" i="5"/>
  <c r="DS204" i="5"/>
  <c r="CX204" i="5"/>
  <c r="DT204" i="5"/>
  <c r="DK204" i="5"/>
  <c r="DM204" i="5"/>
  <c r="CP204" i="5"/>
  <c r="CQ204" i="5"/>
  <c r="DB204" i="5"/>
  <c r="DC204" i="5"/>
  <c r="CS159" i="5"/>
  <c r="CY159" i="5"/>
  <c r="DE159" i="5"/>
  <c r="DK159" i="5"/>
  <c r="DQ159" i="5"/>
  <c r="CQ159" i="5"/>
  <c r="CX159" i="5"/>
  <c r="DF159" i="5"/>
  <c r="DM159" i="5"/>
  <c r="DT159" i="5"/>
  <c r="CR159" i="5"/>
  <c r="DA159" i="5"/>
  <c r="DI159" i="5"/>
  <c r="DR159" i="5"/>
  <c r="CT159" i="5"/>
  <c r="DB159" i="5"/>
  <c r="DJ159" i="5"/>
  <c r="DS159" i="5"/>
  <c r="DC159" i="5"/>
  <c r="DO159" i="5"/>
  <c r="CP159" i="5"/>
  <c r="DD159" i="5"/>
  <c r="DP159" i="5"/>
  <c r="CU159" i="5"/>
  <c r="DL159" i="5"/>
  <c r="DG159" i="5"/>
  <c r="DU159" i="5"/>
  <c r="DH159" i="5"/>
  <c r="DN159" i="5"/>
  <c r="CV159" i="5"/>
  <c r="CW159" i="5"/>
  <c r="CZ159" i="5"/>
  <c r="CT190" i="5"/>
  <c r="CZ190" i="5"/>
  <c r="DF190" i="5"/>
  <c r="DL190" i="5"/>
  <c r="DR190" i="5"/>
  <c r="CS190" i="5"/>
  <c r="DA190" i="5"/>
  <c r="DH190" i="5"/>
  <c r="DO190" i="5"/>
  <c r="CU190" i="5"/>
  <c r="DB190" i="5"/>
  <c r="DI190" i="5"/>
  <c r="DP190" i="5"/>
  <c r="CX190" i="5"/>
  <c r="DJ190" i="5"/>
  <c r="CY190" i="5"/>
  <c r="DM190" i="5"/>
  <c r="CR190" i="5"/>
  <c r="DS190" i="5"/>
  <c r="CP190" i="5"/>
  <c r="DV190" i="5" s="1"/>
  <c r="DC190" i="5"/>
  <c r="DN190" i="5"/>
  <c r="CQ190" i="5"/>
  <c r="DD190" i="5"/>
  <c r="DQ190" i="5"/>
  <c r="DE190" i="5"/>
  <c r="DT190" i="5"/>
  <c r="DU190" i="5"/>
  <c r="CV190" i="5"/>
  <c r="CW190" i="5"/>
  <c r="DG190" i="5"/>
  <c r="DK190" i="5"/>
  <c r="CQ86" i="5"/>
  <c r="DW86" i="5" s="1"/>
  <c r="CW86" i="5"/>
  <c r="DC86" i="5"/>
  <c r="DI86" i="5"/>
  <c r="DO86" i="5"/>
  <c r="DU86" i="5"/>
  <c r="CS86" i="5"/>
  <c r="CZ86" i="5"/>
  <c r="DG86" i="5"/>
  <c r="DN86" i="5"/>
  <c r="CV86" i="5"/>
  <c r="DE86" i="5"/>
  <c r="DM86" i="5"/>
  <c r="CR86" i="5"/>
  <c r="DB86" i="5"/>
  <c r="DL86" i="5"/>
  <c r="CT86" i="5"/>
  <c r="DD86" i="5"/>
  <c r="DP86" i="5"/>
  <c r="DF86" i="5"/>
  <c r="DS86" i="5"/>
  <c r="CP86" i="5"/>
  <c r="DV86" i="5" s="1"/>
  <c r="DH86" i="5"/>
  <c r="DT86" i="5"/>
  <c r="CU86" i="5"/>
  <c r="DQ86" i="5"/>
  <c r="CX86" i="5"/>
  <c r="DR86" i="5"/>
  <c r="CY86" i="5"/>
  <c r="DA86" i="5"/>
  <c r="DJ86" i="5"/>
  <c r="DK86" i="5"/>
  <c r="CS123" i="5"/>
  <c r="CY123" i="5"/>
  <c r="DE123" i="5"/>
  <c r="DK123" i="5"/>
  <c r="DQ123" i="5"/>
  <c r="CQ123" i="5"/>
  <c r="CX123" i="5"/>
  <c r="DF123" i="5"/>
  <c r="DM123" i="5"/>
  <c r="DT123" i="5"/>
  <c r="CV123" i="5"/>
  <c r="DD123" i="5"/>
  <c r="DN123" i="5"/>
  <c r="CW123" i="5"/>
  <c r="DG123" i="5"/>
  <c r="DO123" i="5"/>
  <c r="CZ123" i="5"/>
  <c r="DJ123" i="5"/>
  <c r="DA123" i="5"/>
  <c r="DL123" i="5"/>
  <c r="CT123" i="5"/>
  <c r="DP123" i="5"/>
  <c r="DC123" i="5"/>
  <c r="DR123" i="5"/>
  <c r="DH123" i="5"/>
  <c r="CP123" i="5"/>
  <c r="DI123" i="5"/>
  <c r="CR123" i="5"/>
  <c r="CU123" i="5"/>
  <c r="DB123" i="5"/>
  <c r="DS123" i="5"/>
  <c r="DU123" i="5"/>
  <c r="CQ313" i="5"/>
  <c r="CW313" i="5"/>
  <c r="DC313" i="5"/>
  <c r="DI313" i="5"/>
  <c r="DO313" i="5"/>
  <c r="DU313" i="5"/>
  <c r="CP313" i="5"/>
  <c r="CX313" i="5"/>
  <c r="DE313" i="5"/>
  <c r="DL313" i="5"/>
  <c r="DS313" i="5"/>
  <c r="CZ313" i="5"/>
  <c r="DN313" i="5"/>
  <c r="CR313" i="5"/>
  <c r="CY313" i="5"/>
  <c r="DF313" i="5"/>
  <c r="DM313" i="5"/>
  <c r="DT313" i="5"/>
  <c r="CS313" i="5"/>
  <c r="DG313" i="5"/>
  <c r="CV313" i="5"/>
  <c r="DK313" i="5"/>
  <c r="DA313" i="5"/>
  <c r="DP313" i="5"/>
  <c r="DB313" i="5"/>
  <c r="DQ313" i="5"/>
  <c r="DH313" i="5"/>
  <c r="DJ313" i="5"/>
  <c r="DR313" i="5"/>
  <c r="DD313" i="5"/>
  <c r="CT313" i="5"/>
  <c r="CU313" i="5"/>
  <c r="CQ225" i="5"/>
  <c r="CW225" i="5"/>
  <c r="DC225" i="5"/>
  <c r="DI225" i="5"/>
  <c r="DO225" i="5"/>
  <c r="DU225" i="5"/>
  <c r="CP225" i="5"/>
  <c r="CX225" i="5"/>
  <c r="DE225" i="5"/>
  <c r="DL225" i="5"/>
  <c r="DS225" i="5"/>
  <c r="CR225" i="5"/>
  <c r="CY225" i="5"/>
  <c r="DF225" i="5"/>
  <c r="DM225" i="5"/>
  <c r="DT225" i="5"/>
  <c r="CS225" i="5"/>
  <c r="DB225" i="5"/>
  <c r="DN225" i="5"/>
  <c r="DG225" i="5"/>
  <c r="DH225" i="5"/>
  <c r="CT225" i="5"/>
  <c r="DD225" i="5"/>
  <c r="DP225" i="5"/>
  <c r="CU225" i="5"/>
  <c r="DQ225" i="5"/>
  <c r="CV225" i="5"/>
  <c r="DR225" i="5"/>
  <c r="DA225" i="5"/>
  <c r="DJ225" i="5"/>
  <c r="CZ225" i="5"/>
  <c r="DK225" i="5"/>
  <c r="CT254" i="5"/>
  <c r="CZ254" i="5"/>
  <c r="DF254" i="5"/>
  <c r="DL254" i="5"/>
  <c r="DR254" i="5"/>
  <c r="CQ254" i="5"/>
  <c r="DW254" i="5" s="1"/>
  <c r="CX254" i="5"/>
  <c r="DE254" i="5"/>
  <c r="DM254" i="5"/>
  <c r="DT254" i="5"/>
  <c r="CR254" i="5"/>
  <c r="CY254" i="5"/>
  <c r="DG254" i="5"/>
  <c r="DN254" i="5"/>
  <c r="DU254" i="5"/>
  <c r="CV254" i="5"/>
  <c r="DH254" i="5"/>
  <c r="DQ254" i="5"/>
  <c r="DA254" i="5"/>
  <c r="CW254" i="5"/>
  <c r="DI254" i="5"/>
  <c r="DS254" i="5"/>
  <c r="DJ254" i="5"/>
  <c r="CU254" i="5"/>
  <c r="DP254" i="5"/>
  <c r="DB254" i="5"/>
  <c r="DO254" i="5"/>
  <c r="CP254" i="5"/>
  <c r="DV254" i="5" s="1"/>
  <c r="CS254" i="5"/>
  <c r="DC254" i="5"/>
  <c r="DK254" i="5"/>
  <c r="DD254" i="5"/>
  <c r="CT236" i="5"/>
  <c r="CZ236" i="5"/>
  <c r="DF236" i="5"/>
  <c r="DL236" i="5"/>
  <c r="DR236" i="5"/>
  <c r="CU236" i="5"/>
  <c r="DB236" i="5"/>
  <c r="DI236" i="5"/>
  <c r="DP236" i="5"/>
  <c r="CV236" i="5"/>
  <c r="DC236" i="5"/>
  <c r="DJ236" i="5"/>
  <c r="DQ236" i="5"/>
  <c r="CW236" i="5"/>
  <c r="DG236" i="5"/>
  <c r="DS236" i="5"/>
  <c r="CP236" i="5"/>
  <c r="DV236" i="5" s="1"/>
  <c r="DK236" i="5"/>
  <c r="CX236" i="5"/>
  <c r="DH236" i="5"/>
  <c r="DT236" i="5"/>
  <c r="CY236" i="5"/>
  <c r="DU236" i="5"/>
  <c r="DE236" i="5"/>
  <c r="CQ236" i="5"/>
  <c r="DW236" i="5" s="1"/>
  <c r="DM236" i="5"/>
  <c r="CS236" i="5"/>
  <c r="DA236" i="5"/>
  <c r="DD236" i="5"/>
  <c r="DN236" i="5"/>
  <c r="CR236" i="5"/>
  <c r="DO236" i="5"/>
  <c r="CS157" i="5"/>
  <c r="CY157" i="5"/>
  <c r="DE157" i="5"/>
  <c r="DK157" i="5"/>
  <c r="DQ157" i="5"/>
  <c r="CR157" i="5"/>
  <c r="CZ157" i="5"/>
  <c r="DG157" i="5"/>
  <c r="DN157" i="5"/>
  <c r="DU157" i="5"/>
  <c r="CW157" i="5"/>
  <c r="DF157" i="5"/>
  <c r="DO157" i="5"/>
  <c r="CP157" i="5"/>
  <c r="DV157" i="5" s="1"/>
  <c r="CX157" i="5"/>
  <c r="DH157" i="5"/>
  <c r="DP157" i="5"/>
  <c r="CQ157" i="5"/>
  <c r="DC157" i="5"/>
  <c r="DR157" i="5"/>
  <c r="CT157" i="5"/>
  <c r="DD157" i="5"/>
  <c r="DS157" i="5"/>
  <c r="DA157" i="5"/>
  <c r="DT157" i="5"/>
  <c r="DB157" i="5"/>
  <c r="DI157" i="5"/>
  <c r="DJ157" i="5"/>
  <c r="DL157" i="5"/>
  <c r="CU157" i="5"/>
  <c r="CV157" i="5"/>
  <c r="DM157" i="5"/>
  <c r="CT218" i="5"/>
  <c r="CZ218" i="5"/>
  <c r="DF218" i="5"/>
  <c r="DL218" i="5"/>
  <c r="DR218" i="5"/>
  <c r="CQ218" i="5"/>
  <c r="DW218" i="5" s="1"/>
  <c r="CX218" i="5"/>
  <c r="DE218" i="5"/>
  <c r="DM218" i="5"/>
  <c r="DT218" i="5"/>
  <c r="CR218" i="5"/>
  <c r="CY218" i="5"/>
  <c r="DG218" i="5"/>
  <c r="DN218" i="5"/>
  <c r="DU218" i="5"/>
  <c r="CV218" i="5"/>
  <c r="DH218" i="5"/>
  <c r="DQ218" i="5"/>
  <c r="DA218" i="5"/>
  <c r="DB218" i="5"/>
  <c r="CW218" i="5"/>
  <c r="DI218" i="5"/>
  <c r="DS218" i="5"/>
  <c r="DJ218" i="5"/>
  <c r="CP218" i="5"/>
  <c r="DV218" i="5" s="1"/>
  <c r="DK218" i="5"/>
  <c r="DD218" i="5"/>
  <c r="DO218" i="5"/>
  <c r="CS218" i="5"/>
  <c r="CU218" i="5"/>
  <c r="DC218" i="5"/>
  <c r="DP218" i="5"/>
  <c r="CP162" i="5"/>
  <c r="CV162" i="5"/>
  <c r="DB162" i="5"/>
  <c r="DH162" i="5"/>
  <c r="DN162" i="5"/>
  <c r="DT162" i="5"/>
  <c r="CS162" i="5"/>
  <c r="CZ162" i="5"/>
  <c r="DG162" i="5"/>
  <c r="DO162" i="5"/>
  <c r="CW162" i="5"/>
  <c r="CT162" i="5"/>
  <c r="DD162" i="5"/>
  <c r="DL162" i="5"/>
  <c r="DU162" i="5"/>
  <c r="CU162" i="5"/>
  <c r="DE162" i="5"/>
  <c r="DM162" i="5"/>
  <c r="CQ162" i="5"/>
  <c r="DF162" i="5"/>
  <c r="DR162" i="5"/>
  <c r="CY162" i="5"/>
  <c r="DP162" i="5"/>
  <c r="DI162" i="5"/>
  <c r="DA162" i="5"/>
  <c r="DQ162" i="5"/>
  <c r="DC162" i="5"/>
  <c r="DS162" i="5"/>
  <c r="CR162" i="5"/>
  <c r="CX162" i="5"/>
  <c r="DJ162" i="5"/>
  <c r="DK162" i="5"/>
  <c r="CT200" i="5"/>
  <c r="CZ200" i="5"/>
  <c r="DF200" i="5"/>
  <c r="DL200" i="5"/>
  <c r="DR200" i="5"/>
  <c r="CU200" i="5"/>
  <c r="DB200" i="5"/>
  <c r="DI200" i="5"/>
  <c r="DP200" i="5"/>
  <c r="CV200" i="5"/>
  <c r="DC200" i="5"/>
  <c r="DJ200" i="5"/>
  <c r="DQ200" i="5"/>
  <c r="CW200" i="5"/>
  <c r="DG200" i="5"/>
  <c r="DS200" i="5"/>
  <c r="CQ200" i="5"/>
  <c r="DM200" i="5"/>
  <c r="CX200" i="5"/>
  <c r="DH200" i="5"/>
  <c r="DT200" i="5"/>
  <c r="CP200" i="5"/>
  <c r="DV200" i="5" s="1"/>
  <c r="CY200" i="5"/>
  <c r="DK200" i="5"/>
  <c r="DU200" i="5"/>
  <c r="DA200" i="5"/>
  <c r="DN200" i="5"/>
  <c r="DO200" i="5"/>
  <c r="CR200" i="5"/>
  <c r="CS200" i="5"/>
  <c r="DD200" i="5"/>
  <c r="DE200" i="5"/>
  <c r="CP132" i="5"/>
  <c r="CV132" i="5"/>
  <c r="DB132" i="5"/>
  <c r="DH132" i="5"/>
  <c r="DN132" i="5"/>
  <c r="DT132" i="5"/>
  <c r="CW132" i="5"/>
  <c r="DD132" i="5"/>
  <c r="DK132" i="5"/>
  <c r="DR132" i="5"/>
  <c r="CS132" i="5"/>
  <c r="DA132" i="5"/>
  <c r="DJ132" i="5"/>
  <c r="DS132" i="5"/>
  <c r="CT132" i="5"/>
  <c r="DC132" i="5"/>
  <c r="DL132" i="5"/>
  <c r="DU132" i="5"/>
  <c r="CY132" i="5"/>
  <c r="DM132" i="5"/>
  <c r="CZ132" i="5"/>
  <c r="DO132" i="5"/>
  <c r="CQ132" i="5"/>
  <c r="DG132" i="5"/>
  <c r="DI132" i="5"/>
  <c r="CR132" i="5"/>
  <c r="DP132" i="5"/>
  <c r="CU132" i="5"/>
  <c r="DQ132" i="5"/>
  <c r="CX132" i="5"/>
  <c r="DE132" i="5"/>
  <c r="DF132" i="5"/>
  <c r="CT192" i="5"/>
  <c r="CZ192" i="5"/>
  <c r="DF192" i="5"/>
  <c r="DL192" i="5"/>
  <c r="DR192" i="5"/>
  <c r="CR192" i="5"/>
  <c r="CY192" i="5"/>
  <c r="DG192" i="5"/>
  <c r="DN192" i="5"/>
  <c r="DU192" i="5"/>
  <c r="CS192" i="5"/>
  <c r="DA192" i="5"/>
  <c r="DH192" i="5"/>
  <c r="DO192" i="5"/>
  <c r="CP192" i="5"/>
  <c r="DB192" i="5"/>
  <c r="DK192" i="5"/>
  <c r="CV192" i="5"/>
  <c r="DQ192" i="5"/>
  <c r="CQ192" i="5"/>
  <c r="DC192" i="5"/>
  <c r="DM192" i="5"/>
  <c r="CU192" i="5"/>
  <c r="DD192" i="5"/>
  <c r="DP192" i="5"/>
  <c r="DE192" i="5"/>
  <c r="DS192" i="5"/>
  <c r="DT192" i="5"/>
  <c r="CW192" i="5"/>
  <c r="CX192" i="5"/>
  <c r="DI192" i="5"/>
  <c r="DJ192" i="5"/>
  <c r="CS127" i="5"/>
  <c r="CY127" i="5"/>
  <c r="DE127" i="5"/>
  <c r="DK127" i="5"/>
  <c r="DQ127" i="5"/>
  <c r="CV127" i="5"/>
  <c r="DC127" i="5"/>
  <c r="DJ127" i="5"/>
  <c r="DR127" i="5"/>
  <c r="CT127" i="5"/>
  <c r="DB127" i="5"/>
  <c r="DL127" i="5"/>
  <c r="DT127" i="5"/>
  <c r="CU127" i="5"/>
  <c r="DD127" i="5"/>
  <c r="DM127" i="5"/>
  <c r="DU127" i="5"/>
  <c r="CW127" i="5"/>
  <c r="DH127" i="5"/>
  <c r="CX127" i="5"/>
  <c r="DI127" i="5"/>
  <c r="CZ127" i="5"/>
  <c r="DP127" i="5"/>
  <c r="CP127" i="5"/>
  <c r="DV127" i="5" s="1"/>
  <c r="DN127" i="5"/>
  <c r="CQ127" i="5"/>
  <c r="DW127" i="5" s="1"/>
  <c r="DO127" i="5"/>
  <c r="CR127" i="5"/>
  <c r="DS127" i="5"/>
  <c r="DA127" i="5"/>
  <c r="DF127" i="5"/>
  <c r="DG127" i="5"/>
  <c r="CT226" i="5"/>
  <c r="CZ226" i="5"/>
  <c r="DF226" i="5"/>
  <c r="DL226" i="5"/>
  <c r="DR226" i="5"/>
  <c r="CS226" i="5"/>
  <c r="DA226" i="5"/>
  <c r="DH226" i="5"/>
  <c r="DO226" i="5"/>
  <c r="CU226" i="5"/>
  <c r="DB226" i="5"/>
  <c r="DI226" i="5"/>
  <c r="DP226" i="5"/>
  <c r="CQ226" i="5"/>
  <c r="DC226" i="5"/>
  <c r="DM226" i="5"/>
  <c r="CV226" i="5"/>
  <c r="DQ226" i="5"/>
  <c r="CW226" i="5"/>
  <c r="DS226" i="5"/>
  <c r="CR226" i="5"/>
  <c r="DD226" i="5"/>
  <c r="DN226" i="5"/>
  <c r="DE226" i="5"/>
  <c r="DG226" i="5"/>
  <c r="CY226" i="5"/>
  <c r="DJ226" i="5"/>
  <c r="CX226" i="5"/>
  <c r="DK226" i="5"/>
  <c r="DT226" i="5"/>
  <c r="DU226" i="5"/>
  <c r="CP226" i="5"/>
  <c r="DV226" i="5" s="1"/>
  <c r="CT208" i="5"/>
  <c r="CZ208" i="5"/>
  <c r="DF208" i="5"/>
  <c r="DL208" i="5"/>
  <c r="DR208" i="5"/>
  <c r="CP208" i="5"/>
  <c r="DV208" i="5" s="1"/>
  <c r="CW208" i="5"/>
  <c r="DD208" i="5"/>
  <c r="DK208" i="5"/>
  <c r="DS208" i="5"/>
  <c r="CQ208" i="5"/>
  <c r="CX208" i="5"/>
  <c r="DE208" i="5"/>
  <c r="DM208" i="5"/>
  <c r="DT208" i="5"/>
  <c r="CR208" i="5"/>
  <c r="DB208" i="5"/>
  <c r="DN208" i="5"/>
  <c r="CU208" i="5"/>
  <c r="DP208" i="5"/>
  <c r="DH208" i="5"/>
  <c r="CS208" i="5"/>
  <c r="DC208" i="5"/>
  <c r="DO208" i="5"/>
  <c r="DG208" i="5"/>
  <c r="CV208" i="5"/>
  <c r="DQ208" i="5"/>
  <c r="DJ208" i="5"/>
  <c r="DU208" i="5"/>
  <c r="DI208" i="5"/>
  <c r="CY208" i="5"/>
  <c r="DA208" i="5"/>
  <c r="CS179" i="5"/>
  <c r="CY179" i="5"/>
  <c r="DE179" i="5"/>
  <c r="DK179" i="5"/>
  <c r="DQ179" i="5"/>
  <c r="CT179" i="5"/>
  <c r="DA179" i="5"/>
  <c r="DH179" i="5"/>
  <c r="DO179" i="5"/>
  <c r="CV179" i="5"/>
  <c r="DD179" i="5"/>
  <c r="DM179" i="5"/>
  <c r="DU179" i="5"/>
  <c r="CW179" i="5"/>
  <c r="DF179" i="5"/>
  <c r="DN179" i="5"/>
  <c r="CP179" i="5"/>
  <c r="DV179" i="5" s="1"/>
  <c r="DB179" i="5"/>
  <c r="DP179" i="5"/>
  <c r="CX179" i="5"/>
  <c r="DL179" i="5"/>
  <c r="CQ179" i="5"/>
  <c r="DT179" i="5"/>
  <c r="CZ179" i="5"/>
  <c r="DR179" i="5"/>
  <c r="DC179" i="5"/>
  <c r="DS179" i="5"/>
  <c r="DG179" i="5"/>
  <c r="CR179" i="5"/>
  <c r="CU179" i="5"/>
  <c r="DI179" i="5"/>
  <c r="DJ179" i="5"/>
  <c r="CS141" i="5"/>
  <c r="CY141" i="5"/>
  <c r="DE141" i="5"/>
  <c r="DK141" i="5"/>
  <c r="DQ141" i="5"/>
  <c r="CU141" i="5"/>
  <c r="DB141" i="5"/>
  <c r="DI141" i="5"/>
  <c r="DP141" i="5"/>
  <c r="CP141" i="5"/>
  <c r="CX141" i="5"/>
  <c r="DG141" i="5"/>
  <c r="DO141" i="5"/>
  <c r="CQ141" i="5"/>
  <c r="CZ141" i="5"/>
  <c r="DH141" i="5"/>
  <c r="DR141" i="5"/>
  <c r="DA141" i="5"/>
  <c r="DM141" i="5"/>
  <c r="DC141" i="5"/>
  <c r="DN141" i="5"/>
  <c r="DD141" i="5"/>
  <c r="DU141" i="5"/>
  <c r="CT141" i="5"/>
  <c r="DS141" i="5"/>
  <c r="DF141" i="5"/>
  <c r="CV141" i="5"/>
  <c r="DT141" i="5"/>
  <c r="CW141" i="5"/>
  <c r="CR141" i="5"/>
  <c r="DL141" i="5"/>
  <c r="DJ141" i="5"/>
  <c r="CS151" i="5"/>
  <c r="CY151" i="5"/>
  <c r="DE151" i="5"/>
  <c r="DK151" i="5"/>
  <c r="DQ151" i="5"/>
  <c r="CV151" i="5"/>
  <c r="DC151" i="5"/>
  <c r="DJ151" i="5"/>
  <c r="DR151" i="5"/>
  <c r="CW151" i="5"/>
  <c r="DF151" i="5"/>
  <c r="DN151" i="5"/>
  <c r="CP151" i="5"/>
  <c r="DV151" i="5" s="1"/>
  <c r="CX151" i="5"/>
  <c r="DG151" i="5"/>
  <c r="DO151" i="5"/>
  <c r="CT151" i="5"/>
  <c r="DH151" i="5"/>
  <c r="DT151" i="5"/>
  <c r="CU151" i="5"/>
  <c r="DI151" i="5"/>
  <c r="DU151" i="5"/>
  <c r="DB151" i="5"/>
  <c r="CQ151" i="5"/>
  <c r="DM151" i="5"/>
  <c r="DA151" i="5"/>
  <c r="CR151" i="5"/>
  <c r="DP151" i="5"/>
  <c r="CZ151" i="5"/>
  <c r="DS151" i="5"/>
  <c r="DD151" i="5"/>
  <c r="DL151" i="5"/>
  <c r="CP142" i="5"/>
  <c r="DV142" i="5" s="1"/>
  <c r="CV142" i="5"/>
  <c r="DB142" i="5"/>
  <c r="DH142" i="5"/>
  <c r="DN142" i="5"/>
  <c r="DT142" i="5"/>
  <c r="CQ142" i="5"/>
  <c r="DW142" i="5" s="1"/>
  <c r="CX142" i="5"/>
  <c r="DE142" i="5"/>
  <c r="DL142" i="5"/>
  <c r="DS142" i="5"/>
  <c r="CR142" i="5"/>
  <c r="CZ142" i="5"/>
  <c r="DI142" i="5"/>
  <c r="DQ142" i="5"/>
  <c r="CS142" i="5"/>
  <c r="DA142" i="5"/>
  <c r="DJ142" i="5"/>
  <c r="DR142" i="5"/>
  <c r="CT142" i="5"/>
  <c r="DF142" i="5"/>
  <c r="DU142" i="5"/>
  <c r="CU142" i="5"/>
  <c r="DG142" i="5"/>
  <c r="DK142" i="5"/>
  <c r="DD142" i="5"/>
  <c r="DP142" i="5"/>
  <c r="DM142" i="5"/>
  <c r="DO142" i="5"/>
  <c r="CW142" i="5"/>
  <c r="CY142" i="5"/>
  <c r="DC142" i="5"/>
  <c r="CP114" i="5"/>
  <c r="CV114" i="5"/>
  <c r="DB114" i="5"/>
  <c r="DH114" i="5"/>
  <c r="DN114" i="5"/>
  <c r="DT114" i="5"/>
  <c r="CS114" i="5"/>
  <c r="CZ114" i="5"/>
  <c r="DG114" i="5"/>
  <c r="DO114" i="5"/>
  <c r="CQ114" i="5"/>
  <c r="CY114" i="5"/>
  <c r="DI114" i="5"/>
  <c r="DQ114" i="5"/>
  <c r="CR114" i="5"/>
  <c r="DA114" i="5"/>
  <c r="DJ114" i="5"/>
  <c r="DR114" i="5"/>
  <c r="CW114" i="5"/>
  <c r="DK114" i="5"/>
  <c r="CX114" i="5"/>
  <c r="DL114" i="5"/>
  <c r="DC114" i="5"/>
  <c r="DS114" i="5"/>
  <c r="DE114" i="5"/>
  <c r="DM114" i="5"/>
  <c r="DP114" i="5"/>
  <c r="CT114" i="5"/>
  <c r="DU114" i="5"/>
  <c r="CU114" i="5"/>
  <c r="DF114" i="5"/>
  <c r="DD114" i="5"/>
  <c r="CP120" i="5"/>
  <c r="CV120" i="5"/>
  <c r="DB120" i="5"/>
  <c r="DH120" i="5"/>
  <c r="DN120" i="5"/>
  <c r="DT120" i="5"/>
  <c r="CW120" i="5"/>
  <c r="DD120" i="5"/>
  <c r="DK120" i="5"/>
  <c r="DR120" i="5"/>
  <c r="CR120" i="5"/>
  <c r="CZ120" i="5"/>
  <c r="DI120" i="5"/>
  <c r="DQ120" i="5"/>
  <c r="CS120" i="5"/>
  <c r="DA120" i="5"/>
  <c r="DJ120" i="5"/>
  <c r="DS120" i="5"/>
  <c r="CT120" i="5"/>
  <c r="DF120" i="5"/>
  <c r="DU120" i="5"/>
  <c r="CU120" i="5"/>
  <c r="DG120" i="5"/>
  <c r="CX120" i="5"/>
  <c r="DO120" i="5"/>
  <c r="DC120" i="5"/>
  <c r="DP120" i="5"/>
  <c r="CQ120" i="5"/>
  <c r="CY120" i="5"/>
  <c r="DE120" i="5"/>
  <c r="DL120" i="5"/>
  <c r="DM120" i="5"/>
  <c r="CT79" i="5"/>
  <c r="CZ79" i="5"/>
  <c r="DF79" i="5"/>
  <c r="DL79" i="5"/>
  <c r="DR79" i="5"/>
  <c r="CS79" i="5"/>
  <c r="DA79" i="5"/>
  <c r="DH79" i="5"/>
  <c r="DO79" i="5"/>
  <c r="CU79" i="5"/>
  <c r="DC79" i="5"/>
  <c r="DK79" i="5"/>
  <c r="DT79" i="5"/>
  <c r="CV79" i="5"/>
  <c r="DE79" i="5"/>
  <c r="DP79" i="5"/>
  <c r="CW79" i="5"/>
  <c r="DG79" i="5"/>
  <c r="DQ79" i="5"/>
  <c r="DB79" i="5"/>
  <c r="DS79" i="5"/>
  <c r="CP79" i="5"/>
  <c r="DV79" i="5" s="1"/>
  <c r="DD79" i="5"/>
  <c r="DU79" i="5"/>
  <c r="CQ79" i="5"/>
  <c r="DW79" i="5" s="1"/>
  <c r="DM79" i="5"/>
  <c r="CR79" i="5"/>
  <c r="DN79" i="5"/>
  <c r="CX79" i="5"/>
  <c r="CY79" i="5"/>
  <c r="DI79" i="5"/>
  <c r="DJ79" i="5"/>
  <c r="CQ100" i="5"/>
  <c r="CW100" i="5"/>
  <c r="DC100" i="5"/>
  <c r="DI100" i="5"/>
  <c r="DO100" i="5"/>
  <c r="DU100" i="5"/>
  <c r="CR100" i="5"/>
  <c r="CY100" i="5"/>
  <c r="DF100" i="5"/>
  <c r="DM100" i="5"/>
  <c r="DT100" i="5"/>
  <c r="CS100" i="5"/>
  <c r="DA100" i="5"/>
  <c r="DJ100" i="5"/>
  <c r="DR100" i="5"/>
  <c r="CV100" i="5"/>
  <c r="DG100" i="5"/>
  <c r="DQ100" i="5"/>
  <c r="CX100" i="5"/>
  <c r="DH100" i="5"/>
  <c r="DS100" i="5"/>
  <c r="CT100" i="5"/>
  <c r="DK100" i="5"/>
  <c r="CU100" i="5"/>
  <c r="DL100" i="5"/>
  <c r="CZ100" i="5"/>
  <c r="DB100" i="5"/>
  <c r="CP100" i="5"/>
  <c r="DV100" i="5" s="1"/>
  <c r="DD100" i="5"/>
  <c r="DE100" i="5"/>
  <c r="DN100" i="5"/>
  <c r="DP100" i="5"/>
  <c r="CQ104" i="5"/>
  <c r="CW104" i="5"/>
  <c r="DC104" i="5"/>
  <c r="DI104" i="5"/>
  <c r="DO104" i="5"/>
  <c r="DU104" i="5"/>
  <c r="CV104" i="5"/>
  <c r="DD104" i="5"/>
  <c r="DK104" i="5"/>
  <c r="DR104" i="5"/>
  <c r="CP104" i="5"/>
  <c r="DV104" i="5" s="1"/>
  <c r="CY104" i="5"/>
  <c r="DG104" i="5"/>
  <c r="DP104" i="5"/>
  <c r="CX104" i="5"/>
  <c r="DH104" i="5"/>
  <c r="DS104" i="5"/>
  <c r="CZ104" i="5"/>
  <c r="DJ104" i="5"/>
  <c r="DT104" i="5"/>
  <c r="DA104" i="5"/>
  <c r="DN104" i="5"/>
  <c r="DB104" i="5"/>
  <c r="DQ104" i="5"/>
  <c r="CR104" i="5"/>
  <c r="DL104" i="5"/>
  <c r="CS104" i="5"/>
  <c r="DM104" i="5"/>
  <c r="CT104" i="5"/>
  <c r="CU104" i="5"/>
  <c r="DE104" i="5"/>
  <c r="DF104" i="5"/>
  <c r="CR73" i="5"/>
  <c r="CX73" i="5"/>
  <c r="CS73" i="5"/>
  <c r="CZ73" i="5"/>
  <c r="DF73" i="5"/>
  <c r="DL73" i="5"/>
  <c r="DR73" i="5"/>
  <c r="CV73" i="5"/>
  <c r="DD73" i="5"/>
  <c r="DK73" i="5"/>
  <c r="DS73" i="5"/>
  <c r="CQ73" i="5"/>
  <c r="DB73" i="5"/>
  <c r="DJ73" i="5"/>
  <c r="DT73" i="5"/>
  <c r="CU73" i="5"/>
  <c r="DG73" i="5"/>
  <c r="DP73" i="5"/>
  <c r="CW73" i="5"/>
  <c r="DH73" i="5"/>
  <c r="DQ73" i="5"/>
  <c r="CY73" i="5"/>
  <c r="DN73" i="5"/>
  <c r="DA73" i="5"/>
  <c r="DO73" i="5"/>
  <c r="DC73" i="5"/>
  <c r="DE73" i="5"/>
  <c r="DI73" i="5"/>
  <c r="DM73" i="5"/>
  <c r="DU73" i="5"/>
  <c r="CP73" i="5"/>
  <c r="DV73" i="5" s="1"/>
  <c r="CT73" i="5"/>
  <c r="CT87" i="5"/>
  <c r="CZ87" i="5"/>
  <c r="DF87" i="5"/>
  <c r="DL87" i="5"/>
  <c r="DR87" i="5"/>
  <c r="CV87" i="5"/>
  <c r="DC87" i="5"/>
  <c r="DJ87" i="5"/>
  <c r="DQ87" i="5"/>
  <c r="CP87" i="5"/>
  <c r="CX87" i="5"/>
  <c r="DG87" i="5"/>
  <c r="DO87" i="5"/>
  <c r="CQ87" i="5"/>
  <c r="DA87" i="5"/>
  <c r="DK87" i="5"/>
  <c r="DU87" i="5"/>
  <c r="CR87" i="5"/>
  <c r="DB87" i="5"/>
  <c r="DM87" i="5"/>
  <c r="DD87" i="5"/>
  <c r="DS87" i="5"/>
  <c r="DE87" i="5"/>
  <c r="DT87" i="5"/>
  <c r="DH87" i="5"/>
  <c r="DI87" i="5"/>
  <c r="CW87" i="5"/>
  <c r="CY87" i="5"/>
  <c r="DN87" i="5"/>
  <c r="DP87" i="5"/>
  <c r="CS87" i="5"/>
  <c r="CU87" i="5"/>
  <c r="CT75" i="5"/>
  <c r="CZ75" i="5"/>
  <c r="DF75" i="5"/>
  <c r="DL75" i="5"/>
  <c r="DR75" i="5"/>
  <c r="CV75" i="5"/>
  <c r="DC75" i="5"/>
  <c r="DJ75" i="5"/>
  <c r="DQ75" i="5"/>
  <c r="CW75" i="5"/>
  <c r="DE75" i="5"/>
  <c r="DN75" i="5"/>
  <c r="CR75" i="5"/>
  <c r="DB75" i="5"/>
  <c r="DM75" i="5"/>
  <c r="CS75" i="5"/>
  <c r="DD75" i="5"/>
  <c r="DO75" i="5"/>
  <c r="CU75" i="5"/>
  <c r="DI75" i="5"/>
  <c r="CX75" i="5"/>
  <c r="DK75" i="5"/>
  <c r="DG75" i="5"/>
  <c r="DH75" i="5"/>
  <c r="DP75" i="5"/>
  <c r="DS75" i="5"/>
  <c r="CP75" i="5"/>
  <c r="DT75" i="5"/>
  <c r="DU75" i="5"/>
  <c r="CQ75" i="5"/>
  <c r="CY75" i="5"/>
  <c r="DA75" i="5"/>
  <c r="CQ98" i="5"/>
  <c r="CW98" i="5"/>
  <c r="DC98" i="5"/>
  <c r="DI98" i="5"/>
  <c r="DO98" i="5"/>
  <c r="DU98" i="5"/>
  <c r="CS98" i="5"/>
  <c r="CZ98" i="5"/>
  <c r="DG98" i="5"/>
  <c r="DN98" i="5"/>
  <c r="CX98" i="5"/>
  <c r="DF98" i="5"/>
  <c r="DP98" i="5"/>
  <c r="CP98" i="5"/>
  <c r="DV98" i="5" s="1"/>
  <c r="DA98" i="5"/>
  <c r="DK98" i="5"/>
  <c r="DT98" i="5"/>
  <c r="CR98" i="5"/>
  <c r="DB98" i="5"/>
  <c r="DL98" i="5"/>
  <c r="CV98" i="5"/>
  <c r="DM98" i="5"/>
  <c r="CY98" i="5"/>
  <c r="DQ98" i="5"/>
  <c r="CT98" i="5"/>
  <c r="DR98" i="5"/>
  <c r="CU98" i="5"/>
  <c r="DS98" i="5"/>
  <c r="DD98" i="5"/>
  <c r="DE98" i="5"/>
  <c r="DH98" i="5"/>
  <c r="DJ98" i="5"/>
  <c r="CT59" i="5"/>
  <c r="CZ59" i="5"/>
  <c r="DF59" i="5"/>
  <c r="DL59" i="5"/>
  <c r="DR59" i="5"/>
  <c r="CP59" i="5"/>
  <c r="DV59" i="5" s="1"/>
  <c r="CW59" i="5"/>
  <c r="DD59" i="5"/>
  <c r="DK59" i="5"/>
  <c r="DS59" i="5"/>
  <c r="CV59" i="5"/>
  <c r="DE59" i="5"/>
  <c r="DN59" i="5"/>
  <c r="CS59" i="5"/>
  <c r="DC59" i="5"/>
  <c r="DO59" i="5"/>
  <c r="CR59" i="5"/>
  <c r="DG59" i="5"/>
  <c r="DQ59" i="5"/>
  <c r="CU59" i="5"/>
  <c r="DH59" i="5"/>
  <c r="DT59" i="5"/>
  <c r="DI59" i="5"/>
  <c r="CQ59" i="5"/>
  <c r="DW59" i="5" s="1"/>
  <c r="DJ59" i="5"/>
  <c r="DM59" i="5"/>
  <c r="DP59" i="5"/>
  <c r="DA59" i="5"/>
  <c r="DB59" i="5"/>
  <c r="DU59" i="5"/>
  <c r="CX59" i="5"/>
  <c r="CY59" i="5"/>
  <c r="CQ60" i="5"/>
  <c r="CW60" i="5"/>
  <c r="DC60" i="5"/>
  <c r="DI60" i="5"/>
  <c r="DO60" i="5"/>
  <c r="DU60" i="5"/>
  <c r="CS60" i="5"/>
  <c r="CZ60" i="5"/>
  <c r="DG60" i="5"/>
  <c r="DN60" i="5"/>
  <c r="CX60" i="5"/>
  <c r="DF60" i="5"/>
  <c r="DP60" i="5"/>
  <c r="CR60" i="5"/>
  <c r="DB60" i="5"/>
  <c r="DL60" i="5"/>
  <c r="CV60" i="5"/>
  <c r="DJ60" i="5"/>
  <c r="DT60" i="5"/>
  <c r="CY60" i="5"/>
  <c r="DK60" i="5"/>
  <c r="CT60" i="5"/>
  <c r="DM60" i="5"/>
  <c r="CU60" i="5"/>
  <c r="DQ60" i="5"/>
  <c r="DE60" i="5"/>
  <c r="DH60" i="5"/>
  <c r="DR60" i="5"/>
  <c r="DS60" i="5"/>
  <c r="CP60" i="5"/>
  <c r="DA60" i="5"/>
  <c r="DD60" i="5"/>
  <c r="CU72" i="5"/>
  <c r="DA72" i="5"/>
  <c r="DG72" i="5"/>
  <c r="DM72" i="5"/>
  <c r="DS72" i="5"/>
  <c r="CP72" i="5"/>
  <c r="CW72" i="5"/>
  <c r="DD72" i="5"/>
  <c r="DK72" i="5"/>
  <c r="DR72" i="5"/>
  <c r="CT72" i="5"/>
  <c r="DC72" i="5"/>
  <c r="DL72" i="5"/>
  <c r="DU72" i="5"/>
  <c r="CS72" i="5"/>
  <c r="DE72" i="5"/>
  <c r="DO72" i="5"/>
  <c r="CQ72" i="5"/>
  <c r="DB72" i="5"/>
  <c r="DP72" i="5"/>
  <c r="CR72" i="5"/>
  <c r="DF72" i="5"/>
  <c r="DQ72" i="5"/>
  <c r="CV72" i="5"/>
  <c r="DJ72" i="5"/>
  <c r="CX72" i="5"/>
  <c r="DN72" i="5"/>
  <c r="DH72" i="5"/>
  <c r="DI72" i="5"/>
  <c r="CY72" i="5"/>
  <c r="CZ72" i="5"/>
  <c r="DT72" i="5"/>
  <c r="CR43" i="5"/>
  <c r="CX43" i="5"/>
  <c r="DD43" i="5"/>
  <c r="DJ43" i="5"/>
  <c r="DP43" i="5"/>
  <c r="CS43" i="5"/>
  <c r="CY43" i="5"/>
  <c r="DE43" i="5"/>
  <c r="DK43" i="5"/>
  <c r="DQ43" i="5"/>
  <c r="CT43" i="5"/>
  <c r="DB43" i="5"/>
  <c r="DL43" i="5"/>
  <c r="DT43" i="5"/>
  <c r="CP43" i="5"/>
  <c r="DA43" i="5"/>
  <c r="DM43" i="5"/>
  <c r="CQ43" i="5"/>
  <c r="DF43" i="5"/>
  <c r="DR43" i="5"/>
  <c r="CZ43" i="5"/>
  <c r="DO43" i="5"/>
  <c r="DG43" i="5"/>
  <c r="DH43" i="5"/>
  <c r="CW43" i="5"/>
  <c r="DC43" i="5"/>
  <c r="DS43" i="5"/>
  <c r="DU43" i="5"/>
  <c r="DI43" i="5"/>
  <c r="DN43" i="5"/>
  <c r="CV43" i="5"/>
  <c r="CU43" i="5"/>
  <c r="CS307" i="5"/>
  <c r="CY307" i="5"/>
  <c r="DE307" i="5"/>
  <c r="DK307" i="5"/>
  <c r="DQ307" i="5"/>
  <c r="CP307" i="5"/>
  <c r="CW307" i="5"/>
  <c r="DD307" i="5"/>
  <c r="DL307" i="5"/>
  <c r="DS307" i="5"/>
  <c r="CR307" i="5"/>
  <c r="DG307" i="5"/>
  <c r="DU307" i="5"/>
  <c r="CQ307" i="5"/>
  <c r="CX307" i="5"/>
  <c r="DF307" i="5"/>
  <c r="DM307" i="5"/>
  <c r="DT307" i="5"/>
  <c r="CZ307" i="5"/>
  <c r="DN307" i="5"/>
  <c r="DC307" i="5"/>
  <c r="DR307" i="5"/>
  <c r="CT307" i="5"/>
  <c r="DH307" i="5"/>
  <c r="CU307" i="5"/>
  <c r="DI307" i="5"/>
  <c r="DA307" i="5"/>
  <c r="DB307" i="5"/>
  <c r="DJ307" i="5"/>
  <c r="CV307" i="5"/>
  <c r="DO307" i="5"/>
  <c r="DP307" i="5"/>
  <c r="CU275" i="5"/>
  <c r="DA275" i="5"/>
  <c r="DG275" i="5"/>
  <c r="DM275" i="5"/>
  <c r="DS275" i="5"/>
  <c r="CR275" i="5"/>
  <c r="CY275" i="5"/>
  <c r="DF275" i="5"/>
  <c r="DN275" i="5"/>
  <c r="DU275" i="5"/>
  <c r="DB275" i="5"/>
  <c r="DP275" i="5"/>
  <c r="CS275" i="5"/>
  <c r="CZ275" i="5"/>
  <c r="DH275" i="5"/>
  <c r="DO275" i="5"/>
  <c r="CT275" i="5"/>
  <c r="DI275" i="5"/>
  <c r="CV275" i="5"/>
  <c r="CX275" i="5"/>
  <c r="DL275" i="5"/>
  <c r="DC275" i="5"/>
  <c r="DQ275" i="5"/>
  <c r="DD275" i="5"/>
  <c r="DR275" i="5"/>
  <c r="DJ275" i="5"/>
  <c r="DK275" i="5"/>
  <c r="CP275" i="5"/>
  <c r="DV275" i="5" s="1"/>
  <c r="DT275" i="5"/>
  <c r="DE275" i="5"/>
  <c r="CW275" i="5"/>
  <c r="CQ275" i="5"/>
  <c r="DW275" i="5" s="1"/>
  <c r="CR323" i="5"/>
  <c r="CX323" i="5"/>
  <c r="DD323" i="5"/>
  <c r="DJ323" i="5"/>
  <c r="DP323" i="5"/>
  <c r="CQ323" i="5"/>
  <c r="CY323" i="5"/>
  <c r="DF323" i="5"/>
  <c r="DM323" i="5"/>
  <c r="DT323" i="5"/>
  <c r="DA323" i="5"/>
  <c r="DO323" i="5"/>
  <c r="CS323" i="5"/>
  <c r="CZ323" i="5"/>
  <c r="DG323" i="5"/>
  <c r="DN323" i="5"/>
  <c r="DU323" i="5"/>
  <c r="CT323" i="5"/>
  <c r="DH323" i="5"/>
  <c r="CP323" i="5"/>
  <c r="DE323" i="5"/>
  <c r="DS323" i="5"/>
  <c r="CU323" i="5"/>
  <c r="DI323" i="5"/>
  <c r="CV323" i="5"/>
  <c r="DK323" i="5"/>
  <c r="DB323" i="5"/>
  <c r="DC323" i="5"/>
  <c r="DL323" i="5"/>
  <c r="CW323" i="5"/>
  <c r="DQ323" i="5"/>
  <c r="DR323" i="5"/>
  <c r="CP265" i="5"/>
  <c r="DV265" i="5" s="1"/>
  <c r="CV265" i="5"/>
  <c r="DB265" i="5"/>
  <c r="DH265" i="5"/>
  <c r="DN265" i="5"/>
  <c r="DT265" i="5"/>
  <c r="CR265" i="5"/>
  <c r="CY265" i="5"/>
  <c r="DF265" i="5"/>
  <c r="DM265" i="5"/>
  <c r="DU265" i="5"/>
  <c r="DA265" i="5"/>
  <c r="DP265" i="5"/>
  <c r="CS265" i="5"/>
  <c r="CZ265" i="5"/>
  <c r="DG265" i="5"/>
  <c r="DO265" i="5"/>
  <c r="CT265" i="5"/>
  <c r="DI265" i="5"/>
  <c r="CU265" i="5"/>
  <c r="DJ265" i="5"/>
  <c r="DC265" i="5"/>
  <c r="DR265" i="5"/>
  <c r="DD265" i="5"/>
  <c r="DS265" i="5"/>
  <c r="DE265" i="5"/>
  <c r="CW265" i="5"/>
  <c r="CX265" i="5"/>
  <c r="DK265" i="5"/>
  <c r="CQ265" i="5"/>
  <c r="DQ265" i="5"/>
  <c r="DL265" i="5"/>
  <c r="CT283" i="5"/>
  <c r="CZ283" i="5"/>
  <c r="DF283" i="5"/>
  <c r="DL283" i="5"/>
  <c r="DR283" i="5"/>
  <c r="CS283" i="5"/>
  <c r="DA283" i="5"/>
  <c r="DH283" i="5"/>
  <c r="DO283" i="5"/>
  <c r="CV283" i="5"/>
  <c r="DJ283" i="5"/>
  <c r="CU283" i="5"/>
  <c r="DB283" i="5"/>
  <c r="DI283" i="5"/>
  <c r="DP283" i="5"/>
  <c r="DC283" i="5"/>
  <c r="DQ283" i="5"/>
  <c r="CR283" i="5"/>
  <c r="DG283" i="5"/>
  <c r="DU283" i="5"/>
  <c r="CW283" i="5"/>
  <c r="DK283" i="5"/>
  <c r="CX283" i="5"/>
  <c r="DM283" i="5"/>
  <c r="DD283" i="5"/>
  <c r="DE283" i="5"/>
  <c r="DN283" i="5"/>
  <c r="CY283" i="5"/>
  <c r="DS283" i="5"/>
  <c r="DT283" i="5"/>
  <c r="CQ283" i="5"/>
  <c r="CP283" i="5"/>
  <c r="DV283" i="5" s="1"/>
  <c r="CT304" i="5"/>
  <c r="CZ304" i="5"/>
  <c r="DF304" i="5"/>
  <c r="DL304" i="5"/>
  <c r="DR304" i="5"/>
  <c r="CS304" i="5"/>
  <c r="DA304" i="5"/>
  <c r="DH304" i="5"/>
  <c r="DO304" i="5"/>
  <c r="CV304" i="5"/>
  <c r="DJ304" i="5"/>
  <c r="CU304" i="5"/>
  <c r="DB304" i="5"/>
  <c r="DI304" i="5"/>
  <c r="DP304" i="5"/>
  <c r="DC304" i="5"/>
  <c r="DQ304" i="5"/>
  <c r="CY304" i="5"/>
  <c r="DN304" i="5"/>
  <c r="CP304" i="5"/>
  <c r="DD304" i="5"/>
  <c r="DS304" i="5"/>
  <c r="CQ304" i="5"/>
  <c r="DE304" i="5"/>
  <c r="DT304" i="5"/>
  <c r="DK304" i="5"/>
  <c r="DM304" i="5"/>
  <c r="CR304" i="5"/>
  <c r="DU304" i="5"/>
  <c r="DG304" i="5"/>
  <c r="CX304" i="5"/>
  <c r="CW304" i="5"/>
  <c r="CU314" i="5"/>
  <c r="DA314" i="5"/>
  <c r="DG314" i="5"/>
  <c r="DM314" i="5"/>
  <c r="DS314" i="5"/>
  <c r="CT314" i="5"/>
  <c r="DB314" i="5"/>
  <c r="DI314" i="5"/>
  <c r="DP314" i="5"/>
  <c r="CW314" i="5"/>
  <c r="DK314" i="5"/>
  <c r="CV314" i="5"/>
  <c r="DC314" i="5"/>
  <c r="DJ314" i="5"/>
  <c r="DQ314" i="5"/>
  <c r="CP314" i="5"/>
  <c r="DD314" i="5"/>
  <c r="DR314" i="5"/>
  <c r="CS314" i="5"/>
  <c r="DH314" i="5"/>
  <c r="CX314" i="5"/>
  <c r="DL314" i="5"/>
  <c r="CY314" i="5"/>
  <c r="DN314" i="5"/>
  <c r="DE314" i="5"/>
  <c r="DF314" i="5"/>
  <c r="DO314" i="5"/>
  <c r="CZ314" i="5"/>
  <c r="DU314" i="5"/>
  <c r="CQ314" i="5"/>
  <c r="DT314" i="5"/>
  <c r="CR314" i="5"/>
  <c r="CU329" i="5"/>
  <c r="DA329" i="5"/>
  <c r="DG329" i="5"/>
  <c r="DM329" i="5"/>
  <c r="DS329" i="5"/>
  <c r="CW329" i="5"/>
  <c r="DI329" i="5"/>
  <c r="DU329" i="5"/>
  <c r="CP329" i="5"/>
  <c r="CV329" i="5"/>
  <c r="DB329" i="5"/>
  <c r="DH329" i="5"/>
  <c r="DN329" i="5"/>
  <c r="DT329" i="5"/>
  <c r="CQ329" i="5"/>
  <c r="DC329" i="5"/>
  <c r="DO329" i="5"/>
  <c r="CZ329" i="5"/>
  <c r="DL329" i="5"/>
  <c r="CR329" i="5"/>
  <c r="DD329" i="5"/>
  <c r="DP329" i="5"/>
  <c r="CS329" i="5"/>
  <c r="DE329" i="5"/>
  <c r="DQ329" i="5"/>
  <c r="CX329" i="5"/>
  <c r="CY329" i="5"/>
  <c r="DF329" i="5"/>
  <c r="DK329" i="5"/>
  <c r="DJ329" i="5"/>
  <c r="DR329" i="5"/>
  <c r="CT329" i="5"/>
  <c r="CQ290" i="5"/>
  <c r="CW290" i="5"/>
  <c r="DC290" i="5"/>
  <c r="DI290" i="5"/>
  <c r="DO290" i="5"/>
  <c r="DU290" i="5"/>
  <c r="CS290" i="5"/>
  <c r="CZ290" i="5"/>
  <c r="DG290" i="5"/>
  <c r="DN290" i="5"/>
  <c r="DB290" i="5"/>
  <c r="DQ290" i="5"/>
  <c r="CT290" i="5"/>
  <c r="DA290" i="5"/>
  <c r="DH290" i="5"/>
  <c r="DP290" i="5"/>
  <c r="CU290" i="5"/>
  <c r="DJ290" i="5"/>
  <c r="CR290" i="5"/>
  <c r="DF290" i="5"/>
  <c r="DT290" i="5"/>
  <c r="CV290" i="5"/>
  <c r="DK290" i="5"/>
  <c r="CX290" i="5"/>
  <c r="DL290" i="5"/>
  <c r="DD290" i="5"/>
  <c r="DE290" i="5"/>
  <c r="DM290" i="5"/>
  <c r="CY290" i="5"/>
  <c r="DS290" i="5"/>
  <c r="DR290" i="5"/>
  <c r="CP290" i="5"/>
  <c r="DV290" i="5" s="1"/>
  <c r="CS177" i="5"/>
  <c r="CY177" i="5"/>
  <c r="DE177" i="5"/>
  <c r="DK177" i="5"/>
  <c r="DQ177" i="5"/>
  <c r="CU177" i="5"/>
  <c r="DB177" i="5"/>
  <c r="DI177" i="5"/>
  <c r="DP177" i="5"/>
  <c r="CR177" i="5"/>
  <c r="DA177" i="5"/>
  <c r="DJ177" i="5"/>
  <c r="DS177" i="5"/>
  <c r="CT177" i="5"/>
  <c r="DC177" i="5"/>
  <c r="DL177" i="5"/>
  <c r="DT177" i="5"/>
  <c r="CP177" i="5"/>
  <c r="DD177" i="5"/>
  <c r="DO177" i="5"/>
  <c r="CZ177" i="5"/>
  <c r="DR177" i="5"/>
  <c r="CV177" i="5"/>
  <c r="DF177" i="5"/>
  <c r="DU177" i="5"/>
  <c r="CQ177" i="5"/>
  <c r="DG177" i="5"/>
  <c r="DH177" i="5"/>
  <c r="CW177" i="5"/>
  <c r="CX177" i="5"/>
  <c r="DM177" i="5"/>
  <c r="DN177" i="5"/>
  <c r="CQ253" i="5"/>
  <c r="DW253" i="5" s="1"/>
  <c r="CW253" i="5"/>
  <c r="DC253" i="5"/>
  <c r="DI253" i="5"/>
  <c r="DO253" i="5"/>
  <c r="DU253" i="5"/>
  <c r="CU253" i="5"/>
  <c r="DB253" i="5"/>
  <c r="DJ253" i="5"/>
  <c r="DQ253" i="5"/>
  <c r="CV253" i="5"/>
  <c r="DD253" i="5"/>
  <c r="DK253" i="5"/>
  <c r="DR253" i="5"/>
  <c r="CX253" i="5"/>
  <c r="DG253" i="5"/>
  <c r="DS253" i="5"/>
  <c r="CP253" i="5"/>
  <c r="DV253" i="5" s="1"/>
  <c r="DL253" i="5"/>
  <c r="CY253" i="5"/>
  <c r="DH253" i="5"/>
  <c r="DT253" i="5"/>
  <c r="CZ253" i="5"/>
  <c r="DF253" i="5"/>
  <c r="CR253" i="5"/>
  <c r="DM253" i="5"/>
  <c r="DP253" i="5"/>
  <c r="CS253" i="5"/>
  <c r="CT253" i="5"/>
  <c r="DA253" i="5"/>
  <c r="DE253" i="5"/>
  <c r="DN253" i="5"/>
  <c r="CU334" i="5"/>
  <c r="DA334" i="5"/>
  <c r="DG334" i="5"/>
  <c r="DM334" i="5"/>
  <c r="DS334" i="5"/>
  <c r="CQ334" i="5"/>
  <c r="DC334" i="5"/>
  <c r="DO334" i="5"/>
  <c r="CP334" i="5"/>
  <c r="CV334" i="5"/>
  <c r="DB334" i="5"/>
  <c r="DH334" i="5"/>
  <c r="DN334" i="5"/>
  <c r="DT334" i="5"/>
  <c r="CW334" i="5"/>
  <c r="DI334" i="5"/>
  <c r="DU334" i="5"/>
  <c r="CT334" i="5"/>
  <c r="DF334" i="5"/>
  <c r="DR334" i="5"/>
  <c r="CX334" i="5"/>
  <c r="DJ334" i="5"/>
  <c r="CY334" i="5"/>
  <c r="DK334" i="5"/>
  <c r="DD334" i="5"/>
  <c r="DE334" i="5"/>
  <c r="DL334" i="5"/>
  <c r="CS334" i="5"/>
  <c r="CR334" i="5"/>
  <c r="CZ334" i="5"/>
  <c r="DP334" i="5"/>
  <c r="DQ334" i="5"/>
  <c r="CS287" i="5"/>
  <c r="CY287" i="5"/>
  <c r="DE287" i="5"/>
  <c r="DK287" i="5"/>
  <c r="DQ287" i="5"/>
  <c r="CP287" i="5"/>
  <c r="DV287" i="5" s="1"/>
  <c r="CW287" i="5"/>
  <c r="DD287" i="5"/>
  <c r="DL287" i="5"/>
  <c r="DS287" i="5"/>
  <c r="CZ287" i="5"/>
  <c r="DN287" i="5"/>
  <c r="CQ287" i="5"/>
  <c r="CX287" i="5"/>
  <c r="DF287" i="5"/>
  <c r="DM287" i="5"/>
  <c r="DT287" i="5"/>
  <c r="CR287" i="5"/>
  <c r="DG287" i="5"/>
  <c r="DU287" i="5"/>
  <c r="DC287" i="5"/>
  <c r="DR287" i="5"/>
  <c r="CT287" i="5"/>
  <c r="DH287" i="5"/>
  <c r="CU287" i="5"/>
  <c r="DI287" i="5"/>
  <c r="DO287" i="5"/>
  <c r="DP287" i="5"/>
  <c r="CV287" i="5"/>
  <c r="DJ287" i="5"/>
  <c r="DA287" i="5"/>
  <c r="DB287" i="5"/>
  <c r="CP170" i="5"/>
  <c r="DV170" i="5" s="1"/>
  <c r="CV170" i="5"/>
  <c r="DB170" i="5"/>
  <c r="DH170" i="5"/>
  <c r="DN170" i="5"/>
  <c r="DT170" i="5"/>
  <c r="CU170" i="5"/>
  <c r="DC170" i="5"/>
  <c r="DJ170" i="5"/>
  <c r="DQ170" i="5"/>
  <c r="CQ170" i="5"/>
  <c r="CY170" i="5"/>
  <c r="DG170" i="5"/>
  <c r="DP170" i="5"/>
  <c r="CR170" i="5"/>
  <c r="CZ170" i="5"/>
  <c r="DI170" i="5"/>
  <c r="DR170" i="5"/>
  <c r="DA170" i="5"/>
  <c r="DM170" i="5"/>
  <c r="CX170" i="5"/>
  <c r="DO170" i="5"/>
  <c r="CS170" i="5"/>
  <c r="DD170" i="5"/>
  <c r="DS170" i="5"/>
  <c r="DE170" i="5"/>
  <c r="DU170" i="5"/>
  <c r="DF170" i="5"/>
  <c r="CT170" i="5"/>
  <c r="CW170" i="5"/>
  <c r="DK170" i="5"/>
  <c r="DL170" i="5"/>
  <c r="CT250" i="5"/>
  <c r="CZ250" i="5"/>
  <c r="DF250" i="5"/>
  <c r="DL250" i="5"/>
  <c r="DR250" i="5"/>
  <c r="CS250" i="5"/>
  <c r="DA250" i="5"/>
  <c r="DH250" i="5"/>
  <c r="DO250" i="5"/>
  <c r="CU250" i="5"/>
  <c r="DB250" i="5"/>
  <c r="DI250" i="5"/>
  <c r="DP250" i="5"/>
  <c r="CX250" i="5"/>
  <c r="DJ250" i="5"/>
  <c r="DT250" i="5"/>
  <c r="DC250" i="5"/>
  <c r="CP250" i="5"/>
  <c r="DV250" i="5" s="1"/>
  <c r="CY250" i="5"/>
  <c r="DK250" i="5"/>
  <c r="DU250" i="5"/>
  <c r="CQ250" i="5"/>
  <c r="DM250" i="5"/>
  <c r="CW250" i="5"/>
  <c r="DS250" i="5"/>
  <c r="DD250" i="5"/>
  <c r="DQ250" i="5"/>
  <c r="CR250" i="5"/>
  <c r="CV250" i="5"/>
  <c r="DE250" i="5"/>
  <c r="DG250" i="5"/>
  <c r="DN250" i="5"/>
  <c r="CS270" i="5"/>
  <c r="CY270" i="5"/>
  <c r="DE270" i="5"/>
  <c r="DK270" i="5"/>
  <c r="DQ270" i="5"/>
  <c r="CR270" i="5"/>
  <c r="CZ270" i="5"/>
  <c r="DG270" i="5"/>
  <c r="DN270" i="5"/>
  <c r="DU270" i="5"/>
  <c r="CU270" i="5"/>
  <c r="DI270" i="5"/>
  <c r="CT270" i="5"/>
  <c r="DA270" i="5"/>
  <c r="DH270" i="5"/>
  <c r="DO270" i="5"/>
  <c r="DB270" i="5"/>
  <c r="DP270" i="5"/>
  <c r="DC270" i="5"/>
  <c r="DR270" i="5"/>
  <c r="CQ270" i="5"/>
  <c r="DJ270" i="5"/>
  <c r="CV270" i="5"/>
  <c r="DL270" i="5"/>
  <c r="CW270" i="5"/>
  <c r="DM270" i="5"/>
  <c r="DD270" i="5"/>
  <c r="DF270" i="5"/>
  <c r="DS270" i="5"/>
  <c r="CX270" i="5"/>
  <c r="CP270" i="5"/>
  <c r="DT270" i="5"/>
  <c r="CP288" i="5"/>
  <c r="CV288" i="5"/>
  <c r="DB288" i="5"/>
  <c r="DH288" i="5"/>
  <c r="DN288" i="5"/>
  <c r="DT288" i="5"/>
  <c r="CS288" i="5"/>
  <c r="CZ288" i="5"/>
  <c r="DG288" i="5"/>
  <c r="DO288" i="5"/>
  <c r="CU288" i="5"/>
  <c r="DJ288" i="5"/>
  <c r="CT288" i="5"/>
  <c r="DA288" i="5"/>
  <c r="DI288" i="5"/>
  <c r="DP288" i="5"/>
  <c r="DC288" i="5"/>
  <c r="DQ288" i="5"/>
  <c r="CY288" i="5"/>
  <c r="DM288" i="5"/>
  <c r="DD288" i="5"/>
  <c r="DR288" i="5"/>
  <c r="CQ288" i="5"/>
  <c r="DE288" i="5"/>
  <c r="DS288" i="5"/>
  <c r="DK288" i="5"/>
  <c r="DL288" i="5"/>
  <c r="CR288" i="5"/>
  <c r="DU288" i="5"/>
  <c r="DF288" i="5"/>
  <c r="CX288" i="5"/>
  <c r="CW288" i="5"/>
  <c r="CP148" i="5"/>
  <c r="DV148" i="5" s="1"/>
  <c r="CV148" i="5"/>
  <c r="DB148" i="5"/>
  <c r="DH148" i="5"/>
  <c r="DN148" i="5"/>
  <c r="DT148" i="5"/>
  <c r="CT148" i="5"/>
  <c r="DA148" i="5"/>
  <c r="DI148" i="5"/>
  <c r="DP148" i="5"/>
  <c r="CR148" i="5"/>
  <c r="CZ148" i="5"/>
  <c r="DJ148" i="5"/>
  <c r="DR148" i="5"/>
  <c r="CS148" i="5"/>
  <c r="DC148" i="5"/>
  <c r="DK148" i="5"/>
  <c r="DS148" i="5"/>
  <c r="DD148" i="5"/>
  <c r="DO148" i="5"/>
  <c r="CQ148" i="5"/>
  <c r="DW148" i="5" s="1"/>
  <c r="DE148" i="5"/>
  <c r="DQ148" i="5"/>
  <c r="DF148" i="5"/>
  <c r="CW148" i="5"/>
  <c r="DU148" i="5"/>
  <c r="DG148" i="5"/>
  <c r="CX148" i="5"/>
  <c r="CY148" i="5"/>
  <c r="DL148" i="5"/>
  <c r="DM148" i="5"/>
  <c r="CU148" i="5"/>
  <c r="CQ263" i="5"/>
  <c r="CW263" i="5"/>
  <c r="DC263" i="5"/>
  <c r="DI263" i="5"/>
  <c r="DO263" i="5"/>
  <c r="DU263" i="5"/>
  <c r="CV263" i="5"/>
  <c r="DD263" i="5"/>
  <c r="DK263" i="5"/>
  <c r="DR263" i="5"/>
  <c r="CP263" i="5"/>
  <c r="CX263" i="5"/>
  <c r="DE263" i="5"/>
  <c r="DL263" i="5"/>
  <c r="DS263" i="5"/>
  <c r="CR263" i="5"/>
  <c r="DA263" i="5"/>
  <c r="DM263" i="5"/>
  <c r="CT263" i="5"/>
  <c r="DP263" i="5"/>
  <c r="CS263" i="5"/>
  <c r="DB263" i="5"/>
  <c r="DN263" i="5"/>
  <c r="DF263" i="5"/>
  <c r="DG263" i="5"/>
  <c r="CZ263" i="5"/>
  <c r="DH263" i="5"/>
  <c r="DJ263" i="5"/>
  <c r="DQ263" i="5"/>
  <c r="DT263" i="5"/>
  <c r="CY263" i="5"/>
  <c r="CU263" i="5"/>
  <c r="CT105" i="5"/>
  <c r="CZ105" i="5"/>
  <c r="DF105" i="5"/>
  <c r="DL105" i="5"/>
  <c r="DR105" i="5"/>
  <c r="CR105" i="5"/>
  <c r="CY105" i="5"/>
  <c r="DG105" i="5"/>
  <c r="DN105" i="5"/>
  <c r="DU105" i="5"/>
  <c r="CQ105" i="5"/>
  <c r="DA105" i="5"/>
  <c r="DI105" i="5"/>
  <c r="DQ105" i="5"/>
  <c r="CV105" i="5"/>
  <c r="DE105" i="5"/>
  <c r="DP105" i="5"/>
  <c r="CW105" i="5"/>
  <c r="DH105" i="5"/>
  <c r="DS105" i="5"/>
  <c r="CX105" i="5"/>
  <c r="DM105" i="5"/>
  <c r="DB105" i="5"/>
  <c r="DO105" i="5"/>
  <c r="DC105" i="5"/>
  <c r="DD105" i="5"/>
  <c r="DJ105" i="5"/>
  <c r="DK105" i="5"/>
  <c r="CP105" i="5"/>
  <c r="DT105" i="5"/>
  <c r="CS105" i="5"/>
  <c r="CU105" i="5"/>
  <c r="CP160" i="5"/>
  <c r="DV160" i="5" s="1"/>
  <c r="CV160" i="5"/>
  <c r="DB160" i="5"/>
  <c r="DH160" i="5"/>
  <c r="DN160" i="5"/>
  <c r="DT160" i="5"/>
  <c r="CT160" i="5"/>
  <c r="DA160" i="5"/>
  <c r="DI160" i="5"/>
  <c r="DP160" i="5"/>
  <c r="CS160" i="5"/>
  <c r="DC160" i="5"/>
  <c r="DK160" i="5"/>
  <c r="DS160" i="5"/>
  <c r="CU160" i="5"/>
  <c r="DD160" i="5"/>
  <c r="DL160" i="5"/>
  <c r="DU160" i="5"/>
  <c r="CW160" i="5"/>
  <c r="DG160" i="5"/>
  <c r="CX160" i="5"/>
  <c r="DJ160" i="5"/>
  <c r="CY160" i="5"/>
  <c r="DQ160" i="5"/>
  <c r="CR160" i="5"/>
  <c r="DR160" i="5"/>
  <c r="CZ160" i="5"/>
  <c r="DE160" i="5"/>
  <c r="DF160" i="5"/>
  <c r="CQ160" i="5"/>
  <c r="DW160" i="5" s="1"/>
  <c r="DM160" i="5"/>
  <c r="DO160" i="5"/>
  <c r="CS315" i="5"/>
  <c r="CY315" i="5"/>
  <c r="DE315" i="5"/>
  <c r="DK315" i="5"/>
  <c r="DQ315" i="5"/>
  <c r="CQ315" i="5"/>
  <c r="CX315" i="5"/>
  <c r="DF315" i="5"/>
  <c r="DM315" i="5"/>
  <c r="DT315" i="5"/>
  <c r="CT315" i="5"/>
  <c r="DH315" i="5"/>
  <c r="CR315" i="5"/>
  <c r="CZ315" i="5"/>
  <c r="DG315" i="5"/>
  <c r="DN315" i="5"/>
  <c r="DU315" i="5"/>
  <c r="DA315" i="5"/>
  <c r="DO315" i="5"/>
  <c r="CP315" i="5"/>
  <c r="DD315" i="5"/>
  <c r="DS315" i="5"/>
  <c r="CU315" i="5"/>
  <c r="DI315" i="5"/>
  <c r="CV315" i="5"/>
  <c r="DJ315" i="5"/>
  <c r="DB315" i="5"/>
  <c r="DC315" i="5"/>
  <c r="DL315" i="5"/>
  <c r="CW315" i="5"/>
  <c r="DP315" i="5"/>
  <c r="DR315" i="5"/>
  <c r="CS175" i="5"/>
  <c r="CY175" i="5"/>
  <c r="DE175" i="5"/>
  <c r="DK175" i="5"/>
  <c r="DQ175" i="5"/>
  <c r="CV175" i="5"/>
  <c r="DC175" i="5"/>
  <c r="DJ175" i="5"/>
  <c r="DR175" i="5"/>
  <c r="CP175" i="5"/>
  <c r="DV175" i="5" s="1"/>
  <c r="CX175" i="5"/>
  <c r="DG175" i="5"/>
  <c r="DO175" i="5"/>
  <c r="CQ175" i="5"/>
  <c r="DW175" i="5" s="1"/>
  <c r="CZ175" i="5"/>
  <c r="DH175" i="5"/>
  <c r="DP175" i="5"/>
  <c r="CR175" i="5"/>
  <c r="DD175" i="5"/>
  <c r="DS175" i="5"/>
  <c r="DF175" i="5"/>
  <c r="DU175" i="5"/>
  <c r="CW175" i="5"/>
  <c r="CT175" i="5"/>
  <c r="DI175" i="5"/>
  <c r="CU175" i="5"/>
  <c r="DL175" i="5"/>
  <c r="DM175" i="5"/>
  <c r="DN175" i="5"/>
  <c r="DT175" i="5"/>
  <c r="DA175" i="5"/>
  <c r="DB175" i="5"/>
  <c r="CQ251" i="5"/>
  <c r="CW251" i="5"/>
  <c r="DC251" i="5"/>
  <c r="DI251" i="5"/>
  <c r="DO251" i="5"/>
  <c r="DU251" i="5"/>
  <c r="CV251" i="5"/>
  <c r="DD251" i="5"/>
  <c r="DK251" i="5"/>
  <c r="DR251" i="5"/>
  <c r="CP251" i="5"/>
  <c r="DV251" i="5" s="1"/>
  <c r="CX251" i="5"/>
  <c r="DE251" i="5"/>
  <c r="DL251" i="5"/>
  <c r="DS251" i="5"/>
  <c r="CY251" i="5"/>
  <c r="DH251" i="5"/>
  <c r="DT251" i="5"/>
  <c r="CR251" i="5"/>
  <c r="DM251" i="5"/>
  <c r="CZ251" i="5"/>
  <c r="DJ251" i="5"/>
  <c r="DA251" i="5"/>
  <c r="DG251" i="5"/>
  <c r="CS251" i="5"/>
  <c r="DN251" i="5"/>
  <c r="DQ251" i="5"/>
  <c r="CT251" i="5"/>
  <c r="CU251" i="5"/>
  <c r="DB251" i="5"/>
  <c r="DP251" i="5"/>
  <c r="DF251" i="5"/>
  <c r="CQ233" i="5"/>
  <c r="CW233" i="5"/>
  <c r="DC233" i="5"/>
  <c r="DI233" i="5"/>
  <c r="DO233" i="5"/>
  <c r="DU233" i="5"/>
  <c r="CS233" i="5"/>
  <c r="CZ233" i="5"/>
  <c r="DG233" i="5"/>
  <c r="DN233" i="5"/>
  <c r="CT233" i="5"/>
  <c r="DA233" i="5"/>
  <c r="DH233" i="5"/>
  <c r="DP233" i="5"/>
  <c r="CX233" i="5"/>
  <c r="DJ233" i="5"/>
  <c r="DS233" i="5"/>
  <c r="DB233" i="5"/>
  <c r="DD233" i="5"/>
  <c r="CY233" i="5"/>
  <c r="DK233" i="5"/>
  <c r="DT233" i="5"/>
  <c r="CP233" i="5"/>
  <c r="DV233" i="5" s="1"/>
  <c r="DL233" i="5"/>
  <c r="CR233" i="5"/>
  <c r="DM233" i="5"/>
  <c r="CV233" i="5"/>
  <c r="DE233" i="5"/>
  <c r="DQ233" i="5"/>
  <c r="DR233" i="5"/>
  <c r="DF233" i="5"/>
  <c r="CU233" i="5"/>
  <c r="CS155" i="5"/>
  <c r="CY155" i="5"/>
  <c r="DE155" i="5"/>
  <c r="DK155" i="5"/>
  <c r="DQ155" i="5"/>
  <c r="CT155" i="5"/>
  <c r="DA155" i="5"/>
  <c r="DH155" i="5"/>
  <c r="DO155" i="5"/>
  <c r="CU155" i="5"/>
  <c r="DC155" i="5"/>
  <c r="DL155" i="5"/>
  <c r="DT155" i="5"/>
  <c r="CV155" i="5"/>
  <c r="DD155" i="5"/>
  <c r="DM155" i="5"/>
  <c r="DU155" i="5"/>
  <c r="CQ155" i="5"/>
  <c r="DW155" i="5" s="1"/>
  <c r="DF155" i="5"/>
  <c r="DR155" i="5"/>
  <c r="CR155" i="5"/>
  <c r="DG155" i="5"/>
  <c r="DS155" i="5"/>
  <c r="DI155" i="5"/>
  <c r="CX155" i="5"/>
  <c r="DJ155" i="5"/>
  <c r="CZ155" i="5"/>
  <c r="DB155" i="5"/>
  <c r="CP155" i="5"/>
  <c r="DV155" i="5" s="1"/>
  <c r="CW155" i="5"/>
  <c r="DN155" i="5"/>
  <c r="DP155" i="5"/>
  <c r="CQ189" i="5"/>
  <c r="CW189" i="5"/>
  <c r="DC189" i="5"/>
  <c r="DI189" i="5"/>
  <c r="DO189" i="5"/>
  <c r="DU189" i="5"/>
  <c r="CP189" i="5"/>
  <c r="CX189" i="5"/>
  <c r="DE189" i="5"/>
  <c r="DL189" i="5"/>
  <c r="DS189" i="5"/>
  <c r="CR189" i="5"/>
  <c r="CY189" i="5"/>
  <c r="DF189" i="5"/>
  <c r="DM189" i="5"/>
  <c r="DT189" i="5"/>
  <c r="CZ189" i="5"/>
  <c r="DJ189" i="5"/>
  <c r="CT189" i="5"/>
  <c r="DG189" i="5"/>
  <c r="DR189" i="5"/>
  <c r="DA189" i="5"/>
  <c r="CU189" i="5"/>
  <c r="DH189" i="5"/>
  <c r="CV189" i="5"/>
  <c r="DK189" i="5"/>
  <c r="DN189" i="5"/>
  <c r="DP189" i="5"/>
  <c r="DQ189" i="5"/>
  <c r="CS189" i="5"/>
  <c r="DD189" i="5"/>
  <c r="DB189" i="5"/>
  <c r="CQ213" i="5"/>
  <c r="CW213" i="5"/>
  <c r="DC213" i="5"/>
  <c r="DI213" i="5"/>
  <c r="DO213" i="5"/>
  <c r="DU213" i="5"/>
  <c r="CP213" i="5"/>
  <c r="CX213" i="5"/>
  <c r="DE213" i="5"/>
  <c r="DL213" i="5"/>
  <c r="DS213" i="5"/>
  <c r="CR213" i="5"/>
  <c r="CY213" i="5"/>
  <c r="DF213" i="5"/>
  <c r="DM213" i="5"/>
  <c r="DT213" i="5"/>
  <c r="CZ213" i="5"/>
  <c r="DJ213" i="5"/>
  <c r="CS213" i="5"/>
  <c r="DN213" i="5"/>
  <c r="CT213" i="5"/>
  <c r="DP213" i="5"/>
  <c r="DA213" i="5"/>
  <c r="DK213" i="5"/>
  <c r="DB213" i="5"/>
  <c r="DD213" i="5"/>
  <c r="DH213" i="5"/>
  <c r="DQ213" i="5"/>
  <c r="CU213" i="5"/>
  <c r="CV213" i="5"/>
  <c r="DG213" i="5"/>
  <c r="DR213" i="5"/>
  <c r="CT194" i="5"/>
  <c r="CZ194" i="5"/>
  <c r="DF194" i="5"/>
  <c r="DL194" i="5"/>
  <c r="DR194" i="5"/>
  <c r="CQ194" i="5"/>
  <c r="CX194" i="5"/>
  <c r="DE194" i="5"/>
  <c r="DM194" i="5"/>
  <c r="DT194" i="5"/>
  <c r="CR194" i="5"/>
  <c r="CY194" i="5"/>
  <c r="DG194" i="5"/>
  <c r="DN194" i="5"/>
  <c r="DU194" i="5"/>
  <c r="DA194" i="5"/>
  <c r="DJ194" i="5"/>
  <c r="CU194" i="5"/>
  <c r="DP194" i="5"/>
  <c r="CP194" i="5"/>
  <c r="DV194" i="5" s="1"/>
  <c r="DB194" i="5"/>
  <c r="DK194" i="5"/>
  <c r="CS194" i="5"/>
  <c r="DC194" i="5"/>
  <c r="DO194" i="5"/>
  <c r="DD194" i="5"/>
  <c r="DQ194" i="5"/>
  <c r="DS194" i="5"/>
  <c r="CV194" i="5"/>
  <c r="CW194" i="5"/>
  <c r="DH194" i="5"/>
  <c r="DI194" i="5"/>
  <c r="CP118" i="5"/>
  <c r="DV118" i="5" s="1"/>
  <c r="CV118" i="5"/>
  <c r="DB118" i="5"/>
  <c r="DH118" i="5"/>
  <c r="DN118" i="5"/>
  <c r="DT118" i="5"/>
  <c r="CQ118" i="5"/>
  <c r="DW118" i="5" s="1"/>
  <c r="CX118" i="5"/>
  <c r="DE118" i="5"/>
  <c r="DL118" i="5"/>
  <c r="DS118" i="5"/>
  <c r="CW118" i="5"/>
  <c r="DF118" i="5"/>
  <c r="DO118" i="5"/>
  <c r="CY118" i="5"/>
  <c r="DG118" i="5"/>
  <c r="DP118" i="5"/>
  <c r="CT118" i="5"/>
  <c r="DI118" i="5"/>
  <c r="DU118" i="5"/>
  <c r="CU118" i="5"/>
  <c r="DJ118" i="5"/>
  <c r="DC118" i="5"/>
  <c r="CR118" i="5"/>
  <c r="DK118" i="5"/>
  <c r="CZ118" i="5"/>
  <c r="DM118" i="5"/>
  <c r="DA118" i="5"/>
  <c r="DD118" i="5"/>
  <c r="CS118" i="5"/>
  <c r="DQ118" i="5"/>
  <c r="DR118" i="5"/>
  <c r="CT188" i="5"/>
  <c r="CZ188" i="5"/>
  <c r="DF188" i="5"/>
  <c r="DL188" i="5"/>
  <c r="DR188" i="5"/>
  <c r="CU188" i="5"/>
  <c r="DB188" i="5"/>
  <c r="DI188" i="5"/>
  <c r="DP188" i="5"/>
  <c r="CV188" i="5"/>
  <c r="DC188" i="5"/>
  <c r="DJ188" i="5"/>
  <c r="DQ188" i="5"/>
  <c r="CP188" i="5"/>
  <c r="DV188" i="5" s="1"/>
  <c r="CY188" i="5"/>
  <c r="DK188" i="5"/>
  <c r="DU188" i="5"/>
  <c r="DA188" i="5"/>
  <c r="DN188" i="5"/>
  <c r="DG188" i="5"/>
  <c r="CQ188" i="5"/>
  <c r="DW188" i="5" s="1"/>
  <c r="DD188" i="5"/>
  <c r="DO188" i="5"/>
  <c r="CR188" i="5"/>
  <c r="DE188" i="5"/>
  <c r="DS188" i="5"/>
  <c r="CS188" i="5"/>
  <c r="DT188" i="5"/>
  <c r="DH188" i="5"/>
  <c r="DM188" i="5"/>
  <c r="CW188" i="5"/>
  <c r="CX188" i="5"/>
  <c r="CP126" i="5"/>
  <c r="CV126" i="5"/>
  <c r="DB126" i="5"/>
  <c r="DH126" i="5"/>
  <c r="DN126" i="5"/>
  <c r="DT126" i="5"/>
  <c r="CS126" i="5"/>
  <c r="CZ126" i="5"/>
  <c r="DG126" i="5"/>
  <c r="DO126" i="5"/>
  <c r="CR126" i="5"/>
  <c r="DA126" i="5"/>
  <c r="DJ126" i="5"/>
  <c r="DR126" i="5"/>
  <c r="CT126" i="5"/>
  <c r="DC126" i="5"/>
  <c r="DK126" i="5"/>
  <c r="DS126" i="5"/>
  <c r="DD126" i="5"/>
  <c r="DP126" i="5"/>
  <c r="CQ126" i="5"/>
  <c r="DE126" i="5"/>
  <c r="DQ126" i="5"/>
  <c r="CU126" i="5"/>
  <c r="DL126" i="5"/>
  <c r="CX126" i="5"/>
  <c r="DI126" i="5"/>
  <c r="CY126" i="5"/>
  <c r="DF126" i="5"/>
  <c r="CW126" i="5"/>
  <c r="DM126" i="5"/>
  <c r="DU126" i="5"/>
  <c r="CQ223" i="5"/>
  <c r="CW223" i="5"/>
  <c r="DC223" i="5"/>
  <c r="DI223" i="5"/>
  <c r="DO223" i="5"/>
  <c r="DU223" i="5"/>
  <c r="CR223" i="5"/>
  <c r="CY223" i="5"/>
  <c r="DF223" i="5"/>
  <c r="DM223" i="5"/>
  <c r="DT223" i="5"/>
  <c r="CS223" i="5"/>
  <c r="CZ223" i="5"/>
  <c r="DG223" i="5"/>
  <c r="DN223" i="5"/>
  <c r="CT223" i="5"/>
  <c r="DD223" i="5"/>
  <c r="DP223" i="5"/>
  <c r="DH223" i="5"/>
  <c r="DJ223" i="5"/>
  <c r="CU223" i="5"/>
  <c r="DE223" i="5"/>
  <c r="DQ223" i="5"/>
  <c r="CV223" i="5"/>
  <c r="DR223" i="5"/>
  <c r="CX223" i="5"/>
  <c r="DS223" i="5"/>
  <c r="DB223" i="5"/>
  <c r="DK223" i="5"/>
  <c r="DA223" i="5"/>
  <c r="DL223" i="5"/>
  <c r="CP223" i="5"/>
  <c r="DV223" i="5" s="1"/>
  <c r="CQ205" i="5"/>
  <c r="CW205" i="5"/>
  <c r="DC205" i="5"/>
  <c r="DI205" i="5"/>
  <c r="DO205" i="5"/>
  <c r="DU205" i="5"/>
  <c r="CU205" i="5"/>
  <c r="DB205" i="5"/>
  <c r="DJ205" i="5"/>
  <c r="DQ205" i="5"/>
  <c r="CV205" i="5"/>
  <c r="DD205" i="5"/>
  <c r="DK205" i="5"/>
  <c r="DR205" i="5"/>
  <c r="CS205" i="5"/>
  <c r="DE205" i="5"/>
  <c r="DN205" i="5"/>
  <c r="CX205" i="5"/>
  <c r="DG205" i="5"/>
  <c r="DS205" i="5"/>
  <c r="CY205" i="5"/>
  <c r="DT205" i="5"/>
  <c r="CT205" i="5"/>
  <c r="DF205" i="5"/>
  <c r="DP205" i="5"/>
  <c r="DH205" i="5"/>
  <c r="DM205" i="5"/>
  <c r="CP205" i="5"/>
  <c r="DV205" i="5" s="1"/>
  <c r="DL205" i="5"/>
  <c r="CR205" i="5"/>
  <c r="CZ205" i="5"/>
  <c r="DA205" i="5"/>
  <c r="CP174" i="5"/>
  <c r="CV174" i="5"/>
  <c r="DB174" i="5"/>
  <c r="DH174" i="5"/>
  <c r="DN174" i="5"/>
  <c r="DT174" i="5"/>
  <c r="CS174" i="5"/>
  <c r="CZ174" i="5"/>
  <c r="DG174" i="5"/>
  <c r="DO174" i="5"/>
  <c r="CW174" i="5"/>
  <c r="DE174" i="5"/>
  <c r="DM174" i="5"/>
  <c r="CX174" i="5"/>
  <c r="DF174" i="5"/>
  <c r="DP174" i="5"/>
  <c r="CY174" i="5"/>
  <c r="DK174" i="5"/>
  <c r="CR174" i="5"/>
  <c r="DI174" i="5"/>
  <c r="DU174" i="5"/>
  <c r="DA174" i="5"/>
  <c r="CT174" i="5"/>
  <c r="DJ174" i="5"/>
  <c r="CU174" i="5"/>
  <c r="DL174" i="5"/>
  <c r="DQ174" i="5"/>
  <c r="DC174" i="5"/>
  <c r="DD174" i="5"/>
  <c r="DR174" i="5"/>
  <c r="DS174" i="5"/>
  <c r="CQ174" i="5"/>
  <c r="CP136" i="5"/>
  <c r="DV136" i="5" s="1"/>
  <c r="CV136" i="5"/>
  <c r="DB136" i="5"/>
  <c r="DH136" i="5"/>
  <c r="DN136" i="5"/>
  <c r="DT136" i="5"/>
  <c r="CT136" i="5"/>
  <c r="DA136" i="5"/>
  <c r="DI136" i="5"/>
  <c r="DP136" i="5"/>
  <c r="CQ136" i="5"/>
  <c r="DW136" i="5" s="1"/>
  <c r="CY136" i="5"/>
  <c r="DG136" i="5"/>
  <c r="DQ136" i="5"/>
  <c r="CR136" i="5"/>
  <c r="CZ136" i="5"/>
  <c r="DJ136" i="5"/>
  <c r="DR136" i="5"/>
  <c r="CW136" i="5"/>
  <c r="DK136" i="5"/>
  <c r="CX136" i="5"/>
  <c r="DL136" i="5"/>
  <c r="CS136" i="5"/>
  <c r="DM136" i="5"/>
  <c r="CU136" i="5"/>
  <c r="DS136" i="5"/>
  <c r="DC136" i="5"/>
  <c r="DU136" i="5"/>
  <c r="DD136" i="5"/>
  <c r="DE136" i="5"/>
  <c r="DF136" i="5"/>
  <c r="DO136" i="5"/>
  <c r="CP146" i="5"/>
  <c r="DV146" i="5" s="1"/>
  <c r="CV146" i="5"/>
  <c r="DB146" i="5"/>
  <c r="DH146" i="5"/>
  <c r="DN146" i="5"/>
  <c r="DT146" i="5"/>
  <c r="CU146" i="5"/>
  <c r="DC146" i="5"/>
  <c r="DJ146" i="5"/>
  <c r="DQ146" i="5"/>
  <c r="CX146" i="5"/>
  <c r="DF146" i="5"/>
  <c r="DO146" i="5"/>
  <c r="CQ146" i="5"/>
  <c r="DW146" i="5" s="1"/>
  <c r="CY146" i="5"/>
  <c r="DG146" i="5"/>
  <c r="DP146" i="5"/>
  <c r="CR146" i="5"/>
  <c r="DD146" i="5"/>
  <c r="DR146" i="5"/>
  <c r="CS146" i="5"/>
  <c r="DE146" i="5"/>
  <c r="DS146" i="5"/>
  <c r="CT146" i="5"/>
  <c r="DL146" i="5"/>
  <c r="DM146" i="5"/>
  <c r="DA146" i="5"/>
  <c r="CW146" i="5"/>
  <c r="DU146" i="5"/>
  <c r="CZ146" i="5"/>
  <c r="DI146" i="5"/>
  <c r="DK146" i="5"/>
  <c r="CP138" i="5"/>
  <c r="CV138" i="5"/>
  <c r="DB138" i="5"/>
  <c r="DH138" i="5"/>
  <c r="DN138" i="5"/>
  <c r="DT138" i="5"/>
  <c r="CS138" i="5"/>
  <c r="CZ138" i="5"/>
  <c r="DG138" i="5"/>
  <c r="DO138" i="5"/>
  <c r="CT138" i="5"/>
  <c r="DC138" i="5"/>
  <c r="DK138" i="5"/>
  <c r="DS138" i="5"/>
  <c r="CU138" i="5"/>
  <c r="DD138" i="5"/>
  <c r="DL138" i="5"/>
  <c r="DU138" i="5"/>
  <c r="CW138" i="5"/>
  <c r="DI138" i="5"/>
  <c r="CX138" i="5"/>
  <c r="DJ138" i="5"/>
  <c r="DE138" i="5"/>
  <c r="CY138" i="5"/>
  <c r="DR138" i="5"/>
  <c r="DM138" i="5"/>
  <c r="DA138" i="5"/>
  <c r="DF138" i="5"/>
  <c r="CQ138" i="5"/>
  <c r="CR138" i="5"/>
  <c r="DP138" i="5"/>
  <c r="DQ138" i="5"/>
  <c r="CP112" i="5"/>
  <c r="DV112" i="5" s="1"/>
  <c r="CV112" i="5"/>
  <c r="DB112" i="5"/>
  <c r="DH112" i="5"/>
  <c r="DN112" i="5"/>
  <c r="DT112" i="5"/>
  <c r="CT112" i="5"/>
  <c r="DA112" i="5"/>
  <c r="DI112" i="5"/>
  <c r="DP112" i="5"/>
  <c r="CW112" i="5"/>
  <c r="DE112" i="5"/>
  <c r="DM112" i="5"/>
  <c r="CX112" i="5"/>
  <c r="DF112" i="5"/>
  <c r="DO112" i="5"/>
  <c r="CY112" i="5"/>
  <c r="DK112" i="5"/>
  <c r="CZ112" i="5"/>
  <c r="DL112" i="5"/>
  <c r="CQ112" i="5"/>
  <c r="DW112" i="5" s="1"/>
  <c r="DG112" i="5"/>
  <c r="CS112" i="5"/>
  <c r="DQ112" i="5"/>
  <c r="CR112" i="5"/>
  <c r="DS112" i="5"/>
  <c r="CU112" i="5"/>
  <c r="DU112" i="5"/>
  <c r="DC112" i="5"/>
  <c r="DD112" i="5"/>
  <c r="DJ112" i="5"/>
  <c r="DR112" i="5"/>
  <c r="CS117" i="5"/>
  <c r="CY117" i="5"/>
  <c r="DE117" i="5"/>
  <c r="DK117" i="5"/>
  <c r="DQ117" i="5"/>
  <c r="CU117" i="5"/>
  <c r="DB117" i="5"/>
  <c r="DI117" i="5"/>
  <c r="DP117" i="5"/>
  <c r="CV117" i="5"/>
  <c r="DD117" i="5"/>
  <c r="DM117" i="5"/>
  <c r="DU117" i="5"/>
  <c r="CW117" i="5"/>
  <c r="DF117" i="5"/>
  <c r="DN117" i="5"/>
  <c r="CP117" i="5"/>
  <c r="DA117" i="5"/>
  <c r="DO117" i="5"/>
  <c r="CQ117" i="5"/>
  <c r="DC117" i="5"/>
  <c r="DR117" i="5"/>
  <c r="CX117" i="5"/>
  <c r="DS117" i="5"/>
  <c r="DG117" i="5"/>
  <c r="CZ117" i="5"/>
  <c r="DH117" i="5"/>
  <c r="DJ117" i="5"/>
  <c r="DL117" i="5"/>
  <c r="DT117" i="5"/>
  <c r="CR117" i="5"/>
  <c r="CT117" i="5"/>
  <c r="CR71" i="5"/>
  <c r="CX71" i="5"/>
  <c r="DD71" i="5"/>
  <c r="DJ71" i="5"/>
  <c r="DP71" i="5"/>
  <c r="CT71" i="5"/>
  <c r="DA71" i="5"/>
  <c r="DH71" i="5"/>
  <c r="DO71" i="5"/>
  <c r="CS71" i="5"/>
  <c r="DB71" i="5"/>
  <c r="DK71" i="5"/>
  <c r="DS71" i="5"/>
  <c r="CV71" i="5"/>
  <c r="DF71" i="5"/>
  <c r="DQ71" i="5"/>
  <c r="CY71" i="5"/>
  <c r="DL71" i="5"/>
  <c r="CZ71" i="5"/>
  <c r="DM71" i="5"/>
  <c r="CP71" i="5"/>
  <c r="DV71" i="5" s="1"/>
  <c r="DG71" i="5"/>
  <c r="CQ71" i="5"/>
  <c r="DW71" i="5" s="1"/>
  <c r="DI71" i="5"/>
  <c r="DN71" i="5"/>
  <c r="DR71" i="5"/>
  <c r="CU71" i="5"/>
  <c r="CW71" i="5"/>
  <c r="DC71" i="5"/>
  <c r="DE71" i="5"/>
  <c r="DT71" i="5"/>
  <c r="DU71" i="5"/>
  <c r="CT95" i="5"/>
  <c r="CZ95" i="5"/>
  <c r="DF95" i="5"/>
  <c r="DL95" i="5"/>
  <c r="DR95" i="5"/>
  <c r="CQ95" i="5"/>
  <c r="DW95" i="5" s="1"/>
  <c r="CX95" i="5"/>
  <c r="DE95" i="5"/>
  <c r="DM95" i="5"/>
  <c r="DT95" i="5"/>
  <c r="CS95" i="5"/>
  <c r="DB95" i="5"/>
  <c r="DJ95" i="5"/>
  <c r="DS95" i="5"/>
  <c r="CV95" i="5"/>
  <c r="DG95" i="5"/>
  <c r="DP95" i="5"/>
  <c r="CW95" i="5"/>
  <c r="DH95" i="5"/>
  <c r="DQ95" i="5"/>
  <c r="DC95" i="5"/>
  <c r="DU95" i="5"/>
  <c r="CP95" i="5"/>
  <c r="DV95" i="5" s="1"/>
  <c r="DD95" i="5"/>
  <c r="CY95" i="5"/>
  <c r="DA95" i="5"/>
  <c r="DN95" i="5"/>
  <c r="DO95" i="5"/>
  <c r="CR95" i="5"/>
  <c r="CU95" i="5"/>
  <c r="DI95" i="5"/>
  <c r="DK95" i="5"/>
  <c r="CT103" i="5"/>
  <c r="CZ103" i="5"/>
  <c r="DF103" i="5"/>
  <c r="DL103" i="5"/>
  <c r="DR103" i="5"/>
  <c r="CS103" i="5"/>
  <c r="DA103" i="5"/>
  <c r="DH103" i="5"/>
  <c r="DO103" i="5"/>
  <c r="CW103" i="5"/>
  <c r="DE103" i="5"/>
  <c r="DN103" i="5"/>
  <c r="CP103" i="5"/>
  <c r="DV103" i="5" s="1"/>
  <c r="CY103" i="5"/>
  <c r="DJ103" i="5"/>
  <c r="DT103" i="5"/>
  <c r="CQ103" i="5"/>
  <c r="DB103" i="5"/>
  <c r="DK103" i="5"/>
  <c r="DU103" i="5"/>
  <c r="DC103" i="5"/>
  <c r="DQ103" i="5"/>
  <c r="DD103" i="5"/>
  <c r="DS103" i="5"/>
  <c r="CV103" i="5"/>
  <c r="CX103" i="5"/>
  <c r="DG103" i="5"/>
  <c r="CR103" i="5"/>
  <c r="CU103" i="5"/>
  <c r="DI103" i="5"/>
  <c r="DM103" i="5"/>
  <c r="DP103" i="5"/>
  <c r="CR64" i="5"/>
  <c r="CX64" i="5"/>
  <c r="DD64" i="5"/>
  <c r="DJ64" i="5"/>
  <c r="DP64" i="5"/>
  <c r="CQ64" i="5"/>
  <c r="CY64" i="5"/>
  <c r="DF64" i="5"/>
  <c r="DM64" i="5"/>
  <c r="DT64" i="5"/>
  <c r="CV64" i="5"/>
  <c r="DE64" i="5"/>
  <c r="DN64" i="5"/>
  <c r="CU64" i="5"/>
  <c r="DG64" i="5"/>
  <c r="DQ64" i="5"/>
  <c r="CP64" i="5"/>
  <c r="DB64" i="5"/>
  <c r="DO64" i="5"/>
  <c r="CS64" i="5"/>
  <c r="DC64" i="5"/>
  <c r="DR64" i="5"/>
  <c r="CT64" i="5"/>
  <c r="DK64" i="5"/>
  <c r="CW64" i="5"/>
  <c r="DL64" i="5"/>
  <c r="DS64" i="5"/>
  <c r="DU64" i="5"/>
  <c r="DH64" i="5"/>
  <c r="DI64" i="5"/>
  <c r="CZ64" i="5"/>
  <c r="DA64" i="5"/>
  <c r="CT85" i="5"/>
  <c r="CZ85" i="5"/>
  <c r="DF85" i="5"/>
  <c r="DL85" i="5"/>
  <c r="DR85" i="5"/>
  <c r="CP85" i="5"/>
  <c r="DV85" i="5" s="1"/>
  <c r="CW85" i="5"/>
  <c r="DD85" i="5"/>
  <c r="DK85" i="5"/>
  <c r="DS85" i="5"/>
  <c r="CU85" i="5"/>
  <c r="DC85" i="5"/>
  <c r="DM85" i="5"/>
  <c r="DU85" i="5"/>
  <c r="CS85" i="5"/>
  <c r="DE85" i="5"/>
  <c r="DO85" i="5"/>
  <c r="CV85" i="5"/>
  <c r="DG85" i="5"/>
  <c r="DP85" i="5"/>
  <c r="CQ85" i="5"/>
  <c r="DH85" i="5"/>
  <c r="CR85" i="5"/>
  <c r="DI85" i="5"/>
  <c r="DA85" i="5"/>
  <c r="DB85" i="5"/>
  <c r="CX85" i="5"/>
  <c r="CY85" i="5"/>
  <c r="DJ85" i="5"/>
  <c r="DN85" i="5"/>
  <c r="DT85" i="5"/>
  <c r="DQ85" i="5"/>
  <c r="CP65" i="5"/>
  <c r="DV65" i="5" s="1"/>
  <c r="CV65" i="5"/>
  <c r="DB65" i="5"/>
  <c r="DH65" i="5"/>
  <c r="DN65" i="5"/>
  <c r="DT65" i="5"/>
  <c r="CU65" i="5"/>
  <c r="DC65" i="5"/>
  <c r="DJ65" i="5"/>
  <c r="DQ65" i="5"/>
  <c r="CQ65" i="5"/>
  <c r="CY65" i="5"/>
  <c r="DG65" i="5"/>
  <c r="DP65" i="5"/>
  <c r="CT65" i="5"/>
  <c r="DE65" i="5"/>
  <c r="DO65" i="5"/>
  <c r="CW65" i="5"/>
  <c r="DI65" i="5"/>
  <c r="DU65" i="5"/>
  <c r="CX65" i="5"/>
  <c r="DK65" i="5"/>
  <c r="CZ65" i="5"/>
  <c r="DR65" i="5"/>
  <c r="DA65" i="5"/>
  <c r="DS65" i="5"/>
  <c r="DL65" i="5"/>
  <c r="DM65" i="5"/>
  <c r="CR65" i="5"/>
  <c r="CS65" i="5"/>
  <c r="DD65" i="5"/>
  <c r="DF65" i="5"/>
  <c r="CQ90" i="5"/>
  <c r="CW90" i="5"/>
  <c r="DC90" i="5"/>
  <c r="DI90" i="5"/>
  <c r="DO90" i="5"/>
  <c r="DU90" i="5"/>
  <c r="CP90" i="5"/>
  <c r="CX90" i="5"/>
  <c r="DE90" i="5"/>
  <c r="DL90" i="5"/>
  <c r="DS90" i="5"/>
  <c r="CT90" i="5"/>
  <c r="DB90" i="5"/>
  <c r="DK90" i="5"/>
  <c r="DT90" i="5"/>
  <c r="CU90" i="5"/>
  <c r="DF90" i="5"/>
  <c r="DP90" i="5"/>
  <c r="CV90" i="5"/>
  <c r="DG90" i="5"/>
  <c r="DQ90" i="5"/>
  <c r="CY90" i="5"/>
  <c r="DM90" i="5"/>
  <c r="CZ90" i="5"/>
  <c r="DN90" i="5"/>
  <c r="DA90" i="5"/>
  <c r="DD90" i="5"/>
  <c r="DH90" i="5"/>
  <c r="DJ90" i="5"/>
  <c r="DR90" i="5"/>
  <c r="CR90" i="5"/>
  <c r="CS90" i="5"/>
  <c r="CP56" i="5"/>
  <c r="DV56" i="5" s="1"/>
  <c r="CV56" i="5"/>
  <c r="DB56" i="5"/>
  <c r="DH56" i="5"/>
  <c r="DN56" i="5"/>
  <c r="DT56" i="5"/>
  <c r="CT56" i="5"/>
  <c r="DA56" i="5"/>
  <c r="DI56" i="5"/>
  <c r="DP56" i="5"/>
  <c r="CQ56" i="5"/>
  <c r="DW56" i="5" s="1"/>
  <c r="CY56" i="5"/>
  <c r="DG56" i="5"/>
  <c r="DQ56" i="5"/>
  <c r="CX56" i="5"/>
  <c r="DJ56" i="5"/>
  <c r="DS56" i="5"/>
  <c r="CR56" i="5"/>
  <c r="DD56" i="5"/>
  <c r="DO56" i="5"/>
  <c r="CS56" i="5"/>
  <c r="DE56" i="5"/>
  <c r="DR56" i="5"/>
  <c r="CU56" i="5"/>
  <c r="DL56" i="5"/>
  <c r="CW56" i="5"/>
  <c r="DM56" i="5"/>
  <c r="CZ56" i="5"/>
  <c r="DC56" i="5"/>
  <c r="DU56" i="5"/>
  <c r="DF56" i="5"/>
  <c r="DK56" i="5"/>
  <c r="CR53" i="5"/>
  <c r="CX53" i="5"/>
  <c r="DD53" i="5"/>
  <c r="DJ53" i="5"/>
  <c r="DP53" i="5"/>
  <c r="CQ53" i="5"/>
  <c r="CY53" i="5"/>
  <c r="DF53" i="5"/>
  <c r="DM53" i="5"/>
  <c r="DT53" i="5"/>
  <c r="CT53" i="5"/>
  <c r="DB53" i="5"/>
  <c r="DK53" i="5"/>
  <c r="DS53" i="5"/>
  <c r="CS53" i="5"/>
  <c r="DC53" i="5"/>
  <c r="DN53" i="5"/>
  <c r="DA53" i="5"/>
  <c r="DO53" i="5"/>
  <c r="CP53" i="5"/>
  <c r="DV53" i="5" s="1"/>
  <c r="DE53" i="5"/>
  <c r="DQ53" i="5"/>
  <c r="CW53" i="5"/>
  <c r="DR53" i="5"/>
  <c r="CZ53" i="5"/>
  <c r="DU53" i="5"/>
  <c r="DI53" i="5"/>
  <c r="DL53" i="5"/>
  <c r="CU53" i="5"/>
  <c r="CV53" i="5"/>
  <c r="DG53" i="5"/>
  <c r="DH53" i="5"/>
  <c r="CT70" i="5"/>
  <c r="CZ70" i="5"/>
  <c r="DF70" i="5"/>
  <c r="DL70" i="5"/>
  <c r="DR70" i="5"/>
  <c r="CP70" i="5"/>
  <c r="CW70" i="5"/>
  <c r="DD70" i="5"/>
  <c r="DK70" i="5"/>
  <c r="DS70" i="5"/>
  <c r="CQ70" i="5"/>
  <c r="CY70" i="5"/>
  <c r="DH70" i="5"/>
  <c r="DP70" i="5"/>
  <c r="CV70" i="5"/>
  <c r="DG70" i="5"/>
  <c r="DQ70" i="5"/>
  <c r="CS70" i="5"/>
  <c r="DE70" i="5"/>
  <c r="DT70" i="5"/>
  <c r="CU70" i="5"/>
  <c r="DI70" i="5"/>
  <c r="DU70" i="5"/>
  <c r="DB70" i="5"/>
  <c r="DC70" i="5"/>
  <c r="DN70" i="5"/>
  <c r="CR70" i="5"/>
  <c r="DO70" i="5"/>
  <c r="CX70" i="5"/>
  <c r="DA70" i="5"/>
  <c r="DJ70" i="5"/>
  <c r="DM70" i="5"/>
  <c r="CU42" i="5"/>
  <c r="DA42" i="5"/>
  <c r="DG42" i="5"/>
  <c r="DM42" i="5"/>
  <c r="DS42" i="5"/>
  <c r="CP42" i="5"/>
  <c r="CV42" i="5"/>
  <c r="DB42" i="5"/>
  <c r="DH42" i="5"/>
  <c r="DN42" i="5"/>
  <c r="DT42" i="5"/>
  <c r="CQ42" i="5"/>
  <c r="CY42" i="5"/>
  <c r="DI42" i="5"/>
  <c r="DQ42" i="5"/>
  <c r="CR42" i="5"/>
  <c r="DC42" i="5"/>
  <c r="DL42" i="5"/>
  <c r="CX42" i="5"/>
  <c r="DK42" i="5"/>
  <c r="DD42" i="5"/>
  <c r="DR42" i="5"/>
  <c r="CZ42" i="5"/>
  <c r="DU42" i="5"/>
  <c r="DE42" i="5"/>
  <c r="DF42" i="5"/>
  <c r="DJ42" i="5"/>
  <c r="DO42" i="5"/>
  <c r="DP42" i="5"/>
  <c r="CS42" i="5"/>
  <c r="CT42" i="5"/>
  <c r="CW42" i="5"/>
  <c r="CP316" i="5"/>
  <c r="CV316" i="5"/>
  <c r="DB316" i="5"/>
  <c r="DH316" i="5"/>
  <c r="DN316" i="5"/>
  <c r="DT316" i="5"/>
  <c r="CT316" i="5"/>
  <c r="DA316" i="5"/>
  <c r="DI316" i="5"/>
  <c r="DP316" i="5"/>
  <c r="DD316" i="5"/>
  <c r="DR316" i="5"/>
  <c r="CU316" i="5"/>
  <c r="DC316" i="5"/>
  <c r="DJ316" i="5"/>
  <c r="DQ316" i="5"/>
  <c r="CW316" i="5"/>
  <c r="DK316" i="5"/>
  <c r="CZ316" i="5"/>
  <c r="DO316" i="5"/>
  <c r="CQ316" i="5"/>
  <c r="DE316" i="5"/>
  <c r="DS316" i="5"/>
  <c r="CR316" i="5"/>
  <c r="DF316" i="5"/>
  <c r="DU316" i="5"/>
  <c r="CX316" i="5"/>
  <c r="CY316" i="5"/>
  <c r="DG316" i="5"/>
  <c r="CS316" i="5"/>
  <c r="DL316" i="5"/>
  <c r="DM316" i="5"/>
  <c r="CR278" i="5"/>
  <c r="CX278" i="5"/>
  <c r="DD278" i="5"/>
  <c r="DJ278" i="5"/>
  <c r="DP278" i="5"/>
  <c r="CT278" i="5"/>
  <c r="DA278" i="5"/>
  <c r="DH278" i="5"/>
  <c r="DO278" i="5"/>
  <c r="DC278" i="5"/>
  <c r="DR278" i="5"/>
  <c r="CU278" i="5"/>
  <c r="DB278" i="5"/>
  <c r="DI278" i="5"/>
  <c r="DQ278" i="5"/>
  <c r="CV278" i="5"/>
  <c r="DK278" i="5"/>
  <c r="CZ278" i="5"/>
  <c r="DN278" i="5"/>
  <c r="CP278" i="5"/>
  <c r="DV278" i="5" s="1"/>
  <c r="DE278" i="5"/>
  <c r="DS278" i="5"/>
  <c r="CQ278" i="5"/>
  <c r="DF278" i="5"/>
  <c r="DT278" i="5"/>
  <c r="CW278" i="5"/>
  <c r="CY278" i="5"/>
  <c r="DG278" i="5"/>
  <c r="CS278" i="5"/>
  <c r="DU278" i="5"/>
  <c r="DL278" i="5"/>
  <c r="DM278" i="5"/>
  <c r="CR333" i="5"/>
  <c r="CX333" i="5"/>
  <c r="DD333" i="5"/>
  <c r="DJ333" i="5"/>
  <c r="DP333" i="5"/>
  <c r="CZ333" i="5"/>
  <c r="DL333" i="5"/>
  <c r="CS333" i="5"/>
  <c r="CY333" i="5"/>
  <c r="DE333" i="5"/>
  <c r="DK333" i="5"/>
  <c r="DQ333" i="5"/>
  <c r="CT333" i="5"/>
  <c r="DF333" i="5"/>
  <c r="DR333" i="5"/>
  <c r="CQ333" i="5"/>
  <c r="DC333" i="5"/>
  <c r="DO333" i="5"/>
  <c r="CU333" i="5"/>
  <c r="DG333" i="5"/>
  <c r="DS333" i="5"/>
  <c r="CV333" i="5"/>
  <c r="DH333" i="5"/>
  <c r="DT333" i="5"/>
  <c r="DM333" i="5"/>
  <c r="CP333" i="5"/>
  <c r="DN333" i="5"/>
  <c r="CW333" i="5"/>
  <c r="DU333" i="5"/>
  <c r="DA333" i="5"/>
  <c r="DI333" i="5"/>
  <c r="DB333" i="5"/>
  <c r="CS268" i="5"/>
  <c r="CY268" i="5"/>
  <c r="DE268" i="5"/>
  <c r="DK268" i="5"/>
  <c r="DQ268" i="5"/>
  <c r="CT268" i="5"/>
  <c r="DA268" i="5"/>
  <c r="DH268" i="5"/>
  <c r="DO268" i="5"/>
  <c r="DC268" i="5"/>
  <c r="DR268" i="5"/>
  <c r="CU268" i="5"/>
  <c r="DB268" i="5"/>
  <c r="DI268" i="5"/>
  <c r="DP268" i="5"/>
  <c r="CV268" i="5"/>
  <c r="DJ268" i="5"/>
  <c r="CW268" i="5"/>
  <c r="DL268" i="5"/>
  <c r="CP268" i="5"/>
  <c r="DV268" i="5" s="1"/>
  <c r="DF268" i="5"/>
  <c r="DU268" i="5"/>
  <c r="CQ268" i="5"/>
  <c r="DG268" i="5"/>
  <c r="CR268" i="5"/>
  <c r="DM268" i="5"/>
  <c r="CZ268" i="5"/>
  <c r="DD268" i="5"/>
  <c r="DN268" i="5"/>
  <c r="CX268" i="5"/>
  <c r="DT268" i="5"/>
  <c r="DS268" i="5"/>
  <c r="CQ286" i="5"/>
  <c r="CW286" i="5"/>
  <c r="DC286" i="5"/>
  <c r="DI286" i="5"/>
  <c r="DO286" i="5"/>
  <c r="DU286" i="5"/>
  <c r="CU286" i="5"/>
  <c r="DB286" i="5"/>
  <c r="DJ286" i="5"/>
  <c r="DQ286" i="5"/>
  <c r="CP286" i="5"/>
  <c r="DE286" i="5"/>
  <c r="DS286" i="5"/>
  <c r="CV286" i="5"/>
  <c r="DD286" i="5"/>
  <c r="DK286" i="5"/>
  <c r="DR286" i="5"/>
  <c r="CX286" i="5"/>
  <c r="DL286" i="5"/>
  <c r="CT286" i="5"/>
  <c r="DH286" i="5"/>
  <c r="CY286" i="5"/>
  <c r="DM286" i="5"/>
  <c r="CZ286" i="5"/>
  <c r="DN286" i="5"/>
  <c r="CR286" i="5"/>
  <c r="DT286" i="5"/>
  <c r="CS286" i="5"/>
  <c r="DA286" i="5"/>
  <c r="DP286" i="5"/>
  <c r="DF286" i="5"/>
  <c r="DG286" i="5"/>
  <c r="CQ308" i="5"/>
  <c r="CW308" i="5"/>
  <c r="DC308" i="5"/>
  <c r="DI308" i="5"/>
  <c r="DO308" i="5"/>
  <c r="DU308" i="5"/>
  <c r="CT308" i="5"/>
  <c r="DA308" i="5"/>
  <c r="DH308" i="5"/>
  <c r="DP308" i="5"/>
  <c r="DD308" i="5"/>
  <c r="DR308" i="5"/>
  <c r="CU308" i="5"/>
  <c r="DB308" i="5"/>
  <c r="DJ308" i="5"/>
  <c r="DQ308" i="5"/>
  <c r="CV308" i="5"/>
  <c r="DK308" i="5"/>
  <c r="CZ308" i="5"/>
  <c r="DN308" i="5"/>
  <c r="CP308" i="5"/>
  <c r="DE308" i="5"/>
  <c r="DS308" i="5"/>
  <c r="CR308" i="5"/>
  <c r="DF308" i="5"/>
  <c r="DT308" i="5"/>
  <c r="CX308" i="5"/>
  <c r="CY308" i="5"/>
  <c r="DG308" i="5"/>
  <c r="CS308" i="5"/>
  <c r="DL308" i="5"/>
  <c r="DM308" i="5"/>
  <c r="CT317" i="5"/>
  <c r="CZ317" i="5"/>
  <c r="DF317" i="5"/>
  <c r="DL317" i="5"/>
  <c r="DR317" i="5"/>
  <c r="CQ317" i="5"/>
  <c r="CX317" i="5"/>
  <c r="DE317" i="5"/>
  <c r="DM317" i="5"/>
  <c r="DT317" i="5"/>
  <c r="DA317" i="5"/>
  <c r="DO317" i="5"/>
  <c r="CR317" i="5"/>
  <c r="CY317" i="5"/>
  <c r="DG317" i="5"/>
  <c r="DN317" i="5"/>
  <c r="DU317" i="5"/>
  <c r="CS317" i="5"/>
  <c r="DH317" i="5"/>
  <c r="CW317" i="5"/>
  <c r="DK317" i="5"/>
  <c r="DB317" i="5"/>
  <c r="DP317" i="5"/>
  <c r="DC317" i="5"/>
  <c r="DQ317" i="5"/>
  <c r="CU317" i="5"/>
  <c r="CV317" i="5"/>
  <c r="DD317" i="5"/>
  <c r="DJ317" i="5"/>
  <c r="DI317" i="5"/>
  <c r="DS317" i="5"/>
  <c r="CP317" i="5"/>
  <c r="CQ36" i="5"/>
  <c r="CW36" i="5"/>
  <c r="DC36" i="5"/>
  <c r="DI36" i="5"/>
  <c r="DO36" i="5"/>
  <c r="DU36" i="5"/>
  <c r="CY36" i="5"/>
  <c r="DK36" i="5"/>
  <c r="CP36" i="5"/>
  <c r="CR36" i="5"/>
  <c r="CX36" i="5"/>
  <c r="DD36" i="5"/>
  <c r="DJ36" i="5"/>
  <c r="DP36" i="5"/>
  <c r="CS36" i="5"/>
  <c r="DE36" i="5"/>
  <c r="DQ36" i="5"/>
  <c r="DB36" i="5"/>
  <c r="DN36" i="5"/>
  <c r="CT36" i="5"/>
  <c r="DF36" i="5"/>
  <c r="DR36" i="5"/>
  <c r="CU36" i="5"/>
  <c r="DG36" i="5"/>
  <c r="DS36" i="5"/>
  <c r="DL36" i="5"/>
  <c r="DM36" i="5"/>
  <c r="CV36" i="5"/>
  <c r="DT36" i="5"/>
  <c r="CZ36" i="5"/>
  <c r="DH36" i="5"/>
  <c r="DA36" i="5"/>
  <c r="CU296" i="5"/>
  <c r="DA296" i="5"/>
  <c r="DG296" i="5"/>
  <c r="DM296" i="5"/>
  <c r="DS296" i="5"/>
  <c r="CS296" i="5"/>
  <c r="CZ296" i="5"/>
  <c r="DH296" i="5"/>
  <c r="DO296" i="5"/>
  <c r="CV296" i="5"/>
  <c r="DJ296" i="5"/>
  <c r="CT296" i="5"/>
  <c r="DB296" i="5"/>
  <c r="DI296" i="5"/>
  <c r="DP296" i="5"/>
  <c r="DC296" i="5"/>
  <c r="DQ296" i="5"/>
  <c r="CY296" i="5"/>
  <c r="DN296" i="5"/>
  <c r="CP296" i="5"/>
  <c r="DD296" i="5"/>
  <c r="DR296" i="5"/>
  <c r="CQ296" i="5"/>
  <c r="DE296" i="5"/>
  <c r="DT296" i="5"/>
  <c r="DK296" i="5"/>
  <c r="DL296" i="5"/>
  <c r="CR296" i="5"/>
  <c r="DU296" i="5"/>
  <c r="DF296" i="5"/>
  <c r="CX296" i="5"/>
  <c r="CW296" i="5"/>
  <c r="CQ193" i="5"/>
  <c r="CW193" i="5"/>
  <c r="DC193" i="5"/>
  <c r="DI193" i="5"/>
  <c r="DO193" i="5"/>
  <c r="DU193" i="5"/>
  <c r="CU193" i="5"/>
  <c r="DB193" i="5"/>
  <c r="DJ193" i="5"/>
  <c r="DQ193" i="5"/>
  <c r="CV193" i="5"/>
  <c r="DD193" i="5"/>
  <c r="DK193" i="5"/>
  <c r="DR193" i="5"/>
  <c r="CP193" i="5"/>
  <c r="DV193" i="5" s="1"/>
  <c r="CZ193" i="5"/>
  <c r="DL193" i="5"/>
  <c r="DF193" i="5"/>
  <c r="CR193" i="5"/>
  <c r="DA193" i="5"/>
  <c r="DM193" i="5"/>
  <c r="CS193" i="5"/>
  <c r="DE193" i="5"/>
  <c r="DN193" i="5"/>
  <c r="CT193" i="5"/>
  <c r="DP193" i="5"/>
  <c r="DS193" i="5"/>
  <c r="DT193" i="5"/>
  <c r="CX193" i="5"/>
  <c r="CY193" i="5"/>
  <c r="DG193" i="5"/>
  <c r="DH193" i="5"/>
  <c r="CU301" i="5"/>
  <c r="DA301" i="5"/>
  <c r="DG301" i="5"/>
  <c r="DM301" i="5"/>
  <c r="DS301" i="5"/>
  <c r="CP301" i="5"/>
  <c r="CW301" i="5"/>
  <c r="DD301" i="5"/>
  <c r="DK301" i="5"/>
  <c r="DR301" i="5"/>
  <c r="CR301" i="5"/>
  <c r="DF301" i="5"/>
  <c r="DU301" i="5"/>
  <c r="CQ301" i="5"/>
  <c r="CX301" i="5"/>
  <c r="DE301" i="5"/>
  <c r="DL301" i="5"/>
  <c r="DT301" i="5"/>
  <c r="CY301" i="5"/>
  <c r="DN301" i="5"/>
  <c r="CV301" i="5"/>
  <c r="DJ301" i="5"/>
  <c r="CZ301" i="5"/>
  <c r="DO301" i="5"/>
  <c r="DB301" i="5"/>
  <c r="DP301" i="5"/>
  <c r="CS301" i="5"/>
  <c r="CT301" i="5"/>
  <c r="DC301" i="5"/>
  <c r="DQ301" i="5"/>
  <c r="DI301" i="5"/>
  <c r="DH301" i="5"/>
  <c r="CU327" i="5"/>
  <c r="DA327" i="5"/>
  <c r="CR327" i="5"/>
  <c r="CY327" i="5"/>
  <c r="DF327" i="5"/>
  <c r="DL327" i="5"/>
  <c r="DR327" i="5"/>
  <c r="DB327" i="5"/>
  <c r="DN327" i="5"/>
  <c r="CS327" i="5"/>
  <c r="CZ327" i="5"/>
  <c r="DG327" i="5"/>
  <c r="DM327" i="5"/>
  <c r="DS327" i="5"/>
  <c r="CT327" i="5"/>
  <c r="DH327" i="5"/>
  <c r="DT327" i="5"/>
  <c r="CQ327" i="5"/>
  <c r="DE327" i="5"/>
  <c r="DQ327" i="5"/>
  <c r="CV327" i="5"/>
  <c r="DI327" i="5"/>
  <c r="DU327" i="5"/>
  <c r="CW327" i="5"/>
  <c r="DJ327" i="5"/>
  <c r="DO327" i="5"/>
  <c r="CP327" i="5"/>
  <c r="DP327" i="5"/>
  <c r="CX327" i="5"/>
  <c r="DC327" i="5"/>
  <c r="DK327" i="5"/>
  <c r="DD327" i="5"/>
  <c r="CT299" i="5"/>
  <c r="CZ299" i="5"/>
  <c r="DF299" i="5"/>
  <c r="DL299" i="5"/>
  <c r="DR299" i="5"/>
  <c r="CP299" i="5"/>
  <c r="CW299" i="5"/>
  <c r="DD299" i="5"/>
  <c r="DK299" i="5"/>
  <c r="DS299" i="5"/>
  <c r="CY299" i="5"/>
  <c r="DN299" i="5"/>
  <c r="CQ299" i="5"/>
  <c r="CX299" i="5"/>
  <c r="DE299" i="5"/>
  <c r="DM299" i="5"/>
  <c r="DT299" i="5"/>
  <c r="CR299" i="5"/>
  <c r="DG299" i="5"/>
  <c r="DU299" i="5"/>
  <c r="DC299" i="5"/>
  <c r="DQ299" i="5"/>
  <c r="CS299" i="5"/>
  <c r="DH299" i="5"/>
  <c r="CU299" i="5"/>
  <c r="DI299" i="5"/>
  <c r="DA299" i="5"/>
  <c r="DB299" i="5"/>
  <c r="DJ299" i="5"/>
  <c r="CV299" i="5"/>
  <c r="DO299" i="5"/>
  <c r="DP299" i="5"/>
  <c r="CP176" i="5"/>
  <c r="DV176" i="5" s="1"/>
  <c r="CV176" i="5"/>
  <c r="DB176" i="5"/>
  <c r="DH176" i="5"/>
  <c r="DN176" i="5"/>
  <c r="DT176" i="5"/>
  <c r="CR176" i="5"/>
  <c r="CY176" i="5"/>
  <c r="DF176" i="5"/>
  <c r="DM176" i="5"/>
  <c r="DU176" i="5"/>
  <c r="CQ176" i="5"/>
  <c r="CZ176" i="5"/>
  <c r="DI176" i="5"/>
  <c r="DQ176" i="5"/>
  <c r="CS176" i="5"/>
  <c r="DA176" i="5"/>
  <c r="DJ176" i="5"/>
  <c r="DR176" i="5"/>
  <c r="CW176" i="5"/>
  <c r="DK176" i="5"/>
  <c r="DD176" i="5"/>
  <c r="DS176" i="5"/>
  <c r="CU176" i="5"/>
  <c r="DE176" i="5"/>
  <c r="CT176" i="5"/>
  <c r="DG176" i="5"/>
  <c r="DL176" i="5"/>
  <c r="CX176" i="5"/>
  <c r="DC176" i="5"/>
  <c r="DO176" i="5"/>
  <c r="DP176" i="5"/>
  <c r="CQ255" i="5"/>
  <c r="CW255" i="5"/>
  <c r="DC255" i="5"/>
  <c r="DI255" i="5"/>
  <c r="DO255" i="5"/>
  <c r="DU255" i="5"/>
  <c r="CT255" i="5"/>
  <c r="DA255" i="5"/>
  <c r="DH255" i="5"/>
  <c r="DP255" i="5"/>
  <c r="CU255" i="5"/>
  <c r="DB255" i="5"/>
  <c r="DJ255" i="5"/>
  <c r="DQ255" i="5"/>
  <c r="CV255" i="5"/>
  <c r="DF255" i="5"/>
  <c r="DR255" i="5"/>
  <c r="DK255" i="5"/>
  <c r="CX255" i="5"/>
  <c r="DG255" i="5"/>
  <c r="DS255" i="5"/>
  <c r="CY255" i="5"/>
  <c r="DT255" i="5"/>
  <c r="DE255" i="5"/>
  <c r="CP255" i="5"/>
  <c r="DL255" i="5"/>
  <c r="DN255" i="5"/>
  <c r="CR255" i="5"/>
  <c r="CS255" i="5"/>
  <c r="CZ255" i="5"/>
  <c r="DD255" i="5"/>
  <c r="DM255" i="5"/>
  <c r="CU273" i="5"/>
  <c r="DA273" i="5"/>
  <c r="DG273" i="5"/>
  <c r="DM273" i="5"/>
  <c r="DS273" i="5"/>
  <c r="CS273" i="5"/>
  <c r="CZ273" i="5"/>
  <c r="DH273" i="5"/>
  <c r="DO273" i="5"/>
  <c r="CV273" i="5"/>
  <c r="DJ273" i="5"/>
  <c r="CT273" i="5"/>
  <c r="DB273" i="5"/>
  <c r="DI273" i="5"/>
  <c r="DP273" i="5"/>
  <c r="DC273" i="5"/>
  <c r="DQ273" i="5"/>
  <c r="CP273" i="5"/>
  <c r="DD273" i="5"/>
  <c r="DR273" i="5"/>
  <c r="CW273" i="5"/>
  <c r="DL273" i="5"/>
  <c r="CX273" i="5"/>
  <c r="DN273" i="5"/>
  <c r="CY273" i="5"/>
  <c r="DT273" i="5"/>
  <c r="DF273" i="5"/>
  <c r="DK273" i="5"/>
  <c r="DU273" i="5"/>
  <c r="DE273" i="5"/>
  <c r="CQ273" i="5"/>
  <c r="CR273" i="5"/>
  <c r="CT291" i="5"/>
  <c r="CZ291" i="5"/>
  <c r="DF291" i="5"/>
  <c r="DL291" i="5"/>
  <c r="DR291" i="5"/>
  <c r="CV291" i="5"/>
  <c r="DC291" i="5"/>
  <c r="DJ291" i="5"/>
  <c r="DQ291" i="5"/>
  <c r="CX291" i="5"/>
  <c r="DM291" i="5"/>
  <c r="CP291" i="5"/>
  <c r="CW291" i="5"/>
  <c r="DD291" i="5"/>
  <c r="DK291" i="5"/>
  <c r="DS291" i="5"/>
  <c r="CQ291" i="5"/>
  <c r="DE291" i="5"/>
  <c r="DT291" i="5"/>
  <c r="DB291" i="5"/>
  <c r="DP291" i="5"/>
  <c r="CR291" i="5"/>
  <c r="DG291" i="5"/>
  <c r="DU291" i="5"/>
  <c r="CS291" i="5"/>
  <c r="DH291" i="5"/>
  <c r="CY291" i="5"/>
  <c r="DA291" i="5"/>
  <c r="DI291" i="5"/>
  <c r="CU291" i="5"/>
  <c r="DN291" i="5"/>
  <c r="DO291" i="5"/>
  <c r="CQ235" i="5"/>
  <c r="CW235" i="5"/>
  <c r="DC235" i="5"/>
  <c r="DI235" i="5"/>
  <c r="DO235" i="5"/>
  <c r="DU235" i="5"/>
  <c r="CR235" i="5"/>
  <c r="CY235" i="5"/>
  <c r="DF235" i="5"/>
  <c r="DM235" i="5"/>
  <c r="DT235" i="5"/>
  <c r="CS235" i="5"/>
  <c r="CZ235" i="5"/>
  <c r="DG235" i="5"/>
  <c r="DN235" i="5"/>
  <c r="CV235" i="5"/>
  <c r="DH235" i="5"/>
  <c r="DR235" i="5"/>
  <c r="DA235" i="5"/>
  <c r="DB235" i="5"/>
  <c r="CX235" i="5"/>
  <c r="DJ235" i="5"/>
  <c r="DS235" i="5"/>
  <c r="DK235" i="5"/>
  <c r="CT235" i="5"/>
  <c r="DQ235" i="5"/>
  <c r="CU235" i="5"/>
  <c r="CP235" i="5"/>
  <c r="DV235" i="5" s="1"/>
  <c r="DD235" i="5"/>
  <c r="DE235" i="5"/>
  <c r="DL235" i="5"/>
  <c r="DP235" i="5"/>
  <c r="CP269" i="5"/>
  <c r="DV269" i="5" s="1"/>
  <c r="CV269" i="5"/>
  <c r="DB269" i="5"/>
  <c r="DH269" i="5"/>
  <c r="DN269" i="5"/>
  <c r="DT269" i="5"/>
  <c r="CW269" i="5"/>
  <c r="DD269" i="5"/>
  <c r="DK269" i="5"/>
  <c r="DR269" i="5"/>
  <c r="CY269" i="5"/>
  <c r="DM269" i="5"/>
  <c r="CQ269" i="5"/>
  <c r="DW269" i="5" s="1"/>
  <c r="CX269" i="5"/>
  <c r="DE269" i="5"/>
  <c r="DL269" i="5"/>
  <c r="DS269" i="5"/>
  <c r="CR269" i="5"/>
  <c r="DF269" i="5"/>
  <c r="DU269" i="5"/>
  <c r="CS269" i="5"/>
  <c r="DG269" i="5"/>
  <c r="DI269" i="5"/>
  <c r="CT269" i="5"/>
  <c r="DJ269" i="5"/>
  <c r="CU269" i="5"/>
  <c r="DO269" i="5"/>
  <c r="DA269" i="5"/>
  <c r="DC269" i="5"/>
  <c r="DP269" i="5"/>
  <c r="CZ269" i="5"/>
  <c r="DQ269" i="5"/>
  <c r="DW209" i="5"/>
  <c r="DW287" i="5" l="1"/>
  <c r="DW200" i="5"/>
  <c r="DW208" i="5"/>
  <c r="DW220" i="5"/>
  <c r="DW232" i="5"/>
  <c r="DW125" i="5"/>
  <c r="DW265" i="5"/>
  <c r="DW151" i="5"/>
  <c r="DW179" i="5"/>
  <c r="DW41" i="5"/>
  <c r="DW65" i="5"/>
  <c r="DW103" i="5"/>
  <c r="DW47" i="5"/>
  <c r="DW116" i="5"/>
  <c r="DW214" i="5"/>
  <c r="DV108" i="5"/>
  <c r="DW108" i="5"/>
  <c r="DV135" i="5"/>
  <c r="DW135" i="5"/>
  <c r="DV61" i="5"/>
  <c r="DW61" i="5"/>
  <c r="DW283" i="5"/>
  <c r="DW149" i="5"/>
  <c r="DW306" i="5"/>
  <c r="DV306" i="5"/>
  <c r="DV219" i="5"/>
  <c r="DW219" i="5"/>
  <c r="DV325" i="5"/>
  <c r="DW325" i="5"/>
  <c r="DV311" i="5"/>
  <c r="DW311" i="5"/>
  <c r="DV54" i="5"/>
  <c r="DW54" i="5"/>
  <c r="DV291" i="5"/>
  <c r="DW291" i="5"/>
  <c r="DW176" i="5"/>
  <c r="DV317" i="5"/>
  <c r="DW317" i="5"/>
  <c r="DW194" i="5"/>
  <c r="DW250" i="5"/>
  <c r="DV87" i="5"/>
  <c r="DW87" i="5"/>
  <c r="DW297" i="5"/>
  <c r="DV297" i="5"/>
  <c r="DV276" i="5"/>
  <c r="DW276" i="5"/>
  <c r="DV320" i="5"/>
  <c r="DW320" i="5"/>
  <c r="DV332" i="5"/>
  <c r="DW332" i="5"/>
  <c r="DV165" i="5"/>
  <c r="DW165" i="5"/>
  <c r="DW272" i="5"/>
  <c r="DV272" i="5"/>
  <c r="DV49" i="5"/>
  <c r="DW49" i="5"/>
  <c r="DW119" i="5"/>
  <c r="DV231" i="5"/>
  <c r="DW231" i="5"/>
  <c r="DV279" i="5"/>
  <c r="DW279" i="5"/>
  <c r="DV207" i="5"/>
  <c r="DW207" i="5"/>
  <c r="DV335" i="5"/>
  <c r="DW335" i="5"/>
  <c r="DV240" i="5"/>
  <c r="DW240" i="5"/>
  <c r="DW182" i="5"/>
  <c r="DV234" i="5"/>
  <c r="DW234" i="5"/>
  <c r="DV84" i="5"/>
  <c r="DW84" i="5"/>
  <c r="DW321" i="5"/>
  <c r="DV321" i="5"/>
  <c r="DW133" i="5"/>
  <c r="DV42" i="5"/>
  <c r="DW42" i="5"/>
  <c r="DV51" i="5"/>
  <c r="DW51" i="5"/>
  <c r="DW318" i="5"/>
  <c r="DV318" i="5"/>
  <c r="DV153" i="5"/>
  <c r="DW153" i="5"/>
  <c r="DW300" i="5"/>
  <c r="DV300" i="5"/>
  <c r="DV246" i="5"/>
  <c r="DW246" i="5"/>
  <c r="DV198" i="5"/>
  <c r="DW198" i="5"/>
  <c r="DV319" i="5"/>
  <c r="DW319" i="5"/>
  <c r="DV75" i="5"/>
  <c r="DW75" i="5"/>
  <c r="DW256" i="5"/>
  <c r="DV37" i="5"/>
  <c r="DW37" i="5"/>
  <c r="DW74" i="5"/>
  <c r="DV168" i="5"/>
  <c r="DW168" i="5"/>
  <c r="DW244" i="5"/>
  <c r="DW309" i="5"/>
  <c r="DV309" i="5"/>
  <c r="DV264" i="5"/>
  <c r="DW264" i="5"/>
  <c r="DV295" i="5"/>
  <c r="DW295" i="5"/>
  <c r="DW196" i="5"/>
  <c r="DW312" i="5"/>
  <c r="DV312" i="5"/>
  <c r="DV237" i="5"/>
  <c r="DW237" i="5"/>
  <c r="DV141" i="5"/>
  <c r="DW141" i="5"/>
  <c r="DW157" i="5"/>
  <c r="DW327" i="5"/>
  <c r="DV327" i="5"/>
  <c r="DW193" i="5"/>
  <c r="DV308" i="5"/>
  <c r="DW308" i="5"/>
  <c r="DW286" i="5"/>
  <c r="DV286" i="5"/>
  <c r="DW278" i="5"/>
  <c r="DV316" i="5"/>
  <c r="DW316" i="5"/>
  <c r="DW85" i="5"/>
  <c r="DV64" i="5"/>
  <c r="DW64" i="5"/>
  <c r="DW205" i="5"/>
  <c r="DV213" i="5"/>
  <c r="DW213" i="5"/>
  <c r="DW233" i="5"/>
  <c r="DV105" i="5"/>
  <c r="DW105" i="5"/>
  <c r="DV270" i="5"/>
  <c r="DW270" i="5"/>
  <c r="DW170" i="5"/>
  <c r="DV334" i="5"/>
  <c r="DW334" i="5"/>
  <c r="DV43" i="5"/>
  <c r="DW43" i="5"/>
  <c r="DW104" i="5"/>
  <c r="DV120" i="5"/>
  <c r="DW120" i="5"/>
  <c r="DV162" i="5"/>
  <c r="DW162" i="5"/>
  <c r="DV313" i="5"/>
  <c r="DW313" i="5"/>
  <c r="DV159" i="5"/>
  <c r="DW159" i="5"/>
  <c r="DV204" i="5"/>
  <c r="DW204" i="5"/>
  <c r="DV261" i="5"/>
  <c r="DW261" i="5"/>
  <c r="DW324" i="5"/>
  <c r="DV324" i="5"/>
  <c r="DV129" i="5"/>
  <c r="DW129" i="5"/>
  <c r="DW137" i="5"/>
  <c r="DV284" i="5"/>
  <c r="DW284" i="5"/>
  <c r="DW197" i="5"/>
  <c r="DW271" i="5"/>
  <c r="DV331" i="5"/>
  <c r="DW331" i="5"/>
  <c r="DW247" i="5"/>
  <c r="DW260" i="5"/>
  <c r="DV298" i="5"/>
  <c r="DW298" i="5"/>
  <c r="DV280" i="5"/>
  <c r="DW280" i="5"/>
  <c r="DV69" i="5"/>
  <c r="DW69" i="5"/>
  <c r="DW181" i="5"/>
  <c r="DW229" i="5"/>
  <c r="DV147" i="5"/>
  <c r="DW147" i="5"/>
  <c r="DV150" i="5"/>
  <c r="DW150" i="5"/>
  <c r="DV93" i="5"/>
  <c r="DW93" i="5"/>
  <c r="DW294" i="5"/>
  <c r="DV294" i="5"/>
  <c r="DV171" i="5"/>
  <c r="DW171" i="5"/>
  <c r="DV63" i="5"/>
  <c r="DW63" i="5"/>
  <c r="DW82" i="5"/>
  <c r="DW172" i="5"/>
  <c r="DV282" i="5"/>
  <c r="DW282" i="5"/>
  <c r="DW241" i="5"/>
  <c r="DV46" i="5"/>
  <c r="DW46" i="5"/>
  <c r="DW106" i="5"/>
  <c r="DV99" i="5"/>
  <c r="DW99" i="5"/>
  <c r="DV78" i="5"/>
  <c r="DW78" i="5"/>
  <c r="DW92" i="5"/>
  <c r="DW80" i="5"/>
  <c r="DW191" i="5"/>
  <c r="DW248" i="5"/>
  <c r="DV225" i="5"/>
  <c r="DW225" i="5"/>
  <c r="DW303" i="5"/>
  <c r="DV303" i="5"/>
  <c r="DV267" i="5"/>
  <c r="DW267" i="5"/>
  <c r="DV195" i="5"/>
  <c r="DW195" i="5"/>
  <c r="DV326" i="5"/>
  <c r="DW326" i="5"/>
  <c r="DV58" i="5"/>
  <c r="DW58" i="5"/>
  <c r="DW184" i="5"/>
  <c r="DW173" i="5"/>
  <c r="DV228" i="5"/>
  <c r="DW228" i="5"/>
  <c r="DV273" i="5"/>
  <c r="DW273" i="5"/>
  <c r="DV299" i="5"/>
  <c r="DW299" i="5"/>
  <c r="DV296" i="5"/>
  <c r="DW296" i="5"/>
  <c r="DW333" i="5"/>
  <c r="DV333" i="5"/>
  <c r="DW53" i="5"/>
  <c r="DV177" i="5"/>
  <c r="DW177" i="5"/>
  <c r="DV304" i="5"/>
  <c r="DW304" i="5"/>
  <c r="DV323" i="5"/>
  <c r="DW323" i="5"/>
  <c r="DV307" i="5"/>
  <c r="DW307" i="5"/>
  <c r="DV60" i="5"/>
  <c r="DW60" i="5"/>
  <c r="DW226" i="5"/>
  <c r="DV123" i="5"/>
  <c r="DW123" i="5"/>
  <c r="DV243" i="5"/>
  <c r="DW243" i="5"/>
  <c r="DV186" i="5"/>
  <c r="DW186" i="5"/>
  <c r="DV305" i="5"/>
  <c r="DW305" i="5"/>
  <c r="DV252" i="5"/>
  <c r="DW252" i="5"/>
  <c r="DW68" i="5"/>
  <c r="DW77" i="5"/>
  <c r="DW143" i="5"/>
  <c r="DW161" i="5"/>
  <c r="DV48" i="5"/>
  <c r="DW48" i="5"/>
  <c r="DW281" i="5"/>
  <c r="DV281" i="5"/>
  <c r="DV222" i="5"/>
  <c r="DW222" i="5"/>
  <c r="DV322" i="5"/>
  <c r="DW322" i="5"/>
  <c r="DW277" i="5"/>
  <c r="DV40" i="5"/>
  <c r="DW40" i="5"/>
  <c r="DV81" i="5"/>
  <c r="DW81" i="5"/>
  <c r="DW113" i="5"/>
  <c r="DW242" i="5"/>
  <c r="DV258" i="5"/>
  <c r="DW258" i="5"/>
  <c r="DV55" i="5"/>
  <c r="DW55" i="5"/>
  <c r="DV210" i="5"/>
  <c r="DW210" i="5"/>
  <c r="DV328" i="5"/>
  <c r="DW328" i="5"/>
  <c r="DV314" i="5"/>
  <c r="DW314" i="5"/>
  <c r="DV57" i="5"/>
  <c r="DW57" i="5"/>
  <c r="DV289" i="5"/>
  <c r="DW289" i="5"/>
  <c r="DV90" i="5"/>
  <c r="DW90" i="5"/>
  <c r="DV138" i="5"/>
  <c r="DW138" i="5"/>
  <c r="DV174" i="5"/>
  <c r="DW174" i="5"/>
  <c r="DV126" i="5"/>
  <c r="DW126" i="5"/>
  <c r="DV288" i="5"/>
  <c r="DW288" i="5"/>
  <c r="DW98" i="5"/>
  <c r="DV192" i="5"/>
  <c r="DW192" i="5"/>
  <c r="DV45" i="5"/>
  <c r="DW45" i="5"/>
  <c r="DW330" i="5"/>
  <c r="DV330" i="5"/>
  <c r="DV310" i="5"/>
  <c r="DW310" i="5"/>
  <c r="DV156" i="5"/>
  <c r="DW156" i="5"/>
  <c r="DV301" i="5"/>
  <c r="DW301" i="5"/>
  <c r="DV70" i="5"/>
  <c r="DW70" i="5"/>
  <c r="DW315" i="5"/>
  <c r="DV315" i="5"/>
  <c r="DV72" i="5"/>
  <c r="DW72" i="5"/>
  <c r="DW73" i="5"/>
  <c r="DW235" i="5"/>
  <c r="DV255" i="5"/>
  <c r="DW255" i="5"/>
  <c r="DV36" i="5"/>
  <c r="DW36" i="5"/>
  <c r="DW268" i="5"/>
  <c r="DV117" i="5"/>
  <c r="DW117" i="5"/>
  <c r="DW223" i="5"/>
  <c r="DV189" i="5"/>
  <c r="DW189" i="5"/>
  <c r="DW251" i="5"/>
  <c r="DW263" i="5"/>
  <c r="DV263" i="5"/>
  <c r="DW290" i="5"/>
  <c r="DV329" i="5"/>
  <c r="DW329" i="5"/>
  <c r="DW100" i="5"/>
  <c r="DV114" i="5"/>
  <c r="DW114" i="5"/>
  <c r="DV132" i="5"/>
  <c r="DW132" i="5"/>
  <c r="DW190" i="5"/>
  <c r="DV249" i="5"/>
  <c r="DW249" i="5"/>
  <c r="DV39" i="5"/>
  <c r="DW39" i="5"/>
  <c r="DW94" i="5"/>
  <c r="DW203" i="5"/>
  <c r="DW266" i="5"/>
  <c r="DV102" i="5"/>
  <c r="DW102" i="5"/>
  <c r="DW76" i="5"/>
  <c r="DV111" i="5"/>
  <c r="DW111" i="5"/>
  <c r="DV144" i="5"/>
  <c r="DW144" i="5"/>
  <c r="DV201" i="5"/>
  <c r="DW201" i="5"/>
  <c r="DW164" i="5"/>
  <c r="DV180" i="5"/>
  <c r="DW180" i="5"/>
  <c r="DW227" i="5"/>
  <c r="DW221" i="5"/>
  <c r="DV96" i="5"/>
  <c r="DW96" i="5"/>
  <c r="DW199" i="5"/>
  <c r="DW215" i="5"/>
  <c r="DW185" i="5"/>
  <c r="DW88" i="5"/>
  <c r="DV66" i="5"/>
  <c r="DW66" i="5"/>
  <c r="DW187" i="5"/>
  <c r="DV183" i="5"/>
  <c r="DW183" i="5"/>
  <c r="DW259" i="5"/>
  <c r="DV52" i="5"/>
  <c r="DW52" i="5"/>
  <c r="DV292" i="5"/>
  <c r="DW292" i="5"/>
  <c r="DV293" i="5"/>
  <c r="DW293" i="5"/>
  <c r="DW97" i="5"/>
  <c r="DV216" i="5"/>
  <c r="DW216" i="5"/>
  <c r="DV302" i="5"/>
  <c r="DW302" i="5"/>
  <c r="DV67" i="5"/>
  <c r="DW67" i="5"/>
  <c r="DW202" i="5"/>
</calcChain>
</file>

<file path=xl/sharedStrings.xml><?xml version="1.0" encoding="utf-8"?>
<sst xmlns="http://schemas.openxmlformats.org/spreadsheetml/2006/main" count="2395" uniqueCount="1094">
  <si>
    <t>Nortec</t>
  </si>
  <si>
    <t>MTI</t>
  </si>
  <si>
    <t>BFE</t>
  </si>
  <si>
    <t>DNP</t>
  </si>
  <si>
    <t>QTY</t>
  </si>
  <si>
    <t>COUNT</t>
  </si>
  <si>
    <t>TBD</t>
  </si>
  <si>
    <t>DESC</t>
  </si>
  <si>
    <t>DRM F/ASSY</t>
  </si>
  <si>
    <t>DRM ASSY</t>
  </si>
  <si>
    <t>DRM PS ASSY RX</t>
  </si>
  <si>
    <t>DRM RX ASSY</t>
  </si>
  <si>
    <t>PC ASSY DRM CONTROLER NG 400</t>
  </si>
  <si>
    <t>DTRM F/ASSY</t>
  </si>
  <si>
    <t>DTRM POWER AMP ASSY</t>
  </si>
  <si>
    <t>DTRM PC ASSY PA CR</t>
  </si>
  <si>
    <t>CAPASITORS CALIBRATION KIT</t>
  </si>
  <si>
    <t>BEND OF TRANSISTOR</t>
  </si>
  <si>
    <t>EV CAP WITH BRACKET</t>
  </si>
  <si>
    <t>INSIDE COVER ASSY</t>
  </si>
  <si>
    <t>PC ASSY CONTROLLER 400</t>
  </si>
  <si>
    <t>D.A.D. F/ASSY</t>
  </si>
  <si>
    <t>D.A.D. ASSY</t>
  </si>
  <si>
    <t>D.A.D. POWER AMP ASSY</t>
  </si>
  <si>
    <t>D.A.D. PC ASSY PA CR</t>
  </si>
  <si>
    <t>BOM LEVAL</t>
  </si>
  <si>
    <t>SL No</t>
  </si>
  <si>
    <t>Internal Ref</t>
  </si>
  <si>
    <t>PN_ID</t>
  </si>
  <si>
    <t>REV</t>
  </si>
  <si>
    <t>CATALOG</t>
  </si>
  <si>
    <t>DESCRIPTION</t>
  </si>
  <si>
    <t>FFF CLASS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</si>
  <si>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</si>
  <si>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</si>
  <si>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</si>
  <si>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</si>
  <si>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</si>
  <si>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</si>
  <si>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</si>
  <si>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</si>
  <si>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</si>
  <si>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</si>
  <si>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</si>
  <si>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</si>
  <si>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</si>
  <si>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</si>
  <si>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</si>
  <si>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</si>
  <si>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</si>
  <si>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</si>
  <si>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</si>
  <si>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</si>
  <si>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</si>
  <si>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</si>
  <si>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TOTAL QTY</t>
  </si>
  <si>
    <t>NOTES</t>
  </si>
  <si>
    <t>MFG</t>
  </si>
  <si>
    <t>STOCK</t>
  </si>
  <si>
    <t>LT01-289</t>
  </si>
  <si>
    <t>-</t>
  </si>
  <si>
    <t>EA</t>
  </si>
  <si>
    <t>ASSY</t>
  </si>
  <si>
    <t>LT01-290</t>
  </si>
  <si>
    <t>LT01-274</t>
  </si>
  <si>
    <t>LT01-003</t>
  </si>
  <si>
    <t>000800-0826</t>
  </si>
  <si>
    <t>BUY1</t>
  </si>
  <si>
    <t>CONN RECT PCB R/A PLUG 42 BLADES 3 ROWS,</t>
  </si>
  <si>
    <t>DCX-CHOL Entr. Inc</t>
  </si>
  <si>
    <t>Masterite</t>
  </si>
  <si>
    <t>LT01-004</t>
  </si>
  <si>
    <t>04021J0R3PBSTR</t>
  </si>
  <si>
    <t>CHIP CAP 0.3PF +-.02PF 100V T&amp;R</t>
  </si>
  <si>
    <t>AVX</t>
  </si>
  <si>
    <t>SHIRTECH</t>
  </si>
  <si>
    <t>PHONIX TECHNOLOGIES</t>
  </si>
  <si>
    <t>LT01-005</t>
  </si>
  <si>
    <t>0402CS-5N6XGRW</t>
  </si>
  <si>
    <t>INDUCTOR CHIP 5.6NH 2^ 0.76A 0402 T&amp;R</t>
  </si>
  <si>
    <t>COILCRAFT INC.</t>
  </si>
  <si>
    <t>coilcraft</t>
  </si>
  <si>
    <t>LT01-006</t>
  </si>
  <si>
    <t>0603CS-15NXGRW</t>
  </si>
  <si>
    <t>CHIP INDUCTOR 15NH 2^ T&amp;R</t>
  </si>
  <si>
    <t>LT01-007</t>
  </si>
  <si>
    <t>0603CS-8N7XGLW</t>
  </si>
  <si>
    <t>CHIP INDUCTOR 8.7NH 2% T&amp;R</t>
  </si>
  <si>
    <t>LT01-008</t>
  </si>
  <si>
    <t>0805ZC106KAT2A</t>
  </si>
  <si>
    <t>CHIP CAP 10UF 10^ 10V X7R T&amp;R</t>
  </si>
  <si>
    <t>LT01-009</t>
  </si>
  <si>
    <t>097-0227-893</t>
  </si>
  <si>
    <t>GUIDE PIN,THREADED 4-40UNC 3A,60 DEG.CON</t>
  </si>
  <si>
    <t>LT01-010</t>
  </si>
  <si>
    <t>100A1R1BT150XTV</t>
  </si>
  <si>
    <t>CHIP CAP 1.1PF +/-0.1PF 150VOLT 55X5</t>
  </si>
  <si>
    <t>AMERICAN TECHNICAL CERAMICS DIV. OF</t>
  </si>
  <si>
    <t>SHIRTECH/Phoenix</t>
  </si>
  <si>
    <t>LT01-011</t>
  </si>
  <si>
    <t>100A4R7BT150XTV</t>
  </si>
  <si>
    <t>CHIP CAP 4.7PF +/-0.1PF 150VOLT 55X5</t>
  </si>
  <si>
    <t>LT01-012</t>
  </si>
  <si>
    <t>1092L481-001</t>
  </si>
  <si>
    <t>CERAMIC FILTER S BAND</t>
  </si>
  <si>
    <t>SAWNICS/REMTEC</t>
  </si>
  <si>
    <t>REMTEC</t>
  </si>
  <si>
    <t>LT01-013</t>
  </si>
  <si>
    <t>LT01-014</t>
  </si>
  <si>
    <t>1093J361-002</t>
  </si>
  <si>
    <t>A</t>
  </si>
  <si>
    <t>SHIM 0.8MM</t>
  </si>
  <si>
    <t>AR</t>
  </si>
  <si>
    <t>A/R</t>
  </si>
  <si>
    <t>KIMOGRAF LTD</t>
  </si>
  <si>
    <t>CHEMOGRAF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</si>
  <si>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</si>
  <si>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</si>
  <si>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</si>
  <si>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</si>
  <si>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</si>
  <si>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</si>
  <si>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</si>
  <si>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</si>
  <si>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</si>
  <si>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LT01-017</t>
  </si>
  <si>
    <t>1093N721-001</t>
  </si>
  <si>
    <t>COVER</t>
  </si>
  <si>
    <t>WAVE MECHANICS</t>
  </si>
  <si>
    <t>WAVE</t>
  </si>
  <si>
    <t>LT01-018</t>
  </si>
  <si>
    <t>LT01-019</t>
  </si>
  <si>
    <t>1093V980-001</t>
  </si>
  <si>
    <t>F/A 60W FET</t>
  </si>
  <si>
    <t>ELBATECH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</si>
  <si>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</si>
  <si>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</si>
  <si>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</si>
  <si>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</si>
  <si>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</si>
  <si>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</si>
  <si>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</si>
  <si>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</si>
  <si>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</si>
  <si>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</si>
  <si>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</si>
  <si>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</si>
  <si>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</si>
  <si>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</si>
  <si>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</si>
  <si>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</si>
  <si>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</si>
  <si>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</si>
  <si>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</si>
  <si>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</si>
  <si>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LT01-027</t>
  </si>
  <si>
    <t>1094N759-001</t>
  </si>
  <si>
    <t>LABLE MODULE DTRM</t>
  </si>
  <si>
    <t>PHOTO METAL</t>
  </si>
  <si>
    <t>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</si>
  <si>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</si>
  <si>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</si>
  <si>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</si>
  <si>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</si>
  <si>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</si>
  <si>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</si>
  <si>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</si>
  <si>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</si>
  <si>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GUMIYAN MOTZARAY GUMI LTD</t>
  </si>
  <si>
    <t>LT01-030</t>
  </si>
  <si>
    <t>1094N764-001</t>
  </si>
  <si>
    <t>S/R W1</t>
  </si>
  <si>
    <t>ROSENBERGER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</si>
  <si>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</si>
  <si>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</si>
  <si>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</si>
  <si>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</si>
  <si>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</si>
  <si>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</si>
  <si>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</si>
  <si>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</si>
  <si>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</si>
  <si>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</si>
  <si>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</si>
  <si>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</si>
  <si>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</si>
  <si>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</si>
  <si>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</si>
  <si>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</si>
  <si>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</si>
  <si>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</si>
  <si>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</si>
  <si>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</si>
  <si>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</si>
  <si>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</si>
  <si>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</si>
  <si>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</si>
  <si>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</si>
  <si>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</si>
  <si>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</si>
  <si>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LT01-040</t>
  </si>
  <si>
    <t>A02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</si>
  <si>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</si>
  <si>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</si>
  <si>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</si>
  <si>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</si>
  <si>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</si>
  <si>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</si>
  <si>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</si>
  <si>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Boardtek/Micropack/EOS</t>
  </si>
  <si>
    <t>LT01-043</t>
  </si>
  <si>
    <t>1094N795-001</t>
  </si>
  <si>
    <t>CONN 2 PIN</t>
  </si>
  <si>
    <t>LT01-044</t>
  </si>
  <si>
    <t>1094N799-001</t>
  </si>
  <si>
    <t>GASKET</t>
  </si>
  <si>
    <t>PRONAT</t>
  </si>
  <si>
    <t>LT01-045</t>
  </si>
  <si>
    <t>1094N993-001</t>
  </si>
  <si>
    <t>SUPPORT</t>
  </si>
  <si>
    <t>LT01-046</t>
  </si>
  <si>
    <t>LT01-047</t>
  </si>
  <si>
    <t>1094T051-001</t>
  </si>
  <si>
    <t>C</t>
  </si>
  <si>
    <t>LABLE MODULE DRM</t>
  </si>
  <si>
    <t>LT01-048</t>
  </si>
  <si>
    <t>1094T052-001</t>
  </si>
  <si>
    <t>LT01-049</t>
  </si>
  <si>
    <t>1094T062-002</t>
  </si>
  <si>
    <t>PC BLANK MASTER DRAWING MMR-41 Z2</t>
  </si>
  <si>
    <t>Boardtek/Micropack</t>
  </si>
  <si>
    <t>LT01-050</t>
  </si>
  <si>
    <t>1094Y026-001</t>
  </si>
  <si>
    <t>IND SPACER</t>
  </si>
  <si>
    <t>LT01-051</t>
  </si>
  <si>
    <t>LT01-276</t>
  </si>
  <si>
    <t>1096H481-001</t>
  </si>
  <si>
    <t>LT01-277</t>
  </si>
  <si>
    <t>1096H485-001</t>
  </si>
  <si>
    <t>LABEL MODULE D.A.D</t>
  </si>
  <si>
    <t>LT01-001</t>
  </si>
  <si>
    <t>LT01-052</t>
  </si>
  <si>
    <t>LT01-287</t>
  </si>
  <si>
    <t>1096M139-001</t>
  </si>
  <si>
    <t>DTRM NAMEPLATE</t>
  </si>
  <si>
    <t>LT01-053</t>
  </si>
  <si>
    <t>LT01-002</t>
  </si>
  <si>
    <t>LT01-054</t>
  </si>
  <si>
    <t>LT01-288</t>
  </si>
  <si>
    <t>1096M159-001</t>
  </si>
  <si>
    <t>DRM NAMEPLATE</t>
  </si>
  <si>
    <t>LT01-055</t>
  </si>
  <si>
    <t>LT01-278</t>
  </si>
  <si>
    <t>LT01-279</t>
  </si>
  <si>
    <t>LT01-280</t>
  </si>
  <si>
    <t>1096M179-001</t>
  </si>
  <si>
    <t>D.A.D. NAMEPLATE</t>
  </si>
  <si>
    <t>LT01-281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</si>
  <si>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</si>
  <si>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</si>
  <si>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</si>
  <si>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</si>
  <si>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</si>
  <si>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</si>
  <si>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</si>
  <si>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S-BAND MFC F/ASSY</t>
  </si>
  <si>
    <t>Avnet Components</t>
  </si>
  <si>
    <t>LT01-059</t>
  </si>
  <si>
    <t>S-BAND DPS LS F/ASSY</t>
  </si>
  <si>
    <t>1097R470-001</t>
  </si>
  <si>
    <t>LT01-060</t>
  </si>
  <si>
    <t>F/ASSY LNA DCA</t>
  </si>
  <si>
    <t>LT01-061</t>
  </si>
  <si>
    <t>F/ASSY PH/SH</t>
  </si>
  <si>
    <t>1097R480-001</t>
  </si>
  <si>
    <t>LT01-062</t>
  </si>
  <si>
    <t>10S519-S60N3</t>
  </si>
  <si>
    <t>CONN,RF,ADAPTER,RPC-SP PLUG/SMP PLUG,50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</si>
  <si>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</si>
  <si>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</si>
  <si>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</si>
  <si>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</si>
  <si>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</si>
  <si>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</si>
  <si>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</si>
  <si>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HLT/Starlight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</si>
  <si>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</si>
  <si>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</si>
  <si>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</si>
  <si>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</si>
  <si>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</si>
  <si>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</si>
  <si>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</si>
  <si>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MT28EW01GABA1HPC-0SIT</t>
  </si>
  <si>
    <t>REBALLING MT28EW01GABA1HPC-0AAT</t>
  </si>
  <si>
    <t>MICRON</t>
  </si>
  <si>
    <t>LT01-068</t>
  </si>
  <si>
    <t>293D106X9016A2TE3</t>
  </si>
  <si>
    <t>CHIP CAP 10UF 10% 16V TANTAL T&amp;R</t>
  </si>
  <si>
    <t>VISHAY</t>
  </si>
  <si>
    <t>ECOMAL</t>
  </si>
  <si>
    <t>LT01-069</t>
  </si>
  <si>
    <t>293D475X9016A2TE3</t>
  </si>
  <si>
    <t>CHIP CAP 4.7UF 10% 16V TANTAL T&amp;R</t>
  </si>
  <si>
    <t>LT01-070</t>
  </si>
  <si>
    <t>293D476X0010B2TE3</t>
  </si>
  <si>
    <t>CHIP CAP 47UF 20% 10V TANTAL T&amp;R</t>
  </si>
  <si>
    <t>TTI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</si>
  <si>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</si>
  <si>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</si>
  <si>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</si>
  <si>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</si>
  <si>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</si>
  <si>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</si>
  <si>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</si>
  <si>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Suvaca</t>
  </si>
  <si>
    <t>LT01-072</t>
  </si>
  <si>
    <t>55A0111-18-0</t>
  </si>
  <si>
    <t>N75300608</t>
  </si>
  <si>
    <t>WIRE,18 AWG,STRANDED,XLETFE INSULATION,C</t>
  </si>
  <si>
    <t>FFF008184</t>
  </si>
  <si>
    <t>M</t>
  </si>
  <si>
    <t>TE CONNECTIVITY LTD</t>
  </si>
  <si>
    <t>RAY-Q</t>
  </si>
  <si>
    <t>LT01-073</t>
  </si>
  <si>
    <t>55A0111-18-9</t>
  </si>
  <si>
    <t>N75300038</t>
  </si>
  <si>
    <t>FFF008182</t>
  </si>
  <si>
    <t>LT01-074</t>
  </si>
  <si>
    <t>597D227X0020R2T</t>
  </si>
  <si>
    <t>CHIP CAP 220UF 20% 20V TANTALUM T&amp;R</t>
  </si>
  <si>
    <t>LT01-075</t>
  </si>
  <si>
    <t>5CEFA4U19I7</t>
  </si>
  <si>
    <t>IC CYCLONE V FPGA</t>
  </si>
  <si>
    <t>Intel Prgrammable SolutionsGroup(AL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</si>
  <si>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</si>
  <si>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</si>
  <si>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</si>
  <si>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</si>
  <si>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</si>
  <si>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</si>
  <si>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</si>
  <si>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700A102KT50XTV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</si>
  <si>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</si>
  <si>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</si>
  <si>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</si>
  <si>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</si>
  <si>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</si>
  <si>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</si>
  <si>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</si>
  <si>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</si>
  <si>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</si>
  <si>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</si>
  <si>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</si>
  <si>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</si>
  <si>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</si>
  <si>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Elbatech</t>
  </si>
  <si>
    <t>LT01-082</t>
  </si>
  <si>
    <t>AD7928BRUZ-REEL7</t>
  </si>
  <si>
    <t>IC ADC 12-BIT 8 CHANNEL T&amp;R</t>
  </si>
  <si>
    <t>ANALOG DEVICES</t>
  </si>
  <si>
    <t>LT01-083</t>
  </si>
  <si>
    <t>AD823ARZ</t>
  </si>
  <si>
    <t>IC LINEAR   DUAL OP. AMP.</t>
  </si>
  <si>
    <t>LT01-084</t>
  </si>
  <si>
    <t>ADN4650BRSZ-RL7</t>
  </si>
  <si>
    <t>IC DUAL CHANNEL LVDS ISOLATOR T&amp;R</t>
  </si>
  <si>
    <t>LT01-291</t>
  </si>
  <si>
    <t>AQ12EM1R2BAJME/500V</t>
  </si>
  <si>
    <t>CHIP CAP 1.2PF +/-0.1PF 150VOLT 55X5</t>
  </si>
  <si>
    <t>DO NOT BUY</t>
  </si>
  <si>
    <t>LT01-292</t>
  </si>
  <si>
    <t>AQ12EM1R3BAJME/500V</t>
  </si>
  <si>
    <t>CHIP CAP 1.3PF +/-0.1PF 150VOLT 55X5</t>
  </si>
  <si>
    <t>LT01-293</t>
  </si>
  <si>
    <t>AQ12EM1R4BAJME/500V</t>
  </si>
  <si>
    <t>CHIP CAP 1.4PF +/-0.1PF 150VOLT 55X5</t>
  </si>
  <si>
    <t>LT01-294</t>
  </si>
  <si>
    <t>AQ12EM1R5BAJME/500V</t>
  </si>
  <si>
    <t>CHIP CAP 1.5PF +/-0.1PF 150VOLT 55X5</t>
  </si>
  <si>
    <t>LT01-295</t>
  </si>
  <si>
    <t>AQ12EM1R6BAJME/500V</t>
  </si>
  <si>
    <t>CHIP CAP 1.6PF +/-0.1PF 150VOLT 55X5</t>
  </si>
  <si>
    <t>LT01-085</t>
  </si>
  <si>
    <t>ASP-200323-01</t>
  </si>
  <si>
    <t>CONN RECT HEADER 100 PIN SMT, QUAD ROW</t>
  </si>
  <si>
    <t>SAMTEC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</si>
  <si>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</si>
  <si>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</si>
  <si>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</si>
  <si>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</si>
  <si>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</si>
  <si>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</si>
  <si>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</si>
  <si>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</si>
  <si>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</si>
  <si>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</si>
  <si>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</si>
  <si>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Ninth Avenue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</si>
  <si>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</si>
  <si>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</si>
  <si>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</si>
  <si>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</si>
  <si>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</si>
  <si>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</si>
  <si>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LT01-089</t>
  </si>
  <si>
    <t>BLM18SG260TN1D</t>
  </si>
  <si>
    <t>CHIP EMIFIL INDUCTOR 26-OHM T&amp;R</t>
  </si>
  <si>
    <t>MURATA MANUFACTURING CO. LTD</t>
  </si>
  <si>
    <t>STG</t>
  </si>
  <si>
    <t>Rabyte</t>
  </si>
  <si>
    <t>LT01-090</t>
  </si>
  <si>
    <t>BLM31PG500SN1L</t>
  </si>
  <si>
    <t>N62786405</t>
  </si>
  <si>
    <t>CHIP FILTER EMI 50-OHM 3.2X1.6MM  T&amp;</t>
  </si>
  <si>
    <t>LT01-091</t>
  </si>
  <si>
    <t>C0402C101J3GACTU</t>
  </si>
  <si>
    <t>CHIP CAP 100PF 5^ 25V C0G T&amp;R</t>
  </si>
  <si>
    <t>KEMET ELECTRONICS S A</t>
  </si>
  <si>
    <t>Avnet Asia</t>
  </si>
  <si>
    <t>LT01-092</t>
  </si>
  <si>
    <t>C0402C102K5RAC7867</t>
  </si>
  <si>
    <t>CHIP CAP 1000PF 10% 50VOLT X7R T&amp;R</t>
  </si>
  <si>
    <t>LT01-093</t>
  </si>
  <si>
    <t>C0402C103K3RAC7867</t>
  </si>
  <si>
    <t>CHIP CAP 0.01UF 10^ 25V X7R T&amp;R</t>
  </si>
  <si>
    <t>LT01-094</t>
  </si>
  <si>
    <t>C0402C103K5RALTU</t>
  </si>
  <si>
    <t>CHIP CAP 0.01UF 10% 50V X7R T&amp;R</t>
  </si>
  <si>
    <t>LT01-095</t>
  </si>
  <si>
    <t>C0402C472K3RAC7867</t>
  </si>
  <si>
    <t>CHIP CAP 4700PF 10^ 25V X7R T&amp;R</t>
  </si>
  <si>
    <t>LT01-096</t>
  </si>
  <si>
    <t>C0603C102K2RACTU</t>
  </si>
  <si>
    <t>CHIP CAP 1000PF 10^ 200V X7R T&amp;R</t>
  </si>
  <si>
    <t>LT01-097</t>
  </si>
  <si>
    <t>C0603C103K2RAL7867</t>
  </si>
  <si>
    <t>CHIP CAP 0.01UF 10^ 200V X7R T&amp;R</t>
  </si>
  <si>
    <t>LT01-098</t>
  </si>
  <si>
    <t>C0603C104K5RAC7867</t>
  </si>
  <si>
    <t>CHIP CAP 0.1UF 10% 50V X7R T&amp;R</t>
  </si>
  <si>
    <t>LT01-099</t>
  </si>
  <si>
    <t>C0603C105K3RACTU</t>
  </si>
  <si>
    <t>CHIP CAP 1UF 10% 25V X7R T&amp;R</t>
  </si>
  <si>
    <t>LT01-100</t>
  </si>
  <si>
    <t>C0603C123K4RACTU</t>
  </si>
  <si>
    <t>CHIP CAP 0.012UF 10^ 16V X7R T&amp;R</t>
  </si>
  <si>
    <t>LT01-101</t>
  </si>
  <si>
    <t>C0603C272K5RACTU</t>
  </si>
  <si>
    <t>CHIP CAP 2700PF 10% 50V X7R T&amp;R</t>
  </si>
  <si>
    <t>LT01-102</t>
  </si>
  <si>
    <t>C0603C472K1RACTU</t>
  </si>
  <si>
    <t>CHIP CAP 4700PF 10^ 100V X7R T&amp;R</t>
  </si>
  <si>
    <t>LT01-103</t>
  </si>
  <si>
    <t>C0603C474K4RAL7867</t>
  </si>
  <si>
    <t>CHIP CAP 0.47UF 10^ 16V X7R T&amp;R</t>
  </si>
  <si>
    <t>LT01-104</t>
  </si>
  <si>
    <t>C0805C104K1RAC7025</t>
  </si>
  <si>
    <t>CHIP CAP  0.1UF 10^ 100V X7R T&amp;R</t>
  </si>
  <si>
    <t>LT01-105</t>
  </si>
  <si>
    <t>C0805C104K5RACTU</t>
  </si>
  <si>
    <t>FFF004711</t>
  </si>
  <si>
    <t>LT01-106</t>
  </si>
  <si>
    <t>C0805C475K4RAC7025</t>
  </si>
  <si>
    <t>CHIP CAP 4.7UF 10% 16V X7R T&amp;R</t>
  </si>
  <si>
    <t>LT01-107</t>
  </si>
  <si>
    <t>C1210C106K5RACTU</t>
  </si>
  <si>
    <t>CHIP CAP 10UF 10^ 50V X7R T&amp;R</t>
  </si>
  <si>
    <t>WTM</t>
  </si>
  <si>
    <t>CL32B106KBJNNWE</t>
  </si>
  <si>
    <t>SAMSUNG</t>
  </si>
  <si>
    <t>LT01-108</t>
  </si>
  <si>
    <t>CC1210KKX7R0BB334</t>
  </si>
  <si>
    <t>CHIP CAP 0.33UF 10% 100V X7R T&amp;R</t>
  </si>
  <si>
    <t>LT01-109</t>
  </si>
  <si>
    <t>CL05B682KB5NNNC</t>
  </si>
  <si>
    <t>CHIP CAP 6800PF 10% 25V X7R T&amp;R</t>
  </si>
  <si>
    <t>LT01-110</t>
  </si>
  <si>
    <t>CL05C2R7CB5NNNC</t>
  </si>
  <si>
    <t>CHIP CAP 2.7PF +-0.25PF 50V C0G T&amp;R</t>
  </si>
  <si>
    <t>LT01-111</t>
  </si>
  <si>
    <t>CL05C4R7CB5NNNC</t>
  </si>
  <si>
    <t>CHIP CAP 4.7PF 10^ 50V C0G T&amp;R</t>
  </si>
  <si>
    <t>LT01-112</t>
  </si>
  <si>
    <t>CL10B104KO8NNNC</t>
  </si>
  <si>
    <t>CHIP CAP .1UF 10% 16V X7R T&amp;R</t>
  </si>
  <si>
    <t>FFF004739</t>
  </si>
  <si>
    <t>LT01-113</t>
  </si>
  <si>
    <t>CL10B153KB8NNNC</t>
  </si>
  <si>
    <t>CHIP CAP 0.015UF 10% 50V X7R T&amp;R</t>
  </si>
  <si>
    <t>LT01-114</t>
  </si>
  <si>
    <t>CL10C101JB8NNNC</t>
  </si>
  <si>
    <t>CHIP CAP 100PF 5 PER. 50VOLT COG TR</t>
  </si>
  <si>
    <t>FFF004709</t>
  </si>
  <si>
    <t>LT01-115</t>
  </si>
  <si>
    <t>CL31B105KAHNNNE</t>
  </si>
  <si>
    <t>LT01-116</t>
  </si>
  <si>
    <t>CL31B106KOHNNNE</t>
  </si>
  <si>
    <t>CHIP CAP 10UF 10^ 16V X7R T&amp;R</t>
  </si>
  <si>
    <t>LT01-117</t>
  </si>
  <si>
    <t>CL31B225KOHNNNE</t>
  </si>
  <si>
    <t>CHIP CAP 2.2UF 10% 16V X7R T&amp;R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</si>
  <si>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</si>
  <si>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</si>
  <si>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</si>
  <si>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</si>
  <si>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</si>
  <si>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</si>
  <si>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LT01-120</t>
  </si>
  <si>
    <t>CRCW04020000ZSED</t>
  </si>
  <si>
    <t>CHIP RESIS 0 OHM 0% .063W T&amp;R</t>
  </si>
  <si>
    <t>LT01-121</t>
  </si>
  <si>
    <t>CRCW0402100KFKED</t>
  </si>
  <si>
    <t>CHIP RESIS 100 KOHM 1%  T&amp;R</t>
  </si>
  <si>
    <t>LT01-122</t>
  </si>
  <si>
    <t>CRCW0402100RFKED</t>
  </si>
  <si>
    <t>CHIP RESIS 100 OHM 1%  T&amp;R</t>
  </si>
  <si>
    <t>LT01-123</t>
  </si>
  <si>
    <t>CRCW040210K0FKED</t>
  </si>
  <si>
    <t>CHIP RESIS 10 KOHM 1%  T&amp;R</t>
  </si>
  <si>
    <t>FFF004487</t>
  </si>
  <si>
    <t>WPG</t>
  </si>
  <si>
    <t>LT01-124</t>
  </si>
  <si>
    <t>CRCW0402150RFKED</t>
  </si>
  <si>
    <t>CHIP RESIS 150 OHM 1% .063W T&amp;R</t>
  </si>
  <si>
    <t>LT01-125</t>
  </si>
  <si>
    <t>CRCW040218K2FKED</t>
  </si>
  <si>
    <t>CHIP RESIS 18.2KOHM 1^ .063W T&amp;R</t>
  </si>
  <si>
    <t>LT01-126</t>
  </si>
  <si>
    <t>CRCW04021K00FKED</t>
  </si>
  <si>
    <t>CHIP RESIS 1 KOHM 1% T&amp;R</t>
  </si>
  <si>
    <t>FFF004408</t>
  </si>
  <si>
    <t>LT01-127</t>
  </si>
  <si>
    <t>CRCW04021K21FKED</t>
  </si>
  <si>
    <t>CHIP RESIS 1.21KOHM 1% .063W T&amp;R</t>
  </si>
  <si>
    <t>LT01-128</t>
  </si>
  <si>
    <t>CRCW04021K40FKED</t>
  </si>
  <si>
    <t>CHIP RESISTOR 1.4KOHM 1% 0.063W T&amp;R</t>
  </si>
  <si>
    <t>LT01-129</t>
  </si>
  <si>
    <t>CRCW0402200RFKED</t>
  </si>
  <si>
    <t>CHIP RESIS 200 OHM 1% T&amp;R</t>
  </si>
  <si>
    <t>LT01-130</t>
  </si>
  <si>
    <t>CRCW040224R3FKED</t>
  </si>
  <si>
    <t>CHIP RESIS 24.3 OHM 1% .063W T&amp;R</t>
  </si>
  <si>
    <t>LT01-131</t>
  </si>
  <si>
    <t>CRCW04022K00FKED</t>
  </si>
  <si>
    <t>CHIP RESIS 2 KOHM 1%  PB-FREE T&amp;R</t>
  </si>
  <si>
    <t>LT01-132</t>
  </si>
  <si>
    <t>CRCW0402332RFKED</t>
  </si>
  <si>
    <t>CHIP RESIS 332 OHM 1% PB-FREE T&amp;R</t>
  </si>
  <si>
    <t>LT01-133</t>
  </si>
  <si>
    <t>CRCW04023K09FKED</t>
  </si>
  <si>
    <t>CHIP RESIS 3.09KOHM 1^ .063W T&amp;R</t>
  </si>
  <si>
    <t>LT01-134</t>
  </si>
  <si>
    <t>CRCW040249R9FKED</t>
  </si>
  <si>
    <t>CHIP RESIS 49.9 OHM 1% PB-FREE T&amp;R</t>
  </si>
  <si>
    <t>FFF275755</t>
  </si>
  <si>
    <t>LT01-135</t>
  </si>
  <si>
    <t>CRCW04024K02FKED</t>
  </si>
  <si>
    <t>CHIP RESIS 4.02KOHM 1% .063W T&amp;R</t>
  </si>
  <si>
    <t>FFF0275761</t>
  </si>
  <si>
    <t>LT01-136</t>
  </si>
  <si>
    <t>CRCW04024K75FKED</t>
  </si>
  <si>
    <t>CHIP RESISTOR 4.75KOHM 1% 0.063W T&amp;R L-F</t>
  </si>
  <si>
    <t>FFF275589</t>
  </si>
  <si>
    <t>LT01-137</t>
  </si>
  <si>
    <t>CRCW04024K99FKED</t>
  </si>
  <si>
    <t>CHIP RESIS 4.99 KOHM 1% PB-FREE T&amp;R</t>
  </si>
  <si>
    <t>FFF275598</t>
  </si>
  <si>
    <t>LT01-138</t>
  </si>
  <si>
    <t>CRCW0402511RFKED</t>
  </si>
  <si>
    <t>CHIP RESIS 511 OHM 1% .063W T&amp;R</t>
  </si>
  <si>
    <t>LT01-139</t>
  </si>
  <si>
    <t>CRCW04025K11FKED</t>
  </si>
  <si>
    <t>CHIP RESIS 5.11KOHM 1^ .063W T&amp;R</t>
  </si>
  <si>
    <t>FFF275765</t>
  </si>
  <si>
    <t>LT01-140</t>
  </si>
  <si>
    <t>CRCW0402681RFKED</t>
  </si>
  <si>
    <t>CHIP RESIS 681 OHM 1^ .063W T&amp;R</t>
  </si>
  <si>
    <t>LT01-141</t>
  </si>
  <si>
    <t>CRCW0402732RFKED</t>
  </si>
  <si>
    <t>CHIP RESIS 732 OHM 1^ .063W T&amp;R</t>
  </si>
  <si>
    <t>LT01-142</t>
  </si>
  <si>
    <t>CRCW040282R5FKED</t>
  </si>
  <si>
    <t>CHIP RESIS 82.5 OHM 1% .063W T&amp;R</t>
  </si>
  <si>
    <t>LT01-143</t>
  </si>
  <si>
    <t>CRCW06030000Z0EA</t>
  </si>
  <si>
    <t>CHIP JUMPER 1.55X0.85MM T&amp;R</t>
  </si>
  <si>
    <t>FFF004838</t>
  </si>
  <si>
    <t>LT01-144</t>
  </si>
  <si>
    <t>CRCW0603100KFKEA</t>
  </si>
  <si>
    <t>CHIP RESIS 100KOHM 1% .1W T&amp;R</t>
  </si>
  <si>
    <t>FFF004188</t>
  </si>
  <si>
    <t>LT01-145</t>
  </si>
  <si>
    <t>CRCW060310K0FKEA</t>
  </si>
  <si>
    <t>CHIP RESIS 10KOHM 1% .1W T&amp;R</t>
  </si>
  <si>
    <t>FFF003821</t>
  </si>
  <si>
    <t>LT01-146</t>
  </si>
  <si>
    <t>CRCW060310R0FKEA</t>
  </si>
  <si>
    <t>CHIP RESIS 10 OHM 1% .1W T&amp;R</t>
  </si>
  <si>
    <t>FFF003825</t>
  </si>
  <si>
    <t>LT01-147</t>
  </si>
  <si>
    <t>CRCW060311K5FKEA</t>
  </si>
  <si>
    <t>CHIP RESIS 11.5KOHM 1% .1W T&amp;R</t>
  </si>
  <si>
    <t>FFF004211</t>
  </si>
  <si>
    <t>LT01-148</t>
  </si>
  <si>
    <t>CRCW060312K1FKEA</t>
  </si>
  <si>
    <t>CHIP RESIS 12.1KOHM 1% .1W T&amp;R</t>
  </si>
  <si>
    <t>FFF003813</t>
  </si>
  <si>
    <t>LT01-149</t>
  </si>
  <si>
    <t>CRCW060312R1FKEA</t>
  </si>
  <si>
    <t>CHIP RESIS 12.1 OHM 1% .1W T&amp;R</t>
  </si>
  <si>
    <t>FFF003881</t>
  </si>
  <si>
    <t>LT01-150</t>
  </si>
  <si>
    <t>CRCW060313K3FKEA</t>
  </si>
  <si>
    <t>CHIP RESIS 13.3KOHM 1^ .1W T&amp;R</t>
  </si>
  <si>
    <t>LT01-151</t>
  </si>
  <si>
    <t>CRCW06031K00FKEA</t>
  </si>
  <si>
    <t>CHIP RESIS 1KOHM 1% .1W T&amp;R</t>
  </si>
  <si>
    <t>FFF004310</t>
  </si>
  <si>
    <t>LT01-152</t>
  </si>
  <si>
    <t>CRCW06031K30FKEA</t>
  </si>
  <si>
    <t>CHIP RESIS 1.3KOHM 1^ .1W T&amp;R</t>
  </si>
  <si>
    <t>FFF004388</t>
  </si>
  <si>
    <t>LT01-153</t>
  </si>
  <si>
    <t>CRCW0603200KFKEA</t>
  </si>
  <si>
    <t>CHIP RESIS 200KOHM 1% .1W T&amp;R</t>
  </si>
  <si>
    <t>FFF004308</t>
  </si>
  <si>
    <t>LT01-154</t>
  </si>
  <si>
    <t>CRCW0603200RFKEA</t>
  </si>
  <si>
    <t>CHIP RESIS 200 OHM 1% PB-FREE T&amp;R</t>
  </si>
  <si>
    <t>FFF004222</t>
  </si>
  <si>
    <t>LT01-155</t>
  </si>
  <si>
    <t>CRCW0603287KFKEA</t>
  </si>
  <si>
    <t>CHIP RESIS 287KOHM 1^ .1W T&amp;R</t>
  </si>
  <si>
    <t>FFF004315</t>
  </si>
  <si>
    <t>LT01-156</t>
  </si>
  <si>
    <t>CRCW06032K49FKEA</t>
  </si>
  <si>
    <t>CHIP RESIS 2.49KOHM 1% .1W T&amp;R</t>
  </si>
  <si>
    <t>FFF004492</t>
  </si>
  <si>
    <t>LT01-157</t>
  </si>
  <si>
    <t>CRCW060333K2FKEA</t>
  </si>
  <si>
    <t>CHIP RESIS 33.2KOHM 1% .1W T&amp;R</t>
  </si>
  <si>
    <t>FFF004270</t>
  </si>
  <si>
    <t>LT01-158</t>
  </si>
  <si>
    <t>CRCW0603383KFKEA</t>
  </si>
  <si>
    <t>CHIP RESIS 383KOHM 1^ .1W T&amp;R</t>
  </si>
  <si>
    <t>LT01-159</t>
  </si>
  <si>
    <t>CRCW060338K3FKEA</t>
  </si>
  <si>
    <t>CHIP RESIS 38.3KOHM 1^ .1W T&amp;R</t>
  </si>
  <si>
    <t>FFF004209</t>
  </si>
  <si>
    <t>LT01-160</t>
  </si>
  <si>
    <t>CRCW06033K16FKEA</t>
  </si>
  <si>
    <t>CHIP RESIS 3.16KOHM 1% .1W T&amp;R</t>
  </si>
  <si>
    <t>FFF004141</t>
  </si>
  <si>
    <t>LT01-161</t>
  </si>
  <si>
    <t>CRCW06033K32FKEA</t>
  </si>
  <si>
    <t>CHIP RESIS 3.32KOHM 1% PB-FREE T&amp;R</t>
  </si>
  <si>
    <t>FFF003932</t>
  </si>
  <si>
    <t>LT01-162</t>
  </si>
  <si>
    <t>CRCW060343R2FKEA</t>
  </si>
  <si>
    <t>CHIP RESIS 43.2 OHM 1% .1W T&amp;R</t>
  </si>
  <si>
    <t>FFF003849</t>
  </si>
  <si>
    <t>LT01-163</t>
  </si>
  <si>
    <t>CRCW060349R9FKEA</t>
  </si>
  <si>
    <t>CHIP RESIS 49.9 OHM 1% .1W T&amp;R</t>
  </si>
  <si>
    <t>FFF003946</t>
  </si>
  <si>
    <t>LT01-164</t>
  </si>
  <si>
    <t>CRCW06034K75FKEA</t>
  </si>
  <si>
    <t>CHIP RESIS 4.75KOHM 1% .1W T&amp;R</t>
  </si>
  <si>
    <t>FFF004174</t>
  </si>
  <si>
    <t>LT01-165</t>
  </si>
  <si>
    <t>CRCW06034K99FKEA</t>
  </si>
  <si>
    <t>CHIP RESIS 4.99KOHM 1% PB-FREE T&amp;</t>
  </si>
  <si>
    <t>FFF004130</t>
  </si>
  <si>
    <t>LT01-166</t>
  </si>
  <si>
    <t>CRCW0603511RFKEA</t>
  </si>
  <si>
    <t>CHIP RESIS 511 OHM 1^ .1W T&amp;R</t>
  </si>
  <si>
    <t>LT01-167</t>
  </si>
  <si>
    <t>CRCW060353K6FKEA</t>
  </si>
  <si>
    <t>CHIP RESIS 53.6KOHM 1% .1W T&amp;R</t>
  </si>
  <si>
    <t>LT01-168</t>
  </si>
  <si>
    <t>CRCW060354R9FKEA</t>
  </si>
  <si>
    <t>CHIP RESIS 54.9 OHM 1^ .1W T&amp;R</t>
  </si>
  <si>
    <t>FFF004418</t>
  </si>
  <si>
    <t>LT01-169</t>
  </si>
  <si>
    <t>CRCW060356K2FKEA</t>
  </si>
  <si>
    <t>CHIP RESIS 56.2KOHM 1% .1W T&amp;R</t>
  </si>
  <si>
    <t>FFF004290</t>
  </si>
  <si>
    <t>LT01-170</t>
  </si>
  <si>
    <t>CRCW060371R5FKEA</t>
  </si>
  <si>
    <t>CHIP RESIS 71.5 OHM 1% .1W T&amp;R</t>
  </si>
  <si>
    <t>FFF004005</t>
  </si>
  <si>
    <t>LT01-171</t>
  </si>
  <si>
    <t>CRCW060375R0FKEA</t>
  </si>
  <si>
    <t>CHIP RESIS 75 OHM 1% .1W T&amp;R</t>
  </si>
  <si>
    <t>FFF004392</t>
  </si>
  <si>
    <t>LT01-172</t>
  </si>
  <si>
    <t>CRCW0603806RFKEA</t>
  </si>
  <si>
    <t>CHIP RESIS 806 OHM 1% .1W T&amp;R</t>
  </si>
  <si>
    <t>FFF004108</t>
  </si>
  <si>
    <t>LT01-173</t>
  </si>
  <si>
    <t>CRCW12067K15FKEA</t>
  </si>
  <si>
    <t>CHIP RESIS 7.15KOHM 1^ .25W T&amp;R</t>
  </si>
  <si>
    <t>LT01-174</t>
  </si>
  <si>
    <t>CRCW251275R0FKEG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</si>
  <si>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</si>
  <si>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</si>
  <si>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</si>
  <si>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</si>
  <si>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</si>
  <si>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</si>
  <si>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DS26LV32ATM/NOPB</t>
  </si>
  <si>
    <t>IC INTFACE 3V, QUAD LINE REC DIFF IN</t>
  </si>
  <si>
    <t>LT01-177</t>
  </si>
  <si>
    <t>DS620U+TR</t>
  </si>
  <si>
    <t>IC DIGITAL THERMOMETER T&amp;R</t>
  </si>
  <si>
    <t>MAXIM INTEGRATED PRODUCTS, INC</t>
  </si>
  <si>
    <t>ARROW RAPAC</t>
  </si>
  <si>
    <t>LT01-178</t>
  </si>
  <si>
    <t>EPCQ64ASI16N</t>
  </si>
  <si>
    <t>IC QUAD-SERIAL CONFIGURATION DEVICE</t>
  </si>
  <si>
    <t>LT01-179</t>
  </si>
  <si>
    <t>FM25V20A-DG</t>
  </si>
  <si>
    <t>IC 2MB SERIAL F-RAM MEMORY</t>
  </si>
  <si>
    <t>INFINEON TECHNOLOGIES AG</t>
  </si>
  <si>
    <t>MACNICA</t>
  </si>
  <si>
    <t>MACNICA/ARROW RAPAC</t>
  </si>
  <si>
    <t>LT01-180</t>
  </si>
  <si>
    <t>FT245RL</t>
  </si>
  <si>
    <t>IC USB FIFO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</si>
  <si>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</si>
  <si>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</si>
  <si>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</si>
  <si>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</si>
  <si>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</si>
  <si>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</si>
  <si>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GRM155R70J105KA12D</t>
  </si>
  <si>
    <t>CHIP CAP 1UF 10% 6.3V X7R T&amp;R</t>
  </si>
  <si>
    <t>LT01-183</t>
  </si>
  <si>
    <t>GRM155R71C104KA88D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</si>
  <si>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</si>
  <si>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</si>
  <si>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</si>
  <si>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</si>
  <si>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</si>
  <si>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</si>
  <si>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</si>
  <si>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</si>
  <si>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GRM32ER71E226KE15L</t>
  </si>
  <si>
    <t>CHIP CAP 22UF 10% 25V CERAMIC T&amp;R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</si>
  <si>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</si>
  <si>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</si>
  <si>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</si>
  <si>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</si>
  <si>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</si>
  <si>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</si>
  <si>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</si>
  <si>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</si>
  <si>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</si>
  <si>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</si>
  <si>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</si>
  <si>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</si>
  <si>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</si>
  <si>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</si>
  <si>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LT01-191</t>
  </si>
  <si>
    <t>HSMG-C150</t>
  </si>
  <si>
    <t>CHIP LED GREEN</t>
  </si>
  <si>
    <t>LT01-192</t>
  </si>
  <si>
    <t>IHLP2525CZER1R0M01</t>
  </si>
  <si>
    <t>INDUCTOR 1UH 20PC SHIELDED T&amp;R</t>
  </si>
  <si>
    <t>LT01-193</t>
  </si>
  <si>
    <t>IRLB4030PBF</t>
  </si>
  <si>
    <t>HEXFET POWER MOSFET 100V  180A</t>
  </si>
  <si>
    <t>LT01-194</t>
  </si>
  <si>
    <t>ISPPACPOWR1014A01TN48ITR</t>
  </si>
  <si>
    <t>IC PROG.P.S SUPERVISOR&amp;SEQUENC.CONTR T&amp;R</t>
  </si>
  <si>
    <t>LATTICE SEMICONDUCTOR CORPORATION</t>
  </si>
  <si>
    <t>LT01-195</t>
  </si>
  <si>
    <t>JCM2900T3400S18-ASC</t>
  </si>
  <si>
    <t>CIRCULATOR RF 2.9G-3.4GHZ CW SMT</t>
  </si>
  <si>
    <t>JQL  ELECTRONICS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</si>
  <si>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</si>
  <si>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</si>
  <si>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</si>
  <si>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</si>
  <si>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</si>
  <si>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</si>
  <si>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</si>
  <si>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</si>
  <si>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</si>
  <si>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</si>
  <si>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</si>
  <si>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LM5113SDX/NOPB</t>
  </si>
  <si>
    <t>IC GATE DRIVER 100V 1.2A/5A T&amp;R</t>
  </si>
  <si>
    <t>LT01-200</t>
  </si>
  <si>
    <t>LOCTITE 222-50CC</t>
  </si>
  <si>
    <t>SEALING LOCKING ANAEROBIC COMPOUND, SING</t>
  </si>
  <si>
    <t>FFF016923</t>
  </si>
  <si>
    <t>HENKEL CORPORATION</t>
  </si>
  <si>
    <t>ELLSWORTH</t>
  </si>
  <si>
    <t>LT01-201</t>
  </si>
  <si>
    <t>LOCTITE 263-50CC</t>
  </si>
  <si>
    <t>THREADLOCKING COMPOUND,DIMETHACRYLATE ES</t>
  </si>
  <si>
    <t>FFF016910</t>
  </si>
  <si>
    <t>LT01-202</t>
  </si>
  <si>
    <t>LQW15AN15NG80D</t>
  </si>
  <si>
    <t>CHIP COIL 15NH +/-2% T&amp;R</t>
  </si>
  <si>
    <t>LT01-203</t>
  </si>
  <si>
    <t>LT1764EQ#PBF</t>
  </si>
  <si>
    <t>IC LINEAR  ADJ VOLTAGE REG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</si>
  <si>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</si>
  <si>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</si>
  <si>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</si>
  <si>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</si>
  <si>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</si>
  <si>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</si>
  <si>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</si>
  <si>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</si>
  <si>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</si>
  <si>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</si>
  <si>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LT01-207</t>
  </si>
  <si>
    <t>LTM8049IY</t>
  </si>
  <si>
    <t>CONVERTER DC/DC 2.6-20VIN 2.5-24VOUT 1A</t>
  </si>
  <si>
    <t>LT01-208</t>
  </si>
  <si>
    <t>M80-331</t>
  </si>
  <si>
    <t>CONNECTOR,ELECTRIC,RECTANGULAR,QTH,GROUN</t>
  </si>
  <si>
    <t>HARWIN PIC</t>
  </si>
  <si>
    <t>LT01-209</t>
  </si>
  <si>
    <t>MADP-011104-TR0500</t>
  </si>
  <si>
    <t>PIN DIODE HIGH POWER 50MHZ-4GHZ T&amp;R</t>
  </si>
  <si>
    <t>M/A-COM TECHNOLOGY SOLUTIONS</t>
  </si>
  <si>
    <t>LT01-210</t>
  </si>
  <si>
    <t>MAX8557ETE+T</t>
  </si>
  <si>
    <t>IC VOLTAGE REGULATOR ADJ. 4A T&amp;R</t>
  </si>
  <si>
    <t>w</t>
  </si>
  <si>
    <t>LT01-212</t>
  </si>
  <si>
    <t>MI0603J601R-10</t>
  </si>
  <si>
    <t>EMI FERRITE CHIP BEAD</t>
  </si>
  <si>
    <t>LAIRD TECHNOLOGIES SRO</t>
  </si>
  <si>
    <t>LT01-213</t>
  </si>
  <si>
    <t>MIC4427YM TR</t>
  </si>
  <si>
    <t>IC DUAL MOSFET DRIVER</t>
  </si>
  <si>
    <t>MICROCHIP TECHNOLOGY INC</t>
  </si>
  <si>
    <t>LT01-214</t>
  </si>
  <si>
    <t>MM3Z5V1T1G</t>
  </si>
  <si>
    <t>DIODE  ZENER 5.1V T&amp;R LEAD-FREE</t>
  </si>
  <si>
    <t>ON SEMICONDUCTOR</t>
  </si>
  <si>
    <t>LT01-215</t>
  </si>
  <si>
    <t>MMBT2222ALT1G</t>
  </si>
  <si>
    <t>TRANSISTOR NPN T&amp;R</t>
  </si>
  <si>
    <t>LT01-216</t>
  </si>
  <si>
    <t>MS16995-1</t>
  </si>
  <si>
    <t>SCREW,CAP HEAD,HEX SOCKET RECESS,FULL SH</t>
  </si>
  <si>
    <t>NAS/NASM NATIONAL AEROSPACE STD</t>
  </si>
  <si>
    <t>KAYTECH</t>
  </si>
  <si>
    <t>LT01-217</t>
  </si>
  <si>
    <t>MS16995-3</t>
  </si>
  <si>
    <t>LT01-218</t>
  </si>
  <si>
    <t>MS35338-134</t>
  </si>
  <si>
    <t>WASHER,LOCK,HELICAL SPRING,REGULAR (MEDI</t>
  </si>
  <si>
    <t>LT01-219</t>
  </si>
  <si>
    <t>MS35338-135</t>
  </si>
  <si>
    <t>LT01-220</t>
  </si>
  <si>
    <t>MS51957-141</t>
  </si>
  <si>
    <t>SCREW,MACHINE,PAN HEAD,CRUCIFORM RECESS</t>
  </si>
  <si>
    <t>MS MILITARY STANDARDS</t>
  </si>
  <si>
    <t>LT01-221</t>
  </si>
  <si>
    <t>MS51957-15</t>
  </si>
  <si>
    <t>SCREW MACHINE PAN HEAD CRUCIFORM RECESS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</si>
  <si>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</si>
  <si>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</si>
  <si>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</si>
  <si>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</si>
  <si>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</si>
  <si>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</si>
  <si>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</si>
  <si>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</si>
  <si>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</si>
  <si>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</si>
  <si>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</si>
  <si>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</si>
  <si>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</si>
  <si>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</si>
  <si>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</si>
  <si>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</si>
  <si>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</si>
  <si>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</si>
  <si>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</si>
  <si>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</si>
  <si>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</si>
  <si>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</si>
  <si>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</si>
  <si>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</si>
  <si>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</si>
  <si>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</si>
  <si>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</si>
  <si>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</si>
  <si>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</si>
  <si>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</si>
  <si>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</si>
  <si>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</si>
  <si>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</si>
  <si>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</si>
  <si>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</si>
  <si>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NC7SZ04P5X-L22057</t>
  </si>
  <si>
    <t>IC DIG UHS INVERTER T&amp;R</t>
  </si>
  <si>
    <t>FAIRCHILD SEMICONDUCTOR</t>
  </si>
  <si>
    <t>LT01-237</t>
  </si>
  <si>
    <t>NC7SZ08M5X-L22090</t>
  </si>
  <si>
    <t>IC 2-IN AND GATE TAPE&amp;REEL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</si>
  <si>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</si>
  <si>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</si>
  <si>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</si>
  <si>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</si>
  <si>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</si>
  <si>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</si>
  <si>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</si>
  <si>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</si>
  <si>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</si>
  <si>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</si>
  <si>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</si>
  <si>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</si>
  <si>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</si>
  <si>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</si>
  <si>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</si>
  <si>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</si>
  <si>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NGC-1206CS50R0G</t>
  </si>
  <si>
    <t>CHIP RESISTOR HIGH POWER 50 OHM 2%</t>
  </si>
  <si>
    <t>INTERNATIONAL MANUFACTURING SERVICE</t>
  </si>
  <si>
    <t>NEXTWAVE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</si>
  <si>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</si>
  <si>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</si>
  <si>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</si>
  <si>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</si>
  <si>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</si>
  <si>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</si>
  <si>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</si>
  <si>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</si>
  <si>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PTL-9-724</t>
  </si>
  <si>
    <t>HIGH TEMPERATURE POLYIMIDE LABEL,WIDE</t>
  </si>
  <si>
    <t>BRADY W.H. INDUSTRIAL PRODUCTS DIV.</t>
  </si>
  <si>
    <t>AVDOR HELET</t>
  </si>
  <si>
    <t>LT01-247</t>
  </si>
  <si>
    <t>REF192ESZ-REEL7</t>
  </si>
  <si>
    <t>IC VOLTAGE REF. 2.5V T&amp;R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</si>
  <si>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</si>
  <si>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</si>
  <si>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</si>
  <si>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</si>
  <si>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</si>
  <si>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</si>
  <si>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</si>
  <si>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</si>
  <si>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</si>
  <si>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</si>
  <si>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</si>
  <si>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</si>
  <si>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</si>
  <si>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</si>
  <si>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</si>
  <si>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</si>
  <si>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</si>
  <si>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</si>
  <si>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</si>
  <si>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SMBJ5.0AE3/52</t>
  </si>
  <si>
    <t>DIODE TRANSIENT SUPRESSOR 5V T&amp;R</t>
  </si>
  <si>
    <t>FFF002027</t>
  </si>
  <si>
    <t>LT01-254</t>
  </si>
  <si>
    <t>SMBJ8.0A-E3/52</t>
  </si>
  <si>
    <t>TRANSIENT ABSORPTION ZENER 8V,600W T&amp;R</t>
  </si>
  <si>
    <t>LT01-255</t>
  </si>
  <si>
    <t>SMF45A</t>
  </si>
  <si>
    <t>DIODE TVS 200W T&amp;R</t>
  </si>
  <si>
    <t>LITTELFUSE INC</t>
  </si>
  <si>
    <t>LT01-256</t>
  </si>
  <si>
    <t>SMT2010TALN</t>
  </si>
  <si>
    <t>SURFACE MOUNT TERMINATION DC-4GHZ</t>
  </si>
  <si>
    <t>SMITHS INTERCONNECT AMERICAS,</t>
  </si>
  <si>
    <t>RFMW</t>
  </si>
  <si>
    <t>LT01-257</t>
  </si>
  <si>
    <t>SMT252503ALN2F</t>
  </si>
  <si>
    <t>SURFACE MOUNT TERMINATION DC-4GHZ T&amp;R</t>
  </si>
  <si>
    <t>LT01-258</t>
  </si>
  <si>
    <t>SN74LV4T125PWR</t>
  </si>
  <si>
    <t>IC QUADRUPLE BUFFER TRANSLATOR T&amp;R</t>
  </si>
  <si>
    <t>LT01-259</t>
  </si>
  <si>
    <t>SN74LVCH244APW</t>
  </si>
  <si>
    <t>IC OCTAL BUFFERS/DRIVERS</t>
  </si>
  <si>
    <t>LT01-260</t>
  </si>
  <si>
    <t>SOLC-125-02-S-Q-A-K-TR</t>
  </si>
  <si>
    <t>CONN RCET MISC 100 SKT SMT, QUAD ROW,</t>
  </si>
  <si>
    <t>LT01-261</t>
  </si>
  <si>
    <t>SS4155 1PT</t>
  </si>
  <si>
    <t>PRIMER FOR RTV SILICONE RUBBER ADHESIVE</t>
  </si>
  <si>
    <t>LT01-262</t>
  </si>
  <si>
    <t>T55B107M6R3C0040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</si>
  <si>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</si>
  <si>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</si>
  <si>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</si>
  <si>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</si>
  <si>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</si>
  <si>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</si>
  <si>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LT01-264</t>
  </si>
  <si>
    <t>TPS7A3001DGNT</t>
  </si>
  <si>
    <t>IC LINEAR REGULATOR NEGATIVE ADJ. T&amp;R</t>
  </si>
  <si>
    <t>LT01-265</t>
  </si>
  <si>
    <t>TPS7A8001DRBR</t>
  </si>
  <si>
    <t>IC VOLTAGE REGULATOR 1A T&amp;R</t>
  </si>
  <si>
    <t>LT01-266</t>
  </si>
  <si>
    <t>TQL9092</t>
  </si>
  <si>
    <t>ULTRA LOW NOISE FLAT GAIN LNA 0.6-4.2GHZ</t>
  </si>
  <si>
    <t>QORVO US, INC</t>
  </si>
  <si>
    <t>QORVO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</si>
  <si>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</si>
  <si>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</si>
  <si>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</si>
  <si>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</si>
  <si>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</si>
  <si>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</si>
  <si>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</si>
  <si>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</si>
  <si>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</si>
  <si>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</si>
  <si>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</si>
  <si>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</si>
  <si>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</si>
  <si>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</si>
  <si>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</si>
  <si>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</si>
  <si>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</si>
  <si>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TS0501W3S/TR</t>
  </si>
  <si>
    <t>CHIP ATT. 1DB DC-18GHZ 0.1W 50OHM T&amp;R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</si>
  <si>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</si>
  <si>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</si>
  <si>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</si>
  <si>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</si>
  <si>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</si>
  <si>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</si>
  <si>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</si>
  <si>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</si>
  <si>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</si>
  <si>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</si>
  <si>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</si>
  <si>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</si>
  <si>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</si>
  <si>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WSL25125L000FEA</t>
  </si>
  <si>
    <t>CHIP RESIS 0.005 OHM 1^ T&amp;R</t>
  </si>
  <si>
    <t>VISHAY DALE ELECTRONICS</t>
  </si>
  <si>
    <t>CGHV35060MP</t>
  </si>
  <si>
    <t>TGA2731-SM</t>
  </si>
  <si>
    <t>1097R500-001</t>
  </si>
  <si>
    <t>1097R510-001</t>
  </si>
  <si>
    <t>CGHV35400F1</t>
  </si>
  <si>
    <t>1096M146-001</t>
  </si>
  <si>
    <t>1096M147-001</t>
  </si>
  <si>
    <t>1096M186-001</t>
  </si>
  <si>
    <t xml:space="preserve">ELIPSE-63906/BFE-7000 </t>
  </si>
  <si>
    <t xml:space="preserve">ELIPSE-63456 /BFE-7000 </t>
  </si>
  <si>
    <t xml:space="preserve">Avnet Components-63906/BFE-7000 </t>
  </si>
  <si>
    <t xml:space="preserve">Avnet Components-63456 /BFE-7000 </t>
  </si>
  <si>
    <t>ECOMAL / Phoenix</t>
  </si>
  <si>
    <t>Boardtek/Sanmina/Chin Poon</t>
  </si>
  <si>
    <t>TS0303W3S</t>
  </si>
  <si>
    <t>N80406887</t>
  </si>
  <si>
    <t>ATTENUATOR DC-15GHZ 3DB 2WATT 50 OHM</t>
  </si>
  <si>
    <t>TS0309W3S</t>
  </si>
  <si>
    <t>TS0308W3</t>
  </si>
  <si>
    <t>LT01-299</t>
  </si>
  <si>
    <t>LT01-300</t>
  </si>
  <si>
    <t>BFE-7000</t>
  </si>
  <si>
    <t>LT01-301</t>
  </si>
  <si>
    <t>LT01-302</t>
  </si>
  <si>
    <t>LT01-303</t>
  </si>
  <si>
    <t>LT01-304</t>
  </si>
  <si>
    <t>LT01-305</t>
  </si>
  <si>
    <t>CRCW060351R1FKEA</t>
  </si>
  <si>
    <t>CHIP RESIS 51.1 OHM 1% .1W T&amp;R</t>
  </si>
  <si>
    <t>401459284</t>
  </si>
  <si>
    <t>Buy</t>
  </si>
  <si>
    <t>N80412190</t>
  </si>
  <si>
    <t>ATTENUATOR DC-15GHZ 9DB 2WATT 50 OHM</t>
  </si>
  <si>
    <t>N80411481</t>
  </si>
  <si>
    <t>ATTENUATOR DC-15GHZ 8DB 2WATT 50 OHM</t>
  </si>
  <si>
    <t>Mouser</t>
  </si>
  <si>
    <t>RFMW/Starlight</t>
  </si>
  <si>
    <t>price</t>
  </si>
  <si>
    <t>ספק</t>
  </si>
  <si>
    <t>1096M187-001</t>
  </si>
  <si>
    <t>PN</t>
  </si>
  <si>
    <t>LEVEL</t>
  </si>
  <si>
    <t>PROJECT PLAN</t>
  </si>
  <si>
    <t>ETA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</si>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</sst>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 * #,##0.0000_ ;_ * \-#,##0.0000_ ;_ * &quot;-&quot;??_ ;_ @_ "/>
    <numFmt numFmtId="167" formatCode="_ * #,##0_ ;_ * \-#,##0_ ;_ * &quot;-&quot;??_ ;_ @_ "/>
    <numFmt numFmtId="168" formatCode="yyyy\-mm"/>
  </numFmts>
  <fonts count="13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3">
    <xf numFmtId="0" fontId="0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" fillId="0" borderId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2" fillId="7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2" xfId="0" applyFont="1" applyBorder="1"/>
    <xf numFmtId="0" fontId="2" fillId="2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8" fontId="3" fillId="4" borderId="6" xfId="0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167" fontId="2" fillId="0" borderId="2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left" vertical="center"/>
    </xf>
    <xf numFmtId="0" fontId="0" fillId="3" borderId="3" xfId="0" applyFill="1" applyBorder="1"/>
    <xf numFmtId="0" fontId="7" fillId="9" borderId="3" xfId="0" applyFont="1" applyFill="1" applyBorder="1"/>
    <xf numFmtId="0" fontId="0" fillId="9" borderId="3" xfId="0" applyFill="1" applyBorder="1"/>
    <xf numFmtId="166" fontId="2" fillId="3" borderId="3" xfId="1" applyNumberFormat="1" applyFont="1" applyFill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66" fontId="2" fillId="0" borderId="3" xfId="1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13" borderId="3" xfId="0" applyFill="1" applyBorder="1"/>
    <xf numFmtId="0" fontId="2" fillId="13" borderId="3" xfId="0" applyFont="1" applyFill="1" applyBorder="1" applyAlignment="1">
      <alignment horizontal="center" vertical="center"/>
    </xf>
    <xf numFmtId="166" fontId="2" fillId="13" borderId="3" xfId="1" applyNumberFormat="1" applyFont="1" applyFill="1" applyBorder="1" applyAlignment="1">
      <alignment horizontal="center" vertical="center"/>
    </xf>
    <xf numFmtId="0" fontId="9" fillId="0" borderId="3" xfId="0" applyFont="1" applyBorder="1"/>
    <xf numFmtId="0" fontId="10" fillId="0" borderId="3" xfId="0" applyFont="1" applyBorder="1" applyAlignment="1">
      <alignment horizontal="center" vertical="center"/>
    </xf>
    <xf numFmtId="0" fontId="8" fillId="0" borderId="3" xfId="0" applyFont="1" applyBorder="1"/>
    <xf numFmtId="0" fontId="10" fillId="0" borderId="3" xfId="0" applyFont="1" applyBorder="1" applyAlignment="1">
      <alignment horizontal="left" vertical="center"/>
    </xf>
    <xf numFmtId="166" fontId="10" fillId="0" borderId="3" xfId="1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166" fontId="2" fillId="15" borderId="6" xfId="1" applyNumberFormat="1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8" fontId="3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0" fontId="2" fillId="11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8" fillId="0" borderId="0" xfId="0" applyFont="1"/>
    <xf numFmtId="2" fontId="4" fillId="3" borderId="0" xfId="0" applyNumberFormat="1" applyFont="1" applyFill="1" applyAlignment="1">
      <alignment horizontal="center"/>
    </xf>
    <xf numFmtId="166" fontId="0" fillId="0" borderId="0" xfId="1" applyNumberFormat="1" applyFont="1" applyBorder="1"/>
    <xf numFmtId="0" fontId="0" fillId="2" borderId="0" xfId="0" applyFill="1" applyAlignment="1">
      <alignment horizontal="center" vertical="top" wrapText="1"/>
    </xf>
    <xf numFmtId="166" fontId="0" fillId="0" borderId="0" xfId="1" applyNumberFormat="1" applyFont="1" applyFill="1" applyBorder="1"/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167" fontId="2" fillId="0" borderId="0" xfId="1" applyNumberFormat="1" applyFont="1" applyBorder="1" applyAlignment="1">
      <alignment horizontal="center" vertical="center"/>
    </xf>
    <xf numFmtId="0" fontId="7" fillId="0" borderId="0" xfId="0" applyFont="1"/>
    <xf numFmtId="168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23">
    <cellStyle name="Comma" xfId="1" builtinId="3"/>
    <cellStyle name="Comma 2" xfId="2" xr:uid="{00000000-0005-0000-0000-000007000000}"/>
    <cellStyle name="Comma 2 2" xfId="7" xr:uid="{00000000-0005-0000-0000-00000C000000}"/>
    <cellStyle name="Comma 3" xfId="4" xr:uid="{00000000-0005-0000-0000-000009000000}"/>
    <cellStyle name="Comma 4" xfId="6" xr:uid="{00000000-0005-0000-0000-00000B000000}"/>
    <cellStyle name="Comma 5" xfId="8" xr:uid="{00000000-0005-0000-0000-00000D000000}"/>
    <cellStyle name="Comma 6" xfId="13" xr:uid="{00000000-0005-0000-0000-000012000000}"/>
    <cellStyle name="Comma 6 2" xfId="17" xr:uid="{00000000-0005-0000-0000-000016000000}"/>
    <cellStyle name="Comma 6 3" xfId="19" xr:uid="{00000000-0005-0000-0000-000018000000}"/>
    <cellStyle name="Comma 6 4" xfId="21" xr:uid="{00000000-0005-0000-0000-00001A000000}"/>
    <cellStyle name="Normal" xfId="0" builtinId="0"/>
    <cellStyle name="Normal 2" xfId="3" xr:uid="{00000000-0005-0000-0000-000008000000}"/>
    <cellStyle name="Normal 2 2" xfId="11" xr:uid="{00000000-0005-0000-0000-000010000000}"/>
    <cellStyle name="Normal 3" xfId="5" xr:uid="{00000000-0005-0000-0000-00000A000000}"/>
    <cellStyle name="Normal 3 2" xfId="14" xr:uid="{00000000-0005-0000-0000-000013000000}"/>
    <cellStyle name="Normal 3 3" xfId="22" xr:uid="{00000000-0005-0000-0000-00001B000000}"/>
    <cellStyle name="Normal 4" xfId="9" xr:uid="{00000000-0005-0000-0000-00000E000000}"/>
    <cellStyle name="Normal 4 2" xfId="10" xr:uid="{00000000-0005-0000-0000-00000F000000}"/>
    <cellStyle name="Normal 5" xfId="12" xr:uid="{00000000-0005-0000-0000-000011000000}"/>
    <cellStyle name="Normal 5 2" xfId="16" xr:uid="{00000000-0005-0000-0000-000015000000}"/>
    <cellStyle name="Normal 5 3" xfId="18" xr:uid="{00000000-0005-0000-0000-000017000000}"/>
    <cellStyle name="Normal 5 4" xfId="20" xr:uid="{00000000-0005-0000-0000-000019000000}"/>
    <cellStyle name="Normal 6" xfId="15" xr:uid="{00000000-0005-0000-0000-000014000000}"/>
  </cellStyles>
  <dxfs count="4">
    <dxf>
      <font>
        <color theme="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3CC-C47B-4769-B01A-224838069E86}">
  <sheetPr codeName="Sheet1"/>
  <dimension ref="A1:FO343"/>
  <sheetViews>
    <sheetView showGridLines="0" tabSelected="1" topLeftCell="AK18" zoomScaleNormal="100" workbookViewId="0">
      <selection activeCell="AK35" sqref="AK35"/>
    </sheetView>
  </sheetViews>
  <sheetFormatPr defaultColWidth="8.7109375" defaultRowHeight="12.75" x14ac:dyDescent="0.2"/>
  <cols>
    <col min="1" max="1" width="7.7109375" bestFit="1" customWidth="1"/>
    <col min="2" max="2" width="9.7109375" bestFit="1" customWidth="1"/>
    <col min="3" max="3" width="27.7109375" bestFit="1" customWidth="1"/>
    <col min="4" max="4" width="6" customWidth="1"/>
    <col min="5" max="5" width="11.7109375" customWidth="1"/>
    <col min="6" max="6" width="54" bestFit="1" customWidth="1"/>
    <col min="7" max="7" width="15.7109375" customWidth="1"/>
    <col min="8" max="8" width="5.28515625" customWidth="1"/>
    <col min="9" max="9" width="10.28515625" style="75" customWidth="1"/>
    <col min="10" max="10" width="16.42578125" style="75" customWidth="1"/>
    <col min="11" max="25" width="10.28515625" style="75" customWidth="1"/>
    <col min="26" max="26" width="17.140625" style="75" customWidth="1"/>
    <col min="27" max="37" width="10.28515625" style="75" customWidth="1"/>
    <col min="38" max="38" width="13.28515625" style="75" customWidth="1"/>
    <col min="39" max="39" width="17.7109375" customWidth="1"/>
    <col min="40" max="40" width="25" customWidth="1"/>
    <col min="41" max="41" width="18.42578125" customWidth="1"/>
    <col min="42" max="42" width="16.42578125" style="85" customWidth="1"/>
    <col min="43" max="47" width="11.7109375" customWidth="1"/>
    <col min="48" max="83" width="16.7109375" customWidth="1"/>
    <col min="84" max="85" width="19.28515625" customWidth="1"/>
    <col min="86" max="86" width="13.28515625" bestFit="1" customWidth="1"/>
    <col min="87" max="88" width="14.28515625" customWidth="1"/>
    <col min="89" max="89" width="8.7109375" customWidth="1"/>
    <col min="90" max="105" width="14.28515625" customWidth="1"/>
    <col min="106" max="127" width="8.7109375" customWidth="1"/>
    <col min="128" max="129" width="19.28515625" customWidth="1"/>
    <col min="130" max="130" width="13.28515625" bestFit="1" customWidth="1"/>
    <col min="131" max="132" width="14.28515625" customWidth="1"/>
    <col min="134" max="149" width="14.28515625" customWidth="1"/>
  </cols>
  <sheetData>
    <row r="1" spans="1:171" ht="15" x14ac:dyDescent="0.25">
      <c r="A1" s="70"/>
      <c r="B1" s="70"/>
      <c r="C1" s="70"/>
      <c r="D1" s="70"/>
      <c r="E1" s="70"/>
      <c r="F1" s="70"/>
      <c r="G1" s="70"/>
      <c r="H1" s="70"/>
      <c r="I1" s="70"/>
      <c r="J1" s="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70"/>
      <c r="AL1" s="70"/>
      <c r="AM1" s="70"/>
      <c r="AN1" s="70"/>
      <c r="AO1" s="73"/>
      <c r="AP1" s="71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</row>
    <row r="2" spans="1:171" ht="15" x14ac:dyDescent="0.25">
      <c r="A2" s="70"/>
      <c r="B2" s="70"/>
      <c r="C2" s="70"/>
      <c r="D2" s="70"/>
      <c r="E2" s="70"/>
      <c r="F2" s="70"/>
      <c r="G2" s="70"/>
      <c r="H2" s="70"/>
      <c r="I2" s="70"/>
      <c r="J2" s="3"/>
      <c r="K2" s="59"/>
      <c r="L2" s="59"/>
      <c r="M2" s="59"/>
      <c r="N2" s="59"/>
      <c r="O2" s="59"/>
      <c r="P2" s="13"/>
      <c r="Q2" s="13"/>
      <c r="R2" s="13"/>
      <c r="S2" s="59"/>
      <c r="T2" s="13"/>
      <c r="U2" s="13"/>
      <c r="V2" s="13"/>
      <c r="W2" s="13"/>
      <c r="X2" s="13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70"/>
      <c r="AL2" s="70"/>
      <c r="AM2" s="70"/>
      <c r="AN2" s="70"/>
      <c r="AO2" s="73"/>
      <c r="AP2" s="71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</row>
    <row r="3" spans="1:171" ht="15" x14ac:dyDescent="0.25">
      <c r="A3" s="70"/>
      <c r="B3" s="70"/>
      <c r="C3" s="70"/>
      <c r="D3" s="70"/>
      <c r="E3" s="70"/>
      <c r="F3" s="74"/>
      <c r="G3" s="70"/>
      <c r="H3" s="70"/>
      <c r="I3" s="70"/>
      <c r="J3" s="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70"/>
      <c r="AL3" s="70"/>
      <c r="AM3" s="70"/>
      <c r="AN3" s="70"/>
      <c r="AO3" s="73"/>
      <c r="AP3" s="71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</row>
    <row r="4" spans="1:171" ht="15" x14ac:dyDescent="0.25">
      <c r="A4" s="70"/>
      <c r="B4" s="70"/>
      <c r="C4" s="70"/>
      <c r="D4" s="70"/>
      <c r="E4" s="70"/>
      <c r="F4" s="74"/>
      <c r="G4" s="70"/>
      <c r="H4" s="70"/>
      <c r="I4" s="70"/>
      <c r="J4" s="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70"/>
      <c r="AL4" s="70"/>
      <c r="AM4" s="70"/>
      <c r="AN4" s="70"/>
      <c r="AO4" s="73"/>
      <c r="AP4" s="71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I4" s="90" t="s">
        <v>1091</v>
      </c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EA4" s="90" t="s">
        <v>1093</v>
      </c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0"/>
      <c r="EW4" s="90"/>
      <c r="EX4" s="90"/>
      <c r="EY4" s="90"/>
      <c r="EZ4" s="90"/>
      <c r="FA4" s="90"/>
      <c r="FB4" s="90"/>
      <c r="FC4" s="90"/>
      <c r="FD4" s="90"/>
      <c r="FE4" s="90"/>
      <c r="FF4" s="90"/>
      <c r="FG4" s="90"/>
      <c r="FH4" s="90"/>
      <c r="FI4" s="90"/>
      <c r="FJ4" s="90"/>
      <c r="FK4" s="90"/>
      <c r="FL4" s="90"/>
      <c r="FM4" s="90"/>
      <c r="FN4" s="90"/>
      <c r="FO4" s="90"/>
    </row>
    <row r="5" spans="1:171" ht="15" x14ac:dyDescent="0.25">
      <c r="A5" s="70"/>
      <c r="B5" s="70"/>
      <c r="C5" s="70"/>
      <c r="D5" s="70"/>
      <c r="E5" s="70"/>
      <c r="F5" s="70"/>
      <c r="G5" s="70"/>
      <c r="H5" s="70"/>
      <c r="I5" s="70"/>
      <c r="J5" s="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70"/>
      <c r="AL5" s="70"/>
      <c r="AM5" s="70"/>
      <c r="AN5" s="70"/>
      <c r="AO5" s="73"/>
      <c r="AP5" s="71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  <c r="FF5" s="90"/>
      <c r="FG5" s="90"/>
      <c r="FH5" s="90"/>
      <c r="FI5" s="90"/>
      <c r="FJ5" s="90"/>
      <c r="FK5" s="90"/>
      <c r="FL5" s="90"/>
      <c r="FM5" s="90"/>
      <c r="FN5" s="90"/>
      <c r="FO5" s="90"/>
    </row>
    <row r="6" spans="1:171" ht="14.25" x14ac:dyDescent="0.2">
      <c r="A6" s="70"/>
      <c r="B6" s="70"/>
      <c r="C6" s="70"/>
      <c r="D6" s="70"/>
      <c r="E6" s="70"/>
      <c r="F6" s="70"/>
      <c r="G6" s="70"/>
      <c r="H6" s="70"/>
      <c r="I6" s="70"/>
      <c r="AK6" s="70"/>
      <c r="AL6" s="70"/>
      <c r="AM6" s="70"/>
      <c r="AN6" s="70"/>
      <c r="AO6" s="73"/>
      <c r="AP6" s="71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EA6" s="90"/>
      <c r="EB6" s="90"/>
      <c r="EC6" s="90"/>
      <c r="ED6" s="90"/>
      <c r="EE6" s="90"/>
      <c r="EF6" s="90"/>
      <c r="EG6" s="90"/>
      <c r="EH6" s="90"/>
      <c r="EI6" s="90"/>
      <c r="EJ6" s="90"/>
      <c r="EK6" s="90"/>
      <c r="EL6" s="90"/>
      <c r="EM6" s="90"/>
      <c r="EN6" s="90"/>
      <c r="EO6" s="90"/>
      <c r="EP6" s="90"/>
      <c r="EQ6" s="90"/>
      <c r="ER6" s="90"/>
      <c r="ES6" s="90"/>
      <c r="ET6" s="90"/>
      <c r="EU6" s="90"/>
      <c r="EV6" s="90"/>
      <c r="EW6" s="90"/>
      <c r="EX6" s="90"/>
      <c r="EY6" s="90"/>
      <c r="EZ6" s="90"/>
      <c r="FA6" s="90"/>
      <c r="FB6" s="90"/>
      <c r="FC6" s="90"/>
      <c r="FD6" s="90"/>
      <c r="FE6" s="90"/>
      <c r="FF6" s="90"/>
      <c r="FG6" s="90"/>
      <c r="FH6" s="90"/>
      <c r="FI6" s="90"/>
      <c r="FJ6" s="90"/>
      <c r="FK6" s="90"/>
      <c r="FL6" s="90"/>
      <c r="FM6" s="90"/>
      <c r="FN6" s="90"/>
      <c r="FO6" s="90"/>
    </row>
    <row r="7" spans="1:171" ht="14.25" x14ac:dyDescent="0.2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3"/>
      <c r="AP7" s="71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</row>
    <row r="8" spans="1:171" ht="15" customHeight="1" x14ac:dyDescent="0.2">
      <c r="A8" s="70"/>
      <c r="B8" s="70"/>
      <c r="C8" s="70"/>
      <c r="D8" s="70"/>
      <c r="E8" s="70"/>
      <c r="F8" s="74"/>
      <c r="G8" s="70"/>
      <c r="H8" s="70"/>
      <c r="I8" s="70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70"/>
      <c r="AL8" s="70"/>
      <c r="AM8" s="70"/>
      <c r="AN8" s="70"/>
      <c r="AO8" s="73"/>
      <c r="AP8" s="71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  <c r="FF8" s="90"/>
      <c r="FG8" s="90"/>
      <c r="FH8" s="90"/>
      <c r="FI8" s="90"/>
      <c r="FJ8" s="90"/>
      <c r="FK8" s="90"/>
      <c r="FL8" s="90"/>
      <c r="FM8" s="90"/>
      <c r="FN8" s="90"/>
      <c r="FO8" s="90"/>
    </row>
    <row r="9" spans="1:171" ht="14.25" x14ac:dyDescent="0.2">
      <c r="A9" s="70"/>
      <c r="B9" s="70"/>
      <c r="C9" s="70"/>
      <c r="D9" s="70"/>
      <c r="E9" s="70"/>
      <c r="F9" s="70"/>
      <c r="G9" s="70"/>
      <c r="H9" s="70"/>
      <c r="I9" s="70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70"/>
      <c r="AL9" s="70"/>
      <c r="AM9" s="70"/>
      <c r="AN9" s="70"/>
      <c r="AO9" s="73"/>
      <c r="AP9" s="71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t="s">
        <v>8</v>
      </c>
      <c r="CG9">
        <v>0</v>
      </c>
      <c r="CH9" t="s">
        <v>36</v>
      </c>
      <c r="CP9" s="70">
        <f>3340</f>
        <v>3340</v>
      </c>
      <c r="CQ9" s="70">
        <v>614</v>
      </c>
      <c r="CR9" s="70">
        <v>1000</v>
      </c>
      <c r="CS9" s="70">
        <v>1000</v>
      </c>
      <c r="CT9" s="70">
        <v>1000</v>
      </c>
      <c r="CU9" s="70"/>
      <c r="CV9" s="70">
        <v>900</v>
      </c>
      <c r="CW9" s="70">
        <v>1000</v>
      </c>
      <c r="CX9" s="70">
        <v>1000</v>
      </c>
      <c r="CY9" s="70">
        <v>1000</v>
      </c>
      <c r="CZ9" s="70">
        <v>1000</v>
      </c>
      <c r="DA9" s="70">
        <v>1000</v>
      </c>
      <c r="DB9" s="70">
        <v>1000</v>
      </c>
      <c r="DC9" s="70">
        <v>1000</v>
      </c>
      <c r="DD9" s="70">
        <v>1000</v>
      </c>
      <c r="DE9" s="70">
        <v>1000</v>
      </c>
      <c r="DF9" s="70">
        <v>1000</v>
      </c>
      <c r="DG9" s="70">
        <v>1000</v>
      </c>
      <c r="DH9" s="70">
        <v>1000</v>
      </c>
      <c r="DI9" s="70">
        <v>1000</v>
      </c>
      <c r="DJ9" s="70">
        <v>1000</v>
      </c>
      <c r="DK9" s="70">
        <v>1000</v>
      </c>
      <c r="DL9" s="70">
        <v>1000</v>
      </c>
      <c r="DM9" s="70">
        <v>1000</v>
      </c>
      <c r="DN9" s="70">
        <v>1000</v>
      </c>
      <c r="DO9" s="70">
        <v>1000</v>
      </c>
      <c r="DP9" s="70">
        <v>1000</v>
      </c>
      <c r="DQ9" s="70">
        <v>1000</v>
      </c>
      <c r="DR9" s="70">
        <v>1000</v>
      </c>
      <c r="DS9" s="70">
        <v>1000</v>
      </c>
      <c r="DT9" s="70">
        <v>1000</v>
      </c>
      <c r="DU9" s="70">
        <v>1000</v>
      </c>
      <c r="DV9" s="70">
        <v>1000</v>
      </c>
      <c r="DW9" s="70">
        <v>44</v>
      </c>
      <c r="DX9" t="s">
        <v>8</v>
      </c>
      <c r="DY9">
        <v>0</v>
      </c>
      <c r="DZ9" t="s">
        <v>36</v>
      </c>
      <c r="EH9" s="70">
        <f>3340</f>
        <v>3340</v>
      </c>
      <c r="EI9" s="70">
        <v>614</v>
      </c>
      <c r="EJ9" s="70">
        <v>1000</v>
      </c>
      <c r="EK9" s="70">
        <v>1000</v>
      </c>
      <c r="EL9" s="70">
        <v>1000</v>
      </c>
      <c r="EM9" s="70"/>
      <c r="EN9" s="70">
        <v>900</v>
      </c>
      <c r="EO9" s="70">
        <v>1000</v>
      </c>
      <c r="EP9" s="70">
        <v>1000</v>
      </c>
      <c r="EQ9" s="70">
        <v>1000</v>
      </c>
      <c r="ER9" s="70">
        <v>1000</v>
      </c>
      <c r="ES9" s="70">
        <v>1000</v>
      </c>
      <c r="ET9" s="70">
        <v>1000</v>
      </c>
      <c r="EU9" s="70">
        <v>1000</v>
      </c>
      <c r="EV9" s="70">
        <v>1000</v>
      </c>
      <c r="EW9" s="70">
        <v>1000</v>
      </c>
      <c r="EX9" s="70">
        <v>1000</v>
      </c>
      <c r="EY9" s="70">
        <v>1000</v>
      </c>
      <c r="EZ9" s="70">
        <v>1000</v>
      </c>
      <c r="FA9" s="70">
        <v>1000</v>
      </c>
      <c r="FB9" s="70">
        <v>1000</v>
      </c>
      <c r="FC9" s="70">
        <v>1000</v>
      </c>
      <c r="FD9" s="70">
        <v>1000</v>
      </c>
      <c r="FE9" s="70">
        <v>1000</v>
      </c>
      <c r="FF9" s="70">
        <v>1000</v>
      </c>
      <c r="FG9" s="70">
        <v>1000</v>
      </c>
      <c r="FH9" s="70">
        <v>1000</v>
      </c>
      <c r="FI9" s="70">
        <v>1000</v>
      </c>
      <c r="FJ9" s="70">
        <v>1000</v>
      </c>
      <c r="FK9" s="70">
        <v>1000</v>
      </c>
      <c r="FL9" s="70">
        <v>1000</v>
      </c>
      <c r="FM9" s="70">
        <v>1000</v>
      </c>
      <c r="FN9" s="70">
        <v>1000</v>
      </c>
      <c r="FO9" s="70">
        <v>44</v>
      </c>
    </row>
    <row r="10" spans="1:171" ht="14.25" x14ac:dyDescent="0.2"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L10" s="70"/>
      <c r="AM10" s="70"/>
      <c r="AN10" s="70"/>
      <c r="AO10" s="73"/>
      <c r="AP10" s="71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t="s">
        <v>9</v>
      </c>
      <c r="CG10">
        <v>1</v>
      </c>
      <c r="CH10" t="s">
        <v>37</v>
      </c>
      <c r="CP10" s="70">
        <f>3340</f>
        <v>3340</v>
      </c>
      <c r="CQ10" s="70">
        <v>614</v>
      </c>
      <c r="CR10" s="70">
        <v>1000</v>
      </c>
      <c r="CS10" s="70">
        <v>1000</v>
      </c>
      <c r="CT10" s="70">
        <v>1000</v>
      </c>
      <c r="CU10" s="70"/>
      <c r="CV10" s="70">
        <v>900</v>
      </c>
      <c r="CW10" s="70">
        <v>1000</v>
      </c>
      <c r="CX10" s="70">
        <v>1000</v>
      </c>
      <c r="CY10" s="70">
        <v>1000</v>
      </c>
      <c r="CZ10" s="70">
        <v>1000</v>
      </c>
      <c r="DA10" s="70">
        <v>1000</v>
      </c>
      <c r="DB10" s="70">
        <v>1000</v>
      </c>
      <c r="DC10" s="70">
        <v>1000</v>
      </c>
      <c r="DD10" s="70">
        <v>1000</v>
      </c>
      <c r="DE10" s="70">
        <v>1000</v>
      </c>
      <c r="DF10" s="70">
        <v>1000</v>
      </c>
      <c r="DG10" s="70">
        <v>1000</v>
      </c>
      <c r="DH10" s="70">
        <v>1000</v>
      </c>
      <c r="DI10" s="70">
        <v>1000</v>
      </c>
      <c r="DJ10" s="70">
        <v>1000</v>
      </c>
      <c r="DK10" s="70">
        <v>1000</v>
      </c>
      <c r="DL10" s="70">
        <v>1000</v>
      </c>
      <c r="DM10" s="70">
        <v>1000</v>
      </c>
      <c r="DN10" s="70">
        <v>1000</v>
      </c>
      <c r="DO10" s="70">
        <v>1000</v>
      </c>
      <c r="DP10" s="70">
        <v>1000</v>
      </c>
      <c r="DQ10" s="70">
        <v>1000</v>
      </c>
      <c r="DR10" s="70">
        <v>1000</v>
      </c>
      <c r="DS10" s="70">
        <v>1000</v>
      </c>
      <c r="DT10" s="70">
        <v>1000</v>
      </c>
      <c r="DU10" s="70">
        <v>1000</v>
      </c>
      <c r="DV10" s="70">
        <v>1000</v>
      </c>
      <c r="DW10" s="70">
        <v>44</v>
      </c>
      <c r="DX10" t="s">
        <v>9</v>
      </c>
      <c r="DY10">
        <v>1</v>
      </c>
      <c r="DZ10" t="s">
        <v>37</v>
      </c>
      <c r="EH10" s="70">
        <f>3340</f>
        <v>3340</v>
      </c>
      <c r="EI10" s="70">
        <v>614</v>
      </c>
      <c r="EJ10" s="70">
        <v>1000</v>
      </c>
      <c r="EK10" s="70">
        <v>1000</v>
      </c>
      <c r="EL10" s="70">
        <v>1000</v>
      </c>
      <c r="EM10" s="70"/>
      <c r="EN10" s="70">
        <v>900</v>
      </c>
      <c r="EO10" s="70">
        <v>1000</v>
      </c>
      <c r="EP10" s="70">
        <v>1000</v>
      </c>
      <c r="EQ10" s="70">
        <v>1000</v>
      </c>
      <c r="ER10" s="70">
        <v>1000</v>
      </c>
      <c r="ES10" s="70">
        <v>1000</v>
      </c>
      <c r="ET10" s="70">
        <v>1000</v>
      </c>
      <c r="EU10" s="70">
        <v>1000</v>
      </c>
      <c r="EV10" s="70">
        <v>1000</v>
      </c>
      <c r="EW10" s="70">
        <v>1000</v>
      </c>
      <c r="EX10" s="70">
        <v>1000</v>
      </c>
      <c r="EY10" s="70">
        <v>1000</v>
      </c>
      <c r="EZ10" s="70">
        <v>1000</v>
      </c>
      <c r="FA10" s="70">
        <v>1000</v>
      </c>
      <c r="FB10" s="70">
        <v>1000</v>
      </c>
      <c r="FC10" s="70">
        <v>1000</v>
      </c>
      <c r="FD10" s="70">
        <v>1000</v>
      </c>
      <c r="FE10" s="70">
        <v>1000</v>
      </c>
      <c r="FF10" s="70">
        <v>1000</v>
      </c>
      <c r="FG10" s="70">
        <v>1000</v>
      </c>
      <c r="FH10" s="70">
        <v>1000</v>
      </c>
      <c r="FI10" s="70">
        <v>1000</v>
      </c>
      <c r="FJ10" s="70">
        <v>1000</v>
      </c>
      <c r="FK10" s="70">
        <v>1000</v>
      </c>
      <c r="FL10" s="70">
        <v>1000</v>
      </c>
      <c r="FM10" s="70">
        <v>1000</v>
      </c>
      <c r="FN10" s="70">
        <v>1000</v>
      </c>
      <c r="FO10" s="70">
        <v>44</v>
      </c>
    </row>
    <row r="11" spans="1:171" ht="23.65" customHeight="1" x14ac:dyDescent="0.2">
      <c r="A11" s="70"/>
      <c r="B11" s="70"/>
      <c r="C11" s="70"/>
      <c r="D11" s="70"/>
      <c r="E11" s="70"/>
      <c r="F11" s="70"/>
      <c r="G11" s="70"/>
      <c r="H11" s="70"/>
      <c r="I11" s="70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76"/>
      <c r="AL11" s="76"/>
      <c r="AM11" s="70"/>
      <c r="AN11" s="70"/>
      <c r="AO11" s="73"/>
      <c r="AP11" s="71"/>
      <c r="AQ11" s="70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8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t="s">
        <v>10</v>
      </c>
      <c r="CG11">
        <v>2</v>
      </c>
      <c r="CH11" t="s">
        <v>38</v>
      </c>
      <c r="CP11" s="70">
        <v>3954</v>
      </c>
      <c r="CQ11" s="70"/>
      <c r="CR11" s="70">
        <v>1000</v>
      </c>
      <c r="CS11" s="70">
        <v>1000</v>
      </c>
      <c r="CT11" s="70">
        <v>1000</v>
      </c>
      <c r="CU11" s="70"/>
      <c r="CV11" s="70">
        <v>900</v>
      </c>
      <c r="CW11" s="70">
        <v>1000</v>
      </c>
      <c r="CX11" s="70">
        <v>1000</v>
      </c>
      <c r="CY11" s="70">
        <v>1000</v>
      </c>
      <c r="CZ11" s="70">
        <v>1000</v>
      </c>
      <c r="DA11" s="70">
        <v>1000</v>
      </c>
      <c r="DB11" s="70">
        <v>1000</v>
      </c>
      <c r="DC11" s="70">
        <v>1000</v>
      </c>
      <c r="DD11" s="70">
        <v>1000</v>
      </c>
      <c r="DE11" s="70">
        <v>1000</v>
      </c>
      <c r="DF11" s="70">
        <v>1000</v>
      </c>
      <c r="DG11" s="70">
        <v>1000</v>
      </c>
      <c r="DH11" s="70">
        <v>1000</v>
      </c>
      <c r="DI11" s="70">
        <v>1000</v>
      </c>
      <c r="DJ11" s="70">
        <v>1000</v>
      </c>
      <c r="DK11" s="70">
        <v>1000</v>
      </c>
      <c r="DL11" s="70">
        <v>1000</v>
      </c>
      <c r="DM11" s="70">
        <v>1000</v>
      </c>
      <c r="DN11" s="70">
        <v>1000</v>
      </c>
      <c r="DO11" s="70">
        <v>1000</v>
      </c>
      <c r="DP11" s="70">
        <v>1000</v>
      </c>
      <c r="DQ11" s="70">
        <v>1000</v>
      </c>
      <c r="DR11" s="70">
        <v>1000</v>
      </c>
      <c r="DS11" s="70">
        <v>1000</v>
      </c>
      <c r="DT11" s="70">
        <v>1000</v>
      </c>
      <c r="DU11" s="70">
        <v>1000</v>
      </c>
      <c r="DV11" s="70">
        <v>1000</v>
      </c>
      <c r="DW11" s="70">
        <v>77</v>
      </c>
      <c r="DX11" t="s">
        <v>10</v>
      </c>
      <c r="DY11">
        <v>2</v>
      </c>
      <c r="DZ11" t="s">
        <v>38</v>
      </c>
      <c r="EH11" s="70">
        <v>3954</v>
      </c>
      <c r="EI11" s="70"/>
      <c r="EJ11" s="70">
        <v>1000</v>
      </c>
      <c r="EK11" s="70">
        <v>1000</v>
      </c>
      <c r="EL11" s="70">
        <v>1000</v>
      </c>
      <c r="EM11" s="70"/>
      <c r="EN11" s="70">
        <v>900</v>
      </c>
      <c r="EO11" s="70">
        <v>1000</v>
      </c>
      <c r="EP11" s="70">
        <v>1000</v>
      </c>
      <c r="EQ11" s="70">
        <v>1000</v>
      </c>
      <c r="ER11" s="70">
        <v>1000</v>
      </c>
      <c r="ES11" s="70">
        <v>1000</v>
      </c>
      <c r="ET11" s="70">
        <v>1000</v>
      </c>
      <c r="EU11" s="70">
        <v>1000</v>
      </c>
      <c r="EV11" s="70">
        <v>1000</v>
      </c>
      <c r="EW11" s="70">
        <v>1000</v>
      </c>
      <c r="EX11" s="70">
        <v>1000</v>
      </c>
      <c r="EY11" s="70">
        <v>1000</v>
      </c>
      <c r="EZ11" s="70">
        <v>1000</v>
      </c>
      <c r="FA11" s="70">
        <v>1000</v>
      </c>
      <c r="FB11" s="70">
        <v>1000</v>
      </c>
      <c r="FC11" s="70">
        <v>1000</v>
      </c>
      <c r="FD11" s="70">
        <v>1000</v>
      </c>
      <c r="FE11" s="70">
        <v>1000</v>
      </c>
      <c r="FF11" s="70">
        <v>1000</v>
      </c>
      <c r="FG11" s="70">
        <v>1000</v>
      </c>
      <c r="FH11" s="70">
        <v>1000</v>
      </c>
      <c r="FI11" s="70">
        <v>1000</v>
      </c>
      <c r="FJ11" s="70">
        <v>1000</v>
      </c>
      <c r="FK11" s="70">
        <v>1000</v>
      </c>
      <c r="FL11" s="70">
        <v>1000</v>
      </c>
      <c r="FM11" s="70">
        <v>1000</v>
      </c>
      <c r="FN11" s="70">
        <v>1000</v>
      </c>
      <c r="FO11" s="70">
        <v>77</v>
      </c>
    </row>
    <row r="12" spans="1:171" ht="15" x14ac:dyDescent="0.2">
      <c r="A12" s="70"/>
      <c r="B12" s="70"/>
      <c r="C12" s="70"/>
      <c r="D12" s="70"/>
      <c r="E12" s="70"/>
      <c r="F12" s="70"/>
      <c r="G12" s="70"/>
      <c r="H12" s="70"/>
      <c r="I12" s="70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76"/>
      <c r="AL12" s="79"/>
      <c r="AM12" s="70"/>
      <c r="AN12" s="70"/>
      <c r="AO12" s="73"/>
      <c r="AP12" s="71"/>
      <c r="AQ12" s="70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t="s">
        <v>11</v>
      </c>
      <c r="CG12">
        <v>3</v>
      </c>
      <c r="CH12" t="s">
        <v>39</v>
      </c>
      <c r="CP12" s="70">
        <v>3954</v>
      </c>
      <c r="CQ12" s="70"/>
      <c r="CR12" s="70">
        <v>1000</v>
      </c>
      <c r="CS12" s="70">
        <v>1000</v>
      </c>
      <c r="CT12" s="70">
        <v>1000</v>
      </c>
      <c r="CU12" s="70"/>
      <c r="CV12" s="70">
        <v>900</v>
      </c>
      <c r="CW12" s="70">
        <v>1000</v>
      </c>
      <c r="CX12" s="70">
        <v>1000</v>
      </c>
      <c r="CY12" s="70">
        <v>1000</v>
      </c>
      <c r="CZ12" s="70">
        <v>1000</v>
      </c>
      <c r="DA12" s="70">
        <v>1000</v>
      </c>
      <c r="DB12" s="70">
        <v>1000</v>
      </c>
      <c r="DC12" s="70">
        <v>1000</v>
      </c>
      <c r="DD12" s="70">
        <v>1000</v>
      </c>
      <c r="DE12" s="70">
        <v>1000</v>
      </c>
      <c r="DF12" s="70">
        <v>1000</v>
      </c>
      <c r="DG12" s="70">
        <v>1000</v>
      </c>
      <c r="DH12" s="70">
        <v>1000</v>
      </c>
      <c r="DI12" s="70">
        <v>1000</v>
      </c>
      <c r="DJ12" s="70">
        <v>1000</v>
      </c>
      <c r="DK12" s="70">
        <v>1000</v>
      </c>
      <c r="DL12" s="70">
        <v>1000</v>
      </c>
      <c r="DM12" s="70">
        <v>1000</v>
      </c>
      <c r="DN12" s="70">
        <v>1000</v>
      </c>
      <c r="DO12" s="70">
        <v>1000</v>
      </c>
      <c r="DP12" s="70">
        <v>1000</v>
      </c>
      <c r="DQ12" s="70">
        <v>1000</v>
      </c>
      <c r="DR12" s="70">
        <v>1000</v>
      </c>
      <c r="DS12" s="70">
        <v>1000</v>
      </c>
      <c r="DT12" s="70">
        <v>1000</v>
      </c>
      <c r="DU12" s="70">
        <v>1000</v>
      </c>
      <c r="DV12" s="70">
        <v>1000</v>
      </c>
      <c r="DW12" s="70">
        <v>77</v>
      </c>
      <c r="DX12" t="s">
        <v>11</v>
      </c>
      <c r="DY12">
        <v>3</v>
      </c>
      <c r="DZ12" t="s">
        <v>39</v>
      </c>
      <c r="EH12" s="70">
        <v>3954</v>
      </c>
      <c r="EI12" s="70"/>
      <c r="EJ12" s="70">
        <v>1000</v>
      </c>
      <c r="EK12" s="70">
        <v>1000</v>
      </c>
      <c r="EL12" s="70">
        <v>1000</v>
      </c>
      <c r="EM12" s="70"/>
      <c r="EN12" s="70">
        <v>900</v>
      </c>
      <c r="EO12" s="70">
        <v>1000</v>
      </c>
      <c r="EP12" s="70">
        <v>1000</v>
      </c>
      <c r="EQ12" s="70">
        <v>1000</v>
      </c>
      <c r="ER12" s="70">
        <v>1000</v>
      </c>
      <c r="ES12" s="70">
        <v>1000</v>
      </c>
      <c r="ET12" s="70">
        <v>1000</v>
      </c>
      <c r="EU12" s="70">
        <v>1000</v>
      </c>
      <c r="EV12" s="70">
        <v>1000</v>
      </c>
      <c r="EW12" s="70">
        <v>1000</v>
      </c>
      <c r="EX12" s="70">
        <v>1000</v>
      </c>
      <c r="EY12" s="70">
        <v>1000</v>
      </c>
      <c r="EZ12" s="70">
        <v>1000</v>
      </c>
      <c r="FA12" s="70">
        <v>1000</v>
      </c>
      <c r="FB12" s="70">
        <v>1000</v>
      </c>
      <c r="FC12" s="70">
        <v>1000</v>
      </c>
      <c r="FD12" s="70">
        <v>1000</v>
      </c>
      <c r="FE12" s="70">
        <v>1000</v>
      </c>
      <c r="FF12" s="70">
        <v>1000</v>
      </c>
      <c r="FG12" s="70">
        <v>1000</v>
      </c>
      <c r="FH12" s="70">
        <v>1000</v>
      </c>
      <c r="FI12" s="70">
        <v>1000</v>
      </c>
      <c r="FJ12" s="70">
        <v>1000</v>
      </c>
      <c r="FK12" s="70">
        <v>1000</v>
      </c>
      <c r="FL12" s="70">
        <v>1000</v>
      </c>
      <c r="FM12" s="70">
        <v>1000</v>
      </c>
      <c r="FN12" s="70">
        <v>1000</v>
      </c>
      <c r="FO12" s="70">
        <v>77</v>
      </c>
    </row>
    <row r="13" spans="1:171" ht="15" x14ac:dyDescent="0.2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65"/>
      <c r="L13" s="65"/>
      <c r="M13" s="65"/>
      <c r="N13" s="65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7"/>
      <c r="Z13" s="67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76"/>
      <c r="AL13" s="79"/>
      <c r="AM13" s="70"/>
      <c r="AN13" s="70"/>
      <c r="AO13" s="73"/>
      <c r="AP13" s="71"/>
      <c r="AQ13" s="70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t="s">
        <v>12</v>
      </c>
      <c r="CG13">
        <v>2</v>
      </c>
      <c r="CH13" t="s">
        <v>40</v>
      </c>
      <c r="CP13" s="70">
        <v>3954</v>
      </c>
      <c r="CQ13" s="70"/>
      <c r="CR13" s="70">
        <v>1000</v>
      </c>
      <c r="CS13" s="70">
        <v>1000</v>
      </c>
      <c r="CT13" s="70">
        <v>1000</v>
      </c>
      <c r="CU13" s="70"/>
      <c r="CV13" s="70">
        <v>900</v>
      </c>
      <c r="CW13" s="70">
        <v>1000</v>
      </c>
      <c r="CX13" s="70">
        <v>1000</v>
      </c>
      <c r="CY13" s="70">
        <v>1000</v>
      </c>
      <c r="CZ13" s="70">
        <v>1000</v>
      </c>
      <c r="DA13" s="70">
        <v>1000</v>
      </c>
      <c r="DB13" s="70">
        <v>1000</v>
      </c>
      <c r="DC13" s="70">
        <v>1000</v>
      </c>
      <c r="DD13" s="70">
        <v>1000</v>
      </c>
      <c r="DE13" s="70">
        <v>1000</v>
      </c>
      <c r="DF13" s="70">
        <v>1000</v>
      </c>
      <c r="DG13" s="70">
        <v>1000</v>
      </c>
      <c r="DH13" s="70">
        <v>1000</v>
      </c>
      <c r="DI13" s="70">
        <v>1000</v>
      </c>
      <c r="DJ13" s="70">
        <v>1000</v>
      </c>
      <c r="DK13" s="70">
        <v>1000</v>
      </c>
      <c r="DL13" s="70">
        <v>1000</v>
      </c>
      <c r="DM13" s="70">
        <v>1000</v>
      </c>
      <c r="DN13" s="70">
        <v>1000</v>
      </c>
      <c r="DO13" s="70">
        <v>1000</v>
      </c>
      <c r="DP13" s="70">
        <v>1000</v>
      </c>
      <c r="DQ13" s="70">
        <v>1000</v>
      </c>
      <c r="DR13" s="70">
        <v>1000</v>
      </c>
      <c r="DS13" s="70">
        <v>1000</v>
      </c>
      <c r="DT13" s="70">
        <v>1000</v>
      </c>
      <c r="DU13" s="70">
        <v>1000</v>
      </c>
      <c r="DV13" s="70">
        <v>1000</v>
      </c>
      <c r="DW13" s="70">
        <v>77</v>
      </c>
      <c r="DX13" t="s">
        <v>12</v>
      </c>
      <c r="DY13">
        <v>2</v>
      </c>
      <c r="DZ13" t="s">
        <v>40</v>
      </c>
      <c r="EH13" s="70">
        <v>3954</v>
      </c>
      <c r="EI13" s="70"/>
      <c r="EJ13" s="70">
        <v>1000</v>
      </c>
      <c r="EK13" s="70">
        <v>1000</v>
      </c>
      <c r="EL13" s="70">
        <v>1000</v>
      </c>
      <c r="EM13" s="70"/>
      <c r="EN13" s="70">
        <v>900</v>
      </c>
      <c r="EO13" s="70">
        <v>1000</v>
      </c>
      <c r="EP13" s="70">
        <v>1000</v>
      </c>
      <c r="EQ13" s="70">
        <v>1000</v>
      </c>
      <c r="ER13" s="70">
        <v>1000</v>
      </c>
      <c r="ES13" s="70">
        <v>1000</v>
      </c>
      <c r="ET13" s="70">
        <v>1000</v>
      </c>
      <c r="EU13" s="70">
        <v>1000</v>
      </c>
      <c r="EV13" s="70">
        <v>1000</v>
      </c>
      <c r="EW13" s="70">
        <v>1000</v>
      </c>
      <c r="EX13" s="70">
        <v>1000</v>
      </c>
      <c r="EY13" s="70">
        <v>1000</v>
      </c>
      <c r="EZ13" s="70">
        <v>1000</v>
      </c>
      <c r="FA13" s="70">
        <v>1000</v>
      </c>
      <c r="FB13" s="70">
        <v>1000</v>
      </c>
      <c r="FC13" s="70">
        <v>1000</v>
      </c>
      <c r="FD13" s="70">
        <v>1000</v>
      </c>
      <c r="FE13" s="70">
        <v>1000</v>
      </c>
      <c r="FF13" s="70">
        <v>1000</v>
      </c>
      <c r="FG13" s="70">
        <v>1000</v>
      </c>
      <c r="FH13" s="70">
        <v>1000</v>
      </c>
      <c r="FI13" s="70">
        <v>1000</v>
      </c>
      <c r="FJ13" s="70">
        <v>1000</v>
      </c>
      <c r="FK13" s="70">
        <v>1000</v>
      </c>
      <c r="FL13" s="70">
        <v>1000</v>
      </c>
      <c r="FM13" s="70">
        <v>1000</v>
      </c>
      <c r="FN13" s="70">
        <v>1000</v>
      </c>
      <c r="FO13" s="70">
        <v>77</v>
      </c>
    </row>
    <row r="14" spans="1:171" ht="15" x14ac:dyDescent="0.2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65"/>
      <c r="L14" s="65"/>
      <c r="M14" s="65"/>
      <c r="N14" s="65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7"/>
      <c r="Z14" s="67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76"/>
      <c r="AL14" s="79"/>
      <c r="AM14" s="70"/>
      <c r="AN14" s="70"/>
      <c r="AO14" s="73"/>
      <c r="AP14" s="71"/>
      <c r="AQ14" s="70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t="s">
        <v>13</v>
      </c>
      <c r="CG14">
        <v>0</v>
      </c>
      <c r="CH14" t="s">
        <v>41</v>
      </c>
      <c r="CP14" s="70">
        <v>1076</v>
      </c>
      <c r="CQ14" s="70">
        <v>2023</v>
      </c>
      <c r="CR14" s="70">
        <v>281</v>
      </c>
      <c r="CS14" s="70">
        <v>100</v>
      </c>
      <c r="CT14" s="70">
        <v>1000</v>
      </c>
      <c r="CU14" s="70">
        <v>2000</v>
      </c>
      <c r="CV14" s="70">
        <v>1100</v>
      </c>
      <c r="CW14" s="70">
        <v>1000</v>
      </c>
      <c r="CX14" s="70">
        <v>1000</v>
      </c>
      <c r="CY14" s="70">
        <v>1000</v>
      </c>
      <c r="CZ14" s="70">
        <v>1000</v>
      </c>
      <c r="DA14" s="70">
        <v>1000</v>
      </c>
      <c r="DB14" s="70">
        <v>1000</v>
      </c>
      <c r="DC14" s="70">
        <v>1000</v>
      </c>
      <c r="DD14" s="70">
        <v>1000</v>
      </c>
      <c r="DE14" s="70">
        <v>1000</v>
      </c>
      <c r="DF14" s="70">
        <v>1000</v>
      </c>
      <c r="DG14" s="70">
        <v>1000</v>
      </c>
      <c r="DH14" s="70">
        <v>1000</v>
      </c>
      <c r="DI14" s="70">
        <v>1000</v>
      </c>
      <c r="DJ14" s="70">
        <v>1000</v>
      </c>
      <c r="DK14" s="70">
        <v>1000</v>
      </c>
      <c r="DL14" s="70">
        <v>1000</v>
      </c>
      <c r="DM14" s="70">
        <v>1000</v>
      </c>
      <c r="DN14" s="70">
        <v>1000</v>
      </c>
      <c r="DO14" s="70">
        <v>1000</v>
      </c>
      <c r="DP14" s="70">
        <v>1000</v>
      </c>
      <c r="DQ14" s="70">
        <v>1000</v>
      </c>
      <c r="DR14" s="70">
        <v>1000</v>
      </c>
      <c r="DS14" s="70">
        <v>1000</v>
      </c>
      <c r="DT14" s="70">
        <v>1000</v>
      </c>
      <c r="DU14" s="70">
        <v>1000</v>
      </c>
      <c r="DV14" s="70">
        <v>784</v>
      </c>
      <c r="DW14" s="70"/>
      <c r="DX14" t="s">
        <v>13</v>
      </c>
      <c r="DY14">
        <v>0</v>
      </c>
      <c r="DZ14" t="s">
        <v>41</v>
      </c>
      <c r="EH14" s="70">
        <v>1076</v>
      </c>
      <c r="EI14" s="70">
        <v>2023</v>
      </c>
      <c r="EJ14" s="70">
        <v>281</v>
      </c>
      <c r="EK14" s="70">
        <v>100</v>
      </c>
      <c r="EL14" s="70">
        <v>1000</v>
      </c>
      <c r="EM14" s="70">
        <v>2000</v>
      </c>
      <c r="EN14" s="70">
        <v>1100</v>
      </c>
      <c r="EO14" s="70">
        <v>1000</v>
      </c>
      <c r="EP14" s="70">
        <v>1000</v>
      </c>
      <c r="EQ14" s="70">
        <v>1000</v>
      </c>
      <c r="ER14" s="70">
        <v>1000</v>
      </c>
      <c r="ES14" s="70">
        <v>1000</v>
      </c>
      <c r="ET14" s="70">
        <v>1000</v>
      </c>
      <c r="EU14" s="70">
        <v>1000</v>
      </c>
      <c r="EV14" s="70">
        <v>1000</v>
      </c>
      <c r="EW14" s="70">
        <v>1000</v>
      </c>
      <c r="EX14" s="70">
        <v>1000</v>
      </c>
      <c r="EY14" s="70">
        <v>1000</v>
      </c>
      <c r="EZ14" s="70">
        <v>1000</v>
      </c>
      <c r="FA14" s="70">
        <v>1000</v>
      </c>
      <c r="FB14" s="70">
        <v>1000</v>
      </c>
      <c r="FC14" s="70">
        <v>1000</v>
      </c>
      <c r="FD14" s="70">
        <v>1000</v>
      </c>
      <c r="FE14" s="70">
        <v>1000</v>
      </c>
      <c r="FF14" s="70">
        <v>1000</v>
      </c>
      <c r="FG14" s="70">
        <v>1000</v>
      </c>
      <c r="FH14" s="70">
        <v>1000</v>
      </c>
      <c r="FI14" s="70">
        <v>1000</v>
      </c>
      <c r="FJ14" s="70">
        <v>1000</v>
      </c>
      <c r="FK14" s="70">
        <v>1000</v>
      </c>
      <c r="FL14" s="70">
        <v>1000</v>
      </c>
      <c r="FM14" s="70">
        <v>1000</v>
      </c>
      <c r="FN14" s="70">
        <v>784</v>
      </c>
      <c r="FO14" s="70"/>
    </row>
    <row r="15" spans="1:171" ht="15" x14ac:dyDescent="0.2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65"/>
      <c r="L15" s="65"/>
      <c r="M15" s="65"/>
      <c r="N15" s="65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7"/>
      <c r="Z15" s="67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76"/>
      <c r="AL15" s="79"/>
      <c r="AM15" s="70"/>
      <c r="AN15" s="70"/>
      <c r="AO15" s="73"/>
      <c r="AP15" s="71"/>
      <c r="AQ15" s="70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t="s">
        <v>13</v>
      </c>
      <c r="CG15">
        <v>1</v>
      </c>
      <c r="CH15" t="s">
        <v>42</v>
      </c>
      <c r="CP15" s="70">
        <v>3099</v>
      </c>
      <c r="CQ15" s="70">
        <v>281</v>
      </c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t="s">
        <v>13</v>
      </c>
      <c r="DY15">
        <v>1</v>
      </c>
      <c r="DZ15" t="s">
        <v>42</v>
      </c>
      <c r="EH15" s="70">
        <v>3099</v>
      </c>
      <c r="EI15" s="70">
        <v>281</v>
      </c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</row>
    <row r="16" spans="1:171" ht="15" x14ac:dyDescent="0.2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65"/>
      <c r="L16" s="65"/>
      <c r="M16" s="65"/>
      <c r="N16" s="65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7"/>
      <c r="Z16" s="67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76"/>
      <c r="AL16" s="79"/>
      <c r="AM16" s="70"/>
      <c r="AN16" s="70"/>
      <c r="AO16" s="73"/>
      <c r="AP16" s="71"/>
      <c r="AQ16" s="70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t="s">
        <v>14</v>
      </c>
      <c r="CG16">
        <v>2</v>
      </c>
      <c r="CH16" t="s">
        <v>1054</v>
      </c>
      <c r="CP16" s="70">
        <v>3099</v>
      </c>
      <c r="CQ16" s="70">
        <v>281</v>
      </c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t="s">
        <v>14</v>
      </c>
      <c r="DY16">
        <v>2</v>
      </c>
      <c r="DZ16" t="s">
        <v>1054</v>
      </c>
      <c r="EH16" s="70">
        <v>3099</v>
      </c>
      <c r="EI16" s="70">
        <v>281</v>
      </c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</row>
    <row r="17" spans="1:171" ht="15" x14ac:dyDescent="0.2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65"/>
      <c r="L17" s="65"/>
      <c r="M17" s="65"/>
      <c r="N17" s="65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7"/>
      <c r="Z17" s="67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76"/>
      <c r="AL17" s="79"/>
      <c r="AM17" s="70"/>
      <c r="AN17" s="70"/>
      <c r="AO17" s="73"/>
      <c r="AP17" s="71"/>
      <c r="AQ17" s="70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t="s">
        <v>15</v>
      </c>
      <c r="CG17">
        <v>3</v>
      </c>
      <c r="CH17" t="s">
        <v>1055</v>
      </c>
      <c r="CP17" s="70">
        <v>3099</v>
      </c>
      <c r="CQ17" s="70">
        <v>281</v>
      </c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t="s">
        <v>15</v>
      </c>
      <c r="DY17">
        <v>3</v>
      </c>
      <c r="DZ17" t="s">
        <v>1055</v>
      </c>
      <c r="EH17" s="70">
        <v>3099</v>
      </c>
      <c r="EI17" s="70">
        <v>281</v>
      </c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</row>
    <row r="18" spans="1:171" ht="15" x14ac:dyDescent="0.2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65"/>
      <c r="L18" s="65"/>
      <c r="M18" s="65"/>
      <c r="N18" s="65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7"/>
      <c r="Z18" s="67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76"/>
      <c r="AL18" s="79"/>
      <c r="AM18" s="70"/>
      <c r="AN18" s="70"/>
      <c r="AO18" s="73"/>
      <c r="AP18" s="71"/>
      <c r="AQ18" s="70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t="s">
        <v>16</v>
      </c>
      <c r="CG18">
        <v>4</v>
      </c>
      <c r="CH18" t="s">
        <v>45</v>
      </c>
      <c r="CP18" s="70">
        <v>3099</v>
      </c>
      <c r="CQ18" s="70">
        <v>281</v>
      </c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t="s">
        <v>16</v>
      </c>
      <c r="DY18">
        <v>4</v>
      </c>
      <c r="DZ18" t="s">
        <v>45</v>
      </c>
      <c r="EH18" s="70">
        <v>3099</v>
      </c>
      <c r="EI18" s="70">
        <v>281</v>
      </c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</row>
    <row r="19" spans="1:171" ht="15" x14ac:dyDescent="0.2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65"/>
      <c r="L19" s="65"/>
      <c r="M19" s="65"/>
      <c r="N19" s="65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7"/>
      <c r="Z19" s="67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76"/>
      <c r="AL19" s="79"/>
      <c r="AM19" s="70"/>
      <c r="AN19" s="70"/>
      <c r="AO19" s="73"/>
      <c r="AP19" s="71"/>
      <c r="AQ19" s="70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t="s">
        <v>17</v>
      </c>
      <c r="CG19">
        <v>3</v>
      </c>
      <c r="CH19" t="s">
        <v>46</v>
      </c>
      <c r="CP19" s="70">
        <v>3099</v>
      </c>
      <c r="CQ19" s="70">
        <v>281</v>
      </c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t="s">
        <v>17</v>
      </c>
      <c r="DY19">
        <v>3</v>
      </c>
      <c r="DZ19" t="s">
        <v>46</v>
      </c>
      <c r="EH19" s="70">
        <v>3099</v>
      </c>
      <c r="EI19" s="70">
        <v>281</v>
      </c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</row>
    <row r="20" spans="1:171" ht="15" x14ac:dyDescent="0.2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65"/>
      <c r="L20" s="65"/>
      <c r="M20" s="65"/>
      <c r="N20" s="65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7"/>
      <c r="Z20" s="67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76"/>
      <c r="AL20" s="79"/>
      <c r="AM20" s="70"/>
      <c r="AN20" s="70"/>
      <c r="AO20" s="73"/>
      <c r="AP20" s="71"/>
      <c r="AQ20" s="70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t="s">
        <v>18</v>
      </c>
      <c r="CG20">
        <v>3</v>
      </c>
      <c r="CH20" t="s">
        <v>47</v>
      </c>
      <c r="CP20" s="70">
        <v>3099</v>
      </c>
      <c r="CQ20" s="70">
        <v>281</v>
      </c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t="s">
        <v>18</v>
      </c>
      <c r="DY20">
        <v>3</v>
      </c>
      <c r="DZ20" t="s">
        <v>47</v>
      </c>
      <c r="EH20" s="70">
        <v>3099</v>
      </c>
      <c r="EI20" s="70">
        <v>281</v>
      </c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</row>
    <row r="21" spans="1:171" ht="15" x14ac:dyDescent="0.2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65"/>
      <c r="L21" s="65"/>
      <c r="M21" s="65"/>
      <c r="N21" s="65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7"/>
      <c r="Z21" s="67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76"/>
      <c r="AL21" s="79"/>
      <c r="AM21" s="70"/>
      <c r="AN21" s="70"/>
      <c r="AO21" s="73"/>
      <c r="AP21" s="71"/>
      <c r="AQ21" s="70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t="s">
        <v>19</v>
      </c>
      <c r="CG21">
        <v>2</v>
      </c>
      <c r="CH21" t="s">
        <v>48</v>
      </c>
      <c r="CP21" s="70">
        <v>1076</v>
      </c>
      <c r="CQ21" s="70">
        <v>2023</v>
      </c>
      <c r="CR21" s="70">
        <v>281</v>
      </c>
      <c r="CS21" s="70">
        <v>100</v>
      </c>
      <c r="CT21" s="70">
        <v>1000</v>
      </c>
      <c r="CU21" s="70">
        <v>2000</v>
      </c>
      <c r="CV21" s="70">
        <v>1100</v>
      </c>
      <c r="CW21" s="70">
        <v>1000</v>
      </c>
      <c r="CX21" s="70">
        <v>1000</v>
      </c>
      <c r="CY21" s="70">
        <v>1000</v>
      </c>
      <c r="CZ21" s="70">
        <v>1000</v>
      </c>
      <c r="DA21" s="70">
        <v>1000</v>
      </c>
      <c r="DB21" s="70">
        <v>1000</v>
      </c>
      <c r="DC21" s="70">
        <v>1000</v>
      </c>
      <c r="DD21" s="70">
        <v>1000</v>
      </c>
      <c r="DE21" s="70">
        <v>1000</v>
      </c>
      <c r="DF21" s="70">
        <v>1000</v>
      </c>
      <c r="DG21" s="70">
        <v>1000</v>
      </c>
      <c r="DH21" s="70">
        <v>1000</v>
      </c>
      <c r="DI21" s="70">
        <v>1000</v>
      </c>
      <c r="DJ21" s="70">
        <v>1000</v>
      </c>
      <c r="DK21" s="70">
        <v>1000</v>
      </c>
      <c r="DL21" s="70">
        <v>1000</v>
      </c>
      <c r="DM21" s="70">
        <v>1000</v>
      </c>
      <c r="DN21" s="70">
        <v>1000</v>
      </c>
      <c r="DO21" s="70">
        <v>1000</v>
      </c>
      <c r="DP21" s="70">
        <v>1000</v>
      </c>
      <c r="DQ21" s="70">
        <v>1000</v>
      </c>
      <c r="DR21" s="70">
        <v>1000</v>
      </c>
      <c r="DS21" s="70">
        <v>1000</v>
      </c>
      <c r="DT21" s="70">
        <v>1000</v>
      </c>
      <c r="DU21" s="70">
        <v>1000</v>
      </c>
      <c r="DV21" s="70">
        <v>784</v>
      </c>
      <c r="DW21" s="70"/>
      <c r="DX21" t="s">
        <v>19</v>
      </c>
      <c r="DY21">
        <v>2</v>
      </c>
      <c r="DZ21" t="s">
        <v>48</v>
      </c>
      <c r="EH21" s="70">
        <v>1076</v>
      </c>
      <c r="EI21" s="70">
        <v>2023</v>
      </c>
      <c r="EJ21" s="70">
        <v>281</v>
      </c>
      <c r="EK21" s="70">
        <v>100</v>
      </c>
      <c r="EL21" s="70">
        <v>1000</v>
      </c>
      <c r="EM21" s="70">
        <v>2000</v>
      </c>
      <c r="EN21" s="70">
        <v>1100</v>
      </c>
      <c r="EO21" s="70">
        <v>1000</v>
      </c>
      <c r="EP21" s="70">
        <v>1000</v>
      </c>
      <c r="EQ21" s="70">
        <v>1000</v>
      </c>
      <c r="ER21" s="70">
        <v>1000</v>
      </c>
      <c r="ES21" s="70">
        <v>1000</v>
      </c>
      <c r="ET21" s="70">
        <v>1000</v>
      </c>
      <c r="EU21" s="70">
        <v>1000</v>
      </c>
      <c r="EV21" s="70">
        <v>1000</v>
      </c>
      <c r="EW21" s="70">
        <v>1000</v>
      </c>
      <c r="EX21" s="70">
        <v>1000</v>
      </c>
      <c r="EY21" s="70">
        <v>1000</v>
      </c>
      <c r="EZ21" s="70">
        <v>1000</v>
      </c>
      <c r="FA21" s="70">
        <v>1000</v>
      </c>
      <c r="FB21" s="70">
        <v>1000</v>
      </c>
      <c r="FC21" s="70">
        <v>1000</v>
      </c>
      <c r="FD21" s="70">
        <v>1000</v>
      </c>
      <c r="FE21" s="70">
        <v>1000</v>
      </c>
      <c r="FF21" s="70">
        <v>1000</v>
      </c>
      <c r="FG21" s="70">
        <v>1000</v>
      </c>
      <c r="FH21" s="70">
        <v>1000</v>
      </c>
      <c r="FI21" s="70">
        <v>1000</v>
      </c>
      <c r="FJ21" s="70">
        <v>1000</v>
      </c>
      <c r="FK21" s="70">
        <v>1000</v>
      </c>
      <c r="FL21" s="70">
        <v>1000</v>
      </c>
      <c r="FM21" s="70">
        <v>1000</v>
      </c>
      <c r="FN21" s="70">
        <v>784</v>
      </c>
      <c r="FO21" s="70"/>
    </row>
    <row r="22" spans="1:171" ht="15" x14ac:dyDescent="0.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65"/>
      <c r="L22" s="65"/>
      <c r="M22" s="65"/>
      <c r="N22" s="65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7"/>
      <c r="Z22" s="67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76"/>
      <c r="AL22" s="79"/>
      <c r="AM22" s="70"/>
      <c r="AN22" s="70"/>
      <c r="AO22" s="73"/>
      <c r="AP22" s="71"/>
      <c r="AQ22" s="70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t="s">
        <v>20</v>
      </c>
      <c r="CG22">
        <v>2</v>
      </c>
      <c r="CH22" t="s">
        <v>49</v>
      </c>
      <c r="CP22" s="70">
        <v>3099</v>
      </c>
      <c r="CQ22" s="70">
        <v>400</v>
      </c>
      <c r="CR22" s="70"/>
      <c r="CS22" s="70">
        <v>100</v>
      </c>
      <c r="CT22" s="70">
        <v>1000</v>
      </c>
      <c r="CU22" s="70">
        <v>2000</v>
      </c>
      <c r="CV22" s="70">
        <v>1100</v>
      </c>
      <c r="CW22" s="70">
        <v>1000</v>
      </c>
      <c r="CX22" s="70">
        <v>1000</v>
      </c>
      <c r="CY22" s="70">
        <v>1000</v>
      </c>
      <c r="CZ22" s="70">
        <v>1000</v>
      </c>
      <c r="DA22" s="70">
        <v>1000</v>
      </c>
      <c r="DB22" s="70">
        <v>1000</v>
      </c>
      <c r="DC22" s="70">
        <v>1000</v>
      </c>
      <c r="DD22" s="70">
        <v>1000</v>
      </c>
      <c r="DE22" s="70">
        <v>1000</v>
      </c>
      <c r="DF22" s="70">
        <v>1000</v>
      </c>
      <c r="DG22" s="70">
        <v>1000</v>
      </c>
      <c r="DH22" s="70">
        <v>1000</v>
      </c>
      <c r="DI22" s="70">
        <v>1000</v>
      </c>
      <c r="DJ22" s="70">
        <v>1000</v>
      </c>
      <c r="DK22" s="70">
        <v>1000</v>
      </c>
      <c r="DL22" s="70">
        <v>1000</v>
      </c>
      <c r="DM22" s="70">
        <v>1000</v>
      </c>
      <c r="DN22" s="70">
        <v>1000</v>
      </c>
      <c r="DO22" s="70">
        <v>1000</v>
      </c>
      <c r="DP22" s="70">
        <v>1000</v>
      </c>
      <c r="DQ22" s="70">
        <v>1000</v>
      </c>
      <c r="DR22" s="70">
        <v>1000</v>
      </c>
      <c r="DS22" s="70">
        <v>1000</v>
      </c>
      <c r="DT22" s="70">
        <v>1000</v>
      </c>
      <c r="DU22" s="70">
        <v>1000</v>
      </c>
      <c r="DV22" s="70">
        <v>698</v>
      </c>
      <c r="DW22" s="70"/>
      <c r="DX22" t="s">
        <v>20</v>
      </c>
      <c r="DY22">
        <v>2</v>
      </c>
      <c r="DZ22" t="s">
        <v>49</v>
      </c>
      <c r="EH22" s="70">
        <v>3099</v>
      </c>
      <c r="EI22" s="70">
        <v>400</v>
      </c>
      <c r="EJ22" s="70"/>
      <c r="EK22" s="70">
        <v>100</v>
      </c>
      <c r="EL22" s="70">
        <v>1000</v>
      </c>
      <c r="EM22" s="70">
        <v>2000</v>
      </c>
      <c r="EN22" s="70">
        <v>1100</v>
      </c>
      <c r="EO22" s="70">
        <v>1000</v>
      </c>
      <c r="EP22" s="70">
        <v>1000</v>
      </c>
      <c r="EQ22" s="70">
        <v>1000</v>
      </c>
      <c r="ER22" s="70">
        <v>1000</v>
      </c>
      <c r="ES22" s="70">
        <v>1000</v>
      </c>
      <c r="ET22" s="70">
        <v>1000</v>
      </c>
      <c r="EU22" s="70">
        <v>1000</v>
      </c>
      <c r="EV22" s="70">
        <v>1000</v>
      </c>
      <c r="EW22" s="70">
        <v>1000</v>
      </c>
      <c r="EX22" s="70">
        <v>1000</v>
      </c>
      <c r="EY22" s="70">
        <v>1000</v>
      </c>
      <c r="EZ22" s="70">
        <v>1000</v>
      </c>
      <c r="FA22" s="70">
        <v>1000</v>
      </c>
      <c r="FB22" s="70">
        <v>1000</v>
      </c>
      <c r="FC22" s="70">
        <v>1000</v>
      </c>
      <c r="FD22" s="70">
        <v>1000</v>
      </c>
      <c r="FE22" s="70">
        <v>1000</v>
      </c>
      <c r="FF22" s="70">
        <v>1000</v>
      </c>
      <c r="FG22" s="70">
        <v>1000</v>
      </c>
      <c r="FH22" s="70">
        <v>1000</v>
      </c>
      <c r="FI22" s="70">
        <v>1000</v>
      </c>
      <c r="FJ22" s="70">
        <v>1000</v>
      </c>
      <c r="FK22" s="70">
        <v>1000</v>
      </c>
      <c r="FL22" s="70">
        <v>1000</v>
      </c>
      <c r="FM22" s="70">
        <v>1000</v>
      </c>
      <c r="FN22" s="70">
        <v>698</v>
      </c>
      <c r="FO22" s="70"/>
    </row>
    <row r="23" spans="1:171" ht="15" x14ac:dyDescent="0.2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65"/>
      <c r="L23" s="65"/>
      <c r="M23" s="65"/>
      <c r="N23" s="65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7"/>
      <c r="Z23" s="67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76"/>
      <c r="AL23" s="79"/>
      <c r="AM23" s="70"/>
      <c r="AN23" s="70"/>
      <c r="AO23" s="73"/>
      <c r="AP23" s="71"/>
      <c r="AQ23" s="70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t="s">
        <v>14</v>
      </c>
      <c r="CG23">
        <v>2</v>
      </c>
      <c r="CH23" t="s">
        <v>43</v>
      </c>
      <c r="CP23" s="70"/>
      <c r="CQ23" s="70"/>
      <c r="CR23" s="70"/>
      <c r="CS23" s="70">
        <v>100</v>
      </c>
      <c r="CT23" s="70">
        <v>1000</v>
      </c>
      <c r="CU23" s="70">
        <v>2000</v>
      </c>
      <c r="CV23" s="70">
        <v>1100</v>
      </c>
      <c r="CW23" s="70">
        <v>1000</v>
      </c>
      <c r="CX23" s="70">
        <v>1000</v>
      </c>
      <c r="CY23" s="70">
        <v>1000</v>
      </c>
      <c r="CZ23" s="70">
        <v>1000</v>
      </c>
      <c r="DA23" s="70">
        <v>1000</v>
      </c>
      <c r="DB23" s="70">
        <v>1000</v>
      </c>
      <c r="DC23" s="70">
        <v>1000</v>
      </c>
      <c r="DD23" s="70">
        <v>1000</v>
      </c>
      <c r="DE23" s="70">
        <v>1000</v>
      </c>
      <c r="DF23" s="70">
        <v>1000</v>
      </c>
      <c r="DG23" s="70">
        <v>1000</v>
      </c>
      <c r="DH23" s="70">
        <v>1000</v>
      </c>
      <c r="DI23" s="70">
        <v>1000</v>
      </c>
      <c r="DJ23" s="70">
        <v>1000</v>
      </c>
      <c r="DK23" s="70">
        <v>1000</v>
      </c>
      <c r="DL23" s="70">
        <v>1000</v>
      </c>
      <c r="DM23" s="70">
        <v>1000</v>
      </c>
      <c r="DN23" s="70">
        <v>1000</v>
      </c>
      <c r="DO23" s="70">
        <v>1000</v>
      </c>
      <c r="DP23" s="70">
        <v>1000</v>
      </c>
      <c r="DQ23" s="70">
        <v>1000</v>
      </c>
      <c r="DR23" s="70">
        <v>1000</v>
      </c>
      <c r="DS23" s="70">
        <v>1000</v>
      </c>
      <c r="DT23" s="70">
        <v>1000</v>
      </c>
      <c r="DU23" s="70">
        <v>1000</v>
      </c>
      <c r="DV23" s="70">
        <v>817</v>
      </c>
      <c r="DW23" s="70"/>
      <c r="DX23" t="s">
        <v>14</v>
      </c>
      <c r="DY23">
        <v>2</v>
      </c>
      <c r="DZ23" t="s">
        <v>43</v>
      </c>
      <c r="EH23" s="70"/>
      <c r="EI23" s="70"/>
      <c r="EJ23" s="70"/>
      <c r="EK23" s="70">
        <v>100</v>
      </c>
      <c r="EL23" s="70">
        <v>1000</v>
      </c>
      <c r="EM23" s="70">
        <v>2000</v>
      </c>
      <c r="EN23" s="70">
        <v>1100</v>
      </c>
      <c r="EO23" s="70">
        <v>1000</v>
      </c>
      <c r="EP23" s="70">
        <v>1000</v>
      </c>
      <c r="EQ23" s="70">
        <v>1000</v>
      </c>
      <c r="ER23" s="70">
        <v>1000</v>
      </c>
      <c r="ES23" s="70">
        <v>1000</v>
      </c>
      <c r="ET23" s="70">
        <v>1000</v>
      </c>
      <c r="EU23" s="70">
        <v>1000</v>
      </c>
      <c r="EV23" s="70">
        <v>1000</v>
      </c>
      <c r="EW23" s="70">
        <v>1000</v>
      </c>
      <c r="EX23" s="70">
        <v>1000</v>
      </c>
      <c r="EY23" s="70">
        <v>1000</v>
      </c>
      <c r="EZ23" s="70">
        <v>1000</v>
      </c>
      <c r="FA23" s="70">
        <v>1000</v>
      </c>
      <c r="FB23" s="70">
        <v>1000</v>
      </c>
      <c r="FC23" s="70">
        <v>1000</v>
      </c>
      <c r="FD23" s="70">
        <v>1000</v>
      </c>
      <c r="FE23" s="70">
        <v>1000</v>
      </c>
      <c r="FF23" s="70">
        <v>1000</v>
      </c>
      <c r="FG23" s="70">
        <v>1000</v>
      </c>
      <c r="FH23" s="70">
        <v>1000</v>
      </c>
      <c r="FI23" s="70">
        <v>1000</v>
      </c>
      <c r="FJ23" s="70">
        <v>1000</v>
      </c>
      <c r="FK23" s="70">
        <v>1000</v>
      </c>
      <c r="FL23" s="70">
        <v>1000</v>
      </c>
      <c r="FM23" s="70">
        <v>1000</v>
      </c>
      <c r="FN23" s="70">
        <v>817</v>
      </c>
      <c r="FO23" s="70"/>
    </row>
    <row r="24" spans="1:171" ht="15" x14ac:dyDescent="0.2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65"/>
      <c r="L24" s="65"/>
      <c r="M24" s="65"/>
      <c r="N24" s="65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7"/>
      <c r="Z24" s="67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76"/>
      <c r="AL24" s="79"/>
      <c r="AM24" s="70"/>
      <c r="AN24" s="70"/>
      <c r="AO24" s="73"/>
      <c r="AP24" s="71"/>
      <c r="AQ24" s="70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t="s">
        <v>15</v>
      </c>
      <c r="CG24">
        <v>3</v>
      </c>
      <c r="CH24" t="s">
        <v>44</v>
      </c>
      <c r="CP24" s="70"/>
      <c r="CQ24" s="70"/>
      <c r="CR24" s="70"/>
      <c r="CS24" s="70">
        <v>100</v>
      </c>
      <c r="CT24" s="70">
        <v>1000</v>
      </c>
      <c r="CU24" s="70">
        <v>2000</v>
      </c>
      <c r="CV24" s="70">
        <v>1100</v>
      </c>
      <c r="CW24" s="70">
        <v>1000</v>
      </c>
      <c r="CX24" s="70">
        <v>1000</v>
      </c>
      <c r="CY24" s="70">
        <v>1000</v>
      </c>
      <c r="CZ24" s="70">
        <v>1000</v>
      </c>
      <c r="DA24" s="70">
        <v>1000</v>
      </c>
      <c r="DB24" s="70">
        <v>1000</v>
      </c>
      <c r="DC24" s="70">
        <v>1000</v>
      </c>
      <c r="DD24" s="70">
        <v>1000</v>
      </c>
      <c r="DE24" s="70">
        <v>1000</v>
      </c>
      <c r="DF24" s="70">
        <v>1000</v>
      </c>
      <c r="DG24" s="70">
        <v>1000</v>
      </c>
      <c r="DH24" s="70">
        <v>1000</v>
      </c>
      <c r="DI24" s="70">
        <v>1000</v>
      </c>
      <c r="DJ24" s="70">
        <v>1000</v>
      </c>
      <c r="DK24" s="70">
        <v>1000</v>
      </c>
      <c r="DL24" s="70">
        <v>1000</v>
      </c>
      <c r="DM24" s="70">
        <v>1000</v>
      </c>
      <c r="DN24" s="70">
        <v>1000</v>
      </c>
      <c r="DO24" s="70">
        <v>1000</v>
      </c>
      <c r="DP24" s="70">
        <v>1000</v>
      </c>
      <c r="DQ24" s="70">
        <v>1000</v>
      </c>
      <c r="DR24" s="70">
        <v>1000</v>
      </c>
      <c r="DS24" s="70">
        <v>1000</v>
      </c>
      <c r="DT24" s="70">
        <v>1000</v>
      </c>
      <c r="DU24" s="70">
        <v>1000</v>
      </c>
      <c r="DV24" s="70">
        <v>817</v>
      </c>
      <c r="DW24" s="70"/>
      <c r="DX24" t="s">
        <v>15</v>
      </c>
      <c r="DY24">
        <v>3</v>
      </c>
      <c r="DZ24" t="s">
        <v>44</v>
      </c>
      <c r="EH24" s="70"/>
      <c r="EI24" s="70"/>
      <c r="EJ24" s="70"/>
      <c r="EK24" s="70">
        <v>100</v>
      </c>
      <c r="EL24" s="70">
        <v>1000</v>
      </c>
      <c r="EM24" s="70">
        <v>2000</v>
      </c>
      <c r="EN24" s="70">
        <v>1100</v>
      </c>
      <c r="EO24" s="70">
        <v>1000</v>
      </c>
      <c r="EP24" s="70">
        <v>1000</v>
      </c>
      <c r="EQ24" s="70">
        <v>1000</v>
      </c>
      <c r="ER24" s="70">
        <v>1000</v>
      </c>
      <c r="ES24" s="70">
        <v>1000</v>
      </c>
      <c r="ET24" s="70">
        <v>1000</v>
      </c>
      <c r="EU24" s="70">
        <v>1000</v>
      </c>
      <c r="EV24" s="70">
        <v>1000</v>
      </c>
      <c r="EW24" s="70">
        <v>1000</v>
      </c>
      <c r="EX24" s="70">
        <v>1000</v>
      </c>
      <c r="EY24" s="70">
        <v>1000</v>
      </c>
      <c r="EZ24" s="70">
        <v>1000</v>
      </c>
      <c r="FA24" s="70">
        <v>1000</v>
      </c>
      <c r="FB24" s="70">
        <v>1000</v>
      </c>
      <c r="FC24" s="70">
        <v>1000</v>
      </c>
      <c r="FD24" s="70">
        <v>1000</v>
      </c>
      <c r="FE24" s="70">
        <v>1000</v>
      </c>
      <c r="FF24" s="70">
        <v>1000</v>
      </c>
      <c r="FG24" s="70">
        <v>1000</v>
      </c>
      <c r="FH24" s="70">
        <v>1000</v>
      </c>
      <c r="FI24" s="70">
        <v>1000</v>
      </c>
      <c r="FJ24" s="70">
        <v>1000</v>
      </c>
      <c r="FK24" s="70">
        <v>1000</v>
      </c>
      <c r="FL24" s="70">
        <v>1000</v>
      </c>
      <c r="FM24" s="70">
        <v>1000</v>
      </c>
      <c r="FN24" s="70">
        <v>817</v>
      </c>
      <c r="FO24" s="70"/>
    </row>
    <row r="25" spans="1:171" ht="15" x14ac:dyDescent="0.2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65"/>
      <c r="L25" s="65"/>
      <c r="M25" s="65"/>
      <c r="N25" s="65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7"/>
      <c r="Z25" s="67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76"/>
      <c r="AL25" s="79"/>
      <c r="AM25" s="70"/>
      <c r="AN25" s="70"/>
      <c r="AO25" s="73"/>
      <c r="AP25" s="71"/>
      <c r="AQ25" s="70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t="s">
        <v>21</v>
      </c>
      <c r="CG25">
        <v>0</v>
      </c>
      <c r="CH25" t="s">
        <v>50</v>
      </c>
      <c r="CP25" s="70">
        <v>10</v>
      </c>
      <c r="CQ25" s="70"/>
      <c r="CR25" s="70">
        <v>15</v>
      </c>
      <c r="CS25" s="70">
        <v>35</v>
      </c>
      <c r="CT25" s="70">
        <v>15</v>
      </c>
      <c r="CU25" s="70">
        <v>50</v>
      </c>
      <c r="CV25" s="70">
        <v>50</v>
      </c>
      <c r="CW25" s="70"/>
      <c r="CX25" s="70">
        <v>50</v>
      </c>
      <c r="CY25" s="70">
        <v>50</v>
      </c>
      <c r="CZ25" s="70">
        <v>50</v>
      </c>
      <c r="DA25" s="70">
        <v>50</v>
      </c>
      <c r="DB25" s="70">
        <v>50</v>
      </c>
      <c r="DC25" s="70">
        <v>50</v>
      </c>
      <c r="DD25" s="70">
        <v>50</v>
      </c>
      <c r="DE25" s="70">
        <v>10</v>
      </c>
      <c r="DF25" s="70">
        <v>0</v>
      </c>
      <c r="DG25" s="70">
        <v>0</v>
      </c>
      <c r="DH25" s="70">
        <v>0</v>
      </c>
      <c r="DI25" s="70">
        <v>0</v>
      </c>
      <c r="DJ25" s="70">
        <v>0</v>
      </c>
      <c r="DK25" s="70">
        <v>0</v>
      </c>
      <c r="DL25" s="70">
        <v>0</v>
      </c>
      <c r="DM25" s="70">
        <v>0</v>
      </c>
      <c r="DN25" s="70">
        <v>0</v>
      </c>
      <c r="DO25" s="70">
        <v>0</v>
      </c>
      <c r="DP25" s="70">
        <v>0</v>
      </c>
      <c r="DQ25" s="70">
        <v>0</v>
      </c>
      <c r="DR25" s="70">
        <v>0</v>
      </c>
      <c r="DS25" s="70">
        <v>0</v>
      </c>
      <c r="DT25" s="70"/>
      <c r="DU25" s="70"/>
      <c r="DV25" s="70"/>
      <c r="DW25" s="70"/>
      <c r="DX25" t="s">
        <v>21</v>
      </c>
      <c r="DY25">
        <v>0</v>
      </c>
      <c r="DZ25" t="s">
        <v>50</v>
      </c>
      <c r="EH25" s="70">
        <v>10</v>
      </c>
      <c r="EI25" s="70"/>
      <c r="EJ25" s="70">
        <v>15</v>
      </c>
      <c r="EK25" s="70">
        <v>35</v>
      </c>
      <c r="EL25" s="70">
        <v>15</v>
      </c>
      <c r="EM25" s="70">
        <v>50</v>
      </c>
      <c r="EN25" s="70">
        <v>50</v>
      </c>
      <c r="EO25" s="70"/>
      <c r="EP25" s="70">
        <v>50</v>
      </c>
      <c r="EQ25" s="70">
        <v>50</v>
      </c>
      <c r="ER25" s="70">
        <v>50</v>
      </c>
      <c r="ES25" s="70">
        <v>50</v>
      </c>
      <c r="ET25" s="70">
        <v>50</v>
      </c>
      <c r="EU25" s="70">
        <v>50</v>
      </c>
      <c r="EV25" s="70">
        <v>50</v>
      </c>
      <c r="EW25" s="70">
        <v>10</v>
      </c>
      <c r="EX25" s="70">
        <v>0</v>
      </c>
      <c r="EY25" s="70">
        <v>0</v>
      </c>
      <c r="EZ25" s="70">
        <v>0</v>
      </c>
      <c r="FA25" s="70">
        <v>0</v>
      </c>
      <c r="FB25" s="70">
        <v>0</v>
      </c>
      <c r="FC25" s="70">
        <v>0</v>
      </c>
      <c r="FD25" s="70">
        <v>0</v>
      </c>
      <c r="FE25" s="70">
        <v>0</v>
      </c>
      <c r="FF25" s="70">
        <v>0</v>
      </c>
      <c r="FG25" s="70">
        <v>0</v>
      </c>
      <c r="FH25" s="70">
        <v>0</v>
      </c>
      <c r="FI25" s="70">
        <v>0</v>
      </c>
      <c r="FJ25" s="70">
        <v>0</v>
      </c>
      <c r="FK25" s="70">
        <v>0</v>
      </c>
      <c r="FL25" s="70"/>
      <c r="FM25" s="70"/>
      <c r="FN25" s="70"/>
      <c r="FO25" s="70"/>
    </row>
    <row r="26" spans="1:171" ht="15" x14ac:dyDescent="0.2">
      <c r="A26" s="70"/>
      <c r="B26" s="70"/>
      <c r="C26" s="70"/>
      <c r="D26" s="70"/>
      <c r="E26" s="70"/>
      <c r="F26" s="70"/>
      <c r="G26" s="70"/>
      <c r="H26" s="70"/>
      <c r="I26" s="70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s="76"/>
      <c r="AL26" s="79"/>
      <c r="AM26" s="70"/>
      <c r="AN26" s="70"/>
      <c r="AO26" s="73"/>
      <c r="AP26" s="71"/>
      <c r="AQ26" s="70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t="s">
        <v>22</v>
      </c>
      <c r="CG26">
        <v>1</v>
      </c>
      <c r="CH26" t="s">
        <v>51</v>
      </c>
      <c r="CP26" s="70">
        <v>10</v>
      </c>
      <c r="CQ26" s="70"/>
      <c r="CR26" s="70">
        <v>15</v>
      </c>
      <c r="CS26" s="70">
        <v>35</v>
      </c>
      <c r="CT26" s="70">
        <v>15</v>
      </c>
      <c r="CU26" s="70">
        <v>50</v>
      </c>
      <c r="CV26" s="70">
        <v>50</v>
      </c>
      <c r="CW26" s="70"/>
      <c r="CX26" s="70">
        <v>50</v>
      </c>
      <c r="CY26" s="70">
        <v>50</v>
      </c>
      <c r="CZ26" s="70">
        <v>50</v>
      </c>
      <c r="DA26" s="70">
        <v>50</v>
      </c>
      <c r="DB26" s="70">
        <v>50</v>
      </c>
      <c r="DC26" s="70">
        <v>50</v>
      </c>
      <c r="DD26" s="70">
        <v>50</v>
      </c>
      <c r="DE26" s="70">
        <v>10</v>
      </c>
      <c r="DF26" s="70">
        <v>0</v>
      </c>
      <c r="DG26" s="70">
        <v>0</v>
      </c>
      <c r="DH26" s="70">
        <v>0</v>
      </c>
      <c r="DI26" s="70">
        <v>0</v>
      </c>
      <c r="DJ26" s="70">
        <v>0</v>
      </c>
      <c r="DK26" s="70">
        <v>0</v>
      </c>
      <c r="DL26" s="70">
        <v>0</v>
      </c>
      <c r="DM26" s="70">
        <v>0</v>
      </c>
      <c r="DN26" s="70">
        <v>0</v>
      </c>
      <c r="DO26" s="70">
        <v>0</v>
      </c>
      <c r="DP26" s="70">
        <v>0</v>
      </c>
      <c r="DQ26" s="70">
        <v>0</v>
      </c>
      <c r="DR26" s="70">
        <v>0</v>
      </c>
      <c r="DS26" s="70">
        <v>0</v>
      </c>
      <c r="DT26" s="70"/>
      <c r="DU26" s="70"/>
      <c r="DV26" s="70"/>
      <c r="DW26" s="70"/>
      <c r="DX26" t="s">
        <v>22</v>
      </c>
      <c r="DY26">
        <v>1</v>
      </c>
      <c r="DZ26" t="s">
        <v>51</v>
      </c>
      <c r="EH26" s="70">
        <v>10</v>
      </c>
      <c r="EI26" s="70"/>
      <c r="EJ26" s="70">
        <v>15</v>
      </c>
      <c r="EK26" s="70">
        <v>35</v>
      </c>
      <c r="EL26" s="70">
        <v>15</v>
      </c>
      <c r="EM26" s="70">
        <v>50</v>
      </c>
      <c r="EN26" s="70">
        <v>50</v>
      </c>
      <c r="EO26" s="70"/>
      <c r="EP26" s="70">
        <v>50</v>
      </c>
      <c r="EQ26" s="70">
        <v>50</v>
      </c>
      <c r="ER26" s="70">
        <v>50</v>
      </c>
      <c r="ES26" s="70">
        <v>50</v>
      </c>
      <c r="ET26" s="70">
        <v>50</v>
      </c>
      <c r="EU26" s="70">
        <v>50</v>
      </c>
      <c r="EV26" s="70">
        <v>50</v>
      </c>
      <c r="EW26" s="70">
        <v>10</v>
      </c>
      <c r="EX26" s="70">
        <v>0</v>
      </c>
      <c r="EY26" s="70">
        <v>0</v>
      </c>
      <c r="EZ26" s="70">
        <v>0</v>
      </c>
      <c r="FA26" s="70">
        <v>0</v>
      </c>
      <c r="FB26" s="70">
        <v>0</v>
      </c>
      <c r="FC26" s="70">
        <v>0</v>
      </c>
      <c r="FD26" s="70">
        <v>0</v>
      </c>
      <c r="FE26" s="70">
        <v>0</v>
      </c>
      <c r="FF26" s="70">
        <v>0</v>
      </c>
      <c r="FG26" s="70">
        <v>0</v>
      </c>
      <c r="FH26" s="70">
        <v>0</v>
      </c>
      <c r="FI26" s="70">
        <v>0</v>
      </c>
      <c r="FJ26" s="70">
        <v>0</v>
      </c>
      <c r="FK26" s="70">
        <v>0</v>
      </c>
      <c r="FL26" s="70"/>
      <c r="FM26" s="70"/>
      <c r="FN26" s="70"/>
      <c r="FO26" s="70"/>
    </row>
    <row r="27" spans="1:171" ht="15" x14ac:dyDescent="0.2">
      <c r="A27" s="70"/>
      <c r="B27" s="70"/>
      <c r="C27" s="70"/>
      <c r="D27" s="70"/>
      <c r="E27" s="70"/>
      <c r="F27" s="70"/>
      <c r="G27" s="70"/>
      <c r="H27" s="70"/>
      <c r="I27" s="70"/>
      <c r="J27" s="70" t="s">
        <v>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s="76"/>
      <c r="AL27" s="79"/>
      <c r="AM27" s="70"/>
      <c r="AN27" s="70"/>
      <c r="AO27" s="73"/>
      <c r="AP27" s="71"/>
      <c r="AQ27" s="70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t="s">
        <v>23</v>
      </c>
      <c r="CG27">
        <v>2</v>
      </c>
      <c r="CH27" t="s">
        <v>1056</v>
      </c>
      <c r="CP27" s="70">
        <v>10</v>
      </c>
      <c r="DX27" t="s">
        <v>23</v>
      </c>
      <c r="DY27">
        <v>2</v>
      </c>
      <c r="DZ27" t="s">
        <v>1056</v>
      </c>
      <c r="EH27" s="70">
        <v>10</v>
      </c>
    </row>
    <row r="28" spans="1:171" ht="15" x14ac:dyDescent="0.2">
      <c r="A28" s="70"/>
      <c r="B28" s="70"/>
      <c r="C28" s="70"/>
      <c r="D28" s="70"/>
      <c r="E28" s="70"/>
      <c r="F28" s="70"/>
      <c r="G28" s="70"/>
      <c r="H28" s="70"/>
      <c r="I28" s="70"/>
      <c r="J28" s="70" t="s">
        <v>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s="76"/>
      <c r="AL28" s="79"/>
      <c r="AM28" s="70"/>
      <c r="AN28" s="70"/>
      <c r="AO28" s="73"/>
      <c r="AP28" s="71"/>
      <c r="AQ28" s="70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t="s">
        <v>24</v>
      </c>
      <c r="CG28">
        <v>3</v>
      </c>
      <c r="CH28" t="s">
        <v>1088</v>
      </c>
      <c r="CP28" s="70">
        <v>10</v>
      </c>
      <c r="DX28" t="s">
        <v>24</v>
      </c>
      <c r="DY28">
        <v>3</v>
      </c>
      <c r="DZ28" t="s">
        <v>1088</v>
      </c>
      <c r="EH28" s="70">
        <v>10</v>
      </c>
    </row>
    <row r="29" spans="1:171" ht="15" customHeight="1" x14ac:dyDescent="0.2">
      <c r="A29" s="70"/>
      <c r="B29" s="70"/>
      <c r="C29" s="70"/>
      <c r="D29" s="70"/>
      <c r="E29" s="70"/>
      <c r="F29" s="70"/>
      <c r="G29" s="70"/>
      <c r="H29" s="70"/>
      <c r="I29" s="70"/>
      <c r="J29" s="70" t="s">
        <v>7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 s="76"/>
      <c r="AL29" s="79"/>
      <c r="AM29" s="70"/>
      <c r="AN29" s="70"/>
      <c r="AO29" s="73"/>
      <c r="AP29" s="71"/>
      <c r="AQ29" s="70"/>
      <c r="AR29" s="91" t="s">
        <v>1092</v>
      </c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t="s">
        <v>24</v>
      </c>
      <c r="CG29">
        <v>3</v>
      </c>
      <c r="CH29" t="s">
        <v>53</v>
      </c>
      <c r="CP29" s="70"/>
      <c r="CQ29" s="70"/>
      <c r="CR29" s="70">
        <v>15</v>
      </c>
      <c r="CS29" s="70">
        <v>35</v>
      </c>
      <c r="CT29" s="70">
        <v>15</v>
      </c>
      <c r="CU29" s="70">
        <v>50</v>
      </c>
      <c r="CV29" s="70">
        <v>50</v>
      </c>
      <c r="CW29" s="70"/>
      <c r="CX29" s="70">
        <v>50</v>
      </c>
      <c r="CY29" s="70">
        <v>50</v>
      </c>
      <c r="CZ29" s="70">
        <v>50</v>
      </c>
      <c r="DA29" s="70">
        <v>50</v>
      </c>
      <c r="DB29" s="70">
        <v>50</v>
      </c>
      <c r="DC29" s="70">
        <v>50</v>
      </c>
      <c r="DD29" s="70">
        <v>50</v>
      </c>
      <c r="DE29" s="70">
        <v>43</v>
      </c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t="s">
        <v>24</v>
      </c>
      <c r="DY29">
        <v>3</v>
      </c>
      <c r="DZ29" t="s">
        <v>53</v>
      </c>
      <c r="EH29" s="70"/>
      <c r="EI29" s="70"/>
      <c r="EJ29" s="70">
        <v>15</v>
      </c>
      <c r="EK29" s="70">
        <v>35</v>
      </c>
      <c r="EL29" s="70">
        <v>15</v>
      </c>
      <c r="EM29" s="70">
        <v>50</v>
      </c>
      <c r="EN29" s="70">
        <v>50</v>
      </c>
      <c r="EO29" s="70"/>
      <c r="EP29" s="70">
        <v>50</v>
      </c>
      <c r="EQ29" s="70">
        <v>50</v>
      </c>
      <c r="ER29" s="70">
        <v>50</v>
      </c>
      <c r="ES29" s="70">
        <v>50</v>
      </c>
      <c r="ET29" s="70">
        <v>50</v>
      </c>
      <c r="EU29" s="70">
        <v>50</v>
      </c>
      <c r="EV29" s="70">
        <v>50</v>
      </c>
      <c r="EW29" s="70">
        <v>43</v>
      </c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</row>
    <row r="30" spans="1:171" ht="14.25" x14ac:dyDescent="0.2">
      <c r="A30" s="70"/>
      <c r="B30" s="70"/>
      <c r="C30" s="70"/>
      <c r="D30" s="70"/>
      <c r="E30" s="70"/>
      <c r="F30" s="70"/>
      <c r="G30" s="70"/>
      <c r="H30" s="70"/>
      <c r="I30" s="70"/>
      <c r="J30" s="70" t="s">
        <v>25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 s="76"/>
      <c r="AL30" s="79"/>
      <c r="AM30" s="70"/>
      <c r="AN30" s="70"/>
      <c r="AO30" s="73"/>
      <c r="AP30" s="71"/>
      <c r="AQ30" s="70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t="s">
        <v>16</v>
      </c>
      <c r="CG30">
        <v>4</v>
      </c>
      <c r="CH30" t="s">
        <v>45</v>
      </c>
      <c r="CP30" s="70"/>
      <c r="CQ30" s="70"/>
      <c r="CR30" s="70">
        <v>15</v>
      </c>
      <c r="CS30" s="70">
        <v>35</v>
      </c>
      <c r="CT30" s="70">
        <v>15</v>
      </c>
      <c r="CU30" s="70">
        <v>50</v>
      </c>
      <c r="CV30" s="70">
        <v>50</v>
      </c>
      <c r="CW30" s="70"/>
      <c r="CX30" s="70">
        <v>50</v>
      </c>
      <c r="CY30" s="70">
        <v>50</v>
      </c>
      <c r="CZ30" s="70">
        <v>50</v>
      </c>
      <c r="DA30" s="70">
        <v>50</v>
      </c>
      <c r="DB30" s="70">
        <v>50</v>
      </c>
      <c r="DC30" s="70">
        <v>50</v>
      </c>
      <c r="DD30" s="70">
        <v>50</v>
      </c>
      <c r="DE30" s="70">
        <v>43</v>
      </c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X30" t="s">
        <v>16</v>
      </c>
      <c r="DY30">
        <v>4</v>
      </c>
      <c r="DZ30" t="s">
        <v>45</v>
      </c>
      <c r="EH30" s="70"/>
      <c r="EI30" s="70"/>
      <c r="EJ30" s="70">
        <v>15</v>
      </c>
      <c r="EK30" s="70">
        <v>35</v>
      </c>
      <c r="EL30" s="70">
        <v>15</v>
      </c>
      <c r="EM30" s="70">
        <v>50</v>
      </c>
      <c r="EN30" s="70">
        <v>50</v>
      </c>
      <c r="EO30" s="70"/>
      <c r="EP30" s="70">
        <v>50</v>
      </c>
      <c r="EQ30" s="70">
        <v>50</v>
      </c>
      <c r="ER30" s="70">
        <v>50</v>
      </c>
      <c r="ES30" s="70">
        <v>50</v>
      </c>
      <c r="ET30" s="70">
        <v>50</v>
      </c>
      <c r="EU30" s="70">
        <v>50</v>
      </c>
      <c r="EV30" s="70">
        <v>50</v>
      </c>
      <c r="EW30" s="70">
        <v>43</v>
      </c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</row>
    <row r="31" spans="1:171" ht="15" customHeight="1" x14ac:dyDescent="0.2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>
        <v>35198</v>
      </c>
      <c r="L31" s="70">
        <v>35198</v>
      </c>
      <c r="M31" s="70">
        <f>35198+30+3</f>
        <v>35231</v>
      </c>
      <c r="N31" s="70">
        <f>35198+30+3</f>
        <v>35231</v>
      </c>
      <c r="O31" s="70">
        <f>35198+30+3</f>
        <v>35231</v>
      </c>
      <c r="P31" s="70">
        <f>34788+176</f>
        <v>34964</v>
      </c>
      <c r="Q31" s="70">
        <f>34788+176</f>
        <v>34964</v>
      </c>
      <c r="R31" s="72">
        <v>3380</v>
      </c>
      <c r="S31" s="72">
        <v>3380</v>
      </c>
      <c r="T31" s="70">
        <f>34818+176+3</f>
        <v>34997</v>
      </c>
      <c r="U31" s="70">
        <f>34818+176+3</f>
        <v>34997</v>
      </c>
      <c r="V31" s="70">
        <f>34818+176+3</f>
        <v>34997</v>
      </c>
      <c r="W31" s="70">
        <f>34788+176</f>
        <v>34964</v>
      </c>
      <c r="X31" s="70">
        <f>34818+176+3</f>
        <v>34997</v>
      </c>
      <c r="Y31" s="72">
        <f>34818-3380+176+3</f>
        <v>31617</v>
      </c>
      <c r="Z31" s="72">
        <f>34818-3380+176+3</f>
        <v>31617</v>
      </c>
      <c r="AA31" s="70">
        <v>635</v>
      </c>
      <c r="AB31" s="70">
        <v>635</v>
      </c>
      <c r="AC31" s="70">
        <f>635+33</f>
        <v>668</v>
      </c>
      <c r="AD31" s="70">
        <v>10</v>
      </c>
      <c r="AE31" s="70">
        <f>635+33-10</f>
        <v>658</v>
      </c>
      <c r="AF31" s="70">
        <f>635+33</f>
        <v>668</v>
      </c>
      <c r="AG31" s="70">
        <f>635+33</f>
        <v>668</v>
      </c>
      <c r="AH31" s="70">
        <f>635+33</f>
        <v>668</v>
      </c>
      <c r="AI31" s="70">
        <v>635</v>
      </c>
      <c r="AJ31" s="70">
        <v>635</v>
      </c>
      <c r="AK31" s="76"/>
      <c r="AL31" s="79"/>
      <c r="AM31" s="70"/>
      <c r="AN31" s="70"/>
      <c r="AO31" s="73"/>
      <c r="AP31" s="71"/>
      <c r="AQ31" s="70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t="s">
        <v>17</v>
      </c>
      <c r="CG31">
        <v>3</v>
      </c>
      <c r="CH31" t="s">
        <v>46</v>
      </c>
      <c r="CP31" s="70"/>
      <c r="CQ31" s="70"/>
      <c r="CR31" s="70">
        <v>15</v>
      </c>
      <c r="CS31" s="70">
        <v>35</v>
      </c>
      <c r="CT31" s="70">
        <v>15</v>
      </c>
      <c r="CU31" s="70">
        <v>50</v>
      </c>
      <c r="CV31" s="70">
        <v>50</v>
      </c>
      <c r="CW31" s="70"/>
      <c r="CX31" s="70">
        <v>50</v>
      </c>
      <c r="CY31" s="70">
        <v>50</v>
      </c>
      <c r="CZ31" s="70">
        <v>50</v>
      </c>
      <c r="DA31" s="70">
        <v>50</v>
      </c>
      <c r="DB31" s="70">
        <v>50</v>
      </c>
      <c r="DC31" s="70">
        <v>50</v>
      </c>
      <c r="DD31" s="70">
        <v>50</v>
      </c>
      <c r="DE31" s="70">
        <v>43</v>
      </c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X31" t="s">
        <v>17</v>
      </c>
      <c r="DY31">
        <v>3</v>
      </c>
      <c r="DZ31" t="s">
        <v>46</v>
      </c>
      <c r="EH31" s="70"/>
      <c r="EI31" s="70"/>
      <c r="EJ31" s="70">
        <v>15</v>
      </c>
      <c r="EK31" s="70">
        <v>35</v>
      </c>
      <c r="EL31" s="70">
        <v>15</v>
      </c>
      <c r="EM31" s="70">
        <v>50</v>
      </c>
      <c r="EN31" s="70">
        <v>50</v>
      </c>
      <c r="EO31" s="70"/>
      <c r="EP31" s="70">
        <v>50</v>
      </c>
      <c r="EQ31" s="70">
        <v>50</v>
      </c>
      <c r="ER31" s="70">
        <v>50</v>
      </c>
      <c r="ES31" s="70">
        <v>50</v>
      </c>
      <c r="ET31" s="70">
        <v>50</v>
      </c>
      <c r="EU31" s="70">
        <v>50</v>
      </c>
      <c r="EV31" s="70">
        <v>50</v>
      </c>
      <c r="EW31" s="70">
        <v>43</v>
      </c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</row>
    <row r="32" spans="1:171" ht="15.75" customHeight="1" thickBo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>
        <f t="shared" ref="K32:X32" si="0">COUNTIF(K36:K331,"&gt;0")</f>
        <v>4</v>
      </c>
      <c r="L32" s="70">
        <f t="shared" si="0"/>
        <v>33</v>
      </c>
      <c r="M32" s="70">
        <f t="shared" si="0"/>
        <v>13</v>
      </c>
      <c r="N32" s="70">
        <f t="shared" si="0"/>
        <v>47</v>
      </c>
      <c r="O32" s="70">
        <f t="shared" si="0"/>
        <v>100</v>
      </c>
      <c r="P32" s="70">
        <f t="shared" si="0"/>
        <v>4</v>
      </c>
      <c r="Q32" s="70">
        <f t="shared" si="0"/>
        <v>33</v>
      </c>
      <c r="R32" s="70">
        <f t="shared" si="0"/>
        <v>30</v>
      </c>
      <c r="S32" s="70">
        <f t="shared" si="0"/>
        <v>114</v>
      </c>
      <c r="T32" s="70">
        <f t="shared" si="0"/>
        <v>5</v>
      </c>
      <c r="U32" s="70">
        <f t="shared" si="0"/>
        <v>1</v>
      </c>
      <c r="V32" s="70">
        <f t="shared" si="0"/>
        <v>2</v>
      </c>
      <c r="W32" s="70">
        <f t="shared" si="0"/>
        <v>4</v>
      </c>
      <c r="X32" s="70">
        <f t="shared" si="0"/>
        <v>101</v>
      </c>
      <c r="Y32" s="70"/>
      <c r="Z32" s="70"/>
      <c r="AA32" s="70">
        <f t="shared" ref="AA32:AJ32" si="1">COUNTIF(AA36:AA331,"&gt;0")</f>
        <v>4</v>
      </c>
      <c r="AB32" s="70">
        <f t="shared" si="1"/>
        <v>33</v>
      </c>
      <c r="AC32" s="70">
        <f t="shared" si="1"/>
        <v>30</v>
      </c>
      <c r="AD32" s="70">
        <f t="shared" si="1"/>
        <v>115</v>
      </c>
      <c r="AE32" s="70">
        <f t="shared" si="1"/>
        <v>114</v>
      </c>
      <c r="AF32" s="70">
        <f t="shared" si="1"/>
        <v>5</v>
      </c>
      <c r="AG32" s="70">
        <f t="shared" si="1"/>
        <v>1</v>
      </c>
      <c r="AH32" s="70">
        <f t="shared" si="1"/>
        <v>2</v>
      </c>
      <c r="AI32" s="70">
        <f t="shared" si="1"/>
        <v>4</v>
      </c>
      <c r="AJ32" s="70">
        <f t="shared" si="1"/>
        <v>101</v>
      </c>
      <c r="AK32" s="76"/>
      <c r="AL32" s="79"/>
      <c r="AM32" s="70"/>
      <c r="AN32" s="70"/>
      <c r="AO32" s="73"/>
      <c r="AP32" s="71"/>
      <c r="AQ32" s="70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t="s">
        <v>18</v>
      </c>
      <c r="CG32">
        <v>3</v>
      </c>
      <c r="CH32" t="s">
        <v>47</v>
      </c>
      <c r="CP32" s="70"/>
      <c r="CQ32" s="70"/>
      <c r="CR32" s="70">
        <v>15</v>
      </c>
      <c r="CS32" s="70">
        <v>35</v>
      </c>
      <c r="CT32" s="70">
        <v>15</v>
      </c>
      <c r="CU32" s="70">
        <v>50</v>
      </c>
      <c r="CV32" s="70">
        <v>50</v>
      </c>
      <c r="CW32" s="70"/>
      <c r="CX32" s="70">
        <v>50</v>
      </c>
      <c r="CY32" s="70">
        <v>50</v>
      </c>
      <c r="CZ32" s="70">
        <v>50</v>
      </c>
      <c r="DA32" s="70">
        <v>50</v>
      </c>
      <c r="DB32" s="70">
        <v>50</v>
      </c>
      <c r="DC32" s="70">
        <v>50</v>
      </c>
      <c r="DD32" s="70">
        <v>50</v>
      </c>
      <c r="DE32" s="70">
        <v>43</v>
      </c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X32" t="s">
        <v>18</v>
      </c>
      <c r="DY32">
        <v>3</v>
      </c>
      <c r="DZ32" t="s">
        <v>47</v>
      </c>
      <c r="EH32" s="70"/>
      <c r="EI32" s="70"/>
      <c r="EJ32" s="70">
        <v>15</v>
      </c>
      <c r="EK32" s="70">
        <v>35</v>
      </c>
      <c r="EL32" s="70">
        <v>15</v>
      </c>
      <c r="EM32" s="70">
        <v>50</v>
      </c>
      <c r="EN32" s="70">
        <v>50</v>
      </c>
      <c r="EO32" s="70"/>
      <c r="EP32" s="70">
        <v>50</v>
      </c>
      <c r="EQ32" s="70">
        <v>50</v>
      </c>
      <c r="ER32" s="70">
        <v>50</v>
      </c>
      <c r="ES32" s="70">
        <v>50</v>
      </c>
      <c r="ET32" s="70">
        <v>50</v>
      </c>
      <c r="EU32" s="70">
        <v>50</v>
      </c>
      <c r="EV32" s="70">
        <v>50</v>
      </c>
      <c r="EW32" s="70">
        <v>43</v>
      </c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</row>
    <row r="33" spans="1:171" ht="27" customHeight="1" thickBot="1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5" t="s">
        <v>8</v>
      </c>
      <c r="L33" s="5" t="s">
        <v>9</v>
      </c>
      <c r="M33" s="5" t="s">
        <v>10</v>
      </c>
      <c r="N33" s="5" t="s">
        <v>11</v>
      </c>
      <c r="O33" s="5" t="s">
        <v>12</v>
      </c>
      <c r="P33" s="6" t="s">
        <v>13</v>
      </c>
      <c r="Q33" s="6" t="s">
        <v>13</v>
      </c>
      <c r="R33" s="6" t="s">
        <v>14</v>
      </c>
      <c r="S33" s="6" t="s">
        <v>15</v>
      </c>
      <c r="T33" s="6" t="s">
        <v>16</v>
      </c>
      <c r="U33" s="6" t="s">
        <v>17</v>
      </c>
      <c r="V33" s="6" t="s">
        <v>18</v>
      </c>
      <c r="W33" s="6" t="s">
        <v>19</v>
      </c>
      <c r="X33" s="6" t="s">
        <v>20</v>
      </c>
      <c r="Y33" s="61" t="s">
        <v>14</v>
      </c>
      <c r="Z33" s="61" t="s">
        <v>15</v>
      </c>
      <c r="AA33" s="8" t="s">
        <v>21</v>
      </c>
      <c r="AB33" s="8" t="s">
        <v>22</v>
      </c>
      <c r="AC33" s="8" t="s">
        <v>23</v>
      </c>
      <c r="AD33" s="8" t="s">
        <v>24</v>
      </c>
      <c r="AE33" s="8" t="s">
        <v>24</v>
      </c>
      <c r="AF33" s="8" t="s">
        <v>16</v>
      </c>
      <c r="AG33" s="8" t="s">
        <v>17</v>
      </c>
      <c r="AH33" s="8" t="s">
        <v>18</v>
      </c>
      <c r="AI33" s="8" t="s">
        <v>19</v>
      </c>
      <c r="AJ33" s="8" t="s">
        <v>20</v>
      </c>
      <c r="AK33" s="76"/>
      <c r="AL33" s="79"/>
      <c r="AM33" s="70"/>
      <c r="AN33" s="70"/>
      <c r="AO33" s="73"/>
      <c r="AP33" s="71"/>
      <c r="AQ33" s="70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t="s">
        <v>19</v>
      </c>
      <c r="CG33">
        <v>2</v>
      </c>
      <c r="CH33" t="s">
        <v>48</v>
      </c>
      <c r="CP33" s="70">
        <v>10</v>
      </c>
      <c r="CQ33" s="70"/>
      <c r="CR33" s="70">
        <v>15</v>
      </c>
      <c r="CS33" s="70">
        <v>35</v>
      </c>
      <c r="CT33" s="70">
        <v>15</v>
      </c>
      <c r="CU33" s="70">
        <v>50</v>
      </c>
      <c r="CV33" s="70">
        <v>50</v>
      </c>
      <c r="CW33" s="70"/>
      <c r="CX33" s="70">
        <v>50</v>
      </c>
      <c r="CY33" s="70">
        <v>50</v>
      </c>
      <c r="CZ33" s="70">
        <v>50</v>
      </c>
      <c r="DA33" s="70">
        <v>50</v>
      </c>
      <c r="DB33" s="70">
        <v>50</v>
      </c>
      <c r="DC33" s="70">
        <v>50</v>
      </c>
      <c r="DD33" s="70">
        <v>50</v>
      </c>
      <c r="DE33" s="70">
        <v>10</v>
      </c>
      <c r="DF33" s="70">
        <v>0</v>
      </c>
      <c r="DG33" s="70">
        <v>0</v>
      </c>
      <c r="DH33" s="70">
        <v>0</v>
      </c>
      <c r="DI33" s="70">
        <v>0</v>
      </c>
      <c r="DJ33" s="70">
        <v>0</v>
      </c>
      <c r="DK33" s="70">
        <v>0</v>
      </c>
      <c r="DL33" s="70">
        <v>0</v>
      </c>
      <c r="DM33" s="70">
        <v>0</v>
      </c>
      <c r="DN33" s="70">
        <v>0</v>
      </c>
      <c r="DO33" s="70">
        <v>0</v>
      </c>
      <c r="DP33" s="70">
        <v>0</v>
      </c>
      <c r="DQ33" s="70">
        <v>0</v>
      </c>
      <c r="DR33" s="70">
        <v>0</v>
      </c>
      <c r="DS33" s="70">
        <v>0</v>
      </c>
      <c r="DT33" s="70"/>
      <c r="DU33" s="70"/>
      <c r="DV33" s="70"/>
      <c r="DW33" s="70"/>
      <c r="DX33" t="s">
        <v>19</v>
      </c>
      <c r="DY33">
        <v>2</v>
      </c>
      <c r="DZ33" t="s">
        <v>48</v>
      </c>
      <c r="EH33" s="70">
        <v>10</v>
      </c>
      <c r="EI33" s="70"/>
      <c r="EJ33" s="70">
        <v>15</v>
      </c>
      <c r="EK33" s="70">
        <v>35</v>
      </c>
      <c r="EL33" s="70">
        <v>15</v>
      </c>
      <c r="EM33" s="70">
        <v>50</v>
      </c>
      <c r="EN33" s="70">
        <v>50</v>
      </c>
      <c r="EO33" s="70"/>
      <c r="EP33" s="70">
        <v>50</v>
      </c>
      <c r="EQ33" s="70">
        <v>50</v>
      </c>
      <c r="ER33" s="70">
        <v>50</v>
      </c>
      <c r="ES33" s="70">
        <v>50</v>
      </c>
      <c r="ET33" s="70">
        <v>50</v>
      </c>
      <c r="EU33" s="70">
        <v>50</v>
      </c>
      <c r="EV33" s="70">
        <v>50</v>
      </c>
      <c r="EW33" s="70">
        <v>10</v>
      </c>
      <c r="EX33" s="70">
        <v>0</v>
      </c>
      <c r="EY33" s="70">
        <v>0</v>
      </c>
      <c r="EZ33" s="70">
        <v>0</v>
      </c>
      <c r="FA33" s="70">
        <v>0</v>
      </c>
      <c r="FB33" s="70">
        <v>0</v>
      </c>
      <c r="FC33" s="70">
        <v>0</v>
      </c>
      <c r="FD33" s="70">
        <v>0</v>
      </c>
      <c r="FE33" s="70">
        <v>0</v>
      </c>
      <c r="FF33" s="70">
        <v>0</v>
      </c>
      <c r="FG33" s="70">
        <v>0</v>
      </c>
      <c r="FH33" s="70">
        <v>0</v>
      </c>
      <c r="FI33" s="70">
        <v>0</v>
      </c>
      <c r="FJ33" s="70">
        <v>0</v>
      </c>
      <c r="FK33" s="70">
        <v>0</v>
      </c>
      <c r="FL33" s="70"/>
      <c r="FM33" s="70"/>
      <c r="FN33" s="70"/>
      <c r="FO33" s="70"/>
    </row>
    <row r="34" spans="1:171" ht="15" customHeight="1" x14ac:dyDescent="0.2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9">
        <v>0</v>
      </c>
      <c r="L34" s="9">
        <v>1</v>
      </c>
      <c r="M34" s="9">
        <v>2</v>
      </c>
      <c r="N34" s="9">
        <v>3</v>
      </c>
      <c r="O34" s="9">
        <v>2</v>
      </c>
      <c r="P34" s="10">
        <v>0</v>
      </c>
      <c r="Q34" s="10">
        <v>1</v>
      </c>
      <c r="R34" s="10">
        <v>2</v>
      </c>
      <c r="S34" s="10">
        <v>3</v>
      </c>
      <c r="T34" s="10">
        <v>4</v>
      </c>
      <c r="U34" s="10">
        <v>3</v>
      </c>
      <c r="V34" s="10">
        <v>3</v>
      </c>
      <c r="W34" s="10">
        <v>2</v>
      </c>
      <c r="X34" s="10">
        <v>2</v>
      </c>
      <c r="Y34" s="62">
        <v>2</v>
      </c>
      <c r="Z34" s="62">
        <v>3</v>
      </c>
      <c r="AA34" s="11">
        <v>0</v>
      </c>
      <c r="AB34" s="11">
        <v>1</v>
      </c>
      <c r="AC34" s="11">
        <v>2</v>
      </c>
      <c r="AD34" s="11">
        <v>3</v>
      </c>
      <c r="AE34" s="11">
        <v>3</v>
      </c>
      <c r="AF34" s="11">
        <v>4</v>
      </c>
      <c r="AG34" s="11">
        <v>3</v>
      </c>
      <c r="AH34" s="11">
        <v>3</v>
      </c>
      <c r="AI34" s="11">
        <v>2</v>
      </c>
      <c r="AJ34" s="11">
        <v>2</v>
      </c>
      <c r="AK34" s="76"/>
      <c r="AL34" s="79"/>
      <c r="AM34" s="70"/>
      <c r="AN34" s="70"/>
      <c r="AO34" s="73"/>
      <c r="AP34" s="71"/>
      <c r="AQ34" s="70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t="s">
        <v>20</v>
      </c>
      <c r="CG34">
        <v>2</v>
      </c>
      <c r="CH34" t="s">
        <v>49</v>
      </c>
      <c r="CP34" s="70">
        <v>10</v>
      </c>
      <c r="CQ34" s="70"/>
      <c r="CR34" s="70">
        <v>15</v>
      </c>
      <c r="CS34" s="70">
        <v>35</v>
      </c>
      <c r="CT34" s="70">
        <v>15</v>
      </c>
      <c r="CU34" s="70">
        <v>50</v>
      </c>
      <c r="CV34" s="70">
        <v>50</v>
      </c>
      <c r="CW34" s="70"/>
      <c r="CX34" s="70">
        <v>50</v>
      </c>
      <c r="CY34" s="70">
        <v>50</v>
      </c>
      <c r="CZ34" s="70">
        <v>50</v>
      </c>
      <c r="DA34" s="70">
        <v>50</v>
      </c>
      <c r="DB34" s="70">
        <v>50</v>
      </c>
      <c r="DC34" s="70">
        <v>50</v>
      </c>
      <c r="DD34" s="70">
        <v>50</v>
      </c>
      <c r="DE34" s="70">
        <v>10</v>
      </c>
      <c r="DF34" s="70">
        <v>0</v>
      </c>
      <c r="DG34" s="70">
        <v>0</v>
      </c>
      <c r="DH34" s="70">
        <v>0</v>
      </c>
      <c r="DI34" s="70">
        <v>0</v>
      </c>
      <c r="DJ34" s="70">
        <v>0</v>
      </c>
      <c r="DK34" s="70">
        <v>0</v>
      </c>
      <c r="DL34" s="70">
        <v>0</v>
      </c>
      <c r="DM34" s="70">
        <v>0</v>
      </c>
      <c r="DN34" s="70">
        <v>0</v>
      </c>
      <c r="DO34" s="70">
        <v>0</v>
      </c>
      <c r="DP34" s="70">
        <v>0</v>
      </c>
      <c r="DQ34" s="70">
        <v>0</v>
      </c>
      <c r="DR34" s="70">
        <v>0</v>
      </c>
      <c r="DS34" s="70">
        <v>0</v>
      </c>
      <c r="DT34" s="70"/>
      <c r="DU34" s="70"/>
      <c r="DV34" s="70"/>
      <c r="DW34" s="70"/>
      <c r="DX34" t="s">
        <v>20</v>
      </c>
      <c r="DY34">
        <v>2</v>
      </c>
      <c r="DZ34" t="s">
        <v>49</v>
      </c>
      <c r="EH34" s="70">
        <v>10</v>
      </c>
      <c r="EI34" s="70"/>
      <c r="EJ34" s="70">
        <v>15</v>
      </c>
      <c r="EK34" s="70">
        <v>35</v>
      </c>
      <c r="EL34" s="70">
        <v>15</v>
      </c>
      <c r="EM34" s="70">
        <v>50</v>
      </c>
      <c r="EN34" s="70">
        <v>50</v>
      </c>
      <c r="EO34" s="70"/>
      <c r="EP34" s="70">
        <v>50</v>
      </c>
      <c r="EQ34" s="70">
        <v>50</v>
      </c>
      <c r="ER34" s="70">
        <v>50</v>
      </c>
      <c r="ES34" s="70">
        <v>50</v>
      </c>
      <c r="ET34" s="70">
        <v>50</v>
      </c>
      <c r="EU34" s="70">
        <v>50</v>
      </c>
      <c r="EV34" s="70">
        <v>50</v>
      </c>
      <c r="EW34" s="70">
        <v>10</v>
      </c>
      <c r="EX34" s="70">
        <v>0</v>
      </c>
      <c r="EY34" s="70">
        <v>0</v>
      </c>
      <c r="EZ34" s="70">
        <v>0</v>
      </c>
      <c r="FA34" s="70">
        <v>0</v>
      </c>
      <c r="FB34" s="70">
        <v>0</v>
      </c>
      <c r="FC34" s="70">
        <v>0</v>
      </c>
      <c r="FD34" s="70">
        <v>0</v>
      </c>
      <c r="FE34" s="70">
        <v>0</v>
      </c>
      <c r="FF34" s="70">
        <v>0</v>
      </c>
      <c r="FG34" s="70">
        <v>0</v>
      </c>
      <c r="FH34" s="70">
        <v>0</v>
      </c>
      <c r="FI34" s="70">
        <v>0</v>
      </c>
      <c r="FJ34" s="70">
        <v>0</v>
      </c>
      <c r="FK34" s="70">
        <v>0</v>
      </c>
      <c r="FL34" s="70"/>
      <c r="FM34" s="70"/>
      <c r="FN34" s="70"/>
      <c r="FO34" s="70"/>
    </row>
    <row r="35" spans="1:171" s="80" customFormat="1" ht="40.9" customHeight="1" x14ac:dyDescent="0.2">
      <c r="A35" s="16" t="s">
        <v>26</v>
      </c>
      <c r="B35" s="16" t="s">
        <v>27</v>
      </c>
      <c r="C35" s="16" t="s">
        <v>28</v>
      </c>
      <c r="D35" s="16" t="s">
        <v>29</v>
      </c>
      <c r="E35" s="16" t="s">
        <v>30</v>
      </c>
      <c r="F35" s="16" t="s">
        <v>31</v>
      </c>
      <c r="G35" s="16" t="s">
        <v>32</v>
      </c>
      <c r="H35" s="16" t="s">
        <v>33</v>
      </c>
      <c r="I35" s="17" t="s">
        <v>34</v>
      </c>
      <c r="J35" s="16" t="s">
        <v>35</v>
      </c>
      <c r="K35" s="51" t="s">
        <v>36</v>
      </c>
      <c r="L35" s="51" t="s">
        <v>37</v>
      </c>
      <c r="M35" s="51" t="s">
        <v>38</v>
      </c>
      <c r="N35" s="51" t="s">
        <v>39</v>
      </c>
      <c r="O35" s="51" t="s">
        <v>40</v>
      </c>
      <c r="P35" s="52" t="s">
        <v>41</v>
      </c>
      <c r="Q35" s="52" t="s">
        <v>42</v>
      </c>
      <c r="R35" s="52" t="s">
        <v>1054</v>
      </c>
      <c r="S35" s="52" t="s">
        <v>1055</v>
      </c>
      <c r="T35" s="52" t="s">
        <v>45</v>
      </c>
      <c r="U35" s="52" t="s">
        <v>46</v>
      </c>
      <c r="V35" s="52" t="s">
        <v>47</v>
      </c>
      <c r="W35" s="52" t="s">
        <v>48</v>
      </c>
      <c r="X35" s="52" t="s">
        <v>49</v>
      </c>
      <c r="Y35" s="63" t="s">
        <v>43</v>
      </c>
      <c r="Z35" s="63" t="s">
        <v>44</v>
      </c>
      <c r="AA35" s="53" t="s">
        <v>50</v>
      </c>
      <c r="AB35" s="53" t="s">
        <v>51</v>
      </c>
      <c r="AC35" s="53" t="s">
        <v>1056</v>
      </c>
      <c r="AD35" s="53" t="s">
        <v>1088</v>
      </c>
      <c r="AE35" s="51" t="s">
        <v>53</v>
      </c>
      <c r="AF35" s="53" t="s">
        <v>45</v>
      </c>
      <c r="AG35" s="53" t="s">
        <v>46</v>
      </c>
      <c r="AH35" s="53" t="s">
        <v>47</v>
      </c>
      <c r="AI35" s="53" t="s">
        <v>48</v>
      </c>
      <c r="AJ35" s="53" t="s">
        <v>49</v>
      </c>
      <c r="AK35" s="16" t="s">
        <v>54</v>
      </c>
      <c r="AL35" s="16" t="s">
        <v>55</v>
      </c>
      <c r="AM35" s="16" t="s">
        <v>56</v>
      </c>
      <c r="AN35" s="54" t="s">
        <v>57</v>
      </c>
      <c r="AO35" s="56" t="s">
        <v>1087</v>
      </c>
      <c r="AP35" s="55" t="s">
        <v>1086</v>
      </c>
      <c r="AQ35" s="18" t="s">
        <v>58</v>
      </c>
      <c r="AR35" s="19">
        <v>45931</v>
      </c>
      <c r="AS35" s="19">
        <v>45962</v>
      </c>
      <c r="AT35" s="19">
        <v>45992</v>
      </c>
      <c r="AU35" s="19">
        <v>46023</v>
      </c>
      <c r="AV35" s="19">
        <v>46054</v>
      </c>
      <c r="AW35" s="19">
        <v>46082</v>
      </c>
      <c r="AX35" s="19">
        <v>46113</v>
      </c>
      <c r="AY35" s="19">
        <v>46143</v>
      </c>
      <c r="AZ35" s="19">
        <v>46174</v>
      </c>
      <c r="BA35" s="19">
        <v>46204</v>
      </c>
      <c r="BB35" s="19">
        <v>46235</v>
      </c>
      <c r="BC35" s="19">
        <v>46266</v>
      </c>
      <c r="BD35" s="19">
        <v>46296</v>
      </c>
      <c r="BE35" s="19">
        <v>46327</v>
      </c>
      <c r="BF35" s="19">
        <v>46357</v>
      </c>
      <c r="BG35" s="19">
        <v>46388</v>
      </c>
      <c r="BH35" s="19">
        <v>46419</v>
      </c>
      <c r="BI35" s="19">
        <v>46447</v>
      </c>
      <c r="BJ35" s="19">
        <v>46478</v>
      </c>
      <c r="BK35" s="19">
        <v>46508</v>
      </c>
      <c r="BL35" s="19">
        <v>46539</v>
      </c>
      <c r="BM35" s="19">
        <v>46569</v>
      </c>
      <c r="BN35" s="19">
        <v>46600</v>
      </c>
      <c r="BO35" s="19">
        <v>46631</v>
      </c>
      <c r="BP35" s="19">
        <v>46661</v>
      </c>
      <c r="BQ35" s="19">
        <v>46692</v>
      </c>
      <c r="BR35" s="19">
        <v>46722</v>
      </c>
      <c r="BS35" s="19">
        <v>46753</v>
      </c>
      <c r="BT35" s="19">
        <v>46784</v>
      </c>
      <c r="BU35" s="19">
        <v>46813</v>
      </c>
      <c r="BV35" s="19">
        <v>46844</v>
      </c>
      <c r="BW35" s="19">
        <v>46874</v>
      </c>
      <c r="BX35" s="19">
        <v>46905</v>
      </c>
      <c r="BY35" s="19">
        <v>46935</v>
      </c>
      <c r="BZ35" s="19">
        <v>46966</v>
      </c>
      <c r="CA35" s="19">
        <v>46997</v>
      </c>
      <c r="CB35" s="19">
        <v>47027</v>
      </c>
      <c r="CC35" s="19">
        <v>47058</v>
      </c>
      <c r="CD35" s="19">
        <v>47088</v>
      </c>
      <c r="CE35" s="19">
        <v>47119</v>
      </c>
      <c r="CF35" s="69" t="s">
        <v>31</v>
      </c>
      <c r="CG35" s="69" t="s">
        <v>1090</v>
      </c>
      <c r="CH35" s="69" t="s">
        <v>1089</v>
      </c>
      <c r="CI35" s="69">
        <v>45931</v>
      </c>
      <c r="CJ35" s="69">
        <v>45962</v>
      </c>
      <c r="CK35" s="69">
        <v>45992</v>
      </c>
      <c r="CL35" s="69">
        <v>46023</v>
      </c>
      <c r="CM35" s="69">
        <v>46054</v>
      </c>
      <c r="CN35" s="69">
        <v>46082</v>
      </c>
      <c r="CO35" s="69">
        <v>46113</v>
      </c>
      <c r="CP35" s="69">
        <v>46143</v>
      </c>
      <c r="CQ35" s="69">
        <v>46174</v>
      </c>
      <c r="CR35" s="69">
        <v>46204</v>
      </c>
      <c r="CS35" s="69">
        <v>46235</v>
      </c>
      <c r="CT35" s="69">
        <v>46266</v>
      </c>
      <c r="CU35" s="69">
        <v>46296</v>
      </c>
      <c r="CV35" s="69">
        <v>46327</v>
      </c>
      <c r="CW35" s="69">
        <v>46357</v>
      </c>
      <c r="CX35" s="69">
        <v>46388</v>
      </c>
      <c r="CY35" s="69">
        <v>46419</v>
      </c>
      <c r="CZ35" s="69">
        <v>46447</v>
      </c>
      <c r="DA35" s="69">
        <v>46478</v>
      </c>
      <c r="DB35" s="69">
        <v>46508</v>
      </c>
      <c r="DC35" s="69">
        <v>46539</v>
      </c>
      <c r="DD35" s="69">
        <v>46569</v>
      </c>
      <c r="DE35" s="69">
        <v>46600</v>
      </c>
      <c r="DF35" s="69">
        <v>46631</v>
      </c>
      <c r="DG35" s="69">
        <v>46661</v>
      </c>
      <c r="DH35" s="69">
        <v>46692</v>
      </c>
      <c r="DI35" s="69">
        <v>46722</v>
      </c>
      <c r="DJ35" s="69">
        <v>46753</v>
      </c>
      <c r="DK35" s="69">
        <v>46784</v>
      </c>
      <c r="DL35" s="69">
        <v>46813</v>
      </c>
      <c r="DM35" s="69">
        <v>46844</v>
      </c>
      <c r="DN35" s="69">
        <v>46874</v>
      </c>
      <c r="DO35" s="69">
        <v>46905</v>
      </c>
      <c r="DP35" s="69">
        <v>46935</v>
      </c>
      <c r="DQ35" s="69">
        <v>46966</v>
      </c>
      <c r="DR35" s="69">
        <v>46997</v>
      </c>
      <c r="DS35" s="69">
        <v>47027</v>
      </c>
      <c r="DT35" s="69">
        <v>47058</v>
      </c>
      <c r="DU35" s="69">
        <v>47088</v>
      </c>
      <c r="DV35" s="69">
        <v>47119</v>
      </c>
      <c r="DW35" s="69">
        <v>47150</v>
      </c>
      <c r="DX35" s="69" t="s">
        <v>31</v>
      </c>
      <c r="DY35" s="69" t="s">
        <v>1090</v>
      </c>
      <c r="DZ35" s="69" t="s">
        <v>1089</v>
      </c>
      <c r="EA35" s="69">
        <v>45931</v>
      </c>
      <c r="EB35" s="69">
        <v>45962</v>
      </c>
      <c r="EC35" s="69">
        <v>45992</v>
      </c>
      <c r="ED35" s="69">
        <v>46023</v>
      </c>
      <c r="EE35" s="69">
        <v>46054</v>
      </c>
      <c r="EF35" s="69">
        <v>46082</v>
      </c>
      <c r="EG35" s="69">
        <v>46113</v>
      </c>
      <c r="EH35" s="69">
        <v>46143</v>
      </c>
      <c r="EI35" s="69">
        <v>46174</v>
      </c>
      <c r="EJ35" s="69">
        <v>46204</v>
      </c>
      <c r="EK35" s="69">
        <v>46235</v>
      </c>
      <c r="EL35" s="69">
        <v>46266</v>
      </c>
      <c r="EM35" s="69">
        <v>46296</v>
      </c>
      <c r="EN35" s="69">
        <v>46327</v>
      </c>
      <c r="EO35" s="69">
        <v>46357</v>
      </c>
      <c r="EP35" s="69">
        <v>46388</v>
      </c>
      <c r="EQ35" s="69">
        <v>46419</v>
      </c>
      <c r="ER35" s="69">
        <v>46447</v>
      </c>
      <c r="ES35" s="69">
        <v>46478</v>
      </c>
      <c r="ET35" s="69">
        <v>46508</v>
      </c>
      <c r="EU35" s="69">
        <v>46539</v>
      </c>
      <c r="EV35" s="69">
        <v>46569</v>
      </c>
      <c r="EW35" s="69">
        <v>46600</v>
      </c>
      <c r="EX35" s="69">
        <v>46631</v>
      </c>
      <c r="EY35" s="69">
        <v>46661</v>
      </c>
      <c r="EZ35" s="69">
        <v>46692</v>
      </c>
      <c r="FA35" s="69">
        <v>46722</v>
      </c>
      <c r="FB35" s="69">
        <v>46753</v>
      </c>
      <c r="FC35" s="69">
        <v>46784</v>
      </c>
      <c r="FD35" s="69">
        <v>46813</v>
      </c>
      <c r="FE35" s="69">
        <v>46844</v>
      </c>
      <c r="FF35" s="69">
        <v>46874</v>
      </c>
      <c r="FG35" s="69">
        <v>46905</v>
      </c>
      <c r="FH35" s="69">
        <v>46935</v>
      </c>
      <c r="FI35" s="69">
        <v>46966</v>
      </c>
      <c r="FJ35" s="69">
        <v>46997</v>
      </c>
      <c r="FK35" s="69">
        <v>47027</v>
      </c>
      <c r="FL35" s="69">
        <v>47058</v>
      </c>
      <c r="FM35" s="69">
        <v>47088</v>
      </c>
      <c r="FN35" s="69">
        <v>47119</v>
      </c>
      <c r="FO35" s="69">
        <v>47150</v>
      </c>
    </row>
    <row r="36" spans="1:171" ht="14.25" x14ac:dyDescent="0.2">
      <c r="A36" s="12">
        <v>1</v>
      </c>
      <c r="B36" s="12" t="s">
        <v>59</v>
      </c>
      <c r="C36" s="21" t="s">
        <v>41</v>
      </c>
      <c r="D36" s="12" t="s">
        <v>60</v>
      </c>
      <c r="E36" s="12">
        <v>410977392</v>
      </c>
      <c r="F36" s="22" t="s">
        <v>13</v>
      </c>
      <c r="G36" s="12"/>
      <c r="H36" s="12" t="s">
        <v>61</v>
      </c>
      <c r="I36" s="12">
        <v>1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1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/>
      <c r="Z36" s="12"/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f>SUM(K36:AD36)</f>
        <v>1</v>
      </c>
      <c r="AL36" s="23">
        <f t="shared" ref="AL36:AL99" si="2">SUMPRODUCT(K36:AJ36,$K$31:$AJ$31)</f>
        <v>34964</v>
      </c>
      <c r="AM36" s="24" t="s">
        <v>62</v>
      </c>
      <c r="AN36" s="12" t="s">
        <v>62</v>
      </c>
      <c r="AO36" s="15" t="s">
        <v>62</v>
      </c>
      <c r="AP36" s="40"/>
      <c r="AQ36" s="12">
        <v>0</v>
      </c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>
        <f>SUM($AQ36:BJ36)-SUM($EA36:EH36)</f>
        <v>-1076</v>
      </c>
      <c r="CQ36" s="12">
        <f>SUM($AQ36:BK36)-SUM($EA36:EI36)</f>
        <v>-3099</v>
      </c>
      <c r="CR36" s="12">
        <f>SUM($AQ36:BL36)-SUM($EA36:EJ36)</f>
        <v>-3380</v>
      </c>
      <c r="CS36" s="12">
        <f>SUM($AQ36:BM36)-SUM($EA36:EK36)</f>
        <v>-3480</v>
      </c>
      <c r="CT36" s="12">
        <f>SUM($AQ36:BN36)-SUM($EA36:EL36)</f>
        <v>-4480</v>
      </c>
      <c r="CU36" s="12">
        <f>SUM($AQ36:BO36)-SUM($EA36:EM36)</f>
        <v>-6480</v>
      </c>
      <c r="CV36" s="12">
        <f>SUM($AQ36:BP36)-SUM($EA36:EN36)</f>
        <v>-7580</v>
      </c>
      <c r="CW36" s="12">
        <f>SUM($AQ36:BQ36)-SUM($EA36:EO36)</f>
        <v>-8580</v>
      </c>
      <c r="CX36" s="12">
        <f>SUM($AQ36:BR36)-SUM($EA36:EP36)</f>
        <v>-9580</v>
      </c>
      <c r="CY36" s="12">
        <f>SUM($AQ36:BS36)-SUM($EA36:EQ36)</f>
        <v>-10580</v>
      </c>
      <c r="CZ36" s="12">
        <f>SUM($AQ36:BT36)-SUM($EA36:ER36)</f>
        <v>-11580</v>
      </c>
      <c r="DA36" s="12">
        <f>SUM($AQ36:BU36)-SUM($EA36:ES36)</f>
        <v>-12580</v>
      </c>
      <c r="DB36" s="12">
        <f>SUM($AQ36:BV36)-SUM($EA36:ET36)</f>
        <v>-13580</v>
      </c>
      <c r="DC36" s="12">
        <f>SUM($AQ36:BW36)-SUM($EA36:EU36)</f>
        <v>-14580</v>
      </c>
      <c r="DD36" s="12">
        <f>SUM($AQ36:BX36)-SUM($EA36:EV36)</f>
        <v>-15580</v>
      </c>
      <c r="DE36" s="12">
        <f>SUM($AQ36:BY36)-SUM($EA36:EW36)</f>
        <v>-16580</v>
      </c>
      <c r="DF36" s="12">
        <f>SUM($AQ36:BZ36)-SUM($EA36:EX36)</f>
        <v>-17580</v>
      </c>
      <c r="DG36" s="12">
        <f>SUM($AQ36:CA36)-SUM($EA36:EY36)</f>
        <v>-18580</v>
      </c>
      <c r="DH36" s="12">
        <f>SUM($AQ36:CB36)-SUM($EA36:EZ36)</f>
        <v>-19580</v>
      </c>
      <c r="DI36" s="12">
        <f>SUM($AQ36:CC36)-SUM($EA36:FA36)</f>
        <v>-20580</v>
      </c>
      <c r="DJ36" s="12">
        <f>SUM($AQ36:CD36)-SUM($EA36:FB36)</f>
        <v>-21580</v>
      </c>
      <c r="DK36" s="12">
        <f>SUM($AQ36:CE36)-SUM($EA36:FC36)</f>
        <v>-22580</v>
      </c>
      <c r="DL36" s="12">
        <f>SUM($AQ36:CF36)-SUM($EA36:FD36)</f>
        <v>-23580</v>
      </c>
      <c r="DM36" s="12">
        <f>SUM($AQ36:CG36)-SUM($EA36:FE36)</f>
        <v>-24580</v>
      </c>
      <c r="DN36" s="12">
        <f>SUM($AQ36:CH36)-SUM($EA36:FF36)</f>
        <v>-25580</v>
      </c>
      <c r="DO36" s="12">
        <f>SUM($AQ36:CI36)-SUM($EA36:FG36)</f>
        <v>-26580</v>
      </c>
      <c r="DP36" s="12">
        <f>SUM($AQ36:CJ36)-SUM($EA36:FH36)</f>
        <v>-27580</v>
      </c>
      <c r="DQ36" s="12">
        <f>SUM($AQ36:CK36)-SUM($EA36:FI36)</f>
        <v>-28580</v>
      </c>
      <c r="DR36" s="12">
        <f>SUM($AQ36:CL36)-SUM($EA36:FJ36)</f>
        <v>-29580</v>
      </c>
      <c r="DS36" s="12">
        <f>SUM($AQ36:CM36)-SUM($EA36:FK36)</f>
        <v>-30580</v>
      </c>
      <c r="DT36" s="12">
        <f>SUM($AQ36:CN36)-SUM($EA36:FL36)</f>
        <v>-31580</v>
      </c>
      <c r="DU36" s="12">
        <f>SUM($AQ36:CO36)-SUM($EA36:FM36)</f>
        <v>-32580</v>
      </c>
      <c r="DV36" s="12">
        <f>SUM($AQ36:CP36)-SUM($EA36:FN36)</f>
        <v>-34440</v>
      </c>
      <c r="DW36" s="12">
        <f>SUM($AQ36:CQ36)-SUM($EA36:FO36)</f>
        <v>-37539</v>
      </c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>
        <f t="array" ref="EH36">SUMPRODUCT(TRANSPOSE(EH$9:EH$34),$K36:$AJ36)</f>
        <v>1076</v>
      </c>
      <c r="EI36" s="12">
        <f t="array" ref="EI36">SUMPRODUCT(TRANSPOSE(EI$9:EI$34),$K36:$AJ36)</f>
        <v>2023</v>
      </c>
      <c r="EJ36" s="12">
        <f t="array" ref="EJ36">SUMPRODUCT(TRANSPOSE(EJ$9:EJ$34),$K36:$AJ36)</f>
        <v>281</v>
      </c>
      <c r="EK36" s="12">
        <f t="array" ref="EK36">SUMPRODUCT(TRANSPOSE(EK$9:EK$34),$K36:$AJ36)</f>
        <v>100</v>
      </c>
      <c r="EL36" s="12">
        <f t="array" ref="EL36">SUMPRODUCT(TRANSPOSE(EL$9:EL$34),$K36:$AJ36)</f>
        <v>1000</v>
      </c>
      <c r="EM36" s="12">
        <f t="array" ref="EM36">SUMPRODUCT(TRANSPOSE(EM$9:EM$34),$K36:$AJ36)</f>
        <v>2000</v>
      </c>
      <c r="EN36" s="12">
        <f t="array" ref="EN36">SUMPRODUCT(TRANSPOSE(EN$9:EN$34),$K36:$AJ36)</f>
        <v>1100</v>
      </c>
      <c r="EO36" s="12">
        <f t="array" ref="EO36">SUMPRODUCT(TRANSPOSE(EO$9:EO$34),$K36:$AJ36)</f>
        <v>1000</v>
      </c>
      <c r="EP36" s="12">
        <f t="array" ref="EP36">SUMPRODUCT(TRANSPOSE(EP$9:EP$34),$K36:$AJ36)</f>
        <v>1000</v>
      </c>
      <c r="EQ36" s="12">
        <f t="array" ref="EQ36">SUMPRODUCT(TRANSPOSE(EQ$9:EQ$34),$K36:$AJ36)</f>
        <v>1000</v>
      </c>
      <c r="ER36" s="12">
        <f t="array" ref="ER36">SUMPRODUCT(TRANSPOSE(ER$9:ER$34),$K36:$AJ36)</f>
        <v>1000</v>
      </c>
      <c r="ES36" s="12">
        <f t="array" ref="ES36">SUMPRODUCT(TRANSPOSE(ES$9:ES$34),$K36:$AJ36)</f>
        <v>1000</v>
      </c>
      <c r="ET36" s="12">
        <f t="array" ref="ET36">SUMPRODUCT(TRANSPOSE(ET$9:ET$34),$K36:$AJ36)</f>
        <v>1000</v>
      </c>
      <c r="EU36" s="12">
        <f t="array" ref="EU36">SUMPRODUCT(TRANSPOSE(EU$9:EU$34),$K36:$AJ36)</f>
        <v>1000</v>
      </c>
      <c r="EV36" s="12">
        <f t="array" ref="EV36">SUMPRODUCT(TRANSPOSE(EV$9:EV$34),$K36:$AJ36)</f>
        <v>1000</v>
      </c>
      <c r="EW36" s="12">
        <f t="array" ref="EW36">SUMPRODUCT(TRANSPOSE(EW$9:EW$34),$K36:$AJ36)</f>
        <v>1000</v>
      </c>
      <c r="EX36" s="12">
        <f t="array" ref="EX36">SUMPRODUCT(TRANSPOSE(EX$9:EX$34),$K36:$AJ36)</f>
        <v>1000</v>
      </c>
      <c r="EY36" s="12">
        <f t="array" ref="EY36">SUMPRODUCT(TRANSPOSE(EY$9:EY$34),$K36:$AJ36)</f>
        <v>1000</v>
      </c>
      <c r="EZ36" s="12">
        <f t="array" ref="EZ36">SUMPRODUCT(TRANSPOSE(EZ$9:EZ$34),$K36:$AJ36)</f>
        <v>1000</v>
      </c>
      <c r="FA36" s="12">
        <f t="array" ref="FA36">SUMPRODUCT(TRANSPOSE(FA$9:FA$34),$K36:$AJ36)</f>
        <v>1000</v>
      </c>
      <c r="FB36" s="12">
        <f t="array" ref="FB36">SUMPRODUCT(TRANSPOSE(FB$9:FB$34),$K36:$AJ36)</f>
        <v>1000</v>
      </c>
      <c r="FC36" s="12">
        <f t="array" ref="FC36">SUMPRODUCT(TRANSPOSE(FC$9:FC$34),$K36:$AJ36)</f>
        <v>1000</v>
      </c>
      <c r="FD36" s="12">
        <f t="array" ref="FD36">SUMPRODUCT(TRANSPOSE(FD$9:FD$34),$K36:$AJ36)</f>
        <v>1000</v>
      </c>
      <c r="FE36" s="12">
        <f t="array" ref="FE36">SUMPRODUCT(TRANSPOSE(FE$9:FE$34),$K36:$AJ36)</f>
        <v>1000</v>
      </c>
      <c r="FF36" s="12">
        <f t="array" ref="FF36">SUMPRODUCT(TRANSPOSE(FF$9:FF$34),$K36:$AJ36)</f>
        <v>1000</v>
      </c>
      <c r="FG36" s="12">
        <f t="array" ref="FG36">SUMPRODUCT(TRANSPOSE(FG$9:FG$34),$K36:$AJ36)</f>
        <v>1000</v>
      </c>
      <c r="FH36" s="12">
        <f t="array" ref="FH36">SUMPRODUCT(TRANSPOSE(FH$9:FH$34),$K36:$AJ36)</f>
        <v>1000</v>
      </c>
      <c r="FI36" s="12">
        <f t="array" ref="FI36">SUMPRODUCT(TRANSPOSE(FI$9:FI$34),$K36:$AJ36)</f>
        <v>1000</v>
      </c>
      <c r="FJ36" s="12">
        <f t="array" ref="FJ36">SUMPRODUCT(TRANSPOSE(FJ$9:FJ$34),$K36:$AJ36)</f>
        <v>1000</v>
      </c>
      <c r="FK36" s="12">
        <f t="array" ref="FK36">SUMPRODUCT(TRANSPOSE(FK$9:FK$34),$K36:$AJ36)</f>
        <v>1000</v>
      </c>
      <c r="FL36" s="12">
        <f t="array" ref="FL36">SUMPRODUCT(TRANSPOSE(FL$9:FL$34),$K36:$AJ36)</f>
        <v>1000</v>
      </c>
      <c r="FM36" s="12">
        <f t="array" ref="FM36">SUMPRODUCT(TRANSPOSE(FM$9:FM$34),$K36:$AJ36)</f>
        <v>1000</v>
      </c>
      <c r="FN36" s="12">
        <f t="array" ref="FN36">SUMPRODUCT(TRANSPOSE(FN$9:FN$34),$K36:$AJ36)</f>
        <v>784</v>
      </c>
      <c r="FO36" s="12">
        <f t="array" ref="FO36">SUMPRODUCT(TRANSPOSE(FO$9:FO$34),$K36:$AJ36)</f>
        <v>0</v>
      </c>
    </row>
    <row r="37" spans="1:171" ht="14.25" x14ac:dyDescent="0.2">
      <c r="A37" s="13">
        <f>A36+1</f>
        <v>2</v>
      </c>
      <c r="B37" s="13" t="s">
        <v>63</v>
      </c>
      <c r="C37" s="25" t="s">
        <v>36</v>
      </c>
      <c r="D37" s="13" t="s">
        <v>60</v>
      </c>
      <c r="E37" s="13">
        <v>410977469</v>
      </c>
      <c r="F37" s="26" t="s">
        <v>8</v>
      </c>
      <c r="G37" s="13"/>
      <c r="H37" s="13" t="s">
        <v>61</v>
      </c>
      <c r="I37" s="13">
        <v>1</v>
      </c>
      <c r="J37" s="13">
        <v>1</v>
      </c>
      <c r="K37" s="13">
        <v>1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/>
      <c r="Z37" s="13"/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f t="shared" ref="AK37:AK101" si="3">SUM(K37:AD37)</f>
        <v>1</v>
      </c>
      <c r="AL37" s="23">
        <f t="shared" si="2"/>
        <v>35198</v>
      </c>
      <c r="AM37" s="27" t="s">
        <v>62</v>
      </c>
      <c r="AN37" s="13" t="s">
        <v>62</v>
      </c>
      <c r="AO37" s="7" t="s">
        <v>62</v>
      </c>
      <c r="AP37" s="41"/>
      <c r="AQ37" s="12">
        <v>0</v>
      </c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13"/>
      <c r="CG37" s="13"/>
      <c r="CH37" s="13"/>
      <c r="CI37" s="12"/>
      <c r="CJ37" s="12"/>
      <c r="CK37" s="12"/>
      <c r="CL37" s="12"/>
      <c r="CM37" s="12"/>
      <c r="CN37" s="12"/>
      <c r="CO37" s="12"/>
      <c r="CP37" s="12">
        <f>SUM($AQ37:BJ37)-SUM($EA37:EH37)</f>
        <v>-3340</v>
      </c>
      <c r="CQ37" s="12">
        <f>SUM($AQ37:BK37)-SUM($EA37:EI37)</f>
        <v>-3954</v>
      </c>
      <c r="CR37" s="12">
        <f>SUM($AQ37:BL37)-SUM($EA37:EJ37)</f>
        <v>-4954</v>
      </c>
      <c r="CS37" s="12">
        <f>SUM($AQ37:BM37)-SUM($EA37:EK37)</f>
        <v>-5954</v>
      </c>
      <c r="CT37" s="12">
        <f>SUM($AQ37:BN37)-SUM($EA37:EL37)</f>
        <v>-6954</v>
      </c>
      <c r="CU37" s="12">
        <f>SUM($AQ37:BO37)-SUM($EA37:EM37)</f>
        <v>-6954</v>
      </c>
      <c r="CV37" s="12">
        <f>SUM($AQ37:BP37)-SUM($EA37:EN37)</f>
        <v>-7854</v>
      </c>
      <c r="CW37" s="12">
        <f>SUM($AQ37:BQ37)-SUM($EA37:EO37)</f>
        <v>-8854</v>
      </c>
      <c r="CX37" s="12">
        <f>SUM($AQ37:BR37)-SUM($EA37:EP37)</f>
        <v>-9854</v>
      </c>
      <c r="CY37" s="12">
        <f>SUM($AQ37:BS37)-SUM($EA37:EQ37)</f>
        <v>-10854</v>
      </c>
      <c r="CZ37" s="12">
        <f>SUM($AQ37:BT37)-SUM($EA37:ER37)</f>
        <v>-11854</v>
      </c>
      <c r="DA37" s="12">
        <f>SUM($AQ37:BU37)-SUM($EA37:ES37)</f>
        <v>-12854</v>
      </c>
      <c r="DB37" s="12">
        <f>SUM($AQ37:BV37)-SUM($EA37:ET37)</f>
        <v>-13854</v>
      </c>
      <c r="DC37" s="12">
        <f>SUM($AQ37:BW37)-SUM($EA37:EU37)</f>
        <v>-14854</v>
      </c>
      <c r="DD37" s="12">
        <f>SUM($AQ37:BX37)-SUM($EA37:EV37)</f>
        <v>-15854</v>
      </c>
      <c r="DE37" s="12">
        <f>SUM($AQ37:BY37)-SUM($EA37:EW37)</f>
        <v>-16854</v>
      </c>
      <c r="DF37" s="12">
        <f>SUM($AQ37:BZ37)-SUM($EA37:EX37)</f>
        <v>-17854</v>
      </c>
      <c r="DG37" s="12">
        <f>SUM($AQ37:CA37)-SUM($EA37:EY37)</f>
        <v>-18854</v>
      </c>
      <c r="DH37" s="12">
        <f>SUM($AQ37:CB37)-SUM($EA37:EZ37)</f>
        <v>-19854</v>
      </c>
      <c r="DI37" s="12">
        <f>SUM($AQ37:CC37)-SUM($EA37:FA37)</f>
        <v>-20854</v>
      </c>
      <c r="DJ37" s="12">
        <f>SUM($AQ37:CD37)-SUM($EA37:FB37)</f>
        <v>-21854</v>
      </c>
      <c r="DK37" s="12">
        <f>SUM($AQ37:CE37)-SUM($EA37:FC37)</f>
        <v>-22854</v>
      </c>
      <c r="DL37" s="12">
        <f>SUM($AQ37:CF37)-SUM($EA37:FD37)</f>
        <v>-23854</v>
      </c>
      <c r="DM37" s="12">
        <f>SUM($AQ37:CG37)-SUM($EA37:FE37)</f>
        <v>-24854</v>
      </c>
      <c r="DN37" s="12">
        <f>SUM($AQ37:CH37)-SUM($EA37:FF37)</f>
        <v>-25854</v>
      </c>
      <c r="DO37" s="12">
        <f>SUM($AQ37:CI37)-SUM($EA37:FG37)</f>
        <v>-26854</v>
      </c>
      <c r="DP37" s="12">
        <f>SUM($AQ37:CJ37)-SUM($EA37:FH37)</f>
        <v>-27854</v>
      </c>
      <c r="DQ37" s="12">
        <f>SUM($AQ37:CK37)-SUM($EA37:FI37)</f>
        <v>-28854</v>
      </c>
      <c r="DR37" s="12">
        <f>SUM($AQ37:CL37)-SUM($EA37:FJ37)</f>
        <v>-29854</v>
      </c>
      <c r="DS37" s="12">
        <f>SUM($AQ37:CM37)-SUM($EA37:FK37)</f>
        <v>-30854</v>
      </c>
      <c r="DT37" s="12">
        <f>SUM($AQ37:CN37)-SUM($EA37:FL37)</f>
        <v>-31854</v>
      </c>
      <c r="DU37" s="12">
        <f>SUM($AQ37:CO37)-SUM($EA37:FM37)</f>
        <v>-32854</v>
      </c>
      <c r="DV37" s="12">
        <f>SUM($AQ37:CP37)-SUM($EA37:FN37)</f>
        <v>-37194</v>
      </c>
      <c r="DW37" s="12">
        <f>SUM($AQ37:CQ37)-SUM($EA37:FO37)</f>
        <v>-41192</v>
      </c>
      <c r="DX37" s="13"/>
      <c r="DY37" s="13"/>
      <c r="DZ37" s="13"/>
      <c r="EA37" s="12"/>
      <c r="EB37" s="12"/>
      <c r="EC37" s="12"/>
      <c r="ED37" s="12"/>
      <c r="EE37" s="12"/>
      <c r="EF37" s="12"/>
      <c r="EG37" s="12"/>
      <c r="EH37" s="12">
        <f t="array" ref="EH37">SUMPRODUCT(TRANSPOSE(EH$9:EH$34),$K37:$AJ37)</f>
        <v>3340</v>
      </c>
      <c r="EI37" s="12">
        <f t="array" ref="EI37">SUMPRODUCT(TRANSPOSE(EI$9:EI$34),$K37:$AJ37)</f>
        <v>614</v>
      </c>
      <c r="EJ37" s="12">
        <f t="array" ref="EJ37">SUMPRODUCT(TRANSPOSE(EJ$9:EJ$34),$K37:$AJ37)</f>
        <v>1000</v>
      </c>
      <c r="EK37" s="12">
        <f t="array" ref="EK37">SUMPRODUCT(TRANSPOSE(EK$9:EK$34),$K37:$AJ37)</f>
        <v>1000</v>
      </c>
      <c r="EL37" s="12">
        <f t="array" ref="EL37">SUMPRODUCT(TRANSPOSE(EL$9:EL$34),$K37:$AJ37)</f>
        <v>1000</v>
      </c>
      <c r="EM37" s="12">
        <f t="array" ref="EM37">SUMPRODUCT(TRANSPOSE(EM$9:EM$34),$K37:$AJ37)</f>
        <v>0</v>
      </c>
      <c r="EN37" s="12">
        <f t="array" ref="EN37">SUMPRODUCT(TRANSPOSE(EN$9:EN$34),$K37:$AJ37)</f>
        <v>900</v>
      </c>
      <c r="EO37" s="12">
        <f t="array" ref="EO37">SUMPRODUCT(TRANSPOSE(EO$9:EO$34),$K37:$AJ37)</f>
        <v>1000</v>
      </c>
      <c r="EP37" s="12">
        <f t="array" ref="EP37">SUMPRODUCT(TRANSPOSE(EP$9:EP$34),$K37:$AJ37)</f>
        <v>1000</v>
      </c>
      <c r="EQ37" s="12">
        <f t="array" ref="EQ37">SUMPRODUCT(TRANSPOSE(EQ$9:EQ$34),$K37:$AJ37)</f>
        <v>1000</v>
      </c>
      <c r="ER37" s="12">
        <f t="array" ref="ER37">SUMPRODUCT(TRANSPOSE(ER$9:ER$34),$K37:$AJ37)</f>
        <v>1000</v>
      </c>
      <c r="ES37" s="12">
        <f t="array" ref="ES37">SUMPRODUCT(TRANSPOSE(ES$9:ES$34),$K37:$AJ37)</f>
        <v>1000</v>
      </c>
      <c r="ET37" s="12">
        <f t="array" ref="ET37">SUMPRODUCT(TRANSPOSE(ET$9:ET$34),$K37:$AJ37)</f>
        <v>1000</v>
      </c>
      <c r="EU37" s="12">
        <f t="array" ref="EU37">SUMPRODUCT(TRANSPOSE(EU$9:EU$34),$K37:$AJ37)</f>
        <v>1000</v>
      </c>
      <c r="EV37" s="12">
        <f t="array" ref="EV37">SUMPRODUCT(TRANSPOSE(EV$9:EV$34),$K37:$AJ37)</f>
        <v>1000</v>
      </c>
      <c r="EW37" s="12">
        <f t="array" ref="EW37">SUMPRODUCT(TRANSPOSE(EW$9:EW$34),$K37:$AJ37)</f>
        <v>1000</v>
      </c>
      <c r="EX37" s="12">
        <f t="array" ref="EX37">SUMPRODUCT(TRANSPOSE(EX$9:EX$34),$K37:$AJ37)</f>
        <v>1000</v>
      </c>
      <c r="EY37" s="12">
        <f t="array" ref="EY37">SUMPRODUCT(TRANSPOSE(EY$9:EY$34),$K37:$AJ37)</f>
        <v>1000</v>
      </c>
      <c r="EZ37" s="12">
        <f t="array" ref="EZ37">SUMPRODUCT(TRANSPOSE(EZ$9:EZ$34),$K37:$AJ37)</f>
        <v>1000</v>
      </c>
      <c r="FA37" s="12">
        <f t="array" ref="FA37">SUMPRODUCT(TRANSPOSE(FA$9:FA$34),$K37:$AJ37)</f>
        <v>1000</v>
      </c>
      <c r="FB37" s="12">
        <f t="array" ref="FB37">SUMPRODUCT(TRANSPOSE(FB$9:FB$34),$K37:$AJ37)</f>
        <v>1000</v>
      </c>
      <c r="FC37" s="12">
        <f t="array" ref="FC37">SUMPRODUCT(TRANSPOSE(FC$9:FC$34),$K37:$AJ37)</f>
        <v>1000</v>
      </c>
      <c r="FD37" s="12">
        <f t="array" ref="FD37">SUMPRODUCT(TRANSPOSE(FD$9:FD$34),$K37:$AJ37)</f>
        <v>1000</v>
      </c>
      <c r="FE37" s="12">
        <f t="array" ref="FE37">SUMPRODUCT(TRANSPOSE(FE$9:FE$34),$K37:$AJ37)</f>
        <v>1000</v>
      </c>
      <c r="FF37" s="12">
        <f t="array" ref="FF37">SUMPRODUCT(TRANSPOSE(FF$9:FF$34),$K37:$AJ37)</f>
        <v>1000</v>
      </c>
      <c r="FG37" s="12">
        <f t="array" ref="FG37">SUMPRODUCT(TRANSPOSE(FG$9:FG$34),$K37:$AJ37)</f>
        <v>1000</v>
      </c>
      <c r="FH37" s="12">
        <f t="array" ref="FH37">SUMPRODUCT(TRANSPOSE(FH$9:FH$34),$K37:$AJ37)</f>
        <v>1000</v>
      </c>
      <c r="FI37" s="12">
        <f t="array" ref="FI37">SUMPRODUCT(TRANSPOSE(FI$9:FI$34),$K37:$AJ37)</f>
        <v>1000</v>
      </c>
      <c r="FJ37" s="12">
        <f t="array" ref="FJ37">SUMPRODUCT(TRANSPOSE(FJ$9:FJ$34),$K37:$AJ37)</f>
        <v>1000</v>
      </c>
      <c r="FK37" s="12">
        <f t="array" ref="FK37">SUMPRODUCT(TRANSPOSE(FK$9:FK$34),$K37:$AJ37)</f>
        <v>1000</v>
      </c>
      <c r="FL37" s="12">
        <f t="array" ref="FL37">SUMPRODUCT(TRANSPOSE(FL$9:FL$34),$K37:$AJ37)</f>
        <v>1000</v>
      </c>
      <c r="FM37" s="12">
        <f t="array" ref="FM37">SUMPRODUCT(TRANSPOSE(FM$9:FM$34),$K37:$AJ37)</f>
        <v>1000</v>
      </c>
      <c r="FN37" s="12">
        <f t="array" ref="FN37">SUMPRODUCT(TRANSPOSE(FN$9:FN$34),$K37:$AJ37)</f>
        <v>1000</v>
      </c>
      <c r="FO37" s="12">
        <f t="array" ref="FO37">SUMPRODUCT(TRANSPOSE(FO$9:FO$34),$K37:$AJ37)</f>
        <v>44</v>
      </c>
    </row>
    <row r="38" spans="1:171" ht="14.25" x14ac:dyDescent="0.2">
      <c r="A38" s="13">
        <f t="shared" ref="A38:A101" si="4">A37+1</f>
        <v>3</v>
      </c>
      <c r="B38" s="13" t="s">
        <v>64</v>
      </c>
      <c r="C38" s="25" t="s">
        <v>50</v>
      </c>
      <c r="D38" s="13" t="s">
        <v>60</v>
      </c>
      <c r="E38" s="13">
        <v>410977542</v>
      </c>
      <c r="F38" s="26" t="s">
        <v>21</v>
      </c>
      <c r="G38" s="13"/>
      <c r="H38" s="13" t="s">
        <v>61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/>
      <c r="Z38" s="13"/>
      <c r="AA38" s="13">
        <v>1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f t="shared" si="3"/>
        <v>1</v>
      </c>
      <c r="AL38" s="23">
        <f t="shared" si="2"/>
        <v>635</v>
      </c>
      <c r="AM38" s="27" t="s">
        <v>62</v>
      </c>
      <c r="AN38" s="13" t="s">
        <v>62</v>
      </c>
      <c r="AO38" s="7" t="s">
        <v>62</v>
      </c>
      <c r="AP38" s="28"/>
      <c r="AQ38" s="12">
        <v>0</v>
      </c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13"/>
      <c r="CG38" s="13"/>
      <c r="CH38" s="13"/>
      <c r="CI38" s="12"/>
      <c r="CJ38" s="12"/>
      <c r="CK38" s="12"/>
      <c r="CL38" s="12"/>
      <c r="CM38" s="12"/>
      <c r="CN38" s="12"/>
      <c r="CO38" s="12"/>
      <c r="CP38" s="12">
        <f>SUM($AQ38:BJ38)-SUM($EA38:EH38)</f>
        <v>-10</v>
      </c>
      <c r="CQ38" s="12">
        <f>SUM($AQ38:BK38)-SUM($EA38:EI38)</f>
        <v>-10</v>
      </c>
      <c r="CR38" s="12">
        <f>SUM($AQ38:BL38)-SUM($EA38:EJ38)</f>
        <v>-25</v>
      </c>
      <c r="CS38" s="12">
        <f>SUM($AQ38:BM38)-SUM($EA38:EK38)</f>
        <v>-60</v>
      </c>
      <c r="CT38" s="12">
        <f>SUM($AQ38:BN38)-SUM($EA38:EL38)</f>
        <v>-75</v>
      </c>
      <c r="CU38" s="12">
        <f>SUM($AQ38:BO38)-SUM($EA38:EM38)</f>
        <v>-125</v>
      </c>
      <c r="CV38" s="12">
        <f>SUM($AQ38:BP38)-SUM($EA38:EN38)</f>
        <v>-175</v>
      </c>
      <c r="CW38" s="12">
        <f>SUM($AQ38:BQ38)-SUM($EA38:EO38)</f>
        <v>-175</v>
      </c>
      <c r="CX38" s="12">
        <f>SUM($AQ38:BR38)-SUM($EA38:EP38)</f>
        <v>-225</v>
      </c>
      <c r="CY38" s="12">
        <f>SUM($AQ38:BS38)-SUM($EA38:EQ38)</f>
        <v>-275</v>
      </c>
      <c r="CZ38" s="12">
        <f>SUM($AQ38:BT38)-SUM($EA38:ER38)</f>
        <v>-325</v>
      </c>
      <c r="DA38" s="12">
        <f>SUM($AQ38:BU38)-SUM($EA38:ES38)</f>
        <v>-375</v>
      </c>
      <c r="DB38" s="12">
        <f>SUM($AQ38:BV38)-SUM($EA38:ET38)</f>
        <v>-425</v>
      </c>
      <c r="DC38" s="12">
        <f>SUM($AQ38:BW38)-SUM($EA38:EU38)</f>
        <v>-475</v>
      </c>
      <c r="DD38" s="12">
        <f>SUM($AQ38:BX38)-SUM($EA38:EV38)</f>
        <v>-525</v>
      </c>
      <c r="DE38" s="12">
        <f>SUM($AQ38:BY38)-SUM($EA38:EW38)</f>
        <v>-535</v>
      </c>
      <c r="DF38" s="12">
        <f>SUM($AQ38:BZ38)-SUM($EA38:EX38)</f>
        <v>-535</v>
      </c>
      <c r="DG38" s="12">
        <f>SUM($AQ38:CA38)-SUM($EA38:EY38)</f>
        <v>-535</v>
      </c>
      <c r="DH38" s="12">
        <f>SUM($AQ38:CB38)-SUM($EA38:EZ38)</f>
        <v>-535</v>
      </c>
      <c r="DI38" s="12">
        <f>SUM($AQ38:CC38)-SUM($EA38:FA38)</f>
        <v>-535</v>
      </c>
      <c r="DJ38" s="12">
        <f>SUM($AQ38:CD38)-SUM($EA38:FB38)</f>
        <v>-535</v>
      </c>
      <c r="DK38" s="12">
        <f>SUM($AQ38:CE38)-SUM($EA38:FC38)</f>
        <v>-535</v>
      </c>
      <c r="DL38" s="12">
        <f>SUM($AQ38:CF38)-SUM($EA38:FD38)</f>
        <v>-535</v>
      </c>
      <c r="DM38" s="12">
        <f>SUM($AQ38:CG38)-SUM($EA38:FE38)</f>
        <v>-535</v>
      </c>
      <c r="DN38" s="12">
        <f>SUM($AQ38:CH38)-SUM($EA38:FF38)</f>
        <v>-535</v>
      </c>
      <c r="DO38" s="12">
        <f>SUM($AQ38:CI38)-SUM($EA38:FG38)</f>
        <v>-535</v>
      </c>
      <c r="DP38" s="12">
        <f>SUM($AQ38:CJ38)-SUM($EA38:FH38)</f>
        <v>-535</v>
      </c>
      <c r="DQ38" s="12">
        <f>SUM($AQ38:CK38)-SUM($EA38:FI38)</f>
        <v>-535</v>
      </c>
      <c r="DR38" s="12">
        <f>SUM($AQ38:CL38)-SUM($EA38:FJ38)</f>
        <v>-535</v>
      </c>
      <c r="DS38" s="12">
        <f>SUM($AQ38:CM38)-SUM($EA38:FK38)</f>
        <v>-535</v>
      </c>
      <c r="DT38" s="12">
        <f>SUM($AQ38:CN38)-SUM($EA38:FL38)</f>
        <v>-535</v>
      </c>
      <c r="DU38" s="12">
        <f>SUM($AQ38:CO38)-SUM($EA38:FM38)</f>
        <v>-535</v>
      </c>
      <c r="DV38" s="12">
        <f>SUM($AQ38:CP38)-SUM($EA38:FN38)</f>
        <v>-545</v>
      </c>
      <c r="DW38" s="12">
        <f>SUM($AQ38:CQ38)-SUM($EA38:FO38)</f>
        <v>-555</v>
      </c>
      <c r="DX38" s="13"/>
      <c r="DY38" s="13"/>
      <c r="DZ38" s="13"/>
      <c r="EA38" s="12"/>
      <c r="EB38" s="12"/>
      <c r="EC38" s="12"/>
      <c r="ED38" s="12"/>
      <c r="EE38" s="12"/>
      <c r="EF38" s="12"/>
      <c r="EG38" s="12"/>
      <c r="EH38" s="12">
        <f t="array" ref="EH38">SUMPRODUCT(TRANSPOSE(EH$9:EH$34),$K38:$AJ38)</f>
        <v>10</v>
      </c>
      <c r="EI38" s="12">
        <f t="array" ref="EI38">SUMPRODUCT(TRANSPOSE(EI$9:EI$34),$K38:$AJ38)</f>
        <v>0</v>
      </c>
      <c r="EJ38" s="12">
        <f t="array" ref="EJ38">SUMPRODUCT(TRANSPOSE(EJ$9:EJ$34),$K38:$AJ38)</f>
        <v>15</v>
      </c>
      <c r="EK38" s="12">
        <f t="array" ref="EK38">SUMPRODUCT(TRANSPOSE(EK$9:EK$34),$K38:$AJ38)</f>
        <v>35</v>
      </c>
      <c r="EL38" s="12">
        <f t="array" ref="EL38">SUMPRODUCT(TRANSPOSE(EL$9:EL$34),$K38:$AJ38)</f>
        <v>15</v>
      </c>
      <c r="EM38" s="12">
        <f t="array" ref="EM38">SUMPRODUCT(TRANSPOSE(EM$9:EM$34),$K38:$AJ38)</f>
        <v>50</v>
      </c>
      <c r="EN38" s="12">
        <f t="array" ref="EN38">SUMPRODUCT(TRANSPOSE(EN$9:EN$34),$K38:$AJ38)</f>
        <v>50</v>
      </c>
      <c r="EO38" s="12">
        <f t="array" ref="EO38">SUMPRODUCT(TRANSPOSE(EO$9:EO$34),$K38:$AJ38)</f>
        <v>0</v>
      </c>
      <c r="EP38" s="12">
        <f t="array" ref="EP38">SUMPRODUCT(TRANSPOSE(EP$9:EP$34),$K38:$AJ38)</f>
        <v>50</v>
      </c>
      <c r="EQ38" s="12">
        <f t="array" ref="EQ38">SUMPRODUCT(TRANSPOSE(EQ$9:EQ$34),$K38:$AJ38)</f>
        <v>50</v>
      </c>
      <c r="ER38" s="12">
        <f t="array" ref="ER38">SUMPRODUCT(TRANSPOSE(ER$9:ER$34),$K38:$AJ38)</f>
        <v>50</v>
      </c>
      <c r="ES38" s="12">
        <f t="array" ref="ES38">SUMPRODUCT(TRANSPOSE(ES$9:ES$34),$K38:$AJ38)</f>
        <v>50</v>
      </c>
      <c r="ET38" s="12">
        <f t="array" ref="ET38">SUMPRODUCT(TRANSPOSE(ET$9:ET$34),$K38:$AJ38)</f>
        <v>50</v>
      </c>
      <c r="EU38" s="12">
        <f t="array" ref="EU38">SUMPRODUCT(TRANSPOSE(EU$9:EU$34),$K38:$AJ38)</f>
        <v>50</v>
      </c>
      <c r="EV38" s="12">
        <f t="array" ref="EV38">SUMPRODUCT(TRANSPOSE(EV$9:EV$34),$K38:$AJ38)</f>
        <v>50</v>
      </c>
      <c r="EW38" s="12">
        <f t="array" ref="EW38">SUMPRODUCT(TRANSPOSE(EW$9:EW$34),$K38:$AJ38)</f>
        <v>10</v>
      </c>
      <c r="EX38" s="12">
        <f t="array" ref="EX38">SUMPRODUCT(TRANSPOSE(EX$9:EX$34),$K38:$AJ38)</f>
        <v>0</v>
      </c>
      <c r="EY38" s="12">
        <f t="array" ref="EY38">SUMPRODUCT(TRANSPOSE(EY$9:EY$34),$K38:$AJ38)</f>
        <v>0</v>
      </c>
      <c r="EZ38" s="12">
        <f t="array" ref="EZ38">SUMPRODUCT(TRANSPOSE(EZ$9:EZ$34),$K38:$AJ38)</f>
        <v>0</v>
      </c>
      <c r="FA38" s="12">
        <f t="array" ref="FA38">SUMPRODUCT(TRANSPOSE(FA$9:FA$34),$K38:$AJ38)</f>
        <v>0</v>
      </c>
      <c r="FB38" s="12">
        <f t="array" ref="FB38">SUMPRODUCT(TRANSPOSE(FB$9:FB$34),$K38:$AJ38)</f>
        <v>0</v>
      </c>
      <c r="FC38" s="12">
        <f t="array" ref="FC38">SUMPRODUCT(TRANSPOSE(FC$9:FC$34),$K38:$AJ38)</f>
        <v>0</v>
      </c>
      <c r="FD38" s="12">
        <f t="array" ref="FD38">SUMPRODUCT(TRANSPOSE(FD$9:FD$34),$K38:$AJ38)</f>
        <v>0</v>
      </c>
      <c r="FE38" s="12">
        <f t="array" ref="FE38">SUMPRODUCT(TRANSPOSE(FE$9:FE$34),$K38:$AJ38)</f>
        <v>0</v>
      </c>
      <c r="FF38" s="12">
        <f t="array" ref="FF38">SUMPRODUCT(TRANSPOSE(FF$9:FF$34),$K38:$AJ38)</f>
        <v>0</v>
      </c>
      <c r="FG38" s="12">
        <f t="array" ref="FG38">SUMPRODUCT(TRANSPOSE(FG$9:FG$34),$K38:$AJ38)</f>
        <v>0</v>
      </c>
      <c r="FH38" s="12">
        <f t="array" ref="FH38">SUMPRODUCT(TRANSPOSE(FH$9:FH$34),$K38:$AJ38)</f>
        <v>0</v>
      </c>
      <c r="FI38" s="12">
        <f t="array" ref="FI38">SUMPRODUCT(TRANSPOSE(FI$9:FI$34),$K38:$AJ38)</f>
        <v>0</v>
      </c>
      <c r="FJ38" s="12">
        <f t="array" ref="FJ38">SUMPRODUCT(TRANSPOSE(FJ$9:FJ$34),$K38:$AJ38)</f>
        <v>0</v>
      </c>
      <c r="FK38" s="12">
        <f t="array" ref="FK38">SUMPRODUCT(TRANSPOSE(FK$9:FK$34),$K38:$AJ38)</f>
        <v>0</v>
      </c>
      <c r="FL38" s="12">
        <f t="array" ref="FL38">SUMPRODUCT(TRANSPOSE(FL$9:FL$34),$K38:$AJ38)</f>
        <v>0</v>
      </c>
      <c r="FM38" s="12">
        <f t="array" ref="FM38">SUMPRODUCT(TRANSPOSE(FM$9:FM$34),$K38:$AJ38)</f>
        <v>0</v>
      </c>
      <c r="FN38" s="12">
        <f t="array" ref="FN38">SUMPRODUCT(TRANSPOSE(FN$9:FN$34),$K38:$AJ38)</f>
        <v>0</v>
      </c>
      <c r="FO38" s="12">
        <f t="array" ref="FO38">SUMPRODUCT(TRANSPOSE(FO$9:FO$34),$K38:$AJ38)</f>
        <v>0</v>
      </c>
    </row>
    <row r="39" spans="1:171" ht="14.25" x14ac:dyDescent="0.2">
      <c r="A39" s="13">
        <f t="shared" si="4"/>
        <v>4</v>
      </c>
      <c r="B39" s="13" t="s">
        <v>65</v>
      </c>
      <c r="C39" t="s">
        <v>66</v>
      </c>
      <c r="D39" s="13" t="s">
        <v>67</v>
      </c>
      <c r="E39" s="13">
        <v>400550300</v>
      </c>
      <c r="F39" s="26" t="s">
        <v>68</v>
      </c>
      <c r="G39" s="13">
        <v>404421765</v>
      </c>
      <c r="H39" s="13" t="s">
        <v>61</v>
      </c>
      <c r="I39" s="13">
        <v>2</v>
      </c>
      <c r="J39" s="13">
        <v>3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1</v>
      </c>
      <c r="Y39" s="13"/>
      <c r="Z39" s="13"/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1</v>
      </c>
      <c r="AK39" s="13">
        <f t="shared" si="3"/>
        <v>2</v>
      </c>
      <c r="AL39" s="23">
        <f t="shared" si="2"/>
        <v>70863</v>
      </c>
      <c r="AM39" s="13"/>
      <c r="AN39" s="13" t="s">
        <v>69</v>
      </c>
      <c r="AO39" s="7" t="s">
        <v>70</v>
      </c>
      <c r="AP39" s="38">
        <v>23</v>
      </c>
      <c r="AQ39" s="12">
        <v>15764</v>
      </c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13"/>
      <c r="CG39" s="13"/>
      <c r="CH39" s="13"/>
      <c r="CI39" s="12"/>
      <c r="CJ39" s="12"/>
      <c r="CK39" s="12"/>
      <c r="CL39" s="12"/>
      <c r="CM39" s="12"/>
      <c r="CN39" s="12"/>
      <c r="CO39" s="12"/>
      <c r="CP39" s="12">
        <f>SUM($AQ39:BJ39)-SUM($EA39:EH39)</f>
        <v>8701</v>
      </c>
      <c r="CQ39" s="12">
        <f>SUM($AQ39:BK39)-SUM($EA39:EI39)</f>
        <v>8301</v>
      </c>
      <c r="CR39" s="12">
        <f>SUM($AQ39:BL39)-SUM($EA39:EJ39)</f>
        <v>7286</v>
      </c>
      <c r="CS39" s="12">
        <f>SUM($AQ39:BM39)-SUM($EA39:EK39)</f>
        <v>6151</v>
      </c>
      <c r="CT39" s="12">
        <f>SUM($AQ39:BN39)-SUM($EA39:EL39)</f>
        <v>4136</v>
      </c>
      <c r="CU39" s="12">
        <f>SUM($AQ39:BO39)-SUM($EA39:EM39)</f>
        <v>2086</v>
      </c>
      <c r="CV39" s="12">
        <f>SUM($AQ39:BP39)-SUM($EA39:EN39)</f>
        <v>36</v>
      </c>
      <c r="CW39" s="12">
        <f>SUM($AQ39:BQ39)-SUM($EA39:EO39)</f>
        <v>-1964</v>
      </c>
      <c r="CX39" s="12">
        <f>SUM($AQ39:BR39)-SUM($EA39:EP39)</f>
        <v>-4014</v>
      </c>
      <c r="CY39" s="12">
        <f>SUM($AQ39:BS39)-SUM($EA39:EQ39)</f>
        <v>-6064</v>
      </c>
      <c r="CZ39" s="12">
        <f>SUM($AQ39:BT39)-SUM($EA39:ER39)</f>
        <v>-8114</v>
      </c>
      <c r="DA39" s="12">
        <f>SUM($AQ39:BU39)-SUM($EA39:ES39)</f>
        <v>-10164</v>
      </c>
      <c r="DB39" s="12">
        <f>SUM($AQ39:BV39)-SUM($EA39:ET39)</f>
        <v>-12214</v>
      </c>
      <c r="DC39" s="12">
        <f>SUM($AQ39:BW39)-SUM($EA39:EU39)</f>
        <v>-14264</v>
      </c>
      <c r="DD39" s="12">
        <f>SUM($AQ39:BX39)-SUM($EA39:EV39)</f>
        <v>-16314</v>
      </c>
      <c r="DE39" s="12">
        <f>SUM($AQ39:BY39)-SUM($EA39:EW39)</f>
        <v>-18324</v>
      </c>
      <c r="DF39" s="12">
        <f>SUM($AQ39:BZ39)-SUM($EA39:EX39)</f>
        <v>-20324</v>
      </c>
      <c r="DG39" s="12">
        <f>SUM($AQ39:CA39)-SUM($EA39:EY39)</f>
        <v>-22324</v>
      </c>
      <c r="DH39" s="12">
        <f>SUM($AQ39:CB39)-SUM($EA39:EZ39)</f>
        <v>-24324</v>
      </c>
      <c r="DI39" s="12">
        <f>SUM($AQ39:CC39)-SUM($EA39:FA39)</f>
        <v>-26324</v>
      </c>
      <c r="DJ39" s="12">
        <f>SUM($AQ39:CD39)-SUM($EA39:FB39)</f>
        <v>-28324</v>
      </c>
      <c r="DK39" s="12">
        <f>SUM($AQ39:CE39)-SUM($EA39:FC39)</f>
        <v>-30324</v>
      </c>
      <c r="DL39" s="12">
        <f>SUM($AQ39:CF39)-SUM($EA39:FD39)</f>
        <v>-32324</v>
      </c>
      <c r="DM39" s="12">
        <f>SUM($AQ39:CG39)-SUM($EA39:FE39)</f>
        <v>-34324</v>
      </c>
      <c r="DN39" s="12">
        <f>SUM($AQ39:CH39)-SUM($EA39:FF39)</f>
        <v>-36324</v>
      </c>
      <c r="DO39" s="12">
        <f>SUM($AQ39:CI39)-SUM($EA39:FG39)</f>
        <v>-38324</v>
      </c>
      <c r="DP39" s="12">
        <f>SUM($AQ39:CJ39)-SUM($EA39:FH39)</f>
        <v>-40324</v>
      </c>
      <c r="DQ39" s="12">
        <f>SUM($AQ39:CK39)-SUM($EA39:FI39)</f>
        <v>-42324</v>
      </c>
      <c r="DR39" s="12">
        <f>SUM($AQ39:CL39)-SUM($EA39:FJ39)</f>
        <v>-44324</v>
      </c>
      <c r="DS39" s="12">
        <f>SUM($AQ39:CM39)-SUM($EA39:FK39)</f>
        <v>-46324</v>
      </c>
      <c r="DT39" s="12">
        <f>SUM($AQ39:CN39)-SUM($EA39:FL39)</f>
        <v>-48324</v>
      </c>
      <c r="DU39" s="12">
        <f>SUM($AQ39:CO39)-SUM($EA39:FM39)</f>
        <v>-50324</v>
      </c>
      <c r="DV39" s="12">
        <f>SUM($AQ39:CP39)-SUM($EA39:FN39)</f>
        <v>-43321</v>
      </c>
      <c r="DW39" s="12">
        <f>SUM($AQ39:CQ39)-SUM($EA39:FO39)</f>
        <v>-35097</v>
      </c>
      <c r="DX39" s="13"/>
      <c r="DY39" s="13"/>
      <c r="DZ39" s="13"/>
      <c r="EA39" s="12"/>
      <c r="EB39" s="12"/>
      <c r="EC39" s="12"/>
      <c r="ED39" s="12"/>
      <c r="EE39" s="12"/>
      <c r="EF39" s="12"/>
      <c r="EG39" s="12"/>
      <c r="EH39" s="12">
        <f t="array" ref="EH39">SUMPRODUCT(TRANSPOSE(EH$9:EH$34),$K39:$AJ39)</f>
        <v>7063</v>
      </c>
      <c r="EI39" s="12">
        <f t="array" ref="EI39">SUMPRODUCT(TRANSPOSE(EI$9:EI$34),$K39:$AJ39)</f>
        <v>400</v>
      </c>
      <c r="EJ39" s="12">
        <f t="array" ref="EJ39">SUMPRODUCT(TRANSPOSE(EJ$9:EJ$34),$K39:$AJ39)</f>
        <v>1015</v>
      </c>
      <c r="EK39" s="12">
        <f t="array" ref="EK39">SUMPRODUCT(TRANSPOSE(EK$9:EK$34),$K39:$AJ39)</f>
        <v>1135</v>
      </c>
      <c r="EL39" s="12">
        <f t="array" ref="EL39">SUMPRODUCT(TRANSPOSE(EL$9:EL$34),$K39:$AJ39)</f>
        <v>2015</v>
      </c>
      <c r="EM39" s="12">
        <f t="array" ref="EM39">SUMPRODUCT(TRANSPOSE(EM$9:EM$34),$K39:$AJ39)</f>
        <v>2050</v>
      </c>
      <c r="EN39" s="12">
        <f t="array" ref="EN39">SUMPRODUCT(TRANSPOSE(EN$9:EN$34),$K39:$AJ39)</f>
        <v>2050</v>
      </c>
      <c r="EO39" s="12">
        <f t="array" ref="EO39">SUMPRODUCT(TRANSPOSE(EO$9:EO$34),$K39:$AJ39)</f>
        <v>2000</v>
      </c>
      <c r="EP39" s="12">
        <f t="array" ref="EP39">SUMPRODUCT(TRANSPOSE(EP$9:EP$34),$K39:$AJ39)</f>
        <v>2050</v>
      </c>
      <c r="EQ39" s="12">
        <f t="array" ref="EQ39">SUMPRODUCT(TRANSPOSE(EQ$9:EQ$34),$K39:$AJ39)</f>
        <v>2050</v>
      </c>
      <c r="ER39" s="12">
        <f t="array" ref="ER39">SUMPRODUCT(TRANSPOSE(ER$9:ER$34),$K39:$AJ39)</f>
        <v>2050</v>
      </c>
      <c r="ES39" s="12">
        <f t="array" ref="ES39">SUMPRODUCT(TRANSPOSE(ES$9:ES$34),$K39:$AJ39)</f>
        <v>2050</v>
      </c>
      <c r="ET39" s="12">
        <f t="array" ref="ET39">SUMPRODUCT(TRANSPOSE(ET$9:ET$34),$K39:$AJ39)</f>
        <v>2050</v>
      </c>
      <c r="EU39" s="12">
        <f t="array" ref="EU39">SUMPRODUCT(TRANSPOSE(EU$9:EU$34),$K39:$AJ39)</f>
        <v>2050</v>
      </c>
      <c r="EV39" s="12">
        <f t="array" ref="EV39">SUMPRODUCT(TRANSPOSE(EV$9:EV$34),$K39:$AJ39)</f>
        <v>2050</v>
      </c>
      <c r="EW39" s="12">
        <f t="array" ref="EW39">SUMPRODUCT(TRANSPOSE(EW$9:EW$34),$K39:$AJ39)</f>
        <v>2010</v>
      </c>
      <c r="EX39" s="12">
        <f t="array" ref="EX39">SUMPRODUCT(TRANSPOSE(EX$9:EX$34),$K39:$AJ39)</f>
        <v>2000</v>
      </c>
      <c r="EY39" s="12">
        <f t="array" ref="EY39">SUMPRODUCT(TRANSPOSE(EY$9:EY$34),$K39:$AJ39)</f>
        <v>2000</v>
      </c>
      <c r="EZ39" s="12">
        <f t="array" ref="EZ39">SUMPRODUCT(TRANSPOSE(EZ$9:EZ$34),$K39:$AJ39)</f>
        <v>2000</v>
      </c>
      <c r="FA39" s="12">
        <f t="array" ref="FA39">SUMPRODUCT(TRANSPOSE(FA$9:FA$34),$K39:$AJ39)</f>
        <v>2000</v>
      </c>
      <c r="FB39" s="12">
        <f t="array" ref="FB39">SUMPRODUCT(TRANSPOSE(FB$9:FB$34),$K39:$AJ39)</f>
        <v>2000</v>
      </c>
      <c r="FC39" s="12">
        <f t="array" ref="FC39">SUMPRODUCT(TRANSPOSE(FC$9:FC$34),$K39:$AJ39)</f>
        <v>2000</v>
      </c>
      <c r="FD39" s="12">
        <f t="array" ref="FD39">SUMPRODUCT(TRANSPOSE(FD$9:FD$34),$K39:$AJ39)</f>
        <v>2000</v>
      </c>
      <c r="FE39" s="12">
        <f t="array" ref="FE39">SUMPRODUCT(TRANSPOSE(FE$9:FE$34),$K39:$AJ39)</f>
        <v>2000</v>
      </c>
      <c r="FF39" s="12">
        <f t="array" ref="FF39">SUMPRODUCT(TRANSPOSE(FF$9:FF$34),$K39:$AJ39)</f>
        <v>2000</v>
      </c>
      <c r="FG39" s="12">
        <f t="array" ref="FG39">SUMPRODUCT(TRANSPOSE(FG$9:FG$34),$K39:$AJ39)</f>
        <v>2000</v>
      </c>
      <c r="FH39" s="12">
        <f t="array" ref="FH39">SUMPRODUCT(TRANSPOSE(FH$9:FH$34),$K39:$AJ39)</f>
        <v>2000</v>
      </c>
      <c r="FI39" s="12">
        <f t="array" ref="FI39">SUMPRODUCT(TRANSPOSE(FI$9:FI$34),$K39:$AJ39)</f>
        <v>2000</v>
      </c>
      <c r="FJ39" s="12">
        <f t="array" ref="FJ39">SUMPRODUCT(TRANSPOSE(FJ$9:FJ$34),$K39:$AJ39)</f>
        <v>2000</v>
      </c>
      <c r="FK39" s="12">
        <f t="array" ref="FK39">SUMPRODUCT(TRANSPOSE(FK$9:FK$34),$K39:$AJ39)</f>
        <v>2000</v>
      </c>
      <c r="FL39" s="12">
        <f t="array" ref="FL39">SUMPRODUCT(TRANSPOSE(FL$9:FL$34),$K39:$AJ39)</f>
        <v>2000</v>
      </c>
      <c r="FM39" s="12">
        <f t="array" ref="FM39">SUMPRODUCT(TRANSPOSE(FM$9:FM$34),$K39:$AJ39)</f>
        <v>2000</v>
      </c>
      <c r="FN39" s="12">
        <f t="array" ref="FN39">SUMPRODUCT(TRANSPOSE(FN$9:FN$34),$K39:$AJ39)</f>
        <v>1698</v>
      </c>
      <c r="FO39" s="12">
        <f t="array" ref="FO39">SUMPRODUCT(TRANSPOSE(FO$9:FO$34),$K39:$AJ39)</f>
        <v>77</v>
      </c>
    </row>
    <row r="40" spans="1:171" ht="14.25" x14ac:dyDescent="0.2">
      <c r="A40" s="13">
        <f t="shared" si="4"/>
        <v>5</v>
      </c>
      <c r="B40" s="13" t="s">
        <v>71</v>
      </c>
      <c r="C40" s="25" t="s">
        <v>72</v>
      </c>
      <c r="D40" s="13" t="s">
        <v>67</v>
      </c>
      <c r="E40" s="13">
        <v>401238835</v>
      </c>
      <c r="F40" s="26" t="s">
        <v>73</v>
      </c>
      <c r="G40" s="13"/>
      <c r="H40" s="13" t="s">
        <v>61</v>
      </c>
      <c r="I40" s="13">
        <v>2</v>
      </c>
      <c r="J40" s="13">
        <v>6</v>
      </c>
      <c r="K40" s="13">
        <v>0</v>
      </c>
      <c r="L40" s="13">
        <v>0</v>
      </c>
      <c r="M40" s="13">
        <v>0</v>
      </c>
      <c r="N40" s="13">
        <v>2</v>
      </c>
      <c r="O40" s="13">
        <v>0</v>
      </c>
      <c r="P40" s="13">
        <v>0</v>
      </c>
      <c r="Q40" s="13">
        <v>0</v>
      </c>
      <c r="R40" s="13">
        <v>0</v>
      </c>
      <c r="S40" s="13">
        <v>2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/>
      <c r="Z40" s="13">
        <v>2</v>
      </c>
      <c r="AA40" s="13">
        <v>0</v>
      </c>
      <c r="AB40" s="13">
        <v>0</v>
      </c>
      <c r="AC40" s="13">
        <v>0</v>
      </c>
      <c r="AD40" s="13">
        <v>2</v>
      </c>
      <c r="AE40" s="13">
        <v>2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f t="shared" si="3"/>
        <v>8</v>
      </c>
      <c r="AL40" s="23">
        <f t="shared" si="2"/>
        <v>141792</v>
      </c>
      <c r="AM40" s="13"/>
      <c r="AN40" s="13" t="s">
        <v>74</v>
      </c>
      <c r="AO40" s="7" t="s">
        <v>76</v>
      </c>
      <c r="AP40" s="38">
        <v>0.18</v>
      </c>
      <c r="AQ40" s="12">
        <v>150000</v>
      </c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13"/>
      <c r="CG40" s="13"/>
      <c r="CH40" s="13"/>
      <c r="CI40" s="12"/>
      <c r="CJ40" s="12"/>
      <c r="CK40" s="12"/>
      <c r="CL40" s="12"/>
      <c r="CM40" s="12"/>
      <c r="CN40" s="12"/>
      <c r="CO40" s="12"/>
      <c r="CP40" s="12">
        <f>SUM($AQ40:BJ40)-SUM($EA40:EH40)</f>
        <v>135874</v>
      </c>
      <c r="CQ40" s="12">
        <f>SUM($AQ40:BK40)-SUM($EA40:EI40)</f>
        <v>135312</v>
      </c>
      <c r="CR40" s="12">
        <f>SUM($AQ40:BL40)-SUM($EA40:EJ40)</f>
        <v>133282</v>
      </c>
      <c r="CS40" s="12">
        <f>SUM($AQ40:BM40)-SUM($EA40:EK40)</f>
        <v>131012</v>
      </c>
      <c r="CT40" s="12">
        <f>SUM($AQ40:BN40)-SUM($EA40:EL40)</f>
        <v>126982</v>
      </c>
      <c r="CU40" s="12">
        <f>SUM($AQ40:BO40)-SUM($EA40:EM40)</f>
        <v>122882</v>
      </c>
      <c r="CV40" s="12">
        <f>SUM($AQ40:BP40)-SUM($EA40:EN40)</f>
        <v>118782</v>
      </c>
      <c r="CW40" s="12">
        <f>SUM($AQ40:BQ40)-SUM($EA40:EO40)</f>
        <v>114782</v>
      </c>
      <c r="CX40" s="12">
        <f>SUM($AQ40:BR40)-SUM($EA40:EP40)</f>
        <v>110682</v>
      </c>
      <c r="CY40" s="12">
        <f>SUM($AQ40:BS40)-SUM($EA40:EQ40)</f>
        <v>106582</v>
      </c>
      <c r="CZ40" s="12">
        <f>SUM($AQ40:BT40)-SUM($EA40:ER40)</f>
        <v>102482</v>
      </c>
      <c r="DA40" s="12">
        <f>SUM($AQ40:BU40)-SUM($EA40:ES40)</f>
        <v>98382</v>
      </c>
      <c r="DB40" s="12">
        <f>SUM($AQ40:BV40)-SUM($EA40:ET40)</f>
        <v>94282</v>
      </c>
      <c r="DC40" s="12">
        <f>SUM($AQ40:BW40)-SUM($EA40:EU40)</f>
        <v>90182</v>
      </c>
      <c r="DD40" s="12">
        <f>SUM($AQ40:BX40)-SUM($EA40:EV40)</f>
        <v>86082</v>
      </c>
      <c r="DE40" s="12">
        <f>SUM($AQ40:BY40)-SUM($EA40:EW40)</f>
        <v>81996</v>
      </c>
      <c r="DF40" s="12">
        <f>SUM($AQ40:BZ40)-SUM($EA40:EX40)</f>
        <v>77996</v>
      </c>
      <c r="DG40" s="12">
        <f>SUM($AQ40:CA40)-SUM($EA40:EY40)</f>
        <v>73996</v>
      </c>
      <c r="DH40" s="12">
        <f>SUM($AQ40:CB40)-SUM($EA40:EZ40)</f>
        <v>69996</v>
      </c>
      <c r="DI40" s="12">
        <f>SUM($AQ40:CC40)-SUM($EA40:FA40)</f>
        <v>65996</v>
      </c>
      <c r="DJ40" s="12">
        <f>SUM($AQ40:CD40)-SUM($EA40:FB40)</f>
        <v>61996</v>
      </c>
      <c r="DK40" s="12">
        <f>SUM($AQ40:CE40)-SUM($EA40:FC40)</f>
        <v>57996</v>
      </c>
      <c r="DL40" s="12">
        <f>SUM($AQ40:CF40)-SUM($EA40:FD40)</f>
        <v>53996</v>
      </c>
      <c r="DM40" s="12">
        <f>SUM($AQ40:CG40)-SUM($EA40:FE40)</f>
        <v>49996</v>
      </c>
      <c r="DN40" s="12">
        <f>SUM($AQ40:CH40)-SUM($EA40:FF40)</f>
        <v>45996</v>
      </c>
      <c r="DO40" s="12">
        <f>SUM($AQ40:CI40)-SUM($EA40:FG40)</f>
        <v>41996</v>
      </c>
      <c r="DP40" s="12">
        <f>SUM($AQ40:CJ40)-SUM($EA40:FH40)</f>
        <v>37996</v>
      </c>
      <c r="DQ40" s="12">
        <f>SUM($AQ40:CK40)-SUM($EA40:FI40)</f>
        <v>33996</v>
      </c>
      <c r="DR40" s="12">
        <f>SUM($AQ40:CL40)-SUM($EA40:FJ40)</f>
        <v>29996</v>
      </c>
      <c r="DS40" s="12">
        <f>SUM($AQ40:CM40)-SUM($EA40:FK40)</f>
        <v>25996</v>
      </c>
      <c r="DT40" s="12">
        <f>SUM($AQ40:CN40)-SUM($EA40:FL40)</f>
        <v>21996</v>
      </c>
      <c r="DU40" s="12">
        <f>SUM($AQ40:CO40)-SUM($EA40:FM40)</f>
        <v>17996</v>
      </c>
      <c r="DV40" s="12">
        <f>SUM($AQ40:CP40)-SUM($EA40:FN40)</f>
        <v>150236</v>
      </c>
      <c r="DW40" s="12">
        <f>SUM($AQ40:CQ40)-SUM($EA40:FO40)</f>
        <v>285394</v>
      </c>
      <c r="DX40" s="13"/>
      <c r="DY40" s="13"/>
      <c r="DZ40" s="13"/>
      <c r="EA40" s="12"/>
      <c r="EB40" s="12"/>
      <c r="EC40" s="12"/>
      <c r="ED40" s="12"/>
      <c r="EE40" s="12"/>
      <c r="EF40" s="12"/>
      <c r="EG40" s="12"/>
      <c r="EH40" s="12">
        <f t="array" ref="EH40">SUMPRODUCT(TRANSPOSE(EH$9:EH$34),$K40:$AJ40)</f>
        <v>14126</v>
      </c>
      <c r="EI40" s="12">
        <f t="array" ref="EI40">SUMPRODUCT(TRANSPOSE(EI$9:EI$34),$K40:$AJ40)</f>
        <v>562</v>
      </c>
      <c r="EJ40" s="12">
        <f t="array" ref="EJ40">SUMPRODUCT(TRANSPOSE(EJ$9:EJ$34),$K40:$AJ40)</f>
        <v>2030</v>
      </c>
      <c r="EK40" s="12">
        <f t="array" ref="EK40">SUMPRODUCT(TRANSPOSE(EK$9:EK$34),$K40:$AJ40)</f>
        <v>2270</v>
      </c>
      <c r="EL40" s="12">
        <f t="array" ref="EL40">SUMPRODUCT(TRANSPOSE(EL$9:EL$34),$K40:$AJ40)</f>
        <v>4030</v>
      </c>
      <c r="EM40" s="12">
        <f t="array" ref="EM40">SUMPRODUCT(TRANSPOSE(EM$9:EM$34),$K40:$AJ40)</f>
        <v>4100</v>
      </c>
      <c r="EN40" s="12">
        <f t="array" ref="EN40">SUMPRODUCT(TRANSPOSE(EN$9:EN$34),$K40:$AJ40)</f>
        <v>4100</v>
      </c>
      <c r="EO40" s="12">
        <f t="array" ref="EO40">SUMPRODUCT(TRANSPOSE(EO$9:EO$34),$K40:$AJ40)</f>
        <v>4000</v>
      </c>
      <c r="EP40" s="12">
        <f t="array" ref="EP40">SUMPRODUCT(TRANSPOSE(EP$9:EP$34),$K40:$AJ40)</f>
        <v>4100</v>
      </c>
      <c r="EQ40" s="12">
        <f t="array" ref="EQ40">SUMPRODUCT(TRANSPOSE(EQ$9:EQ$34),$K40:$AJ40)</f>
        <v>4100</v>
      </c>
      <c r="ER40" s="12">
        <f t="array" ref="ER40">SUMPRODUCT(TRANSPOSE(ER$9:ER$34),$K40:$AJ40)</f>
        <v>4100</v>
      </c>
      <c r="ES40" s="12">
        <f t="array" ref="ES40">SUMPRODUCT(TRANSPOSE(ES$9:ES$34),$K40:$AJ40)</f>
        <v>4100</v>
      </c>
      <c r="ET40" s="12">
        <f t="array" ref="ET40">SUMPRODUCT(TRANSPOSE(ET$9:ET$34),$K40:$AJ40)</f>
        <v>4100</v>
      </c>
      <c r="EU40" s="12">
        <f t="array" ref="EU40">SUMPRODUCT(TRANSPOSE(EU$9:EU$34),$K40:$AJ40)</f>
        <v>4100</v>
      </c>
      <c r="EV40" s="12">
        <f t="array" ref="EV40">SUMPRODUCT(TRANSPOSE(EV$9:EV$34),$K40:$AJ40)</f>
        <v>4100</v>
      </c>
      <c r="EW40" s="12">
        <f t="array" ref="EW40">SUMPRODUCT(TRANSPOSE(EW$9:EW$34),$K40:$AJ40)</f>
        <v>4086</v>
      </c>
      <c r="EX40" s="12">
        <f t="array" ref="EX40">SUMPRODUCT(TRANSPOSE(EX$9:EX$34),$K40:$AJ40)</f>
        <v>4000</v>
      </c>
      <c r="EY40" s="12">
        <f t="array" ref="EY40">SUMPRODUCT(TRANSPOSE(EY$9:EY$34),$K40:$AJ40)</f>
        <v>4000</v>
      </c>
      <c r="EZ40" s="12">
        <f t="array" ref="EZ40">SUMPRODUCT(TRANSPOSE(EZ$9:EZ$34),$K40:$AJ40)</f>
        <v>4000</v>
      </c>
      <c r="FA40" s="12">
        <f t="array" ref="FA40">SUMPRODUCT(TRANSPOSE(FA$9:FA$34),$K40:$AJ40)</f>
        <v>4000</v>
      </c>
      <c r="FB40" s="12">
        <f t="array" ref="FB40">SUMPRODUCT(TRANSPOSE(FB$9:FB$34),$K40:$AJ40)</f>
        <v>4000</v>
      </c>
      <c r="FC40" s="12">
        <f t="array" ref="FC40">SUMPRODUCT(TRANSPOSE(FC$9:FC$34),$K40:$AJ40)</f>
        <v>4000</v>
      </c>
      <c r="FD40" s="12">
        <f t="array" ref="FD40">SUMPRODUCT(TRANSPOSE(FD$9:FD$34),$K40:$AJ40)</f>
        <v>4000</v>
      </c>
      <c r="FE40" s="12">
        <f t="array" ref="FE40">SUMPRODUCT(TRANSPOSE(FE$9:FE$34),$K40:$AJ40)</f>
        <v>4000</v>
      </c>
      <c r="FF40" s="12">
        <f t="array" ref="FF40">SUMPRODUCT(TRANSPOSE(FF$9:FF$34),$K40:$AJ40)</f>
        <v>4000</v>
      </c>
      <c r="FG40" s="12">
        <f t="array" ref="FG40">SUMPRODUCT(TRANSPOSE(FG$9:FG$34),$K40:$AJ40)</f>
        <v>4000</v>
      </c>
      <c r="FH40" s="12">
        <f t="array" ref="FH40">SUMPRODUCT(TRANSPOSE(FH$9:FH$34),$K40:$AJ40)</f>
        <v>4000</v>
      </c>
      <c r="FI40" s="12">
        <f t="array" ref="FI40">SUMPRODUCT(TRANSPOSE(FI$9:FI$34),$K40:$AJ40)</f>
        <v>4000</v>
      </c>
      <c r="FJ40" s="12">
        <f t="array" ref="FJ40">SUMPRODUCT(TRANSPOSE(FJ$9:FJ$34),$K40:$AJ40)</f>
        <v>4000</v>
      </c>
      <c r="FK40" s="12">
        <f t="array" ref="FK40">SUMPRODUCT(TRANSPOSE(FK$9:FK$34),$K40:$AJ40)</f>
        <v>4000</v>
      </c>
      <c r="FL40" s="12">
        <f t="array" ref="FL40">SUMPRODUCT(TRANSPOSE(FL$9:FL$34),$K40:$AJ40)</f>
        <v>4000</v>
      </c>
      <c r="FM40" s="12">
        <f t="array" ref="FM40">SUMPRODUCT(TRANSPOSE(FM$9:FM$34),$K40:$AJ40)</f>
        <v>4000</v>
      </c>
      <c r="FN40" s="12">
        <f t="array" ref="FN40">SUMPRODUCT(TRANSPOSE(FN$9:FN$34),$K40:$AJ40)</f>
        <v>3634</v>
      </c>
      <c r="FO40" s="12">
        <f t="array" ref="FO40">SUMPRODUCT(TRANSPOSE(FO$9:FO$34),$K40:$AJ40)</f>
        <v>154</v>
      </c>
    </row>
    <row r="41" spans="1:171" ht="14.25" x14ac:dyDescent="0.2">
      <c r="A41" s="13">
        <f t="shared" si="4"/>
        <v>6</v>
      </c>
      <c r="B41" s="13" t="s">
        <v>77</v>
      </c>
      <c r="C41" s="25" t="s">
        <v>78</v>
      </c>
      <c r="D41" s="13" t="s">
        <v>67</v>
      </c>
      <c r="E41" s="13">
        <v>408260904</v>
      </c>
      <c r="F41" s="26" t="s">
        <v>79</v>
      </c>
      <c r="G41" s="13"/>
      <c r="H41" s="13" t="s">
        <v>61</v>
      </c>
      <c r="I41" s="13">
        <v>1</v>
      </c>
      <c r="J41" s="13">
        <v>6</v>
      </c>
      <c r="K41" s="13">
        <v>0</v>
      </c>
      <c r="L41" s="13">
        <v>0</v>
      </c>
      <c r="M41" s="13">
        <v>0</v>
      </c>
      <c r="N41" s="13">
        <v>2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/>
      <c r="Z41" s="13">
        <v>2</v>
      </c>
      <c r="AA41" s="13">
        <v>0</v>
      </c>
      <c r="AB41" s="13">
        <v>0</v>
      </c>
      <c r="AC41" s="13">
        <v>0</v>
      </c>
      <c r="AD41" s="13">
        <v>2</v>
      </c>
      <c r="AE41" s="13">
        <v>2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f t="shared" si="3"/>
        <v>8</v>
      </c>
      <c r="AL41" s="23">
        <f t="shared" si="2"/>
        <v>141792</v>
      </c>
      <c r="AM41" s="13"/>
      <c r="AN41" s="29" t="s">
        <v>80</v>
      </c>
      <c r="AO41" s="7" t="s">
        <v>81</v>
      </c>
      <c r="AP41" s="38">
        <v>7.1999999999999995E-2</v>
      </c>
      <c r="AQ41" s="12">
        <v>142000</v>
      </c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13"/>
      <c r="CG41" s="13"/>
      <c r="CH41" s="13"/>
      <c r="CI41" s="12"/>
      <c r="CJ41" s="12"/>
      <c r="CK41" s="12"/>
      <c r="CL41" s="12"/>
      <c r="CM41" s="12"/>
      <c r="CN41" s="12"/>
      <c r="CO41" s="12"/>
      <c r="CP41" s="12">
        <f>SUM($AQ41:BJ41)-SUM($EA41:EH41)</f>
        <v>127874</v>
      </c>
      <c r="CQ41" s="12">
        <f>SUM($AQ41:BK41)-SUM($EA41:EI41)</f>
        <v>127312</v>
      </c>
      <c r="CR41" s="12">
        <f>SUM($AQ41:BL41)-SUM($EA41:EJ41)</f>
        <v>125282</v>
      </c>
      <c r="CS41" s="12">
        <f>SUM($AQ41:BM41)-SUM($EA41:EK41)</f>
        <v>123012</v>
      </c>
      <c r="CT41" s="12">
        <f>SUM($AQ41:BN41)-SUM($EA41:EL41)</f>
        <v>118982</v>
      </c>
      <c r="CU41" s="12">
        <f>SUM($AQ41:BO41)-SUM($EA41:EM41)</f>
        <v>114882</v>
      </c>
      <c r="CV41" s="12">
        <f>SUM($AQ41:BP41)-SUM($EA41:EN41)</f>
        <v>110782</v>
      </c>
      <c r="CW41" s="12">
        <f>SUM($AQ41:BQ41)-SUM($EA41:EO41)</f>
        <v>106782</v>
      </c>
      <c r="CX41" s="12">
        <f>SUM($AQ41:BR41)-SUM($EA41:EP41)</f>
        <v>102682</v>
      </c>
      <c r="CY41" s="12">
        <f>SUM($AQ41:BS41)-SUM($EA41:EQ41)</f>
        <v>98582</v>
      </c>
      <c r="CZ41" s="12">
        <f>SUM($AQ41:BT41)-SUM($EA41:ER41)</f>
        <v>94482</v>
      </c>
      <c r="DA41" s="12">
        <f>SUM($AQ41:BU41)-SUM($EA41:ES41)</f>
        <v>90382</v>
      </c>
      <c r="DB41" s="12">
        <f>SUM($AQ41:BV41)-SUM($EA41:ET41)</f>
        <v>86282</v>
      </c>
      <c r="DC41" s="12">
        <f>SUM($AQ41:BW41)-SUM($EA41:EU41)</f>
        <v>82182</v>
      </c>
      <c r="DD41" s="12">
        <f>SUM($AQ41:BX41)-SUM($EA41:EV41)</f>
        <v>78082</v>
      </c>
      <c r="DE41" s="12">
        <f>SUM($AQ41:BY41)-SUM($EA41:EW41)</f>
        <v>73996</v>
      </c>
      <c r="DF41" s="12">
        <f>SUM($AQ41:BZ41)-SUM($EA41:EX41)</f>
        <v>69996</v>
      </c>
      <c r="DG41" s="12">
        <f>SUM($AQ41:CA41)-SUM($EA41:EY41)</f>
        <v>65996</v>
      </c>
      <c r="DH41" s="12">
        <f>SUM($AQ41:CB41)-SUM($EA41:EZ41)</f>
        <v>61996</v>
      </c>
      <c r="DI41" s="12">
        <f>SUM($AQ41:CC41)-SUM($EA41:FA41)</f>
        <v>57996</v>
      </c>
      <c r="DJ41" s="12">
        <f>SUM($AQ41:CD41)-SUM($EA41:FB41)</f>
        <v>53996</v>
      </c>
      <c r="DK41" s="12">
        <f>SUM($AQ41:CE41)-SUM($EA41:FC41)</f>
        <v>49996</v>
      </c>
      <c r="DL41" s="12">
        <f>SUM($AQ41:CF41)-SUM($EA41:FD41)</f>
        <v>45996</v>
      </c>
      <c r="DM41" s="12">
        <f>SUM($AQ41:CG41)-SUM($EA41:FE41)</f>
        <v>41996</v>
      </c>
      <c r="DN41" s="12">
        <f>SUM($AQ41:CH41)-SUM($EA41:FF41)</f>
        <v>37996</v>
      </c>
      <c r="DO41" s="12">
        <f>SUM($AQ41:CI41)-SUM($EA41:FG41)</f>
        <v>33996</v>
      </c>
      <c r="DP41" s="12">
        <f>SUM($AQ41:CJ41)-SUM($EA41:FH41)</f>
        <v>29996</v>
      </c>
      <c r="DQ41" s="12">
        <f>SUM($AQ41:CK41)-SUM($EA41:FI41)</f>
        <v>25996</v>
      </c>
      <c r="DR41" s="12">
        <f>SUM($AQ41:CL41)-SUM($EA41:FJ41)</f>
        <v>21996</v>
      </c>
      <c r="DS41" s="12">
        <f>SUM($AQ41:CM41)-SUM($EA41:FK41)</f>
        <v>17996</v>
      </c>
      <c r="DT41" s="12">
        <f>SUM($AQ41:CN41)-SUM($EA41:FL41)</f>
        <v>13996</v>
      </c>
      <c r="DU41" s="12">
        <f>SUM($AQ41:CO41)-SUM($EA41:FM41)</f>
        <v>9996</v>
      </c>
      <c r="DV41" s="12">
        <f>SUM($AQ41:CP41)-SUM($EA41:FN41)</f>
        <v>134236</v>
      </c>
      <c r="DW41" s="12">
        <f>SUM($AQ41:CQ41)-SUM($EA41:FO41)</f>
        <v>261394</v>
      </c>
      <c r="DX41" s="13"/>
      <c r="DY41" s="13"/>
      <c r="DZ41" s="13"/>
      <c r="EA41" s="12"/>
      <c r="EB41" s="12"/>
      <c r="EC41" s="12"/>
      <c r="ED41" s="12"/>
      <c r="EE41" s="12"/>
      <c r="EF41" s="12"/>
      <c r="EG41" s="12"/>
      <c r="EH41" s="12">
        <f t="array" ref="EH41">SUMPRODUCT(TRANSPOSE(EH$9:EH$34),$K41:$AJ41)</f>
        <v>14126</v>
      </c>
      <c r="EI41" s="12">
        <f t="array" ref="EI41">SUMPRODUCT(TRANSPOSE(EI$9:EI$34),$K41:$AJ41)</f>
        <v>562</v>
      </c>
      <c r="EJ41" s="12">
        <f t="array" ref="EJ41">SUMPRODUCT(TRANSPOSE(EJ$9:EJ$34),$K41:$AJ41)</f>
        <v>2030</v>
      </c>
      <c r="EK41" s="12">
        <f t="array" ref="EK41">SUMPRODUCT(TRANSPOSE(EK$9:EK$34),$K41:$AJ41)</f>
        <v>2270</v>
      </c>
      <c r="EL41" s="12">
        <f t="array" ref="EL41">SUMPRODUCT(TRANSPOSE(EL$9:EL$34),$K41:$AJ41)</f>
        <v>4030</v>
      </c>
      <c r="EM41" s="12">
        <f t="array" ref="EM41">SUMPRODUCT(TRANSPOSE(EM$9:EM$34),$K41:$AJ41)</f>
        <v>4100</v>
      </c>
      <c r="EN41" s="12">
        <f t="array" ref="EN41">SUMPRODUCT(TRANSPOSE(EN$9:EN$34),$K41:$AJ41)</f>
        <v>4100</v>
      </c>
      <c r="EO41" s="12">
        <f t="array" ref="EO41">SUMPRODUCT(TRANSPOSE(EO$9:EO$34),$K41:$AJ41)</f>
        <v>4000</v>
      </c>
      <c r="EP41" s="12">
        <f t="array" ref="EP41">SUMPRODUCT(TRANSPOSE(EP$9:EP$34),$K41:$AJ41)</f>
        <v>4100</v>
      </c>
      <c r="EQ41" s="12">
        <f t="array" ref="EQ41">SUMPRODUCT(TRANSPOSE(EQ$9:EQ$34),$K41:$AJ41)</f>
        <v>4100</v>
      </c>
      <c r="ER41" s="12">
        <f t="array" ref="ER41">SUMPRODUCT(TRANSPOSE(ER$9:ER$34),$K41:$AJ41)</f>
        <v>4100</v>
      </c>
      <c r="ES41" s="12">
        <f t="array" ref="ES41">SUMPRODUCT(TRANSPOSE(ES$9:ES$34),$K41:$AJ41)</f>
        <v>4100</v>
      </c>
      <c r="ET41" s="12">
        <f t="array" ref="ET41">SUMPRODUCT(TRANSPOSE(ET$9:ET$34),$K41:$AJ41)</f>
        <v>4100</v>
      </c>
      <c r="EU41" s="12">
        <f t="array" ref="EU41">SUMPRODUCT(TRANSPOSE(EU$9:EU$34),$K41:$AJ41)</f>
        <v>4100</v>
      </c>
      <c r="EV41" s="12">
        <f t="array" ref="EV41">SUMPRODUCT(TRANSPOSE(EV$9:EV$34),$K41:$AJ41)</f>
        <v>4100</v>
      </c>
      <c r="EW41" s="12">
        <f t="array" ref="EW41">SUMPRODUCT(TRANSPOSE(EW$9:EW$34),$K41:$AJ41)</f>
        <v>4086</v>
      </c>
      <c r="EX41" s="12">
        <f t="array" ref="EX41">SUMPRODUCT(TRANSPOSE(EX$9:EX$34),$K41:$AJ41)</f>
        <v>4000</v>
      </c>
      <c r="EY41" s="12">
        <f t="array" ref="EY41">SUMPRODUCT(TRANSPOSE(EY$9:EY$34),$K41:$AJ41)</f>
        <v>4000</v>
      </c>
      <c r="EZ41" s="12">
        <f t="array" ref="EZ41">SUMPRODUCT(TRANSPOSE(EZ$9:EZ$34),$K41:$AJ41)</f>
        <v>4000</v>
      </c>
      <c r="FA41" s="12">
        <f t="array" ref="FA41">SUMPRODUCT(TRANSPOSE(FA$9:FA$34),$K41:$AJ41)</f>
        <v>4000</v>
      </c>
      <c r="FB41" s="12">
        <f t="array" ref="FB41">SUMPRODUCT(TRANSPOSE(FB$9:FB$34),$K41:$AJ41)</f>
        <v>4000</v>
      </c>
      <c r="FC41" s="12">
        <f t="array" ref="FC41">SUMPRODUCT(TRANSPOSE(FC$9:FC$34),$K41:$AJ41)</f>
        <v>4000</v>
      </c>
      <c r="FD41" s="12">
        <f t="array" ref="FD41">SUMPRODUCT(TRANSPOSE(FD$9:FD$34),$K41:$AJ41)</f>
        <v>4000</v>
      </c>
      <c r="FE41" s="12">
        <f t="array" ref="FE41">SUMPRODUCT(TRANSPOSE(FE$9:FE$34),$K41:$AJ41)</f>
        <v>4000</v>
      </c>
      <c r="FF41" s="12">
        <f t="array" ref="FF41">SUMPRODUCT(TRANSPOSE(FF$9:FF$34),$K41:$AJ41)</f>
        <v>4000</v>
      </c>
      <c r="FG41" s="12">
        <f t="array" ref="FG41">SUMPRODUCT(TRANSPOSE(FG$9:FG$34),$K41:$AJ41)</f>
        <v>4000</v>
      </c>
      <c r="FH41" s="12">
        <f t="array" ref="FH41">SUMPRODUCT(TRANSPOSE(FH$9:FH$34),$K41:$AJ41)</f>
        <v>4000</v>
      </c>
      <c r="FI41" s="12">
        <f t="array" ref="FI41">SUMPRODUCT(TRANSPOSE(FI$9:FI$34),$K41:$AJ41)</f>
        <v>4000</v>
      </c>
      <c r="FJ41" s="12">
        <f t="array" ref="FJ41">SUMPRODUCT(TRANSPOSE(FJ$9:FJ$34),$K41:$AJ41)</f>
        <v>4000</v>
      </c>
      <c r="FK41" s="12">
        <f t="array" ref="FK41">SUMPRODUCT(TRANSPOSE(FK$9:FK$34),$K41:$AJ41)</f>
        <v>4000</v>
      </c>
      <c r="FL41" s="12">
        <f t="array" ref="FL41">SUMPRODUCT(TRANSPOSE(FL$9:FL$34),$K41:$AJ41)</f>
        <v>4000</v>
      </c>
      <c r="FM41" s="12">
        <f t="array" ref="FM41">SUMPRODUCT(TRANSPOSE(FM$9:FM$34),$K41:$AJ41)</f>
        <v>4000</v>
      </c>
      <c r="FN41" s="12">
        <f t="array" ref="FN41">SUMPRODUCT(TRANSPOSE(FN$9:FN$34),$K41:$AJ41)</f>
        <v>3634</v>
      </c>
      <c r="FO41" s="12">
        <f t="array" ref="FO41">SUMPRODUCT(TRANSPOSE(FO$9:FO$34),$K41:$AJ41)</f>
        <v>154</v>
      </c>
    </row>
    <row r="42" spans="1:171" ht="14.25" x14ac:dyDescent="0.2">
      <c r="A42" s="13">
        <f t="shared" si="4"/>
        <v>7</v>
      </c>
      <c r="B42" s="13" t="s">
        <v>82</v>
      </c>
      <c r="C42" s="25" t="s">
        <v>83</v>
      </c>
      <c r="D42" s="13" t="s">
        <v>67</v>
      </c>
      <c r="E42" s="13">
        <v>407184523</v>
      </c>
      <c r="F42" s="26" t="s">
        <v>84</v>
      </c>
      <c r="G42" s="13"/>
      <c r="H42" s="13" t="s">
        <v>61</v>
      </c>
      <c r="I42" s="13">
        <v>1</v>
      </c>
      <c r="J42" s="13">
        <v>16</v>
      </c>
      <c r="K42" s="13">
        <v>0</v>
      </c>
      <c r="L42" s="13">
        <v>0</v>
      </c>
      <c r="M42" s="13">
        <v>0</v>
      </c>
      <c r="N42" s="13">
        <v>4</v>
      </c>
      <c r="O42" s="13">
        <v>0</v>
      </c>
      <c r="P42" s="13">
        <v>0</v>
      </c>
      <c r="Q42" s="13">
        <v>0</v>
      </c>
      <c r="R42" s="13">
        <v>0</v>
      </c>
      <c r="S42" s="13">
        <v>6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/>
      <c r="Z42" s="13">
        <v>6</v>
      </c>
      <c r="AA42" s="13">
        <v>0</v>
      </c>
      <c r="AB42" s="13">
        <v>0</v>
      </c>
      <c r="AC42" s="13">
        <v>0</v>
      </c>
      <c r="AD42" s="13">
        <v>6</v>
      </c>
      <c r="AE42" s="13">
        <v>6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f>SUM(K42:AD42)</f>
        <v>22</v>
      </c>
      <c r="AL42" s="23">
        <f t="shared" si="2"/>
        <v>354914</v>
      </c>
      <c r="AM42" s="13"/>
      <c r="AN42" s="29" t="s">
        <v>80</v>
      </c>
      <c r="AO42" s="7" t="s">
        <v>81</v>
      </c>
      <c r="AP42" s="38">
        <v>6.5000000000000002E-2</v>
      </c>
      <c r="AQ42" s="12">
        <v>354000</v>
      </c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13"/>
      <c r="CG42" s="13"/>
      <c r="CH42" s="13"/>
      <c r="CI42" s="12"/>
      <c r="CJ42" s="12"/>
      <c r="CK42" s="12"/>
      <c r="CL42" s="12"/>
      <c r="CM42" s="12"/>
      <c r="CN42" s="12"/>
      <c r="CO42" s="12"/>
      <c r="CP42" s="12">
        <f>SUM($AQ42:BJ42)-SUM($EA42:EH42)</f>
        <v>319530</v>
      </c>
      <c r="CQ42" s="12">
        <f>SUM($AQ42:BK42)-SUM($EA42:EI42)</f>
        <v>317844</v>
      </c>
      <c r="CR42" s="12">
        <f>SUM($AQ42:BL42)-SUM($EA42:EJ42)</f>
        <v>313754</v>
      </c>
      <c r="CS42" s="12">
        <f>SUM($AQ42:BM42)-SUM($EA42:EK42)</f>
        <v>308944</v>
      </c>
      <c r="CT42" s="12">
        <f>SUM($AQ42:BN42)-SUM($EA42:EL42)</f>
        <v>298854</v>
      </c>
      <c r="CU42" s="12">
        <f>SUM($AQ42:BO42)-SUM($EA42:EM42)</f>
        <v>286554</v>
      </c>
      <c r="CV42" s="12">
        <f>SUM($AQ42:BP42)-SUM($EA42:EN42)</f>
        <v>276054</v>
      </c>
      <c r="CW42" s="12">
        <f>SUM($AQ42:BQ42)-SUM($EA42:EO42)</f>
        <v>266054</v>
      </c>
      <c r="CX42" s="12">
        <f>SUM($AQ42:BR42)-SUM($EA42:EP42)</f>
        <v>255754</v>
      </c>
      <c r="CY42" s="12">
        <f>SUM($AQ42:BS42)-SUM($EA42:EQ42)</f>
        <v>245454</v>
      </c>
      <c r="CZ42" s="12">
        <f>SUM($AQ42:BT42)-SUM($EA42:ER42)</f>
        <v>235154</v>
      </c>
      <c r="DA42" s="12">
        <f>SUM($AQ42:BU42)-SUM($EA42:ES42)</f>
        <v>224854</v>
      </c>
      <c r="DB42" s="12">
        <f>SUM($AQ42:BV42)-SUM($EA42:ET42)</f>
        <v>214554</v>
      </c>
      <c r="DC42" s="12">
        <f>SUM($AQ42:BW42)-SUM($EA42:EU42)</f>
        <v>204254</v>
      </c>
      <c r="DD42" s="12">
        <f>SUM($AQ42:BX42)-SUM($EA42:EV42)</f>
        <v>193954</v>
      </c>
      <c r="DE42" s="12">
        <f>SUM($AQ42:BY42)-SUM($EA42:EW42)</f>
        <v>183696</v>
      </c>
      <c r="DF42" s="12">
        <f>SUM($AQ42:BZ42)-SUM($EA42:EX42)</f>
        <v>173696</v>
      </c>
      <c r="DG42" s="12">
        <f>SUM($AQ42:CA42)-SUM($EA42:EY42)</f>
        <v>163696</v>
      </c>
      <c r="DH42" s="12">
        <f>SUM($AQ42:CB42)-SUM($EA42:EZ42)</f>
        <v>153696</v>
      </c>
      <c r="DI42" s="12">
        <f>SUM($AQ42:CC42)-SUM($EA42:FA42)</f>
        <v>143696</v>
      </c>
      <c r="DJ42" s="12">
        <f>SUM($AQ42:CD42)-SUM($EA42:FB42)</f>
        <v>133696</v>
      </c>
      <c r="DK42" s="12">
        <f>SUM($AQ42:CE42)-SUM($EA42:FC42)</f>
        <v>123696</v>
      </c>
      <c r="DL42" s="12">
        <f>SUM($AQ42:CF42)-SUM($EA42:FD42)</f>
        <v>113696</v>
      </c>
      <c r="DM42" s="12">
        <f>SUM($AQ42:CG42)-SUM($EA42:FE42)</f>
        <v>103696</v>
      </c>
      <c r="DN42" s="12">
        <f>SUM($AQ42:CH42)-SUM($EA42:FF42)</f>
        <v>93696</v>
      </c>
      <c r="DO42" s="12">
        <f>SUM($AQ42:CI42)-SUM($EA42:FG42)</f>
        <v>83696</v>
      </c>
      <c r="DP42" s="12">
        <f>SUM($AQ42:CJ42)-SUM($EA42:FH42)</f>
        <v>73696</v>
      </c>
      <c r="DQ42" s="12">
        <f>SUM($AQ42:CK42)-SUM($EA42:FI42)</f>
        <v>63696</v>
      </c>
      <c r="DR42" s="12">
        <f>SUM($AQ42:CL42)-SUM($EA42:FJ42)</f>
        <v>53696</v>
      </c>
      <c r="DS42" s="12">
        <f>SUM($AQ42:CM42)-SUM($EA42:FK42)</f>
        <v>43696</v>
      </c>
      <c r="DT42" s="12">
        <f>SUM($AQ42:CN42)-SUM($EA42:FL42)</f>
        <v>33696</v>
      </c>
      <c r="DU42" s="12">
        <f>SUM($AQ42:CO42)-SUM($EA42:FM42)</f>
        <v>23696</v>
      </c>
      <c r="DV42" s="12">
        <f>SUM($AQ42:CP42)-SUM($EA42:FN42)</f>
        <v>334324</v>
      </c>
      <c r="DW42" s="12">
        <f>SUM($AQ42:CQ42)-SUM($EA42:FO42)</f>
        <v>651860</v>
      </c>
      <c r="DX42" s="13"/>
      <c r="DY42" s="13"/>
      <c r="DZ42" s="13"/>
      <c r="EA42" s="12"/>
      <c r="EB42" s="12"/>
      <c r="EC42" s="12"/>
      <c r="ED42" s="12"/>
      <c r="EE42" s="12"/>
      <c r="EF42" s="12"/>
      <c r="EG42" s="12"/>
      <c r="EH42" s="12">
        <f t="array" ref="EH42">SUMPRODUCT(TRANSPOSE(EH$9:EH$34),$K42:$AJ42)</f>
        <v>34470</v>
      </c>
      <c r="EI42" s="12">
        <f t="array" ref="EI42">SUMPRODUCT(TRANSPOSE(EI$9:EI$34),$K42:$AJ42)</f>
        <v>1686</v>
      </c>
      <c r="EJ42" s="12">
        <f t="array" ref="EJ42">SUMPRODUCT(TRANSPOSE(EJ$9:EJ$34),$K42:$AJ42)</f>
        <v>4090</v>
      </c>
      <c r="EK42" s="12">
        <f t="array" ref="EK42">SUMPRODUCT(TRANSPOSE(EK$9:EK$34),$K42:$AJ42)</f>
        <v>4810</v>
      </c>
      <c r="EL42" s="12">
        <f t="array" ref="EL42">SUMPRODUCT(TRANSPOSE(EL$9:EL$34),$K42:$AJ42)</f>
        <v>10090</v>
      </c>
      <c r="EM42" s="12">
        <f t="array" ref="EM42">SUMPRODUCT(TRANSPOSE(EM$9:EM$34),$K42:$AJ42)</f>
        <v>12300</v>
      </c>
      <c r="EN42" s="12">
        <f t="array" ref="EN42">SUMPRODUCT(TRANSPOSE(EN$9:EN$34),$K42:$AJ42)</f>
        <v>10500</v>
      </c>
      <c r="EO42" s="12">
        <f t="array" ref="EO42">SUMPRODUCT(TRANSPOSE(EO$9:EO$34),$K42:$AJ42)</f>
        <v>10000</v>
      </c>
      <c r="EP42" s="12">
        <f t="array" ref="EP42">SUMPRODUCT(TRANSPOSE(EP$9:EP$34),$K42:$AJ42)</f>
        <v>10300</v>
      </c>
      <c r="EQ42" s="12">
        <f t="array" ref="EQ42">SUMPRODUCT(TRANSPOSE(EQ$9:EQ$34),$K42:$AJ42)</f>
        <v>10300</v>
      </c>
      <c r="ER42" s="12">
        <f t="array" ref="ER42">SUMPRODUCT(TRANSPOSE(ER$9:ER$34),$K42:$AJ42)</f>
        <v>10300</v>
      </c>
      <c r="ES42" s="12">
        <f t="array" ref="ES42">SUMPRODUCT(TRANSPOSE(ES$9:ES$34),$K42:$AJ42)</f>
        <v>10300</v>
      </c>
      <c r="ET42" s="12">
        <f t="array" ref="ET42">SUMPRODUCT(TRANSPOSE(ET$9:ET$34),$K42:$AJ42)</f>
        <v>10300</v>
      </c>
      <c r="EU42" s="12">
        <f t="array" ref="EU42">SUMPRODUCT(TRANSPOSE(EU$9:EU$34),$K42:$AJ42)</f>
        <v>10300</v>
      </c>
      <c r="EV42" s="12">
        <f t="array" ref="EV42">SUMPRODUCT(TRANSPOSE(EV$9:EV$34),$K42:$AJ42)</f>
        <v>10300</v>
      </c>
      <c r="EW42" s="12">
        <f t="array" ref="EW42">SUMPRODUCT(TRANSPOSE(EW$9:EW$34),$K42:$AJ42)</f>
        <v>10258</v>
      </c>
      <c r="EX42" s="12">
        <f t="array" ref="EX42">SUMPRODUCT(TRANSPOSE(EX$9:EX$34),$K42:$AJ42)</f>
        <v>10000</v>
      </c>
      <c r="EY42" s="12">
        <f t="array" ref="EY42">SUMPRODUCT(TRANSPOSE(EY$9:EY$34),$K42:$AJ42)</f>
        <v>10000</v>
      </c>
      <c r="EZ42" s="12">
        <f t="array" ref="EZ42">SUMPRODUCT(TRANSPOSE(EZ$9:EZ$34),$K42:$AJ42)</f>
        <v>10000</v>
      </c>
      <c r="FA42" s="12">
        <f t="array" ref="FA42">SUMPRODUCT(TRANSPOSE(FA$9:FA$34),$K42:$AJ42)</f>
        <v>10000</v>
      </c>
      <c r="FB42" s="12">
        <f t="array" ref="FB42">SUMPRODUCT(TRANSPOSE(FB$9:FB$34),$K42:$AJ42)</f>
        <v>10000</v>
      </c>
      <c r="FC42" s="12">
        <f t="array" ref="FC42">SUMPRODUCT(TRANSPOSE(FC$9:FC$34),$K42:$AJ42)</f>
        <v>10000</v>
      </c>
      <c r="FD42" s="12">
        <f t="array" ref="FD42">SUMPRODUCT(TRANSPOSE(FD$9:FD$34),$K42:$AJ42)</f>
        <v>10000</v>
      </c>
      <c r="FE42" s="12">
        <f t="array" ref="FE42">SUMPRODUCT(TRANSPOSE(FE$9:FE$34),$K42:$AJ42)</f>
        <v>10000</v>
      </c>
      <c r="FF42" s="12">
        <f t="array" ref="FF42">SUMPRODUCT(TRANSPOSE(FF$9:FF$34),$K42:$AJ42)</f>
        <v>10000</v>
      </c>
      <c r="FG42" s="12">
        <f t="array" ref="FG42">SUMPRODUCT(TRANSPOSE(FG$9:FG$34),$K42:$AJ42)</f>
        <v>10000</v>
      </c>
      <c r="FH42" s="12">
        <f t="array" ref="FH42">SUMPRODUCT(TRANSPOSE(FH$9:FH$34),$K42:$AJ42)</f>
        <v>10000</v>
      </c>
      <c r="FI42" s="12">
        <f t="array" ref="FI42">SUMPRODUCT(TRANSPOSE(FI$9:FI$34),$K42:$AJ42)</f>
        <v>10000</v>
      </c>
      <c r="FJ42" s="12">
        <f t="array" ref="FJ42">SUMPRODUCT(TRANSPOSE(FJ$9:FJ$34),$K42:$AJ42)</f>
        <v>10000</v>
      </c>
      <c r="FK42" s="12">
        <f t="array" ref="FK42">SUMPRODUCT(TRANSPOSE(FK$9:FK$34),$K42:$AJ42)</f>
        <v>10000</v>
      </c>
      <c r="FL42" s="12">
        <f t="array" ref="FL42">SUMPRODUCT(TRANSPOSE(FL$9:FL$34),$K42:$AJ42)</f>
        <v>10000</v>
      </c>
      <c r="FM42" s="12">
        <f t="array" ref="FM42">SUMPRODUCT(TRANSPOSE(FM$9:FM$34),$K42:$AJ42)</f>
        <v>10000</v>
      </c>
      <c r="FN42" s="12">
        <f t="array" ref="FN42">SUMPRODUCT(TRANSPOSE(FN$9:FN$34),$K42:$AJ42)</f>
        <v>8902</v>
      </c>
      <c r="FO42" s="12">
        <f t="array" ref="FO42">SUMPRODUCT(TRANSPOSE(FO$9:FO$34),$K42:$AJ42)</f>
        <v>308</v>
      </c>
    </row>
    <row r="43" spans="1:171" ht="14.25" x14ac:dyDescent="0.2">
      <c r="A43" s="13">
        <f t="shared" si="4"/>
        <v>8</v>
      </c>
      <c r="B43" s="13" t="s">
        <v>85</v>
      </c>
      <c r="C43" s="25" t="s">
        <v>86</v>
      </c>
      <c r="D43" s="13" t="s">
        <v>67</v>
      </c>
      <c r="E43" s="13">
        <v>400236023</v>
      </c>
      <c r="F43" s="26" t="s">
        <v>87</v>
      </c>
      <c r="G43" s="13"/>
      <c r="H43" s="13" t="s">
        <v>61</v>
      </c>
      <c r="I43" s="13">
        <v>2</v>
      </c>
      <c r="J43" s="13">
        <v>4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/>
      <c r="Z43" s="13">
        <v>2</v>
      </c>
      <c r="AA43" s="13">
        <v>0</v>
      </c>
      <c r="AB43" s="13">
        <v>0</v>
      </c>
      <c r="AC43" s="13">
        <v>0</v>
      </c>
      <c r="AD43" s="13">
        <v>2</v>
      </c>
      <c r="AE43" s="13">
        <v>2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f t="shared" si="3"/>
        <v>6</v>
      </c>
      <c r="AL43" s="23">
        <f t="shared" si="2"/>
        <v>71330</v>
      </c>
      <c r="AM43" s="13"/>
      <c r="AN43" s="29" t="s">
        <v>80</v>
      </c>
      <c r="AO43" s="7" t="s">
        <v>81</v>
      </c>
      <c r="AP43" s="38">
        <v>7.1999999999999995E-2</v>
      </c>
      <c r="AQ43" s="12">
        <v>72000</v>
      </c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13"/>
      <c r="CG43" s="13"/>
      <c r="CH43" s="13"/>
      <c r="CI43" s="12"/>
      <c r="CJ43" s="12"/>
      <c r="CK43" s="12"/>
      <c r="CL43" s="12"/>
      <c r="CM43" s="12"/>
      <c r="CN43" s="12"/>
      <c r="CO43" s="12"/>
      <c r="CP43" s="12">
        <f>SUM($AQ43:BJ43)-SUM($EA43:EH43)</f>
        <v>65782</v>
      </c>
      <c r="CQ43" s="12">
        <f>SUM($AQ43:BK43)-SUM($EA43:EI43)</f>
        <v>65220</v>
      </c>
      <c r="CR43" s="12">
        <f>SUM($AQ43:BL43)-SUM($EA43:EJ43)</f>
        <v>65190</v>
      </c>
      <c r="CS43" s="12">
        <f>SUM($AQ43:BM43)-SUM($EA43:EK43)</f>
        <v>64920</v>
      </c>
      <c r="CT43" s="12">
        <f>SUM($AQ43:BN43)-SUM($EA43:EL43)</f>
        <v>62890</v>
      </c>
      <c r="CU43" s="12">
        <f>SUM($AQ43:BO43)-SUM($EA43:EM43)</f>
        <v>58790</v>
      </c>
      <c r="CV43" s="12">
        <f>SUM($AQ43:BP43)-SUM($EA43:EN43)</f>
        <v>56490</v>
      </c>
      <c r="CW43" s="12">
        <f>SUM($AQ43:BQ43)-SUM($EA43:EO43)</f>
        <v>54490</v>
      </c>
      <c r="CX43" s="12">
        <f>SUM($AQ43:BR43)-SUM($EA43:EP43)</f>
        <v>52390</v>
      </c>
      <c r="CY43" s="12">
        <f>SUM($AQ43:BS43)-SUM($EA43:EQ43)</f>
        <v>50290</v>
      </c>
      <c r="CZ43" s="12">
        <f>SUM($AQ43:BT43)-SUM($EA43:ER43)</f>
        <v>48190</v>
      </c>
      <c r="DA43" s="12">
        <f>SUM($AQ43:BU43)-SUM($EA43:ES43)</f>
        <v>46090</v>
      </c>
      <c r="DB43" s="12">
        <f>SUM($AQ43:BV43)-SUM($EA43:ET43)</f>
        <v>43990</v>
      </c>
      <c r="DC43" s="12">
        <f>SUM($AQ43:BW43)-SUM($EA43:EU43)</f>
        <v>41890</v>
      </c>
      <c r="DD43" s="12">
        <f>SUM($AQ43:BX43)-SUM($EA43:EV43)</f>
        <v>39790</v>
      </c>
      <c r="DE43" s="12">
        <f>SUM($AQ43:BY43)-SUM($EA43:EW43)</f>
        <v>37704</v>
      </c>
      <c r="DF43" s="12">
        <f>SUM($AQ43:BZ43)-SUM($EA43:EX43)</f>
        <v>35704</v>
      </c>
      <c r="DG43" s="12">
        <f>SUM($AQ43:CA43)-SUM($EA43:EY43)</f>
        <v>33704</v>
      </c>
      <c r="DH43" s="12">
        <f>SUM($AQ43:CB43)-SUM($EA43:EZ43)</f>
        <v>31704</v>
      </c>
      <c r="DI43" s="12">
        <f>SUM($AQ43:CC43)-SUM($EA43:FA43)</f>
        <v>29704</v>
      </c>
      <c r="DJ43" s="12">
        <f>SUM($AQ43:CD43)-SUM($EA43:FB43)</f>
        <v>27704</v>
      </c>
      <c r="DK43" s="12">
        <f>SUM($AQ43:CE43)-SUM($EA43:FC43)</f>
        <v>25704</v>
      </c>
      <c r="DL43" s="12">
        <f>SUM($AQ43:CF43)-SUM($EA43:FD43)</f>
        <v>23704</v>
      </c>
      <c r="DM43" s="12">
        <f>SUM($AQ43:CG43)-SUM($EA43:FE43)</f>
        <v>21704</v>
      </c>
      <c r="DN43" s="12">
        <f>SUM($AQ43:CH43)-SUM($EA43:FF43)</f>
        <v>19704</v>
      </c>
      <c r="DO43" s="12">
        <f>SUM($AQ43:CI43)-SUM($EA43:FG43)</f>
        <v>17704</v>
      </c>
      <c r="DP43" s="12">
        <f>SUM($AQ43:CJ43)-SUM($EA43:FH43)</f>
        <v>15704</v>
      </c>
      <c r="DQ43" s="12">
        <f>SUM($AQ43:CK43)-SUM($EA43:FI43)</f>
        <v>13704</v>
      </c>
      <c r="DR43" s="12">
        <f>SUM($AQ43:CL43)-SUM($EA43:FJ43)</f>
        <v>11704</v>
      </c>
      <c r="DS43" s="12">
        <f>SUM($AQ43:CM43)-SUM($EA43:FK43)</f>
        <v>9704</v>
      </c>
      <c r="DT43" s="12">
        <f>SUM($AQ43:CN43)-SUM($EA43:FL43)</f>
        <v>7704</v>
      </c>
      <c r="DU43" s="12">
        <f>SUM($AQ43:CO43)-SUM($EA43:FM43)</f>
        <v>5704</v>
      </c>
      <c r="DV43" s="12">
        <f>SUM($AQ43:CP43)-SUM($EA43:FN43)</f>
        <v>69852</v>
      </c>
      <c r="DW43" s="12">
        <f>SUM($AQ43:CQ43)-SUM($EA43:FO43)</f>
        <v>135072</v>
      </c>
      <c r="DX43" s="13"/>
      <c r="DY43" s="13"/>
      <c r="DZ43" s="13"/>
      <c r="EA43" s="12"/>
      <c r="EB43" s="12"/>
      <c r="EC43" s="12"/>
      <c r="ED43" s="12"/>
      <c r="EE43" s="12"/>
      <c r="EF43" s="12"/>
      <c r="EG43" s="12"/>
      <c r="EH43" s="12">
        <f t="array" ref="EH43">SUMPRODUCT(TRANSPOSE(EH$9:EH$34),$K43:$AJ43)</f>
        <v>6218</v>
      </c>
      <c r="EI43" s="12">
        <f t="array" ref="EI43">SUMPRODUCT(TRANSPOSE(EI$9:EI$34),$K43:$AJ43)</f>
        <v>562</v>
      </c>
      <c r="EJ43" s="12">
        <f t="array" ref="EJ43">SUMPRODUCT(TRANSPOSE(EJ$9:EJ$34),$K43:$AJ43)</f>
        <v>30</v>
      </c>
      <c r="EK43" s="12">
        <f t="array" ref="EK43">SUMPRODUCT(TRANSPOSE(EK$9:EK$34),$K43:$AJ43)</f>
        <v>270</v>
      </c>
      <c r="EL43" s="12">
        <f t="array" ref="EL43">SUMPRODUCT(TRANSPOSE(EL$9:EL$34),$K43:$AJ43)</f>
        <v>2030</v>
      </c>
      <c r="EM43" s="12">
        <f t="array" ref="EM43">SUMPRODUCT(TRANSPOSE(EM$9:EM$34),$K43:$AJ43)</f>
        <v>4100</v>
      </c>
      <c r="EN43" s="12">
        <f t="array" ref="EN43">SUMPRODUCT(TRANSPOSE(EN$9:EN$34),$K43:$AJ43)</f>
        <v>2300</v>
      </c>
      <c r="EO43" s="12">
        <f t="array" ref="EO43">SUMPRODUCT(TRANSPOSE(EO$9:EO$34),$K43:$AJ43)</f>
        <v>2000</v>
      </c>
      <c r="EP43" s="12">
        <f t="array" ref="EP43">SUMPRODUCT(TRANSPOSE(EP$9:EP$34),$K43:$AJ43)</f>
        <v>2100</v>
      </c>
      <c r="EQ43" s="12">
        <f t="array" ref="EQ43">SUMPRODUCT(TRANSPOSE(EQ$9:EQ$34),$K43:$AJ43)</f>
        <v>2100</v>
      </c>
      <c r="ER43" s="12">
        <f t="array" ref="ER43">SUMPRODUCT(TRANSPOSE(ER$9:ER$34),$K43:$AJ43)</f>
        <v>2100</v>
      </c>
      <c r="ES43" s="12">
        <f t="array" ref="ES43">SUMPRODUCT(TRANSPOSE(ES$9:ES$34),$K43:$AJ43)</f>
        <v>2100</v>
      </c>
      <c r="ET43" s="12">
        <f t="array" ref="ET43">SUMPRODUCT(TRANSPOSE(ET$9:ET$34),$K43:$AJ43)</f>
        <v>2100</v>
      </c>
      <c r="EU43" s="12">
        <f t="array" ref="EU43">SUMPRODUCT(TRANSPOSE(EU$9:EU$34),$K43:$AJ43)</f>
        <v>2100</v>
      </c>
      <c r="EV43" s="12">
        <f t="array" ref="EV43">SUMPRODUCT(TRANSPOSE(EV$9:EV$34),$K43:$AJ43)</f>
        <v>2100</v>
      </c>
      <c r="EW43" s="12">
        <f t="array" ref="EW43">SUMPRODUCT(TRANSPOSE(EW$9:EW$34),$K43:$AJ43)</f>
        <v>2086</v>
      </c>
      <c r="EX43" s="12">
        <f t="array" ref="EX43">SUMPRODUCT(TRANSPOSE(EX$9:EX$34),$K43:$AJ43)</f>
        <v>2000</v>
      </c>
      <c r="EY43" s="12">
        <f t="array" ref="EY43">SUMPRODUCT(TRANSPOSE(EY$9:EY$34),$K43:$AJ43)</f>
        <v>2000</v>
      </c>
      <c r="EZ43" s="12">
        <f t="array" ref="EZ43">SUMPRODUCT(TRANSPOSE(EZ$9:EZ$34),$K43:$AJ43)</f>
        <v>2000</v>
      </c>
      <c r="FA43" s="12">
        <f t="array" ref="FA43">SUMPRODUCT(TRANSPOSE(FA$9:FA$34),$K43:$AJ43)</f>
        <v>2000</v>
      </c>
      <c r="FB43" s="12">
        <f t="array" ref="FB43">SUMPRODUCT(TRANSPOSE(FB$9:FB$34),$K43:$AJ43)</f>
        <v>2000</v>
      </c>
      <c r="FC43" s="12">
        <f t="array" ref="FC43">SUMPRODUCT(TRANSPOSE(FC$9:FC$34),$K43:$AJ43)</f>
        <v>2000</v>
      </c>
      <c r="FD43" s="12">
        <f t="array" ref="FD43">SUMPRODUCT(TRANSPOSE(FD$9:FD$34),$K43:$AJ43)</f>
        <v>2000</v>
      </c>
      <c r="FE43" s="12">
        <f t="array" ref="FE43">SUMPRODUCT(TRANSPOSE(FE$9:FE$34),$K43:$AJ43)</f>
        <v>2000</v>
      </c>
      <c r="FF43" s="12">
        <f t="array" ref="FF43">SUMPRODUCT(TRANSPOSE(FF$9:FF$34),$K43:$AJ43)</f>
        <v>2000</v>
      </c>
      <c r="FG43" s="12">
        <f t="array" ref="FG43">SUMPRODUCT(TRANSPOSE(FG$9:FG$34),$K43:$AJ43)</f>
        <v>2000</v>
      </c>
      <c r="FH43" s="12">
        <f t="array" ref="FH43">SUMPRODUCT(TRANSPOSE(FH$9:FH$34),$K43:$AJ43)</f>
        <v>2000</v>
      </c>
      <c r="FI43" s="12">
        <f t="array" ref="FI43">SUMPRODUCT(TRANSPOSE(FI$9:FI$34),$K43:$AJ43)</f>
        <v>2000</v>
      </c>
      <c r="FJ43" s="12">
        <f t="array" ref="FJ43">SUMPRODUCT(TRANSPOSE(FJ$9:FJ$34),$K43:$AJ43)</f>
        <v>2000</v>
      </c>
      <c r="FK43" s="12">
        <f t="array" ref="FK43">SUMPRODUCT(TRANSPOSE(FK$9:FK$34),$K43:$AJ43)</f>
        <v>2000</v>
      </c>
      <c r="FL43" s="12">
        <f t="array" ref="FL43">SUMPRODUCT(TRANSPOSE(FL$9:FL$34),$K43:$AJ43)</f>
        <v>2000</v>
      </c>
      <c r="FM43" s="12">
        <f t="array" ref="FM43">SUMPRODUCT(TRANSPOSE(FM$9:FM$34),$K43:$AJ43)</f>
        <v>2000</v>
      </c>
      <c r="FN43" s="12">
        <f t="array" ref="FN43">SUMPRODUCT(TRANSPOSE(FN$9:FN$34),$K43:$AJ43)</f>
        <v>1634</v>
      </c>
      <c r="FO43" s="12">
        <f t="array" ref="FO43">SUMPRODUCT(TRANSPOSE(FO$9:FO$34),$K43:$AJ43)</f>
        <v>0</v>
      </c>
    </row>
    <row r="44" spans="1:171" ht="14.25" x14ac:dyDescent="0.2">
      <c r="A44" s="13">
        <f t="shared" si="4"/>
        <v>9</v>
      </c>
      <c r="B44" s="13" t="s">
        <v>88</v>
      </c>
      <c r="C44" s="25" t="s">
        <v>89</v>
      </c>
      <c r="D44" s="13" t="s">
        <v>67</v>
      </c>
      <c r="E44" s="13">
        <v>414202262</v>
      </c>
      <c r="F44" s="26" t="s">
        <v>90</v>
      </c>
      <c r="G44" s="13">
        <v>401502387</v>
      </c>
      <c r="H44" s="13" t="s">
        <v>61</v>
      </c>
      <c r="I44" s="13">
        <v>2</v>
      </c>
      <c r="J44" s="13">
        <v>57</v>
      </c>
      <c r="K44" s="13">
        <v>0</v>
      </c>
      <c r="L44" s="13">
        <v>0</v>
      </c>
      <c r="M44" s="13">
        <v>0</v>
      </c>
      <c r="N44" s="13">
        <v>0</v>
      </c>
      <c r="O44" s="13">
        <v>19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19</v>
      </c>
      <c r="Y44" s="13"/>
      <c r="Z44" s="13"/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19</v>
      </c>
      <c r="AK44" s="13">
        <f t="shared" si="3"/>
        <v>38</v>
      </c>
      <c r="AL44" s="23">
        <f t="shared" si="2"/>
        <v>1346397</v>
      </c>
      <c r="AM44" s="13"/>
      <c r="AN44" s="13" t="s">
        <v>74</v>
      </c>
      <c r="AO44" s="7" t="s">
        <v>76</v>
      </c>
      <c r="AP44" s="38">
        <v>2.9000000000000001E-2</v>
      </c>
      <c r="AQ44" s="12">
        <v>1355700</v>
      </c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13"/>
      <c r="CG44" s="13"/>
      <c r="CH44" s="13"/>
      <c r="CI44" s="12"/>
      <c r="CJ44" s="12"/>
      <c r="CK44" s="12"/>
      <c r="CL44" s="12"/>
      <c r="CM44" s="12"/>
      <c r="CN44" s="12"/>
      <c r="CO44" s="12"/>
      <c r="CP44" s="12">
        <f>SUM($AQ44:BJ44)-SUM($EA44:EH44)</f>
        <v>1221503</v>
      </c>
      <c r="CQ44" s="12">
        <f>SUM($AQ44:BK44)-SUM($EA44:EI44)</f>
        <v>1213903</v>
      </c>
      <c r="CR44" s="12">
        <f>SUM($AQ44:BL44)-SUM($EA44:EJ44)</f>
        <v>1194618</v>
      </c>
      <c r="CS44" s="12">
        <f>SUM($AQ44:BM44)-SUM($EA44:EK44)</f>
        <v>1173053</v>
      </c>
      <c r="CT44" s="12">
        <f>SUM($AQ44:BN44)-SUM($EA44:EL44)</f>
        <v>1134768</v>
      </c>
      <c r="CU44" s="12">
        <f>SUM($AQ44:BO44)-SUM($EA44:EM44)</f>
        <v>1095818</v>
      </c>
      <c r="CV44" s="12">
        <f>SUM($AQ44:BP44)-SUM($EA44:EN44)</f>
        <v>1056868</v>
      </c>
      <c r="CW44" s="12">
        <f>SUM($AQ44:BQ44)-SUM($EA44:EO44)</f>
        <v>1018868</v>
      </c>
      <c r="CX44" s="12">
        <f>SUM($AQ44:BR44)-SUM($EA44:EP44)</f>
        <v>979918</v>
      </c>
      <c r="CY44" s="12">
        <f>SUM($AQ44:BS44)-SUM($EA44:EQ44)</f>
        <v>940968</v>
      </c>
      <c r="CZ44" s="12">
        <f>SUM($AQ44:BT44)-SUM($EA44:ER44)</f>
        <v>902018</v>
      </c>
      <c r="DA44" s="12">
        <f>SUM($AQ44:BU44)-SUM($EA44:ES44)</f>
        <v>863068</v>
      </c>
      <c r="DB44" s="12">
        <f>SUM($AQ44:BV44)-SUM($EA44:ET44)</f>
        <v>824118</v>
      </c>
      <c r="DC44" s="12">
        <f>SUM($AQ44:BW44)-SUM($EA44:EU44)</f>
        <v>785168</v>
      </c>
      <c r="DD44" s="12">
        <f>SUM($AQ44:BX44)-SUM($EA44:EV44)</f>
        <v>746218</v>
      </c>
      <c r="DE44" s="12">
        <f>SUM($AQ44:BY44)-SUM($EA44:EW44)</f>
        <v>708028</v>
      </c>
      <c r="DF44" s="12">
        <f>SUM($AQ44:BZ44)-SUM($EA44:EX44)</f>
        <v>670028</v>
      </c>
      <c r="DG44" s="12">
        <f>SUM($AQ44:CA44)-SUM($EA44:EY44)</f>
        <v>632028</v>
      </c>
      <c r="DH44" s="12">
        <f>SUM($AQ44:CB44)-SUM($EA44:EZ44)</f>
        <v>594028</v>
      </c>
      <c r="DI44" s="12">
        <f>SUM($AQ44:CC44)-SUM($EA44:FA44)</f>
        <v>556028</v>
      </c>
      <c r="DJ44" s="12">
        <f>SUM($AQ44:CD44)-SUM($EA44:FB44)</f>
        <v>518028</v>
      </c>
      <c r="DK44" s="12">
        <f>SUM($AQ44:CE44)-SUM($EA44:FC44)</f>
        <v>480028</v>
      </c>
      <c r="DL44" s="12">
        <f>SUM($AQ44:CF44)-SUM($EA44:FD44)</f>
        <v>442028</v>
      </c>
      <c r="DM44" s="12">
        <f>SUM($AQ44:CG44)-SUM($EA44:FE44)</f>
        <v>404028</v>
      </c>
      <c r="DN44" s="12">
        <f>SUM($AQ44:CH44)-SUM($EA44:FF44)</f>
        <v>366028</v>
      </c>
      <c r="DO44" s="12">
        <f>SUM($AQ44:CI44)-SUM($EA44:FG44)</f>
        <v>328028</v>
      </c>
      <c r="DP44" s="12">
        <f>SUM($AQ44:CJ44)-SUM($EA44:FH44)</f>
        <v>290028</v>
      </c>
      <c r="DQ44" s="12">
        <f>SUM($AQ44:CK44)-SUM($EA44:FI44)</f>
        <v>252028</v>
      </c>
      <c r="DR44" s="12">
        <f>SUM($AQ44:CL44)-SUM($EA44:FJ44)</f>
        <v>214028</v>
      </c>
      <c r="DS44" s="12">
        <f>SUM($AQ44:CM44)-SUM($EA44:FK44)</f>
        <v>176028</v>
      </c>
      <c r="DT44" s="12">
        <f>SUM($AQ44:CN44)-SUM($EA44:FL44)</f>
        <v>138028</v>
      </c>
      <c r="DU44" s="12">
        <f>SUM($AQ44:CO44)-SUM($EA44:FM44)</f>
        <v>100028</v>
      </c>
      <c r="DV44" s="12">
        <f>SUM($AQ44:CP44)-SUM($EA44:FN44)</f>
        <v>1289269</v>
      </c>
      <c r="DW44" s="12">
        <f>SUM($AQ44:CQ44)-SUM($EA44:FO44)</f>
        <v>2501709</v>
      </c>
      <c r="DX44" s="13"/>
      <c r="DY44" s="13"/>
      <c r="DZ44" s="13"/>
      <c r="EA44" s="12"/>
      <c r="EB44" s="12"/>
      <c r="EC44" s="12"/>
      <c r="ED44" s="12"/>
      <c r="EE44" s="12"/>
      <c r="EF44" s="12"/>
      <c r="EG44" s="12"/>
      <c r="EH44" s="12">
        <f t="array" ref="EH44">SUMPRODUCT(TRANSPOSE(EH$9:EH$34),$K44:$AJ44)</f>
        <v>134197</v>
      </c>
      <c r="EI44" s="12">
        <f t="array" ref="EI44">SUMPRODUCT(TRANSPOSE(EI$9:EI$34),$K44:$AJ44)</f>
        <v>7600</v>
      </c>
      <c r="EJ44" s="12">
        <f t="array" ref="EJ44">SUMPRODUCT(TRANSPOSE(EJ$9:EJ$34),$K44:$AJ44)</f>
        <v>19285</v>
      </c>
      <c r="EK44" s="12">
        <f t="array" ref="EK44">SUMPRODUCT(TRANSPOSE(EK$9:EK$34),$K44:$AJ44)</f>
        <v>21565</v>
      </c>
      <c r="EL44" s="12">
        <f t="array" ref="EL44">SUMPRODUCT(TRANSPOSE(EL$9:EL$34),$K44:$AJ44)</f>
        <v>38285</v>
      </c>
      <c r="EM44" s="12">
        <f t="array" ref="EM44">SUMPRODUCT(TRANSPOSE(EM$9:EM$34),$K44:$AJ44)</f>
        <v>38950</v>
      </c>
      <c r="EN44" s="12">
        <f t="array" ref="EN44">SUMPRODUCT(TRANSPOSE(EN$9:EN$34),$K44:$AJ44)</f>
        <v>38950</v>
      </c>
      <c r="EO44" s="12">
        <f t="array" ref="EO44">SUMPRODUCT(TRANSPOSE(EO$9:EO$34),$K44:$AJ44)</f>
        <v>38000</v>
      </c>
      <c r="EP44" s="12">
        <f t="array" ref="EP44">SUMPRODUCT(TRANSPOSE(EP$9:EP$34),$K44:$AJ44)</f>
        <v>38950</v>
      </c>
      <c r="EQ44" s="12">
        <f t="array" ref="EQ44">SUMPRODUCT(TRANSPOSE(EQ$9:EQ$34),$K44:$AJ44)</f>
        <v>38950</v>
      </c>
      <c r="ER44" s="12">
        <f t="array" ref="ER44">SUMPRODUCT(TRANSPOSE(ER$9:ER$34),$K44:$AJ44)</f>
        <v>38950</v>
      </c>
      <c r="ES44" s="12">
        <f t="array" ref="ES44">SUMPRODUCT(TRANSPOSE(ES$9:ES$34),$K44:$AJ44)</f>
        <v>38950</v>
      </c>
      <c r="ET44" s="12">
        <f t="array" ref="ET44">SUMPRODUCT(TRANSPOSE(ET$9:ET$34),$K44:$AJ44)</f>
        <v>38950</v>
      </c>
      <c r="EU44" s="12">
        <f t="array" ref="EU44">SUMPRODUCT(TRANSPOSE(EU$9:EU$34),$K44:$AJ44)</f>
        <v>38950</v>
      </c>
      <c r="EV44" s="12">
        <f t="array" ref="EV44">SUMPRODUCT(TRANSPOSE(EV$9:EV$34),$K44:$AJ44)</f>
        <v>38950</v>
      </c>
      <c r="EW44" s="12">
        <f t="array" ref="EW44">SUMPRODUCT(TRANSPOSE(EW$9:EW$34),$K44:$AJ44)</f>
        <v>38190</v>
      </c>
      <c r="EX44" s="12">
        <f t="array" ref="EX44">SUMPRODUCT(TRANSPOSE(EX$9:EX$34),$K44:$AJ44)</f>
        <v>38000</v>
      </c>
      <c r="EY44" s="12">
        <f t="array" ref="EY44">SUMPRODUCT(TRANSPOSE(EY$9:EY$34),$K44:$AJ44)</f>
        <v>38000</v>
      </c>
      <c r="EZ44" s="12">
        <f t="array" ref="EZ44">SUMPRODUCT(TRANSPOSE(EZ$9:EZ$34),$K44:$AJ44)</f>
        <v>38000</v>
      </c>
      <c r="FA44" s="12">
        <f t="array" ref="FA44">SUMPRODUCT(TRANSPOSE(FA$9:FA$34),$K44:$AJ44)</f>
        <v>38000</v>
      </c>
      <c r="FB44" s="12">
        <f t="array" ref="FB44">SUMPRODUCT(TRANSPOSE(FB$9:FB$34),$K44:$AJ44)</f>
        <v>38000</v>
      </c>
      <c r="FC44" s="12">
        <f t="array" ref="FC44">SUMPRODUCT(TRANSPOSE(FC$9:FC$34),$K44:$AJ44)</f>
        <v>38000</v>
      </c>
      <c r="FD44" s="12">
        <f t="array" ref="FD44">SUMPRODUCT(TRANSPOSE(FD$9:FD$34),$K44:$AJ44)</f>
        <v>38000</v>
      </c>
      <c r="FE44" s="12">
        <f t="array" ref="FE44">SUMPRODUCT(TRANSPOSE(FE$9:FE$34),$K44:$AJ44)</f>
        <v>38000</v>
      </c>
      <c r="FF44" s="12">
        <f t="array" ref="FF44">SUMPRODUCT(TRANSPOSE(FF$9:FF$34),$K44:$AJ44)</f>
        <v>38000</v>
      </c>
      <c r="FG44" s="12">
        <f t="array" ref="FG44">SUMPRODUCT(TRANSPOSE(FG$9:FG$34),$K44:$AJ44)</f>
        <v>38000</v>
      </c>
      <c r="FH44" s="12">
        <f t="array" ref="FH44">SUMPRODUCT(TRANSPOSE(FH$9:FH$34),$K44:$AJ44)</f>
        <v>38000</v>
      </c>
      <c r="FI44" s="12">
        <f t="array" ref="FI44">SUMPRODUCT(TRANSPOSE(FI$9:FI$34),$K44:$AJ44)</f>
        <v>38000</v>
      </c>
      <c r="FJ44" s="12">
        <f t="array" ref="FJ44">SUMPRODUCT(TRANSPOSE(FJ$9:FJ$34),$K44:$AJ44)</f>
        <v>38000</v>
      </c>
      <c r="FK44" s="12">
        <f t="array" ref="FK44">SUMPRODUCT(TRANSPOSE(FK$9:FK$34),$K44:$AJ44)</f>
        <v>38000</v>
      </c>
      <c r="FL44" s="12">
        <f t="array" ref="FL44">SUMPRODUCT(TRANSPOSE(FL$9:FL$34),$K44:$AJ44)</f>
        <v>38000</v>
      </c>
      <c r="FM44" s="12">
        <f t="array" ref="FM44">SUMPRODUCT(TRANSPOSE(FM$9:FM$34),$K44:$AJ44)</f>
        <v>38000</v>
      </c>
      <c r="FN44" s="12">
        <f t="array" ref="FN44">SUMPRODUCT(TRANSPOSE(FN$9:FN$34),$K44:$AJ44)</f>
        <v>32262</v>
      </c>
      <c r="FO44" s="12">
        <f t="array" ref="FO44">SUMPRODUCT(TRANSPOSE(FO$9:FO$34),$K44:$AJ44)</f>
        <v>1463</v>
      </c>
    </row>
    <row r="45" spans="1:171" ht="14.25" x14ac:dyDescent="0.2">
      <c r="A45" s="13">
        <f t="shared" si="4"/>
        <v>10</v>
      </c>
      <c r="B45" s="13" t="s">
        <v>91</v>
      </c>
      <c r="C45" s="25" t="s">
        <v>92</v>
      </c>
      <c r="D45" s="13" t="s">
        <v>67</v>
      </c>
      <c r="E45" s="13">
        <v>400469285</v>
      </c>
      <c r="F45" s="26" t="s">
        <v>93</v>
      </c>
      <c r="G45" s="13"/>
      <c r="H45" s="13" t="s">
        <v>61</v>
      </c>
      <c r="I45" s="13">
        <v>2</v>
      </c>
      <c r="J45" s="13">
        <v>6</v>
      </c>
      <c r="K45" s="13">
        <v>0</v>
      </c>
      <c r="L45" s="13">
        <v>2</v>
      </c>
      <c r="M45" s="13">
        <v>0</v>
      </c>
      <c r="N45" s="13">
        <v>0</v>
      </c>
      <c r="O45" s="13">
        <v>0</v>
      </c>
      <c r="P45" s="13">
        <v>0</v>
      </c>
      <c r="Q45" s="13">
        <v>2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/>
      <c r="Z45" s="13"/>
      <c r="AA45" s="13">
        <v>0</v>
      </c>
      <c r="AB45" s="13">
        <v>2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f>SUM(K45:AD45)</f>
        <v>6</v>
      </c>
      <c r="AL45" s="23">
        <f t="shared" si="2"/>
        <v>141594</v>
      </c>
      <c r="AM45" s="13"/>
      <c r="AN45" s="13" t="s">
        <v>69</v>
      </c>
      <c r="AO45" s="7" t="s">
        <v>70</v>
      </c>
      <c r="AP45" s="38">
        <v>1</v>
      </c>
      <c r="AQ45" s="12">
        <v>141942</v>
      </c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13"/>
      <c r="CG45" s="13"/>
      <c r="CH45" s="13"/>
      <c r="CI45" s="12"/>
      <c r="CJ45" s="12"/>
      <c r="CK45" s="12"/>
      <c r="CL45" s="12"/>
      <c r="CM45" s="12"/>
      <c r="CN45" s="12"/>
      <c r="CO45" s="12"/>
      <c r="CP45" s="12">
        <f>SUM($AQ45:BJ45)-SUM($EA45:EH45)</f>
        <v>129044</v>
      </c>
      <c r="CQ45" s="12">
        <f>SUM($AQ45:BK45)-SUM($EA45:EI45)</f>
        <v>127254</v>
      </c>
      <c r="CR45" s="12">
        <f>SUM($AQ45:BL45)-SUM($EA45:EJ45)</f>
        <v>125224</v>
      </c>
      <c r="CS45" s="12">
        <f>SUM($AQ45:BM45)-SUM($EA45:EK45)</f>
        <v>123154</v>
      </c>
      <c r="CT45" s="12">
        <f>SUM($AQ45:BN45)-SUM($EA45:EL45)</f>
        <v>121124</v>
      </c>
      <c r="CU45" s="12">
        <f>SUM($AQ45:BO45)-SUM($EA45:EM45)</f>
        <v>121024</v>
      </c>
      <c r="CV45" s="12">
        <f>SUM($AQ45:BP45)-SUM($EA45:EN45)</f>
        <v>119124</v>
      </c>
      <c r="CW45" s="12">
        <f>SUM($AQ45:BQ45)-SUM($EA45:EO45)</f>
        <v>117124</v>
      </c>
      <c r="CX45" s="12">
        <f>SUM($AQ45:BR45)-SUM($EA45:EP45)</f>
        <v>115024</v>
      </c>
      <c r="CY45" s="12">
        <f>SUM($AQ45:BS45)-SUM($EA45:EQ45)</f>
        <v>112924</v>
      </c>
      <c r="CZ45" s="12">
        <f>SUM($AQ45:BT45)-SUM($EA45:ER45)</f>
        <v>110824</v>
      </c>
      <c r="DA45" s="12">
        <f>SUM($AQ45:BU45)-SUM($EA45:ES45)</f>
        <v>108724</v>
      </c>
      <c r="DB45" s="12">
        <f>SUM($AQ45:BV45)-SUM($EA45:ET45)</f>
        <v>106624</v>
      </c>
      <c r="DC45" s="12">
        <f>SUM($AQ45:BW45)-SUM($EA45:EU45)</f>
        <v>104524</v>
      </c>
      <c r="DD45" s="12">
        <f>SUM($AQ45:BX45)-SUM($EA45:EV45)</f>
        <v>102424</v>
      </c>
      <c r="DE45" s="12">
        <f>SUM($AQ45:BY45)-SUM($EA45:EW45)</f>
        <v>100404</v>
      </c>
      <c r="DF45" s="12">
        <f>SUM($AQ45:BZ45)-SUM($EA45:EX45)</f>
        <v>98404</v>
      </c>
      <c r="DG45" s="12">
        <f>SUM($AQ45:CA45)-SUM($EA45:EY45)</f>
        <v>96404</v>
      </c>
      <c r="DH45" s="12">
        <f>SUM($AQ45:CB45)-SUM($EA45:EZ45)</f>
        <v>94404</v>
      </c>
      <c r="DI45" s="12">
        <f>SUM($AQ45:CC45)-SUM($EA45:FA45)</f>
        <v>92404</v>
      </c>
      <c r="DJ45" s="12">
        <f>SUM($AQ45:CD45)-SUM($EA45:FB45)</f>
        <v>90404</v>
      </c>
      <c r="DK45" s="12">
        <f>SUM($AQ45:CE45)-SUM($EA45:FC45)</f>
        <v>88404</v>
      </c>
      <c r="DL45" s="12">
        <f>SUM($AQ45:CF45)-SUM($EA45:FD45)</f>
        <v>86404</v>
      </c>
      <c r="DM45" s="12">
        <f>SUM($AQ45:CG45)-SUM($EA45:FE45)</f>
        <v>84404</v>
      </c>
      <c r="DN45" s="12">
        <f>SUM($AQ45:CH45)-SUM($EA45:FF45)</f>
        <v>82404</v>
      </c>
      <c r="DO45" s="12">
        <f>SUM($AQ45:CI45)-SUM($EA45:FG45)</f>
        <v>80404</v>
      </c>
      <c r="DP45" s="12">
        <f>SUM($AQ45:CJ45)-SUM($EA45:FH45)</f>
        <v>78404</v>
      </c>
      <c r="DQ45" s="12">
        <f>SUM($AQ45:CK45)-SUM($EA45:FI45)</f>
        <v>76404</v>
      </c>
      <c r="DR45" s="12">
        <f>SUM($AQ45:CL45)-SUM($EA45:FJ45)</f>
        <v>74404</v>
      </c>
      <c r="DS45" s="12">
        <f>SUM($AQ45:CM45)-SUM($EA45:FK45)</f>
        <v>72404</v>
      </c>
      <c r="DT45" s="12">
        <f>SUM($AQ45:CN45)-SUM($EA45:FL45)</f>
        <v>70404</v>
      </c>
      <c r="DU45" s="12">
        <f>SUM($AQ45:CO45)-SUM($EA45:FM45)</f>
        <v>68404</v>
      </c>
      <c r="DV45" s="12">
        <f>SUM($AQ45:CP45)-SUM($EA45:FN45)</f>
        <v>195448</v>
      </c>
      <c r="DW45" s="12">
        <f>SUM($AQ45:CQ45)-SUM($EA45:FO45)</f>
        <v>322614</v>
      </c>
      <c r="DX45" s="13"/>
      <c r="DY45" s="13"/>
      <c r="DZ45" s="13"/>
      <c r="EA45" s="12"/>
      <c r="EB45" s="12"/>
      <c r="EC45" s="12"/>
      <c r="ED45" s="12"/>
      <c r="EE45" s="12"/>
      <c r="EF45" s="12"/>
      <c r="EG45" s="12"/>
      <c r="EH45" s="12">
        <f t="array" ref="EH45">SUMPRODUCT(TRANSPOSE(EH$9:EH$34),$K45:$AJ45)</f>
        <v>12898</v>
      </c>
      <c r="EI45" s="12">
        <f t="array" ref="EI45">SUMPRODUCT(TRANSPOSE(EI$9:EI$34),$K45:$AJ45)</f>
        <v>1790</v>
      </c>
      <c r="EJ45" s="12">
        <f t="array" ref="EJ45">SUMPRODUCT(TRANSPOSE(EJ$9:EJ$34),$K45:$AJ45)</f>
        <v>2030</v>
      </c>
      <c r="EK45" s="12">
        <f t="array" ref="EK45">SUMPRODUCT(TRANSPOSE(EK$9:EK$34),$K45:$AJ45)</f>
        <v>2070</v>
      </c>
      <c r="EL45" s="12">
        <f t="array" ref="EL45">SUMPRODUCT(TRANSPOSE(EL$9:EL$34),$K45:$AJ45)</f>
        <v>2030</v>
      </c>
      <c r="EM45" s="12">
        <f t="array" ref="EM45">SUMPRODUCT(TRANSPOSE(EM$9:EM$34),$K45:$AJ45)</f>
        <v>100</v>
      </c>
      <c r="EN45" s="12">
        <f t="array" ref="EN45">SUMPRODUCT(TRANSPOSE(EN$9:EN$34),$K45:$AJ45)</f>
        <v>1900</v>
      </c>
      <c r="EO45" s="12">
        <f t="array" ref="EO45">SUMPRODUCT(TRANSPOSE(EO$9:EO$34),$K45:$AJ45)</f>
        <v>2000</v>
      </c>
      <c r="EP45" s="12">
        <f t="array" ref="EP45">SUMPRODUCT(TRANSPOSE(EP$9:EP$34),$K45:$AJ45)</f>
        <v>2100</v>
      </c>
      <c r="EQ45" s="12">
        <f t="array" ref="EQ45">SUMPRODUCT(TRANSPOSE(EQ$9:EQ$34),$K45:$AJ45)</f>
        <v>2100</v>
      </c>
      <c r="ER45" s="12">
        <f t="array" ref="ER45">SUMPRODUCT(TRANSPOSE(ER$9:ER$34),$K45:$AJ45)</f>
        <v>2100</v>
      </c>
      <c r="ES45" s="12">
        <f t="array" ref="ES45">SUMPRODUCT(TRANSPOSE(ES$9:ES$34),$K45:$AJ45)</f>
        <v>2100</v>
      </c>
      <c r="ET45" s="12">
        <f t="array" ref="ET45">SUMPRODUCT(TRANSPOSE(ET$9:ET$34),$K45:$AJ45)</f>
        <v>2100</v>
      </c>
      <c r="EU45" s="12">
        <f t="array" ref="EU45">SUMPRODUCT(TRANSPOSE(EU$9:EU$34),$K45:$AJ45)</f>
        <v>2100</v>
      </c>
      <c r="EV45" s="12">
        <f t="array" ref="EV45">SUMPRODUCT(TRANSPOSE(EV$9:EV$34),$K45:$AJ45)</f>
        <v>2100</v>
      </c>
      <c r="EW45" s="12">
        <f t="array" ref="EW45">SUMPRODUCT(TRANSPOSE(EW$9:EW$34),$K45:$AJ45)</f>
        <v>2020</v>
      </c>
      <c r="EX45" s="12">
        <f t="array" ref="EX45">SUMPRODUCT(TRANSPOSE(EX$9:EX$34),$K45:$AJ45)</f>
        <v>2000</v>
      </c>
      <c r="EY45" s="12">
        <f t="array" ref="EY45">SUMPRODUCT(TRANSPOSE(EY$9:EY$34),$K45:$AJ45)</f>
        <v>2000</v>
      </c>
      <c r="EZ45" s="12">
        <f t="array" ref="EZ45">SUMPRODUCT(TRANSPOSE(EZ$9:EZ$34),$K45:$AJ45)</f>
        <v>2000</v>
      </c>
      <c r="FA45" s="12">
        <f t="array" ref="FA45">SUMPRODUCT(TRANSPOSE(FA$9:FA$34),$K45:$AJ45)</f>
        <v>2000</v>
      </c>
      <c r="FB45" s="12">
        <f t="array" ref="FB45">SUMPRODUCT(TRANSPOSE(FB$9:FB$34),$K45:$AJ45)</f>
        <v>2000</v>
      </c>
      <c r="FC45" s="12">
        <f t="array" ref="FC45">SUMPRODUCT(TRANSPOSE(FC$9:FC$34),$K45:$AJ45)</f>
        <v>2000</v>
      </c>
      <c r="FD45" s="12">
        <f t="array" ref="FD45">SUMPRODUCT(TRANSPOSE(FD$9:FD$34),$K45:$AJ45)</f>
        <v>2000</v>
      </c>
      <c r="FE45" s="12">
        <f t="array" ref="FE45">SUMPRODUCT(TRANSPOSE(FE$9:FE$34),$K45:$AJ45)</f>
        <v>2000</v>
      </c>
      <c r="FF45" s="12">
        <f t="array" ref="FF45">SUMPRODUCT(TRANSPOSE(FF$9:FF$34),$K45:$AJ45)</f>
        <v>2000</v>
      </c>
      <c r="FG45" s="12">
        <f t="array" ref="FG45">SUMPRODUCT(TRANSPOSE(FG$9:FG$34),$K45:$AJ45)</f>
        <v>2000</v>
      </c>
      <c r="FH45" s="12">
        <f t="array" ref="FH45">SUMPRODUCT(TRANSPOSE(FH$9:FH$34),$K45:$AJ45)</f>
        <v>2000</v>
      </c>
      <c r="FI45" s="12">
        <f t="array" ref="FI45">SUMPRODUCT(TRANSPOSE(FI$9:FI$34),$K45:$AJ45)</f>
        <v>2000</v>
      </c>
      <c r="FJ45" s="12">
        <f t="array" ref="FJ45">SUMPRODUCT(TRANSPOSE(FJ$9:FJ$34),$K45:$AJ45)</f>
        <v>2000</v>
      </c>
      <c r="FK45" s="12">
        <f t="array" ref="FK45">SUMPRODUCT(TRANSPOSE(FK$9:FK$34),$K45:$AJ45)</f>
        <v>2000</v>
      </c>
      <c r="FL45" s="12">
        <f t="array" ref="FL45">SUMPRODUCT(TRANSPOSE(FL$9:FL$34),$K45:$AJ45)</f>
        <v>2000</v>
      </c>
      <c r="FM45" s="12">
        <f t="array" ref="FM45">SUMPRODUCT(TRANSPOSE(FM$9:FM$34),$K45:$AJ45)</f>
        <v>2000</v>
      </c>
      <c r="FN45" s="12">
        <f t="array" ref="FN45">SUMPRODUCT(TRANSPOSE(FN$9:FN$34),$K45:$AJ45)</f>
        <v>2000</v>
      </c>
      <c r="FO45" s="12">
        <f t="array" ref="FO45">SUMPRODUCT(TRANSPOSE(FO$9:FO$34),$K45:$AJ45)</f>
        <v>88</v>
      </c>
    </row>
    <row r="46" spans="1:171" ht="14.25" x14ac:dyDescent="0.2">
      <c r="A46" s="13">
        <f t="shared" si="4"/>
        <v>11</v>
      </c>
      <c r="B46" s="13" t="s">
        <v>94</v>
      </c>
      <c r="C46" s="25" t="s">
        <v>95</v>
      </c>
      <c r="D46" s="13" t="s">
        <v>67</v>
      </c>
      <c r="E46" s="13">
        <v>424270787</v>
      </c>
      <c r="F46" s="26" t="s">
        <v>96</v>
      </c>
      <c r="G46" s="13"/>
      <c r="H46" s="13" t="s">
        <v>61</v>
      </c>
      <c r="I46" s="13">
        <v>2</v>
      </c>
      <c r="J46" s="13">
        <v>8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4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/>
      <c r="Z46" s="13">
        <v>4</v>
      </c>
      <c r="AA46" s="13">
        <v>0</v>
      </c>
      <c r="AB46" s="13">
        <v>0</v>
      </c>
      <c r="AC46" s="13">
        <v>0</v>
      </c>
      <c r="AD46" s="13">
        <v>4</v>
      </c>
      <c r="AE46" s="13">
        <v>4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f>SUM(K46:AD46)</f>
        <v>12</v>
      </c>
      <c r="AL46" s="23">
        <f t="shared" si="2"/>
        <v>142660</v>
      </c>
      <c r="AM46" s="13"/>
      <c r="AN46" s="13" t="s">
        <v>97</v>
      </c>
      <c r="AO46" s="7" t="s">
        <v>98</v>
      </c>
      <c r="AP46" s="38">
        <v>0.33</v>
      </c>
      <c r="AQ46" s="12">
        <v>142000</v>
      </c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13"/>
      <c r="CG46" s="13"/>
      <c r="CH46" s="13"/>
      <c r="CI46" s="12"/>
      <c r="CJ46" s="12"/>
      <c r="CK46" s="12"/>
      <c r="CL46" s="12"/>
      <c r="CM46" s="12"/>
      <c r="CN46" s="12"/>
      <c r="CO46" s="12"/>
      <c r="CP46" s="12">
        <f>SUM($AQ46:BJ46)-SUM($EA46:EH46)</f>
        <v>129564</v>
      </c>
      <c r="CQ46" s="12">
        <f>SUM($AQ46:BK46)-SUM($EA46:EI46)</f>
        <v>128440</v>
      </c>
      <c r="CR46" s="12">
        <f>SUM($AQ46:BL46)-SUM($EA46:EJ46)</f>
        <v>128380</v>
      </c>
      <c r="CS46" s="12">
        <f>SUM($AQ46:BM46)-SUM($EA46:EK46)</f>
        <v>127840</v>
      </c>
      <c r="CT46" s="12">
        <f>SUM($AQ46:BN46)-SUM($EA46:EL46)</f>
        <v>123780</v>
      </c>
      <c r="CU46" s="12">
        <f>SUM($AQ46:BO46)-SUM($EA46:EM46)</f>
        <v>115580</v>
      </c>
      <c r="CV46" s="12">
        <f>SUM($AQ46:BP46)-SUM($EA46:EN46)</f>
        <v>110980</v>
      </c>
      <c r="CW46" s="12">
        <f>SUM($AQ46:BQ46)-SUM($EA46:EO46)</f>
        <v>106980</v>
      </c>
      <c r="CX46" s="12">
        <f>SUM($AQ46:BR46)-SUM($EA46:EP46)</f>
        <v>102780</v>
      </c>
      <c r="CY46" s="12">
        <f>SUM($AQ46:BS46)-SUM($EA46:EQ46)</f>
        <v>98580</v>
      </c>
      <c r="CZ46" s="12">
        <f>SUM($AQ46:BT46)-SUM($EA46:ER46)</f>
        <v>94380</v>
      </c>
      <c r="DA46" s="12">
        <f>SUM($AQ46:BU46)-SUM($EA46:ES46)</f>
        <v>90180</v>
      </c>
      <c r="DB46" s="12">
        <f>SUM($AQ46:BV46)-SUM($EA46:ET46)</f>
        <v>85980</v>
      </c>
      <c r="DC46" s="12">
        <f>SUM($AQ46:BW46)-SUM($EA46:EU46)</f>
        <v>81780</v>
      </c>
      <c r="DD46" s="12">
        <f>SUM($AQ46:BX46)-SUM($EA46:EV46)</f>
        <v>77580</v>
      </c>
      <c r="DE46" s="12">
        <f>SUM($AQ46:BY46)-SUM($EA46:EW46)</f>
        <v>73408</v>
      </c>
      <c r="DF46" s="12">
        <f>SUM($AQ46:BZ46)-SUM($EA46:EX46)</f>
        <v>69408</v>
      </c>
      <c r="DG46" s="12">
        <f>SUM($AQ46:CA46)-SUM($EA46:EY46)</f>
        <v>65408</v>
      </c>
      <c r="DH46" s="12">
        <f>SUM($AQ46:CB46)-SUM($EA46:EZ46)</f>
        <v>61408</v>
      </c>
      <c r="DI46" s="12">
        <f>SUM($AQ46:CC46)-SUM($EA46:FA46)</f>
        <v>57408</v>
      </c>
      <c r="DJ46" s="12">
        <f>SUM($AQ46:CD46)-SUM($EA46:FB46)</f>
        <v>53408</v>
      </c>
      <c r="DK46" s="12">
        <f>SUM($AQ46:CE46)-SUM($EA46:FC46)</f>
        <v>49408</v>
      </c>
      <c r="DL46" s="12">
        <f>SUM($AQ46:CF46)-SUM($EA46:FD46)</f>
        <v>45408</v>
      </c>
      <c r="DM46" s="12">
        <f>SUM($AQ46:CG46)-SUM($EA46:FE46)</f>
        <v>41408</v>
      </c>
      <c r="DN46" s="12">
        <f>SUM($AQ46:CH46)-SUM($EA46:FF46)</f>
        <v>37408</v>
      </c>
      <c r="DO46" s="12">
        <f>SUM($AQ46:CI46)-SUM($EA46:FG46)</f>
        <v>33408</v>
      </c>
      <c r="DP46" s="12">
        <f>SUM($AQ46:CJ46)-SUM($EA46:FH46)</f>
        <v>29408</v>
      </c>
      <c r="DQ46" s="12">
        <f>SUM($AQ46:CK46)-SUM($EA46:FI46)</f>
        <v>25408</v>
      </c>
      <c r="DR46" s="12">
        <f>SUM($AQ46:CL46)-SUM($EA46:FJ46)</f>
        <v>21408</v>
      </c>
      <c r="DS46" s="12">
        <f>SUM($AQ46:CM46)-SUM($EA46:FK46)</f>
        <v>17408</v>
      </c>
      <c r="DT46" s="12">
        <f>SUM($AQ46:CN46)-SUM($EA46:FL46)</f>
        <v>13408</v>
      </c>
      <c r="DU46" s="12">
        <f>SUM($AQ46:CO46)-SUM($EA46:FM46)</f>
        <v>9408</v>
      </c>
      <c r="DV46" s="12">
        <f>SUM($AQ46:CP46)-SUM($EA46:FN46)</f>
        <v>135704</v>
      </c>
      <c r="DW46" s="12">
        <f>SUM($AQ46:CQ46)-SUM($EA46:FO46)</f>
        <v>264144</v>
      </c>
      <c r="DX46" s="13"/>
      <c r="DY46" s="13"/>
      <c r="DZ46" s="13"/>
      <c r="EA46" s="12"/>
      <c r="EB46" s="12"/>
      <c r="EC46" s="12"/>
      <c r="ED46" s="12"/>
      <c r="EE46" s="12"/>
      <c r="EF46" s="12"/>
      <c r="EG46" s="12"/>
      <c r="EH46" s="12">
        <f t="array" ref="EH46">SUMPRODUCT(TRANSPOSE(EH$9:EH$34),$K46:$AJ46)</f>
        <v>12436</v>
      </c>
      <c r="EI46" s="12">
        <f t="array" ref="EI46">SUMPRODUCT(TRANSPOSE(EI$9:EI$34),$K46:$AJ46)</f>
        <v>1124</v>
      </c>
      <c r="EJ46" s="12">
        <f t="array" ref="EJ46">SUMPRODUCT(TRANSPOSE(EJ$9:EJ$34),$K46:$AJ46)</f>
        <v>60</v>
      </c>
      <c r="EK46" s="12">
        <f t="array" ref="EK46">SUMPRODUCT(TRANSPOSE(EK$9:EK$34),$K46:$AJ46)</f>
        <v>540</v>
      </c>
      <c r="EL46" s="12">
        <f t="array" ref="EL46">SUMPRODUCT(TRANSPOSE(EL$9:EL$34),$K46:$AJ46)</f>
        <v>4060</v>
      </c>
      <c r="EM46" s="12">
        <f t="array" ref="EM46">SUMPRODUCT(TRANSPOSE(EM$9:EM$34),$K46:$AJ46)</f>
        <v>8200</v>
      </c>
      <c r="EN46" s="12">
        <f t="array" ref="EN46">SUMPRODUCT(TRANSPOSE(EN$9:EN$34),$K46:$AJ46)</f>
        <v>4600</v>
      </c>
      <c r="EO46" s="12">
        <f t="array" ref="EO46">SUMPRODUCT(TRANSPOSE(EO$9:EO$34),$K46:$AJ46)</f>
        <v>4000</v>
      </c>
      <c r="EP46" s="12">
        <f t="array" ref="EP46">SUMPRODUCT(TRANSPOSE(EP$9:EP$34),$K46:$AJ46)</f>
        <v>4200</v>
      </c>
      <c r="EQ46" s="12">
        <f t="array" ref="EQ46">SUMPRODUCT(TRANSPOSE(EQ$9:EQ$34),$K46:$AJ46)</f>
        <v>4200</v>
      </c>
      <c r="ER46" s="12">
        <f t="array" ref="ER46">SUMPRODUCT(TRANSPOSE(ER$9:ER$34),$K46:$AJ46)</f>
        <v>4200</v>
      </c>
      <c r="ES46" s="12">
        <f t="array" ref="ES46">SUMPRODUCT(TRANSPOSE(ES$9:ES$34),$K46:$AJ46)</f>
        <v>4200</v>
      </c>
      <c r="ET46" s="12">
        <f t="array" ref="ET46">SUMPRODUCT(TRANSPOSE(ET$9:ET$34),$K46:$AJ46)</f>
        <v>4200</v>
      </c>
      <c r="EU46" s="12">
        <f t="array" ref="EU46">SUMPRODUCT(TRANSPOSE(EU$9:EU$34),$K46:$AJ46)</f>
        <v>4200</v>
      </c>
      <c r="EV46" s="12">
        <f t="array" ref="EV46">SUMPRODUCT(TRANSPOSE(EV$9:EV$34),$K46:$AJ46)</f>
        <v>4200</v>
      </c>
      <c r="EW46" s="12">
        <f t="array" ref="EW46">SUMPRODUCT(TRANSPOSE(EW$9:EW$34),$K46:$AJ46)</f>
        <v>4172</v>
      </c>
      <c r="EX46" s="12">
        <f t="array" ref="EX46">SUMPRODUCT(TRANSPOSE(EX$9:EX$34),$K46:$AJ46)</f>
        <v>4000</v>
      </c>
      <c r="EY46" s="12">
        <f t="array" ref="EY46">SUMPRODUCT(TRANSPOSE(EY$9:EY$34),$K46:$AJ46)</f>
        <v>4000</v>
      </c>
      <c r="EZ46" s="12">
        <f t="array" ref="EZ46">SUMPRODUCT(TRANSPOSE(EZ$9:EZ$34),$K46:$AJ46)</f>
        <v>4000</v>
      </c>
      <c r="FA46" s="12">
        <f t="array" ref="FA46">SUMPRODUCT(TRANSPOSE(FA$9:FA$34),$K46:$AJ46)</f>
        <v>4000</v>
      </c>
      <c r="FB46" s="12">
        <f t="array" ref="FB46">SUMPRODUCT(TRANSPOSE(FB$9:FB$34),$K46:$AJ46)</f>
        <v>4000</v>
      </c>
      <c r="FC46" s="12">
        <f t="array" ref="FC46">SUMPRODUCT(TRANSPOSE(FC$9:FC$34),$K46:$AJ46)</f>
        <v>4000</v>
      </c>
      <c r="FD46" s="12">
        <f t="array" ref="FD46">SUMPRODUCT(TRANSPOSE(FD$9:FD$34),$K46:$AJ46)</f>
        <v>4000</v>
      </c>
      <c r="FE46" s="12">
        <f t="array" ref="FE46">SUMPRODUCT(TRANSPOSE(FE$9:FE$34),$K46:$AJ46)</f>
        <v>4000</v>
      </c>
      <c r="FF46" s="12">
        <f t="array" ref="FF46">SUMPRODUCT(TRANSPOSE(FF$9:FF$34),$K46:$AJ46)</f>
        <v>4000</v>
      </c>
      <c r="FG46" s="12">
        <f t="array" ref="FG46">SUMPRODUCT(TRANSPOSE(FG$9:FG$34),$K46:$AJ46)</f>
        <v>4000</v>
      </c>
      <c r="FH46" s="12">
        <f t="array" ref="FH46">SUMPRODUCT(TRANSPOSE(FH$9:FH$34),$K46:$AJ46)</f>
        <v>4000</v>
      </c>
      <c r="FI46" s="12">
        <f t="array" ref="FI46">SUMPRODUCT(TRANSPOSE(FI$9:FI$34),$K46:$AJ46)</f>
        <v>4000</v>
      </c>
      <c r="FJ46" s="12">
        <f t="array" ref="FJ46">SUMPRODUCT(TRANSPOSE(FJ$9:FJ$34),$K46:$AJ46)</f>
        <v>4000</v>
      </c>
      <c r="FK46" s="12">
        <f t="array" ref="FK46">SUMPRODUCT(TRANSPOSE(FK$9:FK$34),$K46:$AJ46)</f>
        <v>4000</v>
      </c>
      <c r="FL46" s="12">
        <f t="array" ref="FL46">SUMPRODUCT(TRANSPOSE(FL$9:FL$34),$K46:$AJ46)</f>
        <v>4000</v>
      </c>
      <c r="FM46" s="12">
        <f t="array" ref="FM46">SUMPRODUCT(TRANSPOSE(FM$9:FM$34),$K46:$AJ46)</f>
        <v>4000</v>
      </c>
      <c r="FN46" s="12">
        <f t="array" ref="FN46">SUMPRODUCT(TRANSPOSE(FN$9:FN$34),$K46:$AJ46)</f>
        <v>3268</v>
      </c>
      <c r="FO46" s="12">
        <f t="array" ref="FO46">SUMPRODUCT(TRANSPOSE(FO$9:FO$34),$K46:$AJ46)</f>
        <v>0</v>
      </c>
    </row>
    <row r="47" spans="1:171" ht="14.25" x14ac:dyDescent="0.2">
      <c r="A47" s="13">
        <f t="shared" si="4"/>
        <v>12</v>
      </c>
      <c r="B47" s="13" t="s">
        <v>99</v>
      </c>
      <c r="C47" s="25" t="s">
        <v>100</v>
      </c>
      <c r="D47" s="13" t="s">
        <v>67</v>
      </c>
      <c r="E47" s="13">
        <v>417983168</v>
      </c>
      <c r="F47" s="26" t="s">
        <v>101</v>
      </c>
      <c r="G47" s="13">
        <v>403846606</v>
      </c>
      <c r="H47" s="13" t="s">
        <v>61</v>
      </c>
      <c r="I47" s="13">
        <v>2</v>
      </c>
      <c r="J47" s="13">
        <v>43</v>
      </c>
      <c r="K47" s="13">
        <v>0</v>
      </c>
      <c r="L47" s="13">
        <v>0</v>
      </c>
      <c r="M47" s="13">
        <v>0</v>
      </c>
      <c r="N47" s="13">
        <v>10</v>
      </c>
      <c r="O47" s="13">
        <v>3</v>
      </c>
      <c r="P47" s="13">
        <v>0</v>
      </c>
      <c r="Q47" s="13">
        <v>0</v>
      </c>
      <c r="R47" s="13">
        <v>0</v>
      </c>
      <c r="S47" s="13">
        <v>12</v>
      </c>
      <c r="T47" s="13">
        <v>0</v>
      </c>
      <c r="U47" s="13">
        <v>0</v>
      </c>
      <c r="V47" s="13">
        <v>0</v>
      </c>
      <c r="W47" s="13">
        <v>0</v>
      </c>
      <c r="X47" s="13">
        <v>3</v>
      </c>
      <c r="Y47" s="13"/>
      <c r="Z47" s="13">
        <v>10</v>
      </c>
      <c r="AA47" s="13">
        <v>0</v>
      </c>
      <c r="AB47" s="13">
        <v>0</v>
      </c>
      <c r="AC47" s="13">
        <v>0</v>
      </c>
      <c r="AD47" s="13">
        <v>12</v>
      </c>
      <c r="AE47" s="13">
        <v>12</v>
      </c>
      <c r="AF47" s="13">
        <v>0</v>
      </c>
      <c r="AG47" s="13">
        <v>0</v>
      </c>
      <c r="AH47" s="13">
        <v>0</v>
      </c>
      <c r="AI47" s="13">
        <v>0</v>
      </c>
      <c r="AJ47" s="13">
        <v>3</v>
      </c>
      <c r="AK47" s="13">
        <f t="shared" si="3"/>
        <v>50</v>
      </c>
      <c r="AL47" s="23">
        <f t="shared" si="2"/>
        <v>929645</v>
      </c>
      <c r="AM47" s="13"/>
      <c r="AN47" s="13" t="s">
        <v>97</v>
      </c>
      <c r="AO47" s="7" t="s">
        <v>98</v>
      </c>
      <c r="AP47" s="45">
        <v>0.32</v>
      </c>
      <c r="AQ47" s="12">
        <v>253500</v>
      </c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13"/>
      <c r="CG47" s="13"/>
      <c r="CH47" s="13"/>
      <c r="CI47" s="12"/>
      <c r="CJ47" s="12"/>
      <c r="CK47" s="12"/>
      <c r="CL47" s="12"/>
      <c r="CM47" s="12"/>
      <c r="CN47" s="12"/>
      <c r="CO47" s="12"/>
      <c r="CP47" s="12">
        <f>SUM($AQ47:BJ47)-SUM($EA47:EH47)</f>
        <v>155463</v>
      </c>
      <c r="CQ47" s="12">
        <f>SUM($AQ47:BK47)-SUM($EA47:EI47)</f>
        <v>150891</v>
      </c>
      <c r="CR47" s="12">
        <f>SUM($AQ47:BL47)-SUM($EA47:EJ47)</f>
        <v>137666</v>
      </c>
      <c r="CS47" s="12">
        <f>SUM($AQ47:BM47)-SUM($EA47:EK47)</f>
        <v>122841</v>
      </c>
      <c r="CT47" s="12">
        <f>SUM($AQ47:BN47)-SUM($EA47:EL47)</f>
        <v>96616</v>
      </c>
      <c r="CU47" s="12">
        <f>SUM($AQ47:BO47)-SUM($EA47:EM47)</f>
        <v>69866</v>
      </c>
      <c r="CV47" s="12">
        <f>SUM($AQ47:BP47)-SUM($EA47:EN47)</f>
        <v>43116</v>
      </c>
      <c r="CW47" s="12">
        <f>SUM($AQ47:BQ47)-SUM($EA47:EO47)</f>
        <v>17116</v>
      </c>
      <c r="CX47" s="12">
        <f>SUM($AQ47:BR47)-SUM($EA47:EP47)</f>
        <v>-9634</v>
      </c>
      <c r="CY47" s="12">
        <f>SUM($AQ47:BS47)-SUM($EA47:EQ47)</f>
        <v>-36384</v>
      </c>
      <c r="CZ47" s="12">
        <f>SUM($AQ47:BT47)-SUM($EA47:ER47)</f>
        <v>-63134</v>
      </c>
      <c r="DA47" s="12">
        <f>SUM($AQ47:BU47)-SUM($EA47:ES47)</f>
        <v>-89884</v>
      </c>
      <c r="DB47" s="12">
        <f>SUM($AQ47:BV47)-SUM($EA47:ET47)</f>
        <v>-116634</v>
      </c>
      <c r="DC47" s="12">
        <f>SUM($AQ47:BW47)-SUM($EA47:EU47)</f>
        <v>-143384</v>
      </c>
      <c r="DD47" s="12">
        <f>SUM($AQ47:BX47)-SUM($EA47:EV47)</f>
        <v>-170134</v>
      </c>
      <c r="DE47" s="12">
        <f>SUM($AQ47:BY47)-SUM($EA47:EW47)</f>
        <v>-196680</v>
      </c>
      <c r="DF47" s="12">
        <f>SUM($AQ47:BZ47)-SUM($EA47:EX47)</f>
        <v>-222680</v>
      </c>
      <c r="DG47" s="12">
        <f>SUM($AQ47:CA47)-SUM($EA47:EY47)</f>
        <v>-248680</v>
      </c>
      <c r="DH47" s="12">
        <f>SUM($AQ47:CB47)-SUM($EA47:EZ47)</f>
        <v>-274680</v>
      </c>
      <c r="DI47" s="12">
        <f>SUM($AQ47:CC47)-SUM($EA47:FA47)</f>
        <v>-300680</v>
      </c>
      <c r="DJ47" s="12">
        <f>SUM($AQ47:CD47)-SUM($EA47:FB47)</f>
        <v>-326680</v>
      </c>
      <c r="DK47" s="12">
        <f>SUM($AQ47:CE47)-SUM($EA47:FC47)</f>
        <v>-352680</v>
      </c>
      <c r="DL47" s="12">
        <f>SUM($AQ47:CF47)-SUM($EA47:FD47)</f>
        <v>-378680</v>
      </c>
      <c r="DM47" s="12">
        <f>SUM($AQ47:CG47)-SUM($EA47:FE47)</f>
        <v>-404680</v>
      </c>
      <c r="DN47" s="12">
        <f>SUM($AQ47:CH47)-SUM($EA47:FF47)</f>
        <v>-430680</v>
      </c>
      <c r="DO47" s="12">
        <f>SUM($AQ47:CI47)-SUM($EA47:FG47)</f>
        <v>-456680</v>
      </c>
      <c r="DP47" s="12">
        <f>SUM($AQ47:CJ47)-SUM($EA47:FH47)</f>
        <v>-482680</v>
      </c>
      <c r="DQ47" s="12">
        <f>SUM($AQ47:CK47)-SUM($EA47:FI47)</f>
        <v>-508680</v>
      </c>
      <c r="DR47" s="12">
        <f>SUM($AQ47:CL47)-SUM($EA47:FJ47)</f>
        <v>-534680</v>
      </c>
      <c r="DS47" s="12">
        <f>SUM($AQ47:CM47)-SUM($EA47:FK47)</f>
        <v>-560680</v>
      </c>
      <c r="DT47" s="12">
        <f>SUM($AQ47:CN47)-SUM($EA47:FL47)</f>
        <v>-586680</v>
      </c>
      <c r="DU47" s="12">
        <f>SUM($AQ47:CO47)-SUM($EA47:FM47)</f>
        <v>-612680</v>
      </c>
      <c r="DV47" s="12">
        <f>SUM($AQ47:CP47)-SUM($EA47:FN47)</f>
        <v>-480481</v>
      </c>
      <c r="DW47" s="12">
        <f>SUM($AQ47:CQ47)-SUM($EA47:FO47)</f>
        <v>-330591</v>
      </c>
      <c r="DX47" s="13"/>
      <c r="DY47" s="13"/>
      <c r="DZ47" s="13"/>
      <c r="EA47" s="12"/>
      <c r="EB47" s="12"/>
      <c r="EC47" s="12"/>
      <c r="ED47" s="12"/>
      <c r="EE47" s="12"/>
      <c r="EF47" s="12"/>
      <c r="EG47" s="12"/>
      <c r="EH47" s="12">
        <f t="array" ref="EH47">SUMPRODUCT(TRANSPOSE(EH$9:EH$34),$K47:$AJ47)</f>
        <v>98037</v>
      </c>
      <c r="EI47" s="12">
        <f t="array" ref="EI47">SUMPRODUCT(TRANSPOSE(EI$9:EI$34),$K47:$AJ47)</f>
        <v>4572</v>
      </c>
      <c r="EJ47" s="12">
        <f t="array" ref="EJ47">SUMPRODUCT(TRANSPOSE(EJ$9:EJ$34),$K47:$AJ47)</f>
        <v>13225</v>
      </c>
      <c r="EK47" s="12">
        <f t="array" ref="EK47">SUMPRODUCT(TRANSPOSE(EK$9:EK$34),$K47:$AJ47)</f>
        <v>14825</v>
      </c>
      <c r="EL47" s="12">
        <f t="array" ref="EL47">SUMPRODUCT(TRANSPOSE(EL$9:EL$34),$K47:$AJ47)</f>
        <v>26225</v>
      </c>
      <c r="EM47" s="12">
        <f t="array" ref="EM47">SUMPRODUCT(TRANSPOSE(EM$9:EM$34),$K47:$AJ47)</f>
        <v>26750</v>
      </c>
      <c r="EN47" s="12">
        <f t="array" ref="EN47">SUMPRODUCT(TRANSPOSE(EN$9:EN$34),$K47:$AJ47)</f>
        <v>26750</v>
      </c>
      <c r="EO47" s="12">
        <f t="array" ref="EO47">SUMPRODUCT(TRANSPOSE(EO$9:EO$34),$K47:$AJ47)</f>
        <v>26000</v>
      </c>
      <c r="EP47" s="12">
        <f t="array" ref="EP47">SUMPRODUCT(TRANSPOSE(EP$9:EP$34),$K47:$AJ47)</f>
        <v>26750</v>
      </c>
      <c r="EQ47" s="12">
        <f t="array" ref="EQ47">SUMPRODUCT(TRANSPOSE(EQ$9:EQ$34),$K47:$AJ47)</f>
        <v>26750</v>
      </c>
      <c r="ER47" s="12">
        <f t="array" ref="ER47">SUMPRODUCT(TRANSPOSE(ER$9:ER$34),$K47:$AJ47)</f>
        <v>26750</v>
      </c>
      <c r="ES47" s="12">
        <f t="array" ref="ES47">SUMPRODUCT(TRANSPOSE(ES$9:ES$34),$K47:$AJ47)</f>
        <v>26750</v>
      </c>
      <c r="ET47" s="12">
        <f t="array" ref="ET47">SUMPRODUCT(TRANSPOSE(ET$9:ET$34),$K47:$AJ47)</f>
        <v>26750</v>
      </c>
      <c r="EU47" s="12">
        <f t="array" ref="EU47">SUMPRODUCT(TRANSPOSE(EU$9:EU$34),$K47:$AJ47)</f>
        <v>26750</v>
      </c>
      <c r="EV47" s="12">
        <f t="array" ref="EV47">SUMPRODUCT(TRANSPOSE(EV$9:EV$34),$K47:$AJ47)</f>
        <v>26750</v>
      </c>
      <c r="EW47" s="12">
        <f t="array" ref="EW47">SUMPRODUCT(TRANSPOSE(EW$9:EW$34),$K47:$AJ47)</f>
        <v>26546</v>
      </c>
      <c r="EX47" s="12">
        <f t="array" ref="EX47">SUMPRODUCT(TRANSPOSE(EX$9:EX$34),$K47:$AJ47)</f>
        <v>26000</v>
      </c>
      <c r="EY47" s="12">
        <f t="array" ref="EY47">SUMPRODUCT(TRANSPOSE(EY$9:EY$34),$K47:$AJ47)</f>
        <v>26000</v>
      </c>
      <c r="EZ47" s="12">
        <f t="array" ref="EZ47">SUMPRODUCT(TRANSPOSE(EZ$9:EZ$34),$K47:$AJ47)</f>
        <v>26000</v>
      </c>
      <c r="FA47" s="12">
        <f t="array" ref="FA47">SUMPRODUCT(TRANSPOSE(FA$9:FA$34),$K47:$AJ47)</f>
        <v>26000</v>
      </c>
      <c r="FB47" s="12">
        <f t="array" ref="FB47">SUMPRODUCT(TRANSPOSE(FB$9:FB$34),$K47:$AJ47)</f>
        <v>26000</v>
      </c>
      <c r="FC47" s="12">
        <f t="array" ref="FC47">SUMPRODUCT(TRANSPOSE(FC$9:FC$34),$K47:$AJ47)</f>
        <v>26000</v>
      </c>
      <c r="FD47" s="12">
        <f t="array" ref="FD47">SUMPRODUCT(TRANSPOSE(FD$9:FD$34),$K47:$AJ47)</f>
        <v>26000</v>
      </c>
      <c r="FE47" s="12">
        <f t="array" ref="FE47">SUMPRODUCT(TRANSPOSE(FE$9:FE$34),$K47:$AJ47)</f>
        <v>26000</v>
      </c>
      <c r="FF47" s="12">
        <f t="array" ref="FF47">SUMPRODUCT(TRANSPOSE(FF$9:FF$34),$K47:$AJ47)</f>
        <v>26000</v>
      </c>
      <c r="FG47" s="12">
        <f t="array" ref="FG47">SUMPRODUCT(TRANSPOSE(FG$9:FG$34),$K47:$AJ47)</f>
        <v>26000</v>
      </c>
      <c r="FH47" s="12">
        <f t="array" ref="FH47">SUMPRODUCT(TRANSPOSE(FH$9:FH$34),$K47:$AJ47)</f>
        <v>26000</v>
      </c>
      <c r="FI47" s="12">
        <f t="array" ref="FI47">SUMPRODUCT(TRANSPOSE(FI$9:FI$34),$K47:$AJ47)</f>
        <v>26000</v>
      </c>
      <c r="FJ47" s="12">
        <f t="array" ref="FJ47">SUMPRODUCT(TRANSPOSE(FJ$9:FJ$34),$K47:$AJ47)</f>
        <v>26000</v>
      </c>
      <c r="FK47" s="12">
        <f t="array" ref="FK47">SUMPRODUCT(TRANSPOSE(FK$9:FK$34),$K47:$AJ47)</f>
        <v>26000</v>
      </c>
      <c r="FL47" s="12">
        <f t="array" ref="FL47">SUMPRODUCT(TRANSPOSE(FL$9:FL$34),$K47:$AJ47)</f>
        <v>26000</v>
      </c>
      <c r="FM47" s="12">
        <f t="array" ref="FM47">SUMPRODUCT(TRANSPOSE(FM$9:FM$34),$K47:$AJ47)</f>
        <v>26000</v>
      </c>
      <c r="FN47" s="12">
        <f t="array" ref="FN47">SUMPRODUCT(TRANSPOSE(FN$9:FN$34),$K47:$AJ47)</f>
        <v>23264</v>
      </c>
      <c r="FO47" s="12">
        <f t="array" ref="FO47">SUMPRODUCT(TRANSPOSE(FO$9:FO$34),$K47:$AJ47)</f>
        <v>1001</v>
      </c>
    </row>
    <row r="48" spans="1:171" ht="14.25" x14ac:dyDescent="0.2">
      <c r="A48" s="13">
        <f t="shared" si="4"/>
        <v>13</v>
      </c>
      <c r="B48" s="13" t="s">
        <v>102</v>
      </c>
      <c r="C48" s="25" t="s">
        <v>103</v>
      </c>
      <c r="D48" s="13" t="s">
        <v>60</v>
      </c>
      <c r="E48" s="13">
        <v>401548139</v>
      </c>
      <c r="F48" s="26" t="s">
        <v>104</v>
      </c>
      <c r="G48" s="13"/>
      <c r="H48" s="13" t="s">
        <v>61</v>
      </c>
      <c r="I48" s="13">
        <v>1</v>
      </c>
      <c r="J48" s="13">
        <v>4</v>
      </c>
      <c r="K48" s="13">
        <v>0</v>
      </c>
      <c r="L48" s="13">
        <v>0</v>
      </c>
      <c r="M48" s="13">
        <v>0</v>
      </c>
      <c r="N48" s="13">
        <v>2</v>
      </c>
      <c r="O48" s="13">
        <v>0</v>
      </c>
      <c r="P48" s="13">
        <v>0</v>
      </c>
      <c r="Q48" s="13">
        <v>0</v>
      </c>
      <c r="R48" s="13">
        <v>0</v>
      </c>
      <c r="S48" s="13">
        <v>2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/>
      <c r="Z48" s="13">
        <v>2</v>
      </c>
      <c r="AA48" s="13">
        <v>0</v>
      </c>
      <c r="AB48" s="13">
        <v>0</v>
      </c>
      <c r="AC48" s="13">
        <v>0</v>
      </c>
      <c r="AD48" s="31">
        <v>2</v>
      </c>
      <c r="AE48" s="31">
        <v>2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f t="shared" si="3"/>
        <v>8</v>
      </c>
      <c r="AL48" s="23">
        <f t="shared" si="2"/>
        <v>141792</v>
      </c>
      <c r="AM48" s="13"/>
      <c r="AN48" s="13" t="s">
        <v>105</v>
      </c>
      <c r="AO48" s="7" t="s">
        <v>106</v>
      </c>
      <c r="AP48" s="41">
        <v>3.85</v>
      </c>
      <c r="AQ48" s="12">
        <v>45569</v>
      </c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13"/>
      <c r="CG48" s="13"/>
      <c r="CH48" s="13"/>
      <c r="CI48" s="12"/>
      <c r="CJ48" s="12"/>
      <c r="CK48" s="12"/>
      <c r="CL48" s="12"/>
      <c r="CM48" s="12"/>
      <c r="CN48" s="12"/>
      <c r="CO48" s="12"/>
      <c r="CP48" s="12">
        <f>SUM($AQ48:BJ48)-SUM($EA48:EH48)</f>
        <v>31443</v>
      </c>
      <c r="CQ48" s="12">
        <f>SUM($AQ48:BK48)-SUM($EA48:EI48)</f>
        <v>30881</v>
      </c>
      <c r="CR48" s="12">
        <f>SUM($AQ48:BL48)-SUM($EA48:EJ48)</f>
        <v>28851</v>
      </c>
      <c r="CS48" s="12">
        <f>SUM($AQ48:BM48)-SUM($EA48:EK48)</f>
        <v>26581</v>
      </c>
      <c r="CT48" s="12">
        <f>SUM($AQ48:BN48)-SUM($EA48:EL48)</f>
        <v>22551</v>
      </c>
      <c r="CU48" s="12">
        <f>SUM($AQ48:BO48)-SUM($EA48:EM48)</f>
        <v>18451</v>
      </c>
      <c r="CV48" s="12">
        <f>SUM($AQ48:BP48)-SUM($EA48:EN48)</f>
        <v>14351</v>
      </c>
      <c r="CW48" s="12">
        <f>SUM($AQ48:BQ48)-SUM($EA48:EO48)</f>
        <v>10351</v>
      </c>
      <c r="CX48" s="12">
        <f>SUM($AQ48:BR48)-SUM($EA48:EP48)</f>
        <v>6251</v>
      </c>
      <c r="CY48" s="12">
        <f>SUM($AQ48:BS48)-SUM($EA48:EQ48)</f>
        <v>2151</v>
      </c>
      <c r="CZ48" s="12">
        <f>SUM($AQ48:BT48)-SUM($EA48:ER48)</f>
        <v>-1949</v>
      </c>
      <c r="DA48" s="12">
        <f>SUM($AQ48:BU48)-SUM($EA48:ES48)</f>
        <v>-6049</v>
      </c>
      <c r="DB48" s="12">
        <f>SUM($AQ48:BV48)-SUM($EA48:ET48)</f>
        <v>-10149</v>
      </c>
      <c r="DC48" s="12">
        <f>SUM($AQ48:BW48)-SUM($EA48:EU48)</f>
        <v>-14249</v>
      </c>
      <c r="DD48" s="12">
        <f>SUM($AQ48:BX48)-SUM($EA48:EV48)</f>
        <v>-18349</v>
      </c>
      <c r="DE48" s="12">
        <f>SUM($AQ48:BY48)-SUM($EA48:EW48)</f>
        <v>-22435</v>
      </c>
      <c r="DF48" s="12">
        <f>SUM($AQ48:BZ48)-SUM($EA48:EX48)</f>
        <v>-26435</v>
      </c>
      <c r="DG48" s="12">
        <f>SUM($AQ48:CA48)-SUM($EA48:EY48)</f>
        <v>-30435</v>
      </c>
      <c r="DH48" s="12">
        <f>SUM($AQ48:CB48)-SUM($EA48:EZ48)</f>
        <v>-34435</v>
      </c>
      <c r="DI48" s="12">
        <f>SUM($AQ48:CC48)-SUM($EA48:FA48)</f>
        <v>-38435</v>
      </c>
      <c r="DJ48" s="12">
        <f>SUM($AQ48:CD48)-SUM($EA48:FB48)</f>
        <v>-42435</v>
      </c>
      <c r="DK48" s="12">
        <f>SUM($AQ48:CE48)-SUM($EA48:FC48)</f>
        <v>-46435</v>
      </c>
      <c r="DL48" s="12">
        <f>SUM($AQ48:CF48)-SUM($EA48:FD48)</f>
        <v>-50435</v>
      </c>
      <c r="DM48" s="12">
        <f>SUM($AQ48:CG48)-SUM($EA48:FE48)</f>
        <v>-54435</v>
      </c>
      <c r="DN48" s="12">
        <f>SUM($AQ48:CH48)-SUM($EA48:FF48)</f>
        <v>-58435</v>
      </c>
      <c r="DO48" s="12">
        <f>SUM($AQ48:CI48)-SUM($EA48:FG48)</f>
        <v>-62435</v>
      </c>
      <c r="DP48" s="12">
        <f>SUM($AQ48:CJ48)-SUM($EA48:FH48)</f>
        <v>-66435</v>
      </c>
      <c r="DQ48" s="12">
        <f>SUM($AQ48:CK48)-SUM($EA48:FI48)</f>
        <v>-70435</v>
      </c>
      <c r="DR48" s="12">
        <f>SUM($AQ48:CL48)-SUM($EA48:FJ48)</f>
        <v>-74435</v>
      </c>
      <c r="DS48" s="12">
        <f>SUM($AQ48:CM48)-SUM($EA48:FK48)</f>
        <v>-78435</v>
      </c>
      <c r="DT48" s="12">
        <f>SUM($AQ48:CN48)-SUM($EA48:FL48)</f>
        <v>-82435</v>
      </c>
      <c r="DU48" s="12">
        <f>SUM($AQ48:CO48)-SUM($EA48:FM48)</f>
        <v>-86435</v>
      </c>
      <c r="DV48" s="12">
        <f>SUM($AQ48:CP48)-SUM($EA48:FN48)</f>
        <v>-58626</v>
      </c>
      <c r="DW48" s="12">
        <f>SUM($AQ48:CQ48)-SUM($EA48:FO48)</f>
        <v>-27899</v>
      </c>
      <c r="DX48" s="13"/>
      <c r="DY48" s="13"/>
      <c r="DZ48" s="13"/>
      <c r="EA48" s="12"/>
      <c r="EB48" s="12"/>
      <c r="EC48" s="12"/>
      <c r="ED48" s="12"/>
      <c r="EE48" s="12"/>
      <c r="EF48" s="12"/>
      <c r="EG48" s="12"/>
      <c r="EH48" s="12">
        <f t="array" ref="EH48">SUMPRODUCT(TRANSPOSE(EH$9:EH$34),$K48:$AJ48)</f>
        <v>14126</v>
      </c>
      <c r="EI48" s="12">
        <f t="array" ref="EI48">SUMPRODUCT(TRANSPOSE(EI$9:EI$34),$K48:$AJ48)</f>
        <v>562</v>
      </c>
      <c r="EJ48" s="12">
        <f t="array" ref="EJ48">SUMPRODUCT(TRANSPOSE(EJ$9:EJ$34),$K48:$AJ48)</f>
        <v>2030</v>
      </c>
      <c r="EK48" s="12">
        <f t="array" ref="EK48">SUMPRODUCT(TRANSPOSE(EK$9:EK$34),$K48:$AJ48)</f>
        <v>2270</v>
      </c>
      <c r="EL48" s="12">
        <f t="array" ref="EL48">SUMPRODUCT(TRANSPOSE(EL$9:EL$34),$K48:$AJ48)</f>
        <v>4030</v>
      </c>
      <c r="EM48" s="12">
        <f t="array" ref="EM48">SUMPRODUCT(TRANSPOSE(EM$9:EM$34),$K48:$AJ48)</f>
        <v>4100</v>
      </c>
      <c r="EN48" s="12">
        <f t="array" ref="EN48">SUMPRODUCT(TRANSPOSE(EN$9:EN$34),$K48:$AJ48)</f>
        <v>4100</v>
      </c>
      <c r="EO48" s="12">
        <f t="array" ref="EO48">SUMPRODUCT(TRANSPOSE(EO$9:EO$34),$K48:$AJ48)</f>
        <v>4000</v>
      </c>
      <c r="EP48" s="12">
        <f t="array" ref="EP48">SUMPRODUCT(TRANSPOSE(EP$9:EP$34),$K48:$AJ48)</f>
        <v>4100</v>
      </c>
      <c r="EQ48" s="12">
        <f t="array" ref="EQ48">SUMPRODUCT(TRANSPOSE(EQ$9:EQ$34),$K48:$AJ48)</f>
        <v>4100</v>
      </c>
      <c r="ER48" s="12">
        <f t="array" ref="ER48">SUMPRODUCT(TRANSPOSE(ER$9:ER$34),$K48:$AJ48)</f>
        <v>4100</v>
      </c>
      <c r="ES48" s="12">
        <f t="array" ref="ES48">SUMPRODUCT(TRANSPOSE(ES$9:ES$34),$K48:$AJ48)</f>
        <v>4100</v>
      </c>
      <c r="ET48" s="12">
        <f t="array" ref="ET48">SUMPRODUCT(TRANSPOSE(ET$9:ET$34),$K48:$AJ48)</f>
        <v>4100</v>
      </c>
      <c r="EU48" s="12">
        <f t="array" ref="EU48">SUMPRODUCT(TRANSPOSE(EU$9:EU$34),$K48:$AJ48)</f>
        <v>4100</v>
      </c>
      <c r="EV48" s="12">
        <f t="array" ref="EV48">SUMPRODUCT(TRANSPOSE(EV$9:EV$34),$K48:$AJ48)</f>
        <v>4100</v>
      </c>
      <c r="EW48" s="12">
        <f t="array" ref="EW48">SUMPRODUCT(TRANSPOSE(EW$9:EW$34),$K48:$AJ48)</f>
        <v>4086</v>
      </c>
      <c r="EX48" s="12">
        <f t="array" ref="EX48">SUMPRODUCT(TRANSPOSE(EX$9:EX$34),$K48:$AJ48)</f>
        <v>4000</v>
      </c>
      <c r="EY48" s="12">
        <f t="array" ref="EY48">SUMPRODUCT(TRANSPOSE(EY$9:EY$34),$K48:$AJ48)</f>
        <v>4000</v>
      </c>
      <c r="EZ48" s="12">
        <f t="array" ref="EZ48">SUMPRODUCT(TRANSPOSE(EZ$9:EZ$34),$K48:$AJ48)</f>
        <v>4000</v>
      </c>
      <c r="FA48" s="12">
        <f t="array" ref="FA48">SUMPRODUCT(TRANSPOSE(FA$9:FA$34),$K48:$AJ48)</f>
        <v>4000</v>
      </c>
      <c r="FB48" s="12">
        <f t="array" ref="FB48">SUMPRODUCT(TRANSPOSE(FB$9:FB$34),$K48:$AJ48)</f>
        <v>4000</v>
      </c>
      <c r="FC48" s="12">
        <f t="array" ref="FC48">SUMPRODUCT(TRANSPOSE(FC$9:FC$34),$K48:$AJ48)</f>
        <v>4000</v>
      </c>
      <c r="FD48" s="12">
        <f t="array" ref="FD48">SUMPRODUCT(TRANSPOSE(FD$9:FD$34),$K48:$AJ48)</f>
        <v>4000</v>
      </c>
      <c r="FE48" s="12">
        <f t="array" ref="FE48">SUMPRODUCT(TRANSPOSE(FE$9:FE$34),$K48:$AJ48)</f>
        <v>4000</v>
      </c>
      <c r="FF48" s="12">
        <f t="array" ref="FF48">SUMPRODUCT(TRANSPOSE(FF$9:FF$34),$K48:$AJ48)</f>
        <v>4000</v>
      </c>
      <c r="FG48" s="12">
        <f t="array" ref="FG48">SUMPRODUCT(TRANSPOSE(FG$9:FG$34),$K48:$AJ48)</f>
        <v>4000</v>
      </c>
      <c r="FH48" s="12">
        <f t="array" ref="FH48">SUMPRODUCT(TRANSPOSE(FH$9:FH$34),$K48:$AJ48)</f>
        <v>4000</v>
      </c>
      <c r="FI48" s="12">
        <f t="array" ref="FI48">SUMPRODUCT(TRANSPOSE(FI$9:FI$34),$K48:$AJ48)</f>
        <v>4000</v>
      </c>
      <c r="FJ48" s="12">
        <f t="array" ref="FJ48">SUMPRODUCT(TRANSPOSE(FJ$9:FJ$34),$K48:$AJ48)</f>
        <v>4000</v>
      </c>
      <c r="FK48" s="12">
        <f t="array" ref="FK48">SUMPRODUCT(TRANSPOSE(FK$9:FK$34),$K48:$AJ48)</f>
        <v>4000</v>
      </c>
      <c r="FL48" s="12">
        <f t="array" ref="FL48">SUMPRODUCT(TRANSPOSE(FL$9:FL$34),$K48:$AJ48)</f>
        <v>4000</v>
      </c>
      <c r="FM48" s="12">
        <f t="array" ref="FM48">SUMPRODUCT(TRANSPOSE(FM$9:FM$34),$K48:$AJ48)</f>
        <v>4000</v>
      </c>
      <c r="FN48" s="12">
        <f t="array" ref="FN48">SUMPRODUCT(TRANSPOSE(FN$9:FN$34),$K48:$AJ48)</f>
        <v>3634</v>
      </c>
      <c r="FO48" s="12">
        <f t="array" ref="FO48">SUMPRODUCT(TRANSPOSE(FO$9:FO$34),$K48:$AJ48)</f>
        <v>154</v>
      </c>
    </row>
    <row r="49" spans="1:171" ht="14.25" x14ac:dyDescent="0.2">
      <c r="A49" s="13">
        <f t="shared" si="4"/>
        <v>14</v>
      </c>
      <c r="B49" s="13" t="s">
        <v>107</v>
      </c>
      <c r="C49" s="25" t="s">
        <v>47</v>
      </c>
      <c r="D49" s="13" t="s">
        <v>60</v>
      </c>
      <c r="E49" s="13">
        <v>404810931</v>
      </c>
      <c r="F49" s="26" t="s">
        <v>18</v>
      </c>
      <c r="G49" s="13"/>
      <c r="H49" s="13" t="s">
        <v>61</v>
      </c>
      <c r="I49" s="13">
        <v>1</v>
      </c>
      <c r="J49" s="13">
        <v>2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1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1</v>
      </c>
      <c r="Z49" s="13"/>
      <c r="AA49" s="13">
        <v>0</v>
      </c>
      <c r="AB49" s="13">
        <v>0</v>
      </c>
      <c r="AC49" s="13">
        <v>1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f t="shared" si="3"/>
        <v>3</v>
      </c>
      <c r="AL49" s="23">
        <f t="shared" si="2"/>
        <v>35665</v>
      </c>
      <c r="AM49" s="27" t="s">
        <v>62</v>
      </c>
      <c r="AN49" s="13" t="s">
        <v>62</v>
      </c>
      <c r="AO49" s="7" t="s">
        <v>62</v>
      </c>
      <c r="AP49" s="28"/>
      <c r="AQ49" s="12">
        <v>0</v>
      </c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13"/>
      <c r="CG49" s="13"/>
      <c r="CH49" s="13"/>
      <c r="CI49" s="12"/>
      <c r="CJ49" s="12"/>
      <c r="CK49" s="12"/>
      <c r="CL49" s="12"/>
      <c r="CM49" s="12"/>
      <c r="CN49" s="12"/>
      <c r="CO49" s="12"/>
      <c r="CP49" s="12">
        <f>SUM($AQ49:BJ49)-SUM($EA49:EH49)</f>
        <v>-3109</v>
      </c>
      <c r="CQ49" s="12">
        <f>SUM($AQ49:BK49)-SUM($EA49:EI49)</f>
        <v>-3390</v>
      </c>
      <c r="CR49" s="12">
        <f>SUM($AQ49:BL49)-SUM($EA49:EJ49)</f>
        <v>-3390</v>
      </c>
      <c r="CS49" s="12">
        <f>SUM($AQ49:BM49)-SUM($EA49:EK49)</f>
        <v>-3490</v>
      </c>
      <c r="CT49" s="12">
        <f>SUM($AQ49:BN49)-SUM($EA49:EL49)</f>
        <v>-4490</v>
      </c>
      <c r="CU49" s="12">
        <f>SUM($AQ49:BO49)-SUM($EA49:EM49)</f>
        <v>-6490</v>
      </c>
      <c r="CV49" s="12">
        <f>SUM($AQ49:BP49)-SUM($EA49:EN49)</f>
        <v>-7590</v>
      </c>
      <c r="CW49" s="12">
        <f>SUM($AQ49:BQ49)-SUM($EA49:EO49)</f>
        <v>-8590</v>
      </c>
      <c r="CX49" s="12">
        <f>SUM($AQ49:BR49)-SUM($EA49:EP49)</f>
        <v>-9590</v>
      </c>
      <c r="CY49" s="12">
        <f>SUM($AQ49:BS49)-SUM($EA49:EQ49)</f>
        <v>-10590</v>
      </c>
      <c r="CZ49" s="12">
        <f>SUM($AQ49:BT49)-SUM($EA49:ER49)</f>
        <v>-11590</v>
      </c>
      <c r="DA49" s="12">
        <f>SUM($AQ49:BU49)-SUM($EA49:ES49)</f>
        <v>-12590</v>
      </c>
      <c r="DB49" s="12">
        <f>SUM($AQ49:BV49)-SUM($EA49:ET49)</f>
        <v>-13590</v>
      </c>
      <c r="DC49" s="12">
        <f>SUM($AQ49:BW49)-SUM($EA49:EU49)</f>
        <v>-14590</v>
      </c>
      <c r="DD49" s="12">
        <f>SUM($AQ49:BX49)-SUM($EA49:EV49)</f>
        <v>-15590</v>
      </c>
      <c r="DE49" s="12">
        <f>SUM($AQ49:BY49)-SUM($EA49:EW49)</f>
        <v>-16590</v>
      </c>
      <c r="DF49" s="12">
        <f>SUM($AQ49:BZ49)-SUM($EA49:EX49)</f>
        <v>-17590</v>
      </c>
      <c r="DG49" s="12">
        <f>SUM($AQ49:CA49)-SUM($EA49:EY49)</f>
        <v>-18590</v>
      </c>
      <c r="DH49" s="12">
        <f>SUM($AQ49:CB49)-SUM($EA49:EZ49)</f>
        <v>-19590</v>
      </c>
      <c r="DI49" s="12">
        <f>SUM($AQ49:CC49)-SUM($EA49:FA49)</f>
        <v>-20590</v>
      </c>
      <c r="DJ49" s="12">
        <f>SUM($AQ49:CD49)-SUM($EA49:FB49)</f>
        <v>-21590</v>
      </c>
      <c r="DK49" s="12">
        <f>SUM($AQ49:CE49)-SUM($EA49:FC49)</f>
        <v>-22590</v>
      </c>
      <c r="DL49" s="12">
        <f>SUM($AQ49:CF49)-SUM($EA49:FD49)</f>
        <v>-23590</v>
      </c>
      <c r="DM49" s="12">
        <f>SUM($AQ49:CG49)-SUM($EA49:FE49)</f>
        <v>-24590</v>
      </c>
      <c r="DN49" s="12">
        <f>SUM($AQ49:CH49)-SUM($EA49:FF49)</f>
        <v>-25590</v>
      </c>
      <c r="DO49" s="12">
        <f>SUM($AQ49:CI49)-SUM($EA49:FG49)</f>
        <v>-26590</v>
      </c>
      <c r="DP49" s="12">
        <f>SUM($AQ49:CJ49)-SUM($EA49:FH49)</f>
        <v>-27590</v>
      </c>
      <c r="DQ49" s="12">
        <f>SUM($AQ49:CK49)-SUM($EA49:FI49)</f>
        <v>-28590</v>
      </c>
      <c r="DR49" s="12">
        <f>SUM($AQ49:CL49)-SUM($EA49:FJ49)</f>
        <v>-29590</v>
      </c>
      <c r="DS49" s="12">
        <f>SUM($AQ49:CM49)-SUM($EA49:FK49)</f>
        <v>-30590</v>
      </c>
      <c r="DT49" s="12">
        <f>SUM($AQ49:CN49)-SUM($EA49:FL49)</f>
        <v>-31590</v>
      </c>
      <c r="DU49" s="12">
        <f>SUM($AQ49:CO49)-SUM($EA49:FM49)</f>
        <v>-32590</v>
      </c>
      <c r="DV49" s="12">
        <f>SUM($AQ49:CP49)-SUM($EA49:FN49)</f>
        <v>-36516</v>
      </c>
      <c r="DW49" s="12">
        <f>SUM($AQ49:CQ49)-SUM($EA49:FO49)</f>
        <v>-39906</v>
      </c>
      <c r="DX49" s="13"/>
      <c r="DY49" s="13"/>
      <c r="DZ49" s="13"/>
      <c r="EA49" s="12"/>
      <c r="EB49" s="12"/>
      <c r="EC49" s="12"/>
      <c r="ED49" s="12"/>
      <c r="EE49" s="12"/>
      <c r="EF49" s="12"/>
      <c r="EG49" s="12"/>
      <c r="EH49" s="12">
        <f t="array" ref="EH49">SUMPRODUCT(TRANSPOSE(EH$9:EH$34),$K49:$AJ49)</f>
        <v>3109</v>
      </c>
      <c r="EI49" s="12">
        <f t="array" ref="EI49">SUMPRODUCT(TRANSPOSE(EI$9:EI$34),$K49:$AJ49)</f>
        <v>281</v>
      </c>
      <c r="EJ49" s="12">
        <f t="array" ref="EJ49">SUMPRODUCT(TRANSPOSE(EJ$9:EJ$34),$K49:$AJ49)</f>
        <v>0</v>
      </c>
      <c r="EK49" s="12">
        <f t="array" ref="EK49">SUMPRODUCT(TRANSPOSE(EK$9:EK$34),$K49:$AJ49)</f>
        <v>100</v>
      </c>
      <c r="EL49" s="12">
        <f t="array" ref="EL49">SUMPRODUCT(TRANSPOSE(EL$9:EL$34),$K49:$AJ49)</f>
        <v>1000</v>
      </c>
      <c r="EM49" s="12">
        <f t="array" ref="EM49">SUMPRODUCT(TRANSPOSE(EM$9:EM$34),$K49:$AJ49)</f>
        <v>2000</v>
      </c>
      <c r="EN49" s="12">
        <f t="array" ref="EN49">SUMPRODUCT(TRANSPOSE(EN$9:EN$34),$K49:$AJ49)</f>
        <v>1100</v>
      </c>
      <c r="EO49" s="12">
        <f t="array" ref="EO49">SUMPRODUCT(TRANSPOSE(EO$9:EO$34),$K49:$AJ49)</f>
        <v>1000</v>
      </c>
      <c r="EP49" s="12">
        <f t="array" ref="EP49">SUMPRODUCT(TRANSPOSE(EP$9:EP$34),$K49:$AJ49)</f>
        <v>1000</v>
      </c>
      <c r="EQ49" s="12">
        <f t="array" ref="EQ49">SUMPRODUCT(TRANSPOSE(EQ$9:EQ$34),$K49:$AJ49)</f>
        <v>1000</v>
      </c>
      <c r="ER49" s="12">
        <f t="array" ref="ER49">SUMPRODUCT(TRANSPOSE(ER$9:ER$34),$K49:$AJ49)</f>
        <v>1000</v>
      </c>
      <c r="ES49" s="12">
        <f t="array" ref="ES49">SUMPRODUCT(TRANSPOSE(ES$9:ES$34),$K49:$AJ49)</f>
        <v>1000</v>
      </c>
      <c r="ET49" s="12">
        <f t="array" ref="ET49">SUMPRODUCT(TRANSPOSE(ET$9:ET$34),$K49:$AJ49)</f>
        <v>1000</v>
      </c>
      <c r="EU49" s="12">
        <f t="array" ref="EU49">SUMPRODUCT(TRANSPOSE(EU$9:EU$34),$K49:$AJ49)</f>
        <v>1000</v>
      </c>
      <c r="EV49" s="12">
        <f t="array" ref="EV49">SUMPRODUCT(TRANSPOSE(EV$9:EV$34),$K49:$AJ49)</f>
        <v>1000</v>
      </c>
      <c r="EW49" s="12">
        <f t="array" ref="EW49">SUMPRODUCT(TRANSPOSE(EW$9:EW$34),$K49:$AJ49)</f>
        <v>1000</v>
      </c>
      <c r="EX49" s="12">
        <f t="array" ref="EX49">SUMPRODUCT(TRANSPOSE(EX$9:EX$34),$K49:$AJ49)</f>
        <v>1000</v>
      </c>
      <c r="EY49" s="12">
        <f t="array" ref="EY49">SUMPRODUCT(TRANSPOSE(EY$9:EY$34),$K49:$AJ49)</f>
        <v>1000</v>
      </c>
      <c r="EZ49" s="12">
        <f t="array" ref="EZ49">SUMPRODUCT(TRANSPOSE(EZ$9:EZ$34),$K49:$AJ49)</f>
        <v>1000</v>
      </c>
      <c r="FA49" s="12">
        <f t="array" ref="FA49">SUMPRODUCT(TRANSPOSE(FA$9:FA$34),$K49:$AJ49)</f>
        <v>1000</v>
      </c>
      <c r="FB49" s="12">
        <f t="array" ref="FB49">SUMPRODUCT(TRANSPOSE(FB$9:FB$34),$K49:$AJ49)</f>
        <v>1000</v>
      </c>
      <c r="FC49" s="12">
        <f t="array" ref="FC49">SUMPRODUCT(TRANSPOSE(FC$9:FC$34),$K49:$AJ49)</f>
        <v>1000</v>
      </c>
      <c r="FD49" s="12">
        <f t="array" ref="FD49">SUMPRODUCT(TRANSPOSE(FD$9:FD$34),$K49:$AJ49)</f>
        <v>1000</v>
      </c>
      <c r="FE49" s="12">
        <f t="array" ref="FE49">SUMPRODUCT(TRANSPOSE(FE$9:FE$34),$K49:$AJ49)</f>
        <v>1000</v>
      </c>
      <c r="FF49" s="12">
        <f t="array" ref="FF49">SUMPRODUCT(TRANSPOSE(FF$9:FF$34),$K49:$AJ49)</f>
        <v>1000</v>
      </c>
      <c r="FG49" s="12">
        <f t="array" ref="FG49">SUMPRODUCT(TRANSPOSE(FG$9:FG$34),$K49:$AJ49)</f>
        <v>1000</v>
      </c>
      <c r="FH49" s="12">
        <f t="array" ref="FH49">SUMPRODUCT(TRANSPOSE(FH$9:FH$34),$K49:$AJ49)</f>
        <v>1000</v>
      </c>
      <c r="FI49" s="12">
        <f t="array" ref="FI49">SUMPRODUCT(TRANSPOSE(FI$9:FI$34),$K49:$AJ49)</f>
        <v>1000</v>
      </c>
      <c r="FJ49" s="12">
        <f t="array" ref="FJ49">SUMPRODUCT(TRANSPOSE(FJ$9:FJ$34),$K49:$AJ49)</f>
        <v>1000</v>
      </c>
      <c r="FK49" s="12">
        <f t="array" ref="FK49">SUMPRODUCT(TRANSPOSE(FK$9:FK$34),$K49:$AJ49)</f>
        <v>1000</v>
      </c>
      <c r="FL49" s="12">
        <f t="array" ref="FL49">SUMPRODUCT(TRANSPOSE(FL$9:FL$34),$K49:$AJ49)</f>
        <v>1000</v>
      </c>
      <c r="FM49" s="12">
        <f t="array" ref="FM49">SUMPRODUCT(TRANSPOSE(FM$9:FM$34),$K49:$AJ49)</f>
        <v>1000</v>
      </c>
      <c r="FN49" s="12">
        <f t="array" ref="FN49">SUMPRODUCT(TRANSPOSE(FN$9:FN$34),$K49:$AJ49)</f>
        <v>817</v>
      </c>
      <c r="FO49" s="12">
        <f t="array" ref="FO49">SUMPRODUCT(TRANSPOSE(FO$9:FO$34),$K49:$AJ49)</f>
        <v>0</v>
      </c>
    </row>
    <row r="50" spans="1:171" ht="14.25" x14ac:dyDescent="0.2">
      <c r="A50" s="13">
        <f t="shared" si="4"/>
        <v>15</v>
      </c>
      <c r="B50" s="13" t="s">
        <v>108</v>
      </c>
      <c r="C50" s="25" t="s">
        <v>109</v>
      </c>
      <c r="D50" s="13" t="s">
        <v>110</v>
      </c>
      <c r="E50" s="13">
        <v>404482032</v>
      </c>
      <c r="F50" s="26" t="s">
        <v>111</v>
      </c>
      <c r="G50" s="13"/>
      <c r="H50" s="13" t="s">
        <v>112</v>
      </c>
      <c r="I50" s="13">
        <v>2</v>
      </c>
      <c r="J50" s="13" t="s">
        <v>113</v>
      </c>
      <c r="K50" s="13">
        <v>0</v>
      </c>
      <c r="L50" s="13">
        <v>0</v>
      </c>
      <c r="M50" s="13">
        <v>0</v>
      </c>
      <c r="N50" s="31">
        <v>0.05</v>
      </c>
      <c r="O50" s="13">
        <v>0</v>
      </c>
      <c r="P50" s="13">
        <v>0</v>
      </c>
      <c r="Q50" s="13">
        <v>0</v>
      </c>
      <c r="R50" s="13">
        <v>0</v>
      </c>
      <c r="S50" s="13">
        <v>0.05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/>
      <c r="Z50" s="13">
        <v>0.05</v>
      </c>
      <c r="AA50" s="13">
        <v>0</v>
      </c>
      <c r="AB50" s="13">
        <v>0</v>
      </c>
      <c r="AC50" s="13">
        <v>0</v>
      </c>
      <c r="AD50" s="13">
        <v>0.05</v>
      </c>
      <c r="AE50" s="13">
        <v>0.05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f>SUM(K50:AD50)</f>
        <v>0.2</v>
      </c>
      <c r="AL50" s="23">
        <f t="shared" si="2"/>
        <v>3544.8000000000006</v>
      </c>
      <c r="AM50" s="13"/>
      <c r="AN50" s="13" t="s">
        <v>114</v>
      </c>
      <c r="AO50" s="7" t="s">
        <v>115</v>
      </c>
      <c r="AP50" s="38">
        <v>9</v>
      </c>
      <c r="AQ50" s="12">
        <v>120</v>
      </c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13"/>
      <c r="CG50" s="13"/>
      <c r="CH50" s="13"/>
      <c r="CI50" s="12"/>
      <c r="CJ50" s="12"/>
      <c r="CK50" s="12"/>
      <c r="CL50" s="12"/>
      <c r="CM50" s="12"/>
      <c r="CN50" s="12"/>
      <c r="CO50" s="12"/>
      <c r="CP50" s="12">
        <f>SUM($AQ50:BJ50)-SUM($EA50:EH50)</f>
        <v>-233.15000000000003</v>
      </c>
      <c r="CQ50" s="12">
        <f>SUM($AQ50:BK50)-SUM($EA50:EI50)</f>
        <v>-247.20000000000005</v>
      </c>
      <c r="CR50" s="12">
        <f>SUM($AQ50:BL50)-SUM($EA50:EJ50)</f>
        <v>-297.95000000000005</v>
      </c>
      <c r="CS50" s="12">
        <f>SUM($AQ50:BM50)-SUM($EA50:EK50)</f>
        <v>-354.70000000000005</v>
      </c>
      <c r="CT50" s="12">
        <f>SUM($AQ50:BN50)-SUM($EA50:EL50)</f>
        <v>-455.45000000000005</v>
      </c>
      <c r="CU50" s="12">
        <f>SUM($AQ50:BO50)-SUM($EA50:EM50)</f>
        <v>-557.95000000000005</v>
      </c>
      <c r="CV50" s="12">
        <f>SUM($AQ50:BP50)-SUM($EA50:EN50)</f>
        <v>-660.45</v>
      </c>
      <c r="CW50" s="12">
        <f>SUM($AQ50:BQ50)-SUM($EA50:EO50)</f>
        <v>-760.45</v>
      </c>
      <c r="CX50" s="12">
        <f>SUM($AQ50:BR50)-SUM($EA50:EP50)</f>
        <v>-862.95</v>
      </c>
      <c r="CY50" s="12">
        <f>SUM($AQ50:BS50)-SUM($EA50:EQ50)</f>
        <v>-965.45</v>
      </c>
      <c r="CZ50" s="12">
        <f>SUM($AQ50:BT50)-SUM($EA50:ER50)</f>
        <v>-1067.95</v>
      </c>
      <c r="DA50" s="12">
        <f>SUM($AQ50:BU50)-SUM($EA50:ES50)</f>
        <v>-1170.45</v>
      </c>
      <c r="DB50" s="12">
        <f>SUM($AQ50:BV50)-SUM($EA50:ET50)</f>
        <v>-1272.95</v>
      </c>
      <c r="DC50" s="12">
        <f>SUM($AQ50:BW50)-SUM($EA50:EU50)</f>
        <v>-1375.45</v>
      </c>
      <c r="DD50" s="12">
        <f>SUM($AQ50:BX50)-SUM($EA50:EV50)</f>
        <v>-1477.95</v>
      </c>
      <c r="DE50" s="12">
        <f>SUM($AQ50:BY50)-SUM($EA50:EW50)</f>
        <v>-1580.1000000000001</v>
      </c>
      <c r="DF50" s="12">
        <f>SUM($AQ50:BZ50)-SUM($EA50:EX50)</f>
        <v>-1680.1000000000001</v>
      </c>
      <c r="DG50" s="12">
        <f>SUM($AQ50:CA50)-SUM($EA50:EY50)</f>
        <v>-1780.1000000000001</v>
      </c>
      <c r="DH50" s="12">
        <f>SUM($AQ50:CB50)-SUM($EA50:EZ50)</f>
        <v>-1880.1000000000001</v>
      </c>
      <c r="DI50" s="12">
        <f>SUM($AQ50:CC50)-SUM($EA50:FA50)</f>
        <v>-1980.1000000000004</v>
      </c>
      <c r="DJ50" s="12">
        <f>SUM($AQ50:CD50)-SUM($EA50:FB50)</f>
        <v>-2080.1000000000004</v>
      </c>
      <c r="DK50" s="12">
        <f>SUM($AQ50:CE50)-SUM($EA50:FC50)</f>
        <v>-2180.1000000000004</v>
      </c>
      <c r="DL50" s="12">
        <f>SUM($AQ50:CF50)-SUM($EA50:FD50)</f>
        <v>-2280.1000000000004</v>
      </c>
      <c r="DM50" s="12">
        <f>SUM($AQ50:CG50)-SUM($EA50:FE50)</f>
        <v>-2380.1000000000004</v>
      </c>
      <c r="DN50" s="12">
        <f>SUM($AQ50:CH50)-SUM($EA50:FF50)</f>
        <v>-2480.1000000000004</v>
      </c>
      <c r="DO50" s="12">
        <f>SUM($AQ50:CI50)-SUM($EA50:FG50)</f>
        <v>-2580.1000000000004</v>
      </c>
      <c r="DP50" s="12">
        <f>SUM($AQ50:CJ50)-SUM($EA50:FH50)</f>
        <v>-2680.1000000000004</v>
      </c>
      <c r="DQ50" s="12">
        <f>SUM($AQ50:CK50)-SUM($EA50:FI50)</f>
        <v>-2780.1000000000004</v>
      </c>
      <c r="DR50" s="12">
        <f>SUM($AQ50:CL50)-SUM($EA50:FJ50)</f>
        <v>-2880.1000000000004</v>
      </c>
      <c r="DS50" s="12">
        <f>SUM($AQ50:CM50)-SUM($EA50:FK50)</f>
        <v>-2980.1000000000004</v>
      </c>
      <c r="DT50" s="12">
        <f>SUM($AQ50:CN50)-SUM($EA50:FL50)</f>
        <v>-3080.1000000000004</v>
      </c>
      <c r="DU50" s="12">
        <f>SUM($AQ50:CO50)-SUM($EA50:FM50)</f>
        <v>-3180.1000000000004</v>
      </c>
      <c r="DV50" s="12">
        <f>SUM($AQ50:CP50)-SUM($EA50:FN50)</f>
        <v>-3504.1000000000004</v>
      </c>
      <c r="DW50" s="12">
        <f>SUM($AQ50:CQ50)-SUM($EA50:FO50)</f>
        <v>-3755.15</v>
      </c>
      <c r="DX50" s="13"/>
      <c r="DY50" s="13"/>
      <c r="DZ50" s="13"/>
      <c r="EA50" s="12"/>
      <c r="EB50" s="12"/>
      <c r="EC50" s="12"/>
      <c r="ED50" s="12"/>
      <c r="EE50" s="12"/>
      <c r="EF50" s="12"/>
      <c r="EG50" s="12"/>
      <c r="EH50" s="12">
        <f t="array" ref="EH50">SUMPRODUCT(TRANSPOSE(EH$9:EH$34),$K50:$AJ50)</f>
        <v>353.15000000000003</v>
      </c>
      <c r="EI50" s="12">
        <f t="array" ref="EI50">SUMPRODUCT(TRANSPOSE(EI$9:EI$34),$K50:$AJ50)</f>
        <v>14.05</v>
      </c>
      <c r="EJ50" s="12">
        <f t="array" ref="EJ50">SUMPRODUCT(TRANSPOSE(EJ$9:EJ$34),$K50:$AJ50)</f>
        <v>50.75</v>
      </c>
      <c r="EK50" s="12">
        <f t="array" ref="EK50">SUMPRODUCT(TRANSPOSE(EK$9:EK$34),$K50:$AJ50)</f>
        <v>56.75</v>
      </c>
      <c r="EL50" s="12">
        <f t="array" ref="EL50">SUMPRODUCT(TRANSPOSE(EL$9:EL$34),$K50:$AJ50)</f>
        <v>100.75</v>
      </c>
      <c r="EM50" s="12">
        <f t="array" ref="EM50">SUMPRODUCT(TRANSPOSE(EM$9:EM$34),$K50:$AJ50)</f>
        <v>102.5</v>
      </c>
      <c r="EN50" s="12">
        <f t="array" ref="EN50">SUMPRODUCT(TRANSPOSE(EN$9:EN$34),$K50:$AJ50)</f>
        <v>102.5</v>
      </c>
      <c r="EO50" s="12">
        <f t="array" ref="EO50">SUMPRODUCT(TRANSPOSE(EO$9:EO$34),$K50:$AJ50)</f>
        <v>100</v>
      </c>
      <c r="EP50" s="12">
        <f t="array" ref="EP50">SUMPRODUCT(TRANSPOSE(EP$9:EP$34),$K50:$AJ50)</f>
        <v>102.5</v>
      </c>
      <c r="EQ50" s="12">
        <f t="array" ref="EQ50">SUMPRODUCT(TRANSPOSE(EQ$9:EQ$34),$K50:$AJ50)</f>
        <v>102.5</v>
      </c>
      <c r="ER50" s="12">
        <f t="array" ref="ER50">SUMPRODUCT(TRANSPOSE(ER$9:ER$34),$K50:$AJ50)</f>
        <v>102.5</v>
      </c>
      <c r="ES50" s="12">
        <f t="array" ref="ES50">SUMPRODUCT(TRANSPOSE(ES$9:ES$34),$K50:$AJ50)</f>
        <v>102.5</v>
      </c>
      <c r="ET50" s="12">
        <f t="array" ref="ET50">SUMPRODUCT(TRANSPOSE(ET$9:ET$34),$K50:$AJ50)</f>
        <v>102.5</v>
      </c>
      <c r="EU50" s="12">
        <f t="array" ref="EU50">SUMPRODUCT(TRANSPOSE(EU$9:EU$34),$K50:$AJ50)</f>
        <v>102.5</v>
      </c>
      <c r="EV50" s="12">
        <f t="array" ref="EV50">SUMPRODUCT(TRANSPOSE(EV$9:EV$34),$K50:$AJ50)</f>
        <v>102.5</v>
      </c>
      <c r="EW50" s="12">
        <f t="array" ref="EW50">SUMPRODUCT(TRANSPOSE(EW$9:EW$34),$K50:$AJ50)</f>
        <v>102.15</v>
      </c>
      <c r="EX50" s="12">
        <f t="array" ref="EX50">SUMPRODUCT(TRANSPOSE(EX$9:EX$34),$K50:$AJ50)</f>
        <v>100</v>
      </c>
      <c r="EY50" s="12">
        <f t="array" ref="EY50">SUMPRODUCT(TRANSPOSE(EY$9:EY$34),$K50:$AJ50)</f>
        <v>100</v>
      </c>
      <c r="EZ50" s="12">
        <f t="array" ref="EZ50">SUMPRODUCT(TRANSPOSE(EZ$9:EZ$34),$K50:$AJ50)</f>
        <v>100</v>
      </c>
      <c r="FA50" s="12">
        <f t="array" ref="FA50">SUMPRODUCT(TRANSPOSE(FA$9:FA$34),$K50:$AJ50)</f>
        <v>100</v>
      </c>
      <c r="FB50" s="12">
        <f t="array" ref="FB50">SUMPRODUCT(TRANSPOSE(FB$9:FB$34),$K50:$AJ50)</f>
        <v>100</v>
      </c>
      <c r="FC50" s="12">
        <f t="array" ref="FC50">SUMPRODUCT(TRANSPOSE(FC$9:FC$34),$K50:$AJ50)</f>
        <v>100</v>
      </c>
      <c r="FD50" s="12">
        <f t="array" ref="FD50">SUMPRODUCT(TRANSPOSE(FD$9:FD$34),$K50:$AJ50)</f>
        <v>100</v>
      </c>
      <c r="FE50" s="12">
        <f t="array" ref="FE50">SUMPRODUCT(TRANSPOSE(FE$9:FE$34),$K50:$AJ50)</f>
        <v>100</v>
      </c>
      <c r="FF50" s="12">
        <f t="array" ref="FF50">SUMPRODUCT(TRANSPOSE(FF$9:FF$34),$K50:$AJ50)</f>
        <v>100</v>
      </c>
      <c r="FG50" s="12">
        <f t="array" ref="FG50">SUMPRODUCT(TRANSPOSE(FG$9:FG$34),$K50:$AJ50)</f>
        <v>100</v>
      </c>
      <c r="FH50" s="12">
        <f t="array" ref="FH50">SUMPRODUCT(TRANSPOSE(FH$9:FH$34),$K50:$AJ50)</f>
        <v>100</v>
      </c>
      <c r="FI50" s="12">
        <f t="array" ref="FI50">SUMPRODUCT(TRANSPOSE(FI$9:FI$34),$K50:$AJ50)</f>
        <v>100</v>
      </c>
      <c r="FJ50" s="12">
        <f t="array" ref="FJ50">SUMPRODUCT(TRANSPOSE(FJ$9:FJ$34),$K50:$AJ50)</f>
        <v>100</v>
      </c>
      <c r="FK50" s="12">
        <f t="array" ref="FK50">SUMPRODUCT(TRANSPOSE(FK$9:FK$34),$K50:$AJ50)</f>
        <v>100</v>
      </c>
      <c r="FL50" s="12">
        <f t="array" ref="FL50">SUMPRODUCT(TRANSPOSE(FL$9:FL$34),$K50:$AJ50)</f>
        <v>100</v>
      </c>
      <c r="FM50" s="12">
        <f t="array" ref="FM50">SUMPRODUCT(TRANSPOSE(FM$9:FM$34),$K50:$AJ50)</f>
        <v>100</v>
      </c>
      <c r="FN50" s="12">
        <f t="array" ref="FN50">SUMPRODUCT(TRANSPOSE(FN$9:FN$34),$K50:$AJ50)</f>
        <v>90.85</v>
      </c>
      <c r="FO50" s="12">
        <f t="array" ref="FO50">SUMPRODUCT(TRANSPOSE(FO$9:FO$34),$K50:$AJ50)</f>
        <v>3.85</v>
      </c>
    </row>
    <row r="51" spans="1:171" ht="14.25" x14ac:dyDescent="0.2">
      <c r="A51" s="13">
        <f t="shared" si="4"/>
        <v>16</v>
      </c>
      <c r="B51" s="13" t="s">
        <v>116</v>
      </c>
      <c r="C51" s="25" t="s">
        <v>117</v>
      </c>
      <c r="D51" s="13" t="s">
        <v>110</v>
      </c>
      <c r="E51" s="13">
        <v>404482035</v>
      </c>
      <c r="F51" s="26" t="s">
        <v>118</v>
      </c>
      <c r="G51" s="13"/>
      <c r="H51" s="13" t="s">
        <v>112</v>
      </c>
      <c r="I51" s="13">
        <v>2</v>
      </c>
      <c r="J51" s="13" t="s">
        <v>113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0.05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/>
      <c r="Z51" s="13">
        <v>0.05</v>
      </c>
      <c r="AA51" s="13">
        <v>0</v>
      </c>
      <c r="AB51" s="13">
        <v>0</v>
      </c>
      <c r="AC51" s="13">
        <v>0</v>
      </c>
      <c r="AD51" s="13">
        <v>0.05</v>
      </c>
      <c r="AE51" s="13">
        <v>0.05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f t="shared" si="3"/>
        <v>0.15000000000000002</v>
      </c>
      <c r="AL51" s="23">
        <f t="shared" si="2"/>
        <v>1783.2500000000002</v>
      </c>
      <c r="AM51" s="13"/>
      <c r="AN51" s="13" t="s">
        <v>114</v>
      </c>
      <c r="AO51" s="7" t="s">
        <v>115</v>
      </c>
      <c r="AP51" s="38">
        <v>10</v>
      </c>
      <c r="AQ51" s="12">
        <v>170</v>
      </c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13"/>
      <c r="CG51" s="13"/>
      <c r="CH51" s="13"/>
      <c r="CI51" s="12"/>
      <c r="CJ51" s="12"/>
      <c r="CK51" s="12"/>
      <c r="CL51" s="12"/>
      <c r="CM51" s="12"/>
      <c r="CN51" s="12"/>
      <c r="CO51" s="12"/>
      <c r="CP51" s="12">
        <f>SUM($AQ51:BJ51)-SUM($EA51:EH51)</f>
        <v>14.549999999999983</v>
      </c>
      <c r="CQ51" s="12">
        <f>SUM($AQ51:BK51)-SUM($EA51:EI51)</f>
        <v>0.49999999999997158</v>
      </c>
      <c r="CR51" s="12">
        <f>SUM($AQ51:BL51)-SUM($EA51:EJ51)</f>
        <v>-0.25000000000002842</v>
      </c>
      <c r="CS51" s="12">
        <f>SUM($AQ51:BM51)-SUM($EA51:EK51)</f>
        <v>-7.0000000000000284</v>
      </c>
      <c r="CT51" s="12">
        <f>SUM($AQ51:BN51)-SUM($EA51:EL51)</f>
        <v>-57.750000000000028</v>
      </c>
      <c r="CU51" s="12">
        <f>SUM($AQ51:BO51)-SUM($EA51:EM51)</f>
        <v>-160.25</v>
      </c>
      <c r="CV51" s="12">
        <f>SUM($AQ51:BP51)-SUM($EA51:EN51)</f>
        <v>-217.75</v>
      </c>
      <c r="CW51" s="12">
        <f>SUM($AQ51:BQ51)-SUM($EA51:EO51)</f>
        <v>-267.75</v>
      </c>
      <c r="CX51" s="12">
        <f>SUM($AQ51:BR51)-SUM($EA51:EP51)</f>
        <v>-320.25</v>
      </c>
      <c r="CY51" s="12">
        <f>SUM($AQ51:BS51)-SUM($EA51:EQ51)</f>
        <v>-372.75</v>
      </c>
      <c r="CZ51" s="12">
        <f>SUM($AQ51:BT51)-SUM($EA51:ER51)</f>
        <v>-425.25</v>
      </c>
      <c r="DA51" s="12">
        <f>SUM($AQ51:BU51)-SUM($EA51:ES51)</f>
        <v>-477.75</v>
      </c>
      <c r="DB51" s="12">
        <f>SUM($AQ51:BV51)-SUM($EA51:ET51)</f>
        <v>-530.25</v>
      </c>
      <c r="DC51" s="12">
        <f>SUM($AQ51:BW51)-SUM($EA51:EU51)</f>
        <v>-582.75</v>
      </c>
      <c r="DD51" s="12">
        <f>SUM($AQ51:BX51)-SUM($EA51:EV51)</f>
        <v>-635.25</v>
      </c>
      <c r="DE51" s="12">
        <f>SUM($AQ51:BY51)-SUM($EA51:EW51)</f>
        <v>-687.4</v>
      </c>
      <c r="DF51" s="12">
        <f>SUM($AQ51:BZ51)-SUM($EA51:EX51)</f>
        <v>-737.4</v>
      </c>
      <c r="DG51" s="12">
        <f>SUM($AQ51:CA51)-SUM($EA51:EY51)</f>
        <v>-787.4</v>
      </c>
      <c r="DH51" s="12">
        <f>SUM($AQ51:CB51)-SUM($EA51:EZ51)</f>
        <v>-837.4</v>
      </c>
      <c r="DI51" s="12">
        <f>SUM($AQ51:CC51)-SUM($EA51:FA51)</f>
        <v>-887.40000000000009</v>
      </c>
      <c r="DJ51" s="12">
        <f>SUM($AQ51:CD51)-SUM($EA51:FB51)</f>
        <v>-937.40000000000009</v>
      </c>
      <c r="DK51" s="12">
        <f>SUM($AQ51:CE51)-SUM($EA51:FC51)</f>
        <v>-987.40000000000009</v>
      </c>
      <c r="DL51" s="12">
        <f>SUM($AQ51:CF51)-SUM($EA51:FD51)</f>
        <v>-1037.4000000000001</v>
      </c>
      <c r="DM51" s="12">
        <f>SUM($AQ51:CG51)-SUM($EA51:FE51)</f>
        <v>-1087.4000000000001</v>
      </c>
      <c r="DN51" s="12">
        <f>SUM($AQ51:CH51)-SUM($EA51:FF51)</f>
        <v>-1137.4000000000001</v>
      </c>
      <c r="DO51" s="12">
        <f>SUM($AQ51:CI51)-SUM($EA51:FG51)</f>
        <v>-1187.4000000000001</v>
      </c>
      <c r="DP51" s="12">
        <f>SUM($AQ51:CJ51)-SUM($EA51:FH51)</f>
        <v>-1237.4000000000001</v>
      </c>
      <c r="DQ51" s="12">
        <f>SUM($AQ51:CK51)-SUM($EA51:FI51)</f>
        <v>-1287.4000000000001</v>
      </c>
      <c r="DR51" s="12">
        <f>SUM($AQ51:CL51)-SUM($EA51:FJ51)</f>
        <v>-1337.4</v>
      </c>
      <c r="DS51" s="12">
        <f>SUM($AQ51:CM51)-SUM($EA51:FK51)</f>
        <v>-1387.4</v>
      </c>
      <c r="DT51" s="12">
        <f>SUM($AQ51:CN51)-SUM($EA51:FL51)</f>
        <v>-1437.4</v>
      </c>
      <c r="DU51" s="12">
        <f>SUM($AQ51:CO51)-SUM($EA51:FM51)</f>
        <v>-1487.4</v>
      </c>
      <c r="DV51" s="12">
        <f>SUM($AQ51:CP51)-SUM($EA51:FN51)</f>
        <v>-1513.7</v>
      </c>
      <c r="DW51" s="12">
        <f>SUM($AQ51:CQ51)-SUM($EA51:FO51)</f>
        <v>-1513.2</v>
      </c>
      <c r="DX51" s="13"/>
      <c r="DY51" s="13"/>
      <c r="DZ51" s="13"/>
      <c r="EA51" s="12"/>
      <c r="EB51" s="12"/>
      <c r="EC51" s="12"/>
      <c r="ED51" s="12"/>
      <c r="EE51" s="12"/>
      <c r="EF51" s="12"/>
      <c r="EG51" s="12"/>
      <c r="EH51" s="12">
        <f t="array" ref="EH51">SUMPRODUCT(TRANSPOSE(EH$9:EH$34),$K51:$AJ51)</f>
        <v>155.45000000000002</v>
      </c>
      <c r="EI51" s="12">
        <f t="array" ref="EI51">SUMPRODUCT(TRANSPOSE(EI$9:EI$34),$K51:$AJ51)</f>
        <v>14.05</v>
      </c>
      <c r="EJ51" s="12">
        <f t="array" ref="EJ51">SUMPRODUCT(TRANSPOSE(EJ$9:EJ$34),$K51:$AJ51)</f>
        <v>0.75</v>
      </c>
      <c r="EK51" s="12">
        <f t="array" ref="EK51">SUMPRODUCT(TRANSPOSE(EK$9:EK$34),$K51:$AJ51)</f>
        <v>6.75</v>
      </c>
      <c r="EL51" s="12">
        <f t="array" ref="EL51">SUMPRODUCT(TRANSPOSE(EL$9:EL$34),$K51:$AJ51)</f>
        <v>50.75</v>
      </c>
      <c r="EM51" s="12">
        <f t="array" ref="EM51">SUMPRODUCT(TRANSPOSE(EM$9:EM$34),$K51:$AJ51)</f>
        <v>102.5</v>
      </c>
      <c r="EN51" s="12">
        <f t="array" ref="EN51">SUMPRODUCT(TRANSPOSE(EN$9:EN$34),$K51:$AJ51)</f>
        <v>57.5</v>
      </c>
      <c r="EO51" s="12">
        <f t="array" ref="EO51">SUMPRODUCT(TRANSPOSE(EO$9:EO$34),$K51:$AJ51)</f>
        <v>50</v>
      </c>
      <c r="EP51" s="12">
        <f t="array" ref="EP51">SUMPRODUCT(TRANSPOSE(EP$9:EP$34),$K51:$AJ51)</f>
        <v>52.5</v>
      </c>
      <c r="EQ51" s="12">
        <f t="array" ref="EQ51">SUMPRODUCT(TRANSPOSE(EQ$9:EQ$34),$K51:$AJ51)</f>
        <v>52.5</v>
      </c>
      <c r="ER51" s="12">
        <f t="array" ref="ER51">SUMPRODUCT(TRANSPOSE(ER$9:ER$34),$K51:$AJ51)</f>
        <v>52.5</v>
      </c>
      <c r="ES51" s="12">
        <f t="array" ref="ES51">SUMPRODUCT(TRANSPOSE(ES$9:ES$34),$K51:$AJ51)</f>
        <v>52.5</v>
      </c>
      <c r="ET51" s="12">
        <f t="array" ref="ET51">SUMPRODUCT(TRANSPOSE(ET$9:ET$34),$K51:$AJ51)</f>
        <v>52.5</v>
      </c>
      <c r="EU51" s="12">
        <f t="array" ref="EU51">SUMPRODUCT(TRANSPOSE(EU$9:EU$34),$K51:$AJ51)</f>
        <v>52.5</v>
      </c>
      <c r="EV51" s="12">
        <f t="array" ref="EV51">SUMPRODUCT(TRANSPOSE(EV$9:EV$34),$K51:$AJ51)</f>
        <v>52.5</v>
      </c>
      <c r="EW51" s="12">
        <f t="array" ref="EW51">SUMPRODUCT(TRANSPOSE(EW$9:EW$34),$K51:$AJ51)</f>
        <v>52.15</v>
      </c>
      <c r="EX51" s="12">
        <f t="array" ref="EX51">SUMPRODUCT(TRANSPOSE(EX$9:EX$34),$K51:$AJ51)</f>
        <v>50</v>
      </c>
      <c r="EY51" s="12">
        <f t="array" ref="EY51">SUMPRODUCT(TRANSPOSE(EY$9:EY$34),$K51:$AJ51)</f>
        <v>50</v>
      </c>
      <c r="EZ51" s="12">
        <f t="array" ref="EZ51">SUMPRODUCT(TRANSPOSE(EZ$9:EZ$34),$K51:$AJ51)</f>
        <v>50</v>
      </c>
      <c r="FA51" s="12">
        <f t="array" ref="FA51">SUMPRODUCT(TRANSPOSE(FA$9:FA$34),$K51:$AJ51)</f>
        <v>50</v>
      </c>
      <c r="FB51" s="12">
        <f t="array" ref="FB51">SUMPRODUCT(TRANSPOSE(FB$9:FB$34),$K51:$AJ51)</f>
        <v>50</v>
      </c>
      <c r="FC51" s="12">
        <f t="array" ref="FC51">SUMPRODUCT(TRANSPOSE(FC$9:FC$34),$K51:$AJ51)</f>
        <v>50</v>
      </c>
      <c r="FD51" s="12">
        <f t="array" ref="FD51">SUMPRODUCT(TRANSPOSE(FD$9:FD$34),$K51:$AJ51)</f>
        <v>50</v>
      </c>
      <c r="FE51" s="12">
        <f t="array" ref="FE51">SUMPRODUCT(TRANSPOSE(FE$9:FE$34),$K51:$AJ51)</f>
        <v>50</v>
      </c>
      <c r="FF51" s="12">
        <f t="array" ref="FF51">SUMPRODUCT(TRANSPOSE(FF$9:FF$34),$K51:$AJ51)</f>
        <v>50</v>
      </c>
      <c r="FG51" s="12">
        <f t="array" ref="FG51">SUMPRODUCT(TRANSPOSE(FG$9:FG$34),$K51:$AJ51)</f>
        <v>50</v>
      </c>
      <c r="FH51" s="12">
        <f t="array" ref="FH51">SUMPRODUCT(TRANSPOSE(FH$9:FH$34),$K51:$AJ51)</f>
        <v>50</v>
      </c>
      <c r="FI51" s="12">
        <f t="array" ref="FI51">SUMPRODUCT(TRANSPOSE(FI$9:FI$34),$K51:$AJ51)</f>
        <v>50</v>
      </c>
      <c r="FJ51" s="12">
        <f t="array" ref="FJ51">SUMPRODUCT(TRANSPOSE(FJ$9:FJ$34),$K51:$AJ51)</f>
        <v>50</v>
      </c>
      <c r="FK51" s="12">
        <f t="array" ref="FK51">SUMPRODUCT(TRANSPOSE(FK$9:FK$34),$K51:$AJ51)</f>
        <v>50</v>
      </c>
      <c r="FL51" s="12">
        <f t="array" ref="FL51">SUMPRODUCT(TRANSPOSE(FL$9:FL$34),$K51:$AJ51)</f>
        <v>50</v>
      </c>
      <c r="FM51" s="12">
        <f t="array" ref="FM51">SUMPRODUCT(TRANSPOSE(FM$9:FM$34),$K51:$AJ51)</f>
        <v>50</v>
      </c>
      <c r="FN51" s="12">
        <f t="array" ref="FN51">SUMPRODUCT(TRANSPOSE(FN$9:FN$34),$K51:$AJ51)</f>
        <v>40.85</v>
      </c>
      <c r="FO51" s="12">
        <f t="array" ref="FO51">SUMPRODUCT(TRANSPOSE(FO$9:FO$34),$K51:$AJ51)</f>
        <v>0</v>
      </c>
    </row>
    <row r="52" spans="1:171" ht="14.25" x14ac:dyDescent="0.2">
      <c r="A52" s="13">
        <f t="shared" si="4"/>
        <v>17</v>
      </c>
      <c r="B52" s="13" t="s">
        <v>119</v>
      </c>
      <c r="C52" s="25" t="s">
        <v>120</v>
      </c>
      <c r="D52" s="13" t="s">
        <v>110</v>
      </c>
      <c r="E52" s="13">
        <v>404488392</v>
      </c>
      <c r="F52" s="26" t="s">
        <v>121</v>
      </c>
      <c r="G52" s="13"/>
      <c r="H52" s="13" t="s">
        <v>112</v>
      </c>
      <c r="I52" s="13">
        <v>2</v>
      </c>
      <c r="J52" s="13" t="s">
        <v>113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0.05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/>
      <c r="Z52" s="13">
        <v>0.05</v>
      </c>
      <c r="AA52" s="13">
        <v>0</v>
      </c>
      <c r="AB52" s="13">
        <v>0</v>
      </c>
      <c r="AC52" s="13">
        <v>0</v>
      </c>
      <c r="AD52" s="13">
        <v>0.05</v>
      </c>
      <c r="AE52" s="13">
        <v>0.05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f t="shared" si="3"/>
        <v>0.15000000000000002</v>
      </c>
      <c r="AL52" s="23">
        <f t="shared" si="2"/>
        <v>1783.2500000000002</v>
      </c>
      <c r="AM52" s="13"/>
      <c r="AN52" s="13" t="s">
        <v>114</v>
      </c>
      <c r="AO52" s="7" t="s">
        <v>115</v>
      </c>
      <c r="AP52" s="38">
        <v>10</v>
      </c>
      <c r="AQ52" s="12">
        <v>1620</v>
      </c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13"/>
      <c r="CG52" s="13"/>
      <c r="CH52" s="13"/>
      <c r="CI52" s="12"/>
      <c r="CJ52" s="12"/>
      <c r="CK52" s="12"/>
      <c r="CL52" s="12"/>
      <c r="CM52" s="12"/>
      <c r="CN52" s="12"/>
      <c r="CO52" s="12"/>
      <c r="CP52" s="12">
        <f>SUM($AQ52:BJ52)-SUM($EA52:EH52)</f>
        <v>1464.55</v>
      </c>
      <c r="CQ52" s="12">
        <f>SUM($AQ52:BK52)-SUM($EA52:EI52)</f>
        <v>1450.5</v>
      </c>
      <c r="CR52" s="12">
        <f>SUM($AQ52:BL52)-SUM($EA52:EJ52)</f>
        <v>1449.75</v>
      </c>
      <c r="CS52" s="12">
        <f>SUM($AQ52:BM52)-SUM($EA52:EK52)</f>
        <v>1443</v>
      </c>
      <c r="CT52" s="12">
        <f>SUM($AQ52:BN52)-SUM($EA52:EL52)</f>
        <v>1392.25</v>
      </c>
      <c r="CU52" s="12">
        <f>SUM($AQ52:BO52)-SUM($EA52:EM52)</f>
        <v>1289.75</v>
      </c>
      <c r="CV52" s="12">
        <f>SUM($AQ52:BP52)-SUM($EA52:EN52)</f>
        <v>1232.25</v>
      </c>
      <c r="CW52" s="12">
        <f>SUM($AQ52:BQ52)-SUM($EA52:EO52)</f>
        <v>1182.25</v>
      </c>
      <c r="CX52" s="12">
        <f>SUM($AQ52:BR52)-SUM($EA52:EP52)</f>
        <v>1129.75</v>
      </c>
      <c r="CY52" s="12">
        <f>SUM($AQ52:BS52)-SUM($EA52:EQ52)</f>
        <v>1077.25</v>
      </c>
      <c r="CZ52" s="12">
        <f>SUM($AQ52:BT52)-SUM($EA52:ER52)</f>
        <v>1024.75</v>
      </c>
      <c r="DA52" s="12">
        <f>SUM($AQ52:BU52)-SUM($EA52:ES52)</f>
        <v>972.25</v>
      </c>
      <c r="DB52" s="12">
        <f>SUM($AQ52:BV52)-SUM($EA52:ET52)</f>
        <v>919.75</v>
      </c>
      <c r="DC52" s="12">
        <f>SUM($AQ52:BW52)-SUM($EA52:EU52)</f>
        <v>867.25</v>
      </c>
      <c r="DD52" s="12">
        <f>SUM($AQ52:BX52)-SUM($EA52:EV52)</f>
        <v>814.75</v>
      </c>
      <c r="DE52" s="12">
        <f>SUM($AQ52:BY52)-SUM($EA52:EW52)</f>
        <v>762.6</v>
      </c>
      <c r="DF52" s="12">
        <f>SUM($AQ52:BZ52)-SUM($EA52:EX52)</f>
        <v>712.6</v>
      </c>
      <c r="DG52" s="12">
        <f>SUM($AQ52:CA52)-SUM($EA52:EY52)</f>
        <v>662.6</v>
      </c>
      <c r="DH52" s="12">
        <f>SUM($AQ52:CB52)-SUM($EA52:EZ52)</f>
        <v>612.6</v>
      </c>
      <c r="DI52" s="12">
        <f>SUM($AQ52:CC52)-SUM($EA52:FA52)</f>
        <v>562.59999999999991</v>
      </c>
      <c r="DJ52" s="12">
        <f>SUM($AQ52:CD52)-SUM($EA52:FB52)</f>
        <v>512.59999999999991</v>
      </c>
      <c r="DK52" s="12">
        <f>SUM($AQ52:CE52)-SUM($EA52:FC52)</f>
        <v>462.59999999999991</v>
      </c>
      <c r="DL52" s="12">
        <f>SUM($AQ52:CF52)-SUM($EA52:FD52)</f>
        <v>412.59999999999991</v>
      </c>
      <c r="DM52" s="12">
        <f>SUM($AQ52:CG52)-SUM($EA52:FE52)</f>
        <v>362.59999999999991</v>
      </c>
      <c r="DN52" s="12">
        <f>SUM($AQ52:CH52)-SUM($EA52:FF52)</f>
        <v>312.59999999999991</v>
      </c>
      <c r="DO52" s="12">
        <f>SUM($AQ52:CI52)-SUM($EA52:FG52)</f>
        <v>262.59999999999991</v>
      </c>
      <c r="DP52" s="12">
        <f>SUM($AQ52:CJ52)-SUM($EA52:FH52)</f>
        <v>212.59999999999991</v>
      </c>
      <c r="DQ52" s="12">
        <f>SUM($AQ52:CK52)-SUM($EA52:FI52)</f>
        <v>162.59999999999991</v>
      </c>
      <c r="DR52" s="12">
        <f>SUM($AQ52:CL52)-SUM($EA52:FJ52)</f>
        <v>112.59999999999991</v>
      </c>
      <c r="DS52" s="12">
        <f>SUM($AQ52:CM52)-SUM($EA52:FK52)</f>
        <v>62.599999999999909</v>
      </c>
      <c r="DT52" s="12">
        <f>SUM($AQ52:CN52)-SUM($EA52:FL52)</f>
        <v>12.599999999999909</v>
      </c>
      <c r="DU52" s="12">
        <f>SUM($AQ52:CO52)-SUM($EA52:FM52)</f>
        <v>-37.400000000000091</v>
      </c>
      <c r="DV52" s="12">
        <f>SUM($AQ52:CP52)-SUM($EA52:FN52)</f>
        <v>1386.3000000000002</v>
      </c>
      <c r="DW52" s="12">
        <f>SUM($AQ52:CQ52)-SUM($EA52:FO52)</f>
        <v>2836.8</v>
      </c>
      <c r="DX52" s="13"/>
      <c r="DY52" s="13"/>
      <c r="DZ52" s="13"/>
      <c r="EA52" s="12"/>
      <c r="EB52" s="12"/>
      <c r="EC52" s="12"/>
      <c r="ED52" s="12"/>
      <c r="EE52" s="12"/>
      <c r="EF52" s="12"/>
      <c r="EG52" s="12"/>
      <c r="EH52" s="12">
        <f t="array" ref="EH52">SUMPRODUCT(TRANSPOSE(EH$9:EH$34),$K52:$AJ52)</f>
        <v>155.45000000000002</v>
      </c>
      <c r="EI52" s="12">
        <f t="array" ref="EI52">SUMPRODUCT(TRANSPOSE(EI$9:EI$34),$K52:$AJ52)</f>
        <v>14.05</v>
      </c>
      <c r="EJ52" s="12">
        <f t="array" ref="EJ52">SUMPRODUCT(TRANSPOSE(EJ$9:EJ$34),$K52:$AJ52)</f>
        <v>0.75</v>
      </c>
      <c r="EK52" s="12">
        <f t="array" ref="EK52">SUMPRODUCT(TRANSPOSE(EK$9:EK$34),$K52:$AJ52)</f>
        <v>6.75</v>
      </c>
      <c r="EL52" s="12">
        <f t="array" ref="EL52">SUMPRODUCT(TRANSPOSE(EL$9:EL$34),$K52:$AJ52)</f>
        <v>50.75</v>
      </c>
      <c r="EM52" s="12">
        <f t="array" ref="EM52">SUMPRODUCT(TRANSPOSE(EM$9:EM$34),$K52:$AJ52)</f>
        <v>102.5</v>
      </c>
      <c r="EN52" s="12">
        <f t="array" ref="EN52">SUMPRODUCT(TRANSPOSE(EN$9:EN$34),$K52:$AJ52)</f>
        <v>57.5</v>
      </c>
      <c r="EO52" s="12">
        <f t="array" ref="EO52">SUMPRODUCT(TRANSPOSE(EO$9:EO$34),$K52:$AJ52)</f>
        <v>50</v>
      </c>
      <c r="EP52" s="12">
        <f t="array" ref="EP52">SUMPRODUCT(TRANSPOSE(EP$9:EP$34),$K52:$AJ52)</f>
        <v>52.5</v>
      </c>
      <c r="EQ52" s="12">
        <f t="array" ref="EQ52">SUMPRODUCT(TRANSPOSE(EQ$9:EQ$34),$K52:$AJ52)</f>
        <v>52.5</v>
      </c>
      <c r="ER52" s="12">
        <f t="array" ref="ER52">SUMPRODUCT(TRANSPOSE(ER$9:ER$34),$K52:$AJ52)</f>
        <v>52.5</v>
      </c>
      <c r="ES52" s="12">
        <f t="array" ref="ES52">SUMPRODUCT(TRANSPOSE(ES$9:ES$34),$K52:$AJ52)</f>
        <v>52.5</v>
      </c>
      <c r="ET52" s="12">
        <f t="array" ref="ET52">SUMPRODUCT(TRANSPOSE(ET$9:ET$34),$K52:$AJ52)</f>
        <v>52.5</v>
      </c>
      <c r="EU52" s="12">
        <f t="array" ref="EU52">SUMPRODUCT(TRANSPOSE(EU$9:EU$34),$K52:$AJ52)</f>
        <v>52.5</v>
      </c>
      <c r="EV52" s="12">
        <f t="array" ref="EV52">SUMPRODUCT(TRANSPOSE(EV$9:EV$34),$K52:$AJ52)</f>
        <v>52.5</v>
      </c>
      <c r="EW52" s="12">
        <f t="array" ref="EW52">SUMPRODUCT(TRANSPOSE(EW$9:EW$34),$K52:$AJ52)</f>
        <v>52.15</v>
      </c>
      <c r="EX52" s="12">
        <f t="array" ref="EX52">SUMPRODUCT(TRANSPOSE(EX$9:EX$34),$K52:$AJ52)</f>
        <v>50</v>
      </c>
      <c r="EY52" s="12">
        <f t="array" ref="EY52">SUMPRODUCT(TRANSPOSE(EY$9:EY$34),$K52:$AJ52)</f>
        <v>50</v>
      </c>
      <c r="EZ52" s="12">
        <f t="array" ref="EZ52">SUMPRODUCT(TRANSPOSE(EZ$9:EZ$34),$K52:$AJ52)</f>
        <v>50</v>
      </c>
      <c r="FA52" s="12">
        <f t="array" ref="FA52">SUMPRODUCT(TRANSPOSE(FA$9:FA$34),$K52:$AJ52)</f>
        <v>50</v>
      </c>
      <c r="FB52" s="12">
        <f t="array" ref="FB52">SUMPRODUCT(TRANSPOSE(FB$9:FB$34),$K52:$AJ52)</f>
        <v>50</v>
      </c>
      <c r="FC52" s="12">
        <f t="array" ref="FC52">SUMPRODUCT(TRANSPOSE(FC$9:FC$34),$K52:$AJ52)</f>
        <v>50</v>
      </c>
      <c r="FD52" s="12">
        <f t="array" ref="FD52">SUMPRODUCT(TRANSPOSE(FD$9:FD$34),$K52:$AJ52)</f>
        <v>50</v>
      </c>
      <c r="FE52" s="12">
        <f t="array" ref="FE52">SUMPRODUCT(TRANSPOSE(FE$9:FE$34),$K52:$AJ52)</f>
        <v>50</v>
      </c>
      <c r="FF52" s="12">
        <f t="array" ref="FF52">SUMPRODUCT(TRANSPOSE(FF$9:FF$34),$K52:$AJ52)</f>
        <v>50</v>
      </c>
      <c r="FG52" s="12">
        <f t="array" ref="FG52">SUMPRODUCT(TRANSPOSE(FG$9:FG$34),$K52:$AJ52)</f>
        <v>50</v>
      </c>
      <c r="FH52" s="12">
        <f t="array" ref="FH52">SUMPRODUCT(TRANSPOSE(FH$9:FH$34),$K52:$AJ52)</f>
        <v>50</v>
      </c>
      <c r="FI52" s="12">
        <f t="array" ref="FI52">SUMPRODUCT(TRANSPOSE(FI$9:FI$34),$K52:$AJ52)</f>
        <v>50</v>
      </c>
      <c r="FJ52" s="12">
        <f t="array" ref="FJ52">SUMPRODUCT(TRANSPOSE(FJ$9:FJ$34),$K52:$AJ52)</f>
        <v>50</v>
      </c>
      <c r="FK52" s="12">
        <f t="array" ref="FK52">SUMPRODUCT(TRANSPOSE(FK$9:FK$34),$K52:$AJ52)</f>
        <v>50</v>
      </c>
      <c r="FL52" s="12">
        <f t="array" ref="FL52">SUMPRODUCT(TRANSPOSE(FL$9:FL$34),$K52:$AJ52)</f>
        <v>50</v>
      </c>
      <c r="FM52" s="12">
        <f t="array" ref="FM52">SUMPRODUCT(TRANSPOSE(FM$9:FM$34),$K52:$AJ52)</f>
        <v>50</v>
      </c>
      <c r="FN52" s="12">
        <f t="array" ref="FN52">SUMPRODUCT(TRANSPOSE(FN$9:FN$34),$K52:$AJ52)</f>
        <v>40.85</v>
      </c>
      <c r="FO52" s="12">
        <f t="array" ref="FO52">SUMPRODUCT(TRANSPOSE(FO$9:FO$34),$K52:$AJ52)</f>
        <v>0</v>
      </c>
    </row>
    <row r="53" spans="1:171" ht="14.25" x14ac:dyDescent="0.2">
      <c r="A53" s="13">
        <f t="shared" si="4"/>
        <v>18</v>
      </c>
      <c r="B53" s="13" t="s">
        <v>122</v>
      </c>
      <c r="C53" s="36" t="s">
        <v>123</v>
      </c>
      <c r="D53" s="13" t="s">
        <v>110</v>
      </c>
      <c r="E53" s="13">
        <v>401321735</v>
      </c>
      <c r="F53" s="26" t="s">
        <v>124</v>
      </c>
      <c r="G53" s="13"/>
      <c r="H53" s="13" t="s">
        <v>61</v>
      </c>
      <c r="I53" s="13">
        <v>1</v>
      </c>
      <c r="J53" s="13">
        <v>2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/>
      <c r="Z53" s="13"/>
      <c r="AA53" s="13">
        <v>0</v>
      </c>
      <c r="AB53" s="13">
        <v>0</v>
      </c>
      <c r="AC53" s="13">
        <v>0</v>
      </c>
      <c r="AD53" s="31">
        <v>0</v>
      </c>
      <c r="AE53" s="31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f t="shared" si="3"/>
        <v>0</v>
      </c>
      <c r="AL53" s="23">
        <f t="shared" si="2"/>
        <v>0</v>
      </c>
      <c r="AM53" s="13"/>
      <c r="AN53" s="13" t="s">
        <v>105</v>
      </c>
      <c r="AO53" s="35" t="s">
        <v>106</v>
      </c>
      <c r="AP53" s="41">
        <v>4.58</v>
      </c>
      <c r="AQ53" s="12">
        <v>220</v>
      </c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13"/>
      <c r="CG53" s="13"/>
      <c r="CH53" s="13"/>
      <c r="CI53" s="12"/>
      <c r="CJ53" s="12"/>
      <c r="CK53" s="12"/>
      <c r="CL53" s="12"/>
      <c r="CM53" s="12"/>
      <c r="CN53" s="12"/>
      <c r="CO53" s="12"/>
      <c r="CP53" s="12">
        <f>SUM($AQ53:BJ53)-SUM($EA53:EH53)</f>
        <v>220</v>
      </c>
      <c r="CQ53" s="12">
        <f>SUM($AQ53:BK53)-SUM($EA53:EI53)</f>
        <v>220</v>
      </c>
      <c r="CR53" s="12">
        <f>SUM($AQ53:BL53)-SUM($EA53:EJ53)</f>
        <v>220</v>
      </c>
      <c r="CS53" s="12">
        <f>SUM($AQ53:BM53)-SUM($EA53:EK53)</f>
        <v>220</v>
      </c>
      <c r="CT53" s="12">
        <f>SUM($AQ53:BN53)-SUM($EA53:EL53)</f>
        <v>220</v>
      </c>
      <c r="CU53" s="12">
        <f>SUM($AQ53:BO53)-SUM($EA53:EM53)</f>
        <v>220</v>
      </c>
      <c r="CV53" s="12">
        <f>SUM($AQ53:BP53)-SUM($EA53:EN53)</f>
        <v>220</v>
      </c>
      <c r="CW53" s="12">
        <f>SUM($AQ53:BQ53)-SUM($EA53:EO53)</f>
        <v>220</v>
      </c>
      <c r="CX53" s="12">
        <f>SUM($AQ53:BR53)-SUM($EA53:EP53)</f>
        <v>220</v>
      </c>
      <c r="CY53" s="12">
        <f>SUM($AQ53:BS53)-SUM($EA53:EQ53)</f>
        <v>220</v>
      </c>
      <c r="CZ53" s="12">
        <f>SUM($AQ53:BT53)-SUM($EA53:ER53)</f>
        <v>220</v>
      </c>
      <c r="DA53" s="12">
        <f>SUM($AQ53:BU53)-SUM($EA53:ES53)</f>
        <v>220</v>
      </c>
      <c r="DB53" s="12">
        <f>SUM($AQ53:BV53)-SUM($EA53:ET53)</f>
        <v>220</v>
      </c>
      <c r="DC53" s="12">
        <f>SUM($AQ53:BW53)-SUM($EA53:EU53)</f>
        <v>220</v>
      </c>
      <c r="DD53" s="12">
        <f>SUM($AQ53:BX53)-SUM($EA53:EV53)</f>
        <v>220</v>
      </c>
      <c r="DE53" s="12">
        <f>SUM($AQ53:BY53)-SUM($EA53:EW53)</f>
        <v>220</v>
      </c>
      <c r="DF53" s="12">
        <f>SUM($AQ53:BZ53)-SUM($EA53:EX53)</f>
        <v>220</v>
      </c>
      <c r="DG53" s="12">
        <f>SUM($AQ53:CA53)-SUM($EA53:EY53)</f>
        <v>220</v>
      </c>
      <c r="DH53" s="12">
        <f>SUM($AQ53:CB53)-SUM($EA53:EZ53)</f>
        <v>220</v>
      </c>
      <c r="DI53" s="12">
        <f>SUM($AQ53:CC53)-SUM($EA53:FA53)</f>
        <v>220</v>
      </c>
      <c r="DJ53" s="12">
        <f>SUM($AQ53:CD53)-SUM($EA53:FB53)</f>
        <v>220</v>
      </c>
      <c r="DK53" s="12">
        <f>SUM($AQ53:CE53)-SUM($EA53:FC53)</f>
        <v>220</v>
      </c>
      <c r="DL53" s="12">
        <f>SUM($AQ53:CF53)-SUM($EA53:FD53)</f>
        <v>220</v>
      </c>
      <c r="DM53" s="12">
        <f>SUM($AQ53:CG53)-SUM($EA53:FE53)</f>
        <v>220</v>
      </c>
      <c r="DN53" s="12">
        <f>SUM($AQ53:CH53)-SUM($EA53:FF53)</f>
        <v>220</v>
      </c>
      <c r="DO53" s="12">
        <f>SUM($AQ53:CI53)-SUM($EA53:FG53)</f>
        <v>220</v>
      </c>
      <c r="DP53" s="12">
        <f>SUM($AQ53:CJ53)-SUM($EA53:FH53)</f>
        <v>220</v>
      </c>
      <c r="DQ53" s="12">
        <f>SUM($AQ53:CK53)-SUM($EA53:FI53)</f>
        <v>220</v>
      </c>
      <c r="DR53" s="12">
        <f>SUM($AQ53:CL53)-SUM($EA53:FJ53)</f>
        <v>220</v>
      </c>
      <c r="DS53" s="12">
        <f>SUM($AQ53:CM53)-SUM($EA53:FK53)</f>
        <v>220</v>
      </c>
      <c r="DT53" s="12">
        <f>SUM($AQ53:CN53)-SUM($EA53:FL53)</f>
        <v>220</v>
      </c>
      <c r="DU53" s="12">
        <f>SUM($AQ53:CO53)-SUM($EA53:FM53)</f>
        <v>220</v>
      </c>
      <c r="DV53" s="12">
        <f>SUM($AQ53:CP53)-SUM($EA53:FN53)</f>
        <v>440</v>
      </c>
      <c r="DW53" s="12">
        <f>SUM($AQ53:CQ53)-SUM($EA53:FO53)</f>
        <v>660</v>
      </c>
      <c r="DX53" s="13"/>
      <c r="DY53" s="13"/>
      <c r="DZ53" s="13"/>
      <c r="EA53" s="12"/>
      <c r="EB53" s="12"/>
      <c r="EC53" s="12"/>
      <c r="ED53" s="12"/>
      <c r="EE53" s="12"/>
      <c r="EF53" s="12"/>
      <c r="EG53" s="12"/>
      <c r="EH53" s="12">
        <f t="array" ref="EH53">SUMPRODUCT(TRANSPOSE(EH$9:EH$34),$K53:$AJ53)</f>
        <v>0</v>
      </c>
      <c r="EI53" s="12">
        <f t="array" ref="EI53">SUMPRODUCT(TRANSPOSE(EI$9:EI$34),$K53:$AJ53)</f>
        <v>0</v>
      </c>
      <c r="EJ53" s="12">
        <f t="array" ref="EJ53">SUMPRODUCT(TRANSPOSE(EJ$9:EJ$34),$K53:$AJ53)</f>
        <v>0</v>
      </c>
      <c r="EK53" s="12">
        <f t="array" ref="EK53">SUMPRODUCT(TRANSPOSE(EK$9:EK$34),$K53:$AJ53)</f>
        <v>0</v>
      </c>
      <c r="EL53" s="12">
        <f t="array" ref="EL53">SUMPRODUCT(TRANSPOSE(EL$9:EL$34),$K53:$AJ53)</f>
        <v>0</v>
      </c>
      <c r="EM53" s="12">
        <f t="array" ref="EM53">SUMPRODUCT(TRANSPOSE(EM$9:EM$34),$K53:$AJ53)</f>
        <v>0</v>
      </c>
      <c r="EN53" s="12">
        <f t="array" ref="EN53">SUMPRODUCT(TRANSPOSE(EN$9:EN$34),$K53:$AJ53)</f>
        <v>0</v>
      </c>
      <c r="EO53" s="12">
        <f t="array" ref="EO53">SUMPRODUCT(TRANSPOSE(EO$9:EO$34),$K53:$AJ53)</f>
        <v>0</v>
      </c>
      <c r="EP53" s="12">
        <f t="array" ref="EP53">SUMPRODUCT(TRANSPOSE(EP$9:EP$34),$K53:$AJ53)</f>
        <v>0</v>
      </c>
      <c r="EQ53" s="12">
        <f t="array" ref="EQ53">SUMPRODUCT(TRANSPOSE(EQ$9:EQ$34),$K53:$AJ53)</f>
        <v>0</v>
      </c>
      <c r="ER53" s="12">
        <f t="array" ref="ER53">SUMPRODUCT(TRANSPOSE(ER$9:ER$34),$K53:$AJ53)</f>
        <v>0</v>
      </c>
      <c r="ES53" s="12">
        <f t="array" ref="ES53">SUMPRODUCT(TRANSPOSE(ES$9:ES$34),$K53:$AJ53)</f>
        <v>0</v>
      </c>
      <c r="ET53" s="12">
        <f t="array" ref="ET53">SUMPRODUCT(TRANSPOSE(ET$9:ET$34),$K53:$AJ53)</f>
        <v>0</v>
      </c>
      <c r="EU53" s="12">
        <f t="array" ref="EU53">SUMPRODUCT(TRANSPOSE(EU$9:EU$34),$K53:$AJ53)</f>
        <v>0</v>
      </c>
      <c r="EV53" s="12">
        <f t="array" ref="EV53">SUMPRODUCT(TRANSPOSE(EV$9:EV$34),$K53:$AJ53)</f>
        <v>0</v>
      </c>
      <c r="EW53" s="12">
        <f t="array" ref="EW53">SUMPRODUCT(TRANSPOSE(EW$9:EW$34),$K53:$AJ53)</f>
        <v>0</v>
      </c>
      <c r="EX53" s="12">
        <f t="array" ref="EX53">SUMPRODUCT(TRANSPOSE(EX$9:EX$34),$K53:$AJ53)</f>
        <v>0</v>
      </c>
      <c r="EY53" s="12">
        <f t="array" ref="EY53">SUMPRODUCT(TRANSPOSE(EY$9:EY$34),$K53:$AJ53)</f>
        <v>0</v>
      </c>
      <c r="EZ53" s="12">
        <f t="array" ref="EZ53">SUMPRODUCT(TRANSPOSE(EZ$9:EZ$34),$K53:$AJ53)</f>
        <v>0</v>
      </c>
      <c r="FA53" s="12">
        <f t="array" ref="FA53">SUMPRODUCT(TRANSPOSE(FA$9:FA$34),$K53:$AJ53)</f>
        <v>0</v>
      </c>
      <c r="FB53" s="12">
        <f t="array" ref="FB53">SUMPRODUCT(TRANSPOSE(FB$9:FB$34),$K53:$AJ53)</f>
        <v>0</v>
      </c>
      <c r="FC53" s="12">
        <f t="array" ref="FC53">SUMPRODUCT(TRANSPOSE(FC$9:FC$34),$K53:$AJ53)</f>
        <v>0</v>
      </c>
      <c r="FD53" s="12">
        <f t="array" ref="FD53">SUMPRODUCT(TRANSPOSE(FD$9:FD$34),$K53:$AJ53)</f>
        <v>0</v>
      </c>
      <c r="FE53" s="12">
        <f t="array" ref="FE53">SUMPRODUCT(TRANSPOSE(FE$9:FE$34),$K53:$AJ53)</f>
        <v>0</v>
      </c>
      <c r="FF53" s="12">
        <f t="array" ref="FF53">SUMPRODUCT(TRANSPOSE(FF$9:FF$34),$K53:$AJ53)</f>
        <v>0</v>
      </c>
      <c r="FG53" s="12">
        <f t="array" ref="FG53">SUMPRODUCT(TRANSPOSE(FG$9:FG$34),$K53:$AJ53)</f>
        <v>0</v>
      </c>
      <c r="FH53" s="12">
        <f t="array" ref="FH53">SUMPRODUCT(TRANSPOSE(FH$9:FH$34),$K53:$AJ53)</f>
        <v>0</v>
      </c>
      <c r="FI53" s="12">
        <f t="array" ref="FI53">SUMPRODUCT(TRANSPOSE(FI$9:FI$34),$K53:$AJ53)</f>
        <v>0</v>
      </c>
      <c r="FJ53" s="12">
        <f t="array" ref="FJ53">SUMPRODUCT(TRANSPOSE(FJ$9:FJ$34),$K53:$AJ53)</f>
        <v>0</v>
      </c>
      <c r="FK53" s="12">
        <f t="array" ref="FK53">SUMPRODUCT(TRANSPOSE(FK$9:FK$34),$K53:$AJ53)</f>
        <v>0</v>
      </c>
      <c r="FL53" s="12">
        <f t="array" ref="FL53">SUMPRODUCT(TRANSPOSE(FL$9:FL$34),$K53:$AJ53)</f>
        <v>0</v>
      </c>
      <c r="FM53" s="12">
        <f t="array" ref="FM53">SUMPRODUCT(TRANSPOSE(FM$9:FM$34),$K53:$AJ53)</f>
        <v>0</v>
      </c>
      <c r="FN53" s="12">
        <f t="array" ref="FN53">SUMPRODUCT(TRANSPOSE(FN$9:FN$34),$K53:$AJ53)</f>
        <v>0</v>
      </c>
      <c r="FO53" s="12">
        <f t="array" ref="FO53">SUMPRODUCT(TRANSPOSE(FO$9:FO$34),$K53:$AJ53)</f>
        <v>0</v>
      </c>
    </row>
    <row r="54" spans="1:171" ht="14.25" x14ac:dyDescent="0.2">
      <c r="A54" s="13">
        <f t="shared" si="4"/>
        <v>19</v>
      </c>
      <c r="B54" s="13" t="s">
        <v>125</v>
      </c>
      <c r="C54" s="58" t="s">
        <v>126</v>
      </c>
      <c r="D54" s="13" t="s">
        <v>60</v>
      </c>
      <c r="E54" s="13">
        <v>417083200</v>
      </c>
      <c r="F54" s="26" t="s">
        <v>127</v>
      </c>
      <c r="G54" s="13"/>
      <c r="H54" s="13" t="s">
        <v>61</v>
      </c>
      <c r="I54" s="13">
        <v>1</v>
      </c>
      <c r="J54" s="13">
        <v>2</v>
      </c>
      <c r="K54" s="13">
        <v>0</v>
      </c>
      <c r="L54" s="13">
        <v>1</v>
      </c>
      <c r="M54" s="13">
        <v>0</v>
      </c>
      <c r="N54" s="13">
        <v>0</v>
      </c>
      <c r="O54" s="13">
        <v>0</v>
      </c>
      <c r="P54" s="13">
        <v>0</v>
      </c>
      <c r="Q54" s="13">
        <v>1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/>
      <c r="Z54" s="13"/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f t="shared" si="3"/>
        <v>2</v>
      </c>
      <c r="AL54" s="23">
        <f t="shared" si="2"/>
        <v>70162</v>
      </c>
      <c r="AM54" s="13"/>
      <c r="AN54" s="13" t="s">
        <v>128</v>
      </c>
      <c r="AO54" s="7" t="s">
        <v>129</v>
      </c>
      <c r="AP54" s="38">
        <v>37</v>
      </c>
      <c r="AQ54" s="12">
        <v>10770</v>
      </c>
      <c r="AR54" s="12"/>
      <c r="AS54" s="12"/>
      <c r="AT54" s="12"/>
      <c r="AU54" s="12"/>
      <c r="AV54" s="12"/>
      <c r="AW54" s="12"/>
      <c r="AX54" s="12"/>
      <c r="AY54" s="12"/>
      <c r="AZ54" s="12">
        <v>64</v>
      </c>
      <c r="BA54" s="12"/>
      <c r="BB54" s="12">
        <v>1000</v>
      </c>
      <c r="BC54" s="12">
        <v>2000</v>
      </c>
      <c r="BD54" s="12">
        <v>2000</v>
      </c>
      <c r="BE54" s="12">
        <v>2000</v>
      </c>
      <c r="BF54" s="12">
        <v>2000</v>
      </c>
      <c r="BG54" s="12">
        <v>2000</v>
      </c>
      <c r="BH54" s="12">
        <v>2000</v>
      </c>
      <c r="BI54" s="12">
        <v>2000</v>
      </c>
      <c r="BJ54" s="12">
        <v>2000</v>
      </c>
      <c r="BK54" s="12">
        <v>2000</v>
      </c>
      <c r="BL54" s="12">
        <v>2000</v>
      </c>
      <c r="BM54" s="12">
        <v>2000</v>
      </c>
      <c r="BN54" s="12">
        <v>2000</v>
      </c>
      <c r="BO54" s="12">
        <v>2000</v>
      </c>
      <c r="BP54" s="12">
        <v>2000</v>
      </c>
      <c r="BQ54" s="12">
        <v>2000</v>
      </c>
      <c r="BR54" s="12">
        <v>2000</v>
      </c>
      <c r="BS54" s="12">
        <v>2000</v>
      </c>
      <c r="BT54" s="12">
        <v>2000</v>
      </c>
      <c r="BU54" s="12">
        <v>2000</v>
      </c>
      <c r="BV54" s="12">
        <v>2000</v>
      </c>
      <c r="BW54" s="12">
        <v>2000</v>
      </c>
      <c r="BX54" s="12">
        <v>2000</v>
      </c>
      <c r="BY54" s="12">
        <v>2000</v>
      </c>
      <c r="BZ54" s="59">
        <v>2000</v>
      </c>
      <c r="CA54" s="59">
        <v>2000</v>
      </c>
      <c r="CB54" s="59">
        <v>1405</v>
      </c>
      <c r="CC54" s="59"/>
      <c r="CD54" s="59"/>
      <c r="CE54" s="59"/>
      <c r="CF54" s="13"/>
      <c r="CG54" s="13"/>
      <c r="CH54" s="13"/>
      <c r="CI54" s="12"/>
      <c r="CJ54" s="12"/>
      <c r="CK54" s="12"/>
      <c r="CL54" s="12"/>
      <c r="CM54" s="12"/>
      <c r="CN54" s="12"/>
      <c r="CO54" s="12"/>
      <c r="CP54" s="12">
        <f>SUM($AQ54:BJ54)-SUM($EA54:EH54)</f>
        <v>21395</v>
      </c>
      <c r="CQ54" s="12">
        <f>SUM($AQ54:BK54)-SUM($EA54:EI54)</f>
        <v>22500</v>
      </c>
      <c r="CR54" s="12">
        <f>SUM($AQ54:BL54)-SUM($EA54:EJ54)</f>
        <v>23500</v>
      </c>
      <c r="CS54" s="12">
        <f>SUM($AQ54:BM54)-SUM($EA54:EK54)</f>
        <v>24500</v>
      </c>
      <c r="CT54" s="12">
        <f>SUM($AQ54:BN54)-SUM($EA54:EL54)</f>
        <v>25500</v>
      </c>
      <c r="CU54" s="12">
        <f>SUM($AQ54:BO54)-SUM($EA54:EM54)</f>
        <v>27500</v>
      </c>
      <c r="CV54" s="12">
        <f>SUM($AQ54:BP54)-SUM($EA54:EN54)</f>
        <v>28600</v>
      </c>
      <c r="CW54" s="12">
        <f>SUM($AQ54:BQ54)-SUM($EA54:EO54)</f>
        <v>29600</v>
      </c>
      <c r="CX54" s="12">
        <f>SUM($AQ54:BR54)-SUM($EA54:EP54)</f>
        <v>30600</v>
      </c>
      <c r="CY54" s="12">
        <f>SUM($AQ54:BS54)-SUM($EA54:EQ54)</f>
        <v>31600</v>
      </c>
      <c r="CZ54" s="12">
        <f>SUM($AQ54:BT54)-SUM($EA54:ER54)</f>
        <v>32600</v>
      </c>
      <c r="DA54" s="12">
        <f>SUM($AQ54:BU54)-SUM($EA54:ES54)</f>
        <v>33600</v>
      </c>
      <c r="DB54" s="12">
        <f>SUM($AQ54:BV54)-SUM($EA54:ET54)</f>
        <v>34600</v>
      </c>
      <c r="DC54" s="12">
        <f>SUM($AQ54:BW54)-SUM($EA54:EU54)</f>
        <v>35600</v>
      </c>
      <c r="DD54" s="12">
        <f>SUM($AQ54:BX54)-SUM($EA54:EV54)</f>
        <v>36600</v>
      </c>
      <c r="DE54" s="12">
        <f>SUM($AQ54:BY54)-SUM($EA54:EW54)</f>
        <v>37600</v>
      </c>
      <c r="DF54" s="12">
        <f>SUM($AQ54:BZ54)-SUM($EA54:EX54)</f>
        <v>38600</v>
      </c>
      <c r="DG54" s="12">
        <f>SUM($AQ54:CA54)-SUM($EA54:EY54)</f>
        <v>39600</v>
      </c>
      <c r="DH54" s="12">
        <f>SUM($AQ54:CB54)-SUM($EA54:EZ54)</f>
        <v>40005</v>
      </c>
      <c r="DI54" s="12">
        <f>SUM($AQ54:CC54)-SUM($EA54:FA54)</f>
        <v>39005</v>
      </c>
      <c r="DJ54" s="12">
        <f>SUM($AQ54:CD54)-SUM($EA54:FB54)</f>
        <v>38005</v>
      </c>
      <c r="DK54" s="12">
        <f>SUM($AQ54:CE54)-SUM($EA54:FC54)</f>
        <v>37005</v>
      </c>
      <c r="DL54" s="12">
        <f>SUM($AQ54:CF54)-SUM($EA54:FD54)</f>
        <v>36005</v>
      </c>
      <c r="DM54" s="12">
        <f>SUM($AQ54:CG54)-SUM($EA54:FE54)</f>
        <v>35005</v>
      </c>
      <c r="DN54" s="12">
        <f>SUM($AQ54:CH54)-SUM($EA54:FF54)</f>
        <v>34005</v>
      </c>
      <c r="DO54" s="12">
        <f>SUM($AQ54:CI54)-SUM($EA54:FG54)</f>
        <v>33005</v>
      </c>
      <c r="DP54" s="12">
        <f>SUM($AQ54:CJ54)-SUM($EA54:FH54)</f>
        <v>32005</v>
      </c>
      <c r="DQ54" s="12">
        <f>SUM($AQ54:CK54)-SUM($EA54:FI54)</f>
        <v>31005</v>
      </c>
      <c r="DR54" s="12">
        <f>SUM($AQ54:CL54)-SUM($EA54:FJ54)</f>
        <v>30005</v>
      </c>
      <c r="DS54" s="12">
        <f>SUM($AQ54:CM54)-SUM($EA54:FK54)</f>
        <v>29005</v>
      </c>
      <c r="DT54" s="12">
        <f>SUM($AQ54:CN54)-SUM($EA54:FL54)</f>
        <v>28005</v>
      </c>
      <c r="DU54" s="12">
        <f>SUM($AQ54:CO54)-SUM($EA54:FM54)</f>
        <v>27005</v>
      </c>
      <c r="DV54" s="12">
        <f>SUM($AQ54:CP54)-SUM($EA54:FN54)</f>
        <v>47400</v>
      </c>
      <c r="DW54" s="12">
        <f>SUM($AQ54:CQ54)-SUM($EA54:FO54)</f>
        <v>69856</v>
      </c>
      <c r="DX54" s="13"/>
      <c r="DY54" s="13"/>
      <c r="DZ54" s="13"/>
      <c r="EA54" s="12"/>
      <c r="EB54" s="12"/>
      <c r="EC54" s="12"/>
      <c r="ED54" s="12"/>
      <c r="EE54" s="12"/>
      <c r="EF54" s="12"/>
      <c r="EG54" s="12"/>
      <c r="EH54" s="12">
        <f t="array" ref="EH54">SUMPRODUCT(TRANSPOSE(EH$9:EH$34),$K54:$AJ54)</f>
        <v>6439</v>
      </c>
      <c r="EI54" s="12">
        <f t="array" ref="EI54">SUMPRODUCT(TRANSPOSE(EI$9:EI$34),$K54:$AJ54)</f>
        <v>895</v>
      </c>
      <c r="EJ54" s="12">
        <f t="array" ref="EJ54">SUMPRODUCT(TRANSPOSE(EJ$9:EJ$34),$K54:$AJ54)</f>
        <v>1000</v>
      </c>
      <c r="EK54" s="12">
        <f t="array" ref="EK54">SUMPRODUCT(TRANSPOSE(EK$9:EK$34),$K54:$AJ54)</f>
        <v>1000</v>
      </c>
      <c r="EL54" s="12">
        <f t="array" ref="EL54">SUMPRODUCT(TRANSPOSE(EL$9:EL$34),$K54:$AJ54)</f>
        <v>1000</v>
      </c>
      <c r="EM54" s="12">
        <f t="array" ref="EM54">SUMPRODUCT(TRANSPOSE(EM$9:EM$34),$K54:$AJ54)</f>
        <v>0</v>
      </c>
      <c r="EN54" s="12">
        <f t="array" ref="EN54">SUMPRODUCT(TRANSPOSE(EN$9:EN$34),$K54:$AJ54)</f>
        <v>900</v>
      </c>
      <c r="EO54" s="12">
        <f t="array" ref="EO54">SUMPRODUCT(TRANSPOSE(EO$9:EO$34),$K54:$AJ54)</f>
        <v>1000</v>
      </c>
      <c r="EP54" s="12">
        <f t="array" ref="EP54">SUMPRODUCT(TRANSPOSE(EP$9:EP$34),$K54:$AJ54)</f>
        <v>1000</v>
      </c>
      <c r="EQ54" s="12">
        <f t="array" ref="EQ54">SUMPRODUCT(TRANSPOSE(EQ$9:EQ$34),$K54:$AJ54)</f>
        <v>1000</v>
      </c>
      <c r="ER54" s="12">
        <f t="array" ref="ER54">SUMPRODUCT(TRANSPOSE(ER$9:ER$34),$K54:$AJ54)</f>
        <v>1000</v>
      </c>
      <c r="ES54" s="12">
        <f t="array" ref="ES54">SUMPRODUCT(TRANSPOSE(ES$9:ES$34),$K54:$AJ54)</f>
        <v>1000</v>
      </c>
      <c r="ET54" s="12">
        <f t="array" ref="ET54">SUMPRODUCT(TRANSPOSE(ET$9:ET$34),$K54:$AJ54)</f>
        <v>1000</v>
      </c>
      <c r="EU54" s="12">
        <f t="array" ref="EU54">SUMPRODUCT(TRANSPOSE(EU$9:EU$34),$K54:$AJ54)</f>
        <v>1000</v>
      </c>
      <c r="EV54" s="12">
        <f t="array" ref="EV54">SUMPRODUCT(TRANSPOSE(EV$9:EV$34),$K54:$AJ54)</f>
        <v>1000</v>
      </c>
      <c r="EW54" s="12">
        <f t="array" ref="EW54">SUMPRODUCT(TRANSPOSE(EW$9:EW$34),$K54:$AJ54)</f>
        <v>1000</v>
      </c>
      <c r="EX54" s="12">
        <f t="array" ref="EX54">SUMPRODUCT(TRANSPOSE(EX$9:EX$34),$K54:$AJ54)</f>
        <v>1000</v>
      </c>
      <c r="EY54" s="12">
        <f t="array" ref="EY54">SUMPRODUCT(TRANSPOSE(EY$9:EY$34),$K54:$AJ54)</f>
        <v>1000</v>
      </c>
      <c r="EZ54" s="12">
        <f t="array" ref="EZ54">SUMPRODUCT(TRANSPOSE(EZ$9:EZ$34),$K54:$AJ54)</f>
        <v>1000</v>
      </c>
      <c r="FA54" s="12">
        <f t="array" ref="FA54">SUMPRODUCT(TRANSPOSE(FA$9:FA$34),$K54:$AJ54)</f>
        <v>1000</v>
      </c>
      <c r="FB54" s="12">
        <f t="array" ref="FB54">SUMPRODUCT(TRANSPOSE(FB$9:FB$34),$K54:$AJ54)</f>
        <v>1000</v>
      </c>
      <c r="FC54" s="12">
        <f t="array" ref="FC54">SUMPRODUCT(TRANSPOSE(FC$9:FC$34),$K54:$AJ54)</f>
        <v>1000</v>
      </c>
      <c r="FD54" s="12">
        <f t="array" ref="FD54">SUMPRODUCT(TRANSPOSE(FD$9:FD$34),$K54:$AJ54)</f>
        <v>1000</v>
      </c>
      <c r="FE54" s="12">
        <f t="array" ref="FE54">SUMPRODUCT(TRANSPOSE(FE$9:FE$34),$K54:$AJ54)</f>
        <v>1000</v>
      </c>
      <c r="FF54" s="12">
        <f t="array" ref="FF54">SUMPRODUCT(TRANSPOSE(FF$9:FF$34),$K54:$AJ54)</f>
        <v>1000</v>
      </c>
      <c r="FG54" s="12">
        <f t="array" ref="FG54">SUMPRODUCT(TRANSPOSE(FG$9:FG$34),$K54:$AJ54)</f>
        <v>1000</v>
      </c>
      <c r="FH54" s="12">
        <f t="array" ref="FH54">SUMPRODUCT(TRANSPOSE(FH$9:FH$34),$K54:$AJ54)</f>
        <v>1000</v>
      </c>
      <c r="FI54" s="12">
        <f t="array" ref="FI54">SUMPRODUCT(TRANSPOSE(FI$9:FI$34),$K54:$AJ54)</f>
        <v>1000</v>
      </c>
      <c r="FJ54" s="12">
        <f t="array" ref="FJ54">SUMPRODUCT(TRANSPOSE(FJ$9:FJ$34),$K54:$AJ54)</f>
        <v>1000</v>
      </c>
      <c r="FK54" s="12">
        <f t="array" ref="FK54">SUMPRODUCT(TRANSPOSE(FK$9:FK$34),$K54:$AJ54)</f>
        <v>1000</v>
      </c>
      <c r="FL54" s="12">
        <f t="array" ref="FL54">SUMPRODUCT(TRANSPOSE(FL$9:FL$34),$K54:$AJ54)</f>
        <v>1000</v>
      </c>
      <c r="FM54" s="12">
        <f t="array" ref="FM54">SUMPRODUCT(TRANSPOSE(FM$9:FM$34),$K54:$AJ54)</f>
        <v>1000</v>
      </c>
      <c r="FN54" s="12">
        <f t="array" ref="FN54">SUMPRODUCT(TRANSPOSE(FN$9:FN$34),$K54:$AJ54)</f>
        <v>1000</v>
      </c>
      <c r="FO54" s="12">
        <f t="array" ref="FO54">SUMPRODUCT(TRANSPOSE(FO$9:FO$34),$K54:$AJ54)</f>
        <v>44</v>
      </c>
    </row>
    <row r="55" spans="1:171" ht="14.25" x14ac:dyDescent="0.2">
      <c r="A55" s="13">
        <f t="shared" si="4"/>
        <v>20</v>
      </c>
      <c r="B55" s="13" t="s">
        <v>130</v>
      </c>
      <c r="C55" s="25" t="s">
        <v>48</v>
      </c>
      <c r="D55" s="13">
        <v>-2</v>
      </c>
      <c r="E55" s="13">
        <v>415645120</v>
      </c>
      <c r="F55" s="26" t="s">
        <v>19</v>
      </c>
      <c r="G55" s="13"/>
      <c r="H55" s="13" t="s">
        <v>61</v>
      </c>
      <c r="I55" s="13">
        <v>1</v>
      </c>
      <c r="J55" s="13">
        <v>2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1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/>
      <c r="Z55" s="13"/>
      <c r="AA55" s="13">
        <v>0</v>
      </c>
      <c r="AB55" s="13">
        <v>1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f t="shared" si="3"/>
        <v>2</v>
      </c>
      <c r="AL55" s="23">
        <f t="shared" si="2"/>
        <v>35599</v>
      </c>
      <c r="AM55" s="27" t="s">
        <v>62</v>
      </c>
      <c r="AN55" s="13" t="s">
        <v>62</v>
      </c>
      <c r="AO55" s="7" t="s">
        <v>62</v>
      </c>
      <c r="AP55" s="28"/>
      <c r="AQ55" s="12">
        <v>0</v>
      </c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13"/>
      <c r="CG55" s="13"/>
      <c r="CH55" s="13"/>
      <c r="CI55" s="12"/>
      <c r="CJ55" s="12"/>
      <c r="CK55" s="12"/>
      <c r="CL55" s="12"/>
      <c r="CM55" s="12"/>
      <c r="CN55" s="12"/>
      <c r="CO55" s="12"/>
      <c r="CP55" s="12">
        <f>SUM($AQ55:BJ55)-SUM($EA55:EH55)</f>
        <v>-3109</v>
      </c>
      <c r="CQ55" s="12">
        <f>SUM($AQ55:BK55)-SUM($EA55:EI55)</f>
        <v>-3390</v>
      </c>
      <c r="CR55" s="12">
        <f>SUM($AQ55:BL55)-SUM($EA55:EJ55)</f>
        <v>-3405</v>
      </c>
      <c r="CS55" s="12">
        <f>SUM($AQ55:BM55)-SUM($EA55:EK55)</f>
        <v>-3440</v>
      </c>
      <c r="CT55" s="12">
        <f>SUM($AQ55:BN55)-SUM($EA55:EL55)</f>
        <v>-3455</v>
      </c>
      <c r="CU55" s="12">
        <f>SUM($AQ55:BO55)-SUM($EA55:EM55)</f>
        <v>-3505</v>
      </c>
      <c r="CV55" s="12">
        <f>SUM($AQ55:BP55)-SUM($EA55:EN55)</f>
        <v>-3555</v>
      </c>
      <c r="CW55" s="12">
        <f>SUM($AQ55:BQ55)-SUM($EA55:EO55)</f>
        <v>-3555</v>
      </c>
      <c r="CX55" s="12">
        <f>SUM($AQ55:BR55)-SUM($EA55:EP55)</f>
        <v>-3605</v>
      </c>
      <c r="CY55" s="12">
        <f>SUM($AQ55:BS55)-SUM($EA55:EQ55)</f>
        <v>-3655</v>
      </c>
      <c r="CZ55" s="12">
        <f>SUM($AQ55:BT55)-SUM($EA55:ER55)</f>
        <v>-3705</v>
      </c>
      <c r="DA55" s="12">
        <f>SUM($AQ55:BU55)-SUM($EA55:ES55)</f>
        <v>-3755</v>
      </c>
      <c r="DB55" s="12">
        <f>SUM($AQ55:BV55)-SUM($EA55:ET55)</f>
        <v>-3805</v>
      </c>
      <c r="DC55" s="12">
        <f>SUM($AQ55:BW55)-SUM($EA55:EU55)</f>
        <v>-3855</v>
      </c>
      <c r="DD55" s="12">
        <f>SUM($AQ55:BX55)-SUM($EA55:EV55)</f>
        <v>-3905</v>
      </c>
      <c r="DE55" s="12">
        <f>SUM($AQ55:BY55)-SUM($EA55:EW55)</f>
        <v>-3915</v>
      </c>
      <c r="DF55" s="12">
        <f>SUM($AQ55:BZ55)-SUM($EA55:EX55)</f>
        <v>-3915</v>
      </c>
      <c r="DG55" s="12">
        <f>SUM($AQ55:CA55)-SUM($EA55:EY55)</f>
        <v>-3915</v>
      </c>
      <c r="DH55" s="12">
        <f>SUM($AQ55:CB55)-SUM($EA55:EZ55)</f>
        <v>-3915</v>
      </c>
      <c r="DI55" s="12">
        <f>SUM($AQ55:CC55)-SUM($EA55:FA55)</f>
        <v>-3915</v>
      </c>
      <c r="DJ55" s="12">
        <f>SUM($AQ55:CD55)-SUM($EA55:FB55)</f>
        <v>-3915</v>
      </c>
      <c r="DK55" s="12">
        <f>SUM($AQ55:CE55)-SUM($EA55:FC55)</f>
        <v>-3915</v>
      </c>
      <c r="DL55" s="12">
        <f>SUM($AQ55:CF55)-SUM($EA55:FD55)</f>
        <v>-3915</v>
      </c>
      <c r="DM55" s="12">
        <f>SUM($AQ55:CG55)-SUM($EA55:FE55)</f>
        <v>-3915</v>
      </c>
      <c r="DN55" s="12">
        <f>SUM($AQ55:CH55)-SUM($EA55:FF55)</f>
        <v>-3915</v>
      </c>
      <c r="DO55" s="12">
        <f>SUM($AQ55:CI55)-SUM($EA55:FG55)</f>
        <v>-3915</v>
      </c>
      <c r="DP55" s="12">
        <f>SUM($AQ55:CJ55)-SUM($EA55:FH55)</f>
        <v>-3915</v>
      </c>
      <c r="DQ55" s="12">
        <f>SUM($AQ55:CK55)-SUM($EA55:FI55)</f>
        <v>-3915</v>
      </c>
      <c r="DR55" s="12">
        <f>SUM($AQ55:CL55)-SUM($EA55:FJ55)</f>
        <v>-3915</v>
      </c>
      <c r="DS55" s="12">
        <f>SUM($AQ55:CM55)-SUM($EA55:FK55)</f>
        <v>-3915</v>
      </c>
      <c r="DT55" s="12">
        <f>SUM($AQ55:CN55)-SUM($EA55:FL55)</f>
        <v>-3915</v>
      </c>
      <c r="DU55" s="12">
        <f>SUM($AQ55:CO55)-SUM($EA55:FM55)</f>
        <v>-3915</v>
      </c>
      <c r="DV55" s="12">
        <f>SUM($AQ55:CP55)-SUM($EA55:FN55)</f>
        <v>-7024</v>
      </c>
      <c r="DW55" s="12">
        <f>SUM($AQ55:CQ55)-SUM($EA55:FO55)</f>
        <v>-10414</v>
      </c>
      <c r="DX55" s="13"/>
      <c r="DY55" s="13"/>
      <c r="DZ55" s="13"/>
      <c r="EA55" s="12"/>
      <c r="EB55" s="12"/>
      <c r="EC55" s="12"/>
      <c r="ED55" s="12"/>
      <c r="EE55" s="12"/>
      <c r="EF55" s="12"/>
      <c r="EG55" s="12"/>
      <c r="EH55" s="12">
        <f t="array" ref="EH55">SUMPRODUCT(TRANSPOSE(EH$9:EH$34),$K55:$AJ55)</f>
        <v>3109</v>
      </c>
      <c r="EI55" s="12">
        <f t="array" ref="EI55">SUMPRODUCT(TRANSPOSE(EI$9:EI$34),$K55:$AJ55)</f>
        <v>281</v>
      </c>
      <c r="EJ55" s="12">
        <f t="array" ref="EJ55">SUMPRODUCT(TRANSPOSE(EJ$9:EJ$34),$K55:$AJ55)</f>
        <v>15</v>
      </c>
      <c r="EK55" s="12">
        <f t="array" ref="EK55">SUMPRODUCT(TRANSPOSE(EK$9:EK$34),$K55:$AJ55)</f>
        <v>35</v>
      </c>
      <c r="EL55" s="12">
        <f t="array" ref="EL55">SUMPRODUCT(TRANSPOSE(EL$9:EL$34),$K55:$AJ55)</f>
        <v>15</v>
      </c>
      <c r="EM55" s="12">
        <f t="array" ref="EM55">SUMPRODUCT(TRANSPOSE(EM$9:EM$34),$K55:$AJ55)</f>
        <v>50</v>
      </c>
      <c r="EN55" s="12">
        <f t="array" ref="EN55">SUMPRODUCT(TRANSPOSE(EN$9:EN$34),$K55:$AJ55)</f>
        <v>50</v>
      </c>
      <c r="EO55" s="12">
        <f t="array" ref="EO55">SUMPRODUCT(TRANSPOSE(EO$9:EO$34),$K55:$AJ55)</f>
        <v>0</v>
      </c>
      <c r="EP55" s="12">
        <f t="array" ref="EP55">SUMPRODUCT(TRANSPOSE(EP$9:EP$34),$K55:$AJ55)</f>
        <v>50</v>
      </c>
      <c r="EQ55" s="12">
        <f t="array" ref="EQ55">SUMPRODUCT(TRANSPOSE(EQ$9:EQ$34),$K55:$AJ55)</f>
        <v>50</v>
      </c>
      <c r="ER55" s="12">
        <f t="array" ref="ER55">SUMPRODUCT(TRANSPOSE(ER$9:ER$34),$K55:$AJ55)</f>
        <v>50</v>
      </c>
      <c r="ES55" s="12">
        <f t="array" ref="ES55">SUMPRODUCT(TRANSPOSE(ES$9:ES$34),$K55:$AJ55)</f>
        <v>50</v>
      </c>
      <c r="ET55" s="12">
        <f t="array" ref="ET55">SUMPRODUCT(TRANSPOSE(ET$9:ET$34),$K55:$AJ55)</f>
        <v>50</v>
      </c>
      <c r="EU55" s="12">
        <f t="array" ref="EU55">SUMPRODUCT(TRANSPOSE(EU$9:EU$34),$K55:$AJ55)</f>
        <v>50</v>
      </c>
      <c r="EV55" s="12">
        <f t="array" ref="EV55">SUMPRODUCT(TRANSPOSE(EV$9:EV$34),$K55:$AJ55)</f>
        <v>50</v>
      </c>
      <c r="EW55" s="12">
        <f t="array" ref="EW55">SUMPRODUCT(TRANSPOSE(EW$9:EW$34),$K55:$AJ55)</f>
        <v>10</v>
      </c>
      <c r="EX55" s="12">
        <f t="array" ref="EX55">SUMPRODUCT(TRANSPOSE(EX$9:EX$34),$K55:$AJ55)</f>
        <v>0</v>
      </c>
      <c r="EY55" s="12">
        <f t="array" ref="EY55">SUMPRODUCT(TRANSPOSE(EY$9:EY$34),$K55:$AJ55)</f>
        <v>0</v>
      </c>
      <c r="EZ55" s="12">
        <f t="array" ref="EZ55">SUMPRODUCT(TRANSPOSE(EZ$9:EZ$34),$K55:$AJ55)</f>
        <v>0</v>
      </c>
      <c r="FA55" s="12">
        <f t="array" ref="FA55">SUMPRODUCT(TRANSPOSE(FA$9:FA$34),$K55:$AJ55)</f>
        <v>0</v>
      </c>
      <c r="FB55" s="12">
        <f t="array" ref="FB55">SUMPRODUCT(TRANSPOSE(FB$9:FB$34),$K55:$AJ55)</f>
        <v>0</v>
      </c>
      <c r="FC55" s="12">
        <f t="array" ref="FC55">SUMPRODUCT(TRANSPOSE(FC$9:FC$34),$K55:$AJ55)</f>
        <v>0</v>
      </c>
      <c r="FD55" s="12">
        <f t="array" ref="FD55">SUMPRODUCT(TRANSPOSE(FD$9:FD$34),$K55:$AJ55)</f>
        <v>0</v>
      </c>
      <c r="FE55" s="12">
        <f t="array" ref="FE55">SUMPRODUCT(TRANSPOSE(FE$9:FE$34),$K55:$AJ55)</f>
        <v>0</v>
      </c>
      <c r="FF55" s="12">
        <f t="array" ref="FF55">SUMPRODUCT(TRANSPOSE(FF$9:FF$34),$K55:$AJ55)</f>
        <v>0</v>
      </c>
      <c r="FG55" s="12">
        <f t="array" ref="FG55">SUMPRODUCT(TRANSPOSE(FG$9:FG$34),$K55:$AJ55)</f>
        <v>0</v>
      </c>
      <c r="FH55" s="12">
        <f t="array" ref="FH55">SUMPRODUCT(TRANSPOSE(FH$9:FH$34),$K55:$AJ55)</f>
        <v>0</v>
      </c>
      <c r="FI55" s="12">
        <f t="array" ref="FI55">SUMPRODUCT(TRANSPOSE(FI$9:FI$34),$K55:$AJ55)</f>
        <v>0</v>
      </c>
      <c r="FJ55" s="12">
        <f t="array" ref="FJ55">SUMPRODUCT(TRANSPOSE(FJ$9:FJ$34),$K55:$AJ55)</f>
        <v>0</v>
      </c>
      <c r="FK55" s="12">
        <f t="array" ref="FK55">SUMPRODUCT(TRANSPOSE(FK$9:FK$34),$K55:$AJ55)</f>
        <v>0</v>
      </c>
      <c r="FL55" s="12">
        <f t="array" ref="FL55">SUMPRODUCT(TRANSPOSE(FL$9:FL$34),$K55:$AJ55)</f>
        <v>0</v>
      </c>
      <c r="FM55" s="12">
        <f t="array" ref="FM55">SUMPRODUCT(TRANSPOSE(FM$9:FM$34),$K55:$AJ55)</f>
        <v>0</v>
      </c>
      <c r="FN55" s="12">
        <f t="array" ref="FN55">SUMPRODUCT(TRANSPOSE(FN$9:FN$34),$K55:$AJ55)</f>
        <v>0</v>
      </c>
      <c r="FO55" s="12">
        <f t="array" ref="FO55">SUMPRODUCT(TRANSPOSE(FO$9:FO$34),$K55:$AJ55)</f>
        <v>0</v>
      </c>
    </row>
    <row r="56" spans="1:171" ht="14.25" x14ac:dyDescent="0.2">
      <c r="A56" s="29">
        <f t="shared" si="4"/>
        <v>21</v>
      </c>
      <c r="B56" s="42" t="s">
        <v>131</v>
      </c>
      <c r="C56" s="25" t="s">
        <v>132</v>
      </c>
      <c r="D56" s="13" t="s">
        <v>60</v>
      </c>
      <c r="E56" s="13">
        <v>408602561</v>
      </c>
      <c r="F56" s="26" t="s">
        <v>133</v>
      </c>
      <c r="G56" s="13"/>
      <c r="H56" s="13" t="s">
        <v>61</v>
      </c>
      <c r="I56" s="13">
        <v>1</v>
      </c>
      <c r="J56" s="13">
        <v>4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/>
      <c r="Z56" s="13">
        <v>2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f t="shared" si="3"/>
        <v>2</v>
      </c>
      <c r="AL56" s="23">
        <f t="shared" si="2"/>
        <v>63234</v>
      </c>
      <c r="AM56" s="27"/>
      <c r="AN56" s="13" t="s">
        <v>6</v>
      </c>
      <c r="AO56" s="7" t="s">
        <v>356</v>
      </c>
      <c r="AP56" s="38">
        <v>156</v>
      </c>
      <c r="AQ56" s="12">
        <v>2000</v>
      </c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>
        <v>4000</v>
      </c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13"/>
      <c r="CG56" s="13"/>
      <c r="CH56" s="13"/>
      <c r="CI56" s="12"/>
      <c r="CJ56" s="12"/>
      <c r="CK56" s="12"/>
      <c r="CL56" s="12"/>
      <c r="CM56" s="12"/>
      <c r="CN56" s="12"/>
      <c r="CO56" s="12"/>
      <c r="CP56" s="12">
        <f>SUM($AQ56:BJ56)-SUM($EA56:EH56)</f>
        <v>6000</v>
      </c>
      <c r="CQ56" s="12">
        <f>SUM($AQ56:BK56)-SUM($EA56:EI56)</f>
        <v>6000</v>
      </c>
      <c r="CR56" s="12">
        <f>SUM($AQ56:BL56)-SUM($EA56:EJ56)</f>
        <v>6000</v>
      </c>
      <c r="CS56" s="12">
        <f>SUM($AQ56:BM56)-SUM($EA56:EK56)</f>
        <v>5800</v>
      </c>
      <c r="CT56" s="12">
        <f>SUM($AQ56:BN56)-SUM($EA56:EL56)</f>
        <v>3800</v>
      </c>
      <c r="CU56" s="12">
        <f>SUM($AQ56:BO56)-SUM($EA56:EM56)</f>
        <v>-200</v>
      </c>
      <c r="CV56" s="12">
        <f>SUM($AQ56:BP56)-SUM($EA56:EN56)</f>
        <v>-2400</v>
      </c>
      <c r="CW56" s="12">
        <f>SUM($AQ56:BQ56)-SUM($EA56:EO56)</f>
        <v>-4400</v>
      </c>
      <c r="CX56" s="12">
        <f>SUM($AQ56:BR56)-SUM($EA56:EP56)</f>
        <v>-6400</v>
      </c>
      <c r="CY56" s="12">
        <f>SUM($AQ56:BS56)-SUM($EA56:EQ56)</f>
        <v>-8400</v>
      </c>
      <c r="CZ56" s="12">
        <f>SUM($AQ56:BT56)-SUM($EA56:ER56)</f>
        <v>-10400</v>
      </c>
      <c r="DA56" s="12">
        <f>SUM($AQ56:BU56)-SUM($EA56:ES56)</f>
        <v>-12400</v>
      </c>
      <c r="DB56" s="12">
        <f>SUM($AQ56:BV56)-SUM($EA56:ET56)</f>
        <v>-14400</v>
      </c>
      <c r="DC56" s="12">
        <f>SUM($AQ56:BW56)-SUM($EA56:EU56)</f>
        <v>-16400</v>
      </c>
      <c r="DD56" s="12">
        <f>SUM($AQ56:BX56)-SUM($EA56:EV56)</f>
        <v>-18400</v>
      </c>
      <c r="DE56" s="12">
        <f>SUM($AQ56:BY56)-SUM($EA56:EW56)</f>
        <v>-20400</v>
      </c>
      <c r="DF56" s="12">
        <f>SUM($AQ56:BZ56)-SUM($EA56:EX56)</f>
        <v>-22400</v>
      </c>
      <c r="DG56" s="12">
        <f>SUM($AQ56:CA56)-SUM($EA56:EY56)</f>
        <v>-24400</v>
      </c>
      <c r="DH56" s="12">
        <f>SUM($AQ56:CB56)-SUM($EA56:EZ56)</f>
        <v>-26400</v>
      </c>
      <c r="DI56" s="12">
        <f>SUM($AQ56:CC56)-SUM($EA56:FA56)</f>
        <v>-28400</v>
      </c>
      <c r="DJ56" s="12">
        <f>SUM($AQ56:CD56)-SUM($EA56:FB56)</f>
        <v>-30400</v>
      </c>
      <c r="DK56" s="12">
        <f>SUM($AQ56:CE56)-SUM($EA56:FC56)</f>
        <v>-32400</v>
      </c>
      <c r="DL56" s="12">
        <f>SUM($AQ56:CF56)-SUM($EA56:FD56)</f>
        <v>-34400</v>
      </c>
      <c r="DM56" s="12">
        <f>SUM($AQ56:CG56)-SUM($EA56:FE56)</f>
        <v>-36400</v>
      </c>
      <c r="DN56" s="12">
        <f>SUM($AQ56:CH56)-SUM($EA56:FF56)</f>
        <v>-38400</v>
      </c>
      <c r="DO56" s="12">
        <f>SUM($AQ56:CI56)-SUM($EA56:FG56)</f>
        <v>-40400</v>
      </c>
      <c r="DP56" s="12">
        <f>SUM($AQ56:CJ56)-SUM($EA56:FH56)</f>
        <v>-42400</v>
      </c>
      <c r="DQ56" s="12">
        <f>SUM($AQ56:CK56)-SUM($EA56:FI56)</f>
        <v>-44400</v>
      </c>
      <c r="DR56" s="12">
        <f>SUM($AQ56:CL56)-SUM($EA56:FJ56)</f>
        <v>-46400</v>
      </c>
      <c r="DS56" s="12">
        <f>SUM($AQ56:CM56)-SUM($EA56:FK56)</f>
        <v>-48400</v>
      </c>
      <c r="DT56" s="12">
        <f>SUM($AQ56:CN56)-SUM($EA56:FL56)</f>
        <v>-50400</v>
      </c>
      <c r="DU56" s="12">
        <f>SUM($AQ56:CO56)-SUM($EA56:FM56)</f>
        <v>-52400</v>
      </c>
      <c r="DV56" s="12">
        <f>SUM($AQ56:CP56)-SUM($EA56:FN56)</f>
        <v>-48034</v>
      </c>
      <c r="DW56" s="12">
        <f>SUM($AQ56:CQ56)-SUM($EA56:FO56)</f>
        <v>-42034</v>
      </c>
      <c r="DX56" s="13"/>
      <c r="DY56" s="13"/>
      <c r="DZ56" s="13"/>
      <c r="EA56" s="12"/>
      <c r="EB56" s="12"/>
      <c r="EC56" s="12"/>
      <c r="ED56" s="12"/>
      <c r="EE56" s="12"/>
      <c r="EF56" s="12"/>
      <c r="EG56" s="12"/>
      <c r="EH56" s="12">
        <f t="array" ref="EH56">SUMPRODUCT(TRANSPOSE(EH$9:EH$34),$K56:$AJ56)</f>
        <v>0</v>
      </c>
      <c r="EI56" s="12">
        <f t="array" ref="EI56">SUMPRODUCT(TRANSPOSE(EI$9:EI$34),$K56:$AJ56)</f>
        <v>0</v>
      </c>
      <c r="EJ56" s="12">
        <f t="array" ref="EJ56">SUMPRODUCT(TRANSPOSE(EJ$9:EJ$34),$K56:$AJ56)</f>
        <v>0</v>
      </c>
      <c r="EK56" s="12">
        <f t="array" ref="EK56">SUMPRODUCT(TRANSPOSE(EK$9:EK$34),$K56:$AJ56)</f>
        <v>200</v>
      </c>
      <c r="EL56" s="12">
        <f t="array" ref="EL56">SUMPRODUCT(TRANSPOSE(EL$9:EL$34),$K56:$AJ56)</f>
        <v>2000</v>
      </c>
      <c r="EM56" s="12">
        <f t="array" ref="EM56">SUMPRODUCT(TRANSPOSE(EM$9:EM$34),$K56:$AJ56)</f>
        <v>4000</v>
      </c>
      <c r="EN56" s="12">
        <f t="array" ref="EN56">SUMPRODUCT(TRANSPOSE(EN$9:EN$34),$K56:$AJ56)</f>
        <v>2200</v>
      </c>
      <c r="EO56" s="12">
        <f t="array" ref="EO56">SUMPRODUCT(TRANSPOSE(EO$9:EO$34),$K56:$AJ56)</f>
        <v>2000</v>
      </c>
      <c r="EP56" s="12">
        <f t="array" ref="EP56">SUMPRODUCT(TRANSPOSE(EP$9:EP$34),$K56:$AJ56)</f>
        <v>2000</v>
      </c>
      <c r="EQ56" s="12">
        <f t="array" ref="EQ56">SUMPRODUCT(TRANSPOSE(EQ$9:EQ$34),$K56:$AJ56)</f>
        <v>2000</v>
      </c>
      <c r="ER56" s="12">
        <f t="array" ref="ER56">SUMPRODUCT(TRANSPOSE(ER$9:ER$34),$K56:$AJ56)</f>
        <v>2000</v>
      </c>
      <c r="ES56" s="12">
        <f t="array" ref="ES56">SUMPRODUCT(TRANSPOSE(ES$9:ES$34),$K56:$AJ56)</f>
        <v>2000</v>
      </c>
      <c r="ET56" s="12">
        <f t="array" ref="ET56">SUMPRODUCT(TRANSPOSE(ET$9:ET$34),$K56:$AJ56)</f>
        <v>2000</v>
      </c>
      <c r="EU56" s="12">
        <f t="array" ref="EU56">SUMPRODUCT(TRANSPOSE(EU$9:EU$34),$K56:$AJ56)</f>
        <v>2000</v>
      </c>
      <c r="EV56" s="12">
        <f t="array" ref="EV56">SUMPRODUCT(TRANSPOSE(EV$9:EV$34),$K56:$AJ56)</f>
        <v>2000</v>
      </c>
      <c r="EW56" s="12">
        <f t="array" ref="EW56">SUMPRODUCT(TRANSPOSE(EW$9:EW$34),$K56:$AJ56)</f>
        <v>2000</v>
      </c>
      <c r="EX56" s="12">
        <f t="array" ref="EX56">SUMPRODUCT(TRANSPOSE(EX$9:EX$34),$K56:$AJ56)</f>
        <v>2000</v>
      </c>
      <c r="EY56" s="12">
        <f t="array" ref="EY56">SUMPRODUCT(TRANSPOSE(EY$9:EY$34),$K56:$AJ56)</f>
        <v>2000</v>
      </c>
      <c r="EZ56" s="12">
        <f t="array" ref="EZ56">SUMPRODUCT(TRANSPOSE(EZ$9:EZ$34),$K56:$AJ56)</f>
        <v>2000</v>
      </c>
      <c r="FA56" s="12">
        <f t="array" ref="FA56">SUMPRODUCT(TRANSPOSE(FA$9:FA$34),$K56:$AJ56)</f>
        <v>2000</v>
      </c>
      <c r="FB56" s="12">
        <f t="array" ref="FB56">SUMPRODUCT(TRANSPOSE(FB$9:FB$34),$K56:$AJ56)</f>
        <v>2000</v>
      </c>
      <c r="FC56" s="12">
        <f t="array" ref="FC56">SUMPRODUCT(TRANSPOSE(FC$9:FC$34),$K56:$AJ56)</f>
        <v>2000</v>
      </c>
      <c r="FD56" s="12">
        <f t="array" ref="FD56">SUMPRODUCT(TRANSPOSE(FD$9:FD$34),$K56:$AJ56)</f>
        <v>2000</v>
      </c>
      <c r="FE56" s="12">
        <f t="array" ref="FE56">SUMPRODUCT(TRANSPOSE(FE$9:FE$34),$K56:$AJ56)</f>
        <v>2000</v>
      </c>
      <c r="FF56" s="12">
        <f t="array" ref="FF56">SUMPRODUCT(TRANSPOSE(FF$9:FF$34),$K56:$AJ56)</f>
        <v>2000</v>
      </c>
      <c r="FG56" s="12">
        <f t="array" ref="FG56">SUMPRODUCT(TRANSPOSE(FG$9:FG$34),$K56:$AJ56)</f>
        <v>2000</v>
      </c>
      <c r="FH56" s="12">
        <f t="array" ref="FH56">SUMPRODUCT(TRANSPOSE(FH$9:FH$34),$K56:$AJ56)</f>
        <v>2000</v>
      </c>
      <c r="FI56" s="12">
        <f t="array" ref="FI56">SUMPRODUCT(TRANSPOSE(FI$9:FI$34),$K56:$AJ56)</f>
        <v>2000</v>
      </c>
      <c r="FJ56" s="12">
        <f t="array" ref="FJ56">SUMPRODUCT(TRANSPOSE(FJ$9:FJ$34),$K56:$AJ56)</f>
        <v>2000</v>
      </c>
      <c r="FK56" s="12">
        <f t="array" ref="FK56">SUMPRODUCT(TRANSPOSE(FK$9:FK$34),$K56:$AJ56)</f>
        <v>2000</v>
      </c>
      <c r="FL56" s="12">
        <f t="array" ref="FL56">SUMPRODUCT(TRANSPOSE(FL$9:FL$34),$K56:$AJ56)</f>
        <v>2000</v>
      </c>
      <c r="FM56" s="12">
        <f t="array" ref="FM56">SUMPRODUCT(TRANSPOSE(FM$9:FM$34),$K56:$AJ56)</f>
        <v>2000</v>
      </c>
      <c r="FN56" s="12">
        <f t="array" ref="FN56">SUMPRODUCT(TRANSPOSE(FN$9:FN$34),$K56:$AJ56)</f>
        <v>1634</v>
      </c>
      <c r="FO56" s="12">
        <f t="array" ref="FO56">SUMPRODUCT(TRANSPOSE(FO$9:FO$34),$K56:$AJ56)</f>
        <v>0</v>
      </c>
    </row>
    <row r="57" spans="1:171" ht="14.25" x14ac:dyDescent="0.2">
      <c r="A57" s="29">
        <f t="shared" si="4"/>
        <v>22</v>
      </c>
      <c r="B57" s="42" t="s">
        <v>1071</v>
      </c>
      <c r="C57" s="25" t="s">
        <v>1049</v>
      </c>
      <c r="D57" s="13"/>
      <c r="E57" s="13"/>
      <c r="F57" s="26" t="s">
        <v>133</v>
      </c>
      <c r="G57" s="13"/>
      <c r="H57" s="13"/>
      <c r="I57" s="13">
        <v>1</v>
      </c>
      <c r="J57" s="13"/>
      <c r="K57" s="13"/>
      <c r="L57" s="13"/>
      <c r="M57" s="13"/>
      <c r="N57" s="13"/>
      <c r="O57" s="13"/>
      <c r="P57" s="13"/>
      <c r="Q57" s="13"/>
      <c r="R57" s="13"/>
      <c r="S57" s="13">
        <v>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>
        <v>2</v>
      </c>
      <c r="AE57" s="13">
        <v>2</v>
      </c>
      <c r="AF57" s="13"/>
      <c r="AG57" s="13"/>
      <c r="AH57" s="13"/>
      <c r="AI57" s="13"/>
      <c r="AJ57" s="13"/>
      <c r="AK57" s="13">
        <f t="shared" ref="AK57" si="5">SUM(K57:AD57)</f>
        <v>4</v>
      </c>
      <c r="AL57" s="23">
        <f t="shared" si="2"/>
        <v>8096</v>
      </c>
      <c r="AM57" s="27"/>
      <c r="AN57" s="13"/>
      <c r="AO57" s="7" t="s">
        <v>1070</v>
      </c>
      <c r="AP57" s="38"/>
      <c r="AQ57" s="12">
        <v>7000</v>
      </c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13"/>
      <c r="CG57" s="13"/>
      <c r="CH57" s="13"/>
      <c r="CI57" s="12"/>
      <c r="CJ57" s="12"/>
      <c r="CK57" s="12"/>
      <c r="CL57" s="12"/>
      <c r="CM57" s="12"/>
      <c r="CN57" s="12"/>
      <c r="CO57" s="12"/>
      <c r="CP57" s="12">
        <f>SUM($AQ57:BJ57)-SUM($EA57:EH57)</f>
        <v>782</v>
      </c>
      <c r="CQ57" s="12">
        <f>SUM($AQ57:BK57)-SUM($EA57:EI57)</f>
        <v>220</v>
      </c>
      <c r="CR57" s="12">
        <f>SUM($AQ57:BL57)-SUM($EA57:EJ57)</f>
        <v>190</v>
      </c>
      <c r="CS57" s="12">
        <f>SUM($AQ57:BM57)-SUM($EA57:EK57)</f>
        <v>120</v>
      </c>
      <c r="CT57" s="12">
        <f>SUM($AQ57:BN57)-SUM($EA57:EL57)</f>
        <v>90</v>
      </c>
      <c r="CU57" s="12">
        <f>SUM($AQ57:BO57)-SUM($EA57:EM57)</f>
        <v>-10</v>
      </c>
      <c r="CV57" s="12">
        <f>SUM($AQ57:BP57)-SUM($EA57:EN57)</f>
        <v>-110</v>
      </c>
      <c r="CW57" s="12">
        <f>SUM($AQ57:BQ57)-SUM($EA57:EO57)</f>
        <v>-110</v>
      </c>
      <c r="CX57" s="12">
        <f>SUM($AQ57:BR57)-SUM($EA57:EP57)</f>
        <v>-210</v>
      </c>
      <c r="CY57" s="12">
        <f>SUM($AQ57:BS57)-SUM($EA57:EQ57)</f>
        <v>-310</v>
      </c>
      <c r="CZ57" s="12">
        <f>SUM($AQ57:BT57)-SUM($EA57:ER57)</f>
        <v>-410</v>
      </c>
      <c r="DA57" s="12">
        <f>SUM($AQ57:BU57)-SUM($EA57:ES57)</f>
        <v>-510</v>
      </c>
      <c r="DB57" s="12">
        <f>SUM($AQ57:BV57)-SUM($EA57:ET57)</f>
        <v>-610</v>
      </c>
      <c r="DC57" s="12">
        <f>SUM($AQ57:BW57)-SUM($EA57:EU57)</f>
        <v>-710</v>
      </c>
      <c r="DD57" s="12">
        <f>SUM($AQ57:BX57)-SUM($EA57:EV57)</f>
        <v>-810</v>
      </c>
      <c r="DE57" s="12">
        <f>SUM($AQ57:BY57)-SUM($EA57:EW57)</f>
        <v>-896</v>
      </c>
      <c r="DF57" s="12">
        <f>SUM($AQ57:BZ57)-SUM($EA57:EX57)</f>
        <v>-896</v>
      </c>
      <c r="DG57" s="12">
        <f>SUM($AQ57:CA57)-SUM($EA57:EY57)</f>
        <v>-896</v>
      </c>
      <c r="DH57" s="12">
        <f>SUM($AQ57:CB57)-SUM($EA57:EZ57)</f>
        <v>-896</v>
      </c>
      <c r="DI57" s="12">
        <f>SUM($AQ57:CC57)-SUM($EA57:FA57)</f>
        <v>-896</v>
      </c>
      <c r="DJ57" s="12">
        <f>SUM($AQ57:CD57)-SUM($EA57:FB57)</f>
        <v>-896</v>
      </c>
      <c r="DK57" s="12">
        <f>SUM($AQ57:CE57)-SUM($EA57:FC57)</f>
        <v>-896</v>
      </c>
      <c r="DL57" s="12">
        <f>SUM($AQ57:CF57)-SUM($EA57:FD57)</f>
        <v>-896</v>
      </c>
      <c r="DM57" s="12">
        <f>SUM($AQ57:CG57)-SUM($EA57:FE57)</f>
        <v>-896</v>
      </c>
      <c r="DN57" s="12">
        <f>SUM($AQ57:CH57)-SUM($EA57:FF57)</f>
        <v>-896</v>
      </c>
      <c r="DO57" s="12">
        <f>SUM($AQ57:CI57)-SUM($EA57:FG57)</f>
        <v>-896</v>
      </c>
      <c r="DP57" s="12">
        <f>SUM($AQ57:CJ57)-SUM($EA57:FH57)</f>
        <v>-896</v>
      </c>
      <c r="DQ57" s="12">
        <f>SUM($AQ57:CK57)-SUM($EA57:FI57)</f>
        <v>-896</v>
      </c>
      <c r="DR57" s="12">
        <f>SUM($AQ57:CL57)-SUM($EA57:FJ57)</f>
        <v>-896</v>
      </c>
      <c r="DS57" s="12">
        <f>SUM($AQ57:CM57)-SUM($EA57:FK57)</f>
        <v>-896</v>
      </c>
      <c r="DT57" s="12">
        <f>SUM($AQ57:CN57)-SUM($EA57:FL57)</f>
        <v>-896</v>
      </c>
      <c r="DU57" s="12">
        <f>SUM($AQ57:CO57)-SUM($EA57:FM57)</f>
        <v>-896</v>
      </c>
      <c r="DV57" s="12">
        <f>SUM($AQ57:CP57)-SUM($EA57:FN57)</f>
        <v>-114</v>
      </c>
      <c r="DW57" s="12">
        <f>SUM($AQ57:CQ57)-SUM($EA57:FO57)</f>
        <v>106</v>
      </c>
      <c r="DX57" s="13"/>
      <c r="DY57" s="13"/>
      <c r="DZ57" s="13"/>
      <c r="EA57" s="12"/>
      <c r="EB57" s="12"/>
      <c r="EC57" s="12"/>
      <c r="ED57" s="12"/>
      <c r="EE57" s="12"/>
      <c r="EF57" s="12"/>
      <c r="EG57" s="12"/>
      <c r="EH57" s="12">
        <f t="array" ref="EH57">SUMPRODUCT(TRANSPOSE(EH$9:EH$34),$K57:$AJ57)</f>
        <v>6218</v>
      </c>
      <c r="EI57" s="12">
        <f t="array" ref="EI57">SUMPRODUCT(TRANSPOSE(EI$9:EI$34),$K57:$AJ57)</f>
        <v>562</v>
      </c>
      <c r="EJ57" s="12">
        <f t="array" ref="EJ57">SUMPRODUCT(TRANSPOSE(EJ$9:EJ$34),$K57:$AJ57)</f>
        <v>30</v>
      </c>
      <c r="EK57" s="12">
        <f t="array" ref="EK57">SUMPRODUCT(TRANSPOSE(EK$9:EK$34),$K57:$AJ57)</f>
        <v>70</v>
      </c>
      <c r="EL57" s="12">
        <f t="array" ref="EL57">SUMPRODUCT(TRANSPOSE(EL$9:EL$34),$K57:$AJ57)</f>
        <v>30</v>
      </c>
      <c r="EM57" s="12">
        <f t="array" ref="EM57">SUMPRODUCT(TRANSPOSE(EM$9:EM$34),$K57:$AJ57)</f>
        <v>100</v>
      </c>
      <c r="EN57" s="12">
        <f t="array" ref="EN57">SUMPRODUCT(TRANSPOSE(EN$9:EN$34),$K57:$AJ57)</f>
        <v>100</v>
      </c>
      <c r="EO57" s="12">
        <f t="array" ref="EO57">SUMPRODUCT(TRANSPOSE(EO$9:EO$34),$K57:$AJ57)</f>
        <v>0</v>
      </c>
      <c r="EP57" s="12">
        <f t="array" ref="EP57">SUMPRODUCT(TRANSPOSE(EP$9:EP$34),$K57:$AJ57)</f>
        <v>100</v>
      </c>
      <c r="EQ57" s="12">
        <f t="array" ref="EQ57">SUMPRODUCT(TRANSPOSE(EQ$9:EQ$34),$K57:$AJ57)</f>
        <v>100</v>
      </c>
      <c r="ER57" s="12">
        <f t="array" ref="ER57">SUMPRODUCT(TRANSPOSE(ER$9:ER$34),$K57:$AJ57)</f>
        <v>100</v>
      </c>
      <c r="ES57" s="12">
        <f t="array" ref="ES57">SUMPRODUCT(TRANSPOSE(ES$9:ES$34),$K57:$AJ57)</f>
        <v>100</v>
      </c>
      <c r="ET57" s="12">
        <f t="array" ref="ET57">SUMPRODUCT(TRANSPOSE(ET$9:ET$34),$K57:$AJ57)</f>
        <v>100</v>
      </c>
      <c r="EU57" s="12">
        <f t="array" ref="EU57">SUMPRODUCT(TRANSPOSE(EU$9:EU$34),$K57:$AJ57)</f>
        <v>100</v>
      </c>
      <c r="EV57" s="12">
        <f t="array" ref="EV57">SUMPRODUCT(TRANSPOSE(EV$9:EV$34),$K57:$AJ57)</f>
        <v>100</v>
      </c>
      <c r="EW57" s="12">
        <f t="array" ref="EW57">SUMPRODUCT(TRANSPOSE(EW$9:EW$34),$K57:$AJ57)</f>
        <v>86</v>
      </c>
      <c r="EX57" s="12">
        <f t="array" ref="EX57">SUMPRODUCT(TRANSPOSE(EX$9:EX$34),$K57:$AJ57)</f>
        <v>0</v>
      </c>
      <c r="EY57" s="12">
        <f t="array" ref="EY57">SUMPRODUCT(TRANSPOSE(EY$9:EY$34),$K57:$AJ57)</f>
        <v>0</v>
      </c>
      <c r="EZ57" s="12">
        <f t="array" ref="EZ57">SUMPRODUCT(TRANSPOSE(EZ$9:EZ$34),$K57:$AJ57)</f>
        <v>0</v>
      </c>
      <c r="FA57" s="12">
        <f t="array" ref="FA57">SUMPRODUCT(TRANSPOSE(FA$9:FA$34),$K57:$AJ57)</f>
        <v>0</v>
      </c>
      <c r="FB57" s="12">
        <f t="array" ref="FB57">SUMPRODUCT(TRANSPOSE(FB$9:FB$34),$K57:$AJ57)</f>
        <v>0</v>
      </c>
      <c r="FC57" s="12">
        <f t="array" ref="FC57">SUMPRODUCT(TRANSPOSE(FC$9:FC$34),$K57:$AJ57)</f>
        <v>0</v>
      </c>
      <c r="FD57" s="12">
        <f t="array" ref="FD57">SUMPRODUCT(TRANSPOSE(FD$9:FD$34),$K57:$AJ57)</f>
        <v>0</v>
      </c>
      <c r="FE57" s="12">
        <f t="array" ref="FE57">SUMPRODUCT(TRANSPOSE(FE$9:FE$34),$K57:$AJ57)</f>
        <v>0</v>
      </c>
      <c r="FF57" s="12">
        <f t="array" ref="FF57">SUMPRODUCT(TRANSPOSE(FF$9:FF$34),$K57:$AJ57)</f>
        <v>0</v>
      </c>
      <c r="FG57" s="12">
        <f t="array" ref="FG57">SUMPRODUCT(TRANSPOSE(FG$9:FG$34),$K57:$AJ57)</f>
        <v>0</v>
      </c>
      <c r="FH57" s="12">
        <f t="array" ref="FH57">SUMPRODUCT(TRANSPOSE(FH$9:FH$34),$K57:$AJ57)</f>
        <v>0</v>
      </c>
      <c r="FI57" s="12">
        <f t="array" ref="FI57">SUMPRODUCT(TRANSPOSE(FI$9:FI$34),$K57:$AJ57)</f>
        <v>0</v>
      </c>
      <c r="FJ57" s="12">
        <f t="array" ref="FJ57">SUMPRODUCT(TRANSPOSE(FJ$9:FJ$34),$K57:$AJ57)</f>
        <v>0</v>
      </c>
      <c r="FK57" s="12">
        <f t="array" ref="FK57">SUMPRODUCT(TRANSPOSE(FK$9:FK$34),$K57:$AJ57)</f>
        <v>0</v>
      </c>
      <c r="FL57" s="12">
        <f t="array" ref="FL57">SUMPRODUCT(TRANSPOSE(FL$9:FL$34),$K57:$AJ57)</f>
        <v>0</v>
      </c>
      <c r="FM57" s="12">
        <f t="array" ref="FM57">SUMPRODUCT(TRANSPOSE(FM$9:FM$34),$K57:$AJ57)</f>
        <v>0</v>
      </c>
      <c r="FN57" s="12">
        <f t="array" ref="FN57">SUMPRODUCT(TRANSPOSE(FN$9:FN$34),$K57:$AJ57)</f>
        <v>0</v>
      </c>
      <c r="FO57" s="12">
        <f t="array" ref="FO57">SUMPRODUCT(TRANSPOSE(FO$9:FO$34),$K57:$AJ57)</f>
        <v>0</v>
      </c>
    </row>
    <row r="58" spans="1:171" ht="14.25" x14ac:dyDescent="0.2">
      <c r="A58" s="13">
        <f t="shared" si="4"/>
        <v>23</v>
      </c>
      <c r="B58" s="42" t="s">
        <v>1072</v>
      </c>
      <c r="C58" s="25" t="s">
        <v>136</v>
      </c>
      <c r="D58" s="13" t="s">
        <v>60</v>
      </c>
      <c r="E58" s="13">
        <v>408574150</v>
      </c>
      <c r="F58" s="26" t="s">
        <v>137</v>
      </c>
      <c r="G58" s="13"/>
      <c r="H58" s="13" t="s">
        <v>61</v>
      </c>
      <c r="I58" s="13">
        <v>1</v>
      </c>
      <c r="J58" s="13">
        <v>4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/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/>
      <c r="Z58" s="13">
        <v>2</v>
      </c>
      <c r="AA58" s="13">
        <v>0</v>
      </c>
      <c r="AB58" s="13">
        <v>0</v>
      </c>
      <c r="AC58" s="13">
        <v>0</v>
      </c>
      <c r="AD58" s="13"/>
      <c r="AE58" s="13"/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f t="shared" si="3"/>
        <v>2</v>
      </c>
      <c r="AL58" s="23">
        <f t="shared" si="2"/>
        <v>63234</v>
      </c>
      <c r="AM58" s="27"/>
      <c r="AN58" s="13" t="s">
        <v>6</v>
      </c>
      <c r="AO58" s="7" t="s">
        <v>2</v>
      </c>
      <c r="AP58" s="38"/>
      <c r="AQ58" s="12">
        <v>3916</v>
      </c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13"/>
      <c r="CG58" s="13"/>
      <c r="CH58" s="13"/>
      <c r="CI58" s="12"/>
      <c r="CJ58" s="12"/>
      <c r="CK58" s="12"/>
      <c r="CL58" s="12"/>
      <c r="CM58" s="12"/>
      <c r="CN58" s="12"/>
      <c r="CO58" s="12"/>
      <c r="CP58" s="12">
        <f>SUM($AQ58:BJ58)-SUM($EA58:EH58)</f>
        <v>3916</v>
      </c>
      <c r="CQ58" s="12">
        <f>SUM($AQ58:BK58)-SUM($EA58:EI58)</f>
        <v>3916</v>
      </c>
      <c r="CR58" s="12">
        <f>SUM($AQ58:BL58)-SUM($EA58:EJ58)</f>
        <v>3916</v>
      </c>
      <c r="CS58" s="12">
        <f>SUM($AQ58:BM58)-SUM($EA58:EK58)</f>
        <v>3716</v>
      </c>
      <c r="CT58" s="12">
        <f>SUM($AQ58:BN58)-SUM($EA58:EL58)</f>
        <v>1716</v>
      </c>
      <c r="CU58" s="12">
        <f>SUM($AQ58:BO58)-SUM($EA58:EM58)</f>
        <v>-2284</v>
      </c>
      <c r="CV58" s="12">
        <f>SUM($AQ58:BP58)-SUM($EA58:EN58)</f>
        <v>-4484</v>
      </c>
      <c r="CW58" s="12">
        <f>SUM($AQ58:BQ58)-SUM($EA58:EO58)</f>
        <v>-6484</v>
      </c>
      <c r="CX58" s="12">
        <f>SUM($AQ58:BR58)-SUM($EA58:EP58)</f>
        <v>-8484</v>
      </c>
      <c r="CY58" s="12">
        <f>SUM($AQ58:BS58)-SUM($EA58:EQ58)</f>
        <v>-10484</v>
      </c>
      <c r="CZ58" s="12">
        <f>SUM($AQ58:BT58)-SUM($EA58:ER58)</f>
        <v>-12484</v>
      </c>
      <c r="DA58" s="12">
        <f>SUM($AQ58:BU58)-SUM($EA58:ES58)</f>
        <v>-14484</v>
      </c>
      <c r="DB58" s="12">
        <f>SUM($AQ58:BV58)-SUM($EA58:ET58)</f>
        <v>-16484</v>
      </c>
      <c r="DC58" s="12">
        <f>SUM($AQ58:BW58)-SUM($EA58:EU58)</f>
        <v>-18484</v>
      </c>
      <c r="DD58" s="12">
        <f>SUM($AQ58:BX58)-SUM($EA58:EV58)</f>
        <v>-20484</v>
      </c>
      <c r="DE58" s="12">
        <f>SUM($AQ58:BY58)-SUM($EA58:EW58)</f>
        <v>-22484</v>
      </c>
      <c r="DF58" s="12">
        <f>SUM($AQ58:BZ58)-SUM($EA58:EX58)</f>
        <v>-24484</v>
      </c>
      <c r="DG58" s="12">
        <f>SUM($AQ58:CA58)-SUM($EA58:EY58)</f>
        <v>-26484</v>
      </c>
      <c r="DH58" s="12">
        <f>SUM($AQ58:CB58)-SUM($EA58:EZ58)</f>
        <v>-28484</v>
      </c>
      <c r="DI58" s="12">
        <f>SUM($AQ58:CC58)-SUM($EA58:FA58)</f>
        <v>-30484</v>
      </c>
      <c r="DJ58" s="12">
        <f>SUM($AQ58:CD58)-SUM($EA58:FB58)</f>
        <v>-32484</v>
      </c>
      <c r="DK58" s="12">
        <f>SUM($AQ58:CE58)-SUM($EA58:FC58)</f>
        <v>-34484</v>
      </c>
      <c r="DL58" s="12">
        <f>SUM($AQ58:CF58)-SUM($EA58:FD58)</f>
        <v>-36484</v>
      </c>
      <c r="DM58" s="12">
        <f>SUM($AQ58:CG58)-SUM($EA58:FE58)</f>
        <v>-38484</v>
      </c>
      <c r="DN58" s="12">
        <f>SUM($AQ58:CH58)-SUM($EA58:FF58)</f>
        <v>-40484</v>
      </c>
      <c r="DO58" s="12">
        <f>SUM($AQ58:CI58)-SUM($EA58:FG58)</f>
        <v>-42484</v>
      </c>
      <c r="DP58" s="12">
        <f>SUM($AQ58:CJ58)-SUM($EA58:FH58)</f>
        <v>-44484</v>
      </c>
      <c r="DQ58" s="12">
        <f>SUM($AQ58:CK58)-SUM($EA58:FI58)</f>
        <v>-46484</v>
      </c>
      <c r="DR58" s="12">
        <f>SUM($AQ58:CL58)-SUM($EA58:FJ58)</f>
        <v>-48484</v>
      </c>
      <c r="DS58" s="12">
        <f>SUM($AQ58:CM58)-SUM($EA58:FK58)</f>
        <v>-50484</v>
      </c>
      <c r="DT58" s="12">
        <f>SUM($AQ58:CN58)-SUM($EA58:FL58)</f>
        <v>-52484</v>
      </c>
      <c r="DU58" s="12">
        <f>SUM($AQ58:CO58)-SUM($EA58:FM58)</f>
        <v>-54484</v>
      </c>
      <c r="DV58" s="12">
        <f>SUM($AQ58:CP58)-SUM($EA58:FN58)</f>
        <v>-52202</v>
      </c>
      <c r="DW58" s="12">
        <f>SUM($AQ58:CQ58)-SUM($EA58:FO58)</f>
        <v>-48286</v>
      </c>
      <c r="DX58" s="13"/>
      <c r="DY58" s="13"/>
      <c r="DZ58" s="13"/>
      <c r="EA58" s="12"/>
      <c r="EB58" s="12"/>
      <c r="EC58" s="12"/>
      <c r="ED58" s="12"/>
      <c r="EE58" s="12"/>
      <c r="EF58" s="12"/>
      <c r="EG58" s="12"/>
      <c r="EH58" s="12">
        <f t="array" ref="EH58">SUMPRODUCT(TRANSPOSE(EH$9:EH$34),$K58:$AJ58)</f>
        <v>0</v>
      </c>
      <c r="EI58" s="12">
        <f t="array" ref="EI58">SUMPRODUCT(TRANSPOSE(EI$9:EI$34),$K58:$AJ58)</f>
        <v>0</v>
      </c>
      <c r="EJ58" s="12">
        <f t="array" ref="EJ58">SUMPRODUCT(TRANSPOSE(EJ$9:EJ$34),$K58:$AJ58)</f>
        <v>0</v>
      </c>
      <c r="EK58" s="12">
        <f t="array" ref="EK58">SUMPRODUCT(TRANSPOSE(EK$9:EK$34),$K58:$AJ58)</f>
        <v>200</v>
      </c>
      <c r="EL58" s="12">
        <f t="array" ref="EL58">SUMPRODUCT(TRANSPOSE(EL$9:EL$34),$K58:$AJ58)</f>
        <v>2000</v>
      </c>
      <c r="EM58" s="12">
        <f t="array" ref="EM58">SUMPRODUCT(TRANSPOSE(EM$9:EM$34),$K58:$AJ58)</f>
        <v>4000</v>
      </c>
      <c r="EN58" s="12">
        <f t="array" ref="EN58">SUMPRODUCT(TRANSPOSE(EN$9:EN$34),$K58:$AJ58)</f>
        <v>2200</v>
      </c>
      <c r="EO58" s="12">
        <f t="array" ref="EO58">SUMPRODUCT(TRANSPOSE(EO$9:EO$34),$K58:$AJ58)</f>
        <v>2000</v>
      </c>
      <c r="EP58" s="12">
        <f t="array" ref="EP58">SUMPRODUCT(TRANSPOSE(EP$9:EP$34),$K58:$AJ58)</f>
        <v>2000</v>
      </c>
      <c r="EQ58" s="12">
        <f t="array" ref="EQ58">SUMPRODUCT(TRANSPOSE(EQ$9:EQ$34),$K58:$AJ58)</f>
        <v>2000</v>
      </c>
      <c r="ER58" s="12">
        <f t="array" ref="ER58">SUMPRODUCT(TRANSPOSE(ER$9:ER$34),$K58:$AJ58)</f>
        <v>2000</v>
      </c>
      <c r="ES58" s="12">
        <f t="array" ref="ES58">SUMPRODUCT(TRANSPOSE(ES$9:ES$34),$K58:$AJ58)</f>
        <v>2000</v>
      </c>
      <c r="ET58" s="12">
        <f t="array" ref="ET58">SUMPRODUCT(TRANSPOSE(ET$9:ET$34),$K58:$AJ58)</f>
        <v>2000</v>
      </c>
      <c r="EU58" s="12">
        <f t="array" ref="EU58">SUMPRODUCT(TRANSPOSE(EU$9:EU$34),$K58:$AJ58)</f>
        <v>2000</v>
      </c>
      <c r="EV58" s="12">
        <f t="array" ref="EV58">SUMPRODUCT(TRANSPOSE(EV$9:EV$34),$K58:$AJ58)</f>
        <v>2000</v>
      </c>
      <c r="EW58" s="12">
        <f t="array" ref="EW58">SUMPRODUCT(TRANSPOSE(EW$9:EW$34),$K58:$AJ58)</f>
        <v>2000</v>
      </c>
      <c r="EX58" s="12">
        <f t="array" ref="EX58">SUMPRODUCT(TRANSPOSE(EX$9:EX$34),$K58:$AJ58)</f>
        <v>2000</v>
      </c>
      <c r="EY58" s="12">
        <f t="array" ref="EY58">SUMPRODUCT(TRANSPOSE(EY$9:EY$34),$K58:$AJ58)</f>
        <v>2000</v>
      </c>
      <c r="EZ58" s="12">
        <f t="array" ref="EZ58">SUMPRODUCT(TRANSPOSE(EZ$9:EZ$34),$K58:$AJ58)</f>
        <v>2000</v>
      </c>
      <c r="FA58" s="12">
        <f t="array" ref="FA58">SUMPRODUCT(TRANSPOSE(FA$9:FA$34),$K58:$AJ58)</f>
        <v>2000</v>
      </c>
      <c r="FB58" s="12">
        <f t="array" ref="FB58">SUMPRODUCT(TRANSPOSE(FB$9:FB$34),$K58:$AJ58)</f>
        <v>2000</v>
      </c>
      <c r="FC58" s="12">
        <f t="array" ref="FC58">SUMPRODUCT(TRANSPOSE(FC$9:FC$34),$K58:$AJ58)</f>
        <v>2000</v>
      </c>
      <c r="FD58" s="12">
        <f t="array" ref="FD58">SUMPRODUCT(TRANSPOSE(FD$9:FD$34),$K58:$AJ58)</f>
        <v>2000</v>
      </c>
      <c r="FE58" s="12">
        <f t="array" ref="FE58">SUMPRODUCT(TRANSPOSE(FE$9:FE$34),$K58:$AJ58)</f>
        <v>2000</v>
      </c>
      <c r="FF58" s="12">
        <f t="array" ref="FF58">SUMPRODUCT(TRANSPOSE(FF$9:FF$34),$K58:$AJ58)</f>
        <v>2000</v>
      </c>
      <c r="FG58" s="12">
        <f t="array" ref="FG58">SUMPRODUCT(TRANSPOSE(FG$9:FG$34),$K58:$AJ58)</f>
        <v>2000</v>
      </c>
      <c r="FH58" s="12">
        <f t="array" ref="FH58">SUMPRODUCT(TRANSPOSE(FH$9:FH$34),$K58:$AJ58)</f>
        <v>2000</v>
      </c>
      <c r="FI58" s="12">
        <f t="array" ref="FI58">SUMPRODUCT(TRANSPOSE(FI$9:FI$34),$K58:$AJ58)</f>
        <v>2000</v>
      </c>
      <c r="FJ58" s="12">
        <f t="array" ref="FJ58">SUMPRODUCT(TRANSPOSE(FJ$9:FJ$34),$K58:$AJ58)</f>
        <v>2000</v>
      </c>
      <c r="FK58" s="12">
        <f t="array" ref="FK58">SUMPRODUCT(TRANSPOSE(FK$9:FK$34),$K58:$AJ58)</f>
        <v>2000</v>
      </c>
      <c r="FL58" s="12">
        <f t="array" ref="FL58">SUMPRODUCT(TRANSPOSE(FL$9:FL$34),$K58:$AJ58)</f>
        <v>2000</v>
      </c>
      <c r="FM58" s="12">
        <f t="array" ref="FM58">SUMPRODUCT(TRANSPOSE(FM$9:FM$34),$K58:$AJ58)</f>
        <v>2000</v>
      </c>
      <c r="FN58" s="12">
        <f t="array" ref="FN58">SUMPRODUCT(TRANSPOSE(FN$9:FN$34),$K58:$AJ58)</f>
        <v>1634</v>
      </c>
      <c r="FO58" s="12">
        <f t="array" ref="FO58">SUMPRODUCT(TRANSPOSE(FO$9:FO$34),$K58:$AJ58)</f>
        <v>0</v>
      </c>
    </row>
    <row r="59" spans="1:171" ht="14.25" x14ac:dyDescent="0.2">
      <c r="A59" s="13">
        <f t="shared" si="4"/>
        <v>24</v>
      </c>
      <c r="B59" s="42" t="s">
        <v>135</v>
      </c>
      <c r="C59" s="25" t="s">
        <v>1050</v>
      </c>
      <c r="D59" s="13"/>
      <c r="E59" s="13">
        <v>404179731</v>
      </c>
      <c r="F59" s="26" t="s">
        <v>137</v>
      </c>
      <c r="G59" s="13"/>
      <c r="H59" s="13"/>
      <c r="I59" s="13">
        <v>1</v>
      </c>
      <c r="J59" s="13"/>
      <c r="K59" s="13"/>
      <c r="L59" s="13"/>
      <c r="M59" s="13"/>
      <c r="N59" s="13"/>
      <c r="O59" s="13"/>
      <c r="P59" s="13"/>
      <c r="Q59" s="13"/>
      <c r="R59" s="13"/>
      <c r="S59" s="13">
        <v>2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>
        <v>2</v>
      </c>
      <c r="AE59" s="13">
        <v>2</v>
      </c>
      <c r="AF59" s="13"/>
      <c r="AG59" s="13"/>
      <c r="AH59" s="13"/>
      <c r="AI59" s="13"/>
      <c r="AJ59" s="13"/>
      <c r="AK59" s="13"/>
      <c r="AL59" s="23">
        <f t="shared" si="2"/>
        <v>8096</v>
      </c>
      <c r="AM59" s="27"/>
      <c r="AN59" s="13"/>
      <c r="AO59" s="7" t="s">
        <v>2</v>
      </c>
      <c r="AP59" s="38"/>
      <c r="AQ59" s="12">
        <v>11201</v>
      </c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13"/>
      <c r="CG59" s="13"/>
      <c r="CH59" s="13"/>
      <c r="CI59" s="12"/>
      <c r="CJ59" s="12"/>
      <c r="CK59" s="12"/>
      <c r="CL59" s="12"/>
      <c r="CM59" s="12"/>
      <c r="CN59" s="12"/>
      <c r="CO59" s="12"/>
      <c r="CP59" s="12">
        <f>SUM($AQ59:BJ59)-SUM($EA59:EH59)</f>
        <v>4983</v>
      </c>
      <c r="CQ59" s="12">
        <f>SUM($AQ59:BK59)-SUM($EA59:EI59)</f>
        <v>4421</v>
      </c>
      <c r="CR59" s="12">
        <f>SUM($AQ59:BL59)-SUM($EA59:EJ59)</f>
        <v>4391</v>
      </c>
      <c r="CS59" s="12">
        <f>SUM($AQ59:BM59)-SUM($EA59:EK59)</f>
        <v>4321</v>
      </c>
      <c r="CT59" s="12">
        <f>SUM($AQ59:BN59)-SUM($EA59:EL59)</f>
        <v>4291</v>
      </c>
      <c r="CU59" s="12">
        <f>SUM($AQ59:BO59)-SUM($EA59:EM59)</f>
        <v>4191</v>
      </c>
      <c r="CV59" s="12">
        <f>SUM($AQ59:BP59)-SUM($EA59:EN59)</f>
        <v>4091</v>
      </c>
      <c r="CW59" s="12">
        <f>SUM($AQ59:BQ59)-SUM($EA59:EO59)</f>
        <v>4091</v>
      </c>
      <c r="CX59" s="12">
        <f>SUM($AQ59:BR59)-SUM($EA59:EP59)</f>
        <v>3991</v>
      </c>
      <c r="CY59" s="12">
        <f>SUM($AQ59:BS59)-SUM($EA59:EQ59)</f>
        <v>3891</v>
      </c>
      <c r="CZ59" s="12">
        <f>SUM($AQ59:BT59)-SUM($EA59:ER59)</f>
        <v>3791</v>
      </c>
      <c r="DA59" s="12">
        <f>SUM($AQ59:BU59)-SUM($EA59:ES59)</f>
        <v>3691</v>
      </c>
      <c r="DB59" s="12">
        <f>SUM($AQ59:BV59)-SUM($EA59:ET59)</f>
        <v>3591</v>
      </c>
      <c r="DC59" s="12">
        <f>SUM($AQ59:BW59)-SUM($EA59:EU59)</f>
        <v>3491</v>
      </c>
      <c r="DD59" s="12">
        <f>SUM($AQ59:BX59)-SUM($EA59:EV59)</f>
        <v>3391</v>
      </c>
      <c r="DE59" s="12">
        <f>SUM($AQ59:BY59)-SUM($EA59:EW59)</f>
        <v>3305</v>
      </c>
      <c r="DF59" s="12">
        <f>SUM($AQ59:BZ59)-SUM($EA59:EX59)</f>
        <v>3305</v>
      </c>
      <c r="DG59" s="12">
        <f>SUM($AQ59:CA59)-SUM($EA59:EY59)</f>
        <v>3305</v>
      </c>
      <c r="DH59" s="12">
        <f>SUM($AQ59:CB59)-SUM($EA59:EZ59)</f>
        <v>3305</v>
      </c>
      <c r="DI59" s="12">
        <f>SUM($AQ59:CC59)-SUM($EA59:FA59)</f>
        <v>3305</v>
      </c>
      <c r="DJ59" s="12">
        <f>SUM($AQ59:CD59)-SUM($EA59:FB59)</f>
        <v>3305</v>
      </c>
      <c r="DK59" s="12">
        <f>SUM($AQ59:CE59)-SUM($EA59:FC59)</f>
        <v>3305</v>
      </c>
      <c r="DL59" s="12">
        <f>SUM($AQ59:CF59)-SUM($EA59:FD59)</f>
        <v>3305</v>
      </c>
      <c r="DM59" s="12">
        <f>SUM($AQ59:CG59)-SUM($EA59:FE59)</f>
        <v>3305</v>
      </c>
      <c r="DN59" s="12">
        <f>SUM($AQ59:CH59)-SUM($EA59:FF59)</f>
        <v>3305</v>
      </c>
      <c r="DO59" s="12">
        <f>SUM($AQ59:CI59)-SUM($EA59:FG59)</f>
        <v>3305</v>
      </c>
      <c r="DP59" s="12">
        <f>SUM($AQ59:CJ59)-SUM($EA59:FH59)</f>
        <v>3305</v>
      </c>
      <c r="DQ59" s="12">
        <f>SUM($AQ59:CK59)-SUM($EA59:FI59)</f>
        <v>3305</v>
      </c>
      <c r="DR59" s="12">
        <f>SUM($AQ59:CL59)-SUM($EA59:FJ59)</f>
        <v>3305</v>
      </c>
      <c r="DS59" s="12">
        <f>SUM($AQ59:CM59)-SUM($EA59:FK59)</f>
        <v>3305</v>
      </c>
      <c r="DT59" s="12">
        <f>SUM($AQ59:CN59)-SUM($EA59:FL59)</f>
        <v>3305</v>
      </c>
      <c r="DU59" s="12">
        <f>SUM($AQ59:CO59)-SUM($EA59:FM59)</f>
        <v>3305</v>
      </c>
      <c r="DV59" s="12">
        <f>SUM($AQ59:CP59)-SUM($EA59:FN59)</f>
        <v>8288</v>
      </c>
      <c r="DW59" s="12">
        <f>SUM($AQ59:CQ59)-SUM($EA59:FO59)</f>
        <v>12709</v>
      </c>
      <c r="DX59" s="13"/>
      <c r="DY59" s="13"/>
      <c r="DZ59" s="13"/>
      <c r="EA59" s="12"/>
      <c r="EB59" s="12"/>
      <c r="EC59" s="12"/>
      <c r="ED59" s="12"/>
      <c r="EE59" s="12"/>
      <c r="EF59" s="12"/>
      <c r="EG59" s="12"/>
      <c r="EH59" s="12">
        <f t="array" ref="EH59">SUMPRODUCT(TRANSPOSE(EH$9:EH$34),$K59:$AJ59)</f>
        <v>6218</v>
      </c>
      <c r="EI59" s="12">
        <f t="array" ref="EI59">SUMPRODUCT(TRANSPOSE(EI$9:EI$34),$K59:$AJ59)</f>
        <v>562</v>
      </c>
      <c r="EJ59" s="12">
        <f t="array" ref="EJ59">SUMPRODUCT(TRANSPOSE(EJ$9:EJ$34),$K59:$AJ59)</f>
        <v>30</v>
      </c>
      <c r="EK59" s="12">
        <f t="array" ref="EK59">SUMPRODUCT(TRANSPOSE(EK$9:EK$34),$K59:$AJ59)</f>
        <v>70</v>
      </c>
      <c r="EL59" s="12">
        <f t="array" ref="EL59">SUMPRODUCT(TRANSPOSE(EL$9:EL$34),$K59:$AJ59)</f>
        <v>30</v>
      </c>
      <c r="EM59" s="12">
        <f t="array" ref="EM59">SUMPRODUCT(TRANSPOSE(EM$9:EM$34),$K59:$AJ59)</f>
        <v>100</v>
      </c>
      <c r="EN59" s="12">
        <f t="array" ref="EN59">SUMPRODUCT(TRANSPOSE(EN$9:EN$34),$K59:$AJ59)</f>
        <v>100</v>
      </c>
      <c r="EO59" s="12">
        <f t="array" ref="EO59">SUMPRODUCT(TRANSPOSE(EO$9:EO$34),$K59:$AJ59)</f>
        <v>0</v>
      </c>
      <c r="EP59" s="12">
        <f t="array" ref="EP59">SUMPRODUCT(TRANSPOSE(EP$9:EP$34),$K59:$AJ59)</f>
        <v>100</v>
      </c>
      <c r="EQ59" s="12">
        <f t="array" ref="EQ59">SUMPRODUCT(TRANSPOSE(EQ$9:EQ$34),$K59:$AJ59)</f>
        <v>100</v>
      </c>
      <c r="ER59" s="12">
        <f t="array" ref="ER59">SUMPRODUCT(TRANSPOSE(ER$9:ER$34),$K59:$AJ59)</f>
        <v>100</v>
      </c>
      <c r="ES59" s="12">
        <f t="array" ref="ES59">SUMPRODUCT(TRANSPOSE(ES$9:ES$34),$K59:$AJ59)</f>
        <v>100</v>
      </c>
      <c r="ET59" s="12">
        <f t="array" ref="ET59">SUMPRODUCT(TRANSPOSE(ET$9:ET$34),$K59:$AJ59)</f>
        <v>100</v>
      </c>
      <c r="EU59" s="12">
        <f t="array" ref="EU59">SUMPRODUCT(TRANSPOSE(EU$9:EU$34),$K59:$AJ59)</f>
        <v>100</v>
      </c>
      <c r="EV59" s="12">
        <f t="array" ref="EV59">SUMPRODUCT(TRANSPOSE(EV$9:EV$34),$K59:$AJ59)</f>
        <v>100</v>
      </c>
      <c r="EW59" s="12">
        <f t="array" ref="EW59">SUMPRODUCT(TRANSPOSE(EW$9:EW$34),$K59:$AJ59)</f>
        <v>86</v>
      </c>
      <c r="EX59" s="12">
        <f t="array" ref="EX59">SUMPRODUCT(TRANSPOSE(EX$9:EX$34),$K59:$AJ59)</f>
        <v>0</v>
      </c>
      <c r="EY59" s="12">
        <f t="array" ref="EY59">SUMPRODUCT(TRANSPOSE(EY$9:EY$34),$K59:$AJ59)</f>
        <v>0</v>
      </c>
      <c r="EZ59" s="12">
        <f t="array" ref="EZ59">SUMPRODUCT(TRANSPOSE(EZ$9:EZ$34),$K59:$AJ59)</f>
        <v>0</v>
      </c>
      <c r="FA59" s="12">
        <f t="array" ref="FA59">SUMPRODUCT(TRANSPOSE(FA$9:FA$34),$K59:$AJ59)</f>
        <v>0</v>
      </c>
      <c r="FB59" s="12">
        <f t="array" ref="FB59">SUMPRODUCT(TRANSPOSE(FB$9:FB$34),$K59:$AJ59)</f>
        <v>0</v>
      </c>
      <c r="FC59" s="12">
        <f t="array" ref="FC59">SUMPRODUCT(TRANSPOSE(FC$9:FC$34),$K59:$AJ59)</f>
        <v>0</v>
      </c>
      <c r="FD59" s="12">
        <f t="array" ref="FD59">SUMPRODUCT(TRANSPOSE(FD$9:FD$34),$K59:$AJ59)</f>
        <v>0</v>
      </c>
      <c r="FE59" s="12">
        <f t="array" ref="FE59">SUMPRODUCT(TRANSPOSE(FE$9:FE$34),$K59:$AJ59)</f>
        <v>0</v>
      </c>
      <c r="FF59" s="12">
        <f t="array" ref="FF59">SUMPRODUCT(TRANSPOSE(FF$9:FF$34),$K59:$AJ59)</f>
        <v>0</v>
      </c>
      <c r="FG59" s="12">
        <f t="array" ref="FG59">SUMPRODUCT(TRANSPOSE(FG$9:FG$34),$K59:$AJ59)</f>
        <v>0</v>
      </c>
      <c r="FH59" s="12">
        <f t="array" ref="FH59">SUMPRODUCT(TRANSPOSE(FH$9:FH$34),$K59:$AJ59)</f>
        <v>0</v>
      </c>
      <c r="FI59" s="12">
        <f t="array" ref="FI59">SUMPRODUCT(TRANSPOSE(FI$9:FI$34),$K59:$AJ59)</f>
        <v>0</v>
      </c>
      <c r="FJ59" s="12">
        <f t="array" ref="FJ59">SUMPRODUCT(TRANSPOSE(FJ$9:FJ$34),$K59:$AJ59)</f>
        <v>0</v>
      </c>
      <c r="FK59" s="12">
        <f t="array" ref="FK59">SUMPRODUCT(TRANSPOSE(FK$9:FK$34),$K59:$AJ59)</f>
        <v>0</v>
      </c>
      <c r="FL59" s="12">
        <f t="array" ref="FL59">SUMPRODUCT(TRANSPOSE(FL$9:FL$34),$K59:$AJ59)</f>
        <v>0</v>
      </c>
      <c r="FM59" s="12">
        <f t="array" ref="FM59">SUMPRODUCT(TRANSPOSE(FM$9:FM$34),$K59:$AJ59)</f>
        <v>0</v>
      </c>
      <c r="FN59" s="12">
        <f t="array" ref="FN59">SUMPRODUCT(TRANSPOSE(FN$9:FN$34),$K59:$AJ59)</f>
        <v>0</v>
      </c>
      <c r="FO59" s="12">
        <f t="array" ref="FO59">SUMPRODUCT(TRANSPOSE(FO$9:FO$34),$K59:$AJ59)</f>
        <v>0</v>
      </c>
    </row>
    <row r="60" spans="1:171" ht="14.25" x14ac:dyDescent="0.2">
      <c r="A60" s="13">
        <f t="shared" si="4"/>
        <v>25</v>
      </c>
      <c r="B60" s="13" t="s">
        <v>138</v>
      </c>
      <c r="C60" s="25" t="s">
        <v>139</v>
      </c>
      <c r="D60" s="13" t="s">
        <v>60</v>
      </c>
      <c r="E60" s="13">
        <v>400969533</v>
      </c>
      <c r="F60" s="26" t="s">
        <v>140</v>
      </c>
      <c r="G60" s="13"/>
      <c r="H60" s="13" t="s">
        <v>61</v>
      </c>
      <c r="I60" s="13">
        <v>1</v>
      </c>
      <c r="J60" s="13">
        <v>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1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1</v>
      </c>
      <c r="Z60" s="13"/>
      <c r="AA60" s="13">
        <v>0</v>
      </c>
      <c r="AB60" s="13">
        <v>0</v>
      </c>
      <c r="AC60" s="13">
        <v>1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f t="shared" si="3"/>
        <v>3</v>
      </c>
      <c r="AL60" s="23">
        <f t="shared" si="2"/>
        <v>35665</v>
      </c>
      <c r="AM60" s="13"/>
      <c r="AN60" s="13" t="s">
        <v>128</v>
      </c>
      <c r="AO60" s="7" t="s">
        <v>129</v>
      </c>
      <c r="AP60" s="38">
        <v>1</v>
      </c>
      <c r="AQ60" s="12">
        <v>10078</v>
      </c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>
        <v>40</v>
      </c>
      <c r="BF60" s="12"/>
      <c r="BG60" s="12">
        <v>1000</v>
      </c>
      <c r="BH60" s="12">
        <v>1000</v>
      </c>
      <c r="BI60" s="12">
        <v>1000</v>
      </c>
      <c r="BJ60" s="12">
        <v>1000</v>
      </c>
      <c r="BK60" s="12">
        <v>1000</v>
      </c>
      <c r="BL60" s="12">
        <v>1000</v>
      </c>
      <c r="BM60" s="12">
        <v>1000</v>
      </c>
      <c r="BN60" s="12">
        <v>1000</v>
      </c>
      <c r="BO60" s="12">
        <v>1000</v>
      </c>
      <c r="BP60" s="12">
        <v>1000</v>
      </c>
      <c r="BQ60" s="12">
        <v>1000</v>
      </c>
      <c r="BR60" s="12">
        <v>1000</v>
      </c>
      <c r="BS60" s="12">
        <v>1000</v>
      </c>
      <c r="BT60" s="12">
        <v>1000</v>
      </c>
      <c r="BU60" s="12">
        <v>1000</v>
      </c>
      <c r="BV60" s="12">
        <v>1000</v>
      </c>
      <c r="BW60" s="12">
        <v>1000</v>
      </c>
      <c r="BX60" s="12">
        <v>1000</v>
      </c>
      <c r="BY60" s="12">
        <v>1000</v>
      </c>
      <c r="BZ60" s="12">
        <v>1400</v>
      </c>
      <c r="CA60" s="12">
        <v>121</v>
      </c>
      <c r="CB60" s="12">
        <v>66</v>
      </c>
      <c r="CC60" s="59"/>
      <c r="CD60" s="59"/>
      <c r="CE60" s="59"/>
      <c r="CF60" s="13"/>
      <c r="CG60" s="13"/>
      <c r="CH60" s="13"/>
      <c r="CI60" s="12"/>
      <c r="CJ60" s="12"/>
      <c r="CK60" s="12"/>
      <c r="CL60" s="12"/>
      <c r="CM60" s="12"/>
      <c r="CN60" s="12"/>
      <c r="CO60" s="12"/>
      <c r="CP60" s="12">
        <f>SUM($AQ60:BJ60)-SUM($EA60:EH60)</f>
        <v>11009</v>
      </c>
      <c r="CQ60" s="12">
        <f>SUM($AQ60:BK60)-SUM($EA60:EI60)</f>
        <v>11728</v>
      </c>
      <c r="CR60" s="12">
        <f>SUM($AQ60:BL60)-SUM($EA60:EJ60)</f>
        <v>12728</v>
      </c>
      <c r="CS60" s="12">
        <f>SUM($AQ60:BM60)-SUM($EA60:EK60)</f>
        <v>13628</v>
      </c>
      <c r="CT60" s="12">
        <f>SUM($AQ60:BN60)-SUM($EA60:EL60)</f>
        <v>13628</v>
      </c>
      <c r="CU60" s="12">
        <f>SUM($AQ60:BO60)-SUM($EA60:EM60)</f>
        <v>12628</v>
      </c>
      <c r="CV60" s="12">
        <f>SUM($AQ60:BP60)-SUM($EA60:EN60)</f>
        <v>12528</v>
      </c>
      <c r="CW60" s="12">
        <f>SUM($AQ60:BQ60)-SUM($EA60:EO60)</f>
        <v>12528</v>
      </c>
      <c r="CX60" s="12">
        <f>SUM($AQ60:BR60)-SUM($EA60:EP60)</f>
        <v>12528</v>
      </c>
      <c r="CY60" s="12">
        <f>SUM($AQ60:BS60)-SUM($EA60:EQ60)</f>
        <v>12528</v>
      </c>
      <c r="CZ60" s="12">
        <f>SUM($AQ60:BT60)-SUM($EA60:ER60)</f>
        <v>12528</v>
      </c>
      <c r="DA60" s="12">
        <f>SUM($AQ60:BU60)-SUM($EA60:ES60)</f>
        <v>12528</v>
      </c>
      <c r="DB60" s="12">
        <f>SUM($AQ60:BV60)-SUM($EA60:ET60)</f>
        <v>12528</v>
      </c>
      <c r="DC60" s="12">
        <f>SUM($AQ60:BW60)-SUM($EA60:EU60)</f>
        <v>12528</v>
      </c>
      <c r="DD60" s="12">
        <f>SUM($AQ60:BX60)-SUM($EA60:EV60)</f>
        <v>12528</v>
      </c>
      <c r="DE60" s="12">
        <f>SUM($AQ60:BY60)-SUM($EA60:EW60)</f>
        <v>12528</v>
      </c>
      <c r="DF60" s="12">
        <f>SUM($AQ60:BZ60)-SUM($EA60:EX60)</f>
        <v>12928</v>
      </c>
      <c r="DG60" s="12">
        <f>SUM($AQ60:CA60)-SUM($EA60:EY60)</f>
        <v>12049</v>
      </c>
      <c r="DH60" s="12">
        <f>SUM($AQ60:CB60)-SUM($EA60:EZ60)</f>
        <v>11115</v>
      </c>
      <c r="DI60" s="12">
        <f>SUM($AQ60:CC60)-SUM($EA60:FA60)</f>
        <v>10115</v>
      </c>
      <c r="DJ60" s="12">
        <f>SUM($AQ60:CD60)-SUM($EA60:FB60)</f>
        <v>9115</v>
      </c>
      <c r="DK60" s="12">
        <f>SUM($AQ60:CE60)-SUM($EA60:FC60)</f>
        <v>8115</v>
      </c>
      <c r="DL60" s="12">
        <f>SUM($AQ60:CF60)-SUM($EA60:FD60)</f>
        <v>7115</v>
      </c>
      <c r="DM60" s="12">
        <f>SUM($AQ60:CG60)-SUM($EA60:FE60)</f>
        <v>6115</v>
      </c>
      <c r="DN60" s="12">
        <f>SUM($AQ60:CH60)-SUM($EA60:FF60)</f>
        <v>5115</v>
      </c>
      <c r="DO60" s="12">
        <f>SUM($AQ60:CI60)-SUM($EA60:FG60)</f>
        <v>4115</v>
      </c>
      <c r="DP60" s="12">
        <f>SUM($AQ60:CJ60)-SUM($EA60:FH60)</f>
        <v>3115</v>
      </c>
      <c r="DQ60" s="12">
        <f>SUM($AQ60:CK60)-SUM($EA60:FI60)</f>
        <v>2115</v>
      </c>
      <c r="DR60" s="12">
        <f>SUM($AQ60:CL60)-SUM($EA60:FJ60)</f>
        <v>1115</v>
      </c>
      <c r="DS60" s="12">
        <f>SUM($AQ60:CM60)-SUM($EA60:FK60)</f>
        <v>115</v>
      </c>
      <c r="DT60" s="12">
        <f>SUM($AQ60:CN60)-SUM($EA60:FL60)</f>
        <v>-885</v>
      </c>
      <c r="DU60" s="12">
        <f>SUM($AQ60:CO60)-SUM($EA60:FM60)</f>
        <v>-1885</v>
      </c>
      <c r="DV60" s="12">
        <f>SUM($AQ60:CP60)-SUM($EA60:FN60)</f>
        <v>8307</v>
      </c>
      <c r="DW60" s="12">
        <f>SUM($AQ60:CQ60)-SUM($EA60:FO60)</f>
        <v>20035</v>
      </c>
      <c r="DX60" s="13"/>
      <c r="DY60" s="13"/>
      <c r="DZ60" s="13"/>
      <c r="EA60" s="12"/>
      <c r="EB60" s="12"/>
      <c r="EC60" s="12"/>
      <c r="ED60" s="12"/>
      <c r="EE60" s="12"/>
      <c r="EF60" s="12"/>
      <c r="EG60" s="12"/>
      <c r="EH60" s="12">
        <f t="array" ref="EH60">SUMPRODUCT(TRANSPOSE(EH$9:EH$34),$K60:$AJ60)</f>
        <v>3109</v>
      </c>
      <c r="EI60" s="12">
        <f t="array" ref="EI60">SUMPRODUCT(TRANSPOSE(EI$9:EI$34),$K60:$AJ60)</f>
        <v>281</v>
      </c>
      <c r="EJ60" s="12">
        <f t="array" ref="EJ60">SUMPRODUCT(TRANSPOSE(EJ$9:EJ$34),$K60:$AJ60)</f>
        <v>0</v>
      </c>
      <c r="EK60" s="12">
        <f t="array" ref="EK60">SUMPRODUCT(TRANSPOSE(EK$9:EK$34),$K60:$AJ60)</f>
        <v>100</v>
      </c>
      <c r="EL60" s="12">
        <f t="array" ref="EL60">SUMPRODUCT(TRANSPOSE(EL$9:EL$34),$K60:$AJ60)</f>
        <v>1000</v>
      </c>
      <c r="EM60" s="12">
        <f t="array" ref="EM60">SUMPRODUCT(TRANSPOSE(EM$9:EM$34),$K60:$AJ60)</f>
        <v>2000</v>
      </c>
      <c r="EN60" s="12">
        <f t="array" ref="EN60">SUMPRODUCT(TRANSPOSE(EN$9:EN$34),$K60:$AJ60)</f>
        <v>1100</v>
      </c>
      <c r="EO60" s="12">
        <f t="array" ref="EO60">SUMPRODUCT(TRANSPOSE(EO$9:EO$34),$K60:$AJ60)</f>
        <v>1000</v>
      </c>
      <c r="EP60" s="12">
        <f t="array" ref="EP60">SUMPRODUCT(TRANSPOSE(EP$9:EP$34),$K60:$AJ60)</f>
        <v>1000</v>
      </c>
      <c r="EQ60" s="12">
        <f t="array" ref="EQ60">SUMPRODUCT(TRANSPOSE(EQ$9:EQ$34),$K60:$AJ60)</f>
        <v>1000</v>
      </c>
      <c r="ER60" s="12">
        <f t="array" ref="ER60">SUMPRODUCT(TRANSPOSE(ER$9:ER$34),$K60:$AJ60)</f>
        <v>1000</v>
      </c>
      <c r="ES60" s="12">
        <f t="array" ref="ES60">SUMPRODUCT(TRANSPOSE(ES$9:ES$34),$K60:$AJ60)</f>
        <v>1000</v>
      </c>
      <c r="ET60" s="12">
        <f t="array" ref="ET60">SUMPRODUCT(TRANSPOSE(ET$9:ET$34),$K60:$AJ60)</f>
        <v>1000</v>
      </c>
      <c r="EU60" s="12">
        <f t="array" ref="EU60">SUMPRODUCT(TRANSPOSE(EU$9:EU$34),$K60:$AJ60)</f>
        <v>1000</v>
      </c>
      <c r="EV60" s="12">
        <f t="array" ref="EV60">SUMPRODUCT(TRANSPOSE(EV$9:EV$34),$K60:$AJ60)</f>
        <v>1000</v>
      </c>
      <c r="EW60" s="12">
        <f t="array" ref="EW60">SUMPRODUCT(TRANSPOSE(EW$9:EW$34),$K60:$AJ60)</f>
        <v>1000</v>
      </c>
      <c r="EX60" s="12">
        <f t="array" ref="EX60">SUMPRODUCT(TRANSPOSE(EX$9:EX$34),$K60:$AJ60)</f>
        <v>1000</v>
      </c>
      <c r="EY60" s="12">
        <f t="array" ref="EY60">SUMPRODUCT(TRANSPOSE(EY$9:EY$34),$K60:$AJ60)</f>
        <v>1000</v>
      </c>
      <c r="EZ60" s="12">
        <f t="array" ref="EZ60">SUMPRODUCT(TRANSPOSE(EZ$9:EZ$34),$K60:$AJ60)</f>
        <v>1000</v>
      </c>
      <c r="FA60" s="12">
        <f t="array" ref="FA60">SUMPRODUCT(TRANSPOSE(FA$9:FA$34),$K60:$AJ60)</f>
        <v>1000</v>
      </c>
      <c r="FB60" s="12">
        <f t="array" ref="FB60">SUMPRODUCT(TRANSPOSE(FB$9:FB$34),$K60:$AJ60)</f>
        <v>1000</v>
      </c>
      <c r="FC60" s="12">
        <f t="array" ref="FC60">SUMPRODUCT(TRANSPOSE(FC$9:FC$34),$K60:$AJ60)</f>
        <v>1000</v>
      </c>
      <c r="FD60" s="12">
        <f t="array" ref="FD60">SUMPRODUCT(TRANSPOSE(FD$9:FD$34),$K60:$AJ60)</f>
        <v>1000</v>
      </c>
      <c r="FE60" s="12">
        <f t="array" ref="FE60">SUMPRODUCT(TRANSPOSE(FE$9:FE$34),$K60:$AJ60)</f>
        <v>1000</v>
      </c>
      <c r="FF60" s="12">
        <f t="array" ref="FF60">SUMPRODUCT(TRANSPOSE(FF$9:FF$34),$K60:$AJ60)</f>
        <v>1000</v>
      </c>
      <c r="FG60" s="12">
        <f t="array" ref="FG60">SUMPRODUCT(TRANSPOSE(FG$9:FG$34),$K60:$AJ60)</f>
        <v>1000</v>
      </c>
      <c r="FH60" s="12">
        <f t="array" ref="FH60">SUMPRODUCT(TRANSPOSE(FH$9:FH$34),$K60:$AJ60)</f>
        <v>1000</v>
      </c>
      <c r="FI60" s="12">
        <f t="array" ref="FI60">SUMPRODUCT(TRANSPOSE(FI$9:FI$34),$K60:$AJ60)</f>
        <v>1000</v>
      </c>
      <c r="FJ60" s="12">
        <f t="array" ref="FJ60">SUMPRODUCT(TRANSPOSE(FJ$9:FJ$34),$K60:$AJ60)</f>
        <v>1000</v>
      </c>
      <c r="FK60" s="12">
        <f t="array" ref="FK60">SUMPRODUCT(TRANSPOSE(FK$9:FK$34),$K60:$AJ60)</f>
        <v>1000</v>
      </c>
      <c r="FL60" s="12">
        <f t="array" ref="FL60">SUMPRODUCT(TRANSPOSE(FL$9:FL$34),$K60:$AJ60)</f>
        <v>1000</v>
      </c>
      <c r="FM60" s="12">
        <f t="array" ref="FM60">SUMPRODUCT(TRANSPOSE(FM$9:FM$34),$K60:$AJ60)</f>
        <v>1000</v>
      </c>
      <c r="FN60" s="12">
        <f t="array" ref="FN60">SUMPRODUCT(TRANSPOSE(FN$9:FN$34),$K60:$AJ60)</f>
        <v>817</v>
      </c>
      <c r="FO60" s="12">
        <f t="array" ref="FO60">SUMPRODUCT(TRANSPOSE(FO$9:FO$34),$K60:$AJ60)</f>
        <v>0</v>
      </c>
    </row>
    <row r="61" spans="1:171" ht="14.25" x14ac:dyDescent="0.2">
      <c r="A61" s="13">
        <f t="shared" si="4"/>
        <v>26</v>
      </c>
      <c r="B61" s="13" t="s">
        <v>141</v>
      </c>
      <c r="C61" s="25" t="s">
        <v>142</v>
      </c>
      <c r="D61" s="13" t="s">
        <v>60</v>
      </c>
      <c r="E61" s="13">
        <v>403572964</v>
      </c>
      <c r="F61" s="26" t="s">
        <v>143</v>
      </c>
      <c r="G61" s="13"/>
      <c r="H61" s="13" t="s">
        <v>61</v>
      </c>
      <c r="I61" s="13">
        <v>1</v>
      </c>
      <c r="J61" s="13">
        <v>3</v>
      </c>
      <c r="K61" s="13">
        <v>0</v>
      </c>
      <c r="L61" s="13">
        <v>0</v>
      </c>
      <c r="M61" s="13">
        <v>1</v>
      </c>
      <c r="N61" s="13">
        <v>0</v>
      </c>
      <c r="O61" s="13">
        <v>0</v>
      </c>
      <c r="P61" s="13">
        <v>0</v>
      </c>
      <c r="Q61" s="13">
        <v>0</v>
      </c>
      <c r="R61" s="13">
        <v>1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1</v>
      </c>
      <c r="Z61" s="13"/>
      <c r="AA61" s="13">
        <v>0</v>
      </c>
      <c r="AB61" s="13">
        <v>0</v>
      </c>
      <c r="AC61" s="13">
        <v>1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f t="shared" si="3"/>
        <v>4</v>
      </c>
      <c r="AL61" s="23">
        <f t="shared" si="2"/>
        <v>70896</v>
      </c>
      <c r="AM61" s="13"/>
      <c r="AN61" s="13" t="s">
        <v>128</v>
      </c>
      <c r="AO61" s="7" t="s">
        <v>129</v>
      </c>
      <c r="AP61" s="38">
        <v>3</v>
      </c>
      <c r="AQ61" s="12">
        <v>20098</v>
      </c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>
        <v>2000</v>
      </c>
      <c r="BH61" s="12">
        <v>2000</v>
      </c>
      <c r="BI61" s="12">
        <v>2000</v>
      </c>
      <c r="BJ61" s="12">
        <v>2000</v>
      </c>
      <c r="BK61" s="12">
        <v>2000</v>
      </c>
      <c r="BL61" s="12">
        <v>2000</v>
      </c>
      <c r="BM61" s="12">
        <v>2000</v>
      </c>
      <c r="BN61" s="12">
        <v>2000</v>
      </c>
      <c r="BO61" s="12">
        <v>2000</v>
      </c>
      <c r="BP61" s="12">
        <v>2000</v>
      </c>
      <c r="BQ61" s="12">
        <v>2000</v>
      </c>
      <c r="BR61" s="12">
        <v>2000</v>
      </c>
      <c r="BS61" s="12">
        <v>2000</v>
      </c>
      <c r="BT61" s="12">
        <v>2000</v>
      </c>
      <c r="BU61" s="12">
        <v>2000</v>
      </c>
      <c r="BV61" s="12">
        <v>2000</v>
      </c>
      <c r="BW61" s="12">
        <v>2000</v>
      </c>
      <c r="BX61" s="12">
        <v>2000</v>
      </c>
      <c r="BY61" s="12">
        <v>2000</v>
      </c>
      <c r="BZ61" s="12">
        <v>2400</v>
      </c>
      <c r="CA61" s="12">
        <v>673</v>
      </c>
      <c r="CB61" s="12">
        <v>99</v>
      </c>
      <c r="CC61" s="59"/>
      <c r="CD61" s="59"/>
      <c r="CE61" s="59"/>
      <c r="CF61" s="13"/>
      <c r="CG61" s="13"/>
      <c r="CH61" s="13"/>
      <c r="CI61" s="12"/>
      <c r="CJ61" s="12"/>
      <c r="CK61" s="12"/>
      <c r="CL61" s="12"/>
      <c r="CM61" s="12"/>
      <c r="CN61" s="12"/>
      <c r="CO61" s="12"/>
      <c r="CP61" s="12">
        <f>SUM($AQ61:BJ61)-SUM($EA61:EH61)</f>
        <v>21035</v>
      </c>
      <c r="CQ61" s="12">
        <f>SUM($AQ61:BK61)-SUM($EA61:EI61)</f>
        <v>22754</v>
      </c>
      <c r="CR61" s="12">
        <f>SUM($AQ61:BL61)-SUM($EA61:EJ61)</f>
        <v>23754</v>
      </c>
      <c r="CS61" s="12">
        <f>SUM($AQ61:BM61)-SUM($EA61:EK61)</f>
        <v>24654</v>
      </c>
      <c r="CT61" s="12">
        <f>SUM($AQ61:BN61)-SUM($EA61:EL61)</f>
        <v>24654</v>
      </c>
      <c r="CU61" s="12">
        <f>SUM($AQ61:BO61)-SUM($EA61:EM61)</f>
        <v>24654</v>
      </c>
      <c r="CV61" s="12">
        <f>SUM($AQ61:BP61)-SUM($EA61:EN61)</f>
        <v>24654</v>
      </c>
      <c r="CW61" s="12">
        <f>SUM($AQ61:BQ61)-SUM($EA61:EO61)</f>
        <v>24654</v>
      </c>
      <c r="CX61" s="12">
        <f>SUM($AQ61:BR61)-SUM($EA61:EP61)</f>
        <v>24654</v>
      </c>
      <c r="CY61" s="12">
        <f>SUM($AQ61:BS61)-SUM($EA61:EQ61)</f>
        <v>24654</v>
      </c>
      <c r="CZ61" s="12">
        <f>SUM($AQ61:BT61)-SUM($EA61:ER61)</f>
        <v>24654</v>
      </c>
      <c r="DA61" s="12">
        <f>SUM($AQ61:BU61)-SUM($EA61:ES61)</f>
        <v>24654</v>
      </c>
      <c r="DB61" s="12">
        <f>SUM($AQ61:BV61)-SUM($EA61:ET61)</f>
        <v>24654</v>
      </c>
      <c r="DC61" s="12">
        <f>SUM($AQ61:BW61)-SUM($EA61:EU61)</f>
        <v>24654</v>
      </c>
      <c r="DD61" s="12">
        <f>SUM($AQ61:BX61)-SUM($EA61:EV61)</f>
        <v>24654</v>
      </c>
      <c r="DE61" s="12">
        <f>SUM($AQ61:BY61)-SUM($EA61:EW61)</f>
        <v>24654</v>
      </c>
      <c r="DF61" s="12">
        <f>SUM($AQ61:BZ61)-SUM($EA61:EX61)</f>
        <v>25054</v>
      </c>
      <c r="DG61" s="12">
        <f>SUM($AQ61:CA61)-SUM($EA61:EY61)</f>
        <v>23727</v>
      </c>
      <c r="DH61" s="12">
        <f>SUM($AQ61:CB61)-SUM($EA61:EZ61)</f>
        <v>21826</v>
      </c>
      <c r="DI61" s="12">
        <f>SUM($AQ61:CC61)-SUM($EA61:FA61)</f>
        <v>19826</v>
      </c>
      <c r="DJ61" s="12">
        <f>SUM($AQ61:CD61)-SUM($EA61:FB61)</f>
        <v>17826</v>
      </c>
      <c r="DK61" s="12">
        <f>SUM($AQ61:CE61)-SUM($EA61:FC61)</f>
        <v>15826</v>
      </c>
      <c r="DL61" s="12">
        <f>SUM($AQ61:CF61)-SUM($EA61:FD61)</f>
        <v>13826</v>
      </c>
      <c r="DM61" s="12">
        <f>SUM($AQ61:CG61)-SUM($EA61:FE61)</f>
        <v>11826</v>
      </c>
      <c r="DN61" s="12">
        <f>SUM($AQ61:CH61)-SUM($EA61:FF61)</f>
        <v>9826</v>
      </c>
      <c r="DO61" s="12">
        <f>SUM($AQ61:CI61)-SUM($EA61:FG61)</f>
        <v>7826</v>
      </c>
      <c r="DP61" s="12">
        <f>SUM($AQ61:CJ61)-SUM($EA61:FH61)</f>
        <v>5826</v>
      </c>
      <c r="DQ61" s="12">
        <f>SUM($AQ61:CK61)-SUM($EA61:FI61)</f>
        <v>3826</v>
      </c>
      <c r="DR61" s="12">
        <f>SUM($AQ61:CL61)-SUM($EA61:FJ61)</f>
        <v>1826</v>
      </c>
      <c r="DS61" s="12">
        <f>SUM($AQ61:CM61)-SUM($EA61:FK61)</f>
        <v>-174</v>
      </c>
      <c r="DT61" s="12">
        <f>SUM($AQ61:CN61)-SUM($EA61:FL61)</f>
        <v>-2174</v>
      </c>
      <c r="DU61" s="12">
        <f>SUM($AQ61:CO61)-SUM($EA61:FM61)</f>
        <v>-4174</v>
      </c>
      <c r="DV61" s="12">
        <f>SUM($AQ61:CP61)-SUM($EA61:FN61)</f>
        <v>15044</v>
      </c>
      <c r="DW61" s="12">
        <f>SUM($AQ61:CQ61)-SUM($EA61:FO61)</f>
        <v>37721</v>
      </c>
      <c r="DX61" s="13"/>
      <c r="DY61" s="13"/>
      <c r="DZ61" s="13"/>
      <c r="EA61" s="12"/>
      <c r="EB61" s="12"/>
      <c r="EC61" s="12"/>
      <c r="ED61" s="12"/>
      <c r="EE61" s="12"/>
      <c r="EF61" s="12"/>
      <c r="EG61" s="12"/>
      <c r="EH61" s="12">
        <f t="array" ref="EH61">SUMPRODUCT(TRANSPOSE(EH$9:EH$34),$K61:$AJ61)</f>
        <v>7063</v>
      </c>
      <c r="EI61" s="12">
        <f t="array" ref="EI61">SUMPRODUCT(TRANSPOSE(EI$9:EI$34),$K61:$AJ61)</f>
        <v>281</v>
      </c>
      <c r="EJ61" s="12">
        <f t="array" ref="EJ61">SUMPRODUCT(TRANSPOSE(EJ$9:EJ$34),$K61:$AJ61)</f>
        <v>1000</v>
      </c>
      <c r="EK61" s="12">
        <f t="array" ref="EK61">SUMPRODUCT(TRANSPOSE(EK$9:EK$34),$K61:$AJ61)</f>
        <v>1100</v>
      </c>
      <c r="EL61" s="12">
        <f t="array" ref="EL61">SUMPRODUCT(TRANSPOSE(EL$9:EL$34),$K61:$AJ61)</f>
        <v>2000</v>
      </c>
      <c r="EM61" s="12">
        <f t="array" ref="EM61">SUMPRODUCT(TRANSPOSE(EM$9:EM$34),$K61:$AJ61)</f>
        <v>2000</v>
      </c>
      <c r="EN61" s="12">
        <f t="array" ref="EN61">SUMPRODUCT(TRANSPOSE(EN$9:EN$34),$K61:$AJ61)</f>
        <v>2000</v>
      </c>
      <c r="EO61" s="12">
        <f t="array" ref="EO61">SUMPRODUCT(TRANSPOSE(EO$9:EO$34),$K61:$AJ61)</f>
        <v>2000</v>
      </c>
      <c r="EP61" s="12">
        <f t="array" ref="EP61">SUMPRODUCT(TRANSPOSE(EP$9:EP$34),$K61:$AJ61)</f>
        <v>2000</v>
      </c>
      <c r="EQ61" s="12">
        <f t="array" ref="EQ61">SUMPRODUCT(TRANSPOSE(EQ$9:EQ$34),$K61:$AJ61)</f>
        <v>2000</v>
      </c>
      <c r="ER61" s="12">
        <f t="array" ref="ER61">SUMPRODUCT(TRANSPOSE(ER$9:ER$34),$K61:$AJ61)</f>
        <v>2000</v>
      </c>
      <c r="ES61" s="12">
        <f t="array" ref="ES61">SUMPRODUCT(TRANSPOSE(ES$9:ES$34),$K61:$AJ61)</f>
        <v>2000</v>
      </c>
      <c r="ET61" s="12">
        <f t="array" ref="ET61">SUMPRODUCT(TRANSPOSE(ET$9:ET$34),$K61:$AJ61)</f>
        <v>2000</v>
      </c>
      <c r="EU61" s="12">
        <f t="array" ref="EU61">SUMPRODUCT(TRANSPOSE(EU$9:EU$34),$K61:$AJ61)</f>
        <v>2000</v>
      </c>
      <c r="EV61" s="12">
        <f t="array" ref="EV61">SUMPRODUCT(TRANSPOSE(EV$9:EV$34),$K61:$AJ61)</f>
        <v>2000</v>
      </c>
      <c r="EW61" s="12">
        <f t="array" ref="EW61">SUMPRODUCT(TRANSPOSE(EW$9:EW$34),$K61:$AJ61)</f>
        <v>2000</v>
      </c>
      <c r="EX61" s="12">
        <f t="array" ref="EX61">SUMPRODUCT(TRANSPOSE(EX$9:EX$34),$K61:$AJ61)</f>
        <v>2000</v>
      </c>
      <c r="EY61" s="12">
        <f t="array" ref="EY61">SUMPRODUCT(TRANSPOSE(EY$9:EY$34),$K61:$AJ61)</f>
        <v>2000</v>
      </c>
      <c r="EZ61" s="12">
        <f t="array" ref="EZ61">SUMPRODUCT(TRANSPOSE(EZ$9:EZ$34),$K61:$AJ61)</f>
        <v>2000</v>
      </c>
      <c r="FA61" s="12">
        <f t="array" ref="FA61">SUMPRODUCT(TRANSPOSE(FA$9:FA$34),$K61:$AJ61)</f>
        <v>2000</v>
      </c>
      <c r="FB61" s="12">
        <f t="array" ref="FB61">SUMPRODUCT(TRANSPOSE(FB$9:FB$34),$K61:$AJ61)</f>
        <v>2000</v>
      </c>
      <c r="FC61" s="12">
        <f t="array" ref="FC61">SUMPRODUCT(TRANSPOSE(FC$9:FC$34),$K61:$AJ61)</f>
        <v>2000</v>
      </c>
      <c r="FD61" s="12">
        <f t="array" ref="FD61">SUMPRODUCT(TRANSPOSE(FD$9:FD$34),$K61:$AJ61)</f>
        <v>2000</v>
      </c>
      <c r="FE61" s="12">
        <f t="array" ref="FE61">SUMPRODUCT(TRANSPOSE(FE$9:FE$34),$K61:$AJ61)</f>
        <v>2000</v>
      </c>
      <c r="FF61" s="12">
        <f t="array" ref="FF61">SUMPRODUCT(TRANSPOSE(FF$9:FF$34),$K61:$AJ61)</f>
        <v>2000</v>
      </c>
      <c r="FG61" s="12">
        <f t="array" ref="FG61">SUMPRODUCT(TRANSPOSE(FG$9:FG$34),$K61:$AJ61)</f>
        <v>2000</v>
      </c>
      <c r="FH61" s="12">
        <f t="array" ref="FH61">SUMPRODUCT(TRANSPOSE(FH$9:FH$34),$K61:$AJ61)</f>
        <v>2000</v>
      </c>
      <c r="FI61" s="12">
        <f t="array" ref="FI61">SUMPRODUCT(TRANSPOSE(FI$9:FI$34),$K61:$AJ61)</f>
        <v>2000</v>
      </c>
      <c r="FJ61" s="12">
        <f t="array" ref="FJ61">SUMPRODUCT(TRANSPOSE(FJ$9:FJ$34),$K61:$AJ61)</f>
        <v>2000</v>
      </c>
      <c r="FK61" s="12">
        <f t="array" ref="FK61">SUMPRODUCT(TRANSPOSE(FK$9:FK$34),$K61:$AJ61)</f>
        <v>2000</v>
      </c>
      <c r="FL61" s="12">
        <f t="array" ref="FL61">SUMPRODUCT(TRANSPOSE(FL$9:FL$34),$K61:$AJ61)</f>
        <v>2000</v>
      </c>
      <c r="FM61" s="12">
        <f t="array" ref="FM61">SUMPRODUCT(TRANSPOSE(FM$9:FM$34),$K61:$AJ61)</f>
        <v>2000</v>
      </c>
      <c r="FN61" s="12">
        <f t="array" ref="FN61">SUMPRODUCT(TRANSPOSE(FN$9:FN$34),$K61:$AJ61)</f>
        <v>1817</v>
      </c>
      <c r="FO61" s="12">
        <f t="array" ref="FO61">SUMPRODUCT(TRANSPOSE(FO$9:FO$34),$K61:$AJ61)</f>
        <v>77</v>
      </c>
    </row>
    <row r="62" spans="1:171" ht="14.25" x14ac:dyDescent="0.2">
      <c r="A62" s="13">
        <f t="shared" si="4"/>
        <v>27</v>
      </c>
      <c r="B62" s="13" t="s">
        <v>144</v>
      </c>
      <c r="C62" s="25" t="s">
        <v>145</v>
      </c>
      <c r="D62" s="13" t="s">
        <v>60</v>
      </c>
      <c r="E62" s="13">
        <v>403581663</v>
      </c>
      <c r="F62" s="26" t="s">
        <v>146</v>
      </c>
      <c r="G62" s="13"/>
      <c r="H62" s="13" t="s">
        <v>61</v>
      </c>
      <c r="I62" s="13">
        <v>1</v>
      </c>
      <c r="J62" s="13">
        <v>6</v>
      </c>
      <c r="K62" s="13">
        <v>0</v>
      </c>
      <c r="L62" s="13">
        <v>2</v>
      </c>
      <c r="M62" s="13">
        <v>0</v>
      </c>
      <c r="N62" s="13">
        <v>0</v>
      </c>
      <c r="O62" s="13">
        <v>0</v>
      </c>
      <c r="P62" s="13">
        <v>0</v>
      </c>
      <c r="Q62" s="13">
        <v>2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/>
      <c r="Z62" s="13"/>
      <c r="AA62" s="13">
        <v>0</v>
      </c>
      <c r="AB62" s="13">
        <v>2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f t="shared" si="3"/>
        <v>6</v>
      </c>
      <c r="AL62" s="23">
        <f t="shared" si="2"/>
        <v>141594</v>
      </c>
      <c r="AM62" s="13"/>
      <c r="AN62" s="13" t="s">
        <v>128</v>
      </c>
      <c r="AO62" s="7" t="s">
        <v>129</v>
      </c>
      <c r="AP62" s="38">
        <v>1.7</v>
      </c>
      <c r="AQ62" s="12">
        <v>43076</v>
      </c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>
        <v>3708</v>
      </c>
      <c r="BE62" s="12">
        <v>4000</v>
      </c>
      <c r="BF62" s="12">
        <v>4000</v>
      </c>
      <c r="BG62" s="12">
        <v>4000</v>
      </c>
      <c r="BH62" s="12">
        <v>4000</v>
      </c>
      <c r="BI62" s="12">
        <v>4000</v>
      </c>
      <c r="BJ62" s="12">
        <v>4000</v>
      </c>
      <c r="BK62" s="12">
        <v>4000</v>
      </c>
      <c r="BL62" s="12">
        <v>4000</v>
      </c>
      <c r="BM62" s="12">
        <v>4000</v>
      </c>
      <c r="BN62" s="12">
        <v>4000</v>
      </c>
      <c r="BO62" s="12">
        <v>4000</v>
      </c>
      <c r="BP62" s="12">
        <v>4000</v>
      </c>
      <c r="BQ62" s="12">
        <v>4000</v>
      </c>
      <c r="BR62" s="12">
        <v>4000</v>
      </c>
      <c r="BS62" s="12">
        <v>4000</v>
      </c>
      <c r="BT62" s="12">
        <v>4000</v>
      </c>
      <c r="BU62" s="12">
        <v>4000</v>
      </c>
      <c r="BV62" s="12">
        <v>4000</v>
      </c>
      <c r="BW62" s="12">
        <v>4000</v>
      </c>
      <c r="BX62" s="12">
        <v>4000</v>
      </c>
      <c r="BY62" s="12">
        <v>4000</v>
      </c>
      <c r="BZ62" s="12">
        <v>4000</v>
      </c>
      <c r="CA62" s="12">
        <v>4000</v>
      </c>
      <c r="CB62" s="12">
        <v>2810</v>
      </c>
      <c r="CC62" s="59"/>
      <c r="CD62" s="59"/>
      <c r="CE62" s="59"/>
      <c r="CF62" s="13"/>
      <c r="CG62" s="13"/>
      <c r="CH62" s="13"/>
      <c r="CI62" s="12"/>
      <c r="CJ62" s="12"/>
      <c r="CK62" s="12"/>
      <c r="CL62" s="12"/>
      <c r="CM62" s="12"/>
      <c r="CN62" s="12"/>
      <c r="CO62" s="12"/>
      <c r="CP62" s="12">
        <f>SUM($AQ62:BJ62)-SUM($EA62:EH62)</f>
        <v>57886</v>
      </c>
      <c r="CQ62" s="12">
        <f>SUM($AQ62:BK62)-SUM($EA62:EI62)</f>
        <v>60096</v>
      </c>
      <c r="CR62" s="12">
        <f>SUM($AQ62:BL62)-SUM($EA62:EJ62)</f>
        <v>62066</v>
      </c>
      <c r="CS62" s="12">
        <f>SUM($AQ62:BM62)-SUM($EA62:EK62)</f>
        <v>63996</v>
      </c>
      <c r="CT62" s="12">
        <f>SUM($AQ62:BN62)-SUM($EA62:EL62)</f>
        <v>65966</v>
      </c>
      <c r="CU62" s="12">
        <f>SUM($AQ62:BO62)-SUM($EA62:EM62)</f>
        <v>69866</v>
      </c>
      <c r="CV62" s="12">
        <f>SUM($AQ62:BP62)-SUM($EA62:EN62)</f>
        <v>71966</v>
      </c>
      <c r="CW62" s="12">
        <f>SUM($AQ62:BQ62)-SUM($EA62:EO62)</f>
        <v>73966</v>
      </c>
      <c r="CX62" s="12">
        <f>SUM($AQ62:BR62)-SUM($EA62:EP62)</f>
        <v>75866</v>
      </c>
      <c r="CY62" s="12">
        <f>SUM($AQ62:BS62)-SUM($EA62:EQ62)</f>
        <v>77766</v>
      </c>
      <c r="CZ62" s="12">
        <f>SUM($AQ62:BT62)-SUM($EA62:ER62)</f>
        <v>79666</v>
      </c>
      <c r="DA62" s="12">
        <f>SUM($AQ62:BU62)-SUM($EA62:ES62)</f>
        <v>81566</v>
      </c>
      <c r="DB62" s="12">
        <f>SUM($AQ62:BV62)-SUM($EA62:ET62)</f>
        <v>83466</v>
      </c>
      <c r="DC62" s="12">
        <f>SUM($AQ62:BW62)-SUM($EA62:EU62)</f>
        <v>85366</v>
      </c>
      <c r="DD62" s="12">
        <f>SUM($AQ62:BX62)-SUM($EA62:EV62)</f>
        <v>87266</v>
      </c>
      <c r="DE62" s="12">
        <f>SUM($AQ62:BY62)-SUM($EA62:EW62)</f>
        <v>89246</v>
      </c>
      <c r="DF62" s="12">
        <f>SUM($AQ62:BZ62)-SUM($EA62:EX62)</f>
        <v>91246</v>
      </c>
      <c r="DG62" s="12">
        <f>SUM($AQ62:CA62)-SUM($EA62:EY62)</f>
        <v>93246</v>
      </c>
      <c r="DH62" s="12">
        <f>SUM($AQ62:CB62)-SUM($EA62:EZ62)</f>
        <v>94056</v>
      </c>
      <c r="DI62" s="12">
        <f>SUM($AQ62:CC62)-SUM($EA62:FA62)</f>
        <v>92056</v>
      </c>
      <c r="DJ62" s="12">
        <f>SUM($AQ62:CD62)-SUM($EA62:FB62)</f>
        <v>90056</v>
      </c>
      <c r="DK62" s="12">
        <f>SUM($AQ62:CE62)-SUM($EA62:FC62)</f>
        <v>88056</v>
      </c>
      <c r="DL62" s="12">
        <f>SUM($AQ62:CF62)-SUM($EA62:FD62)</f>
        <v>86056</v>
      </c>
      <c r="DM62" s="12">
        <f>SUM($AQ62:CG62)-SUM($EA62:FE62)</f>
        <v>84056</v>
      </c>
      <c r="DN62" s="12">
        <f>SUM($AQ62:CH62)-SUM($EA62:FF62)</f>
        <v>82056</v>
      </c>
      <c r="DO62" s="12">
        <f>SUM($AQ62:CI62)-SUM($EA62:FG62)</f>
        <v>80056</v>
      </c>
      <c r="DP62" s="12">
        <f>SUM($AQ62:CJ62)-SUM($EA62:FH62)</f>
        <v>78056</v>
      </c>
      <c r="DQ62" s="12">
        <f>SUM($AQ62:CK62)-SUM($EA62:FI62)</f>
        <v>76056</v>
      </c>
      <c r="DR62" s="12">
        <f>SUM($AQ62:CL62)-SUM($EA62:FJ62)</f>
        <v>74056</v>
      </c>
      <c r="DS62" s="12">
        <f>SUM($AQ62:CM62)-SUM($EA62:FK62)</f>
        <v>72056</v>
      </c>
      <c r="DT62" s="12">
        <f>SUM($AQ62:CN62)-SUM($EA62:FL62)</f>
        <v>70056</v>
      </c>
      <c r="DU62" s="12">
        <f>SUM($AQ62:CO62)-SUM($EA62:FM62)</f>
        <v>68056</v>
      </c>
      <c r="DV62" s="12">
        <f>SUM($AQ62:CP62)-SUM($EA62:FN62)</f>
        <v>123942</v>
      </c>
      <c r="DW62" s="12">
        <f>SUM($AQ62:CQ62)-SUM($EA62:FO62)</f>
        <v>183950</v>
      </c>
      <c r="DX62" s="13"/>
      <c r="DY62" s="13"/>
      <c r="DZ62" s="13"/>
      <c r="EA62" s="12"/>
      <c r="EB62" s="12"/>
      <c r="EC62" s="12"/>
      <c r="ED62" s="12"/>
      <c r="EE62" s="12"/>
      <c r="EF62" s="12"/>
      <c r="EG62" s="12"/>
      <c r="EH62" s="12">
        <f t="array" ref="EH62">SUMPRODUCT(TRANSPOSE(EH$9:EH$34),$K62:$AJ62)</f>
        <v>12898</v>
      </c>
      <c r="EI62" s="12">
        <f t="array" ref="EI62">SUMPRODUCT(TRANSPOSE(EI$9:EI$34),$K62:$AJ62)</f>
        <v>1790</v>
      </c>
      <c r="EJ62" s="12">
        <f t="array" ref="EJ62">SUMPRODUCT(TRANSPOSE(EJ$9:EJ$34),$K62:$AJ62)</f>
        <v>2030</v>
      </c>
      <c r="EK62" s="12">
        <f t="array" ref="EK62">SUMPRODUCT(TRANSPOSE(EK$9:EK$34),$K62:$AJ62)</f>
        <v>2070</v>
      </c>
      <c r="EL62" s="12">
        <f t="array" ref="EL62">SUMPRODUCT(TRANSPOSE(EL$9:EL$34),$K62:$AJ62)</f>
        <v>2030</v>
      </c>
      <c r="EM62" s="12">
        <f t="array" ref="EM62">SUMPRODUCT(TRANSPOSE(EM$9:EM$34),$K62:$AJ62)</f>
        <v>100</v>
      </c>
      <c r="EN62" s="12">
        <f t="array" ref="EN62">SUMPRODUCT(TRANSPOSE(EN$9:EN$34),$K62:$AJ62)</f>
        <v>1900</v>
      </c>
      <c r="EO62" s="12">
        <f t="array" ref="EO62">SUMPRODUCT(TRANSPOSE(EO$9:EO$34),$K62:$AJ62)</f>
        <v>2000</v>
      </c>
      <c r="EP62" s="12">
        <f t="array" ref="EP62">SUMPRODUCT(TRANSPOSE(EP$9:EP$34),$K62:$AJ62)</f>
        <v>2100</v>
      </c>
      <c r="EQ62" s="12">
        <f t="array" ref="EQ62">SUMPRODUCT(TRANSPOSE(EQ$9:EQ$34),$K62:$AJ62)</f>
        <v>2100</v>
      </c>
      <c r="ER62" s="12">
        <f t="array" ref="ER62">SUMPRODUCT(TRANSPOSE(ER$9:ER$34),$K62:$AJ62)</f>
        <v>2100</v>
      </c>
      <c r="ES62" s="12">
        <f t="array" ref="ES62">SUMPRODUCT(TRANSPOSE(ES$9:ES$34),$K62:$AJ62)</f>
        <v>2100</v>
      </c>
      <c r="ET62" s="12">
        <f t="array" ref="ET62">SUMPRODUCT(TRANSPOSE(ET$9:ET$34),$K62:$AJ62)</f>
        <v>2100</v>
      </c>
      <c r="EU62" s="12">
        <f t="array" ref="EU62">SUMPRODUCT(TRANSPOSE(EU$9:EU$34),$K62:$AJ62)</f>
        <v>2100</v>
      </c>
      <c r="EV62" s="12">
        <f t="array" ref="EV62">SUMPRODUCT(TRANSPOSE(EV$9:EV$34),$K62:$AJ62)</f>
        <v>2100</v>
      </c>
      <c r="EW62" s="12">
        <f t="array" ref="EW62">SUMPRODUCT(TRANSPOSE(EW$9:EW$34),$K62:$AJ62)</f>
        <v>2020</v>
      </c>
      <c r="EX62" s="12">
        <f t="array" ref="EX62">SUMPRODUCT(TRANSPOSE(EX$9:EX$34),$K62:$AJ62)</f>
        <v>2000</v>
      </c>
      <c r="EY62" s="12">
        <f t="array" ref="EY62">SUMPRODUCT(TRANSPOSE(EY$9:EY$34),$K62:$AJ62)</f>
        <v>2000</v>
      </c>
      <c r="EZ62" s="12">
        <f t="array" ref="EZ62">SUMPRODUCT(TRANSPOSE(EZ$9:EZ$34),$K62:$AJ62)</f>
        <v>2000</v>
      </c>
      <c r="FA62" s="12">
        <f t="array" ref="FA62">SUMPRODUCT(TRANSPOSE(FA$9:FA$34),$K62:$AJ62)</f>
        <v>2000</v>
      </c>
      <c r="FB62" s="12">
        <f t="array" ref="FB62">SUMPRODUCT(TRANSPOSE(FB$9:FB$34),$K62:$AJ62)</f>
        <v>2000</v>
      </c>
      <c r="FC62" s="12">
        <f t="array" ref="FC62">SUMPRODUCT(TRANSPOSE(FC$9:FC$34),$K62:$AJ62)</f>
        <v>2000</v>
      </c>
      <c r="FD62" s="12">
        <f t="array" ref="FD62">SUMPRODUCT(TRANSPOSE(FD$9:FD$34),$K62:$AJ62)</f>
        <v>2000</v>
      </c>
      <c r="FE62" s="12">
        <f t="array" ref="FE62">SUMPRODUCT(TRANSPOSE(FE$9:FE$34),$K62:$AJ62)</f>
        <v>2000</v>
      </c>
      <c r="FF62" s="12">
        <f t="array" ref="FF62">SUMPRODUCT(TRANSPOSE(FF$9:FF$34),$K62:$AJ62)</f>
        <v>2000</v>
      </c>
      <c r="FG62" s="12">
        <f t="array" ref="FG62">SUMPRODUCT(TRANSPOSE(FG$9:FG$34),$K62:$AJ62)</f>
        <v>2000</v>
      </c>
      <c r="FH62" s="12">
        <f t="array" ref="FH62">SUMPRODUCT(TRANSPOSE(FH$9:FH$34),$K62:$AJ62)</f>
        <v>2000</v>
      </c>
      <c r="FI62" s="12">
        <f t="array" ref="FI62">SUMPRODUCT(TRANSPOSE(FI$9:FI$34),$K62:$AJ62)</f>
        <v>2000</v>
      </c>
      <c r="FJ62" s="12">
        <f t="array" ref="FJ62">SUMPRODUCT(TRANSPOSE(FJ$9:FJ$34),$K62:$AJ62)</f>
        <v>2000</v>
      </c>
      <c r="FK62" s="12">
        <f t="array" ref="FK62">SUMPRODUCT(TRANSPOSE(FK$9:FK$34),$K62:$AJ62)</f>
        <v>2000</v>
      </c>
      <c r="FL62" s="12">
        <f t="array" ref="FL62">SUMPRODUCT(TRANSPOSE(FL$9:FL$34),$K62:$AJ62)</f>
        <v>2000</v>
      </c>
      <c r="FM62" s="12">
        <f t="array" ref="FM62">SUMPRODUCT(TRANSPOSE(FM$9:FM$34),$K62:$AJ62)</f>
        <v>2000</v>
      </c>
      <c r="FN62" s="12">
        <f t="array" ref="FN62">SUMPRODUCT(TRANSPOSE(FN$9:FN$34),$K62:$AJ62)</f>
        <v>2000</v>
      </c>
      <c r="FO62" s="12">
        <f t="array" ref="FO62">SUMPRODUCT(TRANSPOSE(FO$9:FO$34),$K62:$AJ62)</f>
        <v>88</v>
      </c>
    </row>
    <row r="63" spans="1:171" ht="14.25" x14ac:dyDescent="0.2">
      <c r="A63" s="13">
        <f t="shared" si="4"/>
        <v>28</v>
      </c>
      <c r="B63" s="13" t="s">
        <v>147</v>
      </c>
      <c r="C63" s="25" t="s">
        <v>148</v>
      </c>
      <c r="D63" s="13" t="s">
        <v>60</v>
      </c>
      <c r="E63" s="13">
        <v>403581662</v>
      </c>
      <c r="F63" s="26" t="s">
        <v>149</v>
      </c>
      <c r="G63" s="13"/>
      <c r="H63" s="13" t="s">
        <v>61</v>
      </c>
      <c r="I63" s="13">
        <v>1</v>
      </c>
      <c r="J63" s="13">
        <v>6</v>
      </c>
      <c r="K63" s="13">
        <v>0</v>
      </c>
      <c r="L63" s="13">
        <v>2</v>
      </c>
      <c r="M63" s="13">
        <v>0</v>
      </c>
      <c r="N63" s="13">
        <v>0</v>
      </c>
      <c r="O63" s="13">
        <v>0</v>
      </c>
      <c r="P63" s="13">
        <v>0</v>
      </c>
      <c r="Q63" s="13">
        <v>2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/>
      <c r="Z63" s="13"/>
      <c r="AA63" s="13">
        <v>0</v>
      </c>
      <c r="AB63" s="13">
        <v>2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f t="shared" si="3"/>
        <v>6</v>
      </c>
      <c r="AL63" s="23">
        <f t="shared" si="2"/>
        <v>141594</v>
      </c>
      <c r="AM63" s="13"/>
      <c r="AN63" s="13" t="s">
        <v>128</v>
      </c>
      <c r="AO63" s="7" t="s">
        <v>129</v>
      </c>
      <c r="AP63" s="38">
        <v>1.47</v>
      </c>
      <c r="AQ63" s="12">
        <v>64076</v>
      </c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>
        <v>2708</v>
      </c>
      <c r="BJ63" s="12">
        <v>4000</v>
      </c>
      <c r="BK63" s="12">
        <v>4000</v>
      </c>
      <c r="BL63" s="12">
        <v>4000</v>
      </c>
      <c r="BM63" s="12">
        <v>4000</v>
      </c>
      <c r="BN63" s="12">
        <v>4000</v>
      </c>
      <c r="BO63" s="12">
        <v>4000</v>
      </c>
      <c r="BP63" s="12">
        <v>4000</v>
      </c>
      <c r="BQ63" s="12">
        <v>4000</v>
      </c>
      <c r="BR63" s="12">
        <v>4000</v>
      </c>
      <c r="BS63" s="12">
        <v>4000</v>
      </c>
      <c r="BT63" s="12">
        <v>4000</v>
      </c>
      <c r="BU63" s="12">
        <v>4000</v>
      </c>
      <c r="BV63" s="12">
        <v>4000</v>
      </c>
      <c r="BW63" s="12">
        <v>4000</v>
      </c>
      <c r="BX63" s="12">
        <v>4000</v>
      </c>
      <c r="BY63" s="12">
        <v>4000</v>
      </c>
      <c r="BZ63" s="12">
        <v>4000</v>
      </c>
      <c r="CA63" s="12">
        <v>4000</v>
      </c>
      <c r="CB63" s="12">
        <v>2810</v>
      </c>
      <c r="CC63" s="59"/>
      <c r="CD63" s="59"/>
      <c r="CE63" s="59"/>
      <c r="CF63" s="13"/>
      <c r="CG63" s="13"/>
      <c r="CH63" s="13"/>
      <c r="CI63" s="12"/>
      <c r="CJ63" s="12"/>
      <c r="CK63" s="12"/>
      <c r="CL63" s="12"/>
      <c r="CM63" s="12"/>
      <c r="CN63" s="12"/>
      <c r="CO63" s="12"/>
      <c r="CP63" s="12">
        <f>SUM($AQ63:BJ63)-SUM($EA63:EH63)</f>
        <v>57886</v>
      </c>
      <c r="CQ63" s="12">
        <f>SUM($AQ63:BK63)-SUM($EA63:EI63)</f>
        <v>60096</v>
      </c>
      <c r="CR63" s="12">
        <f>SUM($AQ63:BL63)-SUM($EA63:EJ63)</f>
        <v>62066</v>
      </c>
      <c r="CS63" s="12">
        <f>SUM($AQ63:BM63)-SUM($EA63:EK63)</f>
        <v>63996</v>
      </c>
      <c r="CT63" s="12">
        <f>SUM($AQ63:BN63)-SUM($EA63:EL63)</f>
        <v>65966</v>
      </c>
      <c r="CU63" s="12">
        <f>SUM($AQ63:BO63)-SUM($EA63:EM63)</f>
        <v>69866</v>
      </c>
      <c r="CV63" s="12">
        <f>SUM($AQ63:BP63)-SUM($EA63:EN63)</f>
        <v>71966</v>
      </c>
      <c r="CW63" s="12">
        <f>SUM($AQ63:BQ63)-SUM($EA63:EO63)</f>
        <v>73966</v>
      </c>
      <c r="CX63" s="12">
        <f>SUM($AQ63:BR63)-SUM($EA63:EP63)</f>
        <v>75866</v>
      </c>
      <c r="CY63" s="12">
        <f>SUM($AQ63:BS63)-SUM($EA63:EQ63)</f>
        <v>77766</v>
      </c>
      <c r="CZ63" s="12">
        <f>SUM($AQ63:BT63)-SUM($EA63:ER63)</f>
        <v>79666</v>
      </c>
      <c r="DA63" s="12">
        <f>SUM($AQ63:BU63)-SUM($EA63:ES63)</f>
        <v>81566</v>
      </c>
      <c r="DB63" s="12">
        <f>SUM($AQ63:BV63)-SUM($EA63:ET63)</f>
        <v>83466</v>
      </c>
      <c r="DC63" s="12">
        <f>SUM($AQ63:BW63)-SUM($EA63:EU63)</f>
        <v>85366</v>
      </c>
      <c r="DD63" s="12">
        <f>SUM($AQ63:BX63)-SUM($EA63:EV63)</f>
        <v>87266</v>
      </c>
      <c r="DE63" s="12">
        <f>SUM($AQ63:BY63)-SUM($EA63:EW63)</f>
        <v>89246</v>
      </c>
      <c r="DF63" s="12">
        <f>SUM($AQ63:BZ63)-SUM($EA63:EX63)</f>
        <v>91246</v>
      </c>
      <c r="DG63" s="12">
        <f>SUM($AQ63:CA63)-SUM($EA63:EY63)</f>
        <v>93246</v>
      </c>
      <c r="DH63" s="12">
        <f>SUM($AQ63:CB63)-SUM($EA63:EZ63)</f>
        <v>94056</v>
      </c>
      <c r="DI63" s="12">
        <f>SUM($AQ63:CC63)-SUM($EA63:FA63)</f>
        <v>92056</v>
      </c>
      <c r="DJ63" s="12">
        <f>SUM($AQ63:CD63)-SUM($EA63:FB63)</f>
        <v>90056</v>
      </c>
      <c r="DK63" s="12">
        <f>SUM($AQ63:CE63)-SUM($EA63:FC63)</f>
        <v>88056</v>
      </c>
      <c r="DL63" s="12">
        <f>SUM($AQ63:CF63)-SUM($EA63:FD63)</f>
        <v>86056</v>
      </c>
      <c r="DM63" s="12">
        <f>SUM($AQ63:CG63)-SUM($EA63:FE63)</f>
        <v>84056</v>
      </c>
      <c r="DN63" s="12">
        <f>SUM($AQ63:CH63)-SUM($EA63:FF63)</f>
        <v>82056</v>
      </c>
      <c r="DO63" s="12">
        <f>SUM($AQ63:CI63)-SUM($EA63:FG63)</f>
        <v>80056</v>
      </c>
      <c r="DP63" s="12">
        <f>SUM($AQ63:CJ63)-SUM($EA63:FH63)</f>
        <v>78056</v>
      </c>
      <c r="DQ63" s="12">
        <f>SUM($AQ63:CK63)-SUM($EA63:FI63)</f>
        <v>76056</v>
      </c>
      <c r="DR63" s="12">
        <f>SUM($AQ63:CL63)-SUM($EA63:FJ63)</f>
        <v>74056</v>
      </c>
      <c r="DS63" s="12">
        <f>SUM($AQ63:CM63)-SUM($EA63:FK63)</f>
        <v>72056</v>
      </c>
      <c r="DT63" s="12">
        <f>SUM($AQ63:CN63)-SUM($EA63:FL63)</f>
        <v>70056</v>
      </c>
      <c r="DU63" s="12">
        <f>SUM($AQ63:CO63)-SUM($EA63:FM63)</f>
        <v>68056</v>
      </c>
      <c r="DV63" s="12">
        <f>SUM($AQ63:CP63)-SUM($EA63:FN63)</f>
        <v>123942</v>
      </c>
      <c r="DW63" s="12">
        <f>SUM($AQ63:CQ63)-SUM($EA63:FO63)</f>
        <v>183950</v>
      </c>
      <c r="DX63" s="13"/>
      <c r="DY63" s="13"/>
      <c r="DZ63" s="13"/>
      <c r="EA63" s="12"/>
      <c r="EB63" s="12"/>
      <c r="EC63" s="12"/>
      <c r="ED63" s="12"/>
      <c r="EE63" s="12"/>
      <c r="EF63" s="12"/>
      <c r="EG63" s="12"/>
      <c r="EH63" s="12">
        <f t="array" ref="EH63">SUMPRODUCT(TRANSPOSE(EH$9:EH$34),$K63:$AJ63)</f>
        <v>12898</v>
      </c>
      <c r="EI63" s="12">
        <f t="array" ref="EI63">SUMPRODUCT(TRANSPOSE(EI$9:EI$34),$K63:$AJ63)</f>
        <v>1790</v>
      </c>
      <c r="EJ63" s="12">
        <f t="array" ref="EJ63">SUMPRODUCT(TRANSPOSE(EJ$9:EJ$34),$K63:$AJ63)</f>
        <v>2030</v>
      </c>
      <c r="EK63" s="12">
        <f t="array" ref="EK63">SUMPRODUCT(TRANSPOSE(EK$9:EK$34),$K63:$AJ63)</f>
        <v>2070</v>
      </c>
      <c r="EL63" s="12">
        <f t="array" ref="EL63">SUMPRODUCT(TRANSPOSE(EL$9:EL$34),$K63:$AJ63)</f>
        <v>2030</v>
      </c>
      <c r="EM63" s="12">
        <f t="array" ref="EM63">SUMPRODUCT(TRANSPOSE(EM$9:EM$34),$K63:$AJ63)</f>
        <v>100</v>
      </c>
      <c r="EN63" s="12">
        <f t="array" ref="EN63">SUMPRODUCT(TRANSPOSE(EN$9:EN$34),$K63:$AJ63)</f>
        <v>1900</v>
      </c>
      <c r="EO63" s="12">
        <f t="array" ref="EO63">SUMPRODUCT(TRANSPOSE(EO$9:EO$34),$K63:$AJ63)</f>
        <v>2000</v>
      </c>
      <c r="EP63" s="12">
        <f t="array" ref="EP63">SUMPRODUCT(TRANSPOSE(EP$9:EP$34),$K63:$AJ63)</f>
        <v>2100</v>
      </c>
      <c r="EQ63" s="12">
        <f t="array" ref="EQ63">SUMPRODUCT(TRANSPOSE(EQ$9:EQ$34),$K63:$AJ63)</f>
        <v>2100</v>
      </c>
      <c r="ER63" s="12">
        <f t="array" ref="ER63">SUMPRODUCT(TRANSPOSE(ER$9:ER$34),$K63:$AJ63)</f>
        <v>2100</v>
      </c>
      <c r="ES63" s="12">
        <f t="array" ref="ES63">SUMPRODUCT(TRANSPOSE(ES$9:ES$34),$K63:$AJ63)</f>
        <v>2100</v>
      </c>
      <c r="ET63" s="12">
        <f t="array" ref="ET63">SUMPRODUCT(TRANSPOSE(ET$9:ET$34),$K63:$AJ63)</f>
        <v>2100</v>
      </c>
      <c r="EU63" s="12">
        <f t="array" ref="EU63">SUMPRODUCT(TRANSPOSE(EU$9:EU$34),$K63:$AJ63)</f>
        <v>2100</v>
      </c>
      <c r="EV63" s="12">
        <f t="array" ref="EV63">SUMPRODUCT(TRANSPOSE(EV$9:EV$34),$K63:$AJ63)</f>
        <v>2100</v>
      </c>
      <c r="EW63" s="12">
        <f t="array" ref="EW63">SUMPRODUCT(TRANSPOSE(EW$9:EW$34),$K63:$AJ63)</f>
        <v>2020</v>
      </c>
      <c r="EX63" s="12">
        <f t="array" ref="EX63">SUMPRODUCT(TRANSPOSE(EX$9:EX$34),$K63:$AJ63)</f>
        <v>2000</v>
      </c>
      <c r="EY63" s="12">
        <f t="array" ref="EY63">SUMPRODUCT(TRANSPOSE(EY$9:EY$34),$K63:$AJ63)</f>
        <v>2000</v>
      </c>
      <c r="EZ63" s="12">
        <f t="array" ref="EZ63">SUMPRODUCT(TRANSPOSE(EZ$9:EZ$34),$K63:$AJ63)</f>
        <v>2000</v>
      </c>
      <c r="FA63" s="12">
        <f t="array" ref="FA63">SUMPRODUCT(TRANSPOSE(FA$9:FA$34),$K63:$AJ63)</f>
        <v>2000</v>
      </c>
      <c r="FB63" s="12">
        <f t="array" ref="FB63">SUMPRODUCT(TRANSPOSE(FB$9:FB$34),$K63:$AJ63)</f>
        <v>2000</v>
      </c>
      <c r="FC63" s="12">
        <f t="array" ref="FC63">SUMPRODUCT(TRANSPOSE(FC$9:FC$34),$K63:$AJ63)</f>
        <v>2000</v>
      </c>
      <c r="FD63" s="12">
        <f t="array" ref="FD63">SUMPRODUCT(TRANSPOSE(FD$9:FD$34),$K63:$AJ63)</f>
        <v>2000</v>
      </c>
      <c r="FE63" s="12">
        <f t="array" ref="FE63">SUMPRODUCT(TRANSPOSE(FE$9:FE$34),$K63:$AJ63)</f>
        <v>2000</v>
      </c>
      <c r="FF63" s="12">
        <f t="array" ref="FF63">SUMPRODUCT(TRANSPOSE(FF$9:FF$34),$K63:$AJ63)</f>
        <v>2000</v>
      </c>
      <c r="FG63" s="12">
        <f t="array" ref="FG63">SUMPRODUCT(TRANSPOSE(FG$9:FG$34),$K63:$AJ63)</f>
        <v>2000</v>
      </c>
      <c r="FH63" s="12">
        <f t="array" ref="FH63">SUMPRODUCT(TRANSPOSE(FH$9:FH$34),$K63:$AJ63)</f>
        <v>2000</v>
      </c>
      <c r="FI63" s="12">
        <f t="array" ref="FI63">SUMPRODUCT(TRANSPOSE(FI$9:FI$34),$K63:$AJ63)</f>
        <v>2000</v>
      </c>
      <c r="FJ63" s="12">
        <f t="array" ref="FJ63">SUMPRODUCT(TRANSPOSE(FJ$9:FJ$34),$K63:$AJ63)</f>
        <v>2000</v>
      </c>
      <c r="FK63" s="12">
        <f t="array" ref="FK63">SUMPRODUCT(TRANSPOSE(FK$9:FK$34),$K63:$AJ63)</f>
        <v>2000</v>
      </c>
      <c r="FL63" s="12">
        <f t="array" ref="FL63">SUMPRODUCT(TRANSPOSE(FL$9:FL$34),$K63:$AJ63)</f>
        <v>2000</v>
      </c>
      <c r="FM63" s="12">
        <f t="array" ref="FM63">SUMPRODUCT(TRANSPOSE(FM$9:FM$34),$K63:$AJ63)</f>
        <v>2000</v>
      </c>
      <c r="FN63" s="12">
        <f t="array" ref="FN63">SUMPRODUCT(TRANSPOSE(FN$9:FN$34),$K63:$AJ63)</f>
        <v>2000</v>
      </c>
      <c r="FO63" s="12">
        <f t="array" ref="FO63">SUMPRODUCT(TRANSPOSE(FO$9:FO$34),$K63:$AJ63)</f>
        <v>88</v>
      </c>
    </row>
    <row r="64" spans="1:171" ht="14.25" x14ac:dyDescent="0.2">
      <c r="A64" s="13">
        <f t="shared" si="4"/>
        <v>29</v>
      </c>
      <c r="B64" s="13" t="s">
        <v>150</v>
      </c>
      <c r="C64" s="25" t="s">
        <v>151</v>
      </c>
      <c r="D64" s="13" t="s">
        <v>60</v>
      </c>
      <c r="E64" s="13">
        <v>403581656</v>
      </c>
      <c r="F64" s="26" t="s">
        <v>152</v>
      </c>
      <c r="G64" s="13"/>
      <c r="H64" s="13" t="s">
        <v>61</v>
      </c>
      <c r="I64" s="13">
        <v>1</v>
      </c>
      <c r="J64" s="13">
        <v>6</v>
      </c>
      <c r="K64" s="13">
        <v>0</v>
      </c>
      <c r="L64" s="13">
        <v>2</v>
      </c>
      <c r="M64" s="13">
        <v>0</v>
      </c>
      <c r="N64" s="13">
        <v>0</v>
      </c>
      <c r="O64" s="13">
        <v>0</v>
      </c>
      <c r="P64" s="13">
        <v>0</v>
      </c>
      <c r="Q64" s="13">
        <v>2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/>
      <c r="Z64" s="13"/>
      <c r="AA64" s="13">
        <v>0</v>
      </c>
      <c r="AB64" s="13">
        <v>2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f t="shared" si="3"/>
        <v>6</v>
      </c>
      <c r="AL64" s="23">
        <f t="shared" si="2"/>
        <v>141594</v>
      </c>
      <c r="AM64" s="13"/>
      <c r="AN64" s="13" t="s">
        <v>153</v>
      </c>
      <c r="AO64" s="7" t="s">
        <v>129</v>
      </c>
      <c r="AP64" s="38">
        <v>3.3</v>
      </c>
      <c r="AQ64" s="12">
        <v>64076</v>
      </c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>
        <v>2708</v>
      </c>
      <c r="BJ64" s="12">
        <v>4000</v>
      </c>
      <c r="BK64" s="12">
        <v>4000</v>
      </c>
      <c r="BL64" s="12">
        <v>4000</v>
      </c>
      <c r="BM64" s="12">
        <v>4000</v>
      </c>
      <c r="BN64" s="12">
        <v>4000</v>
      </c>
      <c r="BO64" s="12">
        <v>4000</v>
      </c>
      <c r="BP64" s="12">
        <v>4000</v>
      </c>
      <c r="BQ64" s="12">
        <v>4000</v>
      </c>
      <c r="BR64" s="12">
        <v>4000</v>
      </c>
      <c r="BS64" s="12">
        <v>4000</v>
      </c>
      <c r="BT64" s="12">
        <v>4000</v>
      </c>
      <c r="BU64" s="12">
        <v>4000</v>
      </c>
      <c r="BV64" s="12">
        <v>4000</v>
      </c>
      <c r="BW64" s="12">
        <v>4000</v>
      </c>
      <c r="BX64" s="12">
        <v>4000</v>
      </c>
      <c r="BY64" s="12">
        <v>4000</v>
      </c>
      <c r="BZ64" s="12">
        <v>4000</v>
      </c>
      <c r="CA64" s="12">
        <v>4000</v>
      </c>
      <c r="CB64" s="12">
        <v>2810</v>
      </c>
      <c r="CC64" s="59"/>
      <c r="CD64" s="59"/>
      <c r="CE64" s="59"/>
      <c r="CF64" s="13"/>
      <c r="CG64" s="13"/>
      <c r="CH64" s="13"/>
      <c r="CI64" s="12"/>
      <c r="CJ64" s="12"/>
      <c r="CK64" s="12"/>
      <c r="CL64" s="12"/>
      <c r="CM64" s="12"/>
      <c r="CN64" s="12"/>
      <c r="CO64" s="12"/>
      <c r="CP64" s="12">
        <f>SUM($AQ64:BJ64)-SUM($EA64:EH64)</f>
        <v>57886</v>
      </c>
      <c r="CQ64" s="12">
        <f>SUM($AQ64:BK64)-SUM($EA64:EI64)</f>
        <v>60096</v>
      </c>
      <c r="CR64" s="12">
        <f>SUM($AQ64:BL64)-SUM($EA64:EJ64)</f>
        <v>62066</v>
      </c>
      <c r="CS64" s="12">
        <f>SUM($AQ64:BM64)-SUM($EA64:EK64)</f>
        <v>63996</v>
      </c>
      <c r="CT64" s="12">
        <f>SUM($AQ64:BN64)-SUM($EA64:EL64)</f>
        <v>65966</v>
      </c>
      <c r="CU64" s="12">
        <f>SUM($AQ64:BO64)-SUM($EA64:EM64)</f>
        <v>69866</v>
      </c>
      <c r="CV64" s="12">
        <f>SUM($AQ64:BP64)-SUM($EA64:EN64)</f>
        <v>71966</v>
      </c>
      <c r="CW64" s="12">
        <f>SUM($AQ64:BQ64)-SUM($EA64:EO64)</f>
        <v>73966</v>
      </c>
      <c r="CX64" s="12">
        <f>SUM($AQ64:BR64)-SUM($EA64:EP64)</f>
        <v>75866</v>
      </c>
      <c r="CY64" s="12">
        <f>SUM($AQ64:BS64)-SUM($EA64:EQ64)</f>
        <v>77766</v>
      </c>
      <c r="CZ64" s="12">
        <f>SUM($AQ64:BT64)-SUM($EA64:ER64)</f>
        <v>79666</v>
      </c>
      <c r="DA64" s="12">
        <f>SUM($AQ64:BU64)-SUM($EA64:ES64)</f>
        <v>81566</v>
      </c>
      <c r="DB64" s="12">
        <f>SUM($AQ64:BV64)-SUM($EA64:ET64)</f>
        <v>83466</v>
      </c>
      <c r="DC64" s="12">
        <f>SUM($AQ64:BW64)-SUM($EA64:EU64)</f>
        <v>85366</v>
      </c>
      <c r="DD64" s="12">
        <f>SUM($AQ64:BX64)-SUM($EA64:EV64)</f>
        <v>87266</v>
      </c>
      <c r="DE64" s="12">
        <f>SUM($AQ64:BY64)-SUM($EA64:EW64)</f>
        <v>89246</v>
      </c>
      <c r="DF64" s="12">
        <f>SUM($AQ64:BZ64)-SUM($EA64:EX64)</f>
        <v>91246</v>
      </c>
      <c r="DG64" s="12">
        <f>SUM($AQ64:CA64)-SUM($EA64:EY64)</f>
        <v>93246</v>
      </c>
      <c r="DH64" s="12">
        <f>SUM($AQ64:CB64)-SUM($EA64:EZ64)</f>
        <v>94056</v>
      </c>
      <c r="DI64" s="12">
        <f>SUM($AQ64:CC64)-SUM($EA64:FA64)</f>
        <v>92056</v>
      </c>
      <c r="DJ64" s="12">
        <f>SUM($AQ64:CD64)-SUM($EA64:FB64)</f>
        <v>90056</v>
      </c>
      <c r="DK64" s="12">
        <f>SUM($AQ64:CE64)-SUM($EA64:FC64)</f>
        <v>88056</v>
      </c>
      <c r="DL64" s="12">
        <f>SUM($AQ64:CF64)-SUM($EA64:FD64)</f>
        <v>86056</v>
      </c>
      <c r="DM64" s="12">
        <f>SUM($AQ64:CG64)-SUM($EA64:FE64)</f>
        <v>84056</v>
      </c>
      <c r="DN64" s="12">
        <f>SUM($AQ64:CH64)-SUM($EA64:FF64)</f>
        <v>82056</v>
      </c>
      <c r="DO64" s="12">
        <f>SUM($AQ64:CI64)-SUM($EA64:FG64)</f>
        <v>80056</v>
      </c>
      <c r="DP64" s="12">
        <f>SUM($AQ64:CJ64)-SUM($EA64:FH64)</f>
        <v>78056</v>
      </c>
      <c r="DQ64" s="12">
        <f>SUM($AQ64:CK64)-SUM($EA64:FI64)</f>
        <v>76056</v>
      </c>
      <c r="DR64" s="12">
        <f>SUM($AQ64:CL64)-SUM($EA64:FJ64)</f>
        <v>74056</v>
      </c>
      <c r="DS64" s="12">
        <f>SUM($AQ64:CM64)-SUM($EA64:FK64)</f>
        <v>72056</v>
      </c>
      <c r="DT64" s="12">
        <f>SUM($AQ64:CN64)-SUM($EA64:FL64)</f>
        <v>70056</v>
      </c>
      <c r="DU64" s="12">
        <f>SUM($AQ64:CO64)-SUM($EA64:FM64)</f>
        <v>68056</v>
      </c>
      <c r="DV64" s="12">
        <f>SUM($AQ64:CP64)-SUM($EA64:FN64)</f>
        <v>123942</v>
      </c>
      <c r="DW64" s="12">
        <f>SUM($AQ64:CQ64)-SUM($EA64:FO64)</f>
        <v>183950</v>
      </c>
      <c r="DX64" s="13"/>
      <c r="DY64" s="13"/>
      <c r="DZ64" s="13"/>
      <c r="EA64" s="12"/>
      <c r="EB64" s="12"/>
      <c r="EC64" s="12"/>
      <c r="ED64" s="12"/>
      <c r="EE64" s="12"/>
      <c r="EF64" s="12"/>
      <c r="EG64" s="12"/>
      <c r="EH64" s="12">
        <f t="array" ref="EH64">SUMPRODUCT(TRANSPOSE(EH$9:EH$34),$K64:$AJ64)</f>
        <v>12898</v>
      </c>
      <c r="EI64" s="12">
        <f t="array" ref="EI64">SUMPRODUCT(TRANSPOSE(EI$9:EI$34),$K64:$AJ64)</f>
        <v>1790</v>
      </c>
      <c r="EJ64" s="12">
        <f t="array" ref="EJ64">SUMPRODUCT(TRANSPOSE(EJ$9:EJ$34),$K64:$AJ64)</f>
        <v>2030</v>
      </c>
      <c r="EK64" s="12">
        <f t="array" ref="EK64">SUMPRODUCT(TRANSPOSE(EK$9:EK$34),$K64:$AJ64)</f>
        <v>2070</v>
      </c>
      <c r="EL64" s="12">
        <f t="array" ref="EL64">SUMPRODUCT(TRANSPOSE(EL$9:EL$34),$K64:$AJ64)</f>
        <v>2030</v>
      </c>
      <c r="EM64" s="12">
        <f t="array" ref="EM64">SUMPRODUCT(TRANSPOSE(EM$9:EM$34),$K64:$AJ64)</f>
        <v>100</v>
      </c>
      <c r="EN64" s="12">
        <f t="array" ref="EN64">SUMPRODUCT(TRANSPOSE(EN$9:EN$34),$K64:$AJ64)</f>
        <v>1900</v>
      </c>
      <c r="EO64" s="12">
        <f t="array" ref="EO64">SUMPRODUCT(TRANSPOSE(EO$9:EO$34),$K64:$AJ64)</f>
        <v>2000</v>
      </c>
      <c r="EP64" s="12">
        <f t="array" ref="EP64">SUMPRODUCT(TRANSPOSE(EP$9:EP$34),$K64:$AJ64)</f>
        <v>2100</v>
      </c>
      <c r="EQ64" s="12">
        <f t="array" ref="EQ64">SUMPRODUCT(TRANSPOSE(EQ$9:EQ$34),$K64:$AJ64)</f>
        <v>2100</v>
      </c>
      <c r="ER64" s="12">
        <f t="array" ref="ER64">SUMPRODUCT(TRANSPOSE(ER$9:ER$34),$K64:$AJ64)</f>
        <v>2100</v>
      </c>
      <c r="ES64" s="12">
        <f t="array" ref="ES64">SUMPRODUCT(TRANSPOSE(ES$9:ES$34),$K64:$AJ64)</f>
        <v>2100</v>
      </c>
      <c r="ET64" s="12">
        <f t="array" ref="ET64">SUMPRODUCT(TRANSPOSE(ET$9:ET$34),$K64:$AJ64)</f>
        <v>2100</v>
      </c>
      <c r="EU64" s="12">
        <f t="array" ref="EU64">SUMPRODUCT(TRANSPOSE(EU$9:EU$34),$K64:$AJ64)</f>
        <v>2100</v>
      </c>
      <c r="EV64" s="12">
        <f t="array" ref="EV64">SUMPRODUCT(TRANSPOSE(EV$9:EV$34),$K64:$AJ64)</f>
        <v>2100</v>
      </c>
      <c r="EW64" s="12">
        <f t="array" ref="EW64">SUMPRODUCT(TRANSPOSE(EW$9:EW$34),$K64:$AJ64)</f>
        <v>2020</v>
      </c>
      <c r="EX64" s="12">
        <f t="array" ref="EX64">SUMPRODUCT(TRANSPOSE(EX$9:EX$34),$K64:$AJ64)</f>
        <v>2000</v>
      </c>
      <c r="EY64" s="12">
        <f t="array" ref="EY64">SUMPRODUCT(TRANSPOSE(EY$9:EY$34),$K64:$AJ64)</f>
        <v>2000</v>
      </c>
      <c r="EZ64" s="12">
        <f t="array" ref="EZ64">SUMPRODUCT(TRANSPOSE(EZ$9:EZ$34),$K64:$AJ64)</f>
        <v>2000</v>
      </c>
      <c r="FA64" s="12">
        <f t="array" ref="FA64">SUMPRODUCT(TRANSPOSE(FA$9:FA$34),$K64:$AJ64)</f>
        <v>2000</v>
      </c>
      <c r="FB64" s="12">
        <f t="array" ref="FB64">SUMPRODUCT(TRANSPOSE(FB$9:FB$34),$K64:$AJ64)</f>
        <v>2000</v>
      </c>
      <c r="FC64" s="12">
        <f t="array" ref="FC64">SUMPRODUCT(TRANSPOSE(FC$9:FC$34),$K64:$AJ64)</f>
        <v>2000</v>
      </c>
      <c r="FD64" s="12">
        <f t="array" ref="FD64">SUMPRODUCT(TRANSPOSE(FD$9:FD$34),$K64:$AJ64)</f>
        <v>2000</v>
      </c>
      <c r="FE64" s="12">
        <f t="array" ref="FE64">SUMPRODUCT(TRANSPOSE(FE$9:FE$34),$K64:$AJ64)</f>
        <v>2000</v>
      </c>
      <c r="FF64" s="12">
        <f t="array" ref="FF64">SUMPRODUCT(TRANSPOSE(FF$9:FF$34),$K64:$AJ64)</f>
        <v>2000</v>
      </c>
      <c r="FG64" s="12">
        <f t="array" ref="FG64">SUMPRODUCT(TRANSPOSE(FG$9:FG$34),$K64:$AJ64)</f>
        <v>2000</v>
      </c>
      <c r="FH64" s="12">
        <f t="array" ref="FH64">SUMPRODUCT(TRANSPOSE(FH$9:FH$34),$K64:$AJ64)</f>
        <v>2000</v>
      </c>
      <c r="FI64" s="12">
        <f t="array" ref="FI64">SUMPRODUCT(TRANSPOSE(FI$9:FI$34),$K64:$AJ64)</f>
        <v>2000</v>
      </c>
      <c r="FJ64" s="12">
        <f t="array" ref="FJ64">SUMPRODUCT(TRANSPOSE(FJ$9:FJ$34),$K64:$AJ64)</f>
        <v>2000</v>
      </c>
      <c r="FK64" s="12">
        <f t="array" ref="FK64">SUMPRODUCT(TRANSPOSE(FK$9:FK$34),$K64:$AJ64)</f>
        <v>2000</v>
      </c>
      <c r="FL64" s="12">
        <f t="array" ref="FL64">SUMPRODUCT(TRANSPOSE(FL$9:FL$34),$K64:$AJ64)</f>
        <v>2000</v>
      </c>
      <c r="FM64" s="12">
        <f t="array" ref="FM64">SUMPRODUCT(TRANSPOSE(FM$9:FM$34),$K64:$AJ64)</f>
        <v>2000</v>
      </c>
      <c r="FN64" s="12">
        <f t="array" ref="FN64">SUMPRODUCT(TRANSPOSE(FN$9:FN$34),$K64:$AJ64)</f>
        <v>2000</v>
      </c>
      <c r="FO64" s="12">
        <f t="array" ref="FO64">SUMPRODUCT(TRANSPOSE(FO$9:FO$34),$K64:$AJ64)</f>
        <v>88</v>
      </c>
    </row>
    <row r="65" spans="1:171" ht="14.25" x14ac:dyDescent="0.2">
      <c r="A65" s="13">
        <f t="shared" si="4"/>
        <v>30</v>
      </c>
      <c r="B65" s="13" t="s">
        <v>154</v>
      </c>
      <c r="C65" s="25" t="s">
        <v>46</v>
      </c>
      <c r="D65" s="13" t="s">
        <v>110</v>
      </c>
      <c r="E65" s="13">
        <v>408272431</v>
      </c>
      <c r="F65" s="26" t="s">
        <v>17</v>
      </c>
      <c r="G65" s="13"/>
      <c r="H65" s="13" t="s">
        <v>61</v>
      </c>
      <c r="I65" s="13">
        <v>1</v>
      </c>
      <c r="J65" s="13">
        <v>2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1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1</v>
      </c>
      <c r="Z65" s="13"/>
      <c r="AA65" s="13">
        <v>0</v>
      </c>
      <c r="AB65" s="13">
        <v>0</v>
      </c>
      <c r="AC65" s="13">
        <v>1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f t="shared" si="3"/>
        <v>3</v>
      </c>
      <c r="AL65" s="23">
        <f t="shared" si="2"/>
        <v>35665</v>
      </c>
      <c r="AM65" s="27" t="s">
        <v>62</v>
      </c>
      <c r="AN65" s="13" t="s">
        <v>62</v>
      </c>
      <c r="AO65" s="7" t="s">
        <v>62</v>
      </c>
      <c r="AP65" s="28"/>
      <c r="AQ65" s="12">
        <v>0</v>
      </c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13"/>
      <c r="CG65" s="13"/>
      <c r="CH65" s="13"/>
      <c r="CI65" s="12"/>
      <c r="CJ65" s="12"/>
      <c r="CK65" s="12"/>
      <c r="CL65" s="12"/>
      <c r="CM65" s="12"/>
      <c r="CN65" s="12"/>
      <c r="CO65" s="12"/>
      <c r="CP65" s="12">
        <f>SUM($AQ65:BJ65)-SUM($EA65:EH65)</f>
        <v>-3109</v>
      </c>
      <c r="CQ65" s="12">
        <f>SUM($AQ65:BK65)-SUM($EA65:EI65)</f>
        <v>-3390</v>
      </c>
      <c r="CR65" s="12">
        <f>SUM($AQ65:BL65)-SUM($EA65:EJ65)</f>
        <v>-3390</v>
      </c>
      <c r="CS65" s="12">
        <f>SUM($AQ65:BM65)-SUM($EA65:EK65)</f>
        <v>-3490</v>
      </c>
      <c r="CT65" s="12">
        <f>SUM($AQ65:BN65)-SUM($EA65:EL65)</f>
        <v>-4490</v>
      </c>
      <c r="CU65" s="12">
        <f>SUM($AQ65:BO65)-SUM($EA65:EM65)</f>
        <v>-6490</v>
      </c>
      <c r="CV65" s="12">
        <f>SUM($AQ65:BP65)-SUM($EA65:EN65)</f>
        <v>-7590</v>
      </c>
      <c r="CW65" s="12">
        <f>SUM($AQ65:BQ65)-SUM($EA65:EO65)</f>
        <v>-8590</v>
      </c>
      <c r="CX65" s="12">
        <f>SUM($AQ65:BR65)-SUM($EA65:EP65)</f>
        <v>-9590</v>
      </c>
      <c r="CY65" s="12">
        <f>SUM($AQ65:BS65)-SUM($EA65:EQ65)</f>
        <v>-10590</v>
      </c>
      <c r="CZ65" s="12">
        <f>SUM($AQ65:BT65)-SUM($EA65:ER65)</f>
        <v>-11590</v>
      </c>
      <c r="DA65" s="12">
        <f>SUM($AQ65:BU65)-SUM($EA65:ES65)</f>
        <v>-12590</v>
      </c>
      <c r="DB65" s="12">
        <f>SUM($AQ65:BV65)-SUM($EA65:ET65)</f>
        <v>-13590</v>
      </c>
      <c r="DC65" s="12">
        <f>SUM($AQ65:BW65)-SUM($EA65:EU65)</f>
        <v>-14590</v>
      </c>
      <c r="DD65" s="12">
        <f>SUM($AQ65:BX65)-SUM($EA65:EV65)</f>
        <v>-15590</v>
      </c>
      <c r="DE65" s="12">
        <f>SUM($AQ65:BY65)-SUM($EA65:EW65)</f>
        <v>-16590</v>
      </c>
      <c r="DF65" s="12">
        <f>SUM($AQ65:BZ65)-SUM($EA65:EX65)</f>
        <v>-17590</v>
      </c>
      <c r="DG65" s="12">
        <f>SUM($AQ65:CA65)-SUM($EA65:EY65)</f>
        <v>-18590</v>
      </c>
      <c r="DH65" s="12">
        <f>SUM($AQ65:CB65)-SUM($EA65:EZ65)</f>
        <v>-19590</v>
      </c>
      <c r="DI65" s="12">
        <f>SUM($AQ65:CC65)-SUM($EA65:FA65)</f>
        <v>-20590</v>
      </c>
      <c r="DJ65" s="12">
        <f>SUM($AQ65:CD65)-SUM($EA65:FB65)</f>
        <v>-21590</v>
      </c>
      <c r="DK65" s="12">
        <f>SUM($AQ65:CE65)-SUM($EA65:FC65)</f>
        <v>-22590</v>
      </c>
      <c r="DL65" s="12">
        <f>SUM($AQ65:CF65)-SUM($EA65:FD65)</f>
        <v>-23590</v>
      </c>
      <c r="DM65" s="12">
        <f>SUM($AQ65:CG65)-SUM($EA65:FE65)</f>
        <v>-24590</v>
      </c>
      <c r="DN65" s="12">
        <f>SUM($AQ65:CH65)-SUM($EA65:FF65)</f>
        <v>-25590</v>
      </c>
      <c r="DO65" s="12">
        <f>SUM($AQ65:CI65)-SUM($EA65:FG65)</f>
        <v>-26590</v>
      </c>
      <c r="DP65" s="12">
        <f>SUM($AQ65:CJ65)-SUM($EA65:FH65)</f>
        <v>-27590</v>
      </c>
      <c r="DQ65" s="12">
        <f>SUM($AQ65:CK65)-SUM($EA65:FI65)</f>
        <v>-28590</v>
      </c>
      <c r="DR65" s="12">
        <f>SUM($AQ65:CL65)-SUM($EA65:FJ65)</f>
        <v>-29590</v>
      </c>
      <c r="DS65" s="12">
        <f>SUM($AQ65:CM65)-SUM($EA65:FK65)</f>
        <v>-30590</v>
      </c>
      <c r="DT65" s="12">
        <f>SUM($AQ65:CN65)-SUM($EA65:FL65)</f>
        <v>-31590</v>
      </c>
      <c r="DU65" s="12">
        <f>SUM($AQ65:CO65)-SUM($EA65:FM65)</f>
        <v>-32590</v>
      </c>
      <c r="DV65" s="12">
        <f>SUM($AQ65:CP65)-SUM($EA65:FN65)</f>
        <v>-36516</v>
      </c>
      <c r="DW65" s="12">
        <f>SUM($AQ65:CQ65)-SUM($EA65:FO65)</f>
        <v>-39906</v>
      </c>
      <c r="DX65" s="13"/>
      <c r="DY65" s="13"/>
      <c r="DZ65" s="13"/>
      <c r="EA65" s="12"/>
      <c r="EB65" s="12"/>
      <c r="EC65" s="12"/>
      <c r="ED65" s="12"/>
      <c r="EE65" s="12"/>
      <c r="EF65" s="12"/>
      <c r="EG65" s="12"/>
      <c r="EH65" s="12">
        <f t="array" ref="EH65">SUMPRODUCT(TRANSPOSE(EH$9:EH$34),$K65:$AJ65)</f>
        <v>3109</v>
      </c>
      <c r="EI65" s="12">
        <f t="array" ref="EI65">SUMPRODUCT(TRANSPOSE(EI$9:EI$34),$K65:$AJ65)</f>
        <v>281</v>
      </c>
      <c r="EJ65" s="12">
        <f t="array" ref="EJ65">SUMPRODUCT(TRANSPOSE(EJ$9:EJ$34),$K65:$AJ65)</f>
        <v>0</v>
      </c>
      <c r="EK65" s="12">
        <f t="array" ref="EK65">SUMPRODUCT(TRANSPOSE(EK$9:EK$34),$K65:$AJ65)</f>
        <v>100</v>
      </c>
      <c r="EL65" s="12">
        <f t="array" ref="EL65">SUMPRODUCT(TRANSPOSE(EL$9:EL$34),$K65:$AJ65)</f>
        <v>1000</v>
      </c>
      <c r="EM65" s="12">
        <f t="array" ref="EM65">SUMPRODUCT(TRANSPOSE(EM$9:EM$34),$K65:$AJ65)</f>
        <v>2000</v>
      </c>
      <c r="EN65" s="12">
        <f t="array" ref="EN65">SUMPRODUCT(TRANSPOSE(EN$9:EN$34),$K65:$AJ65)</f>
        <v>1100</v>
      </c>
      <c r="EO65" s="12">
        <f t="array" ref="EO65">SUMPRODUCT(TRANSPOSE(EO$9:EO$34),$K65:$AJ65)</f>
        <v>1000</v>
      </c>
      <c r="EP65" s="12">
        <f t="array" ref="EP65">SUMPRODUCT(TRANSPOSE(EP$9:EP$34),$K65:$AJ65)</f>
        <v>1000</v>
      </c>
      <c r="EQ65" s="12">
        <f t="array" ref="EQ65">SUMPRODUCT(TRANSPOSE(EQ$9:EQ$34),$K65:$AJ65)</f>
        <v>1000</v>
      </c>
      <c r="ER65" s="12">
        <f t="array" ref="ER65">SUMPRODUCT(TRANSPOSE(ER$9:ER$34),$K65:$AJ65)</f>
        <v>1000</v>
      </c>
      <c r="ES65" s="12">
        <f t="array" ref="ES65">SUMPRODUCT(TRANSPOSE(ES$9:ES$34),$K65:$AJ65)</f>
        <v>1000</v>
      </c>
      <c r="ET65" s="12">
        <f t="array" ref="ET65">SUMPRODUCT(TRANSPOSE(ET$9:ET$34),$K65:$AJ65)</f>
        <v>1000</v>
      </c>
      <c r="EU65" s="12">
        <f t="array" ref="EU65">SUMPRODUCT(TRANSPOSE(EU$9:EU$34),$K65:$AJ65)</f>
        <v>1000</v>
      </c>
      <c r="EV65" s="12">
        <f t="array" ref="EV65">SUMPRODUCT(TRANSPOSE(EV$9:EV$34),$K65:$AJ65)</f>
        <v>1000</v>
      </c>
      <c r="EW65" s="12">
        <f t="array" ref="EW65">SUMPRODUCT(TRANSPOSE(EW$9:EW$34),$K65:$AJ65)</f>
        <v>1000</v>
      </c>
      <c r="EX65" s="12">
        <f t="array" ref="EX65">SUMPRODUCT(TRANSPOSE(EX$9:EX$34),$K65:$AJ65)</f>
        <v>1000</v>
      </c>
      <c r="EY65" s="12">
        <f t="array" ref="EY65">SUMPRODUCT(TRANSPOSE(EY$9:EY$34),$K65:$AJ65)</f>
        <v>1000</v>
      </c>
      <c r="EZ65" s="12">
        <f t="array" ref="EZ65">SUMPRODUCT(TRANSPOSE(EZ$9:EZ$34),$K65:$AJ65)</f>
        <v>1000</v>
      </c>
      <c r="FA65" s="12">
        <f t="array" ref="FA65">SUMPRODUCT(TRANSPOSE(FA$9:FA$34),$K65:$AJ65)</f>
        <v>1000</v>
      </c>
      <c r="FB65" s="12">
        <f t="array" ref="FB65">SUMPRODUCT(TRANSPOSE(FB$9:FB$34),$K65:$AJ65)</f>
        <v>1000</v>
      </c>
      <c r="FC65" s="12">
        <f t="array" ref="FC65">SUMPRODUCT(TRANSPOSE(FC$9:FC$34),$K65:$AJ65)</f>
        <v>1000</v>
      </c>
      <c r="FD65" s="12">
        <f t="array" ref="FD65">SUMPRODUCT(TRANSPOSE(FD$9:FD$34),$K65:$AJ65)</f>
        <v>1000</v>
      </c>
      <c r="FE65" s="12">
        <f t="array" ref="FE65">SUMPRODUCT(TRANSPOSE(FE$9:FE$34),$K65:$AJ65)</f>
        <v>1000</v>
      </c>
      <c r="FF65" s="12">
        <f t="array" ref="FF65">SUMPRODUCT(TRANSPOSE(FF$9:FF$34),$K65:$AJ65)</f>
        <v>1000</v>
      </c>
      <c r="FG65" s="12">
        <f t="array" ref="FG65">SUMPRODUCT(TRANSPOSE(FG$9:FG$34),$K65:$AJ65)</f>
        <v>1000</v>
      </c>
      <c r="FH65" s="12">
        <f t="array" ref="FH65">SUMPRODUCT(TRANSPOSE(FH$9:FH$34),$K65:$AJ65)</f>
        <v>1000</v>
      </c>
      <c r="FI65" s="12">
        <f t="array" ref="FI65">SUMPRODUCT(TRANSPOSE(FI$9:FI$34),$K65:$AJ65)</f>
        <v>1000</v>
      </c>
      <c r="FJ65" s="12">
        <f t="array" ref="FJ65">SUMPRODUCT(TRANSPOSE(FJ$9:FJ$34),$K65:$AJ65)</f>
        <v>1000</v>
      </c>
      <c r="FK65" s="12">
        <f t="array" ref="FK65">SUMPRODUCT(TRANSPOSE(FK$9:FK$34),$K65:$AJ65)</f>
        <v>1000</v>
      </c>
      <c r="FL65" s="12">
        <f t="array" ref="FL65">SUMPRODUCT(TRANSPOSE(FL$9:FL$34),$K65:$AJ65)</f>
        <v>1000</v>
      </c>
      <c r="FM65" s="12">
        <f t="array" ref="FM65">SUMPRODUCT(TRANSPOSE(FM$9:FM$34),$K65:$AJ65)</f>
        <v>1000</v>
      </c>
      <c r="FN65" s="12">
        <f t="array" ref="FN65">SUMPRODUCT(TRANSPOSE(FN$9:FN$34),$K65:$AJ65)</f>
        <v>817</v>
      </c>
      <c r="FO65" s="12">
        <f t="array" ref="FO65">SUMPRODUCT(TRANSPOSE(FO$9:FO$34),$K65:$AJ65)</f>
        <v>0</v>
      </c>
    </row>
    <row r="66" spans="1:171" ht="14.25" x14ac:dyDescent="0.2">
      <c r="A66" s="13">
        <f t="shared" si="4"/>
        <v>31</v>
      </c>
      <c r="B66" s="13" t="s">
        <v>155</v>
      </c>
      <c r="C66" s="25" t="s">
        <v>156</v>
      </c>
      <c r="D66" s="13" t="s">
        <v>110</v>
      </c>
      <c r="E66" s="13">
        <v>408557951</v>
      </c>
      <c r="F66" s="26" t="s">
        <v>157</v>
      </c>
      <c r="G66" s="13"/>
      <c r="H66" s="13" t="s">
        <v>61</v>
      </c>
      <c r="I66" s="13">
        <v>1</v>
      </c>
      <c r="J66" s="13">
        <v>2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1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/>
      <c r="Z66" s="13"/>
      <c r="AA66" s="13">
        <v>0</v>
      </c>
      <c r="AB66" s="13">
        <v>1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f t="shared" si="3"/>
        <v>2</v>
      </c>
      <c r="AL66" s="23">
        <f t="shared" si="2"/>
        <v>35599</v>
      </c>
      <c r="AM66" s="27"/>
      <c r="AN66" s="13" t="s">
        <v>158</v>
      </c>
      <c r="AO66" s="7" t="s">
        <v>159</v>
      </c>
      <c r="AP66" s="45">
        <v>0.6</v>
      </c>
      <c r="AQ66" s="12">
        <v>18390</v>
      </c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13"/>
      <c r="CG66" s="13"/>
      <c r="CH66" s="13"/>
      <c r="CI66" s="12"/>
      <c r="CJ66" s="12"/>
      <c r="CK66" s="12"/>
      <c r="CL66" s="12"/>
      <c r="CM66" s="12"/>
      <c r="CN66" s="12"/>
      <c r="CO66" s="12"/>
      <c r="CP66" s="12">
        <f>SUM($AQ66:BJ66)-SUM($EA66:EH66)</f>
        <v>15281</v>
      </c>
      <c r="CQ66" s="12">
        <f>SUM($AQ66:BK66)-SUM($EA66:EI66)</f>
        <v>15000</v>
      </c>
      <c r="CR66" s="12">
        <f>SUM($AQ66:BL66)-SUM($EA66:EJ66)</f>
        <v>14985</v>
      </c>
      <c r="CS66" s="12">
        <f>SUM($AQ66:BM66)-SUM($EA66:EK66)</f>
        <v>14950</v>
      </c>
      <c r="CT66" s="12">
        <f>SUM($AQ66:BN66)-SUM($EA66:EL66)</f>
        <v>14935</v>
      </c>
      <c r="CU66" s="12">
        <f>SUM($AQ66:BO66)-SUM($EA66:EM66)</f>
        <v>14885</v>
      </c>
      <c r="CV66" s="12">
        <f>SUM($AQ66:BP66)-SUM($EA66:EN66)</f>
        <v>14835</v>
      </c>
      <c r="CW66" s="12">
        <f>SUM($AQ66:BQ66)-SUM($EA66:EO66)</f>
        <v>14835</v>
      </c>
      <c r="CX66" s="12">
        <f>SUM($AQ66:BR66)-SUM($EA66:EP66)</f>
        <v>14785</v>
      </c>
      <c r="CY66" s="12">
        <f>SUM($AQ66:BS66)-SUM($EA66:EQ66)</f>
        <v>14735</v>
      </c>
      <c r="CZ66" s="12">
        <f>SUM($AQ66:BT66)-SUM($EA66:ER66)</f>
        <v>14685</v>
      </c>
      <c r="DA66" s="12">
        <f>SUM($AQ66:BU66)-SUM($EA66:ES66)</f>
        <v>14635</v>
      </c>
      <c r="DB66" s="12">
        <f>SUM($AQ66:BV66)-SUM($EA66:ET66)</f>
        <v>14585</v>
      </c>
      <c r="DC66" s="12">
        <f>SUM($AQ66:BW66)-SUM($EA66:EU66)</f>
        <v>14535</v>
      </c>
      <c r="DD66" s="12">
        <f>SUM($AQ66:BX66)-SUM($EA66:EV66)</f>
        <v>14485</v>
      </c>
      <c r="DE66" s="12">
        <f>SUM($AQ66:BY66)-SUM($EA66:EW66)</f>
        <v>14475</v>
      </c>
      <c r="DF66" s="12">
        <f>SUM($AQ66:BZ66)-SUM($EA66:EX66)</f>
        <v>14475</v>
      </c>
      <c r="DG66" s="12">
        <f>SUM($AQ66:CA66)-SUM($EA66:EY66)</f>
        <v>14475</v>
      </c>
      <c r="DH66" s="12">
        <f>SUM($AQ66:CB66)-SUM($EA66:EZ66)</f>
        <v>14475</v>
      </c>
      <c r="DI66" s="12">
        <f>SUM($AQ66:CC66)-SUM($EA66:FA66)</f>
        <v>14475</v>
      </c>
      <c r="DJ66" s="12">
        <f>SUM($AQ66:CD66)-SUM($EA66:FB66)</f>
        <v>14475</v>
      </c>
      <c r="DK66" s="12">
        <f>SUM($AQ66:CE66)-SUM($EA66:FC66)</f>
        <v>14475</v>
      </c>
      <c r="DL66" s="12">
        <f>SUM($AQ66:CF66)-SUM($EA66:FD66)</f>
        <v>14475</v>
      </c>
      <c r="DM66" s="12">
        <f>SUM($AQ66:CG66)-SUM($EA66:FE66)</f>
        <v>14475</v>
      </c>
      <c r="DN66" s="12">
        <f>SUM($AQ66:CH66)-SUM($EA66:FF66)</f>
        <v>14475</v>
      </c>
      <c r="DO66" s="12">
        <f>SUM($AQ66:CI66)-SUM($EA66:FG66)</f>
        <v>14475</v>
      </c>
      <c r="DP66" s="12">
        <f>SUM($AQ66:CJ66)-SUM($EA66:FH66)</f>
        <v>14475</v>
      </c>
      <c r="DQ66" s="12">
        <f>SUM($AQ66:CK66)-SUM($EA66:FI66)</f>
        <v>14475</v>
      </c>
      <c r="DR66" s="12">
        <f>SUM($AQ66:CL66)-SUM($EA66:FJ66)</f>
        <v>14475</v>
      </c>
      <c r="DS66" s="12">
        <f>SUM($AQ66:CM66)-SUM($EA66:FK66)</f>
        <v>14475</v>
      </c>
      <c r="DT66" s="12">
        <f>SUM($AQ66:CN66)-SUM($EA66:FL66)</f>
        <v>14475</v>
      </c>
      <c r="DU66" s="12">
        <f>SUM($AQ66:CO66)-SUM($EA66:FM66)</f>
        <v>14475</v>
      </c>
      <c r="DV66" s="12">
        <f>SUM($AQ66:CP66)-SUM($EA66:FN66)</f>
        <v>29756</v>
      </c>
      <c r="DW66" s="12">
        <f>SUM($AQ66:CQ66)-SUM($EA66:FO66)</f>
        <v>44756</v>
      </c>
      <c r="DX66" s="13"/>
      <c r="DY66" s="13"/>
      <c r="DZ66" s="13"/>
      <c r="EA66" s="12"/>
      <c r="EB66" s="12"/>
      <c r="EC66" s="12"/>
      <c r="ED66" s="12"/>
      <c r="EE66" s="12"/>
      <c r="EF66" s="12"/>
      <c r="EG66" s="12"/>
      <c r="EH66" s="12">
        <f t="array" ref="EH66">SUMPRODUCT(TRANSPOSE(EH$9:EH$34),$K66:$AJ66)</f>
        <v>3109</v>
      </c>
      <c r="EI66" s="12">
        <f t="array" ref="EI66">SUMPRODUCT(TRANSPOSE(EI$9:EI$34),$K66:$AJ66)</f>
        <v>281</v>
      </c>
      <c r="EJ66" s="12">
        <f t="array" ref="EJ66">SUMPRODUCT(TRANSPOSE(EJ$9:EJ$34),$K66:$AJ66)</f>
        <v>15</v>
      </c>
      <c r="EK66" s="12">
        <f t="array" ref="EK66">SUMPRODUCT(TRANSPOSE(EK$9:EK$34),$K66:$AJ66)</f>
        <v>35</v>
      </c>
      <c r="EL66" s="12">
        <f t="array" ref="EL66">SUMPRODUCT(TRANSPOSE(EL$9:EL$34),$K66:$AJ66)</f>
        <v>15</v>
      </c>
      <c r="EM66" s="12">
        <f t="array" ref="EM66">SUMPRODUCT(TRANSPOSE(EM$9:EM$34),$K66:$AJ66)</f>
        <v>50</v>
      </c>
      <c r="EN66" s="12">
        <f t="array" ref="EN66">SUMPRODUCT(TRANSPOSE(EN$9:EN$34),$K66:$AJ66)</f>
        <v>50</v>
      </c>
      <c r="EO66" s="12">
        <f t="array" ref="EO66">SUMPRODUCT(TRANSPOSE(EO$9:EO$34),$K66:$AJ66)</f>
        <v>0</v>
      </c>
      <c r="EP66" s="12">
        <f t="array" ref="EP66">SUMPRODUCT(TRANSPOSE(EP$9:EP$34),$K66:$AJ66)</f>
        <v>50</v>
      </c>
      <c r="EQ66" s="12">
        <f t="array" ref="EQ66">SUMPRODUCT(TRANSPOSE(EQ$9:EQ$34),$K66:$AJ66)</f>
        <v>50</v>
      </c>
      <c r="ER66" s="12">
        <f t="array" ref="ER66">SUMPRODUCT(TRANSPOSE(ER$9:ER$34),$K66:$AJ66)</f>
        <v>50</v>
      </c>
      <c r="ES66" s="12">
        <f t="array" ref="ES66">SUMPRODUCT(TRANSPOSE(ES$9:ES$34),$K66:$AJ66)</f>
        <v>50</v>
      </c>
      <c r="ET66" s="12">
        <f t="array" ref="ET66">SUMPRODUCT(TRANSPOSE(ET$9:ET$34),$K66:$AJ66)</f>
        <v>50</v>
      </c>
      <c r="EU66" s="12">
        <f t="array" ref="EU66">SUMPRODUCT(TRANSPOSE(EU$9:EU$34),$K66:$AJ66)</f>
        <v>50</v>
      </c>
      <c r="EV66" s="12">
        <f t="array" ref="EV66">SUMPRODUCT(TRANSPOSE(EV$9:EV$34),$K66:$AJ66)</f>
        <v>50</v>
      </c>
      <c r="EW66" s="12">
        <f t="array" ref="EW66">SUMPRODUCT(TRANSPOSE(EW$9:EW$34),$K66:$AJ66)</f>
        <v>10</v>
      </c>
      <c r="EX66" s="12">
        <f t="array" ref="EX66">SUMPRODUCT(TRANSPOSE(EX$9:EX$34),$K66:$AJ66)</f>
        <v>0</v>
      </c>
      <c r="EY66" s="12">
        <f t="array" ref="EY66">SUMPRODUCT(TRANSPOSE(EY$9:EY$34),$K66:$AJ66)</f>
        <v>0</v>
      </c>
      <c r="EZ66" s="12">
        <f t="array" ref="EZ66">SUMPRODUCT(TRANSPOSE(EZ$9:EZ$34),$K66:$AJ66)</f>
        <v>0</v>
      </c>
      <c r="FA66" s="12">
        <f t="array" ref="FA66">SUMPRODUCT(TRANSPOSE(FA$9:FA$34),$K66:$AJ66)</f>
        <v>0</v>
      </c>
      <c r="FB66" s="12">
        <f t="array" ref="FB66">SUMPRODUCT(TRANSPOSE(FB$9:FB$34),$K66:$AJ66)</f>
        <v>0</v>
      </c>
      <c r="FC66" s="12">
        <f t="array" ref="FC66">SUMPRODUCT(TRANSPOSE(FC$9:FC$34),$K66:$AJ66)</f>
        <v>0</v>
      </c>
      <c r="FD66" s="12">
        <f t="array" ref="FD66">SUMPRODUCT(TRANSPOSE(FD$9:FD$34),$K66:$AJ66)</f>
        <v>0</v>
      </c>
      <c r="FE66" s="12">
        <f t="array" ref="FE66">SUMPRODUCT(TRANSPOSE(FE$9:FE$34),$K66:$AJ66)</f>
        <v>0</v>
      </c>
      <c r="FF66" s="12">
        <f t="array" ref="FF66">SUMPRODUCT(TRANSPOSE(FF$9:FF$34),$K66:$AJ66)</f>
        <v>0</v>
      </c>
      <c r="FG66" s="12">
        <f t="array" ref="FG66">SUMPRODUCT(TRANSPOSE(FG$9:FG$34),$K66:$AJ66)</f>
        <v>0</v>
      </c>
      <c r="FH66" s="12">
        <f t="array" ref="FH66">SUMPRODUCT(TRANSPOSE(FH$9:FH$34),$K66:$AJ66)</f>
        <v>0</v>
      </c>
      <c r="FI66" s="12">
        <f t="array" ref="FI66">SUMPRODUCT(TRANSPOSE(FI$9:FI$34),$K66:$AJ66)</f>
        <v>0</v>
      </c>
      <c r="FJ66" s="12">
        <f t="array" ref="FJ66">SUMPRODUCT(TRANSPOSE(FJ$9:FJ$34),$K66:$AJ66)</f>
        <v>0</v>
      </c>
      <c r="FK66" s="12">
        <f t="array" ref="FK66">SUMPRODUCT(TRANSPOSE(FK$9:FK$34),$K66:$AJ66)</f>
        <v>0</v>
      </c>
      <c r="FL66" s="12">
        <f t="array" ref="FL66">SUMPRODUCT(TRANSPOSE(FL$9:FL$34),$K66:$AJ66)</f>
        <v>0</v>
      </c>
      <c r="FM66" s="12">
        <f t="array" ref="FM66">SUMPRODUCT(TRANSPOSE(FM$9:FM$34),$K66:$AJ66)</f>
        <v>0</v>
      </c>
      <c r="FN66" s="12">
        <f t="array" ref="FN66">SUMPRODUCT(TRANSPOSE(FN$9:FN$34),$K66:$AJ66)</f>
        <v>0</v>
      </c>
      <c r="FO66" s="12">
        <f t="array" ref="FO66">SUMPRODUCT(TRANSPOSE(FO$9:FO$34),$K66:$AJ66)</f>
        <v>0</v>
      </c>
    </row>
    <row r="67" spans="1:171" ht="14.25" x14ac:dyDescent="0.2">
      <c r="A67" s="13">
        <f t="shared" si="4"/>
        <v>32</v>
      </c>
      <c r="B67" s="13" t="s">
        <v>160</v>
      </c>
      <c r="C67" s="58" t="s">
        <v>161</v>
      </c>
      <c r="D67" s="13" t="s">
        <v>60</v>
      </c>
      <c r="E67" s="13">
        <v>411160563</v>
      </c>
      <c r="F67" s="26" t="s">
        <v>162</v>
      </c>
      <c r="G67" s="13"/>
      <c r="H67" s="13" t="s">
        <v>61</v>
      </c>
      <c r="I67" s="13">
        <v>1</v>
      </c>
      <c r="J67" s="13">
        <v>3</v>
      </c>
      <c r="K67" s="13">
        <v>0</v>
      </c>
      <c r="L67" s="13">
        <v>0</v>
      </c>
      <c r="M67" s="13">
        <v>1</v>
      </c>
      <c r="N67" s="13">
        <v>0</v>
      </c>
      <c r="O67" s="13">
        <v>0</v>
      </c>
      <c r="P67" s="13">
        <v>0</v>
      </c>
      <c r="Q67" s="13">
        <v>0</v>
      </c>
      <c r="R67" s="13">
        <v>1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1</v>
      </c>
      <c r="Z67" s="13"/>
      <c r="AA67" s="13">
        <v>0</v>
      </c>
      <c r="AB67" s="13">
        <v>0</v>
      </c>
      <c r="AC67" s="13">
        <v>1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f t="shared" si="3"/>
        <v>4</v>
      </c>
      <c r="AL67" s="23">
        <f t="shared" si="2"/>
        <v>70896</v>
      </c>
      <c r="AM67" s="13"/>
      <c r="AN67" s="13" t="s">
        <v>128</v>
      </c>
      <c r="AO67" s="7" t="s">
        <v>129</v>
      </c>
      <c r="AP67" s="38">
        <v>46</v>
      </c>
      <c r="AQ67" s="12">
        <v>15438</v>
      </c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>
        <v>1000</v>
      </c>
      <c r="BD67" s="12">
        <v>2000</v>
      </c>
      <c r="BE67" s="12">
        <v>2000</v>
      </c>
      <c r="BF67" s="12"/>
      <c r="BG67" s="12">
        <v>2000</v>
      </c>
      <c r="BH67" s="12">
        <v>2000</v>
      </c>
      <c r="BI67" s="12">
        <v>2000</v>
      </c>
      <c r="BJ67" s="12">
        <v>2000</v>
      </c>
      <c r="BK67" s="12">
        <v>2000</v>
      </c>
      <c r="BL67" s="12">
        <v>2000</v>
      </c>
      <c r="BM67" s="12">
        <v>2000</v>
      </c>
      <c r="BN67" s="12">
        <v>2000</v>
      </c>
      <c r="BO67" s="12">
        <v>2000</v>
      </c>
      <c r="BP67" s="12">
        <v>2000</v>
      </c>
      <c r="BQ67" s="12">
        <v>2000</v>
      </c>
      <c r="BR67" s="12">
        <v>2000</v>
      </c>
      <c r="BS67" s="12">
        <v>2000</v>
      </c>
      <c r="BT67" s="12">
        <v>2000</v>
      </c>
      <c r="BU67" s="12">
        <v>2000</v>
      </c>
      <c r="BV67" s="12">
        <v>2000</v>
      </c>
      <c r="BW67" s="12">
        <v>2000</v>
      </c>
      <c r="BX67" s="12">
        <v>2000</v>
      </c>
      <c r="BY67" s="12">
        <v>2000</v>
      </c>
      <c r="BZ67" s="12">
        <v>2400</v>
      </c>
      <c r="CA67" s="12">
        <v>673</v>
      </c>
      <c r="CB67" s="59">
        <v>99</v>
      </c>
      <c r="CC67" s="59"/>
      <c r="CD67" s="59"/>
      <c r="CE67" s="59"/>
      <c r="CF67" s="13"/>
      <c r="CG67" s="13"/>
      <c r="CH67" s="13"/>
      <c r="CI67" s="12"/>
      <c r="CJ67" s="12"/>
      <c r="CK67" s="12"/>
      <c r="CL67" s="12"/>
      <c r="CM67" s="12"/>
      <c r="CN67" s="12"/>
      <c r="CO67" s="12"/>
      <c r="CP67" s="12">
        <f>SUM($AQ67:BJ67)-SUM($EA67:EH67)</f>
        <v>21375</v>
      </c>
      <c r="CQ67" s="12">
        <f>SUM($AQ67:BK67)-SUM($EA67:EI67)</f>
        <v>23094</v>
      </c>
      <c r="CR67" s="12">
        <f>SUM($AQ67:BL67)-SUM($EA67:EJ67)</f>
        <v>24094</v>
      </c>
      <c r="CS67" s="12">
        <f>SUM($AQ67:BM67)-SUM($EA67:EK67)</f>
        <v>24994</v>
      </c>
      <c r="CT67" s="12">
        <f>SUM($AQ67:BN67)-SUM($EA67:EL67)</f>
        <v>24994</v>
      </c>
      <c r="CU67" s="12">
        <f>SUM($AQ67:BO67)-SUM($EA67:EM67)</f>
        <v>24994</v>
      </c>
      <c r="CV67" s="12">
        <f>SUM($AQ67:BP67)-SUM($EA67:EN67)</f>
        <v>24994</v>
      </c>
      <c r="CW67" s="12">
        <f>SUM($AQ67:BQ67)-SUM($EA67:EO67)</f>
        <v>24994</v>
      </c>
      <c r="CX67" s="12">
        <f>SUM($AQ67:BR67)-SUM($EA67:EP67)</f>
        <v>24994</v>
      </c>
      <c r="CY67" s="12">
        <f>SUM($AQ67:BS67)-SUM($EA67:EQ67)</f>
        <v>24994</v>
      </c>
      <c r="CZ67" s="12">
        <f>SUM($AQ67:BT67)-SUM($EA67:ER67)</f>
        <v>24994</v>
      </c>
      <c r="DA67" s="12">
        <f>SUM($AQ67:BU67)-SUM($EA67:ES67)</f>
        <v>24994</v>
      </c>
      <c r="DB67" s="12">
        <f>SUM($AQ67:BV67)-SUM($EA67:ET67)</f>
        <v>24994</v>
      </c>
      <c r="DC67" s="12">
        <f>SUM($AQ67:BW67)-SUM($EA67:EU67)</f>
        <v>24994</v>
      </c>
      <c r="DD67" s="12">
        <f>SUM($AQ67:BX67)-SUM($EA67:EV67)</f>
        <v>24994</v>
      </c>
      <c r="DE67" s="12">
        <f>SUM($AQ67:BY67)-SUM($EA67:EW67)</f>
        <v>24994</v>
      </c>
      <c r="DF67" s="12">
        <f>SUM($AQ67:BZ67)-SUM($EA67:EX67)</f>
        <v>25394</v>
      </c>
      <c r="DG67" s="12">
        <f>SUM($AQ67:CA67)-SUM($EA67:EY67)</f>
        <v>24067</v>
      </c>
      <c r="DH67" s="12">
        <f>SUM($AQ67:CB67)-SUM($EA67:EZ67)</f>
        <v>22166</v>
      </c>
      <c r="DI67" s="12">
        <f>SUM($AQ67:CC67)-SUM($EA67:FA67)</f>
        <v>20166</v>
      </c>
      <c r="DJ67" s="12">
        <f>SUM($AQ67:CD67)-SUM($EA67:FB67)</f>
        <v>18166</v>
      </c>
      <c r="DK67" s="12">
        <f>SUM($AQ67:CE67)-SUM($EA67:FC67)</f>
        <v>16166</v>
      </c>
      <c r="DL67" s="12">
        <f>SUM($AQ67:CF67)-SUM($EA67:FD67)</f>
        <v>14166</v>
      </c>
      <c r="DM67" s="12">
        <f>SUM($AQ67:CG67)-SUM($EA67:FE67)</f>
        <v>12166</v>
      </c>
      <c r="DN67" s="12">
        <f>SUM($AQ67:CH67)-SUM($EA67:FF67)</f>
        <v>10166</v>
      </c>
      <c r="DO67" s="12">
        <f>SUM($AQ67:CI67)-SUM($EA67:FG67)</f>
        <v>8166</v>
      </c>
      <c r="DP67" s="12">
        <f>SUM($AQ67:CJ67)-SUM($EA67:FH67)</f>
        <v>6166</v>
      </c>
      <c r="DQ67" s="12">
        <f>SUM($AQ67:CK67)-SUM($EA67:FI67)</f>
        <v>4166</v>
      </c>
      <c r="DR67" s="12">
        <f>SUM($AQ67:CL67)-SUM($EA67:FJ67)</f>
        <v>2166</v>
      </c>
      <c r="DS67" s="12">
        <f>SUM($AQ67:CM67)-SUM($EA67:FK67)</f>
        <v>166</v>
      </c>
      <c r="DT67" s="12">
        <f>SUM($AQ67:CN67)-SUM($EA67:FL67)</f>
        <v>-1834</v>
      </c>
      <c r="DU67" s="12">
        <f>SUM($AQ67:CO67)-SUM($EA67:FM67)</f>
        <v>-3834</v>
      </c>
      <c r="DV67" s="12">
        <f>SUM($AQ67:CP67)-SUM($EA67:FN67)</f>
        <v>15724</v>
      </c>
      <c r="DW67" s="12">
        <f>SUM($AQ67:CQ67)-SUM($EA67:FO67)</f>
        <v>38741</v>
      </c>
      <c r="DX67" s="13"/>
      <c r="DY67" s="13"/>
      <c r="DZ67" s="13"/>
      <c r="EA67" s="12"/>
      <c r="EB67" s="12"/>
      <c r="EC67" s="12"/>
      <c r="ED67" s="12"/>
      <c r="EE67" s="12"/>
      <c r="EF67" s="12"/>
      <c r="EG67" s="12"/>
      <c r="EH67" s="12">
        <f t="array" ref="EH67">SUMPRODUCT(TRANSPOSE(EH$9:EH$34),$K67:$AJ67)</f>
        <v>7063</v>
      </c>
      <c r="EI67" s="12">
        <f t="array" ref="EI67">SUMPRODUCT(TRANSPOSE(EI$9:EI$34),$K67:$AJ67)</f>
        <v>281</v>
      </c>
      <c r="EJ67" s="12">
        <f t="array" ref="EJ67">SUMPRODUCT(TRANSPOSE(EJ$9:EJ$34),$K67:$AJ67)</f>
        <v>1000</v>
      </c>
      <c r="EK67" s="12">
        <f t="array" ref="EK67">SUMPRODUCT(TRANSPOSE(EK$9:EK$34),$K67:$AJ67)</f>
        <v>1100</v>
      </c>
      <c r="EL67" s="12">
        <f t="array" ref="EL67">SUMPRODUCT(TRANSPOSE(EL$9:EL$34),$K67:$AJ67)</f>
        <v>2000</v>
      </c>
      <c r="EM67" s="12">
        <f t="array" ref="EM67">SUMPRODUCT(TRANSPOSE(EM$9:EM$34),$K67:$AJ67)</f>
        <v>2000</v>
      </c>
      <c r="EN67" s="12">
        <f t="array" ref="EN67">SUMPRODUCT(TRANSPOSE(EN$9:EN$34),$K67:$AJ67)</f>
        <v>2000</v>
      </c>
      <c r="EO67" s="12">
        <f t="array" ref="EO67">SUMPRODUCT(TRANSPOSE(EO$9:EO$34),$K67:$AJ67)</f>
        <v>2000</v>
      </c>
      <c r="EP67" s="12">
        <f t="array" ref="EP67">SUMPRODUCT(TRANSPOSE(EP$9:EP$34),$K67:$AJ67)</f>
        <v>2000</v>
      </c>
      <c r="EQ67" s="12">
        <f t="array" ref="EQ67">SUMPRODUCT(TRANSPOSE(EQ$9:EQ$34),$K67:$AJ67)</f>
        <v>2000</v>
      </c>
      <c r="ER67" s="12">
        <f t="array" ref="ER67">SUMPRODUCT(TRANSPOSE(ER$9:ER$34),$K67:$AJ67)</f>
        <v>2000</v>
      </c>
      <c r="ES67" s="12">
        <f t="array" ref="ES67">SUMPRODUCT(TRANSPOSE(ES$9:ES$34),$K67:$AJ67)</f>
        <v>2000</v>
      </c>
      <c r="ET67" s="12">
        <f t="array" ref="ET67">SUMPRODUCT(TRANSPOSE(ET$9:ET$34),$K67:$AJ67)</f>
        <v>2000</v>
      </c>
      <c r="EU67" s="12">
        <f t="array" ref="EU67">SUMPRODUCT(TRANSPOSE(EU$9:EU$34),$K67:$AJ67)</f>
        <v>2000</v>
      </c>
      <c r="EV67" s="12">
        <f t="array" ref="EV67">SUMPRODUCT(TRANSPOSE(EV$9:EV$34),$K67:$AJ67)</f>
        <v>2000</v>
      </c>
      <c r="EW67" s="12">
        <f t="array" ref="EW67">SUMPRODUCT(TRANSPOSE(EW$9:EW$34),$K67:$AJ67)</f>
        <v>2000</v>
      </c>
      <c r="EX67" s="12">
        <f t="array" ref="EX67">SUMPRODUCT(TRANSPOSE(EX$9:EX$34),$K67:$AJ67)</f>
        <v>2000</v>
      </c>
      <c r="EY67" s="12">
        <f t="array" ref="EY67">SUMPRODUCT(TRANSPOSE(EY$9:EY$34),$K67:$AJ67)</f>
        <v>2000</v>
      </c>
      <c r="EZ67" s="12">
        <f t="array" ref="EZ67">SUMPRODUCT(TRANSPOSE(EZ$9:EZ$34),$K67:$AJ67)</f>
        <v>2000</v>
      </c>
      <c r="FA67" s="12">
        <f t="array" ref="FA67">SUMPRODUCT(TRANSPOSE(FA$9:FA$34),$K67:$AJ67)</f>
        <v>2000</v>
      </c>
      <c r="FB67" s="12">
        <f t="array" ref="FB67">SUMPRODUCT(TRANSPOSE(FB$9:FB$34),$K67:$AJ67)</f>
        <v>2000</v>
      </c>
      <c r="FC67" s="12">
        <f t="array" ref="FC67">SUMPRODUCT(TRANSPOSE(FC$9:FC$34),$K67:$AJ67)</f>
        <v>2000</v>
      </c>
      <c r="FD67" s="12">
        <f t="array" ref="FD67">SUMPRODUCT(TRANSPOSE(FD$9:FD$34),$K67:$AJ67)</f>
        <v>2000</v>
      </c>
      <c r="FE67" s="12">
        <f t="array" ref="FE67">SUMPRODUCT(TRANSPOSE(FE$9:FE$34),$K67:$AJ67)</f>
        <v>2000</v>
      </c>
      <c r="FF67" s="12">
        <f t="array" ref="FF67">SUMPRODUCT(TRANSPOSE(FF$9:FF$34),$K67:$AJ67)</f>
        <v>2000</v>
      </c>
      <c r="FG67" s="12">
        <f t="array" ref="FG67">SUMPRODUCT(TRANSPOSE(FG$9:FG$34),$K67:$AJ67)</f>
        <v>2000</v>
      </c>
      <c r="FH67" s="12">
        <f t="array" ref="FH67">SUMPRODUCT(TRANSPOSE(FH$9:FH$34),$K67:$AJ67)</f>
        <v>2000</v>
      </c>
      <c r="FI67" s="12">
        <f t="array" ref="FI67">SUMPRODUCT(TRANSPOSE(FI$9:FI$34),$K67:$AJ67)</f>
        <v>2000</v>
      </c>
      <c r="FJ67" s="12">
        <f t="array" ref="FJ67">SUMPRODUCT(TRANSPOSE(FJ$9:FJ$34),$K67:$AJ67)</f>
        <v>2000</v>
      </c>
      <c r="FK67" s="12">
        <f t="array" ref="FK67">SUMPRODUCT(TRANSPOSE(FK$9:FK$34),$K67:$AJ67)</f>
        <v>2000</v>
      </c>
      <c r="FL67" s="12">
        <f t="array" ref="FL67">SUMPRODUCT(TRANSPOSE(FL$9:FL$34),$K67:$AJ67)</f>
        <v>2000</v>
      </c>
      <c r="FM67" s="12">
        <f t="array" ref="FM67">SUMPRODUCT(TRANSPOSE(FM$9:FM$34),$K67:$AJ67)</f>
        <v>2000</v>
      </c>
      <c r="FN67" s="12">
        <f t="array" ref="FN67">SUMPRODUCT(TRANSPOSE(FN$9:FN$34),$K67:$AJ67)</f>
        <v>1817</v>
      </c>
      <c r="FO67" s="12">
        <f t="array" ref="FO67">SUMPRODUCT(TRANSPOSE(FO$9:FO$34),$K67:$AJ67)</f>
        <v>77</v>
      </c>
    </row>
    <row r="68" spans="1:171" ht="14.25" x14ac:dyDescent="0.2">
      <c r="A68" s="13">
        <f t="shared" si="4"/>
        <v>33</v>
      </c>
      <c r="B68" s="13" t="s">
        <v>163</v>
      </c>
      <c r="C68" s="25" t="s">
        <v>164</v>
      </c>
      <c r="D68" s="13" t="s">
        <v>110</v>
      </c>
      <c r="E68" s="13">
        <v>421436480</v>
      </c>
      <c r="F68" s="26" t="s">
        <v>165</v>
      </c>
      <c r="G68" s="13"/>
      <c r="H68" s="13" t="s">
        <v>61</v>
      </c>
      <c r="I68" s="13">
        <v>1</v>
      </c>
      <c r="J68" s="13">
        <v>3</v>
      </c>
      <c r="K68" s="13">
        <v>0</v>
      </c>
      <c r="L68" s="13">
        <v>1</v>
      </c>
      <c r="M68" s="13">
        <v>0</v>
      </c>
      <c r="N68" s="13">
        <v>0</v>
      </c>
      <c r="O68" s="13">
        <v>0</v>
      </c>
      <c r="P68" s="13">
        <v>0</v>
      </c>
      <c r="Q68" s="13">
        <v>1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/>
      <c r="Z68" s="13"/>
      <c r="AA68" s="13">
        <v>0</v>
      </c>
      <c r="AB68" s="13">
        <v>1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f t="shared" si="3"/>
        <v>3</v>
      </c>
      <c r="AL68" s="23">
        <f t="shared" si="2"/>
        <v>70797</v>
      </c>
      <c r="AM68" s="13"/>
      <c r="AN68" s="13" t="s">
        <v>166</v>
      </c>
      <c r="AO68" s="7" t="s">
        <v>167</v>
      </c>
      <c r="AP68" s="38">
        <v>12.3</v>
      </c>
      <c r="AQ68" s="12">
        <v>18195</v>
      </c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13"/>
      <c r="CG68" s="13"/>
      <c r="CH68" s="13"/>
      <c r="CI68" s="12"/>
      <c r="CJ68" s="12"/>
      <c r="CK68" s="12"/>
      <c r="CL68" s="12"/>
      <c r="CM68" s="12"/>
      <c r="CN68" s="12"/>
      <c r="CO68" s="12"/>
      <c r="CP68" s="12">
        <f>SUM($AQ68:BJ68)-SUM($EA68:EH68)</f>
        <v>11746</v>
      </c>
      <c r="CQ68" s="12">
        <f>SUM($AQ68:BK68)-SUM($EA68:EI68)</f>
        <v>10851</v>
      </c>
      <c r="CR68" s="12">
        <f>SUM($AQ68:BL68)-SUM($EA68:EJ68)</f>
        <v>9836</v>
      </c>
      <c r="CS68" s="12">
        <f>SUM($AQ68:BM68)-SUM($EA68:EK68)</f>
        <v>8801</v>
      </c>
      <c r="CT68" s="12">
        <f>SUM($AQ68:BN68)-SUM($EA68:EL68)</f>
        <v>7786</v>
      </c>
      <c r="CU68" s="12">
        <f>SUM($AQ68:BO68)-SUM($EA68:EM68)</f>
        <v>7736</v>
      </c>
      <c r="CV68" s="12">
        <f>SUM($AQ68:BP68)-SUM($EA68:EN68)</f>
        <v>6786</v>
      </c>
      <c r="CW68" s="12">
        <f>SUM($AQ68:BQ68)-SUM($EA68:EO68)</f>
        <v>5786</v>
      </c>
      <c r="CX68" s="12">
        <f>SUM($AQ68:BR68)-SUM($EA68:EP68)</f>
        <v>4736</v>
      </c>
      <c r="CY68" s="12">
        <f>SUM($AQ68:BS68)-SUM($EA68:EQ68)</f>
        <v>3686</v>
      </c>
      <c r="CZ68" s="12">
        <f>SUM($AQ68:BT68)-SUM($EA68:ER68)</f>
        <v>2636</v>
      </c>
      <c r="DA68" s="12">
        <f>SUM($AQ68:BU68)-SUM($EA68:ES68)</f>
        <v>1586</v>
      </c>
      <c r="DB68" s="12">
        <f>SUM($AQ68:BV68)-SUM($EA68:ET68)</f>
        <v>536</v>
      </c>
      <c r="DC68" s="12">
        <f>SUM($AQ68:BW68)-SUM($EA68:EU68)</f>
        <v>-514</v>
      </c>
      <c r="DD68" s="12">
        <f>SUM($AQ68:BX68)-SUM($EA68:EV68)</f>
        <v>-1564</v>
      </c>
      <c r="DE68" s="12">
        <f>SUM($AQ68:BY68)-SUM($EA68:EW68)</f>
        <v>-2574</v>
      </c>
      <c r="DF68" s="12">
        <f>SUM($AQ68:BZ68)-SUM($EA68:EX68)</f>
        <v>-3574</v>
      </c>
      <c r="DG68" s="12">
        <f>SUM($AQ68:CA68)-SUM($EA68:EY68)</f>
        <v>-4574</v>
      </c>
      <c r="DH68" s="12">
        <f>SUM($AQ68:CB68)-SUM($EA68:EZ68)</f>
        <v>-5574</v>
      </c>
      <c r="DI68" s="12">
        <f>SUM($AQ68:CC68)-SUM($EA68:FA68)</f>
        <v>-6574</v>
      </c>
      <c r="DJ68" s="12">
        <f>SUM($AQ68:CD68)-SUM($EA68:FB68)</f>
        <v>-7574</v>
      </c>
      <c r="DK68" s="12">
        <f>SUM($AQ68:CE68)-SUM($EA68:FC68)</f>
        <v>-8574</v>
      </c>
      <c r="DL68" s="12">
        <f>SUM($AQ68:CF68)-SUM($EA68:FD68)</f>
        <v>-9574</v>
      </c>
      <c r="DM68" s="12">
        <f>SUM($AQ68:CG68)-SUM($EA68:FE68)</f>
        <v>-10574</v>
      </c>
      <c r="DN68" s="12">
        <f>SUM($AQ68:CH68)-SUM($EA68:FF68)</f>
        <v>-11574</v>
      </c>
      <c r="DO68" s="12">
        <f>SUM($AQ68:CI68)-SUM($EA68:FG68)</f>
        <v>-12574</v>
      </c>
      <c r="DP68" s="12">
        <f>SUM($AQ68:CJ68)-SUM($EA68:FH68)</f>
        <v>-13574</v>
      </c>
      <c r="DQ68" s="12">
        <f>SUM($AQ68:CK68)-SUM($EA68:FI68)</f>
        <v>-14574</v>
      </c>
      <c r="DR68" s="12">
        <f>SUM($AQ68:CL68)-SUM($EA68:FJ68)</f>
        <v>-15574</v>
      </c>
      <c r="DS68" s="12">
        <f>SUM($AQ68:CM68)-SUM($EA68:FK68)</f>
        <v>-16574</v>
      </c>
      <c r="DT68" s="12">
        <f>SUM($AQ68:CN68)-SUM($EA68:FL68)</f>
        <v>-17574</v>
      </c>
      <c r="DU68" s="12">
        <f>SUM($AQ68:CO68)-SUM($EA68:FM68)</f>
        <v>-18574</v>
      </c>
      <c r="DV68" s="12">
        <f>SUM($AQ68:CP68)-SUM($EA68:FN68)</f>
        <v>-7828</v>
      </c>
      <c r="DW68" s="12">
        <f>SUM($AQ68:CQ68)-SUM($EA68:FO68)</f>
        <v>2979</v>
      </c>
      <c r="DX68" s="13"/>
      <c r="DY68" s="13"/>
      <c r="DZ68" s="13"/>
      <c r="EA68" s="12"/>
      <c r="EB68" s="12"/>
      <c r="EC68" s="12"/>
      <c r="ED68" s="12"/>
      <c r="EE68" s="12"/>
      <c r="EF68" s="12"/>
      <c r="EG68" s="12"/>
      <c r="EH68" s="12">
        <f t="array" ref="EH68">SUMPRODUCT(TRANSPOSE(EH$9:EH$34),$K68:$AJ68)</f>
        <v>6449</v>
      </c>
      <c r="EI68" s="12">
        <f t="array" ref="EI68">SUMPRODUCT(TRANSPOSE(EI$9:EI$34),$K68:$AJ68)</f>
        <v>895</v>
      </c>
      <c r="EJ68" s="12">
        <f t="array" ref="EJ68">SUMPRODUCT(TRANSPOSE(EJ$9:EJ$34),$K68:$AJ68)</f>
        <v>1015</v>
      </c>
      <c r="EK68" s="12">
        <f t="array" ref="EK68">SUMPRODUCT(TRANSPOSE(EK$9:EK$34),$K68:$AJ68)</f>
        <v>1035</v>
      </c>
      <c r="EL68" s="12">
        <f t="array" ref="EL68">SUMPRODUCT(TRANSPOSE(EL$9:EL$34),$K68:$AJ68)</f>
        <v>1015</v>
      </c>
      <c r="EM68" s="12">
        <f t="array" ref="EM68">SUMPRODUCT(TRANSPOSE(EM$9:EM$34),$K68:$AJ68)</f>
        <v>50</v>
      </c>
      <c r="EN68" s="12">
        <f t="array" ref="EN68">SUMPRODUCT(TRANSPOSE(EN$9:EN$34),$K68:$AJ68)</f>
        <v>950</v>
      </c>
      <c r="EO68" s="12">
        <f t="array" ref="EO68">SUMPRODUCT(TRANSPOSE(EO$9:EO$34),$K68:$AJ68)</f>
        <v>1000</v>
      </c>
      <c r="EP68" s="12">
        <f t="array" ref="EP68">SUMPRODUCT(TRANSPOSE(EP$9:EP$34),$K68:$AJ68)</f>
        <v>1050</v>
      </c>
      <c r="EQ68" s="12">
        <f t="array" ref="EQ68">SUMPRODUCT(TRANSPOSE(EQ$9:EQ$34),$K68:$AJ68)</f>
        <v>1050</v>
      </c>
      <c r="ER68" s="12">
        <f t="array" ref="ER68">SUMPRODUCT(TRANSPOSE(ER$9:ER$34),$K68:$AJ68)</f>
        <v>1050</v>
      </c>
      <c r="ES68" s="12">
        <f t="array" ref="ES68">SUMPRODUCT(TRANSPOSE(ES$9:ES$34),$K68:$AJ68)</f>
        <v>1050</v>
      </c>
      <c r="ET68" s="12">
        <f t="array" ref="ET68">SUMPRODUCT(TRANSPOSE(ET$9:ET$34),$K68:$AJ68)</f>
        <v>1050</v>
      </c>
      <c r="EU68" s="12">
        <f t="array" ref="EU68">SUMPRODUCT(TRANSPOSE(EU$9:EU$34),$K68:$AJ68)</f>
        <v>1050</v>
      </c>
      <c r="EV68" s="12">
        <f t="array" ref="EV68">SUMPRODUCT(TRANSPOSE(EV$9:EV$34),$K68:$AJ68)</f>
        <v>1050</v>
      </c>
      <c r="EW68" s="12">
        <f t="array" ref="EW68">SUMPRODUCT(TRANSPOSE(EW$9:EW$34),$K68:$AJ68)</f>
        <v>1010</v>
      </c>
      <c r="EX68" s="12">
        <f t="array" ref="EX68">SUMPRODUCT(TRANSPOSE(EX$9:EX$34),$K68:$AJ68)</f>
        <v>1000</v>
      </c>
      <c r="EY68" s="12">
        <f t="array" ref="EY68">SUMPRODUCT(TRANSPOSE(EY$9:EY$34),$K68:$AJ68)</f>
        <v>1000</v>
      </c>
      <c r="EZ68" s="12">
        <f t="array" ref="EZ68">SUMPRODUCT(TRANSPOSE(EZ$9:EZ$34),$K68:$AJ68)</f>
        <v>1000</v>
      </c>
      <c r="FA68" s="12">
        <f t="array" ref="FA68">SUMPRODUCT(TRANSPOSE(FA$9:FA$34),$K68:$AJ68)</f>
        <v>1000</v>
      </c>
      <c r="FB68" s="12">
        <f t="array" ref="FB68">SUMPRODUCT(TRANSPOSE(FB$9:FB$34),$K68:$AJ68)</f>
        <v>1000</v>
      </c>
      <c r="FC68" s="12">
        <f t="array" ref="FC68">SUMPRODUCT(TRANSPOSE(FC$9:FC$34),$K68:$AJ68)</f>
        <v>1000</v>
      </c>
      <c r="FD68" s="12">
        <f t="array" ref="FD68">SUMPRODUCT(TRANSPOSE(FD$9:FD$34),$K68:$AJ68)</f>
        <v>1000</v>
      </c>
      <c r="FE68" s="12">
        <f t="array" ref="FE68">SUMPRODUCT(TRANSPOSE(FE$9:FE$34),$K68:$AJ68)</f>
        <v>1000</v>
      </c>
      <c r="FF68" s="12">
        <f t="array" ref="FF68">SUMPRODUCT(TRANSPOSE(FF$9:FF$34),$K68:$AJ68)</f>
        <v>1000</v>
      </c>
      <c r="FG68" s="12">
        <f t="array" ref="FG68">SUMPRODUCT(TRANSPOSE(FG$9:FG$34),$K68:$AJ68)</f>
        <v>1000</v>
      </c>
      <c r="FH68" s="12">
        <f t="array" ref="FH68">SUMPRODUCT(TRANSPOSE(FH$9:FH$34),$K68:$AJ68)</f>
        <v>1000</v>
      </c>
      <c r="FI68" s="12">
        <f t="array" ref="FI68">SUMPRODUCT(TRANSPOSE(FI$9:FI$34),$K68:$AJ68)</f>
        <v>1000</v>
      </c>
      <c r="FJ68" s="12">
        <f t="array" ref="FJ68">SUMPRODUCT(TRANSPOSE(FJ$9:FJ$34),$K68:$AJ68)</f>
        <v>1000</v>
      </c>
      <c r="FK68" s="12">
        <f t="array" ref="FK68">SUMPRODUCT(TRANSPOSE(FK$9:FK$34),$K68:$AJ68)</f>
        <v>1000</v>
      </c>
      <c r="FL68" s="12">
        <f t="array" ref="FL68">SUMPRODUCT(TRANSPOSE(FL$9:FL$34),$K68:$AJ68)</f>
        <v>1000</v>
      </c>
      <c r="FM68" s="12">
        <f t="array" ref="FM68">SUMPRODUCT(TRANSPOSE(FM$9:FM$34),$K68:$AJ68)</f>
        <v>1000</v>
      </c>
      <c r="FN68" s="12">
        <f t="array" ref="FN68">SUMPRODUCT(TRANSPOSE(FN$9:FN$34),$K68:$AJ68)</f>
        <v>1000</v>
      </c>
      <c r="FO68" s="12">
        <f t="array" ref="FO68">SUMPRODUCT(TRANSPOSE(FO$9:FO$34),$K68:$AJ68)</f>
        <v>44</v>
      </c>
    </row>
    <row r="69" spans="1:171" ht="14.25" x14ac:dyDescent="0.2">
      <c r="A69" s="13">
        <f t="shared" si="4"/>
        <v>34</v>
      </c>
      <c r="B69" s="13" t="s">
        <v>169</v>
      </c>
      <c r="C69" s="25" t="s">
        <v>170</v>
      </c>
      <c r="D69" s="13">
        <v>-2</v>
      </c>
      <c r="E69" s="13">
        <v>400951273</v>
      </c>
      <c r="F69" s="26" t="s">
        <v>171</v>
      </c>
      <c r="G69" s="13"/>
      <c r="H69" s="13" t="s">
        <v>61</v>
      </c>
      <c r="I69" s="13">
        <v>1</v>
      </c>
      <c r="J69" s="13">
        <v>3</v>
      </c>
      <c r="K69" s="13">
        <v>0</v>
      </c>
      <c r="L69" s="13">
        <v>1</v>
      </c>
      <c r="M69" s="13">
        <v>0</v>
      </c>
      <c r="N69" s="13">
        <v>0</v>
      </c>
      <c r="O69" s="13">
        <v>0</v>
      </c>
      <c r="P69" s="13">
        <v>0</v>
      </c>
      <c r="Q69" s="13">
        <v>1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/>
      <c r="Z69" s="13"/>
      <c r="AA69" s="13">
        <v>0</v>
      </c>
      <c r="AB69" s="13">
        <v>1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f t="shared" si="3"/>
        <v>3</v>
      </c>
      <c r="AL69" s="23">
        <f t="shared" si="2"/>
        <v>70797</v>
      </c>
      <c r="AM69" s="13"/>
      <c r="AN69" s="13" t="s">
        <v>172</v>
      </c>
      <c r="AO69" s="7" t="s">
        <v>1</v>
      </c>
      <c r="AP69" s="38">
        <v>5.69</v>
      </c>
      <c r="AQ69" s="12">
        <v>70650</v>
      </c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13"/>
      <c r="CG69" s="13"/>
      <c r="CH69" s="13"/>
      <c r="CI69" s="12"/>
      <c r="CJ69" s="12"/>
      <c r="CK69" s="12"/>
      <c r="CL69" s="12"/>
      <c r="CM69" s="12"/>
      <c r="CN69" s="12"/>
      <c r="CO69" s="12"/>
      <c r="CP69" s="12">
        <f>SUM($AQ69:BJ69)-SUM($EA69:EH69)</f>
        <v>64201</v>
      </c>
      <c r="CQ69" s="12">
        <f>SUM($AQ69:BK69)-SUM($EA69:EI69)</f>
        <v>63306</v>
      </c>
      <c r="CR69" s="12">
        <f>SUM($AQ69:BL69)-SUM($EA69:EJ69)</f>
        <v>62291</v>
      </c>
      <c r="CS69" s="12">
        <f>SUM($AQ69:BM69)-SUM($EA69:EK69)</f>
        <v>61256</v>
      </c>
      <c r="CT69" s="12">
        <f>SUM($AQ69:BN69)-SUM($EA69:EL69)</f>
        <v>60241</v>
      </c>
      <c r="CU69" s="12">
        <f>SUM($AQ69:BO69)-SUM($EA69:EM69)</f>
        <v>60191</v>
      </c>
      <c r="CV69" s="12">
        <f>SUM($AQ69:BP69)-SUM($EA69:EN69)</f>
        <v>59241</v>
      </c>
      <c r="CW69" s="12">
        <f>SUM($AQ69:BQ69)-SUM($EA69:EO69)</f>
        <v>58241</v>
      </c>
      <c r="CX69" s="12">
        <f>SUM($AQ69:BR69)-SUM($EA69:EP69)</f>
        <v>57191</v>
      </c>
      <c r="CY69" s="12">
        <f>SUM($AQ69:BS69)-SUM($EA69:EQ69)</f>
        <v>56141</v>
      </c>
      <c r="CZ69" s="12">
        <f>SUM($AQ69:BT69)-SUM($EA69:ER69)</f>
        <v>55091</v>
      </c>
      <c r="DA69" s="12">
        <f>SUM($AQ69:BU69)-SUM($EA69:ES69)</f>
        <v>54041</v>
      </c>
      <c r="DB69" s="12">
        <f>SUM($AQ69:BV69)-SUM($EA69:ET69)</f>
        <v>52991</v>
      </c>
      <c r="DC69" s="12">
        <f>SUM($AQ69:BW69)-SUM($EA69:EU69)</f>
        <v>51941</v>
      </c>
      <c r="DD69" s="12">
        <f>SUM($AQ69:BX69)-SUM($EA69:EV69)</f>
        <v>50891</v>
      </c>
      <c r="DE69" s="12">
        <f>SUM($AQ69:BY69)-SUM($EA69:EW69)</f>
        <v>49881</v>
      </c>
      <c r="DF69" s="12">
        <f>SUM($AQ69:BZ69)-SUM($EA69:EX69)</f>
        <v>48881</v>
      </c>
      <c r="DG69" s="12">
        <f>SUM($AQ69:CA69)-SUM($EA69:EY69)</f>
        <v>47881</v>
      </c>
      <c r="DH69" s="12">
        <f>SUM($AQ69:CB69)-SUM($EA69:EZ69)</f>
        <v>46881</v>
      </c>
      <c r="DI69" s="12">
        <f>SUM($AQ69:CC69)-SUM($EA69:FA69)</f>
        <v>45881</v>
      </c>
      <c r="DJ69" s="12">
        <f>SUM($AQ69:CD69)-SUM($EA69:FB69)</f>
        <v>44881</v>
      </c>
      <c r="DK69" s="12">
        <f>SUM($AQ69:CE69)-SUM($EA69:FC69)</f>
        <v>43881</v>
      </c>
      <c r="DL69" s="12">
        <f>SUM($AQ69:CF69)-SUM($EA69:FD69)</f>
        <v>42881</v>
      </c>
      <c r="DM69" s="12">
        <f>SUM($AQ69:CG69)-SUM($EA69:FE69)</f>
        <v>41881</v>
      </c>
      <c r="DN69" s="12">
        <f>SUM($AQ69:CH69)-SUM($EA69:FF69)</f>
        <v>40881</v>
      </c>
      <c r="DO69" s="12">
        <f>SUM($AQ69:CI69)-SUM($EA69:FG69)</f>
        <v>39881</v>
      </c>
      <c r="DP69" s="12">
        <f>SUM($AQ69:CJ69)-SUM($EA69:FH69)</f>
        <v>38881</v>
      </c>
      <c r="DQ69" s="12">
        <f>SUM($AQ69:CK69)-SUM($EA69:FI69)</f>
        <v>37881</v>
      </c>
      <c r="DR69" s="12">
        <f>SUM($AQ69:CL69)-SUM($EA69:FJ69)</f>
        <v>36881</v>
      </c>
      <c r="DS69" s="12">
        <f>SUM($AQ69:CM69)-SUM($EA69:FK69)</f>
        <v>35881</v>
      </c>
      <c r="DT69" s="12">
        <f>SUM($AQ69:CN69)-SUM($EA69:FL69)</f>
        <v>34881</v>
      </c>
      <c r="DU69" s="12">
        <f>SUM($AQ69:CO69)-SUM($EA69:FM69)</f>
        <v>33881</v>
      </c>
      <c r="DV69" s="12">
        <f>SUM($AQ69:CP69)-SUM($EA69:FN69)</f>
        <v>97082</v>
      </c>
      <c r="DW69" s="12">
        <f>SUM($AQ69:CQ69)-SUM($EA69:FO69)</f>
        <v>160344</v>
      </c>
      <c r="DX69" s="13"/>
      <c r="DY69" s="13"/>
      <c r="DZ69" s="13"/>
      <c r="EA69" s="12"/>
      <c r="EB69" s="12"/>
      <c r="EC69" s="12"/>
      <c r="ED69" s="12"/>
      <c r="EE69" s="12"/>
      <c r="EF69" s="12"/>
      <c r="EG69" s="12"/>
      <c r="EH69" s="12">
        <f t="array" ref="EH69">SUMPRODUCT(TRANSPOSE(EH$9:EH$34),$K69:$AJ69)</f>
        <v>6449</v>
      </c>
      <c r="EI69" s="12">
        <f t="array" ref="EI69">SUMPRODUCT(TRANSPOSE(EI$9:EI$34),$K69:$AJ69)</f>
        <v>895</v>
      </c>
      <c r="EJ69" s="12">
        <f t="array" ref="EJ69">SUMPRODUCT(TRANSPOSE(EJ$9:EJ$34),$K69:$AJ69)</f>
        <v>1015</v>
      </c>
      <c r="EK69" s="12">
        <f t="array" ref="EK69">SUMPRODUCT(TRANSPOSE(EK$9:EK$34),$K69:$AJ69)</f>
        <v>1035</v>
      </c>
      <c r="EL69" s="12">
        <f t="array" ref="EL69">SUMPRODUCT(TRANSPOSE(EL$9:EL$34),$K69:$AJ69)</f>
        <v>1015</v>
      </c>
      <c r="EM69" s="12">
        <f t="array" ref="EM69">SUMPRODUCT(TRANSPOSE(EM$9:EM$34),$K69:$AJ69)</f>
        <v>50</v>
      </c>
      <c r="EN69" s="12">
        <f t="array" ref="EN69">SUMPRODUCT(TRANSPOSE(EN$9:EN$34),$K69:$AJ69)</f>
        <v>950</v>
      </c>
      <c r="EO69" s="12">
        <f t="array" ref="EO69">SUMPRODUCT(TRANSPOSE(EO$9:EO$34),$K69:$AJ69)</f>
        <v>1000</v>
      </c>
      <c r="EP69" s="12">
        <f t="array" ref="EP69">SUMPRODUCT(TRANSPOSE(EP$9:EP$34),$K69:$AJ69)</f>
        <v>1050</v>
      </c>
      <c r="EQ69" s="12">
        <f t="array" ref="EQ69">SUMPRODUCT(TRANSPOSE(EQ$9:EQ$34),$K69:$AJ69)</f>
        <v>1050</v>
      </c>
      <c r="ER69" s="12">
        <f t="array" ref="ER69">SUMPRODUCT(TRANSPOSE(ER$9:ER$34),$K69:$AJ69)</f>
        <v>1050</v>
      </c>
      <c r="ES69" s="12">
        <f t="array" ref="ES69">SUMPRODUCT(TRANSPOSE(ES$9:ES$34),$K69:$AJ69)</f>
        <v>1050</v>
      </c>
      <c r="ET69" s="12">
        <f t="array" ref="ET69">SUMPRODUCT(TRANSPOSE(ET$9:ET$34),$K69:$AJ69)</f>
        <v>1050</v>
      </c>
      <c r="EU69" s="12">
        <f t="array" ref="EU69">SUMPRODUCT(TRANSPOSE(EU$9:EU$34),$K69:$AJ69)</f>
        <v>1050</v>
      </c>
      <c r="EV69" s="12">
        <f t="array" ref="EV69">SUMPRODUCT(TRANSPOSE(EV$9:EV$34),$K69:$AJ69)</f>
        <v>1050</v>
      </c>
      <c r="EW69" s="12">
        <f t="array" ref="EW69">SUMPRODUCT(TRANSPOSE(EW$9:EW$34),$K69:$AJ69)</f>
        <v>1010</v>
      </c>
      <c r="EX69" s="12">
        <f t="array" ref="EX69">SUMPRODUCT(TRANSPOSE(EX$9:EX$34),$K69:$AJ69)</f>
        <v>1000</v>
      </c>
      <c r="EY69" s="12">
        <f t="array" ref="EY69">SUMPRODUCT(TRANSPOSE(EY$9:EY$34),$K69:$AJ69)</f>
        <v>1000</v>
      </c>
      <c r="EZ69" s="12">
        <f t="array" ref="EZ69">SUMPRODUCT(TRANSPOSE(EZ$9:EZ$34),$K69:$AJ69)</f>
        <v>1000</v>
      </c>
      <c r="FA69" s="12">
        <f t="array" ref="FA69">SUMPRODUCT(TRANSPOSE(FA$9:FA$34),$K69:$AJ69)</f>
        <v>1000</v>
      </c>
      <c r="FB69" s="12">
        <f t="array" ref="FB69">SUMPRODUCT(TRANSPOSE(FB$9:FB$34),$K69:$AJ69)</f>
        <v>1000</v>
      </c>
      <c r="FC69" s="12">
        <f t="array" ref="FC69">SUMPRODUCT(TRANSPOSE(FC$9:FC$34),$K69:$AJ69)</f>
        <v>1000</v>
      </c>
      <c r="FD69" s="12">
        <f t="array" ref="FD69">SUMPRODUCT(TRANSPOSE(FD$9:FD$34),$K69:$AJ69)</f>
        <v>1000</v>
      </c>
      <c r="FE69" s="12">
        <f t="array" ref="FE69">SUMPRODUCT(TRANSPOSE(FE$9:FE$34),$K69:$AJ69)</f>
        <v>1000</v>
      </c>
      <c r="FF69" s="12">
        <f t="array" ref="FF69">SUMPRODUCT(TRANSPOSE(FF$9:FF$34),$K69:$AJ69)</f>
        <v>1000</v>
      </c>
      <c r="FG69" s="12">
        <f t="array" ref="FG69">SUMPRODUCT(TRANSPOSE(FG$9:FG$34),$K69:$AJ69)</f>
        <v>1000</v>
      </c>
      <c r="FH69" s="12">
        <f t="array" ref="FH69">SUMPRODUCT(TRANSPOSE(FH$9:FH$34),$K69:$AJ69)</f>
        <v>1000</v>
      </c>
      <c r="FI69" s="12">
        <f t="array" ref="FI69">SUMPRODUCT(TRANSPOSE(FI$9:FI$34),$K69:$AJ69)</f>
        <v>1000</v>
      </c>
      <c r="FJ69" s="12">
        <f t="array" ref="FJ69">SUMPRODUCT(TRANSPOSE(FJ$9:FJ$34),$K69:$AJ69)</f>
        <v>1000</v>
      </c>
      <c r="FK69" s="12">
        <f t="array" ref="FK69">SUMPRODUCT(TRANSPOSE(FK$9:FK$34),$K69:$AJ69)</f>
        <v>1000</v>
      </c>
      <c r="FL69" s="12">
        <f t="array" ref="FL69">SUMPRODUCT(TRANSPOSE(FL$9:FL$34),$K69:$AJ69)</f>
        <v>1000</v>
      </c>
      <c r="FM69" s="12">
        <f t="array" ref="FM69">SUMPRODUCT(TRANSPOSE(FM$9:FM$34),$K69:$AJ69)</f>
        <v>1000</v>
      </c>
      <c r="FN69" s="12">
        <f t="array" ref="FN69">SUMPRODUCT(TRANSPOSE(FN$9:FN$34),$K69:$AJ69)</f>
        <v>1000</v>
      </c>
      <c r="FO69" s="12">
        <f t="array" ref="FO69">SUMPRODUCT(TRANSPOSE(FO$9:FO$34),$K69:$AJ69)</f>
        <v>44</v>
      </c>
    </row>
    <row r="70" spans="1:171" ht="14.25" x14ac:dyDescent="0.2">
      <c r="A70" s="13">
        <f t="shared" si="4"/>
        <v>35</v>
      </c>
      <c r="B70" s="13" t="s">
        <v>173</v>
      </c>
      <c r="C70" s="25" t="s">
        <v>174</v>
      </c>
      <c r="D70" s="13" t="s">
        <v>175</v>
      </c>
      <c r="E70" s="13">
        <v>400951274</v>
      </c>
      <c r="F70" s="26" t="s">
        <v>176</v>
      </c>
      <c r="G70" s="13"/>
      <c r="H70" s="13" t="s">
        <v>61</v>
      </c>
      <c r="I70" s="13">
        <v>1</v>
      </c>
      <c r="J70" s="13">
        <v>3</v>
      </c>
      <c r="K70" s="13">
        <v>0</v>
      </c>
      <c r="L70" s="13">
        <v>1</v>
      </c>
      <c r="M70" s="13">
        <v>0</v>
      </c>
      <c r="N70" s="13">
        <v>0</v>
      </c>
      <c r="O70" s="13">
        <v>0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/>
      <c r="Z70" s="13"/>
      <c r="AA70" s="13">
        <v>0</v>
      </c>
      <c r="AB70" s="13">
        <v>1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f t="shared" si="3"/>
        <v>3</v>
      </c>
      <c r="AL70" s="23">
        <f t="shared" si="2"/>
        <v>70797</v>
      </c>
      <c r="AM70" s="13"/>
      <c r="AN70" s="13" t="s">
        <v>172</v>
      </c>
      <c r="AO70" s="7" t="s">
        <v>1</v>
      </c>
      <c r="AP70" s="38">
        <v>5.69</v>
      </c>
      <c r="AQ70" s="12">
        <v>70650</v>
      </c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13"/>
      <c r="CG70" s="13"/>
      <c r="CH70" s="13"/>
      <c r="CI70" s="12"/>
      <c r="CJ70" s="12"/>
      <c r="CK70" s="12"/>
      <c r="CL70" s="12"/>
      <c r="CM70" s="12"/>
      <c r="CN70" s="12"/>
      <c r="CO70" s="12"/>
      <c r="CP70" s="12">
        <f>SUM($AQ70:BJ70)-SUM($EA70:EH70)</f>
        <v>64201</v>
      </c>
      <c r="CQ70" s="12">
        <f>SUM($AQ70:BK70)-SUM($EA70:EI70)</f>
        <v>63306</v>
      </c>
      <c r="CR70" s="12">
        <f>SUM($AQ70:BL70)-SUM($EA70:EJ70)</f>
        <v>62291</v>
      </c>
      <c r="CS70" s="12">
        <f>SUM($AQ70:BM70)-SUM($EA70:EK70)</f>
        <v>61256</v>
      </c>
      <c r="CT70" s="12">
        <f>SUM($AQ70:BN70)-SUM($EA70:EL70)</f>
        <v>60241</v>
      </c>
      <c r="CU70" s="12">
        <f>SUM($AQ70:BO70)-SUM($EA70:EM70)</f>
        <v>60191</v>
      </c>
      <c r="CV70" s="12">
        <f>SUM($AQ70:BP70)-SUM($EA70:EN70)</f>
        <v>59241</v>
      </c>
      <c r="CW70" s="12">
        <f>SUM($AQ70:BQ70)-SUM($EA70:EO70)</f>
        <v>58241</v>
      </c>
      <c r="CX70" s="12">
        <f>SUM($AQ70:BR70)-SUM($EA70:EP70)</f>
        <v>57191</v>
      </c>
      <c r="CY70" s="12">
        <f>SUM($AQ70:BS70)-SUM($EA70:EQ70)</f>
        <v>56141</v>
      </c>
      <c r="CZ70" s="12">
        <f>SUM($AQ70:BT70)-SUM($EA70:ER70)</f>
        <v>55091</v>
      </c>
      <c r="DA70" s="12">
        <f>SUM($AQ70:BU70)-SUM($EA70:ES70)</f>
        <v>54041</v>
      </c>
      <c r="DB70" s="12">
        <f>SUM($AQ70:BV70)-SUM($EA70:ET70)</f>
        <v>52991</v>
      </c>
      <c r="DC70" s="12">
        <f>SUM($AQ70:BW70)-SUM($EA70:EU70)</f>
        <v>51941</v>
      </c>
      <c r="DD70" s="12">
        <f>SUM($AQ70:BX70)-SUM($EA70:EV70)</f>
        <v>50891</v>
      </c>
      <c r="DE70" s="12">
        <f>SUM($AQ70:BY70)-SUM($EA70:EW70)</f>
        <v>49881</v>
      </c>
      <c r="DF70" s="12">
        <f>SUM($AQ70:BZ70)-SUM($EA70:EX70)</f>
        <v>48881</v>
      </c>
      <c r="DG70" s="12">
        <f>SUM($AQ70:CA70)-SUM($EA70:EY70)</f>
        <v>47881</v>
      </c>
      <c r="DH70" s="12">
        <f>SUM($AQ70:CB70)-SUM($EA70:EZ70)</f>
        <v>46881</v>
      </c>
      <c r="DI70" s="12">
        <f>SUM($AQ70:CC70)-SUM($EA70:FA70)</f>
        <v>45881</v>
      </c>
      <c r="DJ70" s="12">
        <f>SUM($AQ70:CD70)-SUM($EA70:FB70)</f>
        <v>44881</v>
      </c>
      <c r="DK70" s="12">
        <f>SUM($AQ70:CE70)-SUM($EA70:FC70)</f>
        <v>43881</v>
      </c>
      <c r="DL70" s="12">
        <f>SUM($AQ70:CF70)-SUM($EA70:FD70)</f>
        <v>42881</v>
      </c>
      <c r="DM70" s="12">
        <f>SUM($AQ70:CG70)-SUM($EA70:FE70)</f>
        <v>41881</v>
      </c>
      <c r="DN70" s="12">
        <f>SUM($AQ70:CH70)-SUM($EA70:FF70)</f>
        <v>40881</v>
      </c>
      <c r="DO70" s="12">
        <f>SUM($AQ70:CI70)-SUM($EA70:FG70)</f>
        <v>39881</v>
      </c>
      <c r="DP70" s="12">
        <f>SUM($AQ70:CJ70)-SUM($EA70:FH70)</f>
        <v>38881</v>
      </c>
      <c r="DQ70" s="12">
        <f>SUM($AQ70:CK70)-SUM($EA70:FI70)</f>
        <v>37881</v>
      </c>
      <c r="DR70" s="12">
        <f>SUM($AQ70:CL70)-SUM($EA70:FJ70)</f>
        <v>36881</v>
      </c>
      <c r="DS70" s="12">
        <f>SUM($AQ70:CM70)-SUM($EA70:FK70)</f>
        <v>35881</v>
      </c>
      <c r="DT70" s="12">
        <f>SUM($AQ70:CN70)-SUM($EA70:FL70)</f>
        <v>34881</v>
      </c>
      <c r="DU70" s="12">
        <f>SUM($AQ70:CO70)-SUM($EA70:FM70)</f>
        <v>33881</v>
      </c>
      <c r="DV70" s="12">
        <f>SUM($AQ70:CP70)-SUM($EA70:FN70)</f>
        <v>97082</v>
      </c>
      <c r="DW70" s="12">
        <f>SUM($AQ70:CQ70)-SUM($EA70:FO70)</f>
        <v>160344</v>
      </c>
      <c r="DX70" s="13"/>
      <c r="DY70" s="13"/>
      <c r="DZ70" s="13"/>
      <c r="EA70" s="12"/>
      <c r="EB70" s="12"/>
      <c r="EC70" s="12"/>
      <c r="ED70" s="12"/>
      <c r="EE70" s="12"/>
      <c r="EF70" s="12"/>
      <c r="EG70" s="12"/>
      <c r="EH70" s="12">
        <f t="array" ref="EH70">SUMPRODUCT(TRANSPOSE(EH$9:EH$34),$K70:$AJ70)</f>
        <v>6449</v>
      </c>
      <c r="EI70" s="12">
        <f t="array" ref="EI70">SUMPRODUCT(TRANSPOSE(EI$9:EI$34),$K70:$AJ70)</f>
        <v>895</v>
      </c>
      <c r="EJ70" s="12">
        <f t="array" ref="EJ70">SUMPRODUCT(TRANSPOSE(EJ$9:EJ$34),$K70:$AJ70)</f>
        <v>1015</v>
      </c>
      <c r="EK70" s="12">
        <f t="array" ref="EK70">SUMPRODUCT(TRANSPOSE(EK$9:EK$34),$K70:$AJ70)</f>
        <v>1035</v>
      </c>
      <c r="EL70" s="12">
        <f t="array" ref="EL70">SUMPRODUCT(TRANSPOSE(EL$9:EL$34),$K70:$AJ70)</f>
        <v>1015</v>
      </c>
      <c r="EM70" s="12">
        <f t="array" ref="EM70">SUMPRODUCT(TRANSPOSE(EM$9:EM$34),$K70:$AJ70)</f>
        <v>50</v>
      </c>
      <c r="EN70" s="12">
        <f t="array" ref="EN70">SUMPRODUCT(TRANSPOSE(EN$9:EN$34),$K70:$AJ70)</f>
        <v>950</v>
      </c>
      <c r="EO70" s="12">
        <f t="array" ref="EO70">SUMPRODUCT(TRANSPOSE(EO$9:EO$34),$K70:$AJ70)</f>
        <v>1000</v>
      </c>
      <c r="EP70" s="12">
        <f t="array" ref="EP70">SUMPRODUCT(TRANSPOSE(EP$9:EP$34),$K70:$AJ70)</f>
        <v>1050</v>
      </c>
      <c r="EQ70" s="12">
        <f t="array" ref="EQ70">SUMPRODUCT(TRANSPOSE(EQ$9:EQ$34),$K70:$AJ70)</f>
        <v>1050</v>
      </c>
      <c r="ER70" s="12">
        <f t="array" ref="ER70">SUMPRODUCT(TRANSPOSE(ER$9:ER$34),$K70:$AJ70)</f>
        <v>1050</v>
      </c>
      <c r="ES70" s="12">
        <f t="array" ref="ES70">SUMPRODUCT(TRANSPOSE(ES$9:ES$34),$K70:$AJ70)</f>
        <v>1050</v>
      </c>
      <c r="ET70" s="12">
        <f t="array" ref="ET70">SUMPRODUCT(TRANSPOSE(ET$9:ET$34),$K70:$AJ70)</f>
        <v>1050</v>
      </c>
      <c r="EU70" s="12">
        <f t="array" ref="EU70">SUMPRODUCT(TRANSPOSE(EU$9:EU$34),$K70:$AJ70)</f>
        <v>1050</v>
      </c>
      <c r="EV70" s="12">
        <f t="array" ref="EV70">SUMPRODUCT(TRANSPOSE(EV$9:EV$34),$K70:$AJ70)</f>
        <v>1050</v>
      </c>
      <c r="EW70" s="12">
        <f t="array" ref="EW70">SUMPRODUCT(TRANSPOSE(EW$9:EW$34),$K70:$AJ70)</f>
        <v>1010</v>
      </c>
      <c r="EX70" s="12">
        <f t="array" ref="EX70">SUMPRODUCT(TRANSPOSE(EX$9:EX$34),$K70:$AJ70)</f>
        <v>1000</v>
      </c>
      <c r="EY70" s="12">
        <f t="array" ref="EY70">SUMPRODUCT(TRANSPOSE(EY$9:EY$34),$K70:$AJ70)</f>
        <v>1000</v>
      </c>
      <c r="EZ70" s="12">
        <f t="array" ref="EZ70">SUMPRODUCT(TRANSPOSE(EZ$9:EZ$34),$K70:$AJ70)</f>
        <v>1000</v>
      </c>
      <c r="FA70" s="12">
        <f t="array" ref="FA70">SUMPRODUCT(TRANSPOSE(FA$9:FA$34),$K70:$AJ70)</f>
        <v>1000</v>
      </c>
      <c r="FB70" s="12">
        <f t="array" ref="FB70">SUMPRODUCT(TRANSPOSE(FB$9:FB$34),$K70:$AJ70)</f>
        <v>1000</v>
      </c>
      <c r="FC70" s="12">
        <f t="array" ref="FC70">SUMPRODUCT(TRANSPOSE(FC$9:FC$34),$K70:$AJ70)</f>
        <v>1000</v>
      </c>
      <c r="FD70" s="12">
        <f t="array" ref="FD70">SUMPRODUCT(TRANSPOSE(FD$9:FD$34),$K70:$AJ70)</f>
        <v>1000</v>
      </c>
      <c r="FE70" s="12">
        <f t="array" ref="FE70">SUMPRODUCT(TRANSPOSE(FE$9:FE$34),$K70:$AJ70)</f>
        <v>1000</v>
      </c>
      <c r="FF70" s="12">
        <f t="array" ref="FF70">SUMPRODUCT(TRANSPOSE(FF$9:FF$34),$K70:$AJ70)</f>
        <v>1000</v>
      </c>
      <c r="FG70" s="12">
        <f t="array" ref="FG70">SUMPRODUCT(TRANSPOSE(FG$9:FG$34),$K70:$AJ70)</f>
        <v>1000</v>
      </c>
      <c r="FH70" s="12">
        <f t="array" ref="FH70">SUMPRODUCT(TRANSPOSE(FH$9:FH$34),$K70:$AJ70)</f>
        <v>1000</v>
      </c>
      <c r="FI70" s="12">
        <f t="array" ref="FI70">SUMPRODUCT(TRANSPOSE(FI$9:FI$34),$K70:$AJ70)</f>
        <v>1000</v>
      </c>
      <c r="FJ70" s="12">
        <f t="array" ref="FJ70">SUMPRODUCT(TRANSPOSE(FJ$9:FJ$34),$K70:$AJ70)</f>
        <v>1000</v>
      </c>
      <c r="FK70" s="12">
        <f t="array" ref="FK70">SUMPRODUCT(TRANSPOSE(FK$9:FK$34),$K70:$AJ70)</f>
        <v>1000</v>
      </c>
      <c r="FL70" s="12">
        <f t="array" ref="FL70">SUMPRODUCT(TRANSPOSE(FL$9:FL$34),$K70:$AJ70)</f>
        <v>1000</v>
      </c>
      <c r="FM70" s="12">
        <f t="array" ref="FM70">SUMPRODUCT(TRANSPOSE(FM$9:FM$34),$K70:$AJ70)</f>
        <v>1000</v>
      </c>
      <c r="FN70" s="12">
        <f t="array" ref="FN70">SUMPRODUCT(TRANSPOSE(FN$9:FN$34),$K70:$AJ70)</f>
        <v>1000</v>
      </c>
      <c r="FO70" s="12">
        <f t="array" ref="FO70">SUMPRODUCT(TRANSPOSE(FO$9:FO$34),$K70:$AJ70)</f>
        <v>44</v>
      </c>
    </row>
    <row r="71" spans="1:171" ht="14.25" x14ac:dyDescent="0.2">
      <c r="A71" s="13">
        <f t="shared" si="4"/>
        <v>36</v>
      </c>
      <c r="B71" s="13" t="s">
        <v>177</v>
      </c>
      <c r="C71" s="25" t="s">
        <v>178</v>
      </c>
      <c r="D71" s="13" t="s">
        <v>110</v>
      </c>
      <c r="E71" s="13">
        <v>408526024</v>
      </c>
      <c r="F71" s="26" t="s">
        <v>157</v>
      </c>
      <c r="G71" s="13"/>
      <c r="H71" s="13" t="s">
        <v>61</v>
      </c>
      <c r="I71" s="13">
        <v>1</v>
      </c>
      <c r="J71" s="13">
        <v>1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1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/>
      <c r="Z71" s="13"/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f t="shared" si="3"/>
        <v>1</v>
      </c>
      <c r="AL71" s="23">
        <f t="shared" si="2"/>
        <v>34964</v>
      </c>
      <c r="AM71" s="27"/>
      <c r="AN71" s="13" t="s">
        <v>158</v>
      </c>
      <c r="AO71" s="7" t="s">
        <v>159</v>
      </c>
      <c r="AP71" s="45">
        <v>0.6</v>
      </c>
      <c r="AQ71" s="12">
        <v>18000</v>
      </c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13"/>
      <c r="CG71" s="13"/>
      <c r="CH71" s="13"/>
      <c r="CI71" s="12"/>
      <c r="CJ71" s="12"/>
      <c r="CK71" s="12"/>
      <c r="CL71" s="12"/>
      <c r="CM71" s="12"/>
      <c r="CN71" s="12"/>
      <c r="CO71" s="12"/>
      <c r="CP71" s="12">
        <f>SUM($AQ71:BJ71)-SUM($EA71:EH71)</f>
        <v>14901</v>
      </c>
      <c r="CQ71" s="12">
        <f>SUM($AQ71:BK71)-SUM($EA71:EI71)</f>
        <v>14620</v>
      </c>
      <c r="CR71" s="12">
        <f>SUM($AQ71:BL71)-SUM($EA71:EJ71)</f>
        <v>14620</v>
      </c>
      <c r="CS71" s="12">
        <f>SUM($AQ71:BM71)-SUM($EA71:EK71)</f>
        <v>14620</v>
      </c>
      <c r="CT71" s="12">
        <f>SUM($AQ71:BN71)-SUM($EA71:EL71)</f>
        <v>14620</v>
      </c>
      <c r="CU71" s="12">
        <f>SUM($AQ71:BO71)-SUM($EA71:EM71)</f>
        <v>14620</v>
      </c>
      <c r="CV71" s="12">
        <f>SUM($AQ71:BP71)-SUM($EA71:EN71)</f>
        <v>14620</v>
      </c>
      <c r="CW71" s="12">
        <f>SUM($AQ71:BQ71)-SUM($EA71:EO71)</f>
        <v>14620</v>
      </c>
      <c r="CX71" s="12">
        <f>SUM($AQ71:BR71)-SUM($EA71:EP71)</f>
        <v>14620</v>
      </c>
      <c r="CY71" s="12">
        <f>SUM($AQ71:BS71)-SUM($EA71:EQ71)</f>
        <v>14620</v>
      </c>
      <c r="CZ71" s="12">
        <f>SUM($AQ71:BT71)-SUM($EA71:ER71)</f>
        <v>14620</v>
      </c>
      <c r="DA71" s="12">
        <f>SUM($AQ71:BU71)-SUM($EA71:ES71)</f>
        <v>14620</v>
      </c>
      <c r="DB71" s="12">
        <f>SUM($AQ71:BV71)-SUM($EA71:ET71)</f>
        <v>14620</v>
      </c>
      <c r="DC71" s="12">
        <f>SUM($AQ71:BW71)-SUM($EA71:EU71)</f>
        <v>14620</v>
      </c>
      <c r="DD71" s="12">
        <f>SUM($AQ71:BX71)-SUM($EA71:EV71)</f>
        <v>14620</v>
      </c>
      <c r="DE71" s="12">
        <f>SUM($AQ71:BY71)-SUM($EA71:EW71)</f>
        <v>14620</v>
      </c>
      <c r="DF71" s="12">
        <f>SUM($AQ71:BZ71)-SUM($EA71:EX71)</f>
        <v>14620</v>
      </c>
      <c r="DG71" s="12">
        <f>SUM($AQ71:CA71)-SUM($EA71:EY71)</f>
        <v>14620</v>
      </c>
      <c r="DH71" s="12">
        <f>SUM($AQ71:CB71)-SUM($EA71:EZ71)</f>
        <v>14620</v>
      </c>
      <c r="DI71" s="12">
        <f>SUM($AQ71:CC71)-SUM($EA71:FA71)</f>
        <v>14620</v>
      </c>
      <c r="DJ71" s="12">
        <f>SUM($AQ71:CD71)-SUM($EA71:FB71)</f>
        <v>14620</v>
      </c>
      <c r="DK71" s="12">
        <f>SUM($AQ71:CE71)-SUM($EA71:FC71)</f>
        <v>14620</v>
      </c>
      <c r="DL71" s="12">
        <f>SUM($AQ71:CF71)-SUM($EA71:FD71)</f>
        <v>14620</v>
      </c>
      <c r="DM71" s="12">
        <f>SUM($AQ71:CG71)-SUM($EA71:FE71)</f>
        <v>14620</v>
      </c>
      <c r="DN71" s="12">
        <f>SUM($AQ71:CH71)-SUM($EA71:FF71)</f>
        <v>14620</v>
      </c>
      <c r="DO71" s="12">
        <f>SUM($AQ71:CI71)-SUM($EA71:FG71)</f>
        <v>14620</v>
      </c>
      <c r="DP71" s="12">
        <f>SUM($AQ71:CJ71)-SUM($EA71:FH71)</f>
        <v>14620</v>
      </c>
      <c r="DQ71" s="12">
        <f>SUM($AQ71:CK71)-SUM($EA71:FI71)</f>
        <v>14620</v>
      </c>
      <c r="DR71" s="12">
        <f>SUM($AQ71:CL71)-SUM($EA71:FJ71)</f>
        <v>14620</v>
      </c>
      <c r="DS71" s="12">
        <f>SUM($AQ71:CM71)-SUM($EA71:FK71)</f>
        <v>14620</v>
      </c>
      <c r="DT71" s="12">
        <f>SUM($AQ71:CN71)-SUM($EA71:FL71)</f>
        <v>14620</v>
      </c>
      <c r="DU71" s="12">
        <f>SUM($AQ71:CO71)-SUM($EA71:FM71)</f>
        <v>14620</v>
      </c>
      <c r="DV71" s="12">
        <f>SUM($AQ71:CP71)-SUM($EA71:FN71)</f>
        <v>29521</v>
      </c>
      <c r="DW71" s="12">
        <f>SUM($AQ71:CQ71)-SUM($EA71:FO71)</f>
        <v>44141</v>
      </c>
      <c r="DX71" s="13"/>
      <c r="DY71" s="13"/>
      <c r="DZ71" s="13"/>
      <c r="EA71" s="12"/>
      <c r="EB71" s="12"/>
      <c r="EC71" s="12"/>
      <c r="ED71" s="12"/>
      <c r="EE71" s="12"/>
      <c r="EF71" s="12"/>
      <c r="EG71" s="12"/>
      <c r="EH71" s="12">
        <f t="array" ref="EH71">SUMPRODUCT(TRANSPOSE(EH$9:EH$34),$K71:$AJ71)</f>
        <v>3099</v>
      </c>
      <c r="EI71" s="12">
        <f t="array" ref="EI71">SUMPRODUCT(TRANSPOSE(EI$9:EI$34),$K71:$AJ71)</f>
        <v>281</v>
      </c>
      <c r="EJ71" s="12">
        <f t="array" ref="EJ71">SUMPRODUCT(TRANSPOSE(EJ$9:EJ$34),$K71:$AJ71)</f>
        <v>0</v>
      </c>
      <c r="EK71" s="12">
        <f t="array" ref="EK71">SUMPRODUCT(TRANSPOSE(EK$9:EK$34),$K71:$AJ71)</f>
        <v>0</v>
      </c>
      <c r="EL71" s="12">
        <f t="array" ref="EL71">SUMPRODUCT(TRANSPOSE(EL$9:EL$34),$K71:$AJ71)</f>
        <v>0</v>
      </c>
      <c r="EM71" s="12">
        <f t="array" ref="EM71">SUMPRODUCT(TRANSPOSE(EM$9:EM$34),$K71:$AJ71)</f>
        <v>0</v>
      </c>
      <c r="EN71" s="12">
        <f t="array" ref="EN71">SUMPRODUCT(TRANSPOSE(EN$9:EN$34),$K71:$AJ71)</f>
        <v>0</v>
      </c>
      <c r="EO71" s="12">
        <f t="array" ref="EO71">SUMPRODUCT(TRANSPOSE(EO$9:EO$34),$K71:$AJ71)</f>
        <v>0</v>
      </c>
      <c r="EP71" s="12">
        <f t="array" ref="EP71">SUMPRODUCT(TRANSPOSE(EP$9:EP$34),$K71:$AJ71)</f>
        <v>0</v>
      </c>
      <c r="EQ71" s="12">
        <f t="array" ref="EQ71">SUMPRODUCT(TRANSPOSE(EQ$9:EQ$34),$K71:$AJ71)</f>
        <v>0</v>
      </c>
      <c r="ER71" s="12">
        <f t="array" ref="ER71">SUMPRODUCT(TRANSPOSE(ER$9:ER$34),$K71:$AJ71)</f>
        <v>0</v>
      </c>
      <c r="ES71" s="12">
        <f t="array" ref="ES71">SUMPRODUCT(TRANSPOSE(ES$9:ES$34),$K71:$AJ71)</f>
        <v>0</v>
      </c>
      <c r="ET71" s="12">
        <f t="array" ref="ET71">SUMPRODUCT(TRANSPOSE(ET$9:ET$34),$K71:$AJ71)</f>
        <v>0</v>
      </c>
      <c r="EU71" s="12">
        <f t="array" ref="EU71">SUMPRODUCT(TRANSPOSE(EU$9:EU$34),$K71:$AJ71)</f>
        <v>0</v>
      </c>
      <c r="EV71" s="12">
        <f t="array" ref="EV71">SUMPRODUCT(TRANSPOSE(EV$9:EV$34),$K71:$AJ71)</f>
        <v>0</v>
      </c>
      <c r="EW71" s="12">
        <f t="array" ref="EW71">SUMPRODUCT(TRANSPOSE(EW$9:EW$34),$K71:$AJ71)</f>
        <v>0</v>
      </c>
      <c r="EX71" s="12">
        <f t="array" ref="EX71">SUMPRODUCT(TRANSPOSE(EX$9:EX$34),$K71:$AJ71)</f>
        <v>0</v>
      </c>
      <c r="EY71" s="12">
        <f t="array" ref="EY71">SUMPRODUCT(TRANSPOSE(EY$9:EY$34),$K71:$AJ71)</f>
        <v>0</v>
      </c>
      <c r="EZ71" s="12">
        <f t="array" ref="EZ71">SUMPRODUCT(TRANSPOSE(EZ$9:EZ$34),$K71:$AJ71)</f>
        <v>0</v>
      </c>
      <c r="FA71" s="12">
        <f t="array" ref="FA71">SUMPRODUCT(TRANSPOSE(FA$9:FA$34),$K71:$AJ71)</f>
        <v>0</v>
      </c>
      <c r="FB71" s="12">
        <f t="array" ref="FB71">SUMPRODUCT(TRANSPOSE(FB$9:FB$34),$K71:$AJ71)</f>
        <v>0</v>
      </c>
      <c r="FC71" s="12">
        <f t="array" ref="FC71">SUMPRODUCT(TRANSPOSE(FC$9:FC$34),$K71:$AJ71)</f>
        <v>0</v>
      </c>
      <c r="FD71" s="12">
        <f t="array" ref="FD71">SUMPRODUCT(TRANSPOSE(FD$9:FD$34),$K71:$AJ71)</f>
        <v>0</v>
      </c>
      <c r="FE71" s="12">
        <f t="array" ref="FE71">SUMPRODUCT(TRANSPOSE(FE$9:FE$34),$K71:$AJ71)</f>
        <v>0</v>
      </c>
      <c r="FF71" s="12">
        <f t="array" ref="FF71">SUMPRODUCT(TRANSPOSE(FF$9:FF$34),$K71:$AJ71)</f>
        <v>0</v>
      </c>
      <c r="FG71" s="12">
        <f t="array" ref="FG71">SUMPRODUCT(TRANSPOSE(FG$9:FG$34),$K71:$AJ71)</f>
        <v>0</v>
      </c>
      <c r="FH71" s="12">
        <f t="array" ref="FH71">SUMPRODUCT(TRANSPOSE(FH$9:FH$34),$K71:$AJ71)</f>
        <v>0</v>
      </c>
      <c r="FI71" s="12">
        <f t="array" ref="FI71">SUMPRODUCT(TRANSPOSE(FI$9:FI$34),$K71:$AJ71)</f>
        <v>0</v>
      </c>
      <c r="FJ71" s="12">
        <f t="array" ref="FJ71">SUMPRODUCT(TRANSPOSE(FJ$9:FJ$34),$K71:$AJ71)</f>
        <v>0</v>
      </c>
      <c r="FK71" s="12">
        <f t="array" ref="FK71">SUMPRODUCT(TRANSPOSE(FK$9:FK$34),$K71:$AJ71)</f>
        <v>0</v>
      </c>
      <c r="FL71" s="12">
        <f t="array" ref="FL71">SUMPRODUCT(TRANSPOSE(FL$9:FL$34),$K71:$AJ71)</f>
        <v>0</v>
      </c>
      <c r="FM71" s="12">
        <f t="array" ref="FM71">SUMPRODUCT(TRANSPOSE(FM$9:FM$34),$K71:$AJ71)</f>
        <v>0</v>
      </c>
      <c r="FN71" s="12">
        <f t="array" ref="FN71">SUMPRODUCT(TRANSPOSE(FN$9:FN$34),$K71:$AJ71)</f>
        <v>0</v>
      </c>
      <c r="FO71" s="12">
        <f t="array" ref="FO71">SUMPRODUCT(TRANSPOSE(FO$9:FO$34),$K71:$AJ71)</f>
        <v>0</v>
      </c>
    </row>
    <row r="72" spans="1:171" ht="14.25" x14ac:dyDescent="0.2">
      <c r="A72" s="13">
        <f t="shared" si="4"/>
        <v>37</v>
      </c>
      <c r="B72" s="13" t="s">
        <v>179</v>
      </c>
      <c r="C72" s="25" t="s">
        <v>180</v>
      </c>
      <c r="D72" s="13" t="s">
        <v>60</v>
      </c>
      <c r="E72" s="13">
        <v>415607915</v>
      </c>
      <c r="F72" s="26" t="s">
        <v>181</v>
      </c>
      <c r="G72" s="13"/>
      <c r="H72" s="13" t="s">
        <v>61</v>
      </c>
      <c r="I72" s="13">
        <v>1</v>
      </c>
      <c r="J72" s="13">
        <v>2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1</v>
      </c>
      <c r="X72" s="13">
        <v>0</v>
      </c>
      <c r="Y72" s="13"/>
      <c r="Z72" s="13"/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1</v>
      </c>
      <c r="AJ72" s="13">
        <v>0</v>
      </c>
      <c r="AK72" s="13">
        <f t="shared" si="3"/>
        <v>1</v>
      </c>
      <c r="AL72" s="23">
        <f t="shared" si="2"/>
        <v>35599</v>
      </c>
      <c r="AM72" s="13"/>
      <c r="AN72" s="13" t="s">
        <v>168</v>
      </c>
      <c r="AO72" s="7" t="s">
        <v>167</v>
      </c>
      <c r="AP72" s="38">
        <v>9.98</v>
      </c>
      <c r="AQ72" s="12">
        <v>12259</v>
      </c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13"/>
      <c r="CG72" s="13"/>
      <c r="CH72" s="13"/>
      <c r="CI72" s="12"/>
      <c r="CJ72" s="12"/>
      <c r="CK72" s="12"/>
      <c r="CL72" s="12"/>
      <c r="CM72" s="12"/>
      <c r="CN72" s="12"/>
      <c r="CO72" s="12"/>
      <c r="CP72" s="12">
        <f>SUM($AQ72:BJ72)-SUM($EA72:EH72)</f>
        <v>11173</v>
      </c>
      <c r="CQ72" s="12">
        <f>SUM($AQ72:BK72)-SUM($EA72:EI72)</f>
        <v>9150</v>
      </c>
      <c r="CR72" s="12">
        <f>SUM($AQ72:BL72)-SUM($EA72:EJ72)</f>
        <v>8854</v>
      </c>
      <c r="CS72" s="12">
        <f>SUM($AQ72:BM72)-SUM($EA72:EK72)</f>
        <v>8719</v>
      </c>
      <c r="CT72" s="12">
        <f>SUM($AQ72:BN72)-SUM($EA72:EL72)</f>
        <v>7704</v>
      </c>
      <c r="CU72" s="12">
        <f>SUM($AQ72:BO72)-SUM($EA72:EM72)</f>
        <v>5654</v>
      </c>
      <c r="CV72" s="12">
        <f>SUM($AQ72:BP72)-SUM($EA72:EN72)</f>
        <v>4504</v>
      </c>
      <c r="CW72" s="12">
        <f>SUM($AQ72:BQ72)-SUM($EA72:EO72)</f>
        <v>3504</v>
      </c>
      <c r="CX72" s="12">
        <f>SUM($AQ72:BR72)-SUM($EA72:EP72)</f>
        <v>2454</v>
      </c>
      <c r="CY72" s="12">
        <f>SUM($AQ72:BS72)-SUM($EA72:EQ72)</f>
        <v>1404</v>
      </c>
      <c r="CZ72" s="12">
        <f>SUM($AQ72:BT72)-SUM($EA72:ER72)</f>
        <v>354</v>
      </c>
      <c r="DA72" s="12">
        <f>SUM($AQ72:BU72)-SUM($EA72:ES72)</f>
        <v>-696</v>
      </c>
      <c r="DB72" s="12">
        <f>SUM($AQ72:BV72)-SUM($EA72:ET72)</f>
        <v>-1746</v>
      </c>
      <c r="DC72" s="12">
        <f>SUM($AQ72:BW72)-SUM($EA72:EU72)</f>
        <v>-2796</v>
      </c>
      <c r="DD72" s="12">
        <f>SUM($AQ72:BX72)-SUM($EA72:EV72)</f>
        <v>-3846</v>
      </c>
      <c r="DE72" s="12">
        <f>SUM($AQ72:BY72)-SUM($EA72:EW72)</f>
        <v>-4856</v>
      </c>
      <c r="DF72" s="12">
        <f>SUM($AQ72:BZ72)-SUM($EA72:EX72)</f>
        <v>-5856</v>
      </c>
      <c r="DG72" s="12">
        <f>SUM($AQ72:CA72)-SUM($EA72:EY72)</f>
        <v>-6856</v>
      </c>
      <c r="DH72" s="12">
        <f>SUM($AQ72:CB72)-SUM($EA72:EZ72)</f>
        <v>-7856</v>
      </c>
      <c r="DI72" s="12">
        <f>SUM($AQ72:CC72)-SUM($EA72:FA72)</f>
        <v>-8856</v>
      </c>
      <c r="DJ72" s="12">
        <f>SUM($AQ72:CD72)-SUM($EA72:FB72)</f>
        <v>-9856</v>
      </c>
      <c r="DK72" s="12">
        <f>SUM($AQ72:CE72)-SUM($EA72:FC72)</f>
        <v>-10856</v>
      </c>
      <c r="DL72" s="12">
        <f>SUM($AQ72:CF72)-SUM($EA72:FD72)</f>
        <v>-11856</v>
      </c>
      <c r="DM72" s="12">
        <f>SUM($AQ72:CG72)-SUM($EA72:FE72)</f>
        <v>-12856</v>
      </c>
      <c r="DN72" s="12">
        <f>SUM($AQ72:CH72)-SUM($EA72:FF72)</f>
        <v>-13856</v>
      </c>
      <c r="DO72" s="12">
        <f>SUM($AQ72:CI72)-SUM($EA72:FG72)</f>
        <v>-14856</v>
      </c>
      <c r="DP72" s="12">
        <f>SUM($AQ72:CJ72)-SUM($EA72:FH72)</f>
        <v>-15856</v>
      </c>
      <c r="DQ72" s="12">
        <f>SUM($AQ72:CK72)-SUM($EA72:FI72)</f>
        <v>-16856</v>
      </c>
      <c r="DR72" s="12">
        <f>SUM($AQ72:CL72)-SUM($EA72:FJ72)</f>
        <v>-17856</v>
      </c>
      <c r="DS72" s="12">
        <f>SUM($AQ72:CM72)-SUM($EA72:FK72)</f>
        <v>-18856</v>
      </c>
      <c r="DT72" s="12">
        <f>SUM($AQ72:CN72)-SUM($EA72:FL72)</f>
        <v>-19856</v>
      </c>
      <c r="DU72" s="12">
        <f>SUM($AQ72:CO72)-SUM($EA72:FM72)</f>
        <v>-20856</v>
      </c>
      <c r="DV72" s="12">
        <f>SUM($AQ72:CP72)-SUM($EA72:FN72)</f>
        <v>-10467</v>
      </c>
      <c r="DW72" s="12">
        <f>SUM($AQ72:CQ72)-SUM($EA72:FO72)</f>
        <v>-1317</v>
      </c>
      <c r="DX72" s="13"/>
      <c r="DY72" s="13"/>
      <c r="DZ72" s="13"/>
      <c r="EA72" s="12"/>
      <c r="EB72" s="12"/>
      <c r="EC72" s="12"/>
      <c r="ED72" s="12"/>
      <c r="EE72" s="12"/>
      <c r="EF72" s="12"/>
      <c r="EG72" s="12"/>
      <c r="EH72" s="12">
        <f t="array" ref="EH72">SUMPRODUCT(TRANSPOSE(EH$9:EH$34),$K72:$AJ72)</f>
        <v>1086</v>
      </c>
      <c r="EI72" s="12">
        <f t="array" ref="EI72">SUMPRODUCT(TRANSPOSE(EI$9:EI$34),$K72:$AJ72)</f>
        <v>2023</v>
      </c>
      <c r="EJ72" s="12">
        <f t="array" ref="EJ72">SUMPRODUCT(TRANSPOSE(EJ$9:EJ$34),$K72:$AJ72)</f>
        <v>296</v>
      </c>
      <c r="EK72" s="12">
        <f t="array" ref="EK72">SUMPRODUCT(TRANSPOSE(EK$9:EK$34),$K72:$AJ72)</f>
        <v>135</v>
      </c>
      <c r="EL72" s="12">
        <f t="array" ref="EL72">SUMPRODUCT(TRANSPOSE(EL$9:EL$34),$K72:$AJ72)</f>
        <v>1015</v>
      </c>
      <c r="EM72" s="12">
        <f t="array" ref="EM72">SUMPRODUCT(TRANSPOSE(EM$9:EM$34),$K72:$AJ72)</f>
        <v>2050</v>
      </c>
      <c r="EN72" s="12">
        <f t="array" ref="EN72">SUMPRODUCT(TRANSPOSE(EN$9:EN$34),$K72:$AJ72)</f>
        <v>1150</v>
      </c>
      <c r="EO72" s="12">
        <f t="array" ref="EO72">SUMPRODUCT(TRANSPOSE(EO$9:EO$34),$K72:$AJ72)</f>
        <v>1000</v>
      </c>
      <c r="EP72" s="12">
        <f t="array" ref="EP72">SUMPRODUCT(TRANSPOSE(EP$9:EP$34),$K72:$AJ72)</f>
        <v>1050</v>
      </c>
      <c r="EQ72" s="12">
        <f t="array" ref="EQ72">SUMPRODUCT(TRANSPOSE(EQ$9:EQ$34),$K72:$AJ72)</f>
        <v>1050</v>
      </c>
      <c r="ER72" s="12">
        <f t="array" ref="ER72">SUMPRODUCT(TRANSPOSE(ER$9:ER$34),$K72:$AJ72)</f>
        <v>1050</v>
      </c>
      <c r="ES72" s="12">
        <f t="array" ref="ES72">SUMPRODUCT(TRANSPOSE(ES$9:ES$34),$K72:$AJ72)</f>
        <v>1050</v>
      </c>
      <c r="ET72" s="12">
        <f t="array" ref="ET72">SUMPRODUCT(TRANSPOSE(ET$9:ET$34),$K72:$AJ72)</f>
        <v>1050</v>
      </c>
      <c r="EU72" s="12">
        <f t="array" ref="EU72">SUMPRODUCT(TRANSPOSE(EU$9:EU$34),$K72:$AJ72)</f>
        <v>1050</v>
      </c>
      <c r="EV72" s="12">
        <f t="array" ref="EV72">SUMPRODUCT(TRANSPOSE(EV$9:EV$34),$K72:$AJ72)</f>
        <v>1050</v>
      </c>
      <c r="EW72" s="12">
        <f t="array" ref="EW72">SUMPRODUCT(TRANSPOSE(EW$9:EW$34),$K72:$AJ72)</f>
        <v>1010</v>
      </c>
      <c r="EX72" s="12">
        <f t="array" ref="EX72">SUMPRODUCT(TRANSPOSE(EX$9:EX$34),$K72:$AJ72)</f>
        <v>1000</v>
      </c>
      <c r="EY72" s="12">
        <f t="array" ref="EY72">SUMPRODUCT(TRANSPOSE(EY$9:EY$34),$K72:$AJ72)</f>
        <v>1000</v>
      </c>
      <c r="EZ72" s="12">
        <f t="array" ref="EZ72">SUMPRODUCT(TRANSPOSE(EZ$9:EZ$34),$K72:$AJ72)</f>
        <v>1000</v>
      </c>
      <c r="FA72" s="12">
        <f t="array" ref="FA72">SUMPRODUCT(TRANSPOSE(FA$9:FA$34),$K72:$AJ72)</f>
        <v>1000</v>
      </c>
      <c r="FB72" s="12">
        <f t="array" ref="FB72">SUMPRODUCT(TRANSPOSE(FB$9:FB$34),$K72:$AJ72)</f>
        <v>1000</v>
      </c>
      <c r="FC72" s="12">
        <f t="array" ref="FC72">SUMPRODUCT(TRANSPOSE(FC$9:FC$34),$K72:$AJ72)</f>
        <v>1000</v>
      </c>
      <c r="FD72" s="12">
        <f t="array" ref="FD72">SUMPRODUCT(TRANSPOSE(FD$9:FD$34),$K72:$AJ72)</f>
        <v>1000</v>
      </c>
      <c r="FE72" s="12">
        <f t="array" ref="FE72">SUMPRODUCT(TRANSPOSE(FE$9:FE$34),$K72:$AJ72)</f>
        <v>1000</v>
      </c>
      <c r="FF72" s="12">
        <f t="array" ref="FF72">SUMPRODUCT(TRANSPOSE(FF$9:FF$34),$K72:$AJ72)</f>
        <v>1000</v>
      </c>
      <c r="FG72" s="12">
        <f t="array" ref="FG72">SUMPRODUCT(TRANSPOSE(FG$9:FG$34),$K72:$AJ72)</f>
        <v>1000</v>
      </c>
      <c r="FH72" s="12">
        <f t="array" ref="FH72">SUMPRODUCT(TRANSPOSE(FH$9:FH$34),$K72:$AJ72)</f>
        <v>1000</v>
      </c>
      <c r="FI72" s="12">
        <f t="array" ref="FI72">SUMPRODUCT(TRANSPOSE(FI$9:FI$34),$K72:$AJ72)</f>
        <v>1000</v>
      </c>
      <c r="FJ72" s="12">
        <f t="array" ref="FJ72">SUMPRODUCT(TRANSPOSE(FJ$9:FJ$34),$K72:$AJ72)</f>
        <v>1000</v>
      </c>
      <c r="FK72" s="12">
        <f t="array" ref="FK72">SUMPRODUCT(TRANSPOSE(FK$9:FK$34),$K72:$AJ72)</f>
        <v>1000</v>
      </c>
      <c r="FL72" s="12">
        <f t="array" ref="FL72">SUMPRODUCT(TRANSPOSE(FL$9:FL$34),$K72:$AJ72)</f>
        <v>1000</v>
      </c>
      <c r="FM72" s="12">
        <f t="array" ref="FM72">SUMPRODUCT(TRANSPOSE(FM$9:FM$34),$K72:$AJ72)</f>
        <v>1000</v>
      </c>
      <c r="FN72" s="12">
        <f t="array" ref="FN72">SUMPRODUCT(TRANSPOSE(FN$9:FN$34),$K72:$AJ72)</f>
        <v>784</v>
      </c>
      <c r="FO72" s="12">
        <f t="array" ref="FO72">SUMPRODUCT(TRANSPOSE(FO$9:FO$34),$K72:$AJ72)</f>
        <v>0</v>
      </c>
    </row>
    <row r="73" spans="1:171" ht="14.25" x14ac:dyDescent="0.2">
      <c r="A73" s="13">
        <f t="shared" si="4"/>
        <v>38</v>
      </c>
      <c r="B73" s="13" t="s">
        <v>182</v>
      </c>
      <c r="C73" s="25" t="s">
        <v>183</v>
      </c>
      <c r="D73" s="13" t="s">
        <v>60</v>
      </c>
      <c r="E73" s="13">
        <v>410773154</v>
      </c>
      <c r="F73" s="26" t="s">
        <v>184</v>
      </c>
      <c r="G73" s="13"/>
      <c r="H73" s="13" t="s">
        <v>61</v>
      </c>
      <c r="I73" s="13">
        <v>1</v>
      </c>
      <c r="J73" s="13">
        <v>13</v>
      </c>
      <c r="K73" s="13">
        <v>0</v>
      </c>
      <c r="L73" s="13">
        <v>0</v>
      </c>
      <c r="M73" s="13">
        <v>5</v>
      </c>
      <c r="N73" s="13">
        <v>0</v>
      </c>
      <c r="O73" s="13">
        <v>0</v>
      </c>
      <c r="P73" s="13">
        <v>0</v>
      </c>
      <c r="Q73" s="13">
        <v>0</v>
      </c>
      <c r="R73" s="13">
        <v>4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4</v>
      </c>
      <c r="Z73" s="13"/>
      <c r="AA73" s="13">
        <v>0</v>
      </c>
      <c r="AB73" s="13">
        <v>0</v>
      </c>
      <c r="AC73" s="13">
        <v>4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f t="shared" si="3"/>
        <v>17</v>
      </c>
      <c r="AL73" s="23">
        <f t="shared" si="2"/>
        <v>318815</v>
      </c>
      <c r="AM73" s="13"/>
      <c r="AN73" s="13" t="s">
        <v>128</v>
      </c>
      <c r="AO73" s="7" t="s">
        <v>129</v>
      </c>
      <c r="AP73" s="38">
        <v>0.5</v>
      </c>
      <c r="AQ73" s="12">
        <v>90780</v>
      </c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>
        <v>9000</v>
      </c>
      <c r="BH73" s="12">
        <v>9000</v>
      </c>
      <c r="BI73" s="12">
        <v>9000</v>
      </c>
      <c r="BJ73" s="12">
        <v>9000</v>
      </c>
      <c r="BK73" s="12">
        <v>9000</v>
      </c>
      <c r="BL73" s="12">
        <v>9000</v>
      </c>
      <c r="BM73" s="12">
        <v>9000</v>
      </c>
      <c r="BN73" s="12">
        <v>9000</v>
      </c>
      <c r="BO73" s="12">
        <v>9000</v>
      </c>
      <c r="BP73" s="12">
        <v>9000</v>
      </c>
      <c r="BQ73" s="12">
        <v>9000</v>
      </c>
      <c r="BR73" s="12">
        <v>9000</v>
      </c>
      <c r="BS73" s="12">
        <v>9000</v>
      </c>
      <c r="BT73" s="12">
        <v>9000</v>
      </c>
      <c r="BU73" s="12">
        <v>9000</v>
      </c>
      <c r="BV73" s="12">
        <v>9000</v>
      </c>
      <c r="BW73" s="12">
        <v>9000</v>
      </c>
      <c r="BX73" s="12">
        <v>9000</v>
      </c>
      <c r="BY73" s="12">
        <v>9000</v>
      </c>
      <c r="BZ73" s="12">
        <v>10600</v>
      </c>
      <c r="CA73" s="59">
        <v>3244</v>
      </c>
      <c r="CB73" s="59">
        <v>429</v>
      </c>
      <c r="CC73" s="59"/>
      <c r="CD73" s="59"/>
      <c r="CE73" s="59"/>
      <c r="CF73" s="13"/>
      <c r="CG73" s="13"/>
      <c r="CH73" s="13"/>
      <c r="CI73" s="12"/>
      <c r="CJ73" s="12"/>
      <c r="CK73" s="12"/>
      <c r="CL73" s="12"/>
      <c r="CM73" s="12"/>
      <c r="CN73" s="12"/>
      <c r="CO73" s="12"/>
      <c r="CP73" s="12">
        <f>SUM($AQ73:BJ73)-SUM($EA73:EH73)</f>
        <v>94574</v>
      </c>
      <c r="CQ73" s="12">
        <f>SUM($AQ73:BK73)-SUM($EA73:EI73)</f>
        <v>102450</v>
      </c>
      <c r="CR73" s="12">
        <f>SUM($AQ73:BL73)-SUM($EA73:EJ73)</f>
        <v>106450</v>
      </c>
      <c r="CS73" s="12">
        <f>SUM($AQ73:BM73)-SUM($EA73:EK73)</f>
        <v>110050</v>
      </c>
      <c r="CT73" s="12">
        <f>SUM($AQ73:BN73)-SUM($EA73:EL73)</f>
        <v>110050</v>
      </c>
      <c r="CU73" s="12">
        <f>SUM($AQ73:BO73)-SUM($EA73:EM73)</f>
        <v>111050</v>
      </c>
      <c r="CV73" s="12">
        <f>SUM($AQ73:BP73)-SUM($EA73:EN73)</f>
        <v>111150</v>
      </c>
      <c r="CW73" s="12">
        <f>SUM($AQ73:BQ73)-SUM($EA73:EO73)</f>
        <v>111150</v>
      </c>
      <c r="CX73" s="12">
        <f>SUM($AQ73:BR73)-SUM($EA73:EP73)</f>
        <v>111150</v>
      </c>
      <c r="CY73" s="12">
        <f>SUM($AQ73:BS73)-SUM($EA73:EQ73)</f>
        <v>111150</v>
      </c>
      <c r="CZ73" s="12">
        <f>SUM($AQ73:BT73)-SUM($EA73:ER73)</f>
        <v>111150</v>
      </c>
      <c r="DA73" s="12">
        <f>SUM($AQ73:BU73)-SUM($EA73:ES73)</f>
        <v>111150</v>
      </c>
      <c r="DB73" s="12">
        <f>SUM($AQ73:BV73)-SUM($EA73:ET73)</f>
        <v>111150</v>
      </c>
      <c r="DC73" s="12">
        <f>SUM($AQ73:BW73)-SUM($EA73:EU73)</f>
        <v>111150</v>
      </c>
      <c r="DD73" s="12">
        <f>SUM($AQ73:BX73)-SUM($EA73:EV73)</f>
        <v>111150</v>
      </c>
      <c r="DE73" s="12">
        <f>SUM($AQ73:BY73)-SUM($EA73:EW73)</f>
        <v>111150</v>
      </c>
      <c r="DF73" s="12">
        <f>SUM($AQ73:BZ73)-SUM($EA73:EX73)</f>
        <v>112750</v>
      </c>
      <c r="DG73" s="12">
        <f>SUM($AQ73:CA73)-SUM($EA73:EY73)</f>
        <v>106994</v>
      </c>
      <c r="DH73" s="12">
        <f>SUM($AQ73:CB73)-SUM($EA73:EZ73)</f>
        <v>98423</v>
      </c>
      <c r="DI73" s="12">
        <f>SUM($AQ73:CC73)-SUM($EA73:FA73)</f>
        <v>89423</v>
      </c>
      <c r="DJ73" s="12">
        <f>SUM($AQ73:CD73)-SUM($EA73:FB73)</f>
        <v>80423</v>
      </c>
      <c r="DK73" s="12">
        <f>SUM($AQ73:CE73)-SUM($EA73:FC73)</f>
        <v>71423</v>
      </c>
      <c r="DL73" s="12">
        <f>SUM($AQ73:CF73)-SUM($EA73:FD73)</f>
        <v>62423</v>
      </c>
      <c r="DM73" s="12">
        <f>SUM($AQ73:CG73)-SUM($EA73:FE73)</f>
        <v>53423</v>
      </c>
      <c r="DN73" s="12">
        <f>SUM($AQ73:CH73)-SUM($EA73:FF73)</f>
        <v>44423</v>
      </c>
      <c r="DO73" s="12">
        <f>SUM($AQ73:CI73)-SUM($EA73:FG73)</f>
        <v>35423</v>
      </c>
      <c r="DP73" s="12">
        <f>SUM($AQ73:CJ73)-SUM($EA73:FH73)</f>
        <v>26423</v>
      </c>
      <c r="DQ73" s="12">
        <f>SUM($AQ73:CK73)-SUM($EA73:FI73)</f>
        <v>17423</v>
      </c>
      <c r="DR73" s="12">
        <f>SUM($AQ73:CL73)-SUM($EA73:FJ73)</f>
        <v>8423</v>
      </c>
      <c r="DS73" s="12">
        <f>SUM($AQ73:CM73)-SUM($EA73:FK73)</f>
        <v>-577</v>
      </c>
      <c r="DT73" s="12">
        <f>SUM($AQ73:CN73)-SUM($EA73:FL73)</f>
        <v>-9577</v>
      </c>
      <c r="DU73" s="12">
        <f>SUM($AQ73:CO73)-SUM($EA73:FM73)</f>
        <v>-18577</v>
      </c>
      <c r="DV73" s="12">
        <f>SUM($AQ73:CP73)-SUM($EA73:FN73)</f>
        <v>67729</v>
      </c>
      <c r="DW73" s="12">
        <f>SUM($AQ73:CQ73)-SUM($EA73:FO73)</f>
        <v>169794</v>
      </c>
      <c r="DX73" s="13"/>
      <c r="DY73" s="13"/>
      <c r="DZ73" s="13"/>
      <c r="EA73" s="12"/>
      <c r="EB73" s="12"/>
      <c r="EC73" s="12"/>
      <c r="ED73" s="12"/>
      <c r="EE73" s="12"/>
      <c r="EF73" s="12"/>
      <c r="EG73" s="12"/>
      <c r="EH73" s="12">
        <f t="array" ref="EH73">SUMPRODUCT(TRANSPOSE(EH$9:EH$34),$K73:$AJ73)</f>
        <v>32206</v>
      </c>
      <c r="EI73" s="12">
        <f t="array" ref="EI73">SUMPRODUCT(TRANSPOSE(EI$9:EI$34),$K73:$AJ73)</f>
        <v>1124</v>
      </c>
      <c r="EJ73" s="12">
        <f t="array" ref="EJ73">SUMPRODUCT(TRANSPOSE(EJ$9:EJ$34),$K73:$AJ73)</f>
        <v>5000</v>
      </c>
      <c r="EK73" s="12">
        <f t="array" ref="EK73">SUMPRODUCT(TRANSPOSE(EK$9:EK$34),$K73:$AJ73)</f>
        <v>5400</v>
      </c>
      <c r="EL73" s="12">
        <f t="array" ref="EL73">SUMPRODUCT(TRANSPOSE(EL$9:EL$34),$K73:$AJ73)</f>
        <v>9000</v>
      </c>
      <c r="EM73" s="12">
        <f t="array" ref="EM73">SUMPRODUCT(TRANSPOSE(EM$9:EM$34),$K73:$AJ73)</f>
        <v>8000</v>
      </c>
      <c r="EN73" s="12">
        <f t="array" ref="EN73">SUMPRODUCT(TRANSPOSE(EN$9:EN$34),$K73:$AJ73)</f>
        <v>8900</v>
      </c>
      <c r="EO73" s="12">
        <f t="array" ref="EO73">SUMPRODUCT(TRANSPOSE(EO$9:EO$34),$K73:$AJ73)</f>
        <v>9000</v>
      </c>
      <c r="EP73" s="12">
        <f t="array" ref="EP73">SUMPRODUCT(TRANSPOSE(EP$9:EP$34),$K73:$AJ73)</f>
        <v>9000</v>
      </c>
      <c r="EQ73" s="12">
        <f t="array" ref="EQ73">SUMPRODUCT(TRANSPOSE(EQ$9:EQ$34),$K73:$AJ73)</f>
        <v>9000</v>
      </c>
      <c r="ER73" s="12">
        <f t="array" ref="ER73">SUMPRODUCT(TRANSPOSE(ER$9:ER$34),$K73:$AJ73)</f>
        <v>9000</v>
      </c>
      <c r="ES73" s="12">
        <f t="array" ref="ES73">SUMPRODUCT(TRANSPOSE(ES$9:ES$34),$K73:$AJ73)</f>
        <v>9000</v>
      </c>
      <c r="ET73" s="12">
        <f t="array" ref="ET73">SUMPRODUCT(TRANSPOSE(ET$9:ET$34),$K73:$AJ73)</f>
        <v>9000</v>
      </c>
      <c r="EU73" s="12">
        <f t="array" ref="EU73">SUMPRODUCT(TRANSPOSE(EU$9:EU$34),$K73:$AJ73)</f>
        <v>9000</v>
      </c>
      <c r="EV73" s="12">
        <f t="array" ref="EV73">SUMPRODUCT(TRANSPOSE(EV$9:EV$34),$K73:$AJ73)</f>
        <v>9000</v>
      </c>
      <c r="EW73" s="12">
        <f t="array" ref="EW73">SUMPRODUCT(TRANSPOSE(EW$9:EW$34),$K73:$AJ73)</f>
        <v>9000</v>
      </c>
      <c r="EX73" s="12">
        <f t="array" ref="EX73">SUMPRODUCT(TRANSPOSE(EX$9:EX$34),$K73:$AJ73)</f>
        <v>9000</v>
      </c>
      <c r="EY73" s="12">
        <f t="array" ref="EY73">SUMPRODUCT(TRANSPOSE(EY$9:EY$34),$K73:$AJ73)</f>
        <v>9000</v>
      </c>
      <c r="EZ73" s="12">
        <f t="array" ref="EZ73">SUMPRODUCT(TRANSPOSE(EZ$9:EZ$34),$K73:$AJ73)</f>
        <v>9000</v>
      </c>
      <c r="FA73" s="12">
        <f t="array" ref="FA73">SUMPRODUCT(TRANSPOSE(FA$9:FA$34),$K73:$AJ73)</f>
        <v>9000</v>
      </c>
      <c r="FB73" s="12">
        <f t="array" ref="FB73">SUMPRODUCT(TRANSPOSE(FB$9:FB$34),$K73:$AJ73)</f>
        <v>9000</v>
      </c>
      <c r="FC73" s="12">
        <f t="array" ref="FC73">SUMPRODUCT(TRANSPOSE(FC$9:FC$34),$K73:$AJ73)</f>
        <v>9000</v>
      </c>
      <c r="FD73" s="12">
        <f t="array" ref="FD73">SUMPRODUCT(TRANSPOSE(FD$9:FD$34),$K73:$AJ73)</f>
        <v>9000</v>
      </c>
      <c r="FE73" s="12">
        <f t="array" ref="FE73">SUMPRODUCT(TRANSPOSE(FE$9:FE$34),$K73:$AJ73)</f>
        <v>9000</v>
      </c>
      <c r="FF73" s="12">
        <f t="array" ref="FF73">SUMPRODUCT(TRANSPOSE(FF$9:FF$34),$K73:$AJ73)</f>
        <v>9000</v>
      </c>
      <c r="FG73" s="12">
        <f t="array" ref="FG73">SUMPRODUCT(TRANSPOSE(FG$9:FG$34),$K73:$AJ73)</f>
        <v>9000</v>
      </c>
      <c r="FH73" s="12">
        <f t="array" ref="FH73">SUMPRODUCT(TRANSPOSE(FH$9:FH$34),$K73:$AJ73)</f>
        <v>9000</v>
      </c>
      <c r="FI73" s="12">
        <f t="array" ref="FI73">SUMPRODUCT(TRANSPOSE(FI$9:FI$34),$K73:$AJ73)</f>
        <v>9000</v>
      </c>
      <c r="FJ73" s="12">
        <f t="array" ref="FJ73">SUMPRODUCT(TRANSPOSE(FJ$9:FJ$34),$K73:$AJ73)</f>
        <v>9000</v>
      </c>
      <c r="FK73" s="12">
        <f t="array" ref="FK73">SUMPRODUCT(TRANSPOSE(FK$9:FK$34),$K73:$AJ73)</f>
        <v>9000</v>
      </c>
      <c r="FL73" s="12">
        <f t="array" ref="FL73">SUMPRODUCT(TRANSPOSE(FL$9:FL$34),$K73:$AJ73)</f>
        <v>9000</v>
      </c>
      <c r="FM73" s="12">
        <f t="array" ref="FM73">SUMPRODUCT(TRANSPOSE(FM$9:FM$34),$K73:$AJ73)</f>
        <v>9000</v>
      </c>
      <c r="FN73" s="12">
        <f t="array" ref="FN73">SUMPRODUCT(TRANSPOSE(FN$9:FN$34),$K73:$AJ73)</f>
        <v>8268</v>
      </c>
      <c r="FO73" s="12">
        <f t="array" ref="FO73">SUMPRODUCT(TRANSPOSE(FO$9:FO$34),$K73:$AJ73)</f>
        <v>385</v>
      </c>
    </row>
    <row r="74" spans="1:171" ht="14.25" x14ac:dyDescent="0.2">
      <c r="A74" s="13">
        <f t="shared" si="4"/>
        <v>39</v>
      </c>
      <c r="B74" s="13" t="s">
        <v>185</v>
      </c>
      <c r="C74" s="25" t="s">
        <v>186</v>
      </c>
      <c r="D74" s="13" t="s">
        <v>60</v>
      </c>
      <c r="E74" s="13">
        <v>411179616</v>
      </c>
      <c r="F74" s="26" t="s">
        <v>143</v>
      </c>
      <c r="G74" s="13"/>
      <c r="H74" s="13" t="s">
        <v>61</v>
      </c>
      <c r="I74" s="13">
        <v>1</v>
      </c>
      <c r="J74" s="13">
        <v>3</v>
      </c>
      <c r="K74" s="13">
        <v>0</v>
      </c>
      <c r="L74" s="13">
        <v>1</v>
      </c>
      <c r="M74" s="13">
        <v>0</v>
      </c>
      <c r="N74" s="13">
        <v>0</v>
      </c>
      <c r="O74" s="13">
        <v>0</v>
      </c>
      <c r="P74" s="13">
        <v>0</v>
      </c>
      <c r="Q74" s="13">
        <v>1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/>
      <c r="Z74" s="13"/>
      <c r="AA74" s="13">
        <v>0</v>
      </c>
      <c r="AB74" s="13">
        <v>1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f t="shared" si="3"/>
        <v>3</v>
      </c>
      <c r="AL74" s="23">
        <f t="shared" si="2"/>
        <v>70797</v>
      </c>
      <c r="AM74" s="13"/>
      <c r="AN74" s="13" t="s">
        <v>128</v>
      </c>
      <c r="AO74" s="7" t="s">
        <v>129</v>
      </c>
      <c r="AP74" s="38">
        <v>3.5</v>
      </c>
      <c r="AQ74" s="12">
        <v>32038</v>
      </c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>
        <v>1354</v>
      </c>
      <c r="BJ74" s="12">
        <v>2000</v>
      </c>
      <c r="BK74" s="12">
        <v>2000</v>
      </c>
      <c r="BL74" s="12">
        <v>2000</v>
      </c>
      <c r="BM74" s="12">
        <v>2000</v>
      </c>
      <c r="BN74" s="12">
        <v>2000</v>
      </c>
      <c r="BO74" s="12">
        <v>2000</v>
      </c>
      <c r="BP74" s="12">
        <v>2000</v>
      </c>
      <c r="BQ74" s="12">
        <v>2000</v>
      </c>
      <c r="BR74" s="12">
        <v>2000</v>
      </c>
      <c r="BS74" s="12">
        <v>2000</v>
      </c>
      <c r="BT74" s="12">
        <v>2000</v>
      </c>
      <c r="BU74" s="12">
        <v>2000</v>
      </c>
      <c r="BV74" s="12">
        <v>2000</v>
      </c>
      <c r="BW74" s="12">
        <v>2000</v>
      </c>
      <c r="BX74" s="12">
        <v>2000</v>
      </c>
      <c r="BY74" s="12">
        <v>2000</v>
      </c>
      <c r="BZ74" s="12">
        <v>2000</v>
      </c>
      <c r="CA74" s="12">
        <v>2000</v>
      </c>
      <c r="CB74" s="59">
        <v>1405</v>
      </c>
      <c r="CC74" s="59"/>
      <c r="CD74" s="59"/>
      <c r="CE74" s="59"/>
      <c r="CF74" s="13"/>
      <c r="CG74" s="13"/>
      <c r="CH74" s="13"/>
      <c r="CI74" s="12"/>
      <c r="CJ74" s="12"/>
      <c r="CK74" s="12"/>
      <c r="CL74" s="12"/>
      <c r="CM74" s="12"/>
      <c r="CN74" s="12"/>
      <c r="CO74" s="12"/>
      <c r="CP74" s="12">
        <f>SUM($AQ74:BJ74)-SUM($EA74:EH74)</f>
        <v>28943</v>
      </c>
      <c r="CQ74" s="12">
        <f>SUM($AQ74:BK74)-SUM($EA74:EI74)</f>
        <v>30048</v>
      </c>
      <c r="CR74" s="12">
        <f>SUM($AQ74:BL74)-SUM($EA74:EJ74)</f>
        <v>31033</v>
      </c>
      <c r="CS74" s="12">
        <f>SUM($AQ74:BM74)-SUM($EA74:EK74)</f>
        <v>31998</v>
      </c>
      <c r="CT74" s="12">
        <f>SUM($AQ74:BN74)-SUM($EA74:EL74)</f>
        <v>32983</v>
      </c>
      <c r="CU74" s="12">
        <f>SUM($AQ74:BO74)-SUM($EA74:EM74)</f>
        <v>34933</v>
      </c>
      <c r="CV74" s="12">
        <f>SUM($AQ74:BP74)-SUM($EA74:EN74)</f>
        <v>35983</v>
      </c>
      <c r="CW74" s="12">
        <f>SUM($AQ74:BQ74)-SUM($EA74:EO74)</f>
        <v>36983</v>
      </c>
      <c r="CX74" s="12">
        <f>SUM($AQ74:BR74)-SUM($EA74:EP74)</f>
        <v>37933</v>
      </c>
      <c r="CY74" s="12">
        <f>SUM($AQ74:BS74)-SUM($EA74:EQ74)</f>
        <v>38883</v>
      </c>
      <c r="CZ74" s="12">
        <f>SUM($AQ74:BT74)-SUM($EA74:ER74)</f>
        <v>39833</v>
      </c>
      <c r="DA74" s="12">
        <f>SUM($AQ74:BU74)-SUM($EA74:ES74)</f>
        <v>40783</v>
      </c>
      <c r="DB74" s="12">
        <f>SUM($AQ74:BV74)-SUM($EA74:ET74)</f>
        <v>41733</v>
      </c>
      <c r="DC74" s="12">
        <f>SUM($AQ74:BW74)-SUM($EA74:EU74)</f>
        <v>42683</v>
      </c>
      <c r="DD74" s="12">
        <f>SUM($AQ74:BX74)-SUM($EA74:EV74)</f>
        <v>43633</v>
      </c>
      <c r="DE74" s="12">
        <f>SUM($AQ74:BY74)-SUM($EA74:EW74)</f>
        <v>44623</v>
      </c>
      <c r="DF74" s="12">
        <f>SUM($AQ74:BZ74)-SUM($EA74:EX74)</f>
        <v>45623</v>
      </c>
      <c r="DG74" s="12">
        <f>SUM($AQ74:CA74)-SUM($EA74:EY74)</f>
        <v>46623</v>
      </c>
      <c r="DH74" s="12">
        <f>SUM($AQ74:CB74)-SUM($EA74:EZ74)</f>
        <v>47028</v>
      </c>
      <c r="DI74" s="12">
        <f>SUM($AQ74:CC74)-SUM($EA74:FA74)</f>
        <v>46028</v>
      </c>
      <c r="DJ74" s="12">
        <f>SUM($AQ74:CD74)-SUM($EA74:FB74)</f>
        <v>45028</v>
      </c>
      <c r="DK74" s="12">
        <f>SUM($AQ74:CE74)-SUM($EA74:FC74)</f>
        <v>44028</v>
      </c>
      <c r="DL74" s="12">
        <f>SUM($AQ74:CF74)-SUM($EA74:FD74)</f>
        <v>43028</v>
      </c>
      <c r="DM74" s="12">
        <f>SUM($AQ74:CG74)-SUM($EA74:FE74)</f>
        <v>42028</v>
      </c>
      <c r="DN74" s="12">
        <f>SUM($AQ74:CH74)-SUM($EA74:FF74)</f>
        <v>41028</v>
      </c>
      <c r="DO74" s="12">
        <f>SUM($AQ74:CI74)-SUM($EA74:FG74)</f>
        <v>40028</v>
      </c>
      <c r="DP74" s="12">
        <f>SUM($AQ74:CJ74)-SUM($EA74:FH74)</f>
        <v>39028</v>
      </c>
      <c r="DQ74" s="12">
        <f>SUM($AQ74:CK74)-SUM($EA74:FI74)</f>
        <v>38028</v>
      </c>
      <c r="DR74" s="12">
        <f>SUM($AQ74:CL74)-SUM($EA74:FJ74)</f>
        <v>37028</v>
      </c>
      <c r="DS74" s="12">
        <f>SUM($AQ74:CM74)-SUM($EA74:FK74)</f>
        <v>36028</v>
      </c>
      <c r="DT74" s="12">
        <f>SUM($AQ74:CN74)-SUM($EA74:FL74)</f>
        <v>35028</v>
      </c>
      <c r="DU74" s="12">
        <f>SUM($AQ74:CO74)-SUM($EA74:FM74)</f>
        <v>34028</v>
      </c>
      <c r="DV74" s="12">
        <f>SUM($AQ74:CP74)-SUM($EA74:FN74)</f>
        <v>61971</v>
      </c>
      <c r="DW74" s="12">
        <f>SUM($AQ74:CQ74)-SUM($EA74:FO74)</f>
        <v>91975</v>
      </c>
      <c r="DX74" s="13"/>
      <c r="DY74" s="13"/>
      <c r="DZ74" s="13"/>
      <c r="EA74" s="12"/>
      <c r="EB74" s="12"/>
      <c r="EC74" s="12"/>
      <c r="ED74" s="12"/>
      <c r="EE74" s="12"/>
      <c r="EF74" s="12"/>
      <c r="EG74" s="12"/>
      <c r="EH74" s="12">
        <f t="array" ref="EH74">SUMPRODUCT(TRANSPOSE(EH$9:EH$34),$K74:$AJ74)</f>
        <v>6449</v>
      </c>
      <c r="EI74" s="12">
        <f t="array" ref="EI74">SUMPRODUCT(TRANSPOSE(EI$9:EI$34),$K74:$AJ74)</f>
        <v>895</v>
      </c>
      <c r="EJ74" s="12">
        <f t="array" ref="EJ74">SUMPRODUCT(TRANSPOSE(EJ$9:EJ$34),$K74:$AJ74)</f>
        <v>1015</v>
      </c>
      <c r="EK74" s="12">
        <f t="array" ref="EK74">SUMPRODUCT(TRANSPOSE(EK$9:EK$34),$K74:$AJ74)</f>
        <v>1035</v>
      </c>
      <c r="EL74" s="12">
        <f t="array" ref="EL74">SUMPRODUCT(TRANSPOSE(EL$9:EL$34),$K74:$AJ74)</f>
        <v>1015</v>
      </c>
      <c r="EM74" s="12">
        <f t="array" ref="EM74">SUMPRODUCT(TRANSPOSE(EM$9:EM$34),$K74:$AJ74)</f>
        <v>50</v>
      </c>
      <c r="EN74" s="12">
        <f t="array" ref="EN74">SUMPRODUCT(TRANSPOSE(EN$9:EN$34),$K74:$AJ74)</f>
        <v>950</v>
      </c>
      <c r="EO74" s="12">
        <f t="array" ref="EO74">SUMPRODUCT(TRANSPOSE(EO$9:EO$34),$K74:$AJ74)</f>
        <v>1000</v>
      </c>
      <c r="EP74" s="12">
        <f t="array" ref="EP74">SUMPRODUCT(TRANSPOSE(EP$9:EP$34),$K74:$AJ74)</f>
        <v>1050</v>
      </c>
      <c r="EQ74" s="12">
        <f t="array" ref="EQ74">SUMPRODUCT(TRANSPOSE(EQ$9:EQ$34),$K74:$AJ74)</f>
        <v>1050</v>
      </c>
      <c r="ER74" s="12">
        <f t="array" ref="ER74">SUMPRODUCT(TRANSPOSE(ER$9:ER$34),$K74:$AJ74)</f>
        <v>1050</v>
      </c>
      <c r="ES74" s="12">
        <f t="array" ref="ES74">SUMPRODUCT(TRANSPOSE(ES$9:ES$34),$K74:$AJ74)</f>
        <v>1050</v>
      </c>
      <c r="ET74" s="12">
        <f t="array" ref="ET74">SUMPRODUCT(TRANSPOSE(ET$9:ET$34),$K74:$AJ74)</f>
        <v>1050</v>
      </c>
      <c r="EU74" s="12">
        <f t="array" ref="EU74">SUMPRODUCT(TRANSPOSE(EU$9:EU$34),$K74:$AJ74)</f>
        <v>1050</v>
      </c>
      <c r="EV74" s="12">
        <f t="array" ref="EV74">SUMPRODUCT(TRANSPOSE(EV$9:EV$34),$K74:$AJ74)</f>
        <v>1050</v>
      </c>
      <c r="EW74" s="12">
        <f t="array" ref="EW74">SUMPRODUCT(TRANSPOSE(EW$9:EW$34),$K74:$AJ74)</f>
        <v>1010</v>
      </c>
      <c r="EX74" s="12">
        <f t="array" ref="EX74">SUMPRODUCT(TRANSPOSE(EX$9:EX$34),$K74:$AJ74)</f>
        <v>1000</v>
      </c>
      <c r="EY74" s="12">
        <f t="array" ref="EY74">SUMPRODUCT(TRANSPOSE(EY$9:EY$34),$K74:$AJ74)</f>
        <v>1000</v>
      </c>
      <c r="EZ74" s="12">
        <f t="array" ref="EZ74">SUMPRODUCT(TRANSPOSE(EZ$9:EZ$34),$K74:$AJ74)</f>
        <v>1000</v>
      </c>
      <c r="FA74" s="12">
        <f t="array" ref="FA74">SUMPRODUCT(TRANSPOSE(FA$9:FA$34),$K74:$AJ74)</f>
        <v>1000</v>
      </c>
      <c r="FB74" s="12">
        <f t="array" ref="FB74">SUMPRODUCT(TRANSPOSE(FB$9:FB$34),$K74:$AJ74)</f>
        <v>1000</v>
      </c>
      <c r="FC74" s="12">
        <f t="array" ref="FC74">SUMPRODUCT(TRANSPOSE(FC$9:FC$34),$K74:$AJ74)</f>
        <v>1000</v>
      </c>
      <c r="FD74" s="12">
        <f t="array" ref="FD74">SUMPRODUCT(TRANSPOSE(FD$9:FD$34),$K74:$AJ74)</f>
        <v>1000</v>
      </c>
      <c r="FE74" s="12">
        <f t="array" ref="FE74">SUMPRODUCT(TRANSPOSE(FE$9:FE$34),$K74:$AJ74)</f>
        <v>1000</v>
      </c>
      <c r="FF74" s="12">
        <f t="array" ref="FF74">SUMPRODUCT(TRANSPOSE(FF$9:FF$34),$K74:$AJ74)</f>
        <v>1000</v>
      </c>
      <c r="FG74" s="12">
        <f t="array" ref="FG74">SUMPRODUCT(TRANSPOSE(FG$9:FG$34),$K74:$AJ74)</f>
        <v>1000</v>
      </c>
      <c r="FH74" s="12">
        <f t="array" ref="FH74">SUMPRODUCT(TRANSPOSE(FH$9:FH$34),$K74:$AJ74)</f>
        <v>1000</v>
      </c>
      <c r="FI74" s="12">
        <f t="array" ref="FI74">SUMPRODUCT(TRANSPOSE(FI$9:FI$34),$K74:$AJ74)</f>
        <v>1000</v>
      </c>
      <c r="FJ74" s="12">
        <f t="array" ref="FJ74">SUMPRODUCT(TRANSPOSE(FJ$9:FJ$34),$K74:$AJ74)</f>
        <v>1000</v>
      </c>
      <c r="FK74" s="12">
        <f t="array" ref="FK74">SUMPRODUCT(TRANSPOSE(FK$9:FK$34),$K74:$AJ74)</f>
        <v>1000</v>
      </c>
      <c r="FL74" s="12">
        <f t="array" ref="FL74">SUMPRODUCT(TRANSPOSE(FL$9:FL$34),$K74:$AJ74)</f>
        <v>1000</v>
      </c>
      <c r="FM74" s="12">
        <f t="array" ref="FM74">SUMPRODUCT(TRANSPOSE(FM$9:FM$34),$K74:$AJ74)</f>
        <v>1000</v>
      </c>
      <c r="FN74" s="12">
        <f t="array" ref="FN74">SUMPRODUCT(TRANSPOSE(FN$9:FN$34),$K74:$AJ74)</f>
        <v>1000</v>
      </c>
      <c r="FO74" s="12">
        <f t="array" ref="FO74">SUMPRODUCT(TRANSPOSE(FO$9:FO$34),$K74:$AJ74)</f>
        <v>44</v>
      </c>
    </row>
    <row r="75" spans="1:171" ht="14.25" x14ac:dyDescent="0.2">
      <c r="A75" s="13">
        <f t="shared" si="4"/>
        <v>40</v>
      </c>
      <c r="B75" s="13" t="s">
        <v>187</v>
      </c>
      <c r="C75" s="58" t="s">
        <v>188</v>
      </c>
      <c r="D75" s="13">
        <v>-1</v>
      </c>
      <c r="E75" s="13">
        <v>417679932</v>
      </c>
      <c r="F75" s="26" t="s">
        <v>189</v>
      </c>
      <c r="G75" s="13"/>
      <c r="H75" s="13" t="s">
        <v>61</v>
      </c>
      <c r="I75" s="13">
        <v>1</v>
      </c>
      <c r="J75" s="13">
        <v>3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1</v>
      </c>
      <c r="X75" s="13">
        <v>0</v>
      </c>
      <c r="Y75" s="13"/>
      <c r="Z75" s="13"/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1</v>
      </c>
      <c r="AJ75" s="13">
        <v>0</v>
      </c>
      <c r="AK75" s="13">
        <f t="shared" si="3"/>
        <v>2</v>
      </c>
      <c r="AL75" s="23">
        <f t="shared" si="2"/>
        <v>70797</v>
      </c>
      <c r="AM75" s="13"/>
      <c r="AN75" s="13" t="s">
        <v>128</v>
      </c>
      <c r="AO75" s="7" t="s">
        <v>129</v>
      </c>
      <c r="AP75" s="38">
        <v>24</v>
      </c>
      <c r="AQ75" s="12">
        <v>18037</v>
      </c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>
        <v>1500</v>
      </c>
      <c r="BE75" s="12">
        <v>1500</v>
      </c>
      <c r="BF75" s="12"/>
      <c r="BG75" s="12">
        <v>2000</v>
      </c>
      <c r="BH75" s="12">
        <v>2000</v>
      </c>
      <c r="BI75" s="12">
        <v>2000</v>
      </c>
      <c r="BJ75" s="12">
        <v>2000</v>
      </c>
      <c r="BK75" s="12">
        <v>2000</v>
      </c>
      <c r="BL75" s="12">
        <v>2000</v>
      </c>
      <c r="BM75" s="12">
        <v>2000</v>
      </c>
      <c r="BN75" s="12">
        <v>2000</v>
      </c>
      <c r="BO75" s="12">
        <v>2000</v>
      </c>
      <c r="BP75" s="12">
        <v>2000</v>
      </c>
      <c r="BQ75" s="12">
        <v>2000</v>
      </c>
      <c r="BR75" s="12">
        <v>2000</v>
      </c>
      <c r="BS75" s="12">
        <v>2000</v>
      </c>
      <c r="BT75" s="12">
        <v>2000</v>
      </c>
      <c r="BU75" s="12">
        <v>2000</v>
      </c>
      <c r="BV75" s="12">
        <v>2000</v>
      </c>
      <c r="BW75" s="12">
        <v>2000</v>
      </c>
      <c r="BX75" s="12">
        <v>2000</v>
      </c>
      <c r="BY75" s="12">
        <v>2000</v>
      </c>
      <c r="BZ75" s="12">
        <v>2000</v>
      </c>
      <c r="CA75" s="12">
        <v>2000</v>
      </c>
      <c r="CB75" s="59">
        <v>1405</v>
      </c>
      <c r="CC75" s="59"/>
      <c r="CD75" s="59"/>
      <c r="CE75" s="59"/>
      <c r="CF75" s="13"/>
      <c r="CG75" s="13"/>
      <c r="CH75" s="13"/>
      <c r="CI75" s="12"/>
      <c r="CJ75" s="12"/>
      <c r="CK75" s="12"/>
      <c r="CL75" s="12"/>
      <c r="CM75" s="12"/>
      <c r="CN75" s="12"/>
      <c r="CO75" s="12"/>
      <c r="CP75" s="12">
        <f>SUM($AQ75:BJ75)-SUM($EA75:EH75)</f>
        <v>24611</v>
      </c>
      <c r="CQ75" s="12">
        <f>SUM($AQ75:BK75)-SUM($EA75:EI75)</f>
        <v>23974</v>
      </c>
      <c r="CR75" s="12">
        <f>SUM($AQ75:BL75)-SUM($EA75:EJ75)</f>
        <v>24678</v>
      </c>
      <c r="CS75" s="12">
        <f>SUM($AQ75:BM75)-SUM($EA75:EK75)</f>
        <v>25543</v>
      </c>
      <c r="CT75" s="12">
        <f>SUM($AQ75:BN75)-SUM($EA75:EL75)</f>
        <v>25528</v>
      </c>
      <c r="CU75" s="12">
        <f>SUM($AQ75:BO75)-SUM($EA75:EM75)</f>
        <v>25478</v>
      </c>
      <c r="CV75" s="12">
        <f>SUM($AQ75:BP75)-SUM($EA75:EN75)</f>
        <v>25428</v>
      </c>
      <c r="CW75" s="12">
        <f>SUM($AQ75:BQ75)-SUM($EA75:EO75)</f>
        <v>25428</v>
      </c>
      <c r="CX75" s="12">
        <f>SUM($AQ75:BR75)-SUM($EA75:EP75)</f>
        <v>25378</v>
      </c>
      <c r="CY75" s="12">
        <f>SUM($AQ75:BS75)-SUM($EA75:EQ75)</f>
        <v>25328</v>
      </c>
      <c r="CZ75" s="12">
        <f>SUM($AQ75:BT75)-SUM($EA75:ER75)</f>
        <v>25278</v>
      </c>
      <c r="DA75" s="12">
        <f>SUM($AQ75:BU75)-SUM($EA75:ES75)</f>
        <v>25228</v>
      </c>
      <c r="DB75" s="12">
        <f>SUM($AQ75:BV75)-SUM($EA75:ET75)</f>
        <v>25178</v>
      </c>
      <c r="DC75" s="12">
        <f>SUM($AQ75:BW75)-SUM($EA75:EU75)</f>
        <v>25128</v>
      </c>
      <c r="DD75" s="12">
        <f>SUM($AQ75:BX75)-SUM($EA75:EV75)</f>
        <v>25078</v>
      </c>
      <c r="DE75" s="12">
        <f>SUM($AQ75:BY75)-SUM($EA75:EW75)</f>
        <v>25068</v>
      </c>
      <c r="DF75" s="12">
        <f>SUM($AQ75:BZ75)-SUM($EA75:EX75)</f>
        <v>25068</v>
      </c>
      <c r="DG75" s="12">
        <f>SUM($AQ75:CA75)-SUM($EA75:EY75)</f>
        <v>25068</v>
      </c>
      <c r="DH75" s="12">
        <f>SUM($AQ75:CB75)-SUM($EA75:EZ75)</f>
        <v>24473</v>
      </c>
      <c r="DI75" s="12">
        <f>SUM($AQ75:CC75)-SUM($EA75:FA75)</f>
        <v>22473</v>
      </c>
      <c r="DJ75" s="12">
        <f>SUM($AQ75:CD75)-SUM($EA75:FB75)</f>
        <v>20473</v>
      </c>
      <c r="DK75" s="12">
        <f>SUM($AQ75:CE75)-SUM($EA75:FC75)</f>
        <v>18473</v>
      </c>
      <c r="DL75" s="12">
        <f>SUM($AQ75:CF75)-SUM($EA75:FD75)</f>
        <v>16473</v>
      </c>
      <c r="DM75" s="12">
        <f>SUM($AQ75:CG75)-SUM($EA75:FE75)</f>
        <v>14473</v>
      </c>
      <c r="DN75" s="12">
        <f>SUM($AQ75:CH75)-SUM($EA75:FF75)</f>
        <v>12473</v>
      </c>
      <c r="DO75" s="12">
        <f>SUM($AQ75:CI75)-SUM($EA75:FG75)</f>
        <v>10473</v>
      </c>
      <c r="DP75" s="12">
        <f>SUM($AQ75:CJ75)-SUM($EA75:FH75)</f>
        <v>8473</v>
      </c>
      <c r="DQ75" s="12">
        <f>SUM($AQ75:CK75)-SUM($EA75:FI75)</f>
        <v>6473</v>
      </c>
      <c r="DR75" s="12">
        <f>SUM($AQ75:CL75)-SUM($EA75:FJ75)</f>
        <v>4473</v>
      </c>
      <c r="DS75" s="12">
        <f>SUM($AQ75:CM75)-SUM($EA75:FK75)</f>
        <v>2473</v>
      </c>
      <c r="DT75" s="12">
        <f>SUM($AQ75:CN75)-SUM($EA75:FL75)</f>
        <v>473</v>
      </c>
      <c r="DU75" s="12">
        <f>SUM($AQ75:CO75)-SUM($EA75:FM75)</f>
        <v>-1527</v>
      </c>
      <c r="DV75" s="12">
        <f>SUM($AQ75:CP75)-SUM($EA75:FN75)</f>
        <v>21300</v>
      </c>
      <c r="DW75" s="12">
        <f>SUM($AQ75:CQ75)-SUM($EA75:FO75)</f>
        <v>45230</v>
      </c>
      <c r="DX75" s="13"/>
      <c r="DY75" s="13"/>
      <c r="DZ75" s="13"/>
      <c r="EA75" s="12"/>
      <c r="EB75" s="12"/>
      <c r="EC75" s="12"/>
      <c r="ED75" s="12"/>
      <c r="EE75" s="12"/>
      <c r="EF75" s="12"/>
      <c r="EG75" s="12"/>
      <c r="EH75" s="12">
        <f t="array" ref="EH75">SUMPRODUCT(TRANSPOSE(EH$9:EH$34),$K75:$AJ75)</f>
        <v>4426</v>
      </c>
      <c r="EI75" s="12">
        <f t="array" ref="EI75">SUMPRODUCT(TRANSPOSE(EI$9:EI$34),$K75:$AJ75)</f>
        <v>2637</v>
      </c>
      <c r="EJ75" s="12">
        <f t="array" ref="EJ75">SUMPRODUCT(TRANSPOSE(EJ$9:EJ$34),$K75:$AJ75)</f>
        <v>1296</v>
      </c>
      <c r="EK75" s="12">
        <f t="array" ref="EK75">SUMPRODUCT(TRANSPOSE(EK$9:EK$34),$K75:$AJ75)</f>
        <v>1135</v>
      </c>
      <c r="EL75" s="12">
        <f t="array" ref="EL75">SUMPRODUCT(TRANSPOSE(EL$9:EL$34),$K75:$AJ75)</f>
        <v>2015</v>
      </c>
      <c r="EM75" s="12">
        <f t="array" ref="EM75">SUMPRODUCT(TRANSPOSE(EM$9:EM$34),$K75:$AJ75)</f>
        <v>2050</v>
      </c>
      <c r="EN75" s="12">
        <f t="array" ref="EN75">SUMPRODUCT(TRANSPOSE(EN$9:EN$34),$K75:$AJ75)</f>
        <v>2050</v>
      </c>
      <c r="EO75" s="12">
        <f t="array" ref="EO75">SUMPRODUCT(TRANSPOSE(EO$9:EO$34),$K75:$AJ75)</f>
        <v>2000</v>
      </c>
      <c r="EP75" s="12">
        <f t="array" ref="EP75">SUMPRODUCT(TRANSPOSE(EP$9:EP$34),$K75:$AJ75)</f>
        <v>2050</v>
      </c>
      <c r="EQ75" s="12">
        <f t="array" ref="EQ75">SUMPRODUCT(TRANSPOSE(EQ$9:EQ$34),$K75:$AJ75)</f>
        <v>2050</v>
      </c>
      <c r="ER75" s="12">
        <f t="array" ref="ER75">SUMPRODUCT(TRANSPOSE(ER$9:ER$34),$K75:$AJ75)</f>
        <v>2050</v>
      </c>
      <c r="ES75" s="12">
        <f t="array" ref="ES75">SUMPRODUCT(TRANSPOSE(ES$9:ES$34),$K75:$AJ75)</f>
        <v>2050</v>
      </c>
      <c r="ET75" s="12">
        <f t="array" ref="ET75">SUMPRODUCT(TRANSPOSE(ET$9:ET$34),$K75:$AJ75)</f>
        <v>2050</v>
      </c>
      <c r="EU75" s="12">
        <f t="array" ref="EU75">SUMPRODUCT(TRANSPOSE(EU$9:EU$34),$K75:$AJ75)</f>
        <v>2050</v>
      </c>
      <c r="EV75" s="12">
        <f t="array" ref="EV75">SUMPRODUCT(TRANSPOSE(EV$9:EV$34),$K75:$AJ75)</f>
        <v>2050</v>
      </c>
      <c r="EW75" s="12">
        <f t="array" ref="EW75">SUMPRODUCT(TRANSPOSE(EW$9:EW$34),$K75:$AJ75)</f>
        <v>2010</v>
      </c>
      <c r="EX75" s="12">
        <f t="array" ref="EX75">SUMPRODUCT(TRANSPOSE(EX$9:EX$34),$K75:$AJ75)</f>
        <v>2000</v>
      </c>
      <c r="EY75" s="12">
        <f t="array" ref="EY75">SUMPRODUCT(TRANSPOSE(EY$9:EY$34),$K75:$AJ75)</f>
        <v>2000</v>
      </c>
      <c r="EZ75" s="12">
        <f t="array" ref="EZ75">SUMPRODUCT(TRANSPOSE(EZ$9:EZ$34),$K75:$AJ75)</f>
        <v>2000</v>
      </c>
      <c r="FA75" s="12">
        <f t="array" ref="FA75">SUMPRODUCT(TRANSPOSE(FA$9:FA$34),$K75:$AJ75)</f>
        <v>2000</v>
      </c>
      <c r="FB75" s="12">
        <f t="array" ref="FB75">SUMPRODUCT(TRANSPOSE(FB$9:FB$34),$K75:$AJ75)</f>
        <v>2000</v>
      </c>
      <c r="FC75" s="12">
        <f t="array" ref="FC75">SUMPRODUCT(TRANSPOSE(FC$9:FC$34),$K75:$AJ75)</f>
        <v>2000</v>
      </c>
      <c r="FD75" s="12">
        <f t="array" ref="FD75">SUMPRODUCT(TRANSPOSE(FD$9:FD$34),$K75:$AJ75)</f>
        <v>2000</v>
      </c>
      <c r="FE75" s="12">
        <f t="array" ref="FE75">SUMPRODUCT(TRANSPOSE(FE$9:FE$34),$K75:$AJ75)</f>
        <v>2000</v>
      </c>
      <c r="FF75" s="12">
        <f t="array" ref="FF75">SUMPRODUCT(TRANSPOSE(FF$9:FF$34),$K75:$AJ75)</f>
        <v>2000</v>
      </c>
      <c r="FG75" s="12">
        <f t="array" ref="FG75">SUMPRODUCT(TRANSPOSE(FG$9:FG$34),$K75:$AJ75)</f>
        <v>2000</v>
      </c>
      <c r="FH75" s="12">
        <f t="array" ref="FH75">SUMPRODUCT(TRANSPOSE(FH$9:FH$34),$K75:$AJ75)</f>
        <v>2000</v>
      </c>
      <c r="FI75" s="12">
        <f t="array" ref="FI75">SUMPRODUCT(TRANSPOSE(FI$9:FI$34),$K75:$AJ75)</f>
        <v>2000</v>
      </c>
      <c r="FJ75" s="12">
        <f t="array" ref="FJ75">SUMPRODUCT(TRANSPOSE(FJ$9:FJ$34),$K75:$AJ75)</f>
        <v>2000</v>
      </c>
      <c r="FK75" s="12">
        <f t="array" ref="FK75">SUMPRODUCT(TRANSPOSE(FK$9:FK$34),$K75:$AJ75)</f>
        <v>2000</v>
      </c>
      <c r="FL75" s="12">
        <f t="array" ref="FL75">SUMPRODUCT(TRANSPOSE(FL$9:FL$34),$K75:$AJ75)</f>
        <v>2000</v>
      </c>
      <c r="FM75" s="12">
        <f t="array" ref="FM75">SUMPRODUCT(TRANSPOSE(FM$9:FM$34),$K75:$AJ75)</f>
        <v>2000</v>
      </c>
      <c r="FN75" s="12">
        <f t="array" ref="FN75">SUMPRODUCT(TRANSPOSE(FN$9:FN$34),$K75:$AJ75)</f>
        <v>1784</v>
      </c>
      <c r="FO75" s="12">
        <f t="array" ref="FO75">SUMPRODUCT(TRANSPOSE(FO$9:FO$34),$K75:$AJ75)</f>
        <v>44</v>
      </c>
    </row>
    <row r="76" spans="1:171" ht="14.25" x14ac:dyDescent="0.2">
      <c r="A76" s="13">
        <f t="shared" si="4"/>
        <v>41</v>
      </c>
      <c r="B76" s="13" t="s">
        <v>190</v>
      </c>
      <c r="C76" s="25" t="s">
        <v>191</v>
      </c>
      <c r="D76" s="13" t="s">
        <v>60</v>
      </c>
      <c r="E76" s="13">
        <v>411179618</v>
      </c>
      <c r="F76" s="26" t="s">
        <v>192</v>
      </c>
      <c r="G76" s="13"/>
      <c r="H76" s="13" t="s">
        <v>61</v>
      </c>
      <c r="I76" s="13">
        <v>1</v>
      </c>
      <c r="J76" s="13">
        <v>6</v>
      </c>
      <c r="K76" s="13">
        <v>0</v>
      </c>
      <c r="L76" s="13">
        <v>2</v>
      </c>
      <c r="M76" s="13">
        <v>0</v>
      </c>
      <c r="N76" s="13">
        <v>0</v>
      </c>
      <c r="O76" s="13">
        <v>0</v>
      </c>
      <c r="P76" s="13">
        <v>0</v>
      </c>
      <c r="Q76" s="13">
        <v>2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/>
      <c r="Z76" s="13"/>
      <c r="AA76" s="13">
        <v>0</v>
      </c>
      <c r="AB76" s="13">
        <v>2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f t="shared" si="3"/>
        <v>6</v>
      </c>
      <c r="AL76" s="23">
        <f t="shared" si="2"/>
        <v>141594</v>
      </c>
      <c r="AM76" s="13"/>
      <c r="AN76" s="13" t="s">
        <v>153</v>
      </c>
      <c r="AO76" s="7" t="s">
        <v>129</v>
      </c>
      <c r="AP76" s="38">
        <v>1.2</v>
      </c>
      <c r="AQ76" s="12">
        <v>32076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>
        <v>3500</v>
      </c>
      <c r="BD76" s="12">
        <v>4000</v>
      </c>
      <c r="BE76" s="12">
        <v>4000</v>
      </c>
      <c r="BF76" s="12"/>
      <c r="BG76" s="12">
        <v>4000</v>
      </c>
      <c r="BH76" s="12">
        <v>4000</v>
      </c>
      <c r="BI76" s="12">
        <v>4000</v>
      </c>
      <c r="BJ76" s="12">
        <v>4000</v>
      </c>
      <c r="BK76" s="12">
        <v>4000</v>
      </c>
      <c r="BL76" s="12">
        <v>4000</v>
      </c>
      <c r="BM76" s="12">
        <v>4000</v>
      </c>
      <c r="BN76" s="12">
        <v>4000</v>
      </c>
      <c r="BO76" s="12">
        <v>4000</v>
      </c>
      <c r="BP76" s="12">
        <v>4000</v>
      </c>
      <c r="BQ76" s="12">
        <v>4000</v>
      </c>
      <c r="BR76" s="12">
        <v>4000</v>
      </c>
      <c r="BS76" s="12">
        <v>4000</v>
      </c>
      <c r="BT76" s="12">
        <v>4000</v>
      </c>
      <c r="BU76" s="12">
        <v>4000</v>
      </c>
      <c r="BV76" s="12">
        <v>4000</v>
      </c>
      <c r="BW76" s="12">
        <v>4000</v>
      </c>
      <c r="BX76" s="12">
        <v>4000</v>
      </c>
      <c r="BY76" s="12">
        <v>4000</v>
      </c>
      <c r="BZ76" s="12">
        <v>4000</v>
      </c>
      <c r="CA76" s="12">
        <v>4000</v>
      </c>
      <c r="CB76" s="59">
        <v>2810</v>
      </c>
      <c r="CC76" s="59"/>
      <c r="CD76" s="59"/>
      <c r="CE76" s="59"/>
      <c r="CF76" s="13"/>
      <c r="CG76" s="13"/>
      <c r="CH76" s="13"/>
      <c r="CI76" s="12"/>
      <c r="CJ76" s="12"/>
      <c r="CK76" s="12"/>
      <c r="CL76" s="12"/>
      <c r="CM76" s="12"/>
      <c r="CN76" s="12"/>
      <c r="CO76" s="12"/>
      <c r="CP76" s="12">
        <f>SUM($AQ76:BJ76)-SUM($EA76:EH76)</f>
        <v>46678</v>
      </c>
      <c r="CQ76" s="12">
        <f>SUM($AQ76:BK76)-SUM($EA76:EI76)</f>
        <v>48888</v>
      </c>
      <c r="CR76" s="12">
        <f>SUM($AQ76:BL76)-SUM($EA76:EJ76)</f>
        <v>50858</v>
      </c>
      <c r="CS76" s="12">
        <f>SUM($AQ76:BM76)-SUM($EA76:EK76)</f>
        <v>52788</v>
      </c>
      <c r="CT76" s="12">
        <f>SUM($AQ76:BN76)-SUM($EA76:EL76)</f>
        <v>54758</v>
      </c>
      <c r="CU76" s="12">
        <f>SUM($AQ76:BO76)-SUM($EA76:EM76)</f>
        <v>58658</v>
      </c>
      <c r="CV76" s="12">
        <f>SUM($AQ76:BP76)-SUM($EA76:EN76)</f>
        <v>60758</v>
      </c>
      <c r="CW76" s="12">
        <f>SUM($AQ76:BQ76)-SUM($EA76:EO76)</f>
        <v>62758</v>
      </c>
      <c r="CX76" s="12">
        <f>SUM($AQ76:BR76)-SUM($EA76:EP76)</f>
        <v>64658</v>
      </c>
      <c r="CY76" s="12">
        <f>SUM($AQ76:BS76)-SUM($EA76:EQ76)</f>
        <v>66558</v>
      </c>
      <c r="CZ76" s="12">
        <f>SUM($AQ76:BT76)-SUM($EA76:ER76)</f>
        <v>68458</v>
      </c>
      <c r="DA76" s="12">
        <f>SUM($AQ76:BU76)-SUM($EA76:ES76)</f>
        <v>70358</v>
      </c>
      <c r="DB76" s="12">
        <f>SUM($AQ76:BV76)-SUM($EA76:ET76)</f>
        <v>72258</v>
      </c>
      <c r="DC76" s="12">
        <f>SUM($AQ76:BW76)-SUM($EA76:EU76)</f>
        <v>74158</v>
      </c>
      <c r="DD76" s="12">
        <f>SUM($AQ76:BX76)-SUM($EA76:EV76)</f>
        <v>76058</v>
      </c>
      <c r="DE76" s="12">
        <f>SUM($AQ76:BY76)-SUM($EA76:EW76)</f>
        <v>78038</v>
      </c>
      <c r="DF76" s="12">
        <f>SUM($AQ76:BZ76)-SUM($EA76:EX76)</f>
        <v>80038</v>
      </c>
      <c r="DG76" s="12">
        <f>SUM($AQ76:CA76)-SUM($EA76:EY76)</f>
        <v>82038</v>
      </c>
      <c r="DH76" s="12">
        <f>SUM($AQ76:CB76)-SUM($EA76:EZ76)</f>
        <v>82848</v>
      </c>
      <c r="DI76" s="12">
        <f>SUM($AQ76:CC76)-SUM($EA76:FA76)</f>
        <v>80848</v>
      </c>
      <c r="DJ76" s="12">
        <f>SUM($AQ76:CD76)-SUM($EA76:FB76)</f>
        <v>78848</v>
      </c>
      <c r="DK76" s="12">
        <f>SUM($AQ76:CE76)-SUM($EA76:FC76)</f>
        <v>76848</v>
      </c>
      <c r="DL76" s="12">
        <f>SUM($AQ76:CF76)-SUM($EA76:FD76)</f>
        <v>74848</v>
      </c>
      <c r="DM76" s="12">
        <f>SUM($AQ76:CG76)-SUM($EA76:FE76)</f>
        <v>72848</v>
      </c>
      <c r="DN76" s="12">
        <f>SUM($AQ76:CH76)-SUM($EA76:FF76)</f>
        <v>70848</v>
      </c>
      <c r="DO76" s="12">
        <f>SUM($AQ76:CI76)-SUM($EA76:FG76)</f>
        <v>68848</v>
      </c>
      <c r="DP76" s="12">
        <f>SUM($AQ76:CJ76)-SUM($EA76:FH76)</f>
        <v>66848</v>
      </c>
      <c r="DQ76" s="12">
        <f>SUM($AQ76:CK76)-SUM($EA76:FI76)</f>
        <v>64848</v>
      </c>
      <c r="DR76" s="12">
        <f>SUM($AQ76:CL76)-SUM($EA76:FJ76)</f>
        <v>62848</v>
      </c>
      <c r="DS76" s="12">
        <f>SUM($AQ76:CM76)-SUM($EA76:FK76)</f>
        <v>60848</v>
      </c>
      <c r="DT76" s="12">
        <f>SUM($AQ76:CN76)-SUM($EA76:FL76)</f>
        <v>58848</v>
      </c>
      <c r="DU76" s="12">
        <f>SUM($AQ76:CO76)-SUM($EA76:FM76)</f>
        <v>56848</v>
      </c>
      <c r="DV76" s="12">
        <f>SUM($AQ76:CP76)-SUM($EA76:FN76)</f>
        <v>101526</v>
      </c>
      <c r="DW76" s="12">
        <f>SUM($AQ76:CQ76)-SUM($EA76:FO76)</f>
        <v>150326</v>
      </c>
      <c r="DX76" s="13"/>
      <c r="DY76" s="13"/>
      <c r="DZ76" s="13"/>
      <c r="EA76" s="12"/>
      <c r="EB76" s="12"/>
      <c r="EC76" s="12"/>
      <c r="ED76" s="12"/>
      <c r="EE76" s="12"/>
      <c r="EF76" s="12"/>
      <c r="EG76" s="12"/>
      <c r="EH76" s="12">
        <f t="array" ref="EH76">SUMPRODUCT(TRANSPOSE(EH$9:EH$34),$K76:$AJ76)</f>
        <v>12898</v>
      </c>
      <c r="EI76" s="12">
        <f t="array" ref="EI76">SUMPRODUCT(TRANSPOSE(EI$9:EI$34),$K76:$AJ76)</f>
        <v>1790</v>
      </c>
      <c r="EJ76" s="12">
        <f t="array" ref="EJ76">SUMPRODUCT(TRANSPOSE(EJ$9:EJ$34),$K76:$AJ76)</f>
        <v>2030</v>
      </c>
      <c r="EK76" s="12">
        <f t="array" ref="EK76">SUMPRODUCT(TRANSPOSE(EK$9:EK$34),$K76:$AJ76)</f>
        <v>2070</v>
      </c>
      <c r="EL76" s="12">
        <f t="array" ref="EL76">SUMPRODUCT(TRANSPOSE(EL$9:EL$34),$K76:$AJ76)</f>
        <v>2030</v>
      </c>
      <c r="EM76" s="12">
        <f t="array" ref="EM76">SUMPRODUCT(TRANSPOSE(EM$9:EM$34),$K76:$AJ76)</f>
        <v>100</v>
      </c>
      <c r="EN76" s="12">
        <f t="array" ref="EN76">SUMPRODUCT(TRANSPOSE(EN$9:EN$34),$K76:$AJ76)</f>
        <v>1900</v>
      </c>
      <c r="EO76" s="12">
        <f t="array" ref="EO76">SUMPRODUCT(TRANSPOSE(EO$9:EO$34),$K76:$AJ76)</f>
        <v>2000</v>
      </c>
      <c r="EP76" s="12">
        <f t="array" ref="EP76">SUMPRODUCT(TRANSPOSE(EP$9:EP$34),$K76:$AJ76)</f>
        <v>2100</v>
      </c>
      <c r="EQ76" s="12">
        <f t="array" ref="EQ76">SUMPRODUCT(TRANSPOSE(EQ$9:EQ$34),$K76:$AJ76)</f>
        <v>2100</v>
      </c>
      <c r="ER76" s="12">
        <f t="array" ref="ER76">SUMPRODUCT(TRANSPOSE(ER$9:ER$34),$K76:$AJ76)</f>
        <v>2100</v>
      </c>
      <c r="ES76" s="12">
        <f t="array" ref="ES76">SUMPRODUCT(TRANSPOSE(ES$9:ES$34),$K76:$AJ76)</f>
        <v>2100</v>
      </c>
      <c r="ET76" s="12">
        <f t="array" ref="ET76">SUMPRODUCT(TRANSPOSE(ET$9:ET$34),$K76:$AJ76)</f>
        <v>2100</v>
      </c>
      <c r="EU76" s="12">
        <f t="array" ref="EU76">SUMPRODUCT(TRANSPOSE(EU$9:EU$34),$K76:$AJ76)</f>
        <v>2100</v>
      </c>
      <c r="EV76" s="12">
        <f t="array" ref="EV76">SUMPRODUCT(TRANSPOSE(EV$9:EV$34),$K76:$AJ76)</f>
        <v>2100</v>
      </c>
      <c r="EW76" s="12">
        <f t="array" ref="EW76">SUMPRODUCT(TRANSPOSE(EW$9:EW$34),$K76:$AJ76)</f>
        <v>2020</v>
      </c>
      <c r="EX76" s="12">
        <f t="array" ref="EX76">SUMPRODUCT(TRANSPOSE(EX$9:EX$34),$K76:$AJ76)</f>
        <v>2000</v>
      </c>
      <c r="EY76" s="12">
        <f t="array" ref="EY76">SUMPRODUCT(TRANSPOSE(EY$9:EY$34),$K76:$AJ76)</f>
        <v>2000</v>
      </c>
      <c r="EZ76" s="12">
        <f t="array" ref="EZ76">SUMPRODUCT(TRANSPOSE(EZ$9:EZ$34),$K76:$AJ76)</f>
        <v>2000</v>
      </c>
      <c r="FA76" s="12">
        <f t="array" ref="FA76">SUMPRODUCT(TRANSPOSE(FA$9:FA$34),$K76:$AJ76)</f>
        <v>2000</v>
      </c>
      <c r="FB76" s="12">
        <f t="array" ref="FB76">SUMPRODUCT(TRANSPOSE(FB$9:FB$34),$K76:$AJ76)</f>
        <v>2000</v>
      </c>
      <c r="FC76" s="12">
        <f t="array" ref="FC76">SUMPRODUCT(TRANSPOSE(FC$9:FC$34),$K76:$AJ76)</f>
        <v>2000</v>
      </c>
      <c r="FD76" s="12">
        <f t="array" ref="FD76">SUMPRODUCT(TRANSPOSE(FD$9:FD$34),$K76:$AJ76)</f>
        <v>2000</v>
      </c>
      <c r="FE76" s="12">
        <f t="array" ref="FE76">SUMPRODUCT(TRANSPOSE(FE$9:FE$34),$K76:$AJ76)</f>
        <v>2000</v>
      </c>
      <c r="FF76" s="12">
        <f t="array" ref="FF76">SUMPRODUCT(TRANSPOSE(FF$9:FF$34),$K76:$AJ76)</f>
        <v>2000</v>
      </c>
      <c r="FG76" s="12">
        <f t="array" ref="FG76">SUMPRODUCT(TRANSPOSE(FG$9:FG$34),$K76:$AJ76)</f>
        <v>2000</v>
      </c>
      <c r="FH76" s="12">
        <f t="array" ref="FH76">SUMPRODUCT(TRANSPOSE(FH$9:FH$34),$K76:$AJ76)</f>
        <v>2000</v>
      </c>
      <c r="FI76" s="12">
        <f t="array" ref="FI76">SUMPRODUCT(TRANSPOSE(FI$9:FI$34),$K76:$AJ76)</f>
        <v>2000</v>
      </c>
      <c r="FJ76" s="12">
        <f t="array" ref="FJ76">SUMPRODUCT(TRANSPOSE(FJ$9:FJ$34),$K76:$AJ76)</f>
        <v>2000</v>
      </c>
      <c r="FK76" s="12">
        <f t="array" ref="FK76">SUMPRODUCT(TRANSPOSE(FK$9:FK$34),$K76:$AJ76)</f>
        <v>2000</v>
      </c>
      <c r="FL76" s="12">
        <f t="array" ref="FL76">SUMPRODUCT(TRANSPOSE(FL$9:FL$34),$K76:$AJ76)</f>
        <v>2000</v>
      </c>
      <c r="FM76" s="12">
        <f t="array" ref="FM76">SUMPRODUCT(TRANSPOSE(FM$9:FM$34),$K76:$AJ76)</f>
        <v>2000</v>
      </c>
      <c r="FN76" s="12">
        <f t="array" ref="FN76">SUMPRODUCT(TRANSPOSE(FN$9:FN$34),$K76:$AJ76)</f>
        <v>2000</v>
      </c>
      <c r="FO76" s="12">
        <f t="array" ref="FO76">SUMPRODUCT(TRANSPOSE(FO$9:FO$34),$K76:$AJ76)</f>
        <v>88</v>
      </c>
    </row>
    <row r="77" spans="1:171" ht="14.25" x14ac:dyDescent="0.2">
      <c r="A77" s="13">
        <f t="shared" si="4"/>
        <v>42</v>
      </c>
      <c r="B77" s="13" t="s">
        <v>193</v>
      </c>
      <c r="C77" s="25" t="s">
        <v>194</v>
      </c>
      <c r="D77" s="13" t="s">
        <v>60</v>
      </c>
      <c r="E77" s="13">
        <v>411179617</v>
      </c>
      <c r="F77" s="26" t="s">
        <v>195</v>
      </c>
      <c r="G77" s="13"/>
      <c r="H77" s="13" t="s">
        <v>61</v>
      </c>
      <c r="I77" s="13">
        <v>1</v>
      </c>
      <c r="J77" s="13">
        <v>6</v>
      </c>
      <c r="K77" s="13">
        <v>0</v>
      </c>
      <c r="L77" s="13">
        <v>2</v>
      </c>
      <c r="M77" s="13">
        <v>0</v>
      </c>
      <c r="N77" s="13">
        <v>0</v>
      </c>
      <c r="O77" s="13">
        <v>0</v>
      </c>
      <c r="P77" s="13">
        <v>0</v>
      </c>
      <c r="Q77" s="13">
        <v>2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/>
      <c r="Z77" s="13"/>
      <c r="AA77" s="13">
        <v>0</v>
      </c>
      <c r="AB77" s="13">
        <v>2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f t="shared" si="3"/>
        <v>6</v>
      </c>
      <c r="AL77" s="23">
        <f t="shared" si="2"/>
        <v>141594</v>
      </c>
      <c r="AM77" s="13"/>
      <c r="AN77" s="13" t="s">
        <v>128</v>
      </c>
      <c r="AO77" s="7" t="s">
        <v>129</v>
      </c>
      <c r="AP77" s="38">
        <v>2.25</v>
      </c>
      <c r="AQ77" s="12">
        <v>40076</v>
      </c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>
        <v>2708</v>
      </c>
      <c r="BD77" s="12">
        <v>4000</v>
      </c>
      <c r="BE77" s="12">
        <v>4000</v>
      </c>
      <c r="BF77" s="12">
        <v>4000</v>
      </c>
      <c r="BG77" s="12">
        <v>4000</v>
      </c>
      <c r="BH77" s="12">
        <v>4000</v>
      </c>
      <c r="BI77" s="12">
        <v>4000</v>
      </c>
      <c r="BJ77" s="12">
        <v>4000</v>
      </c>
      <c r="BK77" s="12">
        <v>4000</v>
      </c>
      <c r="BL77" s="12">
        <v>4000</v>
      </c>
      <c r="BM77" s="12">
        <v>4000</v>
      </c>
      <c r="BN77" s="12">
        <v>4000</v>
      </c>
      <c r="BO77" s="12">
        <v>4000</v>
      </c>
      <c r="BP77" s="12">
        <v>4000</v>
      </c>
      <c r="BQ77" s="12">
        <v>4000</v>
      </c>
      <c r="BR77" s="12">
        <v>4000</v>
      </c>
      <c r="BS77" s="12">
        <v>4000</v>
      </c>
      <c r="BT77" s="12">
        <v>4000</v>
      </c>
      <c r="BU77" s="12">
        <v>4000</v>
      </c>
      <c r="BV77" s="12">
        <v>4000</v>
      </c>
      <c r="BW77" s="12">
        <v>4000</v>
      </c>
      <c r="BX77" s="12">
        <v>4000</v>
      </c>
      <c r="BY77" s="12">
        <v>4000</v>
      </c>
      <c r="BZ77" s="12">
        <v>4000</v>
      </c>
      <c r="CA77" s="12">
        <v>4000</v>
      </c>
      <c r="CB77" s="59">
        <v>2810</v>
      </c>
      <c r="CC77" s="59"/>
      <c r="CD77" s="59"/>
      <c r="CE77" s="59"/>
      <c r="CF77" s="13"/>
      <c r="CG77" s="13"/>
      <c r="CH77" s="13"/>
      <c r="CI77" s="12"/>
      <c r="CJ77" s="12"/>
      <c r="CK77" s="12"/>
      <c r="CL77" s="12"/>
      <c r="CM77" s="12"/>
      <c r="CN77" s="12"/>
      <c r="CO77" s="12"/>
      <c r="CP77" s="12">
        <f>SUM($AQ77:BJ77)-SUM($EA77:EH77)</f>
        <v>57886</v>
      </c>
      <c r="CQ77" s="12">
        <f>SUM($AQ77:BK77)-SUM($EA77:EI77)</f>
        <v>60096</v>
      </c>
      <c r="CR77" s="12">
        <f>SUM($AQ77:BL77)-SUM($EA77:EJ77)</f>
        <v>62066</v>
      </c>
      <c r="CS77" s="12">
        <f>SUM($AQ77:BM77)-SUM($EA77:EK77)</f>
        <v>63996</v>
      </c>
      <c r="CT77" s="12">
        <f>SUM($AQ77:BN77)-SUM($EA77:EL77)</f>
        <v>65966</v>
      </c>
      <c r="CU77" s="12">
        <f>SUM($AQ77:BO77)-SUM($EA77:EM77)</f>
        <v>69866</v>
      </c>
      <c r="CV77" s="12">
        <f>SUM($AQ77:BP77)-SUM($EA77:EN77)</f>
        <v>71966</v>
      </c>
      <c r="CW77" s="12">
        <f>SUM($AQ77:BQ77)-SUM($EA77:EO77)</f>
        <v>73966</v>
      </c>
      <c r="CX77" s="12">
        <f>SUM($AQ77:BR77)-SUM($EA77:EP77)</f>
        <v>75866</v>
      </c>
      <c r="CY77" s="12">
        <f>SUM($AQ77:BS77)-SUM($EA77:EQ77)</f>
        <v>77766</v>
      </c>
      <c r="CZ77" s="12">
        <f>SUM($AQ77:BT77)-SUM($EA77:ER77)</f>
        <v>79666</v>
      </c>
      <c r="DA77" s="12">
        <f>SUM($AQ77:BU77)-SUM($EA77:ES77)</f>
        <v>81566</v>
      </c>
      <c r="DB77" s="12">
        <f>SUM($AQ77:BV77)-SUM($EA77:ET77)</f>
        <v>83466</v>
      </c>
      <c r="DC77" s="12">
        <f>SUM($AQ77:BW77)-SUM($EA77:EU77)</f>
        <v>85366</v>
      </c>
      <c r="DD77" s="12">
        <f>SUM($AQ77:BX77)-SUM($EA77:EV77)</f>
        <v>87266</v>
      </c>
      <c r="DE77" s="12">
        <f>SUM($AQ77:BY77)-SUM($EA77:EW77)</f>
        <v>89246</v>
      </c>
      <c r="DF77" s="12">
        <f>SUM($AQ77:BZ77)-SUM($EA77:EX77)</f>
        <v>91246</v>
      </c>
      <c r="DG77" s="12">
        <f>SUM($AQ77:CA77)-SUM($EA77:EY77)</f>
        <v>93246</v>
      </c>
      <c r="DH77" s="12">
        <f>SUM($AQ77:CB77)-SUM($EA77:EZ77)</f>
        <v>94056</v>
      </c>
      <c r="DI77" s="12">
        <f>SUM($AQ77:CC77)-SUM($EA77:FA77)</f>
        <v>92056</v>
      </c>
      <c r="DJ77" s="12">
        <f>SUM($AQ77:CD77)-SUM($EA77:FB77)</f>
        <v>90056</v>
      </c>
      <c r="DK77" s="12">
        <f>SUM($AQ77:CE77)-SUM($EA77:FC77)</f>
        <v>88056</v>
      </c>
      <c r="DL77" s="12">
        <f>SUM($AQ77:CF77)-SUM($EA77:FD77)</f>
        <v>86056</v>
      </c>
      <c r="DM77" s="12">
        <f>SUM($AQ77:CG77)-SUM($EA77:FE77)</f>
        <v>84056</v>
      </c>
      <c r="DN77" s="12">
        <f>SUM($AQ77:CH77)-SUM($EA77:FF77)</f>
        <v>82056</v>
      </c>
      <c r="DO77" s="12">
        <f>SUM($AQ77:CI77)-SUM($EA77:FG77)</f>
        <v>80056</v>
      </c>
      <c r="DP77" s="12">
        <f>SUM($AQ77:CJ77)-SUM($EA77:FH77)</f>
        <v>78056</v>
      </c>
      <c r="DQ77" s="12">
        <f>SUM($AQ77:CK77)-SUM($EA77:FI77)</f>
        <v>76056</v>
      </c>
      <c r="DR77" s="12">
        <f>SUM($AQ77:CL77)-SUM($EA77:FJ77)</f>
        <v>74056</v>
      </c>
      <c r="DS77" s="12">
        <f>SUM($AQ77:CM77)-SUM($EA77:FK77)</f>
        <v>72056</v>
      </c>
      <c r="DT77" s="12">
        <f>SUM($AQ77:CN77)-SUM($EA77:FL77)</f>
        <v>70056</v>
      </c>
      <c r="DU77" s="12">
        <f>SUM($AQ77:CO77)-SUM($EA77:FM77)</f>
        <v>68056</v>
      </c>
      <c r="DV77" s="12">
        <f>SUM($AQ77:CP77)-SUM($EA77:FN77)</f>
        <v>123942</v>
      </c>
      <c r="DW77" s="12">
        <f>SUM($AQ77:CQ77)-SUM($EA77:FO77)</f>
        <v>183950</v>
      </c>
      <c r="DX77" s="13"/>
      <c r="DY77" s="13"/>
      <c r="DZ77" s="13"/>
      <c r="EA77" s="12"/>
      <c r="EB77" s="12"/>
      <c r="EC77" s="12"/>
      <c r="ED77" s="12"/>
      <c r="EE77" s="12"/>
      <c r="EF77" s="12"/>
      <c r="EG77" s="12"/>
      <c r="EH77" s="12">
        <f t="array" ref="EH77">SUMPRODUCT(TRANSPOSE(EH$9:EH$34),$K77:$AJ77)</f>
        <v>12898</v>
      </c>
      <c r="EI77" s="12">
        <f t="array" ref="EI77">SUMPRODUCT(TRANSPOSE(EI$9:EI$34),$K77:$AJ77)</f>
        <v>1790</v>
      </c>
      <c r="EJ77" s="12">
        <f t="array" ref="EJ77">SUMPRODUCT(TRANSPOSE(EJ$9:EJ$34),$K77:$AJ77)</f>
        <v>2030</v>
      </c>
      <c r="EK77" s="12">
        <f t="array" ref="EK77">SUMPRODUCT(TRANSPOSE(EK$9:EK$34),$K77:$AJ77)</f>
        <v>2070</v>
      </c>
      <c r="EL77" s="12">
        <f t="array" ref="EL77">SUMPRODUCT(TRANSPOSE(EL$9:EL$34),$K77:$AJ77)</f>
        <v>2030</v>
      </c>
      <c r="EM77" s="12">
        <f t="array" ref="EM77">SUMPRODUCT(TRANSPOSE(EM$9:EM$34),$K77:$AJ77)</f>
        <v>100</v>
      </c>
      <c r="EN77" s="12">
        <f t="array" ref="EN77">SUMPRODUCT(TRANSPOSE(EN$9:EN$34),$K77:$AJ77)</f>
        <v>1900</v>
      </c>
      <c r="EO77" s="12">
        <f t="array" ref="EO77">SUMPRODUCT(TRANSPOSE(EO$9:EO$34),$K77:$AJ77)</f>
        <v>2000</v>
      </c>
      <c r="EP77" s="12">
        <f t="array" ref="EP77">SUMPRODUCT(TRANSPOSE(EP$9:EP$34),$K77:$AJ77)</f>
        <v>2100</v>
      </c>
      <c r="EQ77" s="12">
        <f t="array" ref="EQ77">SUMPRODUCT(TRANSPOSE(EQ$9:EQ$34),$K77:$AJ77)</f>
        <v>2100</v>
      </c>
      <c r="ER77" s="12">
        <f t="array" ref="ER77">SUMPRODUCT(TRANSPOSE(ER$9:ER$34),$K77:$AJ77)</f>
        <v>2100</v>
      </c>
      <c r="ES77" s="12">
        <f t="array" ref="ES77">SUMPRODUCT(TRANSPOSE(ES$9:ES$34),$K77:$AJ77)</f>
        <v>2100</v>
      </c>
      <c r="ET77" s="12">
        <f t="array" ref="ET77">SUMPRODUCT(TRANSPOSE(ET$9:ET$34),$K77:$AJ77)</f>
        <v>2100</v>
      </c>
      <c r="EU77" s="12">
        <f t="array" ref="EU77">SUMPRODUCT(TRANSPOSE(EU$9:EU$34),$K77:$AJ77)</f>
        <v>2100</v>
      </c>
      <c r="EV77" s="12">
        <f t="array" ref="EV77">SUMPRODUCT(TRANSPOSE(EV$9:EV$34),$K77:$AJ77)</f>
        <v>2100</v>
      </c>
      <c r="EW77" s="12">
        <f t="array" ref="EW77">SUMPRODUCT(TRANSPOSE(EW$9:EW$34),$K77:$AJ77)</f>
        <v>2020</v>
      </c>
      <c r="EX77" s="12">
        <f t="array" ref="EX77">SUMPRODUCT(TRANSPOSE(EX$9:EX$34),$K77:$AJ77)</f>
        <v>2000</v>
      </c>
      <c r="EY77" s="12">
        <f t="array" ref="EY77">SUMPRODUCT(TRANSPOSE(EY$9:EY$34),$K77:$AJ77)</f>
        <v>2000</v>
      </c>
      <c r="EZ77" s="12">
        <f t="array" ref="EZ77">SUMPRODUCT(TRANSPOSE(EZ$9:EZ$34),$K77:$AJ77)</f>
        <v>2000</v>
      </c>
      <c r="FA77" s="12">
        <f t="array" ref="FA77">SUMPRODUCT(TRANSPOSE(FA$9:FA$34),$K77:$AJ77)</f>
        <v>2000</v>
      </c>
      <c r="FB77" s="12">
        <f t="array" ref="FB77">SUMPRODUCT(TRANSPOSE(FB$9:FB$34),$K77:$AJ77)</f>
        <v>2000</v>
      </c>
      <c r="FC77" s="12">
        <f t="array" ref="FC77">SUMPRODUCT(TRANSPOSE(FC$9:FC$34),$K77:$AJ77)</f>
        <v>2000</v>
      </c>
      <c r="FD77" s="12">
        <f t="array" ref="FD77">SUMPRODUCT(TRANSPOSE(FD$9:FD$34),$K77:$AJ77)</f>
        <v>2000</v>
      </c>
      <c r="FE77" s="12">
        <f t="array" ref="FE77">SUMPRODUCT(TRANSPOSE(FE$9:FE$34),$K77:$AJ77)</f>
        <v>2000</v>
      </c>
      <c r="FF77" s="12">
        <f t="array" ref="FF77">SUMPRODUCT(TRANSPOSE(FF$9:FF$34),$K77:$AJ77)</f>
        <v>2000</v>
      </c>
      <c r="FG77" s="12">
        <f t="array" ref="FG77">SUMPRODUCT(TRANSPOSE(FG$9:FG$34),$K77:$AJ77)</f>
        <v>2000</v>
      </c>
      <c r="FH77" s="12">
        <f t="array" ref="FH77">SUMPRODUCT(TRANSPOSE(FH$9:FH$34),$K77:$AJ77)</f>
        <v>2000</v>
      </c>
      <c r="FI77" s="12">
        <f t="array" ref="FI77">SUMPRODUCT(TRANSPOSE(FI$9:FI$34),$K77:$AJ77)</f>
        <v>2000</v>
      </c>
      <c r="FJ77" s="12">
        <f t="array" ref="FJ77">SUMPRODUCT(TRANSPOSE(FJ$9:FJ$34),$K77:$AJ77)</f>
        <v>2000</v>
      </c>
      <c r="FK77" s="12">
        <f t="array" ref="FK77">SUMPRODUCT(TRANSPOSE(FK$9:FK$34),$K77:$AJ77)</f>
        <v>2000</v>
      </c>
      <c r="FL77" s="12">
        <f t="array" ref="FL77">SUMPRODUCT(TRANSPOSE(FL$9:FL$34),$K77:$AJ77)</f>
        <v>2000</v>
      </c>
      <c r="FM77" s="12">
        <f t="array" ref="FM77">SUMPRODUCT(TRANSPOSE(FM$9:FM$34),$K77:$AJ77)</f>
        <v>2000</v>
      </c>
      <c r="FN77" s="12">
        <f t="array" ref="FN77">SUMPRODUCT(TRANSPOSE(FN$9:FN$34),$K77:$AJ77)</f>
        <v>2000</v>
      </c>
      <c r="FO77" s="12">
        <f t="array" ref="FO77">SUMPRODUCT(TRANSPOSE(FO$9:FO$34),$K77:$AJ77)</f>
        <v>88</v>
      </c>
    </row>
    <row r="78" spans="1:171" ht="14.25" x14ac:dyDescent="0.2">
      <c r="A78" s="13">
        <f t="shared" si="4"/>
        <v>43</v>
      </c>
      <c r="B78" s="13" t="s">
        <v>196</v>
      </c>
      <c r="C78" s="25" t="s">
        <v>197</v>
      </c>
      <c r="D78" s="13" t="s">
        <v>110</v>
      </c>
      <c r="E78" s="13">
        <v>414338971</v>
      </c>
      <c r="F78" s="26" t="s">
        <v>198</v>
      </c>
      <c r="G78" s="13"/>
      <c r="H78" s="13" t="s">
        <v>61</v>
      </c>
      <c r="I78" s="13">
        <v>1</v>
      </c>
      <c r="J78" s="13">
        <v>2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57">
        <v>1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/>
      <c r="Z78" s="13">
        <v>1</v>
      </c>
      <c r="AA78" s="13">
        <v>0</v>
      </c>
      <c r="AB78" s="13">
        <v>0</v>
      </c>
      <c r="AC78" s="13">
        <v>0</v>
      </c>
      <c r="AD78" s="13">
        <v>1</v>
      </c>
      <c r="AE78" s="13">
        <v>1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f t="shared" si="3"/>
        <v>3</v>
      </c>
      <c r="AL78" s="23">
        <f t="shared" si="2"/>
        <v>35665</v>
      </c>
      <c r="AM78" s="13"/>
      <c r="AN78" s="13" t="s">
        <v>199</v>
      </c>
      <c r="AO78" s="7" t="s">
        <v>1062</v>
      </c>
      <c r="AP78" s="38">
        <v>171</v>
      </c>
      <c r="AQ78" s="12">
        <v>12429</v>
      </c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13"/>
      <c r="CG78" s="13"/>
      <c r="CH78" s="13"/>
      <c r="CI78" s="12"/>
      <c r="CJ78" s="12"/>
      <c r="CK78" s="12"/>
      <c r="CL78" s="12"/>
      <c r="CM78" s="12"/>
      <c r="CN78" s="12"/>
      <c r="CO78" s="12"/>
      <c r="CP78" s="12">
        <f>SUM($AQ78:BJ78)-SUM($EA78:EH78)</f>
        <v>9320</v>
      </c>
      <c r="CQ78" s="12">
        <f>SUM($AQ78:BK78)-SUM($EA78:EI78)</f>
        <v>9039</v>
      </c>
      <c r="CR78" s="12">
        <f>SUM($AQ78:BL78)-SUM($EA78:EJ78)</f>
        <v>9024</v>
      </c>
      <c r="CS78" s="12">
        <f>SUM($AQ78:BM78)-SUM($EA78:EK78)</f>
        <v>8889</v>
      </c>
      <c r="CT78" s="12">
        <f>SUM($AQ78:BN78)-SUM($EA78:EL78)</f>
        <v>7874</v>
      </c>
      <c r="CU78" s="12">
        <f>SUM($AQ78:BO78)-SUM($EA78:EM78)</f>
        <v>5824</v>
      </c>
      <c r="CV78" s="12">
        <f>SUM($AQ78:BP78)-SUM($EA78:EN78)</f>
        <v>4674</v>
      </c>
      <c r="CW78" s="12">
        <f>SUM($AQ78:BQ78)-SUM($EA78:EO78)</f>
        <v>3674</v>
      </c>
      <c r="CX78" s="12">
        <f>SUM($AQ78:BR78)-SUM($EA78:EP78)</f>
        <v>2624</v>
      </c>
      <c r="CY78" s="12">
        <f>SUM($AQ78:BS78)-SUM($EA78:EQ78)</f>
        <v>1574</v>
      </c>
      <c r="CZ78" s="12">
        <f>SUM($AQ78:BT78)-SUM($EA78:ER78)</f>
        <v>524</v>
      </c>
      <c r="DA78" s="12">
        <f>SUM($AQ78:BU78)-SUM($EA78:ES78)</f>
        <v>-526</v>
      </c>
      <c r="DB78" s="12">
        <f>SUM($AQ78:BV78)-SUM($EA78:ET78)</f>
        <v>-1576</v>
      </c>
      <c r="DC78" s="12">
        <f>SUM($AQ78:BW78)-SUM($EA78:EU78)</f>
        <v>-2626</v>
      </c>
      <c r="DD78" s="12">
        <f>SUM($AQ78:BX78)-SUM($EA78:EV78)</f>
        <v>-3676</v>
      </c>
      <c r="DE78" s="12">
        <f>SUM($AQ78:BY78)-SUM($EA78:EW78)</f>
        <v>-4719</v>
      </c>
      <c r="DF78" s="12">
        <f>SUM($AQ78:BZ78)-SUM($EA78:EX78)</f>
        <v>-5719</v>
      </c>
      <c r="DG78" s="12">
        <f>SUM($AQ78:CA78)-SUM($EA78:EY78)</f>
        <v>-6719</v>
      </c>
      <c r="DH78" s="12">
        <f>SUM($AQ78:CB78)-SUM($EA78:EZ78)</f>
        <v>-7719</v>
      </c>
      <c r="DI78" s="12">
        <f>SUM($AQ78:CC78)-SUM($EA78:FA78)</f>
        <v>-8719</v>
      </c>
      <c r="DJ78" s="12">
        <f>SUM($AQ78:CD78)-SUM($EA78:FB78)</f>
        <v>-9719</v>
      </c>
      <c r="DK78" s="12">
        <f>SUM($AQ78:CE78)-SUM($EA78:FC78)</f>
        <v>-10719</v>
      </c>
      <c r="DL78" s="12">
        <f>SUM($AQ78:CF78)-SUM($EA78:FD78)</f>
        <v>-11719</v>
      </c>
      <c r="DM78" s="12">
        <f>SUM($AQ78:CG78)-SUM($EA78:FE78)</f>
        <v>-12719</v>
      </c>
      <c r="DN78" s="12">
        <f>SUM($AQ78:CH78)-SUM($EA78:FF78)</f>
        <v>-13719</v>
      </c>
      <c r="DO78" s="12">
        <f>SUM($AQ78:CI78)-SUM($EA78:FG78)</f>
        <v>-14719</v>
      </c>
      <c r="DP78" s="12">
        <f>SUM($AQ78:CJ78)-SUM($EA78:FH78)</f>
        <v>-15719</v>
      </c>
      <c r="DQ78" s="12">
        <f>SUM($AQ78:CK78)-SUM($EA78:FI78)</f>
        <v>-16719</v>
      </c>
      <c r="DR78" s="12">
        <f>SUM($AQ78:CL78)-SUM($EA78:FJ78)</f>
        <v>-17719</v>
      </c>
      <c r="DS78" s="12">
        <f>SUM($AQ78:CM78)-SUM($EA78:FK78)</f>
        <v>-18719</v>
      </c>
      <c r="DT78" s="12">
        <f>SUM($AQ78:CN78)-SUM($EA78:FL78)</f>
        <v>-19719</v>
      </c>
      <c r="DU78" s="12">
        <f>SUM($AQ78:CO78)-SUM($EA78:FM78)</f>
        <v>-20719</v>
      </c>
      <c r="DV78" s="12">
        <f>SUM($AQ78:CP78)-SUM($EA78:FN78)</f>
        <v>-12216</v>
      </c>
      <c r="DW78" s="12">
        <f>SUM($AQ78:CQ78)-SUM($EA78:FO78)</f>
        <v>-3177</v>
      </c>
      <c r="DX78" s="13"/>
      <c r="DY78" s="13"/>
      <c r="DZ78" s="13"/>
      <c r="EA78" s="12"/>
      <c r="EB78" s="12"/>
      <c r="EC78" s="12"/>
      <c r="ED78" s="12"/>
      <c r="EE78" s="12"/>
      <c r="EF78" s="12"/>
      <c r="EG78" s="12"/>
      <c r="EH78" s="12">
        <f t="array" ref="EH78">SUMPRODUCT(TRANSPOSE(EH$9:EH$34),$K78:$AJ78)</f>
        <v>3109</v>
      </c>
      <c r="EI78" s="12">
        <f t="array" ref="EI78">SUMPRODUCT(TRANSPOSE(EI$9:EI$34),$K78:$AJ78)</f>
        <v>281</v>
      </c>
      <c r="EJ78" s="12">
        <f t="array" ref="EJ78">SUMPRODUCT(TRANSPOSE(EJ$9:EJ$34),$K78:$AJ78)</f>
        <v>15</v>
      </c>
      <c r="EK78" s="12">
        <f t="array" ref="EK78">SUMPRODUCT(TRANSPOSE(EK$9:EK$34),$K78:$AJ78)</f>
        <v>135</v>
      </c>
      <c r="EL78" s="12">
        <f t="array" ref="EL78">SUMPRODUCT(TRANSPOSE(EL$9:EL$34),$K78:$AJ78)</f>
        <v>1015</v>
      </c>
      <c r="EM78" s="12">
        <f t="array" ref="EM78">SUMPRODUCT(TRANSPOSE(EM$9:EM$34),$K78:$AJ78)</f>
        <v>2050</v>
      </c>
      <c r="EN78" s="12">
        <f t="array" ref="EN78">SUMPRODUCT(TRANSPOSE(EN$9:EN$34),$K78:$AJ78)</f>
        <v>1150</v>
      </c>
      <c r="EO78" s="12">
        <f t="array" ref="EO78">SUMPRODUCT(TRANSPOSE(EO$9:EO$34),$K78:$AJ78)</f>
        <v>1000</v>
      </c>
      <c r="EP78" s="12">
        <f t="array" ref="EP78">SUMPRODUCT(TRANSPOSE(EP$9:EP$34),$K78:$AJ78)</f>
        <v>1050</v>
      </c>
      <c r="EQ78" s="12">
        <f t="array" ref="EQ78">SUMPRODUCT(TRANSPOSE(EQ$9:EQ$34),$K78:$AJ78)</f>
        <v>1050</v>
      </c>
      <c r="ER78" s="12">
        <f t="array" ref="ER78">SUMPRODUCT(TRANSPOSE(ER$9:ER$34),$K78:$AJ78)</f>
        <v>1050</v>
      </c>
      <c r="ES78" s="12">
        <f t="array" ref="ES78">SUMPRODUCT(TRANSPOSE(ES$9:ES$34),$K78:$AJ78)</f>
        <v>1050</v>
      </c>
      <c r="ET78" s="12">
        <f t="array" ref="ET78">SUMPRODUCT(TRANSPOSE(ET$9:ET$34),$K78:$AJ78)</f>
        <v>1050</v>
      </c>
      <c r="EU78" s="12">
        <f t="array" ref="EU78">SUMPRODUCT(TRANSPOSE(EU$9:EU$34),$K78:$AJ78)</f>
        <v>1050</v>
      </c>
      <c r="EV78" s="12">
        <f t="array" ref="EV78">SUMPRODUCT(TRANSPOSE(EV$9:EV$34),$K78:$AJ78)</f>
        <v>1050</v>
      </c>
      <c r="EW78" s="12">
        <f t="array" ref="EW78">SUMPRODUCT(TRANSPOSE(EW$9:EW$34),$K78:$AJ78)</f>
        <v>1043</v>
      </c>
      <c r="EX78" s="12">
        <f t="array" ref="EX78">SUMPRODUCT(TRANSPOSE(EX$9:EX$34),$K78:$AJ78)</f>
        <v>1000</v>
      </c>
      <c r="EY78" s="12">
        <f t="array" ref="EY78">SUMPRODUCT(TRANSPOSE(EY$9:EY$34),$K78:$AJ78)</f>
        <v>1000</v>
      </c>
      <c r="EZ78" s="12">
        <f t="array" ref="EZ78">SUMPRODUCT(TRANSPOSE(EZ$9:EZ$34),$K78:$AJ78)</f>
        <v>1000</v>
      </c>
      <c r="FA78" s="12">
        <f t="array" ref="FA78">SUMPRODUCT(TRANSPOSE(FA$9:FA$34),$K78:$AJ78)</f>
        <v>1000</v>
      </c>
      <c r="FB78" s="12">
        <f t="array" ref="FB78">SUMPRODUCT(TRANSPOSE(FB$9:FB$34),$K78:$AJ78)</f>
        <v>1000</v>
      </c>
      <c r="FC78" s="12">
        <f t="array" ref="FC78">SUMPRODUCT(TRANSPOSE(FC$9:FC$34),$K78:$AJ78)</f>
        <v>1000</v>
      </c>
      <c r="FD78" s="12">
        <f t="array" ref="FD78">SUMPRODUCT(TRANSPOSE(FD$9:FD$34),$K78:$AJ78)</f>
        <v>1000</v>
      </c>
      <c r="FE78" s="12">
        <f t="array" ref="FE78">SUMPRODUCT(TRANSPOSE(FE$9:FE$34),$K78:$AJ78)</f>
        <v>1000</v>
      </c>
      <c r="FF78" s="12">
        <f t="array" ref="FF78">SUMPRODUCT(TRANSPOSE(FF$9:FF$34),$K78:$AJ78)</f>
        <v>1000</v>
      </c>
      <c r="FG78" s="12">
        <f t="array" ref="FG78">SUMPRODUCT(TRANSPOSE(FG$9:FG$34),$K78:$AJ78)</f>
        <v>1000</v>
      </c>
      <c r="FH78" s="12">
        <f t="array" ref="FH78">SUMPRODUCT(TRANSPOSE(FH$9:FH$34),$K78:$AJ78)</f>
        <v>1000</v>
      </c>
      <c r="FI78" s="12">
        <f t="array" ref="FI78">SUMPRODUCT(TRANSPOSE(FI$9:FI$34),$K78:$AJ78)</f>
        <v>1000</v>
      </c>
      <c r="FJ78" s="12">
        <f t="array" ref="FJ78">SUMPRODUCT(TRANSPOSE(FJ$9:FJ$34),$K78:$AJ78)</f>
        <v>1000</v>
      </c>
      <c r="FK78" s="12">
        <f t="array" ref="FK78">SUMPRODUCT(TRANSPOSE(FK$9:FK$34),$K78:$AJ78)</f>
        <v>1000</v>
      </c>
      <c r="FL78" s="12">
        <f t="array" ref="FL78">SUMPRODUCT(TRANSPOSE(FL$9:FL$34),$K78:$AJ78)</f>
        <v>1000</v>
      </c>
      <c r="FM78" s="12">
        <f t="array" ref="FM78">SUMPRODUCT(TRANSPOSE(FM$9:FM$34),$K78:$AJ78)</f>
        <v>1000</v>
      </c>
      <c r="FN78" s="12">
        <f t="array" ref="FN78">SUMPRODUCT(TRANSPOSE(FN$9:FN$34),$K78:$AJ78)</f>
        <v>817</v>
      </c>
      <c r="FO78" s="12">
        <f t="array" ref="FO78">SUMPRODUCT(TRANSPOSE(FO$9:FO$34),$K78:$AJ78)</f>
        <v>0</v>
      </c>
    </row>
    <row r="79" spans="1:171" ht="14.25" x14ac:dyDescent="0.2">
      <c r="A79" s="13">
        <f t="shared" si="4"/>
        <v>44</v>
      </c>
      <c r="B79" s="13" t="s">
        <v>200</v>
      </c>
      <c r="C79" s="25" t="s">
        <v>49</v>
      </c>
      <c r="D79" s="13" t="s">
        <v>201</v>
      </c>
      <c r="E79" s="13">
        <v>415942201</v>
      </c>
      <c r="F79" s="26" t="s">
        <v>20</v>
      </c>
      <c r="G79" s="13"/>
      <c r="H79" s="13" t="s">
        <v>61</v>
      </c>
      <c r="I79" s="13">
        <v>1</v>
      </c>
      <c r="J79" s="13">
        <v>2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1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/>
      <c r="Z79" s="13"/>
      <c r="AA79" s="13">
        <v>0</v>
      </c>
      <c r="AB79" s="13">
        <v>1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f t="shared" si="3"/>
        <v>2</v>
      </c>
      <c r="AL79" s="23">
        <f t="shared" si="2"/>
        <v>35599</v>
      </c>
      <c r="AM79" s="27" t="s">
        <v>62</v>
      </c>
      <c r="AN79" s="13" t="s">
        <v>62</v>
      </c>
      <c r="AO79" s="7" t="s">
        <v>62</v>
      </c>
      <c r="AP79" s="28"/>
      <c r="AQ79" s="12">
        <v>0</v>
      </c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13"/>
      <c r="CG79" s="13"/>
      <c r="CH79" s="13"/>
      <c r="CI79" s="12"/>
      <c r="CJ79" s="12"/>
      <c r="CK79" s="12"/>
      <c r="CL79" s="12"/>
      <c r="CM79" s="12"/>
      <c r="CN79" s="12"/>
      <c r="CO79" s="12"/>
      <c r="CP79" s="12">
        <f>SUM($AQ79:BJ79)-SUM($EA79:EH79)</f>
        <v>-3109</v>
      </c>
      <c r="CQ79" s="12">
        <f>SUM($AQ79:BK79)-SUM($EA79:EI79)</f>
        <v>-3390</v>
      </c>
      <c r="CR79" s="12">
        <f>SUM($AQ79:BL79)-SUM($EA79:EJ79)</f>
        <v>-3405</v>
      </c>
      <c r="CS79" s="12">
        <f>SUM($AQ79:BM79)-SUM($EA79:EK79)</f>
        <v>-3440</v>
      </c>
      <c r="CT79" s="12">
        <f>SUM($AQ79:BN79)-SUM($EA79:EL79)</f>
        <v>-3455</v>
      </c>
      <c r="CU79" s="12">
        <f>SUM($AQ79:BO79)-SUM($EA79:EM79)</f>
        <v>-3505</v>
      </c>
      <c r="CV79" s="12">
        <f>SUM($AQ79:BP79)-SUM($EA79:EN79)</f>
        <v>-3555</v>
      </c>
      <c r="CW79" s="12">
        <f>SUM($AQ79:BQ79)-SUM($EA79:EO79)</f>
        <v>-3555</v>
      </c>
      <c r="CX79" s="12">
        <f>SUM($AQ79:BR79)-SUM($EA79:EP79)</f>
        <v>-3605</v>
      </c>
      <c r="CY79" s="12">
        <f>SUM($AQ79:BS79)-SUM($EA79:EQ79)</f>
        <v>-3655</v>
      </c>
      <c r="CZ79" s="12">
        <f>SUM($AQ79:BT79)-SUM($EA79:ER79)</f>
        <v>-3705</v>
      </c>
      <c r="DA79" s="12">
        <f>SUM($AQ79:BU79)-SUM($EA79:ES79)</f>
        <v>-3755</v>
      </c>
      <c r="DB79" s="12">
        <f>SUM($AQ79:BV79)-SUM($EA79:ET79)</f>
        <v>-3805</v>
      </c>
      <c r="DC79" s="12">
        <f>SUM($AQ79:BW79)-SUM($EA79:EU79)</f>
        <v>-3855</v>
      </c>
      <c r="DD79" s="12">
        <f>SUM($AQ79:BX79)-SUM($EA79:EV79)</f>
        <v>-3905</v>
      </c>
      <c r="DE79" s="12">
        <f>SUM($AQ79:BY79)-SUM($EA79:EW79)</f>
        <v>-3915</v>
      </c>
      <c r="DF79" s="12">
        <f>SUM($AQ79:BZ79)-SUM($EA79:EX79)</f>
        <v>-3915</v>
      </c>
      <c r="DG79" s="12">
        <f>SUM($AQ79:CA79)-SUM($EA79:EY79)</f>
        <v>-3915</v>
      </c>
      <c r="DH79" s="12">
        <f>SUM($AQ79:CB79)-SUM($EA79:EZ79)</f>
        <v>-3915</v>
      </c>
      <c r="DI79" s="12">
        <f>SUM($AQ79:CC79)-SUM($EA79:FA79)</f>
        <v>-3915</v>
      </c>
      <c r="DJ79" s="12">
        <f>SUM($AQ79:CD79)-SUM($EA79:FB79)</f>
        <v>-3915</v>
      </c>
      <c r="DK79" s="12">
        <f>SUM($AQ79:CE79)-SUM($EA79:FC79)</f>
        <v>-3915</v>
      </c>
      <c r="DL79" s="12">
        <f>SUM($AQ79:CF79)-SUM($EA79:FD79)</f>
        <v>-3915</v>
      </c>
      <c r="DM79" s="12">
        <f>SUM($AQ79:CG79)-SUM($EA79:FE79)</f>
        <v>-3915</v>
      </c>
      <c r="DN79" s="12">
        <f>SUM($AQ79:CH79)-SUM($EA79:FF79)</f>
        <v>-3915</v>
      </c>
      <c r="DO79" s="12">
        <f>SUM($AQ79:CI79)-SUM($EA79:FG79)</f>
        <v>-3915</v>
      </c>
      <c r="DP79" s="12">
        <f>SUM($AQ79:CJ79)-SUM($EA79:FH79)</f>
        <v>-3915</v>
      </c>
      <c r="DQ79" s="12">
        <f>SUM($AQ79:CK79)-SUM($EA79:FI79)</f>
        <v>-3915</v>
      </c>
      <c r="DR79" s="12">
        <f>SUM($AQ79:CL79)-SUM($EA79:FJ79)</f>
        <v>-3915</v>
      </c>
      <c r="DS79" s="12">
        <f>SUM($AQ79:CM79)-SUM($EA79:FK79)</f>
        <v>-3915</v>
      </c>
      <c r="DT79" s="12">
        <f>SUM($AQ79:CN79)-SUM($EA79:FL79)</f>
        <v>-3915</v>
      </c>
      <c r="DU79" s="12">
        <f>SUM($AQ79:CO79)-SUM($EA79:FM79)</f>
        <v>-3915</v>
      </c>
      <c r="DV79" s="12">
        <f>SUM($AQ79:CP79)-SUM($EA79:FN79)</f>
        <v>-7024</v>
      </c>
      <c r="DW79" s="12">
        <f>SUM($AQ79:CQ79)-SUM($EA79:FO79)</f>
        <v>-10414</v>
      </c>
      <c r="DX79" s="13"/>
      <c r="DY79" s="13"/>
      <c r="DZ79" s="13"/>
      <c r="EA79" s="12"/>
      <c r="EB79" s="12"/>
      <c r="EC79" s="12"/>
      <c r="ED79" s="12"/>
      <c r="EE79" s="12"/>
      <c r="EF79" s="12"/>
      <c r="EG79" s="12"/>
      <c r="EH79" s="12">
        <f t="array" ref="EH79">SUMPRODUCT(TRANSPOSE(EH$9:EH$34),$K79:$AJ79)</f>
        <v>3109</v>
      </c>
      <c r="EI79" s="12">
        <f t="array" ref="EI79">SUMPRODUCT(TRANSPOSE(EI$9:EI$34),$K79:$AJ79)</f>
        <v>281</v>
      </c>
      <c r="EJ79" s="12">
        <f t="array" ref="EJ79">SUMPRODUCT(TRANSPOSE(EJ$9:EJ$34),$K79:$AJ79)</f>
        <v>15</v>
      </c>
      <c r="EK79" s="12">
        <f t="array" ref="EK79">SUMPRODUCT(TRANSPOSE(EK$9:EK$34),$K79:$AJ79)</f>
        <v>35</v>
      </c>
      <c r="EL79" s="12">
        <f t="array" ref="EL79">SUMPRODUCT(TRANSPOSE(EL$9:EL$34),$K79:$AJ79)</f>
        <v>15</v>
      </c>
      <c r="EM79" s="12">
        <f t="array" ref="EM79">SUMPRODUCT(TRANSPOSE(EM$9:EM$34),$K79:$AJ79)</f>
        <v>50</v>
      </c>
      <c r="EN79" s="12">
        <f t="array" ref="EN79">SUMPRODUCT(TRANSPOSE(EN$9:EN$34),$K79:$AJ79)</f>
        <v>50</v>
      </c>
      <c r="EO79" s="12">
        <f t="array" ref="EO79">SUMPRODUCT(TRANSPOSE(EO$9:EO$34),$K79:$AJ79)</f>
        <v>0</v>
      </c>
      <c r="EP79" s="12">
        <f t="array" ref="EP79">SUMPRODUCT(TRANSPOSE(EP$9:EP$34),$K79:$AJ79)</f>
        <v>50</v>
      </c>
      <c r="EQ79" s="12">
        <f t="array" ref="EQ79">SUMPRODUCT(TRANSPOSE(EQ$9:EQ$34),$K79:$AJ79)</f>
        <v>50</v>
      </c>
      <c r="ER79" s="12">
        <f t="array" ref="ER79">SUMPRODUCT(TRANSPOSE(ER$9:ER$34),$K79:$AJ79)</f>
        <v>50</v>
      </c>
      <c r="ES79" s="12">
        <f t="array" ref="ES79">SUMPRODUCT(TRANSPOSE(ES$9:ES$34),$K79:$AJ79)</f>
        <v>50</v>
      </c>
      <c r="ET79" s="12">
        <f t="array" ref="ET79">SUMPRODUCT(TRANSPOSE(ET$9:ET$34),$K79:$AJ79)</f>
        <v>50</v>
      </c>
      <c r="EU79" s="12">
        <f t="array" ref="EU79">SUMPRODUCT(TRANSPOSE(EU$9:EU$34),$K79:$AJ79)</f>
        <v>50</v>
      </c>
      <c r="EV79" s="12">
        <f t="array" ref="EV79">SUMPRODUCT(TRANSPOSE(EV$9:EV$34),$K79:$AJ79)</f>
        <v>50</v>
      </c>
      <c r="EW79" s="12">
        <f t="array" ref="EW79">SUMPRODUCT(TRANSPOSE(EW$9:EW$34),$K79:$AJ79)</f>
        <v>10</v>
      </c>
      <c r="EX79" s="12">
        <f t="array" ref="EX79">SUMPRODUCT(TRANSPOSE(EX$9:EX$34),$K79:$AJ79)</f>
        <v>0</v>
      </c>
      <c r="EY79" s="12">
        <f t="array" ref="EY79">SUMPRODUCT(TRANSPOSE(EY$9:EY$34),$K79:$AJ79)</f>
        <v>0</v>
      </c>
      <c r="EZ79" s="12">
        <f t="array" ref="EZ79">SUMPRODUCT(TRANSPOSE(EZ$9:EZ$34),$K79:$AJ79)</f>
        <v>0</v>
      </c>
      <c r="FA79" s="12">
        <f t="array" ref="FA79">SUMPRODUCT(TRANSPOSE(FA$9:FA$34),$K79:$AJ79)</f>
        <v>0</v>
      </c>
      <c r="FB79" s="12">
        <f t="array" ref="FB79">SUMPRODUCT(TRANSPOSE(FB$9:FB$34),$K79:$AJ79)</f>
        <v>0</v>
      </c>
      <c r="FC79" s="12">
        <f t="array" ref="FC79">SUMPRODUCT(TRANSPOSE(FC$9:FC$34),$K79:$AJ79)</f>
        <v>0</v>
      </c>
      <c r="FD79" s="12">
        <f t="array" ref="FD79">SUMPRODUCT(TRANSPOSE(FD$9:FD$34),$K79:$AJ79)</f>
        <v>0</v>
      </c>
      <c r="FE79" s="12">
        <f t="array" ref="FE79">SUMPRODUCT(TRANSPOSE(FE$9:FE$34),$K79:$AJ79)</f>
        <v>0</v>
      </c>
      <c r="FF79" s="12">
        <f t="array" ref="FF79">SUMPRODUCT(TRANSPOSE(FF$9:FF$34),$K79:$AJ79)</f>
        <v>0</v>
      </c>
      <c r="FG79" s="12">
        <f t="array" ref="FG79">SUMPRODUCT(TRANSPOSE(FG$9:FG$34),$K79:$AJ79)</f>
        <v>0</v>
      </c>
      <c r="FH79" s="12">
        <f t="array" ref="FH79">SUMPRODUCT(TRANSPOSE(FH$9:FH$34),$K79:$AJ79)</f>
        <v>0</v>
      </c>
      <c r="FI79" s="12">
        <f t="array" ref="FI79">SUMPRODUCT(TRANSPOSE(FI$9:FI$34),$K79:$AJ79)</f>
        <v>0</v>
      </c>
      <c r="FJ79" s="12">
        <f t="array" ref="FJ79">SUMPRODUCT(TRANSPOSE(FJ$9:FJ$34),$K79:$AJ79)</f>
        <v>0</v>
      </c>
      <c r="FK79" s="12">
        <f t="array" ref="FK79">SUMPRODUCT(TRANSPOSE(FK$9:FK$34),$K79:$AJ79)</f>
        <v>0</v>
      </c>
      <c r="FL79" s="12">
        <f t="array" ref="FL79">SUMPRODUCT(TRANSPOSE(FL$9:FL$34),$K79:$AJ79)</f>
        <v>0</v>
      </c>
      <c r="FM79" s="12">
        <f t="array" ref="FM79">SUMPRODUCT(TRANSPOSE(FM$9:FM$34),$K79:$AJ79)</f>
        <v>0</v>
      </c>
      <c r="FN79" s="12">
        <f t="array" ref="FN79">SUMPRODUCT(TRANSPOSE(FN$9:FN$34),$K79:$AJ79)</f>
        <v>0</v>
      </c>
      <c r="FO79" s="12">
        <f t="array" ref="FO79">SUMPRODUCT(TRANSPOSE(FO$9:FO$34),$K79:$AJ79)</f>
        <v>0</v>
      </c>
    </row>
    <row r="80" spans="1:171" ht="14.25" x14ac:dyDescent="0.2">
      <c r="A80" s="13">
        <f t="shared" si="4"/>
        <v>45</v>
      </c>
      <c r="B80" s="13" t="s">
        <v>202</v>
      </c>
      <c r="C80" s="25" t="s">
        <v>203</v>
      </c>
      <c r="D80" s="13" t="s">
        <v>110</v>
      </c>
      <c r="E80" s="13">
        <v>415630145</v>
      </c>
      <c r="F80" s="26" t="s">
        <v>204</v>
      </c>
      <c r="G80" s="13"/>
      <c r="H80" s="13" t="s">
        <v>61</v>
      </c>
      <c r="I80" s="13">
        <v>1</v>
      </c>
      <c r="J80" s="13">
        <v>2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1</v>
      </c>
      <c r="W80" s="13">
        <v>0</v>
      </c>
      <c r="X80" s="13">
        <v>0</v>
      </c>
      <c r="Y80" s="13"/>
      <c r="Z80" s="13"/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1</v>
      </c>
      <c r="AI80" s="13">
        <v>0</v>
      </c>
      <c r="AJ80" s="13">
        <v>0</v>
      </c>
      <c r="AK80" s="13">
        <f t="shared" si="3"/>
        <v>1</v>
      </c>
      <c r="AL80" s="23">
        <f t="shared" si="2"/>
        <v>35665</v>
      </c>
      <c r="AM80" s="13"/>
      <c r="AN80" s="13" t="s">
        <v>128</v>
      </c>
      <c r="AO80" s="7" t="s">
        <v>129</v>
      </c>
      <c r="AP80" s="41">
        <v>7.2</v>
      </c>
      <c r="AQ80" s="12">
        <v>10078</v>
      </c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>
        <v>40</v>
      </c>
      <c r="BF80" s="12"/>
      <c r="BG80" s="12">
        <v>1000</v>
      </c>
      <c r="BH80" s="12">
        <v>1000</v>
      </c>
      <c r="BI80" s="12">
        <v>1000</v>
      </c>
      <c r="BJ80" s="12">
        <v>1000</v>
      </c>
      <c r="BK80" s="12">
        <v>1000</v>
      </c>
      <c r="BL80" s="12">
        <v>1000</v>
      </c>
      <c r="BM80" s="12">
        <v>1000</v>
      </c>
      <c r="BN80" s="12">
        <v>1000</v>
      </c>
      <c r="BO80" s="12">
        <v>1000</v>
      </c>
      <c r="BP80" s="12">
        <v>1000</v>
      </c>
      <c r="BQ80" s="12">
        <v>1000</v>
      </c>
      <c r="BR80" s="12">
        <v>1000</v>
      </c>
      <c r="BS80" s="12">
        <v>1000</v>
      </c>
      <c r="BT80" s="12">
        <v>1000</v>
      </c>
      <c r="BU80" s="12">
        <v>1000</v>
      </c>
      <c r="BV80" s="12">
        <v>1000</v>
      </c>
      <c r="BW80" s="12">
        <v>1000</v>
      </c>
      <c r="BX80" s="12">
        <v>1000</v>
      </c>
      <c r="BY80" s="12">
        <v>1000</v>
      </c>
      <c r="BZ80" s="12">
        <v>1400</v>
      </c>
      <c r="CA80" s="12">
        <v>121</v>
      </c>
      <c r="CB80" s="12">
        <v>66</v>
      </c>
      <c r="CC80" s="59"/>
      <c r="CD80" s="59"/>
      <c r="CE80" s="59"/>
      <c r="CF80" s="13"/>
      <c r="CG80" s="13"/>
      <c r="CH80" s="13"/>
      <c r="CI80" s="12"/>
      <c r="CJ80" s="12"/>
      <c r="CK80" s="12"/>
      <c r="CL80" s="12"/>
      <c r="CM80" s="12"/>
      <c r="CN80" s="12"/>
      <c r="CO80" s="12"/>
      <c r="CP80" s="12">
        <f>SUM($AQ80:BJ80)-SUM($EA80:EH80)</f>
        <v>11019</v>
      </c>
      <c r="CQ80" s="12">
        <f>SUM($AQ80:BK80)-SUM($EA80:EI80)</f>
        <v>11738</v>
      </c>
      <c r="CR80" s="12">
        <f>SUM($AQ80:BL80)-SUM($EA80:EJ80)</f>
        <v>12723</v>
      </c>
      <c r="CS80" s="12">
        <f>SUM($AQ80:BM80)-SUM($EA80:EK80)</f>
        <v>13688</v>
      </c>
      <c r="CT80" s="12">
        <f>SUM($AQ80:BN80)-SUM($EA80:EL80)</f>
        <v>14673</v>
      </c>
      <c r="CU80" s="12">
        <f>SUM($AQ80:BO80)-SUM($EA80:EM80)</f>
        <v>15623</v>
      </c>
      <c r="CV80" s="12">
        <f>SUM($AQ80:BP80)-SUM($EA80:EN80)</f>
        <v>16573</v>
      </c>
      <c r="CW80" s="12">
        <f>SUM($AQ80:BQ80)-SUM($EA80:EO80)</f>
        <v>17573</v>
      </c>
      <c r="CX80" s="12">
        <f>SUM($AQ80:BR80)-SUM($EA80:EP80)</f>
        <v>18523</v>
      </c>
      <c r="CY80" s="12">
        <f>SUM($AQ80:BS80)-SUM($EA80:EQ80)</f>
        <v>19473</v>
      </c>
      <c r="CZ80" s="12">
        <f>SUM($AQ80:BT80)-SUM($EA80:ER80)</f>
        <v>20423</v>
      </c>
      <c r="DA80" s="12">
        <f>SUM($AQ80:BU80)-SUM($EA80:ES80)</f>
        <v>21373</v>
      </c>
      <c r="DB80" s="12">
        <f>SUM($AQ80:BV80)-SUM($EA80:ET80)</f>
        <v>22323</v>
      </c>
      <c r="DC80" s="12">
        <f>SUM($AQ80:BW80)-SUM($EA80:EU80)</f>
        <v>23273</v>
      </c>
      <c r="DD80" s="12">
        <f>SUM($AQ80:BX80)-SUM($EA80:EV80)</f>
        <v>24223</v>
      </c>
      <c r="DE80" s="12">
        <f>SUM($AQ80:BY80)-SUM($EA80:EW80)</f>
        <v>25180</v>
      </c>
      <c r="DF80" s="12">
        <f>SUM($AQ80:BZ80)-SUM($EA80:EX80)</f>
        <v>26580</v>
      </c>
      <c r="DG80" s="12">
        <f>SUM($AQ80:CA80)-SUM($EA80:EY80)</f>
        <v>26701</v>
      </c>
      <c r="DH80" s="12">
        <f>SUM($AQ80:CB80)-SUM($EA80:EZ80)</f>
        <v>26767</v>
      </c>
      <c r="DI80" s="12">
        <f>SUM($AQ80:CC80)-SUM($EA80:FA80)</f>
        <v>26767</v>
      </c>
      <c r="DJ80" s="12">
        <f>SUM($AQ80:CD80)-SUM($EA80:FB80)</f>
        <v>26767</v>
      </c>
      <c r="DK80" s="12">
        <f>SUM($AQ80:CE80)-SUM($EA80:FC80)</f>
        <v>26767</v>
      </c>
      <c r="DL80" s="12">
        <f>SUM($AQ80:CF80)-SUM($EA80:FD80)</f>
        <v>26767</v>
      </c>
      <c r="DM80" s="12">
        <f>SUM($AQ80:CG80)-SUM($EA80:FE80)</f>
        <v>26767</v>
      </c>
      <c r="DN80" s="12">
        <f>SUM($AQ80:CH80)-SUM($EA80:FF80)</f>
        <v>26767</v>
      </c>
      <c r="DO80" s="12">
        <f>SUM($AQ80:CI80)-SUM($EA80:FG80)</f>
        <v>26767</v>
      </c>
      <c r="DP80" s="12">
        <f>SUM($AQ80:CJ80)-SUM($EA80:FH80)</f>
        <v>26767</v>
      </c>
      <c r="DQ80" s="12">
        <f>SUM($AQ80:CK80)-SUM($EA80:FI80)</f>
        <v>26767</v>
      </c>
      <c r="DR80" s="12">
        <f>SUM($AQ80:CL80)-SUM($EA80:FJ80)</f>
        <v>26767</v>
      </c>
      <c r="DS80" s="12">
        <f>SUM($AQ80:CM80)-SUM($EA80:FK80)</f>
        <v>26767</v>
      </c>
      <c r="DT80" s="12">
        <f>SUM($AQ80:CN80)-SUM($EA80:FL80)</f>
        <v>26767</v>
      </c>
      <c r="DU80" s="12">
        <f>SUM($AQ80:CO80)-SUM($EA80:FM80)</f>
        <v>26767</v>
      </c>
      <c r="DV80" s="12">
        <f>SUM($AQ80:CP80)-SUM($EA80:FN80)</f>
        <v>37786</v>
      </c>
      <c r="DW80" s="12">
        <f>SUM($AQ80:CQ80)-SUM($EA80:FO80)</f>
        <v>49524</v>
      </c>
      <c r="DX80" s="13"/>
      <c r="DY80" s="13"/>
      <c r="DZ80" s="13"/>
      <c r="EA80" s="12"/>
      <c r="EB80" s="12"/>
      <c r="EC80" s="12"/>
      <c r="ED80" s="12"/>
      <c r="EE80" s="12"/>
      <c r="EF80" s="12"/>
      <c r="EG80" s="12"/>
      <c r="EH80" s="12">
        <f t="array" ref="EH80">SUMPRODUCT(TRANSPOSE(EH$9:EH$34),$K80:$AJ80)</f>
        <v>3099</v>
      </c>
      <c r="EI80" s="12">
        <f t="array" ref="EI80">SUMPRODUCT(TRANSPOSE(EI$9:EI$34),$K80:$AJ80)</f>
        <v>281</v>
      </c>
      <c r="EJ80" s="12">
        <f t="array" ref="EJ80">SUMPRODUCT(TRANSPOSE(EJ$9:EJ$34),$K80:$AJ80)</f>
        <v>15</v>
      </c>
      <c r="EK80" s="12">
        <f t="array" ref="EK80">SUMPRODUCT(TRANSPOSE(EK$9:EK$34),$K80:$AJ80)</f>
        <v>35</v>
      </c>
      <c r="EL80" s="12">
        <f t="array" ref="EL80">SUMPRODUCT(TRANSPOSE(EL$9:EL$34),$K80:$AJ80)</f>
        <v>15</v>
      </c>
      <c r="EM80" s="12">
        <f t="array" ref="EM80">SUMPRODUCT(TRANSPOSE(EM$9:EM$34),$K80:$AJ80)</f>
        <v>50</v>
      </c>
      <c r="EN80" s="12">
        <f t="array" ref="EN80">SUMPRODUCT(TRANSPOSE(EN$9:EN$34),$K80:$AJ80)</f>
        <v>50</v>
      </c>
      <c r="EO80" s="12">
        <f t="array" ref="EO80">SUMPRODUCT(TRANSPOSE(EO$9:EO$34),$K80:$AJ80)</f>
        <v>0</v>
      </c>
      <c r="EP80" s="12">
        <f t="array" ref="EP80">SUMPRODUCT(TRANSPOSE(EP$9:EP$34),$K80:$AJ80)</f>
        <v>50</v>
      </c>
      <c r="EQ80" s="12">
        <f t="array" ref="EQ80">SUMPRODUCT(TRANSPOSE(EQ$9:EQ$34),$K80:$AJ80)</f>
        <v>50</v>
      </c>
      <c r="ER80" s="12">
        <f t="array" ref="ER80">SUMPRODUCT(TRANSPOSE(ER$9:ER$34),$K80:$AJ80)</f>
        <v>50</v>
      </c>
      <c r="ES80" s="12">
        <f t="array" ref="ES80">SUMPRODUCT(TRANSPOSE(ES$9:ES$34),$K80:$AJ80)</f>
        <v>50</v>
      </c>
      <c r="ET80" s="12">
        <f t="array" ref="ET80">SUMPRODUCT(TRANSPOSE(ET$9:ET$34),$K80:$AJ80)</f>
        <v>50</v>
      </c>
      <c r="EU80" s="12">
        <f t="array" ref="EU80">SUMPRODUCT(TRANSPOSE(EU$9:EU$34),$K80:$AJ80)</f>
        <v>50</v>
      </c>
      <c r="EV80" s="12">
        <f t="array" ref="EV80">SUMPRODUCT(TRANSPOSE(EV$9:EV$34),$K80:$AJ80)</f>
        <v>50</v>
      </c>
      <c r="EW80" s="12">
        <f t="array" ref="EW80">SUMPRODUCT(TRANSPOSE(EW$9:EW$34),$K80:$AJ80)</f>
        <v>43</v>
      </c>
      <c r="EX80" s="12">
        <f t="array" ref="EX80">SUMPRODUCT(TRANSPOSE(EX$9:EX$34),$K80:$AJ80)</f>
        <v>0</v>
      </c>
      <c r="EY80" s="12">
        <f t="array" ref="EY80">SUMPRODUCT(TRANSPOSE(EY$9:EY$34),$K80:$AJ80)</f>
        <v>0</v>
      </c>
      <c r="EZ80" s="12">
        <f t="array" ref="EZ80">SUMPRODUCT(TRANSPOSE(EZ$9:EZ$34),$K80:$AJ80)</f>
        <v>0</v>
      </c>
      <c r="FA80" s="12">
        <f t="array" ref="FA80">SUMPRODUCT(TRANSPOSE(FA$9:FA$34),$K80:$AJ80)</f>
        <v>0</v>
      </c>
      <c r="FB80" s="12">
        <f t="array" ref="FB80">SUMPRODUCT(TRANSPOSE(FB$9:FB$34),$K80:$AJ80)</f>
        <v>0</v>
      </c>
      <c r="FC80" s="12">
        <f t="array" ref="FC80">SUMPRODUCT(TRANSPOSE(FC$9:FC$34),$K80:$AJ80)</f>
        <v>0</v>
      </c>
      <c r="FD80" s="12">
        <f t="array" ref="FD80">SUMPRODUCT(TRANSPOSE(FD$9:FD$34),$K80:$AJ80)</f>
        <v>0</v>
      </c>
      <c r="FE80" s="12">
        <f t="array" ref="FE80">SUMPRODUCT(TRANSPOSE(FE$9:FE$34),$K80:$AJ80)</f>
        <v>0</v>
      </c>
      <c r="FF80" s="12">
        <f t="array" ref="FF80">SUMPRODUCT(TRANSPOSE(FF$9:FF$34),$K80:$AJ80)</f>
        <v>0</v>
      </c>
      <c r="FG80" s="12">
        <f t="array" ref="FG80">SUMPRODUCT(TRANSPOSE(FG$9:FG$34),$K80:$AJ80)</f>
        <v>0</v>
      </c>
      <c r="FH80" s="12">
        <f t="array" ref="FH80">SUMPRODUCT(TRANSPOSE(FH$9:FH$34),$K80:$AJ80)</f>
        <v>0</v>
      </c>
      <c r="FI80" s="12">
        <f t="array" ref="FI80">SUMPRODUCT(TRANSPOSE(FI$9:FI$34),$K80:$AJ80)</f>
        <v>0</v>
      </c>
      <c r="FJ80" s="12">
        <f t="array" ref="FJ80">SUMPRODUCT(TRANSPOSE(FJ$9:FJ$34),$K80:$AJ80)</f>
        <v>0</v>
      </c>
      <c r="FK80" s="12">
        <f t="array" ref="FK80">SUMPRODUCT(TRANSPOSE(FK$9:FK$34),$K80:$AJ80)</f>
        <v>0</v>
      </c>
      <c r="FL80" s="12">
        <f t="array" ref="FL80">SUMPRODUCT(TRANSPOSE(FL$9:FL$34),$K80:$AJ80)</f>
        <v>0</v>
      </c>
      <c r="FM80" s="12">
        <f t="array" ref="FM80">SUMPRODUCT(TRANSPOSE(FM$9:FM$34),$K80:$AJ80)</f>
        <v>0</v>
      </c>
      <c r="FN80" s="12">
        <f t="array" ref="FN80">SUMPRODUCT(TRANSPOSE(FN$9:FN$34),$K80:$AJ80)</f>
        <v>0</v>
      </c>
      <c r="FO80" s="12">
        <f t="array" ref="FO80">SUMPRODUCT(TRANSPOSE(FO$9:FO$34),$K80:$AJ80)</f>
        <v>0</v>
      </c>
    </row>
    <row r="81" spans="1:171" ht="14.25" x14ac:dyDescent="0.2">
      <c r="A81" s="13">
        <f t="shared" si="4"/>
        <v>46</v>
      </c>
      <c r="B81" s="13" t="s">
        <v>205</v>
      </c>
      <c r="C81" s="25" t="s">
        <v>206</v>
      </c>
      <c r="D81" s="13" t="s">
        <v>207</v>
      </c>
      <c r="E81" s="13">
        <v>411330925</v>
      </c>
      <c r="F81" s="26" t="s">
        <v>208</v>
      </c>
      <c r="G81" s="13"/>
      <c r="H81" s="13" t="s">
        <v>61</v>
      </c>
      <c r="I81" s="13">
        <v>1</v>
      </c>
      <c r="J81" s="13">
        <v>3</v>
      </c>
      <c r="K81" s="13">
        <v>0</v>
      </c>
      <c r="L81" s="13">
        <v>0</v>
      </c>
      <c r="M81" s="13">
        <v>0</v>
      </c>
      <c r="N81" s="13">
        <v>0</v>
      </c>
      <c r="O81" s="13">
        <v>1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1</v>
      </c>
      <c r="Y81" s="13"/>
      <c r="Z81" s="13"/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1</v>
      </c>
      <c r="AK81" s="13">
        <f t="shared" si="3"/>
        <v>2</v>
      </c>
      <c r="AL81" s="23">
        <f t="shared" si="2"/>
        <v>70863</v>
      </c>
      <c r="AM81" s="13"/>
      <c r="AN81" s="13" t="s">
        <v>199</v>
      </c>
      <c r="AO81" s="7" t="s">
        <v>209</v>
      </c>
      <c r="AP81" s="38">
        <v>21.12</v>
      </c>
      <c r="AQ81" s="12">
        <v>21400</v>
      </c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13"/>
      <c r="CG81" s="13"/>
      <c r="CH81" s="13"/>
      <c r="CI81" s="12"/>
      <c r="CJ81" s="12"/>
      <c r="CK81" s="12"/>
      <c r="CL81" s="12"/>
      <c r="CM81" s="12"/>
      <c r="CN81" s="12"/>
      <c r="CO81" s="12"/>
      <c r="CP81" s="12">
        <f>SUM($AQ81:BJ81)-SUM($EA81:EH81)</f>
        <v>14337</v>
      </c>
      <c r="CQ81" s="12">
        <f>SUM($AQ81:BK81)-SUM($EA81:EI81)</f>
        <v>13937</v>
      </c>
      <c r="CR81" s="12">
        <f>SUM($AQ81:BL81)-SUM($EA81:EJ81)</f>
        <v>12922</v>
      </c>
      <c r="CS81" s="12">
        <f>SUM($AQ81:BM81)-SUM($EA81:EK81)</f>
        <v>11787</v>
      </c>
      <c r="CT81" s="12">
        <f>SUM($AQ81:BN81)-SUM($EA81:EL81)</f>
        <v>9772</v>
      </c>
      <c r="CU81" s="12">
        <f>SUM($AQ81:BO81)-SUM($EA81:EM81)</f>
        <v>7722</v>
      </c>
      <c r="CV81" s="12">
        <f>SUM($AQ81:BP81)-SUM($EA81:EN81)</f>
        <v>5672</v>
      </c>
      <c r="CW81" s="12">
        <f>SUM($AQ81:BQ81)-SUM($EA81:EO81)</f>
        <v>3672</v>
      </c>
      <c r="CX81" s="12">
        <f>SUM($AQ81:BR81)-SUM($EA81:EP81)</f>
        <v>1622</v>
      </c>
      <c r="CY81" s="12">
        <f>SUM($AQ81:BS81)-SUM($EA81:EQ81)</f>
        <v>-428</v>
      </c>
      <c r="CZ81" s="12">
        <f>SUM($AQ81:BT81)-SUM($EA81:ER81)</f>
        <v>-2478</v>
      </c>
      <c r="DA81" s="12">
        <f>SUM($AQ81:BU81)-SUM($EA81:ES81)</f>
        <v>-4528</v>
      </c>
      <c r="DB81" s="12">
        <f>SUM($AQ81:BV81)-SUM($EA81:ET81)</f>
        <v>-6578</v>
      </c>
      <c r="DC81" s="12">
        <f>SUM($AQ81:BW81)-SUM($EA81:EU81)</f>
        <v>-8628</v>
      </c>
      <c r="DD81" s="12">
        <f>SUM($AQ81:BX81)-SUM($EA81:EV81)</f>
        <v>-10678</v>
      </c>
      <c r="DE81" s="12">
        <f>SUM($AQ81:BY81)-SUM($EA81:EW81)</f>
        <v>-12688</v>
      </c>
      <c r="DF81" s="12">
        <f>SUM($AQ81:BZ81)-SUM($EA81:EX81)</f>
        <v>-14688</v>
      </c>
      <c r="DG81" s="12">
        <f>SUM($AQ81:CA81)-SUM($EA81:EY81)</f>
        <v>-16688</v>
      </c>
      <c r="DH81" s="12">
        <f>SUM($AQ81:CB81)-SUM($EA81:EZ81)</f>
        <v>-18688</v>
      </c>
      <c r="DI81" s="12">
        <f>SUM($AQ81:CC81)-SUM($EA81:FA81)</f>
        <v>-20688</v>
      </c>
      <c r="DJ81" s="12">
        <f>SUM($AQ81:CD81)-SUM($EA81:FB81)</f>
        <v>-22688</v>
      </c>
      <c r="DK81" s="12">
        <f>SUM($AQ81:CE81)-SUM($EA81:FC81)</f>
        <v>-24688</v>
      </c>
      <c r="DL81" s="12">
        <f>SUM($AQ81:CF81)-SUM($EA81:FD81)</f>
        <v>-26688</v>
      </c>
      <c r="DM81" s="12">
        <f>SUM($AQ81:CG81)-SUM($EA81:FE81)</f>
        <v>-28688</v>
      </c>
      <c r="DN81" s="12">
        <f>SUM($AQ81:CH81)-SUM($EA81:FF81)</f>
        <v>-30688</v>
      </c>
      <c r="DO81" s="12">
        <f>SUM($AQ81:CI81)-SUM($EA81:FG81)</f>
        <v>-32688</v>
      </c>
      <c r="DP81" s="12">
        <f>SUM($AQ81:CJ81)-SUM($EA81:FH81)</f>
        <v>-34688</v>
      </c>
      <c r="DQ81" s="12">
        <f>SUM($AQ81:CK81)-SUM($EA81:FI81)</f>
        <v>-36688</v>
      </c>
      <c r="DR81" s="12">
        <f>SUM($AQ81:CL81)-SUM($EA81:FJ81)</f>
        <v>-38688</v>
      </c>
      <c r="DS81" s="12">
        <f>SUM($AQ81:CM81)-SUM($EA81:FK81)</f>
        <v>-40688</v>
      </c>
      <c r="DT81" s="12">
        <f>SUM($AQ81:CN81)-SUM($EA81:FL81)</f>
        <v>-42688</v>
      </c>
      <c r="DU81" s="12">
        <f>SUM($AQ81:CO81)-SUM($EA81:FM81)</f>
        <v>-44688</v>
      </c>
      <c r="DV81" s="12">
        <f>SUM($AQ81:CP81)-SUM($EA81:FN81)</f>
        <v>-32049</v>
      </c>
      <c r="DW81" s="12">
        <f>SUM($AQ81:CQ81)-SUM($EA81:FO81)</f>
        <v>-18189</v>
      </c>
      <c r="DX81" s="13"/>
      <c r="DY81" s="13"/>
      <c r="DZ81" s="13"/>
      <c r="EA81" s="12"/>
      <c r="EB81" s="12"/>
      <c r="EC81" s="12"/>
      <c r="ED81" s="12"/>
      <c r="EE81" s="12"/>
      <c r="EF81" s="12"/>
      <c r="EG81" s="12"/>
      <c r="EH81" s="12">
        <f t="array" ref="EH81">SUMPRODUCT(TRANSPOSE(EH$9:EH$34),$K81:$AJ81)</f>
        <v>7063</v>
      </c>
      <c r="EI81" s="12">
        <f t="array" ref="EI81">SUMPRODUCT(TRANSPOSE(EI$9:EI$34),$K81:$AJ81)</f>
        <v>400</v>
      </c>
      <c r="EJ81" s="12">
        <f t="array" ref="EJ81">SUMPRODUCT(TRANSPOSE(EJ$9:EJ$34),$K81:$AJ81)</f>
        <v>1015</v>
      </c>
      <c r="EK81" s="12">
        <f t="array" ref="EK81">SUMPRODUCT(TRANSPOSE(EK$9:EK$34),$K81:$AJ81)</f>
        <v>1135</v>
      </c>
      <c r="EL81" s="12">
        <f t="array" ref="EL81">SUMPRODUCT(TRANSPOSE(EL$9:EL$34),$K81:$AJ81)</f>
        <v>2015</v>
      </c>
      <c r="EM81" s="12">
        <f t="array" ref="EM81">SUMPRODUCT(TRANSPOSE(EM$9:EM$34),$K81:$AJ81)</f>
        <v>2050</v>
      </c>
      <c r="EN81" s="12">
        <f t="array" ref="EN81">SUMPRODUCT(TRANSPOSE(EN$9:EN$34),$K81:$AJ81)</f>
        <v>2050</v>
      </c>
      <c r="EO81" s="12">
        <f t="array" ref="EO81">SUMPRODUCT(TRANSPOSE(EO$9:EO$34),$K81:$AJ81)</f>
        <v>2000</v>
      </c>
      <c r="EP81" s="12">
        <f t="array" ref="EP81">SUMPRODUCT(TRANSPOSE(EP$9:EP$34),$K81:$AJ81)</f>
        <v>2050</v>
      </c>
      <c r="EQ81" s="12">
        <f t="array" ref="EQ81">SUMPRODUCT(TRANSPOSE(EQ$9:EQ$34),$K81:$AJ81)</f>
        <v>2050</v>
      </c>
      <c r="ER81" s="12">
        <f t="array" ref="ER81">SUMPRODUCT(TRANSPOSE(ER$9:ER$34),$K81:$AJ81)</f>
        <v>2050</v>
      </c>
      <c r="ES81" s="12">
        <f t="array" ref="ES81">SUMPRODUCT(TRANSPOSE(ES$9:ES$34),$K81:$AJ81)</f>
        <v>2050</v>
      </c>
      <c r="ET81" s="12">
        <f t="array" ref="ET81">SUMPRODUCT(TRANSPOSE(ET$9:ET$34),$K81:$AJ81)</f>
        <v>2050</v>
      </c>
      <c r="EU81" s="12">
        <f t="array" ref="EU81">SUMPRODUCT(TRANSPOSE(EU$9:EU$34),$K81:$AJ81)</f>
        <v>2050</v>
      </c>
      <c r="EV81" s="12">
        <f t="array" ref="EV81">SUMPRODUCT(TRANSPOSE(EV$9:EV$34),$K81:$AJ81)</f>
        <v>2050</v>
      </c>
      <c r="EW81" s="12">
        <f t="array" ref="EW81">SUMPRODUCT(TRANSPOSE(EW$9:EW$34),$K81:$AJ81)</f>
        <v>2010</v>
      </c>
      <c r="EX81" s="12">
        <f t="array" ref="EX81">SUMPRODUCT(TRANSPOSE(EX$9:EX$34),$K81:$AJ81)</f>
        <v>2000</v>
      </c>
      <c r="EY81" s="12">
        <f t="array" ref="EY81">SUMPRODUCT(TRANSPOSE(EY$9:EY$34),$K81:$AJ81)</f>
        <v>2000</v>
      </c>
      <c r="EZ81" s="12">
        <f t="array" ref="EZ81">SUMPRODUCT(TRANSPOSE(EZ$9:EZ$34),$K81:$AJ81)</f>
        <v>2000</v>
      </c>
      <c r="FA81" s="12">
        <f t="array" ref="FA81">SUMPRODUCT(TRANSPOSE(FA$9:FA$34),$K81:$AJ81)</f>
        <v>2000</v>
      </c>
      <c r="FB81" s="12">
        <f t="array" ref="FB81">SUMPRODUCT(TRANSPOSE(FB$9:FB$34),$K81:$AJ81)</f>
        <v>2000</v>
      </c>
      <c r="FC81" s="12">
        <f t="array" ref="FC81">SUMPRODUCT(TRANSPOSE(FC$9:FC$34),$K81:$AJ81)</f>
        <v>2000</v>
      </c>
      <c r="FD81" s="12">
        <f t="array" ref="FD81">SUMPRODUCT(TRANSPOSE(FD$9:FD$34),$K81:$AJ81)</f>
        <v>2000</v>
      </c>
      <c r="FE81" s="12">
        <f t="array" ref="FE81">SUMPRODUCT(TRANSPOSE(FE$9:FE$34),$K81:$AJ81)</f>
        <v>2000</v>
      </c>
      <c r="FF81" s="12">
        <f t="array" ref="FF81">SUMPRODUCT(TRANSPOSE(FF$9:FF$34),$K81:$AJ81)</f>
        <v>2000</v>
      </c>
      <c r="FG81" s="12">
        <f t="array" ref="FG81">SUMPRODUCT(TRANSPOSE(FG$9:FG$34),$K81:$AJ81)</f>
        <v>2000</v>
      </c>
      <c r="FH81" s="12">
        <f t="array" ref="FH81">SUMPRODUCT(TRANSPOSE(FH$9:FH$34),$K81:$AJ81)</f>
        <v>2000</v>
      </c>
      <c r="FI81" s="12">
        <f t="array" ref="FI81">SUMPRODUCT(TRANSPOSE(FI$9:FI$34),$K81:$AJ81)</f>
        <v>2000</v>
      </c>
      <c r="FJ81" s="12">
        <f t="array" ref="FJ81">SUMPRODUCT(TRANSPOSE(FJ$9:FJ$34),$K81:$AJ81)</f>
        <v>2000</v>
      </c>
      <c r="FK81" s="12">
        <f t="array" ref="FK81">SUMPRODUCT(TRANSPOSE(FK$9:FK$34),$K81:$AJ81)</f>
        <v>2000</v>
      </c>
      <c r="FL81" s="12">
        <f t="array" ref="FL81">SUMPRODUCT(TRANSPOSE(FL$9:FL$34),$K81:$AJ81)</f>
        <v>2000</v>
      </c>
      <c r="FM81" s="12">
        <f t="array" ref="FM81">SUMPRODUCT(TRANSPOSE(FM$9:FM$34),$K81:$AJ81)</f>
        <v>2000</v>
      </c>
      <c r="FN81" s="12">
        <f t="array" ref="FN81">SUMPRODUCT(TRANSPOSE(FN$9:FN$34),$K81:$AJ81)</f>
        <v>1698</v>
      </c>
      <c r="FO81" s="12">
        <f t="array" ref="FO81">SUMPRODUCT(TRANSPOSE(FO$9:FO$34),$K81:$AJ81)</f>
        <v>77</v>
      </c>
    </row>
    <row r="82" spans="1:171" ht="14.25" x14ac:dyDescent="0.2">
      <c r="A82" s="13">
        <f t="shared" si="4"/>
        <v>47</v>
      </c>
      <c r="B82" s="13" t="s">
        <v>210</v>
      </c>
      <c r="C82" s="58" t="s">
        <v>211</v>
      </c>
      <c r="D82" s="13" t="s">
        <v>60</v>
      </c>
      <c r="E82" s="13">
        <v>408929148</v>
      </c>
      <c r="F82" s="26" t="s">
        <v>212</v>
      </c>
      <c r="G82" s="13"/>
      <c r="H82" s="13" t="s">
        <v>61</v>
      </c>
      <c r="I82" s="13">
        <v>1</v>
      </c>
      <c r="J82" s="13">
        <v>2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1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1</v>
      </c>
      <c r="Z82" s="13"/>
      <c r="AA82" s="13">
        <v>0</v>
      </c>
      <c r="AB82" s="13">
        <v>0</v>
      </c>
      <c r="AC82" s="13">
        <v>1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f t="shared" si="3"/>
        <v>3</v>
      </c>
      <c r="AL82" s="23">
        <f t="shared" si="2"/>
        <v>35665</v>
      </c>
      <c r="AM82" s="13"/>
      <c r="AN82" s="13" t="s">
        <v>128</v>
      </c>
      <c r="AO82" s="7" t="s">
        <v>129</v>
      </c>
      <c r="AP82" s="38">
        <v>12</v>
      </c>
      <c r="AQ82" s="12">
        <v>7624</v>
      </c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>
        <v>1500</v>
      </c>
      <c r="BD82" s="12">
        <v>1000</v>
      </c>
      <c r="BE82" s="12">
        <v>1000</v>
      </c>
      <c r="BF82" s="12"/>
      <c r="BG82" s="12">
        <v>1000</v>
      </c>
      <c r="BH82" s="12">
        <v>1000</v>
      </c>
      <c r="BI82" s="12">
        <v>1000</v>
      </c>
      <c r="BJ82" s="12">
        <v>1000</v>
      </c>
      <c r="BK82" s="12">
        <v>1000</v>
      </c>
      <c r="BL82" s="12">
        <v>1000</v>
      </c>
      <c r="BM82" s="12">
        <v>1000</v>
      </c>
      <c r="BN82" s="12">
        <v>1000</v>
      </c>
      <c r="BO82" s="12">
        <v>1000</v>
      </c>
      <c r="BP82" s="12">
        <v>1000</v>
      </c>
      <c r="BQ82" s="12">
        <v>1000</v>
      </c>
      <c r="BR82" s="12">
        <v>1000</v>
      </c>
      <c r="BS82" s="12">
        <v>1000</v>
      </c>
      <c r="BT82" s="12">
        <v>1000</v>
      </c>
      <c r="BU82" s="12">
        <v>1000</v>
      </c>
      <c r="BV82" s="12">
        <v>1000</v>
      </c>
      <c r="BW82" s="12">
        <v>1000</v>
      </c>
      <c r="BX82" s="12">
        <v>1000</v>
      </c>
      <c r="BY82" s="12">
        <v>1000</v>
      </c>
      <c r="BZ82" s="12">
        <v>1400</v>
      </c>
      <c r="CA82" s="12">
        <v>121</v>
      </c>
      <c r="CB82" s="12">
        <v>66</v>
      </c>
      <c r="CC82" s="59"/>
      <c r="CD82" s="59"/>
      <c r="CE82" s="59"/>
      <c r="CF82" s="13"/>
      <c r="CG82" s="13"/>
      <c r="CH82" s="13"/>
      <c r="CI82" s="12"/>
      <c r="CJ82" s="12"/>
      <c r="CK82" s="12"/>
      <c r="CL82" s="12"/>
      <c r="CM82" s="12"/>
      <c r="CN82" s="12"/>
      <c r="CO82" s="12"/>
      <c r="CP82" s="12">
        <f>SUM($AQ82:BJ82)-SUM($EA82:EH82)</f>
        <v>12015</v>
      </c>
      <c r="CQ82" s="12">
        <f>SUM($AQ82:BK82)-SUM($EA82:EI82)</f>
        <v>12734</v>
      </c>
      <c r="CR82" s="12">
        <f>SUM($AQ82:BL82)-SUM($EA82:EJ82)</f>
        <v>13734</v>
      </c>
      <c r="CS82" s="12">
        <f>SUM($AQ82:BM82)-SUM($EA82:EK82)</f>
        <v>14634</v>
      </c>
      <c r="CT82" s="12">
        <f>SUM($AQ82:BN82)-SUM($EA82:EL82)</f>
        <v>14634</v>
      </c>
      <c r="CU82" s="12">
        <f>SUM($AQ82:BO82)-SUM($EA82:EM82)</f>
        <v>13634</v>
      </c>
      <c r="CV82" s="12">
        <f>SUM($AQ82:BP82)-SUM($EA82:EN82)</f>
        <v>13534</v>
      </c>
      <c r="CW82" s="12">
        <f>SUM($AQ82:BQ82)-SUM($EA82:EO82)</f>
        <v>13534</v>
      </c>
      <c r="CX82" s="12">
        <f>SUM($AQ82:BR82)-SUM($EA82:EP82)</f>
        <v>13534</v>
      </c>
      <c r="CY82" s="12">
        <f>SUM($AQ82:BS82)-SUM($EA82:EQ82)</f>
        <v>13534</v>
      </c>
      <c r="CZ82" s="12">
        <f>SUM($AQ82:BT82)-SUM($EA82:ER82)</f>
        <v>13534</v>
      </c>
      <c r="DA82" s="12">
        <f>SUM($AQ82:BU82)-SUM($EA82:ES82)</f>
        <v>13534</v>
      </c>
      <c r="DB82" s="12">
        <f>SUM($AQ82:BV82)-SUM($EA82:ET82)</f>
        <v>13534</v>
      </c>
      <c r="DC82" s="12">
        <f>SUM($AQ82:BW82)-SUM($EA82:EU82)</f>
        <v>13534</v>
      </c>
      <c r="DD82" s="12">
        <f>SUM($AQ82:BX82)-SUM($EA82:EV82)</f>
        <v>13534</v>
      </c>
      <c r="DE82" s="12">
        <f>SUM($AQ82:BY82)-SUM($EA82:EW82)</f>
        <v>13534</v>
      </c>
      <c r="DF82" s="12">
        <f>SUM($AQ82:BZ82)-SUM($EA82:EX82)</f>
        <v>13934</v>
      </c>
      <c r="DG82" s="12">
        <f>SUM($AQ82:CA82)-SUM($EA82:EY82)</f>
        <v>13055</v>
      </c>
      <c r="DH82" s="12">
        <f>SUM($AQ82:CB82)-SUM($EA82:EZ82)</f>
        <v>12121</v>
      </c>
      <c r="DI82" s="12">
        <f>SUM($AQ82:CC82)-SUM($EA82:FA82)</f>
        <v>11121</v>
      </c>
      <c r="DJ82" s="12">
        <f>SUM($AQ82:CD82)-SUM($EA82:FB82)</f>
        <v>10121</v>
      </c>
      <c r="DK82" s="12">
        <f>SUM($AQ82:CE82)-SUM($EA82:FC82)</f>
        <v>9121</v>
      </c>
      <c r="DL82" s="12">
        <f>SUM($AQ82:CF82)-SUM($EA82:FD82)</f>
        <v>8121</v>
      </c>
      <c r="DM82" s="12">
        <f>SUM($AQ82:CG82)-SUM($EA82:FE82)</f>
        <v>7121</v>
      </c>
      <c r="DN82" s="12">
        <f>SUM($AQ82:CH82)-SUM($EA82:FF82)</f>
        <v>6121</v>
      </c>
      <c r="DO82" s="12">
        <f>SUM($AQ82:CI82)-SUM($EA82:FG82)</f>
        <v>5121</v>
      </c>
      <c r="DP82" s="12">
        <f>SUM($AQ82:CJ82)-SUM($EA82:FH82)</f>
        <v>4121</v>
      </c>
      <c r="DQ82" s="12">
        <f>SUM($AQ82:CK82)-SUM($EA82:FI82)</f>
        <v>3121</v>
      </c>
      <c r="DR82" s="12">
        <f>SUM($AQ82:CL82)-SUM($EA82:FJ82)</f>
        <v>2121</v>
      </c>
      <c r="DS82" s="12">
        <f>SUM($AQ82:CM82)-SUM($EA82:FK82)</f>
        <v>1121</v>
      </c>
      <c r="DT82" s="12">
        <f>SUM($AQ82:CN82)-SUM($EA82:FL82)</f>
        <v>121</v>
      </c>
      <c r="DU82" s="12">
        <f>SUM($AQ82:CO82)-SUM($EA82:FM82)</f>
        <v>-879</v>
      </c>
      <c r="DV82" s="12">
        <f>SUM($AQ82:CP82)-SUM($EA82:FN82)</f>
        <v>10319</v>
      </c>
      <c r="DW82" s="12">
        <f>SUM($AQ82:CQ82)-SUM($EA82:FO82)</f>
        <v>23053</v>
      </c>
      <c r="DX82" s="13"/>
      <c r="DY82" s="13"/>
      <c r="DZ82" s="13"/>
      <c r="EA82" s="12"/>
      <c r="EB82" s="12"/>
      <c r="EC82" s="12"/>
      <c r="ED82" s="12"/>
      <c r="EE82" s="12"/>
      <c r="EF82" s="12"/>
      <c r="EG82" s="12"/>
      <c r="EH82" s="12">
        <f t="array" ref="EH82">SUMPRODUCT(TRANSPOSE(EH$9:EH$34),$K82:$AJ82)</f>
        <v>3109</v>
      </c>
      <c r="EI82" s="12">
        <f t="array" ref="EI82">SUMPRODUCT(TRANSPOSE(EI$9:EI$34),$K82:$AJ82)</f>
        <v>281</v>
      </c>
      <c r="EJ82" s="12">
        <f t="array" ref="EJ82">SUMPRODUCT(TRANSPOSE(EJ$9:EJ$34),$K82:$AJ82)</f>
        <v>0</v>
      </c>
      <c r="EK82" s="12">
        <f t="array" ref="EK82">SUMPRODUCT(TRANSPOSE(EK$9:EK$34),$K82:$AJ82)</f>
        <v>100</v>
      </c>
      <c r="EL82" s="12">
        <f t="array" ref="EL82">SUMPRODUCT(TRANSPOSE(EL$9:EL$34),$K82:$AJ82)</f>
        <v>1000</v>
      </c>
      <c r="EM82" s="12">
        <f t="array" ref="EM82">SUMPRODUCT(TRANSPOSE(EM$9:EM$34),$K82:$AJ82)</f>
        <v>2000</v>
      </c>
      <c r="EN82" s="12">
        <f t="array" ref="EN82">SUMPRODUCT(TRANSPOSE(EN$9:EN$34),$K82:$AJ82)</f>
        <v>1100</v>
      </c>
      <c r="EO82" s="12">
        <f t="array" ref="EO82">SUMPRODUCT(TRANSPOSE(EO$9:EO$34),$K82:$AJ82)</f>
        <v>1000</v>
      </c>
      <c r="EP82" s="12">
        <f t="array" ref="EP82">SUMPRODUCT(TRANSPOSE(EP$9:EP$34),$K82:$AJ82)</f>
        <v>1000</v>
      </c>
      <c r="EQ82" s="12">
        <f t="array" ref="EQ82">SUMPRODUCT(TRANSPOSE(EQ$9:EQ$34),$K82:$AJ82)</f>
        <v>1000</v>
      </c>
      <c r="ER82" s="12">
        <f t="array" ref="ER82">SUMPRODUCT(TRANSPOSE(ER$9:ER$34),$K82:$AJ82)</f>
        <v>1000</v>
      </c>
      <c r="ES82" s="12">
        <f t="array" ref="ES82">SUMPRODUCT(TRANSPOSE(ES$9:ES$34),$K82:$AJ82)</f>
        <v>1000</v>
      </c>
      <c r="ET82" s="12">
        <f t="array" ref="ET82">SUMPRODUCT(TRANSPOSE(ET$9:ET$34),$K82:$AJ82)</f>
        <v>1000</v>
      </c>
      <c r="EU82" s="12">
        <f t="array" ref="EU82">SUMPRODUCT(TRANSPOSE(EU$9:EU$34),$K82:$AJ82)</f>
        <v>1000</v>
      </c>
      <c r="EV82" s="12">
        <f t="array" ref="EV82">SUMPRODUCT(TRANSPOSE(EV$9:EV$34),$K82:$AJ82)</f>
        <v>1000</v>
      </c>
      <c r="EW82" s="12">
        <f t="array" ref="EW82">SUMPRODUCT(TRANSPOSE(EW$9:EW$34),$K82:$AJ82)</f>
        <v>1000</v>
      </c>
      <c r="EX82" s="12">
        <f t="array" ref="EX82">SUMPRODUCT(TRANSPOSE(EX$9:EX$34),$K82:$AJ82)</f>
        <v>1000</v>
      </c>
      <c r="EY82" s="12">
        <f t="array" ref="EY82">SUMPRODUCT(TRANSPOSE(EY$9:EY$34),$K82:$AJ82)</f>
        <v>1000</v>
      </c>
      <c r="EZ82" s="12">
        <f t="array" ref="EZ82">SUMPRODUCT(TRANSPOSE(EZ$9:EZ$34),$K82:$AJ82)</f>
        <v>1000</v>
      </c>
      <c r="FA82" s="12">
        <f t="array" ref="FA82">SUMPRODUCT(TRANSPOSE(FA$9:FA$34),$K82:$AJ82)</f>
        <v>1000</v>
      </c>
      <c r="FB82" s="12">
        <f t="array" ref="FB82">SUMPRODUCT(TRANSPOSE(FB$9:FB$34),$K82:$AJ82)</f>
        <v>1000</v>
      </c>
      <c r="FC82" s="12">
        <f t="array" ref="FC82">SUMPRODUCT(TRANSPOSE(FC$9:FC$34),$K82:$AJ82)</f>
        <v>1000</v>
      </c>
      <c r="FD82" s="12">
        <f t="array" ref="FD82">SUMPRODUCT(TRANSPOSE(FD$9:FD$34),$K82:$AJ82)</f>
        <v>1000</v>
      </c>
      <c r="FE82" s="12">
        <f t="array" ref="FE82">SUMPRODUCT(TRANSPOSE(FE$9:FE$34),$K82:$AJ82)</f>
        <v>1000</v>
      </c>
      <c r="FF82" s="12">
        <f t="array" ref="FF82">SUMPRODUCT(TRANSPOSE(FF$9:FF$34),$K82:$AJ82)</f>
        <v>1000</v>
      </c>
      <c r="FG82" s="12">
        <f t="array" ref="FG82">SUMPRODUCT(TRANSPOSE(FG$9:FG$34),$K82:$AJ82)</f>
        <v>1000</v>
      </c>
      <c r="FH82" s="12">
        <f t="array" ref="FH82">SUMPRODUCT(TRANSPOSE(FH$9:FH$34),$K82:$AJ82)</f>
        <v>1000</v>
      </c>
      <c r="FI82" s="12">
        <f t="array" ref="FI82">SUMPRODUCT(TRANSPOSE(FI$9:FI$34),$K82:$AJ82)</f>
        <v>1000</v>
      </c>
      <c r="FJ82" s="12">
        <f t="array" ref="FJ82">SUMPRODUCT(TRANSPOSE(FJ$9:FJ$34),$K82:$AJ82)</f>
        <v>1000</v>
      </c>
      <c r="FK82" s="12">
        <f t="array" ref="FK82">SUMPRODUCT(TRANSPOSE(FK$9:FK$34),$K82:$AJ82)</f>
        <v>1000</v>
      </c>
      <c r="FL82" s="12">
        <f t="array" ref="FL82">SUMPRODUCT(TRANSPOSE(FL$9:FL$34),$K82:$AJ82)</f>
        <v>1000</v>
      </c>
      <c r="FM82" s="12">
        <f t="array" ref="FM82">SUMPRODUCT(TRANSPOSE(FM$9:FM$34),$K82:$AJ82)</f>
        <v>1000</v>
      </c>
      <c r="FN82" s="12">
        <f t="array" ref="FN82">SUMPRODUCT(TRANSPOSE(FN$9:FN$34),$K82:$AJ82)</f>
        <v>817</v>
      </c>
      <c r="FO82" s="12">
        <f t="array" ref="FO82">SUMPRODUCT(TRANSPOSE(FO$9:FO$34),$K82:$AJ82)</f>
        <v>0</v>
      </c>
    </row>
    <row r="83" spans="1:171" ht="14.25" x14ac:dyDescent="0.2">
      <c r="A83" s="13">
        <f t="shared" si="4"/>
        <v>48</v>
      </c>
      <c r="B83" s="13" t="s">
        <v>213</v>
      </c>
      <c r="C83" s="25" t="s">
        <v>214</v>
      </c>
      <c r="D83" s="13" t="s">
        <v>60</v>
      </c>
      <c r="E83" s="13">
        <v>408929145</v>
      </c>
      <c r="F83" s="26" t="s">
        <v>215</v>
      </c>
      <c r="G83" s="13"/>
      <c r="H83" s="13" t="s">
        <v>61</v>
      </c>
      <c r="I83" s="13">
        <v>2</v>
      </c>
      <c r="J83" s="13">
        <v>4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2</v>
      </c>
      <c r="Z83" s="13"/>
      <c r="AA83" s="13">
        <v>0</v>
      </c>
      <c r="AB83" s="13">
        <v>0</v>
      </c>
      <c r="AC83" s="13">
        <v>2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f t="shared" si="3"/>
        <v>6</v>
      </c>
      <c r="AL83" s="23">
        <f t="shared" si="2"/>
        <v>71330</v>
      </c>
      <c r="AM83" s="13"/>
      <c r="AN83" s="13" t="s">
        <v>216</v>
      </c>
      <c r="AO83" s="7" t="s">
        <v>216</v>
      </c>
      <c r="AP83" s="38">
        <v>0.25</v>
      </c>
      <c r="AQ83" s="12">
        <v>71366</v>
      </c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13"/>
      <c r="CG83" s="13"/>
      <c r="CH83" s="13"/>
      <c r="CI83" s="12"/>
      <c r="CJ83" s="12"/>
      <c r="CK83" s="12"/>
      <c r="CL83" s="12"/>
      <c r="CM83" s="12"/>
      <c r="CN83" s="12"/>
      <c r="CO83" s="12"/>
      <c r="CP83" s="12">
        <f>SUM($AQ83:BJ83)-SUM($EA83:EH83)</f>
        <v>65148</v>
      </c>
      <c r="CQ83" s="12">
        <f>SUM($AQ83:BK83)-SUM($EA83:EI83)</f>
        <v>64586</v>
      </c>
      <c r="CR83" s="12">
        <f>SUM($AQ83:BL83)-SUM($EA83:EJ83)</f>
        <v>64586</v>
      </c>
      <c r="CS83" s="12">
        <f>SUM($AQ83:BM83)-SUM($EA83:EK83)</f>
        <v>64386</v>
      </c>
      <c r="CT83" s="12">
        <f>SUM($AQ83:BN83)-SUM($EA83:EL83)</f>
        <v>62386</v>
      </c>
      <c r="CU83" s="12">
        <f>SUM($AQ83:BO83)-SUM($EA83:EM83)</f>
        <v>58386</v>
      </c>
      <c r="CV83" s="12">
        <f>SUM($AQ83:BP83)-SUM($EA83:EN83)</f>
        <v>56186</v>
      </c>
      <c r="CW83" s="12">
        <f>SUM($AQ83:BQ83)-SUM($EA83:EO83)</f>
        <v>54186</v>
      </c>
      <c r="CX83" s="12">
        <f>SUM($AQ83:BR83)-SUM($EA83:EP83)</f>
        <v>52186</v>
      </c>
      <c r="CY83" s="12">
        <f>SUM($AQ83:BS83)-SUM($EA83:EQ83)</f>
        <v>50186</v>
      </c>
      <c r="CZ83" s="12">
        <f>SUM($AQ83:BT83)-SUM($EA83:ER83)</f>
        <v>48186</v>
      </c>
      <c r="DA83" s="12">
        <f>SUM($AQ83:BU83)-SUM($EA83:ES83)</f>
        <v>46186</v>
      </c>
      <c r="DB83" s="12">
        <f>SUM($AQ83:BV83)-SUM($EA83:ET83)</f>
        <v>44186</v>
      </c>
      <c r="DC83" s="12">
        <f>SUM($AQ83:BW83)-SUM($EA83:EU83)</f>
        <v>42186</v>
      </c>
      <c r="DD83" s="12">
        <f>SUM($AQ83:BX83)-SUM($EA83:EV83)</f>
        <v>40186</v>
      </c>
      <c r="DE83" s="12">
        <f>SUM($AQ83:BY83)-SUM($EA83:EW83)</f>
        <v>38186</v>
      </c>
      <c r="DF83" s="12">
        <f>SUM($AQ83:BZ83)-SUM($EA83:EX83)</f>
        <v>36186</v>
      </c>
      <c r="DG83" s="12">
        <f>SUM($AQ83:CA83)-SUM($EA83:EY83)</f>
        <v>34186</v>
      </c>
      <c r="DH83" s="12">
        <f>SUM($AQ83:CB83)-SUM($EA83:EZ83)</f>
        <v>32186</v>
      </c>
      <c r="DI83" s="12">
        <f>SUM($AQ83:CC83)-SUM($EA83:FA83)</f>
        <v>30186</v>
      </c>
      <c r="DJ83" s="12">
        <f>SUM($AQ83:CD83)-SUM($EA83:FB83)</f>
        <v>28186</v>
      </c>
      <c r="DK83" s="12">
        <f>SUM($AQ83:CE83)-SUM($EA83:FC83)</f>
        <v>26186</v>
      </c>
      <c r="DL83" s="12">
        <f>SUM($AQ83:CF83)-SUM($EA83:FD83)</f>
        <v>24186</v>
      </c>
      <c r="DM83" s="12">
        <f>SUM($AQ83:CG83)-SUM($EA83:FE83)</f>
        <v>22186</v>
      </c>
      <c r="DN83" s="12">
        <f>SUM($AQ83:CH83)-SUM($EA83:FF83)</f>
        <v>20186</v>
      </c>
      <c r="DO83" s="12">
        <f>SUM($AQ83:CI83)-SUM($EA83:FG83)</f>
        <v>18186</v>
      </c>
      <c r="DP83" s="12">
        <f>SUM($AQ83:CJ83)-SUM($EA83:FH83)</f>
        <v>16186</v>
      </c>
      <c r="DQ83" s="12">
        <f>SUM($AQ83:CK83)-SUM($EA83:FI83)</f>
        <v>14186</v>
      </c>
      <c r="DR83" s="12">
        <f>SUM($AQ83:CL83)-SUM($EA83:FJ83)</f>
        <v>12186</v>
      </c>
      <c r="DS83" s="12">
        <f>SUM($AQ83:CM83)-SUM($EA83:FK83)</f>
        <v>10186</v>
      </c>
      <c r="DT83" s="12">
        <f>SUM($AQ83:CN83)-SUM($EA83:FL83)</f>
        <v>8186</v>
      </c>
      <c r="DU83" s="12">
        <f>SUM($AQ83:CO83)-SUM($EA83:FM83)</f>
        <v>6186</v>
      </c>
      <c r="DV83" s="12">
        <f>SUM($AQ83:CP83)-SUM($EA83:FN83)</f>
        <v>69700</v>
      </c>
      <c r="DW83" s="12">
        <f>SUM($AQ83:CQ83)-SUM($EA83:FO83)</f>
        <v>134286</v>
      </c>
      <c r="DX83" s="13"/>
      <c r="DY83" s="13"/>
      <c r="DZ83" s="13"/>
      <c r="EA83" s="12"/>
      <c r="EB83" s="12"/>
      <c r="EC83" s="12"/>
      <c r="ED83" s="12"/>
      <c r="EE83" s="12"/>
      <c r="EF83" s="12"/>
      <c r="EG83" s="12"/>
      <c r="EH83" s="12">
        <f t="array" ref="EH83">SUMPRODUCT(TRANSPOSE(EH$9:EH$34),$K83:$AJ83)</f>
        <v>6218</v>
      </c>
      <c r="EI83" s="12">
        <f t="array" ref="EI83">SUMPRODUCT(TRANSPOSE(EI$9:EI$34),$K83:$AJ83)</f>
        <v>562</v>
      </c>
      <c r="EJ83" s="12">
        <f t="array" ref="EJ83">SUMPRODUCT(TRANSPOSE(EJ$9:EJ$34),$K83:$AJ83)</f>
        <v>0</v>
      </c>
      <c r="EK83" s="12">
        <f t="array" ref="EK83">SUMPRODUCT(TRANSPOSE(EK$9:EK$34),$K83:$AJ83)</f>
        <v>200</v>
      </c>
      <c r="EL83" s="12">
        <f t="array" ref="EL83">SUMPRODUCT(TRANSPOSE(EL$9:EL$34),$K83:$AJ83)</f>
        <v>2000</v>
      </c>
      <c r="EM83" s="12">
        <f t="array" ref="EM83">SUMPRODUCT(TRANSPOSE(EM$9:EM$34),$K83:$AJ83)</f>
        <v>4000</v>
      </c>
      <c r="EN83" s="12">
        <f t="array" ref="EN83">SUMPRODUCT(TRANSPOSE(EN$9:EN$34),$K83:$AJ83)</f>
        <v>2200</v>
      </c>
      <c r="EO83" s="12">
        <f t="array" ref="EO83">SUMPRODUCT(TRANSPOSE(EO$9:EO$34),$K83:$AJ83)</f>
        <v>2000</v>
      </c>
      <c r="EP83" s="12">
        <f t="array" ref="EP83">SUMPRODUCT(TRANSPOSE(EP$9:EP$34),$K83:$AJ83)</f>
        <v>2000</v>
      </c>
      <c r="EQ83" s="12">
        <f t="array" ref="EQ83">SUMPRODUCT(TRANSPOSE(EQ$9:EQ$34),$K83:$AJ83)</f>
        <v>2000</v>
      </c>
      <c r="ER83" s="12">
        <f t="array" ref="ER83">SUMPRODUCT(TRANSPOSE(ER$9:ER$34),$K83:$AJ83)</f>
        <v>2000</v>
      </c>
      <c r="ES83" s="12">
        <f t="array" ref="ES83">SUMPRODUCT(TRANSPOSE(ES$9:ES$34),$K83:$AJ83)</f>
        <v>2000</v>
      </c>
      <c r="ET83" s="12">
        <f t="array" ref="ET83">SUMPRODUCT(TRANSPOSE(ET$9:ET$34),$K83:$AJ83)</f>
        <v>2000</v>
      </c>
      <c r="EU83" s="12">
        <f t="array" ref="EU83">SUMPRODUCT(TRANSPOSE(EU$9:EU$34),$K83:$AJ83)</f>
        <v>2000</v>
      </c>
      <c r="EV83" s="12">
        <f t="array" ref="EV83">SUMPRODUCT(TRANSPOSE(EV$9:EV$34),$K83:$AJ83)</f>
        <v>2000</v>
      </c>
      <c r="EW83" s="12">
        <f t="array" ref="EW83">SUMPRODUCT(TRANSPOSE(EW$9:EW$34),$K83:$AJ83)</f>
        <v>2000</v>
      </c>
      <c r="EX83" s="12">
        <f t="array" ref="EX83">SUMPRODUCT(TRANSPOSE(EX$9:EX$34),$K83:$AJ83)</f>
        <v>2000</v>
      </c>
      <c r="EY83" s="12">
        <f t="array" ref="EY83">SUMPRODUCT(TRANSPOSE(EY$9:EY$34),$K83:$AJ83)</f>
        <v>2000</v>
      </c>
      <c r="EZ83" s="12">
        <f t="array" ref="EZ83">SUMPRODUCT(TRANSPOSE(EZ$9:EZ$34),$K83:$AJ83)</f>
        <v>2000</v>
      </c>
      <c r="FA83" s="12">
        <f t="array" ref="FA83">SUMPRODUCT(TRANSPOSE(FA$9:FA$34),$K83:$AJ83)</f>
        <v>2000</v>
      </c>
      <c r="FB83" s="12">
        <f t="array" ref="FB83">SUMPRODUCT(TRANSPOSE(FB$9:FB$34),$K83:$AJ83)</f>
        <v>2000</v>
      </c>
      <c r="FC83" s="12">
        <f t="array" ref="FC83">SUMPRODUCT(TRANSPOSE(FC$9:FC$34),$K83:$AJ83)</f>
        <v>2000</v>
      </c>
      <c r="FD83" s="12">
        <f t="array" ref="FD83">SUMPRODUCT(TRANSPOSE(FD$9:FD$34),$K83:$AJ83)</f>
        <v>2000</v>
      </c>
      <c r="FE83" s="12">
        <f t="array" ref="FE83">SUMPRODUCT(TRANSPOSE(FE$9:FE$34),$K83:$AJ83)</f>
        <v>2000</v>
      </c>
      <c r="FF83" s="12">
        <f t="array" ref="FF83">SUMPRODUCT(TRANSPOSE(FF$9:FF$34),$K83:$AJ83)</f>
        <v>2000</v>
      </c>
      <c r="FG83" s="12">
        <f t="array" ref="FG83">SUMPRODUCT(TRANSPOSE(FG$9:FG$34),$K83:$AJ83)</f>
        <v>2000</v>
      </c>
      <c r="FH83" s="12">
        <f t="array" ref="FH83">SUMPRODUCT(TRANSPOSE(FH$9:FH$34),$K83:$AJ83)</f>
        <v>2000</v>
      </c>
      <c r="FI83" s="12">
        <f t="array" ref="FI83">SUMPRODUCT(TRANSPOSE(FI$9:FI$34),$K83:$AJ83)</f>
        <v>2000</v>
      </c>
      <c r="FJ83" s="12">
        <f t="array" ref="FJ83">SUMPRODUCT(TRANSPOSE(FJ$9:FJ$34),$K83:$AJ83)</f>
        <v>2000</v>
      </c>
      <c r="FK83" s="12">
        <f t="array" ref="FK83">SUMPRODUCT(TRANSPOSE(FK$9:FK$34),$K83:$AJ83)</f>
        <v>2000</v>
      </c>
      <c r="FL83" s="12">
        <f t="array" ref="FL83">SUMPRODUCT(TRANSPOSE(FL$9:FL$34),$K83:$AJ83)</f>
        <v>2000</v>
      </c>
      <c r="FM83" s="12">
        <f t="array" ref="FM83">SUMPRODUCT(TRANSPOSE(FM$9:FM$34),$K83:$AJ83)</f>
        <v>2000</v>
      </c>
      <c r="FN83" s="12">
        <f t="array" ref="FN83">SUMPRODUCT(TRANSPOSE(FN$9:FN$34),$K83:$AJ83)</f>
        <v>1634</v>
      </c>
      <c r="FO83" s="12">
        <f t="array" ref="FO83">SUMPRODUCT(TRANSPOSE(FO$9:FO$34),$K83:$AJ83)</f>
        <v>0</v>
      </c>
    </row>
    <row r="84" spans="1:171" ht="14.25" x14ac:dyDescent="0.2">
      <c r="A84" s="13">
        <f t="shared" si="4"/>
        <v>49</v>
      </c>
      <c r="B84" s="13" t="s">
        <v>217</v>
      </c>
      <c r="C84" s="58" t="s">
        <v>218</v>
      </c>
      <c r="D84" s="13" t="s">
        <v>60</v>
      </c>
      <c r="E84" s="13">
        <v>412298871</v>
      </c>
      <c r="F84" s="26" t="s">
        <v>219</v>
      </c>
      <c r="G84" s="13"/>
      <c r="H84" s="13" t="s">
        <v>61</v>
      </c>
      <c r="I84" s="13">
        <v>1</v>
      </c>
      <c r="J84" s="13">
        <v>8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4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4</v>
      </c>
      <c r="Z84" s="13"/>
      <c r="AA84" s="13">
        <v>0</v>
      </c>
      <c r="AB84" s="13">
        <v>0</v>
      </c>
      <c r="AC84" s="13">
        <v>4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f t="shared" si="3"/>
        <v>12</v>
      </c>
      <c r="AL84" s="23">
        <f t="shared" si="2"/>
        <v>142660</v>
      </c>
      <c r="AM84" s="13"/>
      <c r="AN84" s="13" t="s">
        <v>128</v>
      </c>
      <c r="AO84" s="7" t="s">
        <v>129</v>
      </c>
      <c r="AP84" s="45">
        <v>2.2000000000000002</v>
      </c>
      <c r="AQ84" s="12">
        <v>40312</v>
      </c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>
        <v>160</v>
      </c>
      <c r="BF84" s="12"/>
      <c r="BG84" s="12">
        <v>4000</v>
      </c>
      <c r="BH84" s="12">
        <v>4000</v>
      </c>
      <c r="BI84" s="12">
        <v>4000</v>
      </c>
      <c r="BJ84" s="12">
        <v>4000</v>
      </c>
      <c r="BK84" s="12">
        <v>4000</v>
      </c>
      <c r="BL84" s="12">
        <v>4000</v>
      </c>
      <c r="BM84" s="12">
        <v>4000</v>
      </c>
      <c r="BN84" s="12">
        <v>4000</v>
      </c>
      <c r="BO84" s="12">
        <v>4000</v>
      </c>
      <c r="BP84" s="12">
        <v>4000</v>
      </c>
      <c r="BQ84" s="12">
        <v>4000</v>
      </c>
      <c r="BR84" s="12">
        <v>4000</v>
      </c>
      <c r="BS84" s="12">
        <v>4000</v>
      </c>
      <c r="BT84" s="12">
        <v>4000</v>
      </c>
      <c r="BU84" s="12">
        <v>4000</v>
      </c>
      <c r="BV84" s="12">
        <v>4000</v>
      </c>
      <c r="BW84" s="12">
        <v>4000</v>
      </c>
      <c r="BX84" s="12">
        <v>4000</v>
      </c>
      <c r="BY84" s="12">
        <v>4000</v>
      </c>
      <c r="BZ84" s="12">
        <v>5600</v>
      </c>
      <c r="CA84" s="59">
        <v>484</v>
      </c>
      <c r="CB84" s="59">
        <v>264</v>
      </c>
      <c r="CC84" s="59"/>
      <c r="CD84" s="59"/>
      <c r="CE84" s="59"/>
      <c r="CF84" s="13"/>
      <c r="CG84" s="13"/>
      <c r="CH84" s="13"/>
      <c r="CI84" s="12"/>
      <c r="CJ84" s="12"/>
      <c r="CK84" s="12"/>
      <c r="CL84" s="12"/>
      <c r="CM84" s="12"/>
      <c r="CN84" s="12"/>
      <c r="CO84" s="12"/>
      <c r="CP84" s="12">
        <f>SUM($AQ84:BJ84)-SUM($EA84:EH84)</f>
        <v>44036</v>
      </c>
      <c r="CQ84" s="12">
        <f>SUM($AQ84:BK84)-SUM($EA84:EI84)</f>
        <v>46912</v>
      </c>
      <c r="CR84" s="12">
        <f>SUM($AQ84:BL84)-SUM($EA84:EJ84)</f>
        <v>50912</v>
      </c>
      <c r="CS84" s="12">
        <f>SUM($AQ84:BM84)-SUM($EA84:EK84)</f>
        <v>54512</v>
      </c>
      <c r="CT84" s="12">
        <f>SUM($AQ84:BN84)-SUM($EA84:EL84)</f>
        <v>54512</v>
      </c>
      <c r="CU84" s="12">
        <f>SUM($AQ84:BO84)-SUM($EA84:EM84)</f>
        <v>50512</v>
      </c>
      <c r="CV84" s="12">
        <f>SUM($AQ84:BP84)-SUM($EA84:EN84)</f>
        <v>50112</v>
      </c>
      <c r="CW84" s="12">
        <f>SUM($AQ84:BQ84)-SUM($EA84:EO84)</f>
        <v>50112</v>
      </c>
      <c r="CX84" s="12">
        <f>SUM($AQ84:BR84)-SUM($EA84:EP84)</f>
        <v>50112</v>
      </c>
      <c r="CY84" s="12">
        <f>SUM($AQ84:BS84)-SUM($EA84:EQ84)</f>
        <v>50112</v>
      </c>
      <c r="CZ84" s="12">
        <f>SUM($AQ84:BT84)-SUM($EA84:ER84)</f>
        <v>50112</v>
      </c>
      <c r="DA84" s="12">
        <f>SUM($AQ84:BU84)-SUM($EA84:ES84)</f>
        <v>50112</v>
      </c>
      <c r="DB84" s="12">
        <f>SUM($AQ84:BV84)-SUM($EA84:ET84)</f>
        <v>50112</v>
      </c>
      <c r="DC84" s="12">
        <f>SUM($AQ84:BW84)-SUM($EA84:EU84)</f>
        <v>50112</v>
      </c>
      <c r="DD84" s="12">
        <f>SUM($AQ84:BX84)-SUM($EA84:EV84)</f>
        <v>50112</v>
      </c>
      <c r="DE84" s="12">
        <f>SUM($AQ84:BY84)-SUM($EA84:EW84)</f>
        <v>50112</v>
      </c>
      <c r="DF84" s="12">
        <f>SUM($AQ84:BZ84)-SUM($EA84:EX84)</f>
        <v>51712</v>
      </c>
      <c r="DG84" s="12">
        <f>SUM($AQ84:CA84)-SUM($EA84:EY84)</f>
        <v>48196</v>
      </c>
      <c r="DH84" s="12">
        <f>SUM($AQ84:CB84)-SUM($EA84:EZ84)</f>
        <v>44460</v>
      </c>
      <c r="DI84" s="12">
        <f>SUM($AQ84:CC84)-SUM($EA84:FA84)</f>
        <v>40460</v>
      </c>
      <c r="DJ84" s="12">
        <f>SUM($AQ84:CD84)-SUM($EA84:FB84)</f>
        <v>36460</v>
      </c>
      <c r="DK84" s="12">
        <f>SUM($AQ84:CE84)-SUM($EA84:FC84)</f>
        <v>32460</v>
      </c>
      <c r="DL84" s="12">
        <f>SUM($AQ84:CF84)-SUM($EA84:FD84)</f>
        <v>28460</v>
      </c>
      <c r="DM84" s="12">
        <f>SUM($AQ84:CG84)-SUM($EA84:FE84)</f>
        <v>24460</v>
      </c>
      <c r="DN84" s="12">
        <f>SUM($AQ84:CH84)-SUM($EA84:FF84)</f>
        <v>20460</v>
      </c>
      <c r="DO84" s="12">
        <f>SUM($AQ84:CI84)-SUM($EA84:FG84)</f>
        <v>16460</v>
      </c>
      <c r="DP84" s="12">
        <f>SUM($AQ84:CJ84)-SUM($EA84:FH84)</f>
        <v>12460</v>
      </c>
      <c r="DQ84" s="12">
        <f>SUM($AQ84:CK84)-SUM($EA84:FI84)</f>
        <v>8460</v>
      </c>
      <c r="DR84" s="12">
        <f>SUM($AQ84:CL84)-SUM($EA84:FJ84)</f>
        <v>4460</v>
      </c>
      <c r="DS84" s="12">
        <f>SUM($AQ84:CM84)-SUM($EA84:FK84)</f>
        <v>460</v>
      </c>
      <c r="DT84" s="12">
        <f>SUM($AQ84:CN84)-SUM($EA84:FL84)</f>
        <v>-3540</v>
      </c>
      <c r="DU84" s="12">
        <f>SUM($AQ84:CO84)-SUM($EA84:FM84)</f>
        <v>-7540</v>
      </c>
      <c r="DV84" s="12">
        <f>SUM($AQ84:CP84)-SUM($EA84:FN84)</f>
        <v>33228</v>
      </c>
      <c r="DW84" s="12">
        <f>SUM($AQ84:CQ84)-SUM($EA84:FO84)</f>
        <v>80140</v>
      </c>
      <c r="DX84" s="13"/>
      <c r="DY84" s="13"/>
      <c r="DZ84" s="13"/>
      <c r="EA84" s="12"/>
      <c r="EB84" s="12"/>
      <c r="EC84" s="12"/>
      <c r="ED84" s="12"/>
      <c r="EE84" s="12"/>
      <c r="EF84" s="12"/>
      <c r="EG84" s="12"/>
      <c r="EH84" s="12">
        <f t="array" ref="EH84">SUMPRODUCT(TRANSPOSE(EH$9:EH$34),$K84:$AJ84)</f>
        <v>12436</v>
      </c>
      <c r="EI84" s="12">
        <f t="array" ref="EI84">SUMPRODUCT(TRANSPOSE(EI$9:EI$34),$K84:$AJ84)</f>
        <v>1124</v>
      </c>
      <c r="EJ84" s="12">
        <f t="array" ref="EJ84">SUMPRODUCT(TRANSPOSE(EJ$9:EJ$34),$K84:$AJ84)</f>
        <v>0</v>
      </c>
      <c r="EK84" s="12">
        <f t="array" ref="EK84">SUMPRODUCT(TRANSPOSE(EK$9:EK$34),$K84:$AJ84)</f>
        <v>400</v>
      </c>
      <c r="EL84" s="12">
        <f t="array" ref="EL84">SUMPRODUCT(TRANSPOSE(EL$9:EL$34),$K84:$AJ84)</f>
        <v>4000</v>
      </c>
      <c r="EM84" s="12">
        <f t="array" ref="EM84">SUMPRODUCT(TRANSPOSE(EM$9:EM$34),$K84:$AJ84)</f>
        <v>8000</v>
      </c>
      <c r="EN84" s="12">
        <f t="array" ref="EN84">SUMPRODUCT(TRANSPOSE(EN$9:EN$34),$K84:$AJ84)</f>
        <v>4400</v>
      </c>
      <c r="EO84" s="12">
        <f t="array" ref="EO84">SUMPRODUCT(TRANSPOSE(EO$9:EO$34),$K84:$AJ84)</f>
        <v>4000</v>
      </c>
      <c r="EP84" s="12">
        <f t="array" ref="EP84">SUMPRODUCT(TRANSPOSE(EP$9:EP$34),$K84:$AJ84)</f>
        <v>4000</v>
      </c>
      <c r="EQ84" s="12">
        <f t="array" ref="EQ84">SUMPRODUCT(TRANSPOSE(EQ$9:EQ$34),$K84:$AJ84)</f>
        <v>4000</v>
      </c>
      <c r="ER84" s="12">
        <f t="array" ref="ER84">SUMPRODUCT(TRANSPOSE(ER$9:ER$34),$K84:$AJ84)</f>
        <v>4000</v>
      </c>
      <c r="ES84" s="12">
        <f t="array" ref="ES84">SUMPRODUCT(TRANSPOSE(ES$9:ES$34),$K84:$AJ84)</f>
        <v>4000</v>
      </c>
      <c r="ET84" s="12">
        <f t="array" ref="ET84">SUMPRODUCT(TRANSPOSE(ET$9:ET$34),$K84:$AJ84)</f>
        <v>4000</v>
      </c>
      <c r="EU84" s="12">
        <f t="array" ref="EU84">SUMPRODUCT(TRANSPOSE(EU$9:EU$34),$K84:$AJ84)</f>
        <v>4000</v>
      </c>
      <c r="EV84" s="12">
        <f t="array" ref="EV84">SUMPRODUCT(TRANSPOSE(EV$9:EV$34),$K84:$AJ84)</f>
        <v>4000</v>
      </c>
      <c r="EW84" s="12">
        <f t="array" ref="EW84">SUMPRODUCT(TRANSPOSE(EW$9:EW$34),$K84:$AJ84)</f>
        <v>4000</v>
      </c>
      <c r="EX84" s="12">
        <f t="array" ref="EX84">SUMPRODUCT(TRANSPOSE(EX$9:EX$34),$K84:$AJ84)</f>
        <v>4000</v>
      </c>
      <c r="EY84" s="12">
        <f t="array" ref="EY84">SUMPRODUCT(TRANSPOSE(EY$9:EY$34),$K84:$AJ84)</f>
        <v>4000</v>
      </c>
      <c r="EZ84" s="12">
        <f t="array" ref="EZ84">SUMPRODUCT(TRANSPOSE(EZ$9:EZ$34),$K84:$AJ84)</f>
        <v>4000</v>
      </c>
      <c r="FA84" s="12">
        <f t="array" ref="FA84">SUMPRODUCT(TRANSPOSE(FA$9:FA$34),$K84:$AJ84)</f>
        <v>4000</v>
      </c>
      <c r="FB84" s="12">
        <f t="array" ref="FB84">SUMPRODUCT(TRANSPOSE(FB$9:FB$34),$K84:$AJ84)</f>
        <v>4000</v>
      </c>
      <c r="FC84" s="12">
        <f t="array" ref="FC84">SUMPRODUCT(TRANSPOSE(FC$9:FC$34),$K84:$AJ84)</f>
        <v>4000</v>
      </c>
      <c r="FD84" s="12">
        <f t="array" ref="FD84">SUMPRODUCT(TRANSPOSE(FD$9:FD$34),$K84:$AJ84)</f>
        <v>4000</v>
      </c>
      <c r="FE84" s="12">
        <f t="array" ref="FE84">SUMPRODUCT(TRANSPOSE(FE$9:FE$34),$K84:$AJ84)</f>
        <v>4000</v>
      </c>
      <c r="FF84" s="12">
        <f t="array" ref="FF84">SUMPRODUCT(TRANSPOSE(FF$9:FF$34),$K84:$AJ84)</f>
        <v>4000</v>
      </c>
      <c r="FG84" s="12">
        <f t="array" ref="FG84">SUMPRODUCT(TRANSPOSE(FG$9:FG$34),$K84:$AJ84)</f>
        <v>4000</v>
      </c>
      <c r="FH84" s="12">
        <f t="array" ref="FH84">SUMPRODUCT(TRANSPOSE(FH$9:FH$34),$K84:$AJ84)</f>
        <v>4000</v>
      </c>
      <c r="FI84" s="12">
        <f t="array" ref="FI84">SUMPRODUCT(TRANSPOSE(FI$9:FI$34),$K84:$AJ84)</f>
        <v>4000</v>
      </c>
      <c r="FJ84" s="12">
        <f t="array" ref="FJ84">SUMPRODUCT(TRANSPOSE(FJ$9:FJ$34),$K84:$AJ84)</f>
        <v>4000</v>
      </c>
      <c r="FK84" s="12">
        <f t="array" ref="FK84">SUMPRODUCT(TRANSPOSE(FK$9:FK$34),$K84:$AJ84)</f>
        <v>4000</v>
      </c>
      <c r="FL84" s="12">
        <f t="array" ref="FL84">SUMPRODUCT(TRANSPOSE(FL$9:FL$34),$K84:$AJ84)</f>
        <v>4000</v>
      </c>
      <c r="FM84" s="12">
        <f t="array" ref="FM84">SUMPRODUCT(TRANSPOSE(FM$9:FM$34),$K84:$AJ84)</f>
        <v>4000</v>
      </c>
      <c r="FN84" s="12">
        <f t="array" ref="FN84">SUMPRODUCT(TRANSPOSE(FN$9:FN$34),$K84:$AJ84)</f>
        <v>3268</v>
      </c>
      <c r="FO84" s="12">
        <f t="array" ref="FO84">SUMPRODUCT(TRANSPOSE(FO$9:FO$34),$K84:$AJ84)</f>
        <v>0</v>
      </c>
    </row>
    <row r="85" spans="1:171" ht="14.25" x14ac:dyDescent="0.2">
      <c r="A85" s="13">
        <f t="shared" si="4"/>
        <v>50</v>
      </c>
      <c r="B85" s="13" t="s">
        <v>220</v>
      </c>
      <c r="C85" s="25" t="s">
        <v>40</v>
      </c>
      <c r="D85" s="13">
        <v>-2</v>
      </c>
      <c r="E85" s="13">
        <v>422348364</v>
      </c>
      <c r="F85" s="26" t="s">
        <v>12</v>
      </c>
      <c r="G85" s="13"/>
      <c r="H85" s="13" t="s">
        <v>61</v>
      </c>
      <c r="I85" s="13">
        <v>1</v>
      </c>
      <c r="J85" s="13">
        <v>1</v>
      </c>
      <c r="K85" s="13">
        <v>0</v>
      </c>
      <c r="L85" s="13">
        <v>1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/>
      <c r="Z85" s="13"/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f t="shared" si="3"/>
        <v>1</v>
      </c>
      <c r="AL85" s="23">
        <f t="shared" si="2"/>
        <v>35198</v>
      </c>
      <c r="AM85" s="27" t="s">
        <v>62</v>
      </c>
      <c r="AN85" s="13" t="s">
        <v>62</v>
      </c>
      <c r="AO85" s="7" t="s">
        <v>62</v>
      </c>
      <c r="AP85" s="28"/>
      <c r="AQ85" s="12">
        <v>0</v>
      </c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13"/>
      <c r="CG85" s="13"/>
      <c r="CH85" s="13"/>
      <c r="CI85" s="12"/>
      <c r="CJ85" s="12"/>
      <c r="CK85" s="12"/>
      <c r="CL85" s="12"/>
      <c r="CM85" s="12"/>
      <c r="CN85" s="12"/>
      <c r="CO85" s="12"/>
      <c r="CP85" s="12">
        <f>SUM($AQ85:BJ85)-SUM($EA85:EH85)</f>
        <v>-3340</v>
      </c>
      <c r="CQ85" s="12">
        <f>SUM($AQ85:BK85)-SUM($EA85:EI85)</f>
        <v>-3954</v>
      </c>
      <c r="CR85" s="12">
        <f>SUM($AQ85:BL85)-SUM($EA85:EJ85)</f>
        <v>-4954</v>
      </c>
      <c r="CS85" s="12">
        <f>SUM($AQ85:BM85)-SUM($EA85:EK85)</f>
        <v>-5954</v>
      </c>
      <c r="CT85" s="12">
        <f>SUM($AQ85:BN85)-SUM($EA85:EL85)</f>
        <v>-6954</v>
      </c>
      <c r="CU85" s="12">
        <f>SUM($AQ85:BO85)-SUM($EA85:EM85)</f>
        <v>-6954</v>
      </c>
      <c r="CV85" s="12">
        <f>SUM($AQ85:BP85)-SUM($EA85:EN85)</f>
        <v>-7854</v>
      </c>
      <c r="CW85" s="12">
        <f>SUM($AQ85:BQ85)-SUM($EA85:EO85)</f>
        <v>-8854</v>
      </c>
      <c r="CX85" s="12">
        <f>SUM($AQ85:BR85)-SUM($EA85:EP85)</f>
        <v>-9854</v>
      </c>
      <c r="CY85" s="12">
        <f>SUM($AQ85:BS85)-SUM($EA85:EQ85)</f>
        <v>-10854</v>
      </c>
      <c r="CZ85" s="12">
        <f>SUM($AQ85:BT85)-SUM($EA85:ER85)</f>
        <v>-11854</v>
      </c>
      <c r="DA85" s="12">
        <f>SUM($AQ85:BU85)-SUM($EA85:ES85)</f>
        <v>-12854</v>
      </c>
      <c r="DB85" s="12">
        <f>SUM($AQ85:BV85)-SUM($EA85:ET85)</f>
        <v>-13854</v>
      </c>
      <c r="DC85" s="12">
        <f>SUM($AQ85:BW85)-SUM($EA85:EU85)</f>
        <v>-14854</v>
      </c>
      <c r="DD85" s="12">
        <f>SUM($AQ85:BX85)-SUM($EA85:EV85)</f>
        <v>-15854</v>
      </c>
      <c r="DE85" s="12">
        <f>SUM($AQ85:BY85)-SUM($EA85:EW85)</f>
        <v>-16854</v>
      </c>
      <c r="DF85" s="12">
        <f>SUM($AQ85:BZ85)-SUM($EA85:EX85)</f>
        <v>-17854</v>
      </c>
      <c r="DG85" s="12">
        <f>SUM($AQ85:CA85)-SUM($EA85:EY85)</f>
        <v>-18854</v>
      </c>
      <c r="DH85" s="12">
        <f>SUM($AQ85:CB85)-SUM($EA85:EZ85)</f>
        <v>-19854</v>
      </c>
      <c r="DI85" s="12">
        <f>SUM($AQ85:CC85)-SUM($EA85:FA85)</f>
        <v>-20854</v>
      </c>
      <c r="DJ85" s="12">
        <f>SUM($AQ85:CD85)-SUM($EA85:FB85)</f>
        <v>-21854</v>
      </c>
      <c r="DK85" s="12">
        <f>SUM($AQ85:CE85)-SUM($EA85:FC85)</f>
        <v>-22854</v>
      </c>
      <c r="DL85" s="12">
        <f>SUM($AQ85:CF85)-SUM($EA85:FD85)</f>
        <v>-23854</v>
      </c>
      <c r="DM85" s="12">
        <f>SUM($AQ85:CG85)-SUM($EA85:FE85)</f>
        <v>-24854</v>
      </c>
      <c r="DN85" s="12">
        <f>SUM($AQ85:CH85)-SUM($EA85:FF85)</f>
        <v>-25854</v>
      </c>
      <c r="DO85" s="12">
        <f>SUM($AQ85:CI85)-SUM($EA85:FG85)</f>
        <v>-26854</v>
      </c>
      <c r="DP85" s="12">
        <f>SUM($AQ85:CJ85)-SUM($EA85:FH85)</f>
        <v>-27854</v>
      </c>
      <c r="DQ85" s="12">
        <f>SUM($AQ85:CK85)-SUM($EA85:FI85)</f>
        <v>-28854</v>
      </c>
      <c r="DR85" s="12">
        <f>SUM($AQ85:CL85)-SUM($EA85:FJ85)</f>
        <v>-29854</v>
      </c>
      <c r="DS85" s="12">
        <f>SUM($AQ85:CM85)-SUM($EA85:FK85)</f>
        <v>-30854</v>
      </c>
      <c r="DT85" s="12">
        <f>SUM($AQ85:CN85)-SUM($EA85:FL85)</f>
        <v>-31854</v>
      </c>
      <c r="DU85" s="12">
        <f>SUM($AQ85:CO85)-SUM($EA85:FM85)</f>
        <v>-32854</v>
      </c>
      <c r="DV85" s="12">
        <f>SUM($AQ85:CP85)-SUM($EA85:FN85)</f>
        <v>-37194</v>
      </c>
      <c r="DW85" s="12">
        <f>SUM($AQ85:CQ85)-SUM($EA85:FO85)</f>
        <v>-41192</v>
      </c>
      <c r="DX85" s="13"/>
      <c r="DY85" s="13"/>
      <c r="DZ85" s="13"/>
      <c r="EA85" s="12"/>
      <c r="EB85" s="12"/>
      <c r="EC85" s="12"/>
      <c r="ED85" s="12"/>
      <c r="EE85" s="12"/>
      <c r="EF85" s="12"/>
      <c r="EG85" s="12"/>
      <c r="EH85" s="12">
        <f t="array" ref="EH85">SUMPRODUCT(TRANSPOSE(EH$9:EH$34),$K85:$AJ85)</f>
        <v>3340</v>
      </c>
      <c r="EI85" s="12">
        <f t="array" ref="EI85">SUMPRODUCT(TRANSPOSE(EI$9:EI$34),$K85:$AJ85)</f>
        <v>614</v>
      </c>
      <c r="EJ85" s="12">
        <f t="array" ref="EJ85">SUMPRODUCT(TRANSPOSE(EJ$9:EJ$34),$K85:$AJ85)</f>
        <v>1000</v>
      </c>
      <c r="EK85" s="12">
        <f t="array" ref="EK85">SUMPRODUCT(TRANSPOSE(EK$9:EK$34),$K85:$AJ85)</f>
        <v>1000</v>
      </c>
      <c r="EL85" s="12">
        <f t="array" ref="EL85">SUMPRODUCT(TRANSPOSE(EL$9:EL$34),$K85:$AJ85)</f>
        <v>1000</v>
      </c>
      <c r="EM85" s="12">
        <f t="array" ref="EM85">SUMPRODUCT(TRANSPOSE(EM$9:EM$34),$K85:$AJ85)</f>
        <v>0</v>
      </c>
      <c r="EN85" s="12">
        <f t="array" ref="EN85">SUMPRODUCT(TRANSPOSE(EN$9:EN$34),$K85:$AJ85)</f>
        <v>900</v>
      </c>
      <c r="EO85" s="12">
        <f t="array" ref="EO85">SUMPRODUCT(TRANSPOSE(EO$9:EO$34),$K85:$AJ85)</f>
        <v>1000</v>
      </c>
      <c r="EP85" s="12">
        <f t="array" ref="EP85">SUMPRODUCT(TRANSPOSE(EP$9:EP$34),$K85:$AJ85)</f>
        <v>1000</v>
      </c>
      <c r="EQ85" s="12">
        <f t="array" ref="EQ85">SUMPRODUCT(TRANSPOSE(EQ$9:EQ$34),$K85:$AJ85)</f>
        <v>1000</v>
      </c>
      <c r="ER85" s="12">
        <f t="array" ref="ER85">SUMPRODUCT(TRANSPOSE(ER$9:ER$34),$K85:$AJ85)</f>
        <v>1000</v>
      </c>
      <c r="ES85" s="12">
        <f t="array" ref="ES85">SUMPRODUCT(TRANSPOSE(ES$9:ES$34),$K85:$AJ85)</f>
        <v>1000</v>
      </c>
      <c r="ET85" s="12">
        <f t="array" ref="ET85">SUMPRODUCT(TRANSPOSE(ET$9:ET$34),$K85:$AJ85)</f>
        <v>1000</v>
      </c>
      <c r="EU85" s="12">
        <f t="array" ref="EU85">SUMPRODUCT(TRANSPOSE(EU$9:EU$34),$K85:$AJ85)</f>
        <v>1000</v>
      </c>
      <c r="EV85" s="12">
        <f t="array" ref="EV85">SUMPRODUCT(TRANSPOSE(EV$9:EV$34),$K85:$AJ85)</f>
        <v>1000</v>
      </c>
      <c r="EW85" s="12">
        <f t="array" ref="EW85">SUMPRODUCT(TRANSPOSE(EW$9:EW$34),$K85:$AJ85)</f>
        <v>1000</v>
      </c>
      <c r="EX85" s="12">
        <f t="array" ref="EX85">SUMPRODUCT(TRANSPOSE(EX$9:EX$34),$K85:$AJ85)</f>
        <v>1000</v>
      </c>
      <c r="EY85" s="12">
        <f t="array" ref="EY85">SUMPRODUCT(TRANSPOSE(EY$9:EY$34),$K85:$AJ85)</f>
        <v>1000</v>
      </c>
      <c r="EZ85" s="12">
        <f t="array" ref="EZ85">SUMPRODUCT(TRANSPOSE(EZ$9:EZ$34),$K85:$AJ85)</f>
        <v>1000</v>
      </c>
      <c r="FA85" s="12">
        <f t="array" ref="FA85">SUMPRODUCT(TRANSPOSE(FA$9:FA$34),$K85:$AJ85)</f>
        <v>1000</v>
      </c>
      <c r="FB85" s="12">
        <f t="array" ref="FB85">SUMPRODUCT(TRANSPOSE(FB$9:FB$34),$K85:$AJ85)</f>
        <v>1000</v>
      </c>
      <c r="FC85" s="12">
        <f t="array" ref="FC85">SUMPRODUCT(TRANSPOSE(FC$9:FC$34),$K85:$AJ85)</f>
        <v>1000</v>
      </c>
      <c r="FD85" s="12">
        <f t="array" ref="FD85">SUMPRODUCT(TRANSPOSE(FD$9:FD$34),$K85:$AJ85)</f>
        <v>1000</v>
      </c>
      <c r="FE85" s="12">
        <f t="array" ref="FE85">SUMPRODUCT(TRANSPOSE(FE$9:FE$34),$K85:$AJ85)</f>
        <v>1000</v>
      </c>
      <c r="FF85" s="12">
        <f t="array" ref="FF85">SUMPRODUCT(TRANSPOSE(FF$9:FF$34),$K85:$AJ85)</f>
        <v>1000</v>
      </c>
      <c r="FG85" s="12">
        <f t="array" ref="FG85">SUMPRODUCT(TRANSPOSE(FG$9:FG$34),$K85:$AJ85)</f>
        <v>1000</v>
      </c>
      <c r="FH85" s="12">
        <f t="array" ref="FH85">SUMPRODUCT(TRANSPOSE(FH$9:FH$34),$K85:$AJ85)</f>
        <v>1000</v>
      </c>
      <c r="FI85" s="12">
        <f t="array" ref="FI85">SUMPRODUCT(TRANSPOSE(FI$9:FI$34),$K85:$AJ85)</f>
        <v>1000</v>
      </c>
      <c r="FJ85" s="12">
        <f t="array" ref="FJ85">SUMPRODUCT(TRANSPOSE(FJ$9:FJ$34),$K85:$AJ85)</f>
        <v>1000</v>
      </c>
      <c r="FK85" s="12">
        <f t="array" ref="FK85">SUMPRODUCT(TRANSPOSE(FK$9:FK$34),$K85:$AJ85)</f>
        <v>1000</v>
      </c>
      <c r="FL85" s="12">
        <f t="array" ref="FL85">SUMPRODUCT(TRANSPOSE(FL$9:FL$34),$K85:$AJ85)</f>
        <v>1000</v>
      </c>
      <c r="FM85" s="12">
        <f t="array" ref="FM85">SUMPRODUCT(TRANSPOSE(FM$9:FM$34),$K85:$AJ85)</f>
        <v>1000</v>
      </c>
      <c r="FN85" s="12">
        <f t="array" ref="FN85">SUMPRODUCT(TRANSPOSE(FN$9:FN$34),$K85:$AJ85)</f>
        <v>1000</v>
      </c>
      <c r="FO85" s="12">
        <f t="array" ref="FO85">SUMPRODUCT(TRANSPOSE(FO$9:FO$34),$K85:$AJ85)</f>
        <v>44</v>
      </c>
    </row>
    <row r="86" spans="1:171" ht="14.25" x14ac:dyDescent="0.2">
      <c r="A86" s="13">
        <f t="shared" si="4"/>
        <v>51</v>
      </c>
      <c r="B86" s="13" t="s">
        <v>221</v>
      </c>
      <c r="C86" s="25" t="s">
        <v>222</v>
      </c>
      <c r="D86" s="13" t="s">
        <v>223</v>
      </c>
      <c r="E86" s="13">
        <v>405960171</v>
      </c>
      <c r="F86" s="26" t="s">
        <v>224</v>
      </c>
      <c r="G86" s="13"/>
      <c r="H86" s="13" t="s">
        <v>61</v>
      </c>
      <c r="I86" s="13">
        <v>1</v>
      </c>
      <c r="J86" s="13">
        <v>1</v>
      </c>
      <c r="K86" s="13">
        <v>0</v>
      </c>
      <c r="L86" s="13">
        <v>1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/>
      <c r="Z86" s="13"/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f t="shared" si="3"/>
        <v>1</v>
      </c>
      <c r="AL86" s="23">
        <f t="shared" si="2"/>
        <v>35198</v>
      </c>
      <c r="AM86" s="27"/>
      <c r="AN86" s="13" t="s">
        <v>158</v>
      </c>
      <c r="AO86" s="7" t="s">
        <v>159</v>
      </c>
      <c r="AP86" s="45">
        <v>0.6</v>
      </c>
      <c r="AQ86" s="12">
        <v>18000</v>
      </c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13"/>
      <c r="CG86" s="13"/>
      <c r="CH86" s="13"/>
      <c r="CI86" s="12"/>
      <c r="CJ86" s="12"/>
      <c r="CK86" s="12"/>
      <c r="CL86" s="12"/>
      <c r="CM86" s="12"/>
      <c r="CN86" s="12"/>
      <c r="CO86" s="12"/>
      <c r="CP86" s="12">
        <f>SUM($AQ86:BJ86)-SUM($EA86:EH86)</f>
        <v>14660</v>
      </c>
      <c r="CQ86" s="12">
        <f>SUM($AQ86:BK86)-SUM($EA86:EI86)</f>
        <v>14046</v>
      </c>
      <c r="CR86" s="12">
        <f>SUM($AQ86:BL86)-SUM($EA86:EJ86)</f>
        <v>13046</v>
      </c>
      <c r="CS86" s="12">
        <f>SUM($AQ86:BM86)-SUM($EA86:EK86)</f>
        <v>12046</v>
      </c>
      <c r="CT86" s="12">
        <f>SUM($AQ86:BN86)-SUM($EA86:EL86)</f>
        <v>11046</v>
      </c>
      <c r="CU86" s="12">
        <f>SUM($AQ86:BO86)-SUM($EA86:EM86)</f>
        <v>11046</v>
      </c>
      <c r="CV86" s="12">
        <f>SUM($AQ86:BP86)-SUM($EA86:EN86)</f>
        <v>10146</v>
      </c>
      <c r="CW86" s="12">
        <f>SUM($AQ86:BQ86)-SUM($EA86:EO86)</f>
        <v>9146</v>
      </c>
      <c r="CX86" s="12">
        <f>SUM($AQ86:BR86)-SUM($EA86:EP86)</f>
        <v>8146</v>
      </c>
      <c r="CY86" s="12">
        <f>SUM($AQ86:BS86)-SUM($EA86:EQ86)</f>
        <v>7146</v>
      </c>
      <c r="CZ86" s="12">
        <f>SUM($AQ86:BT86)-SUM($EA86:ER86)</f>
        <v>6146</v>
      </c>
      <c r="DA86" s="12">
        <f>SUM($AQ86:BU86)-SUM($EA86:ES86)</f>
        <v>5146</v>
      </c>
      <c r="DB86" s="12">
        <f>SUM($AQ86:BV86)-SUM($EA86:ET86)</f>
        <v>4146</v>
      </c>
      <c r="DC86" s="12">
        <f>SUM($AQ86:BW86)-SUM($EA86:EU86)</f>
        <v>3146</v>
      </c>
      <c r="DD86" s="12">
        <f>SUM($AQ86:BX86)-SUM($EA86:EV86)</f>
        <v>2146</v>
      </c>
      <c r="DE86" s="12">
        <f>SUM($AQ86:BY86)-SUM($EA86:EW86)</f>
        <v>1146</v>
      </c>
      <c r="DF86" s="12">
        <f>SUM($AQ86:BZ86)-SUM($EA86:EX86)</f>
        <v>146</v>
      </c>
      <c r="DG86" s="12">
        <f>SUM($AQ86:CA86)-SUM($EA86:EY86)</f>
        <v>-854</v>
      </c>
      <c r="DH86" s="12">
        <f>SUM($AQ86:CB86)-SUM($EA86:EZ86)</f>
        <v>-1854</v>
      </c>
      <c r="DI86" s="12">
        <f>SUM($AQ86:CC86)-SUM($EA86:FA86)</f>
        <v>-2854</v>
      </c>
      <c r="DJ86" s="12">
        <f>SUM($AQ86:CD86)-SUM($EA86:FB86)</f>
        <v>-3854</v>
      </c>
      <c r="DK86" s="12">
        <f>SUM($AQ86:CE86)-SUM($EA86:FC86)</f>
        <v>-4854</v>
      </c>
      <c r="DL86" s="12">
        <f>SUM($AQ86:CF86)-SUM($EA86:FD86)</f>
        <v>-5854</v>
      </c>
      <c r="DM86" s="12">
        <f>SUM($AQ86:CG86)-SUM($EA86:FE86)</f>
        <v>-6854</v>
      </c>
      <c r="DN86" s="12">
        <f>SUM($AQ86:CH86)-SUM($EA86:FF86)</f>
        <v>-7854</v>
      </c>
      <c r="DO86" s="12">
        <f>SUM($AQ86:CI86)-SUM($EA86:FG86)</f>
        <v>-8854</v>
      </c>
      <c r="DP86" s="12">
        <f>SUM($AQ86:CJ86)-SUM($EA86:FH86)</f>
        <v>-9854</v>
      </c>
      <c r="DQ86" s="12">
        <f>SUM($AQ86:CK86)-SUM($EA86:FI86)</f>
        <v>-10854</v>
      </c>
      <c r="DR86" s="12">
        <f>SUM($AQ86:CL86)-SUM($EA86:FJ86)</f>
        <v>-11854</v>
      </c>
      <c r="DS86" s="12">
        <f>SUM($AQ86:CM86)-SUM($EA86:FK86)</f>
        <v>-12854</v>
      </c>
      <c r="DT86" s="12">
        <f>SUM($AQ86:CN86)-SUM($EA86:FL86)</f>
        <v>-13854</v>
      </c>
      <c r="DU86" s="12">
        <f>SUM($AQ86:CO86)-SUM($EA86:FM86)</f>
        <v>-14854</v>
      </c>
      <c r="DV86" s="12">
        <f>SUM($AQ86:CP86)-SUM($EA86:FN86)</f>
        <v>-1194</v>
      </c>
      <c r="DW86" s="12">
        <f>SUM($AQ86:CQ86)-SUM($EA86:FO86)</f>
        <v>12808</v>
      </c>
      <c r="DX86" s="13"/>
      <c r="DY86" s="13"/>
      <c r="DZ86" s="13"/>
      <c r="EA86" s="12"/>
      <c r="EB86" s="12"/>
      <c r="EC86" s="12"/>
      <c r="ED86" s="12"/>
      <c r="EE86" s="12"/>
      <c r="EF86" s="12"/>
      <c r="EG86" s="12"/>
      <c r="EH86" s="12">
        <f t="array" ref="EH86">SUMPRODUCT(TRANSPOSE(EH$9:EH$34),$K86:$AJ86)</f>
        <v>3340</v>
      </c>
      <c r="EI86" s="12">
        <f t="array" ref="EI86">SUMPRODUCT(TRANSPOSE(EI$9:EI$34),$K86:$AJ86)</f>
        <v>614</v>
      </c>
      <c r="EJ86" s="12">
        <f t="array" ref="EJ86">SUMPRODUCT(TRANSPOSE(EJ$9:EJ$34),$K86:$AJ86)</f>
        <v>1000</v>
      </c>
      <c r="EK86" s="12">
        <f t="array" ref="EK86">SUMPRODUCT(TRANSPOSE(EK$9:EK$34),$K86:$AJ86)</f>
        <v>1000</v>
      </c>
      <c r="EL86" s="12">
        <f t="array" ref="EL86">SUMPRODUCT(TRANSPOSE(EL$9:EL$34),$K86:$AJ86)</f>
        <v>1000</v>
      </c>
      <c r="EM86" s="12">
        <f t="array" ref="EM86">SUMPRODUCT(TRANSPOSE(EM$9:EM$34),$K86:$AJ86)</f>
        <v>0</v>
      </c>
      <c r="EN86" s="12">
        <f t="array" ref="EN86">SUMPRODUCT(TRANSPOSE(EN$9:EN$34),$K86:$AJ86)</f>
        <v>900</v>
      </c>
      <c r="EO86" s="12">
        <f t="array" ref="EO86">SUMPRODUCT(TRANSPOSE(EO$9:EO$34),$K86:$AJ86)</f>
        <v>1000</v>
      </c>
      <c r="EP86" s="12">
        <f t="array" ref="EP86">SUMPRODUCT(TRANSPOSE(EP$9:EP$34),$K86:$AJ86)</f>
        <v>1000</v>
      </c>
      <c r="EQ86" s="12">
        <f t="array" ref="EQ86">SUMPRODUCT(TRANSPOSE(EQ$9:EQ$34),$K86:$AJ86)</f>
        <v>1000</v>
      </c>
      <c r="ER86" s="12">
        <f t="array" ref="ER86">SUMPRODUCT(TRANSPOSE(ER$9:ER$34),$K86:$AJ86)</f>
        <v>1000</v>
      </c>
      <c r="ES86" s="12">
        <f t="array" ref="ES86">SUMPRODUCT(TRANSPOSE(ES$9:ES$34),$K86:$AJ86)</f>
        <v>1000</v>
      </c>
      <c r="ET86" s="12">
        <f t="array" ref="ET86">SUMPRODUCT(TRANSPOSE(ET$9:ET$34),$K86:$AJ86)</f>
        <v>1000</v>
      </c>
      <c r="EU86" s="12">
        <f t="array" ref="EU86">SUMPRODUCT(TRANSPOSE(EU$9:EU$34),$K86:$AJ86)</f>
        <v>1000</v>
      </c>
      <c r="EV86" s="12">
        <f t="array" ref="EV86">SUMPRODUCT(TRANSPOSE(EV$9:EV$34),$K86:$AJ86)</f>
        <v>1000</v>
      </c>
      <c r="EW86" s="12">
        <f t="array" ref="EW86">SUMPRODUCT(TRANSPOSE(EW$9:EW$34),$K86:$AJ86)</f>
        <v>1000</v>
      </c>
      <c r="EX86" s="12">
        <f t="array" ref="EX86">SUMPRODUCT(TRANSPOSE(EX$9:EX$34),$K86:$AJ86)</f>
        <v>1000</v>
      </c>
      <c r="EY86" s="12">
        <f t="array" ref="EY86">SUMPRODUCT(TRANSPOSE(EY$9:EY$34),$K86:$AJ86)</f>
        <v>1000</v>
      </c>
      <c r="EZ86" s="12">
        <f t="array" ref="EZ86">SUMPRODUCT(TRANSPOSE(EZ$9:EZ$34),$K86:$AJ86)</f>
        <v>1000</v>
      </c>
      <c r="FA86" s="12">
        <f t="array" ref="FA86">SUMPRODUCT(TRANSPOSE(FA$9:FA$34),$K86:$AJ86)</f>
        <v>1000</v>
      </c>
      <c r="FB86" s="12">
        <f t="array" ref="FB86">SUMPRODUCT(TRANSPOSE(FB$9:FB$34),$K86:$AJ86)</f>
        <v>1000</v>
      </c>
      <c r="FC86" s="12">
        <f t="array" ref="FC86">SUMPRODUCT(TRANSPOSE(FC$9:FC$34),$K86:$AJ86)</f>
        <v>1000</v>
      </c>
      <c r="FD86" s="12">
        <f t="array" ref="FD86">SUMPRODUCT(TRANSPOSE(FD$9:FD$34),$K86:$AJ86)</f>
        <v>1000</v>
      </c>
      <c r="FE86" s="12">
        <f t="array" ref="FE86">SUMPRODUCT(TRANSPOSE(FE$9:FE$34),$K86:$AJ86)</f>
        <v>1000</v>
      </c>
      <c r="FF86" s="12">
        <f t="array" ref="FF86">SUMPRODUCT(TRANSPOSE(FF$9:FF$34),$K86:$AJ86)</f>
        <v>1000</v>
      </c>
      <c r="FG86" s="12">
        <f t="array" ref="FG86">SUMPRODUCT(TRANSPOSE(FG$9:FG$34),$K86:$AJ86)</f>
        <v>1000</v>
      </c>
      <c r="FH86" s="12">
        <f t="array" ref="FH86">SUMPRODUCT(TRANSPOSE(FH$9:FH$34),$K86:$AJ86)</f>
        <v>1000</v>
      </c>
      <c r="FI86" s="12">
        <f t="array" ref="FI86">SUMPRODUCT(TRANSPOSE(FI$9:FI$34),$K86:$AJ86)</f>
        <v>1000</v>
      </c>
      <c r="FJ86" s="12">
        <f t="array" ref="FJ86">SUMPRODUCT(TRANSPOSE(FJ$9:FJ$34),$K86:$AJ86)</f>
        <v>1000</v>
      </c>
      <c r="FK86" s="12">
        <f t="array" ref="FK86">SUMPRODUCT(TRANSPOSE(FK$9:FK$34),$K86:$AJ86)</f>
        <v>1000</v>
      </c>
      <c r="FL86" s="12">
        <f t="array" ref="FL86">SUMPRODUCT(TRANSPOSE(FL$9:FL$34),$K86:$AJ86)</f>
        <v>1000</v>
      </c>
      <c r="FM86" s="12">
        <f t="array" ref="FM86">SUMPRODUCT(TRANSPOSE(FM$9:FM$34),$K86:$AJ86)</f>
        <v>1000</v>
      </c>
      <c r="FN86" s="12">
        <f t="array" ref="FN86">SUMPRODUCT(TRANSPOSE(FN$9:FN$34),$K86:$AJ86)</f>
        <v>1000</v>
      </c>
      <c r="FO86" s="12">
        <f t="array" ref="FO86">SUMPRODUCT(TRANSPOSE(FO$9:FO$34),$K86:$AJ86)</f>
        <v>44</v>
      </c>
    </row>
    <row r="87" spans="1:171" ht="14.25" x14ac:dyDescent="0.2">
      <c r="A87" s="13">
        <f t="shared" si="4"/>
        <v>52</v>
      </c>
      <c r="B87" s="13" t="s">
        <v>225</v>
      </c>
      <c r="C87" s="25" t="s">
        <v>226</v>
      </c>
      <c r="D87" s="13" t="s">
        <v>110</v>
      </c>
      <c r="E87" s="13">
        <v>405960186</v>
      </c>
      <c r="F87" s="26" t="s">
        <v>224</v>
      </c>
      <c r="G87" s="13"/>
      <c r="H87" s="13" t="s">
        <v>61</v>
      </c>
      <c r="I87" s="13">
        <v>1</v>
      </c>
      <c r="J87" s="13">
        <v>1</v>
      </c>
      <c r="K87" s="13">
        <v>0</v>
      </c>
      <c r="L87" s="13">
        <v>1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/>
      <c r="Z87" s="13"/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f t="shared" si="3"/>
        <v>1</v>
      </c>
      <c r="AL87" s="23">
        <f t="shared" si="2"/>
        <v>35198</v>
      </c>
      <c r="AM87" s="27"/>
      <c r="AN87" s="13" t="s">
        <v>158</v>
      </c>
      <c r="AO87" s="7" t="s">
        <v>159</v>
      </c>
      <c r="AP87" s="45">
        <v>0.6</v>
      </c>
      <c r="AQ87" s="12">
        <v>18000</v>
      </c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13"/>
      <c r="CG87" s="13"/>
      <c r="CH87" s="13"/>
      <c r="CI87" s="12"/>
      <c r="CJ87" s="12"/>
      <c r="CK87" s="12"/>
      <c r="CL87" s="12"/>
      <c r="CM87" s="12"/>
      <c r="CN87" s="12"/>
      <c r="CO87" s="12"/>
      <c r="CP87" s="12">
        <f>SUM($AQ87:BJ87)-SUM($EA87:EH87)</f>
        <v>14660</v>
      </c>
      <c r="CQ87" s="12">
        <f>SUM($AQ87:BK87)-SUM($EA87:EI87)</f>
        <v>14046</v>
      </c>
      <c r="CR87" s="12">
        <f>SUM($AQ87:BL87)-SUM($EA87:EJ87)</f>
        <v>13046</v>
      </c>
      <c r="CS87" s="12">
        <f>SUM($AQ87:BM87)-SUM($EA87:EK87)</f>
        <v>12046</v>
      </c>
      <c r="CT87" s="12">
        <f>SUM($AQ87:BN87)-SUM($EA87:EL87)</f>
        <v>11046</v>
      </c>
      <c r="CU87" s="12">
        <f>SUM($AQ87:BO87)-SUM($EA87:EM87)</f>
        <v>11046</v>
      </c>
      <c r="CV87" s="12">
        <f>SUM($AQ87:BP87)-SUM($EA87:EN87)</f>
        <v>10146</v>
      </c>
      <c r="CW87" s="12">
        <f>SUM($AQ87:BQ87)-SUM($EA87:EO87)</f>
        <v>9146</v>
      </c>
      <c r="CX87" s="12">
        <f>SUM($AQ87:BR87)-SUM($EA87:EP87)</f>
        <v>8146</v>
      </c>
      <c r="CY87" s="12">
        <f>SUM($AQ87:BS87)-SUM($EA87:EQ87)</f>
        <v>7146</v>
      </c>
      <c r="CZ87" s="12">
        <f>SUM($AQ87:BT87)-SUM($EA87:ER87)</f>
        <v>6146</v>
      </c>
      <c r="DA87" s="12">
        <f>SUM($AQ87:BU87)-SUM($EA87:ES87)</f>
        <v>5146</v>
      </c>
      <c r="DB87" s="12">
        <f>SUM($AQ87:BV87)-SUM($EA87:ET87)</f>
        <v>4146</v>
      </c>
      <c r="DC87" s="12">
        <f>SUM($AQ87:BW87)-SUM($EA87:EU87)</f>
        <v>3146</v>
      </c>
      <c r="DD87" s="12">
        <f>SUM($AQ87:BX87)-SUM($EA87:EV87)</f>
        <v>2146</v>
      </c>
      <c r="DE87" s="12">
        <f>SUM($AQ87:BY87)-SUM($EA87:EW87)</f>
        <v>1146</v>
      </c>
      <c r="DF87" s="12">
        <f>SUM($AQ87:BZ87)-SUM($EA87:EX87)</f>
        <v>146</v>
      </c>
      <c r="DG87" s="12">
        <f>SUM($AQ87:CA87)-SUM($EA87:EY87)</f>
        <v>-854</v>
      </c>
      <c r="DH87" s="12">
        <f>SUM($AQ87:CB87)-SUM($EA87:EZ87)</f>
        <v>-1854</v>
      </c>
      <c r="DI87" s="12">
        <f>SUM($AQ87:CC87)-SUM($EA87:FA87)</f>
        <v>-2854</v>
      </c>
      <c r="DJ87" s="12">
        <f>SUM($AQ87:CD87)-SUM($EA87:FB87)</f>
        <v>-3854</v>
      </c>
      <c r="DK87" s="12">
        <f>SUM($AQ87:CE87)-SUM($EA87:FC87)</f>
        <v>-4854</v>
      </c>
      <c r="DL87" s="12">
        <f>SUM($AQ87:CF87)-SUM($EA87:FD87)</f>
        <v>-5854</v>
      </c>
      <c r="DM87" s="12">
        <f>SUM($AQ87:CG87)-SUM($EA87:FE87)</f>
        <v>-6854</v>
      </c>
      <c r="DN87" s="12">
        <f>SUM($AQ87:CH87)-SUM($EA87:FF87)</f>
        <v>-7854</v>
      </c>
      <c r="DO87" s="12">
        <f>SUM($AQ87:CI87)-SUM($EA87:FG87)</f>
        <v>-8854</v>
      </c>
      <c r="DP87" s="12">
        <f>SUM($AQ87:CJ87)-SUM($EA87:FH87)</f>
        <v>-9854</v>
      </c>
      <c r="DQ87" s="12">
        <f>SUM($AQ87:CK87)-SUM($EA87:FI87)</f>
        <v>-10854</v>
      </c>
      <c r="DR87" s="12">
        <f>SUM($AQ87:CL87)-SUM($EA87:FJ87)</f>
        <v>-11854</v>
      </c>
      <c r="DS87" s="12">
        <f>SUM($AQ87:CM87)-SUM($EA87:FK87)</f>
        <v>-12854</v>
      </c>
      <c r="DT87" s="12">
        <f>SUM($AQ87:CN87)-SUM($EA87:FL87)</f>
        <v>-13854</v>
      </c>
      <c r="DU87" s="12">
        <f>SUM($AQ87:CO87)-SUM($EA87:FM87)</f>
        <v>-14854</v>
      </c>
      <c r="DV87" s="12">
        <f>SUM($AQ87:CP87)-SUM($EA87:FN87)</f>
        <v>-1194</v>
      </c>
      <c r="DW87" s="12">
        <f>SUM($AQ87:CQ87)-SUM($EA87:FO87)</f>
        <v>12808</v>
      </c>
      <c r="DX87" s="13"/>
      <c r="DY87" s="13"/>
      <c r="DZ87" s="13"/>
      <c r="EA87" s="12"/>
      <c r="EB87" s="12"/>
      <c r="EC87" s="12"/>
      <c r="ED87" s="12"/>
      <c r="EE87" s="12"/>
      <c r="EF87" s="12"/>
      <c r="EG87" s="12"/>
      <c r="EH87" s="12">
        <f t="array" ref="EH87">SUMPRODUCT(TRANSPOSE(EH$9:EH$34),$K87:$AJ87)</f>
        <v>3340</v>
      </c>
      <c r="EI87" s="12">
        <f t="array" ref="EI87">SUMPRODUCT(TRANSPOSE(EI$9:EI$34),$K87:$AJ87)</f>
        <v>614</v>
      </c>
      <c r="EJ87" s="12">
        <f t="array" ref="EJ87">SUMPRODUCT(TRANSPOSE(EJ$9:EJ$34),$K87:$AJ87)</f>
        <v>1000</v>
      </c>
      <c r="EK87" s="12">
        <f t="array" ref="EK87">SUMPRODUCT(TRANSPOSE(EK$9:EK$34),$K87:$AJ87)</f>
        <v>1000</v>
      </c>
      <c r="EL87" s="12">
        <f t="array" ref="EL87">SUMPRODUCT(TRANSPOSE(EL$9:EL$34),$K87:$AJ87)</f>
        <v>1000</v>
      </c>
      <c r="EM87" s="12">
        <f t="array" ref="EM87">SUMPRODUCT(TRANSPOSE(EM$9:EM$34),$K87:$AJ87)</f>
        <v>0</v>
      </c>
      <c r="EN87" s="12">
        <f t="array" ref="EN87">SUMPRODUCT(TRANSPOSE(EN$9:EN$34),$K87:$AJ87)</f>
        <v>900</v>
      </c>
      <c r="EO87" s="12">
        <f t="array" ref="EO87">SUMPRODUCT(TRANSPOSE(EO$9:EO$34),$K87:$AJ87)</f>
        <v>1000</v>
      </c>
      <c r="EP87" s="12">
        <f t="array" ref="EP87">SUMPRODUCT(TRANSPOSE(EP$9:EP$34),$K87:$AJ87)</f>
        <v>1000</v>
      </c>
      <c r="EQ87" s="12">
        <f t="array" ref="EQ87">SUMPRODUCT(TRANSPOSE(EQ$9:EQ$34),$K87:$AJ87)</f>
        <v>1000</v>
      </c>
      <c r="ER87" s="12">
        <f t="array" ref="ER87">SUMPRODUCT(TRANSPOSE(ER$9:ER$34),$K87:$AJ87)</f>
        <v>1000</v>
      </c>
      <c r="ES87" s="12">
        <f t="array" ref="ES87">SUMPRODUCT(TRANSPOSE(ES$9:ES$34),$K87:$AJ87)</f>
        <v>1000</v>
      </c>
      <c r="ET87" s="12">
        <f t="array" ref="ET87">SUMPRODUCT(TRANSPOSE(ET$9:ET$34),$K87:$AJ87)</f>
        <v>1000</v>
      </c>
      <c r="EU87" s="12">
        <f t="array" ref="EU87">SUMPRODUCT(TRANSPOSE(EU$9:EU$34),$K87:$AJ87)</f>
        <v>1000</v>
      </c>
      <c r="EV87" s="12">
        <f t="array" ref="EV87">SUMPRODUCT(TRANSPOSE(EV$9:EV$34),$K87:$AJ87)</f>
        <v>1000</v>
      </c>
      <c r="EW87" s="12">
        <f t="array" ref="EW87">SUMPRODUCT(TRANSPOSE(EW$9:EW$34),$K87:$AJ87)</f>
        <v>1000</v>
      </c>
      <c r="EX87" s="12">
        <f t="array" ref="EX87">SUMPRODUCT(TRANSPOSE(EX$9:EX$34),$K87:$AJ87)</f>
        <v>1000</v>
      </c>
      <c r="EY87" s="12">
        <f t="array" ref="EY87">SUMPRODUCT(TRANSPOSE(EY$9:EY$34),$K87:$AJ87)</f>
        <v>1000</v>
      </c>
      <c r="EZ87" s="12">
        <f t="array" ref="EZ87">SUMPRODUCT(TRANSPOSE(EZ$9:EZ$34),$K87:$AJ87)</f>
        <v>1000</v>
      </c>
      <c r="FA87" s="12">
        <f t="array" ref="FA87">SUMPRODUCT(TRANSPOSE(FA$9:FA$34),$K87:$AJ87)</f>
        <v>1000</v>
      </c>
      <c r="FB87" s="12">
        <f t="array" ref="FB87">SUMPRODUCT(TRANSPOSE(FB$9:FB$34),$K87:$AJ87)</f>
        <v>1000</v>
      </c>
      <c r="FC87" s="12">
        <f t="array" ref="FC87">SUMPRODUCT(TRANSPOSE(FC$9:FC$34),$K87:$AJ87)</f>
        <v>1000</v>
      </c>
      <c r="FD87" s="12">
        <f t="array" ref="FD87">SUMPRODUCT(TRANSPOSE(FD$9:FD$34),$K87:$AJ87)</f>
        <v>1000</v>
      </c>
      <c r="FE87" s="12">
        <f t="array" ref="FE87">SUMPRODUCT(TRANSPOSE(FE$9:FE$34),$K87:$AJ87)</f>
        <v>1000</v>
      </c>
      <c r="FF87" s="12">
        <f t="array" ref="FF87">SUMPRODUCT(TRANSPOSE(FF$9:FF$34),$K87:$AJ87)</f>
        <v>1000</v>
      </c>
      <c r="FG87" s="12">
        <f t="array" ref="FG87">SUMPRODUCT(TRANSPOSE(FG$9:FG$34),$K87:$AJ87)</f>
        <v>1000</v>
      </c>
      <c r="FH87" s="12">
        <f t="array" ref="FH87">SUMPRODUCT(TRANSPOSE(FH$9:FH$34),$K87:$AJ87)</f>
        <v>1000</v>
      </c>
      <c r="FI87" s="12">
        <f t="array" ref="FI87">SUMPRODUCT(TRANSPOSE(FI$9:FI$34),$K87:$AJ87)</f>
        <v>1000</v>
      </c>
      <c r="FJ87" s="12">
        <f t="array" ref="FJ87">SUMPRODUCT(TRANSPOSE(FJ$9:FJ$34),$K87:$AJ87)</f>
        <v>1000</v>
      </c>
      <c r="FK87" s="12">
        <f t="array" ref="FK87">SUMPRODUCT(TRANSPOSE(FK$9:FK$34),$K87:$AJ87)</f>
        <v>1000</v>
      </c>
      <c r="FL87" s="12">
        <f t="array" ref="FL87">SUMPRODUCT(TRANSPOSE(FL$9:FL$34),$K87:$AJ87)</f>
        <v>1000</v>
      </c>
      <c r="FM87" s="12">
        <f t="array" ref="FM87">SUMPRODUCT(TRANSPOSE(FM$9:FM$34),$K87:$AJ87)</f>
        <v>1000</v>
      </c>
      <c r="FN87" s="12">
        <f t="array" ref="FN87">SUMPRODUCT(TRANSPOSE(FN$9:FN$34),$K87:$AJ87)</f>
        <v>1000</v>
      </c>
      <c r="FO87" s="12">
        <f t="array" ref="FO87">SUMPRODUCT(TRANSPOSE(FO$9:FO$34),$K87:$AJ87)</f>
        <v>44</v>
      </c>
    </row>
    <row r="88" spans="1:171" ht="14.25" x14ac:dyDescent="0.2">
      <c r="A88" s="13">
        <f t="shared" si="4"/>
        <v>53</v>
      </c>
      <c r="B88" s="13" t="s">
        <v>227</v>
      </c>
      <c r="C88" s="25" t="s">
        <v>228</v>
      </c>
      <c r="D88" s="13">
        <v>-1</v>
      </c>
      <c r="E88" s="13">
        <v>411235297</v>
      </c>
      <c r="F88" s="26" t="s">
        <v>229</v>
      </c>
      <c r="G88" s="13"/>
      <c r="H88" s="13" t="s">
        <v>61</v>
      </c>
      <c r="I88" s="13">
        <v>1</v>
      </c>
      <c r="J88" s="13">
        <v>1</v>
      </c>
      <c r="K88" s="13">
        <v>0</v>
      </c>
      <c r="L88" s="13">
        <v>0</v>
      </c>
      <c r="M88" s="13">
        <v>0</v>
      </c>
      <c r="N88" s="13">
        <v>1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/>
      <c r="Z88" s="13"/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f t="shared" si="3"/>
        <v>1</v>
      </c>
      <c r="AL88" s="23">
        <f t="shared" si="2"/>
        <v>35231</v>
      </c>
      <c r="AM88" s="13"/>
      <c r="AN88" s="13" t="s">
        <v>199</v>
      </c>
      <c r="AO88" s="7" t="s">
        <v>230</v>
      </c>
      <c r="AP88" s="38">
        <v>62.35</v>
      </c>
      <c r="AQ88" s="12">
        <v>13162</v>
      </c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13"/>
      <c r="CG88" s="13"/>
      <c r="CH88" s="13"/>
      <c r="CI88" s="12"/>
      <c r="CJ88" s="12"/>
      <c r="CK88" s="12"/>
      <c r="CL88" s="12"/>
      <c r="CM88" s="12"/>
      <c r="CN88" s="12"/>
      <c r="CO88" s="12"/>
      <c r="CP88" s="12">
        <f>SUM($AQ88:BJ88)-SUM($EA88:EH88)</f>
        <v>9208</v>
      </c>
      <c r="CQ88" s="12">
        <f>SUM($AQ88:BK88)-SUM($EA88:EI88)</f>
        <v>9208</v>
      </c>
      <c r="CR88" s="12">
        <f>SUM($AQ88:BL88)-SUM($EA88:EJ88)</f>
        <v>8208</v>
      </c>
      <c r="CS88" s="12">
        <f>SUM($AQ88:BM88)-SUM($EA88:EK88)</f>
        <v>7208</v>
      </c>
      <c r="CT88" s="12">
        <f>SUM($AQ88:BN88)-SUM($EA88:EL88)</f>
        <v>6208</v>
      </c>
      <c r="CU88" s="12">
        <f>SUM($AQ88:BO88)-SUM($EA88:EM88)</f>
        <v>6208</v>
      </c>
      <c r="CV88" s="12">
        <f>SUM($AQ88:BP88)-SUM($EA88:EN88)</f>
        <v>5308</v>
      </c>
      <c r="CW88" s="12">
        <f>SUM($AQ88:BQ88)-SUM($EA88:EO88)</f>
        <v>4308</v>
      </c>
      <c r="CX88" s="12">
        <f>SUM($AQ88:BR88)-SUM($EA88:EP88)</f>
        <v>3308</v>
      </c>
      <c r="CY88" s="12">
        <f>SUM($AQ88:BS88)-SUM($EA88:EQ88)</f>
        <v>2308</v>
      </c>
      <c r="CZ88" s="12">
        <f>SUM($AQ88:BT88)-SUM($EA88:ER88)</f>
        <v>1308</v>
      </c>
      <c r="DA88" s="12">
        <f>SUM($AQ88:BU88)-SUM($EA88:ES88)</f>
        <v>308</v>
      </c>
      <c r="DB88" s="12">
        <f>SUM($AQ88:BV88)-SUM($EA88:ET88)</f>
        <v>-692</v>
      </c>
      <c r="DC88" s="12">
        <f>SUM($AQ88:BW88)-SUM($EA88:EU88)</f>
        <v>-1692</v>
      </c>
      <c r="DD88" s="12">
        <f>SUM($AQ88:BX88)-SUM($EA88:EV88)</f>
        <v>-2692</v>
      </c>
      <c r="DE88" s="12">
        <f>SUM($AQ88:BY88)-SUM($EA88:EW88)</f>
        <v>-3692</v>
      </c>
      <c r="DF88" s="12">
        <f>SUM($AQ88:BZ88)-SUM($EA88:EX88)</f>
        <v>-4692</v>
      </c>
      <c r="DG88" s="12">
        <f>SUM($AQ88:CA88)-SUM($EA88:EY88)</f>
        <v>-5692</v>
      </c>
      <c r="DH88" s="12">
        <f>SUM($AQ88:CB88)-SUM($EA88:EZ88)</f>
        <v>-6692</v>
      </c>
      <c r="DI88" s="12">
        <f>SUM($AQ88:CC88)-SUM($EA88:FA88)</f>
        <v>-7692</v>
      </c>
      <c r="DJ88" s="12">
        <f>SUM($AQ88:CD88)-SUM($EA88:FB88)</f>
        <v>-8692</v>
      </c>
      <c r="DK88" s="12">
        <f>SUM($AQ88:CE88)-SUM($EA88:FC88)</f>
        <v>-9692</v>
      </c>
      <c r="DL88" s="12">
        <f>SUM($AQ88:CF88)-SUM($EA88:FD88)</f>
        <v>-10692</v>
      </c>
      <c r="DM88" s="12">
        <f>SUM($AQ88:CG88)-SUM($EA88:FE88)</f>
        <v>-11692</v>
      </c>
      <c r="DN88" s="12">
        <f>SUM($AQ88:CH88)-SUM($EA88:FF88)</f>
        <v>-12692</v>
      </c>
      <c r="DO88" s="12">
        <f>SUM($AQ88:CI88)-SUM($EA88:FG88)</f>
        <v>-13692</v>
      </c>
      <c r="DP88" s="12">
        <f>SUM($AQ88:CJ88)-SUM($EA88:FH88)</f>
        <v>-14692</v>
      </c>
      <c r="DQ88" s="12">
        <f>SUM($AQ88:CK88)-SUM($EA88:FI88)</f>
        <v>-15692</v>
      </c>
      <c r="DR88" s="12">
        <f>SUM($AQ88:CL88)-SUM($EA88:FJ88)</f>
        <v>-16692</v>
      </c>
      <c r="DS88" s="12">
        <f>SUM($AQ88:CM88)-SUM($EA88:FK88)</f>
        <v>-17692</v>
      </c>
      <c r="DT88" s="12">
        <f>SUM($AQ88:CN88)-SUM($EA88:FL88)</f>
        <v>-18692</v>
      </c>
      <c r="DU88" s="12">
        <f>SUM($AQ88:CO88)-SUM($EA88:FM88)</f>
        <v>-19692</v>
      </c>
      <c r="DV88" s="12">
        <f>SUM($AQ88:CP88)-SUM($EA88:FN88)</f>
        <v>-11484</v>
      </c>
      <c r="DW88" s="12">
        <f>SUM($AQ88:CQ88)-SUM($EA88:FO88)</f>
        <v>-2353</v>
      </c>
      <c r="DX88" s="13"/>
      <c r="DY88" s="13"/>
      <c r="DZ88" s="13"/>
      <c r="EA88" s="12"/>
      <c r="EB88" s="12"/>
      <c r="EC88" s="12"/>
      <c r="ED88" s="12"/>
      <c r="EE88" s="12"/>
      <c r="EF88" s="12"/>
      <c r="EG88" s="12"/>
      <c r="EH88" s="12">
        <f t="array" ref="EH88">SUMPRODUCT(TRANSPOSE(EH$9:EH$34),$K88:$AJ88)</f>
        <v>3954</v>
      </c>
      <c r="EI88" s="12">
        <f t="array" ref="EI88">SUMPRODUCT(TRANSPOSE(EI$9:EI$34),$K88:$AJ88)</f>
        <v>0</v>
      </c>
      <c r="EJ88" s="12">
        <f t="array" ref="EJ88">SUMPRODUCT(TRANSPOSE(EJ$9:EJ$34),$K88:$AJ88)</f>
        <v>1000</v>
      </c>
      <c r="EK88" s="12">
        <f t="array" ref="EK88">SUMPRODUCT(TRANSPOSE(EK$9:EK$34),$K88:$AJ88)</f>
        <v>1000</v>
      </c>
      <c r="EL88" s="12">
        <f t="array" ref="EL88">SUMPRODUCT(TRANSPOSE(EL$9:EL$34),$K88:$AJ88)</f>
        <v>1000</v>
      </c>
      <c r="EM88" s="12">
        <f t="array" ref="EM88">SUMPRODUCT(TRANSPOSE(EM$9:EM$34),$K88:$AJ88)</f>
        <v>0</v>
      </c>
      <c r="EN88" s="12">
        <f t="array" ref="EN88">SUMPRODUCT(TRANSPOSE(EN$9:EN$34),$K88:$AJ88)</f>
        <v>900</v>
      </c>
      <c r="EO88" s="12">
        <f t="array" ref="EO88">SUMPRODUCT(TRANSPOSE(EO$9:EO$34),$K88:$AJ88)</f>
        <v>1000</v>
      </c>
      <c r="EP88" s="12">
        <f t="array" ref="EP88">SUMPRODUCT(TRANSPOSE(EP$9:EP$34),$K88:$AJ88)</f>
        <v>1000</v>
      </c>
      <c r="EQ88" s="12">
        <f t="array" ref="EQ88">SUMPRODUCT(TRANSPOSE(EQ$9:EQ$34),$K88:$AJ88)</f>
        <v>1000</v>
      </c>
      <c r="ER88" s="12">
        <f t="array" ref="ER88">SUMPRODUCT(TRANSPOSE(ER$9:ER$34),$K88:$AJ88)</f>
        <v>1000</v>
      </c>
      <c r="ES88" s="12">
        <f t="array" ref="ES88">SUMPRODUCT(TRANSPOSE(ES$9:ES$34),$K88:$AJ88)</f>
        <v>1000</v>
      </c>
      <c r="ET88" s="12">
        <f t="array" ref="ET88">SUMPRODUCT(TRANSPOSE(ET$9:ET$34),$K88:$AJ88)</f>
        <v>1000</v>
      </c>
      <c r="EU88" s="12">
        <f t="array" ref="EU88">SUMPRODUCT(TRANSPOSE(EU$9:EU$34),$K88:$AJ88)</f>
        <v>1000</v>
      </c>
      <c r="EV88" s="12">
        <f t="array" ref="EV88">SUMPRODUCT(TRANSPOSE(EV$9:EV$34),$K88:$AJ88)</f>
        <v>1000</v>
      </c>
      <c r="EW88" s="12">
        <f t="array" ref="EW88">SUMPRODUCT(TRANSPOSE(EW$9:EW$34),$K88:$AJ88)</f>
        <v>1000</v>
      </c>
      <c r="EX88" s="12">
        <f t="array" ref="EX88">SUMPRODUCT(TRANSPOSE(EX$9:EX$34),$K88:$AJ88)</f>
        <v>1000</v>
      </c>
      <c r="EY88" s="12">
        <f t="array" ref="EY88">SUMPRODUCT(TRANSPOSE(EY$9:EY$34),$K88:$AJ88)</f>
        <v>1000</v>
      </c>
      <c r="EZ88" s="12">
        <f t="array" ref="EZ88">SUMPRODUCT(TRANSPOSE(EZ$9:EZ$34),$K88:$AJ88)</f>
        <v>1000</v>
      </c>
      <c r="FA88" s="12">
        <f t="array" ref="FA88">SUMPRODUCT(TRANSPOSE(FA$9:FA$34),$K88:$AJ88)</f>
        <v>1000</v>
      </c>
      <c r="FB88" s="12">
        <f t="array" ref="FB88">SUMPRODUCT(TRANSPOSE(FB$9:FB$34),$K88:$AJ88)</f>
        <v>1000</v>
      </c>
      <c r="FC88" s="12">
        <f t="array" ref="FC88">SUMPRODUCT(TRANSPOSE(FC$9:FC$34),$K88:$AJ88)</f>
        <v>1000</v>
      </c>
      <c r="FD88" s="12">
        <f t="array" ref="FD88">SUMPRODUCT(TRANSPOSE(FD$9:FD$34),$K88:$AJ88)</f>
        <v>1000</v>
      </c>
      <c r="FE88" s="12">
        <f t="array" ref="FE88">SUMPRODUCT(TRANSPOSE(FE$9:FE$34),$K88:$AJ88)</f>
        <v>1000</v>
      </c>
      <c r="FF88" s="12">
        <f t="array" ref="FF88">SUMPRODUCT(TRANSPOSE(FF$9:FF$34),$K88:$AJ88)</f>
        <v>1000</v>
      </c>
      <c r="FG88" s="12">
        <f t="array" ref="FG88">SUMPRODUCT(TRANSPOSE(FG$9:FG$34),$K88:$AJ88)</f>
        <v>1000</v>
      </c>
      <c r="FH88" s="12">
        <f t="array" ref="FH88">SUMPRODUCT(TRANSPOSE(FH$9:FH$34),$K88:$AJ88)</f>
        <v>1000</v>
      </c>
      <c r="FI88" s="12">
        <f t="array" ref="FI88">SUMPRODUCT(TRANSPOSE(FI$9:FI$34),$K88:$AJ88)</f>
        <v>1000</v>
      </c>
      <c r="FJ88" s="12">
        <f t="array" ref="FJ88">SUMPRODUCT(TRANSPOSE(FJ$9:FJ$34),$K88:$AJ88)</f>
        <v>1000</v>
      </c>
      <c r="FK88" s="12">
        <f t="array" ref="FK88">SUMPRODUCT(TRANSPOSE(FK$9:FK$34),$K88:$AJ88)</f>
        <v>1000</v>
      </c>
      <c r="FL88" s="12">
        <f t="array" ref="FL88">SUMPRODUCT(TRANSPOSE(FL$9:FL$34),$K88:$AJ88)</f>
        <v>1000</v>
      </c>
      <c r="FM88" s="12">
        <f t="array" ref="FM88">SUMPRODUCT(TRANSPOSE(FM$9:FM$34),$K88:$AJ88)</f>
        <v>1000</v>
      </c>
      <c r="FN88" s="12">
        <f t="array" ref="FN88">SUMPRODUCT(TRANSPOSE(FN$9:FN$34),$K88:$AJ88)</f>
        <v>1000</v>
      </c>
      <c r="FO88" s="12">
        <f t="array" ref="FO88">SUMPRODUCT(TRANSPOSE(FO$9:FO$34),$K88:$AJ88)</f>
        <v>77</v>
      </c>
    </row>
    <row r="89" spans="1:171" ht="14.25" x14ac:dyDescent="0.2">
      <c r="A89" s="13">
        <f t="shared" si="4"/>
        <v>54</v>
      </c>
      <c r="B89" s="13" t="s">
        <v>231</v>
      </c>
      <c r="C89" s="25" t="s">
        <v>232</v>
      </c>
      <c r="D89" s="13" t="s">
        <v>110</v>
      </c>
      <c r="E89" s="13">
        <v>416606164</v>
      </c>
      <c r="F89" s="26" t="s">
        <v>233</v>
      </c>
      <c r="G89" s="13"/>
      <c r="H89" s="13" t="s">
        <v>61</v>
      </c>
      <c r="I89" s="13">
        <v>1</v>
      </c>
      <c r="J89" s="13">
        <v>4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2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2</v>
      </c>
      <c r="Z89" s="13"/>
      <c r="AA89" s="13">
        <v>0</v>
      </c>
      <c r="AB89" s="13">
        <v>0</v>
      </c>
      <c r="AC89" s="13">
        <v>2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f t="shared" si="3"/>
        <v>6</v>
      </c>
      <c r="AL89" s="23">
        <f t="shared" si="2"/>
        <v>71330</v>
      </c>
      <c r="AM89" s="13"/>
      <c r="AN89" s="13" t="s">
        <v>128</v>
      </c>
      <c r="AO89" s="7" t="s">
        <v>0</v>
      </c>
      <c r="AP89" s="38">
        <v>1.65</v>
      </c>
      <c r="AQ89" s="12">
        <v>71106</v>
      </c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13"/>
      <c r="CG89" s="13"/>
      <c r="CH89" s="13"/>
      <c r="CI89" s="12"/>
      <c r="CJ89" s="12"/>
      <c r="CK89" s="12"/>
      <c r="CL89" s="12"/>
      <c r="CM89" s="12"/>
      <c r="CN89" s="12"/>
      <c r="CO89" s="12"/>
      <c r="CP89" s="12">
        <f>SUM($AQ89:BJ89)-SUM($EA89:EH89)</f>
        <v>64888</v>
      </c>
      <c r="CQ89" s="12">
        <f>SUM($AQ89:BK89)-SUM($EA89:EI89)</f>
        <v>64326</v>
      </c>
      <c r="CR89" s="12">
        <f>SUM($AQ89:BL89)-SUM($EA89:EJ89)</f>
        <v>64326</v>
      </c>
      <c r="CS89" s="12">
        <f>SUM($AQ89:BM89)-SUM($EA89:EK89)</f>
        <v>64126</v>
      </c>
      <c r="CT89" s="12">
        <f>SUM($AQ89:BN89)-SUM($EA89:EL89)</f>
        <v>62126</v>
      </c>
      <c r="CU89" s="12">
        <f>SUM($AQ89:BO89)-SUM($EA89:EM89)</f>
        <v>58126</v>
      </c>
      <c r="CV89" s="12">
        <f>SUM($AQ89:BP89)-SUM($EA89:EN89)</f>
        <v>55926</v>
      </c>
      <c r="CW89" s="12">
        <f>SUM($AQ89:BQ89)-SUM($EA89:EO89)</f>
        <v>53926</v>
      </c>
      <c r="CX89" s="12">
        <f>SUM($AQ89:BR89)-SUM($EA89:EP89)</f>
        <v>51926</v>
      </c>
      <c r="CY89" s="12">
        <f>SUM($AQ89:BS89)-SUM($EA89:EQ89)</f>
        <v>49926</v>
      </c>
      <c r="CZ89" s="12">
        <f>SUM($AQ89:BT89)-SUM($EA89:ER89)</f>
        <v>47926</v>
      </c>
      <c r="DA89" s="12">
        <f>SUM($AQ89:BU89)-SUM($EA89:ES89)</f>
        <v>45926</v>
      </c>
      <c r="DB89" s="12">
        <f>SUM($AQ89:BV89)-SUM($EA89:ET89)</f>
        <v>43926</v>
      </c>
      <c r="DC89" s="12">
        <f>SUM($AQ89:BW89)-SUM($EA89:EU89)</f>
        <v>41926</v>
      </c>
      <c r="DD89" s="12">
        <f>SUM($AQ89:BX89)-SUM($EA89:EV89)</f>
        <v>39926</v>
      </c>
      <c r="DE89" s="12">
        <f>SUM($AQ89:BY89)-SUM($EA89:EW89)</f>
        <v>37926</v>
      </c>
      <c r="DF89" s="12">
        <f>SUM($AQ89:BZ89)-SUM($EA89:EX89)</f>
        <v>35926</v>
      </c>
      <c r="DG89" s="12">
        <f>SUM($AQ89:CA89)-SUM($EA89:EY89)</f>
        <v>33926</v>
      </c>
      <c r="DH89" s="12">
        <f>SUM($AQ89:CB89)-SUM($EA89:EZ89)</f>
        <v>31926</v>
      </c>
      <c r="DI89" s="12">
        <f>SUM($AQ89:CC89)-SUM($EA89:FA89)</f>
        <v>29926</v>
      </c>
      <c r="DJ89" s="12">
        <f>SUM($AQ89:CD89)-SUM($EA89:FB89)</f>
        <v>27926</v>
      </c>
      <c r="DK89" s="12">
        <f>SUM($AQ89:CE89)-SUM($EA89:FC89)</f>
        <v>25926</v>
      </c>
      <c r="DL89" s="12">
        <f>SUM($AQ89:CF89)-SUM($EA89:FD89)</f>
        <v>23926</v>
      </c>
      <c r="DM89" s="12">
        <f>SUM($AQ89:CG89)-SUM($EA89:FE89)</f>
        <v>21926</v>
      </c>
      <c r="DN89" s="12">
        <f>SUM($AQ89:CH89)-SUM($EA89:FF89)</f>
        <v>19926</v>
      </c>
      <c r="DO89" s="12">
        <f>SUM($AQ89:CI89)-SUM($EA89:FG89)</f>
        <v>17926</v>
      </c>
      <c r="DP89" s="12">
        <f>SUM($AQ89:CJ89)-SUM($EA89:FH89)</f>
        <v>15926</v>
      </c>
      <c r="DQ89" s="12">
        <f>SUM($AQ89:CK89)-SUM($EA89:FI89)</f>
        <v>13926</v>
      </c>
      <c r="DR89" s="12">
        <f>SUM($AQ89:CL89)-SUM($EA89:FJ89)</f>
        <v>11926</v>
      </c>
      <c r="DS89" s="12">
        <f>SUM($AQ89:CM89)-SUM($EA89:FK89)</f>
        <v>9926</v>
      </c>
      <c r="DT89" s="12">
        <f>SUM($AQ89:CN89)-SUM($EA89:FL89)</f>
        <v>7926</v>
      </c>
      <c r="DU89" s="12">
        <f>SUM($AQ89:CO89)-SUM($EA89:FM89)</f>
        <v>5926</v>
      </c>
      <c r="DV89" s="12">
        <f>SUM($AQ89:CP89)-SUM($EA89:FN89)</f>
        <v>69180</v>
      </c>
      <c r="DW89" s="12">
        <f>SUM($AQ89:CQ89)-SUM($EA89:FO89)</f>
        <v>133506</v>
      </c>
      <c r="DX89" s="13"/>
      <c r="DY89" s="13"/>
      <c r="DZ89" s="13"/>
      <c r="EA89" s="12"/>
      <c r="EB89" s="12"/>
      <c r="EC89" s="12"/>
      <c r="ED89" s="12"/>
      <c r="EE89" s="12"/>
      <c r="EF89" s="12"/>
      <c r="EG89" s="12"/>
      <c r="EH89" s="12">
        <f t="array" ref="EH89">SUMPRODUCT(TRANSPOSE(EH$9:EH$34),$K89:$AJ89)</f>
        <v>6218</v>
      </c>
      <c r="EI89" s="12">
        <f t="array" ref="EI89">SUMPRODUCT(TRANSPOSE(EI$9:EI$34),$K89:$AJ89)</f>
        <v>562</v>
      </c>
      <c r="EJ89" s="12">
        <f t="array" ref="EJ89">SUMPRODUCT(TRANSPOSE(EJ$9:EJ$34),$K89:$AJ89)</f>
        <v>0</v>
      </c>
      <c r="EK89" s="12">
        <f t="array" ref="EK89">SUMPRODUCT(TRANSPOSE(EK$9:EK$34),$K89:$AJ89)</f>
        <v>200</v>
      </c>
      <c r="EL89" s="12">
        <f t="array" ref="EL89">SUMPRODUCT(TRANSPOSE(EL$9:EL$34),$K89:$AJ89)</f>
        <v>2000</v>
      </c>
      <c r="EM89" s="12">
        <f t="array" ref="EM89">SUMPRODUCT(TRANSPOSE(EM$9:EM$34),$K89:$AJ89)</f>
        <v>4000</v>
      </c>
      <c r="EN89" s="12">
        <f t="array" ref="EN89">SUMPRODUCT(TRANSPOSE(EN$9:EN$34),$K89:$AJ89)</f>
        <v>2200</v>
      </c>
      <c r="EO89" s="12">
        <f t="array" ref="EO89">SUMPRODUCT(TRANSPOSE(EO$9:EO$34),$K89:$AJ89)</f>
        <v>2000</v>
      </c>
      <c r="EP89" s="12">
        <f t="array" ref="EP89">SUMPRODUCT(TRANSPOSE(EP$9:EP$34),$K89:$AJ89)</f>
        <v>2000</v>
      </c>
      <c r="EQ89" s="12">
        <f t="array" ref="EQ89">SUMPRODUCT(TRANSPOSE(EQ$9:EQ$34),$K89:$AJ89)</f>
        <v>2000</v>
      </c>
      <c r="ER89" s="12">
        <f t="array" ref="ER89">SUMPRODUCT(TRANSPOSE(ER$9:ER$34),$K89:$AJ89)</f>
        <v>2000</v>
      </c>
      <c r="ES89" s="12">
        <f t="array" ref="ES89">SUMPRODUCT(TRANSPOSE(ES$9:ES$34),$K89:$AJ89)</f>
        <v>2000</v>
      </c>
      <c r="ET89" s="12">
        <f t="array" ref="ET89">SUMPRODUCT(TRANSPOSE(ET$9:ET$34),$K89:$AJ89)</f>
        <v>2000</v>
      </c>
      <c r="EU89" s="12">
        <f t="array" ref="EU89">SUMPRODUCT(TRANSPOSE(EU$9:EU$34),$K89:$AJ89)</f>
        <v>2000</v>
      </c>
      <c r="EV89" s="12">
        <f t="array" ref="EV89">SUMPRODUCT(TRANSPOSE(EV$9:EV$34),$K89:$AJ89)</f>
        <v>2000</v>
      </c>
      <c r="EW89" s="12">
        <f t="array" ref="EW89">SUMPRODUCT(TRANSPOSE(EW$9:EW$34),$K89:$AJ89)</f>
        <v>2000</v>
      </c>
      <c r="EX89" s="12">
        <f t="array" ref="EX89">SUMPRODUCT(TRANSPOSE(EX$9:EX$34),$K89:$AJ89)</f>
        <v>2000</v>
      </c>
      <c r="EY89" s="12">
        <f t="array" ref="EY89">SUMPRODUCT(TRANSPOSE(EY$9:EY$34),$K89:$AJ89)</f>
        <v>2000</v>
      </c>
      <c r="EZ89" s="12">
        <f t="array" ref="EZ89">SUMPRODUCT(TRANSPOSE(EZ$9:EZ$34),$K89:$AJ89)</f>
        <v>2000</v>
      </c>
      <c r="FA89" s="12">
        <f t="array" ref="FA89">SUMPRODUCT(TRANSPOSE(FA$9:FA$34),$K89:$AJ89)</f>
        <v>2000</v>
      </c>
      <c r="FB89" s="12">
        <f t="array" ref="FB89">SUMPRODUCT(TRANSPOSE(FB$9:FB$34),$K89:$AJ89)</f>
        <v>2000</v>
      </c>
      <c r="FC89" s="12">
        <f t="array" ref="FC89">SUMPRODUCT(TRANSPOSE(FC$9:FC$34),$K89:$AJ89)</f>
        <v>2000</v>
      </c>
      <c r="FD89" s="12">
        <f t="array" ref="FD89">SUMPRODUCT(TRANSPOSE(FD$9:FD$34),$K89:$AJ89)</f>
        <v>2000</v>
      </c>
      <c r="FE89" s="12">
        <f t="array" ref="FE89">SUMPRODUCT(TRANSPOSE(FE$9:FE$34),$K89:$AJ89)</f>
        <v>2000</v>
      </c>
      <c r="FF89" s="12">
        <f t="array" ref="FF89">SUMPRODUCT(TRANSPOSE(FF$9:FF$34),$K89:$AJ89)</f>
        <v>2000</v>
      </c>
      <c r="FG89" s="12">
        <f t="array" ref="FG89">SUMPRODUCT(TRANSPOSE(FG$9:FG$34),$K89:$AJ89)</f>
        <v>2000</v>
      </c>
      <c r="FH89" s="12">
        <f t="array" ref="FH89">SUMPRODUCT(TRANSPOSE(FH$9:FH$34),$K89:$AJ89)</f>
        <v>2000</v>
      </c>
      <c r="FI89" s="12">
        <f t="array" ref="FI89">SUMPRODUCT(TRANSPOSE(FI$9:FI$34),$K89:$AJ89)</f>
        <v>2000</v>
      </c>
      <c r="FJ89" s="12">
        <f t="array" ref="FJ89">SUMPRODUCT(TRANSPOSE(FJ$9:FJ$34),$K89:$AJ89)</f>
        <v>2000</v>
      </c>
      <c r="FK89" s="12">
        <f t="array" ref="FK89">SUMPRODUCT(TRANSPOSE(FK$9:FK$34),$K89:$AJ89)</f>
        <v>2000</v>
      </c>
      <c r="FL89" s="12">
        <f t="array" ref="FL89">SUMPRODUCT(TRANSPOSE(FL$9:FL$34),$K89:$AJ89)</f>
        <v>2000</v>
      </c>
      <c r="FM89" s="12">
        <f t="array" ref="FM89">SUMPRODUCT(TRANSPOSE(FM$9:FM$34),$K89:$AJ89)</f>
        <v>2000</v>
      </c>
      <c r="FN89" s="12">
        <f t="array" ref="FN89">SUMPRODUCT(TRANSPOSE(FN$9:FN$34),$K89:$AJ89)</f>
        <v>1634</v>
      </c>
      <c r="FO89" s="12">
        <f t="array" ref="FO89">SUMPRODUCT(TRANSPOSE(FO$9:FO$34),$K89:$AJ89)</f>
        <v>0</v>
      </c>
    </row>
    <row r="90" spans="1:171" ht="14.25" x14ac:dyDescent="0.2">
      <c r="A90" s="13">
        <f t="shared" si="4"/>
        <v>55</v>
      </c>
      <c r="B90" s="13" t="s">
        <v>234</v>
      </c>
      <c r="C90" s="25" t="s">
        <v>45</v>
      </c>
      <c r="D90" s="13" t="s">
        <v>60</v>
      </c>
      <c r="E90" s="13">
        <v>418238655</v>
      </c>
      <c r="F90" s="26" t="s">
        <v>16</v>
      </c>
      <c r="G90" s="13"/>
      <c r="H90" s="13" t="s">
        <v>61</v>
      </c>
      <c r="I90" s="13">
        <v>1</v>
      </c>
      <c r="J90" s="13">
        <v>2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1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/>
      <c r="Z90" s="13">
        <v>1</v>
      </c>
      <c r="AA90" s="13">
        <v>0</v>
      </c>
      <c r="AB90" s="13">
        <v>0</v>
      </c>
      <c r="AC90" s="13">
        <v>0</v>
      </c>
      <c r="AD90" s="13">
        <v>1</v>
      </c>
      <c r="AE90" s="13">
        <v>1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f t="shared" si="3"/>
        <v>3</v>
      </c>
      <c r="AL90" s="23">
        <f t="shared" si="2"/>
        <v>35665</v>
      </c>
      <c r="AM90" s="27" t="s">
        <v>62</v>
      </c>
      <c r="AN90" s="13" t="s">
        <v>62</v>
      </c>
      <c r="AO90" s="7" t="s">
        <v>62</v>
      </c>
      <c r="AP90" s="28"/>
      <c r="AQ90" s="12">
        <v>0</v>
      </c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13"/>
      <c r="CG90" s="13"/>
      <c r="CH90" s="13"/>
      <c r="CI90" s="12"/>
      <c r="CJ90" s="12"/>
      <c r="CK90" s="12"/>
      <c r="CL90" s="12"/>
      <c r="CM90" s="12"/>
      <c r="CN90" s="12"/>
      <c r="CO90" s="12"/>
      <c r="CP90" s="12">
        <f>SUM($AQ90:BJ90)-SUM($EA90:EH90)</f>
        <v>-3109</v>
      </c>
      <c r="CQ90" s="12">
        <f>SUM($AQ90:BK90)-SUM($EA90:EI90)</f>
        <v>-3390</v>
      </c>
      <c r="CR90" s="12">
        <f>SUM($AQ90:BL90)-SUM($EA90:EJ90)</f>
        <v>-3405</v>
      </c>
      <c r="CS90" s="12">
        <f>SUM($AQ90:BM90)-SUM($EA90:EK90)</f>
        <v>-3540</v>
      </c>
      <c r="CT90" s="12">
        <f>SUM($AQ90:BN90)-SUM($EA90:EL90)</f>
        <v>-4555</v>
      </c>
      <c r="CU90" s="12">
        <f>SUM($AQ90:BO90)-SUM($EA90:EM90)</f>
        <v>-6605</v>
      </c>
      <c r="CV90" s="12">
        <f>SUM($AQ90:BP90)-SUM($EA90:EN90)</f>
        <v>-7755</v>
      </c>
      <c r="CW90" s="12">
        <f>SUM($AQ90:BQ90)-SUM($EA90:EO90)</f>
        <v>-8755</v>
      </c>
      <c r="CX90" s="12">
        <f>SUM($AQ90:BR90)-SUM($EA90:EP90)</f>
        <v>-9805</v>
      </c>
      <c r="CY90" s="12">
        <f>SUM($AQ90:BS90)-SUM($EA90:EQ90)</f>
        <v>-10855</v>
      </c>
      <c r="CZ90" s="12">
        <f>SUM($AQ90:BT90)-SUM($EA90:ER90)</f>
        <v>-11905</v>
      </c>
      <c r="DA90" s="12">
        <f>SUM($AQ90:BU90)-SUM($EA90:ES90)</f>
        <v>-12955</v>
      </c>
      <c r="DB90" s="12">
        <f>SUM($AQ90:BV90)-SUM($EA90:ET90)</f>
        <v>-14005</v>
      </c>
      <c r="DC90" s="12">
        <f>SUM($AQ90:BW90)-SUM($EA90:EU90)</f>
        <v>-15055</v>
      </c>
      <c r="DD90" s="12">
        <f>SUM($AQ90:BX90)-SUM($EA90:EV90)</f>
        <v>-16105</v>
      </c>
      <c r="DE90" s="12">
        <f>SUM($AQ90:BY90)-SUM($EA90:EW90)</f>
        <v>-17148</v>
      </c>
      <c r="DF90" s="12">
        <f>SUM($AQ90:BZ90)-SUM($EA90:EX90)</f>
        <v>-18148</v>
      </c>
      <c r="DG90" s="12">
        <f>SUM($AQ90:CA90)-SUM($EA90:EY90)</f>
        <v>-19148</v>
      </c>
      <c r="DH90" s="12">
        <f>SUM($AQ90:CB90)-SUM($EA90:EZ90)</f>
        <v>-20148</v>
      </c>
      <c r="DI90" s="12">
        <f>SUM($AQ90:CC90)-SUM($EA90:FA90)</f>
        <v>-21148</v>
      </c>
      <c r="DJ90" s="12">
        <f>SUM($AQ90:CD90)-SUM($EA90:FB90)</f>
        <v>-22148</v>
      </c>
      <c r="DK90" s="12">
        <f>SUM($AQ90:CE90)-SUM($EA90:FC90)</f>
        <v>-23148</v>
      </c>
      <c r="DL90" s="12">
        <f>SUM($AQ90:CF90)-SUM($EA90:FD90)</f>
        <v>-24148</v>
      </c>
      <c r="DM90" s="12">
        <f>SUM($AQ90:CG90)-SUM($EA90:FE90)</f>
        <v>-25148</v>
      </c>
      <c r="DN90" s="12">
        <f>SUM($AQ90:CH90)-SUM($EA90:FF90)</f>
        <v>-26148</v>
      </c>
      <c r="DO90" s="12">
        <f>SUM($AQ90:CI90)-SUM($EA90:FG90)</f>
        <v>-27148</v>
      </c>
      <c r="DP90" s="12">
        <f>SUM($AQ90:CJ90)-SUM($EA90:FH90)</f>
        <v>-28148</v>
      </c>
      <c r="DQ90" s="12">
        <f>SUM($AQ90:CK90)-SUM($EA90:FI90)</f>
        <v>-29148</v>
      </c>
      <c r="DR90" s="12">
        <f>SUM($AQ90:CL90)-SUM($EA90:FJ90)</f>
        <v>-30148</v>
      </c>
      <c r="DS90" s="12">
        <f>SUM($AQ90:CM90)-SUM($EA90:FK90)</f>
        <v>-31148</v>
      </c>
      <c r="DT90" s="12">
        <f>SUM($AQ90:CN90)-SUM($EA90:FL90)</f>
        <v>-32148</v>
      </c>
      <c r="DU90" s="12">
        <f>SUM($AQ90:CO90)-SUM($EA90:FM90)</f>
        <v>-33148</v>
      </c>
      <c r="DV90" s="12">
        <f>SUM($AQ90:CP90)-SUM($EA90:FN90)</f>
        <v>-37074</v>
      </c>
      <c r="DW90" s="12">
        <f>SUM($AQ90:CQ90)-SUM($EA90:FO90)</f>
        <v>-40464</v>
      </c>
      <c r="DX90" s="13"/>
      <c r="DY90" s="13"/>
      <c r="DZ90" s="13"/>
      <c r="EA90" s="12"/>
      <c r="EB90" s="12"/>
      <c r="EC90" s="12"/>
      <c r="ED90" s="12"/>
      <c r="EE90" s="12"/>
      <c r="EF90" s="12"/>
      <c r="EG90" s="12"/>
      <c r="EH90" s="12">
        <f t="array" ref="EH90">SUMPRODUCT(TRANSPOSE(EH$9:EH$34),$K90:$AJ90)</f>
        <v>3109</v>
      </c>
      <c r="EI90" s="12">
        <f t="array" ref="EI90">SUMPRODUCT(TRANSPOSE(EI$9:EI$34),$K90:$AJ90)</f>
        <v>281</v>
      </c>
      <c r="EJ90" s="12">
        <f t="array" ref="EJ90">SUMPRODUCT(TRANSPOSE(EJ$9:EJ$34),$K90:$AJ90)</f>
        <v>15</v>
      </c>
      <c r="EK90" s="12">
        <f t="array" ref="EK90">SUMPRODUCT(TRANSPOSE(EK$9:EK$34),$K90:$AJ90)</f>
        <v>135</v>
      </c>
      <c r="EL90" s="12">
        <f t="array" ref="EL90">SUMPRODUCT(TRANSPOSE(EL$9:EL$34),$K90:$AJ90)</f>
        <v>1015</v>
      </c>
      <c r="EM90" s="12">
        <f t="array" ref="EM90">SUMPRODUCT(TRANSPOSE(EM$9:EM$34),$K90:$AJ90)</f>
        <v>2050</v>
      </c>
      <c r="EN90" s="12">
        <f t="array" ref="EN90">SUMPRODUCT(TRANSPOSE(EN$9:EN$34),$K90:$AJ90)</f>
        <v>1150</v>
      </c>
      <c r="EO90" s="12">
        <f t="array" ref="EO90">SUMPRODUCT(TRANSPOSE(EO$9:EO$34),$K90:$AJ90)</f>
        <v>1000</v>
      </c>
      <c r="EP90" s="12">
        <f t="array" ref="EP90">SUMPRODUCT(TRANSPOSE(EP$9:EP$34),$K90:$AJ90)</f>
        <v>1050</v>
      </c>
      <c r="EQ90" s="12">
        <f t="array" ref="EQ90">SUMPRODUCT(TRANSPOSE(EQ$9:EQ$34),$K90:$AJ90)</f>
        <v>1050</v>
      </c>
      <c r="ER90" s="12">
        <f t="array" ref="ER90">SUMPRODUCT(TRANSPOSE(ER$9:ER$34),$K90:$AJ90)</f>
        <v>1050</v>
      </c>
      <c r="ES90" s="12">
        <f t="array" ref="ES90">SUMPRODUCT(TRANSPOSE(ES$9:ES$34),$K90:$AJ90)</f>
        <v>1050</v>
      </c>
      <c r="ET90" s="12">
        <f t="array" ref="ET90">SUMPRODUCT(TRANSPOSE(ET$9:ET$34),$K90:$AJ90)</f>
        <v>1050</v>
      </c>
      <c r="EU90" s="12">
        <f t="array" ref="EU90">SUMPRODUCT(TRANSPOSE(EU$9:EU$34),$K90:$AJ90)</f>
        <v>1050</v>
      </c>
      <c r="EV90" s="12">
        <f t="array" ref="EV90">SUMPRODUCT(TRANSPOSE(EV$9:EV$34),$K90:$AJ90)</f>
        <v>1050</v>
      </c>
      <c r="EW90" s="12">
        <f t="array" ref="EW90">SUMPRODUCT(TRANSPOSE(EW$9:EW$34),$K90:$AJ90)</f>
        <v>1043</v>
      </c>
      <c r="EX90" s="12">
        <f t="array" ref="EX90">SUMPRODUCT(TRANSPOSE(EX$9:EX$34),$K90:$AJ90)</f>
        <v>1000</v>
      </c>
      <c r="EY90" s="12">
        <f t="array" ref="EY90">SUMPRODUCT(TRANSPOSE(EY$9:EY$34),$K90:$AJ90)</f>
        <v>1000</v>
      </c>
      <c r="EZ90" s="12">
        <f t="array" ref="EZ90">SUMPRODUCT(TRANSPOSE(EZ$9:EZ$34),$K90:$AJ90)</f>
        <v>1000</v>
      </c>
      <c r="FA90" s="12">
        <f t="array" ref="FA90">SUMPRODUCT(TRANSPOSE(FA$9:FA$34),$K90:$AJ90)</f>
        <v>1000</v>
      </c>
      <c r="FB90" s="12">
        <f t="array" ref="FB90">SUMPRODUCT(TRANSPOSE(FB$9:FB$34),$K90:$AJ90)</f>
        <v>1000</v>
      </c>
      <c r="FC90" s="12">
        <f t="array" ref="FC90">SUMPRODUCT(TRANSPOSE(FC$9:FC$34),$K90:$AJ90)</f>
        <v>1000</v>
      </c>
      <c r="FD90" s="12">
        <f t="array" ref="FD90">SUMPRODUCT(TRANSPOSE(FD$9:FD$34),$K90:$AJ90)</f>
        <v>1000</v>
      </c>
      <c r="FE90" s="12">
        <f t="array" ref="FE90">SUMPRODUCT(TRANSPOSE(FE$9:FE$34),$K90:$AJ90)</f>
        <v>1000</v>
      </c>
      <c r="FF90" s="12">
        <f t="array" ref="FF90">SUMPRODUCT(TRANSPOSE(FF$9:FF$34),$K90:$AJ90)</f>
        <v>1000</v>
      </c>
      <c r="FG90" s="12">
        <f t="array" ref="FG90">SUMPRODUCT(TRANSPOSE(FG$9:FG$34),$K90:$AJ90)</f>
        <v>1000</v>
      </c>
      <c r="FH90" s="12">
        <f t="array" ref="FH90">SUMPRODUCT(TRANSPOSE(FH$9:FH$34),$K90:$AJ90)</f>
        <v>1000</v>
      </c>
      <c r="FI90" s="12">
        <f t="array" ref="FI90">SUMPRODUCT(TRANSPOSE(FI$9:FI$34),$K90:$AJ90)</f>
        <v>1000</v>
      </c>
      <c r="FJ90" s="12">
        <f t="array" ref="FJ90">SUMPRODUCT(TRANSPOSE(FJ$9:FJ$34),$K90:$AJ90)</f>
        <v>1000</v>
      </c>
      <c r="FK90" s="12">
        <f t="array" ref="FK90">SUMPRODUCT(TRANSPOSE(FK$9:FK$34),$K90:$AJ90)</f>
        <v>1000</v>
      </c>
      <c r="FL90" s="12">
        <f t="array" ref="FL90">SUMPRODUCT(TRANSPOSE(FL$9:FL$34),$K90:$AJ90)</f>
        <v>1000</v>
      </c>
      <c r="FM90" s="12">
        <f t="array" ref="FM90">SUMPRODUCT(TRANSPOSE(FM$9:FM$34),$K90:$AJ90)</f>
        <v>1000</v>
      </c>
      <c r="FN90" s="12">
        <f t="array" ref="FN90">SUMPRODUCT(TRANSPOSE(FN$9:FN$34),$K90:$AJ90)</f>
        <v>817</v>
      </c>
      <c r="FO90" s="12">
        <f t="array" ref="FO90">SUMPRODUCT(TRANSPOSE(FO$9:FO$34),$K90:$AJ90)</f>
        <v>0</v>
      </c>
    </row>
    <row r="91" spans="1:171" ht="14.25" x14ac:dyDescent="0.2">
      <c r="A91" s="13">
        <f t="shared" si="4"/>
        <v>56</v>
      </c>
      <c r="B91" s="13" t="s">
        <v>235</v>
      </c>
      <c r="C91" s="58" t="s">
        <v>236</v>
      </c>
      <c r="D91" s="13" t="s">
        <v>60</v>
      </c>
      <c r="E91" s="13">
        <v>405930692</v>
      </c>
      <c r="F91" s="26" t="s">
        <v>127</v>
      </c>
      <c r="G91" s="13"/>
      <c r="H91" s="13" t="s">
        <v>61</v>
      </c>
      <c r="I91" s="13">
        <v>1</v>
      </c>
      <c r="J91" s="13">
        <v>1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/>
      <c r="Z91" s="13"/>
      <c r="AA91" s="13">
        <v>0</v>
      </c>
      <c r="AB91" s="13">
        <v>1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f t="shared" si="3"/>
        <v>1</v>
      </c>
      <c r="AL91" s="23">
        <f t="shared" si="2"/>
        <v>635</v>
      </c>
      <c r="AM91" s="13"/>
      <c r="AN91" s="13" t="s">
        <v>128</v>
      </c>
      <c r="AO91" s="7" t="s">
        <v>129</v>
      </c>
      <c r="AP91" s="38">
        <v>47</v>
      </c>
      <c r="AQ91" s="12">
        <v>635</v>
      </c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13"/>
      <c r="CG91" s="13"/>
      <c r="CH91" s="13"/>
      <c r="CI91" s="12"/>
      <c r="CJ91" s="12"/>
      <c r="CK91" s="12"/>
      <c r="CL91" s="12"/>
      <c r="CM91" s="12"/>
      <c r="CN91" s="12"/>
      <c r="CO91" s="12"/>
      <c r="CP91" s="12">
        <f>SUM($AQ91:BJ91)-SUM($EA91:EH91)</f>
        <v>625</v>
      </c>
      <c r="CQ91" s="12">
        <f>SUM($AQ91:BK91)-SUM($EA91:EI91)</f>
        <v>625</v>
      </c>
      <c r="CR91" s="12">
        <f>SUM($AQ91:BL91)-SUM($EA91:EJ91)</f>
        <v>610</v>
      </c>
      <c r="CS91" s="12">
        <f>SUM($AQ91:BM91)-SUM($EA91:EK91)</f>
        <v>575</v>
      </c>
      <c r="CT91" s="12">
        <f>SUM($AQ91:BN91)-SUM($EA91:EL91)</f>
        <v>560</v>
      </c>
      <c r="CU91" s="12">
        <f>SUM($AQ91:BO91)-SUM($EA91:EM91)</f>
        <v>510</v>
      </c>
      <c r="CV91" s="12">
        <f>SUM($AQ91:BP91)-SUM($EA91:EN91)</f>
        <v>460</v>
      </c>
      <c r="CW91" s="12">
        <f>SUM($AQ91:BQ91)-SUM($EA91:EO91)</f>
        <v>460</v>
      </c>
      <c r="CX91" s="12">
        <f>SUM($AQ91:BR91)-SUM($EA91:EP91)</f>
        <v>410</v>
      </c>
      <c r="CY91" s="12">
        <f>SUM($AQ91:BS91)-SUM($EA91:EQ91)</f>
        <v>360</v>
      </c>
      <c r="CZ91" s="12">
        <f>SUM($AQ91:BT91)-SUM($EA91:ER91)</f>
        <v>310</v>
      </c>
      <c r="DA91" s="12">
        <f>SUM($AQ91:BU91)-SUM($EA91:ES91)</f>
        <v>260</v>
      </c>
      <c r="DB91" s="12">
        <f>SUM($AQ91:BV91)-SUM($EA91:ET91)</f>
        <v>210</v>
      </c>
      <c r="DC91" s="12">
        <f>SUM($AQ91:BW91)-SUM($EA91:EU91)</f>
        <v>160</v>
      </c>
      <c r="DD91" s="12">
        <f>SUM($AQ91:BX91)-SUM($EA91:EV91)</f>
        <v>110</v>
      </c>
      <c r="DE91" s="12">
        <f>SUM($AQ91:BY91)-SUM($EA91:EW91)</f>
        <v>100</v>
      </c>
      <c r="DF91" s="12">
        <f>SUM($AQ91:BZ91)-SUM($EA91:EX91)</f>
        <v>100</v>
      </c>
      <c r="DG91" s="12">
        <f>SUM($AQ91:CA91)-SUM($EA91:EY91)</f>
        <v>100</v>
      </c>
      <c r="DH91" s="12">
        <f>SUM($AQ91:CB91)-SUM($EA91:EZ91)</f>
        <v>100</v>
      </c>
      <c r="DI91" s="12">
        <f>SUM($AQ91:CC91)-SUM($EA91:FA91)</f>
        <v>100</v>
      </c>
      <c r="DJ91" s="12">
        <f>SUM($AQ91:CD91)-SUM($EA91:FB91)</f>
        <v>100</v>
      </c>
      <c r="DK91" s="12">
        <f>SUM($AQ91:CE91)-SUM($EA91:FC91)</f>
        <v>100</v>
      </c>
      <c r="DL91" s="12">
        <f>SUM($AQ91:CF91)-SUM($EA91:FD91)</f>
        <v>100</v>
      </c>
      <c r="DM91" s="12">
        <f>SUM($AQ91:CG91)-SUM($EA91:FE91)</f>
        <v>100</v>
      </c>
      <c r="DN91" s="12">
        <f>SUM($AQ91:CH91)-SUM($EA91:FF91)</f>
        <v>100</v>
      </c>
      <c r="DO91" s="12">
        <f>SUM($AQ91:CI91)-SUM($EA91:FG91)</f>
        <v>100</v>
      </c>
      <c r="DP91" s="12">
        <f>SUM($AQ91:CJ91)-SUM($EA91:FH91)</f>
        <v>100</v>
      </c>
      <c r="DQ91" s="12">
        <f>SUM($AQ91:CK91)-SUM($EA91:FI91)</f>
        <v>100</v>
      </c>
      <c r="DR91" s="12">
        <f>SUM($AQ91:CL91)-SUM($EA91:FJ91)</f>
        <v>100</v>
      </c>
      <c r="DS91" s="12">
        <f>SUM($AQ91:CM91)-SUM($EA91:FK91)</f>
        <v>100</v>
      </c>
      <c r="DT91" s="12">
        <f>SUM($AQ91:CN91)-SUM($EA91:FL91)</f>
        <v>100</v>
      </c>
      <c r="DU91" s="12">
        <f>SUM($AQ91:CO91)-SUM($EA91:FM91)</f>
        <v>100</v>
      </c>
      <c r="DV91" s="12">
        <f>SUM($AQ91:CP91)-SUM($EA91:FN91)</f>
        <v>725</v>
      </c>
      <c r="DW91" s="12">
        <f>SUM($AQ91:CQ91)-SUM($EA91:FO91)</f>
        <v>1350</v>
      </c>
      <c r="DX91" s="13"/>
      <c r="DY91" s="13"/>
      <c r="DZ91" s="13"/>
      <c r="EA91" s="12"/>
      <c r="EB91" s="12"/>
      <c r="EC91" s="12"/>
      <c r="ED91" s="12"/>
      <c r="EE91" s="12"/>
      <c r="EF91" s="12"/>
      <c r="EG91" s="12"/>
      <c r="EH91" s="12">
        <f t="array" ref="EH91">SUMPRODUCT(TRANSPOSE(EH$9:EH$34),$K91:$AJ91)</f>
        <v>10</v>
      </c>
      <c r="EI91" s="12">
        <f t="array" ref="EI91">SUMPRODUCT(TRANSPOSE(EI$9:EI$34),$K91:$AJ91)</f>
        <v>0</v>
      </c>
      <c r="EJ91" s="12">
        <f t="array" ref="EJ91">SUMPRODUCT(TRANSPOSE(EJ$9:EJ$34),$K91:$AJ91)</f>
        <v>15</v>
      </c>
      <c r="EK91" s="12">
        <f t="array" ref="EK91">SUMPRODUCT(TRANSPOSE(EK$9:EK$34),$K91:$AJ91)</f>
        <v>35</v>
      </c>
      <c r="EL91" s="12">
        <f t="array" ref="EL91">SUMPRODUCT(TRANSPOSE(EL$9:EL$34),$K91:$AJ91)</f>
        <v>15</v>
      </c>
      <c r="EM91" s="12">
        <f t="array" ref="EM91">SUMPRODUCT(TRANSPOSE(EM$9:EM$34),$K91:$AJ91)</f>
        <v>50</v>
      </c>
      <c r="EN91" s="12">
        <f t="array" ref="EN91">SUMPRODUCT(TRANSPOSE(EN$9:EN$34),$K91:$AJ91)</f>
        <v>50</v>
      </c>
      <c r="EO91" s="12">
        <f t="array" ref="EO91">SUMPRODUCT(TRANSPOSE(EO$9:EO$34),$K91:$AJ91)</f>
        <v>0</v>
      </c>
      <c r="EP91" s="12">
        <f t="array" ref="EP91">SUMPRODUCT(TRANSPOSE(EP$9:EP$34),$K91:$AJ91)</f>
        <v>50</v>
      </c>
      <c r="EQ91" s="12">
        <f t="array" ref="EQ91">SUMPRODUCT(TRANSPOSE(EQ$9:EQ$34),$K91:$AJ91)</f>
        <v>50</v>
      </c>
      <c r="ER91" s="12">
        <f t="array" ref="ER91">SUMPRODUCT(TRANSPOSE(ER$9:ER$34),$K91:$AJ91)</f>
        <v>50</v>
      </c>
      <c r="ES91" s="12">
        <f t="array" ref="ES91">SUMPRODUCT(TRANSPOSE(ES$9:ES$34),$K91:$AJ91)</f>
        <v>50</v>
      </c>
      <c r="ET91" s="12">
        <f t="array" ref="ET91">SUMPRODUCT(TRANSPOSE(ET$9:ET$34),$K91:$AJ91)</f>
        <v>50</v>
      </c>
      <c r="EU91" s="12">
        <f t="array" ref="EU91">SUMPRODUCT(TRANSPOSE(EU$9:EU$34),$K91:$AJ91)</f>
        <v>50</v>
      </c>
      <c r="EV91" s="12">
        <f t="array" ref="EV91">SUMPRODUCT(TRANSPOSE(EV$9:EV$34),$K91:$AJ91)</f>
        <v>50</v>
      </c>
      <c r="EW91" s="12">
        <f t="array" ref="EW91">SUMPRODUCT(TRANSPOSE(EW$9:EW$34),$K91:$AJ91)</f>
        <v>10</v>
      </c>
      <c r="EX91" s="12">
        <f t="array" ref="EX91">SUMPRODUCT(TRANSPOSE(EX$9:EX$34),$K91:$AJ91)</f>
        <v>0</v>
      </c>
      <c r="EY91" s="12">
        <f t="array" ref="EY91">SUMPRODUCT(TRANSPOSE(EY$9:EY$34),$K91:$AJ91)</f>
        <v>0</v>
      </c>
      <c r="EZ91" s="12">
        <f t="array" ref="EZ91">SUMPRODUCT(TRANSPOSE(EZ$9:EZ$34),$K91:$AJ91)</f>
        <v>0</v>
      </c>
      <c r="FA91" s="12">
        <f t="array" ref="FA91">SUMPRODUCT(TRANSPOSE(FA$9:FA$34),$K91:$AJ91)</f>
        <v>0</v>
      </c>
      <c r="FB91" s="12">
        <f t="array" ref="FB91">SUMPRODUCT(TRANSPOSE(FB$9:FB$34),$K91:$AJ91)</f>
        <v>0</v>
      </c>
      <c r="FC91" s="12">
        <f t="array" ref="FC91">SUMPRODUCT(TRANSPOSE(FC$9:FC$34),$K91:$AJ91)</f>
        <v>0</v>
      </c>
      <c r="FD91" s="12">
        <f t="array" ref="FD91">SUMPRODUCT(TRANSPOSE(FD$9:FD$34),$K91:$AJ91)</f>
        <v>0</v>
      </c>
      <c r="FE91" s="12">
        <f t="array" ref="FE91">SUMPRODUCT(TRANSPOSE(FE$9:FE$34),$K91:$AJ91)</f>
        <v>0</v>
      </c>
      <c r="FF91" s="12">
        <f t="array" ref="FF91">SUMPRODUCT(TRANSPOSE(FF$9:FF$34),$K91:$AJ91)</f>
        <v>0</v>
      </c>
      <c r="FG91" s="12">
        <f t="array" ref="FG91">SUMPRODUCT(TRANSPOSE(FG$9:FG$34),$K91:$AJ91)</f>
        <v>0</v>
      </c>
      <c r="FH91" s="12">
        <f t="array" ref="FH91">SUMPRODUCT(TRANSPOSE(FH$9:FH$34),$K91:$AJ91)</f>
        <v>0</v>
      </c>
      <c r="FI91" s="12">
        <f t="array" ref="FI91">SUMPRODUCT(TRANSPOSE(FI$9:FI$34),$K91:$AJ91)</f>
        <v>0</v>
      </c>
      <c r="FJ91" s="12">
        <f t="array" ref="FJ91">SUMPRODUCT(TRANSPOSE(FJ$9:FJ$34),$K91:$AJ91)</f>
        <v>0</v>
      </c>
      <c r="FK91" s="12">
        <f t="array" ref="FK91">SUMPRODUCT(TRANSPOSE(FK$9:FK$34),$K91:$AJ91)</f>
        <v>0</v>
      </c>
      <c r="FL91" s="12">
        <f t="array" ref="FL91">SUMPRODUCT(TRANSPOSE(FL$9:FL$34),$K91:$AJ91)</f>
        <v>0</v>
      </c>
      <c r="FM91" s="12">
        <f t="array" ref="FM91">SUMPRODUCT(TRANSPOSE(FM$9:FM$34),$K91:$AJ91)</f>
        <v>0</v>
      </c>
      <c r="FN91" s="12">
        <f t="array" ref="FN91">SUMPRODUCT(TRANSPOSE(FN$9:FN$34),$K91:$AJ91)</f>
        <v>0</v>
      </c>
      <c r="FO91" s="12">
        <f t="array" ref="FO91">SUMPRODUCT(TRANSPOSE(FO$9:FO$34),$K91:$AJ91)</f>
        <v>0</v>
      </c>
    </row>
    <row r="92" spans="1:171" ht="14.25" x14ac:dyDescent="0.2">
      <c r="A92" s="13">
        <f t="shared" si="4"/>
        <v>57</v>
      </c>
      <c r="B92" s="13" t="s">
        <v>237</v>
      </c>
      <c r="C92" s="25" t="s">
        <v>238</v>
      </c>
      <c r="D92" s="13" t="s">
        <v>60</v>
      </c>
      <c r="E92" s="13">
        <v>405701814</v>
      </c>
      <c r="F92" s="26" t="s">
        <v>239</v>
      </c>
      <c r="G92" s="13"/>
      <c r="H92" s="13" t="s">
        <v>61</v>
      </c>
      <c r="I92" s="13">
        <v>1</v>
      </c>
      <c r="J92" s="13">
        <v>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/>
      <c r="Z92" s="13"/>
      <c r="AA92" s="13">
        <v>0</v>
      </c>
      <c r="AB92" s="13">
        <v>1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f t="shared" si="3"/>
        <v>1</v>
      </c>
      <c r="AL92" s="23">
        <f t="shared" si="2"/>
        <v>635</v>
      </c>
      <c r="AM92" s="27"/>
      <c r="AN92" s="13" t="s">
        <v>158</v>
      </c>
      <c r="AO92" s="7" t="s">
        <v>159</v>
      </c>
      <c r="AP92" s="38">
        <v>1.4</v>
      </c>
      <c r="AQ92" s="12">
        <v>635</v>
      </c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13"/>
      <c r="CG92" s="13"/>
      <c r="CH92" s="13"/>
      <c r="CI92" s="12"/>
      <c r="CJ92" s="12"/>
      <c r="CK92" s="12"/>
      <c r="CL92" s="12"/>
      <c r="CM92" s="12"/>
      <c r="CN92" s="12"/>
      <c r="CO92" s="12"/>
      <c r="CP92" s="12">
        <f>SUM($AQ92:BJ92)-SUM($EA92:EH92)</f>
        <v>625</v>
      </c>
      <c r="CQ92" s="12">
        <f>SUM($AQ92:BK92)-SUM($EA92:EI92)</f>
        <v>625</v>
      </c>
      <c r="CR92" s="12">
        <f>SUM($AQ92:BL92)-SUM($EA92:EJ92)</f>
        <v>610</v>
      </c>
      <c r="CS92" s="12">
        <f>SUM($AQ92:BM92)-SUM($EA92:EK92)</f>
        <v>575</v>
      </c>
      <c r="CT92" s="12">
        <f>SUM($AQ92:BN92)-SUM($EA92:EL92)</f>
        <v>560</v>
      </c>
      <c r="CU92" s="12">
        <f>SUM($AQ92:BO92)-SUM($EA92:EM92)</f>
        <v>510</v>
      </c>
      <c r="CV92" s="12">
        <f>SUM($AQ92:BP92)-SUM($EA92:EN92)</f>
        <v>460</v>
      </c>
      <c r="CW92" s="12">
        <f>SUM($AQ92:BQ92)-SUM($EA92:EO92)</f>
        <v>460</v>
      </c>
      <c r="CX92" s="12">
        <f>SUM($AQ92:BR92)-SUM($EA92:EP92)</f>
        <v>410</v>
      </c>
      <c r="CY92" s="12">
        <f>SUM($AQ92:BS92)-SUM($EA92:EQ92)</f>
        <v>360</v>
      </c>
      <c r="CZ92" s="12">
        <f>SUM($AQ92:BT92)-SUM($EA92:ER92)</f>
        <v>310</v>
      </c>
      <c r="DA92" s="12">
        <f>SUM($AQ92:BU92)-SUM($EA92:ES92)</f>
        <v>260</v>
      </c>
      <c r="DB92" s="12">
        <f>SUM($AQ92:BV92)-SUM($EA92:ET92)</f>
        <v>210</v>
      </c>
      <c r="DC92" s="12">
        <f>SUM($AQ92:BW92)-SUM($EA92:EU92)</f>
        <v>160</v>
      </c>
      <c r="DD92" s="12">
        <f>SUM($AQ92:BX92)-SUM($EA92:EV92)</f>
        <v>110</v>
      </c>
      <c r="DE92" s="12">
        <f>SUM($AQ92:BY92)-SUM($EA92:EW92)</f>
        <v>100</v>
      </c>
      <c r="DF92" s="12">
        <f>SUM($AQ92:BZ92)-SUM($EA92:EX92)</f>
        <v>100</v>
      </c>
      <c r="DG92" s="12">
        <f>SUM($AQ92:CA92)-SUM($EA92:EY92)</f>
        <v>100</v>
      </c>
      <c r="DH92" s="12">
        <f>SUM($AQ92:CB92)-SUM($EA92:EZ92)</f>
        <v>100</v>
      </c>
      <c r="DI92" s="12">
        <f>SUM($AQ92:CC92)-SUM($EA92:FA92)</f>
        <v>100</v>
      </c>
      <c r="DJ92" s="12">
        <f>SUM($AQ92:CD92)-SUM($EA92:FB92)</f>
        <v>100</v>
      </c>
      <c r="DK92" s="12">
        <f>SUM($AQ92:CE92)-SUM($EA92:FC92)</f>
        <v>100</v>
      </c>
      <c r="DL92" s="12">
        <f>SUM($AQ92:CF92)-SUM($EA92:FD92)</f>
        <v>100</v>
      </c>
      <c r="DM92" s="12">
        <f>SUM($AQ92:CG92)-SUM($EA92:FE92)</f>
        <v>100</v>
      </c>
      <c r="DN92" s="12">
        <f>SUM($AQ92:CH92)-SUM($EA92:FF92)</f>
        <v>100</v>
      </c>
      <c r="DO92" s="12">
        <f>SUM($AQ92:CI92)-SUM($EA92:FG92)</f>
        <v>100</v>
      </c>
      <c r="DP92" s="12">
        <f>SUM($AQ92:CJ92)-SUM($EA92:FH92)</f>
        <v>100</v>
      </c>
      <c r="DQ92" s="12">
        <f>SUM($AQ92:CK92)-SUM($EA92:FI92)</f>
        <v>100</v>
      </c>
      <c r="DR92" s="12">
        <f>SUM($AQ92:CL92)-SUM($EA92:FJ92)</f>
        <v>100</v>
      </c>
      <c r="DS92" s="12">
        <f>SUM($AQ92:CM92)-SUM($EA92:FK92)</f>
        <v>100</v>
      </c>
      <c r="DT92" s="12">
        <f>SUM($AQ92:CN92)-SUM($EA92:FL92)</f>
        <v>100</v>
      </c>
      <c r="DU92" s="12">
        <f>SUM($AQ92:CO92)-SUM($EA92:FM92)</f>
        <v>100</v>
      </c>
      <c r="DV92" s="12">
        <f>SUM($AQ92:CP92)-SUM($EA92:FN92)</f>
        <v>725</v>
      </c>
      <c r="DW92" s="12">
        <f>SUM($AQ92:CQ92)-SUM($EA92:FO92)</f>
        <v>1350</v>
      </c>
      <c r="DX92" s="13"/>
      <c r="DY92" s="13"/>
      <c r="DZ92" s="13"/>
      <c r="EA92" s="12"/>
      <c r="EB92" s="12"/>
      <c r="EC92" s="12"/>
      <c r="ED92" s="12"/>
      <c r="EE92" s="12"/>
      <c r="EF92" s="12"/>
      <c r="EG92" s="12"/>
      <c r="EH92" s="12">
        <f t="array" ref="EH92">SUMPRODUCT(TRANSPOSE(EH$9:EH$34),$K92:$AJ92)</f>
        <v>10</v>
      </c>
      <c r="EI92" s="12">
        <f t="array" ref="EI92">SUMPRODUCT(TRANSPOSE(EI$9:EI$34),$K92:$AJ92)</f>
        <v>0</v>
      </c>
      <c r="EJ92" s="12">
        <f t="array" ref="EJ92">SUMPRODUCT(TRANSPOSE(EJ$9:EJ$34),$K92:$AJ92)</f>
        <v>15</v>
      </c>
      <c r="EK92" s="12">
        <f t="array" ref="EK92">SUMPRODUCT(TRANSPOSE(EK$9:EK$34),$K92:$AJ92)</f>
        <v>35</v>
      </c>
      <c r="EL92" s="12">
        <f t="array" ref="EL92">SUMPRODUCT(TRANSPOSE(EL$9:EL$34),$K92:$AJ92)</f>
        <v>15</v>
      </c>
      <c r="EM92" s="12">
        <f t="array" ref="EM92">SUMPRODUCT(TRANSPOSE(EM$9:EM$34),$K92:$AJ92)</f>
        <v>50</v>
      </c>
      <c r="EN92" s="12">
        <f t="array" ref="EN92">SUMPRODUCT(TRANSPOSE(EN$9:EN$34),$K92:$AJ92)</f>
        <v>50</v>
      </c>
      <c r="EO92" s="12">
        <f t="array" ref="EO92">SUMPRODUCT(TRANSPOSE(EO$9:EO$34),$K92:$AJ92)</f>
        <v>0</v>
      </c>
      <c r="EP92" s="12">
        <f t="array" ref="EP92">SUMPRODUCT(TRANSPOSE(EP$9:EP$34),$K92:$AJ92)</f>
        <v>50</v>
      </c>
      <c r="EQ92" s="12">
        <f t="array" ref="EQ92">SUMPRODUCT(TRANSPOSE(EQ$9:EQ$34),$K92:$AJ92)</f>
        <v>50</v>
      </c>
      <c r="ER92" s="12">
        <f t="array" ref="ER92">SUMPRODUCT(TRANSPOSE(ER$9:ER$34),$K92:$AJ92)</f>
        <v>50</v>
      </c>
      <c r="ES92" s="12">
        <f t="array" ref="ES92">SUMPRODUCT(TRANSPOSE(ES$9:ES$34),$K92:$AJ92)</f>
        <v>50</v>
      </c>
      <c r="ET92" s="12">
        <f t="array" ref="ET92">SUMPRODUCT(TRANSPOSE(ET$9:ET$34),$K92:$AJ92)</f>
        <v>50</v>
      </c>
      <c r="EU92" s="12">
        <f t="array" ref="EU92">SUMPRODUCT(TRANSPOSE(EU$9:EU$34),$K92:$AJ92)</f>
        <v>50</v>
      </c>
      <c r="EV92" s="12">
        <f t="array" ref="EV92">SUMPRODUCT(TRANSPOSE(EV$9:EV$34),$K92:$AJ92)</f>
        <v>50</v>
      </c>
      <c r="EW92" s="12">
        <f t="array" ref="EW92">SUMPRODUCT(TRANSPOSE(EW$9:EW$34),$K92:$AJ92)</f>
        <v>10</v>
      </c>
      <c r="EX92" s="12">
        <f t="array" ref="EX92">SUMPRODUCT(TRANSPOSE(EX$9:EX$34),$K92:$AJ92)</f>
        <v>0</v>
      </c>
      <c r="EY92" s="12">
        <f t="array" ref="EY92">SUMPRODUCT(TRANSPOSE(EY$9:EY$34),$K92:$AJ92)</f>
        <v>0</v>
      </c>
      <c r="EZ92" s="12">
        <f t="array" ref="EZ92">SUMPRODUCT(TRANSPOSE(EZ$9:EZ$34),$K92:$AJ92)</f>
        <v>0</v>
      </c>
      <c r="FA92" s="12">
        <f t="array" ref="FA92">SUMPRODUCT(TRANSPOSE(FA$9:FA$34),$K92:$AJ92)</f>
        <v>0</v>
      </c>
      <c r="FB92" s="12">
        <f t="array" ref="FB92">SUMPRODUCT(TRANSPOSE(FB$9:FB$34),$K92:$AJ92)</f>
        <v>0</v>
      </c>
      <c r="FC92" s="12">
        <f t="array" ref="FC92">SUMPRODUCT(TRANSPOSE(FC$9:FC$34),$K92:$AJ92)</f>
        <v>0</v>
      </c>
      <c r="FD92" s="12">
        <f t="array" ref="FD92">SUMPRODUCT(TRANSPOSE(FD$9:FD$34),$K92:$AJ92)</f>
        <v>0</v>
      </c>
      <c r="FE92" s="12">
        <f t="array" ref="FE92">SUMPRODUCT(TRANSPOSE(FE$9:FE$34),$K92:$AJ92)</f>
        <v>0</v>
      </c>
      <c r="FF92" s="12">
        <f t="array" ref="FF92">SUMPRODUCT(TRANSPOSE(FF$9:FF$34),$K92:$AJ92)</f>
        <v>0</v>
      </c>
      <c r="FG92" s="12">
        <f t="array" ref="FG92">SUMPRODUCT(TRANSPOSE(FG$9:FG$34),$K92:$AJ92)</f>
        <v>0</v>
      </c>
      <c r="FH92" s="12">
        <f t="array" ref="FH92">SUMPRODUCT(TRANSPOSE(FH$9:FH$34),$K92:$AJ92)</f>
        <v>0</v>
      </c>
      <c r="FI92" s="12">
        <f t="array" ref="FI92">SUMPRODUCT(TRANSPOSE(FI$9:FI$34),$K92:$AJ92)</f>
        <v>0</v>
      </c>
      <c r="FJ92" s="12">
        <f t="array" ref="FJ92">SUMPRODUCT(TRANSPOSE(FJ$9:FJ$34),$K92:$AJ92)</f>
        <v>0</v>
      </c>
      <c r="FK92" s="12">
        <f t="array" ref="FK92">SUMPRODUCT(TRANSPOSE(FK$9:FK$34),$K92:$AJ92)</f>
        <v>0</v>
      </c>
      <c r="FL92" s="12">
        <f t="array" ref="FL92">SUMPRODUCT(TRANSPOSE(FL$9:FL$34),$K92:$AJ92)</f>
        <v>0</v>
      </c>
      <c r="FM92" s="12">
        <f t="array" ref="FM92">SUMPRODUCT(TRANSPOSE(FM$9:FM$34),$K92:$AJ92)</f>
        <v>0</v>
      </c>
      <c r="FN92" s="12">
        <f t="array" ref="FN92">SUMPRODUCT(TRANSPOSE(FN$9:FN$34),$K92:$AJ92)</f>
        <v>0</v>
      </c>
      <c r="FO92" s="12">
        <f t="array" ref="FO92">SUMPRODUCT(TRANSPOSE(FO$9:FO$34),$K92:$AJ92)</f>
        <v>0</v>
      </c>
    </row>
    <row r="93" spans="1:171" ht="14.25" x14ac:dyDescent="0.2">
      <c r="A93" s="13">
        <f t="shared" si="4"/>
        <v>58</v>
      </c>
      <c r="B93" s="13" t="s">
        <v>240</v>
      </c>
      <c r="C93" s="25" t="s">
        <v>42</v>
      </c>
      <c r="D93" s="13" t="s">
        <v>110</v>
      </c>
      <c r="E93" s="13">
        <v>410877785</v>
      </c>
      <c r="F93" s="26" t="s">
        <v>13</v>
      </c>
      <c r="G93" s="13"/>
      <c r="H93" s="13" t="s">
        <v>61</v>
      </c>
      <c r="I93" s="13">
        <v>1</v>
      </c>
      <c r="J93" s="13">
        <v>1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1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/>
      <c r="Z93" s="13"/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f t="shared" si="3"/>
        <v>1</v>
      </c>
      <c r="AL93" s="23">
        <f t="shared" si="2"/>
        <v>34964</v>
      </c>
      <c r="AM93" s="27" t="s">
        <v>62</v>
      </c>
      <c r="AN93" s="13" t="s">
        <v>62</v>
      </c>
      <c r="AO93" s="7" t="s">
        <v>62</v>
      </c>
      <c r="AP93" s="28"/>
      <c r="AQ93" s="12">
        <v>0</v>
      </c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13"/>
      <c r="CG93" s="13"/>
      <c r="CH93" s="13"/>
      <c r="CI93" s="12"/>
      <c r="CJ93" s="12"/>
      <c r="CK93" s="12"/>
      <c r="CL93" s="12"/>
      <c r="CM93" s="12"/>
      <c r="CN93" s="12"/>
      <c r="CO93" s="12"/>
      <c r="CP93" s="12">
        <f>SUM($AQ93:BJ93)-SUM($EA93:EH93)</f>
        <v>-1076</v>
      </c>
      <c r="CQ93" s="12">
        <f>SUM($AQ93:BK93)-SUM($EA93:EI93)</f>
        <v>-3099</v>
      </c>
      <c r="CR93" s="12">
        <f>SUM($AQ93:BL93)-SUM($EA93:EJ93)</f>
        <v>-3380</v>
      </c>
      <c r="CS93" s="12">
        <f>SUM($AQ93:BM93)-SUM($EA93:EK93)</f>
        <v>-3480</v>
      </c>
      <c r="CT93" s="12">
        <f>SUM($AQ93:BN93)-SUM($EA93:EL93)</f>
        <v>-4480</v>
      </c>
      <c r="CU93" s="12">
        <f>SUM($AQ93:BO93)-SUM($EA93:EM93)</f>
        <v>-6480</v>
      </c>
      <c r="CV93" s="12">
        <f>SUM($AQ93:BP93)-SUM($EA93:EN93)</f>
        <v>-7580</v>
      </c>
      <c r="CW93" s="12">
        <f>SUM($AQ93:BQ93)-SUM($EA93:EO93)</f>
        <v>-8580</v>
      </c>
      <c r="CX93" s="12">
        <f>SUM($AQ93:BR93)-SUM($EA93:EP93)</f>
        <v>-9580</v>
      </c>
      <c r="CY93" s="12">
        <f>SUM($AQ93:BS93)-SUM($EA93:EQ93)</f>
        <v>-10580</v>
      </c>
      <c r="CZ93" s="12">
        <f>SUM($AQ93:BT93)-SUM($EA93:ER93)</f>
        <v>-11580</v>
      </c>
      <c r="DA93" s="12">
        <f>SUM($AQ93:BU93)-SUM($EA93:ES93)</f>
        <v>-12580</v>
      </c>
      <c r="DB93" s="12">
        <f>SUM($AQ93:BV93)-SUM($EA93:ET93)</f>
        <v>-13580</v>
      </c>
      <c r="DC93" s="12">
        <f>SUM($AQ93:BW93)-SUM($EA93:EU93)</f>
        <v>-14580</v>
      </c>
      <c r="DD93" s="12">
        <f>SUM($AQ93:BX93)-SUM($EA93:EV93)</f>
        <v>-15580</v>
      </c>
      <c r="DE93" s="12">
        <f>SUM($AQ93:BY93)-SUM($EA93:EW93)</f>
        <v>-16580</v>
      </c>
      <c r="DF93" s="12">
        <f>SUM($AQ93:BZ93)-SUM($EA93:EX93)</f>
        <v>-17580</v>
      </c>
      <c r="DG93" s="12">
        <f>SUM($AQ93:CA93)-SUM($EA93:EY93)</f>
        <v>-18580</v>
      </c>
      <c r="DH93" s="12">
        <f>SUM($AQ93:CB93)-SUM($EA93:EZ93)</f>
        <v>-19580</v>
      </c>
      <c r="DI93" s="12">
        <f>SUM($AQ93:CC93)-SUM($EA93:FA93)</f>
        <v>-20580</v>
      </c>
      <c r="DJ93" s="12">
        <f>SUM($AQ93:CD93)-SUM($EA93:FB93)</f>
        <v>-21580</v>
      </c>
      <c r="DK93" s="12">
        <f>SUM($AQ93:CE93)-SUM($EA93:FC93)</f>
        <v>-22580</v>
      </c>
      <c r="DL93" s="12">
        <f>SUM($AQ93:CF93)-SUM($EA93:FD93)</f>
        <v>-23580</v>
      </c>
      <c r="DM93" s="12">
        <f>SUM($AQ93:CG93)-SUM($EA93:FE93)</f>
        <v>-24580</v>
      </c>
      <c r="DN93" s="12">
        <f>SUM($AQ93:CH93)-SUM($EA93:FF93)</f>
        <v>-25580</v>
      </c>
      <c r="DO93" s="12">
        <f>SUM($AQ93:CI93)-SUM($EA93:FG93)</f>
        <v>-26580</v>
      </c>
      <c r="DP93" s="12">
        <f>SUM($AQ93:CJ93)-SUM($EA93:FH93)</f>
        <v>-27580</v>
      </c>
      <c r="DQ93" s="12">
        <f>SUM($AQ93:CK93)-SUM($EA93:FI93)</f>
        <v>-28580</v>
      </c>
      <c r="DR93" s="12">
        <f>SUM($AQ93:CL93)-SUM($EA93:FJ93)</f>
        <v>-29580</v>
      </c>
      <c r="DS93" s="12">
        <f>SUM($AQ93:CM93)-SUM($EA93:FK93)</f>
        <v>-30580</v>
      </c>
      <c r="DT93" s="12">
        <f>SUM($AQ93:CN93)-SUM($EA93:FL93)</f>
        <v>-31580</v>
      </c>
      <c r="DU93" s="12">
        <f>SUM($AQ93:CO93)-SUM($EA93:FM93)</f>
        <v>-32580</v>
      </c>
      <c r="DV93" s="12">
        <f>SUM($AQ93:CP93)-SUM($EA93:FN93)</f>
        <v>-34440</v>
      </c>
      <c r="DW93" s="12">
        <f>SUM($AQ93:CQ93)-SUM($EA93:FO93)</f>
        <v>-37539</v>
      </c>
      <c r="DX93" s="13"/>
      <c r="DY93" s="13"/>
      <c r="DZ93" s="13"/>
      <c r="EA93" s="12"/>
      <c r="EB93" s="12"/>
      <c r="EC93" s="12"/>
      <c r="ED93" s="12"/>
      <c r="EE93" s="12"/>
      <c r="EF93" s="12"/>
      <c r="EG93" s="12"/>
      <c r="EH93" s="12">
        <f t="array" ref="EH93">SUMPRODUCT(TRANSPOSE(EH$9:EH$34),$K93:$AJ93)</f>
        <v>1076</v>
      </c>
      <c r="EI93" s="12">
        <f t="array" ref="EI93">SUMPRODUCT(TRANSPOSE(EI$9:EI$34),$K93:$AJ93)</f>
        <v>2023</v>
      </c>
      <c r="EJ93" s="12">
        <f t="array" ref="EJ93">SUMPRODUCT(TRANSPOSE(EJ$9:EJ$34),$K93:$AJ93)</f>
        <v>281</v>
      </c>
      <c r="EK93" s="12">
        <f t="array" ref="EK93">SUMPRODUCT(TRANSPOSE(EK$9:EK$34),$K93:$AJ93)</f>
        <v>100</v>
      </c>
      <c r="EL93" s="12">
        <f t="array" ref="EL93">SUMPRODUCT(TRANSPOSE(EL$9:EL$34),$K93:$AJ93)</f>
        <v>1000</v>
      </c>
      <c r="EM93" s="12">
        <f t="array" ref="EM93">SUMPRODUCT(TRANSPOSE(EM$9:EM$34),$K93:$AJ93)</f>
        <v>2000</v>
      </c>
      <c r="EN93" s="12">
        <f t="array" ref="EN93">SUMPRODUCT(TRANSPOSE(EN$9:EN$34),$K93:$AJ93)</f>
        <v>1100</v>
      </c>
      <c r="EO93" s="12">
        <f t="array" ref="EO93">SUMPRODUCT(TRANSPOSE(EO$9:EO$34),$K93:$AJ93)</f>
        <v>1000</v>
      </c>
      <c r="EP93" s="12">
        <f t="array" ref="EP93">SUMPRODUCT(TRANSPOSE(EP$9:EP$34),$K93:$AJ93)</f>
        <v>1000</v>
      </c>
      <c r="EQ93" s="12">
        <f t="array" ref="EQ93">SUMPRODUCT(TRANSPOSE(EQ$9:EQ$34),$K93:$AJ93)</f>
        <v>1000</v>
      </c>
      <c r="ER93" s="12">
        <f t="array" ref="ER93">SUMPRODUCT(TRANSPOSE(ER$9:ER$34),$K93:$AJ93)</f>
        <v>1000</v>
      </c>
      <c r="ES93" s="12">
        <f t="array" ref="ES93">SUMPRODUCT(TRANSPOSE(ES$9:ES$34),$K93:$AJ93)</f>
        <v>1000</v>
      </c>
      <c r="ET93" s="12">
        <f t="array" ref="ET93">SUMPRODUCT(TRANSPOSE(ET$9:ET$34),$K93:$AJ93)</f>
        <v>1000</v>
      </c>
      <c r="EU93" s="12">
        <f t="array" ref="EU93">SUMPRODUCT(TRANSPOSE(EU$9:EU$34),$K93:$AJ93)</f>
        <v>1000</v>
      </c>
      <c r="EV93" s="12">
        <f t="array" ref="EV93">SUMPRODUCT(TRANSPOSE(EV$9:EV$34),$K93:$AJ93)</f>
        <v>1000</v>
      </c>
      <c r="EW93" s="12">
        <f t="array" ref="EW93">SUMPRODUCT(TRANSPOSE(EW$9:EW$34),$K93:$AJ93)</f>
        <v>1000</v>
      </c>
      <c r="EX93" s="12">
        <f t="array" ref="EX93">SUMPRODUCT(TRANSPOSE(EX$9:EX$34),$K93:$AJ93)</f>
        <v>1000</v>
      </c>
      <c r="EY93" s="12">
        <f t="array" ref="EY93">SUMPRODUCT(TRANSPOSE(EY$9:EY$34),$K93:$AJ93)</f>
        <v>1000</v>
      </c>
      <c r="EZ93" s="12">
        <f t="array" ref="EZ93">SUMPRODUCT(TRANSPOSE(EZ$9:EZ$34),$K93:$AJ93)</f>
        <v>1000</v>
      </c>
      <c r="FA93" s="12">
        <f t="array" ref="FA93">SUMPRODUCT(TRANSPOSE(FA$9:FA$34),$K93:$AJ93)</f>
        <v>1000</v>
      </c>
      <c r="FB93" s="12">
        <f t="array" ref="FB93">SUMPRODUCT(TRANSPOSE(FB$9:FB$34),$K93:$AJ93)</f>
        <v>1000</v>
      </c>
      <c r="FC93" s="12">
        <f t="array" ref="FC93">SUMPRODUCT(TRANSPOSE(FC$9:FC$34),$K93:$AJ93)</f>
        <v>1000</v>
      </c>
      <c r="FD93" s="12">
        <f t="array" ref="FD93">SUMPRODUCT(TRANSPOSE(FD$9:FD$34),$K93:$AJ93)</f>
        <v>1000</v>
      </c>
      <c r="FE93" s="12">
        <f t="array" ref="FE93">SUMPRODUCT(TRANSPOSE(FE$9:FE$34),$K93:$AJ93)</f>
        <v>1000</v>
      </c>
      <c r="FF93" s="12">
        <f t="array" ref="FF93">SUMPRODUCT(TRANSPOSE(FF$9:FF$34),$K93:$AJ93)</f>
        <v>1000</v>
      </c>
      <c r="FG93" s="12">
        <f t="array" ref="FG93">SUMPRODUCT(TRANSPOSE(FG$9:FG$34),$K93:$AJ93)</f>
        <v>1000</v>
      </c>
      <c r="FH93" s="12">
        <f t="array" ref="FH93">SUMPRODUCT(TRANSPOSE(FH$9:FH$34),$K93:$AJ93)</f>
        <v>1000</v>
      </c>
      <c r="FI93" s="12">
        <f t="array" ref="FI93">SUMPRODUCT(TRANSPOSE(FI$9:FI$34),$K93:$AJ93)</f>
        <v>1000</v>
      </c>
      <c r="FJ93" s="12">
        <f t="array" ref="FJ93">SUMPRODUCT(TRANSPOSE(FJ$9:FJ$34),$K93:$AJ93)</f>
        <v>1000</v>
      </c>
      <c r="FK93" s="12">
        <f t="array" ref="FK93">SUMPRODUCT(TRANSPOSE(FK$9:FK$34),$K93:$AJ93)</f>
        <v>1000</v>
      </c>
      <c r="FL93" s="12">
        <f t="array" ref="FL93">SUMPRODUCT(TRANSPOSE(FL$9:FL$34),$K93:$AJ93)</f>
        <v>1000</v>
      </c>
      <c r="FM93" s="12">
        <f t="array" ref="FM93">SUMPRODUCT(TRANSPOSE(FM$9:FM$34),$K93:$AJ93)</f>
        <v>1000</v>
      </c>
      <c r="FN93" s="12">
        <f t="array" ref="FN93">SUMPRODUCT(TRANSPOSE(FN$9:FN$34),$K93:$AJ93)</f>
        <v>784</v>
      </c>
      <c r="FO93" s="12">
        <f t="array" ref="FO93">SUMPRODUCT(TRANSPOSE(FO$9:FO$34),$K93:$AJ93)</f>
        <v>0</v>
      </c>
    </row>
    <row r="94" spans="1:171" ht="14.25" x14ac:dyDescent="0.2">
      <c r="A94" s="13">
        <f t="shared" si="4"/>
        <v>59</v>
      </c>
      <c r="B94" s="13" t="s">
        <v>241</v>
      </c>
      <c r="C94" s="25" t="s">
        <v>43</v>
      </c>
      <c r="D94" s="13">
        <v>-2</v>
      </c>
      <c r="E94" s="13">
        <v>410810132</v>
      </c>
      <c r="F94" s="26" t="s">
        <v>14</v>
      </c>
      <c r="G94" s="13"/>
      <c r="H94" s="13" t="s">
        <v>61</v>
      </c>
      <c r="I94" s="13">
        <v>1</v>
      </c>
      <c r="J94" s="13">
        <v>1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1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/>
      <c r="Z94" s="13"/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f t="shared" si="3"/>
        <v>1</v>
      </c>
      <c r="AL94" s="23">
        <f t="shared" si="2"/>
        <v>34964</v>
      </c>
      <c r="AM94" s="27" t="s">
        <v>62</v>
      </c>
      <c r="AN94" s="13" t="s">
        <v>62</v>
      </c>
      <c r="AO94" s="7" t="s">
        <v>62</v>
      </c>
      <c r="AP94" s="28"/>
      <c r="AQ94" s="12">
        <v>0</v>
      </c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13"/>
      <c r="CG94" s="13"/>
      <c r="CH94" s="13"/>
      <c r="CI94" s="12"/>
      <c r="CJ94" s="12"/>
      <c r="CK94" s="12"/>
      <c r="CL94" s="12"/>
      <c r="CM94" s="12"/>
      <c r="CN94" s="12"/>
      <c r="CO94" s="12"/>
      <c r="CP94" s="12">
        <f>SUM($AQ94:BJ94)-SUM($EA94:EH94)</f>
        <v>-3099</v>
      </c>
      <c r="CQ94" s="12">
        <f>SUM($AQ94:BK94)-SUM($EA94:EI94)</f>
        <v>-3380</v>
      </c>
      <c r="CR94" s="12">
        <f>SUM($AQ94:BL94)-SUM($EA94:EJ94)</f>
        <v>-3380</v>
      </c>
      <c r="CS94" s="12">
        <f>SUM($AQ94:BM94)-SUM($EA94:EK94)</f>
        <v>-3380</v>
      </c>
      <c r="CT94" s="12">
        <f>SUM($AQ94:BN94)-SUM($EA94:EL94)</f>
        <v>-3380</v>
      </c>
      <c r="CU94" s="12">
        <f>SUM($AQ94:BO94)-SUM($EA94:EM94)</f>
        <v>-3380</v>
      </c>
      <c r="CV94" s="12">
        <f>SUM($AQ94:BP94)-SUM($EA94:EN94)</f>
        <v>-3380</v>
      </c>
      <c r="CW94" s="12">
        <f>SUM($AQ94:BQ94)-SUM($EA94:EO94)</f>
        <v>-3380</v>
      </c>
      <c r="CX94" s="12">
        <f>SUM($AQ94:BR94)-SUM($EA94:EP94)</f>
        <v>-3380</v>
      </c>
      <c r="CY94" s="12">
        <f>SUM($AQ94:BS94)-SUM($EA94:EQ94)</f>
        <v>-3380</v>
      </c>
      <c r="CZ94" s="12">
        <f>SUM($AQ94:BT94)-SUM($EA94:ER94)</f>
        <v>-3380</v>
      </c>
      <c r="DA94" s="12">
        <f>SUM($AQ94:BU94)-SUM($EA94:ES94)</f>
        <v>-3380</v>
      </c>
      <c r="DB94" s="12">
        <f>SUM($AQ94:BV94)-SUM($EA94:ET94)</f>
        <v>-3380</v>
      </c>
      <c r="DC94" s="12">
        <f>SUM($AQ94:BW94)-SUM($EA94:EU94)</f>
        <v>-3380</v>
      </c>
      <c r="DD94" s="12">
        <f>SUM($AQ94:BX94)-SUM($EA94:EV94)</f>
        <v>-3380</v>
      </c>
      <c r="DE94" s="12">
        <f>SUM($AQ94:BY94)-SUM($EA94:EW94)</f>
        <v>-3380</v>
      </c>
      <c r="DF94" s="12">
        <f>SUM($AQ94:BZ94)-SUM($EA94:EX94)</f>
        <v>-3380</v>
      </c>
      <c r="DG94" s="12">
        <f>SUM($AQ94:CA94)-SUM($EA94:EY94)</f>
        <v>-3380</v>
      </c>
      <c r="DH94" s="12">
        <f>SUM($AQ94:CB94)-SUM($EA94:EZ94)</f>
        <v>-3380</v>
      </c>
      <c r="DI94" s="12">
        <f>SUM($AQ94:CC94)-SUM($EA94:FA94)</f>
        <v>-3380</v>
      </c>
      <c r="DJ94" s="12">
        <f>SUM($AQ94:CD94)-SUM($EA94:FB94)</f>
        <v>-3380</v>
      </c>
      <c r="DK94" s="12">
        <f>SUM($AQ94:CE94)-SUM($EA94:FC94)</f>
        <v>-3380</v>
      </c>
      <c r="DL94" s="12">
        <f>SUM($AQ94:CF94)-SUM($EA94:FD94)</f>
        <v>-3380</v>
      </c>
      <c r="DM94" s="12">
        <f>SUM($AQ94:CG94)-SUM($EA94:FE94)</f>
        <v>-3380</v>
      </c>
      <c r="DN94" s="12">
        <f>SUM($AQ94:CH94)-SUM($EA94:FF94)</f>
        <v>-3380</v>
      </c>
      <c r="DO94" s="12">
        <f>SUM($AQ94:CI94)-SUM($EA94:FG94)</f>
        <v>-3380</v>
      </c>
      <c r="DP94" s="12">
        <f>SUM($AQ94:CJ94)-SUM($EA94:FH94)</f>
        <v>-3380</v>
      </c>
      <c r="DQ94" s="12">
        <f>SUM($AQ94:CK94)-SUM($EA94:FI94)</f>
        <v>-3380</v>
      </c>
      <c r="DR94" s="12">
        <f>SUM($AQ94:CL94)-SUM($EA94:FJ94)</f>
        <v>-3380</v>
      </c>
      <c r="DS94" s="12">
        <f>SUM($AQ94:CM94)-SUM($EA94:FK94)</f>
        <v>-3380</v>
      </c>
      <c r="DT94" s="12">
        <f>SUM($AQ94:CN94)-SUM($EA94:FL94)</f>
        <v>-3380</v>
      </c>
      <c r="DU94" s="12">
        <f>SUM($AQ94:CO94)-SUM($EA94:FM94)</f>
        <v>-3380</v>
      </c>
      <c r="DV94" s="12">
        <f>SUM($AQ94:CP94)-SUM($EA94:FN94)</f>
        <v>-6479</v>
      </c>
      <c r="DW94" s="12">
        <f>SUM($AQ94:CQ94)-SUM($EA94:FO94)</f>
        <v>-9859</v>
      </c>
      <c r="DX94" s="13"/>
      <c r="DY94" s="13"/>
      <c r="DZ94" s="13"/>
      <c r="EA94" s="12"/>
      <c r="EB94" s="12"/>
      <c r="EC94" s="12"/>
      <c r="ED94" s="12"/>
      <c r="EE94" s="12"/>
      <c r="EF94" s="12"/>
      <c r="EG94" s="12"/>
      <c r="EH94" s="12">
        <f t="array" ref="EH94">SUMPRODUCT(TRANSPOSE(EH$9:EH$34),$K94:$AJ94)</f>
        <v>3099</v>
      </c>
      <c r="EI94" s="12">
        <f t="array" ref="EI94">SUMPRODUCT(TRANSPOSE(EI$9:EI$34),$K94:$AJ94)</f>
        <v>281</v>
      </c>
      <c r="EJ94" s="12">
        <f t="array" ref="EJ94">SUMPRODUCT(TRANSPOSE(EJ$9:EJ$34),$K94:$AJ94)</f>
        <v>0</v>
      </c>
      <c r="EK94" s="12">
        <f t="array" ref="EK94">SUMPRODUCT(TRANSPOSE(EK$9:EK$34),$K94:$AJ94)</f>
        <v>0</v>
      </c>
      <c r="EL94" s="12">
        <f t="array" ref="EL94">SUMPRODUCT(TRANSPOSE(EL$9:EL$34),$K94:$AJ94)</f>
        <v>0</v>
      </c>
      <c r="EM94" s="12">
        <f t="array" ref="EM94">SUMPRODUCT(TRANSPOSE(EM$9:EM$34),$K94:$AJ94)</f>
        <v>0</v>
      </c>
      <c r="EN94" s="12">
        <f t="array" ref="EN94">SUMPRODUCT(TRANSPOSE(EN$9:EN$34),$K94:$AJ94)</f>
        <v>0</v>
      </c>
      <c r="EO94" s="12">
        <f t="array" ref="EO94">SUMPRODUCT(TRANSPOSE(EO$9:EO$34),$K94:$AJ94)</f>
        <v>0</v>
      </c>
      <c r="EP94" s="12">
        <f t="array" ref="EP94">SUMPRODUCT(TRANSPOSE(EP$9:EP$34),$K94:$AJ94)</f>
        <v>0</v>
      </c>
      <c r="EQ94" s="12">
        <f t="array" ref="EQ94">SUMPRODUCT(TRANSPOSE(EQ$9:EQ$34),$K94:$AJ94)</f>
        <v>0</v>
      </c>
      <c r="ER94" s="12">
        <f t="array" ref="ER94">SUMPRODUCT(TRANSPOSE(ER$9:ER$34),$K94:$AJ94)</f>
        <v>0</v>
      </c>
      <c r="ES94" s="12">
        <f t="array" ref="ES94">SUMPRODUCT(TRANSPOSE(ES$9:ES$34),$K94:$AJ94)</f>
        <v>0</v>
      </c>
      <c r="ET94" s="12">
        <f t="array" ref="ET94">SUMPRODUCT(TRANSPOSE(ET$9:ET$34),$K94:$AJ94)</f>
        <v>0</v>
      </c>
      <c r="EU94" s="12">
        <f t="array" ref="EU94">SUMPRODUCT(TRANSPOSE(EU$9:EU$34),$K94:$AJ94)</f>
        <v>0</v>
      </c>
      <c r="EV94" s="12">
        <f t="array" ref="EV94">SUMPRODUCT(TRANSPOSE(EV$9:EV$34),$K94:$AJ94)</f>
        <v>0</v>
      </c>
      <c r="EW94" s="12">
        <f t="array" ref="EW94">SUMPRODUCT(TRANSPOSE(EW$9:EW$34),$K94:$AJ94)</f>
        <v>0</v>
      </c>
      <c r="EX94" s="12">
        <f t="array" ref="EX94">SUMPRODUCT(TRANSPOSE(EX$9:EX$34),$K94:$AJ94)</f>
        <v>0</v>
      </c>
      <c r="EY94" s="12">
        <f t="array" ref="EY94">SUMPRODUCT(TRANSPOSE(EY$9:EY$34),$K94:$AJ94)</f>
        <v>0</v>
      </c>
      <c r="EZ94" s="12">
        <f t="array" ref="EZ94">SUMPRODUCT(TRANSPOSE(EZ$9:EZ$34),$K94:$AJ94)</f>
        <v>0</v>
      </c>
      <c r="FA94" s="12">
        <f t="array" ref="FA94">SUMPRODUCT(TRANSPOSE(FA$9:FA$34),$K94:$AJ94)</f>
        <v>0</v>
      </c>
      <c r="FB94" s="12">
        <f t="array" ref="FB94">SUMPRODUCT(TRANSPOSE(FB$9:FB$34),$K94:$AJ94)</f>
        <v>0</v>
      </c>
      <c r="FC94" s="12">
        <f t="array" ref="FC94">SUMPRODUCT(TRANSPOSE(FC$9:FC$34),$K94:$AJ94)</f>
        <v>0</v>
      </c>
      <c r="FD94" s="12">
        <f t="array" ref="FD94">SUMPRODUCT(TRANSPOSE(FD$9:FD$34),$K94:$AJ94)</f>
        <v>0</v>
      </c>
      <c r="FE94" s="12">
        <f t="array" ref="FE94">SUMPRODUCT(TRANSPOSE(FE$9:FE$34),$K94:$AJ94)</f>
        <v>0</v>
      </c>
      <c r="FF94" s="12">
        <f t="array" ref="FF94">SUMPRODUCT(TRANSPOSE(FF$9:FF$34),$K94:$AJ94)</f>
        <v>0</v>
      </c>
      <c r="FG94" s="12">
        <f t="array" ref="FG94">SUMPRODUCT(TRANSPOSE(FG$9:FG$34),$K94:$AJ94)</f>
        <v>0</v>
      </c>
      <c r="FH94" s="12">
        <f t="array" ref="FH94">SUMPRODUCT(TRANSPOSE(FH$9:FH$34),$K94:$AJ94)</f>
        <v>0</v>
      </c>
      <c r="FI94" s="12">
        <f t="array" ref="FI94">SUMPRODUCT(TRANSPOSE(FI$9:FI$34),$K94:$AJ94)</f>
        <v>0</v>
      </c>
      <c r="FJ94" s="12">
        <f t="array" ref="FJ94">SUMPRODUCT(TRANSPOSE(FJ$9:FJ$34),$K94:$AJ94)</f>
        <v>0</v>
      </c>
      <c r="FK94" s="12">
        <f t="array" ref="FK94">SUMPRODUCT(TRANSPOSE(FK$9:FK$34),$K94:$AJ94)</f>
        <v>0</v>
      </c>
      <c r="FL94" s="12">
        <f t="array" ref="FL94">SUMPRODUCT(TRANSPOSE(FL$9:FL$34),$K94:$AJ94)</f>
        <v>0</v>
      </c>
      <c r="FM94" s="12">
        <f t="array" ref="FM94">SUMPRODUCT(TRANSPOSE(FM$9:FM$34),$K94:$AJ94)</f>
        <v>0</v>
      </c>
      <c r="FN94" s="12">
        <f t="array" ref="FN94">SUMPRODUCT(TRANSPOSE(FN$9:FN$34),$K94:$AJ94)</f>
        <v>0</v>
      </c>
      <c r="FO94" s="12">
        <f t="array" ref="FO94">SUMPRODUCT(TRANSPOSE(FO$9:FO$34),$K94:$AJ94)</f>
        <v>0</v>
      </c>
    </row>
    <row r="95" spans="1:171" ht="14.25" x14ac:dyDescent="0.2">
      <c r="A95" s="13">
        <f t="shared" si="4"/>
        <v>60</v>
      </c>
      <c r="B95" s="13" t="s">
        <v>242</v>
      </c>
      <c r="C95" s="25" t="s">
        <v>243</v>
      </c>
      <c r="D95" s="13" t="s">
        <v>60</v>
      </c>
      <c r="E95" s="13">
        <v>410263545</v>
      </c>
      <c r="F95" s="26" t="s">
        <v>244</v>
      </c>
      <c r="G95" s="13"/>
      <c r="H95" s="13" t="s">
        <v>61</v>
      </c>
      <c r="I95" s="13">
        <v>1</v>
      </c>
      <c r="J95" s="13">
        <v>1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1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/>
      <c r="Z95" s="13"/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f t="shared" si="3"/>
        <v>1</v>
      </c>
      <c r="AL95" s="23">
        <f t="shared" si="2"/>
        <v>34964</v>
      </c>
      <c r="AM95" s="27"/>
      <c r="AN95" s="44" t="s">
        <v>158</v>
      </c>
      <c r="AO95" s="7" t="s">
        <v>159</v>
      </c>
      <c r="AP95" s="45">
        <v>0.6</v>
      </c>
      <c r="AQ95" s="12">
        <v>18000</v>
      </c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13"/>
      <c r="CG95" s="13"/>
      <c r="CH95" s="13"/>
      <c r="CI95" s="12"/>
      <c r="CJ95" s="12"/>
      <c r="CK95" s="12"/>
      <c r="CL95" s="12"/>
      <c r="CM95" s="12"/>
      <c r="CN95" s="12"/>
      <c r="CO95" s="12"/>
      <c r="CP95" s="12">
        <f>SUM($AQ95:BJ95)-SUM($EA95:EH95)</f>
        <v>16924</v>
      </c>
      <c r="CQ95" s="12">
        <f>SUM($AQ95:BK95)-SUM($EA95:EI95)</f>
        <v>14901</v>
      </c>
      <c r="CR95" s="12">
        <f>SUM($AQ95:BL95)-SUM($EA95:EJ95)</f>
        <v>14620</v>
      </c>
      <c r="CS95" s="12">
        <f>SUM($AQ95:BM95)-SUM($EA95:EK95)</f>
        <v>14520</v>
      </c>
      <c r="CT95" s="12">
        <f>SUM($AQ95:BN95)-SUM($EA95:EL95)</f>
        <v>13520</v>
      </c>
      <c r="CU95" s="12">
        <f>SUM($AQ95:BO95)-SUM($EA95:EM95)</f>
        <v>11520</v>
      </c>
      <c r="CV95" s="12">
        <f>SUM($AQ95:BP95)-SUM($EA95:EN95)</f>
        <v>10420</v>
      </c>
      <c r="CW95" s="12">
        <f>SUM($AQ95:BQ95)-SUM($EA95:EO95)</f>
        <v>9420</v>
      </c>
      <c r="CX95" s="12">
        <f>SUM($AQ95:BR95)-SUM($EA95:EP95)</f>
        <v>8420</v>
      </c>
      <c r="CY95" s="12">
        <f>SUM($AQ95:BS95)-SUM($EA95:EQ95)</f>
        <v>7420</v>
      </c>
      <c r="CZ95" s="12">
        <f>SUM($AQ95:BT95)-SUM($EA95:ER95)</f>
        <v>6420</v>
      </c>
      <c r="DA95" s="12">
        <f>SUM($AQ95:BU95)-SUM($EA95:ES95)</f>
        <v>5420</v>
      </c>
      <c r="DB95" s="12">
        <f>SUM($AQ95:BV95)-SUM($EA95:ET95)</f>
        <v>4420</v>
      </c>
      <c r="DC95" s="12">
        <f>SUM($AQ95:BW95)-SUM($EA95:EU95)</f>
        <v>3420</v>
      </c>
      <c r="DD95" s="12">
        <f>SUM($AQ95:BX95)-SUM($EA95:EV95)</f>
        <v>2420</v>
      </c>
      <c r="DE95" s="12">
        <f>SUM($AQ95:BY95)-SUM($EA95:EW95)</f>
        <v>1420</v>
      </c>
      <c r="DF95" s="12">
        <f>SUM($AQ95:BZ95)-SUM($EA95:EX95)</f>
        <v>420</v>
      </c>
      <c r="DG95" s="12">
        <f>SUM($AQ95:CA95)-SUM($EA95:EY95)</f>
        <v>-580</v>
      </c>
      <c r="DH95" s="12">
        <f>SUM($AQ95:CB95)-SUM($EA95:EZ95)</f>
        <v>-1580</v>
      </c>
      <c r="DI95" s="12">
        <f>SUM($AQ95:CC95)-SUM($EA95:FA95)</f>
        <v>-2580</v>
      </c>
      <c r="DJ95" s="12">
        <f>SUM($AQ95:CD95)-SUM($EA95:FB95)</f>
        <v>-3580</v>
      </c>
      <c r="DK95" s="12">
        <f>SUM($AQ95:CE95)-SUM($EA95:FC95)</f>
        <v>-4580</v>
      </c>
      <c r="DL95" s="12">
        <f>SUM($AQ95:CF95)-SUM($EA95:FD95)</f>
        <v>-5580</v>
      </c>
      <c r="DM95" s="12">
        <f>SUM($AQ95:CG95)-SUM($EA95:FE95)</f>
        <v>-6580</v>
      </c>
      <c r="DN95" s="12">
        <f>SUM($AQ95:CH95)-SUM($EA95:FF95)</f>
        <v>-7580</v>
      </c>
      <c r="DO95" s="12">
        <f>SUM($AQ95:CI95)-SUM($EA95:FG95)</f>
        <v>-8580</v>
      </c>
      <c r="DP95" s="12">
        <f>SUM($AQ95:CJ95)-SUM($EA95:FH95)</f>
        <v>-9580</v>
      </c>
      <c r="DQ95" s="12">
        <f>SUM($AQ95:CK95)-SUM($EA95:FI95)</f>
        <v>-10580</v>
      </c>
      <c r="DR95" s="12">
        <f>SUM($AQ95:CL95)-SUM($EA95:FJ95)</f>
        <v>-11580</v>
      </c>
      <c r="DS95" s="12">
        <f>SUM($AQ95:CM95)-SUM($EA95:FK95)</f>
        <v>-12580</v>
      </c>
      <c r="DT95" s="12">
        <f>SUM($AQ95:CN95)-SUM($EA95:FL95)</f>
        <v>-13580</v>
      </c>
      <c r="DU95" s="12">
        <f>SUM($AQ95:CO95)-SUM($EA95:FM95)</f>
        <v>-14580</v>
      </c>
      <c r="DV95" s="12">
        <f>SUM($AQ95:CP95)-SUM($EA95:FN95)</f>
        <v>1560</v>
      </c>
      <c r="DW95" s="12">
        <f>SUM($AQ95:CQ95)-SUM($EA95:FO95)</f>
        <v>16461</v>
      </c>
      <c r="DX95" s="13"/>
      <c r="DY95" s="13"/>
      <c r="DZ95" s="13"/>
      <c r="EA95" s="12"/>
      <c r="EB95" s="12"/>
      <c r="EC95" s="12"/>
      <c r="ED95" s="12"/>
      <c r="EE95" s="12"/>
      <c r="EF95" s="12"/>
      <c r="EG95" s="12"/>
      <c r="EH95" s="12">
        <f t="array" ref="EH95">SUMPRODUCT(TRANSPOSE(EH$9:EH$34),$K95:$AJ95)</f>
        <v>1076</v>
      </c>
      <c r="EI95" s="12">
        <f t="array" ref="EI95">SUMPRODUCT(TRANSPOSE(EI$9:EI$34),$K95:$AJ95)</f>
        <v>2023</v>
      </c>
      <c r="EJ95" s="12">
        <f t="array" ref="EJ95">SUMPRODUCT(TRANSPOSE(EJ$9:EJ$34),$K95:$AJ95)</f>
        <v>281</v>
      </c>
      <c r="EK95" s="12">
        <f t="array" ref="EK95">SUMPRODUCT(TRANSPOSE(EK$9:EK$34),$K95:$AJ95)</f>
        <v>100</v>
      </c>
      <c r="EL95" s="12">
        <f t="array" ref="EL95">SUMPRODUCT(TRANSPOSE(EL$9:EL$34),$K95:$AJ95)</f>
        <v>1000</v>
      </c>
      <c r="EM95" s="12">
        <f t="array" ref="EM95">SUMPRODUCT(TRANSPOSE(EM$9:EM$34),$K95:$AJ95)</f>
        <v>2000</v>
      </c>
      <c r="EN95" s="12">
        <f t="array" ref="EN95">SUMPRODUCT(TRANSPOSE(EN$9:EN$34),$K95:$AJ95)</f>
        <v>1100</v>
      </c>
      <c r="EO95" s="12">
        <f t="array" ref="EO95">SUMPRODUCT(TRANSPOSE(EO$9:EO$34),$K95:$AJ95)</f>
        <v>1000</v>
      </c>
      <c r="EP95" s="12">
        <f t="array" ref="EP95">SUMPRODUCT(TRANSPOSE(EP$9:EP$34),$K95:$AJ95)</f>
        <v>1000</v>
      </c>
      <c r="EQ95" s="12">
        <f t="array" ref="EQ95">SUMPRODUCT(TRANSPOSE(EQ$9:EQ$34),$K95:$AJ95)</f>
        <v>1000</v>
      </c>
      <c r="ER95" s="12">
        <f t="array" ref="ER95">SUMPRODUCT(TRANSPOSE(ER$9:ER$34),$K95:$AJ95)</f>
        <v>1000</v>
      </c>
      <c r="ES95" s="12">
        <f t="array" ref="ES95">SUMPRODUCT(TRANSPOSE(ES$9:ES$34),$K95:$AJ95)</f>
        <v>1000</v>
      </c>
      <c r="ET95" s="12">
        <f t="array" ref="ET95">SUMPRODUCT(TRANSPOSE(ET$9:ET$34),$K95:$AJ95)</f>
        <v>1000</v>
      </c>
      <c r="EU95" s="12">
        <f t="array" ref="EU95">SUMPRODUCT(TRANSPOSE(EU$9:EU$34),$K95:$AJ95)</f>
        <v>1000</v>
      </c>
      <c r="EV95" s="12">
        <f t="array" ref="EV95">SUMPRODUCT(TRANSPOSE(EV$9:EV$34),$K95:$AJ95)</f>
        <v>1000</v>
      </c>
      <c r="EW95" s="12">
        <f t="array" ref="EW95">SUMPRODUCT(TRANSPOSE(EW$9:EW$34),$K95:$AJ95)</f>
        <v>1000</v>
      </c>
      <c r="EX95" s="12">
        <f t="array" ref="EX95">SUMPRODUCT(TRANSPOSE(EX$9:EX$34),$K95:$AJ95)</f>
        <v>1000</v>
      </c>
      <c r="EY95" s="12">
        <f t="array" ref="EY95">SUMPRODUCT(TRANSPOSE(EY$9:EY$34),$K95:$AJ95)</f>
        <v>1000</v>
      </c>
      <c r="EZ95" s="12">
        <f t="array" ref="EZ95">SUMPRODUCT(TRANSPOSE(EZ$9:EZ$34),$K95:$AJ95)</f>
        <v>1000</v>
      </c>
      <c r="FA95" s="12">
        <f t="array" ref="FA95">SUMPRODUCT(TRANSPOSE(FA$9:FA$34),$K95:$AJ95)</f>
        <v>1000</v>
      </c>
      <c r="FB95" s="12">
        <f t="array" ref="FB95">SUMPRODUCT(TRANSPOSE(FB$9:FB$34),$K95:$AJ95)</f>
        <v>1000</v>
      </c>
      <c r="FC95" s="12">
        <f t="array" ref="FC95">SUMPRODUCT(TRANSPOSE(FC$9:FC$34),$K95:$AJ95)</f>
        <v>1000</v>
      </c>
      <c r="FD95" s="12">
        <f t="array" ref="FD95">SUMPRODUCT(TRANSPOSE(FD$9:FD$34),$K95:$AJ95)</f>
        <v>1000</v>
      </c>
      <c r="FE95" s="12">
        <f t="array" ref="FE95">SUMPRODUCT(TRANSPOSE(FE$9:FE$34),$K95:$AJ95)</f>
        <v>1000</v>
      </c>
      <c r="FF95" s="12">
        <f t="array" ref="FF95">SUMPRODUCT(TRANSPOSE(FF$9:FF$34),$K95:$AJ95)</f>
        <v>1000</v>
      </c>
      <c r="FG95" s="12">
        <f t="array" ref="FG95">SUMPRODUCT(TRANSPOSE(FG$9:FG$34),$K95:$AJ95)</f>
        <v>1000</v>
      </c>
      <c r="FH95" s="12">
        <f t="array" ref="FH95">SUMPRODUCT(TRANSPOSE(FH$9:FH$34),$K95:$AJ95)</f>
        <v>1000</v>
      </c>
      <c r="FI95" s="12">
        <f t="array" ref="FI95">SUMPRODUCT(TRANSPOSE(FI$9:FI$34),$K95:$AJ95)</f>
        <v>1000</v>
      </c>
      <c r="FJ95" s="12">
        <f t="array" ref="FJ95">SUMPRODUCT(TRANSPOSE(FJ$9:FJ$34),$K95:$AJ95)</f>
        <v>1000</v>
      </c>
      <c r="FK95" s="12">
        <f t="array" ref="FK95">SUMPRODUCT(TRANSPOSE(FK$9:FK$34),$K95:$AJ95)</f>
        <v>1000</v>
      </c>
      <c r="FL95" s="12">
        <f t="array" ref="FL95">SUMPRODUCT(TRANSPOSE(FL$9:FL$34),$K95:$AJ95)</f>
        <v>1000</v>
      </c>
      <c r="FM95" s="12">
        <f t="array" ref="FM95">SUMPRODUCT(TRANSPOSE(FM$9:FM$34),$K95:$AJ95)</f>
        <v>1000</v>
      </c>
      <c r="FN95" s="12">
        <f t="array" ref="FN95">SUMPRODUCT(TRANSPOSE(FN$9:FN$34),$K95:$AJ95)</f>
        <v>784</v>
      </c>
      <c r="FO95" s="12">
        <f t="array" ref="FO95">SUMPRODUCT(TRANSPOSE(FO$9:FO$34),$K95:$AJ95)</f>
        <v>0</v>
      </c>
    </row>
    <row r="96" spans="1:171" ht="14.25" x14ac:dyDescent="0.2">
      <c r="A96" s="13">
        <f t="shared" si="4"/>
        <v>61</v>
      </c>
      <c r="B96" s="13" t="s">
        <v>245</v>
      </c>
      <c r="C96" s="25" t="s">
        <v>44</v>
      </c>
      <c r="D96" s="13" t="s">
        <v>60</v>
      </c>
      <c r="E96" s="13">
        <v>410721792</v>
      </c>
      <c r="F96" s="26" t="s">
        <v>15</v>
      </c>
      <c r="G96" s="13"/>
      <c r="H96" s="13" t="s">
        <v>61</v>
      </c>
      <c r="I96" s="13">
        <v>1</v>
      </c>
      <c r="J96" s="13">
        <v>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1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1</v>
      </c>
      <c r="Z96" s="13"/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f t="shared" si="3"/>
        <v>2</v>
      </c>
      <c r="AL96" s="23">
        <f t="shared" si="2"/>
        <v>34997</v>
      </c>
      <c r="AM96" s="27" t="s">
        <v>62</v>
      </c>
      <c r="AN96" s="13" t="s">
        <v>62</v>
      </c>
      <c r="AO96" s="7" t="s">
        <v>62</v>
      </c>
      <c r="AP96" s="28"/>
      <c r="AQ96" s="12">
        <v>0</v>
      </c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13"/>
      <c r="CG96" s="13"/>
      <c r="CH96" s="13"/>
      <c r="CI96" s="12"/>
      <c r="CJ96" s="12"/>
      <c r="CK96" s="12"/>
      <c r="CL96" s="12"/>
      <c r="CM96" s="12"/>
      <c r="CN96" s="12"/>
      <c r="CO96" s="12"/>
      <c r="CP96" s="12">
        <f>SUM($AQ96:BJ96)-SUM($EA96:EH96)</f>
        <v>-3099</v>
      </c>
      <c r="CQ96" s="12">
        <f>SUM($AQ96:BK96)-SUM($EA96:EI96)</f>
        <v>-3380</v>
      </c>
      <c r="CR96" s="12">
        <f>SUM($AQ96:BL96)-SUM($EA96:EJ96)</f>
        <v>-3380</v>
      </c>
      <c r="CS96" s="12">
        <f>SUM($AQ96:BM96)-SUM($EA96:EK96)</f>
        <v>-3480</v>
      </c>
      <c r="CT96" s="12">
        <f>SUM($AQ96:BN96)-SUM($EA96:EL96)</f>
        <v>-4480</v>
      </c>
      <c r="CU96" s="12">
        <f>SUM($AQ96:BO96)-SUM($EA96:EM96)</f>
        <v>-6480</v>
      </c>
      <c r="CV96" s="12">
        <f>SUM($AQ96:BP96)-SUM($EA96:EN96)</f>
        <v>-7580</v>
      </c>
      <c r="CW96" s="12">
        <f>SUM($AQ96:BQ96)-SUM($EA96:EO96)</f>
        <v>-8580</v>
      </c>
      <c r="CX96" s="12">
        <f>SUM($AQ96:BR96)-SUM($EA96:EP96)</f>
        <v>-9580</v>
      </c>
      <c r="CY96" s="12">
        <f>SUM($AQ96:BS96)-SUM($EA96:EQ96)</f>
        <v>-10580</v>
      </c>
      <c r="CZ96" s="12">
        <f>SUM($AQ96:BT96)-SUM($EA96:ER96)</f>
        <v>-11580</v>
      </c>
      <c r="DA96" s="12">
        <f>SUM($AQ96:BU96)-SUM($EA96:ES96)</f>
        <v>-12580</v>
      </c>
      <c r="DB96" s="12">
        <f>SUM($AQ96:BV96)-SUM($EA96:ET96)</f>
        <v>-13580</v>
      </c>
      <c r="DC96" s="12">
        <f>SUM($AQ96:BW96)-SUM($EA96:EU96)</f>
        <v>-14580</v>
      </c>
      <c r="DD96" s="12">
        <f>SUM($AQ96:BX96)-SUM($EA96:EV96)</f>
        <v>-15580</v>
      </c>
      <c r="DE96" s="12">
        <f>SUM($AQ96:BY96)-SUM($EA96:EW96)</f>
        <v>-16580</v>
      </c>
      <c r="DF96" s="12">
        <f>SUM($AQ96:BZ96)-SUM($EA96:EX96)</f>
        <v>-17580</v>
      </c>
      <c r="DG96" s="12">
        <f>SUM($AQ96:CA96)-SUM($EA96:EY96)</f>
        <v>-18580</v>
      </c>
      <c r="DH96" s="12">
        <f>SUM($AQ96:CB96)-SUM($EA96:EZ96)</f>
        <v>-19580</v>
      </c>
      <c r="DI96" s="12">
        <f>SUM($AQ96:CC96)-SUM($EA96:FA96)</f>
        <v>-20580</v>
      </c>
      <c r="DJ96" s="12">
        <f>SUM($AQ96:CD96)-SUM($EA96:FB96)</f>
        <v>-21580</v>
      </c>
      <c r="DK96" s="12">
        <f>SUM($AQ96:CE96)-SUM($EA96:FC96)</f>
        <v>-22580</v>
      </c>
      <c r="DL96" s="12">
        <f>SUM($AQ96:CF96)-SUM($EA96:FD96)</f>
        <v>-23580</v>
      </c>
      <c r="DM96" s="12">
        <f>SUM($AQ96:CG96)-SUM($EA96:FE96)</f>
        <v>-24580</v>
      </c>
      <c r="DN96" s="12">
        <f>SUM($AQ96:CH96)-SUM($EA96:FF96)</f>
        <v>-25580</v>
      </c>
      <c r="DO96" s="12">
        <f>SUM($AQ96:CI96)-SUM($EA96:FG96)</f>
        <v>-26580</v>
      </c>
      <c r="DP96" s="12">
        <f>SUM($AQ96:CJ96)-SUM($EA96:FH96)</f>
        <v>-27580</v>
      </c>
      <c r="DQ96" s="12">
        <f>SUM($AQ96:CK96)-SUM($EA96:FI96)</f>
        <v>-28580</v>
      </c>
      <c r="DR96" s="12">
        <f>SUM($AQ96:CL96)-SUM($EA96:FJ96)</f>
        <v>-29580</v>
      </c>
      <c r="DS96" s="12">
        <f>SUM($AQ96:CM96)-SUM($EA96:FK96)</f>
        <v>-30580</v>
      </c>
      <c r="DT96" s="12">
        <f>SUM($AQ96:CN96)-SUM($EA96:FL96)</f>
        <v>-31580</v>
      </c>
      <c r="DU96" s="12">
        <f>SUM($AQ96:CO96)-SUM($EA96:FM96)</f>
        <v>-32580</v>
      </c>
      <c r="DV96" s="12">
        <f>SUM($AQ96:CP96)-SUM($EA96:FN96)</f>
        <v>-36496</v>
      </c>
      <c r="DW96" s="12">
        <f>SUM($AQ96:CQ96)-SUM($EA96:FO96)</f>
        <v>-39876</v>
      </c>
      <c r="DX96" s="13"/>
      <c r="DY96" s="13"/>
      <c r="DZ96" s="13"/>
      <c r="EA96" s="12"/>
      <c r="EB96" s="12"/>
      <c r="EC96" s="12"/>
      <c r="ED96" s="12"/>
      <c r="EE96" s="12"/>
      <c r="EF96" s="12"/>
      <c r="EG96" s="12"/>
      <c r="EH96" s="12">
        <f t="array" ref="EH96">SUMPRODUCT(TRANSPOSE(EH$9:EH$34),$K96:$AJ96)</f>
        <v>3099</v>
      </c>
      <c r="EI96" s="12">
        <f t="array" ref="EI96">SUMPRODUCT(TRANSPOSE(EI$9:EI$34),$K96:$AJ96)</f>
        <v>281</v>
      </c>
      <c r="EJ96" s="12">
        <f t="array" ref="EJ96">SUMPRODUCT(TRANSPOSE(EJ$9:EJ$34),$K96:$AJ96)</f>
        <v>0</v>
      </c>
      <c r="EK96" s="12">
        <f t="array" ref="EK96">SUMPRODUCT(TRANSPOSE(EK$9:EK$34),$K96:$AJ96)</f>
        <v>100</v>
      </c>
      <c r="EL96" s="12">
        <f t="array" ref="EL96">SUMPRODUCT(TRANSPOSE(EL$9:EL$34),$K96:$AJ96)</f>
        <v>1000</v>
      </c>
      <c r="EM96" s="12">
        <f t="array" ref="EM96">SUMPRODUCT(TRANSPOSE(EM$9:EM$34),$K96:$AJ96)</f>
        <v>2000</v>
      </c>
      <c r="EN96" s="12">
        <f t="array" ref="EN96">SUMPRODUCT(TRANSPOSE(EN$9:EN$34),$K96:$AJ96)</f>
        <v>1100</v>
      </c>
      <c r="EO96" s="12">
        <f t="array" ref="EO96">SUMPRODUCT(TRANSPOSE(EO$9:EO$34),$K96:$AJ96)</f>
        <v>1000</v>
      </c>
      <c r="EP96" s="12">
        <f t="array" ref="EP96">SUMPRODUCT(TRANSPOSE(EP$9:EP$34),$K96:$AJ96)</f>
        <v>1000</v>
      </c>
      <c r="EQ96" s="12">
        <f t="array" ref="EQ96">SUMPRODUCT(TRANSPOSE(EQ$9:EQ$34),$K96:$AJ96)</f>
        <v>1000</v>
      </c>
      <c r="ER96" s="12">
        <f t="array" ref="ER96">SUMPRODUCT(TRANSPOSE(ER$9:ER$34),$K96:$AJ96)</f>
        <v>1000</v>
      </c>
      <c r="ES96" s="12">
        <f t="array" ref="ES96">SUMPRODUCT(TRANSPOSE(ES$9:ES$34),$K96:$AJ96)</f>
        <v>1000</v>
      </c>
      <c r="ET96" s="12">
        <f t="array" ref="ET96">SUMPRODUCT(TRANSPOSE(ET$9:ET$34),$K96:$AJ96)</f>
        <v>1000</v>
      </c>
      <c r="EU96" s="12">
        <f t="array" ref="EU96">SUMPRODUCT(TRANSPOSE(EU$9:EU$34),$K96:$AJ96)</f>
        <v>1000</v>
      </c>
      <c r="EV96" s="12">
        <f t="array" ref="EV96">SUMPRODUCT(TRANSPOSE(EV$9:EV$34),$K96:$AJ96)</f>
        <v>1000</v>
      </c>
      <c r="EW96" s="12">
        <f t="array" ref="EW96">SUMPRODUCT(TRANSPOSE(EW$9:EW$34),$K96:$AJ96)</f>
        <v>1000</v>
      </c>
      <c r="EX96" s="12">
        <f t="array" ref="EX96">SUMPRODUCT(TRANSPOSE(EX$9:EX$34),$K96:$AJ96)</f>
        <v>1000</v>
      </c>
      <c r="EY96" s="12">
        <f t="array" ref="EY96">SUMPRODUCT(TRANSPOSE(EY$9:EY$34),$K96:$AJ96)</f>
        <v>1000</v>
      </c>
      <c r="EZ96" s="12">
        <f t="array" ref="EZ96">SUMPRODUCT(TRANSPOSE(EZ$9:EZ$34),$K96:$AJ96)</f>
        <v>1000</v>
      </c>
      <c r="FA96" s="12">
        <f t="array" ref="FA96">SUMPRODUCT(TRANSPOSE(FA$9:FA$34),$K96:$AJ96)</f>
        <v>1000</v>
      </c>
      <c r="FB96" s="12">
        <f t="array" ref="FB96">SUMPRODUCT(TRANSPOSE(FB$9:FB$34),$K96:$AJ96)</f>
        <v>1000</v>
      </c>
      <c r="FC96" s="12">
        <f t="array" ref="FC96">SUMPRODUCT(TRANSPOSE(FC$9:FC$34),$K96:$AJ96)</f>
        <v>1000</v>
      </c>
      <c r="FD96" s="12">
        <f t="array" ref="FD96">SUMPRODUCT(TRANSPOSE(FD$9:FD$34),$K96:$AJ96)</f>
        <v>1000</v>
      </c>
      <c r="FE96" s="12">
        <f t="array" ref="FE96">SUMPRODUCT(TRANSPOSE(FE$9:FE$34),$K96:$AJ96)</f>
        <v>1000</v>
      </c>
      <c r="FF96" s="12">
        <f t="array" ref="FF96">SUMPRODUCT(TRANSPOSE(FF$9:FF$34),$K96:$AJ96)</f>
        <v>1000</v>
      </c>
      <c r="FG96" s="12">
        <f t="array" ref="FG96">SUMPRODUCT(TRANSPOSE(FG$9:FG$34),$K96:$AJ96)</f>
        <v>1000</v>
      </c>
      <c r="FH96" s="12">
        <f t="array" ref="FH96">SUMPRODUCT(TRANSPOSE(FH$9:FH$34),$K96:$AJ96)</f>
        <v>1000</v>
      </c>
      <c r="FI96" s="12">
        <f t="array" ref="FI96">SUMPRODUCT(TRANSPOSE(FI$9:FI$34),$K96:$AJ96)</f>
        <v>1000</v>
      </c>
      <c r="FJ96" s="12">
        <f t="array" ref="FJ96">SUMPRODUCT(TRANSPOSE(FJ$9:FJ$34),$K96:$AJ96)</f>
        <v>1000</v>
      </c>
      <c r="FK96" s="12">
        <f t="array" ref="FK96">SUMPRODUCT(TRANSPOSE(FK$9:FK$34),$K96:$AJ96)</f>
        <v>1000</v>
      </c>
      <c r="FL96" s="12">
        <f t="array" ref="FL96">SUMPRODUCT(TRANSPOSE(FL$9:FL$34),$K96:$AJ96)</f>
        <v>1000</v>
      </c>
      <c r="FM96" s="12">
        <f t="array" ref="FM96">SUMPRODUCT(TRANSPOSE(FM$9:FM$34),$K96:$AJ96)</f>
        <v>1000</v>
      </c>
      <c r="FN96" s="12">
        <f t="array" ref="FN96">SUMPRODUCT(TRANSPOSE(FN$9:FN$34),$K96:$AJ96)</f>
        <v>817</v>
      </c>
      <c r="FO96" s="12">
        <f t="array" ref="FO96">SUMPRODUCT(TRANSPOSE(FO$9:FO$34),$K96:$AJ96)</f>
        <v>0</v>
      </c>
    </row>
    <row r="97" spans="1:171" ht="14.25" x14ac:dyDescent="0.2">
      <c r="A97" s="13">
        <f t="shared" si="4"/>
        <v>62</v>
      </c>
      <c r="B97" s="13" t="s">
        <v>246</v>
      </c>
      <c r="C97" s="25" t="s">
        <v>37</v>
      </c>
      <c r="D97" s="13" t="s">
        <v>110</v>
      </c>
      <c r="E97" s="13">
        <v>410877783</v>
      </c>
      <c r="F97" s="26" t="s">
        <v>9</v>
      </c>
      <c r="G97" s="13"/>
      <c r="H97" s="13" t="s">
        <v>61</v>
      </c>
      <c r="I97" s="13">
        <v>1</v>
      </c>
      <c r="J97" s="13">
        <v>1</v>
      </c>
      <c r="K97" s="13">
        <v>1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/>
      <c r="Z97" s="13"/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f t="shared" si="3"/>
        <v>1</v>
      </c>
      <c r="AL97" s="23">
        <f t="shared" si="2"/>
        <v>35198</v>
      </c>
      <c r="AM97" s="27" t="s">
        <v>62</v>
      </c>
      <c r="AN97" s="13" t="s">
        <v>62</v>
      </c>
      <c r="AO97" s="7" t="s">
        <v>62</v>
      </c>
      <c r="AP97" s="28"/>
      <c r="AQ97" s="12">
        <v>0</v>
      </c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13"/>
      <c r="CG97" s="13"/>
      <c r="CH97" s="13"/>
      <c r="CI97" s="12"/>
      <c r="CJ97" s="12"/>
      <c r="CK97" s="12"/>
      <c r="CL97" s="12"/>
      <c r="CM97" s="12"/>
      <c r="CN97" s="12"/>
      <c r="CO97" s="12"/>
      <c r="CP97" s="12">
        <f>SUM($AQ97:BJ97)-SUM($EA97:EH97)</f>
        <v>-3340</v>
      </c>
      <c r="CQ97" s="12">
        <f>SUM($AQ97:BK97)-SUM($EA97:EI97)</f>
        <v>-3954</v>
      </c>
      <c r="CR97" s="12">
        <f>SUM($AQ97:BL97)-SUM($EA97:EJ97)</f>
        <v>-4954</v>
      </c>
      <c r="CS97" s="12">
        <f>SUM($AQ97:BM97)-SUM($EA97:EK97)</f>
        <v>-5954</v>
      </c>
      <c r="CT97" s="12">
        <f>SUM($AQ97:BN97)-SUM($EA97:EL97)</f>
        <v>-6954</v>
      </c>
      <c r="CU97" s="12">
        <f>SUM($AQ97:BO97)-SUM($EA97:EM97)</f>
        <v>-6954</v>
      </c>
      <c r="CV97" s="12">
        <f>SUM($AQ97:BP97)-SUM($EA97:EN97)</f>
        <v>-7854</v>
      </c>
      <c r="CW97" s="12">
        <f>SUM($AQ97:BQ97)-SUM($EA97:EO97)</f>
        <v>-8854</v>
      </c>
      <c r="CX97" s="12">
        <f>SUM($AQ97:BR97)-SUM($EA97:EP97)</f>
        <v>-9854</v>
      </c>
      <c r="CY97" s="12">
        <f>SUM($AQ97:BS97)-SUM($EA97:EQ97)</f>
        <v>-10854</v>
      </c>
      <c r="CZ97" s="12">
        <f>SUM($AQ97:BT97)-SUM($EA97:ER97)</f>
        <v>-11854</v>
      </c>
      <c r="DA97" s="12">
        <f>SUM($AQ97:BU97)-SUM($EA97:ES97)</f>
        <v>-12854</v>
      </c>
      <c r="DB97" s="12">
        <f>SUM($AQ97:BV97)-SUM($EA97:ET97)</f>
        <v>-13854</v>
      </c>
      <c r="DC97" s="12">
        <f>SUM($AQ97:BW97)-SUM($EA97:EU97)</f>
        <v>-14854</v>
      </c>
      <c r="DD97" s="12">
        <f>SUM($AQ97:BX97)-SUM($EA97:EV97)</f>
        <v>-15854</v>
      </c>
      <c r="DE97" s="12">
        <f>SUM($AQ97:BY97)-SUM($EA97:EW97)</f>
        <v>-16854</v>
      </c>
      <c r="DF97" s="12">
        <f>SUM($AQ97:BZ97)-SUM($EA97:EX97)</f>
        <v>-17854</v>
      </c>
      <c r="DG97" s="12">
        <f>SUM($AQ97:CA97)-SUM($EA97:EY97)</f>
        <v>-18854</v>
      </c>
      <c r="DH97" s="12">
        <f>SUM($AQ97:CB97)-SUM($EA97:EZ97)</f>
        <v>-19854</v>
      </c>
      <c r="DI97" s="12">
        <f>SUM($AQ97:CC97)-SUM($EA97:FA97)</f>
        <v>-20854</v>
      </c>
      <c r="DJ97" s="12">
        <f>SUM($AQ97:CD97)-SUM($EA97:FB97)</f>
        <v>-21854</v>
      </c>
      <c r="DK97" s="12">
        <f>SUM($AQ97:CE97)-SUM($EA97:FC97)</f>
        <v>-22854</v>
      </c>
      <c r="DL97" s="12">
        <f>SUM($AQ97:CF97)-SUM($EA97:FD97)</f>
        <v>-23854</v>
      </c>
      <c r="DM97" s="12">
        <f>SUM($AQ97:CG97)-SUM($EA97:FE97)</f>
        <v>-24854</v>
      </c>
      <c r="DN97" s="12">
        <f>SUM($AQ97:CH97)-SUM($EA97:FF97)</f>
        <v>-25854</v>
      </c>
      <c r="DO97" s="12">
        <f>SUM($AQ97:CI97)-SUM($EA97:FG97)</f>
        <v>-26854</v>
      </c>
      <c r="DP97" s="12">
        <f>SUM($AQ97:CJ97)-SUM($EA97:FH97)</f>
        <v>-27854</v>
      </c>
      <c r="DQ97" s="12">
        <f>SUM($AQ97:CK97)-SUM($EA97:FI97)</f>
        <v>-28854</v>
      </c>
      <c r="DR97" s="12">
        <f>SUM($AQ97:CL97)-SUM($EA97:FJ97)</f>
        <v>-29854</v>
      </c>
      <c r="DS97" s="12">
        <f>SUM($AQ97:CM97)-SUM($EA97:FK97)</f>
        <v>-30854</v>
      </c>
      <c r="DT97" s="12">
        <f>SUM($AQ97:CN97)-SUM($EA97:FL97)</f>
        <v>-31854</v>
      </c>
      <c r="DU97" s="12">
        <f>SUM($AQ97:CO97)-SUM($EA97:FM97)</f>
        <v>-32854</v>
      </c>
      <c r="DV97" s="12">
        <f>SUM($AQ97:CP97)-SUM($EA97:FN97)</f>
        <v>-37194</v>
      </c>
      <c r="DW97" s="12">
        <f>SUM($AQ97:CQ97)-SUM($EA97:FO97)</f>
        <v>-41192</v>
      </c>
      <c r="DX97" s="13"/>
      <c r="DY97" s="13"/>
      <c r="DZ97" s="13"/>
      <c r="EA97" s="12"/>
      <c r="EB97" s="12"/>
      <c r="EC97" s="12"/>
      <c r="ED97" s="12"/>
      <c r="EE97" s="12"/>
      <c r="EF97" s="12"/>
      <c r="EG97" s="12"/>
      <c r="EH97" s="12">
        <f t="array" ref="EH97">SUMPRODUCT(TRANSPOSE(EH$9:EH$34),$K97:$AJ97)</f>
        <v>3340</v>
      </c>
      <c r="EI97" s="12">
        <f t="array" ref="EI97">SUMPRODUCT(TRANSPOSE(EI$9:EI$34),$K97:$AJ97)</f>
        <v>614</v>
      </c>
      <c r="EJ97" s="12">
        <f t="array" ref="EJ97">SUMPRODUCT(TRANSPOSE(EJ$9:EJ$34),$K97:$AJ97)</f>
        <v>1000</v>
      </c>
      <c r="EK97" s="12">
        <f t="array" ref="EK97">SUMPRODUCT(TRANSPOSE(EK$9:EK$34),$K97:$AJ97)</f>
        <v>1000</v>
      </c>
      <c r="EL97" s="12">
        <f t="array" ref="EL97">SUMPRODUCT(TRANSPOSE(EL$9:EL$34),$K97:$AJ97)</f>
        <v>1000</v>
      </c>
      <c r="EM97" s="12">
        <f t="array" ref="EM97">SUMPRODUCT(TRANSPOSE(EM$9:EM$34),$K97:$AJ97)</f>
        <v>0</v>
      </c>
      <c r="EN97" s="12">
        <f t="array" ref="EN97">SUMPRODUCT(TRANSPOSE(EN$9:EN$34),$K97:$AJ97)</f>
        <v>900</v>
      </c>
      <c r="EO97" s="12">
        <f t="array" ref="EO97">SUMPRODUCT(TRANSPOSE(EO$9:EO$34),$K97:$AJ97)</f>
        <v>1000</v>
      </c>
      <c r="EP97" s="12">
        <f t="array" ref="EP97">SUMPRODUCT(TRANSPOSE(EP$9:EP$34),$K97:$AJ97)</f>
        <v>1000</v>
      </c>
      <c r="EQ97" s="12">
        <f t="array" ref="EQ97">SUMPRODUCT(TRANSPOSE(EQ$9:EQ$34),$K97:$AJ97)</f>
        <v>1000</v>
      </c>
      <c r="ER97" s="12">
        <f t="array" ref="ER97">SUMPRODUCT(TRANSPOSE(ER$9:ER$34),$K97:$AJ97)</f>
        <v>1000</v>
      </c>
      <c r="ES97" s="12">
        <f t="array" ref="ES97">SUMPRODUCT(TRANSPOSE(ES$9:ES$34),$K97:$AJ97)</f>
        <v>1000</v>
      </c>
      <c r="ET97" s="12">
        <f t="array" ref="ET97">SUMPRODUCT(TRANSPOSE(ET$9:ET$34),$K97:$AJ97)</f>
        <v>1000</v>
      </c>
      <c r="EU97" s="12">
        <f t="array" ref="EU97">SUMPRODUCT(TRANSPOSE(EU$9:EU$34),$K97:$AJ97)</f>
        <v>1000</v>
      </c>
      <c r="EV97" s="12">
        <f t="array" ref="EV97">SUMPRODUCT(TRANSPOSE(EV$9:EV$34),$K97:$AJ97)</f>
        <v>1000</v>
      </c>
      <c r="EW97" s="12">
        <f t="array" ref="EW97">SUMPRODUCT(TRANSPOSE(EW$9:EW$34),$K97:$AJ97)</f>
        <v>1000</v>
      </c>
      <c r="EX97" s="12">
        <f t="array" ref="EX97">SUMPRODUCT(TRANSPOSE(EX$9:EX$34),$K97:$AJ97)</f>
        <v>1000</v>
      </c>
      <c r="EY97" s="12">
        <f t="array" ref="EY97">SUMPRODUCT(TRANSPOSE(EY$9:EY$34),$K97:$AJ97)</f>
        <v>1000</v>
      </c>
      <c r="EZ97" s="12">
        <f t="array" ref="EZ97">SUMPRODUCT(TRANSPOSE(EZ$9:EZ$34),$K97:$AJ97)</f>
        <v>1000</v>
      </c>
      <c r="FA97" s="12">
        <f t="array" ref="FA97">SUMPRODUCT(TRANSPOSE(FA$9:FA$34),$K97:$AJ97)</f>
        <v>1000</v>
      </c>
      <c r="FB97" s="12">
        <f t="array" ref="FB97">SUMPRODUCT(TRANSPOSE(FB$9:FB$34),$K97:$AJ97)</f>
        <v>1000</v>
      </c>
      <c r="FC97" s="12">
        <f t="array" ref="FC97">SUMPRODUCT(TRANSPOSE(FC$9:FC$34),$K97:$AJ97)</f>
        <v>1000</v>
      </c>
      <c r="FD97" s="12">
        <f t="array" ref="FD97">SUMPRODUCT(TRANSPOSE(FD$9:FD$34),$K97:$AJ97)</f>
        <v>1000</v>
      </c>
      <c r="FE97" s="12">
        <f t="array" ref="FE97">SUMPRODUCT(TRANSPOSE(FE$9:FE$34),$K97:$AJ97)</f>
        <v>1000</v>
      </c>
      <c r="FF97" s="12">
        <f t="array" ref="FF97">SUMPRODUCT(TRANSPOSE(FF$9:FF$34),$K97:$AJ97)</f>
        <v>1000</v>
      </c>
      <c r="FG97" s="12">
        <f t="array" ref="FG97">SUMPRODUCT(TRANSPOSE(FG$9:FG$34),$K97:$AJ97)</f>
        <v>1000</v>
      </c>
      <c r="FH97" s="12">
        <f t="array" ref="FH97">SUMPRODUCT(TRANSPOSE(FH$9:FH$34),$K97:$AJ97)</f>
        <v>1000</v>
      </c>
      <c r="FI97" s="12">
        <f t="array" ref="FI97">SUMPRODUCT(TRANSPOSE(FI$9:FI$34),$K97:$AJ97)</f>
        <v>1000</v>
      </c>
      <c r="FJ97" s="12">
        <f t="array" ref="FJ97">SUMPRODUCT(TRANSPOSE(FJ$9:FJ$34),$K97:$AJ97)</f>
        <v>1000</v>
      </c>
      <c r="FK97" s="12">
        <f t="array" ref="FK97">SUMPRODUCT(TRANSPOSE(FK$9:FK$34),$K97:$AJ97)</f>
        <v>1000</v>
      </c>
      <c r="FL97" s="12">
        <f t="array" ref="FL97">SUMPRODUCT(TRANSPOSE(FL$9:FL$34),$K97:$AJ97)</f>
        <v>1000</v>
      </c>
      <c r="FM97" s="12">
        <f t="array" ref="FM97">SUMPRODUCT(TRANSPOSE(FM$9:FM$34),$K97:$AJ97)</f>
        <v>1000</v>
      </c>
      <c r="FN97" s="12">
        <f t="array" ref="FN97">SUMPRODUCT(TRANSPOSE(FN$9:FN$34),$K97:$AJ97)</f>
        <v>1000</v>
      </c>
      <c r="FO97" s="12">
        <f t="array" ref="FO97">SUMPRODUCT(TRANSPOSE(FO$9:FO$34),$K97:$AJ97)</f>
        <v>44</v>
      </c>
    </row>
    <row r="98" spans="1:171" ht="14.25" x14ac:dyDescent="0.2">
      <c r="A98" s="13">
        <f t="shared" si="4"/>
        <v>63</v>
      </c>
      <c r="B98" s="13" t="s">
        <v>247</v>
      </c>
      <c r="C98" s="25" t="s">
        <v>38</v>
      </c>
      <c r="D98" s="13">
        <v>-2</v>
      </c>
      <c r="E98" s="13">
        <v>410846399</v>
      </c>
      <c r="F98" s="26" t="s">
        <v>10</v>
      </c>
      <c r="G98" s="13"/>
      <c r="H98" s="13" t="s">
        <v>61</v>
      </c>
      <c r="I98" s="13">
        <v>1</v>
      </c>
      <c r="J98" s="13">
        <v>1</v>
      </c>
      <c r="K98" s="13">
        <v>0</v>
      </c>
      <c r="L98" s="13">
        <v>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/>
      <c r="Z98" s="13"/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f t="shared" si="3"/>
        <v>1</v>
      </c>
      <c r="AL98" s="23">
        <f t="shared" si="2"/>
        <v>35198</v>
      </c>
      <c r="AM98" s="27" t="s">
        <v>62</v>
      </c>
      <c r="AN98" s="13" t="s">
        <v>62</v>
      </c>
      <c r="AO98" s="7" t="s">
        <v>62</v>
      </c>
      <c r="AP98" s="38"/>
      <c r="AQ98" s="12">
        <v>0</v>
      </c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13"/>
      <c r="CG98" s="13"/>
      <c r="CH98" s="13"/>
      <c r="CI98" s="12"/>
      <c r="CJ98" s="12"/>
      <c r="CK98" s="12"/>
      <c r="CL98" s="12"/>
      <c r="CM98" s="12"/>
      <c r="CN98" s="12"/>
      <c r="CO98" s="12"/>
      <c r="CP98" s="12">
        <f>SUM($AQ98:BJ98)-SUM($EA98:EH98)</f>
        <v>-3340</v>
      </c>
      <c r="CQ98" s="12">
        <f>SUM($AQ98:BK98)-SUM($EA98:EI98)</f>
        <v>-3954</v>
      </c>
      <c r="CR98" s="12">
        <f>SUM($AQ98:BL98)-SUM($EA98:EJ98)</f>
        <v>-4954</v>
      </c>
      <c r="CS98" s="12">
        <f>SUM($AQ98:BM98)-SUM($EA98:EK98)</f>
        <v>-5954</v>
      </c>
      <c r="CT98" s="12">
        <f>SUM($AQ98:BN98)-SUM($EA98:EL98)</f>
        <v>-6954</v>
      </c>
      <c r="CU98" s="12">
        <f>SUM($AQ98:BO98)-SUM($EA98:EM98)</f>
        <v>-6954</v>
      </c>
      <c r="CV98" s="12">
        <f>SUM($AQ98:BP98)-SUM($EA98:EN98)</f>
        <v>-7854</v>
      </c>
      <c r="CW98" s="12">
        <f>SUM($AQ98:BQ98)-SUM($EA98:EO98)</f>
        <v>-8854</v>
      </c>
      <c r="CX98" s="12">
        <f>SUM($AQ98:BR98)-SUM($EA98:EP98)</f>
        <v>-9854</v>
      </c>
      <c r="CY98" s="12">
        <f>SUM($AQ98:BS98)-SUM($EA98:EQ98)</f>
        <v>-10854</v>
      </c>
      <c r="CZ98" s="12">
        <f>SUM($AQ98:BT98)-SUM($EA98:ER98)</f>
        <v>-11854</v>
      </c>
      <c r="DA98" s="12">
        <f>SUM($AQ98:BU98)-SUM($EA98:ES98)</f>
        <v>-12854</v>
      </c>
      <c r="DB98" s="12">
        <f>SUM($AQ98:BV98)-SUM($EA98:ET98)</f>
        <v>-13854</v>
      </c>
      <c r="DC98" s="12">
        <f>SUM($AQ98:BW98)-SUM($EA98:EU98)</f>
        <v>-14854</v>
      </c>
      <c r="DD98" s="12">
        <f>SUM($AQ98:BX98)-SUM($EA98:EV98)</f>
        <v>-15854</v>
      </c>
      <c r="DE98" s="12">
        <f>SUM($AQ98:BY98)-SUM($EA98:EW98)</f>
        <v>-16854</v>
      </c>
      <c r="DF98" s="12">
        <f>SUM($AQ98:BZ98)-SUM($EA98:EX98)</f>
        <v>-17854</v>
      </c>
      <c r="DG98" s="12">
        <f>SUM($AQ98:CA98)-SUM($EA98:EY98)</f>
        <v>-18854</v>
      </c>
      <c r="DH98" s="12">
        <f>SUM($AQ98:CB98)-SUM($EA98:EZ98)</f>
        <v>-19854</v>
      </c>
      <c r="DI98" s="12">
        <f>SUM($AQ98:CC98)-SUM($EA98:FA98)</f>
        <v>-20854</v>
      </c>
      <c r="DJ98" s="12">
        <f>SUM($AQ98:CD98)-SUM($EA98:FB98)</f>
        <v>-21854</v>
      </c>
      <c r="DK98" s="12">
        <f>SUM($AQ98:CE98)-SUM($EA98:FC98)</f>
        <v>-22854</v>
      </c>
      <c r="DL98" s="12">
        <f>SUM($AQ98:CF98)-SUM($EA98:FD98)</f>
        <v>-23854</v>
      </c>
      <c r="DM98" s="12">
        <f>SUM($AQ98:CG98)-SUM($EA98:FE98)</f>
        <v>-24854</v>
      </c>
      <c r="DN98" s="12">
        <f>SUM($AQ98:CH98)-SUM($EA98:FF98)</f>
        <v>-25854</v>
      </c>
      <c r="DO98" s="12">
        <f>SUM($AQ98:CI98)-SUM($EA98:FG98)</f>
        <v>-26854</v>
      </c>
      <c r="DP98" s="12">
        <f>SUM($AQ98:CJ98)-SUM($EA98:FH98)</f>
        <v>-27854</v>
      </c>
      <c r="DQ98" s="12">
        <f>SUM($AQ98:CK98)-SUM($EA98:FI98)</f>
        <v>-28854</v>
      </c>
      <c r="DR98" s="12">
        <f>SUM($AQ98:CL98)-SUM($EA98:FJ98)</f>
        <v>-29854</v>
      </c>
      <c r="DS98" s="12">
        <f>SUM($AQ98:CM98)-SUM($EA98:FK98)</f>
        <v>-30854</v>
      </c>
      <c r="DT98" s="12">
        <f>SUM($AQ98:CN98)-SUM($EA98:FL98)</f>
        <v>-31854</v>
      </c>
      <c r="DU98" s="12">
        <f>SUM($AQ98:CO98)-SUM($EA98:FM98)</f>
        <v>-32854</v>
      </c>
      <c r="DV98" s="12">
        <f>SUM($AQ98:CP98)-SUM($EA98:FN98)</f>
        <v>-37194</v>
      </c>
      <c r="DW98" s="12">
        <f>SUM($AQ98:CQ98)-SUM($EA98:FO98)</f>
        <v>-41192</v>
      </c>
      <c r="DX98" s="13"/>
      <c r="DY98" s="13"/>
      <c r="DZ98" s="13"/>
      <c r="EA98" s="12"/>
      <c r="EB98" s="12"/>
      <c r="EC98" s="12"/>
      <c r="ED98" s="12"/>
      <c r="EE98" s="12"/>
      <c r="EF98" s="12"/>
      <c r="EG98" s="12"/>
      <c r="EH98" s="12">
        <f t="array" ref="EH98">SUMPRODUCT(TRANSPOSE(EH$9:EH$34),$K98:$AJ98)</f>
        <v>3340</v>
      </c>
      <c r="EI98" s="12">
        <f t="array" ref="EI98">SUMPRODUCT(TRANSPOSE(EI$9:EI$34),$K98:$AJ98)</f>
        <v>614</v>
      </c>
      <c r="EJ98" s="12">
        <f t="array" ref="EJ98">SUMPRODUCT(TRANSPOSE(EJ$9:EJ$34),$K98:$AJ98)</f>
        <v>1000</v>
      </c>
      <c r="EK98" s="12">
        <f t="array" ref="EK98">SUMPRODUCT(TRANSPOSE(EK$9:EK$34),$K98:$AJ98)</f>
        <v>1000</v>
      </c>
      <c r="EL98" s="12">
        <f t="array" ref="EL98">SUMPRODUCT(TRANSPOSE(EL$9:EL$34),$K98:$AJ98)</f>
        <v>1000</v>
      </c>
      <c r="EM98" s="12">
        <f t="array" ref="EM98">SUMPRODUCT(TRANSPOSE(EM$9:EM$34),$K98:$AJ98)</f>
        <v>0</v>
      </c>
      <c r="EN98" s="12">
        <f t="array" ref="EN98">SUMPRODUCT(TRANSPOSE(EN$9:EN$34),$K98:$AJ98)</f>
        <v>900</v>
      </c>
      <c r="EO98" s="12">
        <f t="array" ref="EO98">SUMPRODUCT(TRANSPOSE(EO$9:EO$34),$K98:$AJ98)</f>
        <v>1000</v>
      </c>
      <c r="EP98" s="12">
        <f t="array" ref="EP98">SUMPRODUCT(TRANSPOSE(EP$9:EP$34),$K98:$AJ98)</f>
        <v>1000</v>
      </c>
      <c r="EQ98" s="12">
        <f t="array" ref="EQ98">SUMPRODUCT(TRANSPOSE(EQ$9:EQ$34),$K98:$AJ98)</f>
        <v>1000</v>
      </c>
      <c r="ER98" s="12">
        <f t="array" ref="ER98">SUMPRODUCT(TRANSPOSE(ER$9:ER$34),$K98:$AJ98)</f>
        <v>1000</v>
      </c>
      <c r="ES98" s="12">
        <f t="array" ref="ES98">SUMPRODUCT(TRANSPOSE(ES$9:ES$34),$K98:$AJ98)</f>
        <v>1000</v>
      </c>
      <c r="ET98" s="12">
        <f t="array" ref="ET98">SUMPRODUCT(TRANSPOSE(ET$9:ET$34),$K98:$AJ98)</f>
        <v>1000</v>
      </c>
      <c r="EU98" s="12">
        <f t="array" ref="EU98">SUMPRODUCT(TRANSPOSE(EU$9:EU$34),$K98:$AJ98)</f>
        <v>1000</v>
      </c>
      <c r="EV98" s="12">
        <f t="array" ref="EV98">SUMPRODUCT(TRANSPOSE(EV$9:EV$34),$K98:$AJ98)</f>
        <v>1000</v>
      </c>
      <c r="EW98" s="12">
        <f t="array" ref="EW98">SUMPRODUCT(TRANSPOSE(EW$9:EW$34),$K98:$AJ98)</f>
        <v>1000</v>
      </c>
      <c r="EX98" s="12">
        <f t="array" ref="EX98">SUMPRODUCT(TRANSPOSE(EX$9:EX$34),$K98:$AJ98)</f>
        <v>1000</v>
      </c>
      <c r="EY98" s="12">
        <f t="array" ref="EY98">SUMPRODUCT(TRANSPOSE(EY$9:EY$34),$K98:$AJ98)</f>
        <v>1000</v>
      </c>
      <c r="EZ98" s="12">
        <f t="array" ref="EZ98">SUMPRODUCT(TRANSPOSE(EZ$9:EZ$34),$K98:$AJ98)</f>
        <v>1000</v>
      </c>
      <c r="FA98" s="12">
        <f t="array" ref="FA98">SUMPRODUCT(TRANSPOSE(FA$9:FA$34),$K98:$AJ98)</f>
        <v>1000</v>
      </c>
      <c r="FB98" s="12">
        <f t="array" ref="FB98">SUMPRODUCT(TRANSPOSE(FB$9:FB$34),$K98:$AJ98)</f>
        <v>1000</v>
      </c>
      <c r="FC98" s="12">
        <f t="array" ref="FC98">SUMPRODUCT(TRANSPOSE(FC$9:FC$34),$K98:$AJ98)</f>
        <v>1000</v>
      </c>
      <c r="FD98" s="12">
        <f t="array" ref="FD98">SUMPRODUCT(TRANSPOSE(FD$9:FD$34),$K98:$AJ98)</f>
        <v>1000</v>
      </c>
      <c r="FE98" s="12">
        <f t="array" ref="FE98">SUMPRODUCT(TRANSPOSE(FE$9:FE$34),$K98:$AJ98)</f>
        <v>1000</v>
      </c>
      <c r="FF98" s="12">
        <f t="array" ref="FF98">SUMPRODUCT(TRANSPOSE(FF$9:FF$34),$K98:$AJ98)</f>
        <v>1000</v>
      </c>
      <c r="FG98" s="12">
        <f t="array" ref="FG98">SUMPRODUCT(TRANSPOSE(FG$9:FG$34),$K98:$AJ98)</f>
        <v>1000</v>
      </c>
      <c r="FH98" s="12">
        <f t="array" ref="FH98">SUMPRODUCT(TRANSPOSE(FH$9:FH$34),$K98:$AJ98)</f>
        <v>1000</v>
      </c>
      <c r="FI98" s="12">
        <f t="array" ref="FI98">SUMPRODUCT(TRANSPOSE(FI$9:FI$34),$K98:$AJ98)</f>
        <v>1000</v>
      </c>
      <c r="FJ98" s="12">
        <f t="array" ref="FJ98">SUMPRODUCT(TRANSPOSE(FJ$9:FJ$34),$K98:$AJ98)</f>
        <v>1000</v>
      </c>
      <c r="FK98" s="12">
        <f t="array" ref="FK98">SUMPRODUCT(TRANSPOSE(FK$9:FK$34),$K98:$AJ98)</f>
        <v>1000</v>
      </c>
      <c r="FL98" s="12">
        <f t="array" ref="FL98">SUMPRODUCT(TRANSPOSE(FL$9:FL$34),$K98:$AJ98)</f>
        <v>1000</v>
      </c>
      <c r="FM98" s="12">
        <f t="array" ref="FM98">SUMPRODUCT(TRANSPOSE(FM$9:FM$34),$K98:$AJ98)</f>
        <v>1000</v>
      </c>
      <c r="FN98" s="12">
        <f t="array" ref="FN98">SUMPRODUCT(TRANSPOSE(FN$9:FN$34),$K98:$AJ98)</f>
        <v>1000</v>
      </c>
      <c r="FO98" s="12">
        <f t="array" ref="FO98">SUMPRODUCT(TRANSPOSE(FO$9:FO$34),$K98:$AJ98)</f>
        <v>44</v>
      </c>
    </row>
    <row r="99" spans="1:171" ht="14.25" x14ac:dyDescent="0.2">
      <c r="A99" s="13">
        <f t="shared" si="4"/>
        <v>64</v>
      </c>
      <c r="B99" s="13" t="s">
        <v>248</v>
      </c>
      <c r="C99" s="25" t="s">
        <v>249</v>
      </c>
      <c r="D99" s="13" t="s">
        <v>60</v>
      </c>
      <c r="E99" s="13">
        <v>410263548</v>
      </c>
      <c r="F99" s="26" t="s">
        <v>250</v>
      </c>
      <c r="G99" s="13"/>
      <c r="H99" s="13" t="s">
        <v>61</v>
      </c>
      <c r="I99" s="13">
        <v>1</v>
      </c>
      <c r="J99" s="13">
        <v>1</v>
      </c>
      <c r="K99" s="13">
        <v>1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/>
      <c r="Z99" s="13"/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f t="shared" si="3"/>
        <v>1</v>
      </c>
      <c r="AL99" s="23">
        <f t="shared" si="2"/>
        <v>35198</v>
      </c>
      <c r="AM99" s="27"/>
      <c r="AN99" s="44" t="s">
        <v>158</v>
      </c>
      <c r="AO99" s="7" t="s">
        <v>159</v>
      </c>
      <c r="AP99" s="45">
        <v>0.3</v>
      </c>
      <c r="AQ99" s="12">
        <v>18000</v>
      </c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13"/>
      <c r="CG99" s="13"/>
      <c r="CH99" s="13"/>
      <c r="CI99" s="12"/>
      <c r="CJ99" s="12"/>
      <c r="CK99" s="12"/>
      <c r="CL99" s="12"/>
      <c r="CM99" s="12"/>
      <c r="CN99" s="12"/>
      <c r="CO99" s="12"/>
      <c r="CP99" s="12">
        <f>SUM($AQ99:BJ99)-SUM($EA99:EH99)</f>
        <v>14660</v>
      </c>
      <c r="CQ99" s="12">
        <f>SUM($AQ99:BK99)-SUM($EA99:EI99)</f>
        <v>14046</v>
      </c>
      <c r="CR99" s="12">
        <f>SUM($AQ99:BL99)-SUM($EA99:EJ99)</f>
        <v>13046</v>
      </c>
      <c r="CS99" s="12">
        <f>SUM($AQ99:BM99)-SUM($EA99:EK99)</f>
        <v>12046</v>
      </c>
      <c r="CT99" s="12">
        <f>SUM($AQ99:BN99)-SUM($EA99:EL99)</f>
        <v>11046</v>
      </c>
      <c r="CU99" s="12">
        <f>SUM($AQ99:BO99)-SUM($EA99:EM99)</f>
        <v>11046</v>
      </c>
      <c r="CV99" s="12">
        <f>SUM($AQ99:BP99)-SUM($EA99:EN99)</f>
        <v>10146</v>
      </c>
      <c r="CW99" s="12">
        <f>SUM($AQ99:BQ99)-SUM($EA99:EO99)</f>
        <v>9146</v>
      </c>
      <c r="CX99" s="12">
        <f>SUM($AQ99:BR99)-SUM($EA99:EP99)</f>
        <v>8146</v>
      </c>
      <c r="CY99" s="12">
        <f>SUM($AQ99:BS99)-SUM($EA99:EQ99)</f>
        <v>7146</v>
      </c>
      <c r="CZ99" s="12">
        <f>SUM($AQ99:BT99)-SUM($EA99:ER99)</f>
        <v>6146</v>
      </c>
      <c r="DA99" s="12">
        <f>SUM($AQ99:BU99)-SUM($EA99:ES99)</f>
        <v>5146</v>
      </c>
      <c r="DB99" s="12">
        <f>SUM($AQ99:BV99)-SUM($EA99:ET99)</f>
        <v>4146</v>
      </c>
      <c r="DC99" s="12">
        <f>SUM($AQ99:BW99)-SUM($EA99:EU99)</f>
        <v>3146</v>
      </c>
      <c r="DD99" s="12">
        <f>SUM($AQ99:BX99)-SUM($EA99:EV99)</f>
        <v>2146</v>
      </c>
      <c r="DE99" s="12">
        <f>SUM($AQ99:BY99)-SUM($EA99:EW99)</f>
        <v>1146</v>
      </c>
      <c r="DF99" s="12">
        <f>SUM($AQ99:BZ99)-SUM($EA99:EX99)</f>
        <v>146</v>
      </c>
      <c r="DG99" s="12">
        <f>SUM($AQ99:CA99)-SUM($EA99:EY99)</f>
        <v>-854</v>
      </c>
      <c r="DH99" s="12">
        <f>SUM($AQ99:CB99)-SUM($EA99:EZ99)</f>
        <v>-1854</v>
      </c>
      <c r="DI99" s="12">
        <f>SUM($AQ99:CC99)-SUM($EA99:FA99)</f>
        <v>-2854</v>
      </c>
      <c r="DJ99" s="12">
        <f>SUM($AQ99:CD99)-SUM($EA99:FB99)</f>
        <v>-3854</v>
      </c>
      <c r="DK99" s="12">
        <f>SUM($AQ99:CE99)-SUM($EA99:FC99)</f>
        <v>-4854</v>
      </c>
      <c r="DL99" s="12">
        <f>SUM($AQ99:CF99)-SUM($EA99:FD99)</f>
        <v>-5854</v>
      </c>
      <c r="DM99" s="12">
        <f>SUM($AQ99:CG99)-SUM($EA99:FE99)</f>
        <v>-6854</v>
      </c>
      <c r="DN99" s="12">
        <f>SUM($AQ99:CH99)-SUM($EA99:FF99)</f>
        <v>-7854</v>
      </c>
      <c r="DO99" s="12">
        <f>SUM($AQ99:CI99)-SUM($EA99:FG99)</f>
        <v>-8854</v>
      </c>
      <c r="DP99" s="12">
        <f>SUM($AQ99:CJ99)-SUM($EA99:FH99)</f>
        <v>-9854</v>
      </c>
      <c r="DQ99" s="12">
        <f>SUM($AQ99:CK99)-SUM($EA99:FI99)</f>
        <v>-10854</v>
      </c>
      <c r="DR99" s="12">
        <f>SUM($AQ99:CL99)-SUM($EA99:FJ99)</f>
        <v>-11854</v>
      </c>
      <c r="DS99" s="12">
        <f>SUM($AQ99:CM99)-SUM($EA99:FK99)</f>
        <v>-12854</v>
      </c>
      <c r="DT99" s="12">
        <f>SUM($AQ99:CN99)-SUM($EA99:FL99)</f>
        <v>-13854</v>
      </c>
      <c r="DU99" s="12">
        <f>SUM($AQ99:CO99)-SUM($EA99:FM99)</f>
        <v>-14854</v>
      </c>
      <c r="DV99" s="12">
        <f>SUM($AQ99:CP99)-SUM($EA99:FN99)</f>
        <v>-1194</v>
      </c>
      <c r="DW99" s="12">
        <f>SUM($AQ99:CQ99)-SUM($EA99:FO99)</f>
        <v>12808</v>
      </c>
      <c r="DX99" s="13"/>
      <c r="DY99" s="13"/>
      <c r="DZ99" s="13"/>
      <c r="EA99" s="12"/>
      <c r="EB99" s="12"/>
      <c r="EC99" s="12"/>
      <c r="ED99" s="12"/>
      <c r="EE99" s="12"/>
      <c r="EF99" s="12"/>
      <c r="EG99" s="12"/>
      <c r="EH99" s="12">
        <f t="array" ref="EH99">SUMPRODUCT(TRANSPOSE(EH$9:EH$34),$K99:$AJ99)</f>
        <v>3340</v>
      </c>
      <c r="EI99" s="12">
        <f t="array" ref="EI99">SUMPRODUCT(TRANSPOSE(EI$9:EI$34),$K99:$AJ99)</f>
        <v>614</v>
      </c>
      <c r="EJ99" s="12">
        <f t="array" ref="EJ99">SUMPRODUCT(TRANSPOSE(EJ$9:EJ$34),$K99:$AJ99)</f>
        <v>1000</v>
      </c>
      <c r="EK99" s="12">
        <f t="array" ref="EK99">SUMPRODUCT(TRANSPOSE(EK$9:EK$34),$K99:$AJ99)</f>
        <v>1000</v>
      </c>
      <c r="EL99" s="12">
        <f t="array" ref="EL99">SUMPRODUCT(TRANSPOSE(EL$9:EL$34),$K99:$AJ99)</f>
        <v>1000</v>
      </c>
      <c r="EM99" s="12">
        <f t="array" ref="EM99">SUMPRODUCT(TRANSPOSE(EM$9:EM$34),$K99:$AJ99)</f>
        <v>0</v>
      </c>
      <c r="EN99" s="12">
        <f t="array" ref="EN99">SUMPRODUCT(TRANSPOSE(EN$9:EN$34),$K99:$AJ99)</f>
        <v>900</v>
      </c>
      <c r="EO99" s="12">
        <f t="array" ref="EO99">SUMPRODUCT(TRANSPOSE(EO$9:EO$34),$K99:$AJ99)</f>
        <v>1000</v>
      </c>
      <c r="EP99" s="12">
        <f t="array" ref="EP99">SUMPRODUCT(TRANSPOSE(EP$9:EP$34),$K99:$AJ99)</f>
        <v>1000</v>
      </c>
      <c r="EQ99" s="12">
        <f t="array" ref="EQ99">SUMPRODUCT(TRANSPOSE(EQ$9:EQ$34),$K99:$AJ99)</f>
        <v>1000</v>
      </c>
      <c r="ER99" s="12">
        <f t="array" ref="ER99">SUMPRODUCT(TRANSPOSE(ER$9:ER$34),$K99:$AJ99)</f>
        <v>1000</v>
      </c>
      <c r="ES99" s="12">
        <f t="array" ref="ES99">SUMPRODUCT(TRANSPOSE(ES$9:ES$34),$K99:$AJ99)</f>
        <v>1000</v>
      </c>
      <c r="ET99" s="12">
        <f t="array" ref="ET99">SUMPRODUCT(TRANSPOSE(ET$9:ET$34),$K99:$AJ99)</f>
        <v>1000</v>
      </c>
      <c r="EU99" s="12">
        <f t="array" ref="EU99">SUMPRODUCT(TRANSPOSE(EU$9:EU$34),$K99:$AJ99)</f>
        <v>1000</v>
      </c>
      <c r="EV99" s="12">
        <f t="array" ref="EV99">SUMPRODUCT(TRANSPOSE(EV$9:EV$34),$K99:$AJ99)</f>
        <v>1000</v>
      </c>
      <c r="EW99" s="12">
        <f t="array" ref="EW99">SUMPRODUCT(TRANSPOSE(EW$9:EW$34),$K99:$AJ99)</f>
        <v>1000</v>
      </c>
      <c r="EX99" s="12">
        <f t="array" ref="EX99">SUMPRODUCT(TRANSPOSE(EX$9:EX$34),$K99:$AJ99)</f>
        <v>1000</v>
      </c>
      <c r="EY99" s="12">
        <f t="array" ref="EY99">SUMPRODUCT(TRANSPOSE(EY$9:EY$34),$K99:$AJ99)</f>
        <v>1000</v>
      </c>
      <c r="EZ99" s="12">
        <f t="array" ref="EZ99">SUMPRODUCT(TRANSPOSE(EZ$9:EZ$34),$K99:$AJ99)</f>
        <v>1000</v>
      </c>
      <c r="FA99" s="12">
        <f t="array" ref="FA99">SUMPRODUCT(TRANSPOSE(FA$9:FA$34),$K99:$AJ99)</f>
        <v>1000</v>
      </c>
      <c r="FB99" s="12">
        <f t="array" ref="FB99">SUMPRODUCT(TRANSPOSE(FB$9:FB$34),$K99:$AJ99)</f>
        <v>1000</v>
      </c>
      <c r="FC99" s="12">
        <f t="array" ref="FC99">SUMPRODUCT(TRANSPOSE(FC$9:FC$34),$K99:$AJ99)</f>
        <v>1000</v>
      </c>
      <c r="FD99" s="12">
        <f t="array" ref="FD99">SUMPRODUCT(TRANSPOSE(FD$9:FD$34),$K99:$AJ99)</f>
        <v>1000</v>
      </c>
      <c r="FE99" s="12">
        <f t="array" ref="FE99">SUMPRODUCT(TRANSPOSE(FE$9:FE$34),$K99:$AJ99)</f>
        <v>1000</v>
      </c>
      <c r="FF99" s="12">
        <f t="array" ref="FF99">SUMPRODUCT(TRANSPOSE(FF$9:FF$34),$K99:$AJ99)</f>
        <v>1000</v>
      </c>
      <c r="FG99" s="12">
        <f t="array" ref="FG99">SUMPRODUCT(TRANSPOSE(FG$9:FG$34),$K99:$AJ99)</f>
        <v>1000</v>
      </c>
      <c r="FH99" s="12">
        <f t="array" ref="FH99">SUMPRODUCT(TRANSPOSE(FH$9:FH$34),$K99:$AJ99)</f>
        <v>1000</v>
      </c>
      <c r="FI99" s="12">
        <f t="array" ref="FI99">SUMPRODUCT(TRANSPOSE(FI$9:FI$34),$K99:$AJ99)</f>
        <v>1000</v>
      </c>
      <c r="FJ99" s="12">
        <f t="array" ref="FJ99">SUMPRODUCT(TRANSPOSE(FJ$9:FJ$34),$K99:$AJ99)</f>
        <v>1000</v>
      </c>
      <c r="FK99" s="12">
        <f t="array" ref="FK99">SUMPRODUCT(TRANSPOSE(FK$9:FK$34),$K99:$AJ99)</f>
        <v>1000</v>
      </c>
      <c r="FL99" s="12">
        <f t="array" ref="FL99">SUMPRODUCT(TRANSPOSE(FL$9:FL$34),$K99:$AJ99)</f>
        <v>1000</v>
      </c>
      <c r="FM99" s="12">
        <f t="array" ref="FM99">SUMPRODUCT(TRANSPOSE(FM$9:FM$34),$K99:$AJ99)</f>
        <v>1000</v>
      </c>
      <c r="FN99" s="12">
        <f t="array" ref="FN99">SUMPRODUCT(TRANSPOSE(FN$9:FN$34),$K99:$AJ99)</f>
        <v>1000</v>
      </c>
      <c r="FO99" s="12">
        <f t="array" ref="FO99">SUMPRODUCT(TRANSPOSE(FO$9:FO$34),$K99:$AJ99)</f>
        <v>44</v>
      </c>
    </row>
    <row r="100" spans="1:171" ht="14.25" x14ac:dyDescent="0.2">
      <c r="A100" s="13">
        <f t="shared" si="4"/>
        <v>65</v>
      </c>
      <c r="B100" s="13" t="s">
        <v>251</v>
      </c>
      <c r="C100" s="25" t="s">
        <v>39</v>
      </c>
      <c r="D100" s="13" t="s">
        <v>60</v>
      </c>
      <c r="E100" s="13">
        <v>410721791</v>
      </c>
      <c r="F100" s="26" t="s">
        <v>11</v>
      </c>
      <c r="G100" s="13"/>
      <c r="H100" s="13" t="s">
        <v>61</v>
      </c>
      <c r="I100" s="13">
        <v>1</v>
      </c>
      <c r="J100" s="13">
        <v>1</v>
      </c>
      <c r="K100" s="13">
        <v>0</v>
      </c>
      <c r="L100" s="13">
        <v>0</v>
      </c>
      <c r="M100" s="13">
        <v>1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/>
      <c r="Z100" s="13"/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f t="shared" si="3"/>
        <v>1</v>
      </c>
      <c r="AL100" s="23">
        <f t="shared" ref="AL100:AL163" si="6">SUMPRODUCT(K100:AJ100,$K$31:$AJ$31)</f>
        <v>35231</v>
      </c>
      <c r="AM100" s="27" t="s">
        <v>62</v>
      </c>
      <c r="AN100" s="13" t="s">
        <v>62</v>
      </c>
      <c r="AO100" s="7" t="s">
        <v>62</v>
      </c>
      <c r="AP100" s="28"/>
      <c r="AQ100" s="12">
        <v>0</v>
      </c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13"/>
      <c r="CG100" s="13"/>
      <c r="CH100" s="13"/>
      <c r="CI100" s="12"/>
      <c r="CJ100" s="12"/>
      <c r="CK100" s="12"/>
      <c r="CL100" s="12"/>
      <c r="CM100" s="12"/>
      <c r="CN100" s="12"/>
      <c r="CO100" s="12"/>
      <c r="CP100" s="12">
        <f>SUM($AQ100:BJ100)-SUM($EA100:EH100)</f>
        <v>-3954</v>
      </c>
      <c r="CQ100" s="12">
        <f>SUM($AQ100:BK100)-SUM($EA100:EI100)</f>
        <v>-3954</v>
      </c>
      <c r="CR100" s="12">
        <f>SUM($AQ100:BL100)-SUM($EA100:EJ100)</f>
        <v>-4954</v>
      </c>
      <c r="CS100" s="12">
        <f>SUM($AQ100:BM100)-SUM($EA100:EK100)</f>
        <v>-5954</v>
      </c>
      <c r="CT100" s="12">
        <f>SUM($AQ100:BN100)-SUM($EA100:EL100)</f>
        <v>-6954</v>
      </c>
      <c r="CU100" s="12">
        <f>SUM($AQ100:BO100)-SUM($EA100:EM100)</f>
        <v>-6954</v>
      </c>
      <c r="CV100" s="12">
        <f>SUM($AQ100:BP100)-SUM($EA100:EN100)</f>
        <v>-7854</v>
      </c>
      <c r="CW100" s="12">
        <f>SUM($AQ100:BQ100)-SUM($EA100:EO100)</f>
        <v>-8854</v>
      </c>
      <c r="CX100" s="12">
        <f>SUM($AQ100:BR100)-SUM($EA100:EP100)</f>
        <v>-9854</v>
      </c>
      <c r="CY100" s="12">
        <f>SUM($AQ100:BS100)-SUM($EA100:EQ100)</f>
        <v>-10854</v>
      </c>
      <c r="CZ100" s="12">
        <f>SUM($AQ100:BT100)-SUM($EA100:ER100)</f>
        <v>-11854</v>
      </c>
      <c r="DA100" s="12">
        <f>SUM($AQ100:BU100)-SUM($EA100:ES100)</f>
        <v>-12854</v>
      </c>
      <c r="DB100" s="12">
        <f>SUM($AQ100:BV100)-SUM($EA100:ET100)</f>
        <v>-13854</v>
      </c>
      <c r="DC100" s="12">
        <f>SUM($AQ100:BW100)-SUM($EA100:EU100)</f>
        <v>-14854</v>
      </c>
      <c r="DD100" s="12">
        <f>SUM($AQ100:BX100)-SUM($EA100:EV100)</f>
        <v>-15854</v>
      </c>
      <c r="DE100" s="12">
        <f>SUM($AQ100:BY100)-SUM($EA100:EW100)</f>
        <v>-16854</v>
      </c>
      <c r="DF100" s="12">
        <f>SUM($AQ100:BZ100)-SUM($EA100:EX100)</f>
        <v>-17854</v>
      </c>
      <c r="DG100" s="12">
        <f>SUM($AQ100:CA100)-SUM($EA100:EY100)</f>
        <v>-18854</v>
      </c>
      <c r="DH100" s="12">
        <f>SUM($AQ100:CB100)-SUM($EA100:EZ100)</f>
        <v>-19854</v>
      </c>
      <c r="DI100" s="12">
        <f>SUM($AQ100:CC100)-SUM($EA100:FA100)</f>
        <v>-20854</v>
      </c>
      <c r="DJ100" s="12">
        <f>SUM($AQ100:CD100)-SUM($EA100:FB100)</f>
        <v>-21854</v>
      </c>
      <c r="DK100" s="12">
        <f>SUM($AQ100:CE100)-SUM($EA100:FC100)</f>
        <v>-22854</v>
      </c>
      <c r="DL100" s="12">
        <f>SUM($AQ100:CF100)-SUM($EA100:FD100)</f>
        <v>-23854</v>
      </c>
      <c r="DM100" s="12">
        <f>SUM($AQ100:CG100)-SUM($EA100:FE100)</f>
        <v>-24854</v>
      </c>
      <c r="DN100" s="12">
        <f>SUM($AQ100:CH100)-SUM($EA100:FF100)</f>
        <v>-25854</v>
      </c>
      <c r="DO100" s="12">
        <f>SUM($AQ100:CI100)-SUM($EA100:FG100)</f>
        <v>-26854</v>
      </c>
      <c r="DP100" s="12">
        <f>SUM($AQ100:CJ100)-SUM($EA100:FH100)</f>
        <v>-27854</v>
      </c>
      <c r="DQ100" s="12">
        <f>SUM($AQ100:CK100)-SUM($EA100:FI100)</f>
        <v>-28854</v>
      </c>
      <c r="DR100" s="12">
        <f>SUM($AQ100:CL100)-SUM($EA100:FJ100)</f>
        <v>-29854</v>
      </c>
      <c r="DS100" s="12">
        <f>SUM($AQ100:CM100)-SUM($EA100:FK100)</f>
        <v>-30854</v>
      </c>
      <c r="DT100" s="12">
        <f>SUM($AQ100:CN100)-SUM($EA100:FL100)</f>
        <v>-31854</v>
      </c>
      <c r="DU100" s="12">
        <f>SUM($AQ100:CO100)-SUM($EA100:FM100)</f>
        <v>-32854</v>
      </c>
      <c r="DV100" s="12">
        <f>SUM($AQ100:CP100)-SUM($EA100:FN100)</f>
        <v>-37808</v>
      </c>
      <c r="DW100" s="12">
        <f>SUM($AQ100:CQ100)-SUM($EA100:FO100)</f>
        <v>-41839</v>
      </c>
      <c r="DX100" s="13"/>
      <c r="DY100" s="13"/>
      <c r="DZ100" s="13"/>
      <c r="EA100" s="12"/>
      <c r="EB100" s="12"/>
      <c r="EC100" s="12"/>
      <c r="ED100" s="12"/>
      <c r="EE100" s="12"/>
      <c r="EF100" s="12"/>
      <c r="EG100" s="12"/>
      <c r="EH100" s="12">
        <f t="array" ref="EH100">SUMPRODUCT(TRANSPOSE(EH$9:EH$34),$K100:$AJ100)</f>
        <v>3954</v>
      </c>
      <c r="EI100" s="12">
        <f t="array" ref="EI100">SUMPRODUCT(TRANSPOSE(EI$9:EI$34),$K100:$AJ100)</f>
        <v>0</v>
      </c>
      <c r="EJ100" s="12">
        <f t="array" ref="EJ100">SUMPRODUCT(TRANSPOSE(EJ$9:EJ$34),$K100:$AJ100)</f>
        <v>1000</v>
      </c>
      <c r="EK100" s="12">
        <f t="array" ref="EK100">SUMPRODUCT(TRANSPOSE(EK$9:EK$34),$K100:$AJ100)</f>
        <v>1000</v>
      </c>
      <c r="EL100" s="12">
        <f t="array" ref="EL100">SUMPRODUCT(TRANSPOSE(EL$9:EL$34),$K100:$AJ100)</f>
        <v>1000</v>
      </c>
      <c r="EM100" s="12">
        <f t="array" ref="EM100">SUMPRODUCT(TRANSPOSE(EM$9:EM$34),$K100:$AJ100)</f>
        <v>0</v>
      </c>
      <c r="EN100" s="12">
        <f t="array" ref="EN100">SUMPRODUCT(TRANSPOSE(EN$9:EN$34),$K100:$AJ100)</f>
        <v>900</v>
      </c>
      <c r="EO100" s="12">
        <f t="array" ref="EO100">SUMPRODUCT(TRANSPOSE(EO$9:EO$34),$K100:$AJ100)</f>
        <v>1000</v>
      </c>
      <c r="EP100" s="12">
        <f t="array" ref="EP100">SUMPRODUCT(TRANSPOSE(EP$9:EP$34),$K100:$AJ100)</f>
        <v>1000</v>
      </c>
      <c r="EQ100" s="12">
        <f t="array" ref="EQ100">SUMPRODUCT(TRANSPOSE(EQ$9:EQ$34),$K100:$AJ100)</f>
        <v>1000</v>
      </c>
      <c r="ER100" s="12">
        <f t="array" ref="ER100">SUMPRODUCT(TRANSPOSE(ER$9:ER$34),$K100:$AJ100)</f>
        <v>1000</v>
      </c>
      <c r="ES100" s="12">
        <f t="array" ref="ES100">SUMPRODUCT(TRANSPOSE(ES$9:ES$34),$K100:$AJ100)</f>
        <v>1000</v>
      </c>
      <c r="ET100" s="12">
        <f t="array" ref="ET100">SUMPRODUCT(TRANSPOSE(ET$9:ET$34),$K100:$AJ100)</f>
        <v>1000</v>
      </c>
      <c r="EU100" s="12">
        <f t="array" ref="EU100">SUMPRODUCT(TRANSPOSE(EU$9:EU$34),$K100:$AJ100)</f>
        <v>1000</v>
      </c>
      <c r="EV100" s="12">
        <f t="array" ref="EV100">SUMPRODUCT(TRANSPOSE(EV$9:EV$34),$K100:$AJ100)</f>
        <v>1000</v>
      </c>
      <c r="EW100" s="12">
        <f t="array" ref="EW100">SUMPRODUCT(TRANSPOSE(EW$9:EW$34),$K100:$AJ100)</f>
        <v>1000</v>
      </c>
      <c r="EX100" s="12">
        <f t="array" ref="EX100">SUMPRODUCT(TRANSPOSE(EX$9:EX$34),$K100:$AJ100)</f>
        <v>1000</v>
      </c>
      <c r="EY100" s="12">
        <f t="array" ref="EY100">SUMPRODUCT(TRANSPOSE(EY$9:EY$34),$K100:$AJ100)</f>
        <v>1000</v>
      </c>
      <c r="EZ100" s="12">
        <f t="array" ref="EZ100">SUMPRODUCT(TRANSPOSE(EZ$9:EZ$34),$K100:$AJ100)</f>
        <v>1000</v>
      </c>
      <c r="FA100" s="12">
        <f t="array" ref="FA100">SUMPRODUCT(TRANSPOSE(FA$9:FA$34),$K100:$AJ100)</f>
        <v>1000</v>
      </c>
      <c r="FB100" s="12">
        <f t="array" ref="FB100">SUMPRODUCT(TRANSPOSE(FB$9:FB$34),$K100:$AJ100)</f>
        <v>1000</v>
      </c>
      <c r="FC100" s="12">
        <f t="array" ref="FC100">SUMPRODUCT(TRANSPOSE(FC$9:FC$34),$K100:$AJ100)</f>
        <v>1000</v>
      </c>
      <c r="FD100" s="12">
        <f t="array" ref="FD100">SUMPRODUCT(TRANSPOSE(FD$9:FD$34),$K100:$AJ100)</f>
        <v>1000</v>
      </c>
      <c r="FE100" s="12">
        <f t="array" ref="FE100">SUMPRODUCT(TRANSPOSE(FE$9:FE$34),$K100:$AJ100)</f>
        <v>1000</v>
      </c>
      <c r="FF100" s="12">
        <f t="array" ref="FF100">SUMPRODUCT(TRANSPOSE(FF$9:FF$34),$K100:$AJ100)</f>
        <v>1000</v>
      </c>
      <c r="FG100" s="12">
        <f t="array" ref="FG100">SUMPRODUCT(TRANSPOSE(FG$9:FG$34),$K100:$AJ100)</f>
        <v>1000</v>
      </c>
      <c r="FH100" s="12">
        <f t="array" ref="FH100">SUMPRODUCT(TRANSPOSE(FH$9:FH$34),$K100:$AJ100)</f>
        <v>1000</v>
      </c>
      <c r="FI100" s="12">
        <f t="array" ref="FI100">SUMPRODUCT(TRANSPOSE(FI$9:FI$34),$K100:$AJ100)</f>
        <v>1000</v>
      </c>
      <c r="FJ100" s="12">
        <f t="array" ref="FJ100">SUMPRODUCT(TRANSPOSE(FJ$9:FJ$34),$K100:$AJ100)</f>
        <v>1000</v>
      </c>
      <c r="FK100" s="12">
        <f t="array" ref="FK100">SUMPRODUCT(TRANSPOSE(FK$9:FK$34),$K100:$AJ100)</f>
        <v>1000</v>
      </c>
      <c r="FL100" s="12">
        <f t="array" ref="FL100">SUMPRODUCT(TRANSPOSE(FL$9:FL$34),$K100:$AJ100)</f>
        <v>1000</v>
      </c>
      <c r="FM100" s="12">
        <f t="array" ref="FM100">SUMPRODUCT(TRANSPOSE(FM$9:FM$34),$K100:$AJ100)</f>
        <v>1000</v>
      </c>
      <c r="FN100" s="12">
        <f t="array" ref="FN100">SUMPRODUCT(TRANSPOSE(FN$9:FN$34),$K100:$AJ100)</f>
        <v>1000</v>
      </c>
      <c r="FO100" s="12">
        <f t="array" ref="FO100">SUMPRODUCT(TRANSPOSE(FO$9:FO$34),$K100:$AJ100)</f>
        <v>77</v>
      </c>
    </row>
    <row r="101" spans="1:171" ht="14.25" x14ac:dyDescent="0.2">
      <c r="A101" s="13">
        <f t="shared" si="4"/>
        <v>66</v>
      </c>
      <c r="B101" s="13" t="s">
        <v>252</v>
      </c>
      <c r="C101" s="25" t="s">
        <v>51</v>
      </c>
      <c r="D101" s="13" t="s">
        <v>110</v>
      </c>
      <c r="E101" s="13">
        <v>410935973</v>
      </c>
      <c r="F101" s="26" t="s">
        <v>22</v>
      </c>
      <c r="G101" s="13"/>
      <c r="H101" s="13" t="s">
        <v>61</v>
      </c>
      <c r="I101" s="13">
        <v>1</v>
      </c>
      <c r="J101" s="13">
        <v>1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/>
      <c r="Z101" s="13"/>
      <c r="AA101" s="13">
        <v>1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f t="shared" si="3"/>
        <v>1</v>
      </c>
      <c r="AL101" s="23">
        <f t="shared" si="6"/>
        <v>635</v>
      </c>
      <c r="AM101" s="27" t="s">
        <v>62</v>
      </c>
      <c r="AN101" s="13" t="s">
        <v>62</v>
      </c>
      <c r="AO101" s="7" t="s">
        <v>62</v>
      </c>
      <c r="AP101" s="28"/>
      <c r="AQ101" s="12">
        <v>0</v>
      </c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13"/>
      <c r="CG101" s="13"/>
      <c r="CH101" s="13"/>
      <c r="CI101" s="12"/>
      <c r="CJ101" s="12"/>
      <c r="CK101" s="12"/>
      <c r="CL101" s="12"/>
      <c r="CM101" s="12"/>
      <c r="CN101" s="12"/>
      <c r="CO101" s="12"/>
      <c r="CP101" s="12">
        <f>SUM($AQ101:BJ101)-SUM($EA101:EH101)</f>
        <v>-10</v>
      </c>
      <c r="CQ101" s="12">
        <f>SUM($AQ101:BK101)-SUM($EA101:EI101)</f>
        <v>-10</v>
      </c>
      <c r="CR101" s="12">
        <f>SUM($AQ101:BL101)-SUM($EA101:EJ101)</f>
        <v>-25</v>
      </c>
      <c r="CS101" s="12">
        <f>SUM($AQ101:BM101)-SUM($EA101:EK101)</f>
        <v>-60</v>
      </c>
      <c r="CT101" s="12">
        <f>SUM($AQ101:BN101)-SUM($EA101:EL101)</f>
        <v>-75</v>
      </c>
      <c r="CU101" s="12">
        <f>SUM($AQ101:BO101)-SUM($EA101:EM101)</f>
        <v>-125</v>
      </c>
      <c r="CV101" s="12">
        <f>SUM($AQ101:BP101)-SUM($EA101:EN101)</f>
        <v>-175</v>
      </c>
      <c r="CW101" s="12">
        <f>SUM($AQ101:BQ101)-SUM($EA101:EO101)</f>
        <v>-175</v>
      </c>
      <c r="CX101" s="12">
        <f>SUM($AQ101:BR101)-SUM($EA101:EP101)</f>
        <v>-225</v>
      </c>
      <c r="CY101" s="12">
        <f>SUM($AQ101:BS101)-SUM($EA101:EQ101)</f>
        <v>-275</v>
      </c>
      <c r="CZ101" s="12">
        <f>SUM($AQ101:BT101)-SUM($EA101:ER101)</f>
        <v>-325</v>
      </c>
      <c r="DA101" s="12">
        <f>SUM($AQ101:BU101)-SUM($EA101:ES101)</f>
        <v>-375</v>
      </c>
      <c r="DB101" s="12">
        <f>SUM($AQ101:BV101)-SUM($EA101:ET101)</f>
        <v>-425</v>
      </c>
      <c r="DC101" s="12">
        <f>SUM($AQ101:BW101)-SUM($EA101:EU101)</f>
        <v>-475</v>
      </c>
      <c r="DD101" s="12">
        <f>SUM($AQ101:BX101)-SUM($EA101:EV101)</f>
        <v>-525</v>
      </c>
      <c r="DE101" s="12">
        <f>SUM($AQ101:BY101)-SUM($EA101:EW101)</f>
        <v>-535</v>
      </c>
      <c r="DF101" s="12">
        <f>SUM($AQ101:BZ101)-SUM($EA101:EX101)</f>
        <v>-535</v>
      </c>
      <c r="DG101" s="12">
        <f>SUM($AQ101:CA101)-SUM($EA101:EY101)</f>
        <v>-535</v>
      </c>
      <c r="DH101" s="12">
        <f>SUM($AQ101:CB101)-SUM($EA101:EZ101)</f>
        <v>-535</v>
      </c>
      <c r="DI101" s="12">
        <f>SUM($AQ101:CC101)-SUM($EA101:FA101)</f>
        <v>-535</v>
      </c>
      <c r="DJ101" s="12">
        <f>SUM($AQ101:CD101)-SUM($EA101:FB101)</f>
        <v>-535</v>
      </c>
      <c r="DK101" s="12">
        <f>SUM($AQ101:CE101)-SUM($EA101:FC101)</f>
        <v>-535</v>
      </c>
      <c r="DL101" s="12">
        <f>SUM($AQ101:CF101)-SUM($EA101:FD101)</f>
        <v>-535</v>
      </c>
      <c r="DM101" s="12">
        <f>SUM($AQ101:CG101)-SUM($EA101:FE101)</f>
        <v>-535</v>
      </c>
      <c r="DN101" s="12">
        <f>SUM($AQ101:CH101)-SUM($EA101:FF101)</f>
        <v>-535</v>
      </c>
      <c r="DO101" s="12">
        <f>SUM($AQ101:CI101)-SUM($EA101:FG101)</f>
        <v>-535</v>
      </c>
      <c r="DP101" s="12">
        <f>SUM($AQ101:CJ101)-SUM($EA101:FH101)</f>
        <v>-535</v>
      </c>
      <c r="DQ101" s="12">
        <f>SUM($AQ101:CK101)-SUM($EA101:FI101)</f>
        <v>-535</v>
      </c>
      <c r="DR101" s="12">
        <f>SUM($AQ101:CL101)-SUM($EA101:FJ101)</f>
        <v>-535</v>
      </c>
      <c r="DS101" s="12">
        <f>SUM($AQ101:CM101)-SUM($EA101:FK101)</f>
        <v>-535</v>
      </c>
      <c r="DT101" s="12">
        <f>SUM($AQ101:CN101)-SUM($EA101:FL101)</f>
        <v>-535</v>
      </c>
      <c r="DU101" s="12">
        <f>SUM($AQ101:CO101)-SUM($EA101:FM101)</f>
        <v>-535</v>
      </c>
      <c r="DV101" s="12">
        <f>SUM($AQ101:CP101)-SUM($EA101:FN101)</f>
        <v>-545</v>
      </c>
      <c r="DW101" s="12">
        <f>SUM($AQ101:CQ101)-SUM($EA101:FO101)</f>
        <v>-555</v>
      </c>
      <c r="DX101" s="13"/>
      <c r="DY101" s="13"/>
      <c r="DZ101" s="13"/>
      <c r="EA101" s="12"/>
      <c r="EB101" s="12"/>
      <c r="EC101" s="12"/>
      <c r="ED101" s="12"/>
      <c r="EE101" s="12"/>
      <c r="EF101" s="12"/>
      <c r="EG101" s="12"/>
      <c r="EH101" s="12">
        <f t="array" ref="EH101">SUMPRODUCT(TRANSPOSE(EH$9:EH$34),$K101:$AJ101)</f>
        <v>10</v>
      </c>
      <c r="EI101" s="12">
        <f t="array" ref="EI101">SUMPRODUCT(TRANSPOSE(EI$9:EI$34),$K101:$AJ101)</f>
        <v>0</v>
      </c>
      <c r="EJ101" s="12">
        <f t="array" ref="EJ101">SUMPRODUCT(TRANSPOSE(EJ$9:EJ$34),$K101:$AJ101)</f>
        <v>15</v>
      </c>
      <c r="EK101" s="12">
        <f t="array" ref="EK101">SUMPRODUCT(TRANSPOSE(EK$9:EK$34),$K101:$AJ101)</f>
        <v>35</v>
      </c>
      <c r="EL101" s="12">
        <f t="array" ref="EL101">SUMPRODUCT(TRANSPOSE(EL$9:EL$34),$K101:$AJ101)</f>
        <v>15</v>
      </c>
      <c r="EM101" s="12">
        <f t="array" ref="EM101">SUMPRODUCT(TRANSPOSE(EM$9:EM$34),$K101:$AJ101)</f>
        <v>50</v>
      </c>
      <c r="EN101" s="12">
        <f t="array" ref="EN101">SUMPRODUCT(TRANSPOSE(EN$9:EN$34),$K101:$AJ101)</f>
        <v>50</v>
      </c>
      <c r="EO101" s="12">
        <f t="array" ref="EO101">SUMPRODUCT(TRANSPOSE(EO$9:EO$34),$K101:$AJ101)</f>
        <v>0</v>
      </c>
      <c r="EP101" s="12">
        <f t="array" ref="EP101">SUMPRODUCT(TRANSPOSE(EP$9:EP$34),$K101:$AJ101)</f>
        <v>50</v>
      </c>
      <c r="EQ101" s="12">
        <f t="array" ref="EQ101">SUMPRODUCT(TRANSPOSE(EQ$9:EQ$34),$K101:$AJ101)</f>
        <v>50</v>
      </c>
      <c r="ER101" s="12">
        <f t="array" ref="ER101">SUMPRODUCT(TRANSPOSE(ER$9:ER$34),$K101:$AJ101)</f>
        <v>50</v>
      </c>
      <c r="ES101" s="12">
        <f t="array" ref="ES101">SUMPRODUCT(TRANSPOSE(ES$9:ES$34),$K101:$AJ101)</f>
        <v>50</v>
      </c>
      <c r="ET101" s="12">
        <f t="array" ref="ET101">SUMPRODUCT(TRANSPOSE(ET$9:ET$34),$K101:$AJ101)</f>
        <v>50</v>
      </c>
      <c r="EU101" s="12">
        <f t="array" ref="EU101">SUMPRODUCT(TRANSPOSE(EU$9:EU$34),$K101:$AJ101)</f>
        <v>50</v>
      </c>
      <c r="EV101" s="12">
        <f t="array" ref="EV101">SUMPRODUCT(TRANSPOSE(EV$9:EV$34),$K101:$AJ101)</f>
        <v>50</v>
      </c>
      <c r="EW101" s="12">
        <f t="array" ref="EW101">SUMPRODUCT(TRANSPOSE(EW$9:EW$34),$K101:$AJ101)</f>
        <v>10</v>
      </c>
      <c r="EX101" s="12">
        <f t="array" ref="EX101">SUMPRODUCT(TRANSPOSE(EX$9:EX$34),$K101:$AJ101)</f>
        <v>0</v>
      </c>
      <c r="EY101" s="12">
        <f t="array" ref="EY101">SUMPRODUCT(TRANSPOSE(EY$9:EY$34),$K101:$AJ101)</f>
        <v>0</v>
      </c>
      <c r="EZ101" s="12">
        <f t="array" ref="EZ101">SUMPRODUCT(TRANSPOSE(EZ$9:EZ$34),$K101:$AJ101)</f>
        <v>0</v>
      </c>
      <c r="FA101" s="12">
        <f t="array" ref="FA101">SUMPRODUCT(TRANSPOSE(FA$9:FA$34),$K101:$AJ101)</f>
        <v>0</v>
      </c>
      <c r="FB101" s="12">
        <f t="array" ref="FB101">SUMPRODUCT(TRANSPOSE(FB$9:FB$34),$K101:$AJ101)</f>
        <v>0</v>
      </c>
      <c r="FC101" s="12">
        <f t="array" ref="FC101">SUMPRODUCT(TRANSPOSE(FC$9:FC$34),$K101:$AJ101)</f>
        <v>0</v>
      </c>
      <c r="FD101" s="12">
        <f t="array" ref="FD101">SUMPRODUCT(TRANSPOSE(FD$9:FD$34),$K101:$AJ101)</f>
        <v>0</v>
      </c>
      <c r="FE101" s="12">
        <f t="array" ref="FE101">SUMPRODUCT(TRANSPOSE(FE$9:FE$34),$K101:$AJ101)</f>
        <v>0</v>
      </c>
      <c r="FF101" s="12">
        <f t="array" ref="FF101">SUMPRODUCT(TRANSPOSE(FF$9:FF$34),$K101:$AJ101)</f>
        <v>0</v>
      </c>
      <c r="FG101" s="12">
        <f t="array" ref="FG101">SUMPRODUCT(TRANSPOSE(FG$9:FG$34),$K101:$AJ101)</f>
        <v>0</v>
      </c>
      <c r="FH101" s="12">
        <f t="array" ref="FH101">SUMPRODUCT(TRANSPOSE(FH$9:FH$34),$K101:$AJ101)</f>
        <v>0</v>
      </c>
      <c r="FI101" s="12">
        <f t="array" ref="FI101">SUMPRODUCT(TRANSPOSE(FI$9:FI$34),$K101:$AJ101)</f>
        <v>0</v>
      </c>
      <c r="FJ101" s="12">
        <f t="array" ref="FJ101">SUMPRODUCT(TRANSPOSE(FJ$9:FJ$34),$K101:$AJ101)</f>
        <v>0</v>
      </c>
      <c r="FK101" s="12">
        <f t="array" ref="FK101">SUMPRODUCT(TRANSPOSE(FK$9:FK$34),$K101:$AJ101)</f>
        <v>0</v>
      </c>
      <c r="FL101" s="12">
        <f t="array" ref="FL101">SUMPRODUCT(TRANSPOSE(FL$9:FL$34),$K101:$AJ101)</f>
        <v>0</v>
      </c>
      <c r="FM101" s="12">
        <f t="array" ref="FM101">SUMPRODUCT(TRANSPOSE(FM$9:FM$34),$K101:$AJ101)</f>
        <v>0</v>
      </c>
      <c r="FN101" s="12">
        <f t="array" ref="FN101">SUMPRODUCT(TRANSPOSE(FN$9:FN$34),$K101:$AJ101)</f>
        <v>0</v>
      </c>
      <c r="FO101" s="12">
        <f t="array" ref="FO101">SUMPRODUCT(TRANSPOSE(FO$9:FO$34),$K101:$AJ101)</f>
        <v>0</v>
      </c>
    </row>
    <row r="102" spans="1:171" ht="14.25" x14ac:dyDescent="0.2">
      <c r="A102" s="13">
        <f t="shared" ref="A102:A165" si="7">A101+1</f>
        <v>67</v>
      </c>
      <c r="B102" s="13" t="s">
        <v>253</v>
      </c>
      <c r="C102" s="25" t="s">
        <v>52</v>
      </c>
      <c r="D102" s="13">
        <v>-2</v>
      </c>
      <c r="E102" s="13">
        <v>410810131</v>
      </c>
      <c r="F102" s="26" t="s">
        <v>23</v>
      </c>
      <c r="G102" s="13"/>
      <c r="H102" s="13" t="s">
        <v>61</v>
      </c>
      <c r="I102" s="13">
        <v>1</v>
      </c>
      <c r="J102" s="13">
        <v>1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/>
      <c r="Z102" s="13"/>
      <c r="AA102" s="13">
        <v>0</v>
      </c>
      <c r="AB102" s="13">
        <v>1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f t="shared" ref="AK102:AK166" si="8">SUM(K102:AD102)</f>
        <v>1</v>
      </c>
      <c r="AL102" s="23">
        <f t="shared" si="6"/>
        <v>635</v>
      </c>
      <c r="AM102" s="27" t="s">
        <v>62</v>
      </c>
      <c r="AN102" s="13" t="s">
        <v>62</v>
      </c>
      <c r="AO102" s="7" t="s">
        <v>62</v>
      </c>
      <c r="AP102" s="28"/>
      <c r="AQ102" s="12">
        <v>0</v>
      </c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13"/>
      <c r="CG102" s="13"/>
      <c r="CH102" s="13"/>
      <c r="CI102" s="12"/>
      <c r="CJ102" s="12"/>
      <c r="CK102" s="12"/>
      <c r="CL102" s="12"/>
      <c r="CM102" s="12"/>
      <c r="CN102" s="12"/>
      <c r="CO102" s="12"/>
      <c r="CP102" s="12">
        <f>SUM($AQ102:BJ102)-SUM($EA102:EH102)</f>
        <v>-10</v>
      </c>
      <c r="CQ102" s="12">
        <f>SUM($AQ102:BK102)-SUM($EA102:EI102)</f>
        <v>-10</v>
      </c>
      <c r="CR102" s="12">
        <f>SUM($AQ102:BL102)-SUM($EA102:EJ102)</f>
        <v>-25</v>
      </c>
      <c r="CS102" s="12">
        <f>SUM($AQ102:BM102)-SUM($EA102:EK102)</f>
        <v>-60</v>
      </c>
      <c r="CT102" s="12">
        <f>SUM($AQ102:BN102)-SUM($EA102:EL102)</f>
        <v>-75</v>
      </c>
      <c r="CU102" s="12">
        <f>SUM($AQ102:BO102)-SUM($EA102:EM102)</f>
        <v>-125</v>
      </c>
      <c r="CV102" s="12">
        <f>SUM($AQ102:BP102)-SUM($EA102:EN102)</f>
        <v>-175</v>
      </c>
      <c r="CW102" s="12">
        <f>SUM($AQ102:BQ102)-SUM($EA102:EO102)</f>
        <v>-175</v>
      </c>
      <c r="CX102" s="12">
        <f>SUM($AQ102:BR102)-SUM($EA102:EP102)</f>
        <v>-225</v>
      </c>
      <c r="CY102" s="12">
        <f>SUM($AQ102:BS102)-SUM($EA102:EQ102)</f>
        <v>-275</v>
      </c>
      <c r="CZ102" s="12">
        <f>SUM($AQ102:BT102)-SUM($EA102:ER102)</f>
        <v>-325</v>
      </c>
      <c r="DA102" s="12">
        <f>SUM($AQ102:BU102)-SUM($EA102:ES102)</f>
        <v>-375</v>
      </c>
      <c r="DB102" s="12">
        <f>SUM($AQ102:BV102)-SUM($EA102:ET102)</f>
        <v>-425</v>
      </c>
      <c r="DC102" s="12">
        <f>SUM($AQ102:BW102)-SUM($EA102:EU102)</f>
        <v>-475</v>
      </c>
      <c r="DD102" s="12">
        <f>SUM($AQ102:BX102)-SUM($EA102:EV102)</f>
        <v>-525</v>
      </c>
      <c r="DE102" s="12">
        <f>SUM($AQ102:BY102)-SUM($EA102:EW102)</f>
        <v>-535</v>
      </c>
      <c r="DF102" s="12">
        <f>SUM($AQ102:BZ102)-SUM($EA102:EX102)</f>
        <v>-535</v>
      </c>
      <c r="DG102" s="12">
        <f>SUM($AQ102:CA102)-SUM($EA102:EY102)</f>
        <v>-535</v>
      </c>
      <c r="DH102" s="12">
        <f>SUM($AQ102:CB102)-SUM($EA102:EZ102)</f>
        <v>-535</v>
      </c>
      <c r="DI102" s="12">
        <f>SUM($AQ102:CC102)-SUM($EA102:FA102)</f>
        <v>-535</v>
      </c>
      <c r="DJ102" s="12">
        <f>SUM($AQ102:CD102)-SUM($EA102:FB102)</f>
        <v>-535</v>
      </c>
      <c r="DK102" s="12">
        <f>SUM($AQ102:CE102)-SUM($EA102:FC102)</f>
        <v>-535</v>
      </c>
      <c r="DL102" s="12">
        <f>SUM($AQ102:CF102)-SUM($EA102:FD102)</f>
        <v>-535</v>
      </c>
      <c r="DM102" s="12">
        <f>SUM($AQ102:CG102)-SUM($EA102:FE102)</f>
        <v>-535</v>
      </c>
      <c r="DN102" s="12">
        <f>SUM($AQ102:CH102)-SUM($EA102:FF102)</f>
        <v>-535</v>
      </c>
      <c r="DO102" s="12">
        <f>SUM($AQ102:CI102)-SUM($EA102:FG102)</f>
        <v>-535</v>
      </c>
      <c r="DP102" s="12">
        <f>SUM($AQ102:CJ102)-SUM($EA102:FH102)</f>
        <v>-535</v>
      </c>
      <c r="DQ102" s="12">
        <f>SUM($AQ102:CK102)-SUM($EA102:FI102)</f>
        <v>-535</v>
      </c>
      <c r="DR102" s="12">
        <f>SUM($AQ102:CL102)-SUM($EA102:FJ102)</f>
        <v>-535</v>
      </c>
      <c r="DS102" s="12">
        <f>SUM($AQ102:CM102)-SUM($EA102:FK102)</f>
        <v>-535</v>
      </c>
      <c r="DT102" s="12">
        <f>SUM($AQ102:CN102)-SUM($EA102:FL102)</f>
        <v>-535</v>
      </c>
      <c r="DU102" s="12">
        <f>SUM($AQ102:CO102)-SUM($EA102:FM102)</f>
        <v>-535</v>
      </c>
      <c r="DV102" s="12">
        <f>SUM($AQ102:CP102)-SUM($EA102:FN102)</f>
        <v>-545</v>
      </c>
      <c r="DW102" s="12">
        <f>SUM($AQ102:CQ102)-SUM($EA102:FO102)</f>
        <v>-555</v>
      </c>
      <c r="DX102" s="13"/>
      <c r="DY102" s="13"/>
      <c r="DZ102" s="13"/>
      <c r="EA102" s="12"/>
      <c r="EB102" s="12"/>
      <c r="EC102" s="12"/>
      <c r="ED102" s="12"/>
      <c r="EE102" s="12"/>
      <c r="EF102" s="12"/>
      <c r="EG102" s="12"/>
      <c r="EH102" s="12">
        <f t="array" ref="EH102">SUMPRODUCT(TRANSPOSE(EH$9:EH$34),$K102:$AJ102)</f>
        <v>10</v>
      </c>
      <c r="EI102" s="12">
        <f t="array" ref="EI102">SUMPRODUCT(TRANSPOSE(EI$9:EI$34),$K102:$AJ102)</f>
        <v>0</v>
      </c>
      <c r="EJ102" s="12">
        <f t="array" ref="EJ102">SUMPRODUCT(TRANSPOSE(EJ$9:EJ$34),$K102:$AJ102)</f>
        <v>15</v>
      </c>
      <c r="EK102" s="12">
        <f t="array" ref="EK102">SUMPRODUCT(TRANSPOSE(EK$9:EK$34),$K102:$AJ102)</f>
        <v>35</v>
      </c>
      <c r="EL102" s="12">
        <f t="array" ref="EL102">SUMPRODUCT(TRANSPOSE(EL$9:EL$34),$K102:$AJ102)</f>
        <v>15</v>
      </c>
      <c r="EM102" s="12">
        <f t="array" ref="EM102">SUMPRODUCT(TRANSPOSE(EM$9:EM$34),$K102:$AJ102)</f>
        <v>50</v>
      </c>
      <c r="EN102" s="12">
        <f t="array" ref="EN102">SUMPRODUCT(TRANSPOSE(EN$9:EN$34),$K102:$AJ102)</f>
        <v>50</v>
      </c>
      <c r="EO102" s="12">
        <f t="array" ref="EO102">SUMPRODUCT(TRANSPOSE(EO$9:EO$34),$K102:$AJ102)</f>
        <v>0</v>
      </c>
      <c r="EP102" s="12">
        <f t="array" ref="EP102">SUMPRODUCT(TRANSPOSE(EP$9:EP$34),$K102:$AJ102)</f>
        <v>50</v>
      </c>
      <c r="EQ102" s="12">
        <f t="array" ref="EQ102">SUMPRODUCT(TRANSPOSE(EQ$9:EQ$34),$K102:$AJ102)</f>
        <v>50</v>
      </c>
      <c r="ER102" s="12">
        <f t="array" ref="ER102">SUMPRODUCT(TRANSPOSE(ER$9:ER$34),$K102:$AJ102)</f>
        <v>50</v>
      </c>
      <c r="ES102" s="12">
        <f t="array" ref="ES102">SUMPRODUCT(TRANSPOSE(ES$9:ES$34),$K102:$AJ102)</f>
        <v>50</v>
      </c>
      <c r="ET102" s="12">
        <f t="array" ref="ET102">SUMPRODUCT(TRANSPOSE(ET$9:ET$34),$K102:$AJ102)</f>
        <v>50</v>
      </c>
      <c r="EU102" s="12">
        <f t="array" ref="EU102">SUMPRODUCT(TRANSPOSE(EU$9:EU$34),$K102:$AJ102)</f>
        <v>50</v>
      </c>
      <c r="EV102" s="12">
        <f t="array" ref="EV102">SUMPRODUCT(TRANSPOSE(EV$9:EV$34),$K102:$AJ102)</f>
        <v>50</v>
      </c>
      <c r="EW102" s="12">
        <f t="array" ref="EW102">SUMPRODUCT(TRANSPOSE(EW$9:EW$34),$K102:$AJ102)</f>
        <v>10</v>
      </c>
      <c r="EX102" s="12">
        <f t="array" ref="EX102">SUMPRODUCT(TRANSPOSE(EX$9:EX$34),$K102:$AJ102)</f>
        <v>0</v>
      </c>
      <c r="EY102" s="12">
        <f t="array" ref="EY102">SUMPRODUCT(TRANSPOSE(EY$9:EY$34),$K102:$AJ102)</f>
        <v>0</v>
      </c>
      <c r="EZ102" s="12">
        <f t="array" ref="EZ102">SUMPRODUCT(TRANSPOSE(EZ$9:EZ$34),$K102:$AJ102)</f>
        <v>0</v>
      </c>
      <c r="FA102" s="12">
        <f t="array" ref="FA102">SUMPRODUCT(TRANSPOSE(FA$9:FA$34),$K102:$AJ102)</f>
        <v>0</v>
      </c>
      <c r="FB102" s="12">
        <f t="array" ref="FB102">SUMPRODUCT(TRANSPOSE(FB$9:FB$34),$K102:$AJ102)</f>
        <v>0</v>
      </c>
      <c r="FC102" s="12">
        <f t="array" ref="FC102">SUMPRODUCT(TRANSPOSE(FC$9:FC$34),$K102:$AJ102)</f>
        <v>0</v>
      </c>
      <c r="FD102" s="12">
        <f t="array" ref="FD102">SUMPRODUCT(TRANSPOSE(FD$9:FD$34),$K102:$AJ102)</f>
        <v>0</v>
      </c>
      <c r="FE102" s="12">
        <f t="array" ref="FE102">SUMPRODUCT(TRANSPOSE(FE$9:FE$34),$K102:$AJ102)</f>
        <v>0</v>
      </c>
      <c r="FF102" s="12">
        <f t="array" ref="FF102">SUMPRODUCT(TRANSPOSE(FF$9:FF$34),$K102:$AJ102)</f>
        <v>0</v>
      </c>
      <c r="FG102" s="12">
        <f t="array" ref="FG102">SUMPRODUCT(TRANSPOSE(FG$9:FG$34),$K102:$AJ102)</f>
        <v>0</v>
      </c>
      <c r="FH102" s="12">
        <f t="array" ref="FH102">SUMPRODUCT(TRANSPOSE(FH$9:FH$34),$K102:$AJ102)</f>
        <v>0</v>
      </c>
      <c r="FI102" s="12">
        <f t="array" ref="FI102">SUMPRODUCT(TRANSPOSE(FI$9:FI$34),$K102:$AJ102)</f>
        <v>0</v>
      </c>
      <c r="FJ102" s="12">
        <f t="array" ref="FJ102">SUMPRODUCT(TRANSPOSE(FJ$9:FJ$34),$K102:$AJ102)</f>
        <v>0</v>
      </c>
      <c r="FK102" s="12">
        <f t="array" ref="FK102">SUMPRODUCT(TRANSPOSE(FK$9:FK$34),$K102:$AJ102)</f>
        <v>0</v>
      </c>
      <c r="FL102" s="12">
        <f t="array" ref="FL102">SUMPRODUCT(TRANSPOSE(FL$9:FL$34),$K102:$AJ102)</f>
        <v>0</v>
      </c>
      <c r="FM102" s="12">
        <f t="array" ref="FM102">SUMPRODUCT(TRANSPOSE(FM$9:FM$34),$K102:$AJ102)</f>
        <v>0</v>
      </c>
      <c r="FN102" s="12">
        <f t="array" ref="FN102">SUMPRODUCT(TRANSPOSE(FN$9:FN$34),$K102:$AJ102)</f>
        <v>0</v>
      </c>
      <c r="FO102" s="12">
        <f t="array" ref="FO102">SUMPRODUCT(TRANSPOSE(FO$9:FO$34),$K102:$AJ102)</f>
        <v>0</v>
      </c>
    </row>
    <row r="103" spans="1:171" ht="14.25" x14ac:dyDescent="0.2">
      <c r="A103" s="13">
        <f t="shared" si="7"/>
        <v>68</v>
      </c>
      <c r="B103" s="13" t="s">
        <v>254</v>
      </c>
      <c r="C103" s="25" t="s">
        <v>255</v>
      </c>
      <c r="D103" s="13" t="s">
        <v>60</v>
      </c>
      <c r="E103" s="13">
        <v>410263546</v>
      </c>
      <c r="F103" s="26" t="s">
        <v>256</v>
      </c>
      <c r="G103" s="13"/>
      <c r="H103" s="13" t="s">
        <v>61</v>
      </c>
      <c r="I103" s="13">
        <v>1</v>
      </c>
      <c r="J103" s="13">
        <v>1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/>
      <c r="Z103" s="13"/>
      <c r="AA103" s="13">
        <v>1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f t="shared" si="8"/>
        <v>1</v>
      </c>
      <c r="AL103" s="23">
        <f t="shared" si="6"/>
        <v>635</v>
      </c>
      <c r="AM103" s="27"/>
      <c r="AN103" s="13" t="s">
        <v>158</v>
      </c>
      <c r="AO103" s="7" t="s">
        <v>159</v>
      </c>
      <c r="AP103" s="38">
        <v>1.4</v>
      </c>
      <c r="AQ103" s="12">
        <v>635</v>
      </c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13"/>
      <c r="CG103" s="13"/>
      <c r="CH103" s="13"/>
      <c r="CI103" s="12"/>
      <c r="CJ103" s="12"/>
      <c r="CK103" s="12"/>
      <c r="CL103" s="12"/>
      <c r="CM103" s="12"/>
      <c r="CN103" s="12"/>
      <c r="CO103" s="12"/>
      <c r="CP103" s="12">
        <f>SUM($AQ103:BJ103)-SUM($EA103:EH103)</f>
        <v>625</v>
      </c>
      <c r="CQ103" s="12">
        <f>SUM($AQ103:BK103)-SUM($EA103:EI103)</f>
        <v>625</v>
      </c>
      <c r="CR103" s="12">
        <f>SUM($AQ103:BL103)-SUM($EA103:EJ103)</f>
        <v>610</v>
      </c>
      <c r="CS103" s="12">
        <f>SUM($AQ103:BM103)-SUM($EA103:EK103)</f>
        <v>575</v>
      </c>
      <c r="CT103" s="12">
        <f>SUM($AQ103:BN103)-SUM($EA103:EL103)</f>
        <v>560</v>
      </c>
      <c r="CU103" s="12">
        <f>SUM($AQ103:BO103)-SUM($EA103:EM103)</f>
        <v>510</v>
      </c>
      <c r="CV103" s="12">
        <f>SUM($AQ103:BP103)-SUM($EA103:EN103)</f>
        <v>460</v>
      </c>
      <c r="CW103" s="12">
        <f>SUM($AQ103:BQ103)-SUM($EA103:EO103)</f>
        <v>460</v>
      </c>
      <c r="CX103" s="12">
        <f>SUM($AQ103:BR103)-SUM($EA103:EP103)</f>
        <v>410</v>
      </c>
      <c r="CY103" s="12">
        <f>SUM($AQ103:BS103)-SUM($EA103:EQ103)</f>
        <v>360</v>
      </c>
      <c r="CZ103" s="12">
        <f>SUM($AQ103:BT103)-SUM($EA103:ER103)</f>
        <v>310</v>
      </c>
      <c r="DA103" s="12">
        <f>SUM($AQ103:BU103)-SUM($EA103:ES103)</f>
        <v>260</v>
      </c>
      <c r="DB103" s="12">
        <f>SUM($AQ103:BV103)-SUM($EA103:ET103)</f>
        <v>210</v>
      </c>
      <c r="DC103" s="12">
        <f>SUM($AQ103:BW103)-SUM($EA103:EU103)</f>
        <v>160</v>
      </c>
      <c r="DD103" s="12">
        <f>SUM($AQ103:BX103)-SUM($EA103:EV103)</f>
        <v>110</v>
      </c>
      <c r="DE103" s="12">
        <f>SUM($AQ103:BY103)-SUM($EA103:EW103)</f>
        <v>100</v>
      </c>
      <c r="DF103" s="12">
        <f>SUM($AQ103:BZ103)-SUM($EA103:EX103)</f>
        <v>100</v>
      </c>
      <c r="DG103" s="12">
        <f>SUM($AQ103:CA103)-SUM($EA103:EY103)</f>
        <v>100</v>
      </c>
      <c r="DH103" s="12">
        <f>SUM($AQ103:CB103)-SUM($EA103:EZ103)</f>
        <v>100</v>
      </c>
      <c r="DI103" s="12">
        <f>SUM($AQ103:CC103)-SUM($EA103:FA103)</f>
        <v>100</v>
      </c>
      <c r="DJ103" s="12">
        <f>SUM($AQ103:CD103)-SUM($EA103:FB103)</f>
        <v>100</v>
      </c>
      <c r="DK103" s="12">
        <f>SUM($AQ103:CE103)-SUM($EA103:FC103)</f>
        <v>100</v>
      </c>
      <c r="DL103" s="12">
        <f>SUM($AQ103:CF103)-SUM($EA103:FD103)</f>
        <v>100</v>
      </c>
      <c r="DM103" s="12">
        <f>SUM($AQ103:CG103)-SUM($EA103:FE103)</f>
        <v>100</v>
      </c>
      <c r="DN103" s="12">
        <f>SUM($AQ103:CH103)-SUM($EA103:FF103)</f>
        <v>100</v>
      </c>
      <c r="DO103" s="12">
        <f>SUM($AQ103:CI103)-SUM($EA103:FG103)</f>
        <v>100</v>
      </c>
      <c r="DP103" s="12">
        <f>SUM($AQ103:CJ103)-SUM($EA103:FH103)</f>
        <v>100</v>
      </c>
      <c r="DQ103" s="12">
        <f>SUM($AQ103:CK103)-SUM($EA103:FI103)</f>
        <v>100</v>
      </c>
      <c r="DR103" s="12">
        <f>SUM($AQ103:CL103)-SUM($EA103:FJ103)</f>
        <v>100</v>
      </c>
      <c r="DS103" s="12">
        <f>SUM($AQ103:CM103)-SUM($EA103:FK103)</f>
        <v>100</v>
      </c>
      <c r="DT103" s="12">
        <f>SUM($AQ103:CN103)-SUM($EA103:FL103)</f>
        <v>100</v>
      </c>
      <c r="DU103" s="12">
        <f>SUM($AQ103:CO103)-SUM($EA103:FM103)</f>
        <v>100</v>
      </c>
      <c r="DV103" s="12">
        <f>SUM($AQ103:CP103)-SUM($EA103:FN103)</f>
        <v>725</v>
      </c>
      <c r="DW103" s="12">
        <f>SUM($AQ103:CQ103)-SUM($EA103:FO103)</f>
        <v>1350</v>
      </c>
      <c r="DX103" s="13"/>
      <c r="DY103" s="13"/>
      <c r="DZ103" s="13"/>
      <c r="EA103" s="12"/>
      <c r="EB103" s="12"/>
      <c r="EC103" s="12"/>
      <c r="ED103" s="12"/>
      <c r="EE103" s="12"/>
      <c r="EF103" s="12"/>
      <c r="EG103" s="12"/>
      <c r="EH103" s="12">
        <f t="array" ref="EH103">SUMPRODUCT(TRANSPOSE(EH$9:EH$34),$K103:$AJ103)</f>
        <v>10</v>
      </c>
      <c r="EI103" s="12">
        <f t="array" ref="EI103">SUMPRODUCT(TRANSPOSE(EI$9:EI$34),$K103:$AJ103)</f>
        <v>0</v>
      </c>
      <c r="EJ103" s="12">
        <f t="array" ref="EJ103">SUMPRODUCT(TRANSPOSE(EJ$9:EJ$34),$K103:$AJ103)</f>
        <v>15</v>
      </c>
      <c r="EK103" s="12">
        <f t="array" ref="EK103">SUMPRODUCT(TRANSPOSE(EK$9:EK$34),$K103:$AJ103)</f>
        <v>35</v>
      </c>
      <c r="EL103" s="12">
        <f t="array" ref="EL103">SUMPRODUCT(TRANSPOSE(EL$9:EL$34),$K103:$AJ103)</f>
        <v>15</v>
      </c>
      <c r="EM103" s="12">
        <f t="array" ref="EM103">SUMPRODUCT(TRANSPOSE(EM$9:EM$34),$K103:$AJ103)</f>
        <v>50</v>
      </c>
      <c r="EN103" s="12">
        <f t="array" ref="EN103">SUMPRODUCT(TRANSPOSE(EN$9:EN$34),$K103:$AJ103)</f>
        <v>50</v>
      </c>
      <c r="EO103" s="12">
        <f t="array" ref="EO103">SUMPRODUCT(TRANSPOSE(EO$9:EO$34),$K103:$AJ103)</f>
        <v>0</v>
      </c>
      <c r="EP103" s="12">
        <f t="array" ref="EP103">SUMPRODUCT(TRANSPOSE(EP$9:EP$34),$K103:$AJ103)</f>
        <v>50</v>
      </c>
      <c r="EQ103" s="12">
        <f t="array" ref="EQ103">SUMPRODUCT(TRANSPOSE(EQ$9:EQ$34),$K103:$AJ103)</f>
        <v>50</v>
      </c>
      <c r="ER103" s="12">
        <f t="array" ref="ER103">SUMPRODUCT(TRANSPOSE(ER$9:ER$34),$K103:$AJ103)</f>
        <v>50</v>
      </c>
      <c r="ES103" s="12">
        <f t="array" ref="ES103">SUMPRODUCT(TRANSPOSE(ES$9:ES$34),$K103:$AJ103)</f>
        <v>50</v>
      </c>
      <c r="ET103" s="12">
        <f t="array" ref="ET103">SUMPRODUCT(TRANSPOSE(ET$9:ET$34),$K103:$AJ103)</f>
        <v>50</v>
      </c>
      <c r="EU103" s="12">
        <f t="array" ref="EU103">SUMPRODUCT(TRANSPOSE(EU$9:EU$34),$K103:$AJ103)</f>
        <v>50</v>
      </c>
      <c r="EV103" s="12">
        <f t="array" ref="EV103">SUMPRODUCT(TRANSPOSE(EV$9:EV$34),$K103:$AJ103)</f>
        <v>50</v>
      </c>
      <c r="EW103" s="12">
        <f t="array" ref="EW103">SUMPRODUCT(TRANSPOSE(EW$9:EW$34),$K103:$AJ103)</f>
        <v>10</v>
      </c>
      <c r="EX103" s="12">
        <f t="array" ref="EX103">SUMPRODUCT(TRANSPOSE(EX$9:EX$34),$K103:$AJ103)</f>
        <v>0</v>
      </c>
      <c r="EY103" s="12">
        <f t="array" ref="EY103">SUMPRODUCT(TRANSPOSE(EY$9:EY$34),$K103:$AJ103)</f>
        <v>0</v>
      </c>
      <c r="EZ103" s="12">
        <f t="array" ref="EZ103">SUMPRODUCT(TRANSPOSE(EZ$9:EZ$34),$K103:$AJ103)</f>
        <v>0</v>
      </c>
      <c r="FA103" s="12">
        <f t="array" ref="FA103">SUMPRODUCT(TRANSPOSE(FA$9:FA$34),$K103:$AJ103)</f>
        <v>0</v>
      </c>
      <c r="FB103" s="12">
        <f t="array" ref="FB103">SUMPRODUCT(TRANSPOSE(FB$9:FB$34),$K103:$AJ103)</f>
        <v>0</v>
      </c>
      <c r="FC103" s="12">
        <f t="array" ref="FC103">SUMPRODUCT(TRANSPOSE(FC$9:FC$34),$K103:$AJ103)</f>
        <v>0</v>
      </c>
      <c r="FD103" s="12">
        <f t="array" ref="FD103">SUMPRODUCT(TRANSPOSE(FD$9:FD$34),$K103:$AJ103)</f>
        <v>0</v>
      </c>
      <c r="FE103" s="12">
        <f t="array" ref="FE103">SUMPRODUCT(TRANSPOSE(FE$9:FE$34),$K103:$AJ103)</f>
        <v>0</v>
      </c>
      <c r="FF103" s="12">
        <f t="array" ref="FF103">SUMPRODUCT(TRANSPOSE(FF$9:FF$34),$K103:$AJ103)</f>
        <v>0</v>
      </c>
      <c r="FG103" s="12">
        <f t="array" ref="FG103">SUMPRODUCT(TRANSPOSE(FG$9:FG$34),$K103:$AJ103)</f>
        <v>0</v>
      </c>
      <c r="FH103" s="12">
        <f t="array" ref="FH103">SUMPRODUCT(TRANSPOSE(FH$9:FH$34),$K103:$AJ103)</f>
        <v>0</v>
      </c>
      <c r="FI103" s="12">
        <f t="array" ref="FI103">SUMPRODUCT(TRANSPOSE(FI$9:FI$34),$K103:$AJ103)</f>
        <v>0</v>
      </c>
      <c r="FJ103" s="12">
        <f t="array" ref="FJ103">SUMPRODUCT(TRANSPOSE(FJ$9:FJ$34),$K103:$AJ103)</f>
        <v>0</v>
      </c>
      <c r="FK103" s="12">
        <f t="array" ref="FK103">SUMPRODUCT(TRANSPOSE(FK$9:FK$34),$K103:$AJ103)</f>
        <v>0</v>
      </c>
      <c r="FL103" s="12">
        <f t="array" ref="FL103">SUMPRODUCT(TRANSPOSE(FL$9:FL$34),$K103:$AJ103)</f>
        <v>0</v>
      </c>
      <c r="FM103" s="12">
        <f t="array" ref="FM103">SUMPRODUCT(TRANSPOSE(FM$9:FM$34),$K103:$AJ103)</f>
        <v>0</v>
      </c>
      <c r="FN103" s="12">
        <f t="array" ref="FN103">SUMPRODUCT(TRANSPOSE(FN$9:FN$34),$K103:$AJ103)</f>
        <v>0</v>
      </c>
      <c r="FO103" s="12">
        <f t="array" ref="FO103">SUMPRODUCT(TRANSPOSE(FO$9:FO$34),$K103:$AJ103)</f>
        <v>0</v>
      </c>
    </row>
    <row r="104" spans="1:171" ht="14.25" x14ac:dyDescent="0.2">
      <c r="A104" s="13">
        <f t="shared" si="7"/>
        <v>69</v>
      </c>
      <c r="B104" s="13" t="s">
        <v>257</v>
      </c>
      <c r="C104" s="25" t="s">
        <v>53</v>
      </c>
      <c r="D104" s="13" t="s">
        <v>60</v>
      </c>
      <c r="E104" s="13">
        <v>410721793</v>
      </c>
      <c r="F104" s="26" t="s">
        <v>24</v>
      </c>
      <c r="G104" s="13"/>
      <c r="H104" s="13" t="s">
        <v>61</v>
      </c>
      <c r="I104" s="13">
        <v>1</v>
      </c>
      <c r="J104" s="13">
        <v>1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/>
      <c r="Z104" s="13"/>
      <c r="AA104" s="13">
        <v>0</v>
      </c>
      <c r="AB104" s="13">
        <v>0</v>
      </c>
      <c r="AC104" s="13">
        <v>1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f t="shared" si="8"/>
        <v>1</v>
      </c>
      <c r="AL104" s="23">
        <f t="shared" si="6"/>
        <v>668</v>
      </c>
      <c r="AM104" s="27" t="s">
        <v>62</v>
      </c>
      <c r="AN104" s="13" t="s">
        <v>62</v>
      </c>
      <c r="AO104" s="7" t="s">
        <v>62</v>
      </c>
      <c r="AP104" s="28"/>
      <c r="AQ104" s="12">
        <v>0</v>
      </c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13"/>
      <c r="CG104" s="13"/>
      <c r="CH104" s="13"/>
      <c r="CI104" s="12"/>
      <c r="CJ104" s="12"/>
      <c r="CK104" s="12"/>
      <c r="CL104" s="12"/>
      <c r="CM104" s="12"/>
      <c r="CN104" s="12"/>
      <c r="CO104" s="12"/>
      <c r="CP104" s="12">
        <f>SUM($AQ104:BJ104)-SUM($EA104:EH104)</f>
        <v>-10</v>
      </c>
      <c r="CQ104" s="12">
        <f>SUM($AQ104:BK104)-SUM($EA104:EI104)</f>
        <v>-10</v>
      </c>
      <c r="CR104" s="12">
        <f>SUM($AQ104:BL104)-SUM($EA104:EJ104)</f>
        <v>-10</v>
      </c>
      <c r="CS104" s="12">
        <f>SUM($AQ104:BM104)-SUM($EA104:EK104)</f>
        <v>-10</v>
      </c>
      <c r="CT104" s="12">
        <f>SUM($AQ104:BN104)-SUM($EA104:EL104)</f>
        <v>-10</v>
      </c>
      <c r="CU104" s="12">
        <f>SUM($AQ104:BO104)-SUM($EA104:EM104)</f>
        <v>-10</v>
      </c>
      <c r="CV104" s="12">
        <f>SUM($AQ104:BP104)-SUM($EA104:EN104)</f>
        <v>-10</v>
      </c>
      <c r="CW104" s="12">
        <f>SUM($AQ104:BQ104)-SUM($EA104:EO104)</f>
        <v>-10</v>
      </c>
      <c r="CX104" s="12">
        <f>SUM($AQ104:BR104)-SUM($EA104:EP104)</f>
        <v>-10</v>
      </c>
      <c r="CY104" s="12">
        <f>SUM($AQ104:BS104)-SUM($EA104:EQ104)</f>
        <v>-10</v>
      </c>
      <c r="CZ104" s="12">
        <f>SUM($AQ104:BT104)-SUM($EA104:ER104)</f>
        <v>-10</v>
      </c>
      <c r="DA104" s="12">
        <f>SUM($AQ104:BU104)-SUM($EA104:ES104)</f>
        <v>-10</v>
      </c>
      <c r="DB104" s="12">
        <f>SUM($AQ104:BV104)-SUM($EA104:ET104)</f>
        <v>-10</v>
      </c>
      <c r="DC104" s="12">
        <f>SUM($AQ104:BW104)-SUM($EA104:EU104)</f>
        <v>-10</v>
      </c>
      <c r="DD104" s="12">
        <f>SUM($AQ104:BX104)-SUM($EA104:EV104)</f>
        <v>-10</v>
      </c>
      <c r="DE104" s="12">
        <f>SUM($AQ104:BY104)-SUM($EA104:EW104)</f>
        <v>-10</v>
      </c>
      <c r="DF104" s="12">
        <f>SUM($AQ104:BZ104)-SUM($EA104:EX104)</f>
        <v>-10</v>
      </c>
      <c r="DG104" s="12">
        <f>SUM($AQ104:CA104)-SUM($EA104:EY104)</f>
        <v>-10</v>
      </c>
      <c r="DH104" s="12">
        <f>SUM($AQ104:CB104)-SUM($EA104:EZ104)</f>
        <v>-10</v>
      </c>
      <c r="DI104" s="12">
        <f>SUM($AQ104:CC104)-SUM($EA104:FA104)</f>
        <v>-10</v>
      </c>
      <c r="DJ104" s="12">
        <f>SUM($AQ104:CD104)-SUM($EA104:FB104)</f>
        <v>-10</v>
      </c>
      <c r="DK104" s="12">
        <f>SUM($AQ104:CE104)-SUM($EA104:FC104)</f>
        <v>-10</v>
      </c>
      <c r="DL104" s="12">
        <f>SUM($AQ104:CF104)-SUM($EA104:FD104)</f>
        <v>-10</v>
      </c>
      <c r="DM104" s="12">
        <f>SUM($AQ104:CG104)-SUM($EA104:FE104)</f>
        <v>-10</v>
      </c>
      <c r="DN104" s="12">
        <f>SUM($AQ104:CH104)-SUM($EA104:FF104)</f>
        <v>-10</v>
      </c>
      <c r="DO104" s="12">
        <f>SUM($AQ104:CI104)-SUM($EA104:FG104)</f>
        <v>-10</v>
      </c>
      <c r="DP104" s="12">
        <f>SUM($AQ104:CJ104)-SUM($EA104:FH104)</f>
        <v>-10</v>
      </c>
      <c r="DQ104" s="12">
        <f>SUM($AQ104:CK104)-SUM($EA104:FI104)</f>
        <v>-10</v>
      </c>
      <c r="DR104" s="12">
        <f>SUM($AQ104:CL104)-SUM($EA104:FJ104)</f>
        <v>-10</v>
      </c>
      <c r="DS104" s="12">
        <f>SUM($AQ104:CM104)-SUM($EA104:FK104)</f>
        <v>-10</v>
      </c>
      <c r="DT104" s="12">
        <f>SUM($AQ104:CN104)-SUM($EA104:FL104)</f>
        <v>-10</v>
      </c>
      <c r="DU104" s="12">
        <f>SUM($AQ104:CO104)-SUM($EA104:FM104)</f>
        <v>-10</v>
      </c>
      <c r="DV104" s="12">
        <f>SUM($AQ104:CP104)-SUM($EA104:FN104)</f>
        <v>-20</v>
      </c>
      <c r="DW104" s="12">
        <f>SUM($AQ104:CQ104)-SUM($EA104:FO104)</f>
        <v>-30</v>
      </c>
      <c r="DX104" s="13"/>
      <c r="DY104" s="13"/>
      <c r="DZ104" s="13"/>
      <c r="EA104" s="12"/>
      <c r="EB104" s="12"/>
      <c r="EC104" s="12"/>
      <c r="ED104" s="12"/>
      <c r="EE104" s="12"/>
      <c r="EF104" s="12"/>
      <c r="EG104" s="12"/>
      <c r="EH104" s="12">
        <f t="array" ref="EH104">SUMPRODUCT(TRANSPOSE(EH$9:EH$34),$K104:$AJ104)</f>
        <v>10</v>
      </c>
      <c r="EI104" s="12">
        <f t="array" ref="EI104">SUMPRODUCT(TRANSPOSE(EI$9:EI$34),$K104:$AJ104)</f>
        <v>0</v>
      </c>
      <c r="EJ104" s="12">
        <f t="array" ref="EJ104">SUMPRODUCT(TRANSPOSE(EJ$9:EJ$34),$K104:$AJ104)</f>
        <v>0</v>
      </c>
      <c r="EK104" s="12">
        <f t="array" ref="EK104">SUMPRODUCT(TRANSPOSE(EK$9:EK$34),$K104:$AJ104)</f>
        <v>0</v>
      </c>
      <c r="EL104" s="12">
        <f t="array" ref="EL104">SUMPRODUCT(TRANSPOSE(EL$9:EL$34),$K104:$AJ104)</f>
        <v>0</v>
      </c>
      <c r="EM104" s="12">
        <f t="array" ref="EM104">SUMPRODUCT(TRANSPOSE(EM$9:EM$34),$K104:$AJ104)</f>
        <v>0</v>
      </c>
      <c r="EN104" s="12">
        <f t="array" ref="EN104">SUMPRODUCT(TRANSPOSE(EN$9:EN$34),$K104:$AJ104)</f>
        <v>0</v>
      </c>
      <c r="EO104" s="12">
        <f t="array" ref="EO104">SUMPRODUCT(TRANSPOSE(EO$9:EO$34),$K104:$AJ104)</f>
        <v>0</v>
      </c>
      <c r="EP104" s="12">
        <f t="array" ref="EP104">SUMPRODUCT(TRANSPOSE(EP$9:EP$34),$K104:$AJ104)</f>
        <v>0</v>
      </c>
      <c r="EQ104" s="12">
        <f t="array" ref="EQ104">SUMPRODUCT(TRANSPOSE(EQ$9:EQ$34),$K104:$AJ104)</f>
        <v>0</v>
      </c>
      <c r="ER104" s="12">
        <f t="array" ref="ER104">SUMPRODUCT(TRANSPOSE(ER$9:ER$34),$K104:$AJ104)</f>
        <v>0</v>
      </c>
      <c r="ES104" s="12">
        <f t="array" ref="ES104">SUMPRODUCT(TRANSPOSE(ES$9:ES$34),$K104:$AJ104)</f>
        <v>0</v>
      </c>
      <c r="ET104" s="12">
        <f t="array" ref="ET104">SUMPRODUCT(TRANSPOSE(ET$9:ET$34),$K104:$AJ104)</f>
        <v>0</v>
      </c>
      <c r="EU104" s="12">
        <f t="array" ref="EU104">SUMPRODUCT(TRANSPOSE(EU$9:EU$34),$K104:$AJ104)</f>
        <v>0</v>
      </c>
      <c r="EV104" s="12">
        <f t="array" ref="EV104">SUMPRODUCT(TRANSPOSE(EV$9:EV$34),$K104:$AJ104)</f>
        <v>0</v>
      </c>
      <c r="EW104" s="12">
        <f t="array" ref="EW104">SUMPRODUCT(TRANSPOSE(EW$9:EW$34),$K104:$AJ104)</f>
        <v>0</v>
      </c>
      <c r="EX104" s="12">
        <f t="array" ref="EX104">SUMPRODUCT(TRANSPOSE(EX$9:EX$34),$K104:$AJ104)</f>
        <v>0</v>
      </c>
      <c r="EY104" s="12">
        <f t="array" ref="EY104">SUMPRODUCT(TRANSPOSE(EY$9:EY$34),$K104:$AJ104)</f>
        <v>0</v>
      </c>
      <c r="EZ104" s="12">
        <f t="array" ref="EZ104">SUMPRODUCT(TRANSPOSE(EZ$9:EZ$34),$K104:$AJ104)</f>
        <v>0</v>
      </c>
      <c r="FA104" s="12">
        <f t="array" ref="FA104">SUMPRODUCT(TRANSPOSE(FA$9:FA$34),$K104:$AJ104)</f>
        <v>0</v>
      </c>
      <c r="FB104" s="12">
        <f t="array" ref="FB104">SUMPRODUCT(TRANSPOSE(FB$9:FB$34),$K104:$AJ104)</f>
        <v>0</v>
      </c>
      <c r="FC104" s="12">
        <f t="array" ref="FC104">SUMPRODUCT(TRANSPOSE(FC$9:FC$34),$K104:$AJ104)</f>
        <v>0</v>
      </c>
      <c r="FD104" s="12">
        <f t="array" ref="FD104">SUMPRODUCT(TRANSPOSE(FD$9:FD$34),$K104:$AJ104)</f>
        <v>0</v>
      </c>
      <c r="FE104" s="12">
        <f t="array" ref="FE104">SUMPRODUCT(TRANSPOSE(FE$9:FE$34),$K104:$AJ104)</f>
        <v>0</v>
      </c>
      <c r="FF104" s="12">
        <f t="array" ref="FF104">SUMPRODUCT(TRANSPOSE(FF$9:FF$34),$K104:$AJ104)</f>
        <v>0</v>
      </c>
      <c r="FG104" s="12">
        <f t="array" ref="FG104">SUMPRODUCT(TRANSPOSE(FG$9:FG$34),$K104:$AJ104)</f>
        <v>0</v>
      </c>
      <c r="FH104" s="12">
        <f t="array" ref="FH104">SUMPRODUCT(TRANSPOSE(FH$9:FH$34),$K104:$AJ104)</f>
        <v>0</v>
      </c>
      <c r="FI104" s="12">
        <f t="array" ref="FI104">SUMPRODUCT(TRANSPOSE(FI$9:FI$34),$K104:$AJ104)</f>
        <v>0</v>
      </c>
      <c r="FJ104" s="12">
        <f t="array" ref="FJ104">SUMPRODUCT(TRANSPOSE(FJ$9:FJ$34),$K104:$AJ104)</f>
        <v>0</v>
      </c>
      <c r="FK104" s="12">
        <f t="array" ref="FK104">SUMPRODUCT(TRANSPOSE(FK$9:FK$34),$K104:$AJ104)</f>
        <v>0</v>
      </c>
      <c r="FL104" s="12">
        <f t="array" ref="FL104">SUMPRODUCT(TRANSPOSE(FL$9:FL$34),$K104:$AJ104)</f>
        <v>0</v>
      </c>
      <c r="FM104" s="12">
        <f t="array" ref="FM104">SUMPRODUCT(TRANSPOSE(FM$9:FM$34),$K104:$AJ104)</f>
        <v>0</v>
      </c>
      <c r="FN104" s="12">
        <f t="array" ref="FN104">SUMPRODUCT(TRANSPOSE(FN$9:FN$34),$K104:$AJ104)</f>
        <v>0</v>
      </c>
      <c r="FO104" s="12">
        <f t="array" ref="FO104">SUMPRODUCT(TRANSPOSE(FO$9:FO$34),$K104:$AJ104)</f>
        <v>0</v>
      </c>
    </row>
    <row r="105" spans="1:171" ht="14.25" x14ac:dyDescent="0.2">
      <c r="A105" s="13">
        <f t="shared" si="7"/>
        <v>70</v>
      </c>
      <c r="B105" s="42" t="s">
        <v>258</v>
      </c>
      <c r="C105" s="25" t="s">
        <v>259</v>
      </c>
      <c r="D105" s="13" t="s">
        <v>60</v>
      </c>
      <c r="E105" s="13">
        <v>408602563</v>
      </c>
      <c r="F105" s="26" t="s">
        <v>260</v>
      </c>
      <c r="G105" s="13"/>
      <c r="H105" s="13" t="s">
        <v>61</v>
      </c>
      <c r="I105" s="13">
        <v>1</v>
      </c>
      <c r="J105" s="13">
        <v>6</v>
      </c>
      <c r="K105" s="13">
        <v>0</v>
      </c>
      <c r="L105" s="13">
        <v>0</v>
      </c>
      <c r="M105" s="13">
        <v>0</v>
      </c>
      <c r="N105" s="13">
        <v>2</v>
      </c>
      <c r="O105" s="13">
        <v>0</v>
      </c>
      <c r="P105" s="13">
        <v>0</v>
      </c>
      <c r="Q105" s="13">
        <v>0</v>
      </c>
      <c r="R105" s="13">
        <v>0</v>
      </c>
      <c r="S105" s="13">
        <v>2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/>
      <c r="Z105" s="13">
        <v>2</v>
      </c>
      <c r="AA105" s="13">
        <v>0</v>
      </c>
      <c r="AB105" s="13">
        <v>0</v>
      </c>
      <c r="AC105" s="13">
        <v>0</v>
      </c>
      <c r="AD105" s="13">
        <v>2</v>
      </c>
      <c r="AE105" s="13">
        <v>2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f t="shared" si="8"/>
        <v>8</v>
      </c>
      <c r="AL105" s="23">
        <f t="shared" si="6"/>
        <v>141792</v>
      </c>
      <c r="AM105" s="27"/>
      <c r="AN105" s="13" t="s">
        <v>6</v>
      </c>
      <c r="AO105" s="7" t="s">
        <v>2</v>
      </c>
      <c r="AP105" s="38"/>
      <c r="AQ105" s="12">
        <v>23050</v>
      </c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13"/>
      <c r="CG105" s="13"/>
      <c r="CH105" s="13"/>
      <c r="CI105" s="12"/>
      <c r="CJ105" s="12"/>
      <c r="CK105" s="12"/>
      <c r="CL105" s="12"/>
      <c r="CM105" s="12"/>
      <c r="CN105" s="12"/>
      <c r="CO105" s="12"/>
      <c r="CP105" s="12">
        <f>SUM($AQ105:BJ105)-SUM($EA105:EH105)</f>
        <v>8924</v>
      </c>
      <c r="CQ105" s="12">
        <f>SUM($AQ105:BK105)-SUM($EA105:EI105)</f>
        <v>8362</v>
      </c>
      <c r="CR105" s="12">
        <f>SUM($AQ105:BL105)-SUM($EA105:EJ105)</f>
        <v>6332</v>
      </c>
      <c r="CS105" s="12">
        <f>SUM($AQ105:BM105)-SUM($EA105:EK105)</f>
        <v>4062</v>
      </c>
      <c r="CT105" s="12">
        <f>SUM($AQ105:BN105)-SUM($EA105:EL105)</f>
        <v>32</v>
      </c>
      <c r="CU105" s="12">
        <f>SUM($AQ105:BO105)-SUM($EA105:EM105)</f>
        <v>-4068</v>
      </c>
      <c r="CV105" s="12">
        <f>SUM($AQ105:BP105)-SUM($EA105:EN105)</f>
        <v>-8168</v>
      </c>
      <c r="CW105" s="12">
        <f>SUM($AQ105:BQ105)-SUM($EA105:EO105)</f>
        <v>-12168</v>
      </c>
      <c r="CX105" s="12">
        <f>SUM($AQ105:BR105)-SUM($EA105:EP105)</f>
        <v>-16268</v>
      </c>
      <c r="CY105" s="12">
        <f>SUM($AQ105:BS105)-SUM($EA105:EQ105)</f>
        <v>-20368</v>
      </c>
      <c r="CZ105" s="12">
        <f>SUM($AQ105:BT105)-SUM($EA105:ER105)</f>
        <v>-24468</v>
      </c>
      <c r="DA105" s="12">
        <f>SUM($AQ105:BU105)-SUM($EA105:ES105)</f>
        <v>-28568</v>
      </c>
      <c r="DB105" s="12">
        <f>SUM($AQ105:BV105)-SUM($EA105:ET105)</f>
        <v>-32668</v>
      </c>
      <c r="DC105" s="12">
        <f>SUM($AQ105:BW105)-SUM($EA105:EU105)</f>
        <v>-36768</v>
      </c>
      <c r="DD105" s="12">
        <f>SUM($AQ105:BX105)-SUM($EA105:EV105)</f>
        <v>-40868</v>
      </c>
      <c r="DE105" s="12">
        <f>SUM($AQ105:BY105)-SUM($EA105:EW105)</f>
        <v>-44954</v>
      </c>
      <c r="DF105" s="12">
        <f>SUM($AQ105:BZ105)-SUM($EA105:EX105)</f>
        <v>-48954</v>
      </c>
      <c r="DG105" s="12">
        <f>SUM($AQ105:CA105)-SUM($EA105:EY105)</f>
        <v>-52954</v>
      </c>
      <c r="DH105" s="12">
        <f>SUM($AQ105:CB105)-SUM($EA105:EZ105)</f>
        <v>-56954</v>
      </c>
      <c r="DI105" s="12">
        <f>SUM($AQ105:CC105)-SUM($EA105:FA105)</f>
        <v>-60954</v>
      </c>
      <c r="DJ105" s="12">
        <f>SUM($AQ105:CD105)-SUM($EA105:FB105)</f>
        <v>-64954</v>
      </c>
      <c r="DK105" s="12">
        <f>SUM($AQ105:CE105)-SUM($EA105:FC105)</f>
        <v>-68954</v>
      </c>
      <c r="DL105" s="12">
        <f>SUM($AQ105:CF105)-SUM($EA105:FD105)</f>
        <v>-72954</v>
      </c>
      <c r="DM105" s="12">
        <f>SUM($AQ105:CG105)-SUM($EA105:FE105)</f>
        <v>-76954</v>
      </c>
      <c r="DN105" s="12">
        <f>SUM($AQ105:CH105)-SUM($EA105:FF105)</f>
        <v>-80954</v>
      </c>
      <c r="DO105" s="12">
        <f>SUM($AQ105:CI105)-SUM($EA105:FG105)</f>
        <v>-84954</v>
      </c>
      <c r="DP105" s="12">
        <f>SUM($AQ105:CJ105)-SUM($EA105:FH105)</f>
        <v>-88954</v>
      </c>
      <c r="DQ105" s="12">
        <f>SUM($AQ105:CK105)-SUM($EA105:FI105)</f>
        <v>-92954</v>
      </c>
      <c r="DR105" s="12">
        <f>SUM($AQ105:CL105)-SUM($EA105:FJ105)</f>
        <v>-96954</v>
      </c>
      <c r="DS105" s="12">
        <f>SUM($AQ105:CM105)-SUM($EA105:FK105)</f>
        <v>-100954</v>
      </c>
      <c r="DT105" s="12">
        <f>SUM($AQ105:CN105)-SUM($EA105:FL105)</f>
        <v>-104954</v>
      </c>
      <c r="DU105" s="12">
        <f>SUM($AQ105:CO105)-SUM($EA105:FM105)</f>
        <v>-108954</v>
      </c>
      <c r="DV105" s="12">
        <f>SUM($AQ105:CP105)-SUM($EA105:FN105)</f>
        <v>-103664</v>
      </c>
      <c r="DW105" s="12">
        <f>SUM($AQ105:CQ105)-SUM($EA105:FO105)</f>
        <v>-95456</v>
      </c>
      <c r="DX105" s="13"/>
      <c r="DY105" s="13"/>
      <c r="DZ105" s="13"/>
      <c r="EA105" s="12"/>
      <c r="EB105" s="12"/>
      <c r="EC105" s="12"/>
      <c r="ED105" s="12"/>
      <c r="EE105" s="12"/>
      <c r="EF105" s="12"/>
      <c r="EG105" s="12"/>
      <c r="EH105" s="12">
        <f t="array" ref="EH105">SUMPRODUCT(TRANSPOSE(EH$9:EH$34),$K105:$AJ105)</f>
        <v>14126</v>
      </c>
      <c r="EI105" s="12">
        <f t="array" ref="EI105">SUMPRODUCT(TRANSPOSE(EI$9:EI$34),$K105:$AJ105)</f>
        <v>562</v>
      </c>
      <c r="EJ105" s="12">
        <f t="array" ref="EJ105">SUMPRODUCT(TRANSPOSE(EJ$9:EJ$34),$K105:$AJ105)</f>
        <v>2030</v>
      </c>
      <c r="EK105" s="12">
        <f t="array" ref="EK105">SUMPRODUCT(TRANSPOSE(EK$9:EK$34),$K105:$AJ105)</f>
        <v>2270</v>
      </c>
      <c r="EL105" s="12">
        <f t="array" ref="EL105">SUMPRODUCT(TRANSPOSE(EL$9:EL$34),$K105:$AJ105)</f>
        <v>4030</v>
      </c>
      <c r="EM105" s="12">
        <f t="array" ref="EM105">SUMPRODUCT(TRANSPOSE(EM$9:EM$34),$K105:$AJ105)</f>
        <v>4100</v>
      </c>
      <c r="EN105" s="12">
        <f t="array" ref="EN105">SUMPRODUCT(TRANSPOSE(EN$9:EN$34),$K105:$AJ105)</f>
        <v>4100</v>
      </c>
      <c r="EO105" s="12">
        <f t="array" ref="EO105">SUMPRODUCT(TRANSPOSE(EO$9:EO$34),$K105:$AJ105)</f>
        <v>4000</v>
      </c>
      <c r="EP105" s="12">
        <f t="array" ref="EP105">SUMPRODUCT(TRANSPOSE(EP$9:EP$34),$K105:$AJ105)</f>
        <v>4100</v>
      </c>
      <c r="EQ105" s="12">
        <f t="array" ref="EQ105">SUMPRODUCT(TRANSPOSE(EQ$9:EQ$34),$K105:$AJ105)</f>
        <v>4100</v>
      </c>
      <c r="ER105" s="12">
        <f t="array" ref="ER105">SUMPRODUCT(TRANSPOSE(ER$9:ER$34),$K105:$AJ105)</f>
        <v>4100</v>
      </c>
      <c r="ES105" s="12">
        <f t="array" ref="ES105">SUMPRODUCT(TRANSPOSE(ES$9:ES$34),$K105:$AJ105)</f>
        <v>4100</v>
      </c>
      <c r="ET105" s="12">
        <f t="array" ref="ET105">SUMPRODUCT(TRANSPOSE(ET$9:ET$34),$K105:$AJ105)</f>
        <v>4100</v>
      </c>
      <c r="EU105" s="12">
        <f t="array" ref="EU105">SUMPRODUCT(TRANSPOSE(EU$9:EU$34),$K105:$AJ105)</f>
        <v>4100</v>
      </c>
      <c r="EV105" s="12">
        <f t="array" ref="EV105">SUMPRODUCT(TRANSPOSE(EV$9:EV$34),$K105:$AJ105)</f>
        <v>4100</v>
      </c>
      <c r="EW105" s="12">
        <f t="array" ref="EW105">SUMPRODUCT(TRANSPOSE(EW$9:EW$34),$K105:$AJ105)</f>
        <v>4086</v>
      </c>
      <c r="EX105" s="12">
        <f t="array" ref="EX105">SUMPRODUCT(TRANSPOSE(EX$9:EX$34),$K105:$AJ105)</f>
        <v>4000</v>
      </c>
      <c r="EY105" s="12">
        <f t="array" ref="EY105">SUMPRODUCT(TRANSPOSE(EY$9:EY$34),$K105:$AJ105)</f>
        <v>4000</v>
      </c>
      <c r="EZ105" s="12">
        <f t="array" ref="EZ105">SUMPRODUCT(TRANSPOSE(EZ$9:EZ$34),$K105:$AJ105)</f>
        <v>4000</v>
      </c>
      <c r="FA105" s="12">
        <f t="array" ref="FA105">SUMPRODUCT(TRANSPOSE(FA$9:FA$34),$K105:$AJ105)</f>
        <v>4000</v>
      </c>
      <c r="FB105" s="12">
        <f t="array" ref="FB105">SUMPRODUCT(TRANSPOSE(FB$9:FB$34),$K105:$AJ105)</f>
        <v>4000</v>
      </c>
      <c r="FC105" s="12">
        <f t="array" ref="FC105">SUMPRODUCT(TRANSPOSE(FC$9:FC$34),$K105:$AJ105)</f>
        <v>4000</v>
      </c>
      <c r="FD105" s="12">
        <f t="array" ref="FD105">SUMPRODUCT(TRANSPOSE(FD$9:FD$34),$K105:$AJ105)</f>
        <v>4000</v>
      </c>
      <c r="FE105" s="12">
        <f t="array" ref="FE105">SUMPRODUCT(TRANSPOSE(FE$9:FE$34),$K105:$AJ105)</f>
        <v>4000</v>
      </c>
      <c r="FF105" s="12">
        <f t="array" ref="FF105">SUMPRODUCT(TRANSPOSE(FF$9:FF$34),$K105:$AJ105)</f>
        <v>4000</v>
      </c>
      <c r="FG105" s="12">
        <f t="array" ref="FG105">SUMPRODUCT(TRANSPOSE(FG$9:FG$34),$K105:$AJ105)</f>
        <v>4000</v>
      </c>
      <c r="FH105" s="12">
        <f t="array" ref="FH105">SUMPRODUCT(TRANSPOSE(FH$9:FH$34),$K105:$AJ105)</f>
        <v>4000</v>
      </c>
      <c r="FI105" s="12">
        <f t="array" ref="FI105">SUMPRODUCT(TRANSPOSE(FI$9:FI$34),$K105:$AJ105)</f>
        <v>4000</v>
      </c>
      <c r="FJ105" s="12">
        <f t="array" ref="FJ105">SUMPRODUCT(TRANSPOSE(FJ$9:FJ$34),$K105:$AJ105)</f>
        <v>4000</v>
      </c>
      <c r="FK105" s="12">
        <f t="array" ref="FK105">SUMPRODUCT(TRANSPOSE(FK$9:FK$34),$K105:$AJ105)</f>
        <v>4000</v>
      </c>
      <c r="FL105" s="12">
        <f t="array" ref="FL105">SUMPRODUCT(TRANSPOSE(FL$9:FL$34),$K105:$AJ105)</f>
        <v>4000</v>
      </c>
      <c r="FM105" s="12">
        <f t="array" ref="FM105">SUMPRODUCT(TRANSPOSE(FM$9:FM$34),$K105:$AJ105)</f>
        <v>4000</v>
      </c>
      <c r="FN105" s="12">
        <f t="array" ref="FN105">SUMPRODUCT(TRANSPOSE(FN$9:FN$34),$K105:$AJ105)</f>
        <v>3634</v>
      </c>
      <c r="FO105" s="12">
        <f t="array" ref="FO105">SUMPRODUCT(TRANSPOSE(FO$9:FO$34),$K105:$AJ105)</f>
        <v>154</v>
      </c>
    </row>
    <row r="106" spans="1:171" ht="14.25" x14ac:dyDescent="0.2">
      <c r="A106" s="13">
        <f t="shared" si="7"/>
        <v>71</v>
      </c>
      <c r="B106" s="31" t="s">
        <v>261</v>
      </c>
      <c r="C106" s="25" t="s">
        <v>262</v>
      </c>
      <c r="D106" s="13" t="s">
        <v>60</v>
      </c>
      <c r="E106" s="13">
        <v>409419840</v>
      </c>
      <c r="F106" s="26" t="s">
        <v>263</v>
      </c>
      <c r="G106" s="13"/>
      <c r="H106" s="13" t="s">
        <v>61</v>
      </c>
      <c r="I106" s="13">
        <v>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>
        <v>2</v>
      </c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>
        <f t="shared" si="8"/>
        <v>2</v>
      </c>
      <c r="AL106" s="23">
        <f t="shared" si="6"/>
        <v>63234</v>
      </c>
      <c r="AM106" s="27"/>
      <c r="AN106" s="13"/>
      <c r="AO106" s="7" t="s">
        <v>356</v>
      </c>
      <c r="AP106" s="38"/>
      <c r="AQ106" s="12">
        <v>2015</v>
      </c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>
        <v>4000</v>
      </c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13"/>
      <c r="CG106" s="13"/>
      <c r="CH106" s="13"/>
      <c r="CI106" s="12"/>
      <c r="CJ106" s="12"/>
      <c r="CK106" s="12"/>
      <c r="CL106" s="12"/>
      <c r="CM106" s="12"/>
      <c r="CN106" s="12"/>
      <c r="CO106" s="12"/>
      <c r="CP106" s="12">
        <f>SUM($AQ106:BJ106)-SUM($EA106:EH106)</f>
        <v>6015</v>
      </c>
      <c r="CQ106" s="12">
        <f>SUM($AQ106:BK106)-SUM($EA106:EI106)</f>
        <v>6015</v>
      </c>
      <c r="CR106" s="12">
        <f>SUM($AQ106:BL106)-SUM($EA106:EJ106)</f>
        <v>6015</v>
      </c>
      <c r="CS106" s="12">
        <f>SUM($AQ106:BM106)-SUM($EA106:EK106)</f>
        <v>5815</v>
      </c>
      <c r="CT106" s="12">
        <f>SUM($AQ106:BN106)-SUM($EA106:EL106)</f>
        <v>3815</v>
      </c>
      <c r="CU106" s="12">
        <f>SUM($AQ106:BO106)-SUM($EA106:EM106)</f>
        <v>-185</v>
      </c>
      <c r="CV106" s="12">
        <f>SUM($AQ106:BP106)-SUM($EA106:EN106)</f>
        <v>-2385</v>
      </c>
      <c r="CW106" s="12">
        <f>SUM($AQ106:BQ106)-SUM($EA106:EO106)</f>
        <v>-4385</v>
      </c>
      <c r="CX106" s="12">
        <f>SUM($AQ106:BR106)-SUM($EA106:EP106)</f>
        <v>-6385</v>
      </c>
      <c r="CY106" s="12">
        <f>SUM($AQ106:BS106)-SUM($EA106:EQ106)</f>
        <v>-8385</v>
      </c>
      <c r="CZ106" s="12">
        <f>SUM($AQ106:BT106)-SUM($EA106:ER106)</f>
        <v>-10385</v>
      </c>
      <c r="DA106" s="12">
        <f>SUM($AQ106:BU106)-SUM($EA106:ES106)</f>
        <v>-12385</v>
      </c>
      <c r="DB106" s="12">
        <f>SUM($AQ106:BV106)-SUM($EA106:ET106)</f>
        <v>-14385</v>
      </c>
      <c r="DC106" s="12">
        <f>SUM($AQ106:BW106)-SUM($EA106:EU106)</f>
        <v>-16385</v>
      </c>
      <c r="DD106" s="12">
        <f>SUM($AQ106:BX106)-SUM($EA106:EV106)</f>
        <v>-18385</v>
      </c>
      <c r="DE106" s="12">
        <f>SUM($AQ106:BY106)-SUM($EA106:EW106)</f>
        <v>-20385</v>
      </c>
      <c r="DF106" s="12">
        <f>SUM($AQ106:BZ106)-SUM($EA106:EX106)</f>
        <v>-22385</v>
      </c>
      <c r="DG106" s="12">
        <f>SUM($AQ106:CA106)-SUM($EA106:EY106)</f>
        <v>-24385</v>
      </c>
      <c r="DH106" s="12">
        <f>SUM($AQ106:CB106)-SUM($EA106:EZ106)</f>
        <v>-26385</v>
      </c>
      <c r="DI106" s="12">
        <f>SUM($AQ106:CC106)-SUM($EA106:FA106)</f>
        <v>-28385</v>
      </c>
      <c r="DJ106" s="12">
        <f>SUM($AQ106:CD106)-SUM($EA106:FB106)</f>
        <v>-30385</v>
      </c>
      <c r="DK106" s="12">
        <f>SUM($AQ106:CE106)-SUM($EA106:FC106)</f>
        <v>-32385</v>
      </c>
      <c r="DL106" s="12">
        <f>SUM($AQ106:CF106)-SUM($EA106:FD106)</f>
        <v>-34385</v>
      </c>
      <c r="DM106" s="12">
        <f>SUM($AQ106:CG106)-SUM($EA106:FE106)</f>
        <v>-36385</v>
      </c>
      <c r="DN106" s="12">
        <f>SUM($AQ106:CH106)-SUM($EA106:FF106)</f>
        <v>-38385</v>
      </c>
      <c r="DO106" s="12">
        <f>SUM($AQ106:CI106)-SUM($EA106:FG106)</f>
        <v>-40385</v>
      </c>
      <c r="DP106" s="12">
        <f>SUM($AQ106:CJ106)-SUM($EA106:FH106)</f>
        <v>-42385</v>
      </c>
      <c r="DQ106" s="12">
        <f>SUM($AQ106:CK106)-SUM($EA106:FI106)</f>
        <v>-44385</v>
      </c>
      <c r="DR106" s="12">
        <f>SUM($AQ106:CL106)-SUM($EA106:FJ106)</f>
        <v>-46385</v>
      </c>
      <c r="DS106" s="12">
        <f>SUM($AQ106:CM106)-SUM($EA106:FK106)</f>
        <v>-48385</v>
      </c>
      <c r="DT106" s="12">
        <f>SUM($AQ106:CN106)-SUM($EA106:FL106)</f>
        <v>-50385</v>
      </c>
      <c r="DU106" s="12">
        <f>SUM($AQ106:CO106)-SUM($EA106:FM106)</f>
        <v>-52385</v>
      </c>
      <c r="DV106" s="12">
        <f>SUM($AQ106:CP106)-SUM($EA106:FN106)</f>
        <v>-48004</v>
      </c>
      <c r="DW106" s="12">
        <f>SUM($AQ106:CQ106)-SUM($EA106:FO106)</f>
        <v>-41989</v>
      </c>
      <c r="DX106" s="13"/>
      <c r="DY106" s="13"/>
      <c r="DZ106" s="13"/>
      <c r="EA106" s="12"/>
      <c r="EB106" s="12"/>
      <c r="EC106" s="12"/>
      <c r="ED106" s="12"/>
      <c r="EE106" s="12"/>
      <c r="EF106" s="12"/>
      <c r="EG106" s="12"/>
      <c r="EH106" s="12">
        <f t="array" ref="EH106">SUMPRODUCT(TRANSPOSE(EH$9:EH$34),$K106:$AJ106)</f>
        <v>0</v>
      </c>
      <c r="EI106" s="12">
        <f t="array" ref="EI106">SUMPRODUCT(TRANSPOSE(EI$9:EI$34),$K106:$AJ106)</f>
        <v>0</v>
      </c>
      <c r="EJ106" s="12">
        <f t="array" ref="EJ106">SUMPRODUCT(TRANSPOSE(EJ$9:EJ$34),$K106:$AJ106)</f>
        <v>0</v>
      </c>
      <c r="EK106" s="12">
        <f t="array" ref="EK106">SUMPRODUCT(TRANSPOSE(EK$9:EK$34),$K106:$AJ106)</f>
        <v>200</v>
      </c>
      <c r="EL106" s="12">
        <f t="array" ref="EL106">SUMPRODUCT(TRANSPOSE(EL$9:EL$34),$K106:$AJ106)</f>
        <v>2000</v>
      </c>
      <c r="EM106" s="12">
        <f t="array" ref="EM106">SUMPRODUCT(TRANSPOSE(EM$9:EM$34),$K106:$AJ106)</f>
        <v>4000</v>
      </c>
      <c r="EN106" s="12">
        <f t="array" ref="EN106">SUMPRODUCT(TRANSPOSE(EN$9:EN$34),$K106:$AJ106)</f>
        <v>2200</v>
      </c>
      <c r="EO106" s="12">
        <f t="array" ref="EO106">SUMPRODUCT(TRANSPOSE(EO$9:EO$34),$K106:$AJ106)</f>
        <v>2000</v>
      </c>
      <c r="EP106" s="12">
        <f t="array" ref="EP106">SUMPRODUCT(TRANSPOSE(EP$9:EP$34),$K106:$AJ106)</f>
        <v>2000</v>
      </c>
      <c r="EQ106" s="12">
        <f t="array" ref="EQ106">SUMPRODUCT(TRANSPOSE(EQ$9:EQ$34),$K106:$AJ106)</f>
        <v>2000</v>
      </c>
      <c r="ER106" s="12">
        <f t="array" ref="ER106">SUMPRODUCT(TRANSPOSE(ER$9:ER$34),$K106:$AJ106)</f>
        <v>2000</v>
      </c>
      <c r="ES106" s="12">
        <f t="array" ref="ES106">SUMPRODUCT(TRANSPOSE(ES$9:ES$34),$K106:$AJ106)</f>
        <v>2000</v>
      </c>
      <c r="ET106" s="12">
        <f t="array" ref="ET106">SUMPRODUCT(TRANSPOSE(ET$9:ET$34),$K106:$AJ106)</f>
        <v>2000</v>
      </c>
      <c r="EU106" s="12">
        <f t="array" ref="EU106">SUMPRODUCT(TRANSPOSE(EU$9:EU$34),$K106:$AJ106)</f>
        <v>2000</v>
      </c>
      <c r="EV106" s="12">
        <f t="array" ref="EV106">SUMPRODUCT(TRANSPOSE(EV$9:EV$34),$K106:$AJ106)</f>
        <v>2000</v>
      </c>
      <c r="EW106" s="12">
        <f t="array" ref="EW106">SUMPRODUCT(TRANSPOSE(EW$9:EW$34),$K106:$AJ106)</f>
        <v>2000</v>
      </c>
      <c r="EX106" s="12">
        <f t="array" ref="EX106">SUMPRODUCT(TRANSPOSE(EX$9:EX$34),$K106:$AJ106)</f>
        <v>2000</v>
      </c>
      <c r="EY106" s="12">
        <f t="array" ref="EY106">SUMPRODUCT(TRANSPOSE(EY$9:EY$34),$K106:$AJ106)</f>
        <v>2000</v>
      </c>
      <c r="EZ106" s="12">
        <f t="array" ref="EZ106">SUMPRODUCT(TRANSPOSE(EZ$9:EZ$34),$K106:$AJ106)</f>
        <v>2000</v>
      </c>
      <c r="FA106" s="12">
        <f t="array" ref="FA106">SUMPRODUCT(TRANSPOSE(FA$9:FA$34),$K106:$AJ106)</f>
        <v>2000</v>
      </c>
      <c r="FB106" s="12">
        <f t="array" ref="FB106">SUMPRODUCT(TRANSPOSE(FB$9:FB$34),$K106:$AJ106)</f>
        <v>2000</v>
      </c>
      <c r="FC106" s="12">
        <f t="array" ref="FC106">SUMPRODUCT(TRANSPOSE(FC$9:FC$34),$K106:$AJ106)</f>
        <v>2000</v>
      </c>
      <c r="FD106" s="12">
        <f t="array" ref="FD106">SUMPRODUCT(TRANSPOSE(FD$9:FD$34),$K106:$AJ106)</f>
        <v>2000</v>
      </c>
      <c r="FE106" s="12">
        <f t="array" ref="FE106">SUMPRODUCT(TRANSPOSE(FE$9:FE$34),$K106:$AJ106)</f>
        <v>2000</v>
      </c>
      <c r="FF106" s="12">
        <f t="array" ref="FF106">SUMPRODUCT(TRANSPOSE(FF$9:FF$34),$K106:$AJ106)</f>
        <v>2000</v>
      </c>
      <c r="FG106" s="12">
        <f t="array" ref="FG106">SUMPRODUCT(TRANSPOSE(FG$9:FG$34),$K106:$AJ106)</f>
        <v>2000</v>
      </c>
      <c r="FH106" s="12">
        <f t="array" ref="FH106">SUMPRODUCT(TRANSPOSE(FH$9:FH$34),$K106:$AJ106)</f>
        <v>2000</v>
      </c>
      <c r="FI106" s="12">
        <f t="array" ref="FI106">SUMPRODUCT(TRANSPOSE(FI$9:FI$34),$K106:$AJ106)</f>
        <v>2000</v>
      </c>
      <c r="FJ106" s="12">
        <f t="array" ref="FJ106">SUMPRODUCT(TRANSPOSE(FJ$9:FJ$34),$K106:$AJ106)</f>
        <v>2000</v>
      </c>
      <c r="FK106" s="12">
        <f t="array" ref="FK106">SUMPRODUCT(TRANSPOSE(FK$9:FK$34),$K106:$AJ106)</f>
        <v>2000</v>
      </c>
      <c r="FL106" s="12">
        <f t="array" ref="FL106">SUMPRODUCT(TRANSPOSE(FL$9:FL$34),$K106:$AJ106)</f>
        <v>2000</v>
      </c>
      <c r="FM106" s="12">
        <f t="array" ref="FM106">SUMPRODUCT(TRANSPOSE(FM$9:FM$34),$K106:$AJ106)</f>
        <v>2000</v>
      </c>
      <c r="FN106" s="12">
        <f t="array" ref="FN106">SUMPRODUCT(TRANSPOSE(FN$9:FN$34),$K106:$AJ106)</f>
        <v>1634</v>
      </c>
      <c r="FO106" s="12">
        <f t="array" ref="FO106">SUMPRODUCT(TRANSPOSE(FO$9:FO$34),$K106:$AJ106)</f>
        <v>0</v>
      </c>
    </row>
    <row r="107" spans="1:171" ht="14.25" x14ac:dyDescent="0.2">
      <c r="A107" s="29">
        <f t="shared" si="7"/>
        <v>72</v>
      </c>
      <c r="B107" s="31" t="s">
        <v>1069</v>
      </c>
      <c r="C107" s="25" t="s">
        <v>1053</v>
      </c>
      <c r="D107" s="13" t="s">
        <v>60</v>
      </c>
      <c r="E107" s="13">
        <v>402803473</v>
      </c>
      <c r="F107" s="26" t="s">
        <v>263</v>
      </c>
      <c r="G107" s="13"/>
      <c r="H107" s="13" t="s">
        <v>61</v>
      </c>
      <c r="I107" s="13">
        <v>1</v>
      </c>
      <c r="J107" s="13">
        <v>4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2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/>
      <c r="Z107" s="13"/>
      <c r="AA107" s="13">
        <v>0</v>
      </c>
      <c r="AB107" s="13">
        <v>0</v>
      </c>
      <c r="AC107" s="13">
        <v>2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f t="shared" si="8"/>
        <v>4</v>
      </c>
      <c r="AL107" s="23">
        <f t="shared" si="6"/>
        <v>8096</v>
      </c>
      <c r="AM107" s="27"/>
      <c r="AN107" s="13" t="s">
        <v>6</v>
      </c>
      <c r="AO107" s="7" t="s">
        <v>1070</v>
      </c>
      <c r="AP107" s="38">
        <v>307</v>
      </c>
      <c r="AQ107" s="12">
        <v>6990</v>
      </c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13"/>
      <c r="CG107" s="13"/>
      <c r="CH107" s="13"/>
      <c r="CI107" s="12"/>
      <c r="CJ107" s="12"/>
      <c r="CK107" s="12"/>
      <c r="CL107" s="12"/>
      <c r="CM107" s="12"/>
      <c r="CN107" s="12"/>
      <c r="CO107" s="12"/>
      <c r="CP107" s="12">
        <f>SUM($AQ107:BJ107)-SUM($EA107:EH107)</f>
        <v>772</v>
      </c>
      <c r="CQ107" s="12">
        <f>SUM($AQ107:BK107)-SUM($EA107:EI107)</f>
        <v>210</v>
      </c>
      <c r="CR107" s="12">
        <f>SUM($AQ107:BL107)-SUM($EA107:EJ107)</f>
        <v>210</v>
      </c>
      <c r="CS107" s="12">
        <f>SUM($AQ107:BM107)-SUM($EA107:EK107)</f>
        <v>210</v>
      </c>
      <c r="CT107" s="12">
        <f>SUM($AQ107:BN107)-SUM($EA107:EL107)</f>
        <v>210</v>
      </c>
      <c r="CU107" s="12">
        <f>SUM($AQ107:BO107)-SUM($EA107:EM107)</f>
        <v>210</v>
      </c>
      <c r="CV107" s="12">
        <f>SUM($AQ107:BP107)-SUM($EA107:EN107)</f>
        <v>210</v>
      </c>
      <c r="CW107" s="12">
        <f>SUM($AQ107:BQ107)-SUM($EA107:EO107)</f>
        <v>210</v>
      </c>
      <c r="CX107" s="12">
        <f>SUM($AQ107:BR107)-SUM($EA107:EP107)</f>
        <v>210</v>
      </c>
      <c r="CY107" s="12">
        <f>SUM($AQ107:BS107)-SUM($EA107:EQ107)</f>
        <v>210</v>
      </c>
      <c r="CZ107" s="12">
        <f>SUM($AQ107:BT107)-SUM($EA107:ER107)</f>
        <v>210</v>
      </c>
      <c r="DA107" s="12">
        <f>SUM($AQ107:BU107)-SUM($EA107:ES107)</f>
        <v>210</v>
      </c>
      <c r="DB107" s="12">
        <f>SUM($AQ107:BV107)-SUM($EA107:ET107)</f>
        <v>210</v>
      </c>
      <c r="DC107" s="12">
        <f>SUM($AQ107:BW107)-SUM($EA107:EU107)</f>
        <v>210</v>
      </c>
      <c r="DD107" s="12">
        <f>SUM($AQ107:BX107)-SUM($EA107:EV107)</f>
        <v>210</v>
      </c>
      <c r="DE107" s="12">
        <f>SUM($AQ107:BY107)-SUM($EA107:EW107)</f>
        <v>210</v>
      </c>
      <c r="DF107" s="12">
        <f>SUM($AQ107:BZ107)-SUM($EA107:EX107)</f>
        <v>210</v>
      </c>
      <c r="DG107" s="12">
        <f>SUM($AQ107:CA107)-SUM($EA107:EY107)</f>
        <v>210</v>
      </c>
      <c r="DH107" s="12">
        <f>SUM($AQ107:CB107)-SUM($EA107:EZ107)</f>
        <v>210</v>
      </c>
      <c r="DI107" s="12">
        <f>SUM($AQ107:CC107)-SUM($EA107:FA107)</f>
        <v>210</v>
      </c>
      <c r="DJ107" s="12">
        <f>SUM($AQ107:CD107)-SUM($EA107:FB107)</f>
        <v>210</v>
      </c>
      <c r="DK107" s="12">
        <f>SUM($AQ107:CE107)-SUM($EA107:FC107)</f>
        <v>210</v>
      </c>
      <c r="DL107" s="12">
        <f>SUM($AQ107:CF107)-SUM($EA107:FD107)</f>
        <v>210</v>
      </c>
      <c r="DM107" s="12">
        <f>SUM($AQ107:CG107)-SUM($EA107:FE107)</f>
        <v>210</v>
      </c>
      <c r="DN107" s="12">
        <f>SUM($AQ107:CH107)-SUM($EA107:FF107)</f>
        <v>210</v>
      </c>
      <c r="DO107" s="12">
        <f>SUM($AQ107:CI107)-SUM($EA107:FG107)</f>
        <v>210</v>
      </c>
      <c r="DP107" s="12">
        <f>SUM($AQ107:CJ107)-SUM($EA107:FH107)</f>
        <v>210</v>
      </c>
      <c r="DQ107" s="12">
        <f>SUM($AQ107:CK107)-SUM($EA107:FI107)</f>
        <v>210</v>
      </c>
      <c r="DR107" s="12">
        <f>SUM($AQ107:CL107)-SUM($EA107:FJ107)</f>
        <v>210</v>
      </c>
      <c r="DS107" s="12">
        <f>SUM($AQ107:CM107)-SUM($EA107:FK107)</f>
        <v>210</v>
      </c>
      <c r="DT107" s="12">
        <f>SUM($AQ107:CN107)-SUM($EA107:FL107)</f>
        <v>210</v>
      </c>
      <c r="DU107" s="12">
        <f>SUM($AQ107:CO107)-SUM($EA107:FM107)</f>
        <v>210</v>
      </c>
      <c r="DV107" s="12">
        <f>SUM($AQ107:CP107)-SUM($EA107:FN107)</f>
        <v>982</v>
      </c>
      <c r="DW107" s="12">
        <f>SUM($AQ107:CQ107)-SUM($EA107:FO107)</f>
        <v>1192</v>
      </c>
      <c r="DX107" s="13"/>
      <c r="DY107" s="13"/>
      <c r="DZ107" s="13"/>
      <c r="EA107" s="12"/>
      <c r="EB107" s="12"/>
      <c r="EC107" s="12"/>
      <c r="ED107" s="12"/>
      <c r="EE107" s="12"/>
      <c r="EF107" s="12"/>
      <c r="EG107" s="12"/>
      <c r="EH107" s="12">
        <f t="array" ref="EH107">SUMPRODUCT(TRANSPOSE(EH$9:EH$34),$K107:$AJ107)</f>
        <v>6218</v>
      </c>
      <c r="EI107" s="12">
        <f t="array" ref="EI107">SUMPRODUCT(TRANSPOSE(EI$9:EI$34),$K107:$AJ107)</f>
        <v>562</v>
      </c>
      <c r="EJ107" s="12">
        <f t="array" ref="EJ107">SUMPRODUCT(TRANSPOSE(EJ$9:EJ$34),$K107:$AJ107)</f>
        <v>0</v>
      </c>
      <c r="EK107" s="12">
        <f t="array" ref="EK107">SUMPRODUCT(TRANSPOSE(EK$9:EK$34),$K107:$AJ107)</f>
        <v>0</v>
      </c>
      <c r="EL107" s="12">
        <f t="array" ref="EL107">SUMPRODUCT(TRANSPOSE(EL$9:EL$34),$K107:$AJ107)</f>
        <v>0</v>
      </c>
      <c r="EM107" s="12">
        <f t="array" ref="EM107">SUMPRODUCT(TRANSPOSE(EM$9:EM$34),$K107:$AJ107)</f>
        <v>0</v>
      </c>
      <c r="EN107" s="12">
        <f t="array" ref="EN107">SUMPRODUCT(TRANSPOSE(EN$9:EN$34),$K107:$AJ107)</f>
        <v>0</v>
      </c>
      <c r="EO107" s="12">
        <f t="array" ref="EO107">SUMPRODUCT(TRANSPOSE(EO$9:EO$34),$K107:$AJ107)</f>
        <v>0</v>
      </c>
      <c r="EP107" s="12">
        <f t="array" ref="EP107">SUMPRODUCT(TRANSPOSE(EP$9:EP$34),$K107:$AJ107)</f>
        <v>0</v>
      </c>
      <c r="EQ107" s="12">
        <f t="array" ref="EQ107">SUMPRODUCT(TRANSPOSE(EQ$9:EQ$34),$K107:$AJ107)</f>
        <v>0</v>
      </c>
      <c r="ER107" s="12">
        <f t="array" ref="ER107">SUMPRODUCT(TRANSPOSE(ER$9:ER$34),$K107:$AJ107)</f>
        <v>0</v>
      </c>
      <c r="ES107" s="12">
        <f t="array" ref="ES107">SUMPRODUCT(TRANSPOSE(ES$9:ES$34),$K107:$AJ107)</f>
        <v>0</v>
      </c>
      <c r="ET107" s="12">
        <f t="array" ref="ET107">SUMPRODUCT(TRANSPOSE(ET$9:ET$34),$K107:$AJ107)</f>
        <v>0</v>
      </c>
      <c r="EU107" s="12">
        <f t="array" ref="EU107">SUMPRODUCT(TRANSPOSE(EU$9:EU$34),$K107:$AJ107)</f>
        <v>0</v>
      </c>
      <c r="EV107" s="12">
        <f t="array" ref="EV107">SUMPRODUCT(TRANSPOSE(EV$9:EV$34),$K107:$AJ107)</f>
        <v>0</v>
      </c>
      <c r="EW107" s="12">
        <f t="array" ref="EW107">SUMPRODUCT(TRANSPOSE(EW$9:EW$34),$K107:$AJ107)</f>
        <v>0</v>
      </c>
      <c r="EX107" s="12">
        <f t="array" ref="EX107">SUMPRODUCT(TRANSPOSE(EX$9:EX$34),$K107:$AJ107)</f>
        <v>0</v>
      </c>
      <c r="EY107" s="12">
        <f t="array" ref="EY107">SUMPRODUCT(TRANSPOSE(EY$9:EY$34),$K107:$AJ107)</f>
        <v>0</v>
      </c>
      <c r="EZ107" s="12">
        <f t="array" ref="EZ107">SUMPRODUCT(TRANSPOSE(EZ$9:EZ$34),$K107:$AJ107)</f>
        <v>0</v>
      </c>
      <c r="FA107" s="12">
        <f t="array" ref="FA107">SUMPRODUCT(TRANSPOSE(FA$9:FA$34),$K107:$AJ107)</f>
        <v>0</v>
      </c>
      <c r="FB107" s="12">
        <f t="array" ref="FB107">SUMPRODUCT(TRANSPOSE(FB$9:FB$34),$K107:$AJ107)</f>
        <v>0</v>
      </c>
      <c r="FC107" s="12">
        <f t="array" ref="FC107">SUMPRODUCT(TRANSPOSE(FC$9:FC$34),$K107:$AJ107)</f>
        <v>0</v>
      </c>
      <c r="FD107" s="12">
        <f t="array" ref="FD107">SUMPRODUCT(TRANSPOSE(FD$9:FD$34),$K107:$AJ107)</f>
        <v>0</v>
      </c>
      <c r="FE107" s="12">
        <f t="array" ref="FE107">SUMPRODUCT(TRANSPOSE(FE$9:FE$34),$K107:$AJ107)</f>
        <v>0</v>
      </c>
      <c r="FF107" s="12">
        <f t="array" ref="FF107">SUMPRODUCT(TRANSPOSE(FF$9:FF$34),$K107:$AJ107)</f>
        <v>0</v>
      </c>
      <c r="FG107" s="12">
        <f t="array" ref="FG107">SUMPRODUCT(TRANSPOSE(FG$9:FG$34),$K107:$AJ107)</f>
        <v>0</v>
      </c>
      <c r="FH107" s="12">
        <f t="array" ref="FH107">SUMPRODUCT(TRANSPOSE(FH$9:FH$34),$K107:$AJ107)</f>
        <v>0</v>
      </c>
      <c r="FI107" s="12">
        <f t="array" ref="FI107">SUMPRODUCT(TRANSPOSE(FI$9:FI$34),$K107:$AJ107)</f>
        <v>0</v>
      </c>
      <c r="FJ107" s="12">
        <f t="array" ref="FJ107">SUMPRODUCT(TRANSPOSE(FJ$9:FJ$34),$K107:$AJ107)</f>
        <v>0</v>
      </c>
      <c r="FK107" s="12">
        <f t="array" ref="FK107">SUMPRODUCT(TRANSPOSE(FK$9:FK$34),$K107:$AJ107)</f>
        <v>0</v>
      </c>
      <c r="FL107" s="12">
        <f t="array" ref="FL107">SUMPRODUCT(TRANSPOSE(FL$9:FL$34),$K107:$AJ107)</f>
        <v>0</v>
      </c>
      <c r="FM107" s="12">
        <f t="array" ref="FM107">SUMPRODUCT(TRANSPOSE(FM$9:FM$34),$K107:$AJ107)</f>
        <v>0</v>
      </c>
      <c r="FN107" s="12">
        <f t="array" ref="FN107">SUMPRODUCT(TRANSPOSE(FN$9:FN$34),$K107:$AJ107)</f>
        <v>0</v>
      </c>
      <c r="FO107" s="12">
        <f t="array" ref="FO107">SUMPRODUCT(TRANSPOSE(FO$9:FO$34),$K107:$AJ107)</f>
        <v>0</v>
      </c>
    </row>
    <row r="108" spans="1:171" ht="14.25" x14ac:dyDescent="0.2">
      <c r="A108" s="29">
        <f t="shared" si="7"/>
        <v>73</v>
      </c>
      <c r="B108" s="13" t="s">
        <v>264</v>
      </c>
      <c r="C108" s="43" t="s">
        <v>1051</v>
      </c>
      <c r="D108" s="13" t="s">
        <v>110</v>
      </c>
      <c r="E108" s="13">
        <v>411422283</v>
      </c>
      <c r="F108" s="26" t="s">
        <v>265</v>
      </c>
      <c r="G108" s="13"/>
      <c r="H108" s="13" t="s">
        <v>61</v>
      </c>
      <c r="I108" s="13">
        <v>1</v>
      </c>
      <c r="J108" s="13">
        <v>4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2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/>
      <c r="Z108" s="13">
        <v>2</v>
      </c>
      <c r="AA108" s="13">
        <v>0</v>
      </c>
      <c r="AB108" s="13">
        <v>0</v>
      </c>
      <c r="AC108" s="13">
        <v>0</v>
      </c>
      <c r="AD108" s="13">
        <v>2</v>
      </c>
      <c r="AE108" s="13">
        <v>2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f t="shared" si="8"/>
        <v>6</v>
      </c>
      <c r="AL108" s="23">
        <f t="shared" si="6"/>
        <v>71330</v>
      </c>
      <c r="AM108" s="27"/>
      <c r="AN108" s="13" t="s">
        <v>6</v>
      </c>
      <c r="AO108" s="7" t="s">
        <v>1059</v>
      </c>
      <c r="AP108" s="38">
        <v>198</v>
      </c>
      <c r="AQ108" s="12">
        <v>10420</v>
      </c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>
        <v>4416</v>
      </c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13"/>
      <c r="CG108" s="13"/>
      <c r="CH108" s="13"/>
      <c r="CI108" s="12"/>
      <c r="CJ108" s="12"/>
      <c r="CK108" s="12"/>
      <c r="CL108" s="12"/>
      <c r="CM108" s="12"/>
      <c r="CN108" s="12"/>
      <c r="CO108" s="12"/>
      <c r="CP108" s="12">
        <f>SUM($AQ108:BJ108)-SUM($EA108:EH108)</f>
        <v>8618</v>
      </c>
      <c r="CQ108" s="12">
        <f>SUM($AQ108:BK108)-SUM($EA108:EI108)</f>
        <v>8056</v>
      </c>
      <c r="CR108" s="12">
        <f>SUM($AQ108:BL108)-SUM($EA108:EJ108)</f>
        <v>8026</v>
      </c>
      <c r="CS108" s="12">
        <f>SUM($AQ108:BM108)-SUM($EA108:EK108)</f>
        <v>7756</v>
      </c>
      <c r="CT108" s="12">
        <f>SUM($AQ108:BN108)-SUM($EA108:EL108)</f>
        <v>5726</v>
      </c>
      <c r="CU108" s="12">
        <f>SUM($AQ108:BO108)-SUM($EA108:EM108)</f>
        <v>1626</v>
      </c>
      <c r="CV108" s="12">
        <f>SUM($AQ108:BP108)-SUM($EA108:EN108)</f>
        <v>-674</v>
      </c>
      <c r="CW108" s="12">
        <f>SUM($AQ108:BQ108)-SUM($EA108:EO108)</f>
        <v>-2674</v>
      </c>
      <c r="CX108" s="12">
        <f>SUM($AQ108:BR108)-SUM($EA108:EP108)</f>
        <v>-4774</v>
      </c>
      <c r="CY108" s="12">
        <f>SUM($AQ108:BS108)-SUM($EA108:EQ108)</f>
        <v>-6874</v>
      </c>
      <c r="CZ108" s="12">
        <f>SUM($AQ108:BT108)-SUM($EA108:ER108)</f>
        <v>-8974</v>
      </c>
      <c r="DA108" s="12">
        <f>SUM($AQ108:BU108)-SUM($EA108:ES108)</f>
        <v>-11074</v>
      </c>
      <c r="DB108" s="12">
        <f>SUM($AQ108:BV108)-SUM($EA108:ET108)</f>
        <v>-13174</v>
      </c>
      <c r="DC108" s="12">
        <f>SUM($AQ108:BW108)-SUM($EA108:EU108)</f>
        <v>-15274</v>
      </c>
      <c r="DD108" s="12">
        <f>SUM($AQ108:BX108)-SUM($EA108:EV108)</f>
        <v>-17374</v>
      </c>
      <c r="DE108" s="12">
        <f>SUM($AQ108:BY108)-SUM($EA108:EW108)</f>
        <v>-19460</v>
      </c>
      <c r="DF108" s="12">
        <f>SUM($AQ108:BZ108)-SUM($EA108:EX108)</f>
        <v>-21460</v>
      </c>
      <c r="DG108" s="12">
        <f>SUM($AQ108:CA108)-SUM($EA108:EY108)</f>
        <v>-23460</v>
      </c>
      <c r="DH108" s="12">
        <f>SUM($AQ108:CB108)-SUM($EA108:EZ108)</f>
        <v>-25460</v>
      </c>
      <c r="DI108" s="12">
        <f>SUM($AQ108:CC108)-SUM($EA108:FA108)</f>
        <v>-27460</v>
      </c>
      <c r="DJ108" s="12">
        <f>SUM($AQ108:CD108)-SUM($EA108:FB108)</f>
        <v>-29460</v>
      </c>
      <c r="DK108" s="12">
        <f>SUM($AQ108:CE108)-SUM($EA108:FC108)</f>
        <v>-31460</v>
      </c>
      <c r="DL108" s="12">
        <f>SUM($AQ108:CF108)-SUM($EA108:FD108)</f>
        <v>-33460</v>
      </c>
      <c r="DM108" s="12">
        <f>SUM($AQ108:CG108)-SUM($EA108:FE108)</f>
        <v>-35460</v>
      </c>
      <c r="DN108" s="12">
        <f>SUM($AQ108:CH108)-SUM($EA108:FF108)</f>
        <v>-37460</v>
      </c>
      <c r="DO108" s="12">
        <f>SUM($AQ108:CI108)-SUM($EA108:FG108)</f>
        <v>-39460</v>
      </c>
      <c r="DP108" s="12">
        <f>SUM($AQ108:CJ108)-SUM($EA108:FH108)</f>
        <v>-41460</v>
      </c>
      <c r="DQ108" s="12">
        <f>SUM($AQ108:CK108)-SUM($EA108:FI108)</f>
        <v>-43460</v>
      </c>
      <c r="DR108" s="12">
        <f>SUM($AQ108:CL108)-SUM($EA108:FJ108)</f>
        <v>-45460</v>
      </c>
      <c r="DS108" s="12">
        <f>SUM($AQ108:CM108)-SUM($EA108:FK108)</f>
        <v>-47460</v>
      </c>
      <c r="DT108" s="12">
        <f>SUM($AQ108:CN108)-SUM($EA108:FL108)</f>
        <v>-49460</v>
      </c>
      <c r="DU108" s="12">
        <f>SUM($AQ108:CO108)-SUM($EA108:FM108)</f>
        <v>-51460</v>
      </c>
      <c r="DV108" s="12">
        <f>SUM($AQ108:CP108)-SUM($EA108:FN108)</f>
        <v>-44476</v>
      </c>
      <c r="DW108" s="12">
        <f>SUM($AQ108:CQ108)-SUM($EA108:FO108)</f>
        <v>-36420</v>
      </c>
      <c r="DX108" s="13"/>
      <c r="DY108" s="13"/>
      <c r="DZ108" s="13"/>
      <c r="EA108" s="12"/>
      <c r="EB108" s="12"/>
      <c r="EC108" s="12"/>
      <c r="ED108" s="12"/>
      <c r="EE108" s="12"/>
      <c r="EF108" s="12"/>
      <c r="EG108" s="12"/>
      <c r="EH108" s="12">
        <f t="array" ref="EH108">SUMPRODUCT(TRANSPOSE(EH$9:EH$34),$K108:$AJ108)</f>
        <v>6218</v>
      </c>
      <c r="EI108" s="12">
        <f t="array" ref="EI108">SUMPRODUCT(TRANSPOSE(EI$9:EI$34),$K108:$AJ108)</f>
        <v>562</v>
      </c>
      <c r="EJ108" s="12">
        <f t="array" ref="EJ108">SUMPRODUCT(TRANSPOSE(EJ$9:EJ$34),$K108:$AJ108)</f>
        <v>30</v>
      </c>
      <c r="EK108" s="12">
        <f t="array" ref="EK108">SUMPRODUCT(TRANSPOSE(EK$9:EK$34),$K108:$AJ108)</f>
        <v>270</v>
      </c>
      <c r="EL108" s="12">
        <f t="array" ref="EL108">SUMPRODUCT(TRANSPOSE(EL$9:EL$34),$K108:$AJ108)</f>
        <v>2030</v>
      </c>
      <c r="EM108" s="12">
        <f t="array" ref="EM108">SUMPRODUCT(TRANSPOSE(EM$9:EM$34),$K108:$AJ108)</f>
        <v>4100</v>
      </c>
      <c r="EN108" s="12">
        <f t="array" ref="EN108">SUMPRODUCT(TRANSPOSE(EN$9:EN$34),$K108:$AJ108)</f>
        <v>2300</v>
      </c>
      <c r="EO108" s="12">
        <f t="array" ref="EO108">SUMPRODUCT(TRANSPOSE(EO$9:EO$34),$K108:$AJ108)</f>
        <v>2000</v>
      </c>
      <c r="EP108" s="12">
        <f t="array" ref="EP108">SUMPRODUCT(TRANSPOSE(EP$9:EP$34),$K108:$AJ108)</f>
        <v>2100</v>
      </c>
      <c r="EQ108" s="12">
        <f t="array" ref="EQ108">SUMPRODUCT(TRANSPOSE(EQ$9:EQ$34),$K108:$AJ108)</f>
        <v>2100</v>
      </c>
      <c r="ER108" s="12">
        <f t="array" ref="ER108">SUMPRODUCT(TRANSPOSE(ER$9:ER$34),$K108:$AJ108)</f>
        <v>2100</v>
      </c>
      <c r="ES108" s="12">
        <f t="array" ref="ES108">SUMPRODUCT(TRANSPOSE(ES$9:ES$34),$K108:$AJ108)</f>
        <v>2100</v>
      </c>
      <c r="ET108" s="12">
        <f t="array" ref="ET108">SUMPRODUCT(TRANSPOSE(ET$9:ET$34),$K108:$AJ108)</f>
        <v>2100</v>
      </c>
      <c r="EU108" s="12">
        <f t="array" ref="EU108">SUMPRODUCT(TRANSPOSE(EU$9:EU$34),$K108:$AJ108)</f>
        <v>2100</v>
      </c>
      <c r="EV108" s="12">
        <f t="array" ref="EV108">SUMPRODUCT(TRANSPOSE(EV$9:EV$34),$K108:$AJ108)</f>
        <v>2100</v>
      </c>
      <c r="EW108" s="12">
        <f t="array" ref="EW108">SUMPRODUCT(TRANSPOSE(EW$9:EW$34),$K108:$AJ108)</f>
        <v>2086</v>
      </c>
      <c r="EX108" s="12">
        <f t="array" ref="EX108">SUMPRODUCT(TRANSPOSE(EX$9:EX$34),$K108:$AJ108)</f>
        <v>2000</v>
      </c>
      <c r="EY108" s="12">
        <f t="array" ref="EY108">SUMPRODUCT(TRANSPOSE(EY$9:EY$34),$K108:$AJ108)</f>
        <v>2000</v>
      </c>
      <c r="EZ108" s="12">
        <f t="array" ref="EZ108">SUMPRODUCT(TRANSPOSE(EZ$9:EZ$34),$K108:$AJ108)</f>
        <v>2000</v>
      </c>
      <c r="FA108" s="12">
        <f t="array" ref="FA108">SUMPRODUCT(TRANSPOSE(FA$9:FA$34),$K108:$AJ108)</f>
        <v>2000</v>
      </c>
      <c r="FB108" s="12">
        <f t="array" ref="FB108">SUMPRODUCT(TRANSPOSE(FB$9:FB$34),$K108:$AJ108)</f>
        <v>2000</v>
      </c>
      <c r="FC108" s="12">
        <f t="array" ref="FC108">SUMPRODUCT(TRANSPOSE(FC$9:FC$34),$K108:$AJ108)</f>
        <v>2000</v>
      </c>
      <c r="FD108" s="12">
        <f t="array" ref="FD108">SUMPRODUCT(TRANSPOSE(FD$9:FD$34),$K108:$AJ108)</f>
        <v>2000</v>
      </c>
      <c r="FE108" s="12">
        <f t="array" ref="FE108">SUMPRODUCT(TRANSPOSE(FE$9:FE$34),$K108:$AJ108)</f>
        <v>2000</v>
      </c>
      <c r="FF108" s="12">
        <f t="array" ref="FF108">SUMPRODUCT(TRANSPOSE(FF$9:FF$34),$K108:$AJ108)</f>
        <v>2000</v>
      </c>
      <c r="FG108" s="12">
        <f t="array" ref="FG108">SUMPRODUCT(TRANSPOSE(FG$9:FG$34),$K108:$AJ108)</f>
        <v>2000</v>
      </c>
      <c r="FH108" s="12">
        <f t="array" ref="FH108">SUMPRODUCT(TRANSPOSE(FH$9:FH$34),$K108:$AJ108)</f>
        <v>2000</v>
      </c>
      <c r="FI108" s="12">
        <f t="array" ref="FI108">SUMPRODUCT(TRANSPOSE(FI$9:FI$34),$K108:$AJ108)</f>
        <v>2000</v>
      </c>
      <c r="FJ108" s="12">
        <f t="array" ref="FJ108">SUMPRODUCT(TRANSPOSE(FJ$9:FJ$34),$K108:$AJ108)</f>
        <v>2000</v>
      </c>
      <c r="FK108" s="12">
        <f t="array" ref="FK108">SUMPRODUCT(TRANSPOSE(FK$9:FK$34),$K108:$AJ108)</f>
        <v>2000</v>
      </c>
      <c r="FL108" s="12">
        <f t="array" ref="FL108">SUMPRODUCT(TRANSPOSE(FL$9:FL$34),$K108:$AJ108)</f>
        <v>2000</v>
      </c>
      <c r="FM108" s="12">
        <f t="array" ref="FM108">SUMPRODUCT(TRANSPOSE(FM$9:FM$34),$K108:$AJ108)</f>
        <v>2000</v>
      </c>
      <c r="FN108" s="12">
        <f t="array" ref="FN108">SUMPRODUCT(TRANSPOSE(FN$9:FN$34),$K108:$AJ108)</f>
        <v>1634</v>
      </c>
      <c r="FO108" s="12">
        <f t="array" ref="FO108">SUMPRODUCT(TRANSPOSE(FO$9:FO$34),$K108:$AJ108)</f>
        <v>0</v>
      </c>
    </row>
    <row r="109" spans="1:171" ht="14.25" x14ac:dyDescent="0.2">
      <c r="A109" s="29">
        <f t="shared" si="7"/>
        <v>74</v>
      </c>
      <c r="B109" s="13" t="s">
        <v>267</v>
      </c>
      <c r="C109" s="43" t="s">
        <v>269</v>
      </c>
      <c r="D109" s="13" t="s">
        <v>110</v>
      </c>
      <c r="E109" s="13">
        <v>411247486</v>
      </c>
      <c r="F109" s="26" t="s">
        <v>268</v>
      </c>
      <c r="G109" s="13"/>
      <c r="H109" s="13" t="s">
        <v>61</v>
      </c>
      <c r="I109" s="13">
        <v>1</v>
      </c>
      <c r="J109" s="13">
        <v>4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2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/>
      <c r="Z109" s="13">
        <v>2</v>
      </c>
      <c r="AA109" s="13">
        <v>0</v>
      </c>
      <c r="AB109" s="13">
        <v>0</v>
      </c>
      <c r="AC109" s="13">
        <v>0</v>
      </c>
      <c r="AD109" s="13">
        <v>2</v>
      </c>
      <c r="AE109" s="13">
        <v>2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f t="shared" si="8"/>
        <v>6</v>
      </c>
      <c r="AL109" s="23">
        <f t="shared" si="6"/>
        <v>71330</v>
      </c>
      <c r="AM109" s="27"/>
      <c r="AN109" s="13" t="s">
        <v>6</v>
      </c>
      <c r="AO109" s="7" t="s">
        <v>1057</v>
      </c>
      <c r="AP109" s="38">
        <v>192</v>
      </c>
      <c r="AQ109" s="12">
        <v>11500</v>
      </c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>
        <v>3000</v>
      </c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13"/>
      <c r="CG109" s="13"/>
      <c r="CH109" s="13"/>
      <c r="CI109" s="12"/>
      <c r="CJ109" s="12"/>
      <c r="CK109" s="12"/>
      <c r="CL109" s="12"/>
      <c r="CM109" s="12"/>
      <c r="CN109" s="12"/>
      <c r="CO109" s="12"/>
      <c r="CP109" s="12">
        <f>SUM($AQ109:BJ109)-SUM($EA109:EH109)</f>
        <v>8282</v>
      </c>
      <c r="CQ109" s="12">
        <f>SUM($AQ109:BK109)-SUM($EA109:EI109)</f>
        <v>7720</v>
      </c>
      <c r="CR109" s="12">
        <f>SUM($AQ109:BL109)-SUM($EA109:EJ109)</f>
        <v>7690</v>
      </c>
      <c r="CS109" s="12">
        <f>SUM($AQ109:BM109)-SUM($EA109:EK109)</f>
        <v>7420</v>
      </c>
      <c r="CT109" s="12">
        <f>SUM($AQ109:BN109)-SUM($EA109:EL109)</f>
        <v>5390</v>
      </c>
      <c r="CU109" s="12">
        <f>SUM($AQ109:BO109)-SUM($EA109:EM109)</f>
        <v>1290</v>
      </c>
      <c r="CV109" s="12">
        <f>SUM($AQ109:BP109)-SUM($EA109:EN109)</f>
        <v>-1010</v>
      </c>
      <c r="CW109" s="12">
        <f>SUM($AQ109:BQ109)-SUM($EA109:EO109)</f>
        <v>-3010</v>
      </c>
      <c r="CX109" s="12">
        <f>SUM($AQ109:BR109)-SUM($EA109:EP109)</f>
        <v>-5110</v>
      </c>
      <c r="CY109" s="12">
        <f>SUM($AQ109:BS109)-SUM($EA109:EQ109)</f>
        <v>-7210</v>
      </c>
      <c r="CZ109" s="12">
        <f>SUM($AQ109:BT109)-SUM($EA109:ER109)</f>
        <v>-9310</v>
      </c>
      <c r="DA109" s="12">
        <f>SUM($AQ109:BU109)-SUM($EA109:ES109)</f>
        <v>-11410</v>
      </c>
      <c r="DB109" s="12">
        <f>SUM($AQ109:BV109)-SUM($EA109:ET109)</f>
        <v>-13510</v>
      </c>
      <c r="DC109" s="12">
        <f>SUM($AQ109:BW109)-SUM($EA109:EU109)</f>
        <v>-15610</v>
      </c>
      <c r="DD109" s="12">
        <f>SUM($AQ109:BX109)-SUM($EA109:EV109)</f>
        <v>-17710</v>
      </c>
      <c r="DE109" s="12">
        <f>SUM($AQ109:BY109)-SUM($EA109:EW109)</f>
        <v>-19796</v>
      </c>
      <c r="DF109" s="12">
        <f>SUM($AQ109:BZ109)-SUM($EA109:EX109)</f>
        <v>-21796</v>
      </c>
      <c r="DG109" s="12">
        <f>SUM($AQ109:CA109)-SUM($EA109:EY109)</f>
        <v>-23796</v>
      </c>
      <c r="DH109" s="12">
        <f>SUM($AQ109:CB109)-SUM($EA109:EZ109)</f>
        <v>-25796</v>
      </c>
      <c r="DI109" s="12">
        <f>SUM($AQ109:CC109)-SUM($EA109:FA109)</f>
        <v>-27796</v>
      </c>
      <c r="DJ109" s="12">
        <f>SUM($AQ109:CD109)-SUM($EA109:FB109)</f>
        <v>-29796</v>
      </c>
      <c r="DK109" s="12">
        <f>SUM($AQ109:CE109)-SUM($EA109:FC109)</f>
        <v>-31796</v>
      </c>
      <c r="DL109" s="12">
        <f>SUM($AQ109:CF109)-SUM($EA109:FD109)</f>
        <v>-33796</v>
      </c>
      <c r="DM109" s="12">
        <f>SUM($AQ109:CG109)-SUM($EA109:FE109)</f>
        <v>-35796</v>
      </c>
      <c r="DN109" s="12">
        <f>SUM($AQ109:CH109)-SUM($EA109:FF109)</f>
        <v>-37796</v>
      </c>
      <c r="DO109" s="12">
        <f>SUM($AQ109:CI109)-SUM($EA109:FG109)</f>
        <v>-39796</v>
      </c>
      <c r="DP109" s="12">
        <f>SUM($AQ109:CJ109)-SUM($EA109:FH109)</f>
        <v>-41796</v>
      </c>
      <c r="DQ109" s="12">
        <f>SUM($AQ109:CK109)-SUM($EA109:FI109)</f>
        <v>-43796</v>
      </c>
      <c r="DR109" s="12">
        <f>SUM($AQ109:CL109)-SUM($EA109:FJ109)</f>
        <v>-45796</v>
      </c>
      <c r="DS109" s="12">
        <f>SUM($AQ109:CM109)-SUM($EA109:FK109)</f>
        <v>-47796</v>
      </c>
      <c r="DT109" s="12">
        <f>SUM($AQ109:CN109)-SUM($EA109:FL109)</f>
        <v>-49796</v>
      </c>
      <c r="DU109" s="12">
        <f>SUM($AQ109:CO109)-SUM($EA109:FM109)</f>
        <v>-51796</v>
      </c>
      <c r="DV109" s="12">
        <f>SUM($AQ109:CP109)-SUM($EA109:FN109)</f>
        <v>-45148</v>
      </c>
      <c r="DW109" s="12">
        <f>SUM($AQ109:CQ109)-SUM($EA109:FO109)</f>
        <v>-37428</v>
      </c>
      <c r="DX109" s="13"/>
      <c r="DY109" s="13"/>
      <c r="DZ109" s="13"/>
      <c r="EA109" s="12"/>
      <c r="EB109" s="12"/>
      <c r="EC109" s="12"/>
      <c r="ED109" s="12"/>
      <c r="EE109" s="12"/>
      <c r="EF109" s="12"/>
      <c r="EG109" s="12"/>
      <c r="EH109" s="12">
        <f t="array" ref="EH109">SUMPRODUCT(TRANSPOSE(EH$9:EH$34),$K109:$AJ109)</f>
        <v>6218</v>
      </c>
      <c r="EI109" s="12">
        <f t="array" ref="EI109">SUMPRODUCT(TRANSPOSE(EI$9:EI$34),$K109:$AJ109)</f>
        <v>562</v>
      </c>
      <c r="EJ109" s="12">
        <f t="array" ref="EJ109">SUMPRODUCT(TRANSPOSE(EJ$9:EJ$34),$K109:$AJ109)</f>
        <v>30</v>
      </c>
      <c r="EK109" s="12">
        <f t="array" ref="EK109">SUMPRODUCT(TRANSPOSE(EK$9:EK$34),$K109:$AJ109)</f>
        <v>270</v>
      </c>
      <c r="EL109" s="12">
        <f t="array" ref="EL109">SUMPRODUCT(TRANSPOSE(EL$9:EL$34),$K109:$AJ109)</f>
        <v>2030</v>
      </c>
      <c r="EM109" s="12">
        <f t="array" ref="EM109">SUMPRODUCT(TRANSPOSE(EM$9:EM$34),$K109:$AJ109)</f>
        <v>4100</v>
      </c>
      <c r="EN109" s="12">
        <f t="array" ref="EN109">SUMPRODUCT(TRANSPOSE(EN$9:EN$34),$K109:$AJ109)</f>
        <v>2300</v>
      </c>
      <c r="EO109" s="12">
        <f t="array" ref="EO109">SUMPRODUCT(TRANSPOSE(EO$9:EO$34),$K109:$AJ109)</f>
        <v>2000</v>
      </c>
      <c r="EP109" s="12">
        <f t="array" ref="EP109">SUMPRODUCT(TRANSPOSE(EP$9:EP$34),$K109:$AJ109)</f>
        <v>2100</v>
      </c>
      <c r="EQ109" s="12">
        <f t="array" ref="EQ109">SUMPRODUCT(TRANSPOSE(EQ$9:EQ$34),$K109:$AJ109)</f>
        <v>2100</v>
      </c>
      <c r="ER109" s="12">
        <f t="array" ref="ER109">SUMPRODUCT(TRANSPOSE(ER$9:ER$34),$K109:$AJ109)</f>
        <v>2100</v>
      </c>
      <c r="ES109" s="12">
        <f t="array" ref="ES109">SUMPRODUCT(TRANSPOSE(ES$9:ES$34),$K109:$AJ109)</f>
        <v>2100</v>
      </c>
      <c r="ET109" s="12">
        <f t="array" ref="ET109">SUMPRODUCT(TRANSPOSE(ET$9:ET$34),$K109:$AJ109)</f>
        <v>2100</v>
      </c>
      <c r="EU109" s="12">
        <f t="array" ref="EU109">SUMPRODUCT(TRANSPOSE(EU$9:EU$34),$K109:$AJ109)</f>
        <v>2100</v>
      </c>
      <c r="EV109" s="12">
        <f t="array" ref="EV109">SUMPRODUCT(TRANSPOSE(EV$9:EV$34),$K109:$AJ109)</f>
        <v>2100</v>
      </c>
      <c r="EW109" s="12">
        <f t="array" ref="EW109">SUMPRODUCT(TRANSPOSE(EW$9:EW$34),$K109:$AJ109)</f>
        <v>2086</v>
      </c>
      <c r="EX109" s="12">
        <f t="array" ref="EX109">SUMPRODUCT(TRANSPOSE(EX$9:EX$34),$K109:$AJ109)</f>
        <v>2000</v>
      </c>
      <c r="EY109" s="12">
        <f t="array" ref="EY109">SUMPRODUCT(TRANSPOSE(EY$9:EY$34),$K109:$AJ109)</f>
        <v>2000</v>
      </c>
      <c r="EZ109" s="12">
        <f t="array" ref="EZ109">SUMPRODUCT(TRANSPOSE(EZ$9:EZ$34),$K109:$AJ109)</f>
        <v>2000</v>
      </c>
      <c r="FA109" s="12">
        <f t="array" ref="FA109">SUMPRODUCT(TRANSPOSE(FA$9:FA$34),$K109:$AJ109)</f>
        <v>2000</v>
      </c>
      <c r="FB109" s="12">
        <f t="array" ref="FB109">SUMPRODUCT(TRANSPOSE(FB$9:FB$34),$K109:$AJ109)</f>
        <v>2000</v>
      </c>
      <c r="FC109" s="12">
        <f t="array" ref="FC109">SUMPRODUCT(TRANSPOSE(FC$9:FC$34),$K109:$AJ109)</f>
        <v>2000</v>
      </c>
      <c r="FD109" s="12">
        <f t="array" ref="FD109">SUMPRODUCT(TRANSPOSE(FD$9:FD$34),$K109:$AJ109)</f>
        <v>2000</v>
      </c>
      <c r="FE109" s="12">
        <f t="array" ref="FE109">SUMPRODUCT(TRANSPOSE(FE$9:FE$34),$K109:$AJ109)</f>
        <v>2000</v>
      </c>
      <c r="FF109" s="12">
        <f t="array" ref="FF109">SUMPRODUCT(TRANSPOSE(FF$9:FF$34),$K109:$AJ109)</f>
        <v>2000</v>
      </c>
      <c r="FG109" s="12">
        <f t="array" ref="FG109">SUMPRODUCT(TRANSPOSE(FG$9:FG$34),$K109:$AJ109)</f>
        <v>2000</v>
      </c>
      <c r="FH109" s="12">
        <f t="array" ref="FH109">SUMPRODUCT(TRANSPOSE(FH$9:FH$34),$K109:$AJ109)</f>
        <v>2000</v>
      </c>
      <c r="FI109" s="12">
        <f t="array" ref="FI109">SUMPRODUCT(TRANSPOSE(FI$9:FI$34),$K109:$AJ109)</f>
        <v>2000</v>
      </c>
      <c r="FJ109" s="12">
        <f t="array" ref="FJ109">SUMPRODUCT(TRANSPOSE(FJ$9:FJ$34),$K109:$AJ109)</f>
        <v>2000</v>
      </c>
      <c r="FK109" s="12">
        <f t="array" ref="FK109">SUMPRODUCT(TRANSPOSE(FK$9:FK$34),$K109:$AJ109)</f>
        <v>2000</v>
      </c>
      <c r="FL109" s="12">
        <f t="array" ref="FL109">SUMPRODUCT(TRANSPOSE(FL$9:FL$34),$K109:$AJ109)</f>
        <v>2000</v>
      </c>
      <c r="FM109" s="12">
        <f t="array" ref="FM109">SUMPRODUCT(TRANSPOSE(FM$9:FM$34),$K109:$AJ109)</f>
        <v>2000</v>
      </c>
      <c r="FN109" s="12">
        <f t="array" ref="FN109">SUMPRODUCT(TRANSPOSE(FN$9:FN$34),$K109:$AJ109)</f>
        <v>1634</v>
      </c>
      <c r="FO109" s="12">
        <f t="array" ref="FO109">SUMPRODUCT(TRANSPOSE(FO$9:FO$34),$K109:$AJ109)</f>
        <v>0</v>
      </c>
    </row>
    <row r="110" spans="1:171" ht="14.25" x14ac:dyDescent="0.2">
      <c r="A110" s="29">
        <f t="shared" si="7"/>
        <v>75</v>
      </c>
      <c r="B110" s="13" t="s">
        <v>270</v>
      </c>
      <c r="C110" s="43" t="s">
        <v>1052</v>
      </c>
      <c r="D110" s="13" t="s">
        <v>110</v>
      </c>
      <c r="E110" s="13">
        <v>411287047</v>
      </c>
      <c r="F110" s="26" t="s">
        <v>271</v>
      </c>
      <c r="G110" s="13"/>
      <c r="H110" s="13" t="s">
        <v>61</v>
      </c>
      <c r="I110" s="13">
        <v>1</v>
      </c>
      <c r="J110" s="13">
        <v>2</v>
      </c>
      <c r="K110" s="13">
        <v>0</v>
      </c>
      <c r="L110" s="13">
        <v>0</v>
      </c>
      <c r="M110" s="13">
        <v>0</v>
      </c>
      <c r="N110" s="13">
        <v>2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/>
      <c r="Z110" s="13"/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f t="shared" si="8"/>
        <v>2</v>
      </c>
      <c r="AL110" s="23">
        <f t="shared" si="6"/>
        <v>70462</v>
      </c>
      <c r="AM110" s="27"/>
      <c r="AN110" s="13" t="s">
        <v>6</v>
      </c>
      <c r="AO110" s="7" t="s">
        <v>1060</v>
      </c>
      <c r="AP110" s="38">
        <v>197</v>
      </c>
      <c r="AQ110" s="12">
        <v>10000</v>
      </c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>
        <v>4318</v>
      </c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13"/>
      <c r="CG110" s="13"/>
      <c r="CH110" s="13"/>
      <c r="CI110" s="12"/>
      <c r="CJ110" s="12"/>
      <c r="CK110" s="12"/>
      <c r="CL110" s="12"/>
      <c r="CM110" s="12"/>
      <c r="CN110" s="12"/>
      <c r="CO110" s="12"/>
      <c r="CP110" s="12">
        <f>SUM($AQ110:BJ110)-SUM($EA110:EH110)</f>
        <v>6410</v>
      </c>
      <c r="CQ110" s="12">
        <f>SUM($AQ110:BK110)-SUM($EA110:EI110)</f>
        <v>6410</v>
      </c>
      <c r="CR110" s="12">
        <f>SUM($AQ110:BL110)-SUM($EA110:EJ110)</f>
        <v>4410</v>
      </c>
      <c r="CS110" s="12">
        <f>SUM($AQ110:BM110)-SUM($EA110:EK110)</f>
        <v>2410</v>
      </c>
      <c r="CT110" s="12">
        <f>SUM($AQ110:BN110)-SUM($EA110:EL110)</f>
        <v>410</v>
      </c>
      <c r="CU110" s="12">
        <f>SUM($AQ110:BO110)-SUM($EA110:EM110)</f>
        <v>410</v>
      </c>
      <c r="CV110" s="12">
        <f>SUM($AQ110:BP110)-SUM($EA110:EN110)</f>
        <v>-1390</v>
      </c>
      <c r="CW110" s="12">
        <f>SUM($AQ110:BQ110)-SUM($EA110:EO110)</f>
        <v>-3390</v>
      </c>
      <c r="CX110" s="12">
        <f>SUM($AQ110:BR110)-SUM($EA110:EP110)</f>
        <v>-5390</v>
      </c>
      <c r="CY110" s="12">
        <f>SUM($AQ110:BS110)-SUM($EA110:EQ110)</f>
        <v>-7390</v>
      </c>
      <c r="CZ110" s="12">
        <f>SUM($AQ110:BT110)-SUM($EA110:ER110)</f>
        <v>-9390</v>
      </c>
      <c r="DA110" s="12">
        <f>SUM($AQ110:BU110)-SUM($EA110:ES110)</f>
        <v>-11390</v>
      </c>
      <c r="DB110" s="12">
        <f>SUM($AQ110:BV110)-SUM($EA110:ET110)</f>
        <v>-13390</v>
      </c>
      <c r="DC110" s="12">
        <f>SUM($AQ110:BW110)-SUM($EA110:EU110)</f>
        <v>-15390</v>
      </c>
      <c r="DD110" s="12">
        <f>SUM($AQ110:BX110)-SUM($EA110:EV110)</f>
        <v>-17390</v>
      </c>
      <c r="DE110" s="12">
        <f>SUM($AQ110:BY110)-SUM($EA110:EW110)</f>
        <v>-19390</v>
      </c>
      <c r="DF110" s="12">
        <f>SUM($AQ110:BZ110)-SUM($EA110:EX110)</f>
        <v>-21390</v>
      </c>
      <c r="DG110" s="12">
        <f>SUM($AQ110:CA110)-SUM($EA110:EY110)</f>
        <v>-23390</v>
      </c>
      <c r="DH110" s="12">
        <f>SUM($AQ110:CB110)-SUM($EA110:EZ110)</f>
        <v>-25390</v>
      </c>
      <c r="DI110" s="12">
        <f>SUM($AQ110:CC110)-SUM($EA110:FA110)</f>
        <v>-27390</v>
      </c>
      <c r="DJ110" s="12">
        <f>SUM($AQ110:CD110)-SUM($EA110:FB110)</f>
        <v>-29390</v>
      </c>
      <c r="DK110" s="12">
        <f>SUM($AQ110:CE110)-SUM($EA110:FC110)</f>
        <v>-31390</v>
      </c>
      <c r="DL110" s="12">
        <f>SUM($AQ110:CF110)-SUM($EA110:FD110)</f>
        <v>-33390</v>
      </c>
      <c r="DM110" s="12">
        <f>SUM($AQ110:CG110)-SUM($EA110:FE110)</f>
        <v>-35390</v>
      </c>
      <c r="DN110" s="12">
        <f>SUM($AQ110:CH110)-SUM($EA110:FF110)</f>
        <v>-37390</v>
      </c>
      <c r="DO110" s="12">
        <f>SUM($AQ110:CI110)-SUM($EA110:FG110)</f>
        <v>-39390</v>
      </c>
      <c r="DP110" s="12">
        <f>SUM($AQ110:CJ110)-SUM($EA110:FH110)</f>
        <v>-41390</v>
      </c>
      <c r="DQ110" s="12">
        <f>SUM($AQ110:CK110)-SUM($EA110:FI110)</f>
        <v>-43390</v>
      </c>
      <c r="DR110" s="12">
        <f>SUM($AQ110:CL110)-SUM($EA110:FJ110)</f>
        <v>-45390</v>
      </c>
      <c r="DS110" s="12">
        <f>SUM($AQ110:CM110)-SUM($EA110:FK110)</f>
        <v>-47390</v>
      </c>
      <c r="DT110" s="12">
        <f>SUM($AQ110:CN110)-SUM($EA110:FL110)</f>
        <v>-49390</v>
      </c>
      <c r="DU110" s="12">
        <f>SUM($AQ110:CO110)-SUM($EA110:FM110)</f>
        <v>-51390</v>
      </c>
      <c r="DV110" s="12">
        <f>SUM($AQ110:CP110)-SUM($EA110:FN110)</f>
        <v>-46980</v>
      </c>
      <c r="DW110" s="12">
        <f>SUM($AQ110:CQ110)-SUM($EA110:FO110)</f>
        <v>-40724</v>
      </c>
      <c r="DX110" s="13"/>
      <c r="DY110" s="13"/>
      <c r="DZ110" s="13"/>
      <c r="EA110" s="12"/>
      <c r="EB110" s="12"/>
      <c r="EC110" s="12"/>
      <c r="ED110" s="12"/>
      <c r="EE110" s="12"/>
      <c r="EF110" s="12"/>
      <c r="EG110" s="12"/>
      <c r="EH110" s="12">
        <f t="array" ref="EH110">SUMPRODUCT(TRANSPOSE(EH$9:EH$34),$K110:$AJ110)</f>
        <v>7908</v>
      </c>
      <c r="EI110" s="12">
        <f t="array" ref="EI110">SUMPRODUCT(TRANSPOSE(EI$9:EI$34),$K110:$AJ110)</f>
        <v>0</v>
      </c>
      <c r="EJ110" s="12">
        <f t="array" ref="EJ110">SUMPRODUCT(TRANSPOSE(EJ$9:EJ$34),$K110:$AJ110)</f>
        <v>2000</v>
      </c>
      <c r="EK110" s="12">
        <f t="array" ref="EK110">SUMPRODUCT(TRANSPOSE(EK$9:EK$34),$K110:$AJ110)</f>
        <v>2000</v>
      </c>
      <c r="EL110" s="12">
        <f t="array" ref="EL110">SUMPRODUCT(TRANSPOSE(EL$9:EL$34),$K110:$AJ110)</f>
        <v>2000</v>
      </c>
      <c r="EM110" s="12">
        <f t="array" ref="EM110">SUMPRODUCT(TRANSPOSE(EM$9:EM$34),$K110:$AJ110)</f>
        <v>0</v>
      </c>
      <c r="EN110" s="12">
        <f t="array" ref="EN110">SUMPRODUCT(TRANSPOSE(EN$9:EN$34),$K110:$AJ110)</f>
        <v>1800</v>
      </c>
      <c r="EO110" s="12">
        <f t="array" ref="EO110">SUMPRODUCT(TRANSPOSE(EO$9:EO$34),$K110:$AJ110)</f>
        <v>2000</v>
      </c>
      <c r="EP110" s="12">
        <f t="array" ref="EP110">SUMPRODUCT(TRANSPOSE(EP$9:EP$34),$K110:$AJ110)</f>
        <v>2000</v>
      </c>
      <c r="EQ110" s="12">
        <f t="array" ref="EQ110">SUMPRODUCT(TRANSPOSE(EQ$9:EQ$34),$K110:$AJ110)</f>
        <v>2000</v>
      </c>
      <c r="ER110" s="12">
        <f t="array" ref="ER110">SUMPRODUCT(TRANSPOSE(ER$9:ER$34),$K110:$AJ110)</f>
        <v>2000</v>
      </c>
      <c r="ES110" s="12">
        <f t="array" ref="ES110">SUMPRODUCT(TRANSPOSE(ES$9:ES$34),$K110:$AJ110)</f>
        <v>2000</v>
      </c>
      <c r="ET110" s="12">
        <f t="array" ref="ET110">SUMPRODUCT(TRANSPOSE(ET$9:ET$34),$K110:$AJ110)</f>
        <v>2000</v>
      </c>
      <c r="EU110" s="12">
        <f t="array" ref="EU110">SUMPRODUCT(TRANSPOSE(EU$9:EU$34),$K110:$AJ110)</f>
        <v>2000</v>
      </c>
      <c r="EV110" s="12">
        <f t="array" ref="EV110">SUMPRODUCT(TRANSPOSE(EV$9:EV$34),$K110:$AJ110)</f>
        <v>2000</v>
      </c>
      <c r="EW110" s="12">
        <f t="array" ref="EW110">SUMPRODUCT(TRANSPOSE(EW$9:EW$34),$K110:$AJ110)</f>
        <v>2000</v>
      </c>
      <c r="EX110" s="12">
        <f t="array" ref="EX110">SUMPRODUCT(TRANSPOSE(EX$9:EX$34),$K110:$AJ110)</f>
        <v>2000</v>
      </c>
      <c r="EY110" s="12">
        <f t="array" ref="EY110">SUMPRODUCT(TRANSPOSE(EY$9:EY$34),$K110:$AJ110)</f>
        <v>2000</v>
      </c>
      <c r="EZ110" s="12">
        <f t="array" ref="EZ110">SUMPRODUCT(TRANSPOSE(EZ$9:EZ$34),$K110:$AJ110)</f>
        <v>2000</v>
      </c>
      <c r="FA110" s="12">
        <f t="array" ref="FA110">SUMPRODUCT(TRANSPOSE(FA$9:FA$34),$K110:$AJ110)</f>
        <v>2000</v>
      </c>
      <c r="FB110" s="12">
        <f t="array" ref="FB110">SUMPRODUCT(TRANSPOSE(FB$9:FB$34),$K110:$AJ110)</f>
        <v>2000</v>
      </c>
      <c r="FC110" s="12">
        <f t="array" ref="FC110">SUMPRODUCT(TRANSPOSE(FC$9:FC$34),$K110:$AJ110)</f>
        <v>2000</v>
      </c>
      <c r="FD110" s="12">
        <f t="array" ref="FD110">SUMPRODUCT(TRANSPOSE(FD$9:FD$34),$K110:$AJ110)</f>
        <v>2000</v>
      </c>
      <c r="FE110" s="12">
        <f t="array" ref="FE110">SUMPRODUCT(TRANSPOSE(FE$9:FE$34),$K110:$AJ110)</f>
        <v>2000</v>
      </c>
      <c r="FF110" s="12">
        <f t="array" ref="FF110">SUMPRODUCT(TRANSPOSE(FF$9:FF$34),$K110:$AJ110)</f>
        <v>2000</v>
      </c>
      <c r="FG110" s="12">
        <f t="array" ref="FG110">SUMPRODUCT(TRANSPOSE(FG$9:FG$34),$K110:$AJ110)</f>
        <v>2000</v>
      </c>
      <c r="FH110" s="12">
        <f t="array" ref="FH110">SUMPRODUCT(TRANSPOSE(FH$9:FH$34),$K110:$AJ110)</f>
        <v>2000</v>
      </c>
      <c r="FI110" s="12">
        <f t="array" ref="FI110">SUMPRODUCT(TRANSPOSE(FI$9:FI$34),$K110:$AJ110)</f>
        <v>2000</v>
      </c>
      <c r="FJ110" s="12">
        <f t="array" ref="FJ110">SUMPRODUCT(TRANSPOSE(FJ$9:FJ$34),$K110:$AJ110)</f>
        <v>2000</v>
      </c>
      <c r="FK110" s="12">
        <f t="array" ref="FK110">SUMPRODUCT(TRANSPOSE(FK$9:FK$34),$K110:$AJ110)</f>
        <v>2000</v>
      </c>
      <c r="FL110" s="12">
        <f t="array" ref="FL110">SUMPRODUCT(TRANSPOSE(FL$9:FL$34),$K110:$AJ110)</f>
        <v>2000</v>
      </c>
      <c r="FM110" s="12">
        <f t="array" ref="FM110">SUMPRODUCT(TRANSPOSE(FM$9:FM$34),$K110:$AJ110)</f>
        <v>2000</v>
      </c>
      <c r="FN110" s="12">
        <f t="array" ref="FN110">SUMPRODUCT(TRANSPOSE(FN$9:FN$34),$K110:$AJ110)</f>
        <v>2000</v>
      </c>
      <c r="FO110" s="12">
        <f t="array" ref="FO110">SUMPRODUCT(TRANSPOSE(FO$9:FO$34),$K110:$AJ110)</f>
        <v>154</v>
      </c>
    </row>
    <row r="111" spans="1:171" ht="14.25" x14ac:dyDescent="0.2">
      <c r="A111" s="29">
        <f t="shared" si="7"/>
        <v>76</v>
      </c>
      <c r="B111" s="13" t="s">
        <v>272</v>
      </c>
      <c r="C111" s="43" t="s">
        <v>274</v>
      </c>
      <c r="D111" s="13" t="s">
        <v>110</v>
      </c>
      <c r="E111" s="13">
        <v>411232465</v>
      </c>
      <c r="F111" s="26" t="s">
        <v>273</v>
      </c>
      <c r="G111" s="13"/>
      <c r="H111" s="13" t="s">
        <v>61</v>
      </c>
      <c r="I111" s="13">
        <v>1</v>
      </c>
      <c r="J111" s="13">
        <v>2</v>
      </c>
      <c r="K111" s="13">
        <v>0</v>
      </c>
      <c r="L111" s="13">
        <v>0</v>
      </c>
      <c r="M111" s="13">
        <v>0</v>
      </c>
      <c r="N111" s="13">
        <v>2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/>
      <c r="Z111" s="13"/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f t="shared" si="8"/>
        <v>2</v>
      </c>
      <c r="AL111" s="23">
        <f t="shared" si="6"/>
        <v>70462</v>
      </c>
      <c r="AM111" s="27"/>
      <c r="AN111" s="13" t="s">
        <v>6</v>
      </c>
      <c r="AO111" s="7" t="s">
        <v>1058</v>
      </c>
      <c r="AP111" s="38">
        <v>188</v>
      </c>
      <c r="AQ111" s="12">
        <v>11500</v>
      </c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>
        <v>2500</v>
      </c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13"/>
      <c r="CG111" s="13"/>
      <c r="CH111" s="13"/>
      <c r="CI111" s="12"/>
      <c r="CJ111" s="12"/>
      <c r="CK111" s="12"/>
      <c r="CL111" s="12"/>
      <c r="CM111" s="12"/>
      <c r="CN111" s="12"/>
      <c r="CO111" s="12"/>
      <c r="CP111" s="12">
        <f>SUM($AQ111:BJ111)-SUM($EA111:EH111)</f>
        <v>6092</v>
      </c>
      <c r="CQ111" s="12">
        <f>SUM($AQ111:BK111)-SUM($EA111:EI111)</f>
        <v>6092</v>
      </c>
      <c r="CR111" s="12">
        <f>SUM($AQ111:BL111)-SUM($EA111:EJ111)</f>
        <v>4092</v>
      </c>
      <c r="CS111" s="12">
        <f>SUM($AQ111:BM111)-SUM($EA111:EK111)</f>
        <v>2092</v>
      </c>
      <c r="CT111" s="12">
        <f>SUM($AQ111:BN111)-SUM($EA111:EL111)</f>
        <v>92</v>
      </c>
      <c r="CU111" s="12">
        <f>SUM($AQ111:BO111)-SUM($EA111:EM111)</f>
        <v>92</v>
      </c>
      <c r="CV111" s="12">
        <f>SUM($AQ111:BP111)-SUM($EA111:EN111)</f>
        <v>-1708</v>
      </c>
      <c r="CW111" s="12">
        <f>SUM($AQ111:BQ111)-SUM($EA111:EO111)</f>
        <v>-3708</v>
      </c>
      <c r="CX111" s="12">
        <f>SUM($AQ111:BR111)-SUM($EA111:EP111)</f>
        <v>-5708</v>
      </c>
      <c r="CY111" s="12">
        <f>SUM($AQ111:BS111)-SUM($EA111:EQ111)</f>
        <v>-7708</v>
      </c>
      <c r="CZ111" s="12">
        <f>SUM($AQ111:BT111)-SUM($EA111:ER111)</f>
        <v>-9708</v>
      </c>
      <c r="DA111" s="12">
        <f>SUM($AQ111:BU111)-SUM($EA111:ES111)</f>
        <v>-11708</v>
      </c>
      <c r="DB111" s="12">
        <f>SUM($AQ111:BV111)-SUM($EA111:ET111)</f>
        <v>-13708</v>
      </c>
      <c r="DC111" s="12">
        <f>SUM($AQ111:BW111)-SUM($EA111:EU111)</f>
        <v>-15708</v>
      </c>
      <c r="DD111" s="12">
        <f>SUM($AQ111:BX111)-SUM($EA111:EV111)</f>
        <v>-17708</v>
      </c>
      <c r="DE111" s="12">
        <f>SUM($AQ111:BY111)-SUM($EA111:EW111)</f>
        <v>-19708</v>
      </c>
      <c r="DF111" s="12">
        <f>SUM($AQ111:BZ111)-SUM($EA111:EX111)</f>
        <v>-21708</v>
      </c>
      <c r="DG111" s="12">
        <f>SUM($AQ111:CA111)-SUM($EA111:EY111)</f>
        <v>-23708</v>
      </c>
      <c r="DH111" s="12">
        <f>SUM($AQ111:CB111)-SUM($EA111:EZ111)</f>
        <v>-25708</v>
      </c>
      <c r="DI111" s="12">
        <f>SUM($AQ111:CC111)-SUM($EA111:FA111)</f>
        <v>-27708</v>
      </c>
      <c r="DJ111" s="12">
        <f>SUM($AQ111:CD111)-SUM($EA111:FB111)</f>
        <v>-29708</v>
      </c>
      <c r="DK111" s="12">
        <f>SUM($AQ111:CE111)-SUM($EA111:FC111)</f>
        <v>-31708</v>
      </c>
      <c r="DL111" s="12">
        <f>SUM($AQ111:CF111)-SUM($EA111:FD111)</f>
        <v>-33708</v>
      </c>
      <c r="DM111" s="12">
        <f>SUM($AQ111:CG111)-SUM($EA111:FE111)</f>
        <v>-35708</v>
      </c>
      <c r="DN111" s="12">
        <f>SUM($AQ111:CH111)-SUM($EA111:FF111)</f>
        <v>-37708</v>
      </c>
      <c r="DO111" s="12">
        <f>SUM($AQ111:CI111)-SUM($EA111:FG111)</f>
        <v>-39708</v>
      </c>
      <c r="DP111" s="12">
        <f>SUM($AQ111:CJ111)-SUM($EA111:FH111)</f>
        <v>-41708</v>
      </c>
      <c r="DQ111" s="12">
        <f>SUM($AQ111:CK111)-SUM($EA111:FI111)</f>
        <v>-43708</v>
      </c>
      <c r="DR111" s="12">
        <f>SUM($AQ111:CL111)-SUM($EA111:FJ111)</f>
        <v>-45708</v>
      </c>
      <c r="DS111" s="12">
        <f>SUM($AQ111:CM111)-SUM($EA111:FK111)</f>
        <v>-47708</v>
      </c>
      <c r="DT111" s="12">
        <f>SUM($AQ111:CN111)-SUM($EA111:FL111)</f>
        <v>-49708</v>
      </c>
      <c r="DU111" s="12">
        <f>SUM($AQ111:CO111)-SUM($EA111:FM111)</f>
        <v>-51708</v>
      </c>
      <c r="DV111" s="12">
        <f>SUM($AQ111:CP111)-SUM($EA111:FN111)</f>
        <v>-47616</v>
      </c>
      <c r="DW111" s="12">
        <f>SUM($AQ111:CQ111)-SUM($EA111:FO111)</f>
        <v>-41678</v>
      </c>
      <c r="DX111" s="13"/>
      <c r="DY111" s="13"/>
      <c r="DZ111" s="13"/>
      <c r="EA111" s="12"/>
      <c r="EB111" s="12"/>
      <c r="EC111" s="12"/>
      <c r="ED111" s="12"/>
      <c r="EE111" s="12"/>
      <c r="EF111" s="12"/>
      <c r="EG111" s="12"/>
      <c r="EH111" s="12">
        <f t="array" ref="EH111">SUMPRODUCT(TRANSPOSE(EH$9:EH$34),$K111:$AJ111)</f>
        <v>7908</v>
      </c>
      <c r="EI111" s="12">
        <f t="array" ref="EI111">SUMPRODUCT(TRANSPOSE(EI$9:EI$34),$K111:$AJ111)</f>
        <v>0</v>
      </c>
      <c r="EJ111" s="12">
        <f t="array" ref="EJ111">SUMPRODUCT(TRANSPOSE(EJ$9:EJ$34),$K111:$AJ111)</f>
        <v>2000</v>
      </c>
      <c r="EK111" s="12">
        <f t="array" ref="EK111">SUMPRODUCT(TRANSPOSE(EK$9:EK$34),$K111:$AJ111)</f>
        <v>2000</v>
      </c>
      <c r="EL111" s="12">
        <f t="array" ref="EL111">SUMPRODUCT(TRANSPOSE(EL$9:EL$34),$K111:$AJ111)</f>
        <v>2000</v>
      </c>
      <c r="EM111" s="12">
        <f t="array" ref="EM111">SUMPRODUCT(TRANSPOSE(EM$9:EM$34),$K111:$AJ111)</f>
        <v>0</v>
      </c>
      <c r="EN111" s="12">
        <f t="array" ref="EN111">SUMPRODUCT(TRANSPOSE(EN$9:EN$34),$K111:$AJ111)</f>
        <v>1800</v>
      </c>
      <c r="EO111" s="12">
        <f t="array" ref="EO111">SUMPRODUCT(TRANSPOSE(EO$9:EO$34),$K111:$AJ111)</f>
        <v>2000</v>
      </c>
      <c r="EP111" s="12">
        <f t="array" ref="EP111">SUMPRODUCT(TRANSPOSE(EP$9:EP$34),$K111:$AJ111)</f>
        <v>2000</v>
      </c>
      <c r="EQ111" s="12">
        <f t="array" ref="EQ111">SUMPRODUCT(TRANSPOSE(EQ$9:EQ$34),$K111:$AJ111)</f>
        <v>2000</v>
      </c>
      <c r="ER111" s="12">
        <f t="array" ref="ER111">SUMPRODUCT(TRANSPOSE(ER$9:ER$34),$K111:$AJ111)</f>
        <v>2000</v>
      </c>
      <c r="ES111" s="12">
        <f t="array" ref="ES111">SUMPRODUCT(TRANSPOSE(ES$9:ES$34),$K111:$AJ111)</f>
        <v>2000</v>
      </c>
      <c r="ET111" s="12">
        <f t="array" ref="ET111">SUMPRODUCT(TRANSPOSE(ET$9:ET$34),$K111:$AJ111)</f>
        <v>2000</v>
      </c>
      <c r="EU111" s="12">
        <f t="array" ref="EU111">SUMPRODUCT(TRANSPOSE(EU$9:EU$34),$K111:$AJ111)</f>
        <v>2000</v>
      </c>
      <c r="EV111" s="12">
        <f t="array" ref="EV111">SUMPRODUCT(TRANSPOSE(EV$9:EV$34),$K111:$AJ111)</f>
        <v>2000</v>
      </c>
      <c r="EW111" s="12">
        <f t="array" ref="EW111">SUMPRODUCT(TRANSPOSE(EW$9:EW$34),$K111:$AJ111)</f>
        <v>2000</v>
      </c>
      <c r="EX111" s="12">
        <f t="array" ref="EX111">SUMPRODUCT(TRANSPOSE(EX$9:EX$34),$K111:$AJ111)</f>
        <v>2000</v>
      </c>
      <c r="EY111" s="12">
        <f t="array" ref="EY111">SUMPRODUCT(TRANSPOSE(EY$9:EY$34),$K111:$AJ111)</f>
        <v>2000</v>
      </c>
      <c r="EZ111" s="12">
        <f t="array" ref="EZ111">SUMPRODUCT(TRANSPOSE(EZ$9:EZ$34),$K111:$AJ111)</f>
        <v>2000</v>
      </c>
      <c r="FA111" s="12">
        <f t="array" ref="FA111">SUMPRODUCT(TRANSPOSE(FA$9:FA$34),$K111:$AJ111)</f>
        <v>2000</v>
      </c>
      <c r="FB111" s="12">
        <f t="array" ref="FB111">SUMPRODUCT(TRANSPOSE(FB$9:FB$34),$K111:$AJ111)</f>
        <v>2000</v>
      </c>
      <c r="FC111" s="12">
        <f t="array" ref="FC111">SUMPRODUCT(TRANSPOSE(FC$9:FC$34),$K111:$AJ111)</f>
        <v>2000</v>
      </c>
      <c r="FD111" s="12">
        <f t="array" ref="FD111">SUMPRODUCT(TRANSPOSE(FD$9:FD$34),$K111:$AJ111)</f>
        <v>2000</v>
      </c>
      <c r="FE111" s="12">
        <f t="array" ref="FE111">SUMPRODUCT(TRANSPOSE(FE$9:FE$34),$K111:$AJ111)</f>
        <v>2000</v>
      </c>
      <c r="FF111" s="12">
        <f t="array" ref="FF111">SUMPRODUCT(TRANSPOSE(FF$9:FF$34),$K111:$AJ111)</f>
        <v>2000</v>
      </c>
      <c r="FG111" s="12">
        <f t="array" ref="FG111">SUMPRODUCT(TRANSPOSE(FG$9:FG$34),$K111:$AJ111)</f>
        <v>2000</v>
      </c>
      <c r="FH111" s="12">
        <f t="array" ref="FH111">SUMPRODUCT(TRANSPOSE(FH$9:FH$34),$K111:$AJ111)</f>
        <v>2000</v>
      </c>
      <c r="FI111" s="12">
        <f t="array" ref="FI111">SUMPRODUCT(TRANSPOSE(FI$9:FI$34),$K111:$AJ111)</f>
        <v>2000</v>
      </c>
      <c r="FJ111" s="12">
        <f t="array" ref="FJ111">SUMPRODUCT(TRANSPOSE(FJ$9:FJ$34),$K111:$AJ111)</f>
        <v>2000</v>
      </c>
      <c r="FK111" s="12">
        <f t="array" ref="FK111">SUMPRODUCT(TRANSPOSE(FK$9:FK$34),$K111:$AJ111)</f>
        <v>2000</v>
      </c>
      <c r="FL111" s="12">
        <f t="array" ref="FL111">SUMPRODUCT(TRANSPOSE(FL$9:FL$34),$K111:$AJ111)</f>
        <v>2000</v>
      </c>
      <c r="FM111" s="12">
        <f t="array" ref="FM111">SUMPRODUCT(TRANSPOSE(FM$9:FM$34),$K111:$AJ111)</f>
        <v>2000</v>
      </c>
      <c r="FN111" s="12">
        <f t="array" ref="FN111">SUMPRODUCT(TRANSPOSE(FN$9:FN$34),$K111:$AJ111)</f>
        <v>2000</v>
      </c>
      <c r="FO111" s="12">
        <f t="array" ref="FO111">SUMPRODUCT(TRANSPOSE(FO$9:FO$34),$K111:$AJ111)</f>
        <v>154</v>
      </c>
    </row>
    <row r="112" spans="1:171" ht="14.25" x14ac:dyDescent="0.2">
      <c r="A112" s="13">
        <f t="shared" si="7"/>
        <v>77</v>
      </c>
      <c r="B112" s="13" t="s">
        <v>275</v>
      </c>
      <c r="C112" s="25" t="s">
        <v>276</v>
      </c>
      <c r="D112" s="13" t="s">
        <v>67</v>
      </c>
      <c r="E112" s="13">
        <v>404179667</v>
      </c>
      <c r="F112" s="26" t="s">
        <v>277</v>
      </c>
      <c r="G112" s="13">
        <v>415712344</v>
      </c>
      <c r="H112" s="13" t="s">
        <v>61</v>
      </c>
      <c r="I112" s="13">
        <v>2</v>
      </c>
      <c r="J112" s="13">
        <v>4</v>
      </c>
      <c r="K112" s="13">
        <v>0</v>
      </c>
      <c r="L112" s="13">
        <v>2</v>
      </c>
      <c r="M112" s="13">
        <v>0</v>
      </c>
      <c r="N112" s="13">
        <v>0</v>
      </c>
      <c r="O112" s="13">
        <v>0</v>
      </c>
      <c r="P112" s="13">
        <v>0</v>
      </c>
      <c r="Q112" s="13">
        <v>2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/>
      <c r="Z112" s="13"/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f t="shared" si="8"/>
        <v>4</v>
      </c>
      <c r="AL112" s="23">
        <f t="shared" si="6"/>
        <v>140324</v>
      </c>
      <c r="AM112" s="13"/>
      <c r="AN112" s="13" t="s">
        <v>172</v>
      </c>
      <c r="AO112" s="7" t="s">
        <v>1</v>
      </c>
      <c r="AP112" s="38">
        <v>2.94</v>
      </c>
      <c r="AQ112" s="12">
        <v>140000</v>
      </c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13"/>
      <c r="CG112" s="13"/>
      <c r="CH112" s="13"/>
      <c r="CI112" s="12"/>
      <c r="CJ112" s="12"/>
      <c r="CK112" s="12"/>
      <c r="CL112" s="12"/>
      <c r="CM112" s="12"/>
      <c r="CN112" s="12"/>
      <c r="CO112" s="12"/>
      <c r="CP112" s="12">
        <f>SUM($AQ112:BJ112)-SUM($EA112:EH112)</f>
        <v>127122</v>
      </c>
      <c r="CQ112" s="12">
        <f>SUM($AQ112:BK112)-SUM($EA112:EI112)</f>
        <v>125332</v>
      </c>
      <c r="CR112" s="12">
        <f>SUM($AQ112:BL112)-SUM($EA112:EJ112)</f>
        <v>123332</v>
      </c>
      <c r="CS112" s="12">
        <f>SUM($AQ112:BM112)-SUM($EA112:EK112)</f>
        <v>121332</v>
      </c>
      <c r="CT112" s="12">
        <f>SUM($AQ112:BN112)-SUM($EA112:EL112)</f>
        <v>119332</v>
      </c>
      <c r="CU112" s="12">
        <f>SUM($AQ112:BO112)-SUM($EA112:EM112)</f>
        <v>119332</v>
      </c>
      <c r="CV112" s="12">
        <f>SUM($AQ112:BP112)-SUM($EA112:EN112)</f>
        <v>117532</v>
      </c>
      <c r="CW112" s="12">
        <f>SUM($AQ112:BQ112)-SUM($EA112:EO112)</f>
        <v>115532</v>
      </c>
      <c r="CX112" s="12">
        <f>SUM($AQ112:BR112)-SUM($EA112:EP112)</f>
        <v>113532</v>
      </c>
      <c r="CY112" s="12">
        <f>SUM($AQ112:BS112)-SUM($EA112:EQ112)</f>
        <v>111532</v>
      </c>
      <c r="CZ112" s="12">
        <f>SUM($AQ112:BT112)-SUM($EA112:ER112)</f>
        <v>109532</v>
      </c>
      <c r="DA112" s="12">
        <f>SUM($AQ112:BU112)-SUM($EA112:ES112)</f>
        <v>107532</v>
      </c>
      <c r="DB112" s="12">
        <f>SUM($AQ112:BV112)-SUM($EA112:ET112)</f>
        <v>105532</v>
      </c>
      <c r="DC112" s="12">
        <f>SUM($AQ112:BW112)-SUM($EA112:EU112)</f>
        <v>103532</v>
      </c>
      <c r="DD112" s="12">
        <f>SUM($AQ112:BX112)-SUM($EA112:EV112)</f>
        <v>101532</v>
      </c>
      <c r="DE112" s="12">
        <f>SUM($AQ112:BY112)-SUM($EA112:EW112)</f>
        <v>99532</v>
      </c>
      <c r="DF112" s="12">
        <f>SUM($AQ112:BZ112)-SUM($EA112:EX112)</f>
        <v>97532</v>
      </c>
      <c r="DG112" s="12">
        <f>SUM($AQ112:CA112)-SUM($EA112:EY112)</f>
        <v>95532</v>
      </c>
      <c r="DH112" s="12">
        <f>SUM($AQ112:CB112)-SUM($EA112:EZ112)</f>
        <v>93532</v>
      </c>
      <c r="DI112" s="12">
        <f>SUM($AQ112:CC112)-SUM($EA112:FA112)</f>
        <v>91532</v>
      </c>
      <c r="DJ112" s="12">
        <f>SUM($AQ112:CD112)-SUM($EA112:FB112)</f>
        <v>89532</v>
      </c>
      <c r="DK112" s="12">
        <f>SUM($AQ112:CE112)-SUM($EA112:FC112)</f>
        <v>87532</v>
      </c>
      <c r="DL112" s="12">
        <f>SUM($AQ112:CF112)-SUM($EA112:FD112)</f>
        <v>85532</v>
      </c>
      <c r="DM112" s="12">
        <f>SUM($AQ112:CG112)-SUM($EA112:FE112)</f>
        <v>83532</v>
      </c>
      <c r="DN112" s="12">
        <f>SUM($AQ112:CH112)-SUM($EA112:FF112)</f>
        <v>81532</v>
      </c>
      <c r="DO112" s="12">
        <f>SUM($AQ112:CI112)-SUM($EA112:FG112)</f>
        <v>79532</v>
      </c>
      <c r="DP112" s="12">
        <f>SUM($AQ112:CJ112)-SUM($EA112:FH112)</f>
        <v>77532</v>
      </c>
      <c r="DQ112" s="12">
        <f>SUM($AQ112:CK112)-SUM($EA112:FI112)</f>
        <v>75532</v>
      </c>
      <c r="DR112" s="12">
        <f>SUM($AQ112:CL112)-SUM($EA112:FJ112)</f>
        <v>73532</v>
      </c>
      <c r="DS112" s="12">
        <f>SUM($AQ112:CM112)-SUM($EA112:FK112)</f>
        <v>71532</v>
      </c>
      <c r="DT112" s="12">
        <f>SUM($AQ112:CN112)-SUM($EA112:FL112)</f>
        <v>69532</v>
      </c>
      <c r="DU112" s="12">
        <f>SUM($AQ112:CO112)-SUM($EA112:FM112)</f>
        <v>67532</v>
      </c>
      <c r="DV112" s="12">
        <f>SUM($AQ112:CP112)-SUM($EA112:FN112)</f>
        <v>192654</v>
      </c>
      <c r="DW112" s="12">
        <f>SUM($AQ112:CQ112)-SUM($EA112:FO112)</f>
        <v>317898</v>
      </c>
      <c r="DX112" s="13"/>
      <c r="DY112" s="13"/>
      <c r="DZ112" s="13"/>
      <c r="EA112" s="12"/>
      <c r="EB112" s="12"/>
      <c r="EC112" s="12"/>
      <c r="ED112" s="12"/>
      <c r="EE112" s="12"/>
      <c r="EF112" s="12"/>
      <c r="EG112" s="12"/>
      <c r="EH112" s="12">
        <f t="array" ref="EH112">SUMPRODUCT(TRANSPOSE(EH$9:EH$34),$K112:$AJ112)</f>
        <v>12878</v>
      </c>
      <c r="EI112" s="12">
        <f t="array" ref="EI112">SUMPRODUCT(TRANSPOSE(EI$9:EI$34),$K112:$AJ112)</f>
        <v>1790</v>
      </c>
      <c r="EJ112" s="12">
        <f t="array" ref="EJ112">SUMPRODUCT(TRANSPOSE(EJ$9:EJ$34),$K112:$AJ112)</f>
        <v>2000</v>
      </c>
      <c r="EK112" s="12">
        <f t="array" ref="EK112">SUMPRODUCT(TRANSPOSE(EK$9:EK$34),$K112:$AJ112)</f>
        <v>2000</v>
      </c>
      <c r="EL112" s="12">
        <f t="array" ref="EL112">SUMPRODUCT(TRANSPOSE(EL$9:EL$34),$K112:$AJ112)</f>
        <v>2000</v>
      </c>
      <c r="EM112" s="12">
        <f t="array" ref="EM112">SUMPRODUCT(TRANSPOSE(EM$9:EM$34),$K112:$AJ112)</f>
        <v>0</v>
      </c>
      <c r="EN112" s="12">
        <f t="array" ref="EN112">SUMPRODUCT(TRANSPOSE(EN$9:EN$34),$K112:$AJ112)</f>
        <v>1800</v>
      </c>
      <c r="EO112" s="12">
        <f t="array" ref="EO112">SUMPRODUCT(TRANSPOSE(EO$9:EO$34),$K112:$AJ112)</f>
        <v>2000</v>
      </c>
      <c r="EP112" s="12">
        <f t="array" ref="EP112">SUMPRODUCT(TRANSPOSE(EP$9:EP$34),$K112:$AJ112)</f>
        <v>2000</v>
      </c>
      <c r="EQ112" s="12">
        <f t="array" ref="EQ112">SUMPRODUCT(TRANSPOSE(EQ$9:EQ$34),$K112:$AJ112)</f>
        <v>2000</v>
      </c>
      <c r="ER112" s="12">
        <f t="array" ref="ER112">SUMPRODUCT(TRANSPOSE(ER$9:ER$34),$K112:$AJ112)</f>
        <v>2000</v>
      </c>
      <c r="ES112" s="12">
        <f t="array" ref="ES112">SUMPRODUCT(TRANSPOSE(ES$9:ES$34),$K112:$AJ112)</f>
        <v>2000</v>
      </c>
      <c r="ET112" s="12">
        <f t="array" ref="ET112">SUMPRODUCT(TRANSPOSE(ET$9:ET$34),$K112:$AJ112)</f>
        <v>2000</v>
      </c>
      <c r="EU112" s="12">
        <f t="array" ref="EU112">SUMPRODUCT(TRANSPOSE(EU$9:EU$34),$K112:$AJ112)</f>
        <v>2000</v>
      </c>
      <c r="EV112" s="12">
        <f t="array" ref="EV112">SUMPRODUCT(TRANSPOSE(EV$9:EV$34),$K112:$AJ112)</f>
        <v>2000</v>
      </c>
      <c r="EW112" s="12">
        <f t="array" ref="EW112">SUMPRODUCT(TRANSPOSE(EW$9:EW$34),$K112:$AJ112)</f>
        <v>2000</v>
      </c>
      <c r="EX112" s="12">
        <f t="array" ref="EX112">SUMPRODUCT(TRANSPOSE(EX$9:EX$34),$K112:$AJ112)</f>
        <v>2000</v>
      </c>
      <c r="EY112" s="12">
        <f t="array" ref="EY112">SUMPRODUCT(TRANSPOSE(EY$9:EY$34),$K112:$AJ112)</f>
        <v>2000</v>
      </c>
      <c r="EZ112" s="12">
        <f t="array" ref="EZ112">SUMPRODUCT(TRANSPOSE(EZ$9:EZ$34),$K112:$AJ112)</f>
        <v>2000</v>
      </c>
      <c r="FA112" s="12">
        <f t="array" ref="FA112">SUMPRODUCT(TRANSPOSE(FA$9:FA$34),$K112:$AJ112)</f>
        <v>2000</v>
      </c>
      <c r="FB112" s="12">
        <f t="array" ref="FB112">SUMPRODUCT(TRANSPOSE(FB$9:FB$34),$K112:$AJ112)</f>
        <v>2000</v>
      </c>
      <c r="FC112" s="12">
        <f t="array" ref="FC112">SUMPRODUCT(TRANSPOSE(FC$9:FC$34),$K112:$AJ112)</f>
        <v>2000</v>
      </c>
      <c r="FD112" s="12">
        <f t="array" ref="FD112">SUMPRODUCT(TRANSPOSE(FD$9:FD$34),$K112:$AJ112)</f>
        <v>2000</v>
      </c>
      <c r="FE112" s="12">
        <f t="array" ref="FE112">SUMPRODUCT(TRANSPOSE(FE$9:FE$34),$K112:$AJ112)</f>
        <v>2000</v>
      </c>
      <c r="FF112" s="12">
        <f t="array" ref="FF112">SUMPRODUCT(TRANSPOSE(FF$9:FF$34),$K112:$AJ112)</f>
        <v>2000</v>
      </c>
      <c r="FG112" s="12">
        <f t="array" ref="FG112">SUMPRODUCT(TRANSPOSE(FG$9:FG$34),$K112:$AJ112)</f>
        <v>2000</v>
      </c>
      <c r="FH112" s="12">
        <f t="array" ref="FH112">SUMPRODUCT(TRANSPOSE(FH$9:FH$34),$K112:$AJ112)</f>
        <v>2000</v>
      </c>
      <c r="FI112" s="12">
        <f t="array" ref="FI112">SUMPRODUCT(TRANSPOSE(FI$9:FI$34),$K112:$AJ112)</f>
        <v>2000</v>
      </c>
      <c r="FJ112" s="12">
        <f t="array" ref="FJ112">SUMPRODUCT(TRANSPOSE(FJ$9:FJ$34),$K112:$AJ112)</f>
        <v>2000</v>
      </c>
      <c r="FK112" s="12">
        <f t="array" ref="FK112">SUMPRODUCT(TRANSPOSE(FK$9:FK$34),$K112:$AJ112)</f>
        <v>2000</v>
      </c>
      <c r="FL112" s="12">
        <f t="array" ref="FL112">SUMPRODUCT(TRANSPOSE(FL$9:FL$34),$K112:$AJ112)</f>
        <v>2000</v>
      </c>
      <c r="FM112" s="12">
        <f t="array" ref="FM112">SUMPRODUCT(TRANSPOSE(FM$9:FM$34),$K112:$AJ112)</f>
        <v>2000</v>
      </c>
      <c r="FN112" s="12">
        <f t="array" ref="FN112">SUMPRODUCT(TRANSPOSE(FN$9:FN$34),$K112:$AJ112)</f>
        <v>2000</v>
      </c>
      <c r="FO112" s="12">
        <f t="array" ref="FO112">SUMPRODUCT(TRANSPOSE(FO$9:FO$34),$K112:$AJ112)</f>
        <v>88</v>
      </c>
    </row>
    <row r="113" spans="1:171" ht="14.25" x14ac:dyDescent="0.2">
      <c r="A113" s="13">
        <f t="shared" si="7"/>
        <v>78</v>
      </c>
      <c r="B113" s="13" t="s">
        <v>278</v>
      </c>
      <c r="C113" s="25" t="s">
        <v>279</v>
      </c>
      <c r="D113" s="13" t="s">
        <v>67</v>
      </c>
      <c r="E113" s="13">
        <v>405579850</v>
      </c>
      <c r="F113" s="26" t="s">
        <v>280</v>
      </c>
      <c r="G113" s="13"/>
      <c r="H113" s="13" t="s">
        <v>61</v>
      </c>
      <c r="I113" s="13">
        <v>1</v>
      </c>
      <c r="J113" s="13">
        <v>6</v>
      </c>
      <c r="K113" s="13">
        <v>0</v>
      </c>
      <c r="L113" s="13">
        <v>0</v>
      </c>
      <c r="M113" s="13">
        <v>2</v>
      </c>
      <c r="N113" s="13">
        <v>0</v>
      </c>
      <c r="O113" s="13">
        <v>0</v>
      </c>
      <c r="P113" s="13">
        <v>0</v>
      </c>
      <c r="Q113" s="13">
        <v>0</v>
      </c>
      <c r="R113" s="13">
        <v>2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2</v>
      </c>
      <c r="Z113" s="13"/>
      <c r="AA113" s="13">
        <v>0</v>
      </c>
      <c r="AB113" s="13">
        <v>0</v>
      </c>
      <c r="AC113" s="13">
        <v>2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f t="shared" si="8"/>
        <v>8</v>
      </c>
      <c r="AL113" s="23">
        <f t="shared" si="6"/>
        <v>141792</v>
      </c>
      <c r="AM113" s="13"/>
      <c r="AN113" s="13" t="s">
        <v>172</v>
      </c>
      <c r="AO113" s="7" t="s">
        <v>1</v>
      </c>
      <c r="AP113" s="38">
        <v>6.67</v>
      </c>
      <c r="AQ113" s="12">
        <v>122800</v>
      </c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13"/>
      <c r="CG113" s="13"/>
      <c r="CH113" s="13"/>
      <c r="CI113" s="12"/>
      <c r="CJ113" s="12"/>
      <c r="CK113" s="12"/>
      <c r="CL113" s="12"/>
      <c r="CM113" s="12"/>
      <c r="CN113" s="12"/>
      <c r="CO113" s="12"/>
      <c r="CP113" s="12">
        <f>SUM($AQ113:BJ113)-SUM($EA113:EH113)</f>
        <v>108674</v>
      </c>
      <c r="CQ113" s="12">
        <f>SUM($AQ113:BK113)-SUM($EA113:EI113)</f>
        <v>108112</v>
      </c>
      <c r="CR113" s="12">
        <f>SUM($AQ113:BL113)-SUM($EA113:EJ113)</f>
        <v>106112</v>
      </c>
      <c r="CS113" s="12">
        <f>SUM($AQ113:BM113)-SUM($EA113:EK113)</f>
        <v>103912</v>
      </c>
      <c r="CT113" s="12">
        <f>SUM($AQ113:BN113)-SUM($EA113:EL113)</f>
        <v>99912</v>
      </c>
      <c r="CU113" s="12">
        <f>SUM($AQ113:BO113)-SUM($EA113:EM113)</f>
        <v>95912</v>
      </c>
      <c r="CV113" s="12">
        <f>SUM($AQ113:BP113)-SUM($EA113:EN113)</f>
        <v>91912</v>
      </c>
      <c r="CW113" s="12">
        <f>SUM($AQ113:BQ113)-SUM($EA113:EO113)</f>
        <v>87912</v>
      </c>
      <c r="CX113" s="12">
        <f>SUM($AQ113:BR113)-SUM($EA113:EP113)</f>
        <v>83912</v>
      </c>
      <c r="CY113" s="12">
        <f>SUM($AQ113:BS113)-SUM($EA113:EQ113)</f>
        <v>79912</v>
      </c>
      <c r="CZ113" s="12">
        <f>SUM($AQ113:BT113)-SUM($EA113:ER113)</f>
        <v>75912</v>
      </c>
      <c r="DA113" s="12">
        <f>SUM($AQ113:BU113)-SUM($EA113:ES113)</f>
        <v>71912</v>
      </c>
      <c r="DB113" s="12">
        <f>SUM($AQ113:BV113)-SUM($EA113:ET113)</f>
        <v>67912</v>
      </c>
      <c r="DC113" s="12">
        <f>SUM($AQ113:BW113)-SUM($EA113:EU113)</f>
        <v>63912</v>
      </c>
      <c r="DD113" s="12">
        <f>SUM($AQ113:BX113)-SUM($EA113:EV113)</f>
        <v>59912</v>
      </c>
      <c r="DE113" s="12">
        <f>SUM($AQ113:BY113)-SUM($EA113:EW113)</f>
        <v>55912</v>
      </c>
      <c r="DF113" s="12">
        <f>SUM($AQ113:BZ113)-SUM($EA113:EX113)</f>
        <v>51912</v>
      </c>
      <c r="DG113" s="12">
        <f>SUM($AQ113:CA113)-SUM($EA113:EY113)</f>
        <v>47912</v>
      </c>
      <c r="DH113" s="12">
        <f>SUM($AQ113:CB113)-SUM($EA113:EZ113)</f>
        <v>43912</v>
      </c>
      <c r="DI113" s="12">
        <f>SUM($AQ113:CC113)-SUM($EA113:FA113)</f>
        <v>39912</v>
      </c>
      <c r="DJ113" s="12">
        <f>SUM($AQ113:CD113)-SUM($EA113:FB113)</f>
        <v>35912</v>
      </c>
      <c r="DK113" s="12">
        <f>SUM($AQ113:CE113)-SUM($EA113:FC113)</f>
        <v>31912</v>
      </c>
      <c r="DL113" s="12">
        <f>SUM($AQ113:CF113)-SUM($EA113:FD113)</f>
        <v>27912</v>
      </c>
      <c r="DM113" s="12">
        <f>SUM($AQ113:CG113)-SUM($EA113:FE113)</f>
        <v>23912</v>
      </c>
      <c r="DN113" s="12">
        <f>SUM($AQ113:CH113)-SUM($EA113:FF113)</f>
        <v>19912</v>
      </c>
      <c r="DO113" s="12">
        <f>SUM($AQ113:CI113)-SUM($EA113:FG113)</f>
        <v>15912</v>
      </c>
      <c r="DP113" s="12">
        <f>SUM($AQ113:CJ113)-SUM($EA113:FH113)</f>
        <v>11912</v>
      </c>
      <c r="DQ113" s="12">
        <f>SUM($AQ113:CK113)-SUM($EA113:FI113)</f>
        <v>7912</v>
      </c>
      <c r="DR113" s="12">
        <f>SUM($AQ113:CL113)-SUM($EA113:FJ113)</f>
        <v>3912</v>
      </c>
      <c r="DS113" s="12">
        <f>SUM($AQ113:CM113)-SUM($EA113:FK113)</f>
        <v>-88</v>
      </c>
      <c r="DT113" s="12">
        <f>SUM($AQ113:CN113)-SUM($EA113:FL113)</f>
        <v>-4088</v>
      </c>
      <c r="DU113" s="12">
        <f>SUM($AQ113:CO113)-SUM($EA113:FM113)</f>
        <v>-8088</v>
      </c>
      <c r="DV113" s="12">
        <f>SUM($AQ113:CP113)-SUM($EA113:FN113)</f>
        <v>96952</v>
      </c>
      <c r="DW113" s="12">
        <f>SUM($AQ113:CQ113)-SUM($EA113:FO113)</f>
        <v>204910</v>
      </c>
      <c r="DX113" s="13"/>
      <c r="DY113" s="13"/>
      <c r="DZ113" s="13"/>
      <c r="EA113" s="12"/>
      <c r="EB113" s="12"/>
      <c r="EC113" s="12"/>
      <c r="ED113" s="12"/>
      <c r="EE113" s="12"/>
      <c r="EF113" s="12"/>
      <c r="EG113" s="12"/>
      <c r="EH113" s="12">
        <f t="array" ref="EH113">SUMPRODUCT(TRANSPOSE(EH$9:EH$34),$K113:$AJ113)</f>
        <v>14126</v>
      </c>
      <c r="EI113" s="12">
        <f t="array" ref="EI113">SUMPRODUCT(TRANSPOSE(EI$9:EI$34),$K113:$AJ113)</f>
        <v>562</v>
      </c>
      <c r="EJ113" s="12">
        <f t="array" ref="EJ113">SUMPRODUCT(TRANSPOSE(EJ$9:EJ$34),$K113:$AJ113)</f>
        <v>2000</v>
      </c>
      <c r="EK113" s="12">
        <f t="array" ref="EK113">SUMPRODUCT(TRANSPOSE(EK$9:EK$34),$K113:$AJ113)</f>
        <v>2200</v>
      </c>
      <c r="EL113" s="12">
        <f t="array" ref="EL113">SUMPRODUCT(TRANSPOSE(EL$9:EL$34),$K113:$AJ113)</f>
        <v>4000</v>
      </c>
      <c r="EM113" s="12">
        <f t="array" ref="EM113">SUMPRODUCT(TRANSPOSE(EM$9:EM$34),$K113:$AJ113)</f>
        <v>4000</v>
      </c>
      <c r="EN113" s="12">
        <f t="array" ref="EN113">SUMPRODUCT(TRANSPOSE(EN$9:EN$34),$K113:$AJ113)</f>
        <v>4000</v>
      </c>
      <c r="EO113" s="12">
        <f t="array" ref="EO113">SUMPRODUCT(TRANSPOSE(EO$9:EO$34),$K113:$AJ113)</f>
        <v>4000</v>
      </c>
      <c r="EP113" s="12">
        <f t="array" ref="EP113">SUMPRODUCT(TRANSPOSE(EP$9:EP$34),$K113:$AJ113)</f>
        <v>4000</v>
      </c>
      <c r="EQ113" s="12">
        <f t="array" ref="EQ113">SUMPRODUCT(TRANSPOSE(EQ$9:EQ$34),$K113:$AJ113)</f>
        <v>4000</v>
      </c>
      <c r="ER113" s="12">
        <f t="array" ref="ER113">SUMPRODUCT(TRANSPOSE(ER$9:ER$34),$K113:$AJ113)</f>
        <v>4000</v>
      </c>
      <c r="ES113" s="12">
        <f t="array" ref="ES113">SUMPRODUCT(TRANSPOSE(ES$9:ES$34),$K113:$AJ113)</f>
        <v>4000</v>
      </c>
      <c r="ET113" s="12">
        <f t="array" ref="ET113">SUMPRODUCT(TRANSPOSE(ET$9:ET$34),$K113:$AJ113)</f>
        <v>4000</v>
      </c>
      <c r="EU113" s="12">
        <f t="array" ref="EU113">SUMPRODUCT(TRANSPOSE(EU$9:EU$34),$K113:$AJ113)</f>
        <v>4000</v>
      </c>
      <c r="EV113" s="12">
        <f t="array" ref="EV113">SUMPRODUCT(TRANSPOSE(EV$9:EV$34),$K113:$AJ113)</f>
        <v>4000</v>
      </c>
      <c r="EW113" s="12">
        <f t="array" ref="EW113">SUMPRODUCT(TRANSPOSE(EW$9:EW$34),$K113:$AJ113)</f>
        <v>4000</v>
      </c>
      <c r="EX113" s="12">
        <f t="array" ref="EX113">SUMPRODUCT(TRANSPOSE(EX$9:EX$34),$K113:$AJ113)</f>
        <v>4000</v>
      </c>
      <c r="EY113" s="12">
        <f t="array" ref="EY113">SUMPRODUCT(TRANSPOSE(EY$9:EY$34),$K113:$AJ113)</f>
        <v>4000</v>
      </c>
      <c r="EZ113" s="12">
        <f t="array" ref="EZ113">SUMPRODUCT(TRANSPOSE(EZ$9:EZ$34),$K113:$AJ113)</f>
        <v>4000</v>
      </c>
      <c r="FA113" s="12">
        <f t="array" ref="FA113">SUMPRODUCT(TRANSPOSE(FA$9:FA$34),$K113:$AJ113)</f>
        <v>4000</v>
      </c>
      <c r="FB113" s="12">
        <f t="array" ref="FB113">SUMPRODUCT(TRANSPOSE(FB$9:FB$34),$K113:$AJ113)</f>
        <v>4000</v>
      </c>
      <c r="FC113" s="12">
        <f t="array" ref="FC113">SUMPRODUCT(TRANSPOSE(FC$9:FC$34),$K113:$AJ113)</f>
        <v>4000</v>
      </c>
      <c r="FD113" s="12">
        <f t="array" ref="FD113">SUMPRODUCT(TRANSPOSE(FD$9:FD$34),$K113:$AJ113)</f>
        <v>4000</v>
      </c>
      <c r="FE113" s="12">
        <f t="array" ref="FE113">SUMPRODUCT(TRANSPOSE(FE$9:FE$34),$K113:$AJ113)</f>
        <v>4000</v>
      </c>
      <c r="FF113" s="12">
        <f t="array" ref="FF113">SUMPRODUCT(TRANSPOSE(FF$9:FF$34),$K113:$AJ113)</f>
        <v>4000</v>
      </c>
      <c r="FG113" s="12">
        <f t="array" ref="FG113">SUMPRODUCT(TRANSPOSE(FG$9:FG$34),$K113:$AJ113)</f>
        <v>4000</v>
      </c>
      <c r="FH113" s="12">
        <f t="array" ref="FH113">SUMPRODUCT(TRANSPOSE(FH$9:FH$34),$K113:$AJ113)</f>
        <v>4000</v>
      </c>
      <c r="FI113" s="12">
        <f t="array" ref="FI113">SUMPRODUCT(TRANSPOSE(FI$9:FI$34),$K113:$AJ113)</f>
        <v>4000</v>
      </c>
      <c r="FJ113" s="12">
        <f t="array" ref="FJ113">SUMPRODUCT(TRANSPOSE(FJ$9:FJ$34),$K113:$AJ113)</f>
        <v>4000</v>
      </c>
      <c r="FK113" s="12">
        <f t="array" ref="FK113">SUMPRODUCT(TRANSPOSE(FK$9:FK$34),$K113:$AJ113)</f>
        <v>4000</v>
      </c>
      <c r="FL113" s="12">
        <f t="array" ref="FL113">SUMPRODUCT(TRANSPOSE(FL$9:FL$34),$K113:$AJ113)</f>
        <v>4000</v>
      </c>
      <c r="FM113" s="12">
        <f t="array" ref="FM113">SUMPRODUCT(TRANSPOSE(FM$9:FM$34),$K113:$AJ113)</f>
        <v>4000</v>
      </c>
      <c r="FN113" s="12">
        <f t="array" ref="FN113">SUMPRODUCT(TRANSPOSE(FN$9:FN$34),$K113:$AJ113)</f>
        <v>3634</v>
      </c>
      <c r="FO113" s="12">
        <f t="array" ref="FO113">SUMPRODUCT(TRANSPOSE(FO$9:FO$34),$K113:$AJ113)</f>
        <v>154</v>
      </c>
    </row>
    <row r="114" spans="1:171" ht="14.25" x14ac:dyDescent="0.2">
      <c r="A114" s="13">
        <f t="shared" si="7"/>
        <v>79</v>
      </c>
      <c r="B114" s="13" t="s">
        <v>281</v>
      </c>
      <c r="C114" s="25" t="s">
        <v>282</v>
      </c>
      <c r="D114" s="13" t="s">
        <v>67</v>
      </c>
      <c r="E114" s="13">
        <v>411067141</v>
      </c>
      <c r="F114" s="26" t="s">
        <v>283</v>
      </c>
      <c r="G114" s="13"/>
      <c r="H114" s="13" t="s">
        <v>61</v>
      </c>
      <c r="I114" s="13">
        <v>1</v>
      </c>
      <c r="J114" s="13">
        <v>6</v>
      </c>
      <c r="K114" s="13">
        <v>0</v>
      </c>
      <c r="L114" s="13">
        <v>0</v>
      </c>
      <c r="M114" s="13">
        <v>2</v>
      </c>
      <c r="N114" s="13">
        <v>0</v>
      </c>
      <c r="O114" s="13">
        <v>0</v>
      </c>
      <c r="P114" s="13">
        <v>0</v>
      </c>
      <c r="Q114" s="13">
        <v>0</v>
      </c>
      <c r="R114" s="13">
        <v>2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2</v>
      </c>
      <c r="Z114" s="13"/>
      <c r="AA114" s="13">
        <v>0</v>
      </c>
      <c r="AB114" s="13">
        <v>0</v>
      </c>
      <c r="AC114" s="13">
        <v>2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f t="shared" si="8"/>
        <v>8</v>
      </c>
      <c r="AL114" s="23">
        <f t="shared" si="6"/>
        <v>141792</v>
      </c>
      <c r="AM114" s="13"/>
      <c r="AN114" s="13" t="s">
        <v>284</v>
      </c>
      <c r="AO114" s="7" t="s">
        <v>285</v>
      </c>
      <c r="AP114" s="38">
        <v>5.25</v>
      </c>
      <c r="AQ114" s="12">
        <v>36390</v>
      </c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>
        <v>12130</v>
      </c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13"/>
      <c r="CG114" s="13"/>
      <c r="CH114" s="13"/>
      <c r="CI114" s="12"/>
      <c r="CJ114" s="12"/>
      <c r="CK114" s="12"/>
      <c r="CL114" s="12"/>
      <c r="CM114" s="12"/>
      <c r="CN114" s="12"/>
      <c r="CO114" s="12"/>
      <c r="CP114" s="12">
        <f>SUM($AQ114:BJ114)-SUM($EA114:EH114)</f>
        <v>34394</v>
      </c>
      <c r="CQ114" s="12">
        <f>SUM($AQ114:BK114)-SUM($EA114:EI114)</f>
        <v>33832</v>
      </c>
      <c r="CR114" s="12">
        <f>SUM($AQ114:BL114)-SUM($EA114:EJ114)</f>
        <v>31832</v>
      </c>
      <c r="CS114" s="12">
        <f>SUM($AQ114:BM114)-SUM($EA114:EK114)</f>
        <v>29632</v>
      </c>
      <c r="CT114" s="12">
        <f>SUM($AQ114:BN114)-SUM($EA114:EL114)</f>
        <v>25632</v>
      </c>
      <c r="CU114" s="12">
        <f>SUM($AQ114:BO114)-SUM($EA114:EM114)</f>
        <v>21632</v>
      </c>
      <c r="CV114" s="12">
        <f>SUM($AQ114:BP114)-SUM($EA114:EN114)</f>
        <v>17632</v>
      </c>
      <c r="CW114" s="12">
        <f>SUM($AQ114:BQ114)-SUM($EA114:EO114)</f>
        <v>13632</v>
      </c>
      <c r="CX114" s="12">
        <f>SUM($AQ114:BR114)-SUM($EA114:EP114)</f>
        <v>9632</v>
      </c>
      <c r="CY114" s="12">
        <f>SUM($AQ114:BS114)-SUM($EA114:EQ114)</f>
        <v>5632</v>
      </c>
      <c r="CZ114" s="12">
        <f>SUM($AQ114:BT114)-SUM($EA114:ER114)</f>
        <v>1632</v>
      </c>
      <c r="DA114" s="12">
        <f>SUM($AQ114:BU114)-SUM($EA114:ES114)</f>
        <v>-2368</v>
      </c>
      <c r="DB114" s="12">
        <f>SUM($AQ114:BV114)-SUM($EA114:ET114)</f>
        <v>-6368</v>
      </c>
      <c r="DC114" s="12">
        <f>SUM($AQ114:BW114)-SUM($EA114:EU114)</f>
        <v>-10368</v>
      </c>
      <c r="DD114" s="12">
        <f>SUM($AQ114:BX114)-SUM($EA114:EV114)</f>
        <v>-14368</v>
      </c>
      <c r="DE114" s="12">
        <f>SUM($AQ114:BY114)-SUM($EA114:EW114)</f>
        <v>-18368</v>
      </c>
      <c r="DF114" s="12">
        <f>SUM($AQ114:BZ114)-SUM($EA114:EX114)</f>
        <v>-22368</v>
      </c>
      <c r="DG114" s="12">
        <f>SUM($AQ114:CA114)-SUM($EA114:EY114)</f>
        <v>-26368</v>
      </c>
      <c r="DH114" s="12">
        <f>SUM($AQ114:CB114)-SUM($EA114:EZ114)</f>
        <v>-30368</v>
      </c>
      <c r="DI114" s="12">
        <f>SUM($AQ114:CC114)-SUM($EA114:FA114)</f>
        <v>-34368</v>
      </c>
      <c r="DJ114" s="12">
        <f>SUM($AQ114:CD114)-SUM($EA114:FB114)</f>
        <v>-38368</v>
      </c>
      <c r="DK114" s="12">
        <f>SUM($AQ114:CE114)-SUM($EA114:FC114)</f>
        <v>-42368</v>
      </c>
      <c r="DL114" s="12">
        <f>SUM($AQ114:CF114)-SUM($EA114:FD114)</f>
        <v>-46368</v>
      </c>
      <c r="DM114" s="12">
        <f>SUM($AQ114:CG114)-SUM($EA114:FE114)</f>
        <v>-50368</v>
      </c>
      <c r="DN114" s="12">
        <f>SUM($AQ114:CH114)-SUM($EA114:FF114)</f>
        <v>-54368</v>
      </c>
      <c r="DO114" s="12">
        <f>SUM($AQ114:CI114)-SUM($EA114:FG114)</f>
        <v>-58368</v>
      </c>
      <c r="DP114" s="12">
        <f>SUM($AQ114:CJ114)-SUM($EA114:FH114)</f>
        <v>-62368</v>
      </c>
      <c r="DQ114" s="12">
        <f>SUM($AQ114:CK114)-SUM($EA114:FI114)</f>
        <v>-66368</v>
      </c>
      <c r="DR114" s="12">
        <f>SUM($AQ114:CL114)-SUM($EA114:FJ114)</f>
        <v>-70368</v>
      </c>
      <c r="DS114" s="12">
        <f>SUM($AQ114:CM114)-SUM($EA114:FK114)</f>
        <v>-74368</v>
      </c>
      <c r="DT114" s="12">
        <f>SUM($AQ114:CN114)-SUM($EA114:FL114)</f>
        <v>-78368</v>
      </c>
      <c r="DU114" s="12">
        <f>SUM($AQ114:CO114)-SUM($EA114:FM114)</f>
        <v>-82368</v>
      </c>
      <c r="DV114" s="12">
        <f>SUM($AQ114:CP114)-SUM($EA114:FN114)</f>
        <v>-51608</v>
      </c>
      <c r="DW114" s="12">
        <f>SUM($AQ114:CQ114)-SUM($EA114:FO114)</f>
        <v>-17930</v>
      </c>
      <c r="DX114" s="13"/>
      <c r="DY114" s="13"/>
      <c r="DZ114" s="13"/>
      <c r="EA114" s="12"/>
      <c r="EB114" s="12"/>
      <c r="EC114" s="12"/>
      <c r="ED114" s="12"/>
      <c r="EE114" s="12"/>
      <c r="EF114" s="12"/>
      <c r="EG114" s="12"/>
      <c r="EH114" s="12">
        <f t="array" ref="EH114">SUMPRODUCT(TRANSPOSE(EH$9:EH$34),$K114:$AJ114)</f>
        <v>14126</v>
      </c>
      <c r="EI114" s="12">
        <f t="array" ref="EI114">SUMPRODUCT(TRANSPOSE(EI$9:EI$34),$K114:$AJ114)</f>
        <v>562</v>
      </c>
      <c r="EJ114" s="12">
        <f t="array" ref="EJ114">SUMPRODUCT(TRANSPOSE(EJ$9:EJ$34),$K114:$AJ114)</f>
        <v>2000</v>
      </c>
      <c r="EK114" s="12">
        <f t="array" ref="EK114">SUMPRODUCT(TRANSPOSE(EK$9:EK$34),$K114:$AJ114)</f>
        <v>2200</v>
      </c>
      <c r="EL114" s="12">
        <f t="array" ref="EL114">SUMPRODUCT(TRANSPOSE(EL$9:EL$34),$K114:$AJ114)</f>
        <v>4000</v>
      </c>
      <c r="EM114" s="12">
        <f t="array" ref="EM114">SUMPRODUCT(TRANSPOSE(EM$9:EM$34),$K114:$AJ114)</f>
        <v>4000</v>
      </c>
      <c r="EN114" s="12">
        <f t="array" ref="EN114">SUMPRODUCT(TRANSPOSE(EN$9:EN$34),$K114:$AJ114)</f>
        <v>4000</v>
      </c>
      <c r="EO114" s="12">
        <f t="array" ref="EO114">SUMPRODUCT(TRANSPOSE(EO$9:EO$34),$K114:$AJ114)</f>
        <v>4000</v>
      </c>
      <c r="EP114" s="12">
        <f t="array" ref="EP114">SUMPRODUCT(TRANSPOSE(EP$9:EP$34),$K114:$AJ114)</f>
        <v>4000</v>
      </c>
      <c r="EQ114" s="12">
        <f t="array" ref="EQ114">SUMPRODUCT(TRANSPOSE(EQ$9:EQ$34),$K114:$AJ114)</f>
        <v>4000</v>
      </c>
      <c r="ER114" s="12">
        <f t="array" ref="ER114">SUMPRODUCT(TRANSPOSE(ER$9:ER$34),$K114:$AJ114)</f>
        <v>4000</v>
      </c>
      <c r="ES114" s="12">
        <f t="array" ref="ES114">SUMPRODUCT(TRANSPOSE(ES$9:ES$34),$K114:$AJ114)</f>
        <v>4000</v>
      </c>
      <c r="ET114" s="12">
        <f t="array" ref="ET114">SUMPRODUCT(TRANSPOSE(ET$9:ET$34),$K114:$AJ114)</f>
        <v>4000</v>
      </c>
      <c r="EU114" s="12">
        <f t="array" ref="EU114">SUMPRODUCT(TRANSPOSE(EU$9:EU$34),$K114:$AJ114)</f>
        <v>4000</v>
      </c>
      <c r="EV114" s="12">
        <f t="array" ref="EV114">SUMPRODUCT(TRANSPOSE(EV$9:EV$34),$K114:$AJ114)</f>
        <v>4000</v>
      </c>
      <c r="EW114" s="12">
        <f t="array" ref="EW114">SUMPRODUCT(TRANSPOSE(EW$9:EW$34),$K114:$AJ114)</f>
        <v>4000</v>
      </c>
      <c r="EX114" s="12">
        <f t="array" ref="EX114">SUMPRODUCT(TRANSPOSE(EX$9:EX$34),$K114:$AJ114)</f>
        <v>4000</v>
      </c>
      <c r="EY114" s="12">
        <f t="array" ref="EY114">SUMPRODUCT(TRANSPOSE(EY$9:EY$34),$K114:$AJ114)</f>
        <v>4000</v>
      </c>
      <c r="EZ114" s="12">
        <f t="array" ref="EZ114">SUMPRODUCT(TRANSPOSE(EZ$9:EZ$34),$K114:$AJ114)</f>
        <v>4000</v>
      </c>
      <c r="FA114" s="12">
        <f t="array" ref="FA114">SUMPRODUCT(TRANSPOSE(FA$9:FA$34),$K114:$AJ114)</f>
        <v>4000</v>
      </c>
      <c r="FB114" s="12">
        <f t="array" ref="FB114">SUMPRODUCT(TRANSPOSE(FB$9:FB$34),$K114:$AJ114)</f>
        <v>4000</v>
      </c>
      <c r="FC114" s="12">
        <f t="array" ref="FC114">SUMPRODUCT(TRANSPOSE(FC$9:FC$34),$K114:$AJ114)</f>
        <v>4000</v>
      </c>
      <c r="FD114" s="12">
        <f t="array" ref="FD114">SUMPRODUCT(TRANSPOSE(FD$9:FD$34),$K114:$AJ114)</f>
        <v>4000</v>
      </c>
      <c r="FE114" s="12">
        <f t="array" ref="FE114">SUMPRODUCT(TRANSPOSE(FE$9:FE$34),$K114:$AJ114)</f>
        <v>4000</v>
      </c>
      <c r="FF114" s="12">
        <f t="array" ref="FF114">SUMPRODUCT(TRANSPOSE(FF$9:FF$34),$K114:$AJ114)</f>
        <v>4000</v>
      </c>
      <c r="FG114" s="12">
        <f t="array" ref="FG114">SUMPRODUCT(TRANSPOSE(FG$9:FG$34),$K114:$AJ114)</f>
        <v>4000</v>
      </c>
      <c r="FH114" s="12">
        <f t="array" ref="FH114">SUMPRODUCT(TRANSPOSE(FH$9:FH$34),$K114:$AJ114)</f>
        <v>4000</v>
      </c>
      <c r="FI114" s="12">
        <f t="array" ref="FI114">SUMPRODUCT(TRANSPOSE(FI$9:FI$34),$K114:$AJ114)</f>
        <v>4000</v>
      </c>
      <c r="FJ114" s="12">
        <f t="array" ref="FJ114">SUMPRODUCT(TRANSPOSE(FJ$9:FJ$34),$K114:$AJ114)</f>
        <v>4000</v>
      </c>
      <c r="FK114" s="12">
        <f t="array" ref="FK114">SUMPRODUCT(TRANSPOSE(FK$9:FK$34),$K114:$AJ114)</f>
        <v>4000</v>
      </c>
      <c r="FL114" s="12">
        <f t="array" ref="FL114">SUMPRODUCT(TRANSPOSE(FL$9:FL$34),$K114:$AJ114)</f>
        <v>4000</v>
      </c>
      <c r="FM114" s="12">
        <f t="array" ref="FM114">SUMPRODUCT(TRANSPOSE(FM$9:FM$34),$K114:$AJ114)</f>
        <v>4000</v>
      </c>
      <c r="FN114" s="12">
        <f t="array" ref="FN114">SUMPRODUCT(TRANSPOSE(FN$9:FN$34),$K114:$AJ114)</f>
        <v>3634</v>
      </c>
      <c r="FO114" s="12">
        <f t="array" ref="FO114">SUMPRODUCT(TRANSPOSE(FO$9:FO$34),$K114:$AJ114)</f>
        <v>154</v>
      </c>
    </row>
    <row r="115" spans="1:171" ht="14.25" x14ac:dyDescent="0.2">
      <c r="A115" s="13">
        <f t="shared" si="7"/>
        <v>80</v>
      </c>
      <c r="B115" s="13" t="s">
        <v>286</v>
      </c>
      <c r="C115" s="25" t="s">
        <v>287</v>
      </c>
      <c r="D115" s="13" t="s">
        <v>67</v>
      </c>
      <c r="E115" s="13">
        <v>407566005</v>
      </c>
      <c r="F115" s="26" t="s">
        <v>288</v>
      </c>
      <c r="G115" s="13"/>
      <c r="H115" s="13" t="s">
        <v>61</v>
      </c>
      <c r="I115" s="13">
        <v>1</v>
      </c>
      <c r="J115" s="13">
        <v>6</v>
      </c>
      <c r="K115" s="13">
        <v>0</v>
      </c>
      <c r="L115" s="13">
        <v>0</v>
      </c>
      <c r="M115" s="13">
        <v>2</v>
      </c>
      <c r="N115" s="13">
        <v>0</v>
      </c>
      <c r="O115" s="13">
        <v>0</v>
      </c>
      <c r="P115" s="13">
        <v>0</v>
      </c>
      <c r="Q115" s="13">
        <v>0</v>
      </c>
      <c r="R115" s="13">
        <v>2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2</v>
      </c>
      <c r="Z115" s="13"/>
      <c r="AA115" s="13">
        <v>0</v>
      </c>
      <c r="AB115" s="13">
        <v>0</v>
      </c>
      <c r="AC115" s="13">
        <v>2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f t="shared" si="8"/>
        <v>8</v>
      </c>
      <c r="AL115" s="23">
        <f t="shared" si="6"/>
        <v>141792</v>
      </c>
      <c r="AM115" s="27"/>
      <c r="AN115" s="13" t="s">
        <v>284</v>
      </c>
      <c r="AO115" s="7" t="s">
        <v>285</v>
      </c>
      <c r="AP115" s="38">
        <v>5.65</v>
      </c>
      <c r="AQ115" s="12">
        <v>36390</v>
      </c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>
        <v>12130</v>
      </c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13"/>
      <c r="CG115" s="13"/>
      <c r="CH115" s="13"/>
      <c r="CI115" s="12"/>
      <c r="CJ115" s="12"/>
      <c r="CK115" s="12"/>
      <c r="CL115" s="12"/>
      <c r="CM115" s="12"/>
      <c r="CN115" s="12"/>
      <c r="CO115" s="12"/>
      <c r="CP115" s="12">
        <f>SUM($AQ115:BJ115)-SUM($EA115:EH115)</f>
        <v>34394</v>
      </c>
      <c r="CQ115" s="12">
        <f>SUM($AQ115:BK115)-SUM($EA115:EI115)</f>
        <v>33832</v>
      </c>
      <c r="CR115" s="12">
        <f>SUM($AQ115:BL115)-SUM($EA115:EJ115)</f>
        <v>31832</v>
      </c>
      <c r="CS115" s="12">
        <f>SUM($AQ115:BM115)-SUM($EA115:EK115)</f>
        <v>29632</v>
      </c>
      <c r="CT115" s="12">
        <f>SUM($AQ115:BN115)-SUM($EA115:EL115)</f>
        <v>25632</v>
      </c>
      <c r="CU115" s="12">
        <f>SUM($AQ115:BO115)-SUM($EA115:EM115)</f>
        <v>21632</v>
      </c>
      <c r="CV115" s="12">
        <f>SUM($AQ115:BP115)-SUM($EA115:EN115)</f>
        <v>17632</v>
      </c>
      <c r="CW115" s="12">
        <f>SUM($AQ115:BQ115)-SUM($EA115:EO115)</f>
        <v>13632</v>
      </c>
      <c r="CX115" s="12">
        <f>SUM($AQ115:BR115)-SUM($EA115:EP115)</f>
        <v>9632</v>
      </c>
      <c r="CY115" s="12">
        <f>SUM($AQ115:BS115)-SUM($EA115:EQ115)</f>
        <v>5632</v>
      </c>
      <c r="CZ115" s="12">
        <f>SUM($AQ115:BT115)-SUM($EA115:ER115)</f>
        <v>1632</v>
      </c>
      <c r="DA115" s="12">
        <f>SUM($AQ115:BU115)-SUM($EA115:ES115)</f>
        <v>-2368</v>
      </c>
      <c r="DB115" s="12">
        <f>SUM($AQ115:BV115)-SUM($EA115:ET115)</f>
        <v>-6368</v>
      </c>
      <c r="DC115" s="12">
        <f>SUM($AQ115:BW115)-SUM($EA115:EU115)</f>
        <v>-10368</v>
      </c>
      <c r="DD115" s="12">
        <f>SUM($AQ115:BX115)-SUM($EA115:EV115)</f>
        <v>-14368</v>
      </c>
      <c r="DE115" s="12">
        <f>SUM($AQ115:BY115)-SUM($EA115:EW115)</f>
        <v>-18368</v>
      </c>
      <c r="DF115" s="12">
        <f>SUM($AQ115:BZ115)-SUM($EA115:EX115)</f>
        <v>-22368</v>
      </c>
      <c r="DG115" s="12">
        <f>SUM($AQ115:CA115)-SUM($EA115:EY115)</f>
        <v>-26368</v>
      </c>
      <c r="DH115" s="12">
        <f>SUM($AQ115:CB115)-SUM($EA115:EZ115)</f>
        <v>-30368</v>
      </c>
      <c r="DI115" s="12">
        <f>SUM($AQ115:CC115)-SUM($EA115:FA115)</f>
        <v>-34368</v>
      </c>
      <c r="DJ115" s="12">
        <f>SUM($AQ115:CD115)-SUM($EA115:FB115)</f>
        <v>-38368</v>
      </c>
      <c r="DK115" s="12">
        <f>SUM($AQ115:CE115)-SUM($EA115:FC115)</f>
        <v>-42368</v>
      </c>
      <c r="DL115" s="12">
        <f>SUM($AQ115:CF115)-SUM($EA115:FD115)</f>
        <v>-46368</v>
      </c>
      <c r="DM115" s="12">
        <f>SUM($AQ115:CG115)-SUM($EA115:FE115)</f>
        <v>-50368</v>
      </c>
      <c r="DN115" s="12">
        <f>SUM($AQ115:CH115)-SUM($EA115:FF115)</f>
        <v>-54368</v>
      </c>
      <c r="DO115" s="12">
        <f>SUM($AQ115:CI115)-SUM($EA115:FG115)</f>
        <v>-58368</v>
      </c>
      <c r="DP115" s="12">
        <f>SUM($AQ115:CJ115)-SUM($EA115:FH115)</f>
        <v>-62368</v>
      </c>
      <c r="DQ115" s="12">
        <f>SUM($AQ115:CK115)-SUM($EA115:FI115)</f>
        <v>-66368</v>
      </c>
      <c r="DR115" s="12">
        <f>SUM($AQ115:CL115)-SUM($EA115:FJ115)</f>
        <v>-70368</v>
      </c>
      <c r="DS115" s="12">
        <f>SUM($AQ115:CM115)-SUM($EA115:FK115)</f>
        <v>-74368</v>
      </c>
      <c r="DT115" s="12">
        <f>SUM($AQ115:CN115)-SUM($EA115:FL115)</f>
        <v>-78368</v>
      </c>
      <c r="DU115" s="12">
        <f>SUM($AQ115:CO115)-SUM($EA115:FM115)</f>
        <v>-82368</v>
      </c>
      <c r="DV115" s="12">
        <f>SUM($AQ115:CP115)-SUM($EA115:FN115)</f>
        <v>-51608</v>
      </c>
      <c r="DW115" s="12">
        <f>SUM($AQ115:CQ115)-SUM($EA115:FO115)</f>
        <v>-17930</v>
      </c>
      <c r="DX115" s="13"/>
      <c r="DY115" s="13"/>
      <c r="DZ115" s="13"/>
      <c r="EA115" s="12"/>
      <c r="EB115" s="12"/>
      <c r="EC115" s="12"/>
      <c r="ED115" s="12"/>
      <c r="EE115" s="12"/>
      <c r="EF115" s="12"/>
      <c r="EG115" s="12"/>
      <c r="EH115" s="12">
        <f t="array" ref="EH115">SUMPRODUCT(TRANSPOSE(EH$9:EH$34),$K115:$AJ115)</f>
        <v>14126</v>
      </c>
      <c r="EI115" s="12">
        <f t="array" ref="EI115">SUMPRODUCT(TRANSPOSE(EI$9:EI$34),$K115:$AJ115)</f>
        <v>562</v>
      </c>
      <c r="EJ115" s="12">
        <f t="array" ref="EJ115">SUMPRODUCT(TRANSPOSE(EJ$9:EJ$34),$K115:$AJ115)</f>
        <v>2000</v>
      </c>
      <c r="EK115" s="12">
        <f t="array" ref="EK115">SUMPRODUCT(TRANSPOSE(EK$9:EK$34),$K115:$AJ115)</f>
        <v>2200</v>
      </c>
      <c r="EL115" s="12">
        <f t="array" ref="EL115">SUMPRODUCT(TRANSPOSE(EL$9:EL$34),$K115:$AJ115)</f>
        <v>4000</v>
      </c>
      <c r="EM115" s="12">
        <f t="array" ref="EM115">SUMPRODUCT(TRANSPOSE(EM$9:EM$34),$K115:$AJ115)</f>
        <v>4000</v>
      </c>
      <c r="EN115" s="12">
        <f t="array" ref="EN115">SUMPRODUCT(TRANSPOSE(EN$9:EN$34),$K115:$AJ115)</f>
        <v>4000</v>
      </c>
      <c r="EO115" s="12">
        <f t="array" ref="EO115">SUMPRODUCT(TRANSPOSE(EO$9:EO$34),$K115:$AJ115)</f>
        <v>4000</v>
      </c>
      <c r="EP115" s="12">
        <f t="array" ref="EP115">SUMPRODUCT(TRANSPOSE(EP$9:EP$34),$K115:$AJ115)</f>
        <v>4000</v>
      </c>
      <c r="EQ115" s="12">
        <f t="array" ref="EQ115">SUMPRODUCT(TRANSPOSE(EQ$9:EQ$34),$K115:$AJ115)</f>
        <v>4000</v>
      </c>
      <c r="ER115" s="12">
        <f t="array" ref="ER115">SUMPRODUCT(TRANSPOSE(ER$9:ER$34),$K115:$AJ115)</f>
        <v>4000</v>
      </c>
      <c r="ES115" s="12">
        <f t="array" ref="ES115">SUMPRODUCT(TRANSPOSE(ES$9:ES$34),$K115:$AJ115)</f>
        <v>4000</v>
      </c>
      <c r="ET115" s="12">
        <f t="array" ref="ET115">SUMPRODUCT(TRANSPOSE(ET$9:ET$34),$K115:$AJ115)</f>
        <v>4000</v>
      </c>
      <c r="EU115" s="12">
        <f t="array" ref="EU115">SUMPRODUCT(TRANSPOSE(EU$9:EU$34),$K115:$AJ115)</f>
        <v>4000</v>
      </c>
      <c r="EV115" s="12">
        <f t="array" ref="EV115">SUMPRODUCT(TRANSPOSE(EV$9:EV$34),$K115:$AJ115)</f>
        <v>4000</v>
      </c>
      <c r="EW115" s="12">
        <f t="array" ref="EW115">SUMPRODUCT(TRANSPOSE(EW$9:EW$34),$K115:$AJ115)</f>
        <v>4000</v>
      </c>
      <c r="EX115" s="12">
        <f t="array" ref="EX115">SUMPRODUCT(TRANSPOSE(EX$9:EX$34),$K115:$AJ115)</f>
        <v>4000</v>
      </c>
      <c r="EY115" s="12">
        <f t="array" ref="EY115">SUMPRODUCT(TRANSPOSE(EY$9:EY$34),$K115:$AJ115)</f>
        <v>4000</v>
      </c>
      <c r="EZ115" s="12">
        <f t="array" ref="EZ115">SUMPRODUCT(TRANSPOSE(EZ$9:EZ$34),$K115:$AJ115)</f>
        <v>4000</v>
      </c>
      <c r="FA115" s="12">
        <f t="array" ref="FA115">SUMPRODUCT(TRANSPOSE(FA$9:FA$34),$K115:$AJ115)</f>
        <v>4000</v>
      </c>
      <c r="FB115" s="12">
        <f t="array" ref="FB115">SUMPRODUCT(TRANSPOSE(FB$9:FB$34),$K115:$AJ115)</f>
        <v>4000</v>
      </c>
      <c r="FC115" s="12">
        <f t="array" ref="FC115">SUMPRODUCT(TRANSPOSE(FC$9:FC$34),$K115:$AJ115)</f>
        <v>4000</v>
      </c>
      <c r="FD115" s="12">
        <f t="array" ref="FD115">SUMPRODUCT(TRANSPOSE(FD$9:FD$34),$K115:$AJ115)</f>
        <v>4000</v>
      </c>
      <c r="FE115" s="12">
        <f t="array" ref="FE115">SUMPRODUCT(TRANSPOSE(FE$9:FE$34),$K115:$AJ115)</f>
        <v>4000</v>
      </c>
      <c r="FF115" s="12">
        <f t="array" ref="FF115">SUMPRODUCT(TRANSPOSE(FF$9:FF$34),$K115:$AJ115)</f>
        <v>4000</v>
      </c>
      <c r="FG115" s="12">
        <f t="array" ref="FG115">SUMPRODUCT(TRANSPOSE(FG$9:FG$34),$K115:$AJ115)</f>
        <v>4000</v>
      </c>
      <c r="FH115" s="12">
        <f t="array" ref="FH115">SUMPRODUCT(TRANSPOSE(FH$9:FH$34),$K115:$AJ115)</f>
        <v>4000</v>
      </c>
      <c r="FI115" s="12">
        <f t="array" ref="FI115">SUMPRODUCT(TRANSPOSE(FI$9:FI$34),$K115:$AJ115)</f>
        <v>4000</v>
      </c>
      <c r="FJ115" s="12">
        <f t="array" ref="FJ115">SUMPRODUCT(TRANSPOSE(FJ$9:FJ$34),$K115:$AJ115)</f>
        <v>4000</v>
      </c>
      <c r="FK115" s="12">
        <f t="array" ref="FK115">SUMPRODUCT(TRANSPOSE(FK$9:FK$34),$K115:$AJ115)</f>
        <v>4000</v>
      </c>
      <c r="FL115" s="12">
        <f t="array" ref="FL115">SUMPRODUCT(TRANSPOSE(FL$9:FL$34),$K115:$AJ115)</f>
        <v>4000</v>
      </c>
      <c r="FM115" s="12">
        <f t="array" ref="FM115">SUMPRODUCT(TRANSPOSE(FM$9:FM$34),$K115:$AJ115)</f>
        <v>4000</v>
      </c>
      <c r="FN115" s="12">
        <f t="array" ref="FN115">SUMPRODUCT(TRANSPOSE(FN$9:FN$34),$K115:$AJ115)</f>
        <v>3634</v>
      </c>
      <c r="FO115" s="12">
        <f t="array" ref="FO115">SUMPRODUCT(TRANSPOSE(FO$9:FO$34),$K115:$AJ115)</f>
        <v>154</v>
      </c>
    </row>
    <row r="116" spans="1:171" ht="14.25" x14ac:dyDescent="0.2">
      <c r="A116" s="13">
        <f t="shared" si="7"/>
        <v>81</v>
      </c>
      <c r="B116" s="13" t="s">
        <v>289</v>
      </c>
      <c r="C116" s="25" t="s">
        <v>290</v>
      </c>
      <c r="D116" s="13" t="s">
        <v>67</v>
      </c>
      <c r="E116" s="13">
        <v>404492219</v>
      </c>
      <c r="F116" s="26" t="s">
        <v>291</v>
      </c>
      <c r="G116" s="13"/>
      <c r="H116" s="13" t="s">
        <v>61</v>
      </c>
      <c r="I116" s="13">
        <v>2</v>
      </c>
      <c r="J116" s="13">
        <v>6</v>
      </c>
      <c r="K116" s="13">
        <v>0</v>
      </c>
      <c r="L116" s="13">
        <v>0</v>
      </c>
      <c r="M116" s="13">
        <v>0</v>
      </c>
      <c r="N116" s="13">
        <v>2</v>
      </c>
      <c r="O116" s="13">
        <v>0</v>
      </c>
      <c r="P116" s="13">
        <v>0</v>
      </c>
      <c r="Q116" s="13">
        <v>0</v>
      </c>
      <c r="R116" s="13">
        <v>0</v>
      </c>
      <c r="S116" s="57">
        <v>2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/>
      <c r="Z116" s="13">
        <v>2</v>
      </c>
      <c r="AA116" s="13">
        <v>0</v>
      </c>
      <c r="AB116" s="13">
        <v>0</v>
      </c>
      <c r="AC116" s="13">
        <v>0</v>
      </c>
      <c r="AD116" s="13">
        <v>2</v>
      </c>
      <c r="AE116" s="13">
        <v>2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f t="shared" si="8"/>
        <v>8</v>
      </c>
      <c r="AL116" s="23">
        <f t="shared" si="6"/>
        <v>141792</v>
      </c>
      <c r="AM116" s="13"/>
      <c r="AN116" s="13" t="s">
        <v>172</v>
      </c>
      <c r="AO116" s="7" t="s">
        <v>1</v>
      </c>
      <c r="AP116" s="38">
        <v>2.65</v>
      </c>
      <c r="AQ116" s="12">
        <v>141300</v>
      </c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13"/>
      <c r="CG116" s="13"/>
      <c r="CH116" s="13"/>
      <c r="CI116" s="12"/>
      <c r="CJ116" s="12"/>
      <c r="CK116" s="12"/>
      <c r="CL116" s="12"/>
      <c r="CM116" s="12"/>
      <c r="CN116" s="12"/>
      <c r="CO116" s="12"/>
      <c r="CP116" s="12">
        <f>SUM($AQ116:BJ116)-SUM($EA116:EH116)</f>
        <v>127174</v>
      </c>
      <c r="CQ116" s="12">
        <f>SUM($AQ116:BK116)-SUM($EA116:EI116)</f>
        <v>126612</v>
      </c>
      <c r="CR116" s="12">
        <f>SUM($AQ116:BL116)-SUM($EA116:EJ116)</f>
        <v>124582</v>
      </c>
      <c r="CS116" s="12">
        <f>SUM($AQ116:BM116)-SUM($EA116:EK116)</f>
        <v>122312</v>
      </c>
      <c r="CT116" s="12">
        <f>SUM($AQ116:BN116)-SUM($EA116:EL116)</f>
        <v>118282</v>
      </c>
      <c r="CU116" s="12">
        <f>SUM($AQ116:BO116)-SUM($EA116:EM116)</f>
        <v>114182</v>
      </c>
      <c r="CV116" s="12">
        <f>SUM($AQ116:BP116)-SUM($EA116:EN116)</f>
        <v>110082</v>
      </c>
      <c r="CW116" s="12">
        <f>SUM($AQ116:BQ116)-SUM($EA116:EO116)</f>
        <v>106082</v>
      </c>
      <c r="CX116" s="12">
        <f>SUM($AQ116:BR116)-SUM($EA116:EP116)</f>
        <v>101982</v>
      </c>
      <c r="CY116" s="12">
        <f>SUM($AQ116:BS116)-SUM($EA116:EQ116)</f>
        <v>97882</v>
      </c>
      <c r="CZ116" s="12">
        <f>SUM($AQ116:BT116)-SUM($EA116:ER116)</f>
        <v>93782</v>
      </c>
      <c r="DA116" s="12">
        <f>SUM($AQ116:BU116)-SUM($EA116:ES116)</f>
        <v>89682</v>
      </c>
      <c r="DB116" s="12">
        <f>SUM($AQ116:BV116)-SUM($EA116:ET116)</f>
        <v>85582</v>
      </c>
      <c r="DC116" s="12">
        <f>SUM($AQ116:BW116)-SUM($EA116:EU116)</f>
        <v>81482</v>
      </c>
      <c r="DD116" s="12">
        <f>SUM($AQ116:BX116)-SUM($EA116:EV116)</f>
        <v>77382</v>
      </c>
      <c r="DE116" s="12">
        <f>SUM($AQ116:BY116)-SUM($EA116:EW116)</f>
        <v>73296</v>
      </c>
      <c r="DF116" s="12">
        <f>SUM($AQ116:BZ116)-SUM($EA116:EX116)</f>
        <v>69296</v>
      </c>
      <c r="DG116" s="12">
        <f>SUM($AQ116:CA116)-SUM($EA116:EY116)</f>
        <v>65296</v>
      </c>
      <c r="DH116" s="12">
        <f>SUM($AQ116:CB116)-SUM($EA116:EZ116)</f>
        <v>61296</v>
      </c>
      <c r="DI116" s="12">
        <f>SUM($AQ116:CC116)-SUM($EA116:FA116)</f>
        <v>57296</v>
      </c>
      <c r="DJ116" s="12">
        <f>SUM($AQ116:CD116)-SUM($EA116:FB116)</f>
        <v>53296</v>
      </c>
      <c r="DK116" s="12">
        <f>SUM($AQ116:CE116)-SUM($EA116:FC116)</f>
        <v>49296</v>
      </c>
      <c r="DL116" s="12">
        <f>SUM($AQ116:CF116)-SUM($EA116:FD116)</f>
        <v>45296</v>
      </c>
      <c r="DM116" s="12">
        <f>SUM($AQ116:CG116)-SUM($EA116:FE116)</f>
        <v>41296</v>
      </c>
      <c r="DN116" s="12">
        <f>SUM($AQ116:CH116)-SUM($EA116:FF116)</f>
        <v>37296</v>
      </c>
      <c r="DO116" s="12">
        <f>SUM($AQ116:CI116)-SUM($EA116:FG116)</f>
        <v>33296</v>
      </c>
      <c r="DP116" s="12">
        <f>SUM($AQ116:CJ116)-SUM($EA116:FH116)</f>
        <v>29296</v>
      </c>
      <c r="DQ116" s="12">
        <f>SUM($AQ116:CK116)-SUM($EA116:FI116)</f>
        <v>25296</v>
      </c>
      <c r="DR116" s="12">
        <f>SUM($AQ116:CL116)-SUM($EA116:FJ116)</f>
        <v>21296</v>
      </c>
      <c r="DS116" s="12">
        <f>SUM($AQ116:CM116)-SUM($EA116:FK116)</f>
        <v>17296</v>
      </c>
      <c r="DT116" s="12">
        <f>SUM($AQ116:CN116)-SUM($EA116:FL116)</f>
        <v>13296</v>
      </c>
      <c r="DU116" s="12">
        <f>SUM($AQ116:CO116)-SUM($EA116:FM116)</f>
        <v>9296</v>
      </c>
      <c r="DV116" s="12">
        <f>SUM($AQ116:CP116)-SUM($EA116:FN116)</f>
        <v>132836</v>
      </c>
      <c r="DW116" s="12">
        <f>SUM($AQ116:CQ116)-SUM($EA116:FO116)</f>
        <v>259294</v>
      </c>
      <c r="DX116" s="13"/>
      <c r="DY116" s="13"/>
      <c r="DZ116" s="13"/>
      <c r="EA116" s="12"/>
      <c r="EB116" s="12"/>
      <c r="EC116" s="12"/>
      <c r="ED116" s="12"/>
      <c r="EE116" s="12"/>
      <c r="EF116" s="12"/>
      <c r="EG116" s="12"/>
      <c r="EH116" s="12">
        <f t="array" ref="EH116">SUMPRODUCT(TRANSPOSE(EH$9:EH$34),$K116:$AJ116)</f>
        <v>14126</v>
      </c>
      <c r="EI116" s="12">
        <f t="array" ref="EI116">SUMPRODUCT(TRANSPOSE(EI$9:EI$34),$K116:$AJ116)</f>
        <v>562</v>
      </c>
      <c r="EJ116" s="12">
        <f t="array" ref="EJ116">SUMPRODUCT(TRANSPOSE(EJ$9:EJ$34),$K116:$AJ116)</f>
        <v>2030</v>
      </c>
      <c r="EK116" s="12">
        <f t="array" ref="EK116">SUMPRODUCT(TRANSPOSE(EK$9:EK$34),$K116:$AJ116)</f>
        <v>2270</v>
      </c>
      <c r="EL116" s="12">
        <f t="array" ref="EL116">SUMPRODUCT(TRANSPOSE(EL$9:EL$34),$K116:$AJ116)</f>
        <v>4030</v>
      </c>
      <c r="EM116" s="12">
        <f t="array" ref="EM116">SUMPRODUCT(TRANSPOSE(EM$9:EM$34),$K116:$AJ116)</f>
        <v>4100</v>
      </c>
      <c r="EN116" s="12">
        <f t="array" ref="EN116">SUMPRODUCT(TRANSPOSE(EN$9:EN$34),$K116:$AJ116)</f>
        <v>4100</v>
      </c>
      <c r="EO116" s="12">
        <f t="array" ref="EO116">SUMPRODUCT(TRANSPOSE(EO$9:EO$34),$K116:$AJ116)</f>
        <v>4000</v>
      </c>
      <c r="EP116" s="12">
        <f t="array" ref="EP116">SUMPRODUCT(TRANSPOSE(EP$9:EP$34),$K116:$AJ116)</f>
        <v>4100</v>
      </c>
      <c r="EQ116" s="12">
        <f t="array" ref="EQ116">SUMPRODUCT(TRANSPOSE(EQ$9:EQ$34),$K116:$AJ116)</f>
        <v>4100</v>
      </c>
      <c r="ER116" s="12">
        <f t="array" ref="ER116">SUMPRODUCT(TRANSPOSE(ER$9:ER$34),$K116:$AJ116)</f>
        <v>4100</v>
      </c>
      <c r="ES116" s="12">
        <f t="array" ref="ES116">SUMPRODUCT(TRANSPOSE(ES$9:ES$34),$K116:$AJ116)</f>
        <v>4100</v>
      </c>
      <c r="ET116" s="12">
        <f t="array" ref="ET116">SUMPRODUCT(TRANSPOSE(ET$9:ET$34),$K116:$AJ116)</f>
        <v>4100</v>
      </c>
      <c r="EU116" s="12">
        <f t="array" ref="EU116">SUMPRODUCT(TRANSPOSE(EU$9:EU$34),$K116:$AJ116)</f>
        <v>4100</v>
      </c>
      <c r="EV116" s="12">
        <f t="array" ref="EV116">SUMPRODUCT(TRANSPOSE(EV$9:EV$34),$K116:$AJ116)</f>
        <v>4100</v>
      </c>
      <c r="EW116" s="12">
        <f t="array" ref="EW116">SUMPRODUCT(TRANSPOSE(EW$9:EW$34),$K116:$AJ116)</f>
        <v>4086</v>
      </c>
      <c r="EX116" s="12">
        <f t="array" ref="EX116">SUMPRODUCT(TRANSPOSE(EX$9:EX$34),$K116:$AJ116)</f>
        <v>4000</v>
      </c>
      <c r="EY116" s="12">
        <f t="array" ref="EY116">SUMPRODUCT(TRANSPOSE(EY$9:EY$34),$K116:$AJ116)</f>
        <v>4000</v>
      </c>
      <c r="EZ116" s="12">
        <f t="array" ref="EZ116">SUMPRODUCT(TRANSPOSE(EZ$9:EZ$34),$K116:$AJ116)</f>
        <v>4000</v>
      </c>
      <c r="FA116" s="12">
        <f t="array" ref="FA116">SUMPRODUCT(TRANSPOSE(FA$9:FA$34),$K116:$AJ116)</f>
        <v>4000</v>
      </c>
      <c r="FB116" s="12">
        <f t="array" ref="FB116">SUMPRODUCT(TRANSPOSE(FB$9:FB$34),$K116:$AJ116)</f>
        <v>4000</v>
      </c>
      <c r="FC116" s="12">
        <f t="array" ref="FC116">SUMPRODUCT(TRANSPOSE(FC$9:FC$34),$K116:$AJ116)</f>
        <v>4000</v>
      </c>
      <c r="FD116" s="12">
        <f t="array" ref="FD116">SUMPRODUCT(TRANSPOSE(FD$9:FD$34),$K116:$AJ116)</f>
        <v>4000</v>
      </c>
      <c r="FE116" s="12">
        <f t="array" ref="FE116">SUMPRODUCT(TRANSPOSE(FE$9:FE$34),$K116:$AJ116)</f>
        <v>4000</v>
      </c>
      <c r="FF116" s="12">
        <f t="array" ref="FF116">SUMPRODUCT(TRANSPOSE(FF$9:FF$34),$K116:$AJ116)</f>
        <v>4000</v>
      </c>
      <c r="FG116" s="12">
        <f t="array" ref="FG116">SUMPRODUCT(TRANSPOSE(FG$9:FG$34),$K116:$AJ116)</f>
        <v>4000</v>
      </c>
      <c r="FH116" s="12">
        <f t="array" ref="FH116">SUMPRODUCT(TRANSPOSE(FH$9:FH$34),$K116:$AJ116)</f>
        <v>4000</v>
      </c>
      <c r="FI116" s="12">
        <f t="array" ref="FI116">SUMPRODUCT(TRANSPOSE(FI$9:FI$34),$K116:$AJ116)</f>
        <v>4000</v>
      </c>
      <c r="FJ116" s="12">
        <f t="array" ref="FJ116">SUMPRODUCT(TRANSPOSE(FJ$9:FJ$34),$K116:$AJ116)</f>
        <v>4000</v>
      </c>
      <c r="FK116" s="12">
        <f t="array" ref="FK116">SUMPRODUCT(TRANSPOSE(FK$9:FK$34),$K116:$AJ116)</f>
        <v>4000</v>
      </c>
      <c r="FL116" s="12">
        <f t="array" ref="FL116">SUMPRODUCT(TRANSPOSE(FL$9:FL$34),$K116:$AJ116)</f>
        <v>4000</v>
      </c>
      <c r="FM116" s="12">
        <f t="array" ref="FM116">SUMPRODUCT(TRANSPOSE(FM$9:FM$34),$K116:$AJ116)</f>
        <v>4000</v>
      </c>
      <c r="FN116" s="12">
        <f t="array" ref="FN116">SUMPRODUCT(TRANSPOSE(FN$9:FN$34),$K116:$AJ116)</f>
        <v>3634</v>
      </c>
      <c r="FO116" s="12">
        <f t="array" ref="FO116">SUMPRODUCT(TRANSPOSE(FO$9:FO$34),$K116:$AJ116)</f>
        <v>154</v>
      </c>
    </row>
    <row r="117" spans="1:171" ht="14.25" x14ac:dyDescent="0.2">
      <c r="A117" s="13">
        <f t="shared" si="7"/>
        <v>82</v>
      </c>
      <c r="B117" s="13" t="s">
        <v>292</v>
      </c>
      <c r="C117" s="43" t="s">
        <v>293</v>
      </c>
      <c r="D117" s="13" t="s">
        <v>60</v>
      </c>
      <c r="E117" s="13">
        <v>411123562</v>
      </c>
      <c r="F117" s="26" t="s">
        <v>294</v>
      </c>
      <c r="G117" s="13"/>
      <c r="H117" s="13" t="s">
        <v>61</v>
      </c>
      <c r="I117" s="13">
        <v>1</v>
      </c>
      <c r="J117" s="13">
        <v>3</v>
      </c>
      <c r="K117" s="13">
        <v>0</v>
      </c>
      <c r="L117" s="13">
        <v>0</v>
      </c>
      <c r="M117" s="13">
        <v>0</v>
      </c>
      <c r="N117" s="13">
        <v>0</v>
      </c>
      <c r="O117" s="13">
        <v>1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1</v>
      </c>
      <c r="Y117" s="13"/>
      <c r="Z117" s="13"/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1</v>
      </c>
      <c r="AK117" s="13">
        <f t="shared" si="8"/>
        <v>2</v>
      </c>
      <c r="AL117" s="23">
        <f t="shared" si="6"/>
        <v>70863</v>
      </c>
      <c r="AM117" s="13"/>
      <c r="AN117" s="13" t="s">
        <v>295</v>
      </c>
      <c r="AO117" s="7" t="s">
        <v>134</v>
      </c>
      <c r="AP117" s="37">
        <v>12.462999999999999</v>
      </c>
      <c r="AQ117" s="12">
        <v>13277</v>
      </c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>
        <v>2024</v>
      </c>
      <c r="BC117" s="12">
        <v>4000</v>
      </c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59"/>
      <c r="CA117" s="59"/>
      <c r="CB117" s="59"/>
      <c r="CC117" s="59"/>
      <c r="CD117" s="59"/>
      <c r="CE117" s="59"/>
      <c r="CF117" s="13"/>
      <c r="CG117" s="13"/>
      <c r="CH117" s="13"/>
      <c r="CI117" s="12"/>
      <c r="CJ117" s="12"/>
      <c r="CK117" s="12"/>
      <c r="CL117" s="12"/>
      <c r="CM117" s="12"/>
      <c r="CN117" s="12"/>
      <c r="CO117" s="12"/>
      <c r="CP117" s="12">
        <f>SUM($AQ117:BJ117)-SUM($EA117:EH117)</f>
        <v>12238</v>
      </c>
      <c r="CQ117" s="12">
        <f>SUM($AQ117:BK117)-SUM($EA117:EI117)</f>
        <v>11838</v>
      </c>
      <c r="CR117" s="12">
        <f>SUM($AQ117:BL117)-SUM($EA117:EJ117)</f>
        <v>10823</v>
      </c>
      <c r="CS117" s="12">
        <f>SUM($AQ117:BM117)-SUM($EA117:EK117)</f>
        <v>9688</v>
      </c>
      <c r="CT117" s="12">
        <f>SUM($AQ117:BN117)-SUM($EA117:EL117)</f>
        <v>7673</v>
      </c>
      <c r="CU117" s="12">
        <f>SUM($AQ117:BO117)-SUM($EA117:EM117)</f>
        <v>5623</v>
      </c>
      <c r="CV117" s="12">
        <f>SUM($AQ117:BP117)-SUM($EA117:EN117)</f>
        <v>3573</v>
      </c>
      <c r="CW117" s="12">
        <f>SUM($AQ117:BQ117)-SUM($EA117:EO117)</f>
        <v>1573</v>
      </c>
      <c r="CX117" s="12">
        <f>SUM($AQ117:BR117)-SUM($EA117:EP117)</f>
        <v>-477</v>
      </c>
      <c r="CY117" s="12">
        <f>SUM($AQ117:BS117)-SUM($EA117:EQ117)</f>
        <v>-2527</v>
      </c>
      <c r="CZ117" s="12">
        <f>SUM($AQ117:BT117)-SUM($EA117:ER117)</f>
        <v>-4577</v>
      </c>
      <c r="DA117" s="12">
        <f>SUM($AQ117:BU117)-SUM($EA117:ES117)</f>
        <v>-6627</v>
      </c>
      <c r="DB117" s="12">
        <f>SUM($AQ117:BV117)-SUM($EA117:ET117)</f>
        <v>-8677</v>
      </c>
      <c r="DC117" s="12">
        <f>SUM($AQ117:BW117)-SUM($EA117:EU117)</f>
        <v>-10727</v>
      </c>
      <c r="DD117" s="12">
        <f>SUM($AQ117:BX117)-SUM($EA117:EV117)</f>
        <v>-12777</v>
      </c>
      <c r="DE117" s="12">
        <f>SUM($AQ117:BY117)-SUM($EA117:EW117)</f>
        <v>-14787</v>
      </c>
      <c r="DF117" s="12">
        <f>SUM($AQ117:BZ117)-SUM($EA117:EX117)</f>
        <v>-16787</v>
      </c>
      <c r="DG117" s="12">
        <f>SUM($AQ117:CA117)-SUM($EA117:EY117)</f>
        <v>-18787</v>
      </c>
      <c r="DH117" s="12">
        <f>SUM($AQ117:CB117)-SUM($EA117:EZ117)</f>
        <v>-20787</v>
      </c>
      <c r="DI117" s="12">
        <f>SUM($AQ117:CC117)-SUM($EA117:FA117)</f>
        <v>-22787</v>
      </c>
      <c r="DJ117" s="12">
        <f>SUM($AQ117:CD117)-SUM($EA117:FB117)</f>
        <v>-24787</v>
      </c>
      <c r="DK117" s="12">
        <f>SUM($AQ117:CE117)-SUM($EA117:FC117)</f>
        <v>-26787</v>
      </c>
      <c r="DL117" s="12">
        <f>SUM($AQ117:CF117)-SUM($EA117:FD117)</f>
        <v>-28787</v>
      </c>
      <c r="DM117" s="12">
        <f>SUM($AQ117:CG117)-SUM($EA117:FE117)</f>
        <v>-30787</v>
      </c>
      <c r="DN117" s="12">
        <f>SUM($AQ117:CH117)-SUM($EA117:FF117)</f>
        <v>-32787</v>
      </c>
      <c r="DO117" s="12">
        <f>SUM($AQ117:CI117)-SUM($EA117:FG117)</f>
        <v>-34787</v>
      </c>
      <c r="DP117" s="12">
        <f>SUM($AQ117:CJ117)-SUM($EA117:FH117)</f>
        <v>-36787</v>
      </c>
      <c r="DQ117" s="12">
        <f>SUM($AQ117:CK117)-SUM($EA117:FI117)</f>
        <v>-38787</v>
      </c>
      <c r="DR117" s="12">
        <f>SUM($AQ117:CL117)-SUM($EA117:FJ117)</f>
        <v>-40787</v>
      </c>
      <c r="DS117" s="12">
        <f>SUM($AQ117:CM117)-SUM($EA117:FK117)</f>
        <v>-42787</v>
      </c>
      <c r="DT117" s="12">
        <f>SUM($AQ117:CN117)-SUM($EA117:FL117)</f>
        <v>-44787</v>
      </c>
      <c r="DU117" s="12">
        <f>SUM($AQ117:CO117)-SUM($EA117:FM117)</f>
        <v>-46787</v>
      </c>
      <c r="DV117" s="12">
        <f>SUM($AQ117:CP117)-SUM($EA117:FN117)</f>
        <v>-36247</v>
      </c>
      <c r="DW117" s="12">
        <f>SUM($AQ117:CQ117)-SUM($EA117:FO117)</f>
        <v>-24486</v>
      </c>
      <c r="DX117" s="13"/>
      <c r="DY117" s="13"/>
      <c r="DZ117" s="13"/>
      <c r="EA117" s="12"/>
      <c r="EB117" s="12"/>
      <c r="EC117" s="12"/>
      <c r="ED117" s="12"/>
      <c r="EE117" s="12"/>
      <c r="EF117" s="12"/>
      <c r="EG117" s="12"/>
      <c r="EH117" s="12">
        <f t="array" ref="EH117">SUMPRODUCT(TRANSPOSE(EH$9:EH$34),$K117:$AJ117)</f>
        <v>7063</v>
      </c>
      <c r="EI117" s="12">
        <f t="array" ref="EI117">SUMPRODUCT(TRANSPOSE(EI$9:EI$34),$K117:$AJ117)</f>
        <v>400</v>
      </c>
      <c r="EJ117" s="12">
        <f t="array" ref="EJ117">SUMPRODUCT(TRANSPOSE(EJ$9:EJ$34),$K117:$AJ117)</f>
        <v>1015</v>
      </c>
      <c r="EK117" s="12">
        <f t="array" ref="EK117">SUMPRODUCT(TRANSPOSE(EK$9:EK$34),$K117:$AJ117)</f>
        <v>1135</v>
      </c>
      <c r="EL117" s="12">
        <f t="array" ref="EL117">SUMPRODUCT(TRANSPOSE(EL$9:EL$34),$K117:$AJ117)</f>
        <v>2015</v>
      </c>
      <c r="EM117" s="12">
        <f t="array" ref="EM117">SUMPRODUCT(TRANSPOSE(EM$9:EM$34),$K117:$AJ117)</f>
        <v>2050</v>
      </c>
      <c r="EN117" s="12">
        <f t="array" ref="EN117">SUMPRODUCT(TRANSPOSE(EN$9:EN$34),$K117:$AJ117)</f>
        <v>2050</v>
      </c>
      <c r="EO117" s="12">
        <f t="array" ref="EO117">SUMPRODUCT(TRANSPOSE(EO$9:EO$34),$K117:$AJ117)</f>
        <v>2000</v>
      </c>
      <c r="EP117" s="12">
        <f t="array" ref="EP117">SUMPRODUCT(TRANSPOSE(EP$9:EP$34),$K117:$AJ117)</f>
        <v>2050</v>
      </c>
      <c r="EQ117" s="12">
        <f t="array" ref="EQ117">SUMPRODUCT(TRANSPOSE(EQ$9:EQ$34),$K117:$AJ117)</f>
        <v>2050</v>
      </c>
      <c r="ER117" s="12">
        <f t="array" ref="ER117">SUMPRODUCT(TRANSPOSE(ER$9:ER$34),$K117:$AJ117)</f>
        <v>2050</v>
      </c>
      <c r="ES117" s="12">
        <f t="array" ref="ES117">SUMPRODUCT(TRANSPOSE(ES$9:ES$34),$K117:$AJ117)</f>
        <v>2050</v>
      </c>
      <c r="ET117" s="12">
        <f t="array" ref="ET117">SUMPRODUCT(TRANSPOSE(ET$9:ET$34),$K117:$AJ117)</f>
        <v>2050</v>
      </c>
      <c r="EU117" s="12">
        <f t="array" ref="EU117">SUMPRODUCT(TRANSPOSE(EU$9:EU$34),$K117:$AJ117)</f>
        <v>2050</v>
      </c>
      <c r="EV117" s="12">
        <f t="array" ref="EV117">SUMPRODUCT(TRANSPOSE(EV$9:EV$34),$K117:$AJ117)</f>
        <v>2050</v>
      </c>
      <c r="EW117" s="12">
        <f t="array" ref="EW117">SUMPRODUCT(TRANSPOSE(EW$9:EW$34),$K117:$AJ117)</f>
        <v>2010</v>
      </c>
      <c r="EX117" s="12">
        <f t="array" ref="EX117">SUMPRODUCT(TRANSPOSE(EX$9:EX$34),$K117:$AJ117)</f>
        <v>2000</v>
      </c>
      <c r="EY117" s="12">
        <f t="array" ref="EY117">SUMPRODUCT(TRANSPOSE(EY$9:EY$34),$K117:$AJ117)</f>
        <v>2000</v>
      </c>
      <c r="EZ117" s="12">
        <f t="array" ref="EZ117">SUMPRODUCT(TRANSPOSE(EZ$9:EZ$34),$K117:$AJ117)</f>
        <v>2000</v>
      </c>
      <c r="FA117" s="12">
        <f t="array" ref="FA117">SUMPRODUCT(TRANSPOSE(FA$9:FA$34),$K117:$AJ117)</f>
        <v>2000</v>
      </c>
      <c r="FB117" s="12">
        <f t="array" ref="FB117">SUMPRODUCT(TRANSPOSE(FB$9:FB$34),$K117:$AJ117)</f>
        <v>2000</v>
      </c>
      <c r="FC117" s="12">
        <f t="array" ref="FC117">SUMPRODUCT(TRANSPOSE(FC$9:FC$34),$K117:$AJ117)</f>
        <v>2000</v>
      </c>
      <c r="FD117" s="12">
        <f t="array" ref="FD117">SUMPRODUCT(TRANSPOSE(FD$9:FD$34),$K117:$AJ117)</f>
        <v>2000</v>
      </c>
      <c r="FE117" s="12">
        <f t="array" ref="FE117">SUMPRODUCT(TRANSPOSE(FE$9:FE$34),$K117:$AJ117)</f>
        <v>2000</v>
      </c>
      <c r="FF117" s="12">
        <f t="array" ref="FF117">SUMPRODUCT(TRANSPOSE(FF$9:FF$34),$K117:$AJ117)</f>
        <v>2000</v>
      </c>
      <c r="FG117" s="12">
        <f t="array" ref="FG117">SUMPRODUCT(TRANSPOSE(FG$9:FG$34),$K117:$AJ117)</f>
        <v>2000</v>
      </c>
      <c r="FH117" s="12">
        <f t="array" ref="FH117">SUMPRODUCT(TRANSPOSE(FH$9:FH$34),$K117:$AJ117)</f>
        <v>2000</v>
      </c>
      <c r="FI117" s="12">
        <f t="array" ref="FI117">SUMPRODUCT(TRANSPOSE(FI$9:FI$34),$K117:$AJ117)</f>
        <v>2000</v>
      </c>
      <c r="FJ117" s="12">
        <f t="array" ref="FJ117">SUMPRODUCT(TRANSPOSE(FJ$9:FJ$34),$K117:$AJ117)</f>
        <v>2000</v>
      </c>
      <c r="FK117" s="12">
        <f t="array" ref="FK117">SUMPRODUCT(TRANSPOSE(FK$9:FK$34),$K117:$AJ117)</f>
        <v>2000</v>
      </c>
      <c r="FL117" s="12">
        <f t="array" ref="FL117">SUMPRODUCT(TRANSPOSE(FL$9:FL$34),$K117:$AJ117)</f>
        <v>2000</v>
      </c>
      <c r="FM117" s="12">
        <f t="array" ref="FM117">SUMPRODUCT(TRANSPOSE(FM$9:FM$34),$K117:$AJ117)</f>
        <v>2000</v>
      </c>
      <c r="FN117" s="12">
        <f t="array" ref="FN117">SUMPRODUCT(TRANSPOSE(FN$9:FN$34),$K117:$AJ117)</f>
        <v>1698</v>
      </c>
      <c r="FO117" s="12">
        <f t="array" ref="FO117">SUMPRODUCT(TRANSPOSE(FO$9:FO$34),$K117:$AJ117)</f>
        <v>77</v>
      </c>
    </row>
    <row r="118" spans="1:171" ht="14.25" x14ac:dyDescent="0.2">
      <c r="A118" s="13">
        <f t="shared" si="7"/>
        <v>83</v>
      </c>
      <c r="B118" s="13" t="s">
        <v>296</v>
      </c>
      <c r="C118" s="25" t="s">
        <v>297</v>
      </c>
      <c r="D118" s="13" t="s">
        <v>67</v>
      </c>
      <c r="E118" s="13">
        <v>417983177</v>
      </c>
      <c r="F118" s="26" t="s">
        <v>298</v>
      </c>
      <c r="G118" s="13">
        <v>418062769</v>
      </c>
      <c r="H118" s="13" t="s">
        <v>61</v>
      </c>
      <c r="I118" s="13">
        <v>2</v>
      </c>
      <c r="J118" s="13">
        <v>3</v>
      </c>
      <c r="K118" s="13">
        <v>0</v>
      </c>
      <c r="L118" s="13">
        <v>0</v>
      </c>
      <c r="M118" s="13">
        <v>0</v>
      </c>
      <c r="N118" s="13">
        <v>0</v>
      </c>
      <c r="O118" s="13">
        <v>1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1</v>
      </c>
      <c r="Y118" s="13"/>
      <c r="Z118" s="13"/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1</v>
      </c>
      <c r="AK118" s="13">
        <f t="shared" si="8"/>
        <v>2</v>
      </c>
      <c r="AL118" s="23">
        <f t="shared" si="6"/>
        <v>70863</v>
      </c>
      <c r="AM118" s="13"/>
      <c r="AN118" s="13" t="s">
        <v>299</v>
      </c>
      <c r="AO118" s="7" t="s">
        <v>300</v>
      </c>
      <c r="AP118" s="38">
        <v>0.05</v>
      </c>
      <c r="AQ118" s="12">
        <v>72300</v>
      </c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13"/>
      <c r="CG118" s="13"/>
      <c r="CH118" s="13"/>
      <c r="CI118" s="12"/>
      <c r="CJ118" s="12"/>
      <c r="CK118" s="12"/>
      <c r="CL118" s="12"/>
      <c r="CM118" s="12"/>
      <c r="CN118" s="12"/>
      <c r="CO118" s="12"/>
      <c r="CP118" s="12">
        <f>SUM($AQ118:BJ118)-SUM($EA118:EH118)</f>
        <v>65237</v>
      </c>
      <c r="CQ118" s="12">
        <f>SUM($AQ118:BK118)-SUM($EA118:EI118)</f>
        <v>64837</v>
      </c>
      <c r="CR118" s="12">
        <f>SUM($AQ118:BL118)-SUM($EA118:EJ118)</f>
        <v>63822</v>
      </c>
      <c r="CS118" s="12">
        <f>SUM($AQ118:BM118)-SUM($EA118:EK118)</f>
        <v>62687</v>
      </c>
      <c r="CT118" s="12">
        <f>SUM($AQ118:BN118)-SUM($EA118:EL118)</f>
        <v>60672</v>
      </c>
      <c r="CU118" s="12">
        <f>SUM($AQ118:BO118)-SUM($EA118:EM118)</f>
        <v>58622</v>
      </c>
      <c r="CV118" s="12">
        <f>SUM($AQ118:BP118)-SUM($EA118:EN118)</f>
        <v>56572</v>
      </c>
      <c r="CW118" s="12">
        <f>SUM($AQ118:BQ118)-SUM($EA118:EO118)</f>
        <v>54572</v>
      </c>
      <c r="CX118" s="12">
        <f>SUM($AQ118:BR118)-SUM($EA118:EP118)</f>
        <v>52522</v>
      </c>
      <c r="CY118" s="12">
        <f>SUM($AQ118:BS118)-SUM($EA118:EQ118)</f>
        <v>50472</v>
      </c>
      <c r="CZ118" s="12">
        <f>SUM($AQ118:BT118)-SUM($EA118:ER118)</f>
        <v>48422</v>
      </c>
      <c r="DA118" s="12">
        <f>SUM($AQ118:BU118)-SUM($EA118:ES118)</f>
        <v>46372</v>
      </c>
      <c r="DB118" s="12">
        <f>SUM($AQ118:BV118)-SUM($EA118:ET118)</f>
        <v>44322</v>
      </c>
      <c r="DC118" s="12">
        <f>SUM($AQ118:BW118)-SUM($EA118:EU118)</f>
        <v>42272</v>
      </c>
      <c r="DD118" s="12">
        <f>SUM($AQ118:BX118)-SUM($EA118:EV118)</f>
        <v>40222</v>
      </c>
      <c r="DE118" s="12">
        <f>SUM($AQ118:BY118)-SUM($EA118:EW118)</f>
        <v>38212</v>
      </c>
      <c r="DF118" s="12">
        <f>SUM($AQ118:BZ118)-SUM($EA118:EX118)</f>
        <v>36212</v>
      </c>
      <c r="DG118" s="12">
        <f>SUM($AQ118:CA118)-SUM($EA118:EY118)</f>
        <v>34212</v>
      </c>
      <c r="DH118" s="12">
        <f>SUM($AQ118:CB118)-SUM($EA118:EZ118)</f>
        <v>32212</v>
      </c>
      <c r="DI118" s="12">
        <f>SUM($AQ118:CC118)-SUM($EA118:FA118)</f>
        <v>30212</v>
      </c>
      <c r="DJ118" s="12">
        <f>SUM($AQ118:CD118)-SUM($EA118:FB118)</f>
        <v>28212</v>
      </c>
      <c r="DK118" s="12">
        <f>SUM($AQ118:CE118)-SUM($EA118:FC118)</f>
        <v>26212</v>
      </c>
      <c r="DL118" s="12">
        <f>SUM($AQ118:CF118)-SUM($EA118:FD118)</f>
        <v>24212</v>
      </c>
      <c r="DM118" s="12">
        <f>SUM($AQ118:CG118)-SUM($EA118:FE118)</f>
        <v>22212</v>
      </c>
      <c r="DN118" s="12">
        <f>SUM($AQ118:CH118)-SUM($EA118:FF118)</f>
        <v>20212</v>
      </c>
      <c r="DO118" s="12">
        <f>SUM($AQ118:CI118)-SUM($EA118:FG118)</f>
        <v>18212</v>
      </c>
      <c r="DP118" s="12">
        <f>SUM($AQ118:CJ118)-SUM($EA118:FH118)</f>
        <v>16212</v>
      </c>
      <c r="DQ118" s="12">
        <f>SUM($AQ118:CK118)-SUM($EA118:FI118)</f>
        <v>14212</v>
      </c>
      <c r="DR118" s="12">
        <f>SUM($AQ118:CL118)-SUM($EA118:FJ118)</f>
        <v>12212</v>
      </c>
      <c r="DS118" s="12">
        <f>SUM($AQ118:CM118)-SUM($EA118:FK118)</f>
        <v>10212</v>
      </c>
      <c r="DT118" s="12">
        <f>SUM($AQ118:CN118)-SUM($EA118:FL118)</f>
        <v>8212</v>
      </c>
      <c r="DU118" s="12">
        <f>SUM($AQ118:CO118)-SUM($EA118:FM118)</f>
        <v>6212</v>
      </c>
      <c r="DV118" s="12">
        <f>SUM($AQ118:CP118)-SUM($EA118:FN118)</f>
        <v>69751</v>
      </c>
      <c r="DW118" s="12">
        <f>SUM($AQ118:CQ118)-SUM($EA118:FO118)</f>
        <v>134511</v>
      </c>
      <c r="DX118" s="13"/>
      <c r="DY118" s="13"/>
      <c r="DZ118" s="13"/>
      <c r="EA118" s="12"/>
      <c r="EB118" s="12"/>
      <c r="EC118" s="12"/>
      <c r="ED118" s="12"/>
      <c r="EE118" s="12"/>
      <c r="EF118" s="12"/>
      <c r="EG118" s="12"/>
      <c r="EH118" s="12">
        <f t="array" ref="EH118">SUMPRODUCT(TRANSPOSE(EH$9:EH$34),$K118:$AJ118)</f>
        <v>7063</v>
      </c>
      <c r="EI118" s="12">
        <f t="array" ref="EI118">SUMPRODUCT(TRANSPOSE(EI$9:EI$34),$K118:$AJ118)</f>
        <v>400</v>
      </c>
      <c r="EJ118" s="12">
        <f t="array" ref="EJ118">SUMPRODUCT(TRANSPOSE(EJ$9:EJ$34),$K118:$AJ118)</f>
        <v>1015</v>
      </c>
      <c r="EK118" s="12">
        <f t="array" ref="EK118">SUMPRODUCT(TRANSPOSE(EK$9:EK$34),$K118:$AJ118)</f>
        <v>1135</v>
      </c>
      <c r="EL118" s="12">
        <f t="array" ref="EL118">SUMPRODUCT(TRANSPOSE(EL$9:EL$34),$K118:$AJ118)</f>
        <v>2015</v>
      </c>
      <c r="EM118" s="12">
        <f t="array" ref="EM118">SUMPRODUCT(TRANSPOSE(EM$9:EM$34),$K118:$AJ118)</f>
        <v>2050</v>
      </c>
      <c r="EN118" s="12">
        <f t="array" ref="EN118">SUMPRODUCT(TRANSPOSE(EN$9:EN$34),$K118:$AJ118)</f>
        <v>2050</v>
      </c>
      <c r="EO118" s="12">
        <f t="array" ref="EO118">SUMPRODUCT(TRANSPOSE(EO$9:EO$34),$K118:$AJ118)</f>
        <v>2000</v>
      </c>
      <c r="EP118" s="12">
        <f t="array" ref="EP118">SUMPRODUCT(TRANSPOSE(EP$9:EP$34),$K118:$AJ118)</f>
        <v>2050</v>
      </c>
      <c r="EQ118" s="12">
        <f t="array" ref="EQ118">SUMPRODUCT(TRANSPOSE(EQ$9:EQ$34),$K118:$AJ118)</f>
        <v>2050</v>
      </c>
      <c r="ER118" s="12">
        <f t="array" ref="ER118">SUMPRODUCT(TRANSPOSE(ER$9:ER$34),$K118:$AJ118)</f>
        <v>2050</v>
      </c>
      <c r="ES118" s="12">
        <f t="array" ref="ES118">SUMPRODUCT(TRANSPOSE(ES$9:ES$34),$K118:$AJ118)</f>
        <v>2050</v>
      </c>
      <c r="ET118" s="12">
        <f t="array" ref="ET118">SUMPRODUCT(TRANSPOSE(ET$9:ET$34),$K118:$AJ118)</f>
        <v>2050</v>
      </c>
      <c r="EU118" s="12">
        <f t="array" ref="EU118">SUMPRODUCT(TRANSPOSE(EU$9:EU$34),$K118:$AJ118)</f>
        <v>2050</v>
      </c>
      <c r="EV118" s="12">
        <f t="array" ref="EV118">SUMPRODUCT(TRANSPOSE(EV$9:EV$34),$K118:$AJ118)</f>
        <v>2050</v>
      </c>
      <c r="EW118" s="12">
        <f t="array" ref="EW118">SUMPRODUCT(TRANSPOSE(EW$9:EW$34),$K118:$AJ118)</f>
        <v>2010</v>
      </c>
      <c r="EX118" s="12">
        <f t="array" ref="EX118">SUMPRODUCT(TRANSPOSE(EX$9:EX$34),$K118:$AJ118)</f>
        <v>2000</v>
      </c>
      <c r="EY118" s="12">
        <f t="array" ref="EY118">SUMPRODUCT(TRANSPOSE(EY$9:EY$34),$K118:$AJ118)</f>
        <v>2000</v>
      </c>
      <c r="EZ118" s="12">
        <f t="array" ref="EZ118">SUMPRODUCT(TRANSPOSE(EZ$9:EZ$34),$K118:$AJ118)</f>
        <v>2000</v>
      </c>
      <c r="FA118" s="12">
        <f t="array" ref="FA118">SUMPRODUCT(TRANSPOSE(FA$9:FA$34),$K118:$AJ118)</f>
        <v>2000</v>
      </c>
      <c r="FB118" s="12">
        <f t="array" ref="FB118">SUMPRODUCT(TRANSPOSE(FB$9:FB$34),$K118:$AJ118)</f>
        <v>2000</v>
      </c>
      <c r="FC118" s="12">
        <f t="array" ref="FC118">SUMPRODUCT(TRANSPOSE(FC$9:FC$34),$K118:$AJ118)</f>
        <v>2000</v>
      </c>
      <c r="FD118" s="12">
        <f t="array" ref="FD118">SUMPRODUCT(TRANSPOSE(FD$9:FD$34),$K118:$AJ118)</f>
        <v>2000</v>
      </c>
      <c r="FE118" s="12">
        <f t="array" ref="FE118">SUMPRODUCT(TRANSPOSE(FE$9:FE$34),$K118:$AJ118)</f>
        <v>2000</v>
      </c>
      <c r="FF118" s="12">
        <f t="array" ref="FF118">SUMPRODUCT(TRANSPOSE(FF$9:FF$34),$K118:$AJ118)</f>
        <v>2000</v>
      </c>
      <c r="FG118" s="12">
        <f t="array" ref="FG118">SUMPRODUCT(TRANSPOSE(FG$9:FG$34),$K118:$AJ118)</f>
        <v>2000</v>
      </c>
      <c r="FH118" s="12">
        <f t="array" ref="FH118">SUMPRODUCT(TRANSPOSE(FH$9:FH$34),$K118:$AJ118)</f>
        <v>2000</v>
      </c>
      <c r="FI118" s="12">
        <f t="array" ref="FI118">SUMPRODUCT(TRANSPOSE(FI$9:FI$34),$K118:$AJ118)</f>
        <v>2000</v>
      </c>
      <c r="FJ118" s="12">
        <f t="array" ref="FJ118">SUMPRODUCT(TRANSPOSE(FJ$9:FJ$34),$K118:$AJ118)</f>
        <v>2000</v>
      </c>
      <c r="FK118" s="12">
        <f t="array" ref="FK118">SUMPRODUCT(TRANSPOSE(FK$9:FK$34),$K118:$AJ118)</f>
        <v>2000</v>
      </c>
      <c r="FL118" s="12">
        <f t="array" ref="FL118">SUMPRODUCT(TRANSPOSE(FL$9:FL$34),$K118:$AJ118)</f>
        <v>2000</v>
      </c>
      <c r="FM118" s="12">
        <f t="array" ref="FM118">SUMPRODUCT(TRANSPOSE(FM$9:FM$34),$K118:$AJ118)</f>
        <v>2000</v>
      </c>
      <c r="FN118" s="12">
        <f t="array" ref="FN118">SUMPRODUCT(TRANSPOSE(FN$9:FN$34),$K118:$AJ118)</f>
        <v>1698</v>
      </c>
      <c r="FO118" s="12">
        <f t="array" ref="FO118">SUMPRODUCT(TRANSPOSE(FO$9:FO$34),$K118:$AJ118)</f>
        <v>77</v>
      </c>
    </row>
    <row r="119" spans="1:171" ht="14.25" x14ac:dyDescent="0.2">
      <c r="A119" s="13">
        <f t="shared" si="7"/>
        <v>84</v>
      </c>
      <c r="B119" s="13" t="s">
        <v>301</v>
      </c>
      <c r="C119" s="25" t="s">
        <v>302</v>
      </c>
      <c r="D119" s="13" t="s">
        <v>67</v>
      </c>
      <c r="E119" s="13">
        <v>417531784</v>
      </c>
      <c r="F119" s="26" t="s">
        <v>303</v>
      </c>
      <c r="G119" s="13">
        <v>400341717</v>
      </c>
      <c r="H119" s="13" t="s">
        <v>61</v>
      </c>
      <c r="I119" s="13">
        <v>2</v>
      </c>
      <c r="J119" s="13">
        <v>8</v>
      </c>
      <c r="K119" s="13">
        <v>0</v>
      </c>
      <c r="L119" s="13">
        <v>0</v>
      </c>
      <c r="M119" s="13">
        <v>0</v>
      </c>
      <c r="N119" s="13">
        <v>2</v>
      </c>
      <c r="O119" s="13">
        <v>0</v>
      </c>
      <c r="P119" s="13">
        <v>0</v>
      </c>
      <c r="Q119" s="13">
        <v>0</v>
      </c>
      <c r="R119" s="13">
        <v>0</v>
      </c>
      <c r="S119" s="13">
        <v>3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/>
      <c r="Z119" s="13">
        <v>3</v>
      </c>
      <c r="AA119" s="13">
        <v>0</v>
      </c>
      <c r="AB119" s="13">
        <v>0</v>
      </c>
      <c r="AC119" s="13">
        <v>0</v>
      </c>
      <c r="AD119" s="13">
        <v>3</v>
      </c>
      <c r="AE119" s="13">
        <v>3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f t="shared" si="8"/>
        <v>11</v>
      </c>
      <c r="AL119" s="23">
        <f t="shared" si="6"/>
        <v>177457</v>
      </c>
      <c r="AM119" s="13"/>
      <c r="AN119" s="13" t="s">
        <v>299</v>
      </c>
      <c r="AO119" s="7" t="s">
        <v>300</v>
      </c>
      <c r="AP119" s="38">
        <v>4.65E-2</v>
      </c>
      <c r="AQ119" s="12">
        <v>178810</v>
      </c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13"/>
      <c r="CG119" s="13"/>
      <c r="CH119" s="13"/>
      <c r="CI119" s="12"/>
      <c r="CJ119" s="12"/>
      <c r="CK119" s="12"/>
      <c r="CL119" s="12"/>
      <c r="CM119" s="12"/>
      <c r="CN119" s="12"/>
      <c r="CO119" s="12"/>
      <c r="CP119" s="12">
        <f>SUM($AQ119:BJ119)-SUM($EA119:EH119)</f>
        <v>161575</v>
      </c>
      <c r="CQ119" s="12">
        <f>SUM($AQ119:BK119)-SUM($EA119:EI119)</f>
        <v>160732</v>
      </c>
      <c r="CR119" s="12">
        <f>SUM($AQ119:BL119)-SUM($EA119:EJ119)</f>
        <v>158687</v>
      </c>
      <c r="CS119" s="12">
        <f>SUM($AQ119:BM119)-SUM($EA119:EK119)</f>
        <v>156282</v>
      </c>
      <c r="CT119" s="12">
        <f>SUM($AQ119:BN119)-SUM($EA119:EL119)</f>
        <v>151237</v>
      </c>
      <c r="CU119" s="12">
        <f>SUM($AQ119:BO119)-SUM($EA119:EM119)</f>
        <v>145087</v>
      </c>
      <c r="CV119" s="12">
        <f>SUM($AQ119:BP119)-SUM($EA119:EN119)</f>
        <v>139837</v>
      </c>
      <c r="CW119" s="12">
        <f>SUM($AQ119:BQ119)-SUM($EA119:EO119)</f>
        <v>134837</v>
      </c>
      <c r="CX119" s="12">
        <f>SUM($AQ119:BR119)-SUM($EA119:EP119)</f>
        <v>129687</v>
      </c>
      <c r="CY119" s="12">
        <f>SUM($AQ119:BS119)-SUM($EA119:EQ119)</f>
        <v>124537</v>
      </c>
      <c r="CZ119" s="12">
        <f>SUM($AQ119:BT119)-SUM($EA119:ER119)</f>
        <v>119387</v>
      </c>
      <c r="DA119" s="12">
        <f>SUM($AQ119:BU119)-SUM($EA119:ES119)</f>
        <v>114237</v>
      </c>
      <c r="DB119" s="12">
        <f>SUM($AQ119:BV119)-SUM($EA119:ET119)</f>
        <v>109087</v>
      </c>
      <c r="DC119" s="12">
        <f>SUM($AQ119:BW119)-SUM($EA119:EU119)</f>
        <v>103937</v>
      </c>
      <c r="DD119" s="12">
        <f>SUM($AQ119:BX119)-SUM($EA119:EV119)</f>
        <v>98787</v>
      </c>
      <c r="DE119" s="12">
        <f>SUM($AQ119:BY119)-SUM($EA119:EW119)</f>
        <v>93658</v>
      </c>
      <c r="DF119" s="12">
        <f>SUM($AQ119:BZ119)-SUM($EA119:EX119)</f>
        <v>88658</v>
      </c>
      <c r="DG119" s="12">
        <f>SUM($AQ119:CA119)-SUM($EA119:EY119)</f>
        <v>83658</v>
      </c>
      <c r="DH119" s="12">
        <f>SUM($AQ119:CB119)-SUM($EA119:EZ119)</f>
        <v>78658</v>
      </c>
      <c r="DI119" s="12">
        <f>SUM($AQ119:CC119)-SUM($EA119:FA119)</f>
        <v>73658</v>
      </c>
      <c r="DJ119" s="12">
        <f>SUM($AQ119:CD119)-SUM($EA119:FB119)</f>
        <v>68658</v>
      </c>
      <c r="DK119" s="12">
        <f>SUM($AQ119:CE119)-SUM($EA119:FC119)</f>
        <v>63658</v>
      </c>
      <c r="DL119" s="12">
        <f>SUM($AQ119:CF119)-SUM($EA119:FD119)</f>
        <v>58658</v>
      </c>
      <c r="DM119" s="12">
        <f>SUM($AQ119:CG119)-SUM($EA119:FE119)</f>
        <v>53658</v>
      </c>
      <c r="DN119" s="12">
        <f>SUM($AQ119:CH119)-SUM($EA119:FF119)</f>
        <v>48658</v>
      </c>
      <c r="DO119" s="12">
        <f>SUM($AQ119:CI119)-SUM($EA119:FG119)</f>
        <v>43658</v>
      </c>
      <c r="DP119" s="12">
        <f>SUM($AQ119:CJ119)-SUM($EA119:FH119)</f>
        <v>38658</v>
      </c>
      <c r="DQ119" s="12">
        <f>SUM($AQ119:CK119)-SUM($EA119:FI119)</f>
        <v>33658</v>
      </c>
      <c r="DR119" s="12">
        <f>SUM($AQ119:CL119)-SUM($EA119:FJ119)</f>
        <v>28658</v>
      </c>
      <c r="DS119" s="12">
        <f>SUM($AQ119:CM119)-SUM($EA119:FK119)</f>
        <v>23658</v>
      </c>
      <c r="DT119" s="12">
        <f>SUM($AQ119:CN119)-SUM($EA119:FL119)</f>
        <v>18658</v>
      </c>
      <c r="DU119" s="12">
        <f>SUM($AQ119:CO119)-SUM($EA119:FM119)</f>
        <v>13658</v>
      </c>
      <c r="DV119" s="12">
        <f>SUM($AQ119:CP119)-SUM($EA119:FN119)</f>
        <v>170782</v>
      </c>
      <c r="DW119" s="12">
        <f>SUM($AQ119:CQ119)-SUM($EA119:FO119)</f>
        <v>331360</v>
      </c>
      <c r="DX119" s="13"/>
      <c r="DY119" s="13"/>
      <c r="DZ119" s="13"/>
      <c r="EA119" s="12"/>
      <c r="EB119" s="12"/>
      <c r="EC119" s="12"/>
      <c r="ED119" s="12"/>
      <c r="EE119" s="12"/>
      <c r="EF119" s="12"/>
      <c r="EG119" s="12"/>
      <c r="EH119" s="12">
        <f t="array" ref="EH119">SUMPRODUCT(TRANSPOSE(EH$9:EH$34),$K119:$AJ119)</f>
        <v>17235</v>
      </c>
      <c r="EI119" s="12">
        <f t="array" ref="EI119">SUMPRODUCT(TRANSPOSE(EI$9:EI$34),$K119:$AJ119)</f>
        <v>843</v>
      </c>
      <c r="EJ119" s="12">
        <f t="array" ref="EJ119">SUMPRODUCT(TRANSPOSE(EJ$9:EJ$34),$K119:$AJ119)</f>
        <v>2045</v>
      </c>
      <c r="EK119" s="12">
        <f t="array" ref="EK119">SUMPRODUCT(TRANSPOSE(EK$9:EK$34),$K119:$AJ119)</f>
        <v>2405</v>
      </c>
      <c r="EL119" s="12">
        <f t="array" ref="EL119">SUMPRODUCT(TRANSPOSE(EL$9:EL$34),$K119:$AJ119)</f>
        <v>5045</v>
      </c>
      <c r="EM119" s="12">
        <f t="array" ref="EM119">SUMPRODUCT(TRANSPOSE(EM$9:EM$34),$K119:$AJ119)</f>
        <v>6150</v>
      </c>
      <c r="EN119" s="12">
        <f t="array" ref="EN119">SUMPRODUCT(TRANSPOSE(EN$9:EN$34),$K119:$AJ119)</f>
        <v>5250</v>
      </c>
      <c r="EO119" s="12">
        <f t="array" ref="EO119">SUMPRODUCT(TRANSPOSE(EO$9:EO$34),$K119:$AJ119)</f>
        <v>5000</v>
      </c>
      <c r="EP119" s="12">
        <f t="array" ref="EP119">SUMPRODUCT(TRANSPOSE(EP$9:EP$34),$K119:$AJ119)</f>
        <v>5150</v>
      </c>
      <c r="EQ119" s="12">
        <f t="array" ref="EQ119">SUMPRODUCT(TRANSPOSE(EQ$9:EQ$34),$K119:$AJ119)</f>
        <v>5150</v>
      </c>
      <c r="ER119" s="12">
        <f t="array" ref="ER119">SUMPRODUCT(TRANSPOSE(ER$9:ER$34),$K119:$AJ119)</f>
        <v>5150</v>
      </c>
      <c r="ES119" s="12">
        <f t="array" ref="ES119">SUMPRODUCT(TRANSPOSE(ES$9:ES$34),$K119:$AJ119)</f>
        <v>5150</v>
      </c>
      <c r="ET119" s="12">
        <f t="array" ref="ET119">SUMPRODUCT(TRANSPOSE(ET$9:ET$34),$K119:$AJ119)</f>
        <v>5150</v>
      </c>
      <c r="EU119" s="12">
        <f t="array" ref="EU119">SUMPRODUCT(TRANSPOSE(EU$9:EU$34),$K119:$AJ119)</f>
        <v>5150</v>
      </c>
      <c r="EV119" s="12">
        <f t="array" ref="EV119">SUMPRODUCT(TRANSPOSE(EV$9:EV$34),$K119:$AJ119)</f>
        <v>5150</v>
      </c>
      <c r="EW119" s="12">
        <f t="array" ref="EW119">SUMPRODUCT(TRANSPOSE(EW$9:EW$34),$K119:$AJ119)</f>
        <v>5129</v>
      </c>
      <c r="EX119" s="12">
        <f t="array" ref="EX119">SUMPRODUCT(TRANSPOSE(EX$9:EX$34),$K119:$AJ119)</f>
        <v>5000</v>
      </c>
      <c r="EY119" s="12">
        <f t="array" ref="EY119">SUMPRODUCT(TRANSPOSE(EY$9:EY$34),$K119:$AJ119)</f>
        <v>5000</v>
      </c>
      <c r="EZ119" s="12">
        <f t="array" ref="EZ119">SUMPRODUCT(TRANSPOSE(EZ$9:EZ$34),$K119:$AJ119)</f>
        <v>5000</v>
      </c>
      <c r="FA119" s="12">
        <f t="array" ref="FA119">SUMPRODUCT(TRANSPOSE(FA$9:FA$34),$K119:$AJ119)</f>
        <v>5000</v>
      </c>
      <c r="FB119" s="12">
        <f t="array" ref="FB119">SUMPRODUCT(TRANSPOSE(FB$9:FB$34),$K119:$AJ119)</f>
        <v>5000</v>
      </c>
      <c r="FC119" s="12">
        <f t="array" ref="FC119">SUMPRODUCT(TRANSPOSE(FC$9:FC$34),$K119:$AJ119)</f>
        <v>5000</v>
      </c>
      <c r="FD119" s="12">
        <f t="array" ref="FD119">SUMPRODUCT(TRANSPOSE(FD$9:FD$34),$K119:$AJ119)</f>
        <v>5000</v>
      </c>
      <c r="FE119" s="12">
        <f t="array" ref="FE119">SUMPRODUCT(TRANSPOSE(FE$9:FE$34),$K119:$AJ119)</f>
        <v>5000</v>
      </c>
      <c r="FF119" s="12">
        <f t="array" ref="FF119">SUMPRODUCT(TRANSPOSE(FF$9:FF$34),$K119:$AJ119)</f>
        <v>5000</v>
      </c>
      <c r="FG119" s="12">
        <f t="array" ref="FG119">SUMPRODUCT(TRANSPOSE(FG$9:FG$34),$K119:$AJ119)</f>
        <v>5000</v>
      </c>
      <c r="FH119" s="12">
        <f t="array" ref="FH119">SUMPRODUCT(TRANSPOSE(FH$9:FH$34),$K119:$AJ119)</f>
        <v>5000</v>
      </c>
      <c r="FI119" s="12">
        <f t="array" ref="FI119">SUMPRODUCT(TRANSPOSE(FI$9:FI$34),$K119:$AJ119)</f>
        <v>5000</v>
      </c>
      <c r="FJ119" s="12">
        <f t="array" ref="FJ119">SUMPRODUCT(TRANSPOSE(FJ$9:FJ$34),$K119:$AJ119)</f>
        <v>5000</v>
      </c>
      <c r="FK119" s="12">
        <f t="array" ref="FK119">SUMPRODUCT(TRANSPOSE(FK$9:FK$34),$K119:$AJ119)</f>
        <v>5000</v>
      </c>
      <c r="FL119" s="12">
        <f t="array" ref="FL119">SUMPRODUCT(TRANSPOSE(FL$9:FL$34),$K119:$AJ119)</f>
        <v>5000</v>
      </c>
      <c r="FM119" s="12">
        <f t="array" ref="FM119">SUMPRODUCT(TRANSPOSE(FM$9:FM$34),$K119:$AJ119)</f>
        <v>5000</v>
      </c>
      <c r="FN119" s="12">
        <f t="array" ref="FN119">SUMPRODUCT(TRANSPOSE(FN$9:FN$34),$K119:$AJ119)</f>
        <v>4451</v>
      </c>
      <c r="FO119" s="12">
        <f t="array" ref="FO119">SUMPRODUCT(TRANSPOSE(FO$9:FO$34),$K119:$AJ119)</f>
        <v>154</v>
      </c>
    </row>
    <row r="120" spans="1:171" ht="14.25" x14ac:dyDescent="0.2">
      <c r="A120" s="13">
        <f t="shared" si="7"/>
        <v>85</v>
      </c>
      <c r="B120" s="13" t="s">
        <v>304</v>
      </c>
      <c r="C120" s="25" t="s">
        <v>305</v>
      </c>
      <c r="D120" s="13" t="s">
        <v>67</v>
      </c>
      <c r="E120" s="13">
        <v>417531783</v>
      </c>
      <c r="F120" s="26" t="s">
        <v>306</v>
      </c>
      <c r="G120" s="13">
        <v>400481171</v>
      </c>
      <c r="H120" s="13" t="s">
        <v>61</v>
      </c>
      <c r="I120" s="13">
        <v>2</v>
      </c>
      <c r="J120" s="13">
        <v>10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5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/>
      <c r="Z120" s="13">
        <v>5</v>
      </c>
      <c r="AA120" s="13">
        <v>0</v>
      </c>
      <c r="AB120" s="13">
        <v>0</v>
      </c>
      <c r="AC120" s="13">
        <v>0</v>
      </c>
      <c r="AD120" s="13">
        <v>5</v>
      </c>
      <c r="AE120" s="13">
        <v>5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f t="shared" si="8"/>
        <v>15</v>
      </c>
      <c r="AL120" s="23">
        <f t="shared" si="6"/>
        <v>178325</v>
      </c>
      <c r="AM120" s="13"/>
      <c r="AN120" s="13" t="s">
        <v>299</v>
      </c>
      <c r="AO120" s="7" t="s">
        <v>307</v>
      </c>
      <c r="AP120" s="37">
        <v>8.4000000000000005E-2</v>
      </c>
      <c r="AQ120" s="12">
        <v>92000</v>
      </c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13"/>
      <c r="CG120" s="13"/>
      <c r="CH120" s="13"/>
      <c r="CI120" s="12"/>
      <c r="CJ120" s="12"/>
      <c r="CK120" s="12"/>
      <c r="CL120" s="12"/>
      <c r="CM120" s="12"/>
      <c r="CN120" s="12"/>
      <c r="CO120" s="12"/>
      <c r="CP120" s="12">
        <f>SUM($AQ120:BJ120)-SUM($EA120:EH120)</f>
        <v>76455</v>
      </c>
      <c r="CQ120" s="12">
        <f>SUM($AQ120:BK120)-SUM($EA120:EI120)</f>
        <v>75050</v>
      </c>
      <c r="CR120" s="12">
        <f>SUM($AQ120:BL120)-SUM($EA120:EJ120)</f>
        <v>74975</v>
      </c>
      <c r="CS120" s="12">
        <f>SUM($AQ120:BM120)-SUM($EA120:EK120)</f>
        <v>74300</v>
      </c>
      <c r="CT120" s="12">
        <f>SUM($AQ120:BN120)-SUM($EA120:EL120)</f>
        <v>69225</v>
      </c>
      <c r="CU120" s="12">
        <f>SUM($AQ120:BO120)-SUM($EA120:EM120)</f>
        <v>58975</v>
      </c>
      <c r="CV120" s="12">
        <f>SUM($AQ120:BP120)-SUM($EA120:EN120)</f>
        <v>53225</v>
      </c>
      <c r="CW120" s="12">
        <f>SUM($AQ120:BQ120)-SUM($EA120:EO120)</f>
        <v>48225</v>
      </c>
      <c r="CX120" s="12">
        <f>SUM($AQ120:BR120)-SUM($EA120:EP120)</f>
        <v>42975</v>
      </c>
      <c r="CY120" s="12">
        <f>SUM($AQ120:BS120)-SUM($EA120:EQ120)</f>
        <v>37725</v>
      </c>
      <c r="CZ120" s="12">
        <f>SUM($AQ120:BT120)-SUM($EA120:ER120)</f>
        <v>32475</v>
      </c>
      <c r="DA120" s="12">
        <f>SUM($AQ120:BU120)-SUM($EA120:ES120)</f>
        <v>27225</v>
      </c>
      <c r="DB120" s="12">
        <f>SUM($AQ120:BV120)-SUM($EA120:ET120)</f>
        <v>21975</v>
      </c>
      <c r="DC120" s="12">
        <f>SUM($AQ120:BW120)-SUM($EA120:EU120)</f>
        <v>16725</v>
      </c>
      <c r="DD120" s="12">
        <f>SUM($AQ120:BX120)-SUM($EA120:EV120)</f>
        <v>11475</v>
      </c>
      <c r="DE120" s="12">
        <f>SUM($AQ120:BY120)-SUM($EA120:EW120)</f>
        <v>6260</v>
      </c>
      <c r="DF120" s="12">
        <f>SUM($AQ120:BZ120)-SUM($EA120:EX120)</f>
        <v>1260</v>
      </c>
      <c r="DG120" s="12">
        <f>SUM($AQ120:CA120)-SUM($EA120:EY120)</f>
        <v>-3740</v>
      </c>
      <c r="DH120" s="12">
        <f>SUM($AQ120:CB120)-SUM($EA120:EZ120)</f>
        <v>-8740</v>
      </c>
      <c r="DI120" s="12">
        <f>SUM($AQ120:CC120)-SUM($EA120:FA120)</f>
        <v>-13740</v>
      </c>
      <c r="DJ120" s="12">
        <f>SUM($AQ120:CD120)-SUM($EA120:FB120)</f>
        <v>-18740</v>
      </c>
      <c r="DK120" s="12">
        <f>SUM($AQ120:CE120)-SUM($EA120:FC120)</f>
        <v>-23740</v>
      </c>
      <c r="DL120" s="12">
        <f>SUM($AQ120:CF120)-SUM($EA120:FD120)</f>
        <v>-28740</v>
      </c>
      <c r="DM120" s="12">
        <f>SUM($AQ120:CG120)-SUM($EA120:FE120)</f>
        <v>-33740</v>
      </c>
      <c r="DN120" s="12">
        <f>SUM($AQ120:CH120)-SUM($EA120:FF120)</f>
        <v>-38740</v>
      </c>
      <c r="DO120" s="12">
        <f>SUM($AQ120:CI120)-SUM($EA120:FG120)</f>
        <v>-43740</v>
      </c>
      <c r="DP120" s="12">
        <f>SUM($AQ120:CJ120)-SUM($EA120:FH120)</f>
        <v>-48740</v>
      </c>
      <c r="DQ120" s="12">
        <f>SUM($AQ120:CK120)-SUM($EA120:FI120)</f>
        <v>-53740</v>
      </c>
      <c r="DR120" s="12">
        <f>SUM($AQ120:CL120)-SUM($EA120:FJ120)</f>
        <v>-58740</v>
      </c>
      <c r="DS120" s="12">
        <f>SUM($AQ120:CM120)-SUM($EA120:FK120)</f>
        <v>-63740</v>
      </c>
      <c r="DT120" s="12">
        <f>SUM($AQ120:CN120)-SUM($EA120:FL120)</f>
        <v>-68740</v>
      </c>
      <c r="DU120" s="12">
        <f>SUM($AQ120:CO120)-SUM($EA120:FM120)</f>
        <v>-73740</v>
      </c>
      <c r="DV120" s="12">
        <f>SUM($AQ120:CP120)-SUM($EA120:FN120)</f>
        <v>-1370</v>
      </c>
      <c r="DW120" s="12">
        <f>SUM($AQ120:CQ120)-SUM($EA120:FO120)</f>
        <v>73680</v>
      </c>
      <c r="DX120" s="13"/>
      <c r="DY120" s="13"/>
      <c r="DZ120" s="13"/>
      <c r="EA120" s="12"/>
      <c r="EB120" s="12"/>
      <c r="EC120" s="12"/>
      <c r="ED120" s="12"/>
      <c r="EE120" s="12"/>
      <c r="EF120" s="12"/>
      <c r="EG120" s="12"/>
      <c r="EH120" s="12">
        <f t="array" ref="EH120">SUMPRODUCT(TRANSPOSE(EH$9:EH$34),$K120:$AJ120)</f>
        <v>15545</v>
      </c>
      <c r="EI120" s="12">
        <f t="array" ref="EI120">SUMPRODUCT(TRANSPOSE(EI$9:EI$34),$K120:$AJ120)</f>
        <v>1405</v>
      </c>
      <c r="EJ120" s="12">
        <f t="array" ref="EJ120">SUMPRODUCT(TRANSPOSE(EJ$9:EJ$34),$K120:$AJ120)</f>
        <v>75</v>
      </c>
      <c r="EK120" s="12">
        <f t="array" ref="EK120">SUMPRODUCT(TRANSPOSE(EK$9:EK$34),$K120:$AJ120)</f>
        <v>675</v>
      </c>
      <c r="EL120" s="12">
        <f t="array" ref="EL120">SUMPRODUCT(TRANSPOSE(EL$9:EL$34),$K120:$AJ120)</f>
        <v>5075</v>
      </c>
      <c r="EM120" s="12">
        <f t="array" ref="EM120">SUMPRODUCT(TRANSPOSE(EM$9:EM$34),$K120:$AJ120)</f>
        <v>10250</v>
      </c>
      <c r="EN120" s="12">
        <f t="array" ref="EN120">SUMPRODUCT(TRANSPOSE(EN$9:EN$34),$K120:$AJ120)</f>
        <v>5750</v>
      </c>
      <c r="EO120" s="12">
        <f t="array" ref="EO120">SUMPRODUCT(TRANSPOSE(EO$9:EO$34),$K120:$AJ120)</f>
        <v>5000</v>
      </c>
      <c r="EP120" s="12">
        <f t="array" ref="EP120">SUMPRODUCT(TRANSPOSE(EP$9:EP$34),$K120:$AJ120)</f>
        <v>5250</v>
      </c>
      <c r="EQ120" s="12">
        <f t="array" ref="EQ120">SUMPRODUCT(TRANSPOSE(EQ$9:EQ$34),$K120:$AJ120)</f>
        <v>5250</v>
      </c>
      <c r="ER120" s="12">
        <f t="array" ref="ER120">SUMPRODUCT(TRANSPOSE(ER$9:ER$34),$K120:$AJ120)</f>
        <v>5250</v>
      </c>
      <c r="ES120" s="12">
        <f t="array" ref="ES120">SUMPRODUCT(TRANSPOSE(ES$9:ES$34),$K120:$AJ120)</f>
        <v>5250</v>
      </c>
      <c r="ET120" s="12">
        <f t="array" ref="ET120">SUMPRODUCT(TRANSPOSE(ET$9:ET$34),$K120:$AJ120)</f>
        <v>5250</v>
      </c>
      <c r="EU120" s="12">
        <f t="array" ref="EU120">SUMPRODUCT(TRANSPOSE(EU$9:EU$34),$K120:$AJ120)</f>
        <v>5250</v>
      </c>
      <c r="EV120" s="12">
        <f t="array" ref="EV120">SUMPRODUCT(TRANSPOSE(EV$9:EV$34),$K120:$AJ120)</f>
        <v>5250</v>
      </c>
      <c r="EW120" s="12">
        <f t="array" ref="EW120">SUMPRODUCT(TRANSPOSE(EW$9:EW$34),$K120:$AJ120)</f>
        <v>5215</v>
      </c>
      <c r="EX120" s="12">
        <f t="array" ref="EX120">SUMPRODUCT(TRANSPOSE(EX$9:EX$34),$K120:$AJ120)</f>
        <v>5000</v>
      </c>
      <c r="EY120" s="12">
        <f t="array" ref="EY120">SUMPRODUCT(TRANSPOSE(EY$9:EY$34),$K120:$AJ120)</f>
        <v>5000</v>
      </c>
      <c r="EZ120" s="12">
        <f t="array" ref="EZ120">SUMPRODUCT(TRANSPOSE(EZ$9:EZ$34),$K120:$AJ120)</f>
        <v>5000</v>
      </c>
      <c r="FA120" s="12">
        <f t="array" ref="FA120">SUMPRODUCT(TRANSPOSE(FA$9:FA$34),$K120:$AJ120)</f>
        <v>5000</v>
      </c>
      <c r="FB120" s="12">
        <f t="array" ref="FB120">SUMPRODUCT(TRANSPOSE(FB$9:FB$34),$K120:$AJ120)</f>
        <v>5000</v>
      </c>
      <c r="FC120" s="12">
        <f t="array" ref="FC120">SUMPRODUCT(TRANSPOSE(FC$9:FC$34),$K120:$AJ120)</f>
        <v>5000</v>
      </c>
      <c r="FD120" s="12">
        <f t="array" ref="FD120">SUMPRODUCT(TRANSPOSE(FD$9:FD$34),$K120:$AJ120)</f>
        <v>5000</v>
      </c>
      <c r="FE120" s="12">
        <f t="array" ref="FE120">SUMPRODUCT(TRANSPOSE(FE$9:FE$34),$K120:$AJ120)</f>
        <v>5000</v>
      </c>
      <c r="FF120" s="12">
        <f t="array" ref="FF120">SUMPRODUCT(TRANSPOSE(FF$9:FF$34),$K120:$AJ120)</f>
        <v>5000</v>
      </c>
      <c r="FG120" s="12">
        <f t="array" ref="FG120">SUMPRODUCT(TRANSPOSE(FG$9:FG$34),$K120:$AJ120)</f>
        <v>5000</v>
      </c>
      <c r="FH120" s="12">
        <f t="array" ref="FH120">SUMPRODUCT(TRANSPOSE(FH$9:FH$34),$K120:$AJ120)</f>
        <v>5000</v>
      </c>
      <c r="FI120" s="12">
        <f t="array" ref="FI120">SUMPRODUCT(TRANSPOSE(FI$9:FI$34),$K120:$AJ120)</f>
        <v>5000</v>
      </c>
      <c r="FJ120" s="12">
        <f t="array" ref="FJ120">SUMPRODUCT(TRANSPOSE(FJ$9:FJ$34),$K120:$AJ120)</f>
        <v>5000</v>
      </c>
      <c r="FK120" s="12">
        <f t="array" ref="FK120">SUMPRODUCT(TRANSPOSE(FK$9:FK$34),$K120:$AJ120)</f>
        <v>5000</v>
      </c>
      <c r="FL120" s="12">
        <f t="array" ref="FL120">SUMPRODUCT(TRANSPOSE(FL$9:FL$34),$K120:$AJ120)</f>
        <v>5000</v>
      </c>
      <c r="FM120" s="12">
        <f t="array" ref="FM120">SUMPRODUCT(TRANSPOSE(FM$9:FM$34),$K120:$AJ120)</f>
        <v>5000</v>
      </c>
      <c r="FN120" s="12">
        <f t="array" ref="FN120">SUMPRODUCT(TRANSPOSE(FN$9:FN$34),$K120:$AJ120)</f>
        <v>4085</v>
      </c>
      <c r="FO120" s="12">
        <f t="array" ref="FO120">SUMPRODUCT(TRANSPOSE(FO$9:FO$34),$K120:$AJ120)</f>
        <v>0</v>
      </c>
    </row>
    <row r="121" spans="1:171" ht="14.25" x14ac:dyDescent="0.2">
      <c r="A121" s="13">
        <f t="shared" si="7"/>
        <v>86</v>
      </c>
      <c r="B121" s="13" t="s">
        <v>308</v>
      </c>
      <c r="C121" s="25" t="s">
        <v>309</v>
      </c>
      <c r="D121" s="13" t="s">
        <v>67</v>
      </c>
      <c r="E121" s="13">
        <v>402939368</v>
      </c>
      <c r="F121" s="26" t="s">
        <v>310</v>
      </c>
      <c r="G121" s="13"/>
      <c r="H121" s="13" t="s">
        <v>61</v>
      </c>
      <c r="I121" s="13">
        <v>2</v>
      </c>
      <c r="J121" s="13">
        <v>2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/>
      <c r="Z121" s="13"/>
      <c r="AA121" s="13">
        <v>0</v>
      </c>
      <c r="AB121" s="13">
        <v>2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f t="shared" si="8"/>
        <v>2</v>
      </c>
      <c r="AL121" s="23">
        <f t="shared" si="6"/>
        <v>1270</v>
      </c>
      <c r="AM121" s="13"/>
      <c r="AN121" s="13" t="s">
        <v>172</v>
      </c>
      <c r="AO121" s="7" t="s">
        <v>1</v>
      </c>
      <c r="AP121" s="38">
        <v>23</v>
      </c>
      <c r="AQ121" s="12">
        <v>1300</v>
      </c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13"/>
      <c r="CG121" s="13"/>
      <c r="CH121" s="13"/>
      <c r="CI121" s="12"/>
      <c r="CJ121" s="12"/>
      <c r="CK121" s="12"/>
      <c r="CL121" s="12"/>
      <c r="CM121" s="12"/>
      <c r="CN121" s="12"/>
      <c r="CO121" s="12"/>
      <c r="CP121" s="12">
        <f>SUM($AQ121:BJ121)-SUM($EA121:EH121)</f>
        <v>1280</v>
      </c>
      <c r="CQ121" s="12">
        <f>SUM($AQ121:BK121)-SUM($EA121:EI121)</f>
        <v>1280</v>
      </c>
      <c r="CR121" s="12">
        <f>SUM($AQ121:BL121)-SUM($EA121:EJ121)</f>
        <v>1250</v>
      </c>
      <c r="CS121" s="12">
        <f>SUM($AQ121:BM121)-SUM($EA121:EK121)</f>
        <v>1180</v>
      </c>
      <c r="CT121" s="12">
        <f>SUM($AQ121:BN121)-SUM($EA121:EL121)</f>
        <v>1150</v>
      </c>
      <c r="CU121" s="12">
        <f>SUM($AQ121:BO121)-SUM($EA121:EM121)</f>
        <v>1050</v>
      </c>
      <c r="CV121" s="12">
        <f>SUM($AQ121:BP121)-SUM($EA121:EN121)</f>
        <v>950</v>
      </c>
      <c r="CW121" s="12">
        <f>SUM($AQ121:BQ121)-SUM($EA121:EO121)</f>
        <v>950</v>
      </c>
      <c r="CX121" s="12">
        <f>SUM($AQ121:BR121)-SUM($EA121:EP121)</f>
        <v>850</v>
      </c>
      <c r="CY121" s="12">
        <f>SUM($AQ121:BS121)-SUM($EA121:EQ121)</f>
        <v>750</v>
      </c>
      <c r="CZ121" s="12">
        <f>SUM($AQ121:BT121)-SUM($EA121:ER121)</f>
        <v>650</v>
      </c>
      <c r="DA121" s="12">
        <f>SUM($AQ121:BU121)-SUM($EA121:ES121)</f>
        <v>550</v>
      </c>
      <c r="DB121" s="12">
        <f>SUM($AQ121:BV121)-SUM($EA121:ET121)</f>
        <v>450</v>
      </c>
      <c r="DC121" s="12">
        <f>SUM($AQ121:BW121)-SUM($EA121:EU121)</f>
        <v>350</v>
      </c>
      <c r="DD121" s="12">
        <f>SUM($AQ121:BX121)-SUM($EA121:EV121)</f>
        <v>250</v>
      </c>
      <c r="DE121" s="12">
        <f>SUM($AQ121:BY121)-SUM($EA121:EW121)</f>
        <v>230</v>
      </c>
      <c r="DF121" s="12">
        <f>SUM($AQ121:BZ121)-SUM($EA121:EX121)</f>
        <v>230</v>
      </c>
      <c r="DG121" s="12">
        <f>SUM($AQ121:CA121)-SUM($EA121:EY121)</f>
        <v>230</v>
      </c>
      <c r="DH121" s="12">
        <f>SUM($AQ121:CB121)-SUM($EA121:EZ121)</f>
        <v>230</v>
      </c>
      <c r="DI121" s="12">
        <f>SUM($AQ121:CC121)-SUM($EA121:FA121)</f>
        <v>230</v>
      </c>
      <c r="DJ121" s="12">
        <f>SUM($AQ121:CD121)-SUM($EA121:FB121)</f>
        <v>230</v>
      </c>
      <c r="DK121" s="12">
        <f>SUM($AQ121:CE121)-SUM($EA121:FC121)</f>
        <v>230</v>
      </c>
      <c r="DL121" s="12">
        <f>SUM($AQ121:CF121)-SUM($EA121:FD121)</f>
        <v>230</v>
      </c>
      <c r="DM121" s="12">
        <f>SUM($AQ121:CG121)-SUM($EA121:FE121)</f>
        <v>230</v>
      </c>
      <c r="DN121" s="12">
        <f>SUM($AQ121:CH121)-SUM($EA121:FF121)</f>
        <v>230</v>
      </c>
      <c r="DO121" s="12">
        <f>SUM($AQ121:CI121)-SUM($EA121:FG121)</f>
        <v>230</v>
      </c>
      <c r="DP121" s="12">
        <f>SUM($AQ121:CJ121)-SUM($EA121:FH121)</f>
        <v>230</v>
      </c>
      <c r="DQ121" s="12">
        <f>SUM($AQ121:CK121)-SUM($EA121:FI121)</f>
        <v>230</v>
      </c>
      <c r="DR121" s="12">
        <f>SUM($AQ121:CL121)-SUM($EA121:FJ121)</f>
        <v>230</v>
      </c>
      <c r="DS121" s="12">
        <f>SUM($AQ121:CM121)-SUM($EA121:FK121)</f>
        <v>230</v>
      </c>
      <c r="DT121" s="12">
        <f>SUM($AQ121:CN121)-SUM($EA121:FL121)</f>
        <v>230</v>
      </c>
      <c r="DU121" s="12">
        <f>SUM($AQ121:CO121)-SUM($EA121:FM121)</f>
        <v>230</v>
      </c>
      <c r="DV121" s="12">
        <f>SUM($AQ121:CP121)-SUM($EA121:FN121)</f>
        <v>1510</v>
      </c>
      <c r="DW121" s="12">
        <f>SUM($AQ121:CQ121)-SUM($EA121:FO121)</f>
        <v>2790</v>
      </c>
      <c r="DX121" s="13"/>
      <c r="DY121" s="13"/>
      <c r="DZ121" s="13"/>
      <c r="EA121" s="12"/>
      <c r="EB121" s="12"/>
      <c r="EC121" s="12"/>
      <c r="ED121" s="12"/>
      <c r="EE121" s="12"/>
      <c r="EF121" s="12"/>
      <c r="EG121" s="12"/>
      <c r="EH121" s="12">
        <f t="array" ref="EH121">SUMPRODUCT(TRANSPOSE(EH$9:EH$34),$K121:$AJ121)</f>
        <v>20</v>
      </c>
      <c r="EI121" s="12">
        <f t="array" ref="EI121">SUMPRODUCT(TRANSPOSE(EI$9:EI$34),$K121:$AJ121)</f>
        <v>0</v>
      </c>
      <c r="EJ121" s="12">
        <f t="array" ref="EJ121">SUMPRODUCT(TRANSPOSE(EJ$9:EJ$34),$K121:$AJ121)</f>
        <v>30</v>
      </c>
      <c r="EK121" s="12">
        <f t="array" ref="EK121">SUMPRODUCT(TRANSPOSE(EK$9:EK$34),$K121:$AJ121)</f>
        <v>70</v>
      </c>
      <c r="EL121" s="12">
        <f t="array" ref="EL121">SUMPRODUCT(TRANSPOSE(EL$9:EL$34),$K121:$AJ121)</f>
        <v>30</v>
      </c>
      <c r="EM121" s="12">
        <f t="array" ref="EM121">SUMPRODUCT(TRANSPOSE(EM$9:EM$34),$K121:$AJ121)</f>
        <v>100</v>
      </c>
      <c r="EN121" s="12">
        <f t="array" ref="EN121">SUMPRODUCT(TRANSPOSE(EN$9:EN$34),$K121:$AJ121)</f>
        <v>100</v>
      </c>
      <c r="EO121" s="12">
        <f t="array" ref="EO121">SUMPRODUCT(TRANSPOSE(EO$9:EO$34),$K121:$AJ121)</f>
        <v>0</v>
      </c>
      <c r="EP121" s="12">
        <f t="array" ref="EP121">SUMPRODUCT(TRANSPOSE(EP$9:EP$34),$K121:$AJ121)</f>
        <v>100</v>
      </c>
      <c r="EQ121" s="12">
        <f t="array" ref="EQ121">SUMPRODUCT(TRANSPOSE(EQ$9:EQ$34),$K121:$AJ121)</f>
        <v>100</v>
      </c>
      <c r="ER121" s="12">
        <f t="array" ref="ER121">SUMPRODUCT(TRANSPOSE(ER$9:ER$34),$K121:$AJ121)</f>
        <v>100</v>
      </c>
      <c r="ES121" s="12">
        <f t="array" ref="ES121">SUMPRODUCT(TRANSPOSE(ES$9:ES$34),$K121:$AJ121)</f>
        <v>100</v>
      </c>
      <c r="ET121" s="12">
        <f t="array" ref="ET121">SUMPRODUCT(TRANSPOSE(ET$9:ET$34),$K121:$AJ121)</f>
        <v>100</v>
      </c>
      <c r="EU121" s="12">
        <f t="array" ref="EU121">SUMPRODUCT(TRANSPOSE(EU$9:EU$34),$K121:$AJ121)</f>
        <v>100</v>
      </c>
      <c r="EV121" s="12">
        <f t="array" ref="EV121">SUMPRODUCT(TRANSPOSE(EV$9:EV$34),$K121:$AJ121)</f>
        <v>100</v>
      </c>
      <c r="EW121" s="12">
        <f t="array" ref="EW121">SUMPRODUCT(TRANSPOSE(EW$9:EW$34),$K121:$AJ121)</f>
        <v>20</v>
      </c>
      <c r="EX121" s="12">
        <f t="array" ref="EX121">SUMPRODUCT(TRANSPOSE(EX$9:EX$34),$K121:$AJ121)</f>
        <v>0</v>
      </c>
      <c r="EY121" s="12">
        <f t="array" ref="EY121">SUMPRODUCT(TRANSPOSE(EY$9:EY$34),$K121:$AJ121)</f>
        <v>0</v>
      </c>
      <c r="EZ121" s="12">
        <f t="array" ref="EZ121">SUMPRODUCT(TRANSPOSE(EZ$9:EZ$34),$K121:$AJ121)</f>
        <v>0</v>
      </c>
      <c r="FA121" s="12">
        <f t="array" ref="FA121">SUMPRODUCT(TRANSPOSE(FA$9:FA$34),$K121:$AJ121)</f>
        <v>0</v>
      </c>
      <c r="FB121" s="12">
        <f t="array" ref="FB121">SUMPRODUCT(TRANSPOSE(FB$9:FB$34),$K121:$AJ121)</f>
        <v>0</v>
      </c>
      <c r="FC121" s="12">
        <f t="array" ref="FC121">SUMPRODUCT(TRANSPOSE(FC$9:FC$34),$K121:$AJ121)</f>
        <v>0</v>
      </c>
      <c r="FD121" s="12">
        <f t="array" ref="FD121">SUMPRODUCT(TRANSPOSE(FD$9:FD$34),$K121:$AJ121)</f>
        <v>0</v>
      </c>
      <c r="FE121" s="12">
        <f t="array" ref="FE121">SUMPRODUCT(TRANSPOSE(FE$9:FE$34),$K121:$AJ121)</f>
        <v>0</v>
      </c>
      <c r="FF121" s="12">
        <f t="array" ref="FF121">SUMPRODUCT(TRANSPOSE(FF$9:FF$34),$K121:$AJ121)</f>
        <v>0</v>
      </c>
      <c r="FG121" s="12">
        <f t="array" ref="FG121">SUMPRODUCT(TRANSPOSE(FG$9:FG$34),$K121:$AJ121)</f>
        <v>0</v>
      </c>
      <c r="FH121" s="12">
        <f t="array" ref="FH121">SUMPRODUCT(TRANSPOSE(FH$9:FH$34),$K121:$AJ121)</f>
        <v>0</v>
      </c>
      <c r="FI121" s="12">
        <f t="array" ref="FI121">SUMPRODUCT(TRANSPOSE(FI$9:FI$34),$K121:$AJ121)</f>
        <v>0</v>
      </c>
      <c r="FJ121" s="12">
        <f t="array" ref="FJ121">SUMPRODUCT(TRANSPOSE(FJ$9:FJ$34),$K121:$AJ121)</f>
        <v>0</v>
      </c>
      <c r="FK121" s="12">
        <f t="array" ref="FK121">SUMPRODUCT(TRANSPOSE(FK$9:FK$34),$K121:$AJ121)</f>
        <v>0</v>
      </c>
      <c r="FL121" s="12">
        <f t="array" ref="FL121">SUMPRODUCT(TRANSPOSE(FL$9:FL$34),$K121:$AJ121)</f>
        <v>0</v>
      </c>
      <c r="FM121" s="12">
        <f t="array" ref="FM121">SUMPRODUCT(TRANSPOSE(FM$9:FM$34),$K121:$AJ121)</f>
        <v>0</v>
      </c>
      <c r="FN121" s="12">
        <f t="array" ref="FN121">SUMPRODUCT(TRANSPOSE(FN$9:FN$34),$K121:$AJ121)</f>
        <v>0</v>
      </c>
      <c r="FO121" s="12">
        <f t="array" ref="FO121">SUMPRODUCT(TRANSPOSE(FO$9:FO$34),$K121:$AJ121)</f>
        <v>0</v>
      </c>
    </row>
    <row r="122" spans="1:171" ht="14.25" x14ac:dyDescent="0.2">
      <c r="A122" s="13">
        <f t="shared" si="7"/>
        <v>87</v>
      </c>
      <c r="B122" s="13" t="s">
        <v>311</v>
      </c>
      <c r="C122" s="25" t="s">
        <v>312</v>
      </c>
      <c r="D122" s="13" t="s">
        <v>67</v>
      </c>
      <c r="E122" s="13">
        <v>400306993</v>
      </c>
      <c r="F122" s="26" t="s">
        <v>313</v>
      </c>
      <c r="G122" s="13"/>
      <c r="H122" s="13" t="s">
        <v>61</v>
      </c>
      <c r="I122" s="13">
        <v>2</v>
      </c>
      <c r="J122" s="13">
        <v>6</v>
      </c>
      <c r="K122" s="13">
        <v>0</v>
      </c>
      <c r="L122" s="13">
        <v>0</v>
      </c>
      <c r="M122" s="13">
        <v>0</v>
      </c>
      <c r="N122" s="13">
        <v>2</v>
      </c>
      <c r="O122" s="13">
        <v>0</v>
      </c>
      <c r="P122" s="13">
        <v>0</v>
      </c>
      <c r="Q122" s="13">
        <v>0</v>
      </c>
      <c r="R122" s="13">
        <v>0</v>
      </c>
      <c r="S122" s="13">
        <v>2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/>
      <c r="Z122" s="13">
        <v>2</v>
      </c>
      <c r="AA122" s="13">
        <v>0</v>
      </c>
      <c r="AB122" s="13">
        <v>0</v>
      </c>
      <c r="AC122" s="13">
        <v>0</v>
      </c>
      <c r="AD122" s="13">
        <v>2</v>
      </c>
      <c r="AE122" s="13">
        <v>2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f t="shared" si="8"/>
        <v>8</v>
      </c>
      <c r="AL122" s="23">
        <f t="shared" si="6"/>
        <v>141792</v>
      </c>
      <c r="AM122" s="13"/>
      <c r="AN122" s="13" t="s">
        <v>314</v>
      </c>
      <c r="AO122" s="7" t="s">
        <v>315</v>
      </c>
      <c r="AP122" s="38">
        <v>0.2</v>
      </c>
      <c r="AQ122" s="12">
        <v>144000</v>
      </c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13"/>
      <c r="CG122" s="13"/>
      <c r="CH122" s="13"/>
      <c r="CI122" s="12"/>
      <c r="CJ122" s="12"/>
      <c r="CK122" s="12"/>
      <c r="CL122" s="12"/>
      <c r="CM122" s="12"/>
      <c r="CN122" s="12"/>
      <c r="CO122" s="12"/>
      <c r="CP122" s="12">
        <f>SUM($AQ122:BJ122)-SUM($EA122:EH122)</f>
        <v>129874</v>
      </c>
      <c r="CQ122" s="12">
        <f>SUM($AQ122:BK122)-SUM($EA122:EI122)</f>
        <v>129312</v>
      </c>
      <c r="CR122" s="12">
        <f>SUM($AQ122:BL122)-SUM($EA122:EJ122)</f>
        <v>127282</v>
      </c>
      <c r="CS122" s="12">
        <f>SUM($AQ122:BM122)-SUM($EA122:EK122)</f>
        <v>125012</v>
      </c>
      <c r="CT122" s="12">
        <f>SUM($AQ122:BN122)-SUM($EA122:EL122)</f>
        <v>120982</v>
      </c>
      <c r="CU122" s="12">
        <f>SUM($AQ122:BO122)-SUM($EA122:EM122)</f>
        <v>116882</v>
      </c>
      <c r="CV122" s="12">
        <f>SUM($AQ122:BP122)-SUM($EA122:EN122)</f>
        <v>112782</v>
      </c>
      <c r="CW122" s="12">
        <f>SUM($AQ122:BQ122)-SUM($EA122:EO122)</f>
        <v>108782</v>
      </c>
      <c r="CX122" s="12">
        <f>SUM($AQ122:BR122)-SUM($EA122:EP122)</f>
        <v>104682</v>
      </c>
      <c r="CY122" s="12">
        <f>SUM($AQ122:BS122)-SUM($EA122:EQ122)</f>
        <v>100582</v>
      </c>
      <c r="CZ122" s="12">
        <f>SUM($AQ122:BT122)-SUM($EA122:ER122)</f>
        <v>96482</v>
      </c>
      <c r="DA122" s="12">
        <f>SUM($AQ122:BU122)-SUM($EA122:ES122)</f>
        <v>92382</v>
      </c>
      <c r="DB122" s="12">
        <f>SUM($AQ122:BV122)-SUM($EA122:ET122)</f>
        <v>88282</v>
      </c>
      <c r="DC122" s="12">
        <f>SUM($AQ122:BW122)-SUM($EA122:EU122)</f>
        <v>84182</v>
      </c>
      <c r="DD122" s="12">
        <f>SUM($AQ122:BX122)-SUM($EA122:EV122)</f>
        <v>80082</v>
      </c>
      <c r="DE122" s="12">
        <f>SUM($AQ122:BY122)-SUM($EA122:EW122)</f>
        <v>75996</v>
      </c>
      <c r="DF122" s="12">
        <f>SUM($AQ122:BZ122)-SUM($EA122:EX122)</f>
        <v>71996</v>
      </c>
      <c r="DG122" s="12">
        <f>SUM($AQ122:CA122)-SUM($EA122:EY122)</f>
        <v>67996</v>
      </c>
      <c r="DH122" s="12">
        <f>SUM($AQ122:CB122)-SUM($EA122:EZ122)</f>
        <v>63996</v>
      </c>
      <c r="DI122" s="12">
        <f>SUM($AQ122:CC122)-SUM($EA122:FA122)</f>
        <v>59996</v>
      </c>
      <c r="DJ122" s="12">
        <f>SUM($AQ122:CD122)-SUM($EA122:FB122)</f>
        <v>55996</v>
      </c>
      <c r="DK122" s="12">
        <f>SUM($AQ122:CE122)-SUM($EA122:FC122)</f>
        <v>51996</v>
      </c>
      <c r="DL122" s="12">
        <f>SUM($AQ122:CF122)-SUM($EA122:FD122)</f>
        <v>47996</v>
      </c>
      <c r="DM122" s="12">
        <f>SUM($AQ122:CG122)-SUM($EA122:FE122)</f>
        <v>43996</v>
      </c>
      <c r="DN122" s="12">
        <f>SUM($AQ122:CH122)-SUM($EA122:FF122)</f>
        <v>39996</v>
      </c>
      <c r="DO122" s="12">
        <f>SUM($AQ122:CI122)-SUM($EA122:FG122)</f>
        <v>35996</v>
      </c>
      <c r="DP122" s="12">
        <f>SUM($AQ122:CJ122)-SUM($EA122:FH122)</f>
        <v>31996</v>
      </c>
      <c r="DQ122" s="12">
        <f>SUM($AQ122:CK122)-SUM($EA122:FI122)</f>
        <v>27996</v>
      </c>
      <c r="DR122" s="12">
        <f>SUM($AQ122:CL122)-SUM($EA122:FJ122)</f>
        <v>23996</v>
      </c>
      <c r="DS122" s="12">
        <f>SUM($AQ122:CM122)-SUM($EA122:FK122)</f>
        <v>19996</v>
      </c>
      <c r="DT122" s="12">
        <f>SUM($AQ122:CN122)-SUM($EA122:FL122)</f>
        <v>15996</v>
      </c>
      <c r="DU122" s="12">
        <f>SUM($AQ122:CO122)-SUM($EA122:FM122)</f>
        <v>11996</v>
      </c>
      <c r="DV122" s="12">
        <f>SUM($AQ122:CP122)-SUM($EA122:FN122)</f>
        <v>138236</v>
      </c>
      <c r="DW122" s="12">
        <f>SUM($AQ122:CQ122)-SUM($EA122:FO122)</f>
        <v>267394</v>
      </c>
      <c r="DX122" s="13"/>
      <c r="DY122" s="13"/>
      <c r="DZ122" s="13"/>
      <c r="EA122" s="12"/>
      <c r="EB122" s="12"/>
      <c r="EC122" s="12"/>
      <c r="ED122" s="12"/>
      <c r="EE122" s="12"/>
      <c r="EF122" s="12"/>
      <c r="EG122" s="12"/>
      <c r="EH122" s="12">
        <f t="array" ref="EH122">SUMPRODUCT(TRANSPOSE(EH$9:EH$34),$K122:$AJ122)</f>
        <v>14126</v>
      </c>
      <c r="EI122" s="12">
        <f t="array" ref="EI122">SUMPRODUCT(TRANSPOSE(EI$9:EI$34),$K122:$AJ122)</f>
        <v>562</v>
      </c>
      <c r="EJ122" s="12">
        <f t="array" ref="EJ122">SUMPRODUCT(TRANSPOSE(EJ$9:EJ$34),$K122:$AJ122)</f>
        <v>2030</v>
      </c>
      <c r="EK122" s="12">
        <f t="array" ref="EK122">SUMPRODUCT(TRANSPOSE(EK$9:EK$34),$K122:$AJ122)</f>
        <v>2270</v>
      </c>
      <c r="EL122" s="12">
        <f t="array" ref="EL122">SUMPRODUCT(TRANSPOSE(EL$9:EL$34),$K122:$AJ122)</f>
        <v>4030</v>
      </c>
      <c r="EM122" s="12">
        <f t="array" ref="EM122">SUMPRODUCT(TRANSPOSE(EM$9:EM$34),$K122:$AJ122)</f>
        <v>4100</v>
      </c>
      <c r="EN122" s="12">
        <f t="array" ref="EN122">SUMPRODUCT(TRANSPOSE(EN$9:EN$34),$K122:$AJ122)</f>
        <v>4100</v>
      </c>
      <c r="EO122" s="12">
        <f t="array" ref="EO122">SUMPRODUCT(TRANSPOSE(EO$9:EO$34),$K122:$AJ122)</f>
        <v>4000</v>
      </c>
      <c r="EP122" s="12">
        <f t="array" ref="EP122">SUMPRODUCT(TRANSPOSE(EP$9:EP$34),$K122:$AJ122)</f>
        <v>4100</v>
      </c>
      <c r="EQ122" s="12">
        <f t="array" ref="EQ122">SUMPRODUCT(TRANSPOSE(EQ$9:EQ$34),$K122:$AJ122)</f>
        <v>4100</v>
      </c>
      <c r="ER122" s="12">
        <f t="array" ref="ER122">SUMPRODUCT(TRANSPOSE(ER$9:ER$34),$K122:$AJ122)</f>
        <v>4100</v>
      </c>
      <c r="ES122" s="12">
        <f t="array" ref="ES122">SUMPRODUCT(TRANSPOSE(ES$9:ES$34),$K122:$AJ122)</f>
        <v>4100</v>
      </c>
      <c r="ET122" s="12">
        <f t="array" ref="ET122">SUMPRODUCT(TRANSPOSE(ET$9:ET$34),$K122:$AJ122)</f>
        <v>4100</v>
      </c>
      <c r="EU122" s="12">
        <f t="array" ref="EU122">SUMPRODUCT(TRANSPOSE(EU$9:EU$34),$K122:$AJ122)</f>
        <v>4100</v>
      </c>
      <c r="EV122" s="12">
        <f t="array" ref="EV122">SUMPRODUCT(TRANSPOSE(EV$9:EV$34),$K122:$AJ122)</f>
        <v>4100</v>
      </c>
      <c r="EW122" s="12">
        <f t="array" ref="EW122">SUMPRODUCT(TRANSPOSE(EW$9:EW$34),$K122:$AJ122)</f>
        <v>4086</v>
      </c>
      <c r="EX122" s="12">
        <f t="array" ref="EX122">SUMPRODUCT(TRANSPOSE(EX$9:EX$34),$K122:$AJ122)</f>
        <v>4000</v>
      </c>
      <c r="EY122" s="12">
        <f t="array" ref="EY122">SUMPRODUCT(TRANSPOSE(EY$9:EY$34),$K122:$AJ122)</f>
        <v>4000</v>
      </c>
      <c r="EZ122" s="12">
        <f t="array" ref="EZ122">SUMPRODUCT(TRANSPOSE(EZ$9:EZ$34),$K122:$AJ122)</f>
        <v>4000</v>
      </c>
      <c r="FA122" s="12">
        <f t="array" ref="FA122">SUMPRODUCT(TRANSPOSE(FA$9:FA$34),$K122:$AJ122)</f>
        <v>4000</v>
      </c>
      <c r="FB122" s="12">
        <f t="array" ref="FB122">SUMPRODUCT(TRANSPOSE(FB$9:FB$34),$K122:$AJ122)</f>
        <v>4000</v>
      </c>
      <c r="FC122" s="12">
        <f t="array" ref="FC122">SUMPRODUCT(TRANSPOSE(FC$9:FC$34),$K122:$AJ122)</f>
        <v>4000</v>
      </c>
      <c r="FD122" s="12">
        <f t="array" ref="FD122">SUMPRODUCT(TRANSPOSE(FD$9:FD$34),$K122:$AJ122)</f>
        <v>4000</v>
      </c>
      <c r="FE122" s="12">
        <f t="array" ref="FE122">SUMPRODUCT(TRANSPOSE(FE$9:FE$34),$K122:$AJ122)</f>
        <v>4000</v>
      </c>
      <c r="FF122" s="12">
        <f t="array" ref="FF122">SUMPRODUCT(TRANSPOSE(FF$9:FF$34),$K122:$AJ122)</f>
        <v>4000</v>
      </c>
      <c r="FG122" s="12">
        <f t="array" ref="FG122">SUMPRODUCT(TRANSPOSE(FG$9:FG$34),$K122:$AJ122)</f>
        <v>4000</v>
      </c>
      <c r="FH122" s="12">
        <f t="array" ref="FH122">SUMPRODUCT(TRANSPOSE(FH$9:FH$34),$K122:$AJ122)</f>
        <v>4000</v>
      </c>
      <c r="FI122" s="12">
        <f t="array" ref="FI122">SUMPRODUCT(TRANSPOSE(FI$9:FI$34),$K122:$AJ122)</f>
        <v>4000</v>
      </c>
      <c r="FJ122" s="12">
        <f t="array" ref="FJ122">SUMPRODUCT(TRANSPOSE(FJ$9:FJ$34),$K122:$AJ122)</f>
        <v>4000</v>
      </c>
      <c r="FK122" s="12">
        <f t="array" ref="FK122">SUMPRODUCT(TRANSPOSE(FK$9:FK$34),$K122:$AJ122)</f>
        <v>4000</v>
      </c>
      <c r="FL122" s="12">
        <f t="array" ref="FL122">SUMPRODUCT(TRANSPOSE(FL$9:FL$34),$K122:$AJ122)</f>
        <v>4000</v>
      </c>
      <c r="FM122" s="12">
        <f t="array" ref="FM122">SUMPRODUCT(TRANSPOSE(FM$9:FM$34),$K122:$AJ122)</f>
        <v>4000</v>
      </c>
      <c r="FN122" s="12">
        <f t="array" ref="FN122">SUMPRODUCT(TRANSPOSE(FN$9:FN$34),$K122:$AJ122)</f>
        <v>3634</v>
      </c>
      <c r="FO122" s="12">
        <f t="array" ref="FO122">SUMPRODUCT(TRANSPOSE(FO$9:FO$34),$K122:$AJ122)</f>
        <v>154</v>
      </c>
    </row>
    <row r="123" spans="1:171" ht="14.25" x14ac:dyDescent="0.2">
      <c r="A123" s="13">
        <f t="shared" si="7"/>
        <v>88</v>
      </c>
      <c r="B123" s="13" t="s">
        <v>316</v>
      </c>
      <c r="C123" s="25" t="s">
        <v>317</v>
      </c>
      <c r="D123" s="13" t="s">
        <v>67</v>
      </c>
      <c r="E123" s="13" t="s">
        <v>318</v>
      </c>
      <c r="F123" s="26" t="s">
        <v>319</v>
      </c>
      <c r="G123" s="13" t="s">
        <v>320</v>
      </c>
      <c r="H123" s="13" t="s">
        <v>321</v>
      </c>
      <c r="I123" s="13">
        <v>2</v>
      </c>
      <c r="J123" s="13">
        <v>0.08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0.04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0.04</v>
      </c>
      <c r="Z123" s="13"/>
      <c r="AA123" s="13">
        <v>0</v>
      </c>
      <c r="AB123" s="13">
        <v>0</v>
      </c>
      <c r="AC123" s="13">
        <v>0.04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f t="shared" si="8"/>
        <v>0.12</v>
      </c>
      <c r="AL123" s="23">
        <f t="shared" si="6"/>
        <v>1426.6000000000001</v>
      </c>
      <c r="AM123" s="13"/>
      <c r="AN123" s="13" t="s">
        <v>322</v>
      </c>
      <c r="AO123" s="7" t="s">
        <v>323</v>
      </c>
      <c r="AP123" s="38">
        <v>0.84</v>
      </c>
      <c r="AQ123" s="12">
        <v>1500</v>
      </c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13"/>
      <c r="CG123" s="13"/>
      <c r="CH123" s="13"/>
      <c r="CI123" s="12"/>
      <c r="CJ123" s="12"/>
      <c r="CK123" s="12"/>
      <c r="CL123" s="12"/>
      <c r="CM123" s="12"/>
      <c r="CN123" s="12"/>
      <c r="CO123" s="12"/>
      <c r="CP123" s="12">
        <f>SUM($AQ123:BJ123)-SUM($EA123:EH123)</f>
        <v>1375.6399999999999</v>
      </c>
      <c r="CQ123" s="12">
        <f>SUM($AQ123:BK123)-SUM($EA123:EI123)</f>
        <v>1364.4</v>
      </c>
      <c r="CR123" s="12">
        <f>SUM($AQ123:BL123)-SUM($EA123:EJ123)</f>
        <v>1364.4</v>
      </c>
      <c r="CS123" s="12">
        <f>SUM($AQ123:BM123)-SUM($EA123:EK123)</f>
        <v>1360.4</v>
      </c>
      <c r="CT123" s="12">
        <f>SUM($AQ123:BN123)-SUM($EA123:EL123)</f>
        <v>1320.4</v>
      </c>
      <c r="CU123" s="12">
        <f>SUM($AQ123:BO123)-SUM($EA123:EM123)</f>
        <v>1240.4000000000001</v>
      </c>
      <c r="CV123" s="12">
        <f>SUM($AQ123:BP123)-SUM($EA123:EN123)</f>
        <v>1196.4000000000001</v>
      </c>
      <c r="CW123" s="12">
        <f>SUM($AQ123:BQ123)-SUM($EA123:EO123)</f>
        <v>1156.4000000000001</v>
      </c>
      <c r="CX123" s="12">
        <f>SUM($AQ123:BR123)-SUM($EA123:EP123)</f>
        <v>1116.4000000000001</v>
      </c>
      <c r="CY123" s="12">
        <f>SUM($AQ123:BS123)-SUM($EA123:EQ123)</f>
        <v>1076.4000000000001</v>
      </c>
      <c r="CZ123" s="12">
        <f>SUM($AQ123:BT123)-SUM($EA123:ER123)</f>
        <v>1036.4000000000001</v>
      </c>
      <c r="DA123" s="12">
        <f>SUM($AQ123:BU123)-SUM($EA123:ES123)</f>
        <v>996.4</v>
      </c>
      <c r="DB123" s="12">
        <f>SUM($AQ123:BV123)-SUM($EA123:ET123)</f>
        <v>956.4</v>
      </c>
      <c r="DC123" s="12">
        <f>SUM($AQ123:BW123)-SUM($EA123:EU123)</f>
        <v>916.4</v>
      </c>
      <c r="DD123" s="12">
        <f>SUM($AQ123:BX123)-SUM($EA123:EV123)</f>
        <v>876.4</v>
      </c>
      <c r="DE123" s="12">
        <f>SUM($AQ123:BY123)-SUM($EA123:EW123)</f>
        <v>836.4</v>
      </c>
      <c r="DF123" s="12">
        <f>SUM($AQ123:BZ123)-SUM($EA123:EX123)</f>
        <v>796.4</v>
      </c>
      <c r="DG123" s="12">
        <f>SUM($AQ123:CA123)-SUM($EA123:EY123)</f>
        <v>756.4</v>
      </c>
      <c r="DH123" s="12">
        <f>SUM($AQ123:CB123)-SUM($EA123:EZ123)</f>
        <v>716.4</v>
      </c>
      <c r="DI123" s="12">
        <f>SUM($AQ123:CC123)-SUM($EA123:FA123)</f>
        <v>676.4</v>
      </c>
      <c r="DJ123" s="12">
        <f>SUM($AQ123:CD123)-SUM($EA123:FB123)</f>
        <v>636.4</v>
      </c>
      <c r="DK123" s="12">
        <f>SUM($AQ123:CE123)-SUM($EA123:FC123)</f>
        <v>596.4</v>
      </c>
      <c r="DL123" s="12">
        <f>SUM($AQ123:CF123)-SUM($EA123:FD123)</f>
        <v>556.4</v>
      </c>
      <c r="DM123" s="12">
        <f>SUM($AQ123:CG123)-SUM($EA123:FE123)</f>
        <v>516.4</v>
      </c>
      <c r="DN123" s="12">
        <f>SUM($AQ123:CH123)-SUM($EA123:FF123)</f>
        <v>476.4</v>
      </c>
      <c r="DO123" s="12">
        <f>SUM($AQ123:CI123)-SUM($EA123:FG123)</f>
        <v>436.40000000000009</v>
      </c>
      <c r="DP123" s="12">
        <f>SUM($AQ123:CJ123)-SUM($EA123:FH123)</f>
        <v>396.40000000000009</v>
      </c>
      <c r="DQ123" s="12">
        <f>SUM($AQ123:CK123)-SUM($EA123:FI123)</f>
        <v>356.40000000000009</v>
      </c>
      <c r="DR123" s="12">
        <f>SUM($AQ123:CL123)-SUM($EA123:FJ123)</f>
        <v>316.40000000000009</v>
      </c>
      <c r="DS123" s="12">
        <f>SUM($AQ123:CM123)-SUM($EA123:FK123)</f>
        <v>276.40000000000009</v>
      </c>
      <c r="DT123" s="12">
        <f>SUM($AQ123:CN123)-SUM($EA123:FL123)</f>
        <v>236.40000000000009</v>
      </c>
      <c r="DU123" s="12">
        <f>SUM($AQ123:CO123)-SUM($EA123:FM123)</f>
        <v>196.40000000000009</v>
      </c>
      <c r="DV123" s="12">
        <f>SUM($AQ123:CP123)-SUM($EA123:FN123)</f>
        <v>1539.36</v>
      </c>
      <c r="DW123" s="12">
        <f>SUM($AQ123:CQ123)-SUM($EA123:FO123)</f>
        <v>2903.76</v>
      </c>
      <c r="DX123" s="13"/>
      <c r="DY123" s="13"/>
      <c r="DZ123" s="13"/>
      <c r="EA123" s="12"/>
      <c r="EB123" s="12"/>
      <c r="EC123" s="12"/>
      <c r="ED123" s="12"/>
      <c r="EE123" s="12"/>
      <c r="EF123" s="12"/>
      <c r="EG123" s="12"/>
      <c r="EH123" s="12">
        <f t="array" ref="EH123">SUMPRODUCT(TRANSPOSE(EH$9:EH$34),$K123:$AJ123)</f>
        <v>124.36000000000001</v>
      </c>
      <c r="EI123" s="12">
        <f t="array" ref="EI123">SUMPRODUCT(TRANSPOSE(EI$9:EI$34),$K123:$AJ123)</f>
        <v>11.24</v>
      </c>
      <c r="EJ123" s="12">
        <f t="array" ref="EJ123">SUMPRODUCT(TRANSPOSE(EJ$9:EJ$34),$K123:$AJ123)</f>
        <v>0</v>
      </c>
      <c r="EK123" s="12">
        <f t="array" ref="EK123">SUMPRODUCT(TRANSPOSE(EK$9:EK$34),$K123:$AJ123)</f>
        <v>4</v>
      </c>
      <c r="EL123" s="12">
        <f t="array" ref="EL123">SUMPRODUCT(TRANSPOSE(EL$9:EL$34),$K123:$AJ123)</f>
        <v>40</v>
      </c>
      <c r="EM123" s="12">
        <f t="array" ref="EM123">SUMPRODUCT(TRANSPOSE(EM$9:EM$34),$K123:$AJ123)</f>
        <v>80</v>
      </c>
      <c r="EN123" s="12">
        <f t="array" ref="EN123">SUMPRODUCT(TRANSPOSE(EN$9:EN$34),$K123:$AJ123)</f>
        <v>44</v>
      </c>
      <c r="EO123" s="12">
        <f t="array" ref="EO123">SUMPRODUCT(TRANSPOSE(EO$9:EO$34),$K123:$AJ123)</f>
        <v>40</v>
      </c>
      <c r="EP123" s="12">
        <f t="array" ref="EP123">SUMPRODUCT(TRANSPOSE(EP$9:EP$34),$K123:$AJ123)</f>
        <v>40</v>
      </c>
      <c r="EQ123" s="12">
        <f t="array" ref="EQ123">SUMPRODUCT(TRANSPOSE(EQ$9:EQ$34),$K123:$AJ123)</f>
        <v>40</v>
      </c>
      <c r="ER123" s="12">
        <f t="array" ref="ER123">SUMPRODUCT(TRANSPOSE(ER$9:ER$34),$K123:$AJ123)</f>
        <v>40</v>
      </c>
      <c r="ES123" s="12">
        <f t="array" ref="ES123">SUMPRODUCT(TRANSPOSE(ES$9:ES$34),$K123:$AJ123)</f>
        <v>40</v>
      </c>
      <c r="ET123" s="12">
        <f t="array" ref="ET123">SUMPRODUCT(TRANSPOSE(ET$9:ET$34),$K123:$AJ123)</f>
        <v>40</v>
      </c>
      <c r="EU123" s="12">
        <f t="array" ref="EU123">SUMPRODUCT(TRANSPOSE(EU$9:EU$34),$K123:$AJ123)</f>
        <v>40</v>
      </c>
      <c r="EV123" s="12">
        <f t="array" ref="EV123">SUMPRODUCT(TRANSPOSE(EV$9:EV$34),$K123:$AJ123)</f>
        <v>40</v>
      </c>
      <c r="EW123" s="12">
        <f t="array" ref="EW123">SUMPRODUCT(TRANSPOSE(EW$9:EW$34),$K123:$AJ123)</f>
        <v>40</v>
      </c>
      <c r="EX123" s="12">
        <f t="array" ref="EX123">SUMPRODUCT(TRANSPOSE(EX$9:EX$34),$K123:$AJ123)</f>
        <v>40</v>
      </c>
      <c r="EY123" s="12">
        <f t="array" ref="EY123">SUMPRODUCT(TRANSPOSE(EY$9:EY$34),$K123:$AJ123)</f>
        <v>40</v>
      </c>
      <c r="EZ123" s="12">
        <f t="array" ref="EZ123">SUMPRODUCT(TRANSPOSE(EZ$9:EZ$34),$K123:$AJ123)</f>
        <v>40</v>
      </c>
      <c r="FA123" s="12">
        <f t="array" ref="FA123">SUMPRODUCT(TRANSPOSE(FA$9:FA$34),$K123:$AJ123)</f>
        <v>40</v>
      </c>
      <c r="FB123" s="12">
        <f t="array" ref="FB123">SUMPRODUCT(TRANSPOSE(FB$9:FB$34),$K123:$AJ123)</f>
        <v>40</v>
      </c>
      <c r="FC123" s="12">
        <f t="array" ref="FC123">SUMPRODUCT(TRANSPOSE(FC$9:FC$34),$K123:$AJ123)</f>
        <v>40</v>
      </c>
      <c r="FD123" s="12">
        <f t="array" ref="FD123">SUMPRODUCT(TRANSPOSE(FD$9:FD$34),$K123:$AJ123)</f>
        <v>40</v>
      </c>
      <c r="FE123" s="12">
        <f t="array" ref="FE123">SUMPRODUCT(TRANSPOSE(FE$9:FE$34),$K123:$AJ123)</f>
        <v>40</v>
      </c>
      <c r="FF123" s="12">
        <f t="array" ref="FF123">SUMPRODUCT(TRANSPOSE(FF$9:FF$34),$K123:$AJ123)</f>
        <v>40</v>
      </c>
      <c r="FG123" s="12">
        <f t="array" ref="FG123">SUMPRODUCT(TRANSPOSE(FG$9:FG$34),$K123:$AJ123)</f>
        <v>40</v>
      </c>
      <c r="FH123" s="12">
        <f t="array" ref="FH123">SUMPRODUCT(TRANSPOSE(FH$9:FH$34),$K123:$AJ123)</f>
        <v>40</v>
      </c>
      <c r="FI123" s="12">
        <f t="array" ref="FI123">SUMPRODUCT(TRANSPOSE(FI$9:FI$34),$K123:$AJ123)</f>
        <v>40</v>
      </c>
      <c r="FJ123" s="12">
        <f t="array" ref="FJ123">SUMPRODUCT(TRANSPOSE(FJ$9:FJ$34),$K123:$AJ123)</f>
        <v>40</v>
      </c>
      <c r="FK123" s="12">
        <f t="array" ref="FK123">SUMPRODUCT(TRANSPOSE(FK$9:FK$34),$K123:$AJ123)</f>
        <v>40</v>
      </c>
      <c r="FL123" s="12">
        <f t="array" ref="FL123">SUMPRODUCT(TRANSPOSE(FL$9:FL$34),$K123:$AJ123)</f>
        <v>40</v>
      </c>
      <c r="FM123" s="12">
        <f t="array" ref="FM123">SUMPRODUCT(TRANSPOSE(FM$9:FM$34),$K123:$AJ123)</f>
        <v>40</v>
      </c>
      <c r="FN123" s="12">
        <f t="array" ref="FN123">SUMPRODUCT(TRANSPOSE(FN$9:FN$34),$K123:$AJ123)</f>
        <v>32.68</v>
      </c>
      <c r="FO123" s="12">
        <f t="array" ref="FO123">SUMPRODUCT(TRANSPOSE(FO$9:FO$34),$K123:$AJ123)</f>
        <v>0</v>
      </c>
    </row>
    <row r="124" spans="1:171" ht="14.25" x14ac:dyDescent="0.2">
      <c r="A124" s="13">
        <f t="shared" si="7"/>
        <v>89</v>
      </c>
      <c r="B124" s="13" t="s">
        <v>324</v>
      </c>
      <c r="C124" s="25" t="s">
        <v>325</v>
      </c>
      <c r="D124" s="13" t="s">
        <v>67</v>
      </c>
      <c r="E124" s="13" t="s">
        <v>326</v>
      </c>
      <c r="F124" s="26" t="s">
        <v>319</v>
      </c>
      <c r="G124" s="13" t="s">
        <v>327</v>
      </c>
      <c r="H124" s="13" t="s">
        <v>321</v>
      </c>
      <c r="I124" s="13">
        <v>2</v>
      </c>
      <c r="J124" s="13">
        <v>0.08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0.04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0.04</v>
      </c>
      <c r="Z124" s="13"/>
      <c r="AA124" s="13">
        <v>0</v>
      </c>
      <c r="AB124" s="13">
        <v>0</v>
      </c>
      <c r="AC124" s="13">
        <v>0.04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f t="shared" si="8"/>
        <v>0.12</v>
      </c>
      <c r="AL124" s="23">
        <f t="shared" si="6"/>
        <v>1426.6000000000001</v>
      </c>
      <c r="AM124" s="13"/>
      <c r="AN124" s="13" t="s">
        <v>322</v>
      </c>
      <c r="AO124" s="7" t="s">
        <v>323</v>
      </c>
      <c r="AP124" s="38">
        <v>0.6</v>
      </c>
      <c r="AQ124" s="12">
        <v>1500</v>
      </c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13"/>
      <c r="CG124" s="13"/>
      <c r="CH124" s="13"/>
      <c r="CI124" s="12"/>
      <c r="CJ124" s="12"/>
      <c r="CK124" s="12"/>
      <c r="CL124" s="12"/>
      <c r="CM124" s="12"/>
      <c r="CN124" s="12"/>
      <c r="CO124" s="12"/>
      <c r="CP124" s="12">
        <f>SUM($AQ124:BJ124)-SUM($EA124:EH124)</f>
        <v>1375.6399999999999</v>
      </c>
      <c r="CQ124" s="12">
        <f>SUM($AQ124:BK124)-SUM($EA124:EI124)</f>
        <v>1364.4</v>
      </c>
      <c r="CR124" s="12">
        <f>SUM($AQ124:BL124)-SUM($EA124:EJ124)</f>
        <v>1364.4</v>
      </c>
      <c r="CS124" s="12">
        <f>SUM($AQ124:BM124)-SUM($EA124:EK124)</f>
        <v>1360.4</v>
      </c>
      <c r="CT124" s="12">
        <f>SUM($AQ124:BN124)-SUM($EA124:EL124)</f>
        <v>1320.4</v>
      </c>
      <c r="CU124" s="12">
        <f>SUM($AQ124:BO124)-SUM($EA124:EM124)</f>
        <v>1240.4000000000001</v>
      </c>
      <c r="CV124" s="12">
        <f>SUM($AQ124:BP124)-SUM($EA124:EN124)</f>
        <v>1196.4000000000001</v>
      </c>
      <c r="CW124" s="12">
        <f>SUM($AQ124:BQ124)-SUM($EA124:EO124)</f>
        <v>1156.4000000000001</v>
      </c>
      <c r="CX124" s="12">
        <f>SUM($AQ124:BR124)-SUM($EA124:EP124)</f>
        <v>1116.4000000000001</v>
      </c>
      <c r="CY124" s="12">
        <f>SUM($AQ124:BS124)-SUM($EA124:EQ124)</f>
        <v>1076.4000000000001</v>
      </c>
      <c r="CZ124" s="12">
        <f>SUM($AQ124:BT124)-SUM($EA124:ER124)</f>
        <v>1036.4000000000001</v>
      </c>
      <c r="DA124" s="12">
        <f>SUM($AQ124:BU124)-SUM($EA124:ES124)</f>
        <v>996.4</v>
      </c>
      <c r="DB124" s="12">
        <f>SUM($AQ124:BV124)-SUM($EA124:ET124)</f>
        <v>956.4</v>
      </c>
      <c r="DC124" s="12">
        <f>SUM($AQ124:BW124)-SUM($EA124:EU124)</f>
        <v>916.4</v>
      </c>
      <c r="DD124" s="12">
        <f>SUM($AQ124:BX124)-SUM($EA124:EV124)</f>
        <v>876.4</v>
      </c>
      <c r="DE124" s="12">
        <f>SUM($AQ124:BY124)-SUM($EA124:EW124)</f>
        <v>836.4</v>
      </c>
      <c r="DF124" s="12">
        <f>SUM($AQ124:BZ124)-SUM($EA124:EX124)</f>
        <v>796.4</v>
      </c>
      <c r="DG124" s="12">
        <f>SUM($AQ124:CA124)-SUM($EA124:EY124)</f>
        <v>756.4</v>
      </c>
      <c r="DH124" s="12">
        <f>SUM($AQ124:CB124)-SUM($EA124:EZ124)</f>
        <v>716.4</v>
      </c>
      <c r="DI124" s="12">
        <f>SUM($AQ124:CC124)-SUM($EA124:FA124)</f>
        <v>676.4</v>
      </c>
      <c r="DJ124" s="12">
        <f>SUM($AQ124:CD124)-SUM($EA124:FB124)</f>
        <v>636.4</v>
      </c>
      <c r="DK124" s="12">
        <f>SUM($AQ124:CE124)-SUM($EA124:FC124)</f>
        <v>596.4</v>
      </c>
      <c r="DL124" s="12">
        <f>SUM($AQ124:CF124)-SUM($EA124:FD124)</f>
        <v>556.4</v>
      </c>
      <c r="DM124" s="12">
        <f>SUM($AQ124:CG124)-SUM($EA124:FE124)</f>
        <v>516.4</v>
      </c>
      <c r="DN124" s="12">
        <f>SUM($AQ124:CH124)-SUM($EA124:FF124)</f>
        <v>476.4</v>
      </c>
      <c r="DO124" s="12">
        <f>SUM($AQ124:CI124)-SUM($EA124:FG124)</f>
        <v>436.40000000000009</v>
      </c>
      <c r="DP124" s="12">
        <f>SUM($AQ124:CJ124)-SUM($EA124:FH124)</f>
        <v>396.40000000000009</v>
      </c>
      <c r="DQ124" s="12">
        <f>SUM($AQ124:CK124)-SUM($EA124:FI124)</f>
        <v>356.40000000000009</v>
      </c>
      <c r="DR124" s="12">
        <f>SUM($AQ124:CL124)-SUM($EA124:FJ124)</f>
        <v>316.40000000000009</v>
      </c>
      <c r="DS124" s="12">
        <f>SUM($AQ124:CM124)-SUM($EA124:FK124)</f>
        <v>276.40000000000009</v>
      </c>
      <c r="DT124" s="12">
        <f>SUM($AQ124:CN124)-SUM($EA124:FL124)</f>
        <v>236.40000000000009</v>
      </c>
      <c r="DU124" s="12">
        <f>SUM($AQ124:CO124)-SUM($EA124:FM124)</f>
        <v>196.40000000000009</v>
      </c>
      <c r="DV124" s="12">
        <f>SUM($AQ124:CP124)-SUM($EA124:FN124)</f>
        <v>1539.36</v>
      </c>
      <c r="DW124" s="12">
        <f>SUM($AQ124:CQ124)-SUM($EA124:FO124)</f>
        <v>2903.76</v>
      </c>
      <c r="DX124" s="13"/>
      <c r="DY124" s="13"/>
      <c r="DZ124" s="13"/>
      <c r="EA124" s="12"/>
      <c r="EB124" s="12"/>
      <c r="EC124" s="12"/>
      <c r="ED124" s="12"/>
      <c r="EE124" s="12"/>
      <c r="EF124" s="12"/>
      <c r="EG124" s="12"/>
      <c r="EH124" s="12">
        <f t="array" ref="EH124">SUMPRODUCT(TRANSPOSE(EH$9:EH$34),$K124:$AJ124)</f>
        <v>124.36000000000001</v>
      </c>
      <c r="EI124" s="12">
        <f t="array" ref="EI124">SUMPRODUCT(TRANSPOSE(EI$9:EI$34),$K124:$AJ124)</f>
        <v>11.24</v>
      </c>
      <c r="EJ124" s="12">
        <f t="array" ref="EJ124">SUMPRODUCT(TRANSPOSE(EJ$9:EJ$34),$K124:$AJ124)</f>
        <v>0</v>
      </c>
      <c r="EK124" s="12">
        <f t="array" ref="EK124">SUMPRODUCT(TRANSPOSE(EK$9:EK$34),$K124:$AJ124)</f>
        <v>4</v>
      </c>
      <c r="EL124" s="12">
        <f t="array" ref="EL124">SUMPRODUCT(TRANSPOSE(EL$9:EL$34),$K124:$AJ124)</f>
        <v>40</v>
      </c>
      <c r="EM124" s="12">
        <f t="array" ref="EM124">SUMPRODUCT(TRANSPOSE(EM$9:EM$34),$K124:$AJ124)</f>
        <v>80</v>
      </c>
      <c r="EN124" s="12">
        <f t="array" ref="EN124">SUMPRODUCT(TRANSPOSE(EN$9:EN$34),$K124:$AJ124)</f>
        <v>44</v>
      </c>
      <c r="EO124" s="12">
        <f t="array" ref="EO124">SUMPRODUCT(TRANSPOSE(EO$9:EO$34),$K124:$AJ124)</f>
        <v>40</v>
      </c>
      <c r="EP124" s="12">
        <f t="array" ref="EP124">SUMPRODUCT(TRANSPOSE(EP$9:EP$34),$K124:$AJ124)</f>
        <v>40</v>
      </c>
      <c r="EQ124" s="12">
        <f t="array" ref="EQ124">SUMPRODUCT(TRANSPOSE(EQ$9:EQ$34),$K124:$AJ124)</f>
        <v>40</v>
      </c>
      <c r="ER124" s="12">
        <f t="array" ref="ER124">SUMPRODUCT(TRANSPOSE(ER$9:ER$34),$K124:$AJ124)</f>
        <v>40</v>
      </c>
      <c r="ES124" s="12">
        <f t="array" ref="ES124">SUMPRODUCT(TRANSPOSE(ES$9:ES$34),$K124:$AJ124)</f>
        <v>40</v>
      </c>
      <c r="ET124" s="12">
        <f t="array" ref="ET124">SUMPRODUCT(TRANSPOSE(ET$9:ET$34),$K124:$AJ124)</f>
        <v>40</v>
      </c>
      <c r="EU124" s="12">
        <f t="array" ref="EU124">SUMPRODUCT(TRANSPOSE(EU$9:EU$34),$K124:$AJ124)</f>
        <v>40</v>
      </c>
      <c r="EV124" s="12">
        <f t="array" ref="EV124">SUMPRODUCT(TRANSPOSE(EV$9:EV$34),$K124:$AJ124)</f>
        <v>40</v>
      </c>
      <c r="EW124" s="12">
        <f t="array" ref="EW124">SUMPRODUCT(TRANSPOSE(EW$9:EW$34),$K124:$AJ124)</f>
        <v>40</v>
      </c>
      <c r="EX124" s="12">
        <f t="array" ref="EX124">SUMPRODUCT(TRANSPOSE(EX$9:EX$34),$K124:$AJ124)</f>
        <v>40</v>
      </c>
      <c r="EY124" s="12">
        <f t="array" ref="EY124">SUMPRODUCT(TRANSPOSE(EY$9:EY$34),$K124:$AJ124)</f>
        <v>40</v>
      </c>
      <c r="EZ124" s="12">
        <f t="array" ref="EZ124">SUMPRODUCT(TRANSPOSE(EZ$9:EZ$34),$K124:$AJ124)</f>
        <v>40</v>
      </c>
      <c r="FA124" s="12">
        <f t="array" ref="FA124">SUMPRODUCT(TRANSPOSE(FA$9:FA$34),$K124:$AJ124)</f>
        <v>40</v>
      </c>
      <c r="FB124" s="12">
        <f t="array" ref="FB124">SUMPRODUCT(TRANSPOSE(FB$9:FB$34),$K124:$AJ124)</f>
        <v>40</v>
      </c>
      <c r="FC124" s="12">
        <f t="array" ref="FC124">SUMPRODUCT(TRANSPOSE(FC$9:FC$34),$K124:$AJ124)</f>
        <v>40</v>
      </c>
      <c r="FD124" s="12">
        <f t="array" ref="FD124">SUMPRODUCT(TRANSPOSE(FD$9:FD$34),$K124:$AJ124)</f>
        <v>40</v>
      </c>
      <c r="FE124" s="12">
        <f t="array" ref="FE124">SUMPRODUCT(TRANSPOSE(FE$9:FE$34),$K124:$AJ124)</f>
        <v>40</v>
      </c>
      <c r="FF124" s="12">
        <f t="array" ref="FF124">SUMPRODUCT(TRANSPOSE(FF$9:FF$34),$K124:$AJ124)</f>
        <v>40</v>
      </c>
      <c r="FG124" s="12">
        <f t="array" ref="FG124">SUMPRODUCT(TRANSPOSE(FG$9:FG$34),$K124:$AJ124)</f>
        <v>40</v>
      </c>
      <c r="FH124" s="12">
        <f t="array" ref="FH124">SUMPRODUCT(TRANSPOSE(FH$9:FH$34),$K124:$AJ124)</f>
        <v>40</v>
      </c>
      <c r="FI124" s="12">
        <f t="array" ref="FI124">SUMPRODUCT(TRANSPOSE(FI$9:FI$34),$K124:$AJ124)</f>
        <v>40</v>
      </c>
      <c r="FJ124" s="12">
        <f t="array" ref="FJ124">SUMPRODUCT(TRANSPOSE(FJ$9:FJ$34),$K124:$AJ124)</f>
        <v>40</v>
      </c>
      <c r="FK124" s="12">
        <f t="array" ref="FK124">SUMPRODUCT(TRANSPOSE(FK$9:FK$34),$K124:$AJ124)</f>
        <v>40</v>
      </c>
      <c r="FL124" s="12">
        <f t="array" ref="FL124">SUMPRODUCT(TRANSPOSE(FL$9:FL$34),$K124:$AJ124)</f>
        <v>40</v>
      </c>
      <c r="FM124" s="12">
        <f t="array" ref="FM124">SUMPRODUCT(TRANSPOSE(FM$9:FM$34),$K124:$AJ124)</f>
        <v>40</v>
      </c>
      <c r="FN124" s="12">
        <f t="array" ref="FN124">SUMPRODUCT(TRANSPOSE(FN$9:FN$34),$K124:$AJ124)</f>
        <v>32.68</v>
      </c>
      <c r="FO124" s="12">
        <f t="array" ref="FO124">SUMPRODUCT(TRANSPOSE(FO$9:FO$34),$K124:$AJ124)</f>
        <v>0</v>
      </c>
    </row>
    <row r="125" spans="1:171" ht="14.25" x14ac:dyDescent="0.2">
      <c r="A125" s="13">
        <f t="shared" si="7"/>
        <v>90</v>
      </c>
      <c r="B125" s="13" t="s">
        <v>328</v>
      </c>
      <c r="C125" s="25" t="s">
        <v>329</v>
      </c>
      <c r="D125" s="13" t="s">
        <v>67</v>
      </c>
      <c r="E125" s="13">
        <v>400339908</v>
      </c>
      <c r="F125" s="26" t="s">
        <v>330</v>
      </c>
      <c r="G125" s="13"/>
      <c r="H125" s="13" t="s">
        <v>61</v>
      </c>
      <c r="I125" s="13">
        <v>2</v>
      </c>
      <c r="J125" s="13">
        <v>18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2</v>
      </c>
      <c r="T125" s="13">
        <v>0</v>
      </c>
      <c r="U125" s="13">
        <v>0</v>
      </c>
      <c r="V125" s="13">
        <v>0</v>
      </c>
      <c r="W125" s="13">
        <v>0</v>
      </c>
      <c r="X125" s="13">
        <v>7</v>
      </c>
      <c r="Y125" s="13"/>
      <c r="Z125" s="13">
        <v>2</v>
      </c>
      <c r="AA125" s="13">
        <v>0</v>
      </c>
      <c r="AB125" s="13">
        <v>0</v>
      </c>
      <c r="AC125" s="13">
        <v>0</v>
      </c>
      <c r="AD125" s="13">
        <v>2</v>
      </c>
      <c r="AE125" s="13">
        <v>2</v>
      </c>
      <c r="AF125" s="13">
        <v>0</v>
      </c>
      <c r="AG125" s="13">
        <v>0</v>
      </c>
      <c r="AH125" s="13">
        <v>0</v>
      </c>
      <c r="AI125" s="13">
        <v>0</v>
      </c>
      <c r="AJ125" s="13">
        <v>7</v>
      </c>
      <c r="AK125" s="13">
        <f t="shared" si="8"/>
        <v>13</v>
      </c>
      <c r="AL125" s="23">
        <f t="shared" si="6"/>
        <v>320754</v>
      </c>
      <c r="AM125" s="13"/>
      <c r="AN125" s="13" t="s">
        <v>299</v>
      </c>
      <c r="AO125" s="7" t="s">
        <v>1061</v>
      </c>
      <c r="AP125" s="38">
        <v>4.25</v>
      </c>
      <c r="AQ125" s="12">
        <v>89000</v>
      </c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>
        <v>14400</v>
      </c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13"/>
      <c r="CG125" s="13"/>
      <c r="CH125" s="13"/>
      <c r="CI125" s="12"/>
      <c r="CJ125" s="12"/>
      <c r="CK125" s="12"/>
      <c r="CL125" s="12"/>
      <c r="CM125" s="12"/>
      <c r="CN125" s="12"/>
      <c r="CO125" s="12"/>
      <c r="CP125" s="12">
        <f>SUM($AQ125:BJ125)-SUM($EA125:EH125)</f>
        <v>75419</v>
      </c>
      <c r="CQ125" s="12">
        <f>SUM($AQ125:BK125)-SUM($EA125:EI125)</f>
        <v>72057</v>
      </c>
      <c r="CR125" s="12">
        <f>SUM($AQ125:BL125)-SUM($EA125:EJ125)</f>
        <v>71922</v>
      </c>
      <c r="CS125" s="12">
        <f>SUM($AQ125:BM125)-SUM($EA125:EK125)</f>
        <v>70707</v>
      </c>
      <c r="CT125" s="12">
        <f>SUM($AQ125:BN125)-SUM($EA125:EL125)</f>
        <v>61572</v>
      </c>
      <c r="CU125" s="12">
        <f>SUM($AQ125:BO125)-SUM($EA125:EM125)</f>
        <v>43122</v>
      </c>
      <c r="CV125" s="12">
        <f>SUM($AQ125:BP125)-SUM($EA125:EN125)</f>
        <v>32772</v>
      </c>
      <c r="CW125" s="12">
        <f>SUM($AQ125:BQ125)-SUM($EA125:EO125)</f>
        <v>23772</v>
      </c>
      <c r="CX125" s="12">
        <f>SUM($AQ125:BR125)-SUM($EA125:EP125)</f>
        <v>14322</v>
      </c>
      <c r="CY125" s="12">
        <f>SUM($AQ125:BS125)-SUM($EA125:EQ125)</f>
        <v>4872</v>
      </c>
      <c r="CZ125" s="12">
        <f>SUM($AQ125:BT125)-SUM($EA125:ER125)</f>
        <v>-4578</v>
      </c>
      <c r="DA125" s="12">
        <f>SUM($AQ125:BU125)-SUM($EA125:ES125)</f>
        <v>-14028</v>
      </c>
      <c r="DB125" s="12">
        <f>SUM($AQ125:BV125)-SUM($EA125:ET125)</f>
        <v>-23478</v>
      </c>
      <c r="DC125" s="12">
        <f>SUM($AQ125:BW125)-SUM($EA125:EU125)</f>
        <v>-32928</v>
      </c>
      <c r="DD125" s="12">
        <f>SUM($AQ125:BX125)-SUM($EA125:EV125)</f>
        <v>-42378</v>
      </c>
      <c r="DE125" s="12">
        <f>SUM($AQ125:BY125)-SUM($EA125:EW125)</f>
        <v>-51534</v>
      </c>
      <c r="DF125" s="12">
        <f>SUM($AQ125:BZ125)-SUM($EA125:EX125)</f>
        <v>-60534</v>
      </c>
      <c r="DG125" s="12">
        <f>SUM($AQ125:CA125)-SUM($EA125:EY125)</f>
        <v>-69534</v>
      </c>
      <c r="DH125" s="12">
        <f>SUM($AQ125:CB125)-SUM($EA125:EZ125)</f>
        <v>-78534</v>
      </c>
      <c r="DI125" s="12">
        <f>SUM($AQ125:CC125)-SUM($EA125:FA125)</f>
        <v>-87534</v>
      </c>
      <c r="DJ125" s="12">
        <f>SUM($AQ125:CD125)-SUM($EA125:FB125)</f>
        <v>-96534</v>
      </c>
      <c r="DK125" s="12">
        <f>SUM($AQ125:CE125)-SUM($EA125:FC125)</f>
        <v>-105534</v>
      </c>
      <c r="DL125" s="12">
        <f>SUM($AQ125:CF125)-SUM($EA125:FD125)</f>
        <v>-114534</v>
      </c>
      <c r="DM125" s="12">
        <f>SUM($AQ125:CG125)-SUM($EA125:FE125)</f>
        <v>-123534</v>
      </c>
      <c r="DN125" s="12">
        <f>SUM($AQ125:CH125)-SUM($EA125:FF125)</f>
        <v>-132534</v>
      </c>
      <c r="DO125" s="12">
        <f>SUM($AQ125:CI125)-SUM($EA125:FG125)</f>
        <v>-141534</v>
      </c>
      <c r="DP125" s="12">
        <f>SUM($AQ125:CJ125)-SUM($EA125:FH125)</f>
        <v>-150534</v>
      </c>
      <c r="DQ125" s="12">
        <f>SUM($AQ125:CK125)-SUM($EA125:FI125)</f>
        <v>-159534</v>
      </c>
      <c r="DR125" s="12">
        <f>SUM($AQ125:CL125)-SUM($EA125:FJ125)</f>
        <v>-168534</v>
      </c>
      <c r="DS125" s="12">
        <f>SUM($AQ125:CM125)-SUM($EA125:FK125)</f>
        <v>-177534</v>
      </c>
      <c r="DT125" s="12">
        <f>SUM($AQ125:CN125)-SUM($EA125:FL125)</f>
        <v>-186534</v>
      </c>
      <c r="DU125" s="12">
        <f>SUM($AQ125:CO125)-SUM($EA125:FM125)</f>
        <v>-195534</v>
      </c>
      <c r="DV125" s="12">
        <f>SUM($AQ125:CP125)-SUM($EA125:FN125)</f>
        <v>-126635</v>
      </c>
      <c r="DW125" s="12">
        <f>SUM($AQ125:CQ125)-SUM($EA125:FO125)</f>
        <v>-54578</v>
      </c>
      <c r="DX125" s="13"/>
      <c r="DY125" s="13"/>
      <c r="DZ125" s="13"/>
      <c r="EA125" s="12"/>
      <c r="EB125" s="12"/>
      <c r="EC125" s="12"/>
      <c r="ED125" s="12"/>
      <c r="EE125" s="12"/>
      <c r="EF125" s="12"/>
      <c r="EG125" s="12"/>
      <c r="EH125" s="12">
        <f t="array" ref="EH125">SUMPRODUCT(TRANSPOSE(EH$9:EH$34),$K125:$AJ125)</f>
        <v>27981</v>
      </c>
      <c r="EI125" s="12">
        <f t="array" ref="EI125">SUMPRODUCT(TRANSPOSE(EI$9:EI$34),$K125:$AJ125)</f>
        <v>3362</v>
      </c>
      <c r="EJ125" s="12">
        <f t="array" ref="EJ125">SUMPRODUCT(TRANSPOSE(EJ$9:EJ$34),$K125:$AJ125)</f>
        <v>135</v>
      </c>
      <c r="EK125" s="12">
        <f t="array" ref="EK125">SUMPRODUCT(TRANSPOSE(EK$9:EK$34),$K125:$AJ125)</f>
        <v>1215</v>
      </c>
      <c r="EL125" s="12">
        <f t="array" ref="EL125">SUMPRODUCT(TRANSPOSE(EL$9:EL$34),$K125:$AJ125)</f>
        <v>9135</v>
      </c>
      <c r="EM125" s="12">
        <f t="array" ref="EM125">SUMPRODUCT(TRANSPOSE(EM$9:EM$34),$K125:$AJ125)</f>
        <v>18450</v>
      </c>
      <c r="EN125" s="12">
        <f t="array" ref="EN125">SUMPRODUCT(TRANSPOSE(EN$9:EN$34),$K125:$AJ125)</f>
        <v>10350</v>
      </c>
      <c r="EO125" s="12">
        <f t="array" ref="EO125">SUMPRODUCT(TRANSPOSE(EO$9:EO$34),$K125:$AJ125)</f>
        <v>9000</v>
      </c>
      <c r="EP125" s="12">
        <f t="array" ref="EP125">SUMPRODUCT(TRANSPOSE(EP$9:EP$34),$K125:$AJ125)</f>
        <v>9450</v>
      </c>
      <c r="EQ125" s="12">
        <f t="array" ref="EQ125">SUMPRODUCT(TRANSPOSE(EQ$9:EQ$34),$K125:$AJ125)</f>
        <v>9450</v>
      </c>
      <c r="ER125" s="12">
        <f t="array" ref="ER125">SUMPRODUCT(TRANSPOSE(ER$9:ER$34),$K125:$AJ125)</f>
        <v>9450</v>
      </c>
      <c r="ES125" s="12">
        <f t="array" ref="ES125">SUMPRODUCT(TRANSPOSE(ES$9:ES$34),$K125:$AJ125)</f>
        <v>9450</v>
      </c>
      <c r="ET125" s="12">
        <f t="array" ref="ET125">SUMPRODUCT(TRANSPOSE(ET$9:ET$34),$K125:$AJ125)</f>
        <v>9450</v>
      </c>
      <c r="EU125" s="12">
        <f t="array" ref="EU125">SUMPRODUCT(TRANSPOSE(EU$9:EU$34),$K125:$AJ125)</f>
        <v>9450</v>
      </c>
      <c r="EV125" s="12">
        <f t="array" ref="EV125">SUMPRODUCT(TRANSPOSE(EV$9:EV$34),$K125:$AJ125)</f>
        <v>9450</v>
      </c>
      <c r="EW125" s="12">
        <f t="array" ref="EW125">SUMPRODUCT(TRANSPOSE(EW$9:EW$34),$K125:$AJ125)</f>
        <v>9156</v>
      </c>
      <c r="EX125" s="12">
        <f t="array" ref="EX125">SUMPRODUCT(TRANSPOSE(EX$9:EX$34),$K125:$AJ125)</f>
        <v>9000</v>
      </c>
      <c r="EY125" s="12">
        <f t="array" ref="EY125">SUMPRODUCT(TRANSPOSE(EY$9:EY$34),$K125:$AJ125)</f>
        <v>9000</v>
      </c>
      <c r="EZ125" s="12">
        <f t="array" ref="EZ125">SUMPRODUCT(TRANSPOSE(EZ$9:EZ$34),$K125:$AJ125)</f>
        <v>9000</v>
      </c>
      <c r="FA125" s="12">
        <f t="array" ref="FA125">SUMPRODUCT(TRANSPOSE(FA$9:FA$34),$K125:$AJ125)</f>
        <v>9000</v>
      </c>
      <c r="FB125" s="12">
        <f t="array" ref="FB125">SUMPRODUCT(TRANSPOSE(FB$9:FB$34),$K125:$AJ125)</f>
        <v>9000</v>
      </c>
      <c r="FC125" s="12">
        <f t="array" ref="FC125">SUMPRODUCT(TRANSPOSE(FC$9:FC$34),$K125:$AJ125)</f>
        <v>9000</v>
      </c>
      <c r="FD125" s="12">
        <f t="array" ref="FD125">SUMPRODUCT(TRANSPOSE(FD$9:FD$34),$K125:$AJ125)</f>
        <v>9000</v>
      </c>
      <c r="FE125" s="12">
        <f t="array" ref="FE125">SUMPRODUCT(TRANSPOSE(FE$9:FE$34),$K125:$AJ125)</f>
        <v>9000</v>
      </c>
      <c r="FF125" s="12">
        <f t="array" ref="FF125">SUMPRODUCT(TRANSPOSE(FF$9:FF$34),$K125:$AJ125)</f>
        <v>9000</v>
      </c>
      <c r="FG125" s="12">
        <f t="array" ref="FG125">SUMPRODUCT(TRANSPOSE(FG$9:FG$34),$K125:$AJ125)</f>
        <v>9000</v>
      </c>
      <c r="FH125" s="12">
        <f t="array" ref="FH125">SUMPRODUCT(TRANSPOSE(FH$9:FH$34),$K125:$AJ125)</f>
        <v>9000</v>
      </c>
      <c r="FI125" s="12">
        <f t="array" ref="FI125">SUMPRODUCT(TRANSPOSE(FI$9:FI$34),$K125:$AJ125)</f>
        <v>9000</v>
      </c>
      <c r="FJ125" s="12">
        <f t="array" ref="FJ125">SUMPRODUCT(TRANSPOSE(FJ$9:FJ$34),$K125:$AJ125)</f>
        <v>9000</v>
      </c>
      <c r="FK125" s="12">
        <f t="array" ref="FK125">SUMPRODUCT(TRANSPOSE(FK$9:FK$34),$K125:$AJ125)</f>
        <v>9000</v>
      </c>
      <c r="FL125" s="12">
        <f t="array" ref="FL125">SUMPRODUCT(TRANSPOSE(FL$9:FL$34),$K125:$AJ125)</f>
        <v>9000</v>
      </c>
      <c r="FM125" s="12">
        <f t="array" ref="FM125">SUMPRODUCT(TRANSPOSE(FM$9:FM$34),$K125:$AJ125)</f>
        <v>9000</v>
      </c>
      <c r="FN125" s="12">
        <f t="array" ref="FN125">SUMPRODUCT(TRANSPOSE(FN$9:FN$34),$K125:$AJ125)</f>
        <v>6520</v>
      </c>
      <c r="FO125" s="12">
        <f t="array" ref="FO125">SUMPRODUCT(TRANSPOSE(FO$9:FO$34),$K125:$AJ125)</f>
        <v>0</v>
      </c>
    </row>
    <row r="126" spans="1:171" ht="14.25" x14ac:dyDescent="0.2">
      <c r="A126" s="13">
        <f t="shared" si="7"/>
        <v>91</v>
      </c>
      <c r="B126" s="13" t="s">
        <v>331</v>
      </c>
      <c r="C126" s="25" t="s">
        <v>332</v>
      </c>
      <c r="D126" s="13" t="s">
        <v>67</v>
      </c>
      <c r="E126" s="13">
        <v>421375236</v>
      </c>
      <c r="F126" s="26" t="s">
        <v>333</v>
      </c>
      <c r="G126" s="13"/>
      <c r="H126" s="13" t="s">
        <v>61</v>
      </c>
      <c r="I126" s="13">
        <v>2</v>
      </c>
      <c r="J126" s="13">
        <v>3</v>
      </c>
      <c r="K126" s="13">
        <v>0</v>
      </c>
      <c r="L126" s="13">
        <v>0</v>
      </c>
      <c r="M126" s="13">
        <v>0</v>
      </c>
      <c r="N126" s="13">
        <v>0</v>
      </c>
      <c r="O126" s="13">
        <v>1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1</v>
      </c>
      <c r="Y126" s="13"/>
      <c r="Z126" s="13"/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1</v>
      </c>
      <c r="AK126" s="13">
        <f t="shared" si="8"/>
        <v>2</v>
      </c>
      <c r="AL126" s="23">
        <f t="shared" si="6"/>
        <v>70863</v>
      </c>
      <c r="AM126" s="13"/>
      <c r="AN126" s="13" t="s">
        <v>334</v>
      </c>
      <c r="AO126" s="7" t="s">
        <v>134</v>
      </c>
      <c r="AP126" s="45">
        <v>26.059000000000001</v>
      </c>
      <c r="AQ126" s="12">
        <v>24480</v>
      </c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13"/>
      <c r="CG126" s="13"/>
      <c r="CH126" s="13"/>
      <c r="CI126" s="12"/>
      <c r="CJ126" s="12"/>
      <c r="CK126" s="12"/>
      <c r="CL126" s="12"/>
      <c r="CM126" s="12"/>
      <c r="CN126" s="12"/>
      <c r="CO126" s="12"/>
      <c r="CP126" s="12">
        <f>SUM($AQ126:BJ126)-SUM($EA126:EH126)</f>
        <v>17417</v>
      </c>
      <c r="CQ126" s="12">
        <f>SUM($AQ126:BK126)-SUM($EA126:EI126)</f>
        <v>17017</v>
      </c>
      <c r="CR126" s="12">
        <f>SUM($AQ126:BL126)-SUM($EA126:EJ126)</f>
        <v>16002</v>
      </c>
      <c r="CS126" s="12">
        <f>SUM($AQ126:BM126)-SUM($EA126:EK126)</f>
        <v>14867</v>
      </c>
      <c r="CT126" s="12">
        <f>SUM($AQ126:BN126)-SUM($EA126:EL126)</f>
        <v>12852</v>
      </c>
      <c r="CU126" s="12">
        <f>SUM($AQ126:BO126)-SUM($EA126:EM126)</f>
        <v>10802</v>
      </c>
      <c r="CV126" s="12">
        <f>SUM($AQ126:BP126)-SUM($EA126:EN126)</f>
        <v>8752</v>
      </c>
      <c r="CW126" s="12">
        <f>SUM($AQ126:BQ126)-SUM($EA126:EO126)</f>
        <v>6752</v>
      </c>
      <c r="CX126" s="12">
        <f>SUM($AQ126:BR126)-SUM($EA126:EP126)</f>
        <v>4702</v>
      </c>
      <c r="CY126" s="12">
        <f>SUM($AQ126:BS126)-SUM($EA126:EQ126)</f>
        <v>2652</v>
      </c>
      <c r="CZ126" s="12">
        <f>SUM($AQ126:BT126)-SUM($EA126:ER126)</f>
        <v>602</v>
      </c>
      <c r="DA126" s="12">
        <f>SUM($AQ126:BU126)-SUM($EA126:ES126)</f>
        <v>-1448</v>
      </c>
      <c r="DB126" s="12">
        <f>SUM($AQ126:BV126)-SUM($EA126:ET126)</f>
        <v>-3498</v>
      </c>
      <c r="DC126" s="12">
        <f>SUM($AQ126:BW126)-SUM($EA126:EU126)</f>
        <v>-5548</v>
      </c>
      <c r="DD126" s="12">
        <f>SUM($AQ126:BX126)-SUM($EA126:EV126)</f>
        <v>-7598</v>
      </c>
      <c r="DE126" s="12">
        <f>SUM($AQ126:BY126)-SUM($EA126:EW126)</f>
        <v>-9608</v>
      </c>
      <c r="DF126" s="12">
        <f>SUM($AQ126:BZ126)-SUM($EA126:EX126)</f>
        <v>-11608</v>
      </c>
      <c r="DG126" s="12">
        <f>SUM($AQ126:CA126)-SUM($EA126:EY126)</f>
        <v>-13608</v>
      </c>
      <c r="DH126" s="12">
        <f>SUM($AQ126:CB126)-SUM($EA126:EZ126)</f>
        <v>-15608</v>
      </c>
      <c r="DI126" s="12">
        <f>SUM($AQ126:CC126)-SUM($EA126:FA126)</f>
        <v>-17608</v>
      </c>
      <c r="DJ126" s="12">
        <f>SUM($AQ126:CD126)-SUM($EA126:FB126)</f>
        <v>-19608</v>
      </c>
      <c r="DK126" s="12">
        <f>SUM($AQ126:CE126)-SUM($EA126:FC126)</f>
        <v>-21608</v>
      </c>
      <c r="DL126" s="12">
        <f>SUM($AQ126:CF126)-SUM($EA126:FD126)</f>
        <v>-23608</v>
      </c>
      <c r="DM126" s="12">
        <f>SUM($AQ126:CG126)-SUM($EA126:FE126)</f>
        <v>-25608</v>
      </c>
      <c r="DN126" s="12">
        <f>SUM($AQ126:CH126)-SUM($EA126:FF126)</f>
        <v>-27608</v>
      </c>
      <c r="DO126" s="12">
        <f>SUM($AQ126:CI126)-SUM($EA126:FG126)</f>
        <v>-29608</v>
      </c>
      <c r="DP126" s="12">
        <f>SUM($AQ126:CJ126)-SUM($EA126:FH126)</f>
        <v>-31608</v>
      </c>
      <c r="DQ126" s="12">
        <f>SUM($AQ126:CK126)-SUM($EA126:FI126)</f>
        <v>-33608</v>
      </c>
      <c r="DR126" s="12">
        <f>SUM($AQ126:CL126)-SUM($EA126:FJ126)</f>
        <v>-35608</v>
      </c>
      <c r="DS126" s="12">
        <f>SUM($AQ126:CM126)-SUM($EA126:FK126)</f>
        <v>-37608</v>
      </c>
      <c r="DT126" s="12">
        <f>SUM($AQ126:CN126)-SUM($EA126:FL126)</f>
        <v>-39608</v>
      </c>
      <c r="DU126" s="12">
        <f>SUM($AQ126:CO126)-SUM($EA126:FM126)</f>
        <v>-41608</v>
      </c>
      <c r="DV126" s="12">
        <f>SUM($AQ126:CP126)-SUM($EA126:FN126)</f>
        <v>-25889</v>
      </c>
      <c r="DW126" s="12">
        <f>SUM($AQ126:CQ126)-SUM($EA126:FO126)</f>
        <v>-8949</v>
      </c>
      <c r="DX126" s="13"/>
      <c r="DY126" s="13"/>
      <c r="DZ126" s="13"/>
      <c r="EA126" s="12"/>
      <c r="EB126" s="12"/>
      <c r="EC126" s="12"/>
      <c r="ED126" s="12"/>
      <c r="EE126" s="12"/>
      <c r="EF126" s="12"/>
      <c r="EG126" s="12"/>
      <c r="EH126" s="12">
        <f t="array" ref="EH126">SUMPRODUCT(TRANSPOSE(EH$9:EH$34),$K126:$AJ126)</f>
        <v>7063</v>
      </c>
      <c r="EI126" s="12">
        <f t="array" ref="EI126">SUMPRODUCT(TRANSPOSE(EI$9:EI$34),$K126:$AJ126)</f>
        <v>400</v>
      </c>
      <c r="EJ126" s="12">
        <f t="array" ref="EJ126">SUMPRODUCT(TRANSPOSE(EJ$9:EJ$34),$K126:$AJ126)</f>
        <v>1015</v>
      </c>
      <c r="EK126" s="12">
        <f t="array" ref="EK126">SUMPRODUCT(TRANSPOSE(EK$9:EK$34),$K126:$AJ126)</f>
        <v>1135</v>
      </c>
      <c r="EL126" s="12">
        <f t="array" ref="EL126">SUMPRODUCT(TRANSPOSE(EL$9:EL$34),$K126:$AJ126)</f>
        <v>2015</v>
      </c>
      <c r="EM126" s="12">
        <f t="array" ref="EM126">SUMPRODUCT(TRANSPOSE(EM$9:EM$34),$K126:$AJ126)</f>
        <v>2050</v>
      </c>
      <c r="EN126" s="12">
        <f t="array" ref="EN126">SUMPRODUCT(TRANSPOSE(EN$9:EN$34),$K126:$AJ126)</f>
        <v>2050</v>
      </c>
      <c r="EO126" s="12">
        <f t="array" ref="EO126">SUMPRODUCT(TRANSPOSE(EO$9:EO$34),$K126:$AJ126)</f>
        <v>2000</v>
      </c>
      <c r="EP126" s="12">
        <f t="array" ref="EP126">SUMPRODUCT(TRANSPOSE(EP$9:EP$34),$K126:$AJ126)</f>
        <v>2050</v>
      </c>
      <c r="EQ126" s="12">
        <f t="array" ref="EQ126">SUMPRODUCT(TRANSPOSE(EQ$9:EQ$34),$K126:$AJ126)</f>
        <v>2050</v>
      </c>
      <c r="ER126" s="12">
        <f t="array" ref="ER126">SUMPRODUCT(TRANSPOSE(ER$9:ER$34),$K126:$AJ126)</f>
        <v>2050</v>
      </c>
      <c r="ES126" s="12">
        <f t="array" ref="ES126">SUMPRODUCT(TRANSPOSE(ES$9:ES$34),$K126:$AJ126)</f>
        <v>2050</v>
      </c>
      <c r="ET126" s="12">
        <f t="array" ref="ET126">SUMPRODUCT(TRANSPOSE(ET$9:ET$34),$K126:$AJ126)</f>
        <v>2050</v>
      </c>
      <c r="EU126" s="12">
        <f t="array" ref="EU126">SUMPRODUCT(TRANSPOSE(EU$9:EU$34),$K126:$AJ126)</f>
        <v>2050</v>
      </c>
      <c r="EV126" s="12">
        <f t="array" ref="EV126">SUMPRODUCT(TRANSPOSE(EV$9:EV$34),$K126:$AJ126)</f>
        <v>2050</v>
      </c>
      <c r="EW126" s="12">
        <f t="array" ref="EW126">SUMPRODUCT(TRANSPOSE(EW$9:EW$34),$K126:$AJ126)</f>
        <v>2010</v>
      </c>
      <c r="EX126" s="12">
        <f t="array" ref="EX126">SUMPRODUCT(TRANSPOSE(EX$9:EX$34),$K126:$AJ126)</f>
        <v>2000</v>
      </c>
      <c r="EY126" s="12">
        <f t="array" ref="EY126">SUMPRODUCT(TRANSPOSE(EY$9:EY$34),$K126:$AJ126)</f>
        <v>2000</v>
      </c>
      <c r="EZ126" s="12">
        <f t="array" ref="EZ126">SUMPRODUCT(TRANSPOSE(EZ$9:EZ$34),$K126:$AJ126)</f>
        <v>2000</v>
      </c>
      <c r="FA126" s="12">
        <f t="array" ref="FA126">SUMPRODUCT(TRANSPOSE(FA$9:FA$34),$K126:$AJ126)</f>
        <v>2000</v>
      </c>
      <c r="FB126" s="12">
        <f t="array" ref="FB126">SUMPRODUCT(TRANSPOSE(FB$9:FB$34),$K126:$AJ126)</f>
        <v>2000</v>
      </c>
      <c r="FC126" s="12">
        <f t="array" ref="FC126">SUMPRODUCT(TRANSPOSE(FC$9:FC$34),$K126:$AJ126)</f>
        <v>2000</v>
      </c>
      <c r="FD126" s="12">
        <f t="array" ref="FD126">SUMPRODUCT(TRANSPOSE(FD$9:FD$34),$K126:$AJ126)</f>
        <v>2000</v>
      </c>
      <c r="FE126" s="12">
        <f t="array" ref="FE126">SUMPRODUCT(TRANSPOSE(FE$9:FE$34),$K126:$AJ126)</f>
        <v>2000</v>
      </c>
      <c r="FF126" s="12">
        <f t="array" ref="FF126">SUMPRODUCT(TRANSPOSE(FF$9:FF$34),$K126:$AJ126)</f>
        <v>2000</v>
      </c>
      <c r="FG126" s="12">
        <f t="array" ref="FG126">SUMPRODUCT(TRANSPOSE(FG$9:FG$34),$K126:$AJ126)</f>
        <v>2000</v>
      </c>
      <c r="FH126" s="12">
        <f t="array" ref="FH126">SUMPRODUCT(TRANSPOSE(FH$9:FH$34),$K126:$AJ126)</f>
        <v>2000</v>
      </c>
      <c r="FI126" s="12">
        <f t="array" ref="FI126">SUMPRODUCT(TRANSPOSE(FI$9:FI$34),$K126:$AJ126)</f>
        <v>2000</v>
      </c>
      <c r="FJ126" s="12">
        <f t="array" ref="FJ126">SUMPRODUCT(TRANSPOSE(FJ$9:FJ$34),$K126:$AJ126)</f>
        <v>2000</v>
      </c>
      <c r="FK126" s="12">
        <f t="array" ref="FK126">SUMPRODUCT(TRANSPOSE(FK$9:FK$34),$K126:$AJ126)</f>
        <v>2000</v>
      </c>
      <c r="FL126" s="12">
        <f t="array" ref="FL126">SUMPRODUCT(TRANSPOSE(FL$9:FL$34),$K126:$AJ126)</f>
        <v>2000</v>
      </c>
      <c r="FM126" s="12">
        <f t="array" ref="FM126">SUMPRODUCT(TRANSPOSE(FM$9:FM$34),$K126:$AJ126)</f>
        <v>2000</v>
      </c>
      <c r="FN126" s="12">
        <f t="array" ref="FN126">SUMPRODUCT(TRANSPOSE(FN$9:FN$34),$K126:$AJ126)</f>
        <v>1698</v>
      </c>
      <c r="FO126" s="12">
        <f t="array" ref="FO126">SUMPRODUCT(TRANSPOSE(FO$9:FO$34),$K126:$AJ126)</f>
        <v>77</v>
      </c>
    </row>
    <row r="127" spans="1:171" ht="14.25" x14ac:dyDescent="0.2">
      <c r="A127" s="13">
        <f t="shared" si="7"/>
        <v>92</v>
      </c>
      <c r="B127" s="13" t="s">
        <v>335</v>
      </c>
      <c r="C127" s="25" t="s">
        <v>336</v>
      </c>
      <c r="D127" s="13" t="s">
        <v>67</v>
      </c>
      <c r="E127" s="13">
        <v>418270653</v>
      </c>
      <c r="F127" s="26" t="s">
        <v>337</v>
      </c>
      <c r="G127" s="13"/>
      <c r="H127" s="13" t="s">
        <v>61</v>
      </c>
      <c r="I127" s="13">
        <v>2</v>
      </c>
      <c r="J127" s="13">
        <v>4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2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/>
      <c r="Z127" s="13">
        <v>2</v>
      </c>
      <c r="AA127" s="13">
        <v>0</v>
      </c>
      <c r="AB127" s="13">
        <v>0</v>
      </c>
      <c r="AC127" s="13">
        <v>0</v>
      </c>
      <c r="AD127" s="13">
        <v>2</v>
      </c>
      <c r="AE127" s="13">
        <v>2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f t="shared" si="8"/>
        <v>6</v>
      </c>
      <c r="AL127" s="23">
        <f t="shared" si="6"/>
        <v>71330</v>
      </c>
      <c r="AM127" s="13"/>
      <c r="AN127" s="13" t="s">
        <v>97</v>
      </c>
      <c r="AO127" s="7" t="s">
        <v>75</v>
      </c>
      <c r="AP127" s="38">
        <v>0.23</v>
      </c>
      <c r="AQ127" s="12">
        <v>71000</v>
      </c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13"/>
      <c r="CG127" s="13"/>
      <c r="CH127" s="13"/>
      <c r="CI127" s="12"/>
      <c r="CJ127" s="12"/>
      <c r="CK127" s="12"/>
      <c r="CL127" s="12"/>
      <c r="CM127" s="12"/>
      <c r="CN127" s="12"/>
      <c r="CO127" s="12"/>
      <c r="CP127" s="12">
        <f>SUM($AQ127:BJ127)-SUM($EA127:EH127)</f>
        <v>64782</v>
      </c>
      <c r="CQ127" s="12">
        <f>SUM($AQ127:BK127)-SUM($EA127:EI127)</f>
        <v>64220</v>
      </c>
      <c r="CR127" s="12">
        <f>SUM($AQ127:BL127)-SUM($EA127:EJ127)</f>
        <v>64190</v>
      </c>
      <c r="CS127" s="12">
        <f>SUM($AQ127:BM127)-SUM($EA127:EK127)</f>
        <v>63920</v>
      </c>
      <c r="CT127" s="12">
        <f>SUM($AQ127:BN127)-SUM($EA127:EL127)</f>
        <v>61890</v>
      </c>
      <c r="CU127" s="12">
        <f>SUM($AQ127:BO127)-SUM($EA127:EM127)</f>
        <v>57790</v>
      </c>
      <c r="CV127" s="12">
        <f>SUM($AQ127:BP127)-SUM($EA127:EN127)</f>
        <v>55490</v>
      </c>
      <c r="CW127" s="12">
        <f>SUM($AQ127:BQ127)-SUM($EA127:EO127)</f>
        <v>53490</v>
      </c>
      <c r="CX127" s="12">
        <f>SUM($AQ127:BR127)-SUM($EA127:EP127)</f>
        <v>51390</v>
      </c>
      <c r="CY127" s="12">
        <f>SUM($AQ127:BS127)-SUM($EA127:EQ127)</f>
        <v>49290</v>
      </c>
      <c r="CZ127" s="12">
        <f>SUM($AQ127:BT127)-SUM($EA127:ER127)</f>
        <v>47190</v>
      </c>
      <c r="DA127" s="12">
        <f>SUM($AQ127:BU127)-SUM($EA127:ES127)</f>
        <v>45090</v>
      </c>
      <c r="DB127" s="12">
        <f>SUM($AQ127:BV127)-SUM($EA127:ET127)</f>
        <v>42990</v>
      </c>
      <c r="DC127" s="12">
        <f>SUM($AQ127:BW127)-SUM($EA127:EU127)</f>
        <v>40890</v>
      </c>
      <c r="DD127" s="12">
        <f>SUM($AQ127:BX127)-SUM($EA127:EV127)</f>
        <v>38790</v>
      </c>
      <c r="DE127" s="12">
        <f>SUM($AQ127:BY127)-SUM($EA127:EW127)</f>
        <v>36704</v>
      </c>
      <c r="DF127" s="12">
        <f>SUM($AQ127:BZ127)-SUM($EA127:EX127)</f>
        <v>34704</v>
      </c>
      <c r="DG127" s="12">
        <f>SUM($AQ127:CA127)-SUM($EA127:EY127)</f>
        <v>32704</v>
      </c>
      <c r="DH127" s="12">
        <f>SUM($AQ127:CB127)-SUM($EA127:EZ127)</f>
        <v>30704</v>
      </c>
      <c r="DI127" s="12">
        <f>SUM($AQ127:CC127)-SUM($EA127:FA127)</f>
        <v>28704</v>
      </c>
      <c r="DJ127" s="12">
        <f>SUM($AQ127:CD127)-SUM($EA127:FB127)</f>
        <v>26704</v>
      </c>
      <c r="DK127" s="12">
        <f>SUM($AQ127:CE127)-SUM($EA127:FC127)</f>
        <v>24704</v>
      </c>
      <c r="DL127" s="12">
        <f>SUM($AQ127:CF127)-SUM($EA127:FD127)</f>
        <v>22704</v>
      </c>
      <c r="DM127" s="12">
        <f>SUM($AQ127:CG127)-SUM($EA127:FE127)</f>
        <v>20704</v>
      </c>
      <c r="DN127" s="12">
        <f>SUM($AQ127:CH127)-SUM($EA127:FF127)</f>
        <v>18704</v>
      </c>
      <c r="DO127" s="12">
        <f>SUM($AQ127:CI127)-SUM($EA127:FG127)</f>
        <v>16704</v>
      </c>
      <c r="DP127" s="12">
        <f>SUM($AQ127:CJ127)-SUM($EA127:FH127)</f>
        <v>14704</v>
      </c>
      <c r="DQ127" s="12">
        <f>SUM($AQ127:CK127)-SUM($EA127:FI127)</f>
        <v>12704</v>
      </c>
      <c r="DR127" s="12">
        <f>SUM($AQ127:CL127)-SUM($EA127:FJ127)</f>
        <v>10704</v>
      </c>
      <c r="DS127" s="12">
        <f>SUM($AQ127:CM127)-SUM($EA127:FK127)</f>
        <v>8704</v>
      </c>
      <c r="DT127" s="12">
        <f>SUM($AQ127:CN127)-SUM($EA127:FL127)</f>
        <v>6704</v>
      </c>
      <c r="DU127" s="12">
        <f>SUM($AQ127:CO127)-SUM($EA127:FM127)</f>
        <v>4704</v>
      </c>
      <c r="DV127" s="12">
        <f>SUM($AQ127:CP127)-SUM($EA127:FN127)</f>
        <v>67852</v>
      </c>
      <c r="DW127" s="12">
        <f>SUM($AQ127:CQ127)-SUM($EA127:FO127)</f>
        <v>132072</v>
      </c>
      <c r="DX127" s="13"/>
      <c r="DY127" s="13"/>
      <c r="DZ127" s="13"/>
      <c r="EA127" s="12"/>
      <c r="EB127" s="12"/>
      <c r="EC127" s="12"/>
      <c r="ED127" s="12"/>
      <c r="EE127" s="12"/>
      <c r="EF127" s="12"/>
      <c r="EG127" s="12"/>
      <c r="EH127" s="12">
        <f t="array" ref="EH127">SUMPRODUCT(TRANSPOSE(EH$9:EH$34),$K127:$AJ127)</f>
        <v>6218</v>
      </c>
      <c r="EI127" s="12">
        <f t="array" ref="EI127">SUMPRODUCT(TRANSPOSE(EI$9:EI$34),$K127:$AJ127)</f>
        <v>562</v>
      </c>
      <c r="EJ127" s="12">
        <f t="array" ref="EJ127">SUMPRODUCT(TRANSPOSE(EJ$9:EJ$34),$K127:$AJ127)</f>
        <v>30</v>
      </c>
      <c r="EK127" s="12">
        <f t="array" ref="EK127">SUMPRODUCT(TRANSPOSE(EK$9:EK$34),$K127:$AJ127)</f>
        <v>270</v>
      </c>
      <c r="EL127" s="12">
        <f t="array" ref="EL127">SUMPRODUCT(TRANSPOSE(EL$9:EL$34),$K127:$AJ127)</f>
        <v>2030</v>
      </c>
      <c r="EM127" s="12">
        <f t="array" ref="EM127">SUMPRODUCT(TRANSPOSE(EM$9:EM$34),$K127:$AJ127)</f>
        <v>4100</v>
      </c>
      <c r="EN127" s="12">
        <f t="array" ref="EN127">SUMPRODUCT(TRANSPOSE(EN$9:EN$34),$K127:$AJ127)</f>
        <v>2300</v>
      </c>
      <c r="EO127" s="12">
        <f t="array" ref="EO127">SUMPRODUCT(TRANSPOSE(EO$9:EO$34),$K127:$AJ127)</f>
        <v>2000</v>
      </c>
      <c r="EP127" s="12">
        <f t="array" ref="EP127">SUMPRODUCT(TRANSPOSE(EP$9:EP$34),$K127:$AJ127)</f>
        <v>2100</v>
      </c>
      <c r="EQ127" s="12">
        <f t="array" ref="EQ127">SUMPRODUCT(TRANSPOSE(EQ$9:EQ$34),$K127:$AJ127)</f>
        <v>2100</v>
      </c>
      <c r="ER127" s="12">
        <f t="array" ref="ER127">SUMPRODUCT(TRANSPOSE(ER$9:ER$34),$K127:$AJ127)</f>
        <v>2100</v>
      </c>
      <c r="ES127" s="12">
        <f t="array" ref="ES127">SUMPRODUCT(TRANSPOSE(ES$9:ES$34),$K127:$AJ127)</f>
        <v>2100</v>
      </c>
      <c r="ET127" s="12">
        <f t="array" ref="ET127">SUMPRODUCT(TRANSPOSE(ET$9:ET$34),$K127:$AJ127)</f>
        <v>2100</v>
      </c>
      <c r="EU127" s="12">
        <f t="array" ref="EU127">SUMPRODUCT(TRANSPOSE(EU$9:EU$34),$K127:$AJ127)</f>
        <v>2100</v>
      </c>
      <c r="EV127" s="12">
        <f t="array" ref="EV127">SUMPRODUCT(TRANSPOSE(EV$9:EV$34),$K127:$AJ127)</f>
        <v>2100</v>
      </c>
      <c r="EW127" s="12">
        <f t="array" ref="EW127">SUMPRODUCT(TRANSPOSE(EW$9:EW$34),$K127:$AJ127)</f>
        <v>2086</v>
      </c>
      <c r="EX127" s="12">
        <f t="array" ref="EX127">SUMPRODUCT(TRANSPOSE(EX$9:EX$34),$K127:$AJ127)</f>
        <v>2000</v>
      </c>
      <c r="EY127" s="12">
        <f t="array" ref="EY127">SUMPRODUCT(TRANSPOSE(EY$9:EY$34),$K127:$AJ127)</f>
        <v>2000</v>
      </c>
      <c r="EZ127" s="12">
        <f t="array" ref="EZ127">SUMPRODUCT(TRANSPOSE(EZ$9:EZ$34),$K127:$AJ127)</f>
        <v>2000</v>
      </c>
      <c r="FA127" s="12">
        <f t="array" ref="FA127">SUMPRODUCT(TRANSPOSE(FA$9:FA$34),$K127:$AJ127)</f>
        <v>2000</v>
      </c>
      <c r="FB127" s="12">
        <f t="array" ref="FB127">SUMPRODUCT(TRANSPOSE(FB$9:FB$34),$K127:$AJ127)</f>
        <v>2000</v>
      </c>
      <c r="FC127" s="12">
        <f t="array" ref="FC127">SUMPRODUCT(TRANSPOSE(FC$9:FC$34),$K127:$AJ127)</f>
        <v>2000</v>
      </c>
      <c r="FD127" s="12">
        <f t="array" ref="FD127">SUMPRODUCT(TRANSPOSE(FD$9:FD$34),$K127:$AJ127)</f>
        <v>2000</v>
      </c>
      <c r="FE127" s="12">
        <f t="array" ref="FE127">SUMPRODUCT(TRANSPOSE(FE$9:FE$34),$K127:$AJ127)</f>
        <v>2000</v>
      </c>
      <c r="FF127" s="12">
        <f t="array" ref="FF127">SUMPRODUCT(TRANSPOSE(FF$9:FF$34),$K127:$AJ127)</f>
        <v>2000</v>
      </c>
      <c r="FG127" s="12">
        <f t="array" ref="FG127">SUMPRODUCT(TRANSPOSE(FG$9:FG$34),$K127:$AJ127)</f>
        <v>2000</v>
      </c>
      <c r="FH127" s="12">
        <f t="array" ref="FH127">SUMPRODUCT(TRANSPOSE(FH$9:FH$34),$K127:$AJ127)</f>
        <v>2000</v>
      </c>
      <c r="FI127" s="12">
        <f t="array" ref="FI127">SUMPRODUCT(TRANSPOSE(FI$9:FI$34),$K127:$AJ127)</f>
        <v>2000</v>
      </c>
      <c r="FJ127" s="12">
        <f t="array" ref="FJ127">SUMPRODUCT(TRANSPOSE(FJ$9:FJ$34),$K127:$AJ127)</f>
        <v>2000</v>
      </c>
      <c r="FK127" s="12">
        <f t="array" ref="FK127">SUMPRODUCT(TRANSPOSE(FK$9:FK$34),$K127:$AJ127)</f>
        <v>2000</v>
      </c>
      <c r="FL127" s="12">
        <f t="array" ref="FL127">SUMPRODUCT(TRANSPOSE(FL$9:FL$34),$K127:$AJ127)</f>
        <v>2000</v>
      </c>
      <c r="FM127" s="12">
        <f t="array" ref="FM127">SUMPRODUCT(TRANSPOSE(FM$9:FM$34),$K127:$AJ127)</f>
        <v>2000</v>
      </c>
      <c r="FN127" s="12">
        <f t="array" ref="FN127">SUMPRODUCT(TRANSPOSE(FN$9:FN$34),$K127:$AJ127)</f>
        <v>1634</v>
      </c>
      <c r="FO127" s="12">
        <f t="array" ref="FO127">SUMPRODUCT(TRANSPOSE(FO$9:FO$34),$K127:$AJ127)</f>
        <v>0</v>
      </c>
    </row>
    <row r="128" spans="1:171" ht="14.25" x14ac:dyDescent="0.2">
      <c r="A128" s="13">
        <f t="shared" si="7"/>
        <v>93</v>
      </c>
      <c r="B128" s="13" t="s">
        <v>338</v>
      </c>
      <c r="C128" s="25" t="s">
        <v>339</v>
      </c>
      <c r="D128" s="13" t="s">
        <v>67</v>
      </c>
      <c r="E128" s="13">
        <v>418270654</v>
      </c>
      <c r="F128" s="26" t="s">
        <v>340</v>
      </c>
      <c r="G128" s="13"/>
      <c r="H128" s="13" t="s">
        <v>61</v>
      </c>
      <c r="I128" s="13">
        <v>1</v>
      </c>
      <c r="J128" s="13">
        <v>76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38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/>
      <c r="Z128" s="13">
        <v>40</v>
      </c>
      <c r="AA128" s="13">
        <v>0</v>
      </c>
      <c r="AB128" s="13">
        <v>0</v>
      </c>
      <c r="AC128" s="13">
        <v>0</v>
      </c>
      <c r="AD128" s="13">
        <v>38</v>
      </c>
      <c r="AE128" s="13">
        <v>38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f t="shared" si="8"/>
        <v>116</v>
      </c>
      <c r="AL128" s="23">
        <f t="shared" si="6"/>
        <v>1418504</v>
      </c>
      <c r="AM128" s="13"/>
      <c r="AN128" s="13" t="s">
        <v>97</v>
      </c>
      <c r="AO128" s="7" t="s">
        <v>75</v>
      </c>
      <c r="AP128" s="38">
        <v>0.155</v>
      </c>
      <c r="AQ128" s="12">
        <v>466000</v>
      </c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13"/>
      <c r="CG128" s="13"/>
      <c r="CH128" s="13"/>
      <c r="CI128" s="12"/>
      <c r="CJ128" s="12"/>
      <c r="CK128" s="12"/>
      <c r="CL128" s="12"/>
      <c r="CM128" s="12"/>
      <c r="CN128" s="12"/>
      <c r="CO128" s="12"/>
      <c r="CP128" s="12">
        <f>SUM($AQ128:BJ128)-SUM($EA128:EH128)</f>
        <v>347858</v>
      </c>
      <c r="CQ128" s="12">
        <f>SUM($AQ128:BK128)-SUM($EA128:EI128)</f>
        <v>337180</v>
      </c>
      <c r="CR128" s="12">
        <f>SUM($AQ128:BL128)-SUM($EA128:EJ128)</f>
        <v>336610</v>
      </c>
      <c r="CS128" s="12">
        <f>SUM($AQ128:BM128)-SUM($EA128:EK128)</f>
        <v>331280</v>
      </c>
      <c r="CT128" s="12">
        <f>SUM($AQ128:BN128)-SUM($EA128:EL128)</f>
        <v>290710</v>
      </c>
      <c r="CU128" s="12">
        <f>SUM($AQ128:BO128)-SUM($EA128:EM128)</f>
        <v>208810</v>
      </c>
      <c r="CV128" s="12">
        <f>SUM($AQ128:BP128)-SUM($EA128:EN128)</f>
        <v>162910</v>
      </c>
      <c r="CW128" s="12">
        <f>SUM($AQ128:BQ128)-SUM($EA128:EO128)</f>
        <v>122910</v>
      </c>
      <c r="CX128" s="12">
        <f>SUM($AQ128:BR128)-SUM($EA128:EP128)</f>
        <v>81010</v>
      </c>
      <c r="CY128" s="12">
        <f>SUM($AQ128:BS128)-SUM($EA128:EQ128)</f>
        <v>39110</v>
      </c>
      <c r="CZ128" s="12">
        <f>SUM($AQ128:BT128)-SUM($EA128:ER128)</f>
        <v>-2790</v>
      </c>
      <c r="DA128" s="12">
        <f>SUM($AQ128:BU128)-SUM($EA128:ES128)</f>
        <v>-44690</v>
      </c>
      <c r="DB128" s="12">
        <f>SUM($AQ128:BV128)-SUM($EA128:ET128)</f>
        <v>-86590</v>
      </c>
      <c r="DC128" s="12">
        <f>SUM($AQ128:BW128)-SUM($EA128:EU128)</f>
        <v>-128490</v>
      </c>
      <c r="DD128" s="12">
        <f>SUM($AQ128:BX128)-SUM($EA128:EV128)</f>
        <v>-170390</v>
      </c>
      <c r="DE128" s="12">
        <f>SUM($AQ128:BY128)-SUM($EA128:EW128)</f>
        <v>-212024</v>
      </c>
      <c r="DF128" s="12">
        <f>SUM($AQ128:BZ128)-SUM($EA128:EX128)</f>
        <v>-252024</v>
      </c>
      <c r="DG128" s="12">
        <f>SUM($AQ128:CA128)-SUM($EA128:EY128)</f>
        <v>-292024</v>
      </c>
      <c r="DH128" s="12">
        <f>SUM($AQ128:CB128)-SUM($EA128:EZ128)</f>
        <v>-332024</v>
      </c>
      <c r="DI128" s="12">
        <f>SUM($AQ128:CC128)-SUM($EA128:FA128)</f>
        <v>-372024</v>
      </c>
      <c r="DJ128" s="12">
        <f>SUM($AQ128:CD128)-SUM($EA128:FB128)</f>
        <v>-412024</v>
      </c>
      <c r="DK128" s="12">
        <f>SUM($AQ128:CE128)-SUM($EA128:FC128)</f>
        <v>-452024</v>
      </c>
      <c r="DL128" s="12">
        <f>SUM($AQ128:CF128)-SUM($EA128:FD128)</f>
        <v>-492024</v>
      </c>
      <c r="DM128" s="12">
        <f>SUM($AQ128:CG128)-SUM($EA128:FE128)</f>
        <v>-532024</v>
      </c>
      <c r="DN128" s="12">
        <f>SUM($AQ128:CH128)-SUM($EA128:FF128)</f>
        <v>-572024</v>
      </c>
      <c r="DO128" s="12">
        <f>SUM($AQ128:CI128)-SUM($EA128:FG128)</f>
        <v>-612024</v>
      </c>
      <c r="DP128" s="12">
        <f>SUM($AQ128:CJ128)-SUM($EA128:FH128)</f>
        <v>-652024</v>
      </c>
      <c r="DQ128" s="12">
        <f>SUM($AQ128:CK128)-SUM($EA128:FI128)</f>
        <v>-692024</v>
      </c>
      <c r="DR128" s="12">
        <f>SUM($AQ128:CL128)-SUM($EA128:FJ128)</f>
        <v>-732024</v>
      </c>
      <c r="DS128" s="12">
        <f>SUM($AQ128:CM128)-SUM($EA128:FK128)</f>
        <v>-772024</v>
      </c>
      <c r="DT128" s="12">
        <f>SUM($AQ128:CN128)-SUM($EA128:FL128)</f>
        <v>-812024</v>
      </c>
      <c r="DU128" s="12">
        <f>SUM($AQ128:CO128)-SUM($EA128:FM128)</f>
        <v>-852024</v>
      </c>
      <c r="DV128" s="12">
        <f>SUM($AQ128:CP128)-SUM($EA128:FN128)</f>
        <v>-536846</v>
      </c>
      <c r="DW128" s="12">
        <f>SUM($AQ128:CQ128)-SUM($EA128:FO128)</f>
        <v>-199666</v>
      </c>
      <c r="DX128" s="13"/>
      <c r="DY128" s="13"/>
      <c r="DZ128" s="13"/>
      <c r="EA128" s="12"/>
      <c r="EB128" s="12"/>
      <c r="EC128" s="12"/>
      <c r="ED128" s="12"/>
      <c r="EE128" s="12"/>
      <c r="EF128" s="12"/>
      <c r="EG128" s="12"/>
      <c r="EH128" s="12">
        <f t="array" ref="EH128">SUMPRODUCT(TRANSPOSE(EH$9:EH$34),$K128:$AJ128)</f>
        <v>118142</v>
      </c>
      <c r="EI128" s="12">
        <f t="array" ref="EI128">SUMPRODUCT(TRANSPOSE(EI$9:EI$34),$K128:$AJ128)</f>
        <v>10678</v>
      </c>
      <c r="EJ128" s="12">
        <f t="array" ref="EJ128">SUMPRODUCT(TRANSPOSE(EJ$9:EJ$34),$K128:$AJ128)</f>
        <v>570</v>
      </c>
      <c r="EK128" s="12">
        <f t="array" ref="EK128">SUMPRODUCT(TRANSPOSE(EK$9:EK$34),$K128:$AJ128)</f>
        <v>5330</v>
      </c>
      <c r="EL128" s="12">
        <f t="array" ref="EL128">SUMPRODUCT(TRANSPOSE(EL$9:EL$34),$K128:$AJ128)</f>
        <v>40570</v>
      </c>
      <c r="EM128" s="12">
        <f t="array" ref="EM128">SUMPRODUCT(TRANSPOSE(EM$9:EM$34),$K128:$AJ128)</f>
        <v>81900</v>
      </c>
      <c r="EN128" s="12">
        <f t="array" ref="EN128">SUMPRODUCT(TRANSPOSE(EN$9:EN$34),$K128:$AJ128)</f>
        <v>45900</v>
      </c>
      <c r="EO128" s="12">
        <f t="array" ref="EO128">SUMPRODUCT(TRANSPOSE(EO$9:EO$34),$K128:$AJ128)</f>
        <v>40000</v>
      </c>
      <c r="EP128" s="12">
        <f t="array" ref="EP128">SUMPRODUCT(TRANSPOSE(EP$9:EP$34),$K128:$AJ128)</f>
        <v>41900</v>
      </c>
      <c r="EQ128" s="12">
        <f t="array" ref="EQ128">SUMPRODUCT(TRANSPOSE(EQ$9:EQ$34),$K128:$AJ128)</f>
        <v>41900</v>
      </c>
      <c r="ER128" s="12">
        <f t="array" ref="ER128">SUMPRODUCT(TRANSPOSE(ER$9:ER$34),$K128:$AJ128)</f>
        <v>41900</v>
      </c>
      <c r="ES128" s="12">
        <f t="array" ref="ES128">SUMPRODUCT(TRANSPOSE(ES$9:ES$34),$K128:$AJ128)</f>
        <v>41900</v>
      </c>
      <c r="ET128" s="12">
        <f t="array" ref="ET128">SUMPRODUCT(TRANSPOSE(ET$9:ET$34),$K128:$AJ128)</f>
        <v>41900</v>
      </c>
      <c r="EU128" s="12">
        <f t="array" ref="EU128">SUMPRODUCT(TRANSPOSE(EU$9:EU$34),$K128:$AJ128)</f>
        <v>41900</v>
      </c>
      <c r="EV128" s="12">
        <f t="array" ref="EV128">SUMPRODUCT(TRANSPOSE(EV$9:EV$34),$K128:$AJ128)</f>
        <v>41900</v>
      </c>
      <c r="EW128" s="12">
        <f t="array" ref="EW128">SUMPRODUCT(TRANSPOSE(EW$9:EW$34),$K128:$AJ128)</f>
        <v>41634</v>
      </c>
      <c r="EX128" s="12">
        <f t="array" ref="EX128">SUMPRODUCT(TRANSPOSE(EX$9:EX$34),$K128:$AJ128)</f>
        <v>40000</v>
      </c>
      <c r="EY128" s="12">
        <f t="array" ref="EY128">SUMPRODUCT(TRANSPOSE(EY$9:EY$34),$K128:$AJ128)</f>
        <v>40000</v>
      </c>
      <c r="EZ128" s="12">
        <f t="array" ref="EZ128">SUMPRODUCT(TRANSPOSE(EZ$9:EZ$34),$K128:$AJ128)</f>
        <v>40000</v>
      </c>
      <c r="FA128" s="12">
        <f t="array" ref="FA128">SUMPRODUCT(TRANSPOSE(FA$9:FA$34),$K128:$AJ128)</f>
        <v>40000</v>
      </c>
      <c r="FB128" s="12">
        <f t="array" ref="FB128">SUMPRODUCT(TRANSPOSE(FB$9:FB$34),$K128:$AJ128)</f>
        <v>40000</v>
      </c>
      <c r="FC128" s="12">
        <f t="array" ref="FC128">SUMPRODUCT(TRANSPOSE(FC$9:FC$34),$K128:$AJ128)</f>
        <v>40000</v>
      </c>
      <c r="FD128" s="12">
        <f t="array" ref="FD128">SUMPRODUCT(TRANSPOSE(FD$9:FD$34),$K128:$AJ128)</f>
        <v>40000</v>
      </c>
      <c r="FE128" s="12">
        <f t="array" ref="FE128">SUMPRODUCT(TRANSPOSE(FE$9:FE$34),$K128:$AJ128)</f>
        <v>40000</v>
      </c>
      <c r="FF128" s="12">
        <f t="array" ref="FF128">SUMPRODUCT(TRANSPOSE(FF$9:FF$34),$K128:$AJ128)</f>
        <v>40000</v>
      </c>
      <c r="FG128" s="12">
        <f t="array" ref="FG128">SUMPRODUCT(TRANSPOSE(FG$9:FG$34),$K128:$AJ128)</f>
        <v>40000</v>
      </c>
      <c r="FH128" s="12">
        <f t="array" ref="FH128">SUMPRODUCT(TRANSPOSE(FH$9:FH$34),$K128:$AJ128)</f>
        <v>40000</v>
      </c>
      <c r="FI128" s="12">
        <f t="array" ref="FI128">SUMPRODUCT(TRANSPOSE(FI$9:FI$34),$K128:$AJ128)</f>
        <v>40000</v>
      </c>
      <c r="FJ128" s="12">
        <f t="array" ref="FJ128">SUMPRODUCT(TRANSPOSE(FJ$9:FJ$34),$K128:$AJ128)</f>
        <v>40000</v>
      </c>
      <c r="FK128" s="12">
        <f t="array" ref="FK128">SUMPRODUCT(TRANSPOSE(FK$9:FK$34),$K128:$AJ128)</f>
        <v>40000</v>
      </c>
      <c r="FL128" s="12">
        <f t="array" ref="FL128">SUMPRODUCT(TRANSPOSE(FL$9:FL$34),$K128:$AJ128)</f>
        <v>40000</v>
      </c>
      <c r="FM128" s="12">
        <f t="array" ref="FM128">SUMPRODUCT(TRANSPOSE(FM$9:FM$34),$K128:$AJ128)</f>
        <v>40000</v>
      </c>
      <c r="FN128" s="12">
        <f t="array" ref="FN128">SUMPRODUCT(TRANSPOSE(FN$9:FN$34),$K128:$AJ128)</f>
        <v>32680</v>
      </c>
      <c r="FO128" s="12">
        <f t="array" ref="FO128">SUMPRODUCT(TRANSPOSE(FO$9:FO$34),$K128:$AJ128)</f>
        <v>0</v>
      </c>
    </row>
    <row r="129" spans="1:171" ht="14.25" x14ac:dyDescent="0.2">
      <c r="A129" s="13">
        <f t="shared" si="7"/>
        <v>94</v>
      </c>
      <c r="B129" s="13" t="s">
        <v>341</v>
      </c>
      <c r="C129" s="25" t="s">
        <v>342</v>
      </c>
      <c r="D129" s="13" t="s">
        <v>67</v>
      </c>
      <c r="E129" s="13">
        <v>417983155</v>
      </c>
      <c r="F129" s="26" t="s">
        <v>343</v>
      </c>
      <c r="G129" s="13"/>
      <c r="H129" s="13" t="s">
        <v>61</v>
      </c>
      <c r="I129" s="13">
        <v>2</v>
      </c>
      <c r="J129" s="13">
        <v>8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4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/>
      <c r="Z129" s="13">
        <v>4</v>
      </c>
      <c r="AA129" s="13">
        <v>0</v>
      </c>
      <c r="AB129" s="13">
        <v>0</v>
      </c>
      <c r="AC129" s="13">
        <v>0</v>
      </c>
      <c r="AD129" s="13">
        <v>4</v>
      </c>
      <c r="AE129" s="13">
        <v>4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f t="shared" si="8"/>
        <v>12</v>
      </c>
      <c r="AL129" s="23">
        <f t="shared" si="6"/>
        <v>142660</v>
      </c>
      <c r="AM129" s="13"/>
      <c r="AN129" s="13" t="s">
        <v>97</v>
      </c>
      <c r="AO129" s="7" t="s">
        <v>75</v>
      </c>
      <c r="AP129" s="38">
        <v>0.73</v>
      </c>
      <c r="AQ129" s="12">
        <v>142000</v>
      </c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13"/>
      <c r="CG129" s="13"/>
      <c r="CH129" s="13"/>
      <c r="CI129" s="12"/>
      <c r="CJ129" s="12"/>
      <c r="CK129" s="12"/>
      <c r="CL129" s="12"/>
      <c r="CM129" s="12"/>
      <c r="CN129" s="12"/>
      <c r="CO129" s="12"/>
      <c r="CP129" s="12">
        <f>SUM($AQ129:BJ129)-SUM($EA129:EH129)</f>
        <v>129564</v>
      </c>
      <c r="CQ129" s="12">
        <f>SUM($AQ129:BK129)-SUM($EA129:EI129)</f>
        <v>128440</v>
      </c>
      <c r="CR129" s="12">
        <f>SUM($AQ129:BL129)-SUM($EA129:EJ129)</f>
        <v>128380</v>
      </c>
      <c r="CS129" s="12">
        <f>SUM($AQ129:BM129)-SUM($EA129:EK129)</f>
        <v>127840</v>
      </c>
      <c r="CT129" s="12">
        <f>SUM($AQ129:BN129)-SUM($EA129:EL129)</f>
        <v>123780</v>
      </c>
      <c r="CU129" s="12">
        <f>SUM($AQ129:BO129)-SUM($EA129:EM129)</f>
        <v>115580</v>
      </c>
      <c r="CV129" s="12">
        <f>SUM($AQ129:BP129)-SUM($EA129:EN129)</f>
        <v>110980</v>
      </c>
      <c r="CW129" s="12">
        <f>SUM($AQ129:BQ129)-SUM($EA129:EO129)</f>
        <v>106980</v>
      </c>
      <c r="CX129" s="12">
        <f>SUM($AQ129:BR129)-SUM($EA129:EP129)</f>
        <v>102780</v>
      </c>
      <c r="CY129" s="12">
        <f>SUM($AQ129:BS129)-SUM($EA129:EQ129)</f>
        <v>98580</v>
      </c>
      <c r="CZ129" s="12">
        <f>SUM($AQ129:BT129)-SUM($EA129:ER129)</f>
        <v>94380</v>
      </c>
      <c r="DA129" s="12">
        <f>SUM($AQ129:BU129)-SUM($EA129:ES129)</f>
        <v>90180</v>
      </c>
      <c r="DB129" s="12">
        <f>SUM($AQ129:BV129)-SUM($EA129:ET129)</f>
        <v>85980</v>
      </c>
      <c r="DC129" s="12">
        <f>SUM($AQ129:BW129)-SUM($EA129:EU129)</f>
        <v>81780</v>
      </c>
      <c r="DD129" s="12">
        <f>SUM($AQ129:BX129)-SUM($EA129:EV129)</f>
        <v>77580</v>
      </c>
      <c r="DE129" s="12">
        <f>SUM($AQ129:BY129)-SUM($EA129:EW129)</f>
        <v>73408</v>
      </c>
      <c r="DF129" s="12">
        <f>SUM($AQ129:BZ129)-SUM($EA129:EX129)</f>
        <v>69408</v>
      </c>
      <c r="DG129" s="12">
        <f>SUM($AQ129:CA129)-SUM($EA129:EY129)</f>
        <v>65408</v>
      </c>
      <c r="DH129" s="12">
        <f>SUM($AQ129:CB129)-SUM($EA129:EZ129)</f>
        <v>61408</v>
      </c>
      <c r="DI129" s="12">
        <f>SUM($AQ129:CC129)-SUM($EA129:FA129)</f>
        <v>57408</v>
      </c>
      <c r="DJ129" s="12">
        <f>SUM($AQ129:CD129)-SUM($EA129:FB129)</f>
        <v>53408</v>
      </c>
      <c r="DK129" s="12">
        <f>SUM($AQ129:CE129)-SUM($EA129:FC129)</f>
        <v>49408</v>
      </c>
      <c r="DL129" s="12">
        <f>SUM($AQ129:CF129)-SUM($EA129:FD129)</f>
        <v>45408</v>
      </c>
      <c r="DM129" s="12">
        <f>SUM($AQ129:CG129)-SUM($EA129:FE129)</f>
        <v>41408</v>
      </c>
      <c r="DN129" s="12">
        <f>SUM($AQ129:CH129)-SUM($EA129:FF129)</f>
        <v>37408</v>
      </c>
      <c r="DO129" s="12">
        <f>SUM($AQ129:CI129)-SUM($EA129:FG129)</f>
        <v>33408</v>
      </c>
      <c r="DP129" s="12">
        <f>SUM($AQ129:CJ129)-SUM($EA129:FH129)</f>
        <v>29408</v>
      </c>
      <c r="DQ129" s="12">
        <f>SUM($AQ129:CK129)-SUM($EA129:FI129)</f>
        <v>25408</v>
      </c>
      <c r="DR129" s="12">
        <f>SUM($AQ129:CL129)-SUM($EA129:FJ129)</f>
        <v>21408</v>
      </c>
      <c r="DS129" s="12">
        <f>SUM($AQ129:CM129)-SUM($EA129:FK129)</f>
        <v>17408</v>
      </c>
      <c r="DT129" s="12">
        <f>SUM($AQ129:CN129)-SUM($EA129:FL129)</f>
        <v>13408</v>
      </c>
      <c r="DU129" s="12">
        <f>SUM($AQ129:CO129)-SUM($EA129:FM129)</f>
        <v>9408</v>
      </c>
      <c r="DV129" s="12">
        <f>SUM($AQ129:CP129)-SUM($EA129:FN129)</f>
        <v>135704</v>
      </c>
      <c r="DW129" s="12">
        <f>SUM($AQ129:CQ129)-SUM($EA129:FO129)</f>
        <v>264144</v>
      </c>
      <c r="DX129" s="13"/>
      <c r="DY129" s="13"/>
      <c r="DZ129" s="13"/>
      <c r="EA129" s="12"/>
      <c r="EB129" s="12"/>
      <c r="EC129" s="12"/>
      <c r="ED129" s="12"/>
      <c r="EE129" s="12"/>
      <c r="EF129" s="12"/>
      <c r="EG129" s="12"/>
      <c r="EH129" s="12">
        <f t="array" ref="EH129">SUMPRODUCT(TRANSPOSE(EH$9:EH$34),$K129:$AJ129)</f>
        <v>12436</v>
      </c>
      <c r="EI129" s="12">
        <f t="array" ref="EI129">SUMPRODUCT(TRANSPOSE(EI$9:EI$34),$K129:$AJ129)</f>
        <v>1124</v>
      </c>
      <c r="EJ129" s="12">
        <f t="array" ref="EJ129">SUMPRODUCT(TRANSPOSE(EJ$9:EJ$34),$K129:$AJ129)</f>
        <v>60</v>
      </c>
      <c r="EK129" s="12">
        <f t="array" ref="EK129">SUMPRODUCT(TRANSPOSE(EK$9:EK$34),$K129:$AJ129)</f>
        <v>540</v>
      </c>
      <c r="EL129" s="12">
        <f t="array" ref="EL129">SUMPRODUCT(TRANSPOSE(EL$9:EL$34),$K129:$AJ129)</f>
        <v>4060</v>
      </c>
      <c r="EM129" s="12">
        <f t="array" ref="EM129">SUMPRODUCT(TRANSPOSE(EM$9:EM$34),$K129:$AJ129)</f>
        <v>8200</v>
      </c>
      <c r="EN129" s="12">
        <f t="array" ref="EN129">SUMPRODUCT(TRANSPOSE(EN$9:EN$34),$K129:$AJ129)</f>
        <v>4600</v>
      </c>
      <c r="EO129" s="12">
        <f t="array" ref="EO129">SUMPRODUCT(TRANSPOSE(EO$9:EO$34),$K129:$AJ129)</f>
        <v>4000</v>
      </c>
      <c r="EP129" s="12">
        <f t="array" ref="EP129">SUMPRODUCT(TRANSPOSE(EP$9:EP$34),$K129:$AJ129)</f>
        <v>4200</v>
      </c>
      <c r="EQ129" s="12">
        <f t="array" ref="EQ129">SUMPRODUCT(TRANSPOSE(EQ$9:EQ$34),$K129:$AJ129)</f>
        <v>4200</v>
      </c>
      <c r="ER129" s="12">
        <f t="array" ref="ER129">SUMPRODUCT(TRANSPOSE(ER$9:ER$34),$K129:$AJ129)</f>
        <v>4200</v>
      </c>
      <c r="ES129" s="12">
        <f t="array" ref="ES129">SUMPRODUCT(TRANSPOSE(ES$9:ES$34),$K129:$AJ129)</f>
        <v>4200</v>
      </c>
      <c r="ET129" s="12">
        <f t="array" ref="ET129">SUMPRODUCT(TRANSPOSE(ET$9:ET$34),$K129:$AJ129)</f>
        <v>4200</v>
      </c>
      <c r="EU129" s="12">
        <f t="array" ref="EU129">SUMPRODUCT(TRANSPOSE(EU$9:EU$34),$K129:$AJ129)</f>
        <v>4200</v>
      </c>
      <c r="EV129" s="12">
        <f t="array" ref="EV129">SUMPRODUCT(TRANSPOSE(EV$9:EV$34),$K129:$AJ129)</f>
        <v>4200</v>
      </c>
      <c r="EW129" s="12">
        <f t="array" ref="EW129">SUMPRODUCT(TRANSPOSE(EW$9:EW$34),$K129:$AJ129)</f>
        <v>4172</v>
      </c>
      <c r="EX129" s="12">
        <f t="array" ref="EX129">SUMPRODUCT(TRANSPOSE(EX$9:EX$34),$K129:$AJ129)</f>
        <v>4000</v>
      </c>
      <c r="EY129" s="12">
        <f t="array" ref="EY129">SUMPRODUCT(TRANSPOSE(EY$9:EY$34),$K129:$AJ129)</f>
        <v>4000</v>
      </c>
      <c r="EZ129" s="12">
        <f t="array" ref="EZ129">SUMPRODUCT(TRANSPOSE(EZ$9:EZ$34),$K129:$AJ129)</f>
        <v>4000</v>
      </c>
      <c r="FA129" s="12">
        <f t="array" ref="FA129">SUMPRODUCT(TRANSPOSE(FA$9:FA$34),$K129:$AJ129)</f>
        <v>4000</v>
      </c>
      <c r="FB129" s="12">
        <f t="array" ref="FB129">SUMPRODUCT(TRANSPOSE(FB$9:FB$34),$K129:$AJ129)</f>
        <v>4000</v>
      </c>
      <c r="FC129" s="12">
        <f t="array" ref="FC129">SUMPRODUCT(TRANSPOSE(FC$9:FC$34),$K129:$AJ129)</f>
        <v>4000</v>
      </c>
      <c r="FD129" s="12">
        <f t="array" ref="FD129">SUMPRODUCT(TRANSPOSE(FD$9:FD$34),$K129:$AJ129)</f>
        <v>4000</v>
      </c>
      <c r="FE129" s="12">
        <f t="array" ref="FE129">SUMPRODUCT(TRANSPOSE(FE$9:FE$34),$K129:$AJ129)</f>
        <v>4000</v>
      </c>
      <c r="FF129" s="12">
        <f t="array" ref="FF129">SUMPRODUCT(TRANSPOSE(FF$9:FF$34),$K129:$AJ129)</f>
        <v>4000</v>
      </c>
      <c r="FG129" s="12">
        <f t="array" ref="FG129">SUMPRODUCT(TRANSPOSE(FG$9:FG$34),$K129:$AJ129)</f>
        <v>4000</v>
      </c>
      <c r="FH129" s="12">
        <f t="array" ref="FH129">SUMPRODUCT(TRANSPOSE(FH$9:FH$34),$K129:$AJ129)</f>
        <v>4000</v>
      </c>
      <c r="FI129" s="12">
        <f t="array" ref="FI129">SUMPRODUCT(TRANSPOSE(FI$9:FI$34),$K129:$AJ129)</f>
        <v>4000</v>
      </c>
      <c r="FJ129" s="12">
        <f t="array" ref="FJ129">SUMPRODUCT(TRANSPOSE(FJ$9:FJ$34),$K129:$AJ129)</f>
        <v>4000</v>
      </c>
      <c r="FK129" s="12">
        <f t="array" ref="FK129">SUMPRODUCT(TRANSPOSE(FK$9:FK$34),$K129:$AJ129)</f>
        <v>4000</v>
      </c>
      <c r="FL129" s="12">
        <f t="array" ref="FL129">SUMPRODUCT(TRANSPOSE(FL$9:FL$34),$K129:$AJ129)</f>
        <v>4000</v>
      </c>
      <c r="FM129" s="12">
        <f t="array" ref="FM129">SUMPRODUCT(TRANSPOSE(FM$9:FM$34),$K129:$AJ129)</f>
        <v>4000</v>
      </c>
      <c r="FN129" s="12">
        <f t="array" ref="FN129">SUMPRODUCT(TRANSPOSE(FN$9:FN$34),$K129:$AJ129)</f>
        <v>3268</v>
      </c>
      <c r="FO129" s="12">
        <f t="array" ref="FO129">SUMPRODUCT(TRANSPOSE(FO$9:FO$34),$K129:$AJ129)</f>
        <v>0</v>
      </c>
    </row>
    <row r="130" spans="1:171" ht="14.25" x14ac:dyDescent="0.2">
      <c r="A130" s="13">
        <f t="shared" si="7"/>
        <v>95</v>
      </c>
      <c r="B130" s="13" t="s">
        <v>344</v>
      </c>
      <c r="C130" t="s">
        <v>345</v>
      </c>
      <c r="D130" s="13" t="s">
        <v>67</v>
      </c>
      <c r="E130" s="13">
        <v>400472007</v>
      </c>
      <c r="F130" s="26" t="s">
        <v>346</v>
      </c>
      <c r="G130" s="13"/>
      <c r="H130" s="13" t="s">
        <v>61</v>
      </c>
      <c r="I130" s="13">
        <v>2</v>
      </c>
      <c r="J130" s="13">
        <v>3</v>
      </c>
      <c r="K130" s="13">
        <v>0</v>
      </c>
      <c r="L130" s="13">
        <v>1</v>
      </c>
      <c r="M130" s="13">
        <v>0</v>
      </c>
      <c r="N130" s="13">
        <v>0</v>
      </c>
      <c r="O130" s="13">
        <v>0</v>
      </c>
      <c r="P130" s="13">
        <v>0</v>
      </c>
      <c r="Q130" s="13">
        <v>1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/>
      <c r="Z130" s="13"/>
      <c r="AA130" s="13">
        <v>0</v>
      </c>
      <c r="AB130" s="13">
        <v>1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f t="shared" si="8"/>
        <v>3</v>
      </c>
      <c r="AL130" s="23">
        <f t="shared" si="6"/>
        <v>70797</v>
      </c>
      <c r="AM130" s="13"/>
      <c r="AN130" s="13" t="s">
        <v>69</v>
      </c>
      <c r="AO130" s="7" t="s">
        <v>70</v>
      </c>
      <c r="AP130" s="38">
        <v>1.25</v>
      </c>
      <c r="AQ130" s="12">
        <v>71021</v>
      </c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13"/>
      <c r="CG130" s="13"/>
      <c r="CH130" s="13"/>
      <c r="CI130" s="12"/>
      <c r="CJ130" s="12"/>
      <c r="CK130" s="12"/>
      <c r="CL130" s="12"/>
      <c r="CM130" s="12"/>
      <c r="CN130" s="12"/>
      <c r="CO130" s="12"/>
      <c r="CP130" s="12">
        <f>SUM($AQ130:BJ130)-SUM($EA130:EH130)</f>
        <v>64572</v>
      </c>
      <c r="CQ130" s="12">
        <f>SUM($AQ130:BK130)-SUM($EA130:EI130)</f>
        <v>63677</v>
      </c>
      <c r="CR130" s="12">
        <f>SUM($AQ130:BL130)-SUM($EA130:EJ130)</f>
        <v>62662</v>
      </c>
      <c r="CS130" s="12">
        <f>SUM($AQ130:BM130)-SUM($EA130:EK130)</f>
        <v>61627</v>
      </c>
      <c r="CT130" s="12">
        <f>SUM($AQ130:BN130)-SUM($EA130:EL130)</f>
        <v>60612</v>
      </c>
      <c r="CU130" s="12">
        <f>SUM($AQ130:BO130)-SUM($EA130:EM130)</f>
        <v>60562</v>
      </c>
      <c r="CV130" s="12">
        <f>SUM($AQ130:BP130)-SUM($EA130:EN130)</f>
        <v>59612</v>
      </c>
      <c r="CW130" s="12">
        <f>SUM($AQ130:BQ130)-SUM($EA130:EO130)</f>
        <v>58612</v>
      </c>
      <c r="CX130" s="12">
        <f>SUM($AQ130:BR130)-SUM($EA130:EP130)</f>
        <v>57562</v>
      </c>
      <c r="CY130" s="12">
        <f>SUM($AQ130:BS130)-SUM($EA130:EQ130)</f>
        <v>56512</v>
      </c>
      <c r="CZ130" s="12">
        <f>SUM($AQ130:BT130)-SUM($EA130:ER130)</f>
        <v>55462</v>
      </c>
      <c r="DA130" s="12">
        <f>SUM($AQ130:BU130)-SUM($EA130:ES130)</f>
        <v>54412</v>
      </c>
      <c r="DB130" s="12">
        <f>SUM($AQ130:BV130)-SUM($EA130:ET130)</f>
        <v>53362</v>
      </c>
      <c r="DC130" s="12">
        <f>SUM($AQ130:BW130)-SUM($EA130:EU130)</f>
        <v>52312</v>
      </c>
      <c r="DD130" s="12">
        <f>SUM($AQ130:BX130)-SUM($EA130:EV130)</f>
        <v>51262</v>
      </c>
      <c r="DE130" s="12">
        <f>SUM($AQ130:BY130)-SUM($EA130:EW130)</f>
        <v>50252</v>
      </c>
      <c r="DF130" s="12">
        <f>SUM($AQ130:BZ130)-SUM($EA130:EX130)</f>
        <v>49252</v>
      </c>
      <c r="DG130" s="12">
        <f>SUM($AQ130:CA130)-SUM($EA130:EY130)</f>
        <v>48252</v>
      </c>
      <c r="DH130" s="12">
        <f>SUM($AQ130:CB130)-SUM($EA130:EZ130)</f>
        <v>47252</v>
      </c>
      <c r="DI130" s="12">
        <f>SUM($AQ130:CC130)-SUM($EA130:FA130)</f>
        <v>46252</v>
      </c>
      <c r="DJ130" s="12">
        <f>SUM($AQ130:CD130)-SUM($EA130:FB130)</f>
        <v>45252</v>
      </c>
      <c r="DK130" s="12">
        <f>SUM($AQ130:CE130)-SUM($EA130:FC130)</f>
        <v>44252</v>
      </c>
      <c r="DL130" s="12">
        <f>SUM($AQ130:CF130)-SUM($EA130:FD130)</f>
        <v>43252</v>
      </c>
      <c r="DM130" s="12">
        <f>SUM($AQ130:CG130)-SUM($EA130:FE130)</f>
        <v>42252</v>
      </c>
      <c r="DN130" s="12">
        <f>SUM($AQ130:CH130)-SUM($EA130:FF130)</f>
        <v>41252</v>
      </c>
      <c r="DO130" s="12">
        <f>SUM($AQ130:CI130)-SUM($EA130:FG130)</f>
        <v>40252</v>
      </c>
      <c r="DP130" s="12">
        <f>SUM($AQ130:CJ130)-SUM($EA130:FH130)</f>
        <v>39252</v>
      </c>
      <c r="DQ130" s="12">
        <f>SUM($AQ130:CK130)-SUM($EA130:FI130)</f>
        <v>38252</v>
      </c>
      <c r="DR130" s="12">
        <f>SUM($AQ130:CL130)-SUM($EA130:FJ130)</f>
        <v>37252</v>
      </c>
      <c r="DS130" s="12">
        <f>SUM($AQ130:CM130)-SUM($EA130:FK130)</f>
        <v>36252</v>
      </c>
      <c r="DT130" s="12">
        <f>SUM($AQ130:CN130)-SUM($EA130:FL130)</f>
        <v>35252</v>
      </c>
      <c r="DU130" s="12">
        <f>SUM($AQ130:CO130)-SUM($EA130:FM130)</f>
        <v>34252</v>
      </c>
      <c r="DV130" s="12">
        <f>SUM($AQ130:CP130)-SUM($EA130:FN130)</f>
        <v>97824</v>
      </c>
      <c r="DW130" s="12">
        <f>SUM($AQ130:CQ130)-SUM($EA130:FO130)</f>
        <v>161457</v>
      </c>
      <c r="DX130" s="13"/>
      <c r="DY130" s="13"/>
      <c r="DZ130" s="13"/>
      <c r="EA130" s="12"/>
      <c r="EB130" s="12"/>
      <c r="EC130" s="12"/>
      <c r="ED130" s="12"/>
      <c r="EE130" s="12"/>
      <c r="EF130" s="12"/>
      <c r="EG130" s="12"/>
      <c r="EH130" s="12">
        <f t="array" ref="EH130">SUMPRODUCT(TRANSPOSE(EH$9:EH$34),$K130:$AJ130)</f>
        <v>6449</v>
      </c>
      <c r="EI130" s="12">
        <f t="array" ref="EI130">SUMPRODUCT(TRANSPOSE(EI$9:EI$34),$K130:$AJ130)</f>
        <v>895</v>
      </c>
      <c r="EJ130" s="12">
        <f t="array" ref="EJ130">SUMPRODUCT(TRANSPOSE(EJ$9:EJ$34),$K130:$AJ130)</f>
        <v>1015</v>
      </c>
      <c r="EK130" s="12">
        <f t="array" ref="EK130">SUMPRODUCT(TRANSPOSE(EK$9:EK$34),$K130:$AJ130)</f>
        <v>1035</v>
      </c>
      <c r="EL130" s="12">
        <f t="array" ref="EL130">SUMPRODUCT(TRANSPOSE(EL$9:EL$34),$K130:$AJ130)</f>
        <v>1015</v>
      </c>
      <c r="EM130" s="12">
        <f t="array" ref="EM130">SUMPRODUCT(TRANSPOSE(EM$9:EM$34),$K130:$AJ130)</f>
        <v>50</v>
      </c>
      <c r="EN130" s="12">
        <f t="array" ref="EN130">SUMPRODUCT(TRANSPOSE(EN$9:EN$34),$K130:$AJ130)</f>
        <v>950</v>
      </c>
      <c r="EO130" s="12">
        <f t="array" ref="EO130">SUMPRODUCT(TRANSPOSE(EO$9:EO$34),$K130:$AJ130)</f>
        <v>1000</v>
      </c>
      <c r="EP130" s="12">
        <f t="array" ref="EP130">SUMPRODUCT(TRANSPOSE(EP$9:EP$34),$K130:$AJ130)</f>
        <v>1050</v>
      </c>
      <c r="EQ130" s="12">
        <f t="array" ref="EQ130">SUMPRODUCT(TRANSPOSE(EQ$9:EQ$34),$K130:$AJ130)</f>
        <v>1050</v>
      </c>
      <c r="ER130" s="12">
        <f t="array" ref="ER130">SUMPRODUCT(TRANSPOSE(ER$9:ER$34),$K130:$AJ130)</f>
        <v>1050</v>
      </c>
      <c r="ES130" s="12">
        <f t="array" ref="ES130">SUMPRODUCT(TRANSPOSE(ES$9:ES$34),$K130:$AJ130)</f>
        <v>1050</v>
      </c>
      <c r="ET130" s="12">
        <f t="array" ref="ET130">SUMPRODUCT(TRANSPOSE(ET$9:ET$34),$K130:$AJ130)</f>
        <v>1050</v>
      </c>
      <c r="EU130" s="12">
        <f t="array" ref="EU130">SUMPRODUCT(TRANSPOSE(EU$9:EU$34),$K130:$AJ130)</f>
        <v>1050</v>
      </c>
      <c r="EV130" s="12">
        <f t="array" ref="EV130">SUMPRODUCT(TRANSPOSE(EV$9:EV$34),$K130:$AJ130)</f>
        <v>1050</v>
      </c>
      <c r="EW130" s="12">
        <f t="array" ref="EW130">SUMPRODUCT(TRANSPOSE(EW$9:EW$34),$K130:$AJ130)</f>
        <v>1010</v>
      </c>
      <c r="EX130" s="12">
        <f t="array" ref="EX130">SUMPRODUCT(TRANSPOSE(EX$9:EX$34),$K130:$AJ130)</f>
        <v>1000</v>
      </c>
      <c r="EY130" s="12">
        <f t="array" ref="EY130">SUMPRODUCT(TRANSPOSE(EY$9:EY$34),$K130:$AJ130)</f>
        <v>1000</v>
      </c>
      <c r="EZ130" s="12">
        <f t="array" ref="EZ130">SUMPRODUCT(TRANSPOSE(EZ$9:EZ$34),$K130:$AJ130)</f>
        <v>1000</v>
      </c>
      <c r="FA130" s="12">
        <f t="array" ref="FA130">SUMPRODUCT(TRANSPOSE(FA$9:FA$34),$K130:$AJ130)</f>
        <v>1000</v>
      </c>
      <c r="FB130" s="12">
        <f t="array" ref="FB130">SUMPRODUCT(TRANSPOSE(FB$9:FB$34),$K130:$AJ130)</f>
        <v>1000</v>
      </c>
      <c r="FC130" s="12">
        <f t="array" ref="FC130">SUMPRODUCT(TRANSPOSE(FC$9:FC$34),$K130:$AJ130)</f>
        <v>1000</v>
      </c>
      <c r="FD130" s="12">
        <f t="array" ref="FD130">SUMPRODUCT(TRANSPOSE(FD$9:FD$34),$K130:$AJ130)</f>
        <v>1000</v>
      </c>
      <c r="FE130" s="12">
        <f t="array" ref="FE130">SUMPRODUCT(TRANSPOSE(FE$9:FE$34),$K130:$AJ130)</f>
        <v>1000</v>
      </c>
      <c r="FF130" s="12">
        <f t="array" ref="FF130">SUMPRODUCT(TRANSPOSE(FF$9:FF$34),$K130:$AJ130)</f>
        <v>1000</v>
      </c>
      <c r="FG130" s="12">
        <f t="array" ref="FG130">SUMPRODUCT(TRANSPOSE(FG$9:FG$34),$K130:$AJ130)</f>
        <v>1000</v>
      </c>
      <c r="FH130" s="12">
        <f t="array" ref="FH130">SUMPRODUCT(TRANSPOSE(FH$9:FH$34),$K130:$AJ130)</f>
        <v>1000</v>
      </c>
      <c r="FI130" s="12">
        <f t="array" ref="FI130">SUMPRODUCT(TRANSPOSE(FI$9:FI$34),$K130:$AJ130)</f>
        <v>1000</v>
      </c>
      <c r="FJ130" s="12">
        <f t="array" ref="FJ130">SUMPRODUCT(TRANSPOSE(FJ$9:FJ$34),$K130:$AJ130)</f>
        <v>1000</v>
      </c>
      <c r="FK130" s="12">
        <f t="array" ref="FK130">SUMPRODUCT(TRANSPOSE(FK$9:FK$34),$K130:$AJ130)</f>
        <v>1000</v>
      </c>
      <c r="FL130" s="12">
        <f t="array" ref="FL130">SUMPRODUCT(TRANSPOSE(FL$9:FL$34),$K130:$AJ130)</f>
        <v>1000</v>
      </c>
      <c r="FM130" s="12">
        <f t="array" ref="FM130">SUMPRODUCT(TRANSPOSE(FM$9:FM$34),$K130:$AJ130)</f>
        <v>1000</v>
      </c>
      <c r="FN130" s="12">
        <f t="array" ref="FN130">SUMPRODUCT(TRANSPOSE(FN$9:FN$34),$K130:$AJ130)</f>
        <v>1000</v>
      </c>
      <c r="FO130" s="12">
        <f t="array" ref="FO130">SUMPRODUCT(TRANSPOSE(FO$9:FO$34),$K130:$AJ130)</f>
        <v>44</v>
      </c>
    </row>
    <row r="131" spans="1:171" ht="14.25" x14ac:dyDescent="0.2">
      <c r="A131" s="13">
        <f t="shared" si="7"/>
        <v>96</v>
      </c>
      <c r="B131" s="13" t="s">
        <v>347</v>
      </c>
      <c r="C131" s="25" t="s">
        <v>348</v>
      </c>
      <c r="D131" s="13" t="s">
        <v>67</v>
      </c>
      <c r="E131" s="13">
        <v>409331534</v>
      </c>
      <c r="F131" s="26" t="s">
        <v>349</v>
      </c>
      <c r="G131" s="13"/>
      <c r="H131" s="13" t="s">
        <v>61</v>
      </c>
      <c r="I131" s="13">
        <v>2</v>
      </c>
      <c r="J131" s="13">
        <v>4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2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/>
      <c r="Z131" s="13">
        <v>2</v>
      </c>
      <c r="AA131" s="13">
        <v>0</v>
      </c>
      <c r="AB131" s="13">
        <v>0</v>
      </c>
      <c r="AC131" s="13">
        <v>0</v>
      </c>
      <c r="AD131" s="13">
        <v>2</v>
      </c>
      <c r="AE131" s="13">
        <v>2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f t="shared" si="8"/>
        <v>6</v>
      </c>
      <c r="AL131" s="23">
        <f t="shared" si="6"/>
        <v>71330</v>
      </c>
      <c r="AM131" s="13"/>
      <c r="AN131" s="29" t="s">
        <v>80</v>
      </c>
      <c r="AO131" s="7" t="s">
        <v>81</v>
      </c>
      <c r="AP131" s="38">
        <v>0.13500000000000001</v>
      </c>
      <c r="AQ131" s="12">
        <v>71400</v>
      </c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13"/>
      <c r="CG131" s="13"/>
      <c r="CH131" s="13"/>
      <c r="CI131" s="12"/>
      <c r="CJ131" s="12"/>
      <c r="CK131" s="12"/>
      <c r="CL131" s="12"/>
      <c r="CM131" s="12"/>
      <c r="CN131" s="12"/>
      <c r="CO131" s="12"/>
      <c r="CP131" s="12">
        <f>SUM($AQ131:BJ131)-SUM($EA131:EH131)</f>
        <v>65182</v>
      </c>
      <c r="CQ131" s="12">
        <f>SUM($AQ131:BK131)-SUM($EA131:EI131)</f>
        <v>64620</v>
      </c>
      <c r="CR131" s="12">
        <f>SUM($AQ131:BL131)-SUM($EA131:EJ131)</f>
        <v>64590</v>
      </c>
      <c r="CS131" s="12">
        <f>SUM($AQ131:BM131)-SUM($EA131:EK131)</f>
        <v>64320</v>
      </c>
      <c r="CT131" s="12">
        <f>SUM($AQ131:BN131)-SUM($EA131:EL131)</f>
        <v>62290</v>
      </c>
      <c r="CU131" s="12">
        <f>SUM($AQ131:BO131)-SUM($EA131:EM131)</f>
        <v>58190</v>
      </c>
      <c r="CV131" s="12">
        <f>SUM($AQ131:BP131)-SUM($EA131:EN131)</f>
        <v>55890</v>
      </c>
      <c r="CW131" s="12">
        <f>SUM($AQ131:BQ131)-SUM($EA131:EO131)</f>
        <v>53890</v>
      </c>
      <c r="CX131" s="12">
        <f>SUM($AQ131:BR131)-SUM($EA131:EP131)</f>
        <v>51790</v>
      </c>
      <c r="CY131" s="12">
        <f>SUM($AQ131:BS131)-SUM($EA131:EQ131)</f>
        <v>49690</v>
      </c>
      <c r="CZ131" s="12">
        <f>SUM($AQ131:BT131)-SUM($EA131:ER131)</f>
        <v>47590</v>
      </c>
      <c r="DA131" s="12">
        <f>SUM($AQ131:BU131)-SUM($EA131:ES131)</f>
        <v>45490</v>
      </c>
      <c r="DB131" s="12">
        <f>SUM($AQ131:BV131)-SUM($EA131:ET131)</f>
        <v>43390</v>
      </c>
      <c r="DC131" s="12">
        <f>SUM($AQ131:BW131)-SUM($EA131:EU131)</f>
        <v>41290</v>
      </c>
      <c r="DD131" s="12">
        <f>SUM($AQ131:BX131)-SUM($EA131:EV131)</f>
        <v>39190</v>
      </c>
      <c r="DE131" s="12">
        <f>SUM($AQ131:BY131)-SUM($EA131:EW131)</f>
        <v>37104</v>
      </c>
      <c r="DF131" s="12">
        <f>SUM($AQ131:BZ131)-SUM($EA131:EX131)</f>
        <v>35104</v>
      </c>
      <c r="DG131" s="12">
        <f>SUM($AQ131:CA131)-SUM($EA131:EY131)</f>
        <v>33104</v>
      </c>
      <c r="DH131" s="12">
        <f>SUM($AQ131:CB131)-SUM($EA131:EZ131)</f>
        <v>31104</v>
      </c>
      <c r="DI131" s="12">
        <f>SUM($AQ131:CC131)-SUM($EA131:FA131)</f>
        <v>29104</v>
      </c>
      <c r="DJ131" s="12">
        <f>SUM($AQ131:CD131)-SUM($EA131:FB131)</f>
        <v>27104</v>
      </c>
      <c r="DK131" s="12">
        <f>SUM($AQ131:CE131)-SUM($EA131:FC131)</f>
        <v>25104</v>
      </c>
      <c r="DL131" s="12">
        <f>SUM($AQ131:CF131)-SUM($EA131:FD131)</f>
        <v>23104</v>
      </c>
      <c r="DM131" s="12">
        <f>SUM($AQ131:CG131)-SUM($EA131:FE131)</f>
        <v>21104</v>
      </c>
      <c r="DN131" s="12">
        <f>SUM($AQ131:CH131)-SUM($EA131:FF131)</f>
        <v>19104</v>
      </c>
      <c r="DO131" s="12">
        <f>SUM($AQ131:CI131)-SUM($EA131:FG131)</f>
        <v>17104</v>
      </c>
      <c r="DP131" s="12">
        <f>SUM($AQ131:CJ131)-SUM($EA131:FH131)</f>
        <v>15104</v>
      </c>
      <c r="DQ131" s="12">
        <f>SUM($AQ131:CK131)-SUM($EA131:FI131)</f>
        <v>13104</v>
      </c>
      <c r="DR131" s="12">
        <f>SUM($AQ131:CL131)-SUM($EA131:FJ131)</f>
        <v>11104</v>
      </c>
      <c r="DS131" s="12">
        <f>SUM($AQ131:CM131)-SUM($EA131:FK131)</f>
        <v>9104</v>
      </c>
      <c r="DT131" s="12">
        <f>SUM($AQ131:CN131)-SUM($EA131:FL131)</f>
        <v>7104</v>
      </c>
      <c r="DU131" s="12">
        <f>SUM($AQ131:CO131)-SUM($EA131:FM131)</f>
        <v>5104</v>
      </c>
      <c r="DV131" s="12">
        <f>SUM($AQ131:CP131)-SUM($EA131:FN131)</f>
        <v>68652</v>
      </c>
      <c r="DW131" s="12">
        <f>SUM($AQ131:CQ131)-SUM($EA131:FO131)</f>
        <v>133272</v>
      </c>
      <c r="DX131" s="13"/>
      <c r="DY131" s="13"/>
      <c r="DZ131" s="13"/>
      <c r="EA131" s="12"/>
      <c r="EB131" s="12"/>
      <c r="EC131" s="12"/>
      <c r="ED131" s="12"/>
      <c r="EE131" s="12"/>
      <c r="EF131" s="12"/>
      <c r="EG131" s="12"/>
      <c r="EH131" s="12">
        <f t="array" ref="EH131">SUMPRODUCT(TRANSPOSE(EH$9:EH$34),$K131:$AJ131)</f>
        <v>6218</v>
      </c>
      <c r="EI131" s="12">
        <f t="array" ref="EI131">SUMPRODUCT(TRANSPOSE(EI$9:EI$34),$K131:$AJ131)</f>
        <v>562</v>
      </c>
      <c r="EJ131" s="12">
        <f t="array" ref="EJ131">SUMPRODUCT(TRANSPOSE(EJ$9:EJ$34),$K131:$AJ131)</f>
        <v>30</v>
      </c>
      <c r="EK131" s="12">
        <f t="array" ref="EK131">SUMPRODUCT(TRANSPOSE(EK$9:EK$34),$K131:$AJ131)</f>
        <v>270</v>
      </c>
      <c r="EL131" s="12">
        <f t="array" ref="EL131">SUMPRODUCT(TRANSPOSE(EL$9:EL$34),$K131:$AJ131)</f>
        <v>2030</v>
      </c>
      <c r="EM131" s="12">
        <f t="array" ref="EM131">SUMPRODUCT(TRANSPOSE(EM$9:EM$34),$K131:$AJ131)</f>
        <v>4100</v>
      </c>
      <c r="EN131" s="12">
        <f t="array" ref="EN131">SUMPRODUCT(TRANSPOSE(EN$9:EN$34),$K131:$AJ131)</f>
        <v>2300</v>
      </c>
      <c r="EO131" s="12">
        <f t="array" ref="EO131">SUMPRODUCT(TRANSPOSE(EO$9:EO$34),$K131:$AJ131)</f>
        <v>2000</v>
      </c>
      <c r="EP131" s="12">
        <f t="array" ref="EP131">SUMPRODUCT(TRANSPOSE(EP$9:EP$34),$K131:$AJ131)</f>
        <v>2100</v>
      </c>
      <c r="EQ131" s="12">
        <f t="array" ref="EQ131">SUMPRODUCT(TRANSPOSE(EQ$9:EQ$34),$K131:$AJ131)</f>
        <v>2100</v>
      </c>
      <c r="ER131" s="12">
        <f t="array" ref="ER131">SUMPRODUCT(TRANSPOSE(ER$9:ER$34),$K131:$AJ131)</f>
        <v>2100</v>
      </c>
      <c r="ES131" s="12">
        <f t="array" ref="ES131">SUMPRODUCT(TRANSPOSE(ES$9:ES$34),$K131:$AJ131)</f>
        <v>2100</v>
      </c>
      <c r="ET131" s="12">
        <f t="array" ref="ET131">SUMPRODUCT(TRANSPOSE(ET$9:ET$34),$K131:$AJ131)</f>
        <v>2100</v>
      </c>
      <c r="EU131" s="12">
        <f t="array" ref="EU131">SUMPRODUCT(TRANSPOSE(EU$9:EU$34),$K131:$AJ131)</f>
        <v>2100</v>
      </c>
      <c r="EV131" s="12">
        <f t="array" ref="EV131">SUMPRODUCT(TRANSPOSE(EV$9:EV$34),$K131:$AJ131)</f>
        <v>2100</v>
      </c>
      <c r="EW131" s="12">
        <f t="array" ref="EW131">SUMPRODUCT(TRANSPOSE(EW$9:EW$34),$K131:$AJ131)</f>
        <v>2086</v>
      </c>
      <c r="EX131" s="12">
        <f t="array" ref="EX131">SUMPRODUCT(TRANSPOSE(EX$9:EX$34),$K131:$AJ131)</f>
        <v>2000</v>
      </c>
      <c r="EY131" s="12">
        <f t="array" ref="EY131">SUMPRODUCT(TRANSPOSE(EY$9:EY$34),$K131:$AJ131)</f>
        <v>2000</v>
      </c>
      <c r="EZ131" s="12">
        <f t="array" ref="EZ131">SUMPRODUCT(TRANSPOSE(EZ$9:EZ$34),$K131:$AJ131)</f>
        <v>2000</v>
      </c>
      <c r="FA131" s="12">
        <f t="array" ref="FA131">SUMPRODUCT(TRANSPOSE(FA$9:FA$34),$K131:$AJ131)</f>
        <v>2000</v>
      </c>
      <c r="FB131" s="12">
        <f t="array" ref="FB131">SUMPRODUCT(TRANSPOSE(FB$9:FB$34),$K131:$AJ131)</f>
        <v>2000</v>
      </c>
      <c r="FC131" s="12">
        <f t="array" ref="FC131">SUMPRODUCT(TRANSPOSE(FC$9:FC$34),$K131:$AJ131)</f>
        <v>2000</v>
      </c>
      <c r="FD131" s="12">
        <f t="array" ref="FD131">SUMPRODUCT(TRANSPOSE(FD$9:FD$34),$K131:$AJ131)</f>
        <v>2000</v>
      </c>
      <c r="FE131" s="12">
        <f t="array" ref="FE131">SUMPRODUCT(TRANSPOSE(FE$9:FE$34),$K131:$AJ131)</f>
        <v>2000</v>
      </c>
      <c r="FF131" s="12">
        <f t="array" ref="FF131">SUMPRODUCT(TRANSPOSE(FF$9:FF$34),$K131:$AJ131)</f>
        <v>2000</v>
      </c>
      <c r="FG131" s="12">
        <f t="array" ref="FG131">SUMPRODUCT(TRANSPOSE(FG$9:FG$34),$K131:$AJ131)</f>
        <v>2000</v>
      </c>
      <c r="FH131" s="12">
        <f t="array" ref="FH131">SUMPRODUCT(TRANSPOSE(FH$9:FH$34),$K131:$AJ131)</f>
        <v>2000</v>
      </c>
      <c r="FI131" s="12">
        <f t="array" ref="FI131">SUMPRODUCT(TRANSPOSE(FI$9:FI$34),$K131:$AJ131)</f>
        <v>2000</v>
      </c>
      <c r="FJ131" s="12">
        <f t="array" ref="FJ131">SUMPRODUCT(TRANSPOSE(FJ$9:FJ$34),$K131:$AJ131)</f>
        <v>2000</v>
      </c>
      <c r="FK131" s="12">
        <f t="array" ref="FK131">SUMPRODUCT(TRANSPOSE(FK$9:FK$34),$K131:$AJ131)</f>
        <v>2000</v>
      </c>
      <c r="FL131" s="12">
        <f t="array" ref="FL131">SUMPRODUCT(TRANSPOSE(FL$9:FL$34),$K131:$AJ131)</f>
        <v>2000</v>
      </c>
      <c r="FM131" s="12">
        <f t="array" ref="FM131">SUMPRODUCT(TRANSPOSE(FM$9:FM$34),$K131:$AJ131)</f>
        <v>2000</v>
      </c>
      <c r="FN131" s="12">
        <f t="array" ref="FN131">SUMPRODUCT(TRANSPOSE(FN$9:FN$34),$K131:$AJ131)</f>
        <v>1634</v>
      </c>
      <c r="FO131" s="12">
        <f t="array" ref="FO131">SUMPRODUCT(TRANSPOSE(FO$9:FO$34),$K131:$AJ131)</f>
        <v>0</v>
      </c>
    </row>
    <row r="132" spans="1:171" ht="14.25" x14ac:dyDescent="0.2">
      <c r="A132" s="13">
        <f t="shared" si="7"/>
        <v>97</v>
      </c>
      <c r="B132" s="13" t="s">
        <v>350</v>
      </c>
      <c r="C132" s="25" t="s">
        <v>351</v>
      </c>
      <c r="D132" s="13" t="s">
        <v>67</v>
      </c>
      <c r="E132" s="13" t="s">
        <v>352</v>
      </c>
      <c r="F132" s="26" t="s">
        <v>353</v>
      </c>
      <c r="G132" s="13"/>
      <c r="H132" s="13" t="s">
        <v>354</v>
      </c>
      <c r="I132" s="13">
        <v>2</v>
      </c>
      <c r="J132" s="13">
        <v>2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1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1</v>
      </c>
      <c r="Z132" s="13"/>
      <c r="AA132" s="13">
        <v>0</v>
      </c>
      <c r="AB132" s="13">
        <v>0</v>
      </c>
      <c r="AC132" s="13">
        <v>1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f t="shared" si="8"/>
        <v>3</v>
      </c>
      <c r="AL132" s="23">
        <f t="shared" si="6"/>
        <v>35665</v>
      </c>
      <c r="AM132" s="13"/>
      <c r="AN132" s="13" t="s">
        <v>355</v>
      </c>
      <c r="AO132" s="7" t="s">
        <v>134</v>
      </c>
      <c r="AP132" s="38">
        <v>0.91</v>
      </c>
      <c r="AQ132" s="12">
        <v>35477</v>
      </c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13"/>
      <c r="CG132" s="13"/>
      <c r="CH132" s="13"/>
      <c r="CI132" s="12"/>
      <c r="CJ132" s="12"/>
      <c r="CK132" s="12"/>
      <c r="CL132" s="12"/>
      <c r="CM132" s="12"/>
      <c r="CN132" s="12"/>
      <c r="CO132" s="12"/>
      <c r="CP132" s="12">
        <f>SUM($AQ132:BJ132)-SUM($EA132:EH132)</f>
        <v>32368</v>
      </c>
      <c r="CQ132" s="12">
        <f>SUM($AQ132:BK132)-SUM($EA132:EI132)</f>
        <v>32087</v>
      </c>
      <c r="CR132" s="12">
        <f>SUM($AQ132:BL132)-SUM($EA132:EJ132)</f>
        <v>32087</v>
      </c>
      <c r="CS132" s="12">
        <f>SUM($AQ132:BM132)-SUM($EA132:EK132)</f>
        <v>31987</v>
      </c>
      <c r="CT132" s="12">
        <f>SUM($AQ132:BN132)-SUM($EA132:EL132)</f>
        <v>30987</v>
      </c>
      <c r="CU132" s="12">
        <f>SUM($AQ132:BO132)-SUM($EA132:EM132)</f>
        <v>28987</v>
      </c>
      <c r="CV132" s="12">
        <f>SUM($AQ132:BP132)-SUM($EA132:EN132)</f>
        <v>27887</v>
      </c>
      <c r="CW132" s="12">
        <f>SUM($AQ132:BQ132)-SUM($EA132:EO132)</f>
        <v>26887</v>
      </c>
      <c r="CX132" s="12">
        <f>SUM($AQ132:BR132)-SUM($EA132:EP132)</f>
        <v>25887</v>
      </c>
      <c r="CY132" s="12">
        <f>SUM($AQ132:BS132)-SUM($EA132:EQ132)</f>
        <v>24887</v>
      </c>
      <c r="CZ132" s="12">
        <f>SUM($AQ132:BT132)-SUM($EA132:ER132)</f>
        <v>23887</v>
      </c>
      <c r="DA132" s="12">
        <f>SUM($AQ132:BU132)-SUM($EA132:ES132)</f>
        <v>22887</v>
      </c>
      <c r="DB132" s="12">
        <f>SUM($AQ132:BV132)-SUM($EA132:ET132)</f>
        <v>21887</v>
      </c>
      <c r="DC132" s="12">
        <f>SUM($AQ132:BW132)-SUM($EA132:EU132)</f>
        <v>20887</v>
      </c>
      <c r="DD132" s="12">
        <f>SUM($AQ132:BX132)-SUM($EA132:EV132)</f>
        <v>19887</v>
      </c>
      <c r="DE132" s="12">
        <f>SUM($AQ132:BY132)-SUM($EA132:EW132)</f>
        <v>18887</v>
      </c>
      <c r="DF132" s="12">
        <f>SUM($AQ132:BZ132)-SUM($EA132:EX132)</f>
        <v>17887</v>
      </c>
      <c r="DG132" s="12">
        <f>SUM($AQ132:CA132)-SUM($EA132:EY132)</f>
        <v>16887</v>
      </c>
      <c r="DH132" s="12">
        <f>SUM($AQ132:CB132)-SUM($EA132:EZ132)</f>
        <v>15887</v>
      </c>
      <c r="DI132" s="12">
        <f>SUM($AQ132:CC132)-SUM($EA132:FA132)</f>
        <v>14887</v>
      </c>
      <c r="DJ132" s="12">
        <f>SUM($AQ132:CD132)-SUM($EA132:FB132)</f>
        <v>13887</v>
      </c>
      <c r="DK132" s="12">
        <f>SUM($AQ132:CE132)-SUM($EA132:FC132)</f>
        <v>12887</v>
      </c>
      <c r="DL132" s="12">
        <f>SUM($AQ132:CF132)-SUM($EA132:FD132)</f>
        <v>11887</v>
      </c>
      <c r="DM132" s="12">
        <f>SUM($AQ132:CG132)-SUM($EA132:FE132)</f>
        <v>10887</v>
      </c>
      <c r="DN132" s="12">
        <f>SUM($AQ132:CH132)-SUM($EA132:FF132)</f>
        <v>9887</v>
      </c>
      <c r="DO132" s="12">
        <f>SUM($AQ132:CI132)-SUM($EA132:FG132)</f>
        <v>8887</v>
      </c>
      <c r="DP132" s="12">
        <f>SUM($AQ132:CJ132)-SUM($EA132:FH132)</f>
        <v>7887</v>
      </c>
      <c r="DQ132" s="12">
        <f>SUM($AQ132:CK132)-SUM($EA132:FI132)</f>
        <v>6887</v>
      </c>
      <c r="DR132" s="12">
        <f>SUM($AQ132:CL132)-SUM($EA132:FJ132)</f>
        <v>5887</v>
      </c>
      <c r="DS132" s="12">
        <f>SUM($AQ132:CM132)-SUM($EA132:FK132)</f>
        <v>4887</v>
      </c>
      <c r="DT132" s="12">
        <f>SUM($AQ132:CN132)-SUM($EA132:FL132)</f>
        <v>3887</v>
      </c>
      <c r="DU132" s="12">
        <f>SUM($AQ132:CO132)-SUM($EA132:FM132)</f>
        <v>2887</v>
      </c>
      <c r="DV132" s="12">
        <f>SUM($AQ132:CP132)-SUM($EA132:FN132)</f>
        <v>34438</v>
      </c>
      <c r="DW132" s="12">
        <f>SUM($AQ132:CQ132)-SUM($EA132:FO132)</f>
        <v>66525</v>
      </c>
      <c r="DX132" s="13"/>
      <c r="DY132" s="13"/>
      <c r="DZ132" s="13"/>
      <c r="EA132" s="12"/>
      <c r="EB132" s="12"/>
      <c r="EC132" s="12"/>
      <c r="ED132" s="12"/>
      <c r="EE132" s="12"/>
      <c r="EF132" s="12"/>
      <c r="EG132" s="12"/>
      <c r="EH132" s="12">
        <f t="array" ref="EH132">SUMPRODUCT(TRANSPOSE(EH$9:EH$34),$K132:$AJ132)</f>
        <v>3109</v>
      </c>
      <c r="EI132" s="12">
        <f t="array" ref="EI132">SUMPRODUCT(TRANSPOSE(EI$9:EI$34),$K132:$AJ132)</f>
        <v>281</v>
      </c>
      <c r="EJ132" s="12">
        <f t="array" ref="EJ132">SUMPRODUCT(TRANSPOSE(EJ$9:EJ$34),$K132:$AJ132)</f>
        <v>0</v>
      </c>
      <c r="EK132" s="12">
        <f t="array" ref="EK132">SUMPRODUCT(TRANSPOSE(EK$9:EK$34),$K132:$AJ132)</f>
        <v>100</v>
      </c>
      <c r="EL132" s="12">
        <f t="array" ref="EL132">SUMPRODUCT(TRANSPOSE(EL$9:EL$34),$K132:$AJ132)</f>
        <v>1000</v>
      </c>
      <c r="EM132" s="12">
        <f t="array" ref="EM132">SUMPRODUCT(TRANSPOSE(EM$9:EM$34),$K132:$AJ132)</f>
        <v>2000</v>
      </c>
      <c r="EN132" s="12">
        <f t="array" ref="EN132">SUMPRODUCT(TRANSPOSE(EN$9:EN$34),$K132:$AJ132)</f>
        <v>1100</v>
      </c>
      <c r="EO132" s="12">
        <f t="array" ref="EO132">SUMPRODUCT(TRANSPOSE(EO$9:EO$34),$K132:$AJ132)</f>
        <v>1000</v>
      </c>
      <c r="EP132" s="12">
        <f t="array" ref="EP132">SUMPRODUCT(TRANSPOSE(EP$9:EP$34),$K132:$AJ132)</f>
        <v>1000</v>
      </c>
      <c r="EQ132" s="12">
        <f t="array" ref="EQ132">SUMPRODUCT(TRANSPOSE(EQ$9:EQ$34),$K132:$AJ132)</f>
        <v>1000</v>
      </c>
      <c r="ER132" s="12">
        <f t="array" ref="ER132">SUMPRODUCT(TRANSPOSE(ER$9:ER$34),$K132:$AJ132)</f>
        <v>1000</v>
      </c>
      <c r="ES132" s="12">
        <f t="array" ref="ES132">SUMPRODUCT(TRANSPOSE(ES$9:ES$34),$K132:$AJ132)</f>
        <v>1000</v>
      </c>
      <c r="ET132" s="12">
        <f t="array" ref="ET132">SUMPRODUCT(TRANSPOSE(ET$9:ET$34),$K132:$AJ132)</f>
        <v>1000</v>
      </c>
      <c r="EU132" s="12">
        <f t="array" ref="EU132">SUMPRODUCT(TRANSPOSE(EU$9:EU$34),$K132:$AJ132)</f>
        <v>1000</v>
      </c>
      <c r="EV132" s="12">
        <f t="array" ref="EV132">SUMPRODUCT(TRANSPOSE(EV$9:EV$34),$K132:$AJ132)</f>
        <v>1000</v>
      </c>
      <c r="EW132" s="12">
        <f t="array" ref="EW132">SUMPRODUCT(TRANSPOSE(EW$9:EW$34),$K132:$AJ132)</f>
        <v>1000</v>
      </c>
      <c r="EX132" s="12">
        <f t="array" ref="EX132">SUMPRODUCT(TRANSPOSE(EX$9:EX$34),$K132:$AJ132)</f>
        <v>1000</v>
      </c>
      <c r="EY132" s="12">
        <f t="array" ref="EY132">SUMPRODUCT(TRANSPOSE(EY$9:EY$34),$K132:$AJ132)</f>
        <v>1000</v>
      </c>
      <c r="EZ132" s="12">
        <f t="array" ref="EZ132">SUMPRODUCT(TRANSPOSE(EZ$9:EZ$34),$K132:$AJ132)</f>
        <v>1000</v>
      </c>
      <c r="FA132" s="12">
        <f t="array" ref="FA132">SUMPRODUCT(TRANSPOSE(FA$9:FA$34),$K132:$AJ132)</f>
        <v>1000</v>
      </c>
      <c r="FB132" s="12">
        <f t="array" ref="FB132">SUMPRODUCT(TRANSPOSE(FB$9:FB$34),$K132:$AJ132)</f>
        <v>1000</v>
      </c>
      <c r="FC132" s="12">
        <f t="array" ref="FC132">SUMPRODUCT(TRANSPOSE(FC$9:FC$34),$K132:$AJ132)</f>
        <v>1000</v>
      </c>
      <c r="FD132" s="12">
        <f t="array" ref="FD132">SUMPRODUCT(TRANSPOSE(FD$9:FD$34),$K132:$AJ132)</f>
        <v>1000</v>
      </c>
      <c r="FE132" s="12">
        <f t="array" ref="FE132">SUMPRODUCT(TRANSPOSE(FE$9:FE$34),$K132:$AJ132)</f>
        <v>1000</v>
      </c>
      <c r="FF132" s="12">
        <f t="array" ref="FF132">SUMPRODUCT(TRANSPOSE(FF$9:FF$34),$K132:$AJ132)</f>
        <v>1000</v>
      </c>
      <c r="FG132" s="12">
        <f t="array" ref="FG132">SUMPRODUCT(TRANSPOSE(FG$9:FG$34),$K132:$AJ132)</f>
        <v>1000</v>
      </c>
      <c r="FH132" s="12">
        <f t="array" ref="FH132">SUMPRODUCT(TRANSPOSE(FH$9:FH$34),$K132:$AJ132)</f>
        <v>1000</v>
      </c>
      <c r="FI132" s="12">
        <f t="array" ref="FI132">SUMPRODUCT(TRANSPOSE(FI$9:FI$34),$K132:$AJ132)</f>
        <v>1000</v>
      </c>
      <c r="FJ132" s="12">
        <f t="array" ref="FJ132">SUMPRODUCT(TRANSPOSE(FJ$9:FJ$34),$K132:$AJ132)</f>
        <v>1000</v>
      </c>
      <c r="FK132" s="12">
        <f t="array" ref="FK132">SUMPRODUCT(TRANSPOSE(FK$9:FK$34),$K132:$AJ132)</f>
        <v>1000</v>
      </c>
      <c r="FL132" s="12">
        <f t="array" ref="FL132">SUMPRODUCT(TRANSPOSE(FL$9:FL$34),$K132:$AJ132)</f>
        <v>1000</v>
      </c>
      <c r="FM132" s="12">
        <f t="array" ref="FM132">SUMPRODUCT(TRANSPOSE(FM$9:FM$34),$K132:$AJ132)</f>
        <v>1000</v>
      </c>
      <c r="FN132" s="12">
        <f t="array" ref="FN132">SUMPRODUCT(TRANSPOSE(FN$9:FN$34),$K132:$AJ132)</f>
        <v>817</v>
      </c>
      <c r="FO132" s="12">
        <f t="array" ref="FO132">SUMPRODUCT(TRANSPOSE(FO$9:FO$34),$K132:$AJ132)</f>
        <v>0</v>
      </c>
    </row>
    <row r="133" spans="1:171" ht="14.25" x14ac:dyDescent="0.2">
      <c r="A133" s="13">
        <f t="shared" si="7"/>
        <v>98</v>
      </c>
      <c r="B133" s="13" t="s">
        <v>357</v>
      </c>
      <c r="C133" s="25" t="s">
        <v>358</v>
      </c>
      <c r="D133" s="13" t="s">
        <v>67</v>
      </c>
      <c r="E133" s="13">
        <v>401349548</v>
      </c>
      <c r="F133" s="26" t="s">
        <v>359</v>
      </c>
      <c r="G133" s="13">
        <v>421403401</v>
      </c>
      <c r="H133" s="13" t="s">
        <v>61</v>
      </c>
      <c r="I133" s="13">
        <v>2</v>
      </c>
      <c r="J133" s="13">
        <v>6</v>
      </c>
      <c r="K133" s="13">
        <v>0</v>
      </c>
      <c r="L133" s="13">
        <v>0</v>
      </c>
      <c r="M133" s="13">
        <v>0</v>
      </c>
      <c r="N133" s="13">
        <v>0</v>
      </c>
      <c r="O133" s="13">
        <v>2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2</v>
      </c>
      <c r="Y133" s="13"/>
      <c r="Z133" s="13"/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2</v>
      </c>
      <c r="AK133" s="13">
        <f t="shared" si="8"/>
        <v>4</v>
      </c>
      <c r="AL133" s="23">
        <f t="shared" si="6"/>
        <v>141726</v>
      </c>
      <c r="AM133" s="13"/>
      <c r="AN133" s="13" t="s">
        <v>360</v>
      </c>
      <c r="AO133" s="7" t="s">
        <v>134</v>
      </c>
      <c r="AP133" s="38">
        <v>3.0693999999999999</v>
      </c>
      <c r="AQ133" s="12">
        <v>49000</v>
      </c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13"/>
      <c r="CG133" s="13"/>
      <c r="CH133" s="13"/>
      <c r="CI133" s="12"/>
      <c r="CJ133" s="12"/>
      <c r="CK133" s="12"/>
      <c r="CL133" s="12"/>
      <c r="CM133" s="12"/>
      <c r="CN133" s="12"/>
      <c r="CO133" s="12"/>
      <c r="CP133" s="12">
        <f>SUM($AQ133:BJ133)-SUM($EA133:EH133)</f>
        <v>34874</v>
      </c>
      <c r="CQ133" s="12">
        <f>SUM($AQ133:BK133)-SUM($EA133:EI133)</f>
        <v>34074</v>
      </c>
      <c r="CR133" s="12">
        <f>SUM($AQ133:BL133)-SUM($EA133:EJ133)</f>
        <v>32044</v>
      </c>
      <c r="CS133" s="12">
        <f>SUM($AQ133:BM133)-SUM($EA133:EK133)</f>
        <v>29774</v>
      </c>
      <c r="CT133" s="12">
        <f>SUM($AQ133:BN133)-SUM($EA133:EL133)</f>
        <v>25744</v>
      </c>
      <c r="CU133" s="12">
        <f>SUM($AQ133:BO133)-SUM($EA133:EM133)</f>
        <v>21644</v>
      </c>
      <c r="CV133" s="12">
        <f>SUM($AQ133:BP133)-SUM($EA133:EN133)</f>
        <v>17544</v>
      </c>
      <c r="CW133" s="12">
        <f>SUM($AQ133:BQ133)-SUM($EA133:EO133)</f>
        <v>13544</v>
      </c>
      <c r="CX133" s="12">
        <f>SUM($AQ133:BR133)-SUM($EA133:EP133)</f>
        <v>9444</v>
      </c>
      <c r="CY133" s="12">
        <f>SUM($AQ133:BS133)-SUM($EA133:EQ133)</f>
        <v>5344</v>
      </c>
      <c r="CZ133" s="12">
        <f>SUM($AQ133:BT133)-SUM($EA133:ER133)</f>
        <v>1244</v>
      </c>
      <c r="DA133" s="12">
        <f>SUM($AQ133:BU133)-SUM($EA133:ES133)</f>
        <v>-2856</v>
      </c>
      <c r="DB133" s="12">
        <f>SUM($AQ133:BV133)-SUM($EA133:ET133)</f>
        <v>-6956</v>
      </c>
      <c r="DC133" s="12">
        <f>SUM($AQ133:BW133)-SUM($EA133:EU133)</f>
        <v>-11056</v>
      </c>
      <c r="DD133" s="12">
        <f>SUM($AQ133:BX133)-SUM($EA133:EV133)</f>
        <v>-15156</v>
      </c>
      <c r="DE133" s="12">
        <f>SUM($AQ133:BY133)-SUM($EA133:EW133)</f>
        <v>-19176</v>
      </c>
      <c r="DF133" s="12">
        <f>SUM($AQ133:BZ133)-SUM($EA133:EX133)</f>
        <v>-23176</v>
      </c>
      <c r="DG133" s="12">
        <f>SUM($AQ133:CA133)-SUM($EA133:EY133)</f>
        <v>-27176</v>
      </c>
      <c r="DH133" s="12">
        <f>SUM($AQ133:CB133)-SUM($EA133:EZ133)</f>
        <v>-31176</v>
      </c>
      <c r="DI133" s="12">
        <f>SUM($AQ133:CC133)-SUM($EA133:FA133)</f>
        <v>-35176</v>
      </c>
      <c r="DJ133" s="12">
        <f>SUM($AQ133:CD133)-SUM($EA133:FB133)</f>
        <v>-39176</v>
      </c>
      <c r="DK133" s="12">
        <f>SUM($AQ133:CE133)-SUM($EA133:FC133)</f>
        <v>-43176</v>
      </c>
      <c r="DL133" s="12">
        <f>SUM($AQ133:CF133)-SUM($EA133:FD133)</f>
        <v>-47176</v>
      </c>
      <c r="DM133" s="12">
        <f>SUM($AQ133:CG133)-SUM($EA133:FE133)</f>
        <v>-51176</v>
      </c>
      <c r="DN133" s="12">
        <f>SUM($AQ133:CH133)-SUM($EA133:FF133)</f>
        <v>-55176</v>
      </c>
      <c r="DO133" s="12">
        <f>SUM($AQ133:CI133)-SUM($EA133:FG133)</f>
        <v>-59176</v>
      </c>
      <c r="DP133" s="12">
        <f>SUM($AQ133:CJ133)-SUM($EA133:FH133)</f>
        <v>-63176</v>
      </c>
      <c r="DQ133" s="12">
        <f>SUM($AQ133:CK133)-SUM($EA133:FI133)</f>
        <v>-67176</v>
      </c>
      <c r="DR133" s="12">
        <f>SUM($AQ133:CL133)-SUM($EA133:FJ133)</f>
        <v>-71176</v>
      </c>
      <c r="DS133" s="12">
        <f>SUM($AQ133:CM133)-SUM($EA133:FK133)</f>
        <v>-75176</v>
      </c>
      <c r="DT133" s="12">
        <f>SUM($AQ133:CN133)-SUM($EA133:FL133)</f>
        <v>-79176</v>
      </c>
      <c r="DU133" s="12">
        <f>SUM($AQ133:CO133)-SUM($EA133:FM133)</f>
        <v>-83176</v>
      </c>
      <c r="DV133" s="12">
        <f>SUM($AQ133:CP133)-SUM($EA133:FN133)</f>
        <v>-51698</v>
      </c>
      <c r="DW133" s="12">
        <f>SUM($AQ133:CQ133)-SUM($EA133:FO133)</f>
        <v>-17778</v>
      </c>
      <c r="DX133" s="13"/>
      <c r="DY133" s="13"/>
      <c r="DZ133" s="13"/>
      <c r="EA133" s="12"/>
      <c r="EB133" s="12"/>
      <c r="EC133" s="12"/>
      <c r="ED133" s="12"/>
      <c r="EE133" s="12"/>
      <c r="EF133" s="12"/>
      <c r="EG133" s="12"/>
      <c r="EH133" s="12">
        <f t="array" ref="EH133">SUMPRODUCT(TRANSPOSE(EH$9:EH$34),$K133:$AJ133)</f>
        <v>14126</v>
      </c>
      <c r="EI133" s="12">
        <f t="array" ref="EI133">SUMPRODUCT(TRANSPOSE(EI$9:EI$34),$K133:$AJ133)</f>
        <v>800</v>
      </c>
      <c r="EJ133" s="12">
        <f t="array" ref="EJ133">SUMPRODUCT(TRANSPOSE(EJ$9:EJ$34),$K133:$AJ133)</f>
        <v>2030</v>
      </c>
      <c r="EK133" s="12">
        <f t="array" ref="EK133">SUMPRODUCT(TRANSPOSE(EK$9:EK$34),$K133:$AJ133)</f>
        <v>2270</v>
      </c>
      <c r="EL133" s="12">
        <f t="array" ref="EL133">SUMPRODUCT(TRANSPOSE(EL$9:EL$34),$K133:$AJ133)</f>
        <v>4030</v>
      </c>
      <c r="EM133" s="12">
        <f t="array" ref="EM133">SUMPRODUCT(TRANSPOSE(EM$9:EM$34),$K133:$AJ133)</f>
        <v>4100</v>
      </c>
      <c r="EN133" s="12">
        <f t="array" ref="EN133">SUMPRODUCT(TRANSPOSE(EN$9:EN$34),$K133:$AJ133)</f>
        <v>4100</v>
      </c>
      <c r="EO133" s="12">
        <f t="array" ref="EO133">SUMPRODUCT(TRANSPOSE(EO$9:EO$34),$K133:$AJ133)</f>
        <v>4000</v>
      </c>
      <c r="EP133" s="12">
        <f t="array" ref="EP133">SUMPRODUCT(TRANSPOSE(EP$9:EP$34),$K133:$AJ133)</f>
        <v>4100</v>
      </c>
      <c r="EQ133" s="12">
        <f t="array" ref="EQ133">SUMPRODUCT(TRANSPOSE(EQ$9:EQ$34),$K133:$AJ133)</f>
        <v>4100</v>
      </c>
      <c r="ER133" s="12">
        <f t="array" ref="ER133">SUMPRODUCT(TRANSPOSE(ER$9:ER$34),$K133:$AJ133)</f>
        <v>4100</v>
      </c>
      <c r="ES133" s="12">
        <f t="array" ref="ES133">SUMPRODUCT(TRANSPOSE(ES$9:ES$34),$K133:$AJ133)</f>
        <v>4100</v>
      </c>
      <c r="ET133" s="12">
        <f t="array" ref="ET133">SUMPRODUCT(TRANSPOSE(ET$9:ET$34),$K133:$AJ133)</f>
        <v>4100</v>
      </c>
      <c r="EU133" s="12">
        <f t="array" ref="EU133">SUMPRODUCT(TRANSPOSE(EU$9:EU$34),$K133:$AJ133)</f>
        <v>4100</v>
      </c>
      <c r="EV133" s="12">
        <f t="array" ref="EV133">SUMPRODUCT(TRANSPOSE(EV$9:EV$34),$K133:$AJ133)</f>
        <v>4100</v>
      </c>
      <c r="EW133" s="12">
        <f t="array" ref="EW133">SUMPRODUCT(TRANSPOSE(EW$9:EW$34),$K133:$AJ133)</f>
        <v>4020</v>
      </c>
      <c r="EX133" s="12">
        <f t="array" ref="EX133">SUMPRODUCT(TRANSPOSE(EX$9:EX$34),$K133:$AJ133)</f>
        <v>4000</v>
      </c>
      <c r="EY133" s="12">
        <f t="array" ref="EY133">SUMPRODUCT(TRANSPOSE(EY$9:EY$34),$K133:$AJ133)</f>
        <v>4000</v>
      </c>
      <c r="EZ133" s="12">
        <f t="array" ref="EZ133">SUMPRODUCT(TRANSPOSE(EZ$9:EZ$34),$K133:$AJ133)</f>
        <v>4000</v>
      </c>
      <c r="FA133" s="12">
        <f t="array" ref="FA133">SUMPRODUCT(TRANSPOSE(FA$9:FA$34),$K133:$AJ133)</f>
        <v>4000</v>
      </c>
      <c r="FB133" s="12">
        <f t="array" ref="FB133">SUMPRODUCT(TRANSPOSE(FB$9:FB$34),$K133:$AJ133)</f>
        <v>4000</v>
      </c>
      <c r="FC133" s="12">
        <f t="array" ref="FC133">SUMPRODUCT(TRANSPOSE(FC$9:FC$34),$K133:$AJ133)</f>
        <v>4000</v>
      </c>
      <c r="FD133" s="12">
        <f t="array" ref="FD133">SUMPRODUCT(TRANSPOSE(FD$9:FD$34),$K133:$AJ133)</f>
        <v>4000</v>
      </c>
      <c r="FE133" s="12">
        <f t="array" ref="FE133">SUMPRODUCT(TRANSPOSE(FE$9:FE$34),$K133:$AJ133)</f>
        <v>4000</v>
      </c>
      <c r="FF133" s="12">
        <f t="array" ref="FF133">SUMPRODUCT(TRANSPOSE(FF$9:FF$34),$K133:$AJ133)</f>
        <v>4000</v>
      </c>
      <c r="FG133" s="12">
        <f t="array" ref="FG133">SUMPRODUCT(TRANSPOSE(FG$9:FG$34),$K133:$AJ133)</f>
        <v>4000</v>
      </c>
      <c r="FH133" s="12">
        <f t="array" ref="FH133">SUMPRODUCT(TRANSPOSE(FH$9:FH$34),$K133:$AJ133)</f>
        <v>4000</v>
      </c>
      <c r="FI133" s="12">
        <f t="array" ref="FI133">SUMPRODUCT(TRANSPOSE(FI$9:FI$34),$K133:$AJ133)</f>
        <v>4000</v>
      </c>
      <c r="FJ133" s="12">
        <f t="array" ref="FJ133">SUMPRODUCT(TRANSPOSE(FJ$9:FJ$34),$K133:$AJ133)</f>
        <v>4000</v>
      </c>
      <c r="FK133" s="12">
        <f t="array" ref="FK133">SUMPRODUCT(TRANSPOSE(FK$9:FK$34),$K133:$AJ133)</f>
        <v>4000</v>
      </c>
      <c r="FL133" s="12">
        <f t="array" ref="FL133">SUMPRODUCT(TRANSPOSE(FL$9:FL$34),$K133:$AJ133)</f>
        <v>4000</v>
      </c>
      <c r="FM133" s="12">
        <f t="array" ref="FM133">SUMPRODUCT(TRANSPOSE(FM$9:FM$34),$K133:$AJ133)</f>
        <v>4000</v>
      </c>
      <c r="FN133" s="12">
        <f t="array" ref="FN133">SUMPRODUCT(TRANSPOSE(FN$9:FN$34),$K133:$AJ133)</f>
        <v>3396</v>
      </c>
      <c r="FO133" s="12">
        <f t="array" ref="FO133">SUMPRODUCT(TRANSPOSE(FO$9:FO$34),$K133:$AJ133)</f>
        <v>154</v>
      </c>
    </row>
    <row r="134" spans="1:171" ht="14.25" x14ac:dyDescent="0.2">
      <c r="A134" s="13">
        <f t="shared" si="7"/>
        <v>99</v>
      </c>
      <c r="B134" s="13" t="s">
        <v>361</v>
      </c>
      <c r="C134" s="25" t="s">
        <v>362</v>
      </c>
      <c r="D134" s="13" t="s">
        <v>67</v>
      </c>
      <c r="E134" s="13">
        <v>400687676</v>
      </c>
      <c r="F134" s="26" t="s">
        <v>363</v>
      </c>
      <c r="G134" s="13">
        <v>400481628</v>
      </c>
      <c r="H134" s="13" t="s">
        <v>61</v>
      </c>
      <c r="I134" s="13">
        <v>2</v>
      </c>
      <c r="J134" s="13">
        <v>6</v>
      </c>
      <c r="K134" s="13">
        <v>0</v>
      </c>
      <c r="L134" s="13">
        <v>0</v>
      </c>
      <c r="M134" s="13">
        <v>0</v>
      </c>
      <c r="N134" s="13">
        <v>0</v>
      </c>
      <c r="O134" s="13">
        <v>2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2</v>
      </c>
      <c r="Y134" s="13"/>
      <c r="Z134" s="13"/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2</v>
      </c>
      <c r="AK134" s="13">
        <f t="shared" si="8"/>
        <v>4</v>
      </c>
      <c r="AL134" s="23">
        <f t="shared" si="6"/>
        <v>141726</v>
      </c>
      <c r="AM134" s="13"/>
      <c r="AN134" s="13" t="s">
        <v>360</v>
      </c>
      <c r="AO134" s="7" t="s">
        <v>134</v>
      </c>
      <c r="AP134" s="38">
        <v>1.6583000000000001</v>
      </c>
      <c r="AQ134" s="12">
        <v>50250</v>
      </c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13"/>
      <c r="CG134" s="13"/>
      <c r="CH134" s="13"/>
      <c r="CI134" s="12"/>
      <c r="CJ134" s="12"/>
      <c r="CK134" s="12"/>
      <c r="CL134" s="12"/>
      <c r="CM134" s="12"/>
      <c r="CN134" s="12"/>
      <c r="CO134" s="12"/>
      <c r="CP134" s="12">
        <f>SUM($AQ134:BJ134)-SUM($EA134:EH134)</f>
        <v>36124</v>
      </c>
      <c r="CQ134" s="12">
        <f>SUM($AQ134:BK134)-SUM($EA134:EI134)</f>
        <v>35324</v>
      </c>
      <c r="CR134" s="12">
        <f>SUM($AQ134:BL134)-SUM($EA134:EJ134)</f>
        <v>33294</v>
      </c>
      <c r="CS134" s="12">
        <f>SUM($AQ134:BM134)-SUM($EA134:EK134)</f>
        <v>31024</v>
      </c>
      <c r="CT134" s="12">
        <f>SUM($AQ134:BN134)-SUM($EA134:EL134)</f>
        <v>26994</v>
      </c>
      <c r="CU134" s="12">
        <f>SUM($AQ134:BO134)-SUM($EA134:EM134)</f>
        <v>22894</v>
      </c>
      <c r="CV134" s="12">
        <f>SUM($AQ134:BP134)-SUM($EA134:EN134)</f>
        <v>18794</v>
      </c>
      <c r="CW134" s="12">
        <f>SUM($AQ134:BQ134)-SUM($EA134:EO134)</f>
        <v>14794</v>
      </c>
      <c r="CX134" s="12">
        <f>SUM($AQ134:BR134)-SUM($EA134:EP134)</f>
        <v>10694</v>
      </c>
      <c r="CY134" s="12">
        <f>SUM($AQ134:BS134)-SUM($EA134:EQ134)</f>
        <v>6594</v>
      </c>
      <c r="CZ134" s="12">
        <f>SUM($AQ134:BT134)-SUM($EA134:ER134)</f>
        <v>2494</v>
      </c>
      <c r="DA134" s="12">
        <f>SUM($AQ134:BU134)-SUM($EA134:ES134)</f>
        <v>-1606</v>
      </c>
      <c r="DB134" s="12">
        <f>SUM($AQ134:BV134)-SUM($EA134:ET134)</f>
        <v>-5706</v>
      </c>
      <c r="DC134" s="12">
        <f>SUM($AQ134:BW134)-SUM($EA134:EU134)</f>
        <v>-9806</v>
      </c>
      <c r="DD134" s="12">
        <f>SUM($AQ134:BX134)-SUM($EA134:EV134)</f>
        <v>-13906</v>
      </c>
      <c r="DE134" s="12">
        <f>SUM($AQ134:BY134)-SUM($EA134:EW134)</f>
        <v>-17926</v>
      </c>
      <c r="DF134" s="12">
        <f>SUM($AQ134:BZ134)-SUM($EA134:EX134)</f>
        <v>-21926</v>
      </c>
      <c r="DG134" s="12">
        <f>SUM($AQ134:CA134)-SUM($EA134:EY134)</f>
        <v>-25926</v>
      </c>
      <c r="DH134" s="12">
        <f>SUM($AQ134:CB134)-SUM($EA134:EZ134)</f>
        <v>-29926</v>
      </c>
      <c r="DI134" s="12">
        <f>SUM($AQ134:CC134)-SUM($EA134:FA134)</f>
        <v>-33926</v>
      </c>
      <c r="DJ134" s="12">
        <f>SUM($AQ134:CD134)-SUM($EA134:FB134)</f>
        <v>-37926</v>
      </c>
      <c r="DK134" s="12">
        <f>SUM($AQ134:CE134)-SUM($EA134:FC134)</f>
        <v>-41926</v>
      </c>
      <c r="DL134" s="12">
        <f>SUM($AQ134:CF134)-SUM($EA134:FD134)</f>
        <v>-45926</v>
      </c>
      <c r="DM134" s="12">
        <f>SUM($AQ134:CG134)-SUM($EA134:FE134)</f>
        <v>-49926</v>
      </c>
      <c r="DN134" s="12">
        <f>SUM($AQ134:CH134)-SUM($EA134:FF134)</f>
        <v>-53926</v>
      </c>
      <c r="DO134" s="12">
        <f>SUM($AQ134:CI134)-SUM($EA134:FG134)</f>
        <v>-57926</v>
      </c>
      <c r="DP134" s="12">
        <f>SUM($AQ134:CJ134)-SUM($EA134:FH134)</f>
        <v>-61926</v>
      </c>
      <c r="DQ134" s="12">
        <f>SUM($AQ134:CK134)-SUM($EA134:FI134)</f>
        <v>-65926</v>
      </c>
      <c r="DR134" s="12">
        <f>SUM($AQ134:CL134)-SUM($EA134:FJ134)</f>
        <v>-69926</v>
      </c>
      <c r="DS134" s="12">
        <f>SUM($AQ134:CM134)-SUM($EA134:FK134)</f>
        <v>-73926</v>
      </c>
      <c r="DT134" s="12">
        <f>SUM($AQ134:CN134)-SUM($EA134:FL134)</f>
        <v>-77926</v>
      </c>
      <c r="DU134" s="12">
        <f>SUM($AQ134:CO134)-SUM($EA134:FM134)</f>
        <v>-81926</v>
      </c>
      <c r="DV134" s="12">
        <f>SUM($AQ134:CP134)-SUM($EA134:FN134)</f>
        <v>-49198</v>
      </c>
      <c r="DW134" s="12">
        <f>SUM($AQ134:CQ134)-SUM($EA134:FO134)</f>
        <v>-14028</v>
      </c>
      <c r="DX134" s="13"/>
      <c r="DY134" s="13"/>
      <c r="DZ134" s="13"/>
      <c r="EA134" s="12"/>
      <c r="EB134" s="12"/>
      <c r="EC134" s="12"/>
      <c r="ED134" s="12"/>
      <c r="EE134" s="12"/>
      <c r="EF134" s="12"/>
      <c r="EG134" s="12"/>
      <c r="EH134" s="12">
        <f t="array" ref="EH134">SUMPRODUCT(TRANSPOSE(EH$9:EH$34),$K134:$AJ134)</f>
        <v>14126</v>
      </c>
      <c r="EI134" s="12">
        <f t="array" ref="EI134">SUMPRODUCT(TRANSPOSE(EI$9:EI$34),$K134:$AJ134)</f>
        <v>800</v>
      </c>
      <c r="EJ134" s="12">
        <f t="array" ref="EJ134">SUMPRODUCT(TRANSPOSE(EJ$9:EJ$34),$K134:$AJ134)</f>
        <v>2030</v>
      </c>
      <c r="EK134" s="12">
        <f t="array" ref="EK134">SUMPRODUCT(TRANSPOSE(EK$9:EK$34),$K134:$AJ134)</f>
        <v>2270</v>
      </c>
      <c r="EL134" s="12">
        <f t="array" ref="EL134">SUMPRODUCT(TRANSPOSE(EL$9:EL$34),$K134:$AJ134)</f>
        <v>4030</v>
      </c>
      <c r="EM134" s="12">
        <f t="array" ref="EM134">SUMPRODUCT(TRANSPOSE(EM$9:EM$34),$K134:$AJ134)</f>
        <v>4100</v>
      </c>
      <c r="EN134" s="12">
        <f t="array" ref="EN134">SUMPRODUCT(TRANSPOSE(EN$9:EN$34),$K134:$AJ134)</f>
        <v>4100</v>
      </c>
      <c r="EO134" s="12">
        <f t="array" ref="EO134">SUMPRODUCT(TRANSPOSE(EO$9:EO$34),$K134:$AJ134)</f>
        <v>4000</v>
      </c>
      <c r="EP134" s="12">
        <f t="array" ref="EP134">SUMPRODUCT(TRANSPOSE(EP$9:EP$34),$K134:$AJ134)</f>
        <v>4100</v>
      </c>
      <c r="EQ134" s="12">
        <f t="array" ref="EQ134">SUMPRODUCT(TRANSPOSE(EQ$9:EQ$34),$K134:$AJ134)</f>
        <v>4100</v>
      </c>
      <c r="ER134" s="12">
        <f t="array" ref="ER134">SUMPRODUCT(TRANSPOSE(ER$9:ER$34),$K134:$AJ134)</f>
        <v>4100</v>
      </c>
      <c r="ES134" s="12">
        <f t="array" ref="ES134">SUMPRODUCT(TRANSPOSE(ES$9:ES$34),$K134:$AJ134)</f>
        <v>4100</v>
      </c>
      <c r="ET134" s="12">
        <f t="array" ref="ET134">SUMPRODUCT(TRANSPOSE(ET$9:ET$34),$K134:$AJ134)</f>
        <v>4100</v>
      </c>
      <c r="EU134" s="12">
        <f t="array" ref="EU134">SUMPRODUCT(TRANSPOSE(EU$9:EU$34),$K134:$AJ134)</f>
        <v>4100</v>
      </c>
      <c r="EV134" s="12">
        <f t="array" ref="EV134">SUMPRODUCT(TRANSPOSE(EV$9:EV$34),$K134:$AJ134)</f>
        <v>4100</v>
      </c>
      <c r="EW134" s="12">
        <f t="array" ref="EW134">SUMPRODUCT(TRANSPOSE(EW$9:EW$34),$K134:$AJ134)</f>
        <v>4020</v>
      </c>
      <c r="EX134" s="12">
        <f t="array" ref="EX134">SUMPRODUCT(TRANSPOSE(EX$9:EX$34),$K134:$AJ134)</f>
        <v>4000</v>
      </c>
      <c r="EY134" s="12">
        <f t="array" ref="EY134">SUMPRODUCT(TRANSPOSE(EY$9:EY$34),$K134:$AJ134)</f>
        <v>4000</v>
      </c>
      <c r="EZ134" s="12">
        <f t="array" ref="EZ134">SUMPRODUCT(TRANSPOSE(EZ$9:EZ$34),$K134:$AJ134)</f>
        <v>4000</v>
      </c>
      <c r="FA134" s="12">
        <f t="array" ref="FA134">SUMPRODUCT(TRANSPOSE(FA$9:FA$34),$K134:$AJ134)</f>
        <v>4000</v>
      </c>
      <c r="FB134" s="12">
        <f t="array" ref="FB134">SUMPRODUCT(TRANSPOSE(FB$9:FB$34),$K134:$AJ134)</f>
        <v>4000</v>
      </c>
      <c r="FC134" s="12">
        <f t="array" ref="FC134">SUMPRODUCT(TRANSPOSE(FC$9:FC$34),$K134:$AJ134)</f>
        <v>4000</v>
      </c>
      <c r="FD134" s="12">
        <f t="array" ref="FD134">SUMPRODUCT(TRANSPOSE(FD$9:FD$34),$K134:$AJ134)</f>
        <v>4000</v>
      </c>
      <c r="FE134" s="12">
        <f t="array" ref="FE134">SUMPRODUCT(TRANSPOSE(FE$9:FE$34),$K134:$AJ134)</f>
        <v>4000</v>
      </c>
      <c r="FF134" s="12">
        <f t="array" ref="FF134">SUMPRODUCT(TRANSPOSE(FF$9:FF$34),$K134:$AJ134)</f>
        <v>4000</v>
      </c>
      <c r="FG134" s="12">
        <f t="array" ref="FG134">SUMPRODUCT(TRANSPOSE(FG$9:FG$34),$K134:$AJ134)</f>
        <v>4000</v>
      </c>
      <c r="FH134" s="12">
        <f t="array" ref="FH134">SUMPRODUCT(TRANSPOSE(FH$9:FH$34),$K134:$AJ134)</f>
        <v>4000</v>
      </c>
      <c r="FI134" s="12">
        <f t="array" ref="FI134">SUMPRODUCT(TRANSPOSE(FI$9:FI$34),$K134:$AJ134)</f>
        <v>4000</v>
      </c>
      <c r="FJ134" s="12">
        <f t="array" ref="FJ134">SUMPRODUCT(TRANSPOSE(FJ$9:FJ$34),$K134:$AJ134)</f>
        <v>4000</v>
      </c>
      <c r="FK134" s="12">
        <f t="array" ref="FK134">SUMPRODUCT(TRANSPOSE(FK$9:FK$34),$K134:$AJ134)</f>
        <v>4000</v>
      </c>
      <c r="FL134" s="12">
        <f t="array" ref="FL134">SUMPRODUCT(TRANSPOSE(FL$9:FL$34),$K134:$AJ134)</f>
        <v>4000</v>
      </c>
      <c r="FM134" s="12">
        <f t="array" ref="FM134">SUMPRODUCT(TRANSPOSE(FM$9:FM$34),$K134:$AJ134)</f>
        <v>4000</v>
      </c>
      <c r="FN134" s="12">
        <f t="array" ref="FN134">SUMPRODUCT(TRANSPOSE(FN$9:FN$34),$K134:$AJ134)</f>
        <v>3396</v>
      </c>
      <c r="FO134" s="12">
        <f t="array" ref="FO134">SUMPRODUCT(TRANSPOSE(FO$9:FO$34),$K134:$AJ134)</f>
        <v>154</v>
      </c>
    </row>
    <row r="135" spans="1:171" ht="14.25" x14ac:dyDescent="0.2">
      <c r="A135" s="13">
        <f t="shared" si="7"/>
        <v>100</v>
      </c>
      <c r="B135" s="13" t="s">
        <v>364</v>
      </c>
      <c r="C135" s="25" t="s">
        <v>365</v>
      </c>
      <c r="D135" s="13" t="s">
        <v>67</v>
      </c>
      <c r="E135" s="13">
        <v>414282400</v>
      </c>
      <c r="F135" s="26" t="s">
        <v>366</v>
      </c>
      <c r="G135" s="13">
        <v>414290600</v>
      </c>
      <c r="H135" s="13" t="s">
        <v>61</v>
      </c>
      <c r="I135" s="13">
        <v>2</v>
      </c>
      <c r="J135" s="13">
        <v>9</v>
      </c>
      <c r="K135" s="13">
        <v>0</v>
      </c>
      <c r="L135" s="13">
        <v>0</v>
      </c>
      <c r="M135" s="13">
        <v>0</v>
      </c>
      <c r="N135" s="13">
        <v>0</v>
      </c>
      <c r="O135" s="13">
        <v>3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3</v>
      </c>
      <c r="Y135" s="13"/>
      <c r="Z135" s="13"/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3</v>
      </c>
      <c r="AK135" s="13">
        <f t="shared" si="8"/>
        <v>6</v>
      </c>
      <c r="AL135" s="23">
        <f t="shared" si="6"/>
        <v>212589</v>
      </c>
      <c r="AM135" s="13"/>
      <c r="AN135" s="13" t="s">
        <v>360</v>
      </c>
      <c r="AO135" s="7" t="s">
        <v>134</v>
      </c>
      <c r="AP135" s="38">
        <v>4.5011000000000001</v>
      </c>
      <c r="AQ135" s="12">
        <v>73000</v>
      </c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13"/>
      <c r="CG135" s="13"/>
      <c r="CH135" s="13"/>
      <c r="CI135" s="12"/>
      <c r="CJ135" s="12"/>
      <c r="CK135" s="12"/>
      <c r="CL135" s="12"/>
      <c r="CM135" s="12"/>
      <c r="CN135" s="12"/>
      <c r="CO135" s="12"/>
      <c r="CP135" s="12">
        <f>SUM($AQ135:BJ135)-SUM($EA135:EH135)</f>
        <v>51811</v>
      </c>
      <c r="CQ135" s="12">
        <f>SUM($AQ135:BK135)-SUM($EA135:EI135)</f>
        <v>50611</v>
      </c>
      <c r="CR135" s="12">
        <f>SUM($AQ135:BL135)-SUM($EA135:EJ135)</f>
        <v>47566</v>
      </c>
      <c r="CS135" s="12">
        <f>SUM($AQ135:BM135)-SUM($EA135:EK135)</f>
        <v>44161</v>
      </c>
      <c r="CT135" s="12">
        <f>SUM($AQ135:BN135)-SUM($EA135:EL135)</f>
        <v>38116</v>
      </c>
      <c r="CU135" s="12">
        <f>SUM($AQ135:BO135)-SUM($EA135:EM135)</f>
        <v>31966</v>
      </c>
      <c r="CV135" s="12">
        <f>SUM($AQ135:BP135)-SUM($EA135:EN135)</f>
        <v>25816</v>
      </c>
      <c r="CW135" s="12">
        <f>SUM($AQ135:BQ135)-SUM($EA135:EO135)</f>
        <v>19816</v>
      </c>
      <c r="CX135" s="12">
        <f>SUM($AQ135:BR135)-SUM($EA135:EP135)</f>
        <v>13666</v>
      </c>
      <c r="CY135" s="12">
        <f>SUM($AQ135:BS135)-SUM($EA135:EQ135)</f>
        <v>7516</v>
      </c>
      <c r="CZ135" s="12">
        <f>SUM($AQ135:BT135)-SUM($EA135:ER135)</f>
        <v>1366</v>
      </c>
      <c r="DA135" s="12">
        <f>SUM($AQ135:BU135)-SUM($EA135:ES135)</f>
        <v>-4784</v>
      </c>
      <c r="DB135" s="12">
        <f>SUM($AQ135:BV135)-SUM($EA135:ET135)</f>
        <v>-10934</v>
      </c>
      <c r="DC135" s="12">
        <f>SUM($AQ135:BW135)-SUM($EA135:EU135)</f>
        <v>-17084</v>
      </c>
      <c r="DD135" s="12">
        <f>SUM($AQ135:BX135)-SUM($EA135:EV135)</f>
        <v>-23234</v>
      </c>
      <c r="DE135" s="12">
        <f>SUM($AQ135:BY135)-SUM($EA135:EW135)</f>
        <v>-29264</v>
      </c>
      <c r="DF135" s="12">
        <f>SUM($AQ135:BZ135)-SUM($EA135:EX135)</f>
        <v>-35264</v>
      </c>
      <c r="DG135" s="12">
        <f>SUM($AQ135:CA135)-SUM($EA135:EY135)</f>
        <v>-41264</v>
      </c>
      <c r="DH135" s="12">
        <f>SUM($AQ135:CB135)-SUM($EA135:EZ135)</f>
        <v>-47264</v>
      </c>
      <c r="DI135" s="12">
        <f>SUM($AQ135:CC135)-SUM($EA135:FA135)</f>
        <v>-53264</v>
      </c>
      <c r="DJ135" s="12">
        <f>SUM($AQ135:CD135)-SUM($EA135:FB135)</f>
        <v>-59264</v>
      </c>
      <c r="DK135" s="12">
        <f>SUM($AQ135:CE135)-SUM($EA135:FC135)</f>
        <v>-65264</v>
      </c>
      <c r="DL135" s="12">
        <f>SUM($AQ135:CF135)-SUM($EA135:FD135)</f>
        <v>-71264</v>
      </c>
      <c r="DM135" s="12">
        <f>SUM($AQ135:CG135)-SUM($EA135:FE135)</f>
        <v>-77264</v>
      </c>
      <c r="DN135" s="12">
        <f>SUM($AQ135:CH135)-SUM($EA135:FF135)</f>
        <v>-83264</v>
      </c>
      <c r="DO135" s="12">
        <f>SUM($AQ135:CI135)-SUM($EA135:FG135)</f>
        <v>-89264</v>
      </c>
      <c r="DP135" s="12">
        <f>SUM($AQ135:CJ135)-SUM($EA135:FH135)</f>
        <v>-95264</v>
      </c>
      <c r="DQ135" s="12">
        <f>SUM($AQ135:CK135)-SUM($EA135:FI135)</f>
        <v>-101264</v>
      </c>
      <c r="DR135" s="12">
        <f>SUM($AQ135:CL135)-SUM($EA135:FJ135)</f>
        <v>-107264</v>
      </c>
      <c r="DS135" s="12">
        <f>SUM($AQ135:CM135)-SUM($EA135:FK135)</f>
        <v>-113264</v>
      </c>
      <c r="DT135" s="12">
        <f>SUM($AQ135:CN135)-SUM($EA135:FL135)</f>
        <v>-119264</v>
      </c>
      <c r="DU135" s="12">
        <f>SUM($AQ135:CO135)-SUM($EA135:FM135)</f>
        <v>-125264</v>
      </c>
      <c r="DV135" s="12">
        <f>SUM($AQ135:CP135)-SUM($EA135:FN135)</f>
        <v>-78547</v>
      </c>
      <c r="DW135" s="12">
        <f>SUM($AQ135:CQ135)-SUM($EA135:FO135)</f>
        <v>-28167</v>
      </c>
      <c r="DX135" s="13"/>
      <c r="DY135" s="13"/>
      <c r="DZ135" s="13"/>
      <c r="EA135" s="12"/>
      <c r="EB135" s="12"/>
      <c r="EC135" s="12"/>
      <c r="ED135" s="12"/>
      <c r="EE135" s="12"/>
      <c r="EF135" s="12"/>
      <c r="EG135" s="12"/>
      <c r="EH135" s="12">
        <f t="array" ref="EH135">SUMPRODUCT(TRANSPOSE(EH$9:EH$34),$K135:$AJ135)</f>
        <v>21189</v>
      </c>
      <c r="EI135" s="12">
        <f t="array" ref="EI135">SUMPRODUCT(TRANSPOSE(EI$9:EI$34),$K135:$AJ135)</f>
        <v>1200</v>
      </c>
      <c r="EJ135" s="12">
        <f t="array" ref="EJ135">SUMPRODUCT(TRANSPOSE(EJ$9:EJ$34),$K135:$AJ135)</f>
        <v>3045</v>
      </c>
      <c r="EK135" s="12">
        <f t="array" ref="EK135">SUMPRODUCT(TRANSPOSE(EK$9:EK$34),$K135:$AJ135)</f>
        <v>3405</v>
      </c>
      <c r="EL135" s="12">
        <f t="array" ref="EL135">SUMPRODUCT(TRANSPOSE(EL$9:EL$34),$K135:$AJ135)</f>
        <v>6045</v>
      </c>
      <c r="EM135" s="12">
        <f t="array" ref="EM135">SUMPRODUCT(TRANSPOSE(EM$9:EM$34),$K135:$AJ135)</f>
        <v>6150</v>
      </c>
      <c r="EN135" s="12">
        <f t="array" ref="EN135">SUMPRODUCT(TRANSPOSE(EN$9:EN$34),$K135:$AJ135)</f>
        <v>6150</v>
      </c>
      <c r="EO135" s="12">
        <f t="array" ref="EO135">SUMPRODUCT(TRANSPOSE(EO$9:EO$34),$K135:$AJ135)</f>
        <v>6000</v>
      </c>
      <c r="EP135" s="12">
        <f t="array" ref="EP135">SUMPRODUCT(TRANSPOSE(EP$9:EP$34),$K135:$AJ135)</f>
        <v>6150</v>
      </c>
      <c r="EQ135" s="12">
        <f t="array" ref="EQ135">SUMPRODUCT(TRANSPOSE(EQ$9:EQ$34),$K135:$AJ135)</f>
        <v>6150</v>
      </c>
      <c r="ER135" s="12">
        <f t="array" ref="ER135">SUMPRODUCT(TRANSPOSE(ER$9:ER$34),$K135:$AJ135)</f>
        <v>6150</v>
      </c>
      <c r="ES135" s="12">
        <f t="array" ref="ES135">SUMPRODUCT(TRANSPOSE(ES$9:ES$34),$K135:$AJ135)</f>
        <v>6150</v>
      </c>
      <c r="ET135" s="12">
        <f t="array" ref="ET135">SUMPRODUCT(TRANSPOSE(ET$9:ET$34),$K135:$AJ135)</f>
        <v>6150</v>
      </c>
      <c r="EU135" s="12">
        <f t="array" ref="EU135">SUMPRODUCT(TRANSPOSE(EU$9:EU$34),$K135:$AJ135)</f>
        <v>6150</v>
      </c>
      <c r="EV135" s="12">
        <f t="array" ref="EV135">SUMPRODUCT(TRANSPOSE(EV$9:EV$34),$K135:$AJ135)</f>
        <v>6150</v>
      </c>
      <c r="EW135" s="12">
        <f t="array" ref="EW135">SUMPRODUCT(TRANSPOSE(EW$9:EW$34),$K135:$AJ135)</f>
        <v>6030</v>
      </c>
      <c r="EX135" s="12">
        <f t="array" ref="EX135">SUMPRODUCT(TRANSPOSE(EX$9:EX$34),$K135:$AJ135)</f>
        <v>6000</v>
      </c>
      <c r="EY135" s="12">
        <f t="array" ref="EY135">SUMPRODUCT(TRANSPOSE(EY$9:EY$34),$K135:$AJ135)</f>
        <v>6000</v>
      </c>
      <c r="EZ135" s="12">
        <f t="array" ref="EZ135">SUMPRODUCT(TRANSPOSE(EZ$9:EZ$34),$K135:$AJ135)</f>
        <v>6000</v>
      </c>
      <c r="FA135" s="12">
        <f t="array" ref="FA135">SUMPRODUCT(TRANSPOSE(FA$9:FA$34),$K135:$AJ135)</f>
        <v>6000</v>
      </c>
      <c r="FB135" s="12">
        <f t="array" ref="FB135">SUMPRODUCT(TRANSPOSE(FB$9:FB$34),$K135:$AJ135)</f>
        <v>6000</v>
      </c>
      <c r="FC135" s="12">
        <f t="array" ref="FC135">SUMPRODUCT(TRANSPOSE(FC$9:FC$34),$K135:$AJ135)</f>
        <v>6000</v>
      </c>
      <c r="FD135" s="12">
        <f t="array" ref="FD135">SUMPRODUCT(TRANSPOSE(FD$9:FD$34),$K135:$AJ135)</f>
        <v>6000</v>
      </c>
      <c r="FE135" s="12">
        <f t="array" ref="FE135">SUMPRODUCT(TRANSPOSE(FE$9:FE$34),$K135:$AJ135)</f>
        <v>6000</v>
      </c>
      <c r="FF135" s="12">
        <f t="array" ref="FF135">SUMPRODUCT(TRANSPOSE(FF$9:FF$34),$K135:$AJ135)</f>
        <v>6000</v>
      </c>
      <c r="FG135" s="12">
        <f t="array" ref="FG135">SUMPRODUCT(TRANSPOSE(FG$9:FG$34),$K135:$AJ135)</f>
        <v>6000</v>
      </c>
      <c r="FH135" s="12">
        <f t="array" ref="FH135">SUMPRODUCT(TRANSPOSE(FH$9:FH$34),$K135:$AJ135)</f>
        <v>6000</v>
      </c>
      <c r="FI135" s="12">
        <f t="array" ref="FI135">SUMPRODUCT(TRANSPOSE(FI$9:FI$34),$K135:$AJ135)</f>
        <v>6000</v>
      </c>
      <c r="FJ135" s="12">
        <f t="array" ref="FJ135">SUMPRODUCT(TRANSPOSE(FJ$9:FJ$34),$K135:$AJ135)</f>
        <v>6000</v>
      </c>
      <c r="FK135" s="12">
        <f t="array" ref="FK135">SUMPRODUCT(TRANSPOSE(FK$9:FK$34),$K135:$AJ135)</f>
        <v>6000</v>
      </c>
      <c r="FL135" s="12">
        <f t="array" ref="FL135">SUMPRODUCT(TRANSPOSE(FL$9:FL$34),$K135:$AJ135)</f>
        <v>6000</v>
      </c>
      <c r="FM135" s="12">
        <f t="array" ref="FM135">SUMPRODUCT(TRANSPOSE(FM$9:FM$34),$K135:$AJ135)</f>
        <v>6000</v>
      </c>
      <c r="FN135" s="12">
        <f t="array" ref="FN135">SUMPRODUCT(TRANSPOSE(FN$9:FN$34),$K135:$AJ135)</f>
        <v>5094</v>
      </c>
      <c r="FO135" s="12">
        <f t="array" ref="FO135">SUMPRODUCT(TRANSPOSE(FO$9:FO$34),$K135:$AJ135)</f>
        <v>231</v>
      </c>
    </row>
    <row r="136" spans="1:171" ht="14.25" x14ac:dyDescent="0.2">
      <c r="A136" s="13">
        <f t="shared" si="7"/>
        <v>101</v>
      </c>
      <c r="B136" s="13" t="s">
        <v>367</v>
      </c>
      <c r="C136" s="25" t="s">
        <v>368</v>
      </c>
      <c r="D136" s="13" t="s">
        <v>67</v>
      </c>
      <c r="E136" s="13">
        <v>403834728</v>
      </c>
      <c r="F136" s="26" t="s">
        <v>369</v>
      </c>
      <c r="G136" s="13">
        <v>417983163</v>
      </c>
      <c r="H136" s="13" t="s">
        <v>61</v>
      </c>
      <c r="I136" s="13">
        <v>2</v>
      </c>
      <c r="J136" s="13">
        <v>2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1</v>
      </c>
      <c r="U136" s="13">
        <v>0</v>
      </c>
      <c r="V136" s="13">
        <v>0</v>
      </c>
      <c r="W136" s="13">
        <v>0</v>
      </c>
      <c r="X136" s="13">
        <v>0</v>
      </c>
      <c r="Y136" s="13"/>
      <c r="Z136" s="13"/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1</v>
      </c>
      <c r="AG136" s="13">
        <v>0</v>
      </c>
      <c r="AH136" s="13">
        <v>0</v>
      </c>
      <c r="AI136" s="13">
        <v>0</v>
      </c>
      <c r="AJ136" s="13">
        <v>0</v>
      </c>
      <c r="AK136" s="13">
        <f t="shared" si="8"/>
        <v>1</v>
      </c>
      <c r="AL136" s="23">
        <f t="shared" si="6"/>
        <v>35665</v>
      </c>
      <c r="AM136" s="13" t="s">
        <v>370</v>
      </c>
      <c r="AN136" s="13" t="s">
        <v>97</v>
      </c>
      <c r="AO136" s="7" t="s">
        <v>3</v>
      </c>
      <c r="AP136" s="41"/>
      <c r="AQ136" s="12">
        <v>999999</v>
      </c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13"/>
      <c r="CG136" s="13"/>
      <c r="CH136" s="13"/>
      <c r="CI136" s="12"/>
      <c r="CJ136" s="12"/>
      <c r="CK136" s="12"/>
      <c r="CL136" s="12"/>
      <c r="CM136" s="12"/>
      <c r="CN136" s="12"/>
      <c r="CO136" s="12"/>
      <c r="CP136" s="12">
        <f>SUM($AQ136:BJ136)-SUM($EA136:EH136)</f>
        <v>996900</v>
      </c>
      <c r="CQ136" s="12">
        <f>SUM($AQ136:BK136)-SUM($EA136:EI136)</f>
        <v>996619</v>
      </c>
      <c r="CR136" s="12">
        <f>SUM($AQ136:BL136)-SUM($EA136:EJ136)</f>
        <v>996604</v>
      </c>
      <c r="CS136" s="12">
        <f>SUM($AQ136:BM136)-SUM($EA136:EK136)</f>
        <v>996569</v>
      </c>
      <c r="CT136" s="12">
        <f>SUM($AQ136:BN136)-SUM($EA136:EL136)</f>
        <v>996554</v>
      </c>
      <c r="CU136" s="12">
        <f>SUM($AQ136:BO136)-SUM($EA136:EM136)</f>
        <v>996504</v>
      </c>
      <c r="CV136" s="12">
        <f>SUM($AQ136:BP136)-SUM($EA136:EN136)</f>
        <v>996454</v>
      </c>
      <c r="CW136" s="12">
        <f>SUM($AQ136:BQ136)-SUM($EA136:EO136)</f>
        <v>996454</v>
      </c>
      <c r="CX136" s="12">
        <f>SUM($AQ136:BR136)-SUM($EA136:EP136)</f>
        <v>996404</v>
      </c>
      <c r="CY136" s="12">
        <f>SUM($AQ136:BS136)-SUM($EA136:EQ136)</f>
        <v>996354</v>
      </c>
      <c r="CZ136" s="12">
        <f>SUM($AQ136:BT136)-SUM($EA136:ER136)</f>
        <v>996304</v>
      </c>
      <c r="DA136" s="12">
        <f>SUM($AQ136:BU136)-SUM($EA136:ES136)</f>
        <v>996254</v>
      </c>
      <c r="DB136" s="12">
        <f>SUM($AQ136:BV136)-SUM($EA136:ET136)</f>
        <v>996204</v>
      </c>
      <c r="DC136" s="12">
        <f>SUM($AQ136:BW136)-SUM($EA136:EU136)</f>
        <v>996154</v>
      </c>
      <c r="DD136" s="12">
        <f>SUM($AQ136:BX136)-SUM($EA136:EV136)</f>
        <v>996104</v>
      </c>
      <c r="DE136" s="12">
        <f>SUM($AQ136:BY136)-SUM($EA136:EW136)</f>
        <v>996061</v>
      </c>
      <c r="DF136" s="12">
        <f>SUM($AQ136:BZ136)-SUM($EA136:EX136)</f>
        <v>996061</v>
      </c>
      <c r="DG136" s="12">
        <f>SUM($AQ136:CA136)-SUM($EA136:EY136)</f>
        <v>996061</v>
      </c>
      <c r="DH136" s="12">
        <f>SUM($AQ136:CB136)-SUM($EA136:EZ136)</f>
        <v>996061</v>
      </c>
      <c r="DI136" s="12">
        <f>SUM($AQ136:CC136)-SUM($EA136:FA136)</f>
        <v>996061</v>
      </c>
      <c r="DJ136" s="12">
        <f>SUM($AQ136:CD136)-SUM($EA136:FB136)</f>
        <v>996061</v>
      </c>
      <c r="DK136" s="12">
        <f>SUM($AQ136:CE136)-SUM($EA136:FC136)</f>
        <v>996061</v>
      </c>
      <c r="DL136" s="12">
        <f>SUM($AQ136:CF136)-SUM($EA136:FD136)</f>
        <v>996061</v>
      </c>
      <c r="DM136" s="12">
        <f>SUM($AQ136:CG136)-SUM($EA136:FE136)</f>
        <v>996061</v>
      </c>
      <c r="DN136" s="12">
        <f>SUM($AQ136:CH136)-SUM($EA136:FF136)</f>
        <v>996061</v>
      </c>
      <c r="DO136" s="12">
        <f>SUM($AQ136:CI136)-SUM($EA136:FG136)</f>
        <v>996061</v>
      </c>
      <c r="DP136" s="12">
        <f>SUM($AQ136:CJ136)-SUM($EA136:FH136)</f>
        <v>996061</v>
      </c>
      <c r="DQ136" s="12">
        <f>SUM($AQ136:CK136)-SUM($EA136:FI136)</f>
        <v>996061</v>
      </c>
      <c r="DR136" s="12">
        <f>SUM($AQ136:CL136)-SUM($EA136:FJ136)</f>
        <v>996061</v>
      </c>
      <c r="DS136" s="12">
        <f>SUM($AQ136:CM136)-SUM($EA136:FK136)</f>
        <v>996061</v>
      </c>
      <c r="DT136" s="12">
        <f>SUM($AQ136:CN136)-SUM($EA136:FL136)</f>
        <v>996061</v>
      </c>
      <c r="DU136" s="12">
        <f>SUM($AQ136:CO136)-SUM($EA136:FM136)</f>
        <v>996061</v>
      </c>
      <c r="DV136" s="12">
        <f>SUM($AQ136:CP136)-SUM($EA136:FN136)</f>
        <v>1992961</v>
      </c>
      <c r="DW136" s="12">
        <f>SUM($AQ136:CQ136)-SUM($EA136:FO136)</f>
        <v>2989580</v>
      </c>
      <c r="DX136" s="13"/>
      <c r="DY136" s="13"/>
      <c r="DZ136" s="13"/>
      <c r="EA136" s="12"/>
      <c r="EB136" s="12"/>
      <c r="EC136" s="12"/>
      <c r="ED136" s="12"/>
      <c r="EE136" s="12"/>
      <c r="EF136" s="12"/>
      <c r="EG136" s="12"/>
      <c r="EH136" s="12">
        <f t="array" ref="EH136">SUMPRODUCT(TRANSPOSE(EH$9:EH$34),$K136:$AJ136)</f>
        <v>3099</v>
      </c>
      <c r="EI136" s="12">
        <f t="array" ref="EI136">SUMPRODUCT(TRANSPOSE(EI$9:EI$34),$K136:$AJ136)</f>
        <v>281</v>
      </c>
      <c r="EJ136" s="12">
        <f t="array" ref="EJ136">SUMPRODUCT(TRANSPOSE(EJ$9:EJ$34),$K136:$AJ136)</f>
        <v>15</v>
      </c>
      <c r="EK136" s="12">
        <f t="array" ref="EK136">SUMPRODUCT(TRANSPOSE(EK$9:EK$34),$K136:$AJ136)</f>
        <v>35</v>
      </c>
      <c r="EL136" s="12">
        <f t="array" ref="EL136">SUMPRODUCT(TRANSPOSE(EL$9:EL$34),$K136:$AJ136)</f>
        <v>15</v>
      </c>
      <c r="EM136" s="12">
        <f t="array" ref="EM136">SUMPRODUCT(TRANSPOSE(EM$9:EM$34),$K136:$AJ136)</f>
        <v>50</v>
      </c>
      <c r="EN136" s="12">
        <f t="array" ref="EN136">SUMPRODUCT(TRANSPOSE(EN$9:EN$34),$K136:$AJ136)</f>
        <v>50</v>
      </c>
      <c r="EO136" s="12">
        <f t="array" ref="EO136">SUMPRODUCT(TRANSPOSE(EO$9:EO$34),$K136:$AJ136)</f>
        <v>0</v>
      </c>
      <c r="EP136" s="12">
        <f t="array" ref="EP136">SUMPRODUCT(TRANSPOSE(EP$9:EP$34),$K136:$AJ136)</f>
        <v>50</v>
      </c>
      <c r="EQ136" s="12">
        <f t="array" ref="EQ136">SUMPRODUCT(TRANSPOSE(EQ$9:EQ$34),$K136:$AJ136)</f>
        <v>50</v>
      </c>
      <c r="ER136" s="12">
        <f t="array" ref="ER136">SUMPRODUCT(TRANSPOSE(ER$9:ER$34),$K136:$AJ136)</f>
        <v>50</v>
      </c>
      <c r="ES136" s="12">
        <f t="array" ref="ES136">SUMPRODUCT(TRANSPOSE(ES$9:ES$34),$K136:$AJ136)</f>
        <v>50</v>
      </c>
      <c r="ET136" s="12">
        <f t="array" ref="ET136">SUMPRODUCT(TRANSPOSE(ET$9:ET$34),$K136:$AJ136)</f>
        <v>50</v>
      </c>
      <c r="EU136" s="12">
        <f t="array" ref="EU136">SUMPRODUCT(TRANSPOSE(EU$9:EU$34),$K136:$AJ136)</f>
        <v>50</v>
      </c>
      <c r="EV136" s="12">
        <f t="array" ref="EV136">SUMPRODUCT(TRANSPOSE(EV$9:EV$34),$K136:$AJ136)</f>
        <v>50</v>
      </c>
      <c r="EW136" s="12">
        <f t="array" ref="EW136">SUMPRODUCT(TRANSPOSE(EW$9:EW$34),$K136:$AJ136)</f>
        <v>43</v>
      </c>
      <c r="EX136" s="12">
        <f t="array" ref="EX136">SUMPRODUCT(TRANSPOSE(EX$9:EX$34),$K136:$AJ136)</f>
        <v>0</v>
      </c>
      <c r="EY136" s="12">
        <f t="array" ref="EY136">SUMPRODUCT(TRANSPOSE(EY$9:EY$34),$K136:$AJ136)</f>
        <v>0</v>
      </c>
      <c r="EZ136" s="12">
        <f t="array" ref="EZ136">SUMPRODUCT(TRANSPOSE(EZ$9:EZ$34),$K136:$AJ136)</f>
        <v>0</v>
      </c>
      <c r="FA136" s="12">
        <f t="array" ref="FA136">SUMPRODUCT(TRANSPOSE(FA$9:FA$34),$K136:$AJ136)</f>
        <v>0</v>
      </c>
      <c r="FB136" s="12">
        <f t="array" ref="FB136">SUMPRODUCT(TRANSPOSE(FB$9:FB$34),$K136:$AJ136)</f>
        <v>0</v>
      </c>
      <c r="FC136" s="12">
        <f t="array" ref="FC136">SUMPRODUCT(TRANSPOSE(FC$9:FC$34),$K136:$AJ136)</f>
        <v>0</v>
      </c>
      <c r="FD136" s="12">
        <f t="array" ref="FD136">SUMPRODUCT(TRANSPOSE(FD$9:FD$34),$K136:$AJ136)</f>
        <v>0</v>
      </c>
      <c r="FE136" s="12">
        <f t="array" ref="FE136">SUMPRODUCT(TRANSPOSE(FE$9:FE$34),$K136:$AJ136)</f>
        <v>0</v>
      </c>
      <c r="FF136" s="12">
        <f t="array" ref="FF136">SUMPRODUCT(TRANSPOSE(FF$9:FF$34),$K136:$AJ136)</f>
        <v>0</v>
      </c>
      <c r="FG136" s="12">
        <f t="array" ref="FG136">SUMPRODUCT(TRANSPOSE(FG$9:FG$34),$K136:$AJ136)</f>
        <v>0</v>
      </c>
      <c r="FH136" s="12">
        <f t="array" ref="FH136">SUMPRODUCT(TRANSPOSE(FH$9:FH$34),$K136:$AJ136)</f>
        <v>0</v>
      </c>
      <c r="FI136" s="12">
        <f t="array" ref="FI136">SUMPRODUCT(TRANSPOSE(FI$9:FI$34),$K136:$AJ136)</f>
        <v>0</v>
      </c>
      <c r="FJ136" s="12">
        <f t="array" ref="FJ136">SUMPRODUCT(TRANSPOSE(FJ$9:FJ$34),$K136:$AJ136)</f>
        <v>0</v>
      </c>
      <c r="FK136" s="12">
        <f t="array" ref="FK136">SUMPRODUCT(TRANSPOSE(FK$9:FK$34),$K136:$AJ136)</f>
        <v>0</v>
      </c>
      <c r="FL136" s="12">
        <f t="array" ref="FL136">SUMPRODUCT(TRANSPOSE(FL$9:FL$34),$K136:$AJ136)</f>
        <v>0</v>
      </c>
      <c r="FM136" s="12">
        <f t="array" ref="FM136">SUMPRODUCT(TRANSPOSE(FM$9:FM$34),$K136:$AJ136)</f>
        <v>0</v>
      </c>
      <c r="FN136" s="12">
        <f t="array" ref="FN136">SUMPRODUCT(TRANSPOSE(FN$9:FN$34),$K136:$AJ136)</f>
        <v>0</v>
      </c>
      <c r="FO136" s="12">
        <f t="array" ref="FO136">SUMPRODUCT(TRANSPOSE(FO$9:FO$34),$K136:$AJ136)</f>
        <v>0</v>
      </c>
    </row>
    <row r="137" spans="1:171" ht="14.25" x14ac:dyDescent="0.2">
      <c r="A137" s="13">
        <f t="shared" si="7"/>
        <v>102</v>
      </c>
      <c r="B137" s="13" t="s">
        <v>371</v>
      </c>
      <c r="C137" s="25" t="s">
        <v>372</v>
      </c>
      <c r="D137" s="13" t="s">
        <v>67</v>
      </c>
      <c r="E137" s="13">
        <v>403834737</v>
      </c>
      <c r="F137" s="26" t="s">
        <v>373</v>
      </c>
      <c r="G137" s="13">
        <v>424270795</v>
      </c>
      <c r="H137" s="13" t="s">
        <v>61</v>
      </c>
      <c r="I137" s="13">
        <v>2</v>
      </c>
      <c r="J137" s="13">
        <v>2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1</v>
      </c>
      <c r="U137" s="13">
        <v>0</v>
      </c>
      <c r="V137" s="13">
        <v>0</v>
      </c>
      <c r="W137" s="13">
        <v>0</v>
      </c>
      <c r="X137" s="13">
        <v>0</v>
      </c>
      <c r="Y137" s="13"/>
      <c r="Z137" s="13"/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1</v>
      </c>
      <c r="AG137" s="13">
        <v>0</v>
      </c>
      <c r="AH137" s="13">
        <v>0</v>
      </c>
      <c r="AI137" s="13">
        <v>0</v>
      </c>
      <c r="AJ137" s="13">
        <v>0</v>
      </c>
      <c r="AK137" s="13">
        <f t="shared" si="8"/>
        <v>1</v>
      </c>
      <c r="AL137" s="23">
        <f t="shared" si="6"/>
        <v>35665</v>
      </c>
      <c r="AM137" s="13" t="s">
        <v>370</v>
      </c>
      <c r="AN137" s="13" t="s">
        <v>97</v>
      </c>
      <c r="AO137" s="7" t="s">
        <v>3</v>
      </c>
      <c r="AP137" s="41"/>
      <c r="AQ137" s="12">
        <v>999999</v>
      </c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13"/>
      <c r="CG137" s="13"/>
      <c r="CH137" s="13"/>
      <c r="CI137" s="12"/>
      <c r="CJ137" s="12"/>
      <c r="CK137" s="12"/>
      <c r="CL137" s="12"/>
      <c r="CM137" s="12"/>
      <c r="CN137" s="12"/>
      <c r="CO137" s="12"/>
      <c r="CP137" s="12">
        <f>SUM($AQ137:BJ137)-SUM($EA137:EH137)</f>
        <v>996900</v>
      </c>
      <c r="CQ137" s="12">
        <f>SUM($AQ137:BK137)-SUM($EA137:EI137)</f>
        <v>996619</v>
      </c>
      <c r="CR137" s="12">
        <f>SUM($AQ137:BL137)-SUM($EA137:EJ137)</f>
        <v>996604</v>
      </c>
      <c r="CS137" s="12">
        <f>SUM($AQ137:BM137)-SUM($EA137:EK137)</f>
        <v>996569</v>
      </c>
      <c r="CT137" s="12">
        <f>SUM($AQ137:BN137)-SUM($EA137:EL137)</f>
        <v>996554</v>
      </c>
      <c r="CU137" s="12">
        <f>SUM($AQ137:BO137)-SUM($EA137:EM137)</f>
        <v>996504</v>
      </c>
      <c r="CV137" s="12">
        <f>SUM($AQ137:BP137)-SUM($EA137:EN137)</f>
        <v>996454</v>
      </c>
      <c r="CW137" s="12">
        <f>SUM($AQ137:BQ137)-SUM($EA137:EO137)</f>
        <v>996454</v>
      </c>
      <c r="CX137" s="12">
        <f>SUM($AQ137:BR137)-SUM($EA137:EP137)</f>
        <v>996404</v>
      </c>
      <c r="CY137" s="12">
        <f>SUM($AQ137:BS137)-SUM($EA137:EQ137)</f>
        <v>996354</v>
      </c>
      <c r="CZ137" s="12">
        <f>SUM($AQ137:BT137)-SUM($EA137:ER137)</f>
        <v>996304</v>
      </c>
      <c r="DA137" s="12">
        <f>SUM($AQ137:BU137)-SUM($EA137:ES137)</f>
        <v>996254</v>
      </c>
      <c r="DB137" s="12">
        <f>SUM($AQ137:BV137)-SUM($EA137:ET137)</f>
        <v>996204</v>
      </c>
      <c r="DC137" s="12">
        <f>SUM($AQ137:BW137)-SUM($EA137:EU137)</f>
        <v>996154</v>
      </c>
      <c r="DD137" s="12">
        <f>SUM($AQ137:BX137)-SUM($EA137:EV137)</f>
        <v>996104</v>
      </c>
      <c r="DE137" s="12">
        <f>SUM($AQ137:BY137)-SUM($EA137:EW137)</f>
        <v>996061</v>
      </c>
      <c r="DF137" s="12">
        <f>SUM($AQ137:BZ137)-SUM($EA137:EX137)</f>
        <v>996061</v>
      </c>
      <c r="DG137" s="12">
        <f>SUM($AQ137:CA137)-SUM($EA137:EY137)</f>
        <v>996061</v>
      </c>
      <c r="DH137" s="12">
        <f>SUM($AQ137:CB137)-SUM($EA137:EZ137)</f>
        <v>996061</v>
      </c>
      <c r="DI137" s="12">
        <f>SUM($AQ137:CC137)-SUM($EA137:FA137)</f>
        <v>996061</v>
      </c>
      <c r="DJ137" s="12">
        <f>SUM($AQ137:CD137)-SUM($EA137:FB137)</f>
        <v>996061</v>
      </c>
      <c r="DK137" s="12">
        <f>SUM($AQ137:CE137)-SUM($EA137:FC137)</f>
        <v>996061</v>
      </c>
      <c r="DL137" s="12">
        <f>SUM($AQ137:CF137)-SUM($EA137:FD137)</f>
        <v>996061</v>
      </c>
      <c r="DM137" s="12">
        <f>SUM($AQ137:CG137)-SUM($EA137:FE137)</f>
        <v>996061</v>
      </c>
      <c r="DN137" s="12">
        <f>SUM($AQ137:CH137)-SUM($EA137:FF137)</f>
        <v>996061</v>
      </c>
      <c r="DO137" s="12">
        <f>SUM($AQ137:CI137)-SUM($EA137:FG137)</f>
        <v>996061</v>
      </c>
      <c r="DP137" s="12">
        <f>SUM($AQ137:CJ137)-SUM($EA137:FH137)</f>
        <v>996061</v>
      </c>
      <c r="DQ137" s="12">
        <f>SUM($AQ137:CK137)-SUM($EA137:FI137)</f>
        <v>996061</v>
      </c>
      <c r="DR137" s="12">
        <f>SUM($AQ137:CL137)-SUM($EA137:FJ137)</f>
        <v>996061</v>
      </c>
      <c r="DS137" s="12">
        <f>SUM($AQ137:CM137)-SUM($EA137:FK137)</f>
        <v>996061</v>
      </c>
      <c r="DT137" s="12">
        <f>SUM($AQ137:CN137)-SUM($EA137:FL137)</f>
        <v>996061</v>
      </c>
      <c r="DU137" s="12">
        <f>SUM($AQ137:CO137)-SUM($EA137:FM137)</f>
        <v>996061</v>
      </c>
      <c r="DV137" s="12">
        <f>SUM($AQ137:CP137)-SUM($EA137:FN137)</f>
        <v>1992961</v>
      </c>
      <c r="DW137" s="12">
        <f>SUM($AQ137:CQ137)-SUM($EA137:FO137)</f>
        <v>2989580</v>
      </c>
      <c r="DX137" s="13"/>
      <c r="DY137" s="13"/>
      <c r="DZ137" s="13"/>
      <c r="EA137" s="12"/>
      <c r="EB137" s="12"/>
      <c r="EC137" s="12"/>
      <c r="ED137" s="12"/>
      <c r="EE137" s="12"/>
      <c r="EF137" s="12"/>
      <c r="EG137" s="12"/>
      <c r="EH137" s="12">
        <f t="array" ref="EH137">SUMPRODUCT(TRANSPOSE(EH$9:EH$34),$K137:$AJ137)</f>
        <v>3099</v>
      </c>
      <c r="EI137" s="12">
        <f t="array" ref="EI137">SUMPRODUCT(TRANSPOSE(EI$9:EI$34),$K137:$AJ137)</f>
        <v>281</v>
      </c>
      <c r="EJ137" s="12">
        <f t="array" ref="EJ137">SUMPRODUCT(TRANSPOSE(EJ$9:EJ$34),$K137:$AJ137)</f>
        <v>15</v>
      </c>
      <c r="EK137" s="12">
        <f t="array" ref="EK137">SUMPRODUCT(TRANSPOSE(EK$9:EK$34),$K137:$AJ137)</f>
        <v>35</v>
      </c>
      <c r="EL137" s="12">
        <f t="array" ref="EL137">SUMPRODUCT(TRANSPOSE(EL$9:EL$34),$K137:$AJ137)</f>
        <v>15</v>
      </c>
      <c r="EM137" s="12">
        <f t="array" ref="EM137">SUMPRODUCT(TRANSPOSE(EM$9:EM$34),$K137:$AJ137)</f>
        <v>50</v>
      </c>
      <c r="EN137" s="12">
        <f t="array" ref="EN137">SUMPRODUCT(TRANSPOSE(EN$9:EN$34),$K137:$AJ137)</f>
        <v>50</v>
      </c>
      <c r="EO137" s="12">
        <f t="array" ref="EO137">SUMPRODUCT(TRANSPOSE(EO$9:EO$34),$K137:$AJ137)</f>
        <v>0</v>
      </c>
      <c r="EP137" s="12">
        <f t="array" ref="EP137">SUMPRODUCT(TRANSPOSE(EP$9:EP$34),$K137:$AJ137)</f>
        <v>50</v>
      </c>
      <c r="EQ137" s="12">
        <f t="array" ref="EQ137">SUMPRODUCT(TRANSPOSE(EQ$9:EQ$34),$K137:$AJ137)</f>
        <v>50</v>
      </c>
      <c r="ER137" s="12">
        <f t="array" ref="ER137">SUMPRODUCT(TRANSPOSE(ER$9:ER$34),$K137:$AJ137)</f>
        <v>50</v>
      </c>
      <c r="ES137" s="12">
        <f t="array" ref="ES137">SUMPRODUCT(TRANSPOSE(ES$9:ES$34),$K137:$AJ137)</f>
        <v>50</v>
      </c>
      <c r="ET137" s="12">
        <f t="array" ref="ET137">SUMPRODUCT(TRANSPOSE(ET$9:ET$34),$K137:$AJ137)</f>
        <v>50</v>
      </c>
      <c r="EU137" s="12">
        <f t="array" ref="EU137">SUMPRODUCT(TRANSPOSE(EU$9:EU$34),$K137:$AJ137)</f>
        <v>50</v>
      </c>
      <c r="EV137" s="12">
        <f t="array" ref="EV137">SUMPRODUCT(TRANSPOSE(EV$9:EV$34),$K137:$AJ137)</f>
        <v>50</v>
      </c>
      <c r="EW137" s="12">
        <f t="array" ref="EW137">SUMPRODUCT(TRANSPOSE(EW$9:EW$34),$K137:$AJ137)</f>
        <v>43</v>
      </c>
      <c r="EX137" s="12">
        <f t="array" ref="EX137">SUMPRODUCT(TRANSPOSE(EX$9:EX$34),$K137:$AJ137)</f>
        <v>0</v>
      </c>
      <c r="EY137" s="12">
        <f t="array" ref="EY137">SUMPRODUCT(TRANSPOSE(EY$9:EY$34),$K137:$AJ137)</f>
        <v>0</v>
      </c>
      <c r="EZ137" s="12">
        <f t="array" ref="EZ137">SUMPRODUCT(TRANSPOSE(EZ$9:EZ$34),$K137:$AJ137)</f>
        <v>0</v>
      </c>
      <c r="FA137" s="12">
        <f t="array" ref="FA137">SUMPRODUCT(TRANSPOSE(FA$9:FA$34),$K137:$AJ137)</f>
        <v>0</v>
      </c>
      <c r="FB137" s="12">
        <f t="array" ref="FB137">SUMPRODUCT(TRANSPOSE(FB$9:FB$34),$K137:$AJ137)</f>
        <v>0</v>
      </c>
      <c r="FC137" s="12">
        <f t="array" ref="FC137">SUMPRODUCT(TRANSPOSE(FC$9:FC$34),$K137:$AJ137)</f>
        <v>0</v>
      </c>
      <c r="FD137" s="12">
        <f t="array" ref="FD137">SUMPRODUCT(TRANSPOSE(FD$9:FD$34),$K137:$AJ137)</f>
        <v>0</v>
      </c>
      <c r="FE137" s="12">
        <f t="array" ref="FE137">SUMPRODUCT(TRANSPOSE(FE$9:FE$34),$K137:$AJ137)</f>
        <v>0</v>
      </c>
      <c r="FF137" s="12">
        <f t="array" ref="FF137">SUMPRODUCT(TRANSPOSE(FF$9:FF$34),$K137:$AJ137)</f>
        <v>0</v>
      </c>
      <c r="FG137" s="12">
        <f t="array" ref="FG137">SUMPRODUCT(TRANSPOSE(FG$9:FG$34),$K137:$AJ137)</f>
        <v>0</v>
      </c>
      <c r="FH137" s="12">
        <f t="array" ref="FH137">SUMPRODUCT(TRANSPOSE(FH$9:FH$34),$K137:$AJ137)</f>
        <v>0</v>
      </c>
      <c r="FI137" s="12">
        <f t="array" ref="FI137">SUMPRODUCT(TRANSPOSE(FI$9:FI$34),$K137:$AJ137)</f>
        <v>0</v>
      </c>
      <c r="FJ137" s="12">
        <f t="array" ref="FJ137">SUMPRODUCT(TRANSPOSE(FJ$9:FJ$34),$K137:$AJ137)</f>
        <v>0</v>
      </c>
      <c r="FK137" s="12">
        <f t="array" ref="FK137">SUMPRODUCT(TRANSPOSE(FK$9:FK$34),$K137:$AJ137)</f>
        <v>0</v>
      </c>
      <c r="FL137" s="12">
        <f t="array" ref="FL137">SUMPRODUCT(TRANSPOSE(FL$9:FL$34),$K137:$AJ137)</f>
        <v>0</v>
      </c>
      <c r="FM137" s="12">
        <f t="array" ref="FM137">SUMPRODUCT(TRANSPOSE(FM$9:FM$34),$K137:$AJ137)</f>
        <v>0</v>
      </c>
      <c r="FN137" s="12">
        <f t="array" ref="FN137">SUMPRODUCT(TRANSPOSE(FN$9:FN$34),$K137:$AJ137)</f>
        <v>0</v>
      </c>
      <c r="FO137" s="12">
        <f t="array" ref="FO137">SUMPRODUCT(TRANSPOSE(FO$9:FO$34),$K137:$AJ137)</f>
        <v>0</v>
      </c>
    </row>
    <row r="138" spans="1:171" ht="14.25" x14ac:dyDescent="0.2">
      <c r="A138" s="13">
        <f t="shared" si="7"/>
        <v>103</v>
      </c>
      <c r="B138" s="13" t="s">
        <v>374</v>
      </c>
      <c r="C138" s="25" t="s">
        <v>375</v>
      </c>
      <c r="D138" s="13" t="s">
        <v>67</v>
      </c>
      <c r="E138" s="13">
        <v>403834743</v>
      </c>
      <c r="F138" s="26" t="s">
        <v>376</v>
      </c>
      <c r="G138" s="13">
        <v>424270748</v>
      </c>
      <c r="H138" s="13" t="s">
        <v>61</v>
      </c>
      <c r="I138" s="13">
        <v>1</v>
      </c>
      <c r="J138" s="13">
        <v>2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1</v>
      </c>
      <c r="U138" s="13">
        <v>0</v>
      </c>
      <c r="V138" s="13">
        <v>0</v>
      </c>
      <c r="W138" s="13">
        <v>0</v>
      </c>
      <c r="X138" s="13">
        <v>0</v>
      </c>
      <c r="Y138" s="13"/>
      <c r="Z138" s="13"/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1</v>
      </c>
      <c r="AG138" s="13">
        <v>0</v>
      </c>
      <c r="AH138" s="13">
        <v>0</v>
      </c>
      <c r="AI138" s="13">
        <v>0</v>
      </c>
      <c r="AJ138" s="13">
        <v>0</v>
      </c>
      <c r="AK138" s="13">
        <f t="shared" si="8"/>
        <v>1</v>
      </c>
      <c r="AL138" s="23">
        <f t="shared" si="6"/>
        <v>35665</v>
      </c>
      <c r="AM138" s="13" t="s">
        <v>370</v>
      </c>
      <c r="AN138" s="13" t="s">
        <v>97</v>
      </c>
      <c r="AO138" s="7" t="s">
        <v>3</v>
      </c>
      <c r="AP138" s="41"/>
      <c r="AQ138" s="12">
        <v>999999</v>
      </c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13"/>
      <c r="CG138" s="13"/>
      <c r="CH138" s="13"/>
      <c r="CI138" s="12"/>
      <c r="CJ138" s="12"/>
      <c r="CK138" s="12"/>
      <c r="CL138" s="12"/>
      <c r="CM138" s="12"/>
      <c r="CN138" s="12"/>
      <c r="CO138" s="12"/>
      <c r="CP138" s="12">
        <f>SUM($AQ138:BJ138)-SUM($EA138:EH138)</f>
        <v>996900</v>
      </c>
      <c r="CQ138" s="12">
        <f>SUM($AQ138:BK138)-SUM($EA138:EI138)</f>
        <v>996619</v>
      </c>
      <c r="CR138" s="12">
        <f>SUM($AQ138:BL138)-SUM($EA138:EJ138)</f>
        <v>996604</v>
      </c>
      <c r="CS138" s="12">
        <f>SUM($AQ138:BM138)-SUM($EA138:EK138)</f>
        <v>996569</v>
      </c>
      <c r="CT138" s="12">
        <f>SUM($AQ138:BN138)-SUM($EA138:EL138)</f>
        <v>996554</v>
      </c>
      <c r="CU138" s="12">
        <f>SUM($AQ138:BO138)-SUM($EA138:EM138)</f>
        <v>996504</v>
      </c>
      <c r="CV138" s="12">
        <f>SUM($AQ138:BP138)-SUM($EA138:EN138)</f>
        <v>996454</v>
      </c>
      <c r="CW138" s="12">
        <f>SUM($AQ138:BQ138)-SUM($EA138:EO138)</f>
        <v>996454</v>
      </c>
      <c r="CX138" s="12">
        <f>SUM($AQ138:BR138)-SUM($EA138:EP138)</f>
        <v>996404</v>
      </c>
      <c r="CY138" s="12">
        <f>SUM($AQ138:BS138)-SUM($EA138:EQ138)</f>
        <v>996354</v>
      </c>
      <c r="CZ138" s="12">
        <f>SUM($AQ138:BT138)-SUM($EA138:ER138)</f>
        <v>996304</v>
      </c>
      <c r="DA138" s="12">
        <f>SUM($AQ138:BU138)-SUM($EA138:ES138)</f>
        <v>996254</v>
      </c>
      <c r="DB138" s="12">
        <f>SUM($AQ138:BV138)-SUM($EA138:ET138)</f>
        <v>996204</v>
      </c>
      <c r="DC138" s="12">
        <f>SUM($AQ138:BW138)-SUM($EA138:EU138)</f>
        <v>996154</v>
      </c>
      <c r="DD138" s="12">
        <f>SUM($AQ138:BX138)-SUM($EA138:EV138)</f>
        <v>996104</v>
      </c>
      <c r="DE138" s="12">
        <f>SUM($AQ138:BY138)-SUM($EA138:EW138)</f>
        <v>996061</v>
      </c>
      <c r="DF138" s="12">
        <f>SUM($AQ138:BZ138)-SUM($EA138:EX138)</f>
        <v>996061</v>
      </c>
      <c r="DG138" s="12">
        <f>SUM($AQ138:CA138)-SUM($EA138:EY138)</f>
        <v>996061</v>
      </c>
      <c r="DH138" s="12">
        <f>SUM($AQ138:CB138)-SUM($EA138:EZ138)</f>
        <v>996061</v>
      </c>
      <c r="DI138" s="12">
        <f>SUM($AQ138:CC138)-SUM($EA138:FA138)</f>
        <v>996061</v>
      </c>
      <c r="DJ138" s="12">
        <f>SUM($AQ138:CD138)-SUM($EA138:FB138)</f>
        <v>996061</v>
      </c>
      <c r="DK138" s="12">
        <f>SUM($AQ138:CE138)-SUM($EA138:FC138)</f>
        <v>996061</v>
      </c>
      <c r="DL138" s="12">
        <f>SUM($AQ138:CF138)-SUM($EA138:FD138)</f>
        <v>996061</v>
      </c>
      <c r="DM138" s="12">
        <f>SUM($AQ138:CG138)-SUM($EA138:FE138)</f>
        <v>996061</v>
      </c>
      <c r="DN138" s="12">
        <f>SUM($AQ138:CH138)-SUM($EA138:FF138)</f>
        <v>996061</v>
      </c>
      <c r="DO138" s="12">
        <f>SUM($AQ138:CI138)-SUM($EA138:FG138)</f>
        <v>996061</v>
      </c>
      <c r="DP138" s="12">
        <f>SUM($AQ138:CJ138)-SUM($EA138:FH138)</f>
        <v>996061</v>
      </c>
      <c r="DQ138" s="12">
        <f>SUM($AQ138:CK138)-SUM($EA138:FI138)</f>
        <v>996061</v>
      </c>
      <c r="DR138" s="12">
        <f>SUM($AQ138:CL138)-SUM($EA138:FJ138)</f>
        <v>996061</v>
      </c>
      <c r="DS138" s="12">
        <f>SUM($AQ138:CM138)-SUM($EA138:FK138)</f>
        <v>996061</v>
      </c>
      <c r="DT138" s="12">
        <f>SUM($AQ138:CN138)-SUM($EA138:FL138)</f>
        <v>996061</v>
      </c>
      <c r="DU138" s="12">
        <f>SUM($AQ138:CO138)-SUM($EA138:FM138)</f>
        <v>996061</v>
      </c>
      <c r="DV138" s="12">
        <f>SUM($AQ138:CP138)-SUM($EA138:FN138)</f>
        <v>1992961</v>
      </c>
      <c r="DW138" s="12">
        <f>SUM($AQ138:CQ138)-SUM($EA138:FO138)</f>
        <v>2989580</v>
      </c>
      <c r="DX138" s="13"/>
      <c r="DY138" s="13"/>
      <c r="DZ138" s="13"/>
      <c r="EA138" s="12"/>
      <c r="EB138" s="12"/>
      <c r="EC138" s="12"/>
      <c r="ED138" s="12"/>
      <c r="EE138" s="12"/>
      <c r="EF138" s="12"/>
      <c r="EG138" s="12"/>
      <c r="EH138" s="12">
        <f t="array" ref="EH138">SUMPRODUCT(TRANSPOSE(EH$9:EH$34),$K138:$AJ138)</f>
        <v>3099</v>
      </c>
      <c r="EI138" s="12">
        <f t="array" ref="EI138">SUMPRODUCT(TRANSPOSE(EI$9:EI$34),$K138:$AJ138)</f>
        <v>281</v>
      </c>
      <c r="EJ138" s="12">
        <f t="array" ref="EJ138">SUMPRODUCT(TRANSPOSE(EJ$9:EJ$34),$K138:$AJ138)</f>
        <v>15</v>
      </c>
      <c r="EK138" s="12">
        <f t="array" ref="EK138">SUMPRODUCT(TRANSPOSE(EK$9:EK$34),$K138:$AJ138)</f>
        <v>35</v>
      </c>
      <c r="EL138" s="12">
        <f t="array" ref="EL138">SUMPRODUCT(TRANSPOSE(EL$9:EL$34),$K138:$AJ138)</f>
        <v>15</v>
      </c>
      <c r="EM138" s="12">
        <f t="array" ref="EM138">SUMPRODUCT(TRANSPOSE(EM$9:EM$34),$K138:$AJ138)</f>
        <v>50</v>
      </c>
      <c r="EN138" s="12">
        <f t="array" ref="EN138">SUMPRODUCT(TRANSPOSE(EN$9:EN$34),$K138:$AJ138)</f>
        <v>50</v>
      </c>
      <c r="EO138" s="12">
        <f t="array" ref="EO138">SUMPRODUCT(TRANSPOSE(EO$9:EO$34),$K138:$AJ138)</f>
        <v>0</v>
      </c>
      <c r="EP138" s="12">
        <f t="array" ref="EP138">SUMPRODUCT(TRANSPOSE(EP$9:EP$34),$K138:$AJ138)</f>
        <v>50</v>
      </c>
      <c r="EQ138" s="12">
        <f t="array" ref="EQ138">SUMPRODUCT(TRANSPOSE(EQ$9:EQ$34),$K138:$AJ138)</f>
        <v>50</v>
      </c>
      <c r="ER138" s="12">
        <f t="array" ref="ER138">SUMPRODUCT(TRANSPOSE(ER$9:ER$34),$K138:$AJ138)</f>
        <v>50</v>
      </c>
      <c r="ES138" s="12">
        <f t="array" ref="ES138">SUMPRODUCT(TRANSPOSE(ES$9:ES$34),$K138:$AJ138)</f>
        <v>50</v>
      </c>
      <c r="ET138" s="12">
        <f t="array" ref="ET138">SUMPRODUCT(TRANSPOSE(ET$9:ET$34),$K138:$AJ138)</f>
        <v>50</v>
      </c>
      <c r="EU138" s="12">
        <f t="array" ref="EU138">SUMPRODUCT(TRANSPOSE(EU$9:EU$34),$K138:$AJ138)</f>
        <v>50</v>
      </c>
      <c r="EV138" s="12">
        <f t="array" ref="EV138">SUMPRODUCT(TRANSPOSE(EV$9:EV$34),$K138:$AJ138)</f>
        <v>50</v>
      </c>
      <c r="EW138" s="12">
        <f t="array" ref="EW138">SUMPRODUCT(TRANSPOSE(EW$9:EW$34),$K138:$AJ138)</f>
        <v>43</v>
      </c>
      <c r="EX138" s="12">
        <f t="array" ref="EX138">SUMPRODUCT(TRANSPOSE(EX$9:EX$34),$K138:$AJ138)</f>
        <v>0</v>
      </c>
      <c r="EY138" s="12">
        <f t="array" ref="EY138">SUMPRODUCT(TRANSPOSE(EY$9:EY$34),$K138:$AJ138)</f>
        <v>0</v>
      </c>
      <c r="EZ138" s="12">
        <f t="array" ref="EZ138">SUMPRODUCT(TRANSPOSE(EZ$9:EZ$34),$K138:$AJ138)</f>
        <v>0</v>
      </c>
      <c r="FA138" s="12">
        <f t="array" ref="FA138">SUMPRODUCT(TRANSPOSE(FA$9:FA$34),$K138:$AJ138)</f>
        <v>0</v>
      </c>
      <c r="FB138" s="12">
        <f t="array" ref="FB138">SUMPRODUCT(TRANSPOSE(FB$9:FB$34),$K138:$AJ138)</f>
        <v>0</v>
      </c>
      <c r="FC138" s="12">
        <f t="array" ref="FC138">SUMPRODUCT(TRANSPOSE(FC$9:FC$34),$K138:$AJ138)</f>
        <v>0</v>
      </c>
      <c r="FD138" s="12">
        <f t="array" ref="FD138">SUMPRODUCT(TRANSPOSE(FD$9:FD$34),$K138:$AJ138)</f>
        <v>0</v>
      </c>
      <c r="FE138" s="12">
        <f t="array" ref="FE138">SUMPRODUCT(TRANSPOSE(FE$9:FE$34),$K138:$AJ138)</f>
        <v>0</v>
      </c>
      <c r="FF138" s="12">
        <f t="array" ref="FF138">SUMPRODUCT(TRANSPOSE(FF$9:FF$34),$K138:$AJ138)</f>
        <v>0</v>
      </c>
      <c r="FG138" s="12">
        <f t="array" ref="FG138">SUMPRODUCT(TRANSPOSE(FG$9:FG$34),$K138:$AJ138)</f>
        <v>0</v>
      </c>
      <c r="FH138" s="12">
        <f t="array" ref="FH138">SUMPRODUCT(TRANSPOSE(FH$9:FH$34),$K138:$AJ138)</f>
        <v>0</v>
      </c>
      <c r="FI138" s="12">
        <f t="array" ref="FI138">SUMPRODUCT(TRANSPOSE(FI$9:FI$34),$K138:$AJ138)</f>
        <v>0</v>
      </c>
      <c r="FJ138" s="12">
        <f t="array" ref="FJ138">SUMPRODUCT(TRANSPOSE(FJ$9:FJ$34),$K138:$AJ138)</f>
        <v>0</v>
      </c>
      <c r="FK138" s="12">
        <f t="array" ref="FK138">SUMPRODUCT(TRANSPOSE(FK$9:FK$34),$K138:$AJ138)</f>
        <v>0</v>
      </c>
      <c r="FL138" s="12">
        <f t="array" ref="FL138">SUMPRODUCT(TRANSPOSE(FL$9:FL$34),$K138:$AJ138)</f>
        <v>0</v>
      </c>
      <c r="FM138" s="12">
        <f t="array" ref="FM138">SUMPRODUCT(TRANSPOSE(FM$9:FM$34),$K138:$AJ138)</f>
        <v>0</v>
      </c>
      <c r="FN138" s="12">
        <f t="array" ref="FN138">SUMPRODUCT(TRANSPOSE(FN$9:FN$34),$K138:$AJ138)</f>
        <v>0</v>
      </c>
      <c r="FO138" s="12">
        <f t="array" ref="FO138">SUMPRODUCT(TRANSPOSE(FO$9:FO$34),$K138:$AJ138)</f>
        <v>0</v>
      </c>
    </row>
    <row r="139" spans="1:171" ht="14.25" x14ac:dyDescent="0.2">
      <c r="A139" s="13">
        <f t="shared" si="7"/>
        <v>104</v>
      </c>
      <c r="B139" s="13" t="s">
        <v>377</v>
      </c>
      <c r="C139" s="25" t="s">
        <v>378</v>
      </c>
      <c r="D139" s="13" t="s">
        <v>67</v>
      </c>
      <c r="E139" s="13">
        <v>403834732</v>
      </c>
      <c r="F139" s="26" t="s">
        <v>379</v>
      </c>
      <c r="G139" s="13">
        <v>424270790</v>
      </c>
      <c r="H139" s="13" t="s">
        <v>61</v>
      </c>
      <c r="I139" s="13">
        <v>2</v>
      </c>
      <c r="J139" s="13">
        <v>2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1</v>
      </c>
      <c r="U139" s="13">
        <v>0</v>
      </c>
      <c r="V139" s="13">
        <v>0</v>
      </c>
      <c r="W139" s="13">
        <v>0</v>
      </c>
      <c r="X139" s="13">
        <v>0</v>
      </c>
      <c r="Y139" s="13"/>
      <c r="Z139" s="13"/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1</v>
      </c>
      <c r="AG139" s="13">
        <v>0</v>
      </c>
      <c r="AH139" s="13">
        <v>0</v>
      </c>
      <c r="AI139" s="13">
        <v>0</v>
      </c>
      <c r="AJ139" s="13">
        <v>0</v>
      </c>
      <c r="AK139" s="13">
        <f t="shared" si="8"/>
        <v>1</v>
      </c>
      <c r="AL139" s="23">
        <f t="shared" si="6"/>
        <v>35665</v>
      </c>
      <c r="AM139" s="13" t="s">
        <v>370</v>
      </c>
      <c r="AN139" s="13" t="s">
        <v>97</v>
      </c>
      <c r="AO139" s="7" t="s">
        <v>3</v>
      </c>
      <c r="AP139" s="41"/>
      <c r="AQ139" s="12">
        <v>999999</v>
      </c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13"/>
      <c r="CG139" s="13"/>
      <c r="CH139" s="13"/>
      <c r="CI139" s="12"/>
      <c r="CJ139" s="12"/>
      <c r="CK139" s="12"/>
      <c r="CL139" s="12"/>
      <c r="CM139" s="12"/>
      <c r="CN139" s="12"/>
      <c r="CO139" s="12"/>
      <c r="CP139" s="12">
        <f>SUM($AQ139:BJ139)-SUM($EA139:EH139)</f>
        <v>996900</v>
      </c>
      <c r="CQ139" s="12">
        <f>SUM($AQ139:BK139)-SUM($EA139:EI139)</f>
        <v>996619</v>
      </c>
      <c r="CR139" s="12">
        <f>SUM($AQ139:BL139)-SUM($EA139:EJ139)</f>
        <v>996604</v>
      </c>
      <c r="CS139" s="12">
        <f>SUM($AQ139:BM139)-SUM($EA139:EK139)</f>
        <v>996569</v>
      </c>
      <c r="CT139" s="12">
        <f>SUM($AQ139:BN139)-SUM($EA139:EL139)</f>
        <v>996554</v>
      </c>
      <c r="CU139" s="12">
        <f>SUM($AQ139:BO139)-SUM($EA139:EM139)</f>
        <v>996504</v>
      </c>
      <c r="CV139" s="12">
        <f>SUM($AQ139:BP139)-SUM($EA139:EN139)</f>
        <v>996454</v>
      </c>
      <c r="CW139" s="12">
        <f>SUM($AQ139:BQ139)-SUM($EA139:EO139)</f>
        <v>996454</v>
      </c>
      <c r="CX139" s="12">
        <f>SUM($AQ139:BR139)-SUM($EA139:EP139)</f>
        <v>996404</v>
      </c>
      <c r="CY139" s="12">
        <f>SUM($AQ139:BS139)-SUM($EA139:EQ139)</f>
        <v>996354</v>
      </c>
      <c r="CZ139" s="12">
        <f>SUM($AQ139:BT139)-SUM($EA139:ER139)</f>
        <v>996304</v>
      </c>
      <c r="DA139" s="12">
        <f>SUM($AQ139:BU139)-SUM($EA139:ES139)</f>
        <v>996254</v>
      </c>
      <c r="DB139" s="12">
        <f>SUM($AQ139:BV139)-SUM($EA139:ET139)</f>
        <v>996204</v>
      </c>
      <c r="DC139" s="12">
        <f>SUM($AQ139:BW139)-SUM($EA139:EU139)</f>
        <v>996154</v>
      </c>
      <c r="DD139" s="12">
        <f>SUM($AQ139:BX139)-SUM($EA139:EV139)</f>
        <v>996104</v>
      </c>
      <c r="DE139" s="12">
        <f>SUM($AQ139:BY139)-SUM($EA139:EW139)</f>
        <v>996061</v>
      </c>
      <c r="DF139" s="12">
        <f>SUM($AQ139:BZ139)-SUM($EA139:EX139)</f>
        <v>996061</v>
      </c>
      <c r="DG139" s="12">
        <f>SUM($AQ139:CA139)-SUM($EA139:EY139)</f>
        <v>996061</v>
      </c>
      <c r="DH139" s="12">
        <f>SUM($AQ139:CB139)-SUM($EA139:EZ139)</f>
        <v>996061</v>
      </c>
      <c r="DI139" s="12">
        <f>SUM($AQ139:CC139)-SUM($EA139:FA139)</f>
        <v>996061</v>
      </c>
      <c r="DJ139" s="12">
        <f>SUM($AQ139:CD139)-SUM($EA139:FB139)</f>
        <v>996061</v>
      </c>
      <c r="DK139" s="12">
        <f>SUM($AQ139:CE139)-SUM($EA139:FC139)</f>
        <v>996061</v>
      </c>
      <c r="DL139" s="12">
        <f>SUM($AQ139:CF139)-SUM($EA139:FD139)</f>
        <v>996061</v>
      </c>
      <c r="DM139" s="12">
        <f>SUM($AQ139:CG139)-SUM($EA139:FE139)</f>
        <v>996061</v>
      </c>
      <c r="DN139" s="12">
        <f>SUM($AQ139:CH139)-SUM($EA139:FF139)</f>
        <v>996061</v>
      </c>
      <c r="DO139" s="12">
        <f>SUM($AQ139:CI139)-SUM($EA139:FG139)</f>
        <v>996061</v>
      </c>
      <c r="DP139" s="12">
        <f>SUM($AQ139:CJ139)-SUM($EA139:FH139)</f>
        <v>996061</v>
      </c>
      <c r="DQ139" s="12">
        <f>SUM($AQ139:CK139)-SUM($EA139:FI139)</f>
        <v>996061</v>
      </c>
      <c r="DR139" s="12">
        <f>SUM($AQ139:CL139)-SUM($EA139:FJ139)</f>
        <v>996061</v>
      </c>
      <c r="DS139" s="12">
        <f>SUM($AQ139:CM139)-SUM($EA139:FK139)</f>
        <v>996061</v>
      </c>
      <c r="DT139" s="12">
        <f>SUM($AQ139:CN139)-SUM($EA139:FL139)</f>
        <v>996061</v>
      </c>
      <c r="DU139" s="12">
        <f>SUM($AQ139:CO139)-SUM($EA139:FM139)</f>
        <v>996061</v>
      </c>
      <c r="DV139" s="12">
        <f>SUM($AQ139:CP139)-SUM($EA139:FN139)</f>
        <v>1992961</v>
      </c>
      <c r="DW139" s="12">
        <f>SUM($AQ139:CQ139)-SUM($EA139:FO139)</f>
        <v>2989580</v>
      </c>
      <c r="DX139" s="13"/>
      <c r="DY139" s="13"/>
      <c r="DZ139" s="13"/>
      <c r="EA139" s="12"/>
      <c r="EB139" s="12"/>
      <c r="EC139" s="12"/>
      <c r="ED139" s="12"/>
      <c r="EE139" s="12"/>
      <c r="EF139" s="12"/>
      <c r="EG139" s="12"/>
      <c r="EH139" s="12">
        <f t="array" ref="EH139">SUMPRODUCT(TRANSPOSE(EH$9:EH$34),$K139:$AJ139)</f>
        <v>3099</v>
      </c>
      <c r="EI139" s="12">
        <f t="array" ref="EI139">SUMPRODUCT(TRANSPOSE(EI$9:EI$34),$K139:$AJ139)</f>
        <v>281</v>
      </c>
      <c r="EJ139" s="12">
        <f t="array" ref="EJ139">SUMPRODUCT(TRANSPOSE(EJ$9:EJ$34),$K139:$AJ139)</f>
        <v>15</v>
      </c>
      <c r="EK139" s="12">
        <f t="array" ref="EK139">SUMPRODUCT(TRANSPOSE(EK$9:EK$34),$K139:$AJ139)</f>
        <v>35</v>
      </c>
      <c r="EL139" s="12">
        <f t="array" ref="EL139">SUMPRODUCT(TRANSPOSE(EL$9:EL$34),$K139:$AJ139)</f>
        <v>15</v>
      </c>
      <c r="EM139" s="12">
        <f t="array" ref="EM139">SUMPRODUCT(TRANSPOSE(EM$9:EM$34),$K139:$AJ139)</f>
        <v>50</v>
      </c>
      <c r="EN139" s="12">
        <f t="array" ref="EN139">SUMPRODUCT(TRANSPOSE(EN$9:EN$34),$K139:$AJ139)</f>
        <v>50</v>
      </c>
      <c r="EO139" s="12">
        <f t="array" ref="EO139">SUMPRODUCT(TRANSPOSE(EO$9:EO$34),$K139:$AJ139)</f>
        <v>0</v>
      </c>
      <c r="EP139" s="12">
        <f t="array" ref="EP139">SUMPRODUCT(TRANSPOSE(EP$9:EP$34),$K139:$AJ139)</f>
        <v>50</v>
      </c>
      <c r="EQ139" s="12">
        <f t="array" ref="EQ139">SUMPRODUCT(TRANSPOSE(EQ$9:EQ$34),$K139:$AJ139)</f>
        <v>50</v>
      </c>
      <c r="ER139" s="12">
        <f t="array" ref="ER139">SUMPRODUCT(TRANSPOSE(ER$9:ER$34),$K139:$AJ139)</f>
        <v>50</v>
      </c>
      <c r="ES139" s="12">
        <f t="array" ref="ES139">SUMPRODUCT(TRANSPOSE(ES$9:ES$34),$K139:$AJ139)</f>
        <v>50</v>
      </c>
      <c r="ET139" s="12">
        <f t="array" ref="ET139">SUMPRODUCT(TRANSPOSE(ET$9:ET$34),$K139:$AJ139)</f>
        <v>50</v>
      </c>
      <c r="EU139" s="12">
        <f t="array" ref="EU139">SUMPRODUCT(TRANSPOSE(EU$9:EU$34),$K139:$AJ139)</f>
        <v>50</v>
      </c>
      <c r="EV139" s="12">
        <f t="array" ref="EV139">SUMPRODUCT(TRANSPOSE(EV$9:EV$34),$K139:$AJ139)</f>
        <v>50</v>
      </c>
      <c r="EW139" s="12">
        <f t="array" ref="EW139">SUMPRODUCT(TRANSPOSE(EW$9:EW$34),$K139:$AJ139)</f>
        <v>43</v>
      </c>
      <c r="EX139" s="12">
        <f t="array" ref="EX139">SUMPRODUCT(TRANSPOSE(EX$9:EX$34),$K139:$AJ139)</f>
        <v>0</v>
      </c>
      <c r="EY139" s="12">
        <f t="array" ref="EY139">SUMPRODUCT(TRANSPOSE(EY$9:EY$34),$K139:$AJ139)</f>
        <v>0</v>
      </c>
      <c r="EZ139" s="12">
        <f t="array" ref="EZ139">SUMPRODUCT(TRANSPOSE(EZ$9:EZ$34),$K139:$AJ139)</f>
        <v>0</v>
      </c>
      <c r="FA139" s="12">
        <f t="array" ref="FA139">SUMPRODUCT(TRANSPOSE(FA$9:FA$34),$K139:$AJ139)</f>
        <v>0</v>
      </c>
      <c r="FB139" s="12">
        <f t="array" ref="FB139">SUMPRODUCT(TRANSPOSE(FB$9:FB$34),$K139:$AJ139)</f>
        <v>0</v>
      </c>
      <c r="FC139" s="12">
        <f t="array" ref="FC139">SUMPRODUCT(TRANSPOSE(FC$9:FC$34),$K139:$AJ139)</f>
        <v>0</v>
      </c>
      <c r="FD139" s="12">
        <f t="array" ref="FD139">SUMPRODUCT(TRANSPOSE(FD$9:FD$34),$K139:$AJ139)</f>
        <v>0</v>
      </c>
      <c r="FE139" s="12">
        <f t="array" ref="FE139">SUMPRODUCT(TRANSPOSE(FE$9:FE$34),$K139:$AJ139)</f>
        <v>0</v>
      </c>
      <c r="FF139" s="12">
        <f t="array" ref="FF139">SUMPRODUCT(TRANSPOSE(FF$9:FF$34),$K139:$AJ139)</f>
        <v>0</v>
      </c>
      <c r="FG139" s="12">
        <f t="array" ref="FG139">SUMPRODUCT(TRANSPOSE(FG$9:FG$34),$K139:$AJ139)</f>
        <v>0</v>
      </c>
      <c r="FH139" s="12">
        <f t="array" ref="FH139">SUMPRODUCT(TRANSPOSE(FH$9:FH$34),$K139:$AJ139)</f>
        <v>0</v>
      </c>
      <c r="FI139" s="12">
        <f t="array" ref="FI139">SUMPRODUCT(TRANSPOSE(FI$9:FI$34),$K139:$AJ139)</f>
        <v>0</v>
      </c>
      <c r="FJ139" s="12">
        <f t="array" ref="FJ139">SUMPRODUCT(TRANSPOSE(FJ$9:FJ$34),$K139:$AJ139)</f>
        <v>0</v>
      </c>
      <c r="FK139" s="12">
        <f t="array" ref="FK139">SUMPRODUCT(TRANSPOSE(FK$9:FK$34),$K139:$AJ139)</f>
        <v>0</v>
      </c>
      <c r="FL139" s="12">
        <f t="array" ref="FL139">SUMPRODUCT(TRANSPOSE(FL$9:FL$34),$K139:$AJ139)</f>
        <v>0</v>
      </c>
      <c r="FM139" s="12">
        <f t="array" ref="FM139">SUMPRODUCT(TRANSPOSE(FM$9:FM$34),$K139:$AJ139)</f>
        <v>0</v>
      </c>
      <c r="FN139" s="12">
        <f t="array" ref="FN139">SUMPRODUCT(TRANSPOSE(FN$9:FN$34),$K139:$AJ139)</f>
        <v>0</v>
      </c>
      <c r="FO139" s="12">
        <f t="array" ref="FO139">SUMPRODUCT(TRANSPOSE(FO$9:FO$34),$K139:$AJ139)</f>
        <v>0</v>
      </c>
    </row>
    <row r="140" spans="1:171" ht="14.25" x14ac:dyDescent="0.2">
      <c r="A140" s="13">
        <f t="shared" si="7"/>
        <v>105</v>
      </c>
      <c r="B140" s="13" t="s">
        <v>380</v>
      </c>
      <c r="C140" s="25" t="s">
        <v>381</v>
      </c>
      <c r="D140" s="13" t="s">
        <v>67</v>
      </c>
      <c r="E140" s="13">
        <v>403834713</v>
      </c>
      <c r="F140" s="26" t="s">
        <v>382</v>
      </c>
      <c r="G140" s="13">
        <v>417983164</v>
      </c>
      <c r="H140" s="13" t="s">
        <v>61</v>
      </c>
      <c r="I140" s="13">
        <v>2</v>
      </c>
      <c r="J140" s="13">
        <v>2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1</v>
      </c>
      <c r="U140" s="13">
        <v>0</v>
      </c>
      <c r="V140" s="13">
        <v>0</v>
      </c>
      <c r="W140" s="13">
        <v>0</v>
      </c>
      <c r="X140" s="13">
        <v>0</v>
      </c>
      <c r="Y140" s="13"/>
      <c r="Z140" s="13"/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1</v>
      </c>
      <c r="AG140" s="13">
        <v>0</v>
      </c>
      <c r="AH140" s="13">
        <v>0</v>
      </c>
      <c r="AI140" s="13">
        <v>0</v>
      </c>
      <c r="AJ140" s="13">
        <v>0</v>
      </c>
      <c r="AK140" s="13">
        <f t="shared" si="8"/>
        <v>1</v>
      </c>
      <c r="AL140" s="23">
        <f t="shared" si="6"/>
        <v>35665</v>
      </c>
      <c r="AM140" s="13" t="s">
        <v>370</v>
      </c>
      <c r="AN140" s="13" t="s">
        <v>97</v>
      </c>
      <c r="AO140" s="7" t="s">
        <v>3</v>
      </c>
      <c r="AP140" s="41"/>
      <c r="AQ140" s="12">
        <v>999999</v>
      </c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13"/>
      <c r="CG140" s="13"/>
      <c r="CH140" s="13"/>
      <c r="CI140" s="12"/>
      <c r="CJ140" s="12"/>
      <c r="CK140" s="12"/>
      <c r="CL140" s="12"/>
      <c r="CM140" s="12"/>
      <c r="CN140" s="12"/>
      <c r="CO140" s="12"/>
      <c r="CP140" s="12">
        <f>SUM($AQ140:BJ140)-SUM($EA140:EH140)</f>
        <v>996900</v>
      </c>
      <c r="CQ140" s="12">
        <f>SUM($AQ140:BK140)-SUM($EA140:EI140)</f>
        <v>996619</v>
      </c>
      <c r="CR140" s="12">
        <f>SUM($AQ140:BL140)-SUM($EA140:EJ140)</f>
        <v>996604</v>
      </c>
      <c r="CS140" s="12">
        <f>SUM($AQ140:BM140)-SUM($EA140:EK140)</f>
        <v>996569</v>
      </c>
      <c r="CT140" s="12">
        <f>SUM($AQ140:BN140)-SUM($EA140:EL140)</f>
        <v>996554</v>
      </c>
      <c r="CU140" s="12">
        <f>SUM($AQ140:BO140)-SUM($EA140:EM140)</f>
        <v>996504</v>
      </c>
      <c r="CV140" s="12">
        <f>SUM($AQ140:BP140)-SUM($EA140:EN140)</f>
        <v>996454</v>
      </c>
      <c r="CW140" s="12">
        <f>SUM($AQ140:BQ140)-SUM($EA140:EO140)</f>
        <v>996454</v>
      </c>
      <c r="CX140" s="12">
        <f>SUM($AQ140:BR140)-SUM($EA140:EP140)</f>
        <v>996404</v>
      </c>
      <c r="CY140" s="12">
        <f>SUM($AQ140:BS140)-SUM($EA140:EQ140)</f>
        <v>996354</v>
      </c>
      <c r="CZ140" s="12">
        <f>SUM($AQ140:BT140)-SUM($EA140:ER140)</f>
        <v>996304</v>
      </c>
      <c r="DA140" s="12">
        <f>SUM($AQ140:BU140)-SUM($EA140:ES140)</f>
        <v>996254</v>
      </c>
      <c r="DB140" s="12">
        <f>SUM($AQ140:BV140)-SUM($EA140:ET140)</f>
        <v>996204</v>
      </c>
      <c r="DC140" s="12">
        <f>SUM($AQ140:BW140)-SUM($EA140:EU140)</f>
        <v>996154</v>
      </c>
      <c r="DD140" s="12">
        <f>SUM($AQ140:BX140)-SUM($EA140:EV140)</f>
        <v>996104</v>
      </c>
      <c r="DE140" s="12">
        <f>SUM($AQ140:BY140)-SUM($EA140:EW140)</f>
        <v>996061</v>
      </c>
      <c r="DF140" s="12">
        <f>SUM($AQ140:BZ140)-SUM($EA140:EX140)</f>
        <v>996061</v>
      </c>
      <c r="DG140" s="12">
        <f>SUM($AQ140:CA140)-SUM($EA140:EY140)</f>
        <v>996061</v>
      </c>
      <c r="DH140" s="12">
        <f>SUM($AQ140:CB140)-SUM($EA140:EZ140)</f>
        <v>996061</v>
      </c>
      <c r="DI140" s="12">
        <f>SUM($AQ140:CC140)-SUM($EA140:FA140)</f>
        <v>996061</v>
      </c>
      <c r="DJ140" s="12">
        <f>SUM($AQ140:CD140)-SUM($EA140:FB140)</f>
        <v>996061</v>
      </c>
      <c r="DK140" s="12">
        <f>SUM($AQ140:CE140)-SUM($EA140:FC140)</f>
        <v>996061</v>
      </c>
      <c r="DL140" s="12">
        <f>SUM($AQ140:CF140)-SUM($EA140:FD140)</f>
        <v>996061</v>
      </c>
      <c r="DM140" s="12">
        <f>SUM($AQ140:CG140)-SUM($EA140:FE140)</f>
        <v>996061</v>
      </c>
      <c r="DN140" s="12">
        <f>SUM($AQ140:CH140)-SUM($EA140:FF140)</f>
        <v>996061</v>
      </c>
      <c r="DO140" s="12">
        <f>SUM($AQ140:CI140)-SUM($EA140:FG140)</f>
        <v>996061</v>
      </c>
      <c r="DP140" s="12">
        <f>SUM($AQ140:CJ140)-SUM($EA140:FH140)</f>
        <v>996061</v>
      </c>
      <c r="DQ140" s="12">
        <f>SUM($AQ140:CK140)-SUM($EA140:FI140)</f>
        <v>996061</v>
      </c>
      <c r="DR140" s="12">
        <f>SUM($AQ140:CL140)-SUM($EA140:FJ140)</f>
        <v>996061</v>
      </c>
      <c r="DS140" s="12">
        <f>SUM($AQ140:CM140)-SUM($EA140:FK140)</f>
        <v>996061</v>
      </c>
      <c r="DT140" s="12">
        <f>SUM($AQ140:CN140)-SUM($EA140:FL140)</f>
        <v>996061</v>
      </c>
      <c r="DU140" s="12">
        <f>SUM($AQ140:CO140)-SUM($EA140:FM140)</f>
        <v>996061</v>
      </c>
      <c r="DV140" s="12">
        <f>SUM($AQ140:CP140)-SUM($EA140:FN140)</f>
        <v>1992961</v>
      </c>
      <c r="DW140" s="12">
        <f>SUM($AQ140:CQ140)-SUM($EA140:FO140)</f>
        <v>2989580</v>
      </c>
      <c r="DX140" s="13"/>
      <c r="DY140" s="13"/>
      <c r="DZ140" s="13"/>
      <c r="EA140" s="12"/>
      <c r="EB140" s="12"/>
      <c r="EC140" s="12"/>
      <c r="ED140" s="12"/>
      <c r="EE140" s="12"/>
      <c r="EF140" s="12"/>
      <c r="EG140" s="12"/>
      <c r="EH140" s="12">
        <f t="array" ref="EH140">SUMPRODUCT(TRANSPOSE(EH$9:EH$34),$K140:$AJ140)</f>
        <v>3099</v>
      </c>
      <c r="EI140" s="12">
        <f t="array" ref="EI140">SUMPRODUCT(TRANSPOSE(EI$9:EI$34),$K140:$AJ140)</f>
        <v>281</v>
      </c>
      <c r="EJ140" s="12">
        <f t="array" ref="EJ140">SUMPRODUCT(TRANSPOSE(EJ$9:EJ$34),$K140:$AJ140)</f>
        <v>15</v>
      </c>
      <c r="EK140" s="12">
        <f t="array" ref="EK140">SUMPRODUCT(TRANSPOSE(EK$9:EK$34),$K140:$AJ140)</f>
        <v>35</v>
      </c>
      <c r="EL140" s="12">
        <f t="array" ref="EL140">SUMPRODUCT(TRANSPOSE(EL$9:EL$34),$K140:$AJ140)</f>
        <v>15</v>
      </c>
      <c r="EM140" s="12">
        <f t="array" ref="EM140">SUMPRODUCT(TRANSPOSE(EM$9:EM$34),$K140:$AJ140)</f>
        <v>50</v>
      </c>
      <c r="EN140" s="12">
        <f t="array" ref="EN140">SUMPRODUCT(TRANSPOSE(EN$9:EN$34),$K140:$AJ140)</f>
        <v>50</v>
      </c>
      <c r="EO140" s="12">
        <f t="array" ref="EO140">SUMPRODUCT(TRANSPOSE(EO$9:EO$34),$K140:$AJ140)</f>
        <v>0</v>
      </c>
      <c r="EP140" s="12">
        <f t="array" ref="EP140">SUMPRODUCT(TRANSPOSE(EP$9:EP$34),$K140:$AJ140)</f>
        <v>50</v>
      </c>
      <c r="EQ140" s="12">
        <f t="array" ref="EQ140">SUMPRODUCT(TRANSPOSE(EQ$9:EQ$34),$K140:$AJ140)</f>
        <v>50</v>
      </c>
      <c r="ER140" s="12">
        <f t="array" ref="ER140">SUMPRODUCT(TRANSPOSE(ER$9:ER$34),$K140:$AJ140)</f>
        <v>50</v>
      </c>
      <c r="ES140" s="12">
        <f t="array" ref="ES140">SUMPRODUCT(TRANSPOSE(ES$9:ES$34),$K140:$AJ140)</f>
        <v>50</v>
      </c>
      <c r="ET140" s="12">
        <f t="array" ref="ET140">SUMPRODUCT(TRANSPOSE(ET$9:ET$34),$K140:$AJ140)</f>
        <v>50</v>
      </c>
      <c r="EU140" s="12">
        <f t="array" ref="EU140">SUMPRODUCT(TRANSPOSE(EU$9:EU$34),$K140:$AJ140)</f>
        <v>50</v>
      </c>
      <c r="EV140" s="12">
        <f t="array" ref="EV140">SUMPRODUCT(TRANSPOSE(EV$9:EV$34),$K140:$AJ140)</f>
        <v>50</v>
      </c>
      <c r="EW140" s="12">
        <f t="array" ref="EW140">SUMPRODUCT(TRANSPOSE(EW$9:EW$34),$K140:$AJ140)</f>
        <v>43</v>
      </c>
      <c r="EX140" s="12">
        <f t="array" ref="EX140">SUMPRODUCT(TRANSPOSE(EX$9:EX$34),$K140:$AJ140)</f>
        <v>0</v>
      </c>
      <c r="EY140" s="12">
        <f t="array" ref="EY140">SUMPRODUCT(TRANSPOSE(EY$9:EY$34),$K140:$AJ140)</f>
        <v>0</v>
      </c>
      <c r="EZ140" s="12">
        <f t="array" ref="EZ140">SUMPRODUCT(TRANSPOSE(EZ$9:EZ$34),$K140:$AJ140)</f>
        <v>0</v>
      </c>
      <c r="FA140" s="12">
        <f t="array" ref="FA140">SUMPRODUCT(TRANSPOSE(FA$9:FA$34),$K140:$AJ140)</f>
        <v>0</v>
      </c>
      <c r="FB140" s="12">
        <f t="array" ref="FB140">SUMPRODUCT(TRANSPOSE(FB$9:FB$34),$K140:$AJ140)</f>
        <v>0</v>
      </c>
      <c r="FC140" s="12">
        <f t="array" ref="FC140">SUMPRODUCT(TRANSPOSE(FC$9:FC$34),$K140:$AJ140)</f>
        <v>0</v>
      </c>
      <c r="FD140" s="12">
        <f t="array" ref="FD140">SUMPRODUCT(TRANSPOSE(FD$9:FD$34),$K140:$AJ140)</f>
        <v>0</v>
      </c>
      <c r="FE140" s="12">
        <f t="array" ref="FE140">SUMPRODUCT(TRANSPOSE(FE$9:FE$34),$K140:$AJ140)</f>
        <v>0</v>
      </c>
      <c r="FF140" s="12">
        <f t="array" ref="FF140">SUMPRODUCT(TRANSPOSE(FF$9:FF$34),$K140:$AJ140)</f>
        <v>0</v>
      </c>
      <c r="FG140" s="12">
        <f t="array" ref="FG140">SUMPRODUCT(TRANSPOSE(FG$9:FG$34),$K140:$AJ140)</f>
        <v>0</v>
      </c>
      <c r="FH140" s="12">
        <f t="array" ref="FH140">SUMPRODUCT(TRANSPOSE(FH$9:FH$34),$K140:$AJ140)</f>
        <v>0</v>
      </c>
      <c r="FI140" s="12">
        <f t="array" ref="FI140">SUMPRODUCT(TRANSPOSE(FI$9:FI$34),$K140:$AJ140)</f>
        <v>0</v>
      </c>
      <c r="FJ140" s="12">
        <f t="array" ref="FJ140">SUMPRODUCT(TRANSPOSE(FJ$9:FJ$34),$K140:$AJ140)</f>
        <v>0</v>
      </c>
      <c r="FK140" s="12">
        <f t="array" ref="FK140">SUMPRODUCT(TRANSPOSE(FK$9:FK$34),$K140:$AJ140)</f>
        <v>0</v>
      </c>
      <c r="FL140" s="12">
        <f t="array" ref="FL140">SUMPRODUCT(TRANSPOSE(FL$9:FL$34),$K140:$AJ140)</f>
        <v>0</v>
      </c>
      <c r="FM140" s="12">
        <f t="array" ref="FM140">SUMPRODUCT(TRANSPOSE(FM$9:FM$34),$K140:$AJ140)</f>
        <v>0</v>
      </c>
      <c r="FN140" s="12">
        <f t="array" ref="FN140">SUMPRODUCT(TRANSPOSE(FN$9:FN$34),$K140:$AJ140)</f>
        <v>0</v>
      </c>
      <c r="FO140" s="12">
        <f t="array" ref="FO140">SUMPRODUCT(TRANSPOSE(FO$9:FO$34),$K140:$AJ140)</f>
        <v>0</v>
      </c>
    </row>
    <row r="141" spans="1:171" ht="14.25" x14ac:dyDescent="0.2">
      <c r="A141" s="13">
        <f t="shared" si="7"/>
        <v>106</v>
      </c>
      <c r="B141" s="13" t="s">
        <v>383</v>
      </c>
      <c r="C141" s="25" t="s">
        <v>384</v>
      </c>
      <c r="D141" s="13" t="s">
        <v>67</v>
      </c>
      <c r="E141" s="13">
        <v>410810011</v>
      </c>
      <c r="F141" s="26" t="s">
        <v>385</v>
      </c>
      <c r="G141" s="13"/>
      <c r="H141" s="13" t="s">
        <v>61</v>
      </c>
      <c r="I141" s="13">
        <v>1</v>
      </c>
      <c r="J141" s="13">
        <v>3</v>
      </c>
      <c r="K141" s="13">
        <v>0</v>
      </c>
      <c r="L141" s="13">
        <v>0</v>
      </c>
      <c r="M141" s="13">
        <v>0</v>
      </c>
      <c r="N141" s="13">
        <v>0</v>
      </c>
      <c r="O141" s="13">
        <v>1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1</v>
      </c>
      <c r="Y141" s="13"/>
      <c r="Z141" s="13"/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1</v>
      </c>
      <c r="AK141" s="13">
        <f t="shared" si="8"/>
        <v>2</v>
      </c>
      <c r="AL141" s="23">
        <f t="shared" si="6"/>
        <v>70863</v>
      </c>
      <c r="AM141" s="13"/>
      <c r="AN141" s="13" t="s">
        <v>386</v>
      </c>
      <c r="AO141" s="7" t="s">
        <v>386</v>
      </c>
      <c r="AP141" s="38">
        <v>7.58</v>
      </c>
      <c r="AQ141" s="12">
        <v>22180</v>
      </c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13"/>
      <c r="CG141" s="13"/>
      <c r="CH141" s="13"/>
      <c r="CI141" s="12"/>
      <c r="CJ141" s="12"/>
      <c r="CK141" s="12"/>
      <c r="CL141" s="12"/>
      <c r="CM141" s="12"/>
      <c r="CN141" s="12"/>
      <c r="CO141" s="12"/>
      <c r="CP141" s="12">
        <f>SUM($AQ141:BJ141)-SUM($EA141:EH141)</f>
        <v>15117</v>
      </c>
      <c r="CQ141" s="12">
        <f>SUM($AQ141:BK141)-SUM($EA141:EI141)</f>
        <v>14717</v>
      </c>
      <c r="CR141" s="12">
        <f>SUM($AQ141:BL141)-SUM($EA141:EJ141)</f>
        <v>13702</v>
      </c>
      <c r="CS141" s="12">
        <f>SUM($AQ141:BM141)-SUM($EA141:EK141)</f>
        <v>12567</v>
      </c>
      <c r="CT141" s="12">
        <f>SUM($AQ141:BN141)-SUM($EA141:EL141)</f>
        <v>10552</v>
      </c>
      <c r="CU141" s="12">
        <f>SUM($AQ141:BO141)-SUM($EA141:EM141)</f>
        <v>8502</v>
      </c>
      <c r="CV141" s="12">
        <f>SUM($AQ141:BP141)-SUM($EA141:EN141)</f>
        <v>6452</v>
      </c>
      <c r="CW141" s="12">
        <f>SUM($AQ141:BQ141)-SUM($EA141:EO141)</f>
        <v>4452</v>
      </c>
      <c r="CX141" s="12">
        <f>SUM($AQ141:BR141)-SUM($EA141:EP141)</f>
        <v>2402</v>
      </c>
      <c r="CY141" s="12">
        <f>SUM($AQ141:BS141)-SUM($EA141:EQ141)</f>
        <v>352</v>
      </c>
      <c r="CZ141" s="12">
        <f>SUM($AQ141:BT141)-SUM($EA141:ER141)</f>
        <v>-1698</v>
      </c>
      <c r="DA141" s="12">
        <f>SUM($AQ141:BU141)-SUM($EA141:ES141)</f>
        <v>-3748</v>
      </c>
      <c r="DB141" s="12">
        <f>SUM($AQ141:BV141)-SUM($EA141:ET141)</f>
        <v>-5798</v>
      </c>
      <c r="DC141" s="12">
        <f>SUM($AQ141:BW141)-SUM($EA141:EU141)</f>
        <v>-7848</v>
      </c>
      <c r="DD141" s="12">
        <f>SUM($AQ141:BX141)-SUM($EA141:EV141)</f>
        <v>-9898</v>
      </c>
      <c r="DE141" s="12">
        <f>SUM($AQ141:BY141)-SUM($EA141:EW141)</f>
        <v>-11908</v>
      </c>
      <c r="DF141" s="12">
        <f>SUM($AQ141:BZ141)-SUM($EA141:EX141)</f>
        <v>-13908</v>
      </c>
      <c r="DG141" s="12">
        <f>SUM($AQ141:CA141)-SUM($EA141:EY141)</f>
        <v>-15908</v>
      </c>
      <c r="DH141" s="12">
        <f>SUM($AQ141:CB141)-SUM($EA141:EZ141)</f>
        <v>-17908</v>
      </c>
      <c r="DI141" s="12">
        <f>SUM($AQ141:CC141)-SUM($EA141:FA141)</f>
        <v>-19908</v>
      </c>
      <c r="DJ141" s="12">
        <f>SUM($AQ141:CD141)-SUM($EA141:FB141)</f>
        <v>-21908</v>
      </c>
      <c r="DK141" s="12">
        <f>SUM($AQ141:CE141)-SUM($EA141:FC141)</f>
        <v>-23908</v>
      </c>
      <c r="DL141" s="12">
        <f>SUM($AQ141:CF141)-SUM($EA141:FD141)</f>
        <v>-25908</v>
      </c>
      <c r="DM141" s="12">
        <f>SUM($AQ141:CG141)-SUM($EA141:FE141)</f>
        <v>-27908</v>
      </c>
      <c r="DN141" s="12">
        <f>SUM($AQ141:CH141)-SUM($EA141:FF141)</f>
        <v>-29908</v>
      </c>
      <c r="DO141" s="12">
        <f>SUM($AQ141:CI141)-SUM($EA141:FG141)</f>
        <v>-31908</v>
      </c>
      <c r="DP141" s="12">
        <f>SUM($AQ141:CJ141)-SUM($EA141:FH141)</f>
        <v>-33908</v>
      </c>
      <c r="DQ141" s="12">
        <f>SUM($AQ141:CK141)-SUM($EA141:FI141)</f>
        <v>-35908</v>
      </c>
      <c r="DR141" s="12">
        <f>SUM($AQ141:CL141)-SUM($EA141:FJ141)</f>
        <v>-37908</v>
      </c>
      <c r="DS141" s="12">
        <f>SUM($AQ141:CM141)-SUM($EA141:FK141)</f>
        <v>-39908</v>
      </c>
      <c r="DT141" s="12">
        <f>SUM($AQ141:CN141)-SUM($EA141:FL141)</f>
        <v>-41908</v>
      </c>
      <c r="DU141" s="12">
        <f>SUM($AQ141:CO141)-SUM($EA141:FM141)</f>
        <v>-43908</v>
      </c>
      <c r="DV141" s="12">
        <f>SUM($AQ141:CP141)-SUM($EA141:FN141)</f>
        <v>-30489</v>
      </c>
      <c r="DW141" s="12">
        <f>SUM($AQ141:CQ141)-SUM($EA141:FO141)</f>
        <v>-15849</v>
      </c>
      <c r="DX141" s="13"/>
      <c r="DY141" s="13"/>
      <c r="DZ141" s="13"/>
      <c r="EA141" s="12"/>
      <c r="EB141" s="12"/>
      <c r="EC141" s="12"/>
      <c r="ED141" s="12"/>
      <c r="EE141" s="12"/>
      <c r="EF141" s="12"/>
      <c r="EG141" s="12"/>
      <c r="EH141" s="12">
        <f t="array" ref="EH141">SUMPRODUCT(TRANSPOSE(EH$9:EH$34),$K141:$AJ141)</f>
        <v>7063</v>
      </c>
      <c r="EI141" s="12">
        <f t="array" ref="EI141">SUMPRODUCT(TRANSPOSE(EI$9:EI$34),$K141:$AJ141)</f>
        <v>400</v>
      </c>
      <c r="EJ141" s="12">
        <f t="array" ref="EJ141">SUMPRODUCT(TRANSPOSE(EJ$9:EJ$34),$K141:$AJ141)</f>
        <v>1015</v>
      </c>
      <c r="EK141" s="12">
        <f t="array" ref="EK141">SUMPRODUCT(TRANSPOSE(EK$9:EK$34),$K141:$AJ141)</f>
        <v>1135</v>
      </c>
      <c r="EL141" s="12">
        <f t="array" ref="EL141">SUMPRODUCT(TRANSPOSE(EL$9:EL$34),$K141:$AJ141)</f>
        <v>2015</v>
      </c>
      <c r="EM141" s="12">
        <f t="array" ref="EM141">SUMPRODUCT(TRANSPOSE(EM$9:EM$34),$K141:$AJ141)</f>
        <v>2050</v>
      </c>
      <c r="EN141" s="12">
        <f t="array" ref="EN141">SUMPRODUCT(TRANSPOSE(EN$9:EN$34),$K141:$AJ141)</f>
        <v>2050</v>
      </c>
      <c r="EO141" s="12">
        <f t="array" ref="EO141">SUMPRODUCT(TRANSPOSE(EO$9:EO$34),$K141:$AJ141)</f>
        <v>2000</v>
      </c>
      <c r="EP141" s="12">
        <f t="array" ref="EP141">SUMPRODUCT(TRANSPOSE(EP$9:EP$34),$K141:$AJ141)</f>
        <v>2050</v>
      </c>
      <c r="EQ141" s="12">
        <f t="array" ref="EQ141">SUMPRODUCT(TRANSPOSE(EQ$9:EQ$34),$K141:$AJ141)</f>
        <v>2050</v>
      </c>
      <c r="ER141" s="12">
        <f t="array" ref="ER141">SUMPRODUCT(TRANSPOSE(ER$9:ER$34),$K141:$AJ141)</f>
        <v>2050</v>
      </c>
      <c r="ES141" s="12">
        <f t="array" ref="ES141">SUMPRODUCT(TRANSPOSE(ES$9:ES$34),$K141:$AJ141)</f>
        <v>2050</v>
      </c>
      <c r="ET141" s="12">
        <f t="array" ref="ET141">SUMPRODUCT(TRANSPOSE(ET$9:ET$34),$K141:$AJ141)</f>
        <v>2050</v>
      </c>
      <c r="EU141" s="12">
        <f t="array" ref="EU141">SUMPRODUCT(TRANSPOSE(EU$9:EU$34),$K141:$AJ141)</f>
        <v>2050</v>
      </c>
      <c r="EV141" s="12">
        <f t="array" ref="EV141">SUMPRODUCT(TRANSPOSE(EV$9:EV$34),$K141:$AJ141)</f>
        <v>2050</v>
      </c>
      <c r="EW141" s="12">
        <f t="array" ref="EW141">SUMPRODUCT(TRANSPOSE(EW$9:EW$34),$K141:$AJ141)</f>
        <v>2010</v>
      </c>
      <c r="EX141" s="12">
        <f t="array" ref="EX141">SUMPRODUCT(TRANSPOSE(EX$9:EX$34),$K141:$AJ141)</f>
        <v>2000</v>
      </c>
      <c r="EY141" s="12">
        <f t="array" ref="EY141">SUMPRODUCT(TRANSPOSE(EY$9:EY$34),$K141:$AJ141)</f>
        <v>2000</v>
      </c>
      <c r="EZ141" s="12">
        <f t="array" ref="EZ141">SUMPRODUCT(TRANSPOSE(EZ$9:EZ$34),$K141:$AJ141)</f>
        <v>2000</v>
      </c>
      <c r="FA141" s="12">
        <f t="array" ref="FA141">SUMPRODUCT(TRANSPOSE(FA$9:FA$34),$K141:$AJ141)</f>
        <v>2000</v>
      </c>
      <c r="FB141" s="12">
        <f t="array" ref="FB141">SUMPRODUCT(TRANSPOSE(FB$9:FB$34),$K141:$AJ141)</f>
        <v>2000</v>
      </c>
      <c r="FC141" s="12">
        <f t="array" ref="FC141">SUMPRODUCT(TRANSPOSE(FC$9:FC$34),$K141:$AJ141)</f>
        <v>2000</v>
      </c>
      <c r="FD141" s="12">
        <f t="array" ref="FD141">SUMPRODUCT(TRANSPOSE(FD$9:FD$34),$K141:$AJ141)</f>
        <v>2000</v>
      </c>
      <c r="FE141" s="12">
        <f t="array" ref="FE141">SUMPRODUCT(TRANSPOSE(FE$9:FE$34),$K141:$AJ141)</f>
        <v>2000</v>
      </c>
      <c r="FF141" s="12">
        <f t="array" ref="FF141">SUMPRODUCT(TRANSPOSE(FF$9:FF$34),$K141:$AJ141)</f>
        <v>2000</v>
      </c>
      <c r="FG141" s="12">
        <f t="array" ref="FG141">SUMPRODUCT(TRANSPOSE(FG$9:FG$34),$K141:$AJ141)</f>
        <v>2000</v>
      </c>
      <c r="FH141" s="12">
        <f t="array" ref="FH141">SUMPRODUCT(TRANSPOSE(FH$9:FH$34),$K141:$AJ141)</f>
        <v>2000</v>
      </c>
      <c r="FI141" s="12">
        <f t="array" ref="FI141">SUMPRODUCT(TRANSPOSE(FI$9:FI$34),$K141:$AJ141)</f>
        <v>2000</v>
      </c>
      <c r="FJ141" s="12">
        <f t="array" ref="FJ141">SUMPRODUCT(TRANSPOSE(FJ$9:FJ$34),$K141:$AJ141)</f>
        <v>2000</v>
      </c>
      <c r="FK141" s="12">
        <f t="array" ref="FK141">SUMPRODUCT(TRANSPOSE(FK$9:FK$34),$K141:$AJ141)</f>
        <v>2000</v>
      </c>
      <c r="FL141" s="12">
        <f t="array" ref="FL141">SUMPRODUCT(TRANSPOSE(FL$9:FL$34),$K141:$AJ141)</f>
        <v>2000</v>
      </c>
      <c r="FM141" s="12">
        <f t="array" ref="FM141">SUMPRODUCT(TRANSPOSE(FM$9:FM$34),$K141:$AJ141)</f>
        <v>2000</v>
      </c>
      <c r="FN141" s="12">
        <f t="array" ref="FN141">SUMPRODUCT(TRANSPOSE(FN$9:FN$34),$K141:$AJ141)</f>
        <v>1698</v>
      </c>
      <c r="FO141" s="12">
        <f t="array" ref="FO141">SUMPRODUCT(TRANSPOSE(FO$9:FO$34),$K141:$AJ141)</f>
        <v>77</v>
      </c>
    </row>
    <row r="142" spans="1:171" ht="14.25" x14ac:dyDescent="0.2">
      <c r="A142" s="13">
        <f t="shared" si="7"/>
        <v>107</v>
      </c>
      <c r="B142" s="13" t="s">
        <v>387</v>
      </c>
      <c r="C142" s="25" t="s">
        <v>388</v>
      </c>
      <c r="D142" s="13" t="s">
        <v>67</v>
      </c>
      <c r="E142" s="13">
        <v>415416207</v>
      </c>
      <c r="F142" s="26" t="s">
        <v>389</v>
      </c>
      <c r="G142" s="13"/>
      <c r="H142" s="13" t="s">
        <v>61</v>
      </c>
      <c r="I142" s="13">
        <v>2</v>
      </c>
      <c r="J142" s="13">
        <v>4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2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/>
      <c r="Z142" s="13">
        <v>2</v>
      </c>
      <c r="AA142" s="13">
        <v>0</v>
      </c>
      <c r="AB142" s="13">
        <v>0</v>
      </c>
      <c r="AC142" s="13">
        <v>0</v>
      </c>
      <c r="AD142" s="13">
        <v>2</v>
      </c>
      <c r="AE142" s="13">
        <v>2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f t="shared" si="8"/>
        <v>6</v>
      </c>
      <c r="AL142" s="23">
        <f t="shared" si="6"/>
        <v>71330</v>
      </c>
      <c r="AM142" s="13"/>
      <c r="AN142" s="13" t="s">
        <v>97</v>
      </c>
      <c r="AO142" s="7" t="s">
        <v>75</v>
      </c>
      <c r="AP142" s="38">
        <v>0.18</v>
      </c>
      <c r="AQ142" s="12">
        <v>72000</v>
      </c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13"/>
      <c r="CG142" s="13"/>
      <c r="CH142" s="13"/>
      <c r="CI142" s="12"/>
      <c r="CJ142" s="12"/>
      <c r="CK142" s="12"/>
      <c r="CL142" s="12"/>
      <c r="CM142" s="12"/>
      <c r="CN142" s="12"/>
      <c r="CO142" s="12"/>
      <c r="CP142" s="12">
        <f>SUM($AQ142:BJ142)-SUM($EA142:EH142)</f>
        <v>65782</v>
      </c>
      <c r="CQ142" s="12">
        <f>SUM($AQ142:BK142)-SUM($EA142:EI142)</f>
        <v>65220</v>
      </c>
      <c r="CR142" s="12">
        <f>SUM($AQ142:BL142)-SUM($EA142:EJ142)</f>
        <v>65190</v>
      </c>
      <c r="CS142" s="12">
        <f>SUM($AQ142:BM142)-SUM($EA142:EK142)</f>
        <v>64920</v>
      </c>
      <c r="CT142" s="12">
        <f>SUM($AQ142:BN142)-SUM($EA142:EL142)</f>
        <v>62890</v>
      </c>
      <c r="CU142" s="12">
        <f>SUM($AQ142:BO142)-SUM($EA142:EM142)</f>
        <v>58790</v>
      </c>
      <c r="CV142" s="12">
        <f>SUM($AQ142:BP142)-SUM($EA142:EN142)</f>
        <v>56490</v>
      </c>
      <c r="CW142" s="12">
        <f>SUM($AQ142:BQ142)-SUM($EA142:EO142)</f>
        <v>54490</v>
      </c>
      <c r="CX142" s="12">
        <f>SUM($AQ142:BR142)-SUM($EA142:EP142)</f>
        <v>52390</v>
      </c>
      <c r="CY142" s="12">
        <f>SUM($AQ142:BS142)-SUM($EA142:EQ142)</f>
        <v>50290</v>
      </c>
      <c r="CZ142" s="12">
        <f>SUM($AQ142:BT142)-SUM($EA142:ER142)</f>
        <v>48190</v>
      </c>
      <c r="DA142" s="12">
        <f>SUM($AQ142:BU142)-SUM($EA142:ES142)</f>
        <v>46090</v>
      </c>
      <c r="DB142" s="12">
        <f>SUM($AQ142:BV142)-SUM($EA142:ET142)</f>
        <v>43990</v>
      </c>
      <c r="DC142" s="12">
        <f>SUM($AQ142:BW142)-SUM($EA142:EU142)</f>
        <v>41890</v>
      </c>
      <c r="DD142" s="12">
        <f>SUM($AQ142:BX142)-SUM($EA142:EV142)</f>
        <v>39790</v>
      </c>
      <c r="DE142" s="12">
        <f>SUM($AQ142:BY142)-SUM($EA142:EW142)</f>
        <v>37704</v>
      </c>
      <c r="DF142" s="12">
        <f>SUM($AQ142:BZ142)-SUM($EA142:EX142)</f>
        <v>35704</v>
      </c>
      <c r="DG142" s="12">
        <f>SUM($AQ142:CA142)-SUM($EA142:EY142)</f>
        <v>33704</v>
      </c>
      <c r="DH142" s="12">
        <f>SUM($AQ142:CB142)-SUM($EA142:EZ142)</f>
        <v>31704</v>
      </c>
      <c r="DI142" s="12">
        <f>SUM($AQ142:CC142)-SUM($EA142:FA142)</f>
        <v>29704</v>
      </c>
      <c r="DJ142" s="12">
        <f>SUM($AQ142:CD142)-SUM($EA142:FB142)</f>
        <v>27704</v>
      </c>
      <c r="DK142" s="12">
        <f>SUM($AQ142:CE142)-SUM($EA142:FC142)</f>
        <v>25704</v>
      </c>
      <c r="DL142" s="12">
        <f>SUM($AQ142:CF142)-SUM($EA142:FD142)</f>
        <v>23704</v>
      </c>
      <c r="DM142" s="12">
        <f>SUM($AQ142:CG142)-SUM($EA142:FE142)</f>
        <v>21704</v>
      </c>
      <c r="DN142" s="12">
        <f>SUM($AQ142:CH142)-SUM($EA142:FF142)</f>
        <v>19704</v>
      </c>
      <c r="DO142" s="12">
        <f>SUM($AQ142:CI142)-SUM($EA142:FG142)</f>
        <v>17704</v>
      </c>
      <c r="DP142" s="12">
        <f>SUM($AQ142:CJ142)-SUM($EA142:FH142)</f>
        <v>15704</v>
      </c>
      <c r="DQ142" s="12">
        <f>SUM($AQ142:CK142)-SUM($EA142:FI142)</f>
        <v>13704</v>
      </c>
      <c r="DR142" s="12">
        <f>SUM($AQ142:CL142)-SUM($EA142:FJ142)</f>
        <v>11704</v>
      </c>
      <c r="DS142" s="12">
        <f>SUM($AQ142:CM142)-SUM($EA142:FK142)</f>
        <v>9704</v>
      </c>
      <c r="DT142" s="12">
        <f>SUM($AQ142:CN142)-SUM($EA142:FL142)</f>
        <v>7704</v>
      </c>
      <c r="DU142" s="12">
        <f>SUM($AQ142:CO142)-SUM($EA142:FM142)</f>
        <v>5704</v>
      </c>
      <c r="DV142" s="12">
        <f>SUM($AQ142:CP142)-SUM($EA142:FN142)</f>
        <v>69852</v>
      </c>
      <c r="DW142" s="12">
        <f>SUM($AQ142:CQ142)-SUM($EA142:FO142)</f>
        <v>135072</v>
      </c>
      <c r="DX142" s="13"/>
      <c r="DY142" s="13"/>
      <c r="DZ142" s="13"/>
      <c r="EA142" s="12"/>
      <c r="EB142" s="12"/>
      <c r="EC142" s="12"/>
      <c r="ED142" s="12"/>
      <c r="EE142" s="12"/>
      <c r="EF142" s="12"/>
      <c r="EG142" s="12"/>
      <c r="EH142" s="12">
        <f t="array" ref="EH142">SUMPRODUCT(TRANSPOSE(EH$9:EH$34),$K142:$AJ142)</f>
        <v>6218</v>
      </c>
      <c r="EI142" s="12">
        <f t="array" ref="EI142">SUMPRODUCT(TRANSPOSE(EI$9:EI$34),$K142:$AJ142)</f>
        <v>562</v>
      </c>
      <c r="EJ142" s="12">
        <f t="array" ref="EJ142">SUMPRODUCT(TRANSPOSE(EJ$9:EJ$34),$K142:$AJ142)</f>
        <v>30</v>
      </c>
      <c r="EK142" s="12">
        <f t="array" ref="EK142">SUMPRODUCT(TRANSPOSE(EK$9:EK$34),$K142:$AJ142)</f>
        <v>270</v>
      </c>
      <c r="EL142" s="12">
        <f t="array" ref="EL142">SUMPRODUCT(TRANSPOSE(EL$9:EL$34),$K142:$AJ142)</f>
        <v>2030</v>
      </c>
      <c r="EM142" s="12">
        <f t="array" ref="EM142">SUMPRODUCT(TRANSPOSE(EM$9:EM$34),$K142:$AJ142)</f>
        <v>4100</v>
      </c>
      <c r="EN142" s="12">
        <f t="array" ref="EN142">SUMPRODUCT(TRANSPOSE(EN$9:EN$34),$K142:$AJ142)</f>
        <v>2300</v>
      </c>
      <c r="EO142" s="12">
        <f t="array" ref="EO142">SUMPRODUCT(TRANSPOSE(EO$9:EO$34),$K142:$AJ142)</f>
        <v>2000</v>
      </c>
      <c r="EP142" s="12">
        <f t="array" ref="EP142">SUMPRODUCT(TRANSPOSE(EP$9:EP$34),$K142:$AJ142)</f>
        <v>2100</v>
      </c>
      <c r="EQ142" s="12">
        <f t="array" ref="EQ142">SUMPRODUCT(TRANSPOSE(EQ$9:EQ$34),$K142:$AJ142)</f>
        <v>2100</v>
      </c>
      <c r="ER142" s="12">
        <f t="array" ref="ER142">SUMPRODUCT(TRANSPOSE(ER$9:ER$34),$K142:$AJ142)</f>
        <v>2100</v>
      </c>
      <c r="ES142" s="12">
        <f t="array" ref="ES142">SUMPRODUCT(TRANSPOSE(ES$9:ES$34),$K142:$AJ142)</f>
        <v>2100</v>
      </c>
      <c r="ET142" s="12">
        <f t="array" ref="ET142">SUMPRODUCT(TRANSPOSE(ET$9:ET$34),$K142:$AJ142)</f>
        <v>2100</v>
      </c>
      <c r="EU142" s="12">
        <f t="array" ref="EU142">SUMPRODUCT(TRANSPOSE(EU$9:EU$34),$K142:$AJ142)</f>
        <v>2100</v>
      </c>
      <c r="EV142" s="12">
        <f t="array" ref="EV142">SUMPRODUCT(TRANSPOSE(EV$9:EV$34),$K142:$AJ142)</f>
        <v>2100</v>
      </c>
      <c r="EW142" s="12">
        <f t="array" ref="EW142">SUMPRODUCT(TRANSPOSE(EW$9:EW$34),$K142:$AJ142)</f>
        <v>2086</v>
      </c>
      <c r="EX142" s="12">
        <f t="array" ref="EX142">SUMPRODUCT(TRANSPOSE(EX$9:EX$34),$K142:$AJ142)</f>
        <v>2000</v>
      </c>
      <c r="EY142" s="12">
        <f t="array" ref="EY142">SUMPRODUCT(TRANSPOSE(EY$9:EY$34),$K142:$AJ142)</f>
        <v>2000</v>
      </c>
      <c r="EZ142" s="12">
        <f t="array" ref="EZ142">SUMPRODUCT(TRANSPOSE(EZ$9:EZ$34),$K142:$AJ142)</f>
        <v>2000</v>
      </c>
      <c r="FA142" s="12">
        <f t="array" ref="FA142">SUMPRODUCT(TRANSPOSE(FA$9:FA$34),$K142:$AJ142)</f>
        <v>2000</v>
      </c>
      <c r="FB142" s="12">
        <f t="array" ref="FB142">SUMPRODUCT(TRANSPOSE(FB$9:FB$34),$K142:$AJ142)</f>
        <v>2000</v>
      </c>
      <c r="FC142" s="12">
        <f t="array" ref="FC142">SUMPRODUCT(TRANSPOSE(FC$9:FC$34),$K142:$AJ142)</f>
        <v>2000</v>
      </c>
      <c r="FD142" s="12">
        <f t="array" ref="FD142">SUMPRODUCT(TRANSPOSE(FD$9:FD$34),$K142:$AJ142)</f>
        <v>2000</v>
      </c>
      <c r="FE142" s="12">
        <f t="array" ref="FE142">SUMPRODUCT(TRANSPOSE(FE$9:FE$34),$K142:$AJ142)</f>
        <v>2000</v>
      </c>
      <c r="FF142" s="12">
        <f t="array" ref="FF142">SUMPRODUCT(TRANSPOSE(FF$9:FF$34),$K142:$AJ142)</f>
        <v>2000</v>
      </c>
      <c r="FG142" s="12">
        <f t="array" ref="FG142">SUMPRODUCT(TRANSPOSE(FG$9:FG$34),$K142:$AJ142)</f>
        <v>2000</v>
      </c>
      <c r="FH142" s="12">
        <f t="array" ref="FH142">SUMPRODUCT(TRANSPOSE(FH$9:FH$34),$K142:$AJ142)</f>
        <v>2000</v>
      </c>
      <c r="FI142" s="12">
        <f t="array" ref="FI142">SUMPRODUCT(TRANSPOSE(FI$9:FI$34),$K142:$AJ142)</f>
        <v>2000</v>
      </c>
      <c r="FJ142" s="12">
        <f t="array" ref="FJ142">SUMPRODUCT(TRANSPOSE(FJ$9:FJ$34),$K142:$AJ142)</f>
        <v>2000</v>
      </c>
      <c r="FK142" s="12">
        <f t="array" ref="FK142">SUMPRODUCT(TRANSPOSE(FK$9:FK$34),$K142:$AJ142)</f>
        <v>2000</v>
      </c>
      <c r="FL142" s="12">
        <f t="array" ref="FL142">SUMPRODUCT(TRANSPOSE(FL$9:FL$34),$K142:$AJ142)</f>
        <v>2000</v>
      </c>
      <c r="FM142" s="12">
        <f t="array" ref="FM142">SUMPRODUCT(TRANSPOSE(FM$9:FM$34),$K142:$AJ142)</f>
        <v>2000</v>
      </c>
      <c r="FN142" s="12">
        <f t="array" ref="FN142">SUMPRODUCT(TRANSPOSE(FN$9:FN$34),$K142:$AJ142)</f>
        <v>1634</v>
      </c>
      <c r="FO142" s="12">
        <f t="array" ref="FO142">SUMPRODUCT(TRANSPOSE(FO$9:FO$34),$K142:$AJ142)</f>
        <v>0</v>
      </c>
    </row>
    <row r="143" spans="1:171" ht="14.25" x14ac:dyDescent="0.2">
      <c r="A143" s="13">
        <f t="shared" si="7"/>
        <v>108</v>
      </c>
      <c r="B143" s="13" t="s">
        <v>390</v>
      </c>
      <c r="C143" s="25" t="s">
        <v>391</v>
      </c>
      <c r="D143" s="13" t="s">
        <v>67</v>
      </c>
      <c r="E143" s="13" t="s">
        <v>392</v>
      </c>
      <c r="F143" s="26" t="s">
        <v>393</v>
      </c>
      <c r="G143" s="13"/>
      <c r="H143" s="13" t="s">
        <v>321</v>
      </c>
      <c r="I143" s="13">
        <v>2</v>
      </c>
      <c r="J143" s="13">
        <v>0.02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0.01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0.01</v>
      </c>
      <c r="Z143" s="13"/>
      <c r="AA143" s="13">
        <v>0</v>
      </c>
      <c r="AB143" s="13">
        <v>0</v>
      </c>
      <c r="AC143" s="13">
        <v>0.01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f t="shared" si="8"/>
        <v>0.03</v>
      </c>
      <c r="AL143" s="23">
        <f t="shared" si="6"/>
        <v>356.65000000000003</v>
      </c>
      <c r="AM143" s="13"/>
      <c r="AN143" s="13" t="s">
        <v>322</v>
      </c>
      <c r="AO143" s="7" t="s">
        <v>323</v>
      </c>
      <c r="AP143" s="38">
        <v>2.4500000000000002</v>
      </c>
      <c r="AQ143" s="12">
        <v>400</v>
      </c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13"/>
      <c r="CG143" s="13"/>
      <c r="CH143" s="13"/>
      <c r="CI143" s="12"/>
      <c r="CJ143" s="12"/>
      <c r="CK143" s="12"/>
      <c r="CL143" s="12"/>
      <c r="CM143" s="12"/>
      <c r="CN143" s="12"/>
      <c r="CO143" s="12"/>
      <c r="CP143" s="12">
        <f>SUM($AQ143:BJ143)-SUM($EA143:EH143)</f>
        <v>368.90999999999997</v>
      </c>
      <c r="CQ143" s="12">
        <f>SUM($AQ143:BK143)-SUM($EA143:EI143)</f>
        <v>366.1</v>
      </c>
      <c r="CR143" s="12">
        <f>SUM($AQ143:BL143)-SUM($EA143:EJ143)</f>
        <v>366.1</v>
      </c>
      <c r="CS143" s="12">
        <f>SUM($AQ143:BM143)-SUM($EA143:EK143)</f>
        <v>365.1</v>
      </c>
      <c r="CT143" s="12">
        <f>SUM($AQ143:BN143)-SUM($EA143:EL143)</f>
        <v>355.1</v>
      </c>
      <c r="CU143" s="12">
        <f>SUM($AQ143:BO143)-SUM($EA143:EM143)</f>
        <v>335.1</v>
      </c>
      <c r="CV143" s="12">
        <f>SUM($AQ143:BP143)-SUM($EA143:EN143)</f>
        <v>324.10000000000002</v>
      </c>
      <c r="CW143" s="12">
        <f>SUM($AQ143:BQ143)-SUM($EA143:EO143)</f>
        <v>314.10000000000002</v>
      </c>
      <c r="CX143" s="12">
        <f>SUM($AQ143:BR143)-SUM($EA143:EP143)</f>
        <v>304.10000000000002</v>
      </c>
      <c r="CY143" s="12">
        <f>SUM($AQ143:BS143)-SUM($EA143:EQ143)</f>
        <v>294.10000000000002</v>
      </c>
      <c r="CZ143" s="12">
        <f>SUM($AQ143:BT143)-SUM($EA143:ER143)</f>
        <v>284.10000000000002</v>
      </c>
      <c r="DA143" s="12">
        <f>SUM($AQ143:BU143)-SUM($EA143:ES143)</f>
        <v>274.10000000000002</v>
      </c>
      <c r="DB143" s="12">
        <f>SUM($AQ143:BV143)-SUM($EA143:ET143)</f>
        <v>264.10000000000002</v>
      </c>
      <c r="DC143" s="12">
        <f>SUM($AQ143:BW143)-SUM($EA143:EU143)</f>
        <v>254.1</v>
      </c>
      <c r="DD143" s="12">
        <f>SUM($AQ143:BX143)-SUM($EA143:EV143)</f>
        <v>244.1</v>
      </c>
      <c r="DE143" s="12">
        <f>SUM($AQ143:BY143)-SUM($EA143:EW143)</f>
        <v>234.1</v>
      </c>
      <c r="DF143" s="12">
        <f>SUM($AQ143:BZ143)-SUM($EA143:EX143)</f>
        <v>224.1</v>
      </c>
      <c r="DG143" s="12">
        <f>SUM($AQ143:CA143)-SUM($EA143:EY143)</f>
        <v>214.1</v>
      </c>
      <c r="DH143" s="12">
        <f>SUM($AQ143:CB143)-SUM($EA143:EZ143)</f>
        <v>204.1</v>
      </c>
      <c r="DI143" s="12">
        <f>SUM($AQ143:CC143)-SUM($EA143:FA143)</f>
        <v>194.1</v>
      </c>
      <c r="DJ143" s="12">
        <f>SUM($AQ143:CD143)-SUM($EA143:FB143)</f>
        <v>184.1</v>
      </c>
      <c r="DK143" s="12">
        <f>SUM($AQ143:CE143)-SUM($EA143:FC143)</f>
        <v>174.1</v>
      </c>
      <c r="DL143" s="12">
        <f>SUM($AQ143:CF143)-SUM($EA143:FD143)</f>
        <v>164.1</v>
      </c>
      <c r="DM143" s="12">
        <f>SUM($AQ143:CG143)-SUM($EA143:FE143)</f>
        <v>154.1</v>
      </c>
      <c r="DN143" s="12">
        <f>SUM($AQ143:CH143)-SUM($EA143:FF143)</f>
        <v>144.1</v>
      </c>
      <c r="DO143" s="12">
        <f>SUM($AQ143:CI143)-SUM($EA143:FG143)</f>
        <v>134.10000000000002</v>
      </c>
      <c r="DP143" s="12">
        <f>SUM($AQ143:CJ143)-SUM($EA143:FH143)</f>
        <v>124.10000000000002</v>
      </c>
      <c r="DQ143" s="12">
        <f>SUM($AQ143:CK143)-SUM($EA143:FI143)</f>
        <v>114.10000000000002</v>
      </c>
      <c r="DR143" s="12">
        <f>SUM($AQ143:CL143)-SUM($EA143:FJ143)</f>
        <v>104.10000000000002</v>
      </c>
      <c r="DS143" s="12">
        <f>SUM($AQ143:CM143)-SUM($EA143:FK143)</f>
        <v>94.100000000000023</v>
      </c>
      <c r="DT143" s="12">
        <f>SUM($AQ143:CN143)-SUM($EA143:FL143)</f>
        <v>84.100000000000023</v>
      </c>
      <c r="DU143" s="12">
        <f>SUM($AQ143:CO143)-SUM($EA143:FM143)</f>
        <v>74.100000000000023</v>
      </c>
      <c r="DV143" s="12">
        <f>SUM($AQ143:CP143)-SUM($EA143:FN143)</f>
        <v>434.84</v>
      </c>
      <c r="DW143" s="12">
        <f>SUM($AQ143:CQ143)-SUM($EA143:FO143)</f>
        <v>800.94</v>
      </c>
      <c r="DX143" s="13"/>
      <c r="DY143" s="13"/>
      <c r="DZ143" s="13"/>
      <c r="EA143" s="12"/>
      <c r="EB143" s="12"/>
      <c r="EC143" s="12"/>
      <c r="ED143" s="12"/>
      <c r="EE143" s="12"/>
      <c r="EF143" s="12"/>
      <c r="EG143" s="12"/>
      <c r="EH143" s="12">
        <f t="array" ref="EH143">SUMPRODUCT(TRANSPOSE(EH$9:EH$34),$K143:$AJ143)</f>
        <v>31.090000000000003</v>
      </c>
      <c r="EI143" s="12">
        <f t="array" ref="EI143">SUMPRODUCT(TRANSPOSE(EI$9:EI$34),$K143:$AJ143)</f>
        <v>2.81</v>
      </c>
      <c r="EJ143" s="12">
        <f t="array" ref="EJ143">SUMPRODUCT(TRANSPOSE(EJ$9:EJ$34),$K143:$AJ143)</f>
        <v>0</v>
      </c>
      <c r="EK143" s="12">
        <f t="array" ref="EK143">SUMPRODUCT(TRANSPOSE(EK$9:EK$34),$K143:$AJ143)</f>
        <v>1</v>
      </c>
      <c r="EL143" s="12">
        <f t="array" ref="EL143">SUMPRODUCT(TRANSPOSE(EL$9:EL$34),$K143:$AJ143)</f>
        <v>10</v>
      </c>
      <c r="EM143" s="12">
        <f t="array" ref="EM143">SUMPRODUCT(TRANSPOSE(EM$9:EM$34),$K143:$AJ143)</f>
        <v>20</v>
      </c>
      <c r="EN143" s="12">
        <f t="array" ref="EN143">SUMPRODUCT(TRANSPOSE(EN$9:EN$34),$K143:$AJ143)</f>
        <v>11</v>
      </c>
      <c r="EO143" s="12">
        <f t="array" ref="EO143">SUMPRODUCT(TRANSPOSE(EO$9:EO$34),$K143:$AJ143)</f>
        <v>10</v>
      </c>
      <c r="EP143" s="12">
        <f t="array" ref="EP143">SUMPRODUCT(TRANSPOSE(EP$9:EP$34),$K143:$AJ143)</f>
        <v>10</v>
      </c>
      <c r="EQ143" s="12">
        <f t="array" ref="EQ143">SUMPRODUCT(TRANSPOSE(EQ$9:EQ$34),$K143:$AJ143)</f>
        <v>10</v>
      </c>
      <c r="ER143" s="12">
        <f t="array" ref="ER143">SUMPRODUCT(TRANSPOSE(ER$9:ER$34),$K143:$AJ143)</f>
        <v>10</v>
      </c>
      <c r="ES143" s="12">
        <f t="array" ref="ES143">SUMPRODUCT(TRANSPOSE(ES$9:ES$34),$K143:$AJ143)</f>
        <v>10</v>
      </c>
      <c r="ET143" s="12">
        <f t="array" ref="ET143">SUMPRODUCT(TRANSPOSE(ET$9:ET$34),$K143:$AJ143)</f>
        <v>10</v>
      </c>
      <c r="EU143" s="12">
        <f t="array" ref="EU143">SUMPRODUCT(TRANSPOSE(EU$9:EU$34),$K143:$AJ143)</f>
        <v>10</v>
      </c>
      <c r="EV143" s="12">
        <f t="array" ref="EV143">SUMPRODUCT(TRANSPOSE(EV$9:EV$34),$K143:$AJ143)</f>
        <v>10</v>
      </c>
      <c r="EW143" s="12">
        <f t="array" ref="EW143">SUMPRODUCT(TRANSPOSE(EW$9:EW$34),$K143:$AJ143)</f>
        <v>10</v>
      </c>
      <c r="EX143" s="12">
        <f t="array" ref="EX143">SUMPRODUCT(TRANSPOSE(EX$9:EX$34),$K143:$AJ143)</f>
        <v>10</v>
      </c>
      <c r="EY143" s="12">
        <f t="array" ref="EY143">SUMPRODUCT(TRANSPOSE(EY$9:EY$34),$K143:$AJ143)</f>
        <v>10</v>
      </c>
      <c r="EZ143" s="12">
        <f t="array" ref="EZ143">SUMPRODUCT(TRANSPOSE(EZ$9:EZ$34),$K143:$AJ143)</f>
        <v>10</v>
      </c>
      <c r="FA143" s="12">
        <f t="array" ref="FA143">SUMPRODUCT(TRANSPOSE(FA$9:FA$34),$K143:$AJ143)</f>
        <v>10</v>
      </c>
      <c r="FB143" s="12">
        <f t="array" ref="FB143">SUMPRODUCT(TRANSPOSE(FB$9:FB$34),$K143:$AJ143)</f>
        <v>10</v>
      </c>
      <c r="FC143" s="12">
        <f t="array" ref="FC143">SUMPRODUCT(TRANSPOSE(FC$9:FC$34),$K143:$AJ143)</f>
        <v>10</v>
      </c>
      <c r="FD143" s="12">
        <f t="array" ref="FD143">SUMPRODUCT(TRANSPOSE(FD$9:FD$34),$K143:$AJ143)</f>
        <v>10</v>
      </c>
      <c r="FE143" s="12">
        <f t="array" ref="FE143">SUMPRODUCT(TRANSPOSE(FE$9:FE$34),$K143:$AJ143)</f>
        <v>10</v>
      </c>
      <c r="FF143" s="12">
        <f t="array" ref="FF143">SUMPRODUCT(TRANSPOSE(FF$9:FF$34),$K143:$AJ143)</f>
        <v>10</v>
      </c>
      <c r="FG143" s="12">
        <f t="array" ref="FG143">SUMPRODUCT(TRANSPOSE(FG$9:FG$34),$K143:$AJ143)</f>
        <v>10</v>
      </c>
      <c r="FH143" s="12">
        <f t="array" ref="FH143">SUMPRODUCT(TRANSPOSE(FH$9:FH$34),$K143:$AJ143)</f>
        <v>10</v>
      </c>
      <c r="FI143" s="12">
        <f t="array" ref="FI143">SUMPRODUCT(TRANSPOSE(FI$9:FI$34),$K143:$AJ143)</f>
        <v>10</v>
      </c>
      <c r="FJ143" s="12">
        <f t="array" ref="FJ143">SUMPRODUCT(TRANSPOSE(FJ$9:FJ$34),$K143:$AJ143)</f>
        <v>10</v>
      </c>
      <c r="FK143" s="12">
        <f t="array" ref="FK143">SUMPRODUCT(TRANSPOSE(FK$9:FK$34),$K143:$AJ143)</f>
        <v>10</v>
      </c>
      <c r="FL143" s="12">
        <f t="array" ref="FL143">SUMPRODUCT(TRANSPOSE(FL$9:FL$34),$K143:$AJ143)</f>
        <v>10</v>
      </c>
      <c r="FM143" s="12">
        <f t="array" ref="FM143">SUMPRODUCT(TRANSPOSE(FM$9:FM$34),$K143:$AJ143)</f>
        <v>10</v>
      </c>
      <c r="FN143" s="12">
        <f t="array" ref="FN143">SUMPRODUCT(TRANSPOSE(FN$9:FN$34),$K143:$AJ143)</f>
        <v>8.17</v>
      </c>
      <c r="FO143" s="12">
        <f t="array" ref="FO143">SUMPRODUCT(TRANSPOSE(FO$9:FO$34),$K143:$AJ143)</f>
        <v>0</v>
      </c>
    </row>
    <row r="144" spans="1:171" ht="14.25" x14ac:dyDescent="0.2">
      <c r="A144" s="13">
        <f t="shared" si="7"/>
        <v>109</v>
      </c>
      <c r="B144" s="13" t="s">
        <v>394</v>
      </c>
      <c r="C144" s="25" t="s">
        <v>395</v>
      </c>
      <c r="D144" s="13" t="s">
        <v>67</v>
      </c>
      <c r="E144" s="13">
        <v>400589051</v>
      </c>
      <c r="F144" s="26" t="s">
        <v>396</v>
      </c>
      <c r="G144" s="13" t="s">
        <v>112</v>
      </c>
      <c r="H144" s="13" t="s">
        <v>112</v>
      </c>
      <c r="I144" s="13">
        <v>2</v>
      </c>
      <c r="J144" s="13" t="s">
        <v>113</v>
      </c>
      <c r="K144" s="13">
        <v>0.05</v>
      </c>
      <c r="L144" s="13">
        <v>0</v>
      </c>
      <c r="M144" s="13">
        <v>0</v>
      </c>
      <c r="N144" s="13">
        <v>0</v>
      </c>
      <c r="O144" s="13">
        <v>0</v>
      </c>
      <c r="P144" s="13">
        <v>0.05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/>
      <c r="Z144" s="13"/>
      <c r="AA144" s="13">
        <v>0.05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f t="shared" si="8"/>
        <v>0.15000000000000002</v>
      </c>
      <c r="AL144" s="23">
        <f t="shared" si="6"/>
        <v>3539.8500000000004</v>
      </c>
      <c r="AM144" s="13"/>
      <c r="AN144" s="13" t="s">
        <v>397</v>
      </c>
      <c r="AO144" s="7" t="s">
        <v>398</v>
      </c>
      <c r="AP144" s="38">
        <v>2.74</v>
      </c>
      <c r="AQ144" s="12">
        <v>21</v>
      </c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13"/>
      <c r="CG144" s="13"/>
      <c r="CH144" s="13"/>
      <c r="CI144" s="12"/>
      <c r="CJ144" s="12"/>
      <c r="CK144" s="12"/>
      <c r="CL144" s="12"/>
      <c r="CM144" s="12"/>
      <c r="CN144" s="12"/>
      <c r="CO144" s="12"/>
      <c r="CP144" s="12">
        <f>SUM($AQ144:BJ144)-SUM($EA144:EH144)</f>
        <v>-200.3</v>
      </c>
      <c r="CQ144" s="12">
        <f>SUM($AQ144:BK144)-SUM($EA144:EI144)</f>
        <v>-332.15000000000003</v>
      </c>
      <c r="CR144" s="12">
        <f>SUM($AQ144:BL144)-SUM($EA144:EJ144)</f>
        <v>-396.95000000000005</v>
      </c>
      <c r="CS144" s="12">
        <f>SUM($AQ144:BM144)-SUM($EA144:EK144)</f>
        <v>-453.70000000000005</v>
      </c>
      <c r="CT144" s="12">
        <f>SUM($AQ144:BN144)-SUM($EA144:EL144)</f>
        <v>-554.45000000000005</v>
      </c>
      <c r="CU144" s="12">
        <f>SUM($AQ144:BO144)-SUM($EA144:EM144)</f>
        <v>-656.95</v>
      </c>
      <c r="CV144" s="12">
        <f>SUM($AQ144:BP144)-SUM($EA144:EN144)</f>
        <v>-759.45</v>
      </c>
      <c r="CW144" s="12">
        <f>SUM($AQ144:BQ144)-SUM($EA144:EO144)</f>
        <v>-859.45</v>
      </c>
      <c r="CX144" s="12">
        <f>SUM($AQ144:BR144)-SUM($EA144:EP144)</f>
        <v>-961.95</v>
      </c>
      <c r="CY144" s="12">
        <f>SUM($AQ144:BS144)-SUM($EA144:EQ144)</f>
        <v>-1064.45</v>
      </c>
      <c r="CZ144" s="12">
        <f>SUM($AQ144:BT144)-SUM($EA144:ER144)</f>
        <v>-1166.95</v>
      </c>
      <c r="DA144" s="12">
        <f>SUM($AQ144:BU144)-SUM($EA144:ES144)</f>
        <v>-1269.45</v>
      </c>
      <c r="DB144" s="12">
        <f>SUM($AQ144:BV144)-SUM($EA144:ET144)</f>
        <v>-1371.95</v>
      </c>
      <c r="DC144" s="12">
        <f>SUM($AQ144:BW144)-SUM($EA144:EU144)</f>
        <v>-1474.45</v>
      </c>
      <c r="DD144" s="12">
        <f>SUM($AQ144:BX144)-SUM($EA144:EV144)</f>
        <v>-1576.95</v>
      </c>
      <c r="DE144" s="12">
        <f>SUM($AQ144:BY144)-SUM($EA144:EW144)</f>
        <v>-1677.45</v>
      </c>
      <c r="DF144" s="12">
        <f>SUM($AQ144:BZ144)-SUM($EA144:EX144)</f>
        <v>-1777.45</v>
      </c>
      <c r="DG144" s="12">
        <f>SUM($AQ144:CA144)-SUM($EA144:EY144)</f>
        <v>-1877.45</v>
      </c>
      <c r="DH144" s="12">
        <f>SUM($AQ144:CB144)-SUM($EA144:EZ144)</f>
        <v>-1977.45</v>
      </c>
      <c r="DI144" s="12">
        <f>SUM($AQ144:CC144)-SUM($EA144:FA144)</f>
        <v>-2077.4499999999998</v>
      </c>
      <c r="DJ144" s="12">
        <f>SUM($AQ144:CD144)-SUM($EA144:FB144)</f>
        <v>-2177.4499999999998</v>
      </c>
      <c r="DK144" s="12">
        <f>SUM($AQ144:CE144)-SUM($EA144:FC144)</f>
        <v>-2277.4499999999998</v>
      </c>
      <c r="DL144" s="12">
        <f>SUM($AQ144:CF144)-SUM($EA144:FD144)</f>
        <v>-2377.4499999999998</v>
      </c>
      <c r="DM144" s="12">
        <f>SUM($AQ144:CG144)-SUM($EA144:FE144)</f>
        <v>-2477.4499999999998</v>
      </c>
      <c r="DN144" s="12">
        <f>SUM($AQ144:CH144)-SUM($EA144:FF144)</f>
        <v>-2577.4499999999998</v>
      </c>
      <c r="DO144" s="12">
        <f>SUM($AQ144:CI144)-SUM($EA144:FG144)</f>
        <v>-2677.45</v>
      </c>
      <c r="DP144" s="12">
        <f>SUM($AQ144:CJ144)-SUM($EA144:FH144)</f>
        <v>-2777.45</v>
      </c>
      <c r="DQ144" s="12">
        <f>SUM($AQ144:CK144)-SUM($EA144:FI144)</f>
        <v>-2877.45</v>
      </c>
      <c r="DR144" s="12">
        <f>SUM($AQ144:CL144)-SUM($EA144:FJ144)</f>
        <v>-2977.45</v>
      </c>
      <c r="DS144" s="12">
        <f>SUM($AQ144:CM144)-SUM($EA144:FK144)</f>
        <v>-3077.45</v>
      </c>
      <c r="DT144" s="12">
        <f>SUM($AQ144:CN144)-SUM($EA144:FL144)</f>
        <v>-3177.45</v>
      </c>
      <c r="DU144" s="12">
        <f>SUM($AQ144:CO144)-SUM($EA144:FM144)</f>
        <v>-3277.45</v>
      </c>
      <c r="DV144" s="12">
        <f>SUM($AQ144:CP144)-SUM($EA144:FN144)</f>
        <v>-3566.95</v>
      </c>
      <c r="DW144" s="12">
        <f>SUM($AQ144:CQ144)-SUM($EA144:FO144)</f>
        <v>-3901.2999999999993</v>
      </c>
      <c r="DX144" s="13"/>
      <c r="DY144" s="13"/>
      <c r="DZ144" s="13"/>
      <c r="EA144" s="12"/>
      <c r="EB144" s="12"/>
      <c r="EC144" s="12"/>
      <c r="ED144" s="12"/>
      <c r="EE144" s="12"/>
      <c r="EF144" s="12"/>
      <c r="EG144" s="12"/>
      <c r="EH144" s="12">
        <f t="array" ref="EH144">SUMPRODUCT(TRANSPOSE(EH$9:EH$34),$K144:$AJ144)</f>
        <v>221.3</v>
      </c>
      <c r="EI144" s="12">
        <f t="array" ref="EI144">SUMPRODUCT(TRANSPOSE(EI$9:EI$34),$K144:$AJ144)</f>
        <v>131.85000000000002</v>
      </c>
      <c r="EJ144" s="12">
        <f t="array" ref="EJ144">SUMPRODUCT(TRANSPOSE(EJ$9:EJ$34),$K144:$AJ144)</f>
        <v>64.8</v>
      </c>
      <c r="EK144" s="12">
        <f t="array" ref="EK144">SUMPRODUCT(TRANSPOSE(EK$9:EK$34),$K144:$AJ144)</f>
        <v>56.75</v>
      </c>
      <c r="EL144" s="12">
        <f t="array" ref="EL144">SUMPRODUCT(TRANSPOSE(EL$9:EL$34),$K144:$AJ144)</f>
        <v>100.75</v>
      </c>
      <c r="EM144" s="12">
        <f t="array" ref="EM144">SUMPRODUCT(TRANSPOSE(EM$9:EM$34),$K144:$AJ144)</f>
        <v>102.5</v>
      </c>
      <c r="EN144" s="12">
        <f t="array" ref="EN144">SUMPRODUCT(TRANSPOSE(EN$9:EN$34),$K144:$AJ144)</f>
        <v>102.5</v>
      </c>
      <c r="EO144" s="12">
        <f t="array" ref="EO144">SUMPRODUCT(TRANSPOSE(EO$9:EO$34),$K144:$AJ144)</f>
        <v>100</v>
      </c>
      <c r="EP144" s="12">
        <f t="array" ref="EP144">SUMPRODUCT(TRANSPOSE(EP$9:EP$34),$K144:$AJ144)</f>
        <v>102.5</v>
      </c>
      <c r="EQ144" s="12">
        <f t="array" ref="EQ144">SUMPRODUCT(TRANSPOSE(EQ$9:EQ$34),$K144:$AJ144)</f>
        <v>102.5</v>
      </c>
      <c r="ER144" s="12">
        <f t="array" ref="ER144">SUMPRODUCT(TRANSPOSE(ER$9:ER$34),$K144:$AJ144)</f>
        <v>102.5</v>
      </c>
      <c r="ES144" s="12">
        <f t="array" ref="ES144">SUMPRODUCT(TRANSPOSE(ES$9:ES$34),$K144:$AJ144)</f>
        <v>102.5</v>
      </c>
      <c r="ET144" s="12">
        <f t="array" ref="ET144">SUMPRODUCT(TRANSPOSE(ET$9:ET$34),$K144:$AJ144)</f>
        <v>102.5</v>
      </c>
      <c r="EU144" s="12">
        <f t="array" ref="EU144">SUMPRODUCT(TRANSPOSE(EU$9:EU$34),$K144:$AJ144)</f>
        <v>102.5</v>
      </c>
      <c r="EV144" s="12">
        <f t="array" ref="EV144">SUMPRODUCT(TRANSPOSE(EV$9:EV$34),$K144:$AJ144)</f>
        <v>102.5</v>
      </c>
      <c r="EW144" s="12">
        <f t="array" ref="EW144">SUMPRODUCT(TRANSPOSE(EW$9:EW$34),$K144:$AJ144)</f>
        <v>100.5</v>
      </c>
      <c r="EX144" s="12">
        <f t="array" ref="EX144">SUMPRODUCT(TRANSPOSE(EX$9:EX$34),$K144:$AJ144)</f>
        <v>100</v>
      </c>
      <c r="EY144" s="12">
        <f t="array" ref="EY144">SUMPRODUCT(TRANSPOSE(EY$9:EY$34),$K144:$AJ144)</f>
        <v>100</v>
      </c>
      <c r="EZ144" s="12">
        <f t="array" ref="EZ144">SUMPRODUCT(TRANSPOSE(EZ$9:EZ$34),$K144:$AJ144)</f>
        <v>100</v>
      </c>
      <c r="FA144" s="12">
        <f t="array" ref="FA144">SUMPRODUCT(TRANSPOSE(FA$9:FA$34),$K144:$AJ144)</f>
        <v>100</v>
      </c>
      <c r="FB144" s="12">
        <f t="array" ref="FB144">SUMPRODUCT(TRANSPOSE(FB$9:FB$34),$K144:$AJ144)</f>
        <v>100</v>
      </c>
      <c r="FC144" s="12">
        <f t="array" ref="FC144">SUMPRODUCT(TRANSPOSE(FC$9:FC$34),$K144:$AJ144)</f>
        <v>100</v>
      </c>
      <c r="FD144" s="12">
        <f t="array" ref="FD144">SUMPRODUCT(TRANSPOSE(FD$9:FD$34),$K144:$AJ144)</f>
        <v>100</v>
      </c>
      <c r="FE144" s="12">
        <f t="array" ref="FE144">SUMPRODUCT(TRANSPOSE(FE$9:FE$34),$K144:$AJ144)</f>
        <v>100</v>
      </c>
      <c r="FF144" s="12">
        <f t="array" ref="FF144">SUMPRODUCT(TRANSPOSE(FF$9:FF$34),$K144:$AJ144)</f>
        <v>100</v>
      </c>
      <c r="FG144" s="12">
        <f t="array" ref="FG144">SUMPRODUCT(TRANSPOSE(FG$9:FG$34),$K144:$AJ144)</f>
        <v>100</v>
      </c>
      <c r="FH144" s="12">
        <f t="array" ref="FH144">SUMPRODUCT(TRANSPOSE(FH$9:FH$34),$K144:$AJ144)</f>
        <v>100</v>
      </c>
      <c r="FI144" s="12">
        <f t="array" ref="FI144">SUMPRODUCT(TRANSPOSE(FI$9:FI$34),$K144:$AJ144)</f>
        <v>100</v>
      </c>
      <c r="FJ144" s="12">
        <f t="array" ref="FJ144">SUMPRODUCT(TRANSPOSE(FJ$9:FJ$34),$K144:$AJ144)</f>
        <v>100</v>
      </c>
      <c r="FK144" s="12">
        <f t="array" ref="FK144">SUMPRODUCT(TRANSPOSE(FK$9:FK$34),$K144:$AJ144)</f>
        <v>100</v>
      </c>
      <c r="FL144" s="12">
        <f t="array" ref="FL144">SUMPRODUCT(TRANSPOSE(FL$9:FL$34),$K144:$AJ144)</f>
        <v>100</v>
      </c>
      <c r="FM144" s="12">
        <f t="array" ref="FM144">SUMPRODUCT(TRANSPOSE(FM$9:FM$34),$K144:$AJ144)</f>
        <v>100</v>
      </c>
      <c r="FN144" s="12">
        <f t="array" ref="FN144">SUMPRODUCT(TRANSPOSE(FN$9:FN$34),$K144:$AJ144)</f>
        <v>89.2</v>
      </c>
      <c r="FO144" s="12">
        <f t="array" ref="FO144">SUMPRODUCT(TRANSPOSE(FO$9:FO$34),$K144:$AJ144)</f>
        <v>2.2000000000000002</v>
      </c>
    </row>
    <row r="145" spans="1:171" ht="14.25" x14ac:dyDescent="0.2">
      <c r="A145" s="13">
        <f t="shared" si="7"/>
        <v>110</v>
      </c>
      <c r="B145" s="13" t="s">
        <v>399</v>
      </c>
      <c r="C145" s="25" t="s">
        <v>400</v>
      </c>
      <c r="D145" s="13" t="s">
        <v>401</v>
      </c>
      <c r="E145" s="13">
        <v>405928170</v>
      </c>
      <c r="F145" s="26" t="s">
        <v>402</v>
      </c>
      <c r="G145" s="13"/>
      <c r="H145" s="13" t="s">
        <v>61</v>
      </c>
      <c r="I145" s="13">
        <v>2</v>
      </c>
      <c r="J145" s="13">
        <v>6</v>
      </c>
      <c r="K145" s="13">
        <v>0</v>
      </c>
      <c r="L145" s="13">
        <v>0</v>
      </c>
      <c r="M145" s="13">
        <v>0</v>
      </c>
      <c r="N145" s="13">
        <v>2</v>
      </c>
      <c r="O145" s="13">
        <v>0</v>
      </c>
      <c r="P145" s="13">
        <v>0</v>
      </c>
      <c r="Q145" s="13">
        <v>0</v>
      </c>
      <c r="R145" s="13">
        <v>0</v>
      </c>
      <c r="S145" s="13">
        <v>2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/>
      <c r="Z145" s="13">
        <v>2</v>
      </c>
      <c r="AA145" s="13">
        <v>0</v>
      </c>
      <c r="AB145" s="13">
        <v>0</v>
      </c>
      <c r="AC145" s="13">
        <v>0</v>
      </c>
      <c r="AD145" s="13">
        <v>2</v>
      </c>
      <c r="AE145" s="13">
        <v>2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f t="shared" si="8"/>
        <v>8</v>
      </c>
      <c r="AL145" s="23">
        <f t="shared" si="6"/>
        <v>141792</v>
      </c>
      <c r="AM145" s="13"/>
      <c r="AN145" s="29" t="s">
        <v>403</v>
      </c>
      <c r="AO145" s="7" t="s">
        <v>404</v>
      </c>
      <c r="AP145" s="38">
        <v>1.94</v>
      </c>
      <c r="AQ145" s="12">
        <v>54144</v>
      </c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13"/>
      <c r="CG145" s="13"/>
      <c r="CH145" s="13"/>
      <c r="CI145" s="12"/>
      <c r="CJ145" s="12"/>
      <c r="CK145" s="12"/>
      <c r="CL145" s="12"/>
      <c r="CM145" s="12"/>
      <c r="CN145" s="12"/>
      <c r="CO145" s="12"/>
      <c r="CP145" s="12">
        <f>SUM($AQ145:BJ145)-SUM($EA145:EH145)</f>
        <v>40018</v>
      </c>
      <c r="CQ145" s="12">
        <f>SUM($AQ145:BK145)-SUM($EA145:EI145)</f>
        <v>39456</v>
      </c>
      <c r="CR145" s="12">
        <f>SUM($AQ145:BL145)-SUM($EA145:EJ145)</f>
        <v>37426</v>
      </c>
      <c r="CS145" s="12">
        <f>SUM($AQ145:BM145)-SUM($EA145:EK145)</f>
        <v>35156</v>
      </c>
      <c r="CT145" s="12">
        <f>SUM($AQ145:BN145)-SUM($EA145:EL145)</f>
        <v>31126</v>
      </c>
      <c r="CU145" s="12">
        <f>SUM($AQ145:BO145)-SUM($EA145:EM145)</f>
        <v>27026</v>
      </c>
      <c r="CV145" s="12">
        <f>SUM($AQ145:BP145)-SUM($EA145:EN145)</f>
        <v>22926</v>
      </c>
      <c r="CW145" s="12">
        <f>SUM($AQ145:BQ145)-SUM($EA145:EO145)</f>
        <v>18926</v>
      </c>
      <c r="CX145" s="12">
        <f>SUM($AQ145:BR145)-SUM($EA145:EP145)</f>
        <v>14826</v>
      </c>
      <c r="CY145" s="12">
        <f>SUM($AQ145:BS145)-SUM($EA145:EQ145)</f>
        <v>10726</v>
      </c>
      <c r="CZ145" s="12">
        <f>SUM($AQ145:BT145)-SUM($EA145:ER145)</f>
        <v>6626</v>
      </c>
      <c r="DA145" s="12">
        <f>SUM($AQ145:BU145)-SUM($EA145:ES145)</f>
        <v>2526</v>
      </c>
      <c r="DB145" s="12">
        <f>SUM($AQ145:BV145)-SUM($EA145:ET145)</f>
        <v>-1574</v>
      </c>
      <c r="DC145" s="12">
        <f>SUM($AQ145:BW145)-SUM($EA145:EU145)</f>
        <v>-5674</v>
      </c>
      <c r="DD145" s="12">
        <f>SUM($AQ145:BX145)-SUM($EA145:EV145)</f>
        <v>-9774</v>
      </c>
      <c r="DE145" s="12">
        <f>SUM($AQ145:BY145)-SUM($EA145:EW145)</f>
        <v>-13860</v>
      </c>
      <c r="DF145" s="12">
        <f>SUM($AQ145:BZ145)-SUM($EA145:EX145)</f>
        <v>-17860</v>
      </c>
      <c r="DG145" s="12">
        <f>SUM($AQ145:CA145)-SUM($EA145:EY145)</f>
        <v>-21860</v>
      </c>
      <c r="DH145" s="12">
        <f>SUM($AQ145:CB145)-SUM($EA145:EZ145)</f>
        <v>-25860</v>
      </c>
      <c r="DI145" s="12">
        <f>SUM($AQ145:CC145)-SUM($EA145:FA145)</f>
        <v>-29860</v>
      </c>
      <c r="DJ145" s="12">
        <f>SUM($AQ145:CD145)-SUM($EA145:FB145)</f>
        <v>-33860</v>
      </c>
      <c r="DK145" s="12">
        <f>SUM($AQ145:CE145)-SUM($EA145:FC145)</f>
        <v>-37860</v>
      </c>
      <c r="DL145" s="12">
        <f>SUM($AQ145:CF145)-SUM($EA145:FD145)</f>
        <v>-41860</v>
      </c>
      <c r="DM145" s="12">
        <f>SUM($AQ145:CG145)-SUM($EA145:FE145)</f>
        <v>-45860</v>
      </c>
      <c r="DN145" s="12">
        <f>SUM($AQ145:CH145)-SUM($EA145:FF145)</f>
        <v>-49860</v>
      </c>
      <c r="DO145" s="12">
        <f>SUM($AQ145:CI145)-SUM($EA145:FG145)</f>
        <v>-53860</v>
      </c>
      <c r="DP145" s="12">
        <f>SUM($AQ145:CJ145)-SUM($EA145:FH145)</f>
        <v>-57860</v>
      </c>
      <c r="DQ145" s="12">
        <f>SUM($AQ145:CK145)-SUM($EA145:FI145)</f>
        <v>-61860</v>
      </c>
      <c r="DR145" s="12">
        <f>SUM($AQ145:CL145)-SUM($EA145:FJ145)</f>
        <v>-65860</v>
      </c>
      <c r="DS145" s="12">
        <f>SUM($AQ145:CM145)-SUM($EA145:FK145)</f>
        <v>-69860</v>
      </c>
      <c r="DT145" s="12">
        <f>SUM($AQ145:CN145)-SUM($EA145:FL145)</f>
        <v>-73860</v>
      </c>
      <c r="DU145" s="12">
        <f>SUM($AQ145:CO145)-SUM($EA145:FM145)</f>
        <v>-77860</v>
      </c>
      <c r="DV145" s="12">
        <f>SUM($AQ145:CP145)-SUM($EA145:FN145)</f>
        <v>-41476</v>
      </c>
      <c r="DW145" s="12">
        <f>SUM($AQ145:CQ145)-SUM($EA145:FO145)</f>
        <v>-2174</v>
      </c>
      <c r="DX145" s="13"/>
      <c r="DY145" s="13"/>
      <c r="DZ145" s="13"/>
      <c r="EA145" s="12"/>
      <c r="EB145" s="12"/>
      <c r="EC145" s="12"/>
      <c r="ED145" s="12"/>
      <c r="EE145" s="12"/>
      <c r="EF145" s="12"/>
      <c r="EG145" s="12"/>
      <c r="EH145" s="12">
        <f t="array" ref="EH145">SUMPRODUCT(TRANSPOSE(EH$9:EH$34),$K145:$AJ145)</f>
        <v>14126</v>
      </c>
      <c r="EI145" s="12">
        <f t="array" ref="EI145">SUMPRODUCT(TRANSPOSE(EI$9:EI$34),$K145:$AJ145)</f>
        <v>562</v>
      </c>
      <c r="EJ145" s="12">
        <f t="array" ref="EJ145">SUMPRODUCT(TRANSPOSE(EJ$9:EJ$34),$K145:$AJ145)</f>
        <v>2030</v>
      </c>
      <c r="EK145" s="12">
        <f t="array" ref="EK145">SUMPRODUCT(TRANSPOSE(EK$9:EK$34),$K145:$AJ145)</f>
        <v>2270</v>
      </c>
      <c r="EL145" s="12">
        <f t="array" ref="EL145">SUMPRODUCT(TRANSPOSE(EL$9:EL$34),$K145:$AJ145)</f>
        <v>4030</v>
      </c>
      <c r="EM145" s="12">
        <f t="array" ref="EM145">SUMPRODUCT(TRANSPOSE(EM$9:EM$34),$K145:$AJ145)</f>
        <v>4100</v>
      </c>
      <c r="EN145" s="12">
        <f t="array" ref="EN145">SUMPRODUCT(TRANSPOSE(EN$9:EN$34),$K145:$AJ145)</f>
        <v>4100</v>
      </c>
      <c r="EO145" s="12">
        <f t="array" ref="EO145">SUMPRODUCT(TRANSPOSE(EO$9:EO$34),$K145:$AJ145)</f>
        <v>4000</v>
      </c>
      <c r="EP145" s="12">
        <f t="array" ref="EP145">SUMPRODUCT(TRANSPOSE(EP$9:EP$34),$K145:$AJ145)</f>
        <v>4100</v>
      </c>
      <c r="EQ145" s="12">
        <f t="array" ref="EQ145">SUMPRODUCT(TRANSPOSE(EQ$9:EQ$34),$K145:$AJ145)</f>
        <v>4100</v>
      </c>
      <c r="ER145" s="12">
        <f t="array" ref="ER145">SUMPRODUCT(TRANSPOSE(ER$9:ER$34),$K145:$AJ145)</f>
        <v>4100</v>
      </c>
      <c r="ES145" s="12">
        <f t="array" ref="ES145">SUMPRODUCT(TRANSPOSE(ES$9:ES$34),$K145:$AJ145)</f>
        <v>4100</v>
      </c>
      <c r="ET145" s="12">
        <f t="array" ref="ET145">SUMPRODUCT(TRANSPOSE(ET$9:ET$34),$K145:$AJ145)</f>
        <v>4100</v>
      </c>
      <c r="EU145" s="12">
        <f t="array" ref="EU145">SUMPRODUCT(TRANSPOSE(EU$9:EU$34),$K145:$AJ145)</f>
        <v>4100</v>
      </c>
      <c r="EV145" s="12">
        <f t="array" ref="EV145">SUMPRODUCT(TRANSPOSE(EV$9:EV$34),$K145:$AJ145)</f>
        <v>4100</v>
      </c>
      <c r="EW145" s="12">
        <f t="array" ref="EW145">SUMPRODUCT(TRANSPOSE(EW$9:EW$34),$K145:$AJ145)</f>
        <v>4086</v>
      </c>
      <c r="EX145" s="12">
        <f t="array" ref="EX145">SUMPRODUCT(TRANSPOSE(EX$9:EX$34),$K145:$AJ145)</f>
        <v>4000</v>
      </c>
      <c r="EY145" s="12">
        <f t="array" ref="EY145">SUMPRODUCT(TRANSPOSE(EY$9:EY$34),$K145:$AJ145)</f>
        <v>4000</v>
      </c>
      <c r="EZ145" s="12">
        <f t="array" ref="EZ145">SUMPRODUCT(TRANSPOSE(EZ$9:EZ$34),$K145:$AJ145)</f>
        <v>4000</v>
      </c>
      <c r="FA145" s="12">
        <f t="array" ref="FA145">SUMPRODUCT(TRANSPOSE(FA$9:FA$34),$K145:$AJ145)</f>
        <v>4000</v>
      </c>
      <c r="FB145" s="12">
        <f t="array" ref="FB145">SUMPRODUCT(TRANSPOSE(FB$9:FB$34),$K145:$AJ145)</f>
        <v>4000</v>
      </c>
      <c r="FC145" s="12">
        <f t="array" ref="FC145">SUMPRODUCT(TRANSPOSE(FC$9:FC$34),$K145:$AJ145)</f>
        <v>4000</v>
      </c>
      <c r="FD145" s="12">
        <f t="array" ref="FD145">SUMPRODUCT(TRANSPOSE(FD$9:FD$34),$K145:$AJ145)</f>
        <v>4000</v>
      </c>
      <c r="FE145" s="12">
        <f t="array" ref="FE145">SUMPRODUCT(TRANSPOSE(FE$9:FE$34),$K145:$AJ145)</f>
        <v>4000</v>
      </c>
      <c r="FF145" s="12">
        <f t="array" ref="FF145">SUMPRODUCT(TRANSPOSE(FF$9:FF$34),$K145:$AJ145)</f>
        <v>4000</v>
      </c>
      <c r="FG145" s="12">
        <f t="array" ref="FG145">SUMPRODUCT(TRANSPOSE(FG$9:FG$34),$K145:$AJ145)</f>
        <v>4000</v>
      </c>
      <c r="FH145" s="12">
        <f t="array" ref="FH145">SUMPRODUCT(TRANSPOSE(FH$9:FH$34),$K145:$AJ145)</f>
        <v>4000</v>
      </c>
      <c r="FI145" s="12">
        <f t="array" ref="FI145">SUMPRODUCT(TRANSPOSE(FI$9:FI$34),$K145:$AJ145)</f>
        <v>4000</v>
      </c>
      <c r="FJ145" s="12">
        <f t="array" ref="FJ145">SUMPRODUCT(TRANSPOSE(FJ$9:FJ$34),$K145:$AJ145)</f>
        <v>4000</v>
      </c>
      <c r="FK145" s="12">
        <f t="array" ref="FK145">SUMPRODUCT(TRANSPOSE(FK$9:FK$34),$K145:$AJ145)</f>
        <v>4000</v>
      </c>
      <c r="FL145" s="12">
        <f t="array" ref="FL145">SUMPRODUCT(TRANSPOSE(FL$9:FL$34),$K145:$AJ145)</f>
        <v>4000</v>
      </c>
      <c r="FM145" s="12">
        <f t="array" ref="FM145">SUMPRODUCT(TRANSPOSE(FM$9:FM$34),$K145:$AJ145)</f>
        <v>4000</v>
      </c>
      <c r="FN145" s="12">
        <f t="array" ref="FN145">SUMPRODUCT(TRANSPOSE(FN$9:FN$34),$K145:$AJ145)</f>
        <v>3634</v>
      </c>
      <c r="FO145" s="12">
        <f t="array" ref="FO145">SUMPRODUCT(TRANSPOSE(FO$9:FO$34),$K145:$AJ145)</f>
        <v>154</v>
      </c>
    </row>
    <row r="146" spans="1:171" ht="14.25" x14ac:dyDescent="0.2">
      <c r="A146" s="13">
        <f t="shared" si="7"/>
        <v>111</v>
      </c>
      <c r="B146" s="13" t="s">
        <v>405</v>
      </c>
      <c r="C146" s="25" t="s">
        <v>406</v>
      </c>
      <c r="D146" s="13" t="s">
        <v>67</v>
      </c>
      <c r="E146" s="13">
        <v>400112300</v>
      </c>
      <c r="F146" s="26" t="s">
        <v>407</v>
      </c>
      <c r="G146" s="13"/>
      <c r="H146" s="13" t="s">
        <v>61</v>
      </c>
      <c r="I146" s="13">
        <v>2</v>
      </c>
      <c r="J146" s="13">
        <v>48</v>
      </c>
      <c r="K146" s="13">
        <v>0</v>
      </c>
      <c r="L146" s="13">
        <v>0</v>
      </c>
      <c r="M146" s="13">
        <v>0</v>
      </c>
      <c r="N146" s="13">
        <v>2</v>
      </c>
      <c r="O146" s="13">
        <v>14</v>
      </c>
      <c r="P146" s="13">
        <v>0</v>
      </c>
      <c r="Q146" s="13">
        <v>0</v>
      </c>
      <c r="R146" s="13">
        <v>0</v>
      </c>
      <c r="S146" s="13">
        <v>2</v>
      </c>
      <c r="T146" s="13">
        <v>0</v>
      </c>
      <c r="U146" s="13">
        <v>0</v>
      </c>
      <c r="V146" s="13">
        <v>0</v>
      </c>
      <c r="W146" s="13">
        <v>0</v>
      </c>
      <c r="X146" s="13">
        <v>14</v>
      </c>
      <c r="Y146" s="13"/>
      <c r="Z146" s="13">
        <v>2</v>
      </c>
      <c r="AA146" s="13">
        <v>0</v>
      </c>
      <c r="AB146" s="13">
        <v>0</v>
      </c>
      <c r="AC146" s="13">
        <v>0</v>
      </c>
      <c r="AD146" s="13">
        <v>2</v>
      </c>
      <c r="AE146" s="13">
        <v>2</v>
      </c>
      <c r="AF146" s="13">
        <v>0</v>
      </c>
      <c r="AG146" s="13">
        <v>0</v>
      </c>
      <c r="AH146" s="13">
        <v>0</v>
      </c>
      <c r="AI146" s="13">
        <v>0</v>
      </c>
      <c r="AJ146" s="13">
        <v>14</v>
      </c>
      <c r="AK146" s="13">
        <f t="shared" si="8"/>
        <v>36</v>
      </c>
      <c r="AL146" s="23">
        <f t="shared" si="6"/>
        <v>1133874</v>
      </c>
      <c r="AM146" s="13"/>
      <c r="AN146" s="13" t="s">
        <v>408</v>
      </c>
      <c r="AO146" s="7" t="s">
        <v>409</v>
      </c>
      <c r="AP146" s="41">
        <v>8.0000000000000002E-3</v>
      </c>
      <c r="AQ146" s="12">
        <v>1140000</v>
      </c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13"/>
      <c r="CG146" s="13"/>
      <c r="CH146" s="13"/>
      <c r="CI146" s="12"/>
      <c r="CJ146" s="12"/>
      <c r="CK146" s="12"/>
      <c r="CL146" s="12"/>
      <c r="CM146" s="12"/>
      <c r="CN146" s="12"/>
      <c r="CO146" s="12"/>
      <c r="CP146" s="12">
        <f>SUM($AQ146:BJ146)-SUM($EA146:EH146)</f>
        <v>1026992</v>
      </c>
      <c r="CQ146" s="12">
        <f>SUM($AQ146:BK146)-SUM($EA146:EI146)</f>
        <v>1020830</v>
      </c>
      <c r="CR146" s="12">
        <f>SUM($AQ146:BL146)-SUM($EA146:EJ146)</f>
        <v>1004590</v>
      </c>
      <c r="CS146" s="12">
        <f>SUM($AQ146:BM146)-SUM($EA146:EK146)</f>
        <v>986430</v>
      </c>
      <c r="CT146" s="12">
        <f>SUM($AQ146:BN146)-SUM($EA146:EL146)</f>
        <v>954190</v>
      </c>
      <c r="CU146" s="12">
        <f>SUM($AQ146:BO146)-SUM($EA146:EM146)</f>
        <v>921390</v>
      </c>
      <c r="CV146" s="12">
        <f>SUM($AQ146:BP146)-SUM($EA146:EN146)</f>
        <v>888590</v>
      </c>
      <c r="CW146" s="12">
        <f>SUM($AQ146:BQ146)-SUM($EA146:EO146)</f>
        <v>856590</v>
      </c>
      <c r="CX146" s="12">
        <f>SUM($AQ146:BR146)-SUM($EA146:EP146)</f>
        <v>823790</v>
      </c>
      <c r="CY146" s="12">
        <f>SUM($AQ146:BS146)-SUM($EA146:EQ146)</f>
        <v>790990</v>
      </c>
      <c r="CZ146" s="12">
        <f>SUM($AQ146:BT146)-SUM($EA146:ER146)</f>
        <v>758190</v>
      </c>
      <c r="DA146" s="12">
        <f>SUM($AQ146:BU146)-SUM($EA146:ES146)</f>
        <v>725390</v>
      </c>
      <c r="DB146" s="12">
        <f>SUM($AQ146:BV146)-SUM($EA146:ET146)</f>
        <v>692590</v>
      </c>
      <c r="DC146" s="12">
        <f>SUM($AQ146:BW146)-SUM($EA146:EU146)</f>
        <v>659790</v>
      </c>
      <c r="DD146" s="12">
        <f>SUM($AQ146:BX146)-SUM($EA146:EV146)</f>
        <v>626990</v>
      </c>
      <c r="DE146" s="12">
        <f>SUM($AQ146:BY146)-SUM($EA146:EW146)</f>
        <v>594764</v>
      </c>
      <c r="DF146" s="12">
        <f>SUM($AQ146:BZ146)-SUM($EA146:EX146)</f>
        <v>562764</v>
      </c>
      <c r="DG146" s="12">
        <f>SUM($AQ146:CA146)-SUM($EA146:EY146)</f>
        <v>530764</v>
      </c>
      <c r="DH146" s="12">
        <f>SUM($AQ146:CB146)-SUM($EA146:EZ146)</f>
        <v>498764</v>
      </c>
      <c r="DI146" s="12">
        <f>SUM($AQ146:CC146)-SUM($EA146:FA146)</f>
        <v>466764</v>
      </c>
      <c r="DJ146" s="12">
        <f>SUM($AQ146:CD146)-SUM($EA146:FB146)</f>
        <v>434764</v>
      </c>
      <c r="DK146" s="12">
        <f>SUM($AQ146:CE146)-SUM($EA146:FC146)</f>
        <v>402764</v>
      </c>
      <c r="DL146" s="12">
        <f>SUM($AQ146:CF146)-SUM($EA146:FD146)</f>
        <v>370764</v>
      </c>
      <c r="DM146" s="12">
        <f>SUM($AQ146:CG146)-SUM($EA146:FE146)</f>
        <v>338764</v>
      </c>
      <c r="DN146" s="12">
        <f>SUM($AQ146:CH146)-SUM($EA146:FF146)</f>
        <v>306764</v>
      </c>
      <c r="DO146" s="12">
        <f>SUM($AQ146:CI146)-SUM($EA146:FG146)</f>
        <v>274764</v>
      </c>
      <c r="DP146" s="12">
        <f>SUM($AQ146:CJ146)-SUM($EA146:FH146)</f>
        <v>242764</v>
      </c>
      <c r="DQ146" s="12">
        <f>SUM($AQ146:CK146)-SUM($EA146:FI146)</f>
        <v>210764</v>
      </c>
      <c r="DR146" s="12">
        <f>SUM($AQ146:CL146)-SUM($EA146:FJ146)</f>
        <v>178764</v>
      </c>
      <c r="DS146" s="12">
        <f>SUM($AQ146:CM146)-SUM($EA146:FK146)</f>
        <v>146764</v>
      </c>
      <c r="DT146" s="12">
        <f>SUM($AQ146:CN146)-SUM($EA146:FL146)</f>
        <v>114764</v>
      </c>
      <c r="DU146" s="12">
        <f>SUM($AQ146:CO146)-SUM($EA146:FM146)</f>
        <v>82764</v>
      </c>
      <c r="DV146" s="12">
        <f>SUM($AQ146:CP146)-SUM($EA146:FN146)</f>
        <v>1082350</v>
      </c>
      <c r="DW146" s="12">
        <f>SUM($AQ146:CQ146)-SUM($EA146:FO146)</f>
        <v>2101948</v>
      </c>
      <c r="DX146" s="13"/>
      <c r="DY146" s="13"/>
      <c r="DZ146" s="13"/>
      <c r="EA146" s="12"/>
      <c r="EB146" s="12"/>
      <c r="EC146" s="12"/>
      <c r="ED146" s="12"/>
      <c r="EE146" s="12"/>
      <c r="EF146" s="12"/>
      <c r="EG146" s="12"/>
      <c r="EH146" s="12">
        <f t="array" ref="EH146">SUMPRODUCT(TRANSPOSE(EH$9:EH$34),$K146:$AJ146)</f>
        <v>113008</v>
      </c>
      <c r="EI146" s="12">
        <f t="array" ref="EI146">SUMPRODUCT(TRANSPOSE(EI$9:EI$34),$K146:$AJ146)</f>
        <v>6162</v>
      </c>
      <c r="EJ146" s="12">
        <f t="array" ref="EJ146">SUMPRODUCT(TRANSPOSE(EJ$9:EJ$34),$K146:$AJ146)</f>
        <v>16240</v>
      </c>
      <c r="EK146" s="12">
        <f t="array" ref="EK146">SUMPRODUCT(TRANSPOSE(EK$9:EK$34),$K146:$AJ146)</f>
        <v>18160</v>
      </c>
      <c r="EL146" s="12">
        <f t="array" ref="EL146">SUMPRODUCT(TRANSPOSE(EL$9:EL$34),$K146:$AJ146)</f>
        <v>32240</v>
      </c>
      <c r="EM146" s="12">
        <f t="array" ref="EM146">SUMPRODUCT(TRANSPOSE(EM$9:EM$34),$K146:$AJ146)</f>
        <v>32800</v>
      </c>
      <c r="EN146" s="12">
        <f t="array" ref="EN146">SUMPRODUCT(TRANSPOSE(EN$9:EN$34),$K146:$AJ146)</f>
        <v>32800</v>
      </c>
      <c r="EO146" s="12">
        <f t="array" ref="EO146">SUMPRODUCT(TRANSPOSE(EO$9:EO$34),$K146:$AJ146)</f>
        <v>32000</v>
      </c>
      <c r="EP146" s="12">
        <f t="array" ref="EP146">SUMPRODUCT(TRANSPOSE(EP$9:EP$34),$K146:$AJ146)</f>
        <v>32800</v>
      </c>
      <c r="EQ146" s="12">
        <f t="array" ref="EQ146">SUMPRODUCT(TRANSPOSE(EQ$9:EQ$34),$K146:$AJ146)</f>
        <v>32800</v>
      </c>
      <c r="ER146" s="12">
        <f t="array" ref="ER146">SUMPRODUCT(TRANSPOSE(ER$9:ER$34),$K146:$AJ146)</f>
        <v>32800</v>
      </c>
      <c r="ES146" s="12">
        <f t="array" ref="ES146">SUMPRODUCT(TRANSPOSE(ES$9:ES$34),$K146:$AJ146)</f>
        <v>32800</v>
      </c>
      <c r="ET146" s="12">
        <f t="array" ref="ET146">SUMPRODUCT(TRANSPOSE(ET$9:ET$34),$K146:$AJ146)</f>
        <v>32800</v>
      </c>
      <c r="EU146" s="12">
        <f t="array" ref="EU146">SUMPRODUCT(TRANSPOSE(EU$9:EU$34),$K146:$AJ146)</f>
        <v>32800</v>
      </c>
      <c r="EV146" s="12">
        <f t="array" ref="EV146">SUMPRODUCT(TRANSPOSE(EV$9:EV$34),$K146:$AJ146)</f>
        <v>32800</v>
      </c>
      <c r="EW146" s="12">
        <f t="array" ref="EW146">SUMPRODUCT(TRANSPOSE(EW$9:EW$34),$K146:$AJ146)</f>
        <v>32226</v>
      </c>
      <c r="EX146" s="12">
        <f t="array" ref="EX146">SUMPRODUCT(TRANSPOSE(EX$9:EX$34),$K146:$AJ146)</f>
        <v>32000</v>
      </c>
      <c r="EY146" s="12">
        <f t="array" ref="EY146">SUMPRODUCT(TRANSPOSE(EY$9:EY$34),$K146:$AJ146)</f>
        <v>32000</v>
      </c>
      <c r="EZ146" s="12">
        <f t="array" ref="EZ146">SUMPRODUCT(TRANSPOSE(EZ$9:EZ$34),$K146:$AJ146)</f>
        <v>32000</v>
      </c>
      <c r="FA146" s="12">
        <f t="array" ref="FA146">SUMPRODUCT(TRANSPOSE(FA$9:FA$34),$K146:$AJ146)</f>
        <v>32000</v>
      </c>
      <c r="FB146" s="12">
        <f t="array" ref="FB146">SUMPRODUCT(TRANSPOSE(FB$9:FB$34),$K146:$AJ146)</f>
        <v>32000</v>
      </c>
      <c r="FC146" s="12">
        <f t="array" ref="FC146">SUMPRODUCT(TRANSPOSE(FC$9:FC$34),$K146:$AJ146)</f>
        <v>32000</v>
      </c>
      <c r="FD146" s="12">
        <f t="array" ref="FD146">SUMPRODUCT(TRANSPOSE(FD$9:FD$34),$K146:$AJ146)</f>
        <v>32000</v>
      </c>
      <c r="FE146" s="12">
        <f t="array" ref="FE146">SUMPRODUCT(TRANSPOSE(FE$9:FE$34),$K146:$AJ146)</f>
        <v>32000</v>
      </c>
      <c r="FF146" s="12">
        <f t="array" ref="FF146">SUMPRODUCT(TRANSPOSE(FF$9:FF$34),$K146:$AJ146)</f>
        <v>32000</v>
      </c>
      <c r="FG146" s="12">
        <f t="array" ref="FG146">SUMPRODUCT(TRANSPOSE(FG$9:FG$34),$K146:$AJ146)</f>
        <v>32000</v>
      </c>
      <c r="FH146" s="12">
        <f t="array" ref="FH146">SUMPRODUCT(TRANSPOSE(FH$9:FH$34),$K146:$AJ146)</f>
        <v>32000</v>
      </c>
      <c r="FI146" s="12">
        <f t="array" ref="FI146">SUMPRODUCT(TRANSPOSE(FI$9:FI$34),$K146:$AJ146)</f>
        <v>32000</v>
      </c>
      <c r="FJ146" s="12">
        <f t="array" ref="FJ146">SUMPRODUCT(TRANSPOSE(FJ$9:FJ$34),$K146:$AJ146)</f>
        <v>32000</v>
      </c>
      <c r="FK146" s="12">
        <f t="array" ref="FK146">SUMPRODUCT(TRANSPOSE(FK$9:FK$34),$K146:$AJ146)</f>
        <v>32000</v>
      </c>
      <c r="FL146" s="12">
        <f t="array" ref="FL146">SUMPRODUCT(TRANSPOSE(FL$9:FL$34),$K146:$AJ146)</f>
        <v>32000</v>
      </c>
      <c r="FM146" s="12">
        <f t="array" ref="FM146">SUMPRODUCT(TRANSPOSE(FM$9:FM$34),$K146:$AJ146)</f>
        <v>32000</v>
      </c>
      <c r="FN146" s="12">
        <f t="array" ref="FN146">SUMPRODUCT(TRANSPOSE(FN$9:FN$34),$K146:$AJ146)</f>
        <v>27406</v>
      </c>
      <c r="FO146" s="12">
        <f t="array" ref="FO146">SUMPRODUCT(TRANSPOSE(FO$9:FO$34),$K146:$AJ146)</f>
        <v>1232</v>
      </c>
    </row>
    <row r="147" spans="1:171" ht="14.25" x14ac:dyDescent="0.2">
      <c r="A147" s="13">
        <f t="shared" si="7"/>
        <v>112</v>
      </c>
      <c r="B147" s="13" t="s">
        <v>411</v>
      </c>
      <c r="C147" s="25" t="s">
        <v>412</v>
      </c>
      <c r="D147" s="13" t="s">
        <v>67</v>
      </c>
      <c r="E147" s="13" t="s">
        <v>413</v>
      </c>
      <c r="F147" s="26" t="s">
        <v>414</v>
      </c>
      <c r="G147" s="13"/>
      <c r="H147" s="13" t="s">
        <v>61</v>
      </c>
      <c r="I147" s="13">
        <v>2</v>
      </c>
      <c r="J147" s="13">
        <v>66</v>
      </c>
      <c r="K147" s="13">
        <v>0</v>
      </c>
      <c r="L147" s="13">
        <v>0</v>
      </c>
      <c r="M147" s="13">
        <v>0</v>
      </c>
      <c r="N147" s="13">
        <v>0</v>
      </c>
      <c r="O147" s="13">
        <v>22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22</v>
      </c>
      <c r="Y147" s="13"/>
      <c r="Z147" s="13"/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22</v>
      </c>
      <c r="AK147" s="13">
        <f t="shared" si="8"/>
        <v>44</v>
      </c>
      <c r="AL147" s="23">
        <f t="shared" si="6"/>
        <v>1558986</v>
      </c>
      <c r="AM147" s="13"/>
      <c r="AN147" s="13" t="s">
        <v>408</v>
      </c>
      <c r="AO147" s="7" t="s">
        <v>409</v>
      </c>
      <c r="AP147" s="41">
        <v>3.1E-2</v>
      </c>
      <c r="AQ147" s="12">
        <v>801000</v>
      </c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13"/>
      <c r="CG147" s="13"/>
      <c r="CH147" s="13"/>
      <c r="CI147" s="12"/>
      <c r="CJ147" s="12"/>
      <c r="CK147" s="12"/>
      <c r="CL147" s="12"/>
      <c r="CM147" s="12"/>
      <c r="CN147" s="12"/>
      <c r="CO147" s="12"/>
      <c r="CP147" s="12">
        <f>SUM($AQ147:BJ147)-SUM($EA147:EH147)</f>
        <v>645614</v>
      </c>
      <c r="CQ147" s="12">
        <f>SUM($AQ147:BK147)-SUM($EA147:EI147)</f>
        <v>636814</v>
      </c>
      <c r="CR147" s="12">
        <f>SUM($AQ147:BL147)-SUM($EA147:EJ147)</f>
        <v>614484</v>
      </c>
      <c r="CS147" s="12">
        <f>SUM($AQ147:BM147)-SUM($EA147:EK147)</f>
        <v>589514</v>
      </c>
      <c r="CT147" s="12">
        <f>SUM($AQ147:BN147)-SUM($EA147:EL147)</f>
        <v>545184</v>
      </c>
      <c r="CU147" s="12">
        <f>SUM($AQ147:BO147)-SUM($EA147:EM147)</f>
        <v>500084</v>
      </c>
      <c r="CV147" s="12">
        <f>SUM($AQ147:BP147)-SUM($EA147:EN147)</f>
        <v>454984</v>
      </c>
      <c r="CW147" s="12">
        <f>SUM($AQ147:BQ147)-SUM($EA147:EO147)</f>
        <v>410984</v>
      </c>
      <c r="CX147" s="12">
        <f>SUM($AQ147:BR147)-SUM($EA147:EP147)</f>
        <v>365884</v>
      </c>
      <c r="CY147" s="12">
        <f>SUM($AQ147:BS147)-SUM($EA147:EQ147)</f>
        <v>320784</v>
      </c>
      <c r="CZ147" s="12">
        <f>SUM($AQ147:BT147)-SUM($EA147:ER147)</f>
        <v>275684</v>
      </c>
      <c r="DA147" s="12">
        <f>SUM($AQ147:BU147)-SUM($EA147:ES147)</f>
        <v>230584</v>
      </c>
      <c r="DB147" s="12">
        <f>SUM($AQ147:BV147)-SUM($EA147:ET147)</f>
        <v>185484</v>
      </c>
      <c r="DC147" s="12">
        <f>SUM($AQ147:BW147)-SUM($EA147:EU147)</f>
        <v>140384</v>
      </c>
      <c r="DD147" s="12">
        <f>SUM($AQ147:BX147)-SUM($EA147:EV147)</f>
        <v>95284</v>
      </c>
      <c r="DE147" s="12">
        <f>SUM($AQ147:BY147)-SUM($EA147:EW147)</f>
        <v>51064</v>
      </c>
      <c r="DF147" s="12">
        <f>SUM($AQ147:BZ147)-SUM($EA147:EX147)</f>
        <v>7064</v>
      </c>
      <c r="DG147" s="12">
        <f>SUM($AQ147:CA147)-SUM($EA147:EY147)</f>
        <v>-36936</v>
      </c>
      <c r="DH147" s="12">
        <f>SUM($AQ147:CB147)-SUM($EA147:EZ147)</f>
        <v>-80936</v>
      </c>
      <c r="DI147" s="12">
        <f>SUM($AQ147:CC147)-SUM($EA147:FA147)</f>
        <v>-124936</v>
      </c>
      <c r="DJ147" s="12">
        <f>SUM($AQ147:CD147)-SUM($EA147:FB147)</f>
        <v>-168936</v>
      </c>
      <c r="DK147" s="12">
        <f>SUM($AQ147:CE147)-SUM($EA147:FC147)</f>
        <v>-212936</v>
      </c>
      <c r="DL147" s="12">
        <f>SUM($AQ147:CF147)-SUM($EA147:FD147)</f>
        <v>-256936</v>
      </c>
      <c r="DM147" s="12">
        <f>SUM($AQ147:CG147)-SUM($EA147:FE147)</f>
        <v>-300936</v>
      </c>
      <c r="DN147" s="12">
        <f>SUM($AQ147:CH147)-SUM($EA147:FF147)</f>
        <v>-344936</v>
      </c>
      <c r="DO147" s="12">
        <f>SUM($AQ147:CI147)-SUM($EA147:FG147)</f>
        <v>-388936</v>
      </c>
      <c r="DP147" s="12">
        <f>SUM($AQ147:CJ147)-SUM($EA147:FH147)</f>
        <v>-432936</v>
      </c>
      <c r="DQ147" s="12">
        <f>SUM($AQ147:CK147)-SUM($EA147:FI147)</f>
        <v>-476936</v>
      </c>
      <c r="DR147" s="12">
        <f>SUM($AQ147:CL147)-SUM($EA147:FJ147)</f>
        <v>-520936</v>
      </c>
      <c r="DS147" s="12">
        <f>SUM($AQ147:CM147)-SUM($EA147:FK147)</f>
        <v>-564936</v>
      </c>
      <c r="DT147" s="12">
        <f>SUM($AQ147:CN147)-SUM($EA147:FL147)</f>
        <v>-608936</v>
      </c>
      <c r="DU147" s="12">
        <f>SUM($AQ147:CO147)-SUM($EA147:FM147)</f>
        <v>-652936</v>
      </c>
      <c r="DV147" s="12">
        <f>SUM($AQ147:CP147)-SUM($EA147:FN147)</f>
        <v>-44678</v>
      </c>
      <c r="DW147" s="12">
        <f>SUM($AQ147:CQ147)-SUM($EA147:FO147)</f>
        <v>590442</v>
      </c>
      <c r="DX147" s="13"/>
      <c r="DY147" s="13"/>
      <c r="DZ147" s="13"/>
      <c r="EA147" s="12"/>
      <c r="EB147" s="12"/>
      <c r="EC147" s="12"/>
      <c r="ED147" s="12"/>
      <c r="EE147" s="12"/>
      <c r="EF147" s="12"/>
      <c r="EG147" s="12"/>
      <c r="EH147" s="12">
        <f t="array" ref="EH147">SUMPRODUCT(TRANSPOSE(EH$9:EH$34),$K147:$AJ147)</f>
        <v>155386</v>
      </c>
      <c r="EI147" s="12">
        <f t="array" ref="EI147">SUMPRODUCT(TRANSPOSE(EI$9:EI$34),$K147:$AJ147)</f>
        <v>8800</v>
      </c>
      <c r="EJ147" s="12">
        <f t="array" ref="EJ147">SUMPRODUCT(TRANSPOSE(EJ$9:EJ$34),$K147:$AJ147)</f>
        <v>22330</v>
      </c>
      <c r="EK147" s="12">
        <f t="array" ref="EK147">SUMPRODUCT(TRANSPOSE(EK$9:EK$34),$K147:$AJ147)</f>
        <v>24970</v>
      </c>
      <c r="EL147" s="12">
        <f t="array" ref="EL147">SUMPRODUCT(TRANSPOSE(EL$9:EL$34),$K147:$AJ147)</f>
        <v>44330</v>
      </c>
      <c r="EM147" s="12">
        <f t="array" ref="EM147">SUMPRODUCT(TRANSPOSE(EM$9:EM$34),$K147:$AJ147)</f>
        <v>45100</v>
      </c>
      <c r="EN147" s="12">
        <f t="array" ref="EN147">SUMPRODUCT(TRANSPOSE(EN$9:EN$34),$K147:$AJ147)</f>
        <v>45100</v>
      </c>
      <c r="EO147" s="12">
        <f t="array" ref="EO147">SUMPRODUCT(TRANSPOSE(EO$9:EO$34),$K147:$AJ147)</f>
        <v>44000</v>
      </c>
      <c r="EP147" s="12">
        <f t="array" ref="EP147">SUMPRODUCT(TRANSPOSE(EP$9:EP$34),$K147:$AJ147)</f>
        <v>45100</v>
      </c>
      <c r="EQ147" s="12">
        <f t="array" ref="EQ147">SUMPRODUCT(TRANSPOSE(EQ$9:EQ$34),$K147:$AJ147)</f>
        <v>45100</v>
      </c>
      <c r="ER147" s="12">
        <f t="array" ref="ER147">SUMPRODUCT(TRANSPOSE(ER$9:ER$34),$K147:$AJ147)</f>
        <v>45100</v>
      </c>
      <c r="ES147" s="12">
        <f t="array" ref="ES147">SUMPRODUCT(TRANSPOSE(ES$9:ES$34),$K147:$AJ147)</f>
        <v>45100</v>
      </c>
      <c r="ET147" s="12">
        <f t="array" ref="ET147">SUMPRODUCT(TRANSPOSE(ET$9:ET$34),$K147:$AJ147)</f>
        <v>45100</v>
      </c>
      <c r="EU147" s="12">
        <f t="array" ref="EU147">SUMPRODUCT(TRANSPOSE(EU$9:EU$34),$K147:$AJ147)</f>
        <v>45100</v>
      </c>
      <c r="EV147" s="12">
        <f t="array" ref="EV147">SUMPRODUCT(TRANSPOSE(EV$9:EV$34),$K147:$AJ147)</f>
        <v>45100</v>
      </c>
      <c r="EW147" s="12">
        <f t="array" ref="EW147">SUMPRODUCT(TRANSPOSE(EW$9:EW$34),$K147:$AJ147)</f>
        <v>44220</v>
      </c>
      <c r="EX147" s="12">
        <f t="array" ref="EX147">SUMPRODUCT(TRANSPOSE(EX$9:EX$34),$K147:$AJ147)</f>
        <v>44000</v>
      </c>
      <c r="EY147" s="12">
        <f t="array" ref="EY147">SUMPRODUCT(TRANSPOSE(EY$9:EY$34),$K147:$AJ147)</f>
        <v>44000</v>
      </c>
      <c r="EZ147" s="12">
        <f t="array" ref="EZ147">SUMPRODUCT(TRANSPOSE(EZ$9:EZ$34),$K147:$AJ147)</f>
        <v>44000</v>
      </c>
      <c r="FA147" s="12">
        <f t="array" ref="FA147">SUMPRODUCT(TRANSPOSE(FA$9:FA$34),$K147:$AJ147)</f>
        <v>44000</v>
      </c>
      <c r="FB147" s="12">
        <f t="array" ref="FB147">SUMPRODUCT(TRANSPOSE(FB$9:FB$34),$K147:$AJ147)</f>
        <v>44000</v>
      </c>
      <c r="FC147" s="12">
        <f t="array" ref="FC147">SUMPRODUCT(TRANSPOSE(FC$9:FC$34),$K147:$AJ147)</f>
        <v>44000</v>
      </c>
      <c r="FD147" s="12">
        <f t="array" ref="FD147">SUMPRODUCT(TRANSPOSE(FD$9:FD$34),$K147:$AJ147)</f>
        <v>44000</v>
      </c>
      <c r="FE147" s="12">
        <f t="array" ref="FE147">SUMPRODUCT(TRANSPOSE(FE$9:FE$34),$K147:$AJ147)</f>
        <v>44000</v>
      </c>
      <c r="FF147" s="12">
        <f t="array" ref="FF147">SUMPRODUCT(TRANSPOSE(FF$9:FF$34),$K147:$AJ147)</f>
        <v>44000</v>
      </c>
      <c r="FG147" s="12">
        <f t="array" ref="FG147">SUMPRODUCT(TRANSPOSE(FG$9:FG$34),$K147:$AJ147)</f>
        <v>44000</v>
      </c>
      <c r="FH147" s="12">
        <f t="array" ref="FH147">SUMPRODUCT(TRANSPOSE(FH$9:FH$34),$K147:$AJ147)</f>
        <v>44000</v>
      </c>
      <c r="FI147" s="12">
        <f t="array" ref="FI147">SUMPRODUCT(TRANSPOSE(FI$9:FI$34),$K147:$AJ147)</f>
        <v>44000</v>
      </c>
      <c r="FJ147" s="12">
        <f t="array" ref="FJ147">SUMPRODUCT(TRANSPOSE(FJ$9:FJ$34),$K147:$AJ147)</f>
        <v>44000</v>
      </c>
      <c r="FK147" s="12">
        <f t="array" ref="FK147">SUMPRODUCT(TRANSPOSE(FK$9:FK$34),$K147:$AJ147)</f>
        <v>44000</v>
      </c>
      <c r="FL147" s="12">
        <f t="array" ref="FL147">SUMPRODUCT(TRANSPOSE(FL$9:FL$34),$K147:$AJ147)</f>
        <v>44000</v>
      </c>
      <c r="FM147" s="12">
        <f t="array" ref="FM147">SUMPRODUCT(TRANSPOSE(FM$9:FM$34),$K147:$AJ147)</f>
        <v>44000</v>
      </c>
      <c r="FN147" s="12">
        <f t="array" ref="FN147">SUMPRODUCT(TRANSPOSE(FN$9:FN$34),$K147:$AJ147)</f>
        <v>37356</v>
      </c>
      <c r="FO147" s="12">
        <f t="array" ref="FO147">SUMPRODUCT(TRANSPOSE(FO$9:FO$34),$K147:$AJ147)</f>
        <v>1694</v>
      </c>
    </row>
    <row r="148" spans="1:171" ht="14.25" x14ac:dyDescent="0.2">
      <c r="A148" s="13">
        <f t="shared" si="7"/>
        <v>113</v>
      </c>
      <c r="B148" s="13" t="s">
        <v>415</v>
      </c>
      <c r="C148" s="25" t="s">
        <v>416</v>
      </c>
      <c r="D148" s="13" t="s">
        <v>67</v>
      </c>
      <c r="E148" s="13">
        <v>400536577</v>
      </c>
      <c r="F148" s="26" t="s">
        <v>417</v>
      </c>
      <c r="G148" s="13">
        <v>400326574</v>
      </c>
      <c r="H148" s="13" t="s">
        <v>61</v>
      </c>
      <c r="I148" s="13">
        <v>2</v>
      </c>
      <c r="J148" s="13">
        <v>22</v>
      </c>
      <c r="K148" s="13">
        <v>0</v>
      </c>
      <c r="L148" s="13">
        <v>0</v>
      </c>
      <c r="M148" s="13">
        <v>0</v>
      </c>
      <c r="N148" s="13">
        <v>6</v>
      </c>
      <c r="O148" s="13">
        <v>0</v>
      </c>
      <c r="P148" s="13">
        <v>0</v>
      </c>
      <c r="Q148" s="13">
        <v>0</v>
      </c>
      <c r="R148" s="13">
        <v>0</v>
      </c>
      <c r="S148" s="13">
        <v>8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/>
      <c r="Z148" s="13">
        <v>8</v>
      </c>
      <c r="AA148" s="13">
        <v>0</v>
      </c>
      <c r="AB148" s="13">
        <v>0</v>
      </c>
      <c r="AC148" s="13">
        <v>0</v>
      </c>
      <c r="AD148" s="13">
        <v>8</v>
      </c>
      <c r="AE148" s="13">
        <v>8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f t="shared" si="8"/>
        <v>30</v>
      </c>
      <c r="AL148" s="23">
        <f t="shared" si="6"/>
        <v>496706</v>
      </c>
      <c r="AM148" s="13"/>
      <c r="AN148" s="13" t="s">
        <v>418</v>
      </c>
      <c r="AO148" s="7" t="s">
        <v>419</v>
      </c>
      <c r="AP148" s="38">
        <v>3.3999999999999998E-3</v>
      </c>
      <c r="AQ148" s="12">
        <v>500000</v>
      </c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13"/>
      <c r="CG148" s="13"/>
      <c r="CH148" s="13"/>
      <c r="CI148" s="12"/>
      <c r="CJ148" s="12"/>
      <c r="CK148" s="12"/>
      <c r="CL148" s="12"/>
      <c r="CM148" s="12"/>
      <c r="CN148" s="12"/>
      <c r="CO148" s="12"/>
      <c r="CP148" s="12">
        <f>SUM($AQ148:BJ148)-SUM($EA148:EH148)</f>
        <v>451404</v>
      </c>
      <c r="CQ148" s="12">
        <f>SUM($AQ148:BK148)-SUM($EA148:EI148)</f>
        <v>449156</v>
      </c>
      <c r="CR148" s="12">
        <f>SUM($AQ148:BL148)-SUM($EA148:EJ148)</f>
        <v>443036</v>
      </c>
      <c r="CS148" s="12">
        <f>SUM($AQ148:BM148)-SUM($EA148:EK148)</f>
        <v>435956</v>
      </c>
      <c r="CT148" s="12">
        <f>SUM($AQ148:BN148)-SUM($EA148:EL148)</f>
        <v>421836</v>
      </c>
      <c r="CU148" s="12">
        <f>SUM($AQ148:BO148)-SUM($EA148:EM148)</f>
        <v>405436</v>
      </c>
      <c r="CV148" s="12">
        <f>SUM($AQ148:BP148)-SUM($EA148:EN148)</f>
        <v>390836</v>
      </c>
      <c r="CW148" s="12">
        <f>SUM($AQ148:BQ148)-SUM($EA148:EO148)</f>
        <v>376836</v>
      </c>
      <c r="CX148" s="12">
        <f>SUM($AQ148:BR148)-SUM($EA148:EP148)</f>
        <v>362436</v>
      </c>
      <c r="CY148" s="12">
        <f>SUM($AQ148:BS148)-SUM($EA148:EQ148)</f>
        <v>348036</v>
      </c>
      <c r="CZ148" s="12">
        <f>SUM($AQ148:BT148)-SUM($EA148:ER148)</f>
        <v>333636</v>
      </c>
      <c r="DA148" s="12">
        <f>SUM($AQ148:BU148)-SUM($EA148:ES148)</f>
        <v>319236</v>
      </c>
      <c r="DB148" s="12">
        <f>SUM($AQ148:BV148)-SUM($EA148:ET148)</f>
        <v>304836</v>
      </c>
      <c r="DC148" s="12">
        <f>SUM($AQ148:BW148)-SUM($EA148:EU148)</f>
        <v>290436</v>
      </c>
      <c r="DD148" s="12">
        <f>SUM($AQ148:BX148)-SUM($EA148:EV148)</f>
        <v>276036</v>
      </c>
      <c r="DE148" s="12">
        <f>SUM($AQ148:BY148)-SUM($EA148:EW148)</f>
        <v>261692</v>
      </c>
      <c r="DF148" s="12">
        <f>SUM($AQ148:BZ148)-SUM($EA148:EX148)</f>
        <v>247692</v>
      </c>
      <c r="DG148" s="12">
        <f>SUM($AQ148:CA148)-SUM($EA148:EY148)</f>
        <v>233692</v>
      </c>
      <c r="DH148" s="12">
        <f>SUM($AQ148:CB148)-SUM($EA148:EZ148)</f>
        <v>219692</v>
      </c>
      <c r="DI148" s="12">
        <f>SUM($AQ148:CC148)-SUM($EA148:FA148)</f>
        <v>205692</v>
      </c>
      <c r="DJ148" s="12">
        <f>SUM($AQ148:CD148)-SUM($EA148:FB148)</f>
        <v>191692</v>
      </c>
      <c r="DK148" s="12">
        <f>SUM($AQ148:CE148)-SUM($EA148:FC148)</f>
        <v>177692</v>
      </c>
      <c r="DL148" s="12">
        <f>SUM($AQ148:CF148)-SUM($EA148:FD148)</f>
        <v>163692</v>
      </c>
      <c r="DM148" s="12">
        <f>SUM($AQ148:CG148)-SUM($EA148:FE148)</f>
        <v>149692</v>
      </c>
      <c r="DN148" s="12">
        <f>SUM($AQ148:CH148)-SUM($EA148:FF148)</f>
        <v>135692</v>
      </c>
      <c r="DO148" s="12">
        <f>SUM($AQ148:CI148)-SUM($EA148:FG148)</f>
        <v>121692</v>
      </c>
      <c r="DP148" s="12">
        <f>SUM($AQ148:CJ148)-SUM($EA148:FH148)</f>
        <v>107692</v>
      </c>
      <c r="DQ148" s="12">
        <f>SUM($AQ148:CK148)-SUM($EA148:FI148)</f>
        <v>93692</v>
      </c>
      <c r="DR148" s="12">
        <f>SUM($AQ148:CL148)-SUM($EA148:FJ148)</f>
        <v>79692</v>
      </c>
      <c r="DS148" s="12">
        <f>SUM($AQ148:CM148)-SUM($EA148:FK148)</f>
        <v>65692</v>
      </c>
      <c r="DT148" s="12">
        <f>SUM($AQ148:CN148)-SUM($EA148:FL148)</f>
        <v>51692</v>
      </c>
      <c r="DU148" s="12">
        <f>SUM($AQ148:CO148)-SUM($EA148:FM148)</f>
        <v>37692</v>
      </c>
      <c r="DV148" s="12">
        <f>SUM($AQ148:CP148)-SUM($EA148:FN148)</f>
        <v>476560</v>
      </c>
      <c r="DW148" s="12">
        <f>SUM($AQ148:CQ148)-SUM($EA148:FO148)</f>
        <v>925254</v>
      </c>
      <c r="DX148" s="13"/>
      <c r="DY148" s="13"/>
      <c r="DZ148" s="13"/>
      <c r="EA148" s="12"/>
      <c r="EB148" s="12"/>
      <c r="EC148" s="12"/>
      <c r="ED148" s="12"/>
      <c r="EE148" s="12"/>
      <c r="EF148" s="12"/>
      <c r="EG148" s="12"/>
      <c r="EH148" s="12">
        <f t="array" ref="EH148">SUMPRODUCT(TRANSPOSE(EH$9:EH$34),$K148:$AJ148)</f>
        <v>48596</v>
      </c>
      <c r="EI148" s="12">
        <f t="array" ref="EI148">SUMPRODUCT(TRANSPOSE(EI$9:EI$34),$K148:$AJ148)</f>
        <v>2248</v>
      </c>
      <c r="EJ148" s="12">
        <f t="array" ref="EJ148">SUMPRODUCT(TRANSPOSE(EJ$9:EJ$34),$K148:$AJ148)</f>
        <v>6120</v>
      </c>
      <c r="EK148" s="12">
        <f t="array" ref="EK148">SUMPRODUCT(TRANSPOSE(EK$9:EK$34),$K148:$AJ148)</f>
        <v>7080</v>
      </c>
      <c r="EL148" s="12">
        <f t="array" ref="EL148">SUMPRODUCT(TRANSPOSE(EL$9:EL$34),$K148:$AJ148)</f>
        <v>14120</v>
      </c>
      <c r="EM148" s="12">
        <f t="array" ref="EM148">SUMPRODUCT(TRANSPOSE(EM$9:EM$34),$K148:$AJ148)</f>
        <v>16400</v>
      </c>
      <c r="EN148" s="12">
        <f t="array" ref="EN148">SUMPRODUCT(TRANSPOSE(EN$9:EN$34),$K148:$AJ148)</f>
        <v>14600</v>
      </c>
      <c r="EO148" s="12">
        <f t="array" ref="EO148">SUMPRODUCT(TRANSPOSE(EO$9:EO$34),$K148:$AJ148)</f>
        <v>14000</v>
      </c>
      <c r="EP148" s="12">
        <f t="array" ref="EP148">SUMPRODUCT(TRANSPOSE(EP$9:EP$34),$K148:$AJ148)</f>
        <v>14400</v>
      </c>
      <c r="EQ148" s="12">
        <f t="array" ref="EQ148">SUMPRODUCT(TRANSPOSE(EQ$9:EQ$34),$K148:$AJ148)</f>
        <v>14400</v>
      </c>
      <c r="ER148" s="12">
        <f t="array" ref="ER148">SUMPRODUCT(TRANSPOSE(ER$9:ER$34),$K148:$AJ148)</f>
        <v>14400</v>
      </c>
      <c r="ES148" s="12">
        <f t="array" ref="ES148">SUMPRODUCT(TRANSPOSE(ES$9:ES$34),$K148:$AJ148)</f>
        <v>14400</v>
      </c>
      <c r="ET148" s="12">
        <f t="array" ref="ET148">SUMPRODUCT(TRANSPOSE(ET$9:ET$34),$K148:$AJ148)</f>
        <v>14400</v>
      </c>
      <c r="EU148" s="12">
        <f t="array" ref="EU148">SUMPRODUCT(TRANSPOSE(EU$9:EU$34),$K148:$AJ148)</f>
        <v>14400</v>
      </c>
      <c r="EV148" s="12">
        <f t="array" ref="EV148">SUMPRODUCT(TRANSPOSE(EV$9:EV$34),$K148:$AJ148)</f>
        <v>14400</v>
      </c>
      <c r="EW148" s="12">
        <f t="array" ref="EW148">SUMPRODUCT(TRANSPOSE(EW$9:EW$34),$K148:$AJ148)</f>
        <v>14344</v>
      </c>
      <c r="EX148" s="12">
        <f t="array" ref="EX148">SUMPRODUCT(TRANSPOSE(EX$9:EX$34),$K148:$AJ148)</f>
        <v>14000</v>
      </c>
      <c r="EY148" s="12">
        <f t="array" ref="EY148">SUMPRODUCT(TRANSPOSE(EY$9:EY$34),$K148:$AJ148)</f>
        <v>14000</v>
      </c>
      <c r="EZ148" s="12">
        <f t="array" ref="EZ148">SUMPRODUCT(TRANSPOSE(EZ$9:EZ$34),$K148:$AJ148)</f>
        <v>14000</v>
      </c>
      <c r="FA148" s="12">
        <f t="array" ref="FA148">SUMPRODUCT(TRANSPOSE(FA$9:FA$34),$K148:$AJ148)</f>
        <v>14000</v>
      </c>
      <c r="FB148" s="12">
        <f t="array" ref="FB148">SUMPRODUCT(TRANSPOSE(FB$9:FB$34),$K148:$AJ148)</f>
        <v>14000</v>
      </c>
      <c r="FC148" s="12">
        <f t="array" ref="FC148">SUMPRODUCT(TRANSPOSE(FC$9:FC$34),$K148:$AJ148)</f>
        <v>14000</v>
      </c>
      <c r="FD148" s="12">
        <f t="array" ref="FD148">SUMPRODUCT(TRANSPOSE(FD$9:FD$34),$K148:$AJ148)</f>
        <v>14000</v>
      </c>
      <c r="FE148" s="12">
        <f t="array" ref="FE148">SUMPRODUCT(TRANSPOSE(FE$9:FE$34),$K148:$AJ148)</f>
        <v>14000</v>
      </c>
      <c r="FF148" s="12">
        <f t="array" ref="FF148">SUMPRODUCT(TRANSPOSE(FF$9:FF$34),$K148:$AJ148)</f>
        <v>14000</v>
      </c>
      <c r="FG148" s="12">
        <f t="array" ref="FG148">SUMPRODUCT(TRANSPOSE(FG$9:FG$34),$K148:$AJ148)</f>
        <v>14000</v>
      </c>
      <c r="FH148" s="12">
        <f t="array" ref="FH148">SUMPRODUCT(TRANSPOSE(FH$9:FH$34),$K148:$AJ148)</f>
        <v>14000</v>
      </c>
      <c r="FI148" s="12">
        <f t="array" ref="FI148">SUMPRODUCT(TRANSPOSE(FI$9:FI$34),$K148:$AJ148)</f>
        <v>14000</v>
      </c>
      <c r="FJ148" s="12">
        <f t="array" ref="FJ148">SUMPRODUCT(TRANSPOSE(FJ$9:FJ$34),$K148:$AJ148)</f>
        <v>14000</v>
      </c>
      <c r="FK148" s="12">
        <f t="array" ref="FK148">SUMPRODUCT(TRANSPOSE(FK$9:FK$34),$K148:$AJ148)</f>
        <v>14000</v>
      </c>
      <c r="FL148" s="12">
        <f t="array" ref="FL148">SUMPRODUCT(TRANSPOSE(FL$9:FL$34),$K148:$AJ148)</f>
        <v>14000</v>
      </c>
      <c r="FM148" s="12">
        <f t="array" ref="FM148">SUMPRODUCT(TRANSPOSE(FM$9:FM$34),$K148:$AJ148)</f>
        <v>14000</v>
      </c>
      <c r="FN148" s="12">
        <f t="array" ref="FN148">SUMPRODUCT(TRANSPOSE(FN$9:FN$34),$K148:$AJ148)</f>
        <v>12536</v>
      </c>
      <c r="FO148" s="12">
        <f t="array" ref="FO148">SUMPRODUCT(TRANSPOSE(FO$9:FO$34),$K148:$AJ148)</f>
        <v>462</v>
      </c>
    </row>
    <row r="149" spans="1:171" ht="14.25" x14ac:dyDescent="0.2">
      <c r="A149" s="13">
        <f t="shared" si="7"/>
        <v>114</v>
      </c>
      <c r="B149" s="13" t="s">
        <v>420</v>
      </c>
      <c r="C149" s="25" t="s">
        <v>421</v>
      </c>
      <c r="D149" s="13" t="s">
        <v>67</v>
      </c>
      <c r="E149" s="13">
        <v>400984937</v>
      </c>
      <c r="F149" s="26" t="s">
        <v>422</v>
      </c>
      <c r="G149" s="13">
        <v>400326577</v>
      </c>
      <c r="H149" s="13" t="s">
        <v>61</v>
      </c>
      <c r="I149" s="13">
        <v>2</v>
      </c>
      <c r="J149" s="13">
        <v>30</v>
      </c>
      <c r="K149" s="13">
        <v>0</v>
      </c>
      <c r="L149" s="13">
        <v>0</v>
      </c>
      <c r="M149" s="13">
        <v>0</v>
      </c>
      <c r="N149" s="13">
        <v>0</v>
      </c>
      <c r="O149" s="13">
        <v>2</v>
      </c>
      <c r="P149" s="13">
        <v>0</v>
      </c>
      <c r="Q149" s="13">
        <v>0</v>
      </c>
      <c r="R149" s="13">
        <v>0</v>
      </c>
      <c r="S149" s="13">
        <v>12</v>
      </c>
      <c r="T149" s="13">
        <v>0</v>
      </c>
      <c r="U149" s="13">
        <v>0</v>
      </c>
      <c r="V149" s="13">
        <v>0</v>
      </c>
      <c r="W149" s="13">
        <v>0</v>
      </c>
      <c r="X149" s="13">
        <v>2</v>
      </c>
      <c r="Y149" s="13"/>
      <c r="Z149" s="13">
        <v>12</v>
      </c>
      <c r="AA149" s="13">
        <v>0</v>
      </c>
      <c r="AB149" s="13">
        <v>0</v>
      </c>
      <c r="AC149" s="13">
        <v>0</v>
      </c>
      <c r="AD149" s="13">
        <v>12</v>
      </c>
      <c r="AE149" s="13">
        <v>12</v>
      </c>
      <c r="AF149" s="13">
        <v>0</v>
      </c>
      <c r="AG149" s="13">
        <v>0</v>
      </c>
      <c r="AH149" s="13">
        <v>0</v>
      </c>
      <c r="AI149" s="13">
        <v>0</v>
      </c>
      <c r="AJ149" s="13">
        <v>2</v>
      </c>
      <c r="AK149" s="13">
        <f t="shared" si="8"/>
        <v>40</v>
      </c>
      <c r="AL149" s="23">
        <f t="shared" si="6"/>
        <v>569706</v>
      </c>
      <c r="AM149" s="13"/>
      <c r="AN149" s="13" t="s">
        <v>418</v>
      </c>
      <c r="AO149" s="7" t="s">
        <v>419</v>
      </c>
      <c r="AP149" s="38">
        <v>2.2000000000000001E-3</v>
      </c>
      <c r="AQ149" s="12">
        <v>570000</v>
      </c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13"/>
      <c r="CG149" s="13"/>
      <c r="CH149" s="13"/>
      <c r="CI149" s="12"/>
      <c r="CJ149" s="12"/>
      <c r="CK149" s="12"/>
      <c r="CL149" s="12"/>
      <c r="CM149" s="12"/>
      <c r="CN149" s="12"/>
      <c r="CO149" s="12"/>
      <c r="CP149" s="12">
        <f>SUM($AQ149:BJ149)-SUM($EA149:EH149)</f>
        <v>518566</v>
      </c>
      <c r="CQ149" s="12">
        <f>SUM($AQ149:BK149)-SUM($EA149:EI149)</f>
        <v>514394</v>
      </c>
      <c r="CR149" s="12">
        <f>SUM($AQ149:BL149)-SUM($EA149:EJ149)</f>
        <v>512184</v>
      </c>
      <c r="CS149" s="12">
        <f>SUM($AQ149:BM149)-SUM($EA149:EK149)</f>
        <v>508294</v>
      </c>
      <c r="CT149" s="12">
        <f>SUM($AQ149:BN149)-SUM($EA149:EL149)</f>
        <v>492084</v>
      </c>
      <c r="CU149" s="12">
        <f>SUM($AQ149:BO149)-SUM($EA149:EM149)</f>
        <v>463384</v>
      </c>
      <c r="CV149" s="12">
        <f>SUM($AQ149:BP149)-SUM($EA149:EN149)</f>
        <v>445484</v>
      </c>
      <c r="CW149" s="12">
        <f>SUM($AQ149:BQ149)-SUM($EA149:EO149)</f>
        <v>429484</v>
      </c>
      <c r="CX149" s="12">
        <f>SUM($AQ149:BR149)-SUM($EA149:EP149)</f>
        <v>412784</v>
      </c>
      <c r="CY149" s="12">
        <f>SUM($AQ149:BS149)-SUM($EA149:EQ149)</f>
        <v>396084</v>
      </c>
      <c r="CZ149" s="12">
        <f>SUM($AQ149:BT149)-SUM($EA149:ER149)</f>
        <v>379384</v>
      </c>
      <c r="DA149" s="12">
        <f>SUM($AQ149:BU149)-SUM($EA149:ES149)</f>
        <v>362684</v>
      </c>
      <c r="DB149" s="12">
        <f>SUM($AQ149:BV149)-SUM($EA149:ET149)</f>
        <v>345984</v>
      </c>
      <c r="DC149" s="12">
        <f>SUM($AQ149:BW149)-SUM($EA149:EU149)</f>
        <v>329284</v>
      </c>
      <c r="DD149" s="12">
        <f>SUM($AQ149:BX149)-SUM($EA149:EV149)</f>
        <v>312584</v>
      </c>
      <c r="DE149" s="12">
        <f>SUM($AQ149:BY149)-SUM($EA149:EW149)</f>
        <v>296048</v>
      </c>
      <c r="DF149" s="12">
        <f>SUM($AQ149:BZ149)-SUM($EA149:EX149)</f>
        <v>280048</v>
      </c>
      <c r="DG149" s="12">
        <f>SUM($AQ149:CA149)-SUM($EA149:EY149)</f>
        <v>264048</v>
      </c>
      <c r="DH149" s="12">
        <f>SUM($AQ149:CB149)-SUM($EA149:EZ149)</f>
        <v>248048</v>
      </c>
      <c r="DI149" s="12">
        <f>SUM($AQ149:CC149)-SUM($EA149:FA149)</f>
        <v>232048</v>
      </c>
      <c r="DJ149" s="12">
        <f>SUM($AQ149:CD149)-SUM($EA149:FB149)</f>
        <v>216048</v>
      </c>
      <c r="DK149" s="12">
        <f>SUM($AQ149:CE149)-SUM($EA149:FC149)</f>
        <v>200048</v>
      </c>
      <c r="DL149" s="12">
        <f>SUM($AQ149:CF149)-SUM($EA149:FD149)</f>
        <v>184048</v>
      </c>
      <c r="DM149" s="12">
        <f>SUM($AQ149:CG149)-SUM($EA149:FE149)</f>
        <v>168048</v>
      </c>
      <c r="DN149" s="12">
        <f>SUM($AQ149:CH149)-SUM($EA149:FF149)</f>
        <v>152048</v>
      </c>
      <c r="DO149" s="12">
        <f>SUM($AQ149:CI149)-SUM($EA149:FG149)</f>
        <v>136048</v>
      </c>
      <c r="DP149" s="12">
        <f>SUM($AQ149:CJ149)-SUM($EA149:FH149)</f>
        <v>120048</v>
      </c>
      <c r="DQ149" s="12">
        <f>SUM($AQ149:CK149)-SUM($EA149:FI149)</f>
        <v>104048</v>
      </c>
      <c r="DR149" s="12">
        <f>SUM($AQ149:CL149)-SUM($EA149:FJ149)</f>
        <v>88048</v>
      </c>
      <c r="DS149" s="12">
        <f>SUM($AQ149:CM149)-SUM($EA149:FK149)</f>
        <v>72048</v>
      </c>
      <c r="DT149" s="12">
        <f>SUM($AQ149:CN149)-SUM($EA149:FL149)</f>
        <v>56048</v>
      </c>
      <c r="DU149" s="12">
        <f>SUM($AQ149:CO149)-SUM($EA149:FM149)</f>
        <v>40048</v>
      </c>
      <c r="DV149" s="12">
        <f>SUM($AQ149:CP149)-SUM($EA149:FN149)</f>
        <v>545414</v>
      </c>
      <c r="DW149" s="12">
        <f>SUM($AQ149:CQ149)-SUM($EA149:FO149)</f>
        <v>1059654</v>
      </c>
      <c r="DX149" s="13"/>
      <c r="DY149" s="13"/>
      <c r="DZ149" s="13"/>
      <c r="EA149" s="12"/>
      <c r="EB149" s="12"/>
      <c r="EC149" s="12"/>
      <c r="ED149" s="12"/>
      <c r="EE149" s="12"/>
      <c r="EF149" s="12"/>
      <c r="EG149" s="12"/>
      <c r="EH149" s="12">
        <f t="array" ref="EH149">SUMPRODUCT(TRANSPOSE(EH$9:EH$34),$K149:$AJ149)</f>
        <v>51434</v>
      </c>
      <c r="EI149" s="12">
        <f t="array" ref="EI149">SUMPRODUCT(TRANSPOSE(EI$9:EI$34),$K149:$AJ149)</f>
        <v>4172</v>
      </c>
      <c r="EJ149" s="12">
        <f t="array" ref="EJ149">SUMPRODUCT(TRANSPOSE(EJ$9:EJ$34),$K149:$AJ149)</f>
        <v>2210</v>
      </c>
      <c r="EK149" s="12">
        <f t="array" ref="EK149">SUMPRODUCT(TRANSPOSE(EK$9:EK$34),$K149:$AJ149)</f>
        <v>3890</v>
      </c>
      <c r="EL149" s="12">
        <f t="array" ref="EL149">SUMPRODUCT(TRANSPOSE(EL$9:EL$34),$K149:$AJ149)</f>
        <v>16210</v>
      </c>
      <c r="EM149" s="12">
        <f t="array" ref="EM149">SUMPRODUCT(TRANSPOSE(EM$9:EM$34),$K149:$AJ149)</f>
        <v>28700</v>
      </c>
      <c r="EN149" s="12">
        <f t="array" ref="EN149">SUMPRODUCT(TRANSPOSE(EN$9:EN$34),$K149:$AJ149)</f>
        <v>17900</v>
      </c>
      <c r="EO149" s="12">
        <f t="array" ref="EO149">SUMPRODUCT(TRANSPOSE(EO$9:EO$34),$K149:$AJ149)</f>
        <v>16000</v>
      </c>
      <c r="EP149" s="12">
        <f t="array" ref="EP149">SUMPRODUCT(TRANSPOSE(EP$9:EP$34),$K149:$AJ149)</f>
        <v>16700</v>
      </c>
      <c r="EQ149" s="12">
        <f t="array" ref="EQ149">SUMPRODUCT(TRANSPOSE(EQ$9:EQ$34),$K149:$AJ149)</f>
        <v>16700</v>
      </c>
      <c r="ER149" s="12">
        <f t="array" ref="ER149">SUMPRODUCT(TRANSPOSE(ER$9:ER$34),$K149:$AJ149)</f>
        <v>16700</v>
      </c>
      <c r="ES149" s="12">
        <f t="array" ref="ES149">SUMPRODUCT(TRANSPOSE(ES$9:ES$34),$K149:$AJ149)</f>
        <v>16700</v>
      </c>
      <c r="ET149" s="12">
        <f t="array" ref="ET149">SUMPRODUCT(TRANSPOSE(ET$9:ET$34),$K149:$AJ149)</f>
        <v>16700</v>
      </c>
      <c r="EU149" s="12">
        <f t="array" ref="EU149">SUMPRODUCT(TRANSPOSE(EU$9:EU$34),$K149:$AJ149)</f>
        <v>16700</v>
      </c>
      <c r="EV149" s="12">
        <f t="array" ref="EV149">SUMPRODUCT(TRANSPOSE(EV$9:EV$34),$K149:$AJ149)</f>
        <v>16700</v>
      </c>
      <c r="EW149" s="12">
        <f t="array" ref="EW149">SUMPRODUCT(TRANSPOSE(EW$9:EW$34),$K149:$AJ149)</f>
        <v>16536</v>
      </c>
      <c r="EX149" s="12">
        <f t="array" ref="EX149">SUMPRODUCT(TRANSPOSE(EX$9:EX$34),$K149:$AJ149)</f>
        <v>16000</v>
      </c>
      <c r="EY149" s="12">
        <f t="array" ref="EY149">SUMPRODUCT(TRANSPOSE(EY$9:EY$34),$K149:$AJ149)</f>
        <v>16000</v>
      </c>
      <c r="EZ149" s="12">
        <f t="array" ref="EZ149">SUMPRODUCT(TRANSPOSE(EZ$9:EZ$34),$K149:$AJ149)</f>
        <v>16000</v>
      </c>
      <c r="FA149" s="12">
        <f t="array" ref="FA149">SUMPRODUCT(TRANSPOSE(FA$9:FA$34),$K149:$AJ149)</f>
        <v>16000</v>
      </c>
      <c r="FB149" s="12">
        <f t="array" ref="FB149">SUMPRODUCT(TRANSPOSE(FB$9:FB$34),$K149:$AJ149)</f>
        <v>16000</v>
      </c>
      <c r="FC149" s="12">
        <f t="array" ref="FC149">SUMPRODUCT(TRANSPOSE(FC$9:FC$34),$K149:$AJ149)</f>
        <v>16000</v>
      </c>
      <c r="FD149" s="12">
        <f t="array" ref="FD149">SUMPRODUCT(TRANSPOSE(FD$9:FD$34),$K149:$AJ149)</f>
        <v>16000</v>
      </c>
      <c r="FE149" s="12">
        <f t="array" ref="FE149">SUMPRODUCT(TRANSPOSE(FE$9:FE$34),$K149:$AJ149)</f>
        <v>16000</v>
      </c>
      <c r="FF149" s="12">
        <f t="array" ref="FF149">SUMPRODUCT(TRANSPOSE(FF$9:FF$34),$K149:$AJ149)</f>
        <v>16000</v>
      </c>
      <c r="FG149" s="12">
        <f t="array" ref="FG149">SUMPRODUCT(TRANSPOSE(FG$9:FG$34),$K149:$AJ149)</f>
        <v>16000</v>
      </c>
      <c r="FH149" s="12">
        <f t="array" ref="FH149">SUMPRODUCT(TRANSPOSE(FH$9:FH$34),$K149:$AJ149)</f>
        <v>16000</v>
      </c>
      <c r="FI149" s="12">
        <f t="array" ref="FI149">SUMPRODUCT(TRANSPOSE(FI$9:FI$34),$K149:$AJ149)</f>
        <v>16000</v>
      </c>
      <c r="FJ149" s="12">
        <f t="array" ref="FJ149">SUMPRODUCT(TRANSPOSE(FJ$9:FJ$34),$K149:$AJ149)</f>
        <v>16000</v>
      </c>
      <c r="FK149" s="12">
        <f t="array" ref="FK149">SUMPRODUCT(TRANSPOSE(FK$9:FK$34),$K149:$AJ149)</f>
        <v>16000</v>
      </c>
      <c r="FL149" s="12">
        <f t="array" ref="FL149">SUMPRODUCT(TRANSPOSE(FL$9:FL$34),$K149:$AJ149)</f>
        <v>16000</v>
      </c>
      <c r="FM149" s="12">
        <f t="array" ref="FM149">SUMPRODUCT(TRANSPOSE(FM$9:FM$34),$K149:$AJ149)</f>
        <v>16000</v>
      </c>
      <c r="FN149" s="12">
        <f t="array" ref="FN149">SUMPRODUCT(TRANSPOSE(FN$9:FN$34),$K149:$AJ149)</f>
        <v>13200</v>
      </c>
      <c r="FO149" s="12">
        <f t="array" ref="FO149">SUMPRODUCT(TRANSPOSE(FO$9:FO$34),$K149:$AJ149)</f>
        <v>154</v>
      </c>
    </row>
    <row r="150" spans="1:171" ht="14.25" x14ac:dyDescent="0.2">
      <c r="A150" s="13">
        <f t="shared" si="7"/>
        <v>115</v>
      </c>
      <c r="B150" s="13" t="s">
        <v>423</v>
      </c>
      <c r="C150" s="25" t="s">
        <v>424</v>
      </c>
      <c r="D150" s="13" t="s">
        <v>67</v>
      </c>
      <c r="E150" s="13">
        <v>401246012</v>
      </c>
      <c r="F150" s="26" t="s">
        <v>425</v>
      </c>
      <c r="G150" s="13">
        <v>400326580</v>
      </c>
      <c r="H150" s="13" t="s">
        <v>61</v>
      </c>
      <c r="I150" s="13">
        <v>2</v>
      </c>
      <c r="J150" s="13">
        <v>4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2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/>
      <c r="Z150" s="13">
        <v>2</v>
      </c>
      <c r="AA150" s="13">
        <v>0</v>
      </c>
      <c r="AB150" s="13">
        <v>0</v>
      </c>
      <c r="AC150" s="13">
        <v>0</v>
      </c>
      <c r="AD150" s="13">
        <v>2</v>
      </c>
      <c r="AE150" s="13">
        <v>2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f t="shared" si="8"/>
        <v>6</v>
      </c>
      <c r="AL150" s="23">
        <f t="shared" si="6"/>
        <v>71330</v>
      </c>
      <c r="AM150" s="13"/>
      <c r="AN150" s="13" t="s">
        <v>418</v>
      </c>
      <c r="AO150" s="7" t="s">
        <v>419</v>
      </c>
      <c r="AP150" s="38">
        <v>2.5999999999999999E-3</v>
      </c>
      <c r="AQ150" s="12">
        <v>80000</v>
      </c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13"/>
      <c r="CG150" s="13"/>
      <c r="CH150" s="13"/>
      <c r="CI150" s="12"/>
      <c r="CJ150" s="12"/>
      <c r="CK150" s="12"/>
      <c r="CL150" s="12"/>
      <c r="CM150" s="12"/>
      <c r="CN150" s="12"/>
      <c r="CO150" s="12"/>
      <c r="CP150" s="12">
        <f>SUM($AQ150:BJ150)-SUM($EA150:EH150)</f>
        <v>73782</v>
      </c>
      <c r="CQ150" s="12">
        <f>SUM($AQ150:BK150)-SUM($EA150:EI150)</f>
        <v>73220</v>
      </c>
      <c r="CR150" s="12">
        <f>SUM($AQ150:BL150)-SUM($EA150:EJ150)</f>
        <v>73190</v>
      </c>
      <c r="CS150" s="12">
        <f>SUM($AQ150:BM150)-SUM($EA150:EK150)</f>
        <v>72920</v>
      </c>
      <c r="CT150" s="12">
        <f>SUM($AQ150:BN150)-SUM($EA150:EL150)</f>
        <v>70890</v>
      </c>
      <c r="CU150" s="12">
        <f>SUM($AQ150:BO150)-SUM($EA150:EM150)</f>
        <v>66790</v>
      </c>
      <c r="CV150" s="12">
        <f>SUM($AQ150:BP150)-SUM($EA150:EN150)</f>
        <v>64490</v>
      </c>
      <c r="CW150" s="12">
        <f>SUM($AQ150:BQ150)-SUM($EA150:EO150)</f>
        <v>62490</v>
      </c>
      <c r="CX150" s="12">
        <f>SUM($AQ150:BR150)-SUM($EA150:EP150)</f>
        <v>60390</v>
      </c>
      <c r="CY150" s="12">
        <f>SUM($AQ150:BS150)-SUM($EA150:EQ150)</f>
        <v>58290</v>
      </c>
      <c r="CZ150" s="12">
        <f>SUM($AQ150:BT150)-SUM($EA150:ER150)</f>
        <v>56190</v>
      </c>
      <c r="DA150" s="12">
        <f>SUM($AQ150:BU150)-SUM($EA150:ES150)</f>
        <v>54090</v>
      </c>
      <c r="DB150" s="12">
        <f>SUM($AQ150:BV150)-SUM($EA150:ET150)</f>
        <v>51990</v>
      </c>
      <c r="DC150" s="12">
        <f>SUM($AQ150:BW150)-SUM($EA150:EU150)</f>
        <v>49890</v>
      </c>
      <c r="DD150" s="12">
        <f>SUM($AQ150:BX150)-SUM($EA150:EV150)</f>
        <v>47790</v>
      </c>
      <c r="DE150" s="12">
        <f>SUM($AQ150:BY150)-SUM($EA150:EW150)</f>
        <v>45704</v>
      </c>
      <c r="DF150" s="12">
        <f>SUM($AQ150:BZ150)-SUM($EA150:EX150)</f>
        <v>43704</v>
      </c>
      <c r="DG150" s="12">
        <f>SUM($AQ150:CA150)-SUM($EA150:EY150)</f>
        <v>41704</v>
      </c>
      <c r="DH150" s="12">
        <f>SUM($AQ150:CB150)-SUM($EA150:EZ150)</f>
        <v>39704</v>
      </c>
      <c r="DI150" s="12">
        <f>SUM($AQ150:CC150)-SUM($EA150:FA150)</f>
        <v>37704</v>
      </c>
      <c r="DJ150" s="12">
        <f>SUM($AQ150:CD150)-SUM($EA150:FB150)</f>
        <v>35704</v>
      </c>
      <c r="DK150" s="12">
        <f>SUM($AQ150:CE150)-SUM($EA150:FC150)</f>
        <v>33704</v>
      </c>
      <c r="DL150" s="12">
        <f>SUM($AQ150:CF150)-SUM($EA150:FD150)</f>
        <v>31704</v>
      </c>
      <c r="DM150" s="12">
        <f>SUM($AQ150:CG150)-SUM($EA150:FE150)</f>
        <v>29704</v>
      </c>
      <c r="DN150" s="12">
        <f>SUM($AQ150:CH150)-SUM($EA150:FF150)</f>
        <v>27704</v>
      </c>
      <c r="DO150" s="12">
        <f>SUM($AQ150:CI150)-SUM($EA150:FG150)</f>
        <v>25704</v>
      </c>
      <c r="DP150" s="12">
        <f>SUM($AQ150:CJ150)-SUM($EA150:FH150)</f>
        <v>23704</v>
      </c>
      <c r="DQ150" s="12">
        <f>SUM($AQ150:CK150)-SUM($EA150:FI150)</f>
        <v>21704</v>
      </c>
      <c r="DR150" s="12">
        <f>SUM($AQ150:CL150)-SUM($EA150:FJ150)</f>
        <v>19704</v>
      </c>
      <c r="DS150" s="12">
        <f>SUM($AQ150:CM150)-SUM($EA150:FK150)</f>
        <v>17704</v>
      </c>
      <c r="DT150" s="12">
        <f>SUM($AQ150:CN150)-SUM($EA150:FL150)</f>
        <v>15704</v>
      </c>
      <c r="DU150" s="12">
        <f>SUM($AQ150:CO150)-SUM($EA150:FM150)</f>
        <v>13704</v>
      </c>
      <c r="DV150" s="12">
        <f>SUM($AQ150:CP150)-SUM($EA150:FN150)</f>
        <v>85852</v>
      </c>
      <c r="DW150" s="12">
        <f>SUM($AQ150:CQ150)-SUM($EA150:FO150)</f>
        <v>159072</v>
      </c>
      <c r="DX150" s="13"/>
      <c r="DY150" s="13"/>
      <c r="DZ150" s="13"/>
      <c r="EA150" s="12"/>
      <c r="EB150" s="12"/>
      <c r="EC150" s="12"/>
      <c r="ED150" s="12"/>
      <c r="EE150" s="12"/>
      <c r="EF150" s="12"/>
      <c r="EG150" s="12"/>
      <c r="EH150" s="12">
        <f t="array" ref="EH150">SUMPRODUCT(TRANSPOSE(EH$9:EH$34),$K150:$AJ150)</f>
        <v>6218</v>
      </c>
      <c r="EI150" s="12">
        <f t="array" ref="EI150">SUMPRODUCT(TRANSPOSE(EI$9:EI$34),$K150:$AJ150)</f>
        <v>562</v>
      </c>
      <c r="EJ150" s="12">
        <f t="array" ref="EJ150">SUMPRODUCT(TRANSPOSE(EJ$9:EJ$34),$K150:$AJ150)</f>
        <v>30</v>
      </c>
      <c r="EK150" s="12">
        <f t="array" ref="EK150">SUMPRODUCT(TRANSPOSE(EK$9:EK$34),$K150:$AJ150)</f>
        <v>270</v>
      </c>
      <c r="EL150" s="12">
        <f t="array" ref="EL150">SUMPRODUCT(TRANSPOSE(EL$9:EL$34),$K150:$AJ150)</f>
        <v>2030</v>
      </c>
      <c r="EM150" s="12">
        <f t="array" ref="EM150">SUMPRODUCT(TRANSPOSE(EM$9:EM$34),$K150:$AJ150)</f>
        <v>4100</v>
      </c>
      <c r="EN150" s="12">
        <f t="array" ref="EN150">SUMPRODUCT(TRANSPOSE(EN$9:EN$34),$K150:$AJ150)</f>
        <v>2300</v>
      </c>
      <c r="EO150" s="12">
        <f t="array" ref="EO150">SUMPRODUCT(TRANSPOSE(EO$9:EO$34),$K150:$AJ150)</f>
        <v>2000</v>
      </c>
      <c r="EP150" s="12">
        <f t="array" ref="EP150">SUMPRODUCT(TRANSPOSE(EP$9:EP$34),$K150:$AJ150)</f>
        <v>2100</v>
      </c>
      <c r="EQ150" s="12">
        <f t="array" ref="EQ150">SUMPRODUCT(TRANSPOSE(EQ$9:EQ$34),$K150:$AJ150)</f>
        <v>2100</v>
      </c>
      <c r="ER150" s="12">
        <f t="array" ref="ER150">SUMPRODUCT(TRANSPOSE(ER$9:ER$34),$K150:$AJ150)</f>
        <v>2100</v>
      </c>
      <c r="ES150" s="12">
        <f t="array" ref="ES150">SUMPRODUCT(TRANSPOSE(ES$9:ES$34),$K150:$AJ150)</f>
        <v>2100</v>
      </c>
      <c r="ET150" s="12">
        <f t="array" ref="ET150">SUMPRODUCT(TRANSPOSE(ET$9:ET$34),$K150:$AJ150)</f>
        <v>2100</v>
      </c>
      <c r="EU150" s="12">
        <f t="array" ref="EU150">SUMPRODUCT(TRANSPOSE(EU$9:EU$34),$K150:$AJ150)</f>
        <v>2100</v>
      </c>
      <c r="EV150" s="12">
        <f t="array" ref="EV150">SUMPRODUCT(TRANSPOSE(EV$9:EV$34),$K150:$AJ150)</f>
        <v>2100</v>
      </c>
      <c r="EW150" s="12">
        <f t="array" ref="EW150">SUMPRODUCT(TRANSPOSE(EW$9:EW$34),$K150:$AJ150)</f>
        <v>2086</v>
      </c>
      <c r="EX150" s="12">
        <f t="array" ref="EX150">SUMPRODUCT(TRANSPOSE(EX$9:EX$34),$K150:$AJ150)</f>
        <v>2000</v>
      </c>
      <c r="EY150" s="12">
        <f t="array" ref="EY150">SUMPRODUCT(TRANSPOSE(EY$9:EY$34),$K150:$AJ150)</f>
        <v>2000</v>
      </c>
      <c r="EZ150" s="12">
        <f t="array" ref="EZ150">SUMPRODUCT(TRANSPOSE(EZ$9:EZ$34),$K150:$AJ150)</f>
        <v>2000</v>
      </c>
      <c r="FA150" s="12">
        <f t="array" ref="FA150">SUMPRODUCT(TRANSPOSE(FA$9:FA$34),$K150:$AJ150)</f>
        <v>2000</v>
      </c>
      <c r="FB150" s="12">
        <f t="array" ref="FB150">SUMPRODUCT(TRANSPOSE(FB$9:FB$34),$K150:$AJ150)</f>
        <v>2000</v>
      </c>
      <c r="FC150" s="12">
        <f t="array" ref="FC150">SUMPRODUCT(TRANSPOSE(FC$9:FC$34),$K150:$AJ150)</f>
        <v>2000</v>
      </c>
      <c r="FD150" s="12">
        <f t="array" ref="FD150">SUMPRODUCT(TRANSPOSE(FD$9:FD$34),$K150:$AJ150)</f>
        <v>2000</v>
      </c>
      <c r="FE150" s="12">
        <f t="array" ref="FE150">SUMPRODUCT(TRANSPOSE(FE$9:FE$34),$K150:$AJ150)</f>
        <v>2000</v>
      </c>
      <c r="FF150" s="12">
        <f t="array" ref="FF150">SUMPRODUCT(TRANSPOSE(FF$9:FF$34),$K150:$AJ150)</f>
        <v>2000</v>
      </c>
      <c r="FG150" s="12">
        <f t="array" ref="FG150">SUMPRODUCT(TRANSPOSE(FG$9:FG$34),$K150:$AJ150)</f>
        <v>2000</v>
      </c>
      <c r="FH150" s="12">
        <f t="array" ref="FH150">SUMPRODUCT(TRANSPOSE(FH$9:FH$34),$K150:$AJ150)</f>
        <v>2000</v>
      </c>
      <c r="FI150" s="12">
        <f t="array" ref="FI150">SUMPRODUCT(TRANSPOSE(FI$9:FI$34),$K150:$AJ150)</f>
        <v>2000</v>
      </c>
      <c r="FJ150" s="12">
        <f t="array" ref="FJ150">SUMPRODUCT(TRANSPOSE(FJ$9:FJ$34),$K150:$AJ150)</f>
        <v>2000</v>
      </c>
      <c r="FK150" s="12">
        <f t="array" ref="FK150">SUMPRODUCT(TRANSPOSE(FK$9:FK$34),$K150:$AJ150)</f>
        <v>2000</v>
      </c>
      <c r="FL150" s="12">
        <f t="array" ref="FL150">SUMPRODUCT(TRANSPOSE(FL$9:FL$34),$K150:$AJ150)</f>
        <v>2000</v>
      </c>
      <c r="FM150" s="12">
        <f t="array" ref="FM150">SUMPRODUCT(TRANSPOSE(FM$9:FM$34),$K150:$AJ150)</f>
        <v>2000</v>
      </c>
      <c r="FN150" s="12">
        <f t="array" ref="FN150">SUMPRODUCT(TRANSPOSE(FN$9:FN$34),$K150:$AJ150)</f>
        <v>1634</v>
      </c>
      <c r="FO150" s="12">
        <f t="array" ref="FO150">SUMPRODUCT(TRANSPOSE(FO$9:FO$34),$K150:$AJ150)</f>
        <v>0</v>
      </c>
    </row>
    <row r="151" spans="1:171" ht="14.25" x14ac:dyDescent="0.2">
      <c r="A151" s="13">
        <f t="shared" si="7"/>
        <v>116</v>
      </c>
      <c r="B151" s="13" t="s">
        <v>426</v>
      </c>
      <c r="C151" s="25" t="s">
        <v>427</v>
      </c>
      <c r="D151" s="13" t="s">
        <v>67</v>
      </c>
      <c r="E151" s="13">
        <v>400584360</v>
      </c>
      <c r="F151" s="26" t="s">
        <v>428</v>
      </c>
      <c r="G151" s="13">
        <v>400856302</v>
      </c>
      <c r="H151" s="13" t="s">
        <v>61</v>
      </c>
      <c r="I151" s="13">
        <v>2</v>
      </c>
      <c r="J151" s="13">
        <v>54</v>
      </c>
      <c r="K151" s="13">
        <v>0</v>
      </c>
      <c r="L151" s="13">
        <v>0</v>
      </c>
      <c r="M151" s="13">
        <v>0</v>
      </c>
      <c r="N151" s="13">
        <v>2</v>
      </c>
      <c r="O151" s="13">
        <v>16</v>
      </c>
      <c r="P151" s="13">
        <v>0</v>
      </c>
      <c r="Q151" s="13">
        <v>0</v>
      </c>
      <c r="R151" s="13">
        <v>0</v>
      </c>
      <c r="S151" s="13">
        <v>2</v>
      </c>
      <c r="T151" s="13">
        <v>0</v>
      </c>
      <c r="U151" s="13">
        <v>0</v>
      </c>
      <c r="V151" s="13">
        <v>0</v>
      </c>
      <c r="W151" s="13">
        <v>0</v>
      </c>
      <c r="X151" s="13">
        <v>16</v>
      </c>
      <c r="Y151" s="13"/>
      <c r="Z151" s="13">
        <v>2</v>
      </c>
      <c r="AA151" s="13">
        <v>0</v>
      </c>
      <c r="AB151" s="13">
        <v>0</v>
      </c>
      <c r="AC151" s="13">
        <v>0</v>
      </c>
      <c r="AD151" s="13">
        <v>2</v>
      </c>
      <c r="AE151" s="13">
        <v>2</v>
      </c>
      <c r="AF151" s="13">
        <v>0</v>
      </c>
      <c r="AG151" s="13">
        <v>0</v>
      </c>
      <c r="AH151" s="13">
        <v>0</v>
      </c>
      <c r="AI151" s="13">
        <v>0</v>
      </c>
      <c r="AJ151" s="13">
        <v>16</v>
      </c>
      <c r="AK151" s="13">
        <f t="shared" si="8"/>
        <v>40</v>
      </c>
      <c r="AL151" s="23">
        <f t="shared" si="6"/>
        <v>1275600</v>
      </c>
      <c r="AM151" s="13"/>
      <c r="AN151" s="29" t="s">
        <v>418</v>
      </c>
      <c r="AO151" s="7" t="s">
        <v>266</v>
      </c>
      <c r="AP151" s="38">
        <v>2.52E-2</v>
      </c>
      <c r="AQ151" s="12">
        <v>1280000</v>
      </c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13"/>
      <c r="CG151" s="13"/>
      <c r="CH151" s="13"/>
      <c r="CI151" s="12"/>
      <c r="CJ151" s="12"/>
      <c r="CK151" s="12"/>
      <c r="CL151" s="12"/>
      <c r="CM151" s="12"/>
      <c r="CN151" s="12"/>
      <c r="CO151" s="12"/>
      <c r="CP151" s="12">
        <f>SUM($AQ151:BJ151)-SUM($EA151:EH151)</f>
        <v>1152866</v>
      </c>
      <c r="CQ151" s="12">
        <f>SUM($AQ151:BK151)-SUM($EA151:EI151)</f>
        <v>1145904</v>
      </c>
      <c r="CR151" s="12">
        <f>SUM($AQ151:BL151)-SUM($EA151:EJ151)</f>
        <v>1127634</v>
      </c>
      <c r="CS151" s="12">
        <f>SUM($AQ151:BM151)-SUM($EA151:EK151)</f>
        <v>1107204</v>
      </c>
      <c r="CT151" s="12">
        <f>SUM($AQ151:BN151)-SUM($EA151:EL151)</f>
        <v>1070934</v>
      </c>
      <c r="CU151" s="12">
        <f>SUM($AQ151:BO151)-SUM($EA151:EM151)</f>
        <v>1034034</v>
      </c>
      <c r="CV151" s="12">
        <f>SUM($AQ151:BP151)-SUM($EA151:EN151)</f>
        <v>997134</v>
      </c>
      <c r="CW151" s="12">
        <f>SUM($AQ151:BQ151)-SUM($EA151:EO151)</f>
        <v>961134</v>
      </c>
      <c r="CX151" s="12">
        <f>SUM($AQ151:BR151)-SUM($EA151:EP151)</f>
        <v>924234</v>
      </c>
      <c r="CY151" s="12">
        <f>SUM($AQ151:BS151)-SUM($EA151:EQ151)</f>
        <v>887334</v>
      </c>
      <c r="CZ151" s="12">
        <f>SUM($AQ151:BT151)-SUM($EA151:ER151)</f>
        <v>850434</v>
      </c>
      <c r="DA151" s="12">
        <f>SUM($AQ151:BU151)-SUM($EA151:ES151)</f>
        <v>813534</v>
      </c>
      <c r="DB151" s="12">
        <f>SUM($AQ151:BV151)-SUM($EA151:ET151)</f>
        <v>776634</v>
      </c>
      <c r="DC151" s="12">
        <f>SUM($AQ151:BW151)-SUM($EA151:EU151)</f>
        <v>739734</v>
      </c>
      <c r="DD151" s="12">
        <f>SUM($AQ151:BX151)-SUM($EA151:EV151)</f>
        <v>702834</v>
      </c>
      <c r="DE151" s="12">
        <f>SUM($AQ151:BY151)-SUM($EA151:EW151)</f>
        <v>666588</v>
      </c>
      <c r="DF151" s="12">
        <f>SUM($AQ151:BZ151)-SUM($EA151:EX151)</f>
        <v>630588</v>
      </c>
      <c r="DG151" s="12">
        <f>SUM($AQ151:CA151)-SUM($EA151:EY151)</f>
        <v>594588</v>
      </c>
      <c r="DH151" s="12">
        <f>SUM($AQ151:CB151)-SUM($EA151:EZ151)</f>
        <v>558588</v>
      </c>
      <c r="DI151" s="12">
        <f>SUM($AQ151:CC151)-SUM($EA151:FA151)</f>
        <v>522588</v>
      </c>
      <c r="DJ151" s="12">
        <f>SUM($AQ151:CD151)-SUM($EA151:FB151)</f>
        <v>486588</v>
      </c>
      <c r="DK151" s="12">
        <f>SUM($AQ151:CE151)-SUM($EA151:FC151)</f>
        <v>450588</v>
      </c>
      <c r="DL151" s="12">
        <f>SUM($AQ151:CF151)-SUM($EA151:FD151)</f>
        <v>414588</v>
      </c>
      <c r="DM151" s="12">
        <f>SUM($AQ151:CG151)-SUM($EA151:FE151)</f>
        <v>378588</v>
      </c>
      <c r="DN151" s="12">
        <f>SUM($AQ151:CH151)-SUM($EA151:FF151)</f>
        <v>342588</v>
      </c>
      <c r="DO151" s="12">
        <f>SUM($AQ151:CI151)-SUM($EA151:FG151)</f>
        <v>306588</v>
      </c>
      <c r="DP151" s="12">
        <f>SUM($AQ151:CJ151)-SUM($EA151:FH151)</f>
        <v>270588</v>
      </c>
      <c r="DQ151" s="12">
        <f>SUM($AQ151:CK151)-SUM($EA151:FI151)</f>
        <v>234588</v>
      </c>
      <c r="DR151" s="12">
        <f>SUM($AQ151:CL151)-SUM($EA151:FJ151)</f>
        <v>198588</v>
      </c>
      <c r="DS151" s="12">
        <f>SUM($AQ151:CM151)-SUM($EA151:FK151)</f>
        <v>162588</v>
      </c>
      <c r="DT151" s="12">
        <f>SUM($AQ151:CN151)-SUM($EA151:FL151)</f>
        <v>126588</v>
      </c>
      <c r="DU151" s="12">
        <f>SUM($AQ151:CO151)-SUM($EA151:FM151)</f>
        <v>90588</v>
      </c>
      <c r="DV151" s="12">
        <f>SUM($AQ151:CP151)-SUM($EA151:FN151)</f>
        <v>1212652</v>
      </c>
      <c r="DW151" s="12">
        <f>SUM($AQ151:CQ151)-SUM($EA151:FO151)</f>
        <v>2357170</v>
      </c>
      <c r="DX151" s="13"/>
      <c r="DY151" s="13"/>
      <c r="DZ151" s="13"/>
      <c r="EA151" s="12"/>
      <c r="EB151" s="12"/>
      <c r="EC151" s="12"/>
      <c r="ED151" s="12"/>
      <c r="EE151" s="12"/>
      <c r="EF151" s="12"/>
      <c r="EG151" s="12"/>
      <c r="EH151" s="12">
        <f t="array" ref="EH151">SUMPRODUCT(TRANSPOSE(EH$9:EH$34),$K151:$AJ151)</f>
        <v>127134</v>
      </c>
      <c r="EI151" s="12">
        <f t="array" ref="EI151">SUMPRODUCT(TRANSPOSE(EI$9:EI$34),$K151:$AJ151)</f>
        <v>6962</v>
      </c>
      <c r="EJ151" s="12">
        <f t="array" ref="EJ151">SUMPRODUCT(TRANSPOSE(EJ$9:EJ$34),$K151:$AJ151)</f>
        <v>18270</v>
      </c>
      <c r="EK151" s="12">
        <f t="array" ref="EK151">SUMPRODUCT(TRANSPOSE(EK$9:EK$34),$K151:$AJ151)</f>
        <v>20430</v>
      </c>
      <c r="EL151" s="12">
        <f t="array" ref="EL151">SUMPRODUCT(TRANSPOSE(EL$9:EL$34),$K151:$AJ151)</f>
        <v>36270</v>
      </c>
      <c r="EM151" s="12">
        <f t="array" ref="EM151">SUMPRODUCT(TRANSPOSE(EM$9:EM$34),$K151:$AJ151)</f>
        <v>36900</v>
      </c>
      <c r="EN151" s="12">
        <f t="array" ref="EN151">SUMPRODUCT(TRANSPOSE(EN$9:EN$34),$K151:$AJ151)</f>
        <v>36900</v>
      </c>
      <c r="EO151" s="12">
        <f t="array" ref="EO151">SUMPRODUCT(TRANSPOSE(EO$9:EO$34),$K151:$AJ151)</f>
        <v>36000</v>
      </c>
      <c r="EP151" s="12">
        <f t="array" ref="EP151">SUMPRODUCT(TRANSPOSE(EP$9:EP$34),$K151:$AJ151)</f>
        <v>36900</v>
      </c>
      <c r="EQ151" s="12">
        <f t="array" ref="EQ151">SUMPRODUCT(TRANSPOSE(EQ$9:EQ$34),$K151:$AJ151)</f>
        <v>36900</v>
      </c>
      <c r="ER151" s="12">
        <f t="array" ref="ER151">SUMPRODUCT(TRANSPOSE(ER$9:ER$34),$K151:$AJ151)</f>
        <v>36900</v>
      </c>
      <c r="ES151" s="12">
        <f t="array" ref="ES151">SUMPRODUCT(TRANSPOSE(ES$9:ES$34),$K151:$AJ151)</f>
        <v>36900</v>
      </c>
      <c r="ET151" s="12">
        <f t="array" ref="ET151">SUMPRODUCT(TRANSPOSE(ET$9:ET$34),$K151:$AJ151)</f>
        <v>36900</v>
      </c>
      <c r="EU151" s="12">
        <f t="array" ref="EU151">SUMPRODUCT(TRANSPOSE(EU$9:EU$34),$K151:$AJ151)</f>
        <v>36900</v>
      </c>
      <c r="EV151" s="12">
        <f t="array" ref="EV151">SUMPRODUCT(TRANSPOSE(EV$9:EV$34),$K151:$AJ151)</f>
        <v>36900</v>
      </c>
      <c r="EW151" s="12">
        <f t="array" ref="EW151">SUMPRODUCT(TRANSPOSE(EW$9:EW$34),$K151:$AJ151)</f>
        <v>36246</v>
      </c>
      <c r="EX151" s="12">
        <f t="array" ref="EX151">SUMPRODUCT(TRANSPOSE(EX$9:EX$34),$K151:$AJ151)</f>
        <v>36000</v>
      </c>
      <c r="EY151" s="12">
        <f t="array" ref="EY151">SUMPRODUCT(TRANSPOSE(EY$9:EY$34),$K151:$AJ151)</f>
        <v>36000</v>
      </c>
      <c r="EZ151" s="12">
        <f t="array" ref="EZ151">SUMPRODUCT(TRANSPOSE(EZ$9:EZ$34),$K151:$AJ151)</f>
        <v>36000</v>
      </c>
      <c r="FA151" s="12">
        <f t="array" ref="FA151">SUMPRODUCT(TRANSPOSE(FA$9:FA$34),$K151:$AJ151)</f>
        <v>36000</v>
      </c>
      <c r="FB151" s="12">
        <f t="array" ref="FB151">SUMPRODUCT(TRANSPOSE(FB$9:FB$34),$K151:$AJ151)</f>
        <v>36000</v>
      </c>
      <c r="FC151" s="12">
        <f t="array" ref="FC151">SUMPRODUCT(TRANSPOSE(FC$9:FC$34),$K151:$AJ151)</f>
        <v>36000</v>
      </c>
      <c r="FD151" s="12">
        <f t="array" ref="FD151">SUMPRODUCT(TRANSPOSE(FD$9:FD$34),$K151:$AJ151)</f>
        <v>36000</v>
      </c>
      <c r="FE151" s="12">
        <f t="array" ref="FE151">SUMPRODUCT(TRANSPOSE(FE$9:FE$34),$K151:$AJ151)</f>
        <v>36000</v>
      </c>
      <c r="FF151" s="12">
        <f t="array" ref="FF151">SUMPRODUCT(TRANSPOSE(FF$9:FF$34),$K151:$AJ151)</f>
        <v>36000</v>
      </c>
      <c r="FG151" s="12">
        <f t="array" ref="FG151">SUMPRODUCT(TRANSPOSE(FG$9:FG$34),$K151:$AJ151)</f>
        <v>36000</v>
      </c>
      <c r="FH151" s="12">
        <f t="array" ref="FH151">SUMPRODUCT(TRANSPOSE(FH$9:FH$34),$K151:$AJ151)</f>
        <v>36000</v>
      </c>
      <c r="FI151" s="12">
        <f t="array" ref="FI151">SUMPRODUCT(TRANSPOSE(FI$9:FI$34),$K151:$AJ151)</f>
        <v>36000</v>
      </c>
      <c r="FJ151" s="12">
        <f t="array" ref="FJ151">SUMPRODUCT(TRANSPOSE(FJ$9:FJ$34),$K151:$AJ151)</f>
        <v>36000</v>
      </c>
      <c r="FK151" s="12">
        <f t="array" ref="FK151">SUMPRODUCT(TRANSPOSE(FK$9:FK$34),$K151:$AJ151)</f>
        <v>36000</v>
      </c>
      <c r="FL151" s="12">
        <f t="array" ref="FL151">SUMPRODUCT(TRANSPOSE(FL$9:FL$34),$K151:$AJ151)</f>
        <v>36000</v>
      </c>
      <c r="FM151" s="12">
        <f t="array" ref="FM151">SUMPRODUCT(TRANSPOSE(FM$9:FM$34),$K151:$AJ151)</f>
        <v>36000</v>
      </c>
      <c r="FN151" s="12">
        <f t="array" ref="FN151">SUMPRODUCT(TRANSPOSE(FN$9:FN$34),$K151:$AJ151)</f>
        <v>30802</v>
      </c>
      <c r="FO151" s="12">
        <f t="array" ref="FO151">SUMPRODUCT(TRANSPOSE(FO$9:FO$34),$K151:$AJ151)</f>
        <v>1386</v>
      </c>
    </row>
    <row r="152" spans="1:171" ht="14.25" x14ac:dyDescent="0.2">
      <c r="A152" s="13">
        <f t="shared" si="7"/>
        <v>117</v>
      </c>
      <c r="B152" s="13" t="s">
        <v>429</v>
      </c>
      <c r="C152" s="25" t="s">
        <v>430</v>
      </c>
      <c r="D152" s="13" t="s">
        <v>67</v>
      </c>
      <c r="E152" s="13">
        <v>401225087</v>
      </c>
      <c r="F152" s="26" t="s">
        <v>431</v>
      </c>
      <c r="G152" s="13">
        <v>400326578</v>
      </c>
      <c r="H152" s="13" t="s">
        <v>61</v>
      </c>
      <c r="I152" s="13">
        <v>2</v>
      </c>
      <c r="J152" s="13">
        <v>12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6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/>
      <c r="Z152" s="13">
        <v>6</v>
      </c>
      <c r="AA152" s="13">
        <v>0</v>
      </c>
      <c r="AB152" s="13">
        <v>0</v>
      </c>
      <c r="AC152" s="13">
        <v>0</v>
      </c>
      <c r="AD152" s="13">
        <v>6</v>
      </c>
      <c r="AE152" s="13">
        <v>6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f t="shared" si="8"/>
        <v>18</v>
      </c>
      <c r="AL152" s="23">
        <f t="shared" si="6"/>
        <v>213990</v>
      </c>
      <c r="AM152" s="27"/>
      <c r="AN152" s="13" t="s">
        <v>418</v>
      </c>
      <c r="AO152" s="7" t="s">
        <v>419</v>
      </c>
      <c r="AP152" s="38">
        <v>2.5999999999999999E-3</v>
      </c>
      <c r="AQ152" s="12">
        <v>220000</v>
      </c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13"/>
      <c r="CG152" s="13"/>
      <c r="CH152" s="13"/>
      <c r="CI152" s="12"/>
      <c r="CJ152" s="12"/>
      <c r="CK152" s="12"/>
      <c r="CL152" s="12"/>
      <c r="CM152" s="12"/>
      <c r="CN152" s="12"/>
      <c r="CO152" s="12"/>
      <c r="CP152" s="12">
        <f>SUM($AQ152:BJ152)-SUM($EA152:EH152)</f>
        <v>201346</v>
      </c>
      <c r="CQ152" s="12">
        <f>SUM($AQ152:BK152)-SUM($EA152:EI152)</f>
        <v>199660</v>
      </c>
      <c r="CR152" s="12">
        <f>SUM($AQ152:BL152)-SUM($EA152:EJ152)</f>
        <v>199570</v>
      </c>
      <c r="CS152" s="12">
        <f>SUM($AQ152:BM152)-SUM($EA152:EK152)</f>
        <v>198760</v>
      </c>
      <c r="CT152" s="12">
        <f>SUM($AQ152:BN152)-SUM($EA152:EL152)</f>
        <v>192670</v>
      </c>
      <c r="CU152" s="12">
        <f>SUM($AQ152:BO152)-SUM($EA152:EM152)</f>
        <v>180370</v>
      </c>
      <c r="CV152" s="12">
        <f>SUM($AQ152:BP152)-SUM($EA152:EN152)</f>
        <v>173470</v>
      </c>
      <c r="CW152" s="12">
        <f>SUM($AQ152:BQ152)-SUM($EA152:EO152)</f>
        <v>167470</v>
      </c>
      <c r="CX152" s="12">
        <f>SUM($AQ152:BR152)-SUM($EA152:EP152)</f>
        <v>161170</v>
      </c>
      <c r="CY152" s="12">
        <f>SUM($AQ152:BS152)-SUM($EA152:EQ152)</f>
        <v>154870</v>
      </c>
      <c r="CZ152" s="12">
        <f>SUM($AQ152:BT152)-SUM($EA152:ER152)</f>
        <v>148570</v>
      </c>
      <c r="DA152" s="12">
        <f>SUM($AQ152:BU152)-SUM($EA152:ES152)</f>
        <v>142270</v>
      </c>
      <c r="DB152" s="12">
        <f>SUM($AQ152:BV152)-SUM($EA152:ET152)</f>
        <v>135970</v>
      </c>
      <c r="DC152" s="12">
        <f>SUM($AQ152:BW152)-SUM($EA152:EU152)</f>
        <v>129670</v>
      </c>
      <c r="DD152" s="12">
        <f>SUM($AQ152:BX152)-SUM($EA152:EV152)</f>
        <v>123370</v>
      </c>
      <c r="DE152" s="12">
        <f>SUM($AQ152:BY152)-SUM($EA152:EW152)</f>
        <v>117112</v>
      </c>
      <c r="DF152" s="12">
        <f>SUM($AQ152:BZ152)-SUM($EA152:EX152)</f>
        <v>111112</v>
      </c>
      <c r="DG152" s="12">
        <f>SUM($AQ152:CA152)-SUM($EA152:EY152)</f>
        <v>105112</v>
      </c>
      <c r="DH152" s="12">
        <f>SUM($AQ152:CB152)-SUM($EA152:EZ152)</f>
        <v>99112</v>
      </c>
      <c r="DI152" s="12">
        <f>SUM($AQ152:CC152)-SUM($EA152:FA152)</f>
        <v>93112</v>
      </c>
      <c r="DJ152" s="12">
        <f>SUM($AQ152:CD152)-SUM($EA152:FB152)</f>
        <v>87112</v>
      </c>
      <c r="DK152" s="12">
        <f>SUM($AQ152:CE152)-SUM($EA152:FC152)</f>
        <v>81112</v>
      </c>
      <c r="DL152" s="12">
        <f>SUM($AQ152:CF152)-SUM($EA152:FD152)</f>
        <v>75112</v>
      </c>
      <c r="DM152" s="12">
        <f>SUM($AQ152:CG152)-SUM($EA152:FE152)</f>
        <v>69112</v>
      </c>
      <c r="DN152" s="12">
        <f>SUM($AQ152:CH152)-SUM($EA152:FF152)</f>
        <v>63112</v>
      </c>
      <c r="DO152" s="12">
        <f>SUM($AQ152:CI152)-SUM($EA152:FG152)</f>
        <v>57112</v>
      </c>
      <c r="DP152" s="12">
        <f>SUM($AQ152:CJ152)-SUM($EA152:FH152)</f>
        <v>51112</v>
      </c>
      <c r="DQ152" s="12">
        <f>SUM($AQ152:CK152)-SUM($EA152:FI152)</f>
        <v>45112</v>
      </c>
      <c r="DR152" s="12">
        <f>SUM($AQ152:CL152)-SUM($EA152:FJ152)</f>
        <v>39112</v>
      </c>
      <c r="DS152" s="12">
        <f>SUM($AQ152:CM152)-SUM($EA152:FK152)</f>
        <v>33112</v>
      </c>
      <c r="DT152" s="12">
        <f>SUM($AQ152:CN152)-SUM($EA152:FL152)</f>
        <v>27112</v>
      </c>
      <c r="DU152" s="12">
        <f>SUM($AQ152:CO152)-SUM($EA152:FM152)</f>
        <v>21112</v>
      </c>
      <c r="DV152" s="12">
        <f>SUM($AQ152:CP152)-SUM($EA152:FN152)</f>
        <v>217556</v>
      </c>
      <c r="DW152" s="12">
        <f>SUM($AQ152:CQ152)-SUM($EA152:FO152)</f>
        <v>417216</v>
      </c>
      <c r="DX152" s="13"/>
      <c r="DY152" s="13"/>
      <c r="DZ152" s="13"/>
      <c r="EA152" s="12"/>
      <c r="EB152" s="12"/>
      <c r="EC152" s="12"/>
      <c r="ED152" s="12"/>
      <c r="EE152" s="12"/>
      <c r="EF152" s="12"/>
      <c r="EG152" s="12"/>
      <c r="EH152" s="12">
        <f t="array" ref="EH152">SUMPRODUCT(TRANSPOSE(EH$9:EH$34),$K152:$AJ152)</f>
        <v>18654</v>
      </c>
      <c r="EI152" s="12">
        <f t="array" ref="EI152">SUMPRODUCT(TRANSPOSE(EI$9:EI$34),$K152:$AJ152)</f>
        <v>1686</v>
      </c>
      <c r="EJ152" s="12">
        <f t="array" ref="EJ152">SUMPRODUCT(TRANSPOSE(EJ$9:EJ$34),$K152:$AJ152)</f>
        <v>90</v>
      </c>
      <c r="EK152" s="12">
        <f t="array" ref="EK152">SUMPRODUCT(TRANSPOSE(EK$9:EK$34),$K152:$AJ152)</f>
        <v>810</v>
      </c>
      <c r="EL152" s="12">
        <f t="array" ref="EL152">SUMPRODUCT(TRANSPOSE(EL$9:EL$34),$K152:$AJ152)</f>
        <v>6090</v>
      </c>
      <c r="EM152" s="12">
        <f t="array" ref="EM152">SUMPRODUCT(TRANSPOSE(EM$9:EM$34),$K152:$AJ152)</f>
        <v>12300</v>
      </c>
      <c r="EN152" s="12">
        <f t="array" ref="EN152">SUMPRODUCT(TRANSPOSE(EN$9:EN$34),$K152:$AJ152)</f>
        <v>6900</v>
      </c>
      <c r="EO152" s="12">
        <f t="array" ref="EO152">SUMPRODUCT(TRANSPOSE(EO$9:EO$34),$K152:$AJ152)</f>
        <v>6000</v>
      </c>
      <c r="EP152" s="12">
        <f t="array" ref="EP152">SUMPRODUCT(TRANSPOSE(EP$9:EP$34),$K152:$AJ152)</f>
        <v>6300</v>
      </c>
      <c r="EQ152" s="12">
        <f t="array" ref="EQ152">SUMPRODUCT(TRANSPOSE(EQ$9:EQ$34),$K152:$AJ152)</f>
        <v>6300</v>
      </c>
      <c r="ER152" s="12">
        <f t="array" ref="ER152">SUMPRODUCT(TRANSPOSE(ER$9:ER$34),$K152:$AJ152)</f>
        <v>6300</v>
      </c>
      <c r="ES152" s="12">
        <f t="array" ref="ES152">SUMPRODUCT(TRANSPOSE(ES$9:ES$34),$K152:$AJ152)</f>
        <v>6300</v>
      </c>
      <c r="ET152" s="12">
        <f t="array" ref="ET152">SUMPRODUCT(TRANSPOSE(ET$9:ET$34),$K152:$AJ152)</f>
        <v>6300</v>
      </c>
      <c r="EU152" s="12">
        <f t="array" ref="EU152">SUMPRODUCT(TRANSPOSE(EU$9:EU$34),$K152:$AJ152)</f>
        <v>6300</v>
      </c>
      <c r="EV152" s="12">
        <f t="array" ref="EV152">SUMPRODUCT(TRANSPOSE(EV$9:EV$34),$K152:$AJ152)</f>
        <v>6300</v>
      </c>
      <c r="EW152" s="12">
        <f t="array" ref="EW152">SUMPRODUCT(TRANSPOSE(EW$9:EW$34),$K152:$AJ152)</f>
        <v>6258</v>
      </c>
      <c r="EX152" s="12">
        <f t="array" ref="EX152">SUMPRODUCT(TRANSPOSE(EX$9:EX$34),$K152:$AJ152)</f>
        <v>6000</v>
      </c>
      <c r="EY152" s="12">
        <f t="array" ref="EY152">SUMPRODUCT(TRANSPOSE(EY$9:EY$34),$K152:$AJ152)</f>
        <v>6000</v>
      </c>
      <c r="EZ152" s="12">
        <f t="array" ref="EZ152">SUMPRODUCT(TRANSPOSE(EZ$9:EZ$34),$K152:$AJ152)</f>
        <v>6000</v>
      </c>
      <c r="FA152" s="12">
        <f t="array" ref="FA152">SUMPRODUCT(TRANSPOSE(FA$9:FA$34),$K152:$AJ152)</f>
        <v>6000</v>
      </c>
      <c r="FB152" s="12">
        <f t="array" ref="FB152">SUMPRODUCT(TRANSPOSE(FB$9:FB$34),$K152:$AJ152)</f>
        <v>6000</v>
      </c>
      <c r="FC152" s="12">
        <f t="array" ref="FC152">SUMPRODUCT(TRANSPOSE(FC$9:FC$34),$K152:$AJ152)</f>
        <v>6000</v>
      </c>
      <c r="FD152" s="12">
        <f t="array" ref="FD152">SUMPRODUCT(TRANSPOSE(FD$9:FD$34),$K152:$AJ152)</f>
        <v>6000</v>
      </c>
      <c r="FE152" s="12">
        <f t="array" ref="FE152">SUMPRODUCT(TRANSPOSE(FE$9:FE$34),$K152:$AJ152)</f>
        <v>6000</v>
      </c>
      <c r="FF152" s="12">
        <f t="array" ref="FF152">SUMPRODUCT(TRANSPOSE(FF$9:FF$34),$K152:$AJ152)</f>
        <v>6000</v>
      </c>
      <c r="FG152" s="12">
        <f t="array" ref="FG152">SUMPRODUCT(TRANSPOSE(FG$9:FG$34),$K152:$AJ152)</f>
        <v>6000</v>
      </c>
      <c r="FH152" s="12">
        <f t="array" ref="FH152">SUMPRODUCT(TRANSPOSE(FH$9:FH$34),$K152:$AJ152)</f>
        <v>6000</v>
      </c>
      <c r="FI152" s="12">
        <f t="array" ref="FI152">SUMPRODUCT(TRANSPOSE(FI$9:FI$34),$K152:$AJ152)</f>
        <v>6000</v>
      </c>
      <c r="FJ152" s="12">
        <f t="array" ref="FJ152">SUMPRODUCT(TRANSPOSE(FJ$9:FJ$34),$K152:$AJ152)</f>
        <v>6000</v>
      </c>
      <c r="FK152" s="12">
        <f t="array" ref="FK152">SUMPRODUCT(TRANSPOSE(FK$9:FK$34),$K152:$AJ152)</f>
        <v>6000</v>
      </c>
      <c r="FL152" s="12">
        <f t="array" ref="FL152">SUMPRODUCT(TRANSPOSE(FL$9:FL$34),$K152:$AJ152)</f>
        <v>6000</v>
      </c>
      <c r="FM152" s="12">
        <f t="array" ref="FM152">SUMPRODUCT(TRANSPOSE(FM$9:FM$34),$K152:$AJ152)</f>
        <v>6000</v>
      </c>
      <c r="FN152" s="12">
        <f t="array" ref="FN152">SUMPRODUCT(TRANSPOSE(FN$9:FN$34),$K152:$AJ152)</f>
        <v>4902</v>
      </c>
      <c r="FO152" s="12">
        <f t="array" ref="FO152">SUMPRODUCT(TRANSPOSE(FO$9:FO$34),$K152:$AJ152)</f>
        <v>0</v>
      </c>
    </row>
    <row r="153" spans="1:171" ht="14.25" x14ac:dyDescent="0.2">
      <c r="A153" s="13">
        <f t="shared" si="7"/>
        <v>118</v>
      </c>
      <c r="B153" s="13" t="s">
        <v>432</v>
      </c>
      <c r="C153" s="25" t="s">
        <v>433</v>
      </c>
      <c r="D153" s="13" t="s">
        <v>67</v>
      </c>
      <c r="E153" s="13">
        <v>400664922</v>
      </c>
      <c r="F153" s="26" t="s">
        <v>434</v>
      </c>
      <c r="G153" s="13">
        <v>400481224</v>
      </c>
      <c r="H153" s="13" t="s">
        <v>61</v>
      </c>
      <c r="I153" s="13">
        <v>2</v>
      </c>
      <c r="J153" s="13">
        <v>33</v>
      </c>
      <c r="K153" s="13">
        <v>0</v>
      </c>
      <c r="L153" s="13">
        <v>0</v>
      </c>
      <c r="M153" s="13">
        <v>0</v>
      </c>
      <c r="N153" s="13">
        <v>4</v>
      </c>
      <c r="O153" s="13">
        <v>7</v>
      </c>
      <c r="P153" s="13">
        <v>0</v>
      </c>
      <c r="Q153" s="13">
        <v>0</v>
      </c>
      <c r="R153" s="13">
        <v>0</v>
      </c>
      <c r="S153" s="13">
        <v>4</v>
      </c>
      <c r="T153" s="13">
        <v>0</v>
      </c>
      <c r="U153" s="13">
        <v>0</v>
      </c>
      <c r="V153" s="13">
        <v>0</v>
      </c>
      <c r="W153" s="13">
        <v>0</v>
      </c>
      <c r="X153" s="13">
        <v>7</v>
      </c>
      <c r="Y153" s="13"/>
      <c r="Z153" s="13">
        <v>4</v>
      </c>
      <c r="AA153" s="13">
        <v>0</v>
      </c>
      <c r="AB153" s="13">
        <v>0</v>
      </c>
      <c r="AC153" s="13">
        <v>0</v>
      </c>
      <c r="AD153" s="13">
        <v>4</v>
      </c>
      <c r="AE153" s="13">
        <v>4</v>
      </c>
      <c r="AF153" s="13">
        <v>0</v>
      </c>
      <c r="AG153" s="13">
        <v>0</v>
      </c>
      <c r="AH153" s="13">
        <v>0</v>
      </c>
      <c r="AI153" s="13">
        <v>0</v>
      </c>
      <c r="AJ153" s="13">
        <v>7</v>
      </c>
      <c r="AK153" s="13">
        <f>SUM(K153:AD153)</f>
        <v>30</v>
      </c>
      <c r="AL153" s="23">
        <f t="shared" si="6"/>
        <v>779625</v>
      </c>
      <c r="AM153" s="13"/>
      <c r="AN153" s="29" t="s">
        <v>418</v>
      </c>
      <c r="AO153" s="7" t="s">
        <v>266</v>
      </c>
      <c r="AP153" s="38">
        <v>4.9500000000000004E-3</v>
      </c>
      <c r="AQ153" s="12">
        <v>780000</v>
      </c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13"/>
      <c r="CG153" s="13"/>
      <c r="CH153" s="13"/>
      <c r="CI153" s="12"/>
      <c r="CJ153" s="12"/>
      <c r="CK153" s="12"/>
      <c r="CL153" s="12"/>
      <c r="CM153" s="12"/>
      <c r="CN153" s="12"/>
      <c r="CO153" s="12"/>
      <c r="CP153" s="12">
        <f>SUM($AQ153:BJ153)-SUM($EA153:EH153)</f>
        <v>702307</v>
      </c>
      <c r="CQ153" s="12">
        <f>SUM($AQ153:BK153)-SUM($EA153:EI153)</f>
        <v>698383</v>
      </c>
      <c r="CR153" s="12">
        <f>SUM($AQ153:BL153)-SUM($EA153:EJ153)</f>
        <v>687218</v>
      </c>
      <c r="CS153" s="12">
        <f>SUM($AQ153:BM153)-SUM($EA153:EK153)</f>
        <v>674733</v>
      </c>
      <c r="CT153" s="12">
        <f>SUM($AQ153:BN153)-SUM($EA153:EL153)</f>
        <v>652568</v>
      </c>
      <c r="CU153" s="12">
        <f>SUM($AQ153:BO153)-SUM($EA153:EM153)</f>
        <v>630018</v>
      </c>
      <c r="CV153" s="12">
        <f>SUM($AQ153:BP153)-SUM($EA153:EN153)</f>
        <v>607468</v>
      </c>
      <c r="CW153" s="12">
        <f>SUM($AQ153:BQ153)-SUM($EA153:EO153)</f>
        <v>585468</v>
      </c>
      <c r="CX153" s="12">
        <f>SUM($AQ153:BR153)-SUM($EA153:EP153)</f>
        <v>562918</v>
      </c>
      <c r="CY153" s="12">
        <f>SUM($AQ153:BS153)-SUM($EA153:EQ153)</f>
        <v>540368</v>
      </c>
      <c r="CZ153" s="12">
        <f>SUM($AQ153:BT153)-SUM($EA153:ER153)</f>
        <v>517818</v>
      </c>
      <c r="DA153" s="12">
        <f>SUM($AQ153:BU153)-SUM($EA153:ES153)</f>
        <v>495268</v>
      </c>
      <c r="DB153" s="12">
        <f>SUM($AQ153:BV153)-SUM($EA153:ET153)</f>
        <v>472718</v>
      </c>
      <c r="DC153" s="12">
        <f>SUM($AQ153:BW153)-SUM($EA153:EU153)</f>
        <v>450168</v>
      </c>
      <c r="DD153" s="12">
        <f>SUM($AQ153:BX153)-SUM($EA153:EV153)</f>
        <v>427618</v>
      </c>
      <c r="DE153" s="12">
        <f>SUM($AQ153:BY153)-SUM($EA153:EW153)</f>
        <v>405376</v>
      </c>
      <c r="DF153" s="12">
        <f>SUM($AQ153:BZ153)-SUM($EA153:EX153)</f>
        <v>383376</v>
      </c>
      <c r="DG153" s="12">
        <f>SUM($AQ153:CA153)-SUM($EA153:EY153)</f>
        <v>361376</v>
      </c>
      <c r="DH153" s="12">
        <f>SUM($AQ153:CB153)-SUM($EA153:EZ153)</f>
        <v>339376</v>
      </c>
      <c r="DI153" s="12">
        <f>SUM($AQ153:CC153)-SUM($EA153:FA153)</f>
        <v>317376</v>
      </c>
      <c r="DJ153" s="12">
        <f>SUM($AQ153:CD153)-SUM($EA153:FB153)</f>
        <v>295376</v>
      </c>
      <c r="DK153" s="12">
        <f>SUM($AQ153:CE153)-SUM($EA153:FC153)</f>
        <v>273376</v>
      </c>
      <c r="DL153" s="12">
        <f>SUM($AQ153:CF153)-SUM($EA153:FD153)</f>
        <v>251376</v>
      </c>
      <c r="DM153" s="12">
        <f>SUM($AQ153:CG153)-SUM($EA153:FE153)</f>
        <v>229376</v>
      </c>
      <c r="DN153" s="12">
        <f>SUM($AQ153:CH153)-SUM($EA153:FF153)</f>
        <v>207376</v>
      </c>
      <c r="DO153" s="12">
        <f>SUM($AQ153:CI153)-SUM($EA153:FG153)</f>
        <v>185376</v>
      </c>
      <c r="DP153" s="12">
        <f>SUM($AQ153:CJ153)-SUM($EA153:FH153)</f>
        <v>163376</v>
      </c>
      <c r="DQ153" s="12">
        <f>SUM($AQ153:CK153)-SUM($EA153:FI153)</f>
        <v>141376</v>
      </c>
      <c r="DR153" s="12">
        <f>SUM($AQ153:CL153)-SUM($EA153:FJ153)</f>
        <v>119376</v>
      </c>
      <c r="DS153" s="12">
        <f>SUM($AQ153:CM153)-SUM($EA153:FK153)</f>
        <v>97376</v>
      </c>
      <c r="DT153" s="12">
        <f>SUM($AQ153:CN153)-SUM($EA153:FL153)</f>
        <v>75376</v>
      </c>
      <c r="DU153" s="12">
        <f>SUM($AQ153:CO153)-SUM($EA153:FM153)</f>
        <v>53376</v>
      </c>
      <c r="DV153" s="12">
        <f>SUM($AQ153:CP153)-SUM($EA153:FN153)</f>
        <v>736529</v>
      </c>
      <c r="DW153" s="12">
        <f>SUM($AQ153:CQ153)-SUM($EA153:FO153)</f>
        <v>1434065</v>
      </c>
      <c r="DX153" s="13"/>
      <c r="DY153" s="13"/>
      <c r="DZ153" s="13"/>
      <c r="EA153" s="12"/>
      <c r="EB153" s="12"/>
      <c r="EC153" s="12"/>
      <c r="ED153" s="12"/>
      <c r="EE153" s="12"/>
      <c r="EF153" s="12"/>
      <c r="EG153" s="12"/>
      <c r="EH153" s="12">
        <f t="array" ref="EH153">SUMPRODUCT(TRANSPOSE(EH$9:EH$34),$K153:$AJ153)</f>
        <v>77693</v>
      </c>
      <c r="EI153" s="12">
        <f t="array" ref="EI153">SUMPRODUCT(TRANSPOSE(EI$9:EI$34),$K153:$AJ153)</f>
        <v>3924</v>
      </c>
      <c r="EJ153" s="12">
        <f t="array" ref="EJ153">SUMPRODUCT(TRANSPOSE(EJ$9:EJ$34),$K153:$AJ153)</f>
        <v>11165</v>
      </c>
      <c r="EK153" s="12">
        <f t="array" ref="EK153">SUMPRODUCT(TRANSPOSE(EK$9:EK$34),$K153:$AJ153)</f>
        <v>12485</v>
      </c>
      <c r="EL153" s="12">
        <f t="array" ref="EL153">SUMPRODUCT(TRANSPOSE(EL$9:EL$34),$K153:$AJ153)</f>
        <v>22165</v>
      </c>
      <c r="EM153" s="12">
        <f t="array" ref="EM153">SUMPRODUCT(TRANSPOSE(EM$9:EM$34),$K153:$AJ153)</f>
        <v>22550</v>
      </c>
      <c r="EN153" s="12">
        <f t="array" ref="EN153">SUMPRODUCT(TRANSPOSE(EN$9:EN$34),$K153:$AJ153)</f>
        <v>22550</v>
      </c>
      <c r="EO153" s="12">
        <f t="array" ref="EO153">SUMPRODUCT(TRANSPOSE(EO$9:EO$34),$K153:$AJ153)</f>
        <v>22000</v>
      </c>
      <c r="EP153" s="12">
        <f t="array" ref="EP153">SUMPRODUCT(TRANSPOSE(EP$9:EP$34),$K153:$AJ153)</f>
        <v>22550</v>
      </c>
      <c r="EQ153" s="12">
        <f t="array" ref="EQ153">SUMPRODUCT(TRANSPOSE(EQ$9:EQ$34),$K153:$AJ153)</f>
        <v>22550</v>
      </c>
      <c r="ER153" s="12">
        <f t="array" ref="ER153">SUMPRODUCT(TRANSPOSE(ER$9:ER$34),$K153:$AJ153)</f>
        <v>22550</v>
      </c>
      <c r="ES153" s="12">
        <f t="array" ref="ES153">SUMPRODUCT(TRANSPOSE(ES$9:ES$34),$K153:$AJ153)</f>
        <v>22550</v>
      </c>
      <c r="ET153" s="12">
        <f t="array" ref="ET153">SUMPRODUCT(TRANSPOSE(ET$9:ET$34),$K153:$AJ153)</f>
        <v>22550</v>
      </c>
      <c r="EU153" s="12">
        <f t="array" ref="EU153">SUMPRODUCT(TRANSPOSE(EU$9:EU$34),$K153:$AJ153)</f>
        <v>22550</v>
      </c>
      <c r="EV153" s="12">
        <f t="array" ref="EV153">SUMPRODUCT(TRANSPOSE(EV$9:EV$34),$K153:$AJ153)</f>
        <v>22550</v>
      </c>
      <c r="EW153" s="12">
        <f t="array" ref="EW153">SUMPRODUCT(TRANSPOSE(EW$9:EW$34),$K153:$AJ153)</f>
        <v>22242</v>
      </c>
      <c r="EX153" s="12">
        <f t="array" ref="EX153">SUMPRODUCT(TRANSPOSE(EX$9:EX$34),$K153:$AJ153)</f>
        <v>22000</v>
      </c>
      <c r="EY153" s="12">
        <f t="array" ref="EY153">SUMPRODUCT(TRANSPOSE(EY$9:EY$34),$K153:$AJ153)</f>
        <v>22000</v>
      </c>
      <c r="EZ153" s="12">
        <f t="array" ref="EZ153">SUMPRODUCT(TRANSPOSE(EZ$9:EZ$34),$K153:$AJ153)</f>
        <v>22000</v>
      </c>
      <c r="FA153" s="12">
        <f t="array" ref="FA153">SUMPRODUCT(TRANSPOSE(FA$9:FA$34),$K153:$AJ153)</f>
        <v>22000</v>
      </c>
      <c r="FB153" s="12">
        <f t="array" ref="FB153">SUMPRODUCT(TRANSPOSE(FB$9:FB$34),$K153:$AJ153)</f>
        <v>22000</v>
      </c>
      <c r="FC153" s="12">
        <f t="array" ref="FC153">SUMPRODUCT(TRANSPOSE(FC$9:FC$34),$K153:$AJ153)</f>
        <v>22000</v>
      </c>
      <c r="FD153" s="12">
        <f t="array" ref="FD153">SUMPRODUCT(TRANSPOSE(FD$9:FD$34),$K153:$AJ153)</f>
        <v>22000</v>
      </c>
      <c r="FE153" s="12">
        <f t="array" ref="FE153">SUMPRODUCT(TRANSPOSE(FE$9:FE$34),$K153:$AJ153)</f>
        <v>22000</v>
      </c>
      <c r="FF153" s="12">
        <f t="array" ref="FF153">SUMPRODUCT(TRANSPOSE(FF$9:FF$34),$K153:$AJ153)</f>
        <v>22000</v>
      </c>
      <c r="FG153" s="12">
        <f t="array" ref="FG153">SUMPRODUCT(TRANSPOSE(FG$9:FG$34),$K153:$AJ153)</f>
        <v>22000</v>
      </c>
      <c r="FH153" s="12">
        <f t="array" ref="FH153">SUMPRODUCT(TRANSPOSE(FH$9:FH$34),$K153:$AJ153)</f>
        <v>22000</v>
      </c>
      <c r="FI153" s="12">
        <f t="array" ref="FI153">SUMPRODUCT(TRANSPOSE(FI$9:FI$34),$K153:$AJ153)</f>
        <v>22000</v>
      </c>
      <c r="FJ153" s="12">
        <f t="array" ref="FJ153">SUMPRODUCT(TRANSPOSE(FJ$9:FJ$34),$K153:$AJ153)</f>
        <v>22000</v>
      </c>
      <c r="FK153" s="12">
        <f t="array" ref="FK153">SUMPRODUCT(TRANSPOSE(FK$9:FK$34),$K153:$AJ153)</f>
        <v>22000</v>
      </c>
      <c r="FL153" s="12">
        <f t="array" ref="FL153">SUMPRODUCT(TRANSPOSE(FL$9:FL$34),$K153:$AJ153)</f>
        <v>22000</v>
      </c>
      <c r="FM153" s="12">
        <f t="array" ref="FM153">SUMPRODUCT(TRANSPOSE(FM$9:FM$34),$K153:$AJ153)</f>
        <v>22000</v>
      </c>
      <c r="FN153" s="12">
        <f t="array" ref="FN153">SUMPRODUCT(TRANSPOSE(FN$9:FN$34),$K153:$AJ153)</f>
        <v>19154</v>
      </c>
      <c r="FO153" s="12">
        <f t="array" ref="FO153">SUMPRODUCT(TRANSPOSE(FO$9:FO$34),$K153:$AJ153)</f>
        <v>847</v>
      </c>
    </row>
    <row r="154" spans="1:171" ht="14.25" x14ac:dyDescent="0.2">
      <c r="A154" s="13">
        <f t="shared" si="7"/>
        <v>119</v>
      </c>
      <c r="B154" s="13" t="s">
        <v>435</v>
      </c>
      <c r="C154" s="25" t="s">
        <v>436</v>
      </c>
      <c r="D154" s="13" t="s">
        <v>67</v>
      </c>
      <c r="E154" s="13">
        <v>400950685</v>
      </c>
      <c r="F154" s="26" t="s">
        <v>437</v>
      </c>
      <c r="G154" s="13">
        <v>400481357</v>
      </c>
      <c r="H154" s="13" t="s">
        <v>61</v>
      </c>
      <c r="I154" s="13">
        <v>2</v>
      </c>
      <c r="J154" s="13">
        <v>17</v>
      </c>
      <c r="K154" s="13">
        <v>0</v>
      </c>
      <c r="L154" s="13">
        <v>0</v>
      </c>
      <c r="M154" s="13">
        <v>0</v>
      </c>
      <c r="N154" s="13">
        <v>0</v>
      </c>
      <c r="O154" s="13">
        <v>3</v>
      </c>
      <c r="P154" s="13">
        <v>0</v>
      </c>
      <c r="Q154" s="13">
        <v>0</v>
      </c>
      <c r="R154" s="13">
        <v>0</v>
      </c>
      <c r="S154" s="13">
        <v>4</v>
      </c>
      <c r="T154" s="13">
        <v>0</v>
      </c>
      <c r="U154" s="13">
        <v>0</v>
      </c>
      <c r="V154" s="13">
        <v>0</v>
      </c>
      <c r="W154" s="13">
        <v>0</v>
      </c>
      <c r="X154" s="13">
        <v>3</v>
      </c>
      <c r="Y154" s="13"/>
      <c r="Z154" s="13">
        <v>4</v>
      </c>
      <c r="AA154" s="13">
        <v>0</v>
      </c>
      <c r="AB154" s="13">
        <v>0</v>
      </c>
      <c r="AC154" s="13">
        <v>0</v>
      </c>
      <c r="AD154" s="13">
        <v>4</v>
      </c>
      <c r="AE154" s="13">
        <v>4</v>
      </c>
      <c r="AF154" s="13">
        <v>0</v>
      </c>
      <c r="AG154" s="13">
        <v>0</v>
      </c>
      <c r="AH154" s="13">
        <v>0</v>
      </c>
      <c r="AI154" s="13">
        <v>0</v>
      </c>
      <c r="AJ154" s="13">
        <v>3</v>
      </c>
      <c r="AK154" s="13">
        <f t="shared" si="8"/>
        <v>18</v>
      </c>
      <c r="AL154" s="23">
        <f t="shared" si="6"/>
        <v>355249</v>
      </c>
      <c r="AM154" s="13"/>
      <c r="AN154" s="13" t="s">
        <v>418</v>
      </c>
      <c r="AO154" s="7" t="s">
        <v>419</v>
      </c>
      <c r="AP154" s="38">
        <v>4.3700000000000003E-2</v>
      </c>
      <c r="AQ154" s="12">
        <v>356000</v>
      </c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13"/>
      <c r="CG154" s="13"/>
      <c r="CH154" s="13"/>
      <c r="CI154" s="12"/>
      <c r="CJ154" s="12"/>
      <c r="CK154" s="12"/>
      <c r="CL154" s="12"/>
      <c r="CM154" s="12"/>
      <c r="CN154" s="12"/>
      <c r="CO154" s="12"/>
      <c r="CP154" s="12">
        <f>SUM($AQ154:BJ154)-SUM($EA154:EH154)</f>
        <v>322375</v>
      </c>
      <c r="CQ154" s="12">
        <f>SUM($AQ154:BK154)-SUM($EA154:EI154)</f>
        <v>320051</v>
      </c>
      <c r="CR154" s="12">
        <f>SUM($AQ154:BL154)-SUM($EA154:EJ154)</f>
        <v>316946</v>
      </c>
      <c r="CS154" s="12">
        <f>SUM($AQ154:BM154)-SUM($EA154:EK154)</f>
        <v>313001</v>
      </c>
      <c r="CT154" s="12">
        <f>SUM($AQ154:BN154)-SUM($EA154:EL154)</f>
        <v>302896</v>
      </c>
      <c r="CU154" s="12">
        <f>SUM($AQ154:BO154)-SUM($EA154:EM154)</f>
        <v>288546</v>
      </c>
      <c r="CV154" s="12">
        <f>SUM($AQ154:BP154)-SUM($EA154:EN154)</f>
        <v>277796</v>
      </c>
      <c r="CW154" s="12">
        <f>SUM($AQ154:BQ154)-SUM($EA154:EO154)</f>
        <v>267796</v>
      </c>
      <c r="CX154" s="12">
        <f>SUM($AQ154:BR154)-SUM($EA154:EP154)</f>
        <v>257446</v>
      </c>
      <c r="CY154" s="12">
        <f>SUM($AQ154:BS154)-SUM($EA154:EQ154)</f>
        <v>247096</v>
      </c>
      <c r="CZ154" s="12">
        <f>SUM($AQ154:BT154)-SUM($EA154:ER154)</f>
        <v>236746</v>
      </c>
      <c r="DA154" s="12">
        <f>SUM($AQ154:BU154)-SUM($EA154:ES154)</f>
        <v>226396</v>
      </c>
      <c r="DB154" s="12">
        <f>SUM($AQ154:BV154)-SUM($EA154:ET154)</f>
        <v>216046</v>
      </c>
      <c r="DC154" s="12">
        <f>SUM($AQ154:BW154)-SUM($EA154:EU154)</f>
        <v>205696</v>
      </c>
      <c r="DD154" s="12">
        <f>SUM($AQ154:BX154)-SUM($EA154:EV154)</f>
        <v>195346</v>
      </c>
      <c r="DE154" s="12">
        <f>SUM($AQ154:BY154)-SUM($EA154:EW154)</f>
        <v>185144</v>
      </c>
      <c r="DF154" s="12">
        <f>SUM($AQ154:BZ154)-SUM($EA154:EX154)</f>
        <v>175144</v>
      </c>
      <c r="DG154" s="12">
        <f>SUM($AQ154:CA154)-SUM($EA154:EY154)</f>
        <v>165144</v>
      </c>
      <c r="DH154" s="12">
        <f>SUM($AQ154:CB154)-SUM($EA154:EZ154)</f>
        <v>155144</v>
      </c>
      <c r="DI154" s="12">
        <f>SUM($AQ154:CC154)-SUM($EA154:FA154)</f>
        <v>145144</v>
      </c>
      <c r="DJ154" s="12">
        <f>SUM($AQ154:CD154)-SUM($EA154:FB154)</f>
        <v>135144</v>
      </c>
      <c r="DK154" s="12">
        <f>SUM($AQ154:CE154)-SUM($EA154:FC154)</f>
        <v>125144</v>
      </c>
      <c r="DL154" s="12">
        <f>SUM($AQ154:CF154)-SUM($EA154:FD154)</f>
        <v>115144</v>
      </c>
      <c r="DM154" s="12">
        <f>SUM($AQ154:CG154)-SUM($EA154:FE154)</f>
        <v>105144</v>
      </c>
      <c r="DN154" s="12">
        <f>SUM($AQ154:CH154)-SUM($EA154:FF154)</f>
        <v>95144</v>
      </c>
      <c r="DO154" s="12">
        <f>SUM($AQ154:CI154)-SUM($EA154:FG154)</f>
        <v>85144</v>
      </c>
      <c r="DP154" s="12">
        <f>SUM($AQ154:CJ154)-SUM($EA154:FH154)</f>
        <v>75144</v>
      </c>
      <c r="DQ154" s="12">
        <f>SUM($AQ154:CK154)-SUM($EA154:FI154)</f>
        <v>65144</v>
      </c>
      <c r="DR154" s="12">
        <f>SUM($AQ154:CL154)-SUM($EA154:FJ154)</f>
        <v>55144</v>
      </c>
      <c r="DS154" s="12">
        <f>SUM($AQ154:CM154)-SUM($EA154:FK154)</f>
        <v>45144</v>
      </c>
      <c r="DT154" s="12">
        <f>SUM($AQ154:CN154)-SUM($EA154:FL154)</f>
        <v>35144</v>
      </c>
      <c r="DU154" s="12">
        <f>SUM($AQ154:CO154)-SUM($EA154:FM154)</f>
        <v>25144</v>
      </c>
      <c r="DV154" s="12">
        <f>SUM($AQ154:CP154)-SUM($EA154:FN154)</f>
        <v>339157</v>
      </c>
      <c r="DW154" s="12">
        <f>SUM($AQ154:CQ154)-SUM($EA154:FO154)</f>
        <v>658977</v>
      </c>
      <c r="DX154" s="13"/>
      <c r="DY154" s="13"/>
      <c r="DZ154" s="13"/>
      <c r="EA154" s="12"/>
      <c r="EB154" s="12"/>
      <c r="EC154" s="12"/>
      <c r="ED154" s="12"/>
      <c r="EE154" s="12"/>
      <c r="EF154" s="12"/>
      <c r="EG154" s="12"/>
      <c r="EH154" s="12">
        <f t="array" ref="EH154">SUMPRODUCT(TRANSPOSE(EH$9:EH$34),$K154:$AJ154)</f>
        <v>33625</v>
      </c>
      <c r="EI154" s="12">
        <f t="array" ref="EI154">SUMPRODUCT(TRANSPOSE(EI$9:EI$34),$K154:$AJ154)</f>
        <v>2324</v>
      </c>
      <c r="EJ154" s="12">
        <f t="array" ref="EJ154">SUMPRODUCT(TRANSPOSE(EJ$9:EJ$34),$K154:$AJ154)</f>
        <v>3105</v>
      </c>
      <c r="EK154" s="12">
        <f t="array" ref="EK154">SUMPRODUCT(TRANSPOSE(EK$9:EK$34),$K154:$AJ154)</f>
        <v>3945</v>
      </c>
      <c r="EL154" s="12">
        <f t="array" ref="EL154">SUMPRODUCT(TRANSPOSE(EL$9:EL$34),$K154:$AJ154)</f>
        <v>10105</v>
      </c>
      <c r="EM154" s="12">
        <f t="array" ref="EM154">SUMPRODUCT(TRANSPOSE(EM$9:EM$34),$K154:$AJ154)</f>
        <v>14350</v>
      </c>
      <c r="EN154" s="12">
        <f t="array" ref="EN154">SUMPRODUCT(TRANSPOSE(EN$9:EN$34),$K154:$AJ154)</f>
        <v>10750</v>
      </c>
      <c r="EO154" s="12">
        <f t="array" ref="EO154">SUMPRODUCT(TRANSPOSE(EO$9:EO$34),$K154:$AJ154)</f>
        <v>10000</v>
      </c>
      <c r="EP154" s="12">
        <f t="array" ref="EP154">SUMPRODUCT(TRANSPOSE(EP$9:EP$34),$K154:$AJ154)</f>
        <v>10350</v>
      </c>
      <c r="EQ154" s="12">
        <f t="array" ref="EQ154">SUMPRODUCT(TRANSPOSE(EQ$9:EQ$34),$K154:$AJ154)</f>
        <v>10350</v>
      </c>
      <c r="ER154" s="12">
        <f t="array" ref="ER154">SUMPRODUCT(TRANSPOSE(ER$9:ER$34),$K154:$AJ154)</f>
        <v>10350</v>
      </c>
      <c r="ES154" s="12">
        <f t="array" ref="ES154">SUMPRODUCT(TRANSPOSE(ES$9:ES$34),$K154:$AJ154)</f>
        <v>10350</v>
      </c>
      <c r="ET154" s="12">
        <f t="array" ref="ET154">SUMPRODUCT(TRANSPOSE(ET$9:ET$34),$K154:$AJ154)</f>
        <v>10350</v>
      </c>
      <c r="EU154" s="12">
        <f t="array" ref="EU154">SUMPRODUCT(TRANSPOSE(EU$9:EU$34),$K154:$AJ154)</f>
        <v>10350</v>
      </c>
      <c r="EV154" s="12">
        <f t="array" ref="EV154">SUMPRODUCT(TRANSPOSE(EV$9:EV$34),$K154:$AJ154)</f>
        <v>10350</v>
      </c>
      <c r="EW154" s="12">
        <f t="array" ref="EW154">SUMPRODUCT(TRANSPOSE(EW$9:EW$34),$K154:$AJ154)</f>
        <v>10202</v>
      </c>
      <c r="EX154" s="12">
        <f t="array" ref="EX154">SUMPRODUCT(TRANSPOSE(EX$9:EX$34),$K154:$AJ154)</f>
        <v>10000</v>
      </c>
      <c r="EY154" s="12">
        <f t="array" ref="EY154">SUMPRODUCT(TRANSPOSE(EY$9:EY$34),$K154:$AJ154)</f>
        <v>10000</v>
      </c>
      <c r="EZ154" s="12">
        <f t="array" ref="EZ154">SUMPRODUCT(TRANSPOSE(EZ$9:EZ$34),$K154:$AJ154)</f>
        <v>10000</v>
      </c>
      <c r="FA154" s="12">
        <f t="array" ref="FA154">SUMPRODUCT(TRANSPOSE(FA$9:FA$34),$K154:$AJ154)</f>
        <v>10000</v>
      </c>
      <c r="FB154" s="12">
        <f t="array" ref="FB154">SUMPRODUCT(TRANSPOSE(FB$9:FB$34),$K154:$AJ154)</f>
        <v>10000</v>
      </c>
      <c r="FC154" s="12">
        <f t="array" ref="FC154">SUMPRODUCT(TRANSPOSE(FC$9:FC$34),$K154:$AJ154)</f>
        <v>10000</v>
      </c>
      <c r="FD154" s="12">
        <f t="array" ref="FD154">SUMPRODUCT(TRANSPOSE(FD$9:FD$34),$K154:$AJ154)</f>
        <v>10000</v>
      </c>
      <c r="FE154" s="12">
        <f t="array" ref="FE154">SUMPRODUCT(TRANSPOSE(FE$9:FE$34),$K154:$AJ154)</f>
        <v>10000</v>
      </c>
      <c r="FF154" s="12">
        <f t="array" ref="FF154">SUMPRODUCT(TRANSPOSE(FF$9:FF$34),$K154:$AJ154)</f>
        <v>10000</v>
      </c>
      <c r="FG154" s="12">
        <f t="array" ref="FG154">SUMPRODUCT(TRANSPOSE(FG$9:FG$34),$K154:$AJ154)</f>
        <v>10000</v>
      </c>
      <c r="FH154" s="12">
        <f t="array" ref="FH154">SUMPRODUCT(TRANSPOSE(FH$9:FH$34),$K154:$AJ154)</f>
        <v>10000</v>
      </c>
      <c r="FI154" s="12">
        <f t="array" ref="FI154">SUMPRODUCT(TRANSPOSE(FI$9:FI$34),$K154:$AJ154)</f>
        <v>10000</v>
      </c>
      <c r="FJ154" s="12">
        <f t="array" ref="FJ154">SUMPRODUCT(TRANSPOSE(FJ$9:FJ$34),$K154:$AJ154)</f>
        <v>10000</v>
      </c>
      <c r="FK154" s="12">
        <f t="array" ref="FK154">SUMPRODUCT(TRANSPOSE(FK$9:FK$34),$K154:$AJ154)</f>
        <v>10000</v>
      </c>
      <c r="FL154" s="12">
        <f t="array" ref="FL154">SUMPRODUCT(TRANSPOSE(FL$9:FL$34),$K154:$AJ154)</f>
        <v>10000</v>
      </c>
      <c r="FM154" s="12">
        <f t="array" ref="FM154">SUMPRODUCT(TRANSPOSE(FM$9:FM$34),$K154:$AJ154)</f>
        <v>10000</v>
      </c>
      <c r="FN154" s="12">
        <f t="array" ref="FN154">SUMPRODUCT(TRANSPOSE(FN$9:FN$34),$K154:$AJ154)</f>
        <v>8362</v>
      </c>
      <c r="FO154" s="12">
        <f t="array" ref="FO154">SUMPRODUCT(TRANSPOSE(FO$9:FO$34),$K154:$AJ154)</f>
        <v>231</v>
      </c>
    </row>
    <row r="155" spans="1:171" ht="14.25" x14ac:dyDescent="0.2">
      <c r="A155" s="13">
        <f t="shared" si="7"/>
        <v>120</v>
      </c>
      <c r="B155" s="13" t="s">
        <v>438</v>
      </c>
      <c r="C155" s="25" t="s">
        <v>439</v>
      </c>
      <c r="D155" s="13" t="s">
        <v>67</v>
      </c>
      <c r="E155" s="13">
        <v>400713754</v>
      </c>
      <c r="F155" s="26" t="s">
        <v>440</v>
      </c>
      <c r="G155" s="13">
        <v>400481229</v>
      </c>
      <c r="H155" s="13" t="s">
        <v>61</v>
      </c>
      <c r="I155" s="13">
        <v>2</v>
      </c>
      <c r="J155" s="13">
        <v>28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14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/>
      <c r="Z155" s="13">
        <v>14</v>
      </c>
      <c r="AA155" s="13">
        <v>0</v>
      </c>
      <c r="AB155" s="13">
        <v>0</v>
      </c>
      <c r="AC155" s="13">
        <v>0</v>
      </c>
      <c r="AD155" s="13">
        <v>14</v>
      </c>
      <c r="AE155" s="13">
        <v>14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f t="shared" si="8"/>
        <v>42</v>
      </c>
      <c r="AL155" s="23">
        <f t="shared" si="6"/>
        <v>499310</v>
      </c>
      <c r="AM155" s="13"/>
      <c r="AN155" s="13" t="s">
        <v>418</v>
      </c>
      <c r="AO155" s="7" t="s">
        <v>419</v>
      </c>
      <c r="AP155" s="38">
        <v>1.2E-2</v>
      </c>
      <c r="AQ155" s="12">
        <v>500000</v>
      </c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13"/>
      <c r="CG155" s="13"/>
      <c r="CH155" s="13"/>
      <c r="CI155" s="12"/>
      <c r="CJ155" s="12"/>
      <c r="CK155" s="12"/>
      <c r="CL155" s="12"/>
      <c r="CM155" s="12"/>
      <c r="CN155" s="12"/>
      <c r="CO155" s="12"/>
      <c r="CP155" s="12">
        <f>SUM($AQ155:BJ155)-SUM($EA155:EH155)</f>
        <v>456474</v>
      </c>
      <c r="CQ155" s="12">
        <f>SUM($AQ155:BK155)-SUM($EA155:EI155)</f>
        <v>452540</v>
      </c>
      <c r="CR155" s="12">
        <f>SUM($AQ155:BL155)-SUM($EA155:EJ155)</f>
        <v>452330</v>
      </c>
      <c r="CS155" s="12">
        <f>SUM($AQ155:BM155)-SUM($EA155:EK155)</f>
        <v>450440</v>
      </c>
      <c r="CT155" s="12">
        <f>SUM($AQ155:BN155)-SUM($EA155:EL155)</f>
        <v>436230</v>
      </c>
      <c r="CU155" s="12">
        <f>SUM($AQ155:BO155)-SUM($EA155:EM155)</f>
        <v>407530</v>
      </c>
      <c r="CV155" s="12">
        <f>SUM($AQ155:BP155)-SUM($EA155:EN155)</f>
        <v>391430</v>
      </c>
      <c r="CW155" s="12">
        <f>SUM($AQ155:BQ155)-SUM($EA155:EO155)</f>
        <v>377430</v>
      </c>
      <c r="CX155" s="12">
        <f>SUM($AQ155:BR155)-SUM($EA155:EP155)</f>
        <v>362730</v>
      </c>
      <c r="CY155" s="12">
        <f>SUM($AQ155:BS155)-SUM($EA155:EQ155)</f>
        <v>348030</v>
      </c>
      <c r="CZ155" s="12">
        <f>SUM($AQ155:BT155)-SUM($EA155:ER155)</f>
        <v>333330</v>
      </c>
      <c r="DA155" s="12">
        <f>SUM($AQ155:BU155)-SUM($EA155:ES155)</f>
        <v>318630</v>
      </c>
      <c r="DB155" s="12">
        <f>SUM($AQ155:BV155)-SUM($EA155:ET155)</f>
        <v>303930</v>
      </c>
      <c r="DC155" s="12">
        <f>SUM($AQ155:BW155)-SUM($EA155:EU155)</f>
        <v>289230</v>
      </c>
      <c r="DD155" s="12">
        <f>SUM($AQ155:BX155)-SUM($EA155:EV155)</f>
        <v>274530</v>
      </c>
      <c r="DE155" s="12">
        <f>SUM($AQ155:BY155)-SUM($EA155:EW155)</f>
        <v>259928</v>
      </c>
      <c r="DF155" s="12">
        <f>SUM($AQ155:BZ155)-SUM($EA155:EX155)</f>
        <v>245928</v>
      </c>
      <c r="DG155" s="12">
        <f>SUM($AQ155:CA155)-SUM($EA155:EY155)</f>
        <v>231928</v>
      </c>
      <c r="DH155" s="12">
        <f>SUM($AQ155:CB155)-SUM($EA155:EZ155)</f>
        <v>217928</v>
      </c>
      <c r="DI155" s="12">
        <f>SUM($AQ155:CC155)-SUM($EA155:FA155)</f>
        <v>203928</v>
      </c>
      <c r="DJ155" s="12">
        <f>SUM($AQ155:CD155)-SUM($EA155:FB155)</f>
        <v>189928</v>
      </c>
      <c r="DK155" s="12">
        <f>SUM($AQ155:CE155)-SUM($EA155:FC155)</f>
        <v>175928</v>
      </c>
      <c r="DL155" s="12">
        <f>SUM($AQ155:CF155)-SUM($EA155:FD155)</f>
        <v>161928</v>
      </c>
      <c r="DM155" s="12">
        <f>SUM($AQ155:CG155)-SUM($EA155:FE155)</f>
        <v>147928</v>
      </c>
      <c r="DN155" s="12">
        <f>SUM($AQ155:CH155)-SUM($EA155:FF155)</f>
        <v>133928</v>
      </c>
      <c r="DO155" s="12">
        <f>SUM($AQ155:CI155)-SUM($EA155:FG155)</f>
        <v>119928</v>
      </c>
      <c r="DP155" s="12">
        <f>SUM($AQ155:CJ155)-SUM($EA155:FH155)</f>
        <v>105928</v>
      </c>
      <c r="DQ155" s="12">
        <f>SUM($AQ155:CK155)-SUM($EA155:FI155)</f>
        <v>91928</v>
      </c>
      <c r="DR155" s="12">
        <f>SUM($AQ155:CL155)-SUM($EA155:FJ155)</f>
        <v>77928</v>
      </c>
      <c r="DS155" s="12">
        <f>SUM($AQ155:CM155)-SUM($EA155:FK155)</f>
        <v>63928</v>
      </c>
      <c r="DT155" s="12">
        <f>SUM($AQ155:CN155)-SUM($EA155:FL155)</f>
        <v>49928</v>
      </c>
      <c r="DU155" s="12">
        <f>SUM($AQ155:CO155)-SUM($EA155:FM155)</f>
        <v>35928</v>
      </c>
      <c r="DV155" s="12">
        <f>SUM($AQ155:CP155)-SUM($EA155:FN155)</f>
        <v>480964</v>
      </c>
      <c r="DW155" s="12">
        <f>SUM($AQ155:CQ155)-SUM($EA155:FO155)</f>
        <v>933504</v>
      </c>
      <c r="DX155" s="13"/>
      <c r="DY155" s="13"/>
      <c r="DZ155" s="13"/>
      <c r="EA155" s="12"/>
      <c r="EB155" s="12"/>
      <c r="EC155" s="12"/>
      <c r="ED155" s="12"/>
      <c r="EE155" s="12"/>
      <c r="EF155" s="12"/>
      <c r="EG155" s="12"/>
      <c r="EH155" s="12">
        <f t="array" ref="EH155">SUMPRODUCT(TRANSPOSE(EH$9:EH$34),$K155:$AJ155)</f>
        <v>43526</v>
      </c>
      <c r="EI155" s="12">
        <f t="array" ref="EI155">SUMPRODUCT(TRANSPOSE(EI$9:EI$34),$K155:$AJ155)</f>
        <v>3934</v>
      </c>
      <c r="EJ155" s="12">
        <f t="array" ref="EJ155">SUMPRODUCT(TRANSPOSE(EJ$9:EJ$34),$K155:$AJ155)</f>
        <v>210</v>
      </c>
      <c r="EK155" s="12">
        <f t="array" ref="EK155">SUMPRODUCT(TRANSPOSE(EK$9:EK$34),$K155:$AJ155)</f>
        <v>1890</v>
      </c>
      <c r="EL155" s="12">
        <f t="array" ref="EL155">SUMPRODUCT(TRANSPOSE(EL$9:EL$34),$K155:$AJ155)</f>
        <v>14210</v>
      </c>
      <c r="EM155" s="12">
        <f t="array" ref="EM155">SUMPRODUCT(TRANSPOSE(EM$9:EM$34),$K155:$AJ155)</f>
        <v>28700</v>
      </c>
      <c r="EN155" s="12">
        <f t="array" ref="EN155">SUMPRODUCT(TRANSPOSE(EN$9:EN$34),$K155:$AJ155)</f>
        <v>16100</v>
      </c>
      <c r="EO155" s="12">
        <f t="array" ref="EO155">SUMPRODUCT(TRANSPOSE(EO$9:EO$34),$K155:$AJ155)</f>
        <v>14000</v>
      </c>
      <c r="EP155" s="12">
        <f t="array" ref="EP155">SUMPRODUCT(TRANSPOSE(EP$9:EP$34),$K155:$AJ155)</f>
        <v>14700</v>
      </c>
      <c r="EQ155" s="12">
        <f t="array" ref="EQ155">SUMPRODUCT(TRANSPOSE(EQ$9:EQ$34),$K155:$AJ155)</f>
        <v>14700</v>
      </c>
      <c r="ER155" s="12">
        <f t="array" ref="ER155">SUMPRODUCT(TRANSPOSE(ER$9:ER$34),$K155:$AJ155)</f>
        <v>14700</v>
      </c>
      <c r="ES155" s="12">
        <f t="array" ref="ES155">SUMPRODUCT(TRANSPOSE(ES$9:ES$34),$K155:$AJ155)</f>
        <v>14700</v>
      </c>
      <c r="ET155" s="12">
        <f t="array" ref="ET155">SUMPRODUCT(TRANSPOSE(ET$9:ET$34),$K155:$AJ155)</f>
        <v>14700</v>
      </c>
      <c r="EU155" s="12">
        <f t="array" ref="EU155">SUMPRODUCT(TRANSPOSE(EU$9:EU$34),$K155:$AJ155)</f>
        <v>14700</v>
      </c>
      <c r="EV155" s="12">
        <f t="array" ref="EV155">SUMPRODUCT(TRANSPOSE(EV$9:EV$34),$K155:$AJ155)</f>
        <v>14700</v>
      </c>
      <c r="EW155" s="12">
        <f t="array" ref="EW155">SUMPRODUCT(TRANSPOSE(EW$9:EW$34),$K155:$AJ155)</f>
        <v>14602</v>
      </c>
      <c r="EX155" s="12">
        <f t="array" ref="EX155">SUMPRODUCT(TRANSPOSE(EX$9:EX$34),$K155:$AJ155)</f>
        <v>14000</v>
      </c>
      <c r="EY155" s="12">
        <f t="array" ref="EY155">SUMPRODUCT(TRANSPOSE(EY$9:EY$34),$K155:$AJ155)</f>
        <v>14000</v>
      </c>
      <c r="EZ155" s="12">
        <f t="array" ref="EZ155">SUMPRODUCT(TRANSPOSE(EZ$9:EZ$34),$K155:$AJ155)</f>
        <v>14000</v>
      </c>
      <c r="FA155" s="12">
        <f t="array" ref="FA155">SUMPRODUCT(TRANSPOSE(FA$9:FA$34),$K155:$AJ155)</f>
        <v>14000</v>
      </c>
      <c r="FB155" s="12">
        <f t="array" ref="FB155">SUMPRODUCT(TRANSPOSE(FB$9:FB$34),$K155:$AJ155)</f>
        <v>14000</v>
      </c>
      <c r="FC155" s="12">
        <f t="array" ref="FC155">SUMPRODUCT(TRANSPOSE(FC$9:FC$34),$K155:$AJ155)</f>
        <v>14000</v>
      </c>
      <c r="FD155" s="12">
        <f t="array" ref="FD155">SUMPRODUCT(TRANSPOSE(FD$9:FD$34),$K155:$AJ155)</f>
        <v>14000</v>
      </c>
      <c r="FE155" s="12">
        <f t="array" ref="FE155">SUMPRODUCT(TRANSPOSE(FE$9:FE$34),$K155:$AJ155)</f>
        <v>14000</v>
      </c>
      <c r="FF155" s="12">
        <f t="array" ref="FF155">SUMPRODUCT(TRANSPOSE(FF$9:FF$34),$K155:$AJ155)</f>
        <v>14000</v>
      </c>
      <c r="FG155" s="12">
        <f t="array" ref="FG155">SUMPRODUCT(TRANSPOSE(FG$9:FG$34),$K155:$AJ155)</f>
        <v>14000</v>
      </c>
      <c r="FH155" s="12">
        <f t="array" ref="FH155">SUMPRODUCT(TRANSPOSE(FH$9:FH$34),$K155:$AJ155)</f>
        <v>14000</v>
      </c>
      <c r="FI155" s="12">
        <f t="array" ref="FI155">SUMPRODUCT(TRANSPOSE(FI$9:FI$34),$K155:$AJ155)</f>
        <v>14000</v>
      </c>
      <c r="FJ155" s="12">
        <f t="array" ref="FJ155">SUMPRODUCT(TRANSPOSE(FJ$9:FJ$34),$K155:$AJ155)</f>
        <v>14000</v>
      </c>
      <c r="FK155" s="12">
        <f t="array" ref="FK155">SUMPRODUCT(TRANSPOSE(FK$9:FK$34),$K155:$AJ155)</f>
        <v>14000</v>
      </c>
      <c r="FL155" s="12">
        <f t="array" ref="FL155">SUMPRODUCT(TRANSPOSE(FL$9:FL$34),$K155:$AJ155)</f>
        <v>14000</v>
      </c>
      <c r="FM155" s="12">
        <f t="array" ref="FM155">SUMPRODUCT(TRANSPOSE(FM$9:FM$34),$K155:$AJ155)</f>
        <v>14000</v>
      </c>
      <c r="FN155" s="12">
        <f t="array" ref="FN155">SUMPRODUCT(TRANSPOSE(FN$9:FN$34),$K155:$AJ155)</f>
        <v>11438</v>
      </c>
      <c r="FO155" s="12">
        <f t="array" ref="FO155">SUMPRODUCT(TRANSPOSE(FO$9:FO$34),$K155:$AJ155)</f>
        <v>0</v>
      </c>
    </row>
    <row r="156" spans="1:171" ht="14.25" x14ac:dyDescent="0.2">
      <c r="A156" s="13">
        <f t="shared" si="7"/>
        <v>121</v>
      </c>
      <c r="B156" s="13" t="s">
        <v>441</v>
      </c>
      <c r="C156" s="25" t="s">
        <v>442</v>
      </c>
      <c r="D156" s="13" t="s">
        <v>67</v>
      </c>
      <c r="E156" s="13">
        <v>401504556</v>
      </c>
      <c r="F156" s="26" t="s">
        <v>443</v>
      </c>
      <c r="G156" s="13">
        <v>401502386</v>
      </c>
      <c r="H156" s="13" t="s">
        <v>61</v>
      </c>
      <c r="I156" s="13">
        <v>2</v>
      </c>
      <c r="J156" s="13">
        <v>60</v>
      </c>
      <c r="K156" s="13">
        <v>0</v>
      </c>
      <c r="L156" s="13">
        <v>0</v>
      </c>
      <c r="M156" s="13">
        <v>0</v>
      </c>
      <c r="N156" s="13">
        <v>0</v>
      </c>
      <c r="O156" s="13">
        <v>20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20</v>
      </c>
      <c r="Y156" s="13"/>
      <c r="Z156" s="13"/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20</v>
      </c>
      <c r="AK156" s="13">
        <f t="shared" si="8"/>
        <v>40</v>
      </c>
      <c r="AL156" s="23">
        <f t="shared" si="6"/>
        <v>1417260</v>
      </c>
      <c r="AM156" s="13"/>
      <c r="AN156" s="13" t="s">
        <v>418</v>
      </c>
      <c r="AO156" s="7" t="s">
        <v>419</v>
      </c>
      <c r="AP156" s="38">
        <v>0.03</v>
      </c>
      <c r="AQ156" s="12">
        <v>728000</v>
      </c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13"/>
      <c r="CG156" s="13"/>
      <c r="CH156" s="13"/>
      <c r="CI156" s="12"/>
      <c r="CJ156" s="12"/>
      <c r="CK156" s="12"/>
      <c r="CL156" s="12"/>
      <c r="CM156" s="12"/>
      <c r="CN156" s="12"/>
      <c r="CO156" s="12"/>
      <c r="CP156" s="12">
        <f>SUM($AQ156:BJ156)-SUM($EA156:EH156)</f>
        <v>586740</v>
      </c>
      <c r="CQ156" s="12">
        <f>SUM($AQ156:BK156)-SUM($EA156:EI156)</f>
        <v>578740</v>
      </c>
      <c r="CR156" s="12">
        <f>SUM($AQ156:BL156)-SUM($EA156:EJ156)</f>
        <v>558440</v>
      </c>
      <c r="CS156" s="12">
        <f>SUM($AQ156:BM156)-SUM($EA156:EK156)</f>
        <v>535740</v>
      </c>
      <c r="CT156" s="12">
        <f>SUM($AQ156:BN156)-SUM($EA156:EL156)</f>
        <v>495440</v>
      </c>
      <c r="CU156" s="12">
        <f>SUM($AQ156:BO156)-SUM($EA156:EM156)</f>
        <v>454440</v>
      </c>
      <c r="CV156" s="12">
        <f>SUM($AQ156:BP156)-SUM($EA156:EN156)</f>
        <v>413440</v>
      </c>
      <c r="CW156" s="12">
        <f>SUM($AQ156:BQ156)-SUM($EA156:EO156)</f>
        <v>373440</v>
      </c>
      <c r="CX156" s="12">
        <f>SUM($AQ156:BR156)-SUM($EA156:EP156)</f>
        <v>332440</v>
      </c>
      <c r="CY156" s="12">
        <f>SUM($AQ156:BS156)-SUM($EA156:EQ156)</f>
        <v>291440</v>
      </c>
      <c r="CZ156" s="12">
        <f>SUM($AQ156:BT156)-SUM($EA156:ER156)</f>
        <v>250440</v>
      </c>
      <c r="DA156" s="12">
        <f>SUM($AQ156:BU156)-SUM($EA156:ES156)</f>
        <v>209440</v>
      </c>
      <c r="DB156" s="12">
        <f>SUM($AQ156:BV156)-SUM($EA156:ET156)</f>
        <v>168440</v>
      </c>
      <c r="DC156" s="12">
        <f>SUM($AQ156:BW156)-SUM($EA156:EU156)</f>
        <v>127440</v>
      </c>
      <c r="DD156" s="12">
        <f>SUM($AQ156:BX156)-SUM($EA156:EV156)</f>
        <v>86440</v>
      </c>
      <c r="DE156" s="12">
        <f>SUM($AQ156:BY156)-SUM($EA156:EW156)</f>
        <v>46240</v>
      </c>
      <c r="DF156" s="12">
        <f>SUM($AQ156:BZ156)-SUM($EA156:EX156)</f>
        <v>6240</v>
      </c>
      <c r="DG156" s="12">
        <f>SUM($AQ156:CA156)-SUM($EA156:EY156)</f>
        <v>-33760</v>
      </c>
      <c r="DH156" s="12">
        <f>SUM($AQ156:CB156)-SUM($EA156:EZ156)</f>
        <v>-73760</v>
      </c>
      <c r="DI156" s="12">
        <f>SUM($AQ156:CC156)-SUM($EA156:FA156)</f>
        <v>-113760</v>
      </c>
      <c r="DJ156" s="12">
        <f>SUM($AQ156:CD156)-SUM($EA156:FB156)</f>
        <v>-153760</v>
      </c>
      <c r="DK156" s="12">
        <f>SUM($AQ156:CE156)-SUM($EA156:FC156)</f>
        <v>-193760</v>
      </c>
      <c r="DL156" s="12">
        <f>SUM($AQ156:CF156)-SUM($EA156:FD156)</f>
        <v>-233760</v>
      </c>
      <c r="DM156" s="12">
        <f>SUM($AQ156:CG156)-SUM($EA156:FE156)</f>
        <v>-273760</v>
      </c>
      <c r="DN156" s="12">
        <f>SUM($AQ156:CH156)-SUM($EA156:FF156)</f>
        <v>-313760</v>
      </c>
      <c r="DO156" s="12">
        <f>SUM($AQ156:CI156)-SUM($EA156:FG156)</f>
        <v>-353760</v>
      </c>
      <c r="DP156" s="12">
        <f>SUM($AQ156:CJ156)-SUM($EA156:FH156)</f>
        <v>-393760</v>
      </c>
      <c r="DQ156" s="12">
        <f>SUM($AQ156:CK156)-SUM($EA156:FI156)</f>
        <v>-433760</v>
      </c>
      <c r="DR156" s="12">
        <f>SUM($AQ156:CL156)-SUM($EA156:FJ156)</f>
        <v>-473760</v>
      </c>
      <c r="DS156" s="12">
        <f>SUM($AQ156:CM156)-SUM($EA156:FK156)</f>
        <v>-513760</v>
      </c>
      <c r="DT156" s="12">
        <f>SUM($AQ156:CN156)-SUM($EA156:FL156)</f>
        <v>-553760</v>
      </c>
      <c r="DU156" s="12">
        <f>SUM($AQ156:CO156)-SUM($EA156:FM156)</f>
        <v>-593760</v>
      </c>
      <c r="DV156" s="12">
        <f>SUM($AQ156:CP156)-SUM($EA156:FN156)</f>
        <v>-40980</v>
      </c>
      <c r="DW156" s="12">
        <f>SUM($AQ156:CQ156)-SUM($EA156:FO156)</f>
        <v>536220</v>
      </c>
      <c r="DX156" s="13"/>
      <c r="DY156" s="13"/>
      <c r="DZ156" s="13"/>
      <c r="EA156" s="12"/>
      <c r="EB156" s="12"/>
      <c r="EC156" s="12"/>
      <c r="ED156" s="12"/>
      <c r="EE156" s="12"/>
      <c r="EF156" s="12"/>
      <c r="EG156" s="12"/>
      <c r="EH156" s="12">
        <f t="array" ref="EH156">SUMPRODUCT(TRANSPOSE(EH$9:EH$34),$K156:$AJ156)</f>
        <v>141260</v>
      </c>
      <c r="EI156" s="12">
        <f t="array" ref="EI156">SUMPRODUCT(TRANSPOSE(EI$9:EI$34),$K156:$AJ156)</f>
        <v>8000</v>
      </c>
      <c r="EJ156" s="12">
        <f t="array" ref="EJ156">SUMPRODUCT(TRANSPOSE(EJ$9:EJ$34),$K156:$AJ156)</f>
        <v>20300</v>
      </c>
      <c r="EK156" s="12">
        <f t="array" ref="EK156">SUMPRODUCT(TRANSPOSE(EK$9:EK$34),$K156:$AJ156)</f>
        <v>22700</v>
      </c>
      <c r="EL156" s="12">
        <f t="array" ref="EL156">SUMPRODUCT(TRANSPOSE(EL$9:EL$34),$K156:$AJ156)</f>
        <v>40300</v>
      </c>
      <c r="EM156" s="12">
        <f t="array" ref="EM156">SUMPRODUCT(TRANSPOSE(EM$9:EM$34),$K156:$AJ156)</f>
        <v>41000</v>
      </c>
      <c r="EN156" s="12">
        <f t="array" ref="EN156">SUMPRODUCT(TRANSPOSE(EN$9:EN$34),$K156:$AJ156)</f>
        <v>41000</v>
      </c>
      <c r="EO156" s="12">
        <f t="array" ref="EO156">SUMPRODUCT(TRANSPOSE(EO$9:EO$34),$K156:$AJ156)</f>
        <v>40000</v>
      </c>
      <c r="EP156" s="12">
        <f t="array" ref="EP156">SUMPRODUCT(TRANSPOSE(EP$9:EP$34),$K156:$AJ156)</f>
        <v>41000</v>
      </c>
      <c r="EQ156" s="12">
        <f t="array" ref="EQ156">SUMPRODUCT(TRANSPOSE(EQ$9:EQ$34),$K156:$AJ156)</f>
        <v>41000</v>
      </c>
      <c r="ER156" s="12">
        <f t="array" ref="ER156">SUMPRODUCT(TRANSPOSE(ER$9:ER$34),$K156:$AJ156)</f>
        <v>41000</v>
      </c>
      <c r="ES156" s="12">
        <f t="array" ref="ES156">SUMPRODUCT(TRANSPOSE(ES$9:ES$34),$K156:$AJ156)</f>
        <v>41000</v>
      </c>
      <c r="ET156" s="12">
        <f t="array" ref="ET156">SUMPRODUCT(TRANSPOSE(ET$9:ET$34),$K156:$AJ156)</f>
        <v>41000</v>
      </c>
      <c r="EU156" s="12">
        <f t="array" ref="EU156">SUMPRODUCT(TRANSPOSE(EU$9:EU$34),$K156:$AJ156)</f>
        <v>41000</v>
      </c>
      <c r="EV156" s="12">
        <f t="array" ref="EV156">SUMPRODUCT(TRANSPOSE(EV$9:EV$34),$K156:$AJ156)</f>
        <v>41000</v>
      </c>
      <c r="EW156" s="12">
        <f t="array" ref="EW156">SUMPRODUCT(TRANSPOSE(EW$9:EW$34),$K156:$AJ156)</f>
        <v>40200</v>
      </c>
      <c r="EX156" s="12">
        <f t="array" ref="EX156">SUMPRODUCT(TRANSPOSE(EX$9:EX$34),$K156:$AJ156)</f>
        <v>40000</v>
      </c>
      <c r="EY156" s="12">
        <f t="array" ref="EY156">SUMPRODUCT(TRANSPOSE(EY$9:EY$34),$K156:$AJ156)</f>
        <v>40000</v>
      </c>
      <c r="EZ156" s="12">
        <f t="array" ref="EZ156">SUMPRODUCT(TRANSPOSE(EZ$9:EZ$34),$K156:$AJ156)</f>
        <v>40000</v>
      </c>
      <c r="FA156" s="12">
        <f t="array" ref="FA156">SUMPRODUCT(TRANSPOSE(FA$9:FA$34),$K156:$AJ156)</f>
        <v>40000</v>
      </c>
      <c r="FB156" s="12">
        <f t="array" ref="FB156">SUMPRODUCT(TRANSPOSE(FB$9:FB$34),$K156:$AJ156)</f>
        <v>40000</v>
      </c>
      <c r="FC156" s="12">
        <f t="array" ref="FC156">SUMPRODUCT(TRANSPOSE(FC$9:FC$34),$K156:$AJ156)</f>
        <v>40000</v>
      </c>
      <c r="FD156" s="12">
        <f t="array" ref="FD156">SUMPRODUCT(TRANSPOSE(FD$9:FD$34),$K156:$AJ156)</f>
        <v>40000</v>
      </c>
      <c r="FE156" s="12">
        <f t="array" ref="FE156">SUMPRODUCT(TRANSPOSE(FE$9:FE$34),$K156:$AJ156)</f>
        <v>40000</v>
      </c>
      <c r="FF156" s="12">
        <f t="array" ref="FF156">SUMPRODUCT(TRANSPOSE(FF$9:FF$34),$K156:$AJ156)</f>
        <v>40000</v>
      </c>
      <c r="FG156" s="12">
        <f t="array" ref="FG156">SUMPRODUCT(TRANSPOSE(FG$9:FG$34),$K156:$AJ156)</f>
        <v>40000</v>
      </c>
      <c r="FH156" s="12">
        <f t="array" ref="FH156">SUMPRODUCT(TRANSPOSE(FH$9:FH$34),$K156:$AJ156)</f>
        <v>40000</v>
      </c>
      <c r="FI156" s="12">
        <f t="array" ref="FI156">SUMPRODUCT(TRANSPOSE(FI$9:FI$34),$K156:$AJ156)</f>
        <v>40000</v>
      </c>
      <c r="FJ156" s="12">
        <f t="array" ref="FJ156">SUMPRODUCT(TRANSPOSE(FJ$9:FJ$34),$K156:$AJ156)</f>
        <v>40000</v>
      </c>
      <c r="FK156" s="12">
        <f t="array" ref="FK156">SUMPRODUCT(TRANSPOSE(FK$9:FK$34),$K156:$AJ156)</f>
        <v>40000</v>
      </c>
      <c r="FL156" s="12">
        <f t="array" ref="FL156">SUMPRODUCT(TRANSPOSE(FL$9:FL$34),$K156:$AJ156)</f>
        <v>40000</v>
      </c>
      <c r="FM156" s="12">
        <f t="array" ref="FM156">SUMPRODUCT(TRANSPOSE(FM$9:FM$34),$K156:$AJ156)</f>
        <v>40000</v>
      </c>
      <c r="FN156" s="12">
        <f t="array" ref="FN156">SUMPRODUCT(TRANSPOSE(FN$9:FN$34),$K156:$AJ156)</f>
        <v>33960</v>
      </c>
      <c r="FO156" s="12">
        <f t="array" ref="FO156">SUMPRODUCT(TRANSPOSE(FO$9:FO$34),$K156:$AJ156)</f>
        <v>1540</v>
      </c>
    </row>
    <row r="157" spans="1:171" ht="14.25" x14ac:dyDescent="0.2">
      <c r="A157" s="13">
        <f t="shared" si="7"/>
        <v>122</v>
      </c>
      <c r="B157" s="13" t="s">
        <v>444</v>
      </c>
      <c r="C157" s="25" t="s">
        <v>445</v>
      </c>
      <c r="D157" s="13" t="s">
        <v>67</v>
      </c>
      <c r="E157" s="13">
        <v>422206914</v>
      </c>
      <c r="F157" s="26" t="s">
        <v>446</v>
      </c>
      <c r="G157" s="13">
        <v>400481360</v>
      </c>
      <c r="H157" s="13" t="s">
        <v>61</v>
      </c>
      <c r="I157" s="13">
        <v>2</v>
      </c>
      <c r="J157" s="13">
        <v>6</v>
      </c>
      <c r="K157" s="13">
        <v>0</v>
      </c>
      <c r="L157" s="13">
        <v>0</v>
      </c>
      <c r="M157" s="13">
        <v>0</v>
      </c>
      <c r="N157" s="13">
        <v>0</v>
      </c>
      <c r="O157" s="13">
        <v>2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2</v>
      </c>
      <c r="Y157" s="13"/>
      <c r="Z157" s="13"/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2</v>
      </c>
      <c r="AK157" s="13">
        <f t="shared" si="8"/>
        <v>4</v>
      </c>
      <c r="AL157" s="23">
        <f t="shared" si="6"/>
        <v>141726</v>
      </c>
      <c r="AM157" s="13"/>
      <c r="AN157" s="13" t="s">
        <v>418</v>
      </c>
      <c r="AO157" s="7" t="s">
        <v>419</v>
      </c>
      <c r="AP157" s="38">
        <v>4.0000000000000001E-3</v>
      </c>
      <c r="AQ157" s="12">
        <v>144000</v>
      </c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13"/>
      <c r="CG157" s="13"/>
      <c r="CH157" s="13"/>
      <c r="CI157" s="12"/>
      <c r="CJ157" s="12"/>
      <c r="CK157" s="12"/>
      <c r="CL157" s="12"/>
      <c r="CM157" s="12"/>
      <c r="CN157" s="12"/>
      <c r="CO157" s="12"/>
      <c r="CP157" s="12">
        <f>SUM($AQ157:BJ157)-SUM($EA157:EH157)</f>
        <v>129874</v>
      </c>
      <c r="CQ157" s="12">
        <f>SUM($AQ157:BK157)-SUM($EA157:EI157)</f>
        <v>129074</v>
      </c>
      <c r="CR157" s="12">
        <f>SUM($AQ157:BL157)-SUM($EA157:EJ157)</f>
        <v>127044</v>
      </c>
      <c r="CS157" s="12">
        <f>SUM($AQ157:BM157)-SUM($EA157:EK157)</f>
        <v>124774</v>
      </c>
      <c r="CT157" s="12">
        <f>SUM($AQ157:BN157)-SUM($EA157:EL157)</f>
        <v>120744</v>
      </c>
      <c r="CU157" s="12">
        <f>SUM($AQ157:BO157)-SUM($EA157:EM157)</f>
        <v>116644</v>
      </c>
      <c r="CV157" s="12">
        <f>SUM($AQ157:BP157)-SUM($EA157:EN157)</f>
        <v>112544</v>
      </c>
      <c r="CW157" s="12">
        <f>SUM($AQ157:BQ157)-SUM($EA157:EO157)</f>
        <v>108544</v>
      </c>
      <c r="CX157" s="12">
        <f>SUM($AQ157:BR157)-SUM($EA157:EP157)</f>
        <v>104444</v>
      </c>
      <c r="CY157" s="12">
        <f>SUM($AQ157:BS157)-SUM($EA157:EQ157)</f>
        <v>100344</v>
      </c>
      <c r="CZ157" s="12">
        <f>SUM($AQ157:BT157)-SUM($EA157:ER157)</f>
        <v>96244</v>
      </c>
      <c r="DA157" s="12">
        <f>SUM($AQ157:BU157)-SUM($EA157:ES157)</f>
        <v>92144</v>
      </c>
      <c r="DB157" s="12">
        <f>SUM($AQ157:BV157)-SUM($EA157:ET157)</f>
        <v>88044</v>
      </c>
      <c r="DC157" s="12">
        <f>SUM($AQ157:BW157)-SUM($EA157:EU157)</f>
        <v>83944</v>
      </c>
      <c r="DD157" s="12">
        <f>SUM($AQ157:BX157)-SUM($EA157:EV157)</f>
        <v>79844</v>
      </c>
      <c r="DE157" s="12">
        <f>SUM($AQ157:BY157)-SUM($EA157:EW157)</f>
        <v>75824</v>
      </c>
      <c r="DF157" s="12">
        <f>SUM($AQ157:BZ157)-SUM($EA157:EX157)</f>
        <v>71824</v>
      </c>
      <c r="DG157" s="12">
        <f>SUM($AQ157:CA157)-SUM($EA157:EY157)</f>
        <v>67824</v>
      </c>
      <c r="DH157" s="12">
        <f>SUM($AQ157:CB157)-SUM($EA157:EZ157)</f>
        <v>63824</v>
      </c>
      <c r="DI157" s="12">
        <f>SUM($AQ157:CC157)-SUM($EA157:FA157)</f>
        <v>59824</v>
      </c>
      <c r="DJ157" s="12">
        <f>SUM($AQ157:CD157)-SUM($EA157:FB157)</f>
        <v>55824</v>
      </c>
      <c r="DK157" s="12">
        <f>SUM($AQ157:CE157)-SUM($EA157:FC157)</f>
        <v>51824</v>
      </c>
      <c r="DL157" s="12">
        <f>SUM($AQ157:CF157)-SUM($EA157:FD157)</f>
        <v>47824</v>
      </c>
      <c r="DM157" s="12">
        <f>SUM($AQ157:CG157)-SUM($EA157:FE157)</f>
        <v>43824</v>
      </c>
      <c r="DN157" s="12">
        <f>SUM($AQ157:CH157)-SUM($EA157:FF157)</f>
        <v>39824</v>
      </c>
      <c r="DO157" s="12">
        <f>SUM($AQ157:CI157)-SUM($EA157:FG157)</f>
        <v>35824</v>
      </c>
      <c r="DP157" s="12">
        <f>SUM($AQ157:CJ157)-SUM($EA157:FH157)</f>
        <v>31824</v>
      </c>
      <c r="DQ157" s="12">
        <f>SUM($AQ157:CK157)-SUM($EA157:FI157)</f>
        <v>27824</v>
      </c>
      <c r="DR157" s="12">
        <f>SUM($AQ157:CL157)-SUM($EA157:FJ157)</f>
        <v>23824</v>
      </c>
      <c r="DS157" s="12">
        <f>SUM($AQ157:CM157)-SUM($EA157:FK157)</f>
        <v>19824</v>
      </c>
      <c r="DT157" s="12">
        <f>SUM($AQ157:CN157)-SUM($EA157:FL157)</f>
        <v>15824</v>
      </c>
      <c r="DU157" s="12">
        <f>SUM($AQ157:CO157)-SUM($EA157:FM157)</f>
        <v>11824</v>
      </c>
      <c r="DV157" s="12">
        <f>SUM($AQ157:CP157)-SUM($EA157:FN157)</f>
        <v>138302</v>
      </c>
      <c r="DW157" s="12">
        <f>SUM($AQ157:CQ157)-SUM($EA157:FO157)</f>
        <v>267222</v>
      </c>
      <c r="DX157" s="13"/>
      <c r="DY157" s="13"/>
      <c r="DZ157" s="13"/>
      <c r="EA157" s="12"/>
      <c r="EB157" s="12"/>
      <c r="EC157" s="12"/>
      <c r="ED157" s="12"/>
      <c r="EE157" s="12"/>
      <c r="EF157" s="12"/>
      <c r="EG157" s="12"/>
      <c r="EH157" s="12">
        <f t="array" ref="EH157">SUMPRODUCT(TRANSPOSE(EH$9:EH$34),$K157:$AJ157)</f>
        <v>14126</v>
      </c>
      <c r="EI157" s="12">
        <f t="array" ref="EI157">SUMPRODUCT(TRANSPOSE(EI$9:EI$34),$K157:$AJ157)</f>
        <v>800</v>
      </c>
      <c r="EJ157" s="12">
        <f t="array" ref="EJ157">SUMPRODUCT(TRANSPOSE(EJ$9:EJ$34),$K157:$AJ157)</f>
        <v>2030</v>
      </c>
      <c r="EK157" s="12">
        <f t="array" ref="EK157">SUMPRODUCT(TRANSPOSE(EK$9:EK$34),$K157:$AJ157)</f>
        <v>2270</v>
      </c>
      <c r="EL157" s="12">
        <f t="array" ref="EL157">SUMPRODUCT(TRANSPOSE(EL$9:EL$34),$K157:$AJ157)</f>
        <v>4030</v>
      </c>
      <c r="EM157" s="12">
        <f t="array" ref="EM157">SUMPRODUCT(TRANSPOSE(EM$9:EM$34),$K157:$AJ157)</f>
        <v>4100</v>
      </c>
      <c r="EN157" s="12">
        <f t="array" ref="EN157">SUMPRODUCT(TRANSPOSE(EN$9:EN$34),$K157:$AJ157)</f>
        <v>4100</v>
      </c>
      <c r="EO157" s="12">
        <f t="array" ref="EO157">SUMPRODUCT(TRANSPOSE(EO$9:EO$34),$K157:$AJ157)</f>
        <v>4000</v>
      </c>
      <c r="EP157" s="12">
        <f t="array" ref="EP157">SUMPRODUCT(TRANSPOSE(EP$9:EP$34),$K157:$AJ157)</f>
        <v>4100</v>
      </c>
      <c r="EQ157" s="12">
        <f t="array" ref="EQ157">SUMPRODUCT(TRANSPOSE(EQ$9:EQ$34),$K157:$AJ157)</f>
        <v>4100</v>
      </c>
      <c r="ER157" s="12">
        <f t="array" ref="ER157">SUMPRODUCT(TRANSPOSE(ER$9:ER$34),$K157:$AJ157)</f>
        <v>4100</v>
      </c>
      <c r="ES157" s="12">
        <f t="array" ref="ES157">SUMPRODUCT(TRANSPOSE(ES$9:ES$34),$K157:$AJ157)</f>
        <v>4100</v>
      </c>
      <c r="ET157" s="12">
        <f t="array" ref="ET157">SUMPRODUCT(TRANSPOSE(ET$9:ET$34),$K157:$AJ157)</f>
        <v>4100</v>
      </c>
      <c r="EU157" s="12">
        <f t="array" ref="EU157">SUMPRODUCT(TRANSPOSE(EU$9:EU$34),$K157:$AJ157)</f>
        <v>4100</v>
      </c>
      <c r="EV157" s="12">
        <f t="array" ref="EV157">SUMPRODUCT(TRANSPOSE(EV$9:EV$34),$K157:$AJ157)</f>
        <v>4100</v>
      </c>
      <c r="EW157" s="12">
        <f t="array" ref="EW157">SUMPRODUCT(TRANSPOSE(EW$9:EW$34),$K157:$AJ157)</f>
        <v>4020</v>
      </c>
      <c r="EX157" s="12">
        <f t="array" ref="EX157">SUMPRODUCT(TRANSPOSE(EX$9:EX$34),$K157:$AJ157)</f>
        <v>4000</v>
      </c>
      <c r="EY157" s="12">
        <f t="array" ref="EY157">SUMPRODUCT(TRANSPOSE(EY$9:EY$34),$K157:$AJ157)</f>
        <v>4000</v>
      </c>
      <c r="EZ157" s="12">
        <f t="array" ref="EZ157">SUMPRODUCT(TRANSPOSE(EZ$9:EZ$34),$K157:$AJ157)</f>
        <v>4000</v>
      </c>
      <c r="FA157" s="12">
        <f t="array" ref="FA157">SUMPRODUCT(TRANSPOSE(FA$9:FA$34),$K157:$AJ157)</f>
        <v>4000</v>
      </c>
      <c r="FB157" s="12">
        <f t="array" ref="FB157">SUMPRODUCT(TRANSPOSE(FB$9:FB$34),$K157:$AJ157)</f>
        <v>4000</v>
      </c>
      <c r="FC157" s="12">
        <f t="array" ref="FC157">SUMPRODUCT(TRANSPOSE(FC$9:FC$34),$K157:$AJ157)</f>
        <v>4000</v>
      </c>
      <c r="FD157" s="12">
        <f t="array" ref="FD157">SUMPRODUCT(TRANSPOSE(FD$9:FD$34),$K157:$AJ157)</f>
        <v>4000</v>
      </c>
      <c r="FE157" s="12">
        <f t="array" ref="FE157">SUMPRODUCT(TRANSPOSE(FE$9:FE$34),$K157:$AJ157)</f>
        <v>4000</v>
      </c>
      <c r="FF157" s="12">
        <f t="array" ref="FF157">SUMPRODUCT(TRANSPOSE(FF$9:FF$34),$K157:$AJ157)</f>
        <v>4000</v>
      </c>
      <c r="FG157" s="12">
        <f t="array" ref="FG157">SUMPRODUCT(TRANSPOSE(FG$9:FG$34),$K157:$AJ157)</f>
        <v>4000</v>
      </c>
      <c r="FH157" s="12">
        <f t="array" ref="FH157">SUMPRODUCT(TRANSPOSE(FH$9:FH$34),$K157:$AJ157)</f>
        <v>4000</v>
      </c>
      <c r="FI157" s="12">
        <f t="array" ref="FI157">SUMPRODUCT(TRANSPOSE(FI$9:FI$34),$K157:$AJ157)</f>
        <v>4000</v>
      </c>
      <c r="FJ157" s="12">
        <f t="array" ref="FJ157">SUMPRODUCT(TRANSPOSE(FJ$9:FJ$34),$K157:$AJ157)</f>
        <v>4000</v>
      </c>
      <c r="FK157" s="12">
        <f t="array" ref="FK157">SUMPRODUCT(TRANSPOSE(FK$9:FK$34),$K157:$AJ157)</f>
        <v>4000</v>
      </c>
      <c r="FL157" s="12">
        <f t="array" ref="FL157">SUMPRODUCT(TRANSPOSE(FL$9:FL$34),$K157:$AJ157)</f>
        <v>4000</v>
      </c>
      <c r="FM157" s="12">
        <f t="array" ref="FM157">SUMPRODUCT(TRANSPOSE(FM$9:FM$34),$K157:$AJ157)</f>
        <v>4000</v>
      </c>
      <c r="FN157" s="12">
        <f t="array" ref="FN157">SUMPRODUCT(TRANSPOSE(FN$9:FN$34),$K157:$AJ157)</f>
        <v>3396</v>
      </c>
      <c r="FO157" s="12">
        <f t="array" ref="FO157">SUMPRODUCT(TRANSPOSE(FO$9:FO$34),$K157:$AJ157)</f>
        <v>154</v>
      </c>
    </row>
    <row r="158" spans="1:171" ht="14.25" x14ac:dyDescent="0.2">
      <c r="A158" s="13">
        <f t="shared" si="7"/>
        <v>123</v>
      </c>
      <c r="B158" s="13" t="s">
        <v>447</v>
      </c>
      <c r="C158" s="25" t="s">
        <v>448</v>
      </c>
      <c r="D158" s="13" t="s">
        <v>67</v>
      </c>
      <c r="E158" s="13">
        <v>400538389</v>
      </c>
      <c r="F158" s="26" t="s">
        <v>449</v>
      </c>
      <c r="G158" s="13">
        <v>400326624</v>
      </c>
      <c r="H158" s="13" t="s">
        <v>61</v>
      </c>
      <c r="I158" s="13">
        <v>2</v>
      </c>
      <c r="J158" s="13">
        <v>12</v>
      </c>
      <c r="K158" s="13">
        <v>0</v>
      </c>
      <c r="L158" s="13">
        <v>0</v>
      </c>
      <c r="M158" s="13">
        <v>0</v>
      </c>
      <c r="N158" s="13">
        <v>0</v>
      </c>
      <c r="O158" s="13">
        <v>4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4</v>
      </c>
      <c r="Y158" s="13"/>
      <c r="Z158" s="13"/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4</v>
      </c>
      <c r="AK158" s="13">
        <f t="shared" si="8"/>
        <v>8</v>
      </c>
      <c r="AL158" s="23">
        <f t="shared" si="6"/>
        <v>283452</v>
      </c>
      <c r="AM158" s="13"/>
      <c r="AN158" s="29" t="s">
        <v>418</v>
      </c>
      <c r="AO158" s="7" t="s">
        <v>266</v>
      </c>
      <c r="AP158" s="38">
        <v>2.8600000000000001E-3</v>
      </c>
      <c r="AQ158" s="12">
        <v>284000</v>
      </c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13"/>
      <c r="CG158" s="13"/>
      <c r="CH158" s="13"/>
      <c r="CI158" s="12"/>
      <c r="CJ158" s="12"/>
      <c r="CK158" s="12"/>
      <c r="CL158" s="12"/>
      <c r="CM158" s="12"/>
      <c r="CN158" s="12"/>
      <c r="CO158" s="12"/>
      <c r="CP158" s="12">
        <f>SUM($AQ158:BJ158)-SUM($EA158:EH158)</f>
        <v>255748</v>
      </c>
      <c r="CQ158" s="12">
        <f>SUM($AQ158:BK158)-SUM($EA158:EI158)</f>
        <v>254148</v>
      </c>
      <c r="CR158" s="12">
        <f>SUM($AQ158:BL158)-SUM($EA158:EJ158)</f>
        <v>250088</v>
      </c>
      <c r="CS158" s="12">
        <f>SUM($AQ158:BM158)-SUM($EA158:EK158)</f>
        <v>245548</v>
      </c>
      <c r="CT158" s="12">
        <f>SUM($AQ158:BN158)-SUM($EA158:EL158)</f>
        <v>237488</v>
      </c>
      <c r="CU158" s="12">
        <f>SUM($AQ158:BO158)-SUM($EA158:EM158)</f>
        <v>229288</v>
      </c>
      <c r="CV158" s="12">
        <f>SUM($AQ158:BP158)-SUM($EA158:EN158)</f>
        <v>221088</v>
      </c>
      <c r="CW158" s="12">
        <f>SUM($AQ158:BQ158)-SUM($EA158:EO158)</f>
        <v>213088</v>
      </c>
      <c r="CX158" s="12">
        <f>SUM($AQ158:BR158)-SUM($EA158:EP158)</f>
        <v>204888</v>
      </c>
      <c r="CY158" s="12">
        <f>SUM($AQ158:BS158)-SUM($EA158:EQ158)</f>
        <v>196688</v>
      </c>
      <c r="CZ158" s="12">
        <f>SUM($AQ158:BT158)-SUM($EA158:ER158)</f>
        <v>188488</v>
      </c>
      <c r="DA158" s="12">
        <f>SUM($AQ158:BU158)-SUM($EA158:ES158)</f>
        <v>180288</v>
      </c>
      <c r="DB158" s="12">
        <f>SUM($AQ158:BV158)-SUM($EA158:ET158)</f>
        <v>172088</v>
      </c>
      <c r="DC158" s="12">
        <f>SUM($AQ158:BW158)-SUM($EA158:EU158)</f>
        <v>163888</v>
      </c>
      <c r="DD158" s="12">
        <f>SUM($AQ158:BX158)-SUM($EA158:EV158)</f>
        <v>155688</v>
      </c>
      <c r="DE158" s="12">
        <f>SUM($AQ158:BY158)-SUM($EA158:EW158)</f>
        <v>147648</v>
      </c>
      <c r="DF158" s="12">
        <f>SUM($AQ158:BZ158)-SUM($EA158:EX158)</f>
        <v>139648</v>
      </c>
      <c r="DG158" s="12">
        <f>SUM($AQ158:CA158)-SUM($EA158:EY158)</f>
        <v>131648</v>
      </c>
      <c r="DH158" s="12">
        <f>SUM($AQ158:CB158)-SUM($EA158:EZ158)</f>
        <v>123648</v>
      </c>
      <c r="DI158" s="12">
        <f>SUM($AQ158:CC158)-SUM($EA158:FA158)</f>
        <v>115648</v>
      </c>
      <c r="DJ158" s="12">
        <f>SUM($AQ158:CD158)-SUM($EA158:FB158)</f>
        <v>107648</v>
      </c>
      <c r="DK158" s="12">
        <f>SUM($AQ158:CE158)-SUM($EA158:FC158)</f>
        <v>99648</v>
      </c>
      <c r="DL158" s="12">
        <f>SUM($AQ158:CF158)-SUM($EA158:FD158)</f>
        <v>91648</v>
      </c>
      <c r="DM158" s="12">
        <f>SUM($AQ158:CG158)-SUM($EA158:FE158)</f>
        <v>83648</v>
      </c>
      <c r="DN158" s="12">
        <f>SUM($AQ158:CH158)-SUM($EA158:FF158)</f>
        <v>75648</v>
      </c>
      <c r="DO158" s="12">
        <f>SUM($AQ158:CI158)-SUM($EA158:FG158)</f>
        <v>67648</v>
      </c>
      <c r="DP158" s="12">
        <f>SUM($AQ158:CJ158)-SUM($EA158:FH158)</f>
        <v>59648</v>
      </c>
      <c r="DQ158" s="12">
        <f>SUM($AQ158:CK158)-SUM($EA158:FI158)</f>
        <v>51648</v>
      </c>
      <c r="DR158" s="12">
        <f>SUM($AQ158:CL158)-SUM($EA158:FJ158)</f>
        <v>43648</v>
      </c>
      <c r="DS158" s="12">
        <f>SUM($AQ158:CM158)-SUM($EA158:FK158)</f>
        <v>35648</v>
      </c>
      <c r="DT158" s="12">
        <f>SUM($AQ158:CN158)-SUM($EA158:FL158)</f>
        <v>27648</v>
      </c>
      <c r="DU158" s="12">
        <f>SUM($AQ158:CO158)-SUM($EA158:FM158)</f>
        <v>19648</v>
      </c>
      <c r="DV158" s="12">
        <f>SUM($AQ158:CP158)-SUM($EA158:FN158)</f>
        <v>268604</v>
      </c>
      <c r="DW158" s="12">
        <f>SUM($AQ158:CQ158)-SUM($EA158:FO158)</f>
        <v>522444</v>
      </c>
      <c r="DX158" s="13"/>
      <c r="DY158" s="13"/>
      <c r="DZ158" s="13"/>
      <c r="EA158" s="12"/>
      <c r="EB158" s="12"/>
      <c r="EC158" s="12"/>
      <c r="ED158" s="12"/>
      <c r="EE158" s="12"/>
      <c r="EF158" s="12"/>
      <c r="EG158" s="12"/>
      <c r="EH158" s="12">
        <f t="array" ref="EH158">SUMPRODUCT(TRANSPOSE(EH$9:EH$34),$K158:$AJ158)</f>
        <v>28252</v>
      </c>
      <c r="EI158" s="12">
        <f t="array" ref="EI158">SUMPRODUCT(TRANSPOSE(EI$9:EI$34),$K158:$AJ158)</f>
        <v>1600</v>
      </c>
      <c r="EJ158" s="12">
        <f t="array" ref="EJ158">SUMPRODUCT(TRANSPOSE(EJ$9:EJ$34),$K158:$AJ158)</f>
        <v>4060</v>
      </c>
      <c r="EK158" s="12">
        <f t="array" ref="EK158">SUMPRODUCT(TRANSPOSE(EK$9:EK$34),$K158:$AJ158)</f>
        <v>4540</v>
      </c>
      <c r="EL158" s="12">
        <f t="array" ref="EL158">SUMPRODUCT(TRANSPOSE(EL$9:EL$34),$K158:$AJ158)</f>
        <v>8060</v>
      </c>
      <c r="EM158" s="12">
        <f t="array" ref="EM158">SUMPRODUCT(TRANSPOSE(EM$9:EM$34),$K158:$AJ158)</f>
        <v>8200</v>
      </c>
      <c r="EN158" s="12">
        <f t="array" ref="EN158">SUMPRODUCT(TRANSPOSE(EN$9:EN$34),$K158:$AJ158)</f>
        <v>8200</v>
      </c>
      <c r="EO158" s="12">
        <f t="array" ref="EO158">SUMPRODUCT(TRANSPOSE(EO$9:EO$34),$K158:$AJ158)</f>
        <v>8000</v>
      </c>
      <c r="EP158" s="12">
        <f t="array" ref="EP158">SUMPRODUCT(TRANSPOSE(EP$9:EP$34),$K158:$AJ158)</f>
        <v>8200</v>
      </c>
      <c r="EQ158" s="12">
        <f t="array" ref="EQ158">SUMPRODUCT(TRANSPOSE(EQ$9:EQ$34),$K158:$AJ158)</f>
        <v>8200</v>
      </c>
      <c r="ER158" s="12">
        <f t="array" ref="ER158">SUMPRODUCT(TRANSPOSE(ER$9:ER$34),$K158:$AJ158)</f>
        <v>8200</v>
      </c>
      <c r="ES158" s="12">
        <f t="array" ref="ES158">SUMPRODUCT(TRANSPOSE(ES$9:ES$34),$K158:$AJ158)</f>
        <v>8200</v>
      </c>
      <c r="ET158" s="12">
        <f t="array" ref="ET158">SUMPRODUCT(TRANSPOSE(ET$9:ET$34),$K158:$AJ158)</f>
        <v>8200</v>
      </c>
      <c r="EU158" s="12">
        <f t="array" ref="EU158">SUMPRODUCT(TRANSPOSE(EU$9:EU$34),$K158:$AJ158)</f>
        <v>8200</v>
      </c>
      <c r="EV158" s="12">
        <f t="array" ref="EV158">SUMPRODUCT(TRANSPOSE(EV$9:EV$34),$K158:$AJ158)</f>
        <v>8200</v>
      </c>
      <c r="EW158" s="12">
        <f t="array" ref="EW158">SUMPRODUCT(TRANSPOSE(EW$9:EW$34),$K158:$AJ158)</f>
        <v>8040</v>
      </c>
      <c r="EX158" s="12">
        <f t="array" ref="EX158">SUMPRODUCT(TRANSPOSE(EX$9:EX$34),$K158:$AJ158)</f>
        <v>8000</v>
      </c>
      <c r="EY158" s="12">
        <f t="array" ref="EY158">SUMPRODUCT(TRANSPOSE(EY$9:EY$34),$K158:$AJ158)</f>
        <v>8000</v>
      </c>
      <c r="EZ158" s="12">
        <f t="array" ref="EZ158">SUMPRODUCT(TRANSPOSE(EZ$9:EZ$34),$K158:$AJ158)</f>
        <v>8000</v>
      </c>
      <c r="FA158" s="12">
        <f t="array" ref="FA158">SUMPRODUCT(TRANSPOSE(FA$9:FA$34),$K158:$AJ158)</f>
        <v>8000</v>
      </c>
      <c r="FB158" s="12">
        <f t="array" ref="FB158">SUMPRODUCT(TRANSPOSE(FB$9:FB$34),$K158:$AJ158)</f>
        <v>8000</v>
      </c>
      <c r="FC158" s="12">
        <f t="array" ref="FC158">SUMPRODUCT(TRANSPOSE(FC$9:FC$34),$K158:$AJ158)</f>
        <v>8000</v>
      </c>
      <c r="FD158" s="12">
        <f t="array" ref="FD158">SUMPRODUCT(TRANSPOSE(FD$9:FD$34),$K158:$AJ158)</f>
        <v>8000</v>
      </c>
      <c r="FE158" s="12">
        <f t="array" ref="FE158">SUMPRODUCT(TRANSPOSE(FE$9:FE$34),$K158:$AJ158)</f>
        <v>8000</v>
      </c>
      <c r="FF158" s="12">
        <f t="array" ref="FF158">SUMPRODUCT(TRANSPOSE(FF$9:FF$34),$K158:$AJ158)</f>
        <v>8000</v>
      </c>
      <c r="FG158" s="12">
        <f t="array" ref="FG158">SUMPRODUCT(TRANSPOSE(FG$9:FG$34),$K158:$AJ158)</f>
        <v>8000</v>
      </c>
      <c r="FH158" s="12">
        <f t="array" ref="FH158">SUMPRODUCT(TRANSPOSE(FH$9:FH$34),$K158:$AJ158)</f>
        <v>8000</v>
      </c>
      <c r="FI158" s="12">
        <f t="array" ref="FI158">SUMPRODUCT(TRANSPOSE(FI$9:FI$34),$K158:$AJ158)</f>
        <v>8000</v>
      </c>
      <c r="FJ158" s="12">
        <f t="array" ref="FJ158">SUMPRODUCT(TRANSPOSE(FJ$9:FJ$34),$K158:$AJ158)</f>
        <v>8000</v>
      </c>
      <c r="FK158" s="12">
        <f t="array" ref="FK158">SUMPRODUCT(TRANSPOSE(FK$9:FK$34),$K158:$AJ158)</f>
        <v>8000</v>
      </c>
      <c r="FL158" s="12">
        <f t="array" ref="FL158">SUMPRODUCT(TRANSPOSE(FL$9:FL$34),$K158:$AJ158)</f>
        <v>8000</v>
      </c>
      <c r="FM158" s="12">
        <f t="array" ref="FM158">SUMPRODUCT(TRANSPOSE(FM$9:FM$34),$K158:$AJ158)</f>
        <v>8000</v>
      </c>
      <c r="FN158" s="12">
        <f t="array" ref="FN158">SUMPRODUCT(TRANSPOSE(FN$9:FN$34),$K158:$AJ158)</f>
        <v>6792</v>
      </c>
      <c r="FO158" s="12">
        <f t="array" ref="FO158">SUMPRODUCT(TRANSPOSE(FO$9:FO$34),$K158:$AJ158)</f>
        <v>308</v>
      </c>
    </row>
    <row r="159" spans="1:171" ht="14.25" x14ac:dyDescent="0.2">
      <c r="A159" s="13">
        <f t="shared" si="7"/>
        <v>124</v>
      </c>
      <c r="B159" s="13" t="s">
        <v>450</v>
      </c>
      <c r="C159" s="25" t="s">
        <v>451</v>
      </c>
      <c r="D159" s="13" t="s">
        <v>67</v>
      </c>
      <c r="E159" s="13">
        <v>401538961</v>
      </c>
      <c r="F159" s="26" t="s">
        <v>452</v>
      </c>
      <c r="G159" s="13"/>
      <c r="H159" s="13" t="s">
        <v>61</v>
      </c>
      <c r="I159" s="13">
        <v>2</v>
      </c>
      <c r="J159" s="13">
        <v>8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4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/>
      <c r="Z159" s="13">
        <v>4</v>
      </c>
      <c r="AA159" s="13">
        <v>0</v>
      </c>
      <c r="AB159" s="13">
        <v>0</v>
      </c>
      <c r="AC159" s="13">
        <v>0</v>
      </c>
      <c r="AD159" s="13">
        <v>4</v>
      </c>
      <c r="AE159" s="13">
        <v>4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f t="shared" si="8"/>
        <v>12</v>
      </c>
      <c r="AL159" s="23">
        <f t="shared" si="6"/>
        <v>142660</v>
      </c>
      <c r="AM159" s="13"/>
      <c r="AN159" s="13" t="s">
        <v>418</v>
      </c>
      <c r="AO159" s="7" t="s">
        <v>419</v>
      </c>
      <c r="AP159" s="38">
        <v>4.7000000000000002E-3</v>
      </c>
      <c r="AQ159" s="12">
        <v>144000</v>
      </c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13"/>
      <c r="CG159" s="13"/>
      <c r="CH159" s="13"/>
      <c r="CI159" s="12"/>
      <c r="CJ159" s="12"/>
      <c r="CK159" s="12"/>
      <c r="CL159" s="12"/>
      <c r="CM159" s="12"/>
      <c r="CN159" s="12"/>
      <c r="CO159" s="12"/>
      <c r="CP159" s="12">
        <f>SUM($AQ159:BJ159)-SUM($EA159:EH159)</f>
        <v>131564</v>
      </c>
      <c r="CQ159" s="12">
        <f>SUM($AQ159:BK159)-SUM($EA159:EI159)</f>
        <v>130440</v>
      </c>
      <c r="CR159" s="12">
        <f>SUM($AQ159:BL159)-SUM($EA159:EJ159)</f>
        <v>130380</v>
      </c>
      <c r="CS159" s="12">
        <f>SUM($AQ159:BM159)-SUM($EA159:EK159)</f>
        <v>129840</v>
      </c>
      <c r="CT159" s="12">
        <f>SUM($AQ159:BN159)-SUM($EA159:EL159)</f>
        <v>125780</v>
      </c>
      <c r="CU159" s="12">
        <f>SUM($AQ159:BO159)-SUM($EA159:EM159)</f>
        <v>117580</v>
      </c>
      <c r="CV159" s="12">
        <f>SUM($AQ159:BP159)-SUM($EA159:EN159)</f>
        <v>112980</v>
      </c>
      <c r="CW159" s="12">
        <f>SUM($AQ159:BQ159)-SUM($EA159:EO159)</f>
        <v>108980</v>
      </c>
      <c r="CX159" s="12">
        <f>SUM($AQ159:BR159)-SUM($EA159:EP159)</f>
        <v>104780</v>
      </c>
      <c r="CY159" s="12">
        <f>SUM($AQ159:BS159)-SUM($EA159:EQ159)</f>
        <v>100580</v>
      </c>
      <c r="CZ159" s="12">
        <f>SUM($AQ159:BT159)-SUM($EA159:ER159)</f>
        <v>96380</v>
      </c>
      <c r="DA159" s="12">
        <f>SUM($AQ159:BU159)-SUM($EA159:ES159)</f>
        <v>92180</v>
      </c>
      <c r="DB159" s="12">
        <f>SUM($AQ159:BV159)-SUM($EA159:ET159)</f>
        <v>87980</v>
      </c>
      <c r="DC159" s="12">
        <f>SUM($AQ159:BW159)-SUM($EA159:EU159)</f>
        <v>83780</v>
      </c>
      <c r="DD159" s="12">
        <f>SUM($AQ159:BX159)-SUM($EA159:EV159)</f>
        <v>79580</v>
      </c>
      <c r="DE159" s="12">
        <f>SUM($AQ159:BY159)-SUM($EA159:EW159)</f>
        <v>75408</v>
      </c>
      <c r="DF159" s="12">
        <f>SUM($AQ159:BZ159)-SUM($EA159:EX159)</f>
        <v>71408</v>
      </c>
      <c r="DG159" s="12">
        <f>SUM($AQ159:CA159)-SUM($EA159:EY159)</f>
        <v>67408</v>
      </c>
      <c r="DH159" s="12">
        <f>SUM($AQ159:CB159)-SUM($EA159:EZ159)</f>
        <v>63408</v>
      </c>
      <c r="DI159" s="12">
        <f>SUM($AQ159:CC159)-SUM($EA159:FA159)</f>
        <v>59408</v>
      </c>
      <c r="DJ159" s="12">
        <f>SUM($AQ159:CD159)-SUM($EA159:FB159)</f>
        <v>55408</v>
      </c>
      <c r="DK159" s="12">
        <f>SUM($AQ159:CE159)-SUM($EA159:FC159)</f>
        <v>51408</v>
      </c>
      <c r="DL159" s="12">
        <f>SUM($AQ159:CF159)-SUM($EA159:FD159)</f>
        <v>47408</v>
      </c>
      <c r="DM159" s="12">
        <f>SUM($AQ159:CG159)-SUM($EA159:FE159)</f>
        <v>43408</v>
      </c>
      <c r="DN159" s="12">
        <f>SUM($AQ159:CH159)-SUM($EA159:FF159)</f>
        <v>39408</v>
      </c>
      <c r="DO159" s="12">
        <f>SUM($AQ159:CI159)-SUM($EA159:FG159)</f>
        <v>35408</v>
      </c>
      <c r="DP159" s="12">
        <f>SUM($AQ159:CJ159)-SUM($EA159:FH159)</f>
        <v>31408</v>
      </c>
      <c r="DQ159" s="12">
        <f>SUM($AQ159:CK159)-SUM($EA159:FI159)</f>
        <v>27408</v>
      </c>
      <c r="DR159" s="12">
        <f>SUM($AQ159:CL159)-SUM($EA159:FJ159)</f>
        <v>23408</v>
      </c>
      <c r="DS159" s="12">
        <f>SUM($AQ159:CM159)-SUM($EA159:FK159)</f>
        <v>19408</v>
      </c>
      <c r="DT159" s="12">
        <f>SUM($AQ159:CN159)-SUM($EA159:FL159)</f>
        <v>15408</v>
      </c>
      <c r="DU159" s="12">
        <f>SUM($AQ159:CO159)-SUM($EA159:FM159)</f>
        <v>11408</v>
      </c>
      <c r="DV159" s="12">
        <f>SUM($AQ159:CP159)-SUM($EA159:FN159)</f>
        <v>139704</v>
      </c>
      <c r="DW159" s="12">
        <f>SUM($AQ159:CQ159)-SUM($EA159:FO159)</f>
        <v>270144</v>
      </c>
      <c r="DX159" s="13"/>
      <c r="DY159" s="13"/>
      <c r="DZ159" s="13"/>
      <c r="EA159" s="12"/>
      <c r="EB159" s="12"/>
      <c r="EC159" s="12"/>
      <c r="ED159" s="12"/>
      <c r="EE159" s="12"/>
      <c r="EF159" s="12"/>
      <c r="EG159" s="12"/>
      <c r="EH159" s="12">
        <f t="array" ref="EH159">SUMPRODUCT(TRANSPOSE(EH$9:EH$34),$K159:$AJ159)</f>
        <v>12436</v>
      </c>
      <c r="EI159" s="12">
        <f t="array" ref="EI159">SUMPRODUCT(TRANSPOSE(EI$9:EI$34),$K159:$AJ159)</f>
        <v>1124</v>
      </c>
      <c r="EJ159" s="12">
        <f t="array" ref="EJ159">SUMPRODUCT(TRANSPOSE(EJ$9:EJ$34),$K159:$AJ159)</f>
        <v>60</v>
      </c>
      <c r="EK159" s="12">
        <f t="array" ref="EK159">SUMPRODUCT(TRANSPOSE(EK$9:EK$34),$K159:$AJ159)</f>
        <v>540</v>
      </c>
      <c r="EL159" s="12">
        <f t="array" ref="EL159">SUMPRODUCT(TRANSPOSE(EL$9:EL$34),$K159:$AJ159)</f>
        <v>4060</v>
      </c>
      <c r="EM159" s="12">
        <f t="array" ref="EM159">SUMPRODUCT(TRANSPOSE(EM$9:EM$34),$K159:$AJ159)</f>
        <v>8200</v>
      </c>
      <c r="EN159" s="12">
        <f t="array" ref="EN159">SUMPRODUCT(TRANSPOSE(EN$9:EN$34),$K159:$AJ159)</f>
        <v>4600</v>
      </c>
      <c r="EO159" s="12">
        <f t="array" ref="EO159">SUMPRODUCT(TRANSPOSE(EO$9:EO$34),$K159:$AJ159)</f>
        <v>4000</v>
      </c>
      <c r="EP159" s="12">
        <f t="array" ref="EP159">SUMPRODUCT(TRANSPOSE(EP$9:EP$34),$K159:$AJ159)</f>
        <v>4200</v>
      </c>
      <c r="EQ159" s="12">
        <f t="array" ref="EQ159">SUMPRODUCT(TRANSPOSE(EQ$9:EQ$34),$K159:$AJ159)</f>
        <v>4200</v>
      </c>
      <c r="ER159" s="12">
        <f t="array" ref="ER159">SUMPRODUCT(TRANSPOSE(ER$9:ER$34),$K159:$AJ159)</f>
        <v>4200</v>
      </c>
      <c r="ES159" s="12">
        <f t="array" ref="ES159">SUMPRODUCT(TRANSPOSE(ES$9:ES$34),$K159:$AJ159)</f>
        <v>4200</v>
      </c>
      <c r="ET159" s="12">
        <f t="array" ref="ET159">SUMPRODUCT(TRANSPOSE(ET$9:ET$34),$K159:$AJ159)</f>
        <v>4200</v>
      </c>
      <c r="EU159" s="12">
        <f t="array" ref="EU159">SUMPRODUCT(TRANSPOSE(EU$9:EU$34),$K159:$AJ159)</f>
        <v>4200</v>
      </c>
      <c r="EV159" s="12">
        <f t="array" ref="EV159">SUMPRODUCT(TRANSPOSE(EV$9:EV$34),$K159:$AJ159)</f>
        <v>4200</v>
      </c>
      <c r="EW159" s="12">
        <f t="array" ref="EW159">SUMPRODUCT(TRANSPOSE(EW$9:EW$34),$K159:$AJ159)</f>
        <v>4172</v>
      </c>
      <c r="EX159" s="12">
        <f t="array" ref="EX159">SUMPRODUCT(TRANSPOSE(EX$9:EX$34),$K159:$AJ159)</f>
        <v>4000</v>
      </c>
      <c r="EY159" s="12">
        <f t="array" ref="EY159">SUMPRODUCT(TRANSPOSE(EY$9:EY$34),$K159:$AJ159)</f>
        <v>4000</v>
      </c>
      <c r="EZ159" s="12">
        <f t="array" ref="EZ159">SUMPRODUCT(TRANSPOSE(EZ$9:EZ$34),$K159:$AJ159)</f>
        <v>4000</v>
      </c>
      <c r="FA159" s="12">
        <f t="array" ref="FA159">SUMPRODUCT(TRANSPOSE(FA$9:FA$34),$K159:$AJ159)</f>
        <v>4000</v>
      </c>
      <c r="FB159" s="12">
        <f t="array" ref="FB159">SUMPRODUCT(TRANSPOSE(FB$9:FB$34),$K159:$AJ159)</f>
        <v>4000</v>
      </c>
      <c r="FC159" s="12">
        <f t="array" ref="FC159">SUMPRODUCT(TRANSPOSE(FC$9:FC$34),$K159:$AJ159)</f>
        <v>4000</v>
      </c>
      <c r="FD159" s="12">
        <f t="array" ref="FD159">SUMPRODUCT(TRANSPOSE(FD$9:FD$34),$K159:$AJ159)</f>
        <v>4000</v>
      </c>
      <c r="FE159" s="12">
        <f t="array" ref="FE159">SUMPRODUCT(TRANSPOSE(FE$9:FE$34),$K159:$AJ159)</f>
        <v>4000</v>
      </c>
      <c r="FF159" s="12">
        <f t="array" ref="FF159">SUMPRODUCT(TRANSPOSE(FF$9:FF$34),$K159:$AJ159)</f>
        <v>4000</v>
      </c>
      <c r="FG159" s="12">
        <f t="array" ref="FG159">SUMPRODUCT(TRANSPOSE(FG$9:FG$34),$K159:$AJ159)</f>
        <v>4000</v>
      </c>
      <c r="FH159" s="12">
        <f t="array" ref="FH159">SUMPRODUCT(TRANSPOSE(FH$9:FH$34),$K159:$AJ159)</f>
        <v>4000</v>
      </c>
      <c r="FI159" s="12">
        <f t="array" ref="FI159">SUMPRODUCT(TRANSPOSE(FI$9:FI$34),$K159:$AJ159)</f>
        <v>4000</v>
      </c>
      <c r="FJ159" s="12">
        <f t="array" ref="FJ159">SUMPRODUCT(TRANSPOSE(FJ$9:FJ$34),$K159:$AJ159)</f>
        <v>4000</v>
      </c>
      <c r="FK159" s="12">
        <f t="array" ref="FK159">SUMPRODUCT(TRANSPOSE(FK$9:FK$34),$K159:$AJ159)</f>
        <v>4000</v>
      </c>
      <c r="FL159" s="12">
        <f t="array" ref="FL159">SUMPRODUCT(TRANSPOSE(FL$9:FL$34),$K159:$AJ159)</f>
        <v>4000</v>
      </c>
      <c r="FM159" s="12">
        <f t="array" ref="FM159">SUMPRODUCT(TRANSPOSE(FM$9:FM$34),$K159:$AJ159)</f>
        <v>4000</v>
      </c>
      <c r="FN159" s="12">
        <f t="array" ref="FN159">SUMPRODUCT(TRANSPOSE(FN$9:FN$34),$K159:$AJ159)</f>
        <v>3268</v>
      </c>
      <c r="FO159" s="12">
        <f t="array" ref="FO159">SUMPRODUCT(TRANSPOSE(FO$9:FO$34),$K159:$AJ159)</f>
        <v>0</v>
      </c>
    </row>
    <row r="160" spans="1:171" ht="14.25" x14ac:dyDescent="0.2">
      <c r="A160" s="13">
        <f t="shared" si="7"/>
        <v>125</v>
      </c>
      <c r="B160" s="13" t="s">
        <v>453</v>
      </c>
      <c r="C160" s="25" t="s">
        <v>454</v>
      </c>
      <c r="D160" s="13" t="s">
        <v>67</v>
      </c>
      <c r="E160" s="13">
        <v>400950741</v>
      </c>
      <c r="F160" s="26" t="s">
        <v>455</v>
      </c>
      <c r="G160" s="13">
        <v>400481258</v>
      </c>
      <c r="H160" s="13" t="s">
        <v>61</v>
      </c>
      <c r="I160" s="13">
        <v>2</v>
      </c>
      <c r="J160" s="13">
        <v>21</v>
      </c>
      <c r="K160" s="13">
        <v>0</v>
      </c>
      <c r="L160" s="13">
        <v>0</v>
      </c>
      <c r="M160" s="13">
        <v>0</v>
      </c>
      <c r="N160" s="13">
        <v>2</v>
      </c>
      <c r="O160" s="13">
        <v>5</v>
      </c>
      <c r="P160" s="13">
        <v>0</v>
      </c>
      <c r="Q160" s="13">
        <v>0</v>
      </c>
      <c r="R160" s="13">
        <v>0</v>
      </c>
      <c r="S160" s="13">
        <v>2</v>
      </c>
      <c r="T160" s="13">
        <v>0</v>
      </c>
      <c r="U160" s="13">
        <v>0</v>
      </c>
      <c r="V160" s="13">
        <v>0</v>
      </c>
      <c r="W160" s="13">
        <v>0</v>
      </c>
      <c r="X160" s="13">
        <v>5</v>
      </c>
      <c r="Y160" s="13"/>
      <c r="Z160" s="13">
        <v>2</v>
      </c>
      <c r="AA160" s="13">
        <v>0</v>
      </c>
      <c r="AB160" s="13">
        <v>0</v>
      </c>
      <c r="AC160" s="13">
        <v>0</v>
      </c>
      <c r="AD160" s="13">
        <v>2</v>
      </c>
      <c r="AE160" s="13">
        <v>2</v>
      </c>
      <c r="AF160" s="13">
        <v>0</v>
      </c>
      <c r="AG160" s="13">
        <v>0</v>
      </c>
      <c r="AH160" s="13">
        <v>0</v>
      </c>
      <c r="AI160" s="13">
        <v>0</v>
      </c>
      <c r="AJ160" s="13">
        <v>5</v>
      </c>
      <c r="AK160" s="13">
        <f t="shared" si="8"/>
        <v>18</v>
      </c>
      <c r="AL160" s="23">
        <f t="shared" si="6"/>
        <v>496107</v>
      </c>
      <c r="AM160" s="13"/>
      <c r="AN160" s="13" t="s">
        <v>418</v>
      </c>
      <c r="AO160" s="7" t="s">
        <v>419</v>
      </c>
      <c r="AP160" s="38">
        <v>0.06</v>
      </c>
      <c r="AQ160" s="12">
        <v>256000</v>
      </c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13"/>
      <c r="CG160" s="13"/>
      <c r="CH160" s="13"/>
      <c r="CI160" s="12"/>
      <c r="CJ160" s="12"/>
      <c r="CK160" s="12"/>
      <c r="CL160" s="12"/>
      <c r="CM160" s="12"/>
      <c r="CN160" s="12"/>
      <c r="CO160" s="12"/>
      <c r="CP160" s="12">
        <f>SUM($AQ160:BJ160)-SUM($EA160:EH160)</f>
        <v>206559</v>
      </c>
      <c r="CQ160" s="12">
        <f>SUM($AQ160:BK160)-SUM($EA160:EI160)</f>
        <v>203997</v>
      </c>
      <c r="CR160" s="12">
        <f>SUM($AQ160:BL160)-SUM($EA160:EJ160)</f>
        <v>196892</v>
      </c>
      <c r="CS160" s="12">
        <f>SUM($AQ160:BM160)-SUM($EA160:EK160)</f>
        <v>188947</v>
      </c>
      <c r="CT160" s="12">
        <f>SUM($AQ160:BN160)-SUM($EA160:EL160)</f>
        <v>174842</v>
      </c>
      <c r="CU160" s="12">
        <f>SUM($AQ160:BO160)-SUM($EA160:EM160)</f>
        <v>160492</v>
      </c>
      <c r="CV160" s="12">
        <f>SUM($AQ160:BP160)-SUM($EA160:EN160)</f>
        <v>146142</v>
      </c>
      <c r="CW160" s="12">
        <f>SUM($AQ160:BQ160)-SUM($EA160:EO160)</f>
        <v>132142</v>
      </c>
      <c r="CX160" s="12">
        <f>SUM($AQ160:BR160)-SUM($EA160:EP160)</f>
        <v>117792</v>
      </c>
      <c r="CY160" s="12">
        <f>SUM($AQ160:BS160)-SUM($EA160:EQ160)</f>
        <v>103442</v>
      </c>
      <c r="CZ160" s="12">
        <f>SUM($AQ160:BT160)-SUM($EA160:ER160)</f>
        <v>89092</v>
      </c>
      <c r="DA160" s="12">
        <f>SUM($AQ160:BU160)-SUM($EA160:ES160)</f>
        <v>74742</v>
      </c>
      <c r="DB160" s="12">
        <f>SUM($AQ160:BV160)-SUM($EA160:ET160)</f>
        <v>60392</v>
      </c>
      <c r="DC160" s="12">
        <f>SUM($AQ160:BW160)-SUM($EA160:EU160)</f>
        <v>46042</v>
      </c>
      <c r="DD160" s="12">
        <f>SUM($AQ160:BX160)-SUM($EA160:EV160)</f>
        <v>31692</v>
      </c>
      <c r="DE160" s="12">
        <f>SUM($AQ160:BY160)-SUM($EA160:EW160)</f>
        <v>17556</v>
      </c>
      <c r="DF160" s="12">
        <f>SUM($AQ160:BZ160)-SUM($EA160:EX160)</f>
        <v>3556</v>
      </c>
      <c r="DG160" s="12">
        <f>SUM($AQ160:CA160)-SUM($EA160:EY160)</f>
        <v>-10444</v>
      </c>
      <c r="DH160" s="12">
        <f>SUM($AQ160:CB160)-SUM($EA160:EZ160)</f>
        <v>-24444</v>
      </c>
      <c r="DI160" s="12">
        <f>SUM($AQ160:CC160)-SUM($EA160:FA160)</f>
        <v>-38444</v>
      </c>
      <c r="DJ160" s="12">
        <f>SUM($AQ160:CD160)-SUM($EA160:FB160)</f>
        <v>-52444</v>
      </c>
      <c r="DK160" s="12">
        <f>SUM($AQ160:CE160)-SUM($EA160:FC160)</f>
        <v>-66444</v>
      </c>
      <c r="DL160" s="12">
        <f>SUM($AQ160:CF160)-SUM($EA160:FD160)</f>
        <v>-80444</v>
      </c>
      <c r="DM160" s="12">
        <f>SUM($AQ160:CG160)-SUM($EA160:FE160)</f>
        <v>-94444</v>
      </c>
      <c r="DN160" s="12">
        <f>SUM($AQ160:CH160)-SUM($EA160:FF160)</f>
        <v>-108444</v>
      </c>
      <c r="DO160" s="12">
        <f>SUM($AQ160:CI160)-SUM($EA160:FG160)</f>
        <v>-122444</v>
      </c>
      <c r="DP160" s="12">
        <f>SUM($AQ160:CJ160)-SUM($EA160:FH160)</f>
        <v>-136444</v>
      </c>
      <c r="DQ160" s="12">
        <f>SUM($AQ160:CK160)-SUM($EA160:FI160)</f>
        <v>-150444</v>
      </c>
      <c r="DR160" s="12">
        <f>SUM($AQ160:CL160)-SUM($EA160:FJ160)</f>
        <v>-164444</v>
      </c>
      <c r="DS160" s="12">
        <f>SUM($AQ160:CM160)-SUM($EA160:FK160)</f>
        <v>-178444</v>
      </c>
      <c r="DT160" s="12">
        <f>SUM($AQ160:CN160)-SUM($EA160:FL160)</f>
        <v>-192444</v>
      </c>
      <c r="DU160" s="12">
        <f>SUM($AQ160:CO160)-SUM($EA160:FM160)</f>
        <v>-206444</v>
      </c>
      <c r="DV160" s="12">
        <f>SUM($AQ160:CP160)-SUM($EA160:FN160)</f>
        <v>-12009</v>
      </c>
      <c r="DW160" s="12">
        <f>SUM($AQ160:CQ160)-SUM($EA160:FO160)</f>
        <v>191449</v>
      </c>
      <c r="DX160" s="13"/>
      <c r="DY160" s="13"/>
      <c r="DZ160" s="13"/>
      <c r="EA160" s="12"/>
      <c r="EB160" s="12"/>
      <c r="EC160" s="12"/>
      <c r="ED160" s="12"/>
      <c r="EE160" s="12"/>
      <c r="EF160" s="12"/>
      <c r="EG160" s="12"/>
      <c r="EH160" s="12">
        <f t="array" ref="EH160">SUMPRODUCT(TRANSPOSE(EH$9:EH$34),$K160:$AJ160)</f>
        <v>49441</v>
      </c>
      <c r="EI160" s="12">
        <f t="array" ref="EI160">SUMPRODUCT(TRANSPOSE(EI$9:EI$34),$K160:$AJ160)</f>
        <v>2562</v>
      </c>
      <c r="EJ160" s="12">
        <f t="array" ref="EJ160">SUMPRODUCT(TRANSPOSE(EJ$9:EJ$34),$K160:$AJ160)</f>
        <v>7105</v>
      </c>
      <c r="EK160" s="12">
        <f t="array" ref="EK160">SUMPRODUCT(TRANSPOSE(EK$9:EK$34),$K160:$AJ160)</f>
        <v>7945</v>
      </c>
      <c r="EL160" s="12">
        <f t="array" ref="EL160">SUMPRODUCT(TRANSPOSE(EL$9:EL$34),$K160:$AJ160)</f>
        <v>14105</v>
      </c>
      <c r="EM160" s="12">
        <f t="array" ref="EM160">SUMPRODUCT(TRANSPOSE(EM$9:EM$34),$K160:$AJ160)</f>
        <v>14350</v>
      </c>
      <c r="EN160" s="12">
        <f t="array" ref="EN160">SUMPRODUCT(TRANSPOSE(EN$9:EN$34),$K160:$AJ160)</f>
        <v>14350</v>
      </c>
      <c r="EO160" s="12">
        <f t="array" ref="EO160">SUMPRODUCT(TRANSPOSE(EO$9:EO$34),$K160:$AJ160)</f>
        <v>14000</v>
      </c>
      <c r="EP160" s="12">
        <f t="array" ref="EP160">SUMPRODUCT(TRANSPOSE(EP$9:EP$34),$K160:$AJ160)</f>
        <v>14350</v>
      </c>
      <c r="EQ160" s="12">
        <f t="array" ref="EQ160">SUMPRODUCT(TRANSPOSE(EQ$9:EQ$34),$K160:$AJ160)</f>
        <v>14350</v>
      </c>
      <c r="ER160" s="12">
        <f t="array" ref="ER160">SUMPRODUCT(TRANSPOSE(ER$9:ER$34),$K160:$AJ160)</f>
        <v>14350</v>
      </c>
      <c r="ES160" s="12">
        <f t="array" ref="ES160">SUMPRODUCT(TRANSPOSE(ES$9:ES$34),$K160:$AJ160)</f>
        <v>14350</v>
      </c>
      <c r="ET160" s="12">
        <f t="array" ref="ET160">SUMPRODUCT(TRANSPOSE(ET$9:ET$34),$K160:$AJ160)</f>
        <v>14350</v>
      </c>
      <c r="EU160" s="12">
        <f t="array" ref="EU160">SUMPRODUCT(TRANSPOSE(EU$9:EU$34),$K160:$AJ160)</f>
        <v>14350</v>
      </c>
      <c r="EV160" s="12">
        <f t="array" ref="EV160">SUMPRODUCT(TRANSPOSE(EV$9:EV$34),$K160:$AJ160)</f>
        <v>14350</v>
      </c>
      <c r="EW160" s="12">
        <f t="array" ref="EW160">SUMPRODUCT(TRANSPOSE(EW$9:EW$34),$K160:$AJ160)</f>
        <v>14136</v>
      </c>
      <c r="EX160" s="12">
        <f t="array" ref="EX160">SUMPRODUCT(TRANSPOSE(EX$9:EX$34),$K160:$AJ160)</f>
        <v>14000</v>
      </c>
      <c r="EY160" s="12">
        <f t="array" ref="EY160">SUMPRODUCT(TRANSPOSE(EY$9:EY$34),$K160:$AJ160)</f>
        <v>14000</v>
      </c>
      <c r="EZ160" s="12">
        <f t="array" ref="EZ160">SUMPRODUCT(TRANSPOSE(EZ$9:EZ$34),$K160:$AJ160)</f>
        <v>14000</v>
      </c>
      <c r="FA160" s="12">
        <f t="array" ref="FA160">SUMPRODUCT(TRANSPOSE(FA$9:FA$34),$K160:$AJ160)</f>
        <v>14000</v>
      </c>
      <c r="FB160" s="12">
        <f t="array" ref="FB160">SUMPRODUCT(TRANSPOSE(FB$9:FB$34),$K160:$AJ160)</f>
        <v>14000</v>
      </c>
      <c r="FC160" s="12">
        <f t="array" ref="FC160">SUMPRODUCT(TRANSPOSE(FC$9:FC$34),$K160:$AJ160)</f>
        <v>14000</v>
      </c>
      <c r="FD160" s="12">
        <f t="array" ref="FD160">SUMPRODUCT(TRANSPOSE(FD$9:FD$34),$K160:$AJ160)</f>
        <v>14000</v>
      </c>
      <c r="FE160" s="12">
        <f t="array" ref="FE160">SUMPRODUCT(TRANSPOSE(FE$9:FE$34),$K160:$AJ160)</f>
        <v>14000</v>
      </c>
      <c r="FF160" s="12">
        <f t="array" ref="FF160">SUMPRODUCT(TRANSPOSE(FF$9:FF$34),$K160:$AJ160)</f>
        <v>14000</v>
      </c>
      <c r="FG160" s="12">
        <f t="array" ref="FG160">SUMPRODUCT(TRANSPOSE(FG$9:FG$34),$K160:$AJ160)</f>
        <v>14000</v>
      </c>
      <c r="FH160" s="12">
        <f t="array" ref="FH160">SUMPRODUCT(TRANSPOSE(FH$9:FH$34),$K160:$AJ160)</f>
        <v>14000</v>
      </c>
      <c r="FI160" s="12">
        <f t="array" ref="FI160">SUMPRODUCT(TRANSPOSE(FI$9:FI$34),$K160:$AJ160)</f>
        <v>14000</v>
      </c>
      <c r="FJ160" s="12">
        <f t="array" ref="FJ160">SUMPRODUCT(TRANSPOSE(FJ$9:FJ$34),$K160:$AJ160)</f>
        <v>14000</v>
      </c>
      <c r="FK160" s="12">
        <f t="array" ref="FK160">SUMPRODUCT(TRANSPOSE(FK$9:FK$34),$K160:$AJ160)</f>
        <v>14000</v>
      </c>
      <c r="FL160" s="12">
        <f t="array" ref="FL160">SUMPRODUCT(TRANSPOSE(FL$9:FL$34),$K160:$AJ160)</f>
        <v>14000</v>
      </c>
      <c r="FM160" s="12">
        <f t="array" ref="FM160">SUMPRODUCT(TRANSPOSE(FM$9:FM$34),$K160:$AJ160)</f>
        <v>14000</v>
      </c>
      <c r="FN160" s="12">
        <f t="array" ref="FN160">SUMPRODUCT(TRANSPOSE(FN$9:FN$34),$K160:$AJ160)</f>
        <v>12124</v>
      </c>
      <c r="FO160" s="12">
        <f t="array" ref="FO160">SUMPRODUCT(TRANSPOSE(FO$9:FO$34),$K160:$AJ160)</f>
        <v>539</v>
      </c>
    </row>
    <row r="161" spans="1:171" ht="14.25" x14ac:dyDescent="0.2">
      <c r="A161" s="13">
        <f t="shared" si="7"/>
        <v>126</v>
      </c>
      <c r="B161" s="13" t="s">
        <v>456</v>
      </c>
      <c r="C161" s="25" t="s">
        <v>457</v>
      </c>
      <c r="D161" s="13" t="s">
        <v>67</v>
      </c>
      <c r="E161" s="13">
        <v>401775380</v>
      </c>
      <c r="F161" s="26" t="s">
        <v>458</v>
      </c>
      <c r="G161" s="13">
        <v>400481299</v>
      </c>
      <c r="H161" s="13" t="s">
        <v>61</v>
      </c>
      <c r="I161" s="13">
        <v>2</v>
      </c>
      <c r="J161" s="13">
        <v>14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7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/>
      <c r="Z161" s="13">
        <v>7</v>
      </c>
      <c r="AA161" s="13">
        <v>0</v>
      </c>
      <c r="AB161" s="13">
        <v>0</v>
      </c>
      <c r="AC161" s="13">
        <v>0</v>
      </c>
      <c r="AD161" s="13">
        <v>7</v>
      </c>
      <c r="AE161" s="13">
        <v>7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f t="shared" si="8"/>
        <v>21</v>
      </c>
      <c r="AL161" s="23">
        <f t="shared" si="6"/>
        <v>249655</v>
      </c>
      <c r="AM161" s="13"/>
      <c r="AN161" s="13" t="s">
        <v>418</v>
      </c>
      <c r="AO161" s="7" t="s">
        <v>419</v>
      </c>
      <c r="AP161" s="38">
        <v>2.2599999999999999E-2</v>
      </c>
      <c r="AQ161" s="12">
        <v>250000</v>
      </c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13"/>
      <c r="CG161" s="13"/>
      <c r="CH161" s="13"/>
      <c r="CI161" s="12"/>
      <c r="CJ161" s="12"/>
      <c r="CK161" s="12"/>
      <c r="CL161" s="12"/>
      <c r="CM161" s="12"/>
      <c r="CN161" s="12"/>
      <c r="CO161" s="12"/>
      <c r="CP161" s="12">
        <f>SUM($AQ161:BJ161)-SUM($EA161:EH161)</f>
        <v>228237</v>
      </c>
      <c r="CQ161" s="12">
        <f>SUM($AQ161:BK161)-SUM($EA161:EI161)</f>
        <v>226270</v>
      </c>
      <c r="CR161" s="12">
        <f>SUM($AQ161:BL161)-SUM($EA161:EJ161)</f>
        <v>226165</v>
      </c>
      <c r="CS161" s="12">
        <f>SUM($AQ161:BM161)-SUM($EA161:EK161)</f>
        <v>225220</v>
      </c>
      <c r="CT161" s="12">
        <f>SUM($AQ161:BN161)-SUM($EA161:EL161)</f>
        <v>218115</v>
      </c>
      <c r="CU161" s="12">
        <f>SUM($AQ161:BO161)-SUM($EA161:EM161)</f>
        <v>203765</v>
      </c>
      <c r="CV161" s="12">
        <f>SUM($AQ161:BP161)-SUM($EA161:EN161)</f>
        <v>195715</v>
      </c>
      <c r="CW161" s="12">
        <f>SUM($AQ161:BQ161)-SUM($EA161:EO161)</f>
        <v>188715</v>
      </c>
      <c r="CX161" s="12">
        <f>SUM($AQ161:BR161)-SUM($EA161:EP161)</f>
        <v>181365</v>
      </c>
      <c r="CY161" s="12">
        <f>SUM($AQ161:BS161)-SUM($EA161:EQ161)</f>
        <v>174015</v>
      </c>
      <c r="CZ161" s="12">
        <f>SUM($AQ161:BT161)-SUM($EA161:ER161)</f>
        <v>166665</v>
      </c>
      <c r="DA161" s="12">
        <f>SUM($AQ161:BU161)-SUM($EA161:ES161)</f>
        <v>159315</v>
      </c>
      <c r="DB161" s="12">
        <f>SUM($AQ161:BV161)-SUM($EA161:ET161)</f>
        <v>151965</v>
      </c>
      <c r="DC161" s="12">
        <f>SUM($AQ161:BW161)-SUM($EA161:EU161)</f>
        <v>144615</v>
      </c>
      <c r="DD161" s="12">
        <f>SUM($AQ161:BX161)-SUM($EA161:EV161)</f>
        <v>137265</v>
      </c>
      <c r="DE161" s="12">
        <f>SUM($AQ161:BY161)-SUM($EA161:EW161)</f>
        <v>129964</v>
      </c>
      <c r="DF161" s="12">
        <f>SUM($AQ161:BZ161)-SUM($EA161:EX161)</f>
        <v>122964</v>
      </c>
      <c r="DG161" s="12">
        <f>SUM($AQ161:CA161)-SUM($EA161:EY161)</f>
        <v>115964</v>
      </c>
      <c r="DH161" s="12">
        <f>SUM($AQ161:CB161)-SUM($EA161:EZ161)</f>
        <v>108964</v>
      </c>
      <c r="DI161" s="12">
        <f>SUM($AQ161:CC161)-SUM($EA161:FA161)</f>
        <v>101964</v>
      </c>
      <c r="DJ161" s="12">
        <f>SUM($AQ161:CD161)-SUM($EA161:FB161)</f>
        <v>94964</v>
      </c>
      <c r="DK161" s="12">
        <f>SUM($AQ161:CE161)-SUM($EA161:FC161)</f>
        <v>87964</v>
      </c>
      <c r="DL161" s="12">
        <f>SUM($AQ161:CF161)-SUM($EA161:FD161)</f>
        <v>80964</v>
      </c>
      <c r="DM161" s="12">
        <f>SUM($AQ161:CG161)-SUM($EA161:FE161)</f>
        <v>73964</v>
      </c>
      <c r="DN161" s="12">
        <f>SUM($AQ161:CH161)-SUM($EA161:FF161)</f>
        <v>66964</v>
      </c>
      <c r="DO161" s="12">
        <f>SUM($AQ161:CI161)-SUM($EA161:FG161)</f>
        <v>59964</v>
      </c>
      <c r="DP161" s="12">
        <f>SUM($AQ161:CJ161)-SUM($EA161:FH161)</f>
        <v>52964</v>
      </c>
      <c r="DQ161" s="12">
        <f>SUM($AQ161:CK161)-SUM($EA161:FI161)</f>
        <v>45964</v>
      </c>
      <c r="DR161" s="12">
        <f>SUM($AQ161:CL161)-SUM($EA161:FJ161)</f>
        <v>38964</v>
      </c>
      <c r="DS161" s="12">
        <f>SUM($AQ161:CM161)-SUM($EA161:FK161)</f>
        <v>31964</v>
      </c>
      <c r="DT161" s="12">
        <f>SUM($AQ161:CN161)-SUM($EA161:FL161)</f>
        <v>24964</v>
      </c>
      <c r="DU161" s="12">
        <f>SUM($AQ161:CO161)-SUM($EA161:FM161)</f>
        <v>17964</v>
      </c>
      <c r="DV161" s="12">
        <f>SUM($AQ161:CP161)-SUM($EA161:FN161)</f>
        <v>240482</v>
      </c>
      <c r="DW161" s="12">
        <f>SUM($AQ161:CQ161)-SUM($EA161:FO161)</f>
        <v>466752</v>
      </c>
      <c r="DX161" s="13"/>
      <c r="DY161" s="13"/>
      <c r="DZ161" s="13"/>
      <c r="EA161" s="12"/>
      <c r="EB161" s="12"/>
      <c r="EC161" s="12"/>
      <c r="ED161" s="12"/>
      <c r="EE161" s="12"/>
      <c r="EF161" s="12"/>
      <c r="EG161" s="12"/>
      <c r="EH161" s="12">
        <f t="array" ref="EH161">SUMPRODUCT(TRANSPOSE(EH$9:EH$34),$K161:$AJ161)</f>
        <v>21763</v>
      </c>
      <c r="EI161" s="12">
        <f t="array" ref="EI161">SUMPRODUCT(TRANSPOSE(EI$9:EI$34),$K161:$AJ161)</f>
        <v>1967</v>
      </c>
      <c r="EJ161" s="12">
        <f t="array" ref="EJ161">SUMPRODUCT(TRANSPOSE(EJ$9:EJ$34),$K161:$AJ161)</f>
        <v>105</v>
      </c>
      <c r="EK161" s="12">
        <f t="array" ref="EK161">SUMPRODUCT(TRANSPOSE(EK$9:EK$34),$K161:$AJ161)</f>
        <v>945</v>
      </c>
      <c r="EL161" s="12">
        <f t="array" ref="EL161">SUMPRODUCT(TRANSPOSE(EL$9:EL$34),$K161:$AJ161)</f>
        <v>7105</v>
      </c>
      <c r="EM161" s="12">
        <f t="array" ref="EM161">SUMPRODUCT(TRANSPOSE(EM$9:EM$34),$K161:$AJ161)</f>
        <v>14350</v>
      </c>
      <c r="EN161" s="12">
        <f t="array" ref="EN161">SUMPRODUCT(TRANSPOSE(EN$9:EN$34),$K161:$AJ161)</f>
        <v>8050</v>
      </c>
      <c r="EO161" s="12">
        <f t="array" ref="EO161">SUMPRODUCT(TRANSPOSE(EO$9:EO$34),$K161:$AJ161)</f>
        <v>7000</v>
      </c>
      <c r="EP161" s="12">
        <f t="array" ref="EP161">SUMPRODUCT(TRANSPOSE(EP$9:EP$34),$K161:$AJ161)</f>
        <v>7350</v>
      </c>
      <c r="EQ161" s="12">
        <f t="array" ref="EQ161">SUMPRODUCT(TRANSPOSE(EQ$9:EQ$34),$K161:$AJ161)</f>
        <v>7350</v>
      </c>
      <c r="ER161" s="12">
        <f t="array" ref="ER161">SUMPRODUCT(TRANSPOSE(ER$9:ER$34),$K161:$AJ161)</f>
        <v>7350</v>
      </c>
      <c r="ES161" s="12">
        <f t="array" ref="ES161">SUMPRODUCT(TRANSPOSE(ES$9:ES$34),$K161:$AJ161)</f>
        <v>7350</v>
      </c>
      <c r="ET161" s="12">
        <f t="array" ref="ET161">SUMPRODUCT(TRANSPOSE(ET$9:ET$34),$K161:$AJ161)</f>
        <v>7350</v>
      </c>
      <c r="EU161" s="12">
        <f t="array" ref="EU161">SUMPRODUCT(TRANSPOSE(EU$9:EU$34),$K161:$AJ161)</f>
        <v>7350</v>
      </c>
      <c r="EV161" s="12">
        <f t="array" ref="EV161">SUMPRODUCT(TRANSPOSE(EV$9:EV$34),$K161:$AJ161)</f>
        <v>7350</v>
      </c>
      <c r="EW161" s="12">
        <f t="array" ref="EW161">SUMPRODUCT(TRANSPOSE(EW$9:EW$34),$K161:$AJ161)</f>
        <v>7301</v>
      </c>
      <c r="EX161" s="12">
        <f t="array" ref="EX161">SUMPRODUCT(TRANSPOSE(EX$9:EX$34),$K161:$AJ161)</f>
        <v>7000</v>
      </c>
      <c r="EY161" s="12">
        <f t="array" ref="EY161">SUMPRODUCT(TRANSPOSE(EY$9:EY$34),$K161:$AJ161)</f>
        <v>7000</v>
      </c>
      <c r="EZ161" s="12">
        <f t="array" ref="EZ161">SUMPRODUCT(TRANSPOSE(EZ$9:EZ$34),$K161:$AJ161)</f>
        <v>7000</v>
      </c>
      <c r="FA161" s="12">
        <f t="array" ref="FA161">SUMPRODUCT(TRANSPOSE(FA$9:FA$34),$K161:$AJ161)</f>
        <v>7000</v>
      </c>
      <c r="FB161" s="12">
        <f t="array" ref="FB161">SUMPRODUCT(TRANSPOSE(FB$9:FB$34),$K161:$AJ161)</f>
        <v>7000</v>
      </c>
      <c r="FC161" s="12">
        <f t="array" ref="FC161">SUMPRODUCT(TRANSPOSE(FC$9:FC$34),$K161:$AJ161)</f>
        <v>7000</v>
      </c>
      <c r="FD161" s="12">
        <f t="array" ref="FD161">SUMPRODUCT(TRANSPOSE(FD$9:FD$34),$K161:$AJ161)</f>
        <v>7000</v>
      </c>
      <c r="FE161" s="12">
        <f t="array" ref="FE161">SUMPRODUCT(TRANSPOSE(FE$9:FE$34),$K161:$AJ161)</f>
        <v>7000</v>
      </c>
      <c r="FF161" s="12">
        <f t="array" ref="FF161">SUMPRODUCT(TRANSPOSE(FF$9:FF$34),$K161:$AJ161)</f>
        <v>7000</v>
      </c>
      <c r="FG161" s="12">
        <f t="array" ref="FG161">SUMPRODUCT(TRANSPOSE(FG$9:FG$34),$K161:$AJ161)</f>
        <v>7000</v>
      </c>
      <c r="FH161" s="12">
        <f t="array" ref="FH161">SUMPRODUCT(TRANSPOSE(FH$9:FH$34),$K161:$AJ161)</f>
        <v>7000</v>
      </c>
      <c r="FI161" s="12">
        <f t="array" ref="FI161">SUMPRODUCT(TRANSPOSE(FI$9:FI$34),$K161:$AJ161)</f>
        <v>7000</v>
      </c>
      <c r="FJ161" s="12">
        <f t="array" ref="FJ161">SUMPRODUCT(TRANSPOSE(FJ$9:FJ$34),$K161:$AJ161)</f>
        <v>7000</v>
      </c>
      <c r="FK161" s="12">
        <f t="array" ref="FK161">SUMPRODUCT(TRANSPOSE(FK$9:FK$34),$K161:$AJ161)</f>
        <v>7000</v>
      </c>
      <c r="FL161" s="12">
        <f t="array" ref="FL161">SUMPRODUCT(TRANSPOSE(FL$9:FL$34),$K161:$AJ161)</f>
        <v>7000</v>
      </c>
      <c r="FM161" s="12">
        <f t="array" ref="FM161">SUMPRODUCT(TRANSPOSE(FM$9:FM$34),$K161:$AJ161)</f>
        <v>7000</v>
      </c>
      <c r="FN161" s="12">
        <f t="array" ref="FN161">SUMPRODUCT(TRANSPOSE(FN$9:FN$34),$K161:$AJ161)</f>
        <v>5719</v>
      </c>
      <c r="FO161" s="12">
        <f t="array" ref="FO161">SUMPRODUCT(TRANSPOSE(FO$9:FO$34),$K161:$AJ161)</f>
        <v>0</v>
      </c>
    </row>
    <row r="162" spans="1:171" ht="14.25" x14ac:dyDescent="0.2">
      <c r="A162" s="13">
        <f t="shared" si="7"/>
        <v>127</v>
      </c>
      <c r="B162" s="13" t="s">
        <v>459</v>
      </c>
      <c r="C162" s="25" t="s">
        <v>460</v>
      </c>
      <c r="D162" s="13" t="s">
        <v>67</v>
      </c>
      <c r="E162" s="13">
        <v>400539517</v>
      </c>
      <c r="F162" s="26" t="s">
        <v>440</v>
      </c>
      <c r="G162" s="13" t="s">
        <v>461</v>
      </c>
      <c r="H162" s="13" t="s">
        <v>61</v>
      </c>
      <c r="I162" s="13">
        <v>2</v>
      </c>
      <c r="J162" s="13">
        <v>9</v>
      </c>
      <c r="K162" s="13">
        <v>0</v>
      </c>
      <c r="L162" s="13">
        <v>0</v>
      </c>
      <c r="M162" s="13">
        <v>0</v>
      </c>
      <c r="N162" s="13">
        <v>0</v>
      </c>
      <c r="O162" s="13">
        <v>3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3</v>
      </c>
      <c r="Y162" s="13"/>
      <c r="Z162" s="13"/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3</v>
      </c>
      <c r="AK162" s="13">
        <f t="shared" si="8"/>
        <v>6</v>
      </c>
      <c r="AL162" s="23">
        <f t="shared" si="6"/>
        <v>212589</v>
      </c>
      <c r="AM162" s="13"/>
      <c r="AN162" s="13" t="s">
        <v>418</v>
      </c>
      <c r="AO162" s="7" t="s">
        <v>419</v>
      </c>
      <c r="AP162" s="38">
        <v>1.2E-2</v>
      </c>
      <c r="AQ162" s="12">
        <v>216000</v>
      </c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13"/>
      <c r="CG162" s="13"/>
      <c r="CH162" s="13"/>
      <c r="CI162" s="12"/>
      <c r="CJ162" s="12"/>
      <c r="CK162" s="12"/>
      <c r="CL162" s="12"/>
      <c r="CM162" s="12"/>
      <c r="CN162" s="12"/>
      <c r="CO162" s="12"/>
      <c r="CP162" s="12">
        <f>SUM($AQ162:BJ162)-SUM($EA162:EH162)</f>
        <v>194811</v>
      </c>
      <c r="CQ162" s="12">
        <f>SUM($AQ162:BK162)-SUM($EA162:EI162)</f>
        <v>193611</v>
      </c>
      <c r="CR162" s="12">
        <f>SUM($AQ162:BL162)-SUM($EA162:EJ162)</f>
        <v>190566</v>
      </c>
      <c r="CS162" s="12">
        <f>SUM($AQ162:BM162)-SUM($EA162:EK162)</f>
        <v>187161</v>
      </c>
      <c r="CT162" s="12">
        <f>SUM($AQ162:BN162)-SUM($EA162:EL162)</f>
        <v>181116</v>
      </c>
      <c r="CU162" s="12">
        <f>SUM($AQ162:BO162)-SUM($EA162:EM162)</f>
        <v>174966</v>
      </c>
      <c r="CV162" s="12">
        <f>SUM($AQ162:BP162)-SUM($EA162:EN162)</f>
        <v>168816</v>
      </c>
      <c r="CW162" s="12">
        <f>SUM($AQ162:BQ162)-SUM($EA162:EO162)</f>
        <v>162816</v>
      </c>
      <c r="CX162" s="12">
        <f>SUM($AQ162:BR162)-SUM($EA162:EP162)</f>
        <v>156666</v>
      </c>
      <c r="CY162" s="12">
        <f>SUM($AQ162:BS162)-SUM($EA162:EQ162)</f>
        <v>150516</v>
      </c>
      <c r="CZ162" s="12">
        <f>SUM($AQ162:BT162)-SUM($EA162:ER162)</f>
        <v>144366</v>
      </c>
      <c r="DA162" s="12">
        <f>SUM($AQ162:BU162)-SUM($EA162:ES162)</f>
        <v>138216</v>
      </c>
      <c r="DB162" s="12">
        <f>SUM($AQ162:BV162)-SUM($EA162:ET162)</f>
        <v>132066</v>
      </c>
      <c r="DC162" s="12">
        <f>SUM($AQ162:BW162)-SUM($EA162:EU162)</f>
        <v>125916</v>
      </c>
      <c r="DD162" s="12">
        <f>SUM($AQ162:BX162)-SUM($EA162:EV162)</f>
        <v>119766</v>
      </c>
      <c r="DE162" s="12">
        <f>SUM($AQ162:BY162)-SUM($EA162:EW162)</f>
        <v>113736</v>
      </c>
      <c r="DF162" s="12">
        <f>SUM($AQ162:BZ162)-SUM($EA162:EX162)</f>
        <v>107736</v>
      </c>
      <c r="DG162" s="12">
        <f>SUM($AQ162:CA162)-SUM($EA162:EY162)</f>
        <v>101736</v>
      </c>
      <c r="DH162" s="12">
        <f>SUM($AQ162:CB162)-SUM($EA162:EZ162)</f>
        <v>95736</v>
      </c>
      <c r="DI162" s="12">
        <f>SUM($AQ162:CC162)-SUM($EA162:FA162)</f>
        <v>89736</v>
      </c>
      <c r="DJ162" s="12">
        <f>SUM($AQ162:CD162)-SUM($EA162:FB162)</f>
        <v>83736</v>
      </c>
      <c r="DK162" s="12">
        <f>SUM($AQ162:CE162)-SUM($EA162:FC162)</f>
        <v>77736</v>
      </c>
      <c r="DL162" s="12">
        <f>SUM($AQ162:CF162)-SUM($EA162:FD162)</f>
        <v>71736</v>
      </c>
      <c r="DM162" s="12">
        <f>SUM($AQ162:CG162)-SUM($EA162:FE162)</f>
        <v>65736</v>
      </c>
      <c r="DN162" s="12">
        <f>SUM($AQ162:CH162)-SUM($EA162:FF162)</f>
        <v>59736</v>
      </c>
      <c r="DO162" s="12">
        <f>SUM($AQ162:CI162)-SUM($EA162:FG162)</f>
        <v>53736</v>
      </c>
      <c r="DP162" s="12">
        <f>SUM($AQ162:CJ162)-SUM($EA162:FH162)</f>
        <v>47736</v>
      </c>
      <c r="DQ162" s="12">
        <f>SUM($AQ162:CK162)-SUM($EA162:FI162)</f>
        <v>41736</v>
      </c>
      <c r="DR162" s="12">
        <f>SUM($AQ162:CL162)-SUM($EA162:FJ162)</f>
        <v>35736</v>
      </c>
      <c r="DS162" s="12">
        <f>SUM($AQ162:CM162)-SUM($EA162:FK162)</f>
        <v>29736</v>
      </c>
      <c r="DT162" s="12">
        <f>SUM($AQ162:CN162)-SUM($EA162:FL162)</f>
        <v>23736</v>
      </c>
      <c r="DU162" s="12">
        <f>SUM($AQ162:CO162)-SUM($EA162:FM162)</f>
        <v>17736</v>
      </c>
      <c r="DV162" s="12">
        <f>SUM($AQ162:CP162)-SUM($EA162:FN162)</f>
        <v>207453</v>
      </c>
      <c r="DW162" s="12">
        <f>SUM($AQ162:CQ162)-SUM($EA162:FO162)</f>
        <v>400833</v>
      </c>
      <c r="DX162" s="13"/>
      <c r="DY162" s="13"/>
      <c r="DZ162" s="13"/>
      <c r="EA162" s="12"/>
      <c r="EB162" s="12"/>
      <c r="EC162" s="12"/>
      <c r="ED162" s="12"/>
      <c r="EE162" s="12"/>
      <c r="EF162" s="12"/>
      <c r="EG162" s="12"/>
      <c r="EH162" s="12">
        <f t="array" ref="EH162">SUMPRODUCT(TRANSPOSE(EH$9:EH$34),$K162:$AJ162)</f>
        <v>21189</v>
      </c>
      <c r="EI162" s="12">
        <f t="array" ref="EI162">SUMPRODUCT(TRANSPOSE(EI$9:EI$34),$K162:$AJ162)</f>
        <v>1200</v>
      </c>
      <c r="EJ162" s="12">
        <f t="array" ref="EJ162">SUMPRODUCT(TRANSPOSE(EJ$9:EJ$34),$K162:$AJ162)</f>
        <v>3045</v>
      </c>
      <c r="EK162" s="12">
        <f t="array" ref="EK162">SUMPRODUCT(TRANSPOSE(EK$9:EK$34),$K162:$AJ162)</f>
        <v>3405</v>
      </c>
      <c r="EL162" s="12">
        <f t="array" ref="EL162">SUMPRODUCT(TRANSPOSE(EL$9:EL$34),$K162:$AJ162)</f>
        <v>6045</v>
      </c>
      <c r="EM162" s="12">
        <f t="array" ref="EM162">SUMPRODUCT(TRANSPOSE(EM$9:EM$34),$K162:$AJ162)</f>
        <v>6150</v>
      </c>
      <c r="EN162" s="12">
        <f t="array" ref="EN162">SUMPRODUCT(TRANSPOSE(EN$9:EN$34),$K162:$AJ162)</f>
        <v>6150</v>
      </c>
      <c r="EO162" s="12">
        <f t="array" ref="EO162">SUMPRODUCT(TRANSPOSE(EO$9:EO$34),$K162:$AJ162)</f>
        <v>6000</v>
      </c>
      <c r="EP162" s="12">
        <f t="array" ref="EP162">SUMPRODUCT(TRANSPOSE(EP$9:EP$34),$K162:$AJ162)</f>
        <v>6150</v>
      </c>
      <c r="EQ162" s="12">
        <f t="array" ref="EQ162">SUMPRODUCT(TRANSPOSE(EQ$9:EQ$34),$K162:$AJ162)</f>
        <v>6150</v>
      </c>
      <c r="ER162" s="12">
        <f t="array" ref="ER162">SUMPRODUCT(TRANSPOSE(ER$9:ER$34),$K162:$AJ162)</f>
        <v>6150</v>
      </c>
      <c r="ES162" s="12">
        <f t="array" ref="ES162">SUMPRODUCT(TRANSPOSE(ES$9:ES$34),$K162:$AJ162)</f>
        <v>6150</v>
      </c>
      <c r="ET162" s="12">
        <f t="array" ref="ET162">SUMPRODUCT(TRANSPOSE(ET$9:ET$34),$K162:$AJ162)</f>
        <v>6150</v>
      </c>
      <c r="EU162" s="12">
        <f t="array" ref="EU162">SUMPRODUCT(TRANSPOSE(EU$9:EU$34),$K162:$AJ162)</f>
        <v>6150</v>
      </c>
      <c r="EV162" s="12">
        <f t="array" ref="EV162">SUMPRODUCT(TRANSPOSE(EV$9:EV$34),$K162:$AJ162)</f>
        <v>6150</v>
      </c>
      <c r="EW162" s="12">
        <f t="array" ref="EW162">SUMPRODUCT(TRANSPOSE(EW$9:EW$34),$K162:$AJ162)</f>
        <v>6030</v>
      </c>
      <c r="EX162" s="12">
        <f t="array" ref="EX162">SUMPRODUCT(TRANSPOSE(EX$9:EX$34),$K162:$AJ162)</f>
        <v>6000</v>
      </c>
      <c r="EY162" s="12">
        <f t="array" ref="EY162">SUMPRODUCT(TRANSPOSE(EY$9:EY$34),$K162:$AJ162)</f>
        <v>6000</v>
      </c>
      <c r="EZ162" s="12">
        <f t="array" ref="EZ162">SUMPRODUCT(TRANSPOSE(EZ$9:EZ$34),$K162:$AJ162)</f>
        <v>6000</v>
      </c>
      <c r="FA162" s="12">
        <f t="array" ref="FA162">SUMPRODUCT(TRANSPOSE(FA$9:FA$34),$K162:$AJ162)</f>
        <v>6000</v>
      </c>
      <c r="FB162" s="12">
        <f t="array" ref="FB162">SUMPRODUCT(TRANSPOSE(FB$9:FB$34),$K162:$AJ162)</f>
        <v>6000</v>
      </c>
      <c r="FC162" s="12">
        <f t="array" ref="FC162">SUMPRODUCT(TRANSPOSE(FC$9:FC$34),$K162:$AJ162)</f>
        <v>6000</v>
      </c>
      <c r="FD162" s="12">
        <f t="array" ref="FD162">SUMPRODUCT(TRANSPOSE(FD$9:FD$34),$K162:$AJ162)</f>
        <v>6000</v>
      </c>
      <c r="FE162" s="12">
        <f t="array" ref="FE162">SUMPRODUCT(TRANSPOSE(FE$9:FE$34),$K162:$AJ162)</f>
        <v>6000</v>
      </c>
      <c r="FF162" s="12">
        <f t="array" ref="FF162">SUMPRODUCT(TRANSPOSE(FF$9:FF$34),$K162:$AJ162)</f>
        <v>6000</v>
      </c>
      <c r="FG162" s="12">
        <f t="array" ref="FG162">SUMPRODUCT(TRANSPOSE(FG$9:FG$34),$K162:$AJ162)</f>
        <v>6000</v>
      </c>
      <c r="FH162" s="12">
        <f t="array" ref="FH162">SUMPRODUCT(TRANSPOSE(FH$9:FH$34),$K162:$AJ162)</f>
        <v>6000</v>
      </c>
      <c r="FI162" s="12">
        <f t="array" ref="FI162">SUMPRODUCT(TRANSPOSE(FI$9:FI$34),$K162:$AJ162)</f>
        <v>6000</v>
      </c>
      <c r="FJ162" s="12">
        <f t="array" ref="FJ162">SUMPRODUCT(TRANSPOSE(FJ$9:FJ$34),$K162:$AJ162)</f>
        <v>6000</v>
      </c>
      <c r="FK162" s="12">
        <f t="array" ref="FK162">SUMPRODUCT(TRANSPOSE(FK$9:FK$34),$K162:$AJ162)</f>
        <v>6000</v>
      </c>
      <c r="FL162" s="12">
        <f t="array" ref="FL162">SUMPRODUCT(TRANSPOSE(FL$9:FL$34),$K162:$AJ162)</f>
        <v>6000</v>
      </c>
      <c r="FM162" s="12">
        <f t="array" ref="FM162">SUMPRODUCT(TRANSPOSE(FM$9:FM$34),$K162:$AJ162)</f>
        <v>6000</v>
      </c>
      <c r="FN162" s="12">
        <f t="array" ref="FN162">SUMPRODUCT(TRANSPOSE(FN$9:FN$34),$K162:$AJ162)</f>
        <v>5094</v>
      </c>
      <c r="FO162" s="12">
        <f t="array" ref="FO162">SUMPRODUCT(TRANSPOSE(FO$9:FO$34),$K162:$AJ162)</f>
        <v>231</v>
      </c>
    </row>
    <row r="163" spans="1:171" ht="14.25" x14ac:dyDescent="0.2">
      <c r="A163" s="13">
        <f t="shared" si="7"/>
        <v>128</v>
      </c>
      <c r="B163" s="13" t="s">
        <v>462</v>
      </c>
      <c r="C163" s="25" t="s">
        <v>463</v>
      </c>
      <c r="D163" s="13" t="s">
        <v>67</v>
      </c>
      <c r="E163" s="13">
        <v>401554938</v>
      </c>
      <c r="F163" s="26" t="s">
        <v>464</v>
      </c>
      <c r="G163" s="13">
        <v>401502404</v>
      </c>
      <c r="H163" s="13" t="s">
        <v>61</v>
      </c>
      <c r="I163" s="13">
        <v>2</v>
      </c>
      <c r="J163" s="13">
        <v>68</v>
      </c>
      <c r="K163" s="13">
        <v>0</v>
      </c>
      <c r="L163" s="13">
        <v>0</v>
      </c>
      <c r="M163" s="13">
        <v>0</v>
      </c>
      <c r="N163" s="13">
        <v>12</v>
      </c>
      <c r="O163" s="13">
        <v>8</v>
      </c>
      <c r="P163" s="13">
        <v>0</v>
      </c>
      <c r="Q163" s="13">
        <v>0</v>
      </c>
      <c r="R163" s="13">
        <v>0</v>
      </c>
      <c r="S163" s="13">
        <v>16</v>
      </c>
      <c r="T163" s="13">
        <v>0</v>
      </c>
      <c r="U163" s="13">
        <v>0</v>
      </c>
      <c r="V163" s="13">
        <v>0</v>
      </c>
      <c r="W163" s="13">
        <v>0</v>
      </c>
      <c r="X163" s="13">
        <v>8</v>
      </c>
      <c r="Y163" s="13"/>
      <c r="Z163" s="13">
        <v>16</v>
      </c>
      <c r="AA163" s="13">
        <v>0</v>
      </c>
      <c r="AB163" s="13">
        <v>0</v>
      </c>
      <c r="AC163" s="13">
        <v>0</v>
      </c>
      <c r="AD163" s="13">
        <v>16</v>
      </c>
      <c r="AE163" s="13">
        <v>16</v>
      </c>
      <c r="AF163" s="13">
        <v>0</v>
      </c>
      <c r="AG163" s="13">
        <v>0</v>
      </c>
      <c r="AH163" s="13">
        <v>0</v>
      </c>
      <c r="AI163" s="13">
        <v>0</v>
      </c>
      <c r="AJ163" s="13">
        <v>8</v>
      </c>
      <c r="AK163" s="13">
        <f t="shared" si="8"/>
        <v>76</v>
      </c>
      <c r="AL163" s="23">
        <f t="shared" si="6"/>
        <v>1560316</v>
      </c>
      <c r="AM163" s="13"/>
      <c r="AN163" s="13" t="s">
        <v>418</v>
      </c>
      <c r="AO163" s="7" t="s">
        <v>419</v>
      </c>
      <c r="AP163" s="38">
        <v>3.7999999999999999E-2</v>
      </c>
      <c r="AQ163" s="12">
        <v>660000</v>
      </c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13"/>
      <c r="CG163" s="13"/>
      <c r="CH163" s="13"/>
      <c r="CI163" s="12"/>
      <c r="CJ163" s="12"/>
      <c r="CK163" s="12"/>
      <c r="CL163" s="12"/>
      <c r="CM163" s="12"/>
      <c r="CN163" s="12"/>
      <c r="CO163" s="12"/>
      <c r="CP163" s="12">
        <f>SUM($AQ163:BJ163)-SUM($EA163:EH163)</f>
        <v>506304</v>
      </c>
      <c r="CQ163" s="12">
        <f>SUM($AQ163:BK163)-SUM($EA163:EI163)</f>
        <v>498608</v>
      </c>
      <c r="CR163" s="12">
        <f>SUM($AQ163:BL163)-SUM($EA163:EJ163)</f>
        <v>478248</v>
      </c>
      <c r="CS163" s="12">
        <f>SUM($AQ163:BM163)-SUM($EA163:EK163)</f>
        <v>455008</v>
      </c>
      <c r="CT163" s="12">
        <f>SUM($AQ163:BN163)-SUM($EA163:EL163)</f>
        <v>410648</v>
      </c>
      <c r="CU163" s="12">
        <f>SUM($AQ163:BO163)-SUM($EA163:EM163)</f>
        <v>361448</v>
      </c>
      <c r="CV163" s="12">
        <f>SUM($AQ163:BP163)-SUM($EA163:EN163)</f>
        <v>315848</v>
      </c>
      <c r="CW163" s="12">
        <f>SUM($AQ163:BQ163)-SUM($EA163:EO163)</f>
        <v>271848</v>
      </c>
      <c r="CX163" s="12">
        <f>SUM($AQ163:BR163)-SUM($EA163:EP163)</f>
        <v>226648</v>
      </c>
      <c r="CY163" s="12">
        <f>SUM($AQ163:BS163)-SUM($EA163:EQ163)</f>
        <v>181448</v>
      </c>
      <c r="CZ163" s="12">
        <f>SUM($AQ163:BT163)-SUM($EA163:ER163)</f>
        <v>136248</v>
      </c>
      <c r="DA163" s="12">
        <f>SUM($AQ163:BU163)-SUM($EA163:ES163)</f>
        <v>91048</v>
      </c>
      <c r="DB163" s="12">
        <f>SUM($AQ163:BV163)-SUM($EA163:ET163)</f>
        <v>45848</v>
      </c>
      <c r="DC163" s="12">
        <f>SUM($AQ163:BW163)-SUM($EA163:EU163)</f>
        <v>648</v>
      </c>
      <c r="DD163" s="12">
        <f>SUM($AQ163:BX163)-SUM($EA163:EV163)</f>
        <v>-44552</v>
      </c>
      <c r="DE163" s="12">
        <f>SUM($AQ163:BY163)-SUM($EA163:EW163)</f>
        <v>-89320</v>
      </c>
      <c r="DF163" s="12">
        <f>SUM($AQ163:BZ163)-SUM($EA163:EX163)</f>
        <v>-133320</v>
      </c>
      <c r="DG163" s="12">
        <f>SUM($AQ163:CA163)-SUM($EA163:EY163)</f>
        <v>-177320</v>
      </c>
      <c r="DH163" s="12">
        <f>SUM($AQ163:CB163)-SUM($EA163:EZ163)</f>
        <v>-221320</v>
      </c>
      <c r="DI163" s="12">
        <f>SUM($AQ163:CC163)-SUM($EA163:FA163)</f>
        <v>-265320</v>
      </c>
      <c r="DJ163" s="12">
        <f>SUM($AQ163:CD163)-SUM($EA163:FB163)</f>
        <v>-309320</v>
      </c>
      <c r="DK163" s="12">
        <f>SUM($AQ163:CE163)-SUM($EA163:FC163)</f>
        <v>-353320</v>
      </c>
      <c r="DL163" s="12">
        <f>SUM($AQ163:CF163)-SUM($EA163:FD163)</f>
        <v>-397320</v>
      </c>
      <c r="DM163" s="12">
        <f>SUM($AQ163:CG163)-SUM($EA163:FE163)</f>
        <v>-441320</v>
      </c>
      <c r="DN163" s="12">
        <f>SUM($AQ163:CH163)-SUM($EA163:FF163)</f>
        <v>-485320</v>
      </c>
      <c r="DO163" s="12">
        <f>SUM($AQ163:CI163)-SUM($EA163:FG163)</f>
        <v>-529320</v>
      </c>
      <c r="DP163" s="12">
        <f>SUM($AQ163:CJ163)-SUM($EA163:FH163)</f>
        <v>-573320</v>
      </c>
      <c r="DQ163" s="12">
        <f>SUM($AQ163:CK163)-SUM($EA163:FI163)</f>
        <v>-617320</v>
      </c>
      <c r="DR163" s="12">
        <f>SUM($AQ163:CL163)-SUM($EA163:FJ163)</f>
        <v>-661320</v>
      </c>
      <c r="DS163" s="12">
        <f>SUM($AQ163:CM163)-SUM($EA163:FK163)</f>
        <v>-705320</v>
      </c>
      <c r="DT163" s="12">
        <f>SUM($AQ163:CN163)-SUM($EA163:FL163)</f>
        <v>-749320</v>
      </c>
      <c r="DU163" s="12">
        <f>SUM($AQ163:CO163)-SUM($EA163:FM163)</f>
        <v>-793320</v>
      </c>
      <c r="DV163" s="12">
        <f>SUM($AQ163:CP163)-SUM($EA163:FN163)</f>
        <v>-325672</v>
      </c>
      <c r="DW163" s="12">
        <f>SUM($AQ163:CQ163)-SUM($EA163:FO163)</f>
        <v>171396</v>
      </c>
      <c r="DX163" s="13"/>
      <c r="DY163" s="13"/>
      <c r="DZ163" s="13"/>
      <c r="EA163" s="12"/>
      <c r="EB163" s="12"/>
      <c r="EC163" s="12"/>
      <c r="ED163" s="12"/>
      <c r="EE163" s="12"/>
      <c r="EF163" s="12"/>
      <c r="EG163" s="12"/>
      <c r="EH163" s="12">
        <f t="array" ref="EH163">SUMPRODUCT(TRANSPOSE(EH$9:EH$34),$K163:$AJ163)</f>
        <v>153696</v>
      </c>
      <c r="EI163" s="12">
        <f t="array" ref="EI163">SUMPRODUCT(TRANSPOSE(EI$9:EI$34),$K163:$AJ163)</f>
        <v>7696</v>
      </c>
      <c r="EJ163" s="12">
        <f t="array" ref="EJ163">SUMPRODUCT(TRANSPOSE(EJ$9:EJ$34),$K163:$AJ163)</f>
        <v>20360</v>
      </c>
      <c r="EK163" s="12">
        <f t="array" ref="EK163">SUMPRODUCT(TRANSPOSE(EK$9:EK$34),$K163:$AJ163)</f>
        <v>23240</v>
      </c>
      <c r="EL163" s="12">
        <f t="array" ref="EL163">SUMPRODUCT(TRANSPOSE(EL$9:EL$34),$K163:$AJ163)</f>
        <v>44360</v>
      </c>
      <c r="EM163" s="12">
        <f t="array" ref="EM163">SUMPRODUCT(TRANSPOSE(EM$9:EM$34),$K163:$AJ163)</f>
        <v>49200</v>
      </c>
      <c r="EN163" s="12">
        <f t="array" ref="EN163">SUMPRODUCT(TRANSPOSE(EN$9:EN$34),$K163:$AJ163)</f>
        <v>45600</v>
      </c>
      <c r="EO163" s="12">
        <f t="array" ref="EO163">SUMPRODUCT(TRANSPOSE(EO$9:EO$34),$K163:$AJ163)</f>
        <v>44000</v>
      </c>
      <c r="EP163" s="12">
        <f t="array" ref="EP163">SUMPRODUCT(TRANSPOSE(EP$9:EP$34),$K163:$AJ163)</f>
        <v>45200</v>
      </c>
      <c r="EQ163" s="12">
        <f t="array" ref="EQ163">SUMPRODUCT(TRANSPOSE(EQ$9:EQ$34),$K163:$AJ163)</f>
        <v>45200</v>
      </c>
      <c r="ER163" s="12">
        <f t="array" ref="ER163">SUMPRODUCT(TRANSPOSE(ER$9:ER$34),$K163:$AJ163)</f>
        <v>45200</v>
      </c>
      <c r="ES163" s="12">
        <f t="array" ref="ES163">SUMPRODUCT(TRANSPOSE(ES$9:ES$34),$K163:$AJ163)</f>
        <v>45200</v>
      </c>
      <c r="ET163" s="12">
        <f t="array" ref="ET163">SUMPRODUCT(TRANSPOSE(ET$9:ET$34),$K163:$AJ163)</f>
        <v>45200</v>
      </c>
      <c r="EU163" s="12">
        <f t="array" ref="EU163">SUMPRODUCT(TRANSPOSE(EU$9:EU$34),$K163:$AJ163)</f>
        <v>45200</v>
      </c>
      <c r="EV163" s="12">
        <f t="array" ref="EV163">SUMPRODUCT(TRANSPOSE(EV$9:EV$34),$K163:$AJ163)</f>
        <v>45200</v>
      </c>
      <c r="EW163" s="12">
        <f t="array" ref="EW163">SUMPRODUCT(TRANSPOSE(EW$9:EW$34),$K163:$AJ163)</f>
        <v>44768</v>
      </c>
      <c r="EX163" s="12">
        <f t="array" ref="EX163">SUMPRODUCT(TRANSPOSE(EX$9:EX$34),$K163:$AJ163)</f>
        <v>44000</v>
      </c>
      <c r="EY163" s="12">
        <f t="array" ref="EY163">SUMPRODUCT(TRANSPOSE(EY$9:EY$34),$K163:$AJ163)</f>
        <v>44000</v>
      </c>
      <c r="EZ163" s="12">
        <f t="array" ref="EZ163">SUMPRODUCT(TRANSPOSE(EZ$9:EZ$34),$K163:$AJ163)</f>
        <v>44000</v>
      </c>
      <c r="FA163" s="12">
        <f t="array" ref="FA163">SUMPRODUCT(TRANSPOSE(FA$9:FA$34),$K163:$AJ163)</f>
        <v>44000</v>
      </c>
      <c r="FB163" s="12">
        <f t="array" ref="FB163">SUMPRODUCT(TRANSPOSE(FB$9:FB$34),$K163:$AJ163)</f>
        <v>44000</v>
      </c>
      <c r="FC163" s="12">
        <f t="array" ref="FC163">SUMPRODUCT(TRANSPOSE(FC$9:FC$34),$K163:$AJ163)</f>
        <v>44000</v>
      </c>
      <c r="FD163" s="12">
        <f t="array" ref="FD163">SUMPRODUCT(TRANSPOSE(FD$9:FD$34),$K163:$AJ163)</f>
        <v>44000</v>
      </c>
      <c r="FE163" s="12">
        <f t="array" ref="FE163">SUMPRODUCT(TRANSPOSE(FE$9:FE$34),$K163:$AJ163)</f>
        <v>44000</v>
      </c>
      <c r="FF163" s="12">
        <f t="array" ref="FF163">SUMPRODUCT(TRANSPOSE(FF$9:FF$34),$K163:$AJ163)</f>
        <v>44000</v>
      </c>
      <c r="FG163" s="12">
        <f t="array" ref="FG163">SUMPRODUCT(TRANSPOSE(FG$9:FG$34),$K163:$AJ163)</f>
        <v>44000</v>
      </c>
      <c r="FH163" s="12">
        <f t="array" ref="FH163">SUMPRODUCT(TRANSPOSE(FH$9:FH$34),$K163:$AJ163)</f>
        <v>44000</v>
      </c>
      <c r="FI163" s="12">
        <f t="array" ref="FI163">SUMPRODUCT(TRANSPOSE(FI$9:FI$34),$K163:$AJ163)</f>
        <v>44000</v>
      </c>
      <c r="FJ163" s="12">
        <f t="array" ref="FJ163">SUMPRODUCT(TRANSPOSE(FJ$9:FJ$34),$K163:$AJ163)</f>
        <v>44000</v>
      </c>
      <c r="FK163" s="12">
        <f t="array" ref="FK163">SUMPRODUCT(TRANSPOSE(FK$9:FK$34),$K163:$AJ163)</f>
        <v>44000</v>
      </c>
      <c r="FL163" s="12">
        <f t="array" ref="FL163">SUMPRODUCT(TRANSPOSE(FL$9:FL$34),$K163:$AJ163)</f>
        <v>44000</v>
      </c>
      <c r="FM163" s="12">
        <f t="array" ref="FM163">SUMPRODUCT(TRANSPOSE(FM$9:FM$34),$K163:$AJ163)</f>
        <v>44000</v>
      </c>
      <c r="FN163" s="12">
        <f t="array" ref="FN163">SUMPRODUCT(TRANSPOSE(FN$9:FN$34),$K163:$AJ163)</f>
        <v>38656</v>
      </c>
      <c r="FO163" s="12">
        <f t="array" ref="FO163">SUMPRODUCT(TRANSPOSE(FO$9:FO$34),$K163:$AJ163)</f>
        <v>1540</v>
      </c>
    </row>
    <row r="164" spans="1:171" ht="14.25" x14ac:dyDescent="0.2">
      <c r="A164" s="13">
        <f t="shared" si="7"/>
        <v>129</v>
      </c>
      <c r="B164" s="13" t="s">
        <v>465</v>
      </c>
      <c r="C164" s="25" t="s">
        <v>466</v>
      </c>
      <c r="D164" s="13" t="s">
        <v>67</v>
      </c>
      <c r="E164" s="13">
        <v>405656805</v>
      </c>
      <c r="F164" s="26" t="s">
        <v>467</v>
      </c>
      <c r="G164" s="13"/>
      <c r="H164" s="13" t="s">
        <v>61</v>
      </c>
      <c r="I164" s="13">
        <v>2</v>
      </c>
      <c r="J164" s="13">
        <v>8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4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/>
      <c r="Z164" s="13">
        <v>4</v>
      </c>
      <c r="AA164" s="13">
        <v>0</v>
      </c>
      <c r="AB164" s="13">
        <v>0</v>
      </c>
      <c r="AC164" s="13">
        <v>0</v>
      </c>
      <c r="AD164" s="13">
        <v>4</v>
      </c>
      <c r="AE164" s="13">
        <v>4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f t="shared" si="8"/>
        <v>12</v>
      </c>
      <c r="AL164" s="23">
        <f t="shared" ref="AL164:AL227" si="9">SUMPRODUCT(K164:AJ164,$K$31:$AJ$31)</f>
        <v>142660</v>
      </c>
      <c r="AM164" s="13"/>
      <c r="AN164" s="13" t="s">
        <v>418</v>
      </c>
      <c r="AO164" s="7" t="s">
        <v>468</v>
      </c>
      <c r="AP164" s="38">
        <v>0.125</v>
      </c>
      <c r="AQ164" s="12">
        <v>142000</v>
      </c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13"/>
      <c r="CG164" s="13"/>
      <c r="CH164" s="13"/>
      <c r="CI164" s="12"/>
      <c r="CJ164" s="12"/>
      <c r="CK164" s="12"/>
      <c r="CL164" s="12"/>
      <c r="CM164" s="12"/>
      <c r="CN164" s="12"/>
      <c r="CO164" s="12"/>
      <c r="CP164" s="12">
        <f>SUM($AQ164:BJ164)-SUM($EA164:EH164)</f>
        <v>129564</v>
      </c>
      <c r="CQ164" s="12">
        <f>SUM($AQ164:BK164)-SUM($EA164:EI164)</f>
        <v>128440</v>
      </c>
      <c r="CR164" s="12">
        <f>SUM($AQ164:BL164)-SUM($EA164:EJ164)</f>
        <v>128380</v>
      </c>
      <c r="CS164" s="12">
        <f>SUM($AQ164:BM164)-SUM($EA164:EK164)</f>
        <v>127840</v>
      </c>
      <c r="CT164" s="12">
        <f>SUM($AQ164:BN164)-SUM($EA164:EL164)</f>
        <v>123780</v>
      </c>
      <c r="CU164" s="12">
        <f>SUM($AQ164:BO164)-SUM($EA164:EM164)</f>
        <v>115580</v>
      </c>
      <c r="CV164" s="12">
        <f>SUM($AQ164:BP164)-SUM($EA164:EN164)</f>
        <v>110980</v>
      </c>
      <c r="CW164" s="12">
        <f>SUM($AQ164:BQ164)-SUM($EA164:EO164)</f>
        <v>106980</v>
      </c>
      <c r="CX164" s="12">
        <f>SUM($AQ164:BR164)-SUM($EA164:EP164)</f>
        <v>102780</v>
      </c>
      <c r="CY164" s="12">
        <f>SUM($AQ164:BS164)-SUM($EA164:EQ164)</f>
        <v>98580</v>
      </c>
      <c r="CZ164" s="12">
        <f>SUM($AQ164:BT164)-SUM($EA164:ER164)</f>
        <v>94380</v>
      </c>
      <c r="DA164" s="12">
        <f>SUM($AQ164:BU164)-SUM($EA164:ES164)</f>
        <v>90180</v>
      </c>
      <c r="DB164" s="12">
        <f>SUM($AQ164:BV164)-SUM($EA164:ET164)</f>
        <v>85980</v>
      </c>
      <c r="DC164" s="12">
        <f>SUM($AQ164:BW164)-SUM($EA164:EU164)</f>
        <v>81780</v>
      </c>
      <c r="DD164" s="12">
        <f>SUM($AQ164:BX164)-SUM($EA164:EV164)</f>
        <v>77580</v>
      </c>
      <c r="DE164" s="12">
        <f>SUM($AQ164:BY164)-SUM($EA164:EW164)</f>
        <v>73408</v>
      </c>
      <c r="DF164" s="12">
        <f>SUM($AQ164:BZ164)-SUM($EA164:EX164)</f>
        <v>69408</v>
      </c>
      <c r="DG164" s="12">
        <f>SUM($AQ164:CA164)-SUM($EA164:EY164)</f>
        <v>65408</v>
      </c>
      <c r="DH164" s="12">
        <f>SUM($AQ164:CB164)-SUM($EA164:EZ164)</f>
        <v>61408</v>
      </c>
      <c r="DI164" s="12">
        <f>SUM($AQ164:CC164)-SUM($EA164:FA164)</f>
        <v>57408</v>
      </c>
      <c r="DJ164" s="12">
        <f>SUM($AQ164:CD164)-SUM($EA164:FB164)</f>
        <v>53408</v>
      </c>
      <c r="DK164" s="12">
        <f>SUM($AQ164:CE164)-SUM($EA164:FC164)</f>
        <v>49408</v>
      </c>
      <c r="DL164" s="12">
        <f>SUM($AQ164:CF164)-SUM($EA164:FD164)</f>
        <v>45408</v>
      </c>
      <c r="DM164" s="12">
        <f>SUM($AQ164:CG164)-SUM($EA164:FE164)</f>
        <v>41408</v>
      </c>
      <c r="DN164" s="12">
        <f>SUM($AQ164:CH164)-SUM($EA164:FF164)</f>
        <v>37408</v>
      </c>
      <c r="DO164" s="12">
        <f>SUM($AQ164:CI164)-SUM($EA164:FG164)</f>
        <v>33408</v>
      </c>
      <c r="DP164" s="12">
        <f>SUM($AQ164:CJ164)-SUM($EA164:FH164)</f>
        <v>29408</v>
      </c>
      <c r="DQ164" s="12">
        <f>SUM($AQ164:CK164)-SUM($EA164:FI164)</f>
        <v>25408</v>
      </c>
      <c r="DR164" s="12">
        <f>SUM($AQ164:CL164)-SUM($EA164:FJ164)</f>
        <v>21408</v>
      </c>
      <c r="DS164" s="12">
        <f>SUM($AQ164:CM164)-SUM($EA164:FK164)</f>
        <v>17408</v>
      </c>
      <c r="DT164" s="12">
        <f>SUM($AQ164:CN164)-SUM($EA164:FL164)</f>
        <v>13408</v>
      </c>
      <c r="DU164" s="12">
        <f>SUM($AQ164:CO164)-SUM($EA164:FM164)</f>
        <v>9408</v>
      </c>
      <c r="DV164" s="12">
        <f>SUM($AQ164:CP164)-SUM($EA164:FN164)</f>
        <v>135704</v>
      </c>
      <c r="DW164" s="12">
        <f>SUM($AQ164:CQ164)-SUM($EA164:FO164)</f>
        <v>264144</v>
      </c>
      <c r="DX164" s="13"/>
      <c r="DY164" s="13"/>
      <c r="DZ164" s="13"/>
      <c r="EA164" s="12"/>
      <c r="EB164" s="12"/>
      <c r="EC164" s="12"/>
      <c r="ED164" s="12"/>
      <c r="EE164" s="12"/>
      <c r="EF164" s="12"/>
      <c r="EG164" s="12"/>
      <c r="EH164" s="12">
        <f t="array" ref="EH164">SUMPRODUCT(TRANSPOSE(EH$9:EH$34),$K164:$AJ164)</f>
        <v>12436</v>
      </c>
      <c r="EI164" s="12">
        <f t="array" ref="EI164">SUMPRODUCT(TRANSPOSE(EI$9:EI$34),$K164:$AJ164)</f>
        <v>1124</v>
      </c>
      <c r="EJ164" s="12">
        <f t="array" ref="EJ164">SUMPRODUCT(TRANSPOSE(EJ$9:EJ$34),$K164:$AJ164)</f>
        <v>60</v>
      </c>
      <c r="EK164" s="12">
        <f t="array" ref="EK164">SUMPRODUCT(TRANSPOSE(EK$9:EK$34),$K164:$AJ164)</f>
        <v>540</v>
      </c>
      <c r="EL164" s="12">
        <f t="array" ref="EL164">SUMPRODUCT(TRANSPOSE(EL$9:EL$34),$K164:$AJ164)</f>
        <v>4060</v>
      </c>
      <c r="EM164" s="12">
        <f t="array" ref="EM164">SUMPRODUCT(TRANSPOSE(EM$9:EM$34),$K164:$AJ164)</f>
        <v>8200</v>
      </c>
      <c r="EN164" s="12">
        <f t="array" ref="EN164">SUMPRODUCT(TRANSPOSE(EN$9:EN$34),$K164:$AJ164)</f>
        <v>4600</v>
      </c>
      <c r="EO164" s="12">
        <f t="array" ref="EO164">SUMPRODUCT(TRANSPOSE(EO$9:EO$34),$K164:$AJ164)</f>
        <v>4000</v>
      </c>
      <c r="EP164" s="12">
        <f t="array" ref="EP164">SUMPRODUCT(TRANSPOSE(EP$9:EP$34),$K164:$AJ164)</f>
        <v>4200</v>
      </c>
      <c r="EQ164" s="12">
        <f t="array" ref="EQ164">SUMPRODUCT(TRANSPOSE(EQ$9:EQ$34),$K164:$AJ164)</f>
        <v>4200</v>
      </c>
      <c r="ER164" s="12">
        <f t="array" ref="ER164">SUMPRODUCT(TRANSPOSE(ER$9:ER$34),$K164:$AJ164)</f>
        <v>4200</v>
      </c>
      <c r="ES164" s="12">
        <f t="array" ref="ES164">SUMPRODUCT(TRANSPOSE(ES$9:ES$34),$K164:$AJ164)</f>
        <v>4200</v>
      </c>
      <c r="ET164" s="12">
        <f t="array" ref="ET164">SUMPRODUCT(TRANSPOSE(ET$9:ET$34),$K164:$AJ164)</f>
        <v>4200</v>
      </c>
      <c r="EU164" s="12">
        <f t="array" ref="EU164">SUMPRODUCT(TRANSPOSE(EU$9:EU$34),$K164:$AJ164)</f>
        <v>4200</v>
      </c>
      <c r="EV164" s="12">
        <f t="array" ref="EV164">SUMPRODUCT(TRANSPOSE(EV$9:EV$34),$K164:$AJ164)</f>
        <v>4200</v>
      </c>
      <c r="EW164" s="12">
        <f t="array" ref="EW164">SUMPRODUCT(TRANSPOSE(EW$9:EW$34),$K164:$AJ164)</f>
        <v>4172</v>
      </c>
      <c r="EX164" s="12">
        <f t="array" ref="EX164">SUMPRODUCT(TRANSPOSE(EX$9:EX$34),$K164:$AJ164)</f>
        <v>4000</v>
      </c>
      <c r="EY164" s="12">
        <f t="array" ref="EY164">SUMPRODUCT(TRANSPOSE(EY$9:EY$34),$K164:$AJ164)</f>
        <v>4000</v>
      </c>
      <c r="EZ164" s="12">
        <f t="array" ref="EZ164">SUMPRODUCT(TRANSPOSE(EZ$9:EZ$34),$K164:$AJ164)</f>
        <v>4000</v>
      </c>
      <c r="FA164" s="12">
        <f t="array" ref="FA164">SUMPRODUCT(TRANSPOSE(FA$9:FA$34),$K164:$AJ164)</f>
        <v>4000</v>
      </c>
      <c r="FB164" s="12">
        <f t="array" ref="FB164">SUMPRODUCT(TRANSPOSE(FB$9:FB$34),$K164:$AJ164)</f>
        <v>4000</v>
      </c>
      <c r="FC164" s="12">
        <f t="array" ref="FC164">SUMPRODUCT(TRANSPOSE(FC$9:FC$34),$K164:$AJ164)</f>
        <v>4000</v>
      </c>
      <c r="FD164" s="12">
        <f t="array" ref="FD164">SUMPRODUCT(TRANSPOSE(FD$9:FD$34),$K164:$AJ164)</f>
        <v>4000</v>
      </c>
      <c r="FE164" s="12">
        <f t="array" ref="FE164">SUMPRODUCT(TRANSPOSE(FE$9:FE$34),$K164:$AJ164)</f>
        <v>4000</v>
      </c>
      <c r="FF164" s="12">
        <f t="array" ref="FF164">SUMPRODUCT(TRANSPOSE(FF$9:FF$34),$K164:$AJ164)</f>
        <v>4000</v>
      </c>
      <c r="FG164" s="12">
        <f t="array" ref="FG164">SUMPRODUCT(TRANSPOSE(FG$9:FG$34),$K164:$AJ164)</f>
        <v>4000</v>
      </c>
      <c r="FH164" s="12">
        <f t="array" ref="FH164">SUMPRODUCT(TRANSPOSE(FH$9:FH$34),$K164:$AJ164)</f>
        <v>4000</v>
      </c>
      <c r="FI164" s="12">
        <f t="array" ref="FI164">SUMPRODUCT(TRANSPOSE(FI$9:FI$34),$K164:$AJ164)</f>
        <v>4000</v>
      </c>
      <c r="FJ164" s="12">
        <f t="array" ref="FJ164">SUMPRODUCT(TRANSPOSE(FJ$9:FJ$34),$K164:$AJ164)</f>
        <v>4000</v>
      </c>
      <c r="FK164" s="12">
        <f t="array" ref="FK164">SUMPRODUCT(TRANSPOSE(FK$9:FK$34),$K164:$AJ164)</f>
        <v>4000</v>
      </c>
      <c r="FL164" s="12">
        <f t="array" ref="FL164">SUMPRODUCT(TRANSPOSE(FL$9:FL$34),$K164:$AJ164)</f>
        <v>4000</v>
      </c>
      <c r="FM164" s="12">
        <f t="array" ref="FM164">SUMPRODUCT(TRANSPOSE(FM$9:FM$34),$K164:$AJ164)</f>
        <v>4000</v>
      </c>
      <c r="FN164" s="12">
        <f t="array" ref="FN164">SUMPRODUCT(TRANSPOSE(FN$9:FN$34),$K164:$AJ164)</f>
        <v>3268</v>
      </c>
      <c r="FO164" s="12">
        <f t="array" ref="FO164">SUMPRODUCT(TRANSPOSE(FO$9:FO$34),$K164:$AJ164)</f>
        <v>0</v>
      </c>
    </row>
    <row r="165" spans="1:171" ht="14.25" x14ac:dyDescent="0.2">
      <c r="A165" s="13">
        <f t="shared" si="7"/>
        <v>130</v>
      </c>
      <c r="B165" s="13" t="s">
        <v>471</v>
      </c>
      <c r="C165" s="25" t="s">
        <v>472</v>
      </c>
      <c r="D165" s="13" t="s">
        <v>67</v>
      </c>
      <c r="E165" s="13">
        <v>417983143</v>
      </c>
      <c r="F165" s="26" t="s">
        <v>473</v>
      </c>
      <c r="G165" s="13"/>
      <c r="H165" s="13" t="s">
        <v>61</v>
      </c>
      <c r="I165" s="13">
        <v>2</v>
      </c>
      <c r="J165" s="13">
        <v>2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1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/>
      <c r="Z165" s="13">
        <v>1</v>
      </c>
      <c r="AA165" s="13">
        <v>0</v>
      </c>
      <c r="AB165" s="13">
        <v>0</v>
      </c>
      <c r="AC165" s="13">
        <v>0</v>
      </c>
      <c r="AD165" s="13">
        <v>1</v>
      </c>
      <c r="AE165" s="13">
        <v>1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f t="shared" si="8"/>
        <v>3</v>
      </c>
      <c r="AL165" s="23">
        <f t="shared" si="9"/>
        <v>35665</v>
      </c>
      <c r="AM165" s="13"/>
      <c r="AN165" s="13" t="s">
        <v>418</v>
      </c>
      <c r="AO165" s="7" t="s">
        <v>419</v>
      </c>
      <c r="AP165" s="38">
        <v>0.1</v>
      </c>
      <c r="AQ165" s="12">
        <v>36200</v>
      </c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13"/>
      <c r="CG165" s="13"/>
      <c r="CH165" s="13"/>
      <c r="CI165" s="12"/>
      <c r="CJ165" s="12"/>
      <c r="CK165" s="12"/>
      <c r="CL165" s="12"/>
      <c r="CM165" s="12"/>
      <c r="CN165" s="12"/>
      <c r="CO165" s="12"/>
      <c r="CP165" s="12">
        <f>SUM($AQ165:BJ165)-SUM($EA165:EH165)</f>
        <v>33091</v>
      </c>
      <c r="CQ165" s="12">
        <f>SUM($AQ165:BK165)-SUM($EA165:EI165)</f>
        <v>32810</v>
      </c>
      <c r="CR165" s="12">
        <f>SUM($AQ165:BL165)-SUM($EA165:EJ165)</f>
        <v>32795</v>
      </c>
      <c r="CS165" s="12">
        <f>SUM($AQ165:BM165)-SUM($EA165:EK165)</f>
        <v>32660</v>
      </c>
      <c r="CT165" s="12">
        <f>SUM($AQ165:BN165)-SUM($EA165:EL165)</f>
        <v>31645</v>
      </c>
      <c r="CU165" s="12">
        <f>SUM($AQ165:BO165)-SUM($EA165:EM165)</f>
        <v>29595</v>
      </c>
      <c r="CV165" s="12">
        <f>SUM($AQ165:BP165)-SUM($EA165:EN165)</f>
        <v>28445</v>
      </c>
      <c r="CW165" s="12">
        <f>SUM($AQ165:BQ165)-SUM($EA165:EO165)</f>
        <v>27445</v>
      </c>
      <c r="CX165" s="12">
        <f>SUM($AQ165:BR165)-SUM($EA165:EP165)</f>
        <v>26395</v>
      </c>
      <c r="CY165" s="12">
        <f>SUM($AQ165:BS165)-SUM($EA165:EQ165)</f>
        <v>25345</v>
      </c>
      <c r="CZ165" s="12">
        <f>SUM($AQ165:BT165)-SUM($EA165:ER165)</f>
        <v>24295</v>
      </c>
      <c r="DA165" s="12">
        <f>SUM($AQ165:BU165)-SUM($EA165:ES165)</f>
        <v>23245</v>
      </c>
      <c r="DB165" s="12">
        <f>SUM($AQ165:BV165)-SUM($EA165:ET165)</f>
        <v>22195</v>
      </c>
      <c r="DC165" s="12">
        <f>SUM($AQ165:BW165)-SUM($EA165:EU165)</f>
        <v>21145</v>
      </c>
      <c r="DD165" s="12">
        <f>SUM($AQ165:BX165)-SUM($EA165:EV165)</f>
        <v>20095</v>
      </c>
      <c r="DE165" s="12">
        <f>SUM($AQ165:BY165)-SUM($EA165:EW165)</f>
        <v>19052</v>
      </c>
      <c r="DF165" s="12">
        <f>SUM($AQ165:BZ165)-SUM($EA165:EX165)</f>
        <v>18052</v>
      </c>
      <c r="DG165" s="12">
        <f>SUM($AQ165:CA165)-SUM($EA165:EY165)</f>
        <v>17052</v>
      </c>
      <c r="DH165" s="12">
        <f>SUM($AQ165:CB165)-SUM($EA165:EZ165)</f>
        <v>16052</v>
      </c>
      <c r="DI165" s="12">
        <f>SUM($AQ165:CC165)-SUM($EA165:FA165)</f>
        <v>15052</v>
      </c>
      <c r="DJ165" s="12">
        <f>SUM($AQ165:CD165)-SUM($EA165:FB165)</f>
        <v>14052</v>
      </c>
      <c r="DK165" s="12">
        <f>SUM($AQ165:CE165)-SUM($EA165:FC165)</f>
        <v>13052</v>
      </c>
      <c r="DL165" s="12">
        <f>SUM($AQ165:CF165)-SUM($EA165:FD165)</f>
        <v>12052</v>
      </c>
      <c r="DM165" s="12">
        <f>SUM($AQ165:CG165)-SUM($EA165:FE165)</f>
        <v>11052</v>
      </c>
      <c r="DN165" s="12">
        <f>SUM($AQ165:CH165)-SUM($EA165:FF165)</f>
        <v>10052</v>
      </c>
      <c r="DO165" s="12">
        <f>SUM($AQ165:CI165)-SUM($EA165:FG165)</f>
        <v>9052</v>
      </c>
      <c r="DP165" s="12">
        <f>SUM($AQ165:CJ165)-SUM($EA165:FH165)</f>
        <v>8052</v>
      </c>
      <c r="DQ165" s="12">
        <f>SUM($AQ165:CK165)-SUM($EA165:FI165)</f>
        <v>7052</v>
      </c>
      <c r="DR165" s="12">
        <f>SUM($AQ165:CL165)-SUM($EA165:FJ165)</f>
        <v>6052</v>
      </c>
      <c r="DS165" s="12">
        <f>SUM($AQ165:CM165)-SUM($EA165:FK165)</f>
        <v>5052</v>
      </c>
      <c r="DT165" s="12">
        <f>SUM($AQ165:CN165)-SUM($EA165:FL165)</f>
        <v>4052</v>
      </c>
      <c r="DU165" s="12">
        <f>SUM($AQ165:CO165)-SUM($EA165:FM165)</f>
        <v>3052</v>
      </c>
      <c r="DV165" s="12">
        <f>SUM($AQ165:CP165)-SUM($EA165:FN165)</f>
        <v>35326</v>
      </c>
      <c r="DW165" s="12">
        <f>SUM($AQ165:CQ165)-SUM($EA165:FO165)</f>
        <v>68136</v>
      </c>
      <c r="DX165" s="13"/>
      <c r="DY165" s="13"/>
      <c r="DZ165" s="13"/>
      <c r="EA165" s="12"/>
      <c r="EB165" s="12"/>
      <c r="EC165" s="12"/>
      <c r="ED165" s="12"/>
      <c r="EE165" s="12"/>
      <c r="EF165" s="12"/>
      <c r="EG165" s="12"/>
      <c r="EH165" s="12">
        <f t="array" ref="EH165">SUMPRODUCT(TRANSPOSE(EH$9:EH$34),$K165:$AJ165)</f>
        <v>3109</v>
      </c>
      <c r="EI165" s="12">
        <f t="array" ref="EI165">SUMPRODUCT(TRANSPOSE(EI$9:EI$34),$K165:$AJ165)</f>
        <v>281</v>
      </c>
      <c r="EJ165" s="12">
        <f t="array" ref="EJ165">SUMPRODUCT(TRANSPOSE(EJ$9:EJ$34),$K165:$AJ165)</f>
        <v>15</v>
      </c>
      <c r="EK165" s="12">
        <f t="array" ref="EK165">SUMPRODUCT(TRANSPOSE(EK$9:EK$34),$K165:$AJ165)</f>
        <v>135</v>
      </c>
      <c r="EL165" s="12">
        <f t="array" ref="EL165">SUMPRODUCT(TRANSPOSE(EL$9:EL$34),$K165:$AJ165)</f>
        <v>1015</v>
      </c>
      <c r="EM165" s="12">
        <f t="array" ref="EM165">SUMPRODUCT(TRANSPOSE(EM$9:EM$34),$K165:$AJ165)</f>
        <v>2050</v>
      </c>
      <c r="EN165" s="12">
        <f t="array" ref="EN165">SUMPRODUCT(TRANSPOSE(EN$9:EN$34),$K165:$AJ165)</f>
        <v>1150</v>
      </c>
      <c r="EO165" s="12">
        <f t="array" ref="EO165">SUMPRODUCT(TRANSPOSE(EO$9:EO$34),$K165:$AJ165)</f>
        <v>1000</v>
      </c>
      <c r="EP165" s="12">
        <f t="array" ref="EP165">SUMPRODUCT(TRANSPOSE(EP$9:EP$34),$K165:$AJ165)</f>
        <v>1050</v>
      </c>
      <c r="EQ165" s="12">
        <f t="array" ref="EQ165">SUMPRODUCT(TRANSPOSE(EQ$9:EQ$34),$K165:$AJ165)</f>
        <v>1050</v>
      </c>
      <c r="ER165" s="12">
        <f t="array" ref="ER165">SUMPRODUCT(TRANSPOSE(ER$9:ER$34),$K165:$AJ165)</f>
        <v>1050</v>
      </c>
      <c r="ES165" s="12">
        <f t="array" ref="ES165">SUMPRODUCT(TRANSPOSE(ES$9:ES$34),$K165:$AJ165)</f>
        <v>1050</v>
      </c>
      <c r="ET165" s="12">
        <f t="array" ref="ET165">SUMPRODUCT(TRANSPOSE(ET$9:ET$34),$K165:$AJ165)</f>
        <v>1050</v>
      </c>
      <c r="EU165" s="12">
        <f t="array" ref="EU165">SUMPRODUCT(TRANSPOSE(EU$9:EU$34),$K165:$AJ165)</f>
        <v>1050</v>
      </c>
      <c r="EV165" s="12">
        <f t="array" ref="EV165">SUMPRODUCT(TRANSPOSE(EV$9:EV$34),$K165:$AJ165)</f>
        <v>1050</v>
      </c>
      <c r="EW165" s="12">
        <f t="array" ref="EW165">SUMPRODUCT(TRANSPOSE(EW$9:EW$34),$K165:$AJ165)</f>
        <v>1043</v>
      </c>
      <c r="EX165" s="12">
        <f t="array" ref="EX165">SUMPRODUCT(TRANSPOSE(EX$9:EX$34),$K165:$AJ165)</f>
        <v>1000</v>
      </c>
      <c r="EY165" s="12">
        <f t="array" ref="EY165">SUMPRODUCT(TRANSPOSE(EY$9:EY$34),$K165:$AJ165)</f>
        <v>1000</v>
      </c>
      <c r="EZ165" s="12">
        <f t="array" ref="EZ165">SUMPRODUCT(TRANSPOSE(EZ$9:EZ$34),$K165:$AJ165)</f>
        <v>1000</v>
      </c>
      <c r="FA165" s="12">
        <f t="array" ref="FA165">SUMPRODUCT(TRANSPOSE(FA$9:FA$34),$K165:$AJ165)</f>
        <v>1000</v>
      </c>
      <c r="FB165" s="12">
        <f t="array" ref="FB165">SUMPRODUCT(TRANSPOSE(FB$9:FB$34),$K165:$AJ165)</f>
        <v>1000</v>
      </c>
      <c r="FC165" s="12">
        <f t="array" ref="FC165">SUMPRODUCT(TRANSPOSE(FC$9:FC$34),$K165:$AJ165)</f>
        <v>1000</v>
      </c>
      <c r="FD165" s="12">
        <f t="array" ref="FD165">SUMPRODUCT(TRANSPOSE(FD$9:FD$34),$K165:$AJ165)</f>
        <v>1000</v>
      </c>
      <c r="FE165" s="12">
        <f t="array" ref="FE165">SUMPRODUCT(TRANSPOSE(FE$9:FE$34),$K165:$AJ165)</f>
        <v>1000</v>
      </c>
      <c r="FF165" s="12">
        <f t="array" ref="FF165">SUMPRODUCT(TRANSPOSE(FF$9:FF$34),$K165:$AJ165)</f>
        <v>1000</v>
      </c>
      <c r="FG165" s="12">
        <f t="array" ref="FG165">SUMPRODUCT(TRANSPOSE(FG$9:FG$34),$K165:$AJ165)</f>
        <v>1000</v>
      </c>
      <c r="FH165" s="12">
        <f t="array" ref="FH165">SUMPRODUCT(TRANSPOSE(FH$9:FH$34),$K165:$AJ165)</f>
        <v>1000</v>
      </c>
      <c r="FI165" s="12">
        <f t="array" ref="FI165">SUMPRODUCT(TRANSPOSE(FI$9:FI$34),$K165:$AJ165)</f>
        <v>1000</v>
      </c>
      <c r="FJ165" s="12">
        <f t="array" ref="FJ165">SUMPRODUCT(TRANSPOSE(FJ$9:FJ$34),$K165:$AJ165)</f>
        <v>1000</v>
      </c>
      <c r="FK165" s="12">
        <f t="array" ref="FK165">SUMPRODUCT(TRANSPOSE(FK$9:FK$34),$K165:$AJ165)</f>
        <v>1000</v>
      </c>
      <c r="FL165" s="12">
        <f t="array" ref="FL165">SUMPRODUCT(TRANSPOSE(FL$9:FL$34),$K165:$AJ165)</f>
        <v>1000</v>
      </c>
      <c r="FM165" s="12">
        <f t="array" ref="FM165">SUMPRODUCT(TRANSPOSE(FM$9:FM$34),$K165:$AJ165)</f>
        <v>1000</v>
      </c>
      <c r="FN165" s="12">
        <f t="array" ref="FN165">SUMPRODUCT(TRANSPOSE(FN$9:FN$34),$K165:$AJ165)</f>
        <v>817</v>
      </c>
      <c r="FO165" s="12">
        <f t="array" ref="FO165">SUMPRODUCT(TRANSPOSE(FO$9:FO$34),$K165:$AJ165)</f>
        <v>0</v>
      </c>
    </row>
    <row r="166" spans="1:171" ht="14.25" x14ac:dyDescent="0.2">
      <c r="A166" s="13">
        <f t="shared" ref="A166:A229" si="10">A165+1</f>
        <v>131</v>
      </c>
      <c r="B166" s="13" t="s">
        <v>474</v>
      </c>
      <c r="C166" s="25" t="s">
        <v>475</v>
      </c>
      <c r="D166" s="13" t="s">
        <v>67</v>
      </c>
      <c r="E166" s="13">
        <v>417983113</v>
      </c>
      <c r="F166" s="26" t="s">
        <v>476</v>
      </c>
      <c r="G166" s="13">
        <v>400326579</v>
      </c>
      <c r="H166" s="13" t="s">
        <v>61</v>
      </c>
      <c r="I166" s="13">
        <v>2</v>
      </c>
      <c r="J166" s="13">
        <v>8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4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/>
      <c r="Z166" s="13">
        <v>4</v>
      </c>
      <c r="AA166" s="13">
        <v>0</v>
      </c>
      <c r="AB166" s="13">
        <v>0</v>
      </c>
      <c r="AC166" s="13">
        <v>0</v>
      </c>
      <c r="AD166" s="13">
        <v>4</v>
      </c>
      <c r="AE166" s="13">
        <v>4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f t="shared" si="8"/>
        <v>12</v>
      </c>
      <c r="AL166" s="23">
        <f t="shared" si="9"/>
        <v>142660</v>
      </c>
      <c r="AM166" s="13"/>
      <c r="AN166" s="13" t="s">
        <v>470</v>
      </c>
      <c r="AO166" s="7" t="s">
        <v>468</v>
      </c>
      <c r="AP166" s="38">
        <v>6.9999999999999999E-4</v>
      </c>
      <c r="AQ166" s="12">
        <v>150800</v>
      </c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13"/>
      <c r="CG166" s="13"/>
      <c r="CH166" s="13"/>
      <c r="CI166" s="12"/>
      <c r="CJ166" s="12"/>
      <c r="CK166" s="12"/>
      <c r="CL166" s="12"/>
      <c r="CM166" s="12"/>
      <c r="CN166" s="12"/>
      <c r="CO166" s="12"/>
      <c r="CP166" s="12">
        <f>SUM($AQ166:BJ166)-SUM($EA166:EH166)</f>
        <v>138364</v>
      </c>
      <c r="CQ166" s="12">
        <f>SUM($AQ166:BK166)-SUM($EA166:EI166)</f>
        <v>137240</v>
      </c>
      <c r="CR166" s="12">
        <f>SUM($AQ166:BL166)-SUM($EA166:EJ166)</f>
        <v>137180</v>
      </c>
      <c r="CS166" s="12">
        <f>SUM($AQ166:BM166)-SUM($EA166:EK166)</f>
        <v>136640</v>
      </c>
      <c r="CT166" s="12">
        <f>SUM($AQ166:BN166)-SUM($EA166:EL166)</f>
        <v>132580</v>
      </c>
      <c r="CU166" s="12">
        <f>SUM($AQ166:BO166)-SUM($EA166:EM166)</f>
        <v>124380</v>
      </c>
      <c r="CV166" s="12">
        <f>SUM($AQ166:BP166)-SUM($EA166:EN166)</f>
        <v>119780</v>
      </c>
      <c r="CW166" s="12">
        <f>SUM($AQ166:BQ166)-SUM($EA166:EO166)</f>
        <v>115780</v>
      </c>
      <c r="CX166" s="12">
        <f>SUM($AQ166:BR166)-SUM($EA166:EP166)</f>
        <v>111580</v>
      </c>
      <c r="CY166" s="12">
        <f>SUM($AQ166:BS166)-SUM($EA166:EQ166)</f>
        <v>107380</v>
      </c>
      <c r="CZ166" s="12">
        <f>SUM($AQ166:BT166)-SUM($EA166:ER166)</f>
        <v>103180</v>
      </c>
      <c r="DA166" s="12">
        <f>SUM($AQ166:BU166)-SUM($EA166:ES166)</f>
        <v>98980</v>
      </c>
      <c r="DB166" s="12">
        <f>SUM($AQ166:BV166)-SUM($EA166:ET166)</f>
        <v>94780</v>
      </c>
      <c r="DC166" s="12">
        <f>SUM($AQ166:BW166)-SUM($EA166:EU166)</f>
        <v>90580</v>
      </c>
      <c r="DD166" s="12">
        <f>SUM($AQ166:BX166)-SUM($EA166:EV166)</f>
        <v>86380</v>
      </c>
      <c r="DE166" s="12">
        <f>SUM($AQ166:BY166)-SUM($EA166:EW166)</f>
        <v>82208</v>
      </c>
      <c r="DF166" s="12">
        <f>SUM($AQ166:BZ166)-SUM($EA166:EX166)</f>
        <v>78208</v>
      </c>
      <c r="DG166" s="12">
        <f>SUM($AQ166:CA166)-SUM($EA166:EY166)</f>
        <v>74208</v>
      </c>
      <c r="DH166" s="12">
        <f>SUM($AQ166:CB166)-SUM($EA166:EZ166)</f>
        <v>70208</v>
      </c>
      <c r="DI166" s="12">
        <f>SUM($AQ166:CC166)-SUM($EA166:FA166)</f>
        <v>66208</v>
      </c>
      <c r="DJ166" s="12">
        <f>SUM($AQ166:CD166)-SUM($EA166:FB166)</f>
        <v>62208</v>
      </c>
      <c r="DK166" s="12">
        <f>SUM($AQ166:CE166)-SUM($EA166:FC166)</f>
        <v>58208</v>
      </c>
      <c r="DL166" s="12">
        <f>SUM($AQ166:CF166)-SUM($EA166:FD166)</f>
        <v>54208</v>
      </c>
      <c r="DM166" s="12">
        <f>SUM($AQ166:CG166)-SUM($EA166:FE166)</f>
        <v>50208</v>
      </c>
      <c r="DN166" s="12">
        <f>SUM($AQ166:CH166)-SUM($EA166:FF166)</f>
        <v>46208</v>
      </c>
      <c r="DO166" s="12">
        <f>SUM($AQ166:CI166)-SUM($EA166:FG166)</f>
        <v>42208</v>
      </c>
      <c r="DP166" s="12">
        <f>SUM($AQ166:CJ166)-SUM($EA166:FH166)</f>
        <v>38208</v>
      </c>
      <c r="DQ166" s="12">
        <f>SUM($AQ166:CK166)-SUM($EA166:FI166)</f>
        <v>34208</v>
      </c>
      <c r="DR166" s="12">
        <f>SUM($AQ166:CL166)-SUM($EA166:FJ166)</f>
        <v>30208</v>
      </c>
      <c r="DS166" s="12">
        <f>SUM($AQ166:CM166)-SUM($EA166:FK166)</f>
        <v>26208</v>
      </c>
      <c r="DT166" s="12">
        <f>SUM($AQ166:CN166)-SUM($EA166:FL166)</f>
        <v>22208</v>
      </c>
      <c r="DU166" s="12">
        <f>SUM($AQ166:CO166)-SUM($EA166:FM166)</f>
        <v>18208</v>
      </c>
      <c r="DV166" s="12">
        <f>SUM($AQ166:CP166)-SUM($EA166:FN166)</f>
        <v>153304</v>
      </c>
      <c r="DW166" s="12">
        <f>SUM($AQ166:CQ166)-SUM($EA166:FO166)</f>
        <v>290544</v>
      </c>
      <c r="DX166" s="13"/>
      <c r="DY166" s="13"/>
      <c r="DZ166" s="13"/>
      <c r="EA166" s="12"/>
      <c r="EB166" s="12"/>
      <c r="EC166" s="12"/>
      <c r="ED166" s="12"/>
      <c r="EE166" s="12"/>
      <c r="EF166" s="12"/>
      <c r="EG166" s="12"/>
      <c r="EH166" s="12">
        <f t="array" ref="EH166">SUMPRODUCT(TRANSPOSE(EH$9:EH$34),$K166:$AJ166)</f>
        <v>12436</v>
      </c>
      <c r="EI166" s="12">
        <f t="array" ref="EI166">SUMPRODUCT(TRANSPOSE(EI$9:EI$34),$K166:$AJ166)</f>
        <v>1124</v>
      </c>
      <c r="EJ166" s="12">
        <f t="array" ref="EJ166">SUMPRODUCT(TRANSPOSE(EJ$9:EJ$34),$K166:$AJ166)</f>
        <v>60</v>
      </c>
      <c r="EK166" s="12">
        <f t="array" ref="EK166">SUMPRODUCT(TRANSPOSE(EK$9:EK$34),$K166:$AJ166)</f>
        <v>540</v>
      </c>
      <c r="EL166" s="12">
        <f t="array" ref="EL166">SUMPRODUCT(TRANSPOSE(EL$9:EL$34),$K166:$AJ166)</f>
        <v>4060</v>
      </c>
      <c r="EM166" s="12">
        <f t="array" ref="EM166">SUMPRODUCT(TRANSPOSE(EM$9:EM$34),$K166:$AJ166)</f>
        <v>8200</v>
      </c>
      <c r="EN166" s="12">
        <f t="array" ref="EN166">SUMPRODUCT(TRANSPOSE(EN$9:EN$34),$K166:$AJ166)</f>
        <v>4600</v>
      </c>
      <c r="EO166" s="12">
        <f t="array" ref="EO166">SUMPRODUCT(TRANSPOSE(EO$9:EO$34),$K166:$AJ166)</f>
        <v>4000</v>
      </c>
      <c r="EP166" s="12">
        <f t="array" ref="EP166">SUMPRODUCT(TRANSPOSE(EP$9:EP$34),$K166:$AJ166)</f>
        <v>4200</v>
      </c>
      <c r="EQ166" s="12">
        <f t="array" ref="EQ166">SUMPRODUCT(TRANSPOSE(EQ$9:EQ$34),$K166:$AJ166)</f>
        <v>4200</v>
      </c>
      <c r="ER166" s="12">
        <f t="array" ref="ER166">SUMPRODUCT(TRANSPOSE(ER$9:ER$34),$K166:$AJ166)</f>
        <v>4200</v>
      </c>
      <c r="ES166" s="12">
        <f t="array" ref="ES166">SUMPRODUCT(TRANSPOSE(ES$9:ES$34),$K166:$AJ166)</f>
        <v>4200</v>
      </c>
      <c r="ET166" s="12">
        <f t="array" ref="ET166">SUMPRODUCT(TRANSPOSE(ET$9:ET$34),$K166:$AJ166)</f>
        <v>4200</v>
      </c>
      <c r="EU166" s="12">
        <f t="array" ref="EU166">SUMPRODUCT(TRANSPOSE(EU$9:EU$34),$K166:$AJ166)</f>
        <v>4200</v>
      </c>
      <c r="EV166" s="12">
        <f t="array" ref="EV166">SUMPRODUCT(TRANSPOSE(EV$9:EV$34),$K166:$AJ166)</f>
        <v>4200</v>
      </c>
      <c r="EW166" s="12">
        <f t="array" ref="EW166">SUMPRODUCT(TRANSPOSE(EW$9:EW$34),$K166:$AJ166)</f>
        <v>4172</v>
      </c>
      <c r="EX166" s="12">
        <f t="array" ref="EX166">SUMPRODUCT(TRANSPOSE(EX$9:EX$34),$K166:$AJ166)</f>
        <v>4000</v>
      </c>
      <c r="EY166" s="12">
        <f t="array" ref="EY166">SUMPRODUCT(TRANSPOSE(EY$9:EY$34),$K166:$AJ166)</f>
        <v>4000</v>
      </c>
      <c r="EZ166" s="12">
        <f t="array" ref="EZ166">SUMPRODUCT(TRANSPOSE(EZ$9:EZ$34),$K166:$AJ166)</f>
        <v>4000</v>
      </c>
      <c r="FA166" s="12">
        <f t="array" ref="FA166">SUMPRODUCT(TRANSPOSE(FA$9:FA$34),$K166:$AJ166)</f>
        <v>4000</v>
      </c>
      <c r="FB166" s="12">
        <f t="array" ref="FB166">SUMPRODUCT(TRANSPOSE(FB$9:FB$34),$K166:$AJ166)</f>
        <v>4000</v>
      </c>
      <c r="FC166" s="12">
        <f t="array" ref="FC166">SUMPRODUCT(TRANSPOSE(FC$9:FC$34),$K166:$AJ166)</f>
        <v>4000</v>
      </c>
      <c r="FD166" s="12">
        <f t="array" ref="FD166">SUMPRODUCT(TRANSPOSE(FD$9:FD$34),$K166:$AJ166)</f>
        <v>4000</v>
      </c>
      <c r="FE166" s="12">
        <f t="array" ref="FE166">SUMPRODUCT(TRANSPOSE(FE$9:FE$34),$K166:$AJ166)</f>
        <v>4000</v>
      </c>
      <c r="FF166" s="12">
        <f t="array" ref="FF166">SUMPRODUCT(TRANSPOSE(FF$9:FF$34),$K166:$AJ166)</f>
        <v>4000</v>
      </c>
      <c r="FG166" s="12">
        <f t="array" ref="FG166">SUMPRODUCT(TRANSPOSE(FG$9:FG$34),$K166:$AJ166)</f>
        <v>4000</v>
      </c>
      <c r="FH166" s="12">
        <f t="array" ref="FH166">SUMPRODUCT(TRANSPOSE(FH$9:FH$34),$K166:$AJ166)</f>
        <v>4000</v>
      </c>
      <c r="FI166" s="12">
        <f t="array" ref="FI166">SUMPRODUCT(TRANSPOSE(FI$9:FI$34),$K166:$AJ166)</f>
        <v>4000</v>
      </c>
      <c r="FJ166" s="12">
        <f t="array" ref="FJ166">SUMPRODUCT(TRANSPOSE(FJ$9:FJ$34),$K166:$AJ166)</f>
        <v>4000</v>
      </c>
      <c r="FK166" s="12">
        <f t="array" ref="FK166">SUMPRODUCT(TRANSPOSE(FK$9:FK$34),$K166:$AJ166)</f>
        <v>4000</v>
      </c>
      <c r="FL166" s="12">
        <f t="array" ref="FL166">SUMPRODUCT(TRANSPOSE(FL$9:FL$34),$K166:$AJ166)</f>
        <v>4000</v>
      </c>
      <c r="FM166" s="12">
        <f t="array" ref="FM166">SUMPRODUCT(TRANSPOSE(FM$9:FM$34),$K166:$AJ166)</f>
        <v>4000</v>
      </c>
      <c r="FN166" s="12">
        <f t="array" ref="FN166">SUMPRODUCT(TRANSPOSE(FN$9:FN$34),$K166:$AJ166)</f>
        <v>3268</v>
      </c>
      <c r="FO166" s="12">
        <f t="array" ref="FO166">SUMPRODUCT(TRANSPOSE(FO$9:FO$34),$K166:$AJ166)</f>
        <v>0</v>
      </c>
    </row>
    <row r="167" spans="1:171" ht="14.25" x14ac:dyDescent="0.2">
      <c r="A167" s="13">
        <f t="shared" si="10"/>
        <v>132</v>
      </c>
      <c r="B167" s="13" t="s">
        <v>477</v>
      </c>
      <c r="C167" s="25" t="s">
        <v>478</v>
      </c>
      <c r="D167" s="13" t="s">
        <v>67</v>
      </c>
      <c r="E167" s="13">
        <v>417983109</v>
      </c>
      <c r="F167" s="26" t="s">
        <v>479</v>
      </c>
      <c r="G167" s="13">
        <v>401502416</v>
      </c>
      <c r="H167" s="13" t="s">
        <v>61</v>
      </c>
      <c r="I167" s="13">
        <v>2</v>
      </c>
      <c r="J167" s="13">
        <v>36</v>
      </c>
      <c r="K167" s="13">
        <v>0</v>
      </c>
      <c r="L167" s="13">
        <v>0</v>
      </c>
      <c r="M167" s="13">
        <v>0</v>
      </c>
      <c r="N167" s="13">
        <v>0</v>
      </c>
      <c r="O167" s="13">
        <v>12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12</v>
      </c>
      <c r="Y167" s="13"/>
      <c r="Z167" s="13"/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12</v>
      </c>
      <c r="AK167" s="13">
        <f t="shared" ref="AK167:AK230" si="11">SUM(K167:AD167)</f>
        <v>24</v>
      </c>
      <c r="AL167" s="23">
        <f t="shared" si="9"/>
        <v>850356</v>
      </c>
      <c r="AM167" s="13"/>
      <c r="AN167" s="13" t="s">
        <v>470</v>
      </c>
      <c r="AO167" s="7" t="s">
        <v>468</v>
      </c>
      <c r="AP167" s="38">
        <v>6.9999999999999999E-4</v>
      </c>
      <c r="AQ167" s="12">
        <v>853600</v>
      </c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13"/>
      <c r="CG167" s="13"/>
      <c r="CH167" s="13"/>
      <c r="CI167" s="12"/>
      <c r="CJ167" s="12"/>
      <c r="CK167" s="12"/>
      <c r="CL167" s="12"/>
      <c r="CM167" s="12"/>
      <c r="CN167" s="12"/>
      <c r="CO167" s="12"/>
      <c r="CP167" s="12">
        <f>SUM($AQ167:BJ167)-SUM($EA167:EH167)</f>
        <v>768844</v>
      </c>
      <c r="CQ167" s="12">
        <f>SUM($AQ167:BK167)-SUM($EA167:EI167)</f>
        <v>764044</v>
      </c>
      <c r="CR167" s="12">
        <f>SUM($AQ167:BL167)-SUM($EA167:EJ167)</f>
        <v>751864</v>
      </c>
      <c r="CS167" s="12">
        <f>SUM($AQ167:BM167)-SUM($EA167:EK167)</f>
        <v>738244</v>
      </c>
      <c r="CT167" s="12">
        <f>SUM($AQ167:BN167)-SUM($EA167:EL167)</f>
        <v>714064</v>
      </c>
      <c r="CU167" s="12">
        <f>SUM($AQ167:BO167)-SUM($EA167:EM167)</f>
        <v>689464</v>
      </c>
      <c r="CV167" s="12">
        <f>SUM($AQ167:BP167)-SUM($EA167:EN167)</f>
        <v>664864</v>
      </c>
      <c r="CW167" s="12">
        <f>SUM($AQ167:BQ167)-SUM($EA167:EO167)</f>
        <v>640864</v>
      </c>
      <c r="CX167" s="12">
        <f>SUM($AQ167:BR167)-SUM($EA167:EP167)</f>
        <v>616264</v>
      </c>
      <c r="CY167" s="12">
        <f>SUM($AQ167:BS167)-SUM($EA167:EQ167)</f>
        <v>591664</v>
      </c>
      <c r="CZ167" s="12">
        <f>SUM($AQ167:BT167)-SUM($EA167:ER167)</f>
        <v>567064</v>
      </c>
      <c r="DA167" s="12">
        <f>SUM($AQ167:BU167)-SUM($EA167:ES167)</f>
        <v>542464</v>
      </c>
      <c r="DB167" s="12">
        <f>SUM($AQ167:BV167)-SUM($EA167:ET167)</f>
        <v>517864</v>
      </c>
      <c r="DC167" s="12">
        <f>SUM($AQ167:BW167)-SUM($EA167:EU167)</f>
        <v>493264</v>
      </c>
      <c r="DD167" s="12">
        <f>SUM($AQ167:BX167)-SUM($EA167:EV167)</f>
        <v>468664</v>
      </c>
      <c r="DE167" s="12">
        <f>SUM($AQ167:BY167)-SUM($EA167:EW167)</f>
        <v>444544</v>
      </c>
      <c r="DF167" s="12">
        <f>SUM($AQ167:BZ167)-SUM($EA167:EX167)</f>
        <v>420544</v>
      </c>
      <c r="DG167" s="12">
        <f>SUM($AQ167:CA167)-SUM($EA167:EY167)</f>
        <v>396544</v>
      </c>
      <c r="DH167" s="12">
        <f>SUM($AQ167:CB167)-SUM($EA167:EZ167)</f>
        <v>372544</v>
      </c>
      <c r="DI167" s="12">
        <f>SUM($AQ167:CC167)-SUM($EA167:FA167)</f>
        <v>348544</v>
      </c>
      <c r="DJ167" s="12">
        <f>SUM($AQ167:CD167)-SUM($EA167:FB167)</f>
        <v>324544</v>
      </c>
      <c r="DK167" s="12">
        <f>SUM($AQ167:CE167)-SUM($EA167:FC167)</f>
        <v>300544</v>
      </c>
      <c r="DL167" s="12">
        <f>SUM($AQ167:CF167)-SUM($EA167:FD167)</f>
        <v>276544</v>
      </c>
      <c r="DM167" s="12">
        <f>SUM($AQ167:CG167)-SUM($EA167:FE167)</f>
        <v>252544</v>
      </c>
      <c r="DN167" s="12">
        <f>SUM($AQ167:CH167)-SUM($EA167:FF167)</f>
        <v>228544</v>
      </c>
      <c r="DO167" s="12">
        <f>SUM($AQ167:CI167)-SUM($EA167:FG167)</f>
        <v>204544</v>
      </c>
      <c r="DP167" s="12">
        <f>SUM($AQ167:CJ167)-SUM($EA167:FH167)</f>
        <v>180544</v>
      </c>
      <c r="DQ167" s="12">
        <f>SUM($AQ167:CK167)-SUM($EA167:FI167)</f>
        <v>156544</v>
      </c>
      <c r="DR167" s="12">
        <f>SUM($AQ167:CL167)-SUM($EA167:FJ167)</f>
        <v>132544</v>
      </c>
      <c r="DS167" s="12">
        <f>SUM($AQ167:CM167)-SUM($EA167:FK167)</f>
        <v>108544</v>
      </c>
      <c r="DT167" s="12">
        <f>SUM($AQ167:CN167)-SUM($EA167:FL167)</f>
        <v>84544</v>
      </c>
      <c r="DU167" s="12">
        <f>SUM($AQ167:CO167)-SUM($EA167:FM167)</f>
        <v>60544</v>
      </c>
      <c r="DV167" s="12">
        <f>SUM($AQ167:CP167)-SUM($EA167:FN167)</f>
        <v>809012</v>
      </c>
      <c r="DW167" s="12">
        <f>SUM($AQ167:CQ167)-SUM($EA167:FO167)</f>
        <v>1572132</v>
      </c>
      <c r="DX167" s="13"/>
      <c r="DY167" s="13"/>
      <c r="DZ167" s="13"/>
      <c r="EA167" s="12"/>
      <c r="EB167" s="12"/>
      <c r="EC167" s="12"/>
      <c r="ED167" s="12"/>
      <c r="EE167" s="12"/>
      <c r="EF167" s="12"/>
      <c r="EG167" s="12"/>
      <c r="EH167" s="12">
        <f t="array" ref="EH167">SUMPRODUCT(TRANSPOSE(EH$9:EH$34),$K167:$AJ167)</f>
        <v>84756</v>
      </c>
      <c r="EI167" s="12">
        <f t="array" ref="EI167">SUMPRODUCT(TRANSPOSE(EI$9:EI$34),$K167:$AJ167)</f>
        <v>4800</v>
      </c>
      <c r="EJ167" s="12">
        <f t="array" ref="EJ167">SUMPRODUCT(TRANSPOSE(EJ$9:EJ$34),$K167:$AJ167)</f>
        <v>12180</v>
      </c>
      <c r="EK167" s="12">
        <f t="array" ref="EK167">SUMPRODUCT(TRANSPOSE(EK$9:EK$34),$K167:$AJ167)</f>
        <v>13620</v>
      </c>
      <c r="EL167" s="12">
        <f t="array" ref="EL167">SUMPRODUCT(TRANSPOSE(EL$9:EL$34),$K167:$AJ167)</f>
        <v>24180</v>
      </c>
      <c r="EM167" s="12">
        <f t="array" ref="EM167">SUMPRODUCT(TRANSPOSE(EM$9:EM$34),$K167:$AJ167)</f>
        <v>24600</v>
      </c>
      <c r="EN167" s="12">
        <f t="array" ref="EN167">SUMPRODUCT(TRANSPOSE(EN$9:EN$34),$K167:$AJ167)</f>
        <v>24600</v>
      </c>
      <c r="EO167" s="12">
        <f t="array" ref="EO167">SUMPRODUCT(TRANSPOSE(EO$9:EO$34),$K167:$AJ167)</f>
        <v>24000</v>
      </c>
      <c r="EP167" s="12">
        <f t="array" ref="EP167">SUMPRODUCT(TRANSPOSE(EP$9:EP$34),$K167:$AJ167)</f>
        <v>24600</v>
      </c>
      <c r="EQ167" s="12">
        <f t="array" ref="EQ167">SUMPRODUCT(TRANSPOSE(EQ$9:EQ$34),$K167:$AJ167)</f>
        <v>24600</v>
      </c>
      <c r="ER167" s="12">
        <f t="array" ref="ER167">SUMPRODUCT(TRANSPOSE(ER$9:ER$34),$K167:$AJ167)</f>
        <v>24600</v>
      </c>
      <c r="ES167" s="12">
        <f t="array" ref="ES167">SUMPRODUCT(TRANSPOSE(ES$9:ES$34),$K167:$AJ167)</f>
        <v>24600</v>
      </c>
      <c r="ET167" s="12">
        <f t="array" ref="ET167">SUMPRODUCT(TRANSPOSE(ET$9:ET$34),$K167:$AJ167)</f>
        <v>24600</v>
      </c>
      <c r="EU167" s="12">
        <f t="array" ref="EU167">SUMPRODUCT(TRANSPOSE(EU$9:EU$34),$K167:$AJ167)</f>
        <v>24600</v>
      </c>
      <c r="EV167" s="12">
        <f t="array" ref="EV167">SUMPRODUCT(TRANSPOSE(EV$9:EV$34),$K167:$AJ167)</f>
        <v>24600</v>
      </c>
      <c r="EW167" s="12">
        <f t="array" ref="EW167">SUMPRODUCT(TRANSPOSE(EW$9:EW$34),$K167:$AJ167)</f>
        <v>24120</v>
      </c>
      <c r="EX167" s="12">
        <f t="array" ref="EX167">SUMPRODUCT(TRANSPOSE(EX$9:EX$34),$K167:$AJ167)</f>
        <v>24000</v>
      </c>
      <c r="EY167" s="12">
        <f t="array" ref="EY167">SUMPRODUCT(TRANSPOSE(EY$9:EY$34),$K167:$AJ167)</f>
        <v>24000</v>
      </c>
      <c r="EZ167" s="12">
        <f t="array" ref="EZ167">SUMPRODUCT(TRANSPOSE(EZ$9:EZ$34),$K167:$AJ167)</f>
        <v>24000</v>
      </c>
      <c r="FA167" s="12">
        <f t="array" ref="FA167">SUMPRODUCT(TRANSPOSE(FA$9:FA$34),$K167:$AJ167)</f>
        <v>24000</v>
      </c>
      <c r="FB167" s="12">
        <f t="array" ref="FB167">SUMPRODUCT(TRANSPOSE(FB$9:FB$34),$K167:$AJ167)</f>
        <v>24000</v>
      </c>
      <c r="FC167" s="12">
        <f t="array" ref="FC167">SUMPRODUCT(TRANSPOSE(FC$9:FC$34),$K167:$AJ167)</f>
        <v>24000</v>
      </c>
      <c r="FD167" s="12">
        <f t="array" ref="FD167">SUMPRODUCT(TRANSPOSE(FD$9:FD$34),$K167:$AJ167)</f>
        <v>24000</v>
      </c>
      <c r="FE167" s="12">
        <f t="array" ref="FE167">SUMPRODUCT(TRANSPOSE(FE$9:FE$34),$K167:$AJ167)</f>
        <v>24000</v>
      </c>
      <c r="FF167" s="12">
        <f t="array" ref="FF167">SUMPRODUCT(TRANSPOSE(FF$9:FF$34),$K167:$AJ167)</f>
        <v>24000</v>
      </c>
      <c r="FG167" s="12">
        <f t="array" ref="FG167">SUMPRODUCT(TRANSPOSE(FG$9:FG$34),$K167:$AJ167)</f>
        <v>24000</v>
      </c>
      <c r="FH167" s="12">
        <f t="array" ref="FH167">SUMPRODUCT(TRANSPOSE(FH$9:FH$34),$K167:$AJ167)</f>
        <v>24000</v>
      </c>
      <c r="FI167" s="12">
        <f t="array" ref="FI167">SUMPRODUCT(TRANSPOSE(FI$9:FI$34),$K167:$AJ167)</f>
        <v>24000</v>
      </c>
      <c r="FJ167" s="12">
        <f t="array" ref="FJ167">SUMPRODUCT(TRANSPOSE(FJ$9:FJ$34),$K167:$AJ167)</f>
        <v>24000</v>
      </c>
      <c r="FK167" s="12">
        <f t="array" ref="FK167">SUMPRODUCT(TRANSPOSE(FK$9:FK$34),$K167:$AJ167)</f>
        <v>24000</v>
      </c>
      <c r="FL167" s="12">
        <f t="array" ref="FL167">SUMPRODUCT(TRANSPOSE(FL$9:FL$34),$K167:$AJ167)</f>
        <v>24000</v>
      </c>
      <c r="FM167" s="12">
        <f t="array" ref="FM167">SUMPRODUCT(TRANSPOSE(FM$9:FM$34),$K167:$AJ167)</f>
        <v>24000</v>
      </c>
      <c r="FN167" s="12">
        <f t="array" ref="FN167">SUMPRODUCT(TRANSPOSE(FN$9:FN$34),$K167:$AJ167)</f>
        <v>20376</v>
      </c>
      <c r="FO167" s="12">
        <f t="array" ref="FO167">SUMPRODUCT(TRANSPOSE(FO$9:FO$34),$K167:$AJ167)</f>
        <v>924</v>
      </c>
    </row>
    <row r="168" spans="1:171" ht="14.25" x14ac:dyDescent="0.2">
      <c r="A168" s="13">
        <f t="shared" si="10"/>
        <v>133</v>
      </c>
      <c r="B168" s="13" t="s">
        <v>480</v>
      </c>
      <c r="C168" s="25" t="s">
        <v>481</v>
      </c>
      <c r="D168" s="13" t="s">
        <v>67</v>
      </c>
      <c r="E168" s="13">
        <v>417983111</v>
      </c>
      <c r="F168" s="26" t="s">
        <v>482</v>
      </c>
      <c r="G168" s="13"/>
      <c r="H168" s="13" t="s">
        <v>61</v>
      </c>
      <c r="I168" s="13">
        <v>2</v>
      </c>
      <c r="J168" s="13">
        <v>28</v>
      </c>
      <c r="K168" s="13">
        <v>0</v>
      </c>
      <c r="L168" s="13">
        <v>0</v>
      </c>
      <c r="M168" s="13">
        <v>0</v>
      </c>
      <c r="N168" s="13">
        <v>28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/>
      <c r="Z168" s="13"/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f t="shared" si="11"/>
        <v>28</v>
      </c>
      <c r="AL168" s="23">
        <f t="shared" si="9"/>
        <v>986468</v>
      </c>
      <c r="AM168" s="27"/>
      <c r="AN168" s="13" t="s">
        <v>418</v>
      </c>
      <c r="AO168" s="7" t="s">
        <v>468</v>
      </c>
      <c r="AP168" s="38">
        <v>6.9999999999999999E-4</v>
      </c>
      <c r="AQ168" s="12">
        <v>992800</v>
      </c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13"/>
      <c r="CG168" s="13"/>
      <c r="CH168" s="13"/>
      <c r="CI168" s="12"/>
      <c r="CJ168" s="12"/>
      <c r="CK168" s="12"/>
      <c r="CL168" s="12"/>
      <c r="CM168" s="12"/>
      <c r="CN168" s="12"/>
      <c r="CO168" s="12"/>
      <c r="CP168" s="12">
        <f>SUM($AQ168:BJ168)-SUM($EA168:EH168)</f>
        <v>882088</v>
      </c>
      <c r="CQ168" s="12">
        <f>SUM($AQ168:BK168)-SUM($EA168:EI168)</f>
        <v>882088</v>
      </c>
      <c r="CR168" s="12">
        <f>SUM($AQ168:BL168)-SUM($EA168:EJ168)</f>
        <v>854088</v>
      </c>
      <c r="CS168" s="12">
        <f>SUM($AQ168:BM168)-SUM($EA168:EK168)</f>
        <v>826088</v>
      </c>
      <c r="CT168" s="12">
        <f>SUM($AQ168:BN168)-SUM($EA168:EL168)</f>
        <v>798088</v>
      </c>
      <c r="CU168" s="12">
        <f>SUM($AQ168:BO168)-SUM($EA168:EM168)</f>
        <v>798088</v>
      </c>
      <c r="CV168" s="12">
        <f>SUM($AQ168:BP168)-SUM($EA168:EN168)</f>
        <v>772888</v>
      </c>
      <c r="CW168" s="12">
        <f>SUM($AQ168:BQ168)-SUM($EA168:EO168)</f>
        <v>744888</v>
      </c>
      <c r="CX168" s="12">
        <f>SUM($AQ168:BR168)-SUM($EA168:EP168)</f>
        <v>716888</v>
      </c>
      <c r="CY168" s="12">
        <f>SUM($AQ168:BS168)-SUM($EA168:EQ168)</f>
        <v>688888</v>
      </c>
      <c r="CZ168" s="12">
        <f>SUM($AQ168:BT168)-SUM($EA168:ER168)</f>
        <v>660888</v>
      </c>
      <c r="DA168" s="12">
        <f>SUM($AQ168:BU168)-SUM($EA168:ES168)</f>
        <v>632888</v>
      </c>
      <c r="DB168" s="12">
        <f>SUM($AQ168:BV168)-SUM($EA168:ET168)</f>
        <v>604888</v>
      </c>
      <c r="DC168" s="12">
        <f>SUM($AQ168:BW168)-SUM($EA168:EU168)</f>
        <v>576888</v>
      </c>
      <c r="DD168" s="12">
        <f>SUM($AQ168:BX168)-SUM($EA168:EV168)</f>
        <v>548888</v>
      </c>
      <c r="DE168" s="12">
        <f>SUM($AQ168:BY168)-SUM($EA168:EW168)</f>
        <v>520888</v>
      </c>
      <c r="DF168" s="12">
        <f>SUM($AQ168:BZ168)-SUM($EA168:EX168)</f>
        <v>492888</v>
      </c>
      <c r="DG168" s="12">
        <f>SUM($AQ168:CA168)-SUM($EA168:EY168)</f>
        <v>464888</v>
      </c>
      <c r="DH168" s="12">
        <f>SUM($AQ168:CB168)-SUM($EA168:EZ168)</f>
        <v>436888</v>
      </c>
      <c r="DI168" s="12">
        <f>SUM($AQ168:CC168)-SUM($EA168:FA168)</f>
        <v>408888</v>
      </c>
      <c r="DJ168" s="12">
        <f>SUM($AQ168:CD168)-SUM($EA168:FB168)</f>
        <v>380888</v>
      </c>
      <c r="DK168" s="12">
        <f>SUM($AQ168:CE168)-SUM($EA168:FC168)</f>
        <v>352888</v>
      </c>
      <c r="DL168" s="12">
        <f>SUM($AQ168:CF168)-SUM($EA168:FD168)</f>
        <v>324888</v>
      </c>
      <c r="DM168" s="12">
        <f>SUM($AQ168:CG168)-SUM($EA168:FE168)</f>
        <v>296888</v>
      </c>
      <c r="DN168" s="12">
        <f>SUM($AQ168:CH168)-SUM($EA168:FF168)</f>
        <v>268888</v>
      </c>
      <c r="DO168" s="12">
        <f>SUM($AQ168:CI168)-SUM($EA168:FG168)</f>
        <v>240888</v>
      </c>
      <c r="DP168" s="12">
        <f>SUM($AQ168:CJ168)-SUM($EA168:FH168)</f>
        <v>212888</v>
      </c>
      <c r="DQ168" s="12">
        <f>SUM($AQ168:CK168)-SUM($EA168:FI168)</f>
        <v>184888</v>
      </c>
      <c r="DR168" s="12">
        <f>SUM($AQ168:CL168)-SUM($EA168:FJ168)</f>
        <v>156888</v>
      </c>
      <c r="DS168" s="12">
        <f>SUM($AQ168:CM168)-SUM($EA168:FK168)</f>
        <v>128888</v>
      </c>
      <c r="DT168" s="12">
        <f>SUM($AQ168:CN168)-SUM($EA168:FL168)</f>
        <v>100888</v>
      </c>
      <c r="DU168" s="12">
        <f>SUM($AQ168:CO168)-SUM($EA168:FM168)</f>
        <v>72888</v>
      </c>
      <c r="DV168" s="12">
        <f>SUM($AQ168:CP168)-SUM($EA168:FN168)</f>
        <v>926976</v>
      </c>
      <c r="DW168" s="12">
        <f>SUM($AQ168:CQ168)-SUM($EA168:FO168)</f>
        <v>1806908</v>
      </c>
      <c r="DX168" s="13"/>
      <c r="DY168" s="13"/>
      <c r="DZ168" s="13"/>
      <c r="EA168" s="12"/>
      <c r="EB168" s="12"/>
      <c r="EC168" s="12"/>
      <c r="ED168" s="12"/>
      <c r="EE168" s="12"/>
      <c r="EF168" s="12"/>
      <c r="EG168" s="12"/>
      <c r="EH168" s="12">
        <f t="array" ref="EH168">SUMPRODUCT(TRANSPOSE(EH$9:EH$34),$K168:$AJ168)</f>
        <v>110712</v>
      </c>
      <c r="EI168" s="12">
        <f t="array" ref="EI168">SUMPRODUCT(TRANSPOSE(EI$9:EI$34),$K168:$AJ168)</f>
        <v>0</v>
      </c>
      <c r="EJ168" s="12">
        <f t="array" ref="EJ168">SUMPRODUCT(TRANSPOSE(EJ$9:EJ$34),$K168:$AJ168)</f>
        <v>28000</v>
      </c>
      <c r="EK168" s="12">
        <f t="array" ref="EK168">SUMPRODUCT(TRANSPOSE(EK$9:EK$34),$K168:$AJ168)</f>
        <v>28000</v>
      </c>
      <c r="EL168" s="12">
        <f t="array" ref="EL168">SUMPRODUCT(TRANSPOSE(EL$9:EL$34),$K168:$AJ168)</f>
        <v>28000</v>
      </c>
      <c r="EM168" s="12">
        <f t="array" ref="EM168">SUMPRODUCT(TRANSPOSE(EM$9:EM$34),$K168:$AJ168)</f>
        <v>0</v>
      </c>
      <c r="EN168" s="12">
        <f t="array" ref="EN168">SUMPRODUCT(TRANSPOSE(EN$9:EN$34),$K168:$AJ168)</f>
        <v>25200</v>
      </c>
      <c r="EO168" s="12">
        <f t="array" ref="EO168">SUMPRODUCT(TRANSPOSE(EO$9:EO$34),$K168:$AJ168)</f>
        <v>28000</v>
      </c>
      <c r="EP168" s="12">
        <f t="array" ref="EP168">SUMPRODUCT(TRANSPOSE(EP$9:EP$34),$K168:$AJ168)</f>
        <v>28000</v>
      </c>
      <c r="EQ168" s="12">
        <f t="array" ref="EQ168">SUMPRODUCT(TRANSPOSE(EQ$9:EQ$34),$K168:$AJ168)</f>
        <v>28000</v>
      </c>
      <c r="ER168" s="12">
        <f t="array" ref="ER168">SUMPRODUCT(TRANSPOSE(ER$9:ER$34),$K168:$AJ168)</f>
        <v>28000</v>
      </c>
      <c r="ES168" s="12">
        <f t="array" ref="ES168">SUMPRODUCT(TRANSPOSE(ES$9:ES$34),$K168:$AJ168)</f>
        <v>28000</v>
      </c>
      <c r="ET168" s="12">
        <f t="array" ref="ET168">SUMPRODUCT(TRANSPOSE(ET$9:ET$34),$K168:$AJ168)</f>
        <v>28000</v>
      </c>
      <c r="EU168" s="12">
        <f t="array" ref="EU168">SUMPRODUCT(TRANSPOSE(EU$9:EU$34),$K168:$AJ168)</f>
        <v>28000</v>
      </c>
      <c r="EV168" s="12">
        <f t="array" ref="EV168">SUMPRODUCT(TRANSPOSE(EV$9:EV$34),$K168:$AJ168)</f>
        <v>28000</v>
      </c>
      <c r="EW168" s="12">
        <f t="array" ref="EW168">SUMPRODUCT(TRANSPOSE(EW$9:EW$34),$K168:$AJ168)</f>
        <v>28000</v>
      </c>
      <c r="EX168" s="12">
        <f t="array" ref="EX168">SUMPRODUCT(TRANSPOSE(EX$9:EX$34),$K168:$AJ168)</f>
        <v>28000</v>
      </c>
      <c r="EY168" s="12">
        <f t="array" ref="EY168">SUMPRODUCT(TRANSPOSE(EY$9:EY$34),$K168:$AJ168)</f>
        <v>28000</v>
      </c>
      <c r="EZ168" s="12">
        <f t="array" ref="EZ168">SUMPRODUCT(TRANSPOSE(EZ$9:EZ$34),$K168:$AJ168)</f>
        <v>28000</v>
      </c>
      <c r="FA168" s="12">
        <f t="array" ref="FA168">SUMPRODUCT(TRANSPOSE(FA$9:FA$34),$K168:$AJ168)</f>
        <v>28000</v>
      </c>
      <c r="FB168" s="12">
        <f t="array" ref="FB168">SUMPRODUCT(TRANSPOSE(FB$9:FB$34),$K168:$AJ168)</f>
        <v>28000</v>
      </c>
      <c r="FC168" s="12">
        <f t="array" ref="FC168">SUMPRODUCT(TRANSPOSE(FC$9:FC$34),$K168:$AJ168)</f>
        <v>28000</v>
      </c>
      <c r="FD168" s="12">
        <f t="array" ref="FD168">SUMPRODUCT(TRANSPOSE(FD$9:FD$34),$K168:$AJ168)</f>
        <v>28000</v>
      </c>
      <c r="FE168" s="12">
        <f t="array" ref="FE168">SUMPRODUCT(TRANSPOSE(FE$9:FE$34),$K168:$AJ168)</f>
        <v>28000</v>
      </c>
      <c r="FF168" s="12">
        <f t="array" ref="FF168">SUMPRODUCT(TRANSPOSE(FF$9:FF$34),$K168:$AJ168)</f>
        <v>28000</v>
      </c>
      <c r="FG168" s="12">
        <f t="array" ref="FG168">SUMPRODUCT(TRANSPOSE(FG$9:FG$34),$K168:$AJ168)</f>
        <v>28000</v>
      </c>
      <c r="FH168" s="12">
        <f t="array" ref="FH168">SUMPRODUCT(TRANSPOSE(FH$9:FH$34),$K168:$AJ168)</f>
        <v>28000</v>
      </c>
      <c r="FI168" s="12">
        <f t="array" ref="FI168">SUMPRODUCT(TRANSPOSE(FI$9:FI$34),$K168:$AJ168)</f>
        <v>28000</v>
      </c>
      <c r="FJ168" s="12">
        <f t="array" ref="FJ168">SUMPRODUCT(TRANSPOSE(FJ$9:FJ$34),$K168:$AJ168)</f>
        <v>28000</v>
      </c>
      <c r="FK168" s="12">
        <f t="array" ref="FK168">SUMPRODUCT(TRANSPOSE(FK$9:FK$34),$K168:$AJ168)</f>
        <v>28000</v>
      </c>
      <c r="FL168" s="12">
        <f t="array" ref="FL168">SUMPRODUCT(TRANSPOSE(FL$9:FL$34),$K168:$AJ168)</f>
        <v>28000</v>
      </c>
      <c r="FM168" s="12">
        <f t="array" ref="FM168">SUMPRODUCT(TRANSPOSE(FM$9:FM$34),$K168:$AJ168)</f>
        <v>28000</v>
      </c>
      <c r="FN168" s="12">
        <f t="array" ref="FN168">SUMPRODUCT(TRANSPOSE(FN$9:FN$34),$K168:$AJ168)</f>
        <v>28000</v>
      </c>
      <c r="FO168" s="12">
        <f t="array" ref="FO168">SUMPRODUCT(TRANSPOSE(FO$9:FO$34),$K168:$AJ168)</f>
        <v>2156</v>
      </c>
    </row>
    <row r="169" spans="1:171" ht="14.25" x14ac:dyDescent="0.2">
      <c r="A169" s="13">
        <f t="shared" si="10"/>
        <v>134</v>
      </c>
      <c r="B169" s="13" t="s">
        <v>483</v>
      </c>
      <c r="C169" s="25" t="s">
        <v>484</v>
      </c>
      <c r="D169" s="13" t="s">
        <v>67</v>
      </c>
      <c r="E169" s="13">
        <v>417983120</v>
      </c>
      <c r="F169" s="26" t="s">
        <v>485</v>
      </c>
      <c r="G169" s="13" t="s">
        <v>486</v>
      </c>
      <c r="H169" s="13" t="s">
        <v>61</v>
      </c>
      <c r="I169" s="13">
        <v>2</v>
      </c>
      <c r="J169" s="13">
        <v>75</v>
      </c>
      <c r="K169" s="13">
        <v>0</v>
      </c>
      <c r="L169" s="13">
        <v>0</v>
      </c>
      <c r="M169" s="13">
        <v>0</v>
      </c>
      <c r="N169" s="13">
        <v>0</v>
      </c>
      <c r="O169" s="13">
        <v>25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25</v>
      </c>
      <c r="Y169" s="13"/>
      <c r="Z169" s="13"/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25</v>
      </c>
      <c r="AK169" s="13">
        <f t="shared" si="11"/>
        <v>50</v>
      </c>
      <c r="AL169" s="23">
        <f t="shared" si="9"/>
        <v>1771575</v>
      </c>
      <c r="AM169" s="27"/>
      <c r="AN169" s="13" t="s">
        <v>470</v>
      </c>
      <c r="AO169" s="7" t="s">
        <v>468</v>
      </c>
      <c r="AP169" s="38">
        <v>1.2600000000000001E-3</v>
      </c>
      <c r="AQ169" s="12">
        <v>1768000</v>
      </c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13"/>
      <c r="CG169" s="13"/>
      <c r="CH169" s="13"/>
      <c r="CI169" s="12"/>
      <c r="CJ169" s="12"/>
      <c r="CK169" s="12"/>
      <c r="CL169" s="12"/>
      <c r="CM169" s="12"/>
      <c r="CN169" s="12"/>
      <c r="CO169" s="12"/>
      <c r="CP169" s="12">
        <f>SUM($AQ169:BJ169)-SUM($EA169:EH169)</f>
        <v>1591425</v>
      </c>
      <c r="CQ169" s="12">
        <f>SUM($AQ169:BK169)-SUM($EA169:EI169)</f>
        <v>1581425</v>
      </c>
      <c r="CR169" s="12">
        <f>SUM($AQ169:BL169)-SUM($EA169:EJ169)</f>
        <v>1556050</v>
      </c>
      <c r="CS169" s="12">
        <f>SUM($AQ169:BM169)-SUM($EA169:EK169)</f>
        <v>1527675</v>
      </c>
      <c r="CT169" s="12">
        <f>SUM($AQ169:BN169)-SUM($EA169:EL169)</f>
        <v>1477300</v>
      </c>
      <c r="CU169" s="12">
        <f>SUM($AQ169:BO169)-SUM($EA169:EM169)</f>
        <v>1426050</v>
      </c>
      <c r="CV169" s="12">
        <f>SUM($AQ169:BP169)-SUM($EA169:EN169)</f>
        <v>1374800</v>
      </c>
      <c r="CW169" s="12">
        <f>SUM($AQ169:BQ169)-SUM($EA169:EO169)</f>
        <v>1324800</v>
      </c>
      <c r="CX169" s="12">
        <f>SUM($AQ169:BR169)-SUM($EA169:EP169)</f>
        <v>1273550</v>
      </c>
      <c r="CY169" s="12">
        <f>SUM($AQ169:BS169)-SUM($EA169:EQ169)</f>
        <v>1222300</v>
      </c>
      <c r="CZ169" s="12">
        <f>SUM($AQ169:BT169)-SUM($EA169:ER169)</f>
        <v>1171050</v>
      </c>
      <c r="DA169" s="12">
        <f>SUM($AQ169:BU169)-SUM($EA169:ES169)</f>
        <v>1119800</v>
      </c>
      <c r="DB169" s="12">
        <f>SUM($AQ169:BV169)-SUM($EA169:ET169)</f>
        <v>1068550</v>
      </c>
      <c r="DC169" s="12">
        <f>SUM($AQ169:BW169)-SUM($EA169:EU169)</f>
        <v>1017300</v>
      </c>
      <c r="DD169" s="12">
        <f>SUM($AQ169:BX169)-SUM($EA169:EV169)</f>
        <v>966050</v>
      </c>
      <c r="DE169" s="12">
        <f>SUM($AQ169:BY169)-SUM($EA169:EW169)</f>
        <v>915800</v>
      </c>
      <c r="DF169" s="12">
        <f>SUM($AQ169:BZ169)-SUM($EA169:EX169)</f>
        <v>865800</v>
      </c>
      <c r="DG169" s="12">
        <f>SUM($AQ169:CA169)-SUM($EA169:EY169)</f>
        <v>815800</v>
      </c>
      <c r="DH169" s="12">
        <f>SUM($AQ169:CB169)-SUM($EA169:EZ169)</f>
        <v>765800</v>
      </c>
      <c r="DI169" s="12">
        <f>SUM($AQ169:CC169)-SUM($EA169:FA169)</f>
        <v>715800</v>
      </c>
      <c r="DJ169" s="12">
        <f>SUM($AQ169:CD169)-SUM($EA169:FB169)</f>
        <v>665800</v>
      </c>
      <c r="DK169" s="12">
        <f>SUM($AQ169:CE169)-SUM($EA169:FC169)</f>
        <v>615800</v>
      </c>
      <c r="DL169" s="12">
        <f>SUM($AQ169:CF169)-SUM($EA169:FD169)</f>
        <v>565800</v>
      </c>
      <c r="DM169" s="12">
        <f>SUM($AQ169:CG169)-SUM($EA169:FE169)</f>
        <v>515800</v>
      </c>
      <c r="DN169" s="12">
        <f>SUM($AQ169:CH169)-SUM($EA169:FF169)</f>
        <v>465800</v>
      </c>
      <c r="DO169" s="12">
        <f>SUM($AQ169:CI169)-SUM($EA169:FG169)</f>
        <v>415800</v>
      </c>
      <c r="DP169" s="12">
        <f>SUM($AQ169:CJ169)-SUM($EA169:FH169)</f>
        <v>365800</v>
      </c>
      <c r="DQ169" s="12">
        <f>SUM($AQ169:CK169)-SUM($EA169:FI169)</f>
        <v>315800</v>
      </c>
      <c r="DR169" s="12">
        <f>SUM($AQ169:CL169)-SUM($EA169:FJ169)</f>
        <v>265800</v>
      </c>
      <c r="DS169" s="12">
        <f>SUM($AQ169:CM169)-SUM($EA169:FK169)</f>
        <v>215800</v>
      </c>
      <c r="DT169" s="12">
        <f>SUM($AQ169:CN169)-SUM($EA169:FL169)</f>
        <v>165800</v>
      </c>
      <c r="DU169" s="12">
        <f>SUM($AQ169:CO169)-SUM($EA169:FM169)</f>
        <v>115800</v>
      </c>
      <c r="DV169" s="12">
        <f>SUM($AQ169:CP169)-SUM($EA169:FN169)</f>
        <v>1664775</v>
      </c>
      <c r="DW169" s="12">
        <f>SUM($AQ169:CQ169)-SUM($EA169:FO169)</f>
        <v>3244275</v>
      </c>
      <c r="DX169" s="13"/>
      <c r="DY169" s="13"/>
      <c r="DZ169" s="13"/>
      <c r="EA169" s="12"/>
      <c r="EB169" s="12"/>
      <c r="EC169" s="12"/>
      <c r="ED169" s="12"/>
      <c r="EE169" s="12"/>
      <c r="EF169" s="12"/>
      <c r="EG169" s="12"/>
      <c r="EH169" s="12">
        <f t="array" ref="EH169">SUMPRODUCT(TRANSPOSE(EH$9:EH$34),$K169:$AJ169)</f>
        <v>176575</v>
      </c>
      <c r="EI169" s="12">
        <f t="array" ref="EI169">SUMPRODUCT(TRANSPOSE(EI$9:EI$34),$K169:$AJ169)</f>
        <v>10000</v>
      </c>
      <c r="EJ169" s="12">
        <f t="array" ref="EJ169">SUMPRODUCT(TRANSPOSE(EJ$9:EJ$34),$K169:$AJ169)</f>
        <v>25375</v>
      </c>
      <c r="EK169" s="12">
        <f t="array" ref="EK169">SUMPRODUCT(TRANSPOSE(EK$9:EK$34),$K169:$AJ169)</f>
        <v>28375</v>
      </c>
      <c r="EL169" s="12">
        <f t="array" ref="EL169">SUMPRODUCT(TRANSPOSE(EL$9:EL$34),$K169:$AJ169)</f>
        <v>50375</v>
      </c>
      <c r="EM169" s="12">
        <f t="array" ref="EM169">SUMPRODUCT(TRANSPOSE(EM$9:EM$34),$K169:$AJ169)</f>
        <v>51250</v>
      </c>
      <c r="EN169" s="12">
        <f t="array" ref="EN169">SUMPRODUCT(TRANSPOSE(EN$9:EN$34),$K169:$AJ169)</f>
        <v>51250</v>
      </c>
      <c r="EO169" s="12">
        <f t="array" ref="EO169">SUMPRODUCT(TRANSPOSE(EO$9:EO$34),$K169:$AJ169)</f>
        <v>50000</v>
      </c>
      <c r="EP169" s="12">
        <f t="array" ref="EP169">SUMPRODUCT(TRANSPOSE(EP$9:EP$34),$K169:$AJ169)</f>
        <v>51250</v>
      </c>
      <c r="EQ169" s="12">
        <f t="array" ref="EQ169">SUMPRODUCT(TRANSPOSE(EQ$9:EQ$34),$K169:$AJ169)</f>
        <v>51250</v>
      </c>
      <c r="ER169" s="12">
        <f t="array" ref="ER169">SUMPRODUCT(TRANSPOSE(ER$9:ER$34),$K169:$AJ169)</f>
        <v>51250</v>
      </c>
      <c r="ES169" s="12">
        <f t="array" ref="ES169">SUMPRODUCT(TRANSPOSE(ES$9:ES$34),$K169:$AJ169)</f>
        <v>51250</v>
      </c>
      <c r="ET169" s="12">
        <f t="array" ref="ET169">SUMPRODUCT(TRANSPOSE(ET$9:ET$34),$K169:$AJ169)</f>
        <v>51250</v>
      </c>
      <c r="EU169" s="12">
        <f t="array" ref="EU169">SUMPRODUCT(TRANSPOSE(EU$9:EU$34),$K169:$AJ169)</f>
        <v>51250</v>
      </c>
      <c r="EV169" s="12">
        <f t="array" ref="EV169">SUMPRODUCT(TRANSPOSE(EV$9:EV$34),$K169:$AJ169)</f>
        <v>51250</v>
      </c>
      <c r="EW169" s="12">
        <f t="array" ref="EW169">SUMPRODUCT(TRANSPOSE(EW$9:EW$34),$K169:$AJ169)</f>
        <v>50250</v>
      </c>
      <c r="EX169" s="12">
        <f t="array" ref="EX169">SUMPRODUCT(TRANSPOSE(EX$9:EX$34),$K169:$AJ169)</f>
        <v>50000</v>
      </c>
      <c r="EY169" s="12">
        <f t="array" ref="EY169">SUMPRODUCT(TRANSPOSE(EY$9:EY$34),$K169:$AJ169)</f>
        <v>50000</v>
      </c>
      <c r="EZ169" s="12">
        <f t="array" ref="EZ169">SUMPRODUCT(TRANSPOSE(EZ$9:EZ$34),$K169:$AJ169)</f>
        <v>50000</v>
      </c>
      <c r="FA169" s="12">
        <f t="array" ref="FA169">SUMPRODUCT(TRANSPOSE(FA$9:FA$34),$K169:$AJ169)</f>
        <v>50000</v>
      </c>
      <c r="FB169" s="12">
        <f t="array" ref="FB169">SUMPRODUCT(TRANSPOSE(FB$9:FB$34),$K169:$AJ169)</f>
        <v>50000</v>
      </c>
      <c r="FC169" s="12">
        <f t="array" ref="FC169">SUMPRODUCT(TRANSPOSE(FC$9:FC$34),$K169:$AJ169)</f>
        <v>50000</v>
      </c>
      <c r="FD169" s="12">
        <f t="array" ref="FD169">SUMPRODUCT(TRANSPOSE(FD$9:FD$34),$K169:$AJ169)</f>
        <v>50000</v>
      </c>
      <c r="FE169" s="12">
        <f t="array" ref="FE169">SUMPRODUCT(TRANSPOSE(FE$9:FE$34),$K169:$AJ169)</f>
        <v>50000</v>
      </c>
      <c r="FF169" s="12">
        <f t="array" ref="FF169">SUMPRODUCT(TRANSPOSE(FF$9:FF$34),$K169:$AJ169)</f>
        <v>50000</v>
      </c>
      <c r="FG169" s="12">
        <f t="array" ref="FG169">SUMPRODUCT(TRANSPOSE(FG$9:FG$34),$K169:$AJ169)</f>
        <v>50000</v>
      </c>
      <c r="FH169" s="12">
        <f t="array" ref="FH169">SUMPRODUCT(TRANSPOSE(FH$9:FH$34),$K169:$AJ169)</f>
        <v>50000</v>
      </c>
      <c r="FI169" s="12">
        <f t="array" ref="FI169">SUMPRODUCT(TRANSPOSE(FI$9:FI$34),$K169:$AJ169)</f>
        <v>50000</v>
      </c>
      <c r="FJ169" s="12">
        <f t="array" ref="FJ169">SUMPRODUCT(TRANSPOSE(FJ$9:FJ$34),$K169:$AJ169)</f>
        <v>50000</v>
      </c>
      <c r="FK169" s="12">
        <f t="array" ref="FK169">SUMPRODUCT(TRANSPOSE(FK$9:FK$34),$K169:$AJ169)</f>
        <v>50000</v>
      </c>
      <c r="FL169" s="12">
        <f t="array" ref="FL169">SUMPRODUCT(TRANSPOSE(FL$9:FL$34),$K169:$AJ169)</f>
        <v>50000</v>
      </c>
      <c r="FM169" s="12">
        <f t="array" ref="FM169">SUMPRODUCT(TRANSPOSE(FM$9:FM$34),$K169:$AJ169)</f>
        <v>50000</v>
      </c>
      <c r="FN169" s="12">
        <f t="array" ref="FN169">SUMPRODUCT(TRANSPOSE(FN$9:FN$34),$K169:$AJ169)</f>
        <v>42450</v>
      </c>
      <c r="FO169" s="12">
        <f t="array" ref="FO169">SUMPRODUCT(TRANSPOSE(FO$9:FO$34),$K169:$AJ169)</f>
        <v>1925</v>
      </c>
    </row>
    <row r="170" spans="1:171" ht="14.25" x14ac:dyDescent="0.2">
      <c r="A170" s="13">
        <f t="shared" si="10"/>
        <v>135</v>
      </c>
      <c r="B170" s="13" t="s">
        <v>487</v>
      </c>
      <c r="C170" s="25" t="s">
        <v>488</v>
      </c>
      <c r="D170" s="13" t="s">
        <v>67</v>
      </c>
      <c r="E170" s="13">
        <v>417983123</v>
      </c>
      <c r="F170" s="26" t="s">
        <v>489</v>
      </c>
      <c r="G170" s="13">
        <v>400326635</v>
      </c>
      <c r="H170" s="13" t="s">
        <v>61</v>
      </c>
      <c r="I170" s="13">
        <v>2</v>
      </c>
      <c r="J170" s="13">
        <v>4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2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/>
      <c r="Z170" s="13">
        <v>2</v>
      </c>
      <c r="AA170" s="13">
        <v>0</v>
      </c>
      <c r="AB170" s="13">
        <v>0</v>
      </c>
      <c r="AC170" s="13">
        <v>0</v>
      </c>
      <c r="AD170" s="13">
        <v>2</v>
      </c>
      <c r="AE170" s="13">
        <v>2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f t="shared" si="11"/>
        <v>6</v>
      </c>
      <c r="AL170" s="23">
        <f t="shared" si="9"/>
        <v>71330</v>
      </c>
      <c r="AM170" s="13"/>
      <c r="AN170" s="13" t="s">
        <v>470</v>
      </c>
      <c r="AO170" s="7" t="s">
        <v>468</v>
      </c>
      <c r="AP170" s="38">
        <v>2.5000000000000001E-3</v>
      </c>
      <c r="AQ170" s="12">
        <v>72000</v>
      </c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13"/>
      <c r="CG170" s="13"/>
      <c r="CH170" s="13"/>
      <c r="CI170" s="12"/>
      <c r="CJ170" s="12"/>
      <c r="CK170" s="12"/>
      <c r="CL170" s="12"/>
      <c r="CM170" s="12"/>
      <c r="CN170" s="12"/>
      <c r="CO170" s="12"/>
      <c r="CP170" s="12">
        <f>SUM($AQ170:BJ170)-SUM($EA170:EH170)</f>
        <v>65782</v>
      </c>
      <c r="CQ170" s="12">
        <f>SUM($AQ170:BK170)-SUM($EA170:EI170)</f>
        <v>65220</v>
      </c>
      <c r="CR170" s="12">
        <f>SUM($AQ170:BL170)-SUM($EA170:EJ170)</f>
        <v>65190</v>
      </c>
      <c r="CS170" s="12">
        <f>SUM($AQ170:BM170)-SUM($EA170:EK170)</f>
        <v>64920</v>
      </c>
      <c r="CT170" s="12">
        <f>SUM($AQ170:BN170)-SUM($EA170:EL170)</f>
        <v>62890</v>
      </c>
      <c r="CU170" s="12">
        <f>SUM($AQ170:BO170)-SUM($EA170:EM170)</f>
        <v>58790</v>
      </c>
      <c r="CV170" s="12">
        <f>SUM($AQ170:BP170)-SUM($EA170:EN170)</f>
        <v>56490</v>
      </c>
      <c r="CW170" s="12">
        <f>SUM($AQ170:BQ170)-SUM($EA170:EO170)</f>
        <v>54490</v>
      </c>
      <c r="CX170" s="12">
        <f>SUM($AQ170:BR170)-SUM($EA170:EP170)</f>
        <v>52390</v>
      </c>
      <c r="CY170" s="12">
        <f>SUM($AQ170:BS170)-SUM($EA170:EQ170)</f>
        <v>50290</v>
      </c>
      <c r="CZ170" s="12">
        <f>SUM($AQ170:BT170)-SUM($EA170:ER170)</f>
        <v>48190</v>
      </c>
      <c r="DA170" s="12">
        <f>SUM($AQ170:BU170)-SUM($EA170:ES170)</f>
        <v>46090</v>
      </c>
      <c r="DB170" s="12">
        <f>SUM($AQ170:BV170)-SUM($EA170:ET170)</f>
        <v>43990</v>
      </c>
      <c r="DC170" s="12">
        <f>SUM($AQ170:BW170)-SUM($EA170:EU170)</f>
        <v>41890</v>
      </c>
      <c r="DD170" s="12">
        <f>SUM($AQ170:BX170)-SUM($EA170:EV170)</f>
        <v>39790</v>
      </c>
      <c r="DE170" s="12">
        <f>SUM($AQ170:BY170)-SUM($EA170:EW170)</f>
        <v>37704</v>
      </c>
      <c r="DF170" s="12">
        <f>SUM($AQ170:BZ170)-SUM($EA170:EX170)</f>
        <v>35704</v>
      </c>
      <c r="DG170" s="12">
        <f>SUM($AQ170:CA170)-SUM($EA170:EY170)</f>
        <v>33704</v>
      </c>
      <c r="DH170" s="12">
        <f>SUM($AQ170:CB170)-SUM($EA170:EZ170)</f>
        <v>31704</v>
      </c>
      <c r="DI170" s="12">
        <f>SUM($AQ170:CC170)-SUM($EA170:FA170)</f>
        <v>29704</v>
      </c>
      <c r="DJ170" s="12">
        <f>SUM($AQ170:CD170)-SUM($EA170:FB170)</f>
        <v>27704</v>
      </c>
      <c r="DK170" s="12">
        <f>SUM($AQ170:CE170)-SUM($EA170:FC170)</f>
        <v>25704</v>
      </c>
      <c r="DL170" s="12">
        <f>SUM($AQ170:CF170)-SUM($EA170:FD170)</f>
        <v>23704</v>
      </c>
      <c r="DM170" s="12">
        <f>SUM($AQ170:CG170)-SUM($EA170:FE170)</f>
        <v>21704</v>
      </c>
      <c r="DN170" s="12">
        <f>SUM($AQ170:CH170)-SUM($EA170:FF170)</f>
        <v>19704</v>
      </c>
      <c r="DO170" s="12">
        <f>SUM($AQ170:CI170)-SUM($EA170:FG170)</f>
        <v>17704</v>
      </c>
      <c r="DP170" s="12">
        <f>SUM($AQ170:CJ170)-SUM($EA170:FH170)</f>
        <v>15704</v>
      </c>
      <c r="DQ170" s="12">
        <f>SUM($AQ170:CK170)-SUM($EA170:FI170)</f>
        <v>13704</v>
      </c>
      <c r="DR170" s="12">
        <f>SUM($AQ170:CL170)-SUM($EA170:FJ170)</f>
        <v>11704</v>
      </c>
      <c r="DS170" s="12">
        <f>SUM($AQ170:CM170)-SUM($EA170:FK170)</f>
        <v>9704</v>
      </c>
      <c r="DT170" s="12">
        <f>SUM($AQ170:CN170)-SUM($EA170:FL170)</f>
        <v>7704</v>
      </c>
      <c r="DU170" s="12">
        <f>SUM($AQ170:CO170)-SUM($EA170:FM170)</f>
        <v>5704</v>
      </c>
      <c r="DV170" s="12">
        <f>SUM($AQ170:CP170)-SUM($EA170:FN170)</f>
        <v>69852</v>
      </c>
      <c r="DW170" s="12">
        <f>SUM($AQ170:CQ170)-SUM($EA170:FO170)</f>
        <v>135072</v>
      </c>
      <c r="DX170" s="13"/>
      <c r="DY170" s="13"/>
      <c r="DZ170" s="13"/>
      <c r="EA170" s="12"/>
      <c r="EB170" s="12"/>
      <c r="EC170" s="12"/>
      <c r="ED170" s="12"/>
      <c r="EE170" s="12"/>
      <c r="EF170" s="12"/>
      <c r="EG170" s="12"/>
      <c r="EH170" s="12">
        <f t="array" ref="EH170">SUMPRODUCT(TRANSPOSE(EH$9:EH$34),$K170:$AJ170)</f>
        <v>6218</v>
      </c>
      <c r="EI170" s="12">
        <f t="array" ref="EI170">SUMPRODUCT(TRANSPOSE(EI$9:EI$34),$K170:$AJ170)</f>
        <v>562</v>
      </c>
      <c r="EJ170" s="12">
        <f t="array" ref="EJ170">SUMPRODUCT(TRANSPOSE(EJ$9:EJ$34),$K170:$AJ170)</f>
        <v>30</v>
      </c>
      <c r="EK170" s="12">
        <f t="array" ref="EK170">SUMPRODUCT(TRANSPOSE(EK$9:EK$34),$K170:$AJ170)</f>
        <v>270</v>
      </c>
      <c r="EL170" s="12">
        <f t="array" ref="EL170">SUMPRODUCT(TRANSPOSE(EL$9:EL$34),$K170:$AJ170)</f>
        <v>2030</v>
      </c>
      <c r="EM170" s="12">
        <f t="array" ref="EM170">SUMPRODUCT(TRANSPOSE(EM$9:EM$34),$K170:$AJ170)</f>
        <v>4100</v>
      </c>
      <c r="EN170" s="12">
        <f t="array" ref="EN170">SUMPRODUCT(TRANSPOSE(EN$9:EN$34),$K170:$AJ170)</f>
        <v>2300</v>
      </c>
      <c r="EO170" s="12">
        <f t="array" ref="EO170">SUMPRODUCT(TRANSPOSE(EO$9:EO$34),$K170:$AJ170)</f>
        <v>2000</v>
      </c>
      <c r="EP170" s="12">
        <f t="array" ref="EP170">SUMPRODUCT(TRANSPOSE(EP$9:EP$34),$K170:$AJ170)</f>
        <v>2100</v>
      </c>
      <c r="EQ170" s="12">
        <f t="array" ref="EQ170">SUMPRODUCT(TRANSPOSE(EQ$9:EQ$34),$K170:$AJ170)</f>
        <v>2100</v>
      </c>
      <c r="ER170" s="12">
        <f t="array" ref="ER170">SUMPRODUCT(TRANSPOSE(ER$9:ER$34),$K170:$AJ170)</f>
        <v>2100</v>
      </c>
      <c r="ES170" s="12">
        <f t="array" ref="ES170">SUMPRODUCT(TRANSPOSE(ES$9:ES$34),$K170:$AJ170)</f>
        <v>2100</v>
      </c>
      <c r="ET170" s="12">
        <f t="array" ref="ET170">SUMPRODUCT(TRANSPOSE(ET$9:ET$34),$K170:$AJ170)</f>
        <v>2100</v>
      </c>
      <c r="EU170" s="12">
        <f t="array" ref="EU170">SUMPRODUCT(TRANSPOSE(EU$9:EU$34),$K170:$AJ170)</f>
        <v>2100</v>
      </c>
      <c r="EV170" s="12">
        <f t="array" ref="EV170">SUMPRODUCT(TRANSPOSE(EV$9:EV$34),$K170:$AJ170)</f>
        <v>2100</v>
      </c>
      <c r="EW170" s="12">
        <f t="array" ref="EW170">SUMPRODUCT(TRANSPOSE(EW$9:EW$34),$K170:$AJ170)</f>
        <v>2086</v>
      </c>
      <c r="EX170" s="12">
        <f t="array" ref="EX170">SUMPRODUCT(TRANSPOSE(EX$9:EX$34),$K170:$AJ170)</f>
        <v>2000</v>
      </c>
      <c r="EY170" s="12">
        <f t="array" ref="EY170">SUMPRODUCT(TRANSPOSE(EY$9:EY$34),$K170:$AJ170)</f>
        <v>2000</v>
      </c>
      <c r="EZ170" s="12">
        <f t="array" ref="EZ170">SUMPRODUCT(TRANSPOSE(EZ$9:EZ$34),$K170:$AJ170)</f>
        <v>2000</v>
      </c>
      <c r="FA170" s="12">
        <f t="array" ref="FA170">SUMPRODUCT(TRANSPOSE(FA$9:FA$34),$K170:$AJ170)</f>
        <v>2000</v>
      </c>
      <c r="FB170" s="12">
        <f t="array" ref="FB170">SUMPRODUCT(TRANSPOSE(FB$9:FB$34),$K170:$AJ170)</f>
        <v>2000</v>
      </c>
      <c r="FC170" s="12">
        <f t="array" ref="FC170">SUMPRODUCT(TRANSPOSE(FC$9:FC$34),$K170:$AJ170)</f>
        <v>2000</v>
      </c>
      <c r="FD170" s="12">
        <f t="array" ref="FD170">SUMPRODUCT(TRANSPOSE(FD$9:FD$34),$K170:$AJ170)</f>
        <v>2000</v>
      </c>
      <c r="FE170" s="12">
        <f t="array" ref="FE170">SUMPRODUCT(TRANSPOSE(FE$9:FE$34),$K170:$AJ170)</f>
        <v>2000</v>
      </c>
      <c r="FF170" s="12">
        <f t="array" ref="FF170">SUMPRODUCT(TRANSPOSE(FF$9:FF$34),$K170:$AJ170)</f>
        <v>2000</v>
      </c>
      <c r="FG170" s="12">
        <f t="array" ref="FG170">SUMPRODUCT(TRANSPOSE(FG$9:FG$34),$K170:$AJ170)</f>
        <v>2000</v>
      </c>
      <c r="FH170" s="12">
        <f t="array" ref="FH170">SUMPRODUCT(TRANSPOSE(FH$9:FH$34),$K170:$AJ170)</f>
        <v>2000</v>
      </c>
      <c r="FI170" s="12">
        <f t="array" ref="FI170">SUMPRODUCT(TRANSPOSE(FI$9:FI$34),$K170:$AJ170)</f>
        <v>2000</v>
      </c>
      <c r="FJ170" s="12">
        <f t="array" ref="FJ170">SUMPRODUCT(TRANSPOSE(FJ$9:FJ$34),$K170:$AJ170)</f>
        <v>2000</v>
      </c>
      <c r="FK170" s="12">
        <f t="array" ref="FK170">SUMPRODUCT(TRANSPOSE(FK$9:FK$34),$K170:$AJ170)</f>
        <v>2000</v>
      </c>
      <c r="FL170" s="12">
        <f t="array" ref="FL170">SUMPRODUCT(TRANSPOSE(FL$9:FL$34),$K170:$AJ170)</f>
        <v>2000</v>
      </c>
      <c r="FM170" s="12">
        <f t="array" ref="FM170">SUMPRODUCT(TRANSPOSE(FM$9:FM$34),$K170:$AJ170)</f>
        <v>2000</v>
      </c>
      <c r="FN170" s="12">
        <f t="array" ref="FN170">SUMPRODUCT(TRANSPOSE(FN$9:FN$34),$K170:$AJ170)</f>
        <v>1634</v>
      </c>
      <c r="FO170" s="12">
        <f t="array" ref="FO170">SUMPRODUCT(TRANSPOSE(FO$9:FO$34),$K170:$AJ170)</f>
        <v>0</v>
      </c>
    </row>
    <row r="171" spans="1:171" ht="14.25" x14ac:dyDescent="0.2">
      <c r="A171" s="13">
        <f t="shared" si="10"/>
        <v>136</v>
      </c>
      <c r="B171" s="13" t="s">
        <v>490</v>
      </c>
      <c r="C171" s="25" t="s">
        <v>491</v>
      </c>
      <c r="D171" s="13" t="s">
        <v>67</v>
      </c>
      <c r="E171" s="13">
        <v>417983116</v>
      </c>
      <c r="F171" s="26" t="s">
        <v>492</v>
      </c>
      <c r="G171" s="13" t="s">
        <v>493</v>
      </c>
      <c r="H171" s="13" t="s">
        <v>61</v>
      </c>
      <c r="I171" s="13">
        <v>2</v>
      </c>
      <c r="J171" s="13">
        <v>12</v>
      </c>
      <c r="K171" s="13">
        <v>0</v>
      </c>
      <c r="L171" s="13">
        <v>0</v>
      </c>
      <c r="M171" s="13">
        <v>0</v>
      </c>
      <c r="N171" s="13">
        <v>0</v>
      </c>
      <c r="O171" s="13">
        <v>4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4</v>
      </c>
      <c r="Y171" s="13"/>
      <c r="Z171" s="13"/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4</v>
      </c>
      <c r="AK171" s="13">
        <f t="shared" si="11"/>
        <v>8</v>
      </c>
      <c r="AL171" s="23">
        <f t="shared" si="9"/>
        <v>283452</v>
      </c>
      <c r="AM171" s="27"/>
      <c r="AN171" s="13" t="s">
        <v>470</v>
      </c>
      <c r="AO171" s="7" t="s">
        <v>468</v>
      </c>
      <c r="AP171" s="38">
        <v>2.0999999999999999E-3</v>
      </c>
      <c r="AQ171" s="12">
        <v>285200</v>
      </c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13"/>
      <c r="CG171" s="13"/>
      <c r="CH171" s="13"/>
      <c r="CI171" s="12"/>
      <c r="CJ171" s="12"/>
      <c r="CK171" s="12"/>
      <c r="CL171" s="12"/>
      <c r="CM171" s="12"/>
      <c r="CN171" s="12"/>
      <c r="CO171" s="12"/>
      <c r="CP171" s="12">
        <f>SUM($AQ171:BJ171)-SUM($EA171:EH171)</f>
        <v>256948</v>
      </c>
      <c r="CQ171" s="12">
        <f>SUM($AQ171:BK171)-SUM($EA171:EI171)</f>
        <v>255348</v>
      </c>
      <c r="CR171" s="12">
        <f>SUM($AQ171:BL171)-SUM($EA171:EJ171)</f>
        <v>251288</v>
      </c>
      <c r="CS171" s="12">
        <f>SUM($AQ171:BM171)-SUM($EA171:EK171)</f>
        <v>246748</v>
      </c>
      <c r="CT171" s="12">
        <f>SUM($AQ171:BN171)-SUM($EA171:EL171)</f>
        <v>238688</v>
      </c>
      <c r="CU171" s="12">
        <f>SUM($AQ171:BO171)-SUM($EA171:EM171)</f>
        <v>230488</v>
      </c>
      <c r="CV171" s="12">
        <f>SUM($AQ171:BP171)-SUM($EA171:EN171)</f>
        <v>222288</v>
      </c>
      <c r="CW171" s="12">
        <f>SUM($AQ171:BQ171)-SUM($EA171:EO171)</f>
        <v>214288</v>
      </c>
      <c r="CX171" s="12">
        <f>SUM($AQ171:BR171)-SUM($EA171:EP171)</f>
        <v>206088</v>
      </c>
      <c r="CY171" s="12">
        <f>SUM($AQ171:BS171)-SUM($EA171:EQ171)</f>
        <v>197888</v>
      </c>
      <c r="CZ171" s="12">
        <f>SUM($AQ171:BT171)-SUM($EA171:ER171)</f>
        <v>189688</v>
      </c>
      <c r="DA171" s="12">
        <f>SUM($AQ171:BU171)-SUM($EA171:ES171)</f>
        <v>181488</v>
      </c>
      <c r="DB171" s="12">
        <f>SUM($AQ171:BV171)-SUM($EA171:ET171)</f>
        <v>173288</v>
      </c>
      <c r="DC171" s="12">
        <f>SUM($AQ171:BW171)-SUM($EA171:EU171)</f>
        <v>165088</v>
      </c>
      <c r="DD171" s="12">
        <f>SUM($AQ171:BX171)-SUM($EA171:EV171)</f>
        <v>156888</v>
      </c>
      <c r="DE171" s="12">
        <f>SUM($AQ171:BY171)-SUM($EA171:EW171)</f>
        <v>148848</v>
      </c>
      <c r="DF171" s="12">
        <f>SUM($AQ171:BZ171)-SUM($EA171:EX171)</f>
        <v>140848</v>
      </c>
      <c r="DG171" s="12">
        <f>SUM($AQ171:CA171)-SUM($EA171:EY171)</f>
        <v>132848</v>
      </c>
      <c r="DH171" s="12">
        <f>SUM($AQ171:CB171)-SUM($EA171:EZ171)</f>
        <v>124848</v>
      </c>
      <c r="DI171" s="12">
        <f>SUM($AQ171:CC171)-SUM($EA171:FA171)</f>
        <v>116848</v>
      </c>
      <c r="DJ171" s="12">
        <f>SUM($AQ171:CD171)-SUM($EA171:FB171)</f>
        <v>108848</v>
      </c>
      <c r="DK171" s="12">
        <f>SUM($AQ171:CE171)-SUM($EA171:FC171)</f>
        <v>100848</v>
      </c>
      <c r="DL171" s="12">
        <f>SUM($AQ171:CF171)-SUM($EA171:FD171)</f>
        <v>92848</v>
      </c>
      <c r="DM171" s="12">
        <f>SUM($AQ171:CG171)-SUM($EA171:FE171)</f>
        <v>84848</v>
      </c>
      <c r="DN171" s="12">
        <f>SUM($AQ171:CH171)-SUM($EA171:FF171)</f>
        <v>76848</v>
      </c>
      <c r="DO171" s="12">
        <f>SUM($AQ171:CI171)-SUM($EA171:FG171)</f>
        <v>68848</v>
      </c>
      <c r="DP171" s="12">
        <f>SUM($AQ171:CJ171)-SUM($EA171:FH171)</f>
        <v>60848</v>
      </c>
      <c r="DQ171" s="12">
        <f>SUM($AQ171:CK171)-SUM($EA171:FI171)</f>
        <v>52848</v>
      </c>
      <c r="DR171" s="12">
        <f>SUM($AQ171:CL171)-SUM($EA171:FJ171)</f>
        <v>44848</v>
      </c>
      <c r="DS171" s="12">
        <f>SUM($AQ171:CM171)-SUM($EA171:FK171)</f>
        <v>36848</v>
      </c>
      <c r="DT171" s="12">
        <f>SUM($AQ171:CN171)-SUM($EA171:FL171)</f>
        <v>28848</v>
      </c>
      <c r="DU171" s="12">
        <f>SUM($AQ171:CO171)-SUM($EA171:FM171)</f>
        <v>20848</v>
      </c>
      <c r="DV171" s="12">
        <f>SUM($AQ171:CP171)-SUM($EA171:FN171)</f>
        <v>271004</v>
      </c>
      <c r="DW171" s="12">
        <f>SUM($AQ171:CQ171)-SUM($EA171:FO171)</f>
        <v>526044</v>
      </c>
      <c r="DX171" s="13"/>
      <c r="DY171" s="13"/>
      <c r="DZ171" s="13"/>
      <c r="EA171" s="12"/>
      <c r="EB171" s="12"/>
      <c r="EC171" s="12"/>
      <c r="ED171" s="12"/>
      <c r="EE171" s="12"/>
      <c r="EF171" s="12"/>
      <c r="EG171" s="12"/>
      <c r="EH171" s="12">
        <f t="array" ref="EH171">SUMPRODUCT(TRANSPOSE(EH$9:EH$34),$K171:$AJ171)</f>
        <v>28252</v>
      </c>
      <c r="EI171" s="12">
        <f t="array" ref="EI171">SUMPRODUCT(TRANSPOSE(EI$9:EI$34),$K171:$AJ171)</f>
        <v>1600</v>
      </c>
      <c r="EJ171" s="12">
        <f t="array" ref="EJ171">SUMPRODUCT(TRANSPOSE(EJ$9:EJ$34),$K171:$AJ171)</f>
        <v>4060</v>
      </c>
      <c r="EK171" s="12">
        <f t="array" ref="EK171">SUMPRODUCT(TRANSPOSE(EK$9:EK$34),$K171:$AJ171)</f>
        <v>4540</v>
      </c>
      <c r="EL171" s="12">
        <f t="array" ref="EL171">SUMPRODUCT(TRANSPOSE(EL$9:EL$34),$K171:$AJ171)</f>
        <v>8060</v>
      </c>
      <c r="EM171" s="12">
        <f t="array" ref="EM171">SUMPRODUCT(TRANSPOSE(EM$9:EM$34),$K171:$AJ171)</f>
        <v>8200</v>
      </c>
      <c r="EN171" s="12">
        <f t="array" ref="EN171">SUMPRODUCT(TRANSPOSE(EN$9:EN$34),$K171:$AJ171)</f>
        <v>8200</v>
      </c>
      <c r="EO171" s="12">
        <f t="array" ref="EO171">SUMPRODUCT(TRANSPOSE(EO$9:EO$34),$K171:$AJ171)</f>
        <v>8000</v>
      </c>
      <c r="EP171" s="12">
        <f t="array" ref="EP171">SUMPRODUCT(TRANSPOSE(EP$9:EP$34),$K171:$AJ171)</f>
        <v>8200</v>
      </c>
      <c r="EQ171" s="12">
        <f t="array" ref="EQ171">SUMPRODUCT(TRANSPOSE(EQ$9:EQ$34),$K171:$AJ171)</f>
        <v>8200</v>
      </c>
      <c r="ER171" s="12">
        <f t="array" ref="ER171">SUMPRODUCT(TRANSPOSE(ER$9:ER$34),$K171:$AJ171)</f>
        <v>8200</v>
      </c>
      <c r="ES171" s="12">
        <f t="array" ref="ES171">SUMPRODUCT(TRANSPOSE(ES$9:ES$34),$K171:$AJ171)</f>
        <v>8200</v>
      </c>
      <c r="ET171" s="12">
        <f t="array" ref="ET171">SUMPRODUCT(TRANSPOSE(ET$9:ET$34),$K171:$AJ171)</f>
        <v>8200</v>
      </c>
      <c r="EU171" s="12">
        <f t="array" ref="EU171">SUMPRODUCT(TRANSPOSE(EU$9:EU$34),$K171:$AJ171)</f>
        <v>8200</v>
      </c>
      <c r="EV171" s="12">
        <f t="array" ref="EV171">SUMPRODUCT(TRANSPOSE(EV$9:EV$34),$K171:$AJ171)</f>
        <v>8200</v>
      </c>
      <c r="EW171" s="12">
        <f t="array" ref="EW171">SUMPRODUCT(TRANSPOSE(EW$9:EW$34),$K171:$AJ171)</f>
        <v>8040</v>
      </c>
      <c r="EX171" s="12">
        <f t="array" ref="EX171">SUMPRODUCT(TRANSPOSE(EX$9:EX$34),$K171:$AJ171)</f>
        <v>8000</v>
      </c>
      <c r="EY171" s="12">
        <f t="array" ref="EY171">SUMPRODUCT(TRANSPOSE(EY$9:EY$34),$K171:$AJ171)</f>
        <v>8000</v>
      </c>
      <c r="EZ171" s="12">
        <f t="array" ref="EZ171">SUMPRODUCT(TRANSPOSE(EZ$9:EZ$34),$K171:$AJ171)</f>
        <v>8000</v>
      </c>
      <c r="FA171" s="12">
        <f t="array" ref="FA171">SUMPRODUCT(TRANSPOSE(FA$9:FA$34),$K171:$AJ171)</f>
        <v>8000</v>
      </c>
      <c r="FB171" s="12">
        <f t="array" ref="FB171">SUMPRODUCT(TRANSPOSE(FB$9:FB$34),$K171:$AJ171)</f>
        <v>8000</v>
      </c>
      <c r="FC171" s="12">
        <f t="array" ref="FC171">SUMPRODUCT(TRANSPOSE(FC$9:FC$34),$K171:$AJ171)</f>
        <v>8000</v>
      </c>
      <c r="FD171" s="12">
        <f t="array" ref="FD171">SUMPRODUCT(TRANSPOSE(FD$9:FD$34),$K171:$AJ171)</f>
        <v>8000</v>
      </c>
      <c r="FE171" s="12">
        <f t="array" ref="FE171">SUMPRODUCT(TRANSPOSE(FE$9:FE$34),$K171:$AJ171)</f>
        <v>8000</v>
      </c>
      <c r="FF171" s="12">
        <f t="array" ref="FF171">SUMPRODUCT(TRANSPOSE(FF$9:FF$34),$K171:$AJ171)</f>
        <v>8000</v>
      </c>
      <c r="FG171" s="12">
        <f t="array" ref="FG171">SUMPRODUCT(TRANSPOSE(FG$9:FG$34),$K171:$AJ171)</f>
        <v>8000</v>
      </c>
      <c r="FH171" s="12">
        <f t="array" ref="FH171">SUMPRODUCT(TRANSPOSE(FH$9:FH$34),$K171:$AJ171)</f>
        <v>8000</v>
      </c>
      <c r="FI171" s="12">
        <f t="array" ref="FI171">SUMPRODUCT(TRANSPOSE(FI$9:FI$34),$K171:$AJ171)</f>
        <v>8000</v>
      </c>
      <c r="FJ171" s="12">
        <f t="array" ref="FJ171">SUMPRODUCT(TRANSPOSE(FJ$9:FJ$34),$K171:$AJ171)</f>
        <v>8000</v>
      </c>
      <c r="FK171" s="12">
        <f t="array" ref="FK171">SUMPRODUCT(TRANSPOSE(FK$9:FK$34),$K171:$AJ171)</f>
        <v>8000</v>
      </c>
      <c r="FL171" s="12">
        <f t="array" ref="FL171">SUMPRODUCT(TRANSPOSE(FL$9:FL$34),$K171:$AJ171)</f>
        <v>8000</v>
      </c>
      <c r="FM171" s="12">
        <f t="array" ref="FM171">SUMPRODUCT(TRANSPOSE(FM$9:FM$34),$K171:$AJ171)</f>
        <v>8000</v>
      </c>
      <c r="FN171" s="12">
        <f t="array" ref="FN171">SUMPRODUCT(TRANSPOSE(FN$9:FN$34),$K171:$AJ171)</f>
        <v>6792</v>
      </c>
      <c r="FO171" s="12">
        <f t="array" ref="FO171">SUMPRODUCT(TRANSPOSE(FO$9:FO$34),$K171:$AJ171)</f>
        <v>308</v>
      </c>
    </row>
    <row r="172" spans="1:171" ht="14.25" x14ac:dyDescent="0.2">
      <c r="A172" s="13">
        <f t="shared" si="10"/>
        <v>137</v>
      </c>
      <c r="B172" s="13" t="s">
        <v>494</v>
      </c>
      <c r="C172" s="25" t="s">
        <v>495</v>
      </c>
      <c r="D172" s="13" t="s">
        <v>67</v>
      </c>
      <c r="E172" s="13">
        <v>417983138</v>
      </c>
      <c r="F172" s="26" t="s">
        <v>443</v>
      </c>
      <c r="G172" s="13">
        <v>400095447</v>
      </c>
      <c r="H172" s="13" t="s">
        <v>61</v>
      </c>
      <c r="I172" s="13">
        <v>2</v>
      </c>
      <c r="J172" s="13">
        <v>6</v>
      </c>
      <c r="K172" s="13">
        <v>0</v>
      </c>
      <c r="L172" s="13">
        <v>0</v>
      </c>
      <c r="M172" s="13">
        <v>0</v>
      </c>
      <c r="N172" s="13">
        <v>0</v>
      </c>
      <c r="O172" s="13">
        <v>2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2</v>
      </c>
      <c r="Y172" s="13"/>
      <c r="Z172" s="13"/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2</v>
      </c>
      <c r="AK172" s="13">
        <f t="shared" si="11"/>
        <v>4</v>
      </c>
      <c r="AL172" s="23">
        <f t="shared" si="9"/>
        <v>141726</v>
      </c>
      <c r="AM172" s="13"/>
      <c r="AN172" s="13" t="s">
        <v>470</v>
      </c>
      <c r="AO172" s="7" t="s">
        <v>468</v>
      </c>
      <c r="AP172" s="38">
        <v>6.0000000000000001E-3</v>
      </c>
      <c r="AQ172" s="12">
        <v>142000</v>
      </c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13"/>
      <c r="CG172" s="13"/>
      <c r="CH172" s="13"/>
      <c r="CI172" s="12"/>
      <c r="CJ172" s="12"/>
      <c r="CK172" s="12"/>
      <c r="CL172" s="12"/>
      <c r="CM172" s="12"/>
      <c r="CN172" s="12"/>
      <c r="CO172" s="12"/>
      <c r="CP172" s="12">
        <f>SUM($AQ172:BJ172)-SUM($EA172:EH172)</f>
        <v>127874</v>
      </c>
      <c r="CQ172" s="12">
        <f>SUM($AQ172:BK172)-SUM($EA172:EI172)</f>
        <v>127074</v>
      </c>
      <c r="CR172" s="12">
        <f>SUM($AQ172:BL172)-SUM($EA172:EJ172)</f>
        <v>125044</v>
      </c>
      <c r="CS172" s="12">
        <f>SUM($AQ172:BM172)-SUM($EA172:EK172)</f>
        <v>122774</v>
      </c>
      <c r="CT172" s="12">
        <f>SUM($AQ172:BN172)-SUM($EA172:EL172)</f>
        <v>118744</v>
      </c>
      <c r="CU172" s="12">
        <f>SUM($AQ172:BO172)-SUM($EA172:EM172)</f>
        <v>114644</v>
      </c>
      <c r="CV172" s="12">
        <f>SUM($AQ172:BP172)-SUM($EA172:EN172)</f>
        <v>110544</v>
      </c>
      <c r="CW172" s="12">
        <f>SUM($AQ172:BQ172)-SUM($EA172:EO172)</f>
        <v>106544</v>
      </c>
      <c r="CX172" s="12">
        <f>SUM($AQ172:BR172)-SUM($EA172:EP172)</f>
        <v>102444</v>
      </c>
      <c r="CY172" s="12">
        <f>SUM($AQ172:BS172)-SUM($EA172:EQ172)</f>
        <v>98344</v>
      </c>
      <c r="CZ172" s="12">
        <f>SUM($AQ172:BT172)-SUM($EA172:ER172)</f>
        <v>94244</v>
      </c>
      <c r="DA172" s="12">
        <f>SUM($AQ172:BU172)-SUM($EA172:ES172)</f>
        <v>90144</v>
      </c>
      <c r="DB172" s="12">
        <f>SUM($AQ172:BV172)-SUM($EA172:ET172)</f>
        <v>86044</v>
      </c>
      <c r="DC172" s="12">
        <f>SUM($AQ172:BW172)-SUM($EA172:EU172)</f>
        <v>81944</v>
      </c>
      <c r="DD172" s="12">
        <f>SUM($AQ172:BX172)-SUM($EA172:EV172)</f>
        <v>77844</v>
      </c>
      <c r="DE172" s="12">
        <f>SUM($AQ172:BY172)-SUM($EA172:EW172)</f>
        <v>73824</v>
      </c>
      <c r="DF172" s="12">
        <f>SUM($AQ172:BZ172)-SUM($EA172:EX172)</f>
        <v>69824</v>
      </c>
      <c r="DG172" s="12">
        <f>SUM($AQ172:CA172)-SUM($EA172:EY172)</f>
        <v>65824</v>
      </c>
      <c r="DH172" s="12">
        <f>SUM($AQ172:CB172)-SUM($EA172:EZ172)</f>
        <v>61824</v>
      </c>
      <c r="DI172" s="12">
        <f>SUM($AQ172:CC172)-SUM($EA172:FA172)</f>
        <v>57824</v>
      </c>
      <c r="DJ172" s="12">
        <f>SUM($AQ172:CD172)-SUM($EA172:FB172)</f>
        <v>53824</v>
      </c>
      <c r="DK172" s="12">
        <f>SUM($AQ172:CE172)-SUM($EA172:FC172)</f>
        <v>49824</v>
      </c>
      <c r="DL172" s="12">
        <f>SUM($AQ172:CF172)-SUM($EA172:FD172)</f>
        <v>45824</v>
      </c>
      <c r="DM172" s="12">
        <f>SUM($AQ172:CG172)-SUM($EA172:FE172)</f>
        <v>41824</v>
      </c>
      <c r="DN172" s="12">
        <f>SUM($AQ172:CH172)-SUM($EA172:FF172)</f>
        <v>37824</v>
      </c>
      <c r="DO172" s="12">
        <f>SUM($AQ172:CI172)-SUM($EA172:FG172)</f>
        <v>33824</v>
      </c>
      <c r="DP172" s="12">
        <f>SUM($AQ172:CJ172)-SUM($EA172:FH172)</f>
        <v>29824</v>
      </c>
      <c r="DQ172" s="12">
        <f>SUM($AQ172:CK172)-SUM($EA172:FI172)</f>
        <v>25824</v>
      </c>
      <c r="DR172" s="12">
        <f>SUM($AQ172:CL172)-SUM($EA172:FJ172)</f>
        <v>21824</v>
      </c>
      <c r="DS172" s="12">
        <f>SUM($AQ172:CM172)-SUM($EA172:FK172)</f>
        <v>17824</v>
      </c>
      <c r="DT172" s="12">
        <f>SUM($AQ172:CN172)-SUM($EA172:FL172)</f>
        <v>13824</v>
      </c>
      <c r="DU172" s="12">
        <f>SUM($AQ172:CO172)-SUM($EA172:FM172)</f>
        <v>9824</v>
      </c>
      <c r="DV172" s="12">
        <f>SUM($AQ172:CP172)-SUM($EA172:FN172)</f>
        <v>134302</v>
      </c>
      <c r="DW172" s="12">
        <f>SUM($AQ172:CQ172)-SUM($EA172:FO172)</f>
        <v>261222</v>
      </c>
      <c r="DX172" s="13"/>
      <c r="DY172" s="13"/>
      <c r="DZ172" s="13"/>
      <c r="EA172" s="12"/>
      <c r="EB172" s="12"/>
      <c r="EC172" s="12"/>
      <c r="ED172" s="12"/>
      <c r="EE172" s="12"/>
      <c r="EF172" s="12"/>
      <c r="EG172" s="12"/>
      <c r="EH172" s="12">
        <f t="array" ref="EH172">SUMPRODUCT(TRANSPOSE(EH$9:EH$34),$K172:$AJ172)</f>
        <v>14126</v>
      </c>
      <c r="EI172" s="12">
        <f t="array" ref="EI172">SUMPRODUCT(TRANSPOSE(EI$9:EI$34),$K172:$AJ172)</f>
        <v>800</v>
      </c>
      <c r="EJ172" s="12">
        <f t="array" ref="EJ172">SUMPRODUCT(TRANSPOSE(EJ$9:EJ$34),$K172:$AJ172)</f>
        <v>2030</v>
      </c>
      <c r="EK172" s="12">
        <f t="array" ref="EK172">SUMPRODUCT(TRANSPOSE(EK$9:EK$34),$K172:$AJ172)</f>
        <v>2270</v>
      </c>
      <c r="EL172" s="12">
        <f t="array" ref="EL172">SUMPRODUCT(TRANSPOSE(EL$9:EL$34),$K172:$AJ172)</f>
        <v>4030</v>
      </c>
      <c r="EM172" s="12">
        <f t="array" ref="EM172">SUMPRODUCT(TRANSPOSE(EM$9:EM$34),$K172:$AJ172)</f>
        <v>4100</v>
      </c>
      <c r="EN172" s="12">
        <f t="array" ref="EN172">SUMPRODUCT(TRANSPOSE(EN$9:EN$34),$K172:$AJ172)</f>
        <v>4100</v>
      </c>
      <c r="EO172" s="12">
        <f t="array" ref="EO172">SUMPRODUCT(TRANSPOSE(EO$9:EO$34),$K172:$AJ172)</f>
        <v>4000</v>
      </c>
      <c r="EP172" s="12">
        <f t="array" ref="EP172">SUMPRODUCT(TRANSPOSE(EP$9:EP$34),$K172:$AJ172)</f>
        <v>4100</v>
      </c>
      <c r="EQ172" s="12">
        <f t="array" ref="EQ172">SUMPRODUCT(TRANSPOSE(EQ$9:EQ$34),$K172:$AJ172)</f>
        <v>4100</v>
      </c>
      <c r="ER172" s="12">
        <f t="array" ref="ER172">SUMPRODUCT(TRANSPOSE(ER$9:ER$34),$K172:$AJ172)</f>
        <v>4100</v>
      </c>
      <c r="ES172" s="12">
        <f t="array" ref="ES172">SUMPRODUCT(TRANSPOSE(ES$9:ES$34),$K172:$AJ172)</f>
        <v>4100</v>
      </c>
      <c r="ET172" s="12">
        <f t="array" ref="ET172">SUMPRODUCT(TRANSPOSE(ET$9:ET$34),$K172:$AJ172)</f>
        <v>4100</v>
      </c>
      <c r="EU172" s="12">
        <f t="array" ref="EU172">SUMPRODUCT(TRANSPOSE(EU$9:EU$34),$K172:$AJ172)</f>
        <v>4100</v>
      </c>
      <c r="EV172" s="12">
        <f t="array" ref="EV172">SUMPRODUCT(TRANSPOSE(EV$9:EV$34),$K172:$AJ172)</f>
        <v>4100</v>
      </c>
      <c r="EW172" s="12">
        <f t="array" ref="EW172">SUMPRODUCT(TRANSPOSE(EW$9:EW$34),$K172:$AJ172)</f>
        <v>4020</v>
      </c>
      <c r="EX172" s="12">
        <f t="array" ref="EX172">SUMPRODUCT(TRANSPOSE(EX$9:EX$34),$K172:$AJ172)</f>
        <v>4000</v>
      </c>
      <c r="EY172" s="12">
        <f t="array" ref="EY172">SUMPRODUCT(TRANSPOSE(EY$9:EY$34),$K172:$AJ172)</f>
        <v>4000</v>
      </c>
      <c r="EZ172" s="12">
        <f t="array" ref="EZ172">SUMPRODUCT(TRANSPOSE(EZ$9:EZ$34),$K172:$AJ172)</f>
        <v>4000</v>
      </c>
      <c r="FA172" s="12">
        <f t="array" ref="FA172">SUMPRODUCT(TRANSPOSE(FA$9:FA$34),$K172:$AJ172)</f>
        <v>4000</v>
      </c>
      <c r="FB172" s="12">
        <f t="array" ref="FB172">SUMPRODUCT(TRANSPOSE(FB$9:FB$34),$K172:$AJ172)</f>
        <v>4000</v>
      </c>
      <c r="FC172" s="12">
        <f t="array" ref="FC172">SUMPRODUCT(TRANSPOSE(FC$9:FC$34),$K172:$AJ172)</f>
        <v>4000</v>
      </c>
      <c r="FD172" s="12">
        <f t="array" ref="FD172">SUMPRODUCT(TRANSPOSE(FD$9:FD$34),$K172:$AJ172)</f>
        <v>4000</v>
      </c>
      <c r="FE172" s="12">
        <f t="array" ref="FE172">SUMPRODUCT(TRANSPOSE(FE$9:FE$34),$K172:$AJ172)</f>
        <v>4000</v>
      </c>
      <c r="FF172" s="12">
        <f t="array" ref="FF172">SUMPRODUCT(TRANSPOSE(FF$9:FF$34),$K172:$AJ172)</f>
        <v>4000</v>
      </c>
      <c r="FG172" s="12">
        <f t="array" ref="FG172">SUMPRODUCT(TRANSPOSE(FG$9:FG$34),$K172:$AJ172)</f>
        <v>4000</v>
      </c>
      <c r="FH172" s="12">
        <f t="array" ref="FH172">SUMPRODUCT(TRANSPOSE(FH$9:FH$34),$K172:$AJ172)</f>
        <v>4000</v>
      </c>
      <c r="FI172" s="12">
        <f t="array" ref="FI172">SUMPRODUCT(TRANSPOSE(FI$9:FI$34),$K172:$AJ172)</f>
        <v>4000</v>
      </c>
      <c r="FJ172" s="12">
        <f t="array" ref="FJ172">SUMPRODUCT(TRANSPOSE(FJ$9:FJ$34),$K172:$AJ172)</f>
        <v>4000</v>
      </c>
      <c r="FK172" s="12">
        <f t="array" ref="FK172">SUMPRODUCT(TRANSPOSE(FK$9:FK$34),$K172:$AJ172)</f>
        <v>4000</v>
      </c>
      <c r="FL172" s="12">
        <f t="array" ref="FL172">SUMPRODUCT(TRANSPOSE(FL$9:FL$34),$K172:$AJ172)</f>
        <v>4000</v>
      </c>
      <c r="FM172" s="12">
        <f t="array" ref="FM172">SUMPRODUCT(TRANSPOSE(FM$9:FM$34),$K172:$AJ172)</f>
        <v>4000</v>
      </c>
      <c r="FN172" s="12">
        <f t="array" ref="FN172">SUMPRODUCT(TRANSPOSE(FN$9:FN$34),$K172:$AJ172)</f>
        <v>3396</v>
      </c>
      <c r="FO172" s="12">
        <f t="array" ref="FO172">SUMPRODUCT(TRANSPOSE(FO$9:FO$34),$K172:$AJ172)</f>
        <v>154</v>
      </c>
    </row>
    <row r="173" spans="1:171" ht="14.25" x14ac:dyDescent="0.2">
      <c r="A173" s="13">
        <f t="shared" si="10"/>
        <v>138</v>
      </c>
      <c r="B173" s="13" t="s">
        <v>496</v>
      </c>
      <c r="C173" s="25" t="s">
        <v>497</v>
      </c>
      <c r="D173" s="13" t="s">
        <v>67</v>
      </c>
      <c r="E173" s="13">
        <v>417983139</v>
      </c>
      <c r="F173" s="26" t="s">
        <v>498</v>
      </c>
      <c r="G173" s="13">
        <v>400326667</v>
      </c>
      <c r="H173" s="13" t="s">
        <v>61</v>
      </c>
      <c r="I173" s="13">
        <v>2</v>
      </c>
      <c r="J173" s="13">
        <v>48</v>
      </c>
      <c r="K173" s="13">
        <v>0</v>
      </c>
      <c r="L173" s="13">
        <v>0</v>
      </c>
      <c r="M173" s="13">
        <v>0</v>
      </c>
      <c r="N173" s="13">
        <v>0</v>
      </c>
      <c r="O173" s="13">
        <v>16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16</v>
      </c>
      <c r="Y173" s="13"/>
      <c r="Z173" s="13"/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16</v>
      </c>
      <c r="AK173" s="13">
        <f t="shared" si="11"/>
        <v>32</v>
      </c>
      <c r="AL173" s="23">
        <f t="shared" si="9"/>
        <v>1133808</v>
      </c>
      <c r="AM173" s="13"/>
      <c r="AN173" s="13" t="s">
        <v>470</v>
      </c>
      <c r="AO173" s="7" t="s">
        <v>468</v>
      </c>
      <c r="AP173" s="38">
        <v>1.205E-2</v>
      </c>
      <c r="AQ173" s="12">
        <v>1132000</v>
      </c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13"/>
      <c r="CG173" s="13"/>
      <c r="CH173" s="13"/>
      <c r="CI173" s="12"/>
      <c r="CJ173" s="12"/>
      <c r="CK173" s="12"/>
      <c r="CL173" s="12"/>
      <c r="CM173" s="12"/>
      <c r="CN173" s="12"/>
      <c r="CO173" s="12"/>
      <c r="CP173" s="12">
        <f>SUM($AQ173:BJ173)-SUM($EA173:EH173)</f>
        <v>1018992</v>
      </c>
      <c r="CQ173" s="12">
        <f>SUM($AQ173:BK173)-SUM($EA173:EI173)</f>
        <v>1012592</v>
      </c>
      <c r="CR173" s="12">
        <f>SUM($AQ173:BL173)-SUM($EA173:EJ173)</f>
        <v>996352</v>
      </c>
      <c r="CS173" s="12">
        <f>SUM($AQ173:BM173)-SUM($EA173:EK173)</f>
        <v>978192</v>
      </c>
      <c r="CT173" s="12">
        <f>SUM($AQ173:BN173)-SUM($EA173:EL173)</f>
        <v>945952</v>
      </c>
      <c r="CU173" s="12">
        <f>SUM($AQ173:BO173)-SUM($EA173:EM173)</f>
        <v>913152</v>
      </c>
      <c r="CV173" s="12">
        <f>SUM($AQ173:BP173)-SUM($EA173:EN173)</f>
        <v>880352</v>
      </c>
      <c r="CW173" s="12">
        <f>SUM($AQ173:BQ173)-SUM($EA173:EO173)</f>
        <v>848352</v>
      </c>
      <c r="CX173" s="12">
        <f>SUM($AQ173:BR173)-SUM($EA173:EP173)</f>
        <v>815552</v>
      </c>
      <c r="CY173" s="12">
        <f>SUM($AQ173:BS173)-SUM($EA173:EQ173)</f>
        <v>782752</v>
      </c>
      <c r="CZ173" s="12">
        <f>SUM($AQ173:BT173)-SUM($EA173:ER173)</f>
        <v>749952</v>
      </c>
      <c r="DA173" s="12">
        <f>SUM($AQ173:BU173)-SUM($EA173:ES173)</f>
        <v>717152</v>
      </c>
      <c r="DB173" s="12">
        <f>SUM($AQ173:BV173)-SUM($EA173:ET173)</f>
        <v>684352</v>
      </c>
      <c r="DC173" s="12">
        <f>SUM($AQ173:BW173)-SUM($EA173:EU173)</f>
        <v>651552</v>
      </c>
      <c r="DD173" s="12">
        <f>SUM($AQ173:BX173)-SUM($EA173:EV173)</f>
        <v>618752</v>
      </c>
      <c r="DE173" s="12">
        <f>SUM($AQ173:BY173)-SUM($EA173:EW173)</f>
        <v>586592</v>
      </c>
      <c r="DF173" s="12">
        <f>SUM($AQ173:BZ173)-SUM($EA173:EX173)</f>
        <v>554592</v>
      </c>
      <c r="DG173" s="12">
        <f>SUM($AQ173:CA173)-SUM($EA173:EY173)</f>
        <v>522592</v>
      </c>
      <c r="DH173" s="12">
        <f>SUM($AQ173:CB173)-SUM($EA173:EZ173)</f>
        <v>490592</v>
      </c>
      <c r="DI173" s="12">
        <f>SUM($AQ173:CC173)-SUM($EA173:FA173)</f>
        <v>458592</v>
      </c>
      <c r="DJ173" s="12">
        <f>SUM($AQ173:CD173)-SUM($EA173:FB173)</f>
        <v>426592</v>
      </c>
      <c r="DK173" s="12">
        <f>SUM($AQ173:CE173)-SUM($EA173:FC173)</f>
        <v>394592</v>
      </c>
      <c r="DL173" s="12">
        <f>SUM($AQ173:CF173)-SUM($EA173:FD173)</f>
        <v>362592</v>
      </c>
      <c r="DM173" s="12">
        <f>SUM($AQ173:CG173)-SUM($EA173:FE173)</f>
        <v>330592</v>
      </c>
      <c r="DN173" s="12">
        <f>SUM($AQ173:CH173)-SUM($EA173:FF173)</f>
        <v>298592</v>
      </c>
      <c r="DO173" s="12">
        <f>SUM($AQ173:CI173)-SUM($EA173:FG173)</f>
        <v>266592</v>
      </c>
      <c r="DP173" s="12">
        <f>SUM($AQ173:CJ173)-SUM($EA173:FH173)</f>
        <v>234592</v>
      </c>
      <c r="DQ173" s="12">
        <f>SUM($AQ173:CK173)-SUM($EA173:FI173)</f>
        <v>202592</v>
      </c>
      <c r="DR173" s="12">
        <f>SUM($AQ173:CL173)-SUM($EA173:FJ173)</f>
        <v>170592</v>
      </c>
      <c r="DS173" s="12">
        <f>SUM($AQ173:CM173)-SUM($EA173:FK173)</f>
        <v>138592</v>
      </c>
      <c r="DT173" s="12">
        <f>SUM($AQ173:CN173)-SUM($EA173:FL173)</f>
        <v>106592</v>
      </c>
      <c r="DU173" s="12">
        <f>SUM($AQ173:CO173)-SUM($EA173:FM173)</f>
        <v>74592</v>
      </c>
      <c r="DV173" s="12">
        <f>SUM($AQ173:CP173)-SUM($EA173:FN173)</f>
        <v>1066416</v>
      </c>
      <c r="DW173" s="12">
        <f>SUM($AQ173:CQ173)-SUM($EA173:FO173)</f>
        <v>2077776</v>
      </c>
      <c r="DX173" s="13"/>
      <c r="DY173" s="13"/>
      <c r="DZ173" s="13"/>
      <c r="EA173" s="12"/>
      <c r="EB173" s="12"/>
      <c r="EC173" s="12"/>
      <c r="ED173" s="12"/>
      <c r="EE173" s="12"/>
      <c r="EF173" s="12"/>
      <c r="EG173" s="12"/>
      <c r="EH173" s="12">
        <f t="array" ref="EH173">SUMPRODUCT(TRANSPOSE(EH$9:EH$34),$K173:$AJ173)</f>
        <v>113008</v>
      </c>
      <c r="EI173" s="12">
        <f t="array" ref="EI173">SUMPRODUCT(TRANSPOSE(EI$9:EI$34),$K173:$AJ173)</f>
        <v>6400</v>
      </c>
      <c r="EJ173" s="12">
        <f t="array" ref="EJ173">SUMPRODUCT(TRANSPOSE(EJ$9:EJ$34),$K173:$AJ173)</f>
        <v>16240</v>
      </c>
      <c r="EK173" s="12">
        <f t="array" ref="EK173">SUMPRODUCT(TRANSPOSE(EK$9:EK$34),$K173:$AJ173)</f>
        <v>18160</v>
      </c>
      <c r="EL173" s="12">
        <f t="array" ref="EL173">SUMPRODUCT(TRANSPOSE(EL$9:EL$34),$K173:$AJ173)</f>
        <v>32240</v>
      </c>
      <c r="EM173" s="12">
        <f t="array" ref="EM173">SUMPRODUCT(TRANSPOSE(EM$9:EM$34),$K173:$AJ173)</f>
        <v>32800</v>
      </c>
      <c r="EN173" s="12">
        <f t="array" ref="EN173">SUMPRODUCT(TRANSPOSE(EN$9:EN$34),$K173:$AJ173)</f>
        <v>32800</v>
      </c>
      <c r="EO173" s="12">
        <f t="array" ref="EO173">SUMPRODUCT(TRANSPOSE(EO$9:EO$34),$K173:$AJ173)</f>
        <v>32000</v>
      </c>
      <c r="EP173" s="12">
        <f t="array" ref="EP173">SUMPRODUCT(TRANSPOSE(EP$9:EP$34),$K173:$AJ173)</f>
        <v>32800</v>
      </c>
      <c r="EQ173" s="12">
        <f t="array" ref="EQ173">SUMPRODUCT(TRANSPOSE(EQ$9:EQ$34),$K173:$AJ173)</f>
        <v>32800</v>
      </c>
      <c r="ER173" s="12">
        <f t="array" ref="ER173">SUMPRODUCT(TRANSPOSE(ER$9:ER$34),$K173:$AJ173)</f>
        <v>32800</v>
      </c>
      <c r="ES173" s="12">
        <f t="array" ref="ES173">SUMPRODUCT(TRANSPOSE(ES$9:ES$34),$K173:$AJ173)</f>
        <v>32800</v>
      </c>
      <c r="ET173" s="12">
        <f t="array" ref="ET173">SUMPRODUCT(TRANSPOSE(ET$9:ET$34),$K173:$AJ173)</f>
        <v>32800</v>
      </c>
      <c r="EU173" s="12">
        <f t="array" ref="EU173">SUMPRODUCT(TRANSPOSE(EU$9:EU$34),$K173:$AJ173)</f>
        <v>32800</v>
      </c>
      <c r="EV173" s="12">
        <f t="array" ref="EV173">SUMPRODUCT(TRANSPOSE(EV$9:EV$34),$K173:$AJ173)</f>
        <v>32800</v>
      </c>
      <c r="EW173" s="12">
        <f t="array" ref="EW173">SUMPRODUCT(TRANSPOSE(EW$9:EW$34),$K173:$AJ173)</f>
        <v>32160</v>
      </c>
      <c r="EX173" s="12">
        <f t="array" ref="EX173">SUMPRODUCT(TRANSPOSE(EX$9:EX$34),$K173:$AJ173)</f>
        <v>32000</v>
      </c>
      <c r="EY173" s="12">
        <f t="array" ref="EY173">SUMPRODUCT(TRANSPOSE(EY$9:EY$34),$K173:$AJ173)</f>
        <v>32000</v>
      </c>
      <c r="EZ173" s="12">
        <f t="array" ref="EZ173">SUMPRODUCT(TRANSPOSE(EZ$9:EZ$34),$K173:$AJ173)</f>
        <v>32000</v>
      </c>
      <c r="FA173" s="12">
        <f t="array" ref="FA173">SUMPRODUCT(TRANSPOSE(FA$9:FA$34),$K173:$AJ173)</f>
        <v>32000</v>
      </c>
      <c r="FB173" s="12">
        <f t="array" ref="FB173">SUMPRODUCT(TRANSPOSE(FB$9:FB$34),$K173:$AJ173)</f>
        <v>32000</v>
      </c>
      <c r="FC173" s="12">
        <f t="array" ref="FC173">SUMPRODUCT(TRANSPOSE(FC$9:FC$34),$K173:$AJ173)</f>
        <v>32000</v>
      </c>
      <c r="FD173" s="12">
        <f t="array" ref="FD173">SUMPRODUCT(TRANSPOSE(FD$9:FD$34),$K173:$AJ173)</f>
        <v>32000</v>
      </c>
      <c r="FE173" s="12">
        <f t="array" ref="FE173">SUMPRODUCT(TRANSPOSE(FE$9:FE$34),$K173:$AJ173)</f>
        <v>32000</v>
      </c>
      <c r="FF173" s="12">
        <f t="array" ref="FF173">SUMPRODUCT(TRANSPOSE(FF$9:FF$34),$K173:$AJ173)</f>
        <v>32000</v>
      </c>
      <c r="FG173" s="12">
        <f t="array" ref="FG173">SUMPRODUCT(TRANSPOSE(FG$9:FG$34),$K173:$AJ173)</f>
        <v>32000</v>
      </c>
      <c r="FH173" s="12">
        <f t="array" ref="FH173">SUMPRODUCT(TRANSPOSE(FH$9:FH$34),$K173:$AJ173)</f>
        <v>32000</v>
      </c>
      <c r="FI173" s="12">
        <f t="array" ref="FI173">SUMPRODUCT(TRANSPOSE(FI$9:FI$34),$K173:$AJ173)</f>
        <v>32000</v>
      </c>
      <c r="FJ173" s="12">
        <f t="array" ref="FJ173">SUMPRODUCT(TRANSPOSE(FJ$9:FJ$34),$K173:$AJ173)</f>
        <v>32000</v>
      </c>
      <c r="FK173" s="12">
        <f t="array" ref="FK173">SUMPRODUCT(TRANSPOSE(FK$9:FK$34),$K173:$AJ173)</f>
        <v>32000</v>
      </c>
      <c r="FL173" s="12">
        <f t="array" ref="FL173">SUMPRODUCT(TRANSPOSE(FL$9:FL$34),$K173:$AJ173)</f>
        <v>32000</v>
      </c>
      <c r="FM173" s="12">
        <f t="array" ref="FM173">SUMPRODUCT(TRANSPOSE(FM$9:FM$34),$K173:$AJ173)</f>
        <v>32000</v>
      </c>
      <c r="FN173" s="12">
        <f t="array" ref="FN173">SUMPRODUCT(TRANSPOSE(FN$9:FN$34),$K173:$AJ173)</f>
        <v>27168</v>
      </c>
      <c r="FO173" s="12">
        <f t="array" ref="FO173">SUMPRODUCT(TRANSPOSE(FO$9:FO$34),$K173:$AJ173)</f>
        <v>1232</v>
      </c>
    </row>
    <row r="174" spans="1:171" ht="14.25" x14ac:dyDescent="0.2">
      <c r="A174" s="13">
        <f t="shared" si="10"/>
        <v>139</v>
      </c>
      <c r="B174" s="13" t="s">
        <v>499</v>
      </c>
      <c r="C174" s="25" t="s">
        <v>500</v>
      </c>
      <c r="D174" s="13" t="s">
        <v>67</v>
      </c>
      <c r="E174" s="13">
        <v>417983140</v>
      </c>
      <c r="F174" s="26" t="s">
        <v>501</v>
      </c>
      <c r="G174" s="13">
        <v>400548944</v>
      </c>
      <c r="H174" s="13" t="s">
        <v>61</v>
      </c>
      <c r="I174" s="13">
        <v>2</v>
      </c>
      <c r="J174" s="13">
        <v>3</v>
      </c>
      <c r="K174" s="13">
        <v>0</v>
      </c>
      <c r="L174" s="13">
        <v>0</v>
      </c>
      <c r="M174" s="13">
        <v>0</v>
      </c>
      <c r="N174" s="13">
        <v>0</v>
      </c>
      <c r="O174" s="13">
        <v>1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1</v>
      </c>
      <c r="Y174" s="13"/>
      <c r="Z174" s="13"/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1</v>
      </c>
      <c r="AK174" s="13">
        <f t="shared" si="11"/>
        <v>2</v>
      </c>
      <c r="AL174" s="23">
        <f t="shared" si="9"/>
        <v>70863</v>
      </c>
      <c r="AM174" s="13"/>
      <c r="AN174" s="13" t="s">
        <v>470</v>
      </c>
      <c r="AO174" s="7" t="s">
        <v>468</v>
      </c>
      <c r="AP174" s="38">
        <v>1.49E-2</v>
      </c>
      <c r="AQ174" s="12">
        <v>72300</v>
      </c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13"/>
      <c r="CG174" s="13"/>
      <c r="CH174" s="13"/>
      <c r="CI174" s="12"/>
      <c r="CJ174" s="12"/>
      <c r="CK174" s="12"/>
      <c r="CL174" s="12"/>
      <c r="CM174" s="12"/>
      <c r="CN174" s="12"/>
      <c r="CO174" s="12"/>
      <c r="CP174" s="12">
        <f>SUM($AQ174:BJ174)-SUM($EA174:EH174)</f>
        <v>65237</v>
      </c>
      <c r="CQ174" s="12">
        <f>SUM($AQ174:BK174)-SUM($EA174:EI174)</f>
        <v>64837</v>
      </c>
      <c r="CR174" s="12">
        <f>SUM($AQ174:BL174)-SUM($EA174:EJ174)</f>
        <v>63822</v>
      </c>
      <c r="CS174" s="12">
        <f>SUM($AQ174:BM174)-SUM($EA174:EK174)</f>
        <v>62687</v>
      </c>
      <c r="CT174" s="12">
        <f>SUM($AQ174:BN174)-SUM($EA174:EL174)</f>
        <v>60672</v>
      </c>
      <c r="CU174" s="12">
        <f>SUM($AQ174:BO174)-SUM($EA174:EM174)</f>
        <v>58622</v>
      </c>
      <c r="CV174" s="12">
        <f>SUM($AQ174:BP174)-SUM($EA174:EN174)</f>
        <v>56572</v>
      </c>
      <c r="CW174" s="12">
        <f>SUM($AQ174:BQ174)-SUM($EA174:EO174)</f>
        <v>54572</v>
      </c>
      <c r="CX174" s="12">
        <f>SUM($AQ174:BR174)-SUM($EA174:EP174)</f>
        <v>52522</v>
      </c>
      <c r="CY174" s="12">
        <f>SUM($AQ174:BS174)-SUM($EA174:EQ174)</f>
        <v>50472</v>
      </c>
      <c r="CZ174" s="12">
        <f>SUM($AQ174:BT174)-SUM($EA174:ER174)</f>
        <v>48422</v>
      </c>
      <c r="DA174" s="12">
        <f>SUM($AQ174:BU174)-SUM($EA174:ES174)</f>
        <v>46372</v>
      </c>
      <c r="DB174" s="12">
        <f>SUM($AQ174:BV174)-SUM($EA174:ET174)</f>
        <v>44322</v>
      </c>
      <c r="DC174" s="12">
        <f>SUM($AQ174:BW174)-SUM($EA174:EU174)</f>
        <v>42272</v>
      </c>
      <c r="DD174" s="12">
        <f>SUM($AQ174:BX174)-SUM($EA174:EV174)</f>
        <v>40222</v>
      </c>
      <c r="DE174" s="12">
        <f>SUM($AQ174:BY174)-SUM($EA174:EW174)</f>
        <v>38212</v>
      </c>
      <c r="DF174" s="12">
        <f>SUM($AQ174:BZ174)-SUM($EA174:EX174)</f>
        <v>36212</v>
      </c>
      <c r="DG174" s="12">
        <f>SUM($AQ174:CA174)-SUM($EA174:EY174)</f>
        <v>34212</v>
      </c>
      <c r="DH174" s="12">
        <f>SUM($AQ174:CB174)-SUM($EA174:EZ174)</f>
        <v>32212</v>
      </c>
      <c r="DI174" s="12">
        <f>SUM($AQ174:CC174)-SUM($EA174:FA174)</f>
        <v>30212</v>
      </c>
      <c r="DJ174" s="12">
        <f>SUM($AQ174:CD174)-SUM($EA174:FB174)</f>
        <v>28212</v>
      </c>
      <c r="DK174" s="12">
        <f>SUM($AQ174:CE174)-SUM($EA174:FC174)</f>
        <v>26212</v>
      </c>
      <c r="DL174" s="12">
        <f>SUM($AQ174:CF174)-SUM($EA174:FD174)</f>
        <v>24212</v>
      </c>
      <c r="DM174" s="12">
        <f>SUM($AQ174:CG174)-SUM($EA174:FE174)</f>
        <v>22212</v>
      </c>
      <c r="DN174" s="12">
        <f>SUM($AQ174:CH174)-SUM($EA174:FF174)</f>
        <v>20212</v>
      </c>
      <c r="DO174" s="12">
        <f>SUM($AQ174:CI174)-SUM($EA174:FG174)</f>
        <v>18212</v>
      </c>
      <c r="DP174" s="12">
        <f>SUM($AQ174:CJ174)-SUM($EA174:FH174)</f>
        <v>16212</v>
      </c>
      <c r="DQ174" s="12">
        <f>SUM($AQ174:CK174)-SUM($EA174:FI174)</f>
        <v>14212</v>
      </c>
      <c r="DR174" s="12">
        <f>SUM($AQ174:CL174)-SUM($EA174:FJ174)</f>
        <v>12212</v>
      </c>
      <c r="DS174" s="12">
        <f>SUM($AQ174:CM174)-SUM($EA174:FK174)</f>
        <v>10212</v>
      </c>
      <c r="DT174" s="12">
        <f>SUM($AQ174:CN174)-SUM($EA174:FL174)</f>
        <v>8212</v>
      </c>
      <c r="DU174" s="12">
        <f>SUM($AQ174:CO174)-SUM($EA174:FM174)</f>
        <v>6212</v>
      </c>
      <c r="DV174" s="12">
        <f>SUM($AQ174:CP174)-SUM($EA174:FN174)</f>
        <v>69751</v>
      </c>
      <c r="DW174" s="12">
        <f>SUM($AQ174:CQ174)-SUM($EA174:FO174)</f>
        <v>134511</v>
      </c>
      <c r="DX174" s="13"/>
      <c r="DY174" s="13"/>
      <c r="DZ174" s="13"/>
      <c r="EA174" s="12"/>
      <c r="EB174" s="12"/>
      <c r="EC174" s="12"/>
      <c r="ED174" s="12"/>
      <c r="EE174" s="12"/>
      <c r="EF174" s="12"/>
      <c r="EG174" s="12"/>
      <c r="EH174" s="12">
        <f t="array" ref="EH174">SUMPRODUCT(TRANSPOSE(EH$9:EH$34),$K174:$AJ174)</f>
        <v>7063</v>
      </c>
      <c r="EI174" s="12">
        <f t="array" ref="EI174">SUMPRODUCT(TRANSPOSE(EI$9:EI$34),$K174:$AJ174)</f>
        <v>400</v>
      </c>
      <c r="EJ174" s="12">
        <f t="array" ref="EJ174">SUMPRODUCT(TRANSPOSE(EJ$9:EJ$34),$K174:$AJ174)</f>
        <v>1015</v>
      </c>
      <c r="EK174" s="12">
        <f t="array" ref="EK174">SUMPRODUCT(TRANSPOSE(EK$9:EK$34),$K174:$AJ174)</f>
        <v>1135</v>
      </c>
      <c r="EL174" s="12">
        <f t="array" ref="EL174">SUMPRODUCT(TRANSPOSE(EL$9:EL$34),$K174:$AJ174)</f>
        <v>2015</v>
      </c>
      <c r="EM174" s="12">
        <f t="array" ref="EM174">SUMPRODUCT(TRANSPOSE(EM$9:EM$34),$K174:$AJ174)</f>
        <v>2050</v>
      </c>
      <c r="EN174" s="12">
        <f t="array" ref="EN174">SUMPRODUCT(TRANSPOSE(EN$9:EN$34),$K174:$AJ174)</f>
        <v>2050</v>
      </c>
      <c r="EO174" s="12">
        <f t="array" ref="EO174">SUMPRODUCT(TRANSPOSE(EO$9:EO$34),$K174:$AJ174)</f>
        <v>2000</v>
      </c>
      <c r="EP174" s="12">
        <f t="array" ref="EP174">SUMPRODUCT(TRANSPOSE(EP$9:EP$34),$K174:$AJ174)</f>
        <v>2050</v>
      </c>
      <c r="EQ174" s="12">
        <f t="array" ref="EQ174">SUMPRODUCT(TRANSPOSE(EQ$9:EQ$34),$K174:$AJ174)</f>
        <v>2050</v>
      </c>
      <c r="ER174" s="12">
        <f t="array" ref="ER174">SUMPRODUCT(TRANSPOSE(ER$9:ER$34),$K174:$AJ174)</f>
        <v>2050</v>
      </c>
      <c r="ES174" s="12">
        <f t="array" ref="ES174">SUMPRODUCT(TRANSPOSE(ES$9:ES$34),$K174:$AJ174)</f>
        <v>2050</v>
      </c>
      <c r="ET174" s="12">
        <f t="array" ref="ET174">SUMPRODUCT(TRANSPOSE(ET$9:ET$34),$K174:$AJ174)</f>
        <v>2050</v>
      </c>
      <c r="EU174" s="12">
        <f t="array" ref="EU174">SUMPRODUCT(TRANSPOSE(EU$9:EU$34),$K174:$AJ174)</f>
        <v>2050</v>
      </c>
      <c r="EV174" s="12">
        <f t="array" ref="EV174">SUMPRODUCT(TRANSPOSE(EV$9:EV$34),$K174:$AJ174)</f>
        <v>2050</v>
      </c>
      <c r="EW174" s="12">
        <f t="array" ref="EW174">SUMPRODUCT(TRANSPOSE(EW$9:EW$34),$K174:$AJ174)</f>
        <v>2010</v>
      </c>
      <c r="EX174" s="12">
        <f t="array" ref="EX174">SUMPRODUCT(TRANSPOSE(EX$9:EX$34),$K174:$AJ174)</f>
        <v>2000</v>
      </c>
      <c r="EY174" s="12">
        <f t="array" ref="EY174">SUMPRODUCT(TRANSPOSE(EY$9:EY$34),$K174:$AJ174)</f>
        <v>2000</v>
      </c>
      <c r="EZ174" s="12">
        <f t="array" ref="EZ174">SUMPRODUCT(TRANSPOSE(EZ$9:EZ$34),$K174:$AJ174)</f>
        <v>2000</v>
      </c>
      <c r="FA174" s="12">
        <f t="array" ref="FA174">SUMPRODUCT(TRANSPOSE(FA$9:FA$34),$K174:$AJ174)</f>
        <v>2000</v>
      </c>
      <c r="FB174" s="12">
        <f t="array" ref="FB174">SUMPRODUCT(TRANSPOSE(FB$9:FB$34),$K174:$AJ174)</f>
        <v>2000</v>
      </c>
      <c r="FC174" s="12">
        <f t="array" ref="FC174">SUMPRODUCT(TRANSPOSE(FC$9:FC$34),$K174:$AJ174)</f>
        <v>2000</v>
      </c>
      <c r="FD174" s="12">
        <f t="array" ref="FD174">SUMPRODUCT(TRANSPOSE(FD$9:FD$34),$K174:$AJ174)</f>
        <v>2000</v>
      </c>
      <c r="FE174" s="12">
        <f t="array" ref="FE174">SUMPRODUCT(TRANSPOSE(FE$9:FE$34),$K174:$AJ174)</f>
        <v>2000</v>
      </c>
      <c r="FF174" s="12">
        <f t="array" ref="FF174">SUMPRODUCT(TRANSPOSE(FF$9:FF$34),$K174:$AJ174)</f>
        <v>2000</v>
      </c>
      <c r="FG174" s="12">
        <f t="array" ref="FG174">SUMPRODUCT(TRANSPOSE(FG$9:FG$34),$K174:$AJ174)</f>
        <v>2000</v>
      </c>
      <c r="FH174" s="12">
        <f t="array" ref="FH174">SUMPRODUCT(TRANSPOSE(FH$9:FH$34),$K174:$AJ174)</f>
        <v>2000</v>
      </c>
      <c r="FI174" s="12">
        <f t="array" ref="FI174">SUMPRODUCT(TRANSPOSE(FI$9:FI$34),$K174:$AJ174)</f>
        <v>2000</v>
      </c>
      <c r="FJ174" s="12">
        <f t="array" ref="FJ174">SUMPRODUCT(TRANSPOSE(FJ$9:FJ$34),$K174:$AJ174)</f>
        <v>2000</v>
      </c>
      <c r="FK174" s="12">
        <f t="array" ref="FK174">SUMPRODUCT(TRANSPOSE(FK$9:FK$34),$K174:$AJ174)</f>
        <v>2000</v>
      </c>
      <c r="FL174" s="12">
        <f t="array" ref="FL174">SUMPRODUCT(TRANSPOSE(FL$9:FL$34),$K174:$AJ174)</f>
        <v>2000</v>
      </c>
      <c r="FM174" s="12">
        <f t="array" ref="FM174">SUMPRODUCT(TRANSPOSE(FM$9:FM$34),$K174:$AJ174)</f>
        <v>2000</v>
      </c>
      <c r="FN174" s="12">
        <f t="array" ref="FN174">SUMPRODUCT(TRANSPOSE(FN$9:FN$34),$K174:$AJ174)</f>
        <v>1698</v>
      </c>
      <c r="FO174" s="12">
        <f t="array" ref="FO174">SUMPRODUCT(TRANSPOSE(FO$9:FO$34),$K174:$AJ174)</f>
        <v>77</v>
      </c>
    </row>
    <row r="175" spans="1:171" ht="14.25" x14ac:dyDescent="0.2">
      <c r="A175" s="13">
        <f t="shared" si="10"/>
        <v>140</v>
      </c>
      <c r="B175" s="13" t="s">
        <v>502</v>
      </c>
      <c r="C175" s="25" t="s">
        <v>469</v>
      </c>
      <c r="D175" s="13" t="s">
        <v>67</v>
      </c>
      <c r="E175" s="13">
        <v>402192622</v>
      </c>
      <c r="F175" s="26" t="s">
        <v>467</v>
      </c>
      <c r="G175" s="13">
        <v>403175049</v>
      </c>
      <c r="H175" s="13" t="s">
        <v>61</v>
      </c>
      <c r="I175" s="13">
        <v>2</v>
      </c>
      <c r="J175" s="13">
        <v>36</v>
      </c>
      <c r="K175" s="13">
        <v>0</v>
      </c>
      <c r="L175" s="13">
        <v>0</v>
      </c>
      <c r="M175" s="13">
        <v>0</v>
      </c>
      <c r="N175" s="13">
        <v>0</v>
      </c>
      <c r="O175" s="13">
        <v>12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12</v>
      </c>
      <c r="Y175" s="13"/>
      <c r="Z175" s="13"/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12</v>
      </c>
      <c r="AK175" s="13">
        <f t="shared" si="11"/>
        <v>24</v>
      </c>
      <c r="AL175" s="23">
        <f t="shared" si="9"/>
        <v>850356</v>
      </c>
      <c r="AM175" s="13"/>
      <c r="AN175" s="13" t="s">
        <v>470</v>
      </c>
      <c r="AO175" s="7" t="s">
        <v>468</v>
      </c>
      <c r="AP175" s="38">
        <v>7.0000000000000007E-2</v>
      </c>
      <c r="AQ175" s="12">
        <v>436000</v>
      </c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13"/>
      <c r="CG175" s="13"/>
      <c r="CH175" s="13"/>
      <c r="CI175" s="12"/>
      <c r="CJ175" s="12"/>
      <c r="CK175" s="12"/>
      <c r="CL175" s="12"/>
      <c r="CM175" s="12"/>
      <c r="CN175" s="12"/>
      <c r="CO175" s="12"/>
      <c r="CP175" s="12">
        <f>SUM($AQ175:BJ175)-SUM($EA175:EH175)</f>
        <v>351244</v>
      </c>
      <c r="CQ175" s="12">
        <f>SUM($AQ175:BK175)-SUM($EA175:EI175)</f>
        <v>346444</v>
      </c>
      <c r="CR175" s="12">
        <f>SUM($AQ175:BL175)-SUM($EA175:EJ175)</f>
        <v>334264</v>
      </c>
      <c r="CS175" s="12">
        <f>SUM($AQ175:BM175)-SUM($EA175:EK175)</f>
        <v>320644</v>
      </c>
      <c r="CT175" s="12">
        <f>SUM($AQ175:BN175)-SUM($EA175:EL175)</f>
        <v>296464</v>
      </c>
      <c r="CU175" s="12">
        <f>SUM($AQ175:BO175)-SUM($EA175:EM175)</f>
        <v>271864</v>
      </c>
      <c r="CV175" s="12">
        <f>SUM($AQ175:BP175)-SUM($EA175:EN175)</f>
        <v>247264</v>
      </c>
      <c r="CW175" s="12">
        <f>SUM($AQ175:BQ175)-SUM($EA175:EO175)</f>
        <v>223264</v>
      </c>
      <c r="CX175" s="12">
        <f>SUM($AQ175:BR175)-SUM($EA175:EP175)</f>
        <v>198664</v>
      </c>
      <c r="CY175" s="12">
        <f>SUM($AQ175:BS175)-SUM($EA175:EQ175)</f>
        <v>174064</v>
      </c>
      <c r="CZ175" s="12">
        <f>SUM($AQ175:BT175)-SUM($EA175:ER175)</f>
        <v>149464</v>
      </c>
      <c r="DA175" s="12">
        <f>SUM($AQ175:BU175)-SUM($EA175:ES175)</f>
        <v>124864</v>
      </c>
      <c r="DB175" s="12">
        <f>SUM($AQ175:BV175)-SUM($EA175:ET175)</f>
        <v>100264</v>
      </c>
      <c r="DC175" s="12">
        <f>SUM($AQ175:BW175)-SUM($EA175:EU175)</f>
        <v>75664</v>
      </c>
      <c r="DD175" s="12">
        <f>SUM($AQ175:BX175)-SUM($EA175:EV175)</f>
        <v>51064</v>
      </c>
      <c r="DE175" s="12">
        <f>SUM($AQ175:BY175)-SUM($EA175:EW175)</f>
        <v>26944</v>
      </c>
      <c r="DF175" s="12">
        <f>SUM($AQ175:BZ175)-SUM($EA175:EX175)</f>
        <v>2944</v>
      </c>
      <c r="DG175" s="12">
        <f>SUM($AQ175:CA175)-SUM($EA175:EY175)</f>
        <v>-21056</v>
      </c>
      <c r="DH175" s="12">
        <f>SUM($AQ175:CB175)-SUM($EA175:EZ175)</f>
        <v>-45056</v>
      </c>
      <c r="DI175" s="12">
        <f>SUM($AQ175:CC175)-SUM($EA175:FA175)</f>
        <v>-69056</v>
      </c>
      <c r="DJ175" s="12">
        <f>SUM($AQ175:CD175)-SUM($EA175:FB175)</f>
        <v>-93056</v>
      </c>
      <c r="DK175" s="12">
        <f>SUM($AQ175:CE175)-SUM($EA175:FC175)</f>
        <v>-117056</v>
      </c>
      <c r="DL175" s="12">
        <f>SUM($AQ175:CF175)-SUM($EA175:FD175)</f>
        <v>-141056</v>
      </c>
      <c r="DM175" s="12">
        <f>SUM($AQ175:CG175)-SUM($EA175:FE175)</f>
        <v>-165056</v>
      </c>
      <c r="DN175" s="12">
        <f>SUM($AQ175:CH175)-SUM($EA175:FF175)</f>
        <v>-189056</v>
      </c>
      <c r="DO175" s="12">
        <f>SUM($AQ175:CI175)-SUM($EA175:FG175)</f>
        <v>-213056</v>
      </c>
      <c r="DP175" s="12">
        <f>SUM($AQ175:CJ175)-SUM($EA175:FH175)</f>
        <v>-237056</v>
      </c>
      <c r="DQ175" s="12">
        <f>SUM($AQ175:CK175)-SUM($EA175:FI175)</f>
        <v>-261056</v>
      </c>
      <c r="DR175" s="12">
        <f>SUM($AQ175:CL175)-SUM($EA175:FJ175)</f>
        <v>-285056</v>
      </c>
      <c r="DS175" s="12">
        <f>SUM($AQ175:CM175)-SUM($EA175:FK175)</f>
        <v>-309056</v>
      </c>
      <c r="DT175" s="12">
        <f>SUM($AQ175:CN175)-SUM($EA175:FL175)</f>
        <v>-333056</v>
      </c>
      <c r="DU175" s="12">
        <f>SUM($AQ175:CO175)-SUM($EA175:FM175)</f>
        <v>-357056</v>
      </c>
      <c r="DV175" s="12">
        <f>SUM($AQ175:CP175)-SUM($EA175:FN175)</f>
        <v>-26188</v>
      </c>
      <c r="DW175" s="12">
        <f>SUM($AQ175:CQ175)-SUM($EA175:FO175)</f>
        <v>319332</v>
      </c>
      <c r="DX175" s="13"/>
      <c r="DY175" s="13"/>
      <c r="DZ175" s="13"/>
      <c r="EA175" s="12"/>
      <c r="EB175" s="12"/>
      <c r="EC175" s="12"/>
      <c r="ED175" s="12"/>
      <c r="EE175" s="12"/>
      <c r="EF175" s="12"/>
      <c r="EG175" s="12"/>
      <c r="EH175" s="12">
        <f t="array" ref="EH175">SUMPRODUCT(TRANSPOSE(EH$9:EH$34),$K175:$AJ175)</f>
        <v>84756</v>
      </c>
      <c r="EI175" s="12">
        <f t="array" ref="EI175">SUMPRODUCT(TRANSPOSE(EI$9:EI$34),$K175:$AJ175)</f>
        <v>4800</v>
      </c>
      <c r="EJ175" s="12">
        <f t="array" ref="EJ175">SUMPRODUCT(TRANSPOSE(EJ$9:EJ$34),$K175:$AJ175)</f>
        <v>12180</v>
      </c>
      <c r="EK175" s="12">
        <f t="array" ref="EK175">SUMPRODUCT(TRANSPOSE(EK$9:EK$34),$K175:$AJ175)</f>
        <v>13620</v>
      </c>
      <c r="EL175" s="12">
        <f t="array" ref="EL175">SUMPRODUCT(TRANSPOSE(EL$9:EL$34),$K175:$AJ175)</f>
        <v>24180</v>
      </c>
      <c r="EM175" s="12">
        <f t="array" ref="EM175">SUMPRODUCT(TRANSPOSE(EM$9:EM$34),$K175:$AJ175)</f>
        <v>24600</v>
      </c>
      <c r="EN175" s="12">
        <f t="array" ref="EN175">SUMPRODUCT(TRANSPOSE(EN$9:EN$34),$K175:$AJ175)</f>
        <v>24600</v>
      </c>
      <c r="EO175" s="12">
        <f t="array" ref="EO175">SUMPRODUCT(TRANSPOSE(EO$9:EO$34),$K175:$AJ175)</f>
        <v>24000</v>
      </c>
      <c r="EP175" s="12">
        <f t="array" ref="EP175">SUMPRODUCT(TRANSPOSE(EP$9:EP$34),$K175:$AJ175)</f>
        <v>24600</v>
      </c>
      <c r="EQ175" s="12">
        <f t="array" ref="EQ175">SUMPRODUCT(TRANSPOSE(EQ$9:EQ$34),$K175:$AJ175)</f>
        <v>24600</v>
      </c>
      <c r="ER175" s="12">
        <f t="array" ref="ER175">SUMPRODUCT(TRANSPOSE(ER$9:ER$34),$K175:$AJ175)</f>
        <v>24600</v>
      </c>
      <c r="ES175" s="12">
        <f t="array" ref="ES175">SUMPRODUCT(TRANSPOSE(ES$9:ES$34),$K175:$AJ175)</f>
        <v>24600</v>
      </c>
      <c r="ET175" s="12">
        <f t="array" ref="ET175">SUMPRODUCT(TRANSPOSE(ET$9:ET$34),$K175:$AJ175)</f>
        <v>24600</v>
      </c>
      <c r="EU175" s="12">
        <f t="array" ref="EU175">SUMPRODUCT(TRANSPOSE(EU$9:EU$34),$K175:$AJ175)</f>
        <v>24600</v>
      </c>
      <c r="EV175" s="12">
        <f t="array" ref="EV175">SUMPRODUCT(TRANSPOSE(EV$9:EV$34),$K175:$AJ175)</f>
        <v>24600</v>
      </c>
      <c r="EW175" s="12">
        <f t="array" ref="EW175">SUMPRODUCT(TRANSPOSE(EW$9:EW$34),$K175:$AJ175)</f>
        <v>24120</v>
      </c>
      <c r="EX175" s="12">
        <f t="array" ref="EX175">SUMPRODUCT(TRANSPOSE(EX$9:EX$34),$K175:$AJ175)</f>
        <v>24000</v>
      </c>
      <c r="EY175" s="12">
        <f t="array" ref="EY175">SUMPRODUCT(TRANSPOSE(EY$9:EY$34),$K175:$AJ175)</f>
        <v>24000</v>
      </c>
      <c r="EZ175" s="12">
        <f t="array" ref="EZ175">SUMPRODUCT(TRANSPOSE(EZ$9:EZ$34),$K175:$AJ175)</f>
        <v>24000</v>
      </c>
      <c r="FA175" s="12">
        <f t="array" ref="FA175">SUMPRODUCT(TRANSPOSE(FA$9:FA$34),$K175:$AJ175)</f>
        <v>24000</v>
      </c>
      <c r="FB175" s="12">
        <f t="array" ref="FB175">SUMPRODUCT(TRANSPOSE(FB$9:FB$34),$K175:$AJ175)</f>
        <v>24000</v>
      </c>
      <c r="FC175" s="12">
        <f t="array" ref="FC175">SUMPRODUCT(TRANSPOSE(FC$9:FC$34),$K175:$AJ175)</f>
        <v>24000</v>
      </c>
      <c r="FD175" s="12">
        <f t="array" ref="FD175">SUMPRODUCT(TRANSPOSE(FD$9:FD$34),$K175:$AJ175)</f>
        <v>24000</v>
      </c>
      <c r="FE175" s="12">
        <f t="array" ref="FE175">SUMPRODUCT(TRANSPOSE(FE$9:FE$34),$K175:$AJ175)</f>
        <v>24000</v>
      </c>
      <c r="FF175" s="12">
        <f t="array" ref="FF175">SUMPRODUCT(TRANSPOSE(FF$9:FF$34),$K175:$AJ175)</f>
        <v>24000</v>
      </c>
      <c r="FG175" s="12">
        <f t="array" ref="FG175">SUMPRODUCT(TRANSPOSE(FG$9:FG$34),$K175:$AJ175)</f>
        <v>24000</v>
      </c>
      <c r="FH175" s="12">
        <f t="array" ref="FH175">SUMPRODUCT(TRANSPOSE(FH$9:FH$34),$K175:$AJ175)</f>
        <v>24000</v>
      </c>
      <c r="FI175" s="12">
        <f t="array" ref="FI175">SUMPRODUCT(TRANSPOSE(FI$9:FI$34),$K175:$AJ175)</f>
        <v>24000</v>
      </c>
      <c r="FJ175" s="12">
        <f t="array" ref="FJ175">SUMPRODUCT(TRANSPOSE(FJ$9:FJ$34),$K175:$AJ175)</f>
        <v>24000</v>
      </c>
      <c r="FK175" s="12">
        <f t="array" ref="FK175">SUMPRODUCT(TRANSPOSE(FK$9:FK$34),$K175:$AJ175)</f>
        <v>24000</v>
      </c>
      <c r="FL175" s="12">
        <f t="array" ref="FL175">SUMPRODUCT(TRANSPOSE(FL$9:FL$34),$K175:$AJ175)</f>
        <v>24000</v>
      </c>
      <c r="FM175" s="12">
        <f t="array" ref="FM175">SUMPRODUCT(TRANSPOSE(FM$9:FM$34),$K175:$AJ175)</f>
        <v>24000</v>
      </c>
      <c r="FN175" s="12">
        <f t="array" ref="FN175">SUMPRODUCT(TRANSPOSE(FN$9:FN$34),$K175:$AJ175)</f>
        <v>20376</v>
      </c>
      <c r="FO175" s="12">
        <f t="array" ref="FO175">SUMPRODUCT(TRANSPOSE(FO$9:FO$34),$K175:$AJ175)</f>
        <v>924</v>
      </c>
    </row>
    <row r="176" spans="1:171" ht="14.25" x14ac:dyDescent="0.2">
      <c r="A176" s="13">
        <f t="shared" si="10"/>
        <v>141</v>
      </c>
      <c r="B176" s="13" t="s">
        <v>503</v>
      </c>
      <c r="C176" s="25" t="s">
        <v>504</v>
      </c>
      <c r="D176" s="13" t="s">
        <v>67</v>
      </c>
      <c r="E176" s="13">
        <v>410238310</v>
      </c>
      <c r="F176" s="26" t="s">
        <v>505</v>
      </c>
      <c r="G176" s="13"/>
      <c r="H176" s="13" t="s">
        <v>61</v>
      </c>
      <c r="I176" s="13">
        <v>1</v>
      </c>
      <c r="J176" s="13">
        <v>12</v>
      </c>
      <c r="K176" s="13">
        <v>0</v>
      </c>
      <c r="L176" s="13">
        <v>0</v>
      </c>
      <c r="M176" s="13">
        <v>0</v>
      </c>
      <c r="N176" s="13">
        <v>4</v>
      </c>
      <c r="O176" s="13">
        <v>0</v>
      </c>
      <c r="P176" s="13">
        <v>0</v>
      </c>
      <c r="Q176" s="13">
        <v>0</v>
      </c>
      <c r="R176" s="13">
        <v>0</v>
      </c>
      <c r="S176" s="13">
        <v>4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/>
      <c r="Z176" s="13">
        <v>4</v>
      </c>
      <c r="AA176" s="13">
        <v>0</v>
      </c>
      <c r="AB176" s="13">
        <v>0</v>
      </c>
      <c r="AC176" s="13">
        <v>0</v>
      </c>
      <c r="AD176" s="13">
        <v>4</v>
      </c>
      <c r="AE176" s="13">
        <v>4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f t="shared" si="11"/>
        <v>16</v>
      </c>
      <c r="AL176" s="23">
        <f t="shared" si="9"/>
        <v>283584</v>
      </c>
      <c r="AM176" s="13"/>
      <c r="AN176" s="13" t="s">
        <v>506</v>
      </c>
      <c r="AO176" s="7" t="s">
        <v>507</v>
      </c>
      <c r="AP176" s="41">
        <v>1.85</v>
      </c>
      <c r="AQ176" s="12">
        <v>124000</v>
      </c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13"/>
      <c r="CG176" s="13"/>
      <c r="CH176" s="13"/>
      <c r="CI176" s="12"/>
      <c r="CJ176" s="12"/>
      <c r="CK176" s="12"/>
      <c r="CL176" s="12"/>
      <c r="CM176" s="12"/>
      <c r="CN176" s="12"/>
      <c r="CO176" s="12"/>
      <c r="CP176" s="12">
        <f>SUM($AQ176:BJ176)-SUM($EA176:EH176)</f>
        <v>95748</v>
      </c>
      <c r="CQ176" s="12">
        <f>SUM($AQ176:BK176)-SUM($EA176:EI176)</f>
        <v>94624</v>
      </c>
      <c r="CR176" s="12">
        <f>SUM($AQ176:BL176)-SUM($EA176:EJ176)</f>
        <v>90564</v>
      </c>
      <c r="CS176" s="12">
        <f>SUM($AQ176:BM176)-SUM($EA176:EK176)</f>
        <v>86024</v>
      </c>
      <c r="CT176" s="12">
        <f>SUM($AQ176:BN176)-SUM($EA176:EL176)</f>
        <v>77964</v>
      </c>
      <c r="CU176" s="12">
        <f>SUM($AQ176:BO176)-SUM($EA176:EM176)</f>
        <v>69764</v>
      </c>
      <c r="CV176" s="12">
        <f>SUM($AQ176:BP176)-SUM($EA176:EN176)</f>
        <v>61564</v>
      </c>
      <c r="CW176" s="12">
        <f>SUM($AQ176:BQ176)-SUM($EA176:EO176)</f>
        <v>53564</v>
      </c>
      <c r="CX176" s="12">
        <f>SUM($AQ176:BR176)-SUM($EA176:EP176)</f>
        <v>45364</v>
      </c>
      <c r="CY176" s="12">
        <f>SUM($AQ176:BS176)-SUM($EA176:EQ176)</f>
        <v>37164</v>
      </c>
      <c r="CZ176" s="12">
        <f>SUM($AQ176:BT176)-SUM($EA176:ER176)</f>
        <v>28964</v>
      </c>
      <c r="DA176" s="12">
        <f>SUM($AQ176:BU176)-SUM($EA176:ES176)</f>
        <v>20764</v>
      </c>
      <c r="DB176" s="12">
        <f>SUM($AQ176:BV176)-SUM($EA176:ET176)</f>
        <v>12564</v>
      </c>
      <c r="DC176" s="12">
        <f>SUM($AQ176:BW176)-SUM($EA176:EU176)</f>
        <v>4364</v>
      </c>
      <c r="DD176" s="12">
        <f>SUM($AQ176:BX176)-SUM($EA176:EV176)</f>
        <v>-3836</v>
      </c>
      <c r="DE176" s="12">
        <f>SUM($AQ176:BY176)-SUM($EA176:EW176)</f>
        <v>-12008</v>
      </c>
      <c r="DF176" s="12">
        <f>SUM($AQ176:BZ176)-SUM($EA176:EX176)</f>
        <v>-20008</v>
      </c>
      <c r="DG176" s="12">
        <f>SUM($AQ176:CA176)-SUM($EA176:EY176)</f>
        <v>-28008</v>
      </c>
      <c r="DH176" s="12">
        <f>SUM($AQ176:CB176)-SUM($EA176:EZ176)</f>
        <v>-36008</v>
      </c>
      <c r="DI176" s="12">
        <f>SUM($AQ176:CC176)-SUM($EA176:FA176)</f>
        <v>-44008</v>
      </c>
      <c r="DJ176" s="12">
        <f>SUM($AQ176:CD176)-SUM($EA176:FB176)</f>
        <v>-52008</v>
      </c>
      <c r="DK176" s="12">
        <f>SUM($AQ176:CE176)-SUM($EA176:FC176)</f>
        <v>-60008</v>
      </c>
      <c r="DL176" s="12">
        <f>SUM($AQ176:CF176)-SUM($EA176:FD176)</f>
        <v>-68008</v>
      </c>
      <c r="DM176" s="12">
        <f>SUM($AQ176:CG176)-SUM($EA176:FE176)</f>
        <v>-76008</v>
      </c>
      <c r="DN176" s="12">
        <f>SUM($AQ176:CH176)-SUM($EA176:FF176)</f>
        <v>-84008</v>
      </c>
      <c r="DO176" s="12">
        <f>SUM($AQ176:CI176)-SUM($EA176:FG176)</f>
        <v>-92008</v>
      </c>
      <c r="DP176" s="12">
        <f>SUM($AQ176:CJ176)-SUM($EA176:FH176)</f>
        <v>-100008</v>
      </c>
      <c r="DQ176" s="12">
        <f>SUM($AQ176:CK176)-SUM($EA176:FI176)</f>
        <v>-108008</v>
      </c>
      <c r="DR176" s="12">
        <f>SUM($AQ176:CL176)-SUM($EA176:FJ176)</f>
        <v>-116008</v>
      </c>
      <c r="DS176" s="12">
        <f>SUM($AQ176:CM176)-SUM($EA176:FK176)</f>
        <v>-124008</v>
      </c>
      <c r="DT176" s="12">
        <f>SUM($AQ176:CN176)-SUM($EA176:FL176)</f>
        <v>-132008</v>
      </c>
      <c r="DU176" s="12">
        <f>SUM($AQ176:CO176)-SUM($EA176:FM176)</f>
        <v>-140008</v>
      </c>
      <c r="DV176" s="12">
        <f>SUM($AQ176:CP176)-SUM($EA176:FN176)</f>
        <v>-51528</v>
      </c>
      <c r="DW176" s="12">
        <f>SUM($AQ176:CQ176)-SUM($EA176:FO176)</f>
        <v>42788</v>
      </c>
      <c r="DX176" s="13"/>
      <c r="DY176" s="13"/>
      <c r="DZ176" s="13"/>
      <c r="EA176" s="12"/>
      <c r="EB176" s="12"/>
      <c r="EC176" s="12"/>
      <c r="ED176" s="12"/>
      <c r="EE176" s="12"/>
      <c r="EF176" s="12"/>
      <c r="EG176" s="12"/>
      <c r="EH176" s="12">
        <f t="array" ref="EH176">SUMPRODUCT(TRANSPOSE(EH$9:EH$34),$K176:$AJ176)</f>
        <v>28252</v>
      </c>
      <c r="EI176" s="12">
        <f t="array" ref="EI176">SUMPRODUCT(TRANSPOSE(EI$9:EI$34),$K176:$AJ176)</f>
        <v>1124</v>
      </c>
      <c r="EJ176" s="12">
        <f t="array" ref="EJ176">SUMPRODUCT(TRANSPOSE(EJ$9:EJ$34),$K176:$AJ176)</f>
        <v>4060</v>
      </c>
      <c r="EK176" s="12">
        <f t="array" ref="EK176">SUMPRODUCT(TRANSPOSE(EK$9:EK$34),$K176:$AJ176)</f>
        <v>4540</v>
      </c>
      <c r="EL176" s="12">
        <f t="array" ref="EL176">SUMPRODUCT(TRANSPOSE(EL$9:EL$34),$K176:$AJ176)</f>
        <v>8060</v>
      </c>
      <c r="EM176" s="12">
        <f t="array" ref="EM176">SUMPRODUCT(TRANSPOSE(EM$9:EM$34),$K176:$AJ176)</f>
        <v>8200</v>
      </c>
      <c r="EN176" s="12">
        <f t="array" ref="EN176">SUMPRODUCT(TRANSPOSE(EN$9:EN$34),$K176:$AJ176)</f>
        <v>8200</v>
      </c>
      <c r="EO176" s="12">
        <f t="array" ref="EO176">SUMPRODUCT(TRANSPOSE(EO$9:EO$34),$K176:$AJ176)</f>
        <v>8000</v>
      </c>
      <c r="EP176" s="12">
        <f t="array" ref="EP176">SUMPRODUCT(TRANSPOSE(EP$9:EP$34),$K176:$AJ176)</f>
        <v>8200</v>
      </c>
      <c r="EQ176" s="12">
        <f t="array" ref="EQ176">SUMPRODUCT(TRANSPOSE(EQ$9:EQ$34),$K176:$AJ176)</f>
        <v>8200</v>
      </c>
      <c r="ER176" s="12">
        <f t="array" ref="ER176">SUMPRODUCT(TRANSPOSE(ER$9:ER$34),$K176:$AJ176)</f>
        <v>8200</v>
      </c>
      <c r="ES176" s="12">
        <f t="array" ref="ES176">SUMPRODUCT(TRANSPOSE(ES$9:ES$34),$K176:$AJ176)</f>
        <v>8200</v>
      </c>
      <c r="ET176" s="12">
        <f t="array" ref="ET176">SUMPRODUCT(TRANSPOSE(ET$9:ET$34),$K176:$AJ176)</f>
        <v>8200</v>
      </c>
      <c r="EU176" s="12">
        <f t="array" ref="EU176">SUMPRODUCT(TRANSPOSE(EU$9:EU$34),$K176:$AJ176)</f>
        <v>8200</v>
      </c>
      <c r="EV176" s="12">
        <f t="array" ref="EV176">SUMPRODUCT(TRANSPOSE(EV$9:EV$34),$K176:$AJ176)</f>
        <v>8200</v>
      </c>
      <c r="EW176" s="12">
        <f t="array" ref="EW176">SUMPRODUCT(TRANSPOSE(EW$9:EW$34),$K176:$AJ176)</f>
        <v>8172</v>
      </c>
      <c r="EX176" s="12">
        <f t="array" ref="EX176">SUMPRODUCT(TRANSPOSE(EX$9:EX$34),$K176:$AJ176)</f>
        <v>8000</v>
      </c>
      <c r="EY176" s="12">
        <f t="array" ref="EY176">SUMPRODUCT(TRANSPOSE(EY$9:EY$34),$K176:$AJ176)</f>
        <v>8000</v>
      </c>
      <c r="EZ176" s="12">
        <f t="array" ref="EZ176">SUMPRODUCT(TRANSPOSE(EZ$9:EZ$34),$K176:$AJ176)</f>
        <v>8000</v>
      </c>
      <c r="FA176" s="12">
        <f t="array" ref="FA176">SUMPRODUCT(TRANSPOSE(FA$9:FA$34),$K176:$AJ176)</f>
        <v>8000</v>
      </c>
      <c r="FB176" s="12">
        <f t="array" ref="FB176">SUMPRODUCT(TRANSPOSE(FB$9:FB$34),$K176:$AJ176)</f>
        <v>8000</v>
      </c>
      <c r="FC176" s="12">
        <f t="array" ref="FC176">SUMPRODUCT(TRANSPOSE(FC$9:FC$34),$K176:$AJ176)</f>
        <v>8000</v>
      </c>
      <c r="FD176" s="12">
        <f t="array" ref="FD176">SUMPRODUCT(TRANSPOSE(FD$9:FD$34),$K176:$AJ176)</f>
        <v>8000</v>
      </c>
      <c r="FE176" s="12">
        <f t="array" ref="FE176">SUMPRODUCT(TRANSPOSE(FE$9:FE$34),$K176:$AJ176)</f>
        <v>8000</v>
      </c>
      <c r="FF176" s="12">
        <f t="array" ref="FF176">SUMPRODUCT(TRANSPOSE(FF$9:FF$34),$K176:$AJ176)</f>
        <v>8000</v>
      </c>
      <c r="FG176" s="12">
        <f t="array" ref="FG176">SUMPRODUCT(TRANSPOSE(FG$9:FG$34),$K176:$AJ176)</f>
        <v>8000</v>
      </c>
      <c r="FH176" s="12">
        <f t="array" ref="FH176">SUMPRODUCT(TRANSPOSE(FH$9:FH$34),$K176:$AJ176)</f>
        <v>8000</v>
      </c>
      <c r="FI176" s="12">
        <f t="array" ref="FI176">SUMPRODUCT(TRANSPOSE(FI$9:FI$34),$K176:$AJ176)</f>
        <v>8000</v>
      </c>
      <c r="FJ176" s="12">
        <f t="array" ref="FJ176">SUMPRODUCT(TRANSPOSE(FJ$9:FJ$34),$K176:$AJ176)</f>
        <v>8000</v>
      </c>
      <c r="FK176" s="12">
        <f t="array" ref="FK176">SUMPRODUCT(TRANSPOSE(FK$9:FK$34),$K176:$AJ176)</f>
        <v>8000</v>
      </c>
      <c r="FL176" s="12">
        <f t="array" ref="FL176">SUMPRODUCT(TRANSPOSE(FL$9:FL$34),$K176:$AJ176)</f>
        <v>8000</v>
      </c>
      <c r="FM176" s="12">
        <f t="array" ref="FM176">SUMPRODUCT(TRANSPOSE(FM$9:FM$34),$K176:$AJ176)</f>
        <v>8000</v>
      </c>
      <c r="FN176" s="12">
        <f t="array" ref="FN176">SUMPRODUCT(TRANSPOSE(FN$9:FN$34),$K176:$AJ176)</f>
        <v>7268</v>
      </c>
      <c r="FO176" s="12">
        <f t="array" ref="FO176">SUMPRODUCT(TRANSPOSE(FO$9:FO$34),$K176:$AJ176)</f>
        <v>308</v>
      </c>
    </row>
    <row r="177" spans="1:171" ht="14.25" x14ac:dyDescent="0.2">
      <c r="A177" s="13">
        <f t="shared" si="10"/>
        <v>142</v>
      </c>
      <c r="B177" s="13" t="s">
        <v>508</v>
      </c>
      <c r="C177" s="25" t="s">
        <v>509</v>
      </c>
      <c r="D177" s="13" t="s">
        <v>67</v>
      </c>
      <c r="E177" s="13">
        <v>400709578</v>
      </c>
      <c r="F177" s="26" t="s">
        <v>510</v>
      </c>
      <c r="G177" s="13">
        <v>400095450</v>
      </c>
      <c r="H177" s="13" t="s">
        <v>61</v>
      </c>
      <c r="I177" s="13">
        <v>2</v>
      </c>
      <c r="J177" s="13">
        <v>169</v>
      </c>
      <c r="K177" s="13">
        <v>0</v>
      </c>
      <c r="L177" s="13">
        <v>0</v>
      </c>
      <c r="M177" s="13">
        <v>0</v>
      </c>
      <c r="N177" s="13">
        <v>0</v>
      </c>
      <c r="O177" s="13">
        <v>55</v>
      </c>
      <c r="P177" s="13">
        <v>0</v>
      </c>
      <c r="Q177" s="13">
        <v>0</v>
      </c>
      <c r="R177" s="13">
        <v>0</v>
      </c>
      <c r="S177" s="13">
        <v>2</v>
      </c>
      <c r="T177" s="13">
        <v>0</v>
      </c>
      <c r="U177" s="13">
        <v>0</v>
      </c>
      <c r="V177" s="13">
        <v>0</v>
      </c>
      <c r="W177" s="13">
        <v>0</v>
      </c>
      <c r="X177" s="13">
        <v>55</v>
      </c>
      <c r="Y177" s="13"/>
      <c r="Z177" s="13">
        <v>2</v>
      </c>
      <c r="AA177" s="13">
        <v>0</v>
      </c>
      <c r="AB177" s="13">
        <v>0</v>
      </c>
      <c r="AC177" s="13">
        <v>0</v>
      </c>
      <c r="AD177" s="13">
        <v>2</v>
      </c>
      <c r="AE177" s="13">
        <v>2</v>
      </c>
      <c r="AF177" s="13">
        <v>0</v>
      </c>
      <c r="AG177" s="13">
        <v>0</v>
      </c>
      <c r="AH177" s="13">
        <v>0</v>
      </c>
      <c r="AI177" s="13">
        <v>0</v>
      </c>
      <c r="AJ177" s="13">
        <v>55</v>
      </c>
      <c r="AK177" s="13">
        <f t="shared" si="11"/>
        <v>116</v>
      </c>
      <c r="AL177" s="23">
        <f t="shared" si="9"/>
        <v>3968795</v>
      </c>
      <c r="AM177" s="13"/>
      <c r="AN177" s="13" t="s">
        <v>299</v>
      </c>
      <c r="AO177" s="7" t="s">
        <v>300</v>
      </c>
      <c r="AP177" s="38">
        <v>8.0000000000000004E-4</v>
      </c>
      <c r="AQ177" s="12">
        <v>3976900</v>
      </c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13"/>
      <c r="CG177" s="13"/>
      <c r="CH177" s="13"/>
      <c r="CI177" s="12"/>
      <c r="CJ177" s="12"/>
      <c r="CK177" s="12"/>
      <c r="CL177" s="12"/>
      <c r="CM177" s="12"/>
      <c r="CN177" s="12"/>
      <c r="CO177" s="12"/>
      <c r="CP177" s="12">
        <f>SUM($AQ177:BJ177)-SUM($EA177:EH177)</f>
        <v>3582217</v>
      </c>
      <c r="CQ177" s="12">
        <f>SUM($AQ177:BK177)-SUM($EA177:EI177)</f>
        <v>3559655</v>
      </c>
      <c r="CR177" s="12">
        <f>SUM($AQ177:BL177)-SUM($EA177:EJ177)</f>
        <v>3503800</v>
      </c>
      <c r="CS177" s="12">
        <f>SUM($AQ177:BM177)-SUM($EA177:EK177)</f>
        <v>3441105</v>
      </c>
      <c r="CT177" s="12">
        <f>SUM($AQ177:BN177)-SUM($EA177:EL177)</f>
        <v>3328250</v>
      </c>
      <c r="CU177" s="12">
        <f>SUM($AQ177:BO177)-SUM($EA177:EM177)</f>
        <v>3211400</v>
      </c>
      <c r="CV177" s="12">
        <f>SUM($AQ177:BP177)-SUM($EA177:EN177)</f>
        <v>3096350</v>
      </c>
      <c r="CW177" s="12">
        <f>SUM($AQ177:BQ177)-SUM($EA177:EO177)</f>
        <v>2984350</v>
      </c>
      <c r="CX177" s="12">
        <f>SUM($AQ177:BR177)-SUM($EA177:EP177)</f>
        <v>2869500</v>
      </c>
      <c r="CY177" s="12">
        <f>SUM($AQ177:BS177)-SUM($EA177:EQ177)</f>
        <v>2754650</v>
      </c>
      <c r="CZ177" s="12">
        <f>SUM($AQ177:BT177)-SUM($EA177:ER177)</f>
        <v>2639800</v>
      </c>
      <c r="DA177" s="12">
        <f>SUM($AQ177:BU177)-SUM($EA177:ES177)</f>
        <v>2524950</v>
      </c>
      <c r="DB177" s="12">
        <f>SUM($AQ177:BV177)-SUM($EA177:ET177)</f>
        <v>2410100</v>
      </c>
      <c r="DC177" s="12">
        <f>SUM($AQ177:BW177)-SUM($EA177:EU177)</f>
        <v>2295250</v>
      </c>
      <c r="DD177" s="12">
        <f>SUM($AQ177:BX177)-SUM($EA177:EV177)</f>
        <v>2180400</v>
      </c>
      <c r="DE177" s="12">
        <f>SUM($AQ177:BY177)-SUM($EA177:EW177)</f>
        <v>2067764</v>
      </c>
      <c r="DF177" s="12">
        <f>SUM($AQ177:BZ177)-SUM($EA177:EX177)</f>
        <v>1955764</v>
      </c>
      <c r="DG177" s="12">
        <f>SUM($AQ177:CA177)-SUM($EA177:EY177)</f>
        <v>1843764</v>
      </c>
      <c r="DH177" s="12">
        <f>SUM($AQ177:CB177)-SUM($EA177:EZ177)</f>
        <v>1731764</v>
      </c>
      <c r="DI177" s="12">
        <f>SUM($AQ177:CC177)-SUM($EA177:FA177)</f>
        <v>1619764</v>
      </c>
      <c r="DJ177" s="12">
        <f>SUM($AQ177:CD177)-SUM($EA177:FB177)</f>
        <v>1507764</v>
      </c>
      <c r="DK177" s="12">
        <f>SUM($AQ177:CE177)-SUM($EA177:FC177)</f>
        <v>1395764</v>
      </c>
      <c r="DL177" s="12">
        <f>SUM($AQ177:CF177)-SUM($EA177:FD177)</f>
        <v>1283764</v>
      </c>
      <c r="DM177" s="12">
        <f>SUM($AQ177:CG177)-SUM($EA177:FE177)</f>
        <v>1171764</v>
      </c>
      <c r="DN177" s="12">
        <f>SUM($AQ177:CH177)-SUM($EA177:FF177)</f>
        <v>1059764</v>
      </c>
      <c r="DO177" s="12">
        <f>SUM($AQ177:CI177)-SUM($EA177:FG177)</f>
        <v>947764</v>
      </c>
      <c r="DP177" s="12">
        <f>SUM($AQ177:CJ177)-SUM($EA177:FH177)</f>
        <v>835764</v>
      </c>
      <c r="DQ177" s="12">
        <f>SUM($AQ177:CK177)-SUM($EA177:FI177)</f>
        <v>723764</v>
      </c>
      <c r="DR177" s="12">
        <f>SUM($AQ177:CL177)-SUM($EA177:FJ177)</f>
        <v>611764</v>
      </c>
      <c r="DS177" s="12">
        <f>SUM($AQ177:CM177)-SUM($EA177:FK177)</f>
        <v>499764</v>
      </c>
      <c r="DT177" s="12">
        <f>SUM($AQ177:CN177)-SUM($EA177:FL177)</f>
        <v>387764</v>
      </c>
      <c r="DU177" s="12">
        <f>SUM($AQ177:CO177)-SUM($EA177:FM177)</f>
        <v>275764</v>
      </c>
      <c r="DV177" s="12">
        <f>SUM($AQ177:CP177)-SUM($EA177:FN177)</f>
        <v>3762957</v>
      </c>
      <c r="DW177" s="12">
        <f>SUM($AQ177:CQ177)-SUM($EA177:FO177)</f>
        <v>7318377</v>
      </c>
      <c r="DX177" s="13"/>
      <c r="DY177" s="13"/>
      <c r="DZ177" s="13"/>
      <c r="EA177" s="12"/>
      <c r="EB177" s="12"/>
      <c r="EC177" s="12"/>
      <c r="ED177" s="12"/>
      <c r="EE177" s="12"/>
      <c r="EF177" s="12"/>
      <c r="EG177" s="12"/>
      <c r="EH177" s="12">
        <f t="array" ref="EH177">SUMPRODUCT(TRANSPOSE(EH$9:EH$34),$K177:$AJ177)</f>
        <v>394683</v>
      </c>
      <c r="EI177" s="12">
        <f t="array" ref="EI177">SUMPRODUCT(TRANSPOSE(EI$9:EI$34),$K177:$AJ177)</f>
        <v>22562</v>
      </c>
      <c r="EJ177" s="12">
        <f t="array" ref="EJ177">SUMPRODUCT(TRANSPOSE(EJ$9:EJ$34),$K177:$AJ177)</f>
        <v>55855</v>
      </c>
      <c r="EK177" s="12">
        <f t="array" ref="EK177">SUMPRODUCT(TRANSPOSE(EK$9:EK$34),$K177:$AJ177)</f>
        <v>62695</v>
      </c>
      <c r="EL177" s="12">
        <f t="array" ref="EL177">SUMPRODUCT(TRANSPOSE(EL$9:EL$34),$K177:$AJ177)</f>
        <v>112855</v>
      </c>
      <c r="EM177" s="12">
        <f t="array" ref="EM177">SUMPRODUCT(TRANSPOSE(EM$9:EM$34),$K177:$AJ177)</f>
        <v>116850</v>
      </c>
      <c r="EN177" s="12">
        <f t="array" ref="EN177">SUMPRODUCT(TRANSPOSE(EN$9:EN$34),$K177:$AJ177)</f>
        <v>115050</v>
      </c>
      <c r="EO177" s="12">
        <f t="array" ref="EO177">SUMPRODUCT(TRANSPOSE(EO$9:EO$34),$K177:$AJ177)</f>
        <v>112000</v>
      </c>
      <c r="EP177" s="12">
        <f t="array" ref="EP177">SUMPRODUCT(TRANSPOSE(EP$9:EP$34),$K177:$AJ177)</f>
        <v>114850</v>
      </c>
      <c r="EQ177" s="12">
        <f t="array" ref="EQ177">SUMPRODUCT(TRANSPOSE(EQ$9:EQ$34),$K177:$AJ177)</f>
        <v>114850</v>
      </c>
      <c r="ER177" s="12">
        <f t="array" ref="ER177">SUMPRODUCT(TRANSPOSE(ER$9:ER$34),$K177:$AJ177)</f>
        <v>114850</v>
      </c>
      <c r="ES177" s="12">
        <f t="array" ref="ES177">SUMPRODUCT(TRANSPOSE(ES$9:ES$34),$K177:$AJ177)</f>
        <v>114850</v>
      </c>
      <c r="ET177" s="12">
        <f t="array" ref="ET177">SUMPRODUCT(TRANSPOSE(ET$9:ET$34),$K177:$AJ177)</f>
        <v>114850</v>
      </c>
      <c r="EU177" s="12">
        <f t="array" ref="EU177">SUMPRODUCT(TRANSPOSE(EU$9:EU$34),$K177:$AJ177)</f>
        <v>114850</v>
      </c>
      <c r="EV177" s="12">
        <f t="array" ref="EV177">SUMPRODUCT(TRANSPOSE(EV$9:EV$34),$K177:$AJ177)</f>
        <v>114850</v>
      </c>
      <c r="EW177" s="12">
        <f t="array" ref="EW177">SUMPRODUCT(TRANSPOSE(EW$9:EW$34),$K177:$AJ177)</f>
        <v>112636</v>
      </c>
      <c r="EX177" s="12">
        <f t="array" ref="EX177">SUMPRODUCT(TRANSPOSE(EX$9:EX$34),$K177:$AJ177)</f>
        <v>112000</v>
      </c>
      <c r="EY177" s="12">
        <f t="array" ref="EY177">SUMPRODUCT(TRANSPOSE(EY$9:EY$34),$K177:$AJ177)</f>
        <v>112000</v>
      </c>
      <c r="EZ177" s="12">
        <f t="array" ref="EZ177">SUMPRODUCT(TRANSPOSE(EZ$9:EZ$34),$K177:$AJ177)</f>
        <v>112000</v>
      </c>
      <c r="FA177" s="12">
        <f t="array" ref="FA177">SUMPRODUCT(TRANSPOSE(FA$9:FA$34),$K177:$AJ177)</f>
        <v>112000</v>
      </c>
      <c r="FB177" s="12">
        <f t="array" ref="FB177">SUMPRODUCT(TRANSPOSE(FB$9:FB$34),$K177:$AJ177)</f>
        <v>112000</v>
      </c>
      <c r="FC177" s="12">
        <f t="array" ref="FC177">SUMPRODUCT(TRANSPOSE(FC$9:FC$34),$K177:$AJ177)</f>
        <v>112000</v>
      </c>
      <c r="FD177" s="12">
        <f t="array" ref="FD177">SUMPRODUCT(TRANSPOSE(FD$9:FD$34),$K177:$AJ177)</f>
        <v>112000</v>
      </c>
      <c r="FE177" s="12">
        <f t="array" ref="FE177">SUMPRODUCT(TRANSPOSE(FE$9:FE$34),$K177:$AJ177)</f>
        <v>112000</v>
      </c>
      <c r="FF177" s="12">
        <f t="array" ref="FF177">SUMPRODUCT(TRANSPOSE(FF$9:FF$34),$K177:$AJ177)</f>
        <v>112000</v>
      </c>
      <c r="FG177" s="12">
        <f t="array" ref="FG177">SUMPRODUCT(TRANSPOSE(FG$9:FG$34),$K177:$AJ177)</f>
        <v>112000</v>
      </c>
      <c r="FH177" s="12">
        <f t="array" ref="FH177">SUMPRODUCT(TRANSPOSE(FH$9:FH$34),$K177:$AJ177)</f>
        <v>112000</v>
      </c>
      <c r="FI177" s="12">
        <f t="array" ref="FI177">SUMPRODUCT(TRANSPOSE(FI$9:FI$34),$K177:$AJ177)</f>
        <v>112000</v>
      </c>
      <c r="FJ177" s="12">
        <f t="array" ref="FJ177">SUMPRODUCT(TRANSPOSE(FJ$9:FJ$34),$K177:$AJ177)</f>
        <v>112000</v>
      </c>
      <c r="FK177" s="12">
        <f t="array" ref="FK177">SUMPRODUCT(TRANSPOSE(FK$9:FK$34),$K177:$AJ177)</f>
        <v>112000</v>
      </c>
      <c r="FL177" s="12">
        <f t="array" ref="FL177">SUMPRODUCT(TRANSPOSE(FL$9:FL$34),$K177:$AJ177)</f>
        <v>112000</v>
      </c>
      <c r="FM177" s="12">
        <f t="array" ref="FM177">SUMPRODUCT(TRANSPOSE(FM$9:FM$34),$K177:$AJ177)</f>
        <v>112000</v>
      </c>
      <c r="FN177" s="12">
        <f t="array" ref="FN177">SUMPRODUCT(TRANSPOSE(FN$9:FN$34),$K177:$AJ177)</f>
        <v>95024</v>
      </c>
      <c r="FO177" s="12">
        <f t="array" ref="FO177">SUMPRODUCT(TRANSPOSE(FO$9:FO$34),$K177:$AJ177)</f>
        <v>4235</v>
      </c>
    </row>
    <row r="178" spans="1:171" ht="14.25" x14ac:dyDescent="0.2">
      <c r="A178" s="13">
        <f t="shared" si="10"/>
        <v>143</v>
      </c>
      <c r="B178" s="13" t="s">
        <v>511</v>
      </c>
      <c r="C178" s="25" t="s">
        <v>512</v>
      </c>
      <c r="D178" s="13" t="s">
        <v>67</v>
      </c>
      <c r="E178" s="13">
        <v>400656752</v>
      </c>
      <c r="F178" s="26" t="s">
        <v>513</v>
      </c>
      <c r="G178" s="13">
        <v>400275213</v>
      </c>
      <c r="H178" s="13" t="s">
        <v>61</v>
      </c>
      <c r="I178" s="13">
        <v>2</v>
      </c>
      <c r="J178" s="13">
        <v>9</v>
      </c>
      <c r="K178" s="13">
        <v>0</v>
      </c>
      <c r="L178" s="13">
        <v>0</v>
      </c>
      <c r="M178" s="13">
        <v>0</v>
      </c>
      <c r="N178" s="13">
        <v>0</v>
      </c>
      <c r="O178" s="13">
        <v>3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3</v>
      </c>
      <c r="Y178" s="13"/>
      <c r="Z178" s="13"/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3</v>
      </c>
      <c r="AK178" s="13">
        <f t="shared" si="11"/>
        <v>6</v>
      </c>
      <c r="AL178" s="23">
        <f t="shared" si="9"/>
        <v>212589</v>
      </c>
      <c r="AM178" s="13"/>
      <c r="AN178" s="13" t="s">
        <v>299</v>
      </c>
      <c r="AO178" s="7" t="s">
        <v>307</v>
      </c>
      <c r="AP178" s="38">
        <v>1E-3</v>
      </c>
      <c r="AQ178" s="12">
        <v>220000</v>
      </c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13"/>
      <c r="CG178" s="13"/>
      <c r="CH178" s="13"/>
      <c r="CI178" s="12"/>
      <c r="CJ178" s="12"/>
      <c r="CK178" s="12"/>
      <c r="CL178" s="12"/>
      <c r="CM178" s="12"/>
      <c r="CN178" s="12"/>
      <c r="CO178" s="12"/>
      <c r="CP178" s="12">
        <f>SUM($AQ178:BJ178)-SUM($EA178:EH178)</f>
        <v>198811</v>
      </c>
      <c r="CQ178" s="12">
        <f>SUM($AQ178:BK178)-SUM($EA178:EI178)</f>
        <v>197611</v>
      </c>
      <c r="CR178" s="12">
        <f>SUM($AQ178:BL178)-SUM($EA178:EJ178)</f>
        <v>194566</v>
      </c>
      <c r="CS178" s="12">
        <f>SUM($AQ178:BM178)-SUM($EA178:EK178)</f>
        <v>191161</v>
      </c>
      <c r="CT178" s="12">
        <f>SUM($AQ178:BN178)-SUM($EA178:EL178)</f>
        <v>185116</v>
      </c>
      <c r="CU178" s="12">
        <f>SUM($AQ178:BO178)-SUM($EA178:EM178)</f>
        <v>178966</v>
      </c>
      <c r="CV178" s="12">
        <f>SUM($AQ178:BP178)-SUM($EA178:EN178)</f>
        <v>172816</v>
      </c>
      <c r="CW178" s="12">
        <f>SUM($AQ178:BQ178)-SUM($EA178:EO178)</f>
        <v>166816</v>
      </c>
      <c r="CX178" s="12">
        <f>SUM($AQ178:BR178)-SUM($EA178:EP178)</f>
        <v>160666</v>
      </c>
      <c r="CY178" s="12">
        <f>SUM($AQ178:BS178)-SUM($EA178:EQ178)</f>
        <v>154516</v>
      </c>
      <c r="CZ178" s="12">
        <f>SUM($AQ178:BT178)-SUM($EA178:ER178)</f>
        <v>148366</v>
      </c>
      <c r="DA178" s="12">
        <f>SUM($AQ178:BU178)-SUM($EA178:ES178)</f>
        <v>142216</v>
      </c>
      <c r="DB178" s="12">
        <f>SUM($AQ178:BV178)-SUM($EA178:ET178)</f>
        <v>136066</v>
      </c>
      <c r="DC178" s="12">
        <f>SUM($AQ178:BW178)-SUM($EA178:EU178)</f>
        <v>129916</v>
      </c>
      <c r="DD178" s="12">
        <f>SUM($AQ178:BX178)-SUM($EA178:EV178)</f>
        <v>123766</v>
      </c>
      <c r="DE178" s="12">
        <f>SUM($AQ178:BY178)-SUM($EA178:EW178)</f>
        <v>117736</v>
      </c>
      <c r="DF178" s="12">
        <f>SUM($AQ178:BZ178)-SUM($EA178:EX178)</f>
        <v>111736</v>
      </c>
      <c r="DG178" s="12">
        <f>SUM($AQ178:CA178)-SUM($EA178:EY178)</f>
        <v>105736</v>
      </c>
      <c r="DH178" s="12">
        <f>SUM($AQ178:CB178)-SUM($EA178:EZ178)</f>
        <v>99736</v>
      </c>
      <c r="DI178" s="12">
        <f>SUM($AQ178:CC178)-SUM($EA178:FA178)</f>
        <v>93736</v>
      </c>
      <c r="DJ178" s="12">
        <f>SUM($AQ178:CD178)-SUM($EA178:FB178)</f>
        <v>87736</v>
      </c>
      <c r="DK178" s="12">
        <f>SUM($AQ178:CE178)-SUM($EA178:FC178)</f>
        <v>81736</v>
      </c>
      <c r="DL178" s="12">
        <f>SUM($AQ178:CF178)-SUM($EA178:FD178)</f>
        <v>75736</v>
      </c>
      <c r="DM178" s="12">
        <f>SUM($AQ178:CG178)-SUM($EA178:FE178)</f>
        <v>69736</v>
      </c>
      <c r="DN178" s="12">
        <f>SUM($AQ178:CH178)-SUM($EA178:FF178)</f>
        <v>63736</v>
      </c>
      <c r="DO178" s="12">
        <f>SUM($AQ178:CI178)-SUM($EA178:FG178)</f>
        <v>57736</v>
      </c>
      <c r="DP178" s="12">
        <f>SUM($AQ178:CJ178)-SUM($EA178:FH178)</f>
        <v>51736</v>
      </c>
      <c r="DQ178" s="12">
        <f>SUM($AQ178:CK178)-SUM($EA178:FI178)</f>
        <v>45736</v>
      </c>
      <c r="DR178" s="12">
        <f>SUM($AQ178:CL178)-SUM($EA178:FJ178)</f>
        <v>39736</v>
      </c>
      <c r="DS178" s="12">
        <f>SUM($AQ178:CM178)-SUM($EA178:FK178)</f>
        <v>33736</v>
      </c>
      <c r="DT178" s="12">
        <f>SUM($AQ178:CN178)-SUM($EA178:FL178)</f>
        <v>27736</v>
      </c>
      <c r="DU178" s="12">
        <f>SUM($AQ178:CO178)-SUM($EA178:FM178)</f>
        <v>21736</v>
      </c>
      <c r="DV178" s="12">
        <f>SUM($AQ178:CP178)-SUM($EA178:FN178)</f>
        <v>215453</v>
      </c>
      <c r="DW178" s="12">
        <f>SUM($AQ178:CQ178)-SUM($EA178:FO178)</f>
        <v>412833</v>
      </c>
      <c r="DX178" s="13"/>
      <c r="DY178" s="13"/>
      <c r="DZ178" s="13"/>
      <c r="EA178" s="12"/>
      <c r="EB178" s="12"/>
      <c r="EC178" s="12"/>
      <c r="ED178" s="12"/>
      <c r="EE178" s="12"/>
      <c r="EF178" s="12"/>
      <c r="EG178" s="12"/>
      <c r="EH178" s="12">
        <f t="array" ref="EH178">SUMPRODUCT(TRANSPOSE(EH$9:EH$34),$K178:$AJ178)</f>
        <v>21189</v>
      </c>
      <c r="EI178" s="12">
        <f t="array" ref="EI178">SUMPRODUCT(TRANSPOSE(EI$9:EI$34),$K178:$AJ178)</f>
        <v>1200</v>
      </c>
      <c r="EJ178" s="12">
        <f t="array" ref="EJ178">SUMPRODUCT(TRANSPOSE(EJ$9:EJ$34),$K178:$AJ178)</f>
        <v>3045</v>
      </c>
      <c r="EK178" s="12">
        <f t="array" ref="EK178">SUMPRODUCT(TRANSPOSE(EK$9:EK$34),$K178:$AJ178)</f>
        <v>3405</v>
      </c>
      <c r="EL178" s="12">
        <f t="array" ref="EL178">SUMPRODUCT(TRANSPOSE(EL$9:EL$34),$K178:$AJ178)</f>
        <v>6045</v>
      </c>
      <c r="EM178" s="12">
        <f t="array" ref="EM178">SUMPRODUCT(TRANSPOSE(EM$9:EM$34),$K178:$AJ178)</f>
        <v>6150</v>
      </c>
      <c r="EN178" s="12">
        <f t="array" ref="EN178">SUMPRODUCT(TRANSPOSE(EN$9:EN$34),$K178:$AJ178)</f>
        <v>6150</v>
      </c>
      <c r="EO178" s="12">
        <f t="array" ref="EO178">SUMPRODUCT(TRANSPOSE(EO$9:EO$34),$K178:$AJ178)</f>
        <v>6000</v>
      </c>
      <c r="EP178" s="12">
        <f t="array" ref="EP178">SUMPRODUCT(TRANSPOSE(EP$9:EP$34),$K178:$AJ178)</f>
        <v>6150</v>
      </c>
      <c r="EQ178" s="12">
        <f t="array" ref="EQ178">SUMPRODUCT(TRANSPOSE(EQ$9:EQ$34),$K178:$AJ178)</f>
        <v>6150</v>
      </c>
      <c r="ER178" s="12">
        <f t="array" ref="ER178">SUMPRODUCT(TRANSPOSE(ER$9:ER$34),$K178:$AJ178)</f>
        <v>6150</v>
      </c>
      <c r="ES178" s="12">
        <f t="array" ref="ES178">SUMPRODUCT(TRANSPOSE(ES$9:ES$34),$K178:$AJ178)</f>
        <v>6150</v>
      </c>
      <c r="ET178" s="12">
        <f t="array" ref="ET178">SUMPRODUCT(TRANSPOSE(ET$9:ET$34),$K178:$AJ178)</f>
        <v>6150</v>
      </c>
      <c r="EU178" s="12">
        <f t="array" ref="EU178">SUMPRODUCT(TRANSPOSE(EU$9:EU$34),$K178:$AJ178)</f>
        <v>6150</v>
      </c>
      <c r="EV178" s="12">
        <f t="array" ref="EV178">SUMPRODUCT(TRANSPOSE(EV$9:EV$34),$K178:$AJ178)</f>
        <v>6150</v>
      </c>
      <c r="EW178" s="12">
        <f t="array" ref="EW178">SUMPRODUCT(TRANSPOSE(EW$9:EW$34),$K178:$AJ178)</f>
        <v>6030</v>
      </c>
      <c r="EX178" s="12">
        <f t="array" ref="EX178">SUMPRODUCT(TRANSPOSE(EX$9:EX$34),$K178:$AJ178)</f>
        <v>6000</v>
      </c>
      <c r="EY178" s="12">
        <f t="array" ref="EY178">SUMPRODUCT(TRANSPOSE(EY$9:EY$34),$K178:$AJ178)</f>
        <v>6000</v>
      </c>
      <c r="EZ178" s="12">
        <f t="array" ref="EZ178">SUMPRODUCT(TRANSPOSE(EZ$9:EZ$34),$K178:$AJ178)</f>
        <v>6000</v>
      </c>
      <c r="FA178" s="12">
        <f t="array" ref="FA178">SUMPRODUCT(TRANSPOSE(FA$9:FA$34),$K178:$AJ178)</f>
        <v>6000</v>
      </c>
      <c r="FB178" s="12">
        <f t="array" ref="FB178">SUMPRODUCT(TRANSPOSE(FB$9:FB$34),$K178:$AJ178)</f>
        <v>6000</v>
      </c>
      <c r="FC178" s="12">
        <f t="array" ref="FC178">SUMPRODUCT(TRANSPOSE(FC$9:FC$34),$K178:$AJ178)</f>
        <v>6000</v>
      </c>
      <c r="FD178" s="12">
        <f t="array" ref="FD178">SUMPRODUCT(TRANSPOSE(FD$9:FD$34),$K178:$AJ178)</f>
        <v>6000</v>
      </c>
      <c r="FE178" s="12">
        <f t="array" ref="FE178">SUMPRODUCT(TRANSPOSE(FE$9:FE$34),$K178:$AJ178)</f>
        <v>6000</v>
      </c>
      <c r="FF178" s="12">
        <f t="array" ref="FF178">SUMPRODUCT(TRANSPOSE(FF$9:FF$34),$K178:$AJ178)</f>
        <v>6000</v>
      </c>
      <c r="FG178" s="12">
        <f t="array" ref="FG178">SUMPRODUCT(TRANSPOSE(FG$9:FG$34),$K178:$AJ178)</f>
        <v>6000</v>
      </c>
      <c r="FH178" s="12">
        <f t="array" ref="FH178">SUMPRODUCT(TRANSPOSE(FH$9:FH$34),$K178:$AJ178)</f>
        <v>6000</v>
      </c>
      <c r="FI178" s="12">
        <f t="array" ref="FI178">SUMPRODUCT(TRANSPOSE(FI$9:FI$34),$K178:$AJ178)</f>
        <v>6000</v>
      </c>
      <c r="FJ178" s="12">
        <f t="array" ref="FJ178">SUMPRODUCT(TRANSPOSE(FJ$9:FJ$34),$K178:$AJ178)</f>
        <v>6000</v>
      </c>
      <c r="FK178" s="12">
        <f t="array" ref="FK178">SUMPRODUCT(TRANSPOSE(FK$9:FK$34),$K178:$AJ178)</f>
        <v>6000</v>
      </c>
      <c r="FL178" s="12">
        <f t="array" ref="FL178">SUMPRODUCT(TRANSPOSE(FL$9:FL$34),$K178:$AJ178)</f>
        <v>6000</v>
      </c>
      <c r="FM178" s="12">
        <f t="array" ref="FM178">SUMPRODUCT(TRANSPOSE(FM$9:FM$34),$K178:$AJ178)</f>
        <v>6000</v>
      </c>
      <c r="FN178" s="12">
        <f t="array" ref="FN178">SUMPRODUCT(TRANSPOSE(FN$9:FN$34),$K178:$AJ178)</f>
        <v>5094</v>
      </c>
      <c r="FO178" s="12">
        <f t="array" ref="FO178">SUMPRODUCT(TRANSPOSE(FO$9:FO$34),$K178:$AJ178)</f>
        <v>231</v>
      </c>
    </row>
    <row r="179" spans="1:171" ht="14.25" x14ac:dyDescent="0.2">
      <c r="A179" s="13">
        <f t="shared" si="10"/>
        <v>144</v>
      </c>
      <c r="B179" s="13" t="s">
        <v>514</v>
      </c>
      <c r="C179" s="25" t="s">
        <v>515</v>
      </c>
      <c r="D179" s="13" t="s">
        <v>67</v>
      </c>
      <c r="E179" s="13">
        <v>400656753</v>
      </c>
      <c r="F179" s="26" t="s">
        <v>516</v>
      </c>
      <c r="G179" s="13">
        <v>400275214</v>
      </c>
      <c r="H179" s="13" t="s">
        <v>61</v>
      </c>
      <c r="I179" s="13">
        <v>2</v>
      </c>
      <c r="J179" s="13">
        <v>39</v>
      </c>
      <c r="K179" s="13">
        <v>0</v>
      </c>
      <c r="L179" s="13">
        <v>0</v>
      </c>
      <c r="M179" s="13">
        <v>0</v>
      </c>
      <c r="N179" s="13">
        <v>0</v>
      </c>
      <c r="O179" s="13">
        <v>13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13</v>
      </c>
      <c r="Y179" s="13"/>
      <c r="Z179" s="13"/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13</v>
      </c>
      <c r="AK179" s="13">
        <f t="shared" si="11"/>
        <v>26</v>
      </c>
      <c r="AL179" s="23">
        <f t="shared" si="9"/>
        <v>921219</v>
      </c>
      <c r="AM179" s="13"/>
      <c r="AN179" s="13" t="s">
        <v>299</v>
      </c>
      <c r="AO179" s="7" t="s">
        <v>307</v>
      </c>
      <c r="AP179" s="38">
        <v>1E-3</v>
      </c>
      <c r="AQ179" s="12">
        <v>920000</v>
      </c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13"/>
      <c r="CG179" s="13"/>
      <c r="CH179" s="13"/>
      <c r="CI179" s="12"/>
      <c r="CJ179" s="12"/>
      <c r="CK179" s="12"/>
      <c r="CL179" s="12"/>
      <c r="CM179" s="12"/>
      <c r="CN179" s="12"/>
      <c r="CO179" s="12"/>
      <c r="CP179" s="12">
        <f>SUM($AQ179:BJ179)-SUM($EA179:EH179)</f>
        <v>828181</v>
      </c>
      <c r="CQ179" s="12">
        <f>SUM($AQ179:BK179)-SUM($EA179:EI179)</f>
        <v>822981</v>
      </c>
      <c r="CR179" s="12">
        <f>SUM($AQ179:BL179)-SUM($EA179:EJ179)</f>
        <v>809786</v>
      </c>
      <c r="CS179" s="12">
        <f>SUM($AQ179:BM179)-SUM($EA179:EK179)</f>
        <v>795031</v>
      </c>
      <c r="CT179" s="12">
        <f>SUM($AQ179:BN179)-SUM($EA179:EL179)</f>
        <v>768836</v>
      </c>
      <c r="CU179" s="12">
        <f>SUM($AQ179:BO179)-SUM($EA179:EM179)</f>
        <v>742186</v>
      </c>
      <c r="CV179" s="12">
        <f>SUM($AQ179:BP179)-SUM($EA179:EN179)</f>
        <v>715536</v>
      </c>
      <c r="CW179" s="12">
        <f>SUM($AQ179:BQ179)-SUM($EA179:EO179)</f>
        <v>689536</v>
      </c>
      <c r="CX179" s="12">
        <f>SUM($AQ179:BR179)-SUM($EA179:EP179)</f>
        <v>662886</v>
      </c>
      <c r="CY179" s="12">
        <f>SUM($AQ179:BS179)-SUM($EA179:EQ179)</f>
        <v>636236</v>
      </c>
      <c r="CZ179" s="12">
        <f>SUM($AQ179:BT179)-SUM($EA179:ER179)</f>
        <v>609586</v>
      </c>
      <c r="DA179" s="12">
        <f>SUM($AQ179:BU179)-SUM($EA179:ES179)</f>
        <v>582936</v>
      </c>
      <c r="DB179" s="12">
        <f>SUM($AQ179:BV179)-SUM($EA179:ET179)</f>
        <v>556286</v>
      </c>
      <c r="DC179" s="12">
        <f>SUM($AQ179:BW179)-SUM($EA179:EU179)</f>
        <v>529636</v>
      </c>
      <c r="DD179" s="12">
        <f>SUM($AQ179:BX179)-SUM($EA179:EV179)</f>
        <v>502986</v>
      </c>
      <c r="DE179" s="12">
        <f>SUM($AQ179:BY179)-SUM($EA179:EW179)</f>
        <v>476856</v>
      </c>
      <c r="DF179" s="12">
        <f>SUM($AQ179:BZ179)-SUM($EA179:EX179)</f>
        <v>450856</v>
      </c>
      <c r="DG179" s="12">
        <f>SUM($AQ179:CA179)-SUM($EA179:EY179)</f>
        <v>424856</v>
      </c>
      <c r="DH179" s="12">
        <f>SUM($AQ179:CB179)-SUM($EA179:EZ179)</f>
        <v>398856</v>
      </c>
      <c r="DI179" s="12">
        <f>SUM($AQ179:CC179)-SUM($EA179:FA179)</f>
        <v>372856</v>
      </c>
      <c r="DJ179" s="12">
        <f>SUM($AQ179:CD179)-SUM($EA179:FB179)</f>
        <v>346856</v>
      </c>
      <c r="DK179" s="12">
        <f>SUM($AQ179:CE179)-SUM($EA179:FC179)</f>
        <v>320856</v>
      </c>
      <c r="DL179" s="12">
        <f>SUM($AQ179:CF179)-SUM($EA179:FD179)</f>
        <v>294856</v>
      </c>
      <c r="DM179" s="12">
        <f>SUM($AQ179:CG179)-SUM($EA179:FE179)</f>
        <v>268856</v>
      </c>
      <c r="DN179" s="12">
        <f>SUM($AQ179:CH179)-SUM($EA179:FF179)</f>
        <v>242856</v>
      </c>
      <c r="DO179" s="12">
        <f>SUM($AQ179:CI179)-SUM($EA179:FG179)</f>
        <v>216856</v>
      </c>
      <c r="DP179" s="12">
        <f>SUM($AQ179:CJ179)-SUM($EA179:FH179)</f>
        <v>190856</v>
      </c>
      <c r="DQ179" s="12">
        <f>SUM($AQ179:CK179)-SUM($EA179:FI179)</f>
        <v>164856</v>
      </c>
      <c r="DR179" s="12">
        <f>SUM($AQ179:CL179)-SUM($EA179:FJ179)</f>
        <v>138856</v>
      </c>
      <c r="DS179" s="12">
        <f>SUM($AQ179:CM179)-SUM($EA179:FK179)</f>
        <v>112856</v>
      </c>
      <c r="DT179" s="12">
        <f>SUM($AQ179:CN179)-SUM($EA179:FL179)</f>
        <v>86856</v>
      </c>
      <c r="DU179" s="12">
        <f>SUM($AQ179:CO179)-SUM($EA179:FM179)</f>
        <v>60856</v>
      </c>
      <c r="DV179" s="12">
        <f>SUM($AQ179:CP179)-SUM($EA179:FN179)</f>
        <v>866963</v>
      </c>
      <c r="DW179" s="12">
        <f>SUM($AQ179:CQ179)-SUM($EA179:FO179)</f>
        <v>1688943</v>
      </c>
      <c r="DX179" s="13"/>
      <c r="DY179" s="13"/>
      <c r="DZ179" s="13"/>
      <c r="EA179" s="12"/>
      <c r="EB179" s="12"/>
      <c r="EC179" s="12"/>
      <c r="ED179" s="12"/>
      <c r="EE179" s="12"/>
      <c r="EF179" s="12"/>
      <c r="EG179" s="12"/>
      <c r="EH179" s="12">
        <f t="array" ref="EH179">SUMPRODUCT(TRANSPOSE(EH$9:EH$34),$K179:$AJ179)</f>
        <v>91819</v>
      </c>
      <c r="EI179" s="12">
        <f t="array" ref="EI179">SUMPRODUCT(TRANSPOSE(EI$9:EI$34),$K179:$AJ179)</f>
        <v>5200</v>
      </c>
      <c r="EJ179" s="12">
        <f t="array" ref="EJ179">SUMPRODUCT(TRANSPOSE(EJ$9:EJ$34),$K179:$AJ179)</f>
        <v>13195</v>
      </c>
      <c r="EK179" s="12">
        <f t="array" ref="EK179">SUMPRODUCT(TRANSPOSE(EK$9:EK$34),$K179:$AJ179)</f>
        <v>14755</v>
      </c>
      <c r="EL179" s="12">
        <f t="array" ref="EL179">SUMPRODUCT(TRANSPOSE(EL$9:EL$34),$K179:$AJ179)</f>
        <v>26195</v>
      </c>
      <c r="EM179" s="12">
        <f t="array" ref="EM179">SUMPRODUCT(TRANSPOSE(EM$9:EM$34),$K179:$AJ179)</f>
        <v>26650</v>
      </c>
      <c r="EN179" s="12">
        <f t="array" ref="EN179">SUMPRODUCT(TRANSPOSE(EN$9:EN$34),$K179:$AJ179)</f>
        <v>26650</v>
      </c>
      <c r="EO179" s="12">
        <f t="array" ref="EO179">SUMPRODUCT(TRANSPOSE(EO$9:EO$34),$K179:$AJ179)</f>
        <v>26000</v>
      </c>
      <c r="EP179" s="12">
        <f t="array" ref="EP179">SUMPRODUCT(TRANSPOSE(EP$9:EP$34),$K179:$AJ179)</f>
        <v>26650</v>
      </c>
      <c r="EQ179" s="12">
        <f t="array" ref="EQ179">SUMPRODUCT(TRANSPOSE(EQ$9:EQ$34),$K179:$AJ179)</f>
        <v>26650</v>
      </c>
      <c r="ER179" s="12">
        <f t="array" ref="ER179">SUMPRODUCT(TRANSPOSE(ER$9:ER$34),$K179:$AJ179)</f>
        <v>26650</v>
      </c>
      <c r="ES179" s="12">
        <f t="array" ref="ES179">SUMPRODUCT(TRANSPOSE(ES$9:ES$34),$K179:$AJ179)</f>
        <v>26650</v>
      </c>
      <c r="ET179" s="12">
        <f t="array" ref="ET179">SUMPRODUCT(TRANSPOSE(ET$9:ET$34),$K179:$AJ179)</f>
        <v>26650</v>
      </c>
      <c r="EU179" s="12">
        <f t="array" ref="EU179">SUMPRODUCT(TRANSPOSE(EU$9:EU$34),$K179:$AJ179)</f>
        <v>26650</v>
      </c>
      <c r="EV179" s="12">
        <f t="array" ref="EV179">SUMPRODUCT(TRANSPOSE(EV$9:EV$34),$K179:$AJ179)</f>
        <v>26650</v>
      </c>
      <c r="EW179" s="12">
        <f t="array" ref="EW179">SUMPRODUCT(TRANSPOSE(EW$9:EW$34),$K179:$AJ179)</f>
        <v>26130</v>
      </c>
      <c r="EX179" s="12">
        <f t="array" ref="EX179">SUMPRODUCT(TRANSPOSE(EX$9:EX$34),$K179:$AJ179)</f>
        <v>26000</v>
      </c>
      <c r="EY179" s="12">
        <f t="array" ref="EY179">SUMPRODUCT(TRANSPOSE(EY$9:EY$34),$K179:$AJ179)</f>
        <v>26000</v>
      </c>
      <c r="EZ179" s="12">
        <f t="array" ref="EZ179">SUMPRODUCT(TRANSPOSE(EZ$9:EZ$34),$K179:$AJ179)</f>
        <v>26000</v>
      </c>
      <c r="FA179" s="12">
        <f t="array" ref="FA179">SUMPRODUCT(TRANSPOSE(FA$9:FA$34),$K179:$AJ179)</f>
        <v>26000</v>
      </c>
      <c r="FB179" s="12">
        <f t="array" ref="FB179">SUMPRODUCT(TRANSPOSE(FB$9:FB$34),$K179:$AJ179)</f>
        <v>26000</v>
      </c>
      <c r="FC179" s="12">
        <f t="array" ref="FC179">SUMPRODUCT(TRANSPOSE(FC$9:FC$34),$K179:$AJ179)</f>
        <v>26000</v>
      </c>
      <c r="FD179" s="12">
        <f t="array" ref="FD179">SUMPRODUCT(TRANSPOSE(FD$9:FD$34),$K179:$AJ179)</f>
        <v>26000</v>
      </c>
      <c r="FE179" s="12">
        <f t="array" ref="FE179">SUMPRODUCT(TRANSPOSE(FE$9:FE$34),$K179:$AJ179)</f>
        <v>26000</v>
      </c>
      <c r="FF179" s="12">
        <f t="array" ref="FF179">SUMPRODUCT(TRANSPOSE(FF$9:FF$34),$K179:$AJ179)</f>
        <v>26000</v>
      </c>
      <c r="FG179" s="12">
        <f t="array" ref="FG179">SUMPRODUCT(TRANSPOSE(FG$9:FG$34),$K179:$AJ179)</f>
        <v>26000</v>
      </c>
      <c r="FH179" s="12">
        <f t="array" ref="FH179">SUMPRODUCT(TRANSPOSE(FH$9:FH$34),$K179:$AJ179)</f>
        <v>26000</v>
      </c>
      <c r="FI179" s="12">
        <f t="array" ref="FI179">SUMPRODUCT(TRANSPOSE(FI$9:FI$34),$K179:$AJ179)</f>
        <v>26000</v>
      </c>
      <c r="FJ179" s="12">
        <f t="array" ref="FJ179">SUMPRODUCT(TRANSPOSE(FJ$9:FJ$34),$K179:$AJ179)</f>
        <v>26000</v>
      </c>
      <c r="FK179" s="12">
        <f t="array" ref="FK179">SUMPRODUCT(TRANSPOSE(FK$9:FK$34),$K179:$AJ179)</f>
        <v>26000</v>
      </c>
      <c r="FL179" s="12">
        <f t="array" ref="FL179">SUMPRODUCT(TRANSPOSE(FL$9:FL$34),$K179:$AJ179)</f>
        <v>26000</v>
      </c>
      <c r="FM179" s="12">
        <f t="array" ref="FM179">SUMPRODUCT(TRANSPOSE(FM$9:FM$34),$K179:$AJ179)</f>
        <v>26000</v>
      </c>
      <c r="FN179" s="12">
        <f t="array" ref="FN179">SUMPRODUCT(TRANSPOSE(FN$9:FN$34),$K179:$AJ179)</f>
        <v>22074</v>
      </c>
      <c r="FO179" s="12">
        <f t="array" ref="FO179">SUMPRODUCT(TRANSPOSE(FO$9:FO$34),$K179:$AJ179)</f>
        <v>1001</v>
      </c>
    </row>
    <row r="180" spans="1:171" ht="14.25" x14ac:dyDescent="0.2">
      <c r="A180" s="13">
        <f t="shared" si="10"/>
        <v>145</v>
      </c>
      <c r="B180" s="13" t="s">
        <v>517</v>
      </c>
      <c r="C180" s="25" t="s">
        <v>518</v>
      </c>
      <c r="D180" s="13" t="s">
        <v>67</v>
      </c>
      <c r="E180" s="13">
        <v>400656755</v>
      </c>
      <c r="F180" s="26" t="s">
        <v>519</v>
      </c>
      <c r="G180" s="13" t="s">
        <v>520</v>
      </c>
      <c r="H180" s="13" t="s">
        <v>61</v>
      </c>
      <c r="I180" s="13">
        <v>2</v>
      </c>
      <c r="J180" s="13">
        <v>167</v>
      </c>
      <c r="K180" s="13">
        <v>0</v>
      </c>
      <c r="L180" s="13">
        <v>0</v>
      </c>
      <c r="M180" s="13">
        <v>0</v>
      </c>
      <c r="N180" s="13">
        <v>2</v>
      </c>
      <c r="O180" s="13">
        <v>49</v>
      </c>
      <c r="P180" s="13">
        <v>0</v>
      </c>
      <c r="Q180" s="13">
        <v>0</v>
      </c>
      <c r="R180" s="13">
        <v>0</v>
      </c>
      <c r="S180" s="13">
        <v>9</v>
      </c>
      <c r="T180" s="13">
        <v>0</v>
      </c>
      <c r="U180" s="13">
        <v>0</v>
      </c>
      <c r="V180" s="13">
        <v>0</v>
      </c>
      <c r="W180" s="13">
        <v>0</v>
      </c>
      <c r="X180" s="13">
        <v>49</v>
      </c>
      <c r="Y180" s="13"/>
      <c r="Z180" s="13">
        <v>9</v>
      </c>
      <c r="AA180" s="13">
        <v>0</v>
      </c>
      <c r="AB180" s="13">
        <v>0</v>
      </c>
      <c r="AC180" s="13">
        <v>0</v>
      </c>
      <c r="AD180" s="13">
        <v>9</v>
      </c>
      <c r="AE180" s="13">
        <v>9</v>
      </c>
      <c r="AF180" s="13">
        <v>0</v>
      </c>
      <c r="AG180" s="13">
        <v>0</v>
      </c>
      <c r="AH180" s="13">
        <v>0</v>
      </c>
      <c r="AI180" s="13">
        <v>0</v>
      </c>
      <c r="AJ180" s="13">
        <v>49</v>
      </c>
      <c r="AK180" s="13">
        <f t="shared" si="11"/>
        <v>127</v>
      </c>
      <c r="AL180" s="23">
        <f t="shared" si="9"/>
        <v>3863734</v>
      </c>
      <c r="AM180" s="13"/>
      <c r="AN180" s="13" t="s">
        <v>299</v>
      </c>
      <c r="AO180" s="7" t="s">
        <v>300</v>
      </c>
      <c r="AP180" s="41">
        <v>8.9999999999999998E-4</v>
      </c>
      <c r="AQ180" s="12">
        <v>3860000</v>
      </c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13"/>
      <c r="CG180" s="13"/>
      <c r="CH180" s="13"/>
      <c r="CI180" s="12"/>
      <c r="CJ180" s="12"/>
      <c r="CK180" s="12"/>
      <c r="CL180" s="12"/>
      <c r="CM180" s="12"/>
      <c r="CN180" s="12"/>
      <c r="CO180" s="12"/>
      <c r="CP180" s="12">
        <f>SUM($AQ180:BJ180)-SUM($EA180:EH180)</f>
        <v>3478024</v>
      </c>
      <c r="CQ180" s="12">
        <f>SUM($AQ180:BK180)-SUM($EA180:EI180)</f>
        <v>3455895</v>
      </c>
      <c r="CR180" s="12">
        <f>SUM($AQ180:BL180)-SUM($EA180:EJ180)</f>
        <v>3404025</v>
      </c>
      <c r="CS180" s="12">
        <f>SUM($AQ180:BM180)-SUM($EA180:EK180)</f>
        <v>3345195</v>
      </c>
      <c r="CT180" s="12">
        <f>SUM($AQ180:BN180)-SUM($EA180:EL180)</f>
        <v>3235325</v>
      </c>
      <c r="CU180" s="12">
        <f>SUM($AQ180:BO180)-SUM($EA180:EM180)</f>
        <v>3116425</v>
      </c>
      <c r="CV180" s="12">
        <f>SUM($AQ180:BP180)-SUM($EA180:EN180)</f>
        <v>3003825</v>
      </c>
      <c r="CW180" s="12">
        <f>SUM($AQ180:BQ180)-SUM($EA180:EO180)</f>
        <v>2894825</v>
      </c>
      <c r="CX180" s="12">
        <f>SUM($AQ180:BR180)-SUM($EA180:EP180)</f>
        <v>2782925</v>
      </c>
      <c r="CY180" s="12">
        <f>SUM($AQ180:BS180)-SUM($EA180:EQ180)</f>
        <v>2671025</v>
      </c>
      <c r="CZ180" s="12">
        <f>SUM($AQ180:BT180)-SUM($EA180:ER180)</f>
        <v>2559125</v>
      </c>
      <c r="DA180" s="12">
        <f>SUM($AQ180:BU180)-SUM($EA180:ES180)</f>
        <v>2447225</v>
      </c>
      <c r="DB180" s="12">
        <f>SUM($AQ180:BV180)-SUM($EA180:ET180)</f>
        <v>2335325</v>
      </c>
      <c r="DC180" s="12">
        <f>SUM($AQ180:BW180)-SUM($EA180:EU180)</f>
        <v>2223425</v>
      </c>
      <c r="DD180" s="12">
        <f>SUM($AQ180:BX180)-SUM($EA180:EV180)</f>
        <v>2111525</v>
      </c>
      <c r="DE180" s="12">
        <f>SUM($AQ180:BY180)-SUM($EA180:EW180)</f>
        <v>2001648</v>
      </c>
      <c r="DF180" s="12">
        <f>SUM($AQ180:BZ180)-SUM($EA180:EX180)</f>
        <v>1892648</v>
      </c>
      <c r="DG180" s="12">
        <f>SUM($AQ180:CA180)-SUM($EA180:EY180)</f>
        <v>1783648</v>
      </c>
      <c r="DH180" s="12">
        <f>SUM($AQ180:CB180)-SUM($EA180:EZ180)</f>
        <v>1674648</v>
      </c>
      <c r="DI180" s="12">
        <f>SUM($AQ180:CC180)-SUM($EA180:FA180)</f>
        <v>1565648</v>
      </c>
      <c r="DJ180" s="12">
        <f>SUM($AQ180:CD180)-SUM($EA180:FB180)</f>
        <v>1456648</v>
      </c>
      <c r="DK180" s="12">
        <f>SUM($AQ180:CE180)-SUM($EA180:FC180)</f>
        <v>1347648</v>
      </c>
      <c r="DL180" s="12">
        <f>SUM($AQ180:CF180)-SUM($EA180:FD180)</f>
        <v>1238648</v>
      </c>
      <c r="DM180" s="12">
        <f>SUM($AQ180:CG180)-SUM($EA180:FE180)</f>
        <v>1129648</v>
      </c>
      <c r="DN180" s="12">
        <f>SUM($AQ180:CH180)-SUM($EA180:FF180)</f>
        <v>1020648</v>
      </c>
      <c r="DO180" s="12">
        <f>SUM($AQ180:CI180)-SUM($EA180:FG180)</f>
        <v>911648</v>
      </c>
      <c r="DP180" s="12">
        <f>SUM($AQ180:CJ180)-SUM($EA180:FH180)</f>
        <v>802648</v>
      </c>
      <c r="DQ180" s="12">
        <f>SUM($AQ180:CK180)-SUM($EA180:FI180)</f>
        <v>693648</v>
      </c>
      <c r="DR180" s="12">
        <f>SUM($AQ180:CL180)-SUM($EA180:FJ180)</f>
        <v>584648</v>
      </c>
      <c r="DS180" s="12">
        <f>SUM($AQ180:CM180)-SUM($EA180:FK180)</f>
        <v>475648</v>
      </c>
      <c r="DT180" s="12">
        <f>SUM($AQ180:CN180)-SUM($EA180:FL180)</f>
        <v>366648</v>
      </c>
      <c r="DU180" s="12">
        <f>SUM($AQ180:CO180)-SUM($EA180:FM180)</f>
        <v>257648</v>
      </c>
      <c r="DV180" s="12">
        <f>SUM($AQ180:CP180)-SUM($EA180:FN180)</f>
        <v>3643117</v>
      </c>
      <c r="DW180" s="12">
        <f>SUM($AQ180:CQ180)-SUM($EA180:FO180)</f>
        <v>7095085</v>
      </c>
      <c r="DX180" s="13"/>
      <c r="DY180" s="13"/>
      <c r="DZ180" s="13"/>
      <c r="EA180" s="12"/>
      <c r="EB180" s="12"/>
      <c r="EC180" s="12"/>
      <c r="ED180" s="12"/>
      <c r="EE180" s="12"/>
      <c r="EF180" s="12"/>
      <c r="EG180" s="12"/>
      <c r="EH180" s="12">
        <f t="array" ref="EH180">SUMPRODUCT(TRANSPOSE(EH$9:EH$34),$K180:$AJ180)</f>
        <v>381976</v>
      </c>
      <c r="EI180" s="12">
        <f t="array" ref="EI180">SUMPRODUCT(TRANSPOSE(EI$9:EI$34),$K180:$AJ180)</f>
        <v>22129</v>
      </c>
      <c r="EJ180" s="12">
        <f t="array" ref="EJ180">SUMPRODUCT(TRANSPOSE(EJ$9:EJ$34),$K180:$AJ180)</f>
        <v>51870</v>
      </c>
      <c r="EK180" s="12">
        <f t="array" ref="EK180">SUMPRODUCT(TRANSPOSE(EK$9:EK$34),$K180:$AJ180)</f>
        <v>58830</v>
      </c>
      <c r="EL180" s="12">
        <f t="array" ref="EL180">SUMPRODUCT(TRANSPOSE(EL$9:EL$34),$K180:$AJ180)</f>
        <v>109870</v>
      </c>
      <c r="EM180" s="12">
        <f t="array" ref="EM180">SUMPRODUCT(TRANSPOSE(EM$9:EM$34),$K180:$AJ180)</f>
        <v>118900</v>
      </c>
      <c r="EN180" s="12">
        <f t="array" ref="EN180">SUMPRODUCT(TRANSPOSE(EN$9:EN$34),$K180:$AJ180)</f>
        <v>112600</v>
      </c>
      <c r="EO180" s="12">
        <f t="array" ref="EO180">SUMPRODUCT(TRANSPOSE(EO$9:EO$34),$K180:$AJ180)</f>
        <v>109000</v>
      </c>
      <c r="EP180" s="12">
        <f t="array" ref="EP180">SUMPRODUCT(TRANSPOSE(EP$9:EP$34),$K180:$AJ180)</f>
        <v>111900</v>
      </c>
      <c r="EQ180" s="12">
        <f t="array" ref="EQ180">SUMPRODUCT(TRANSPOSE(EQ$9:EQ$34),$K180:$AJ180)</f>
        <v>111900</v>
      </c>
      <c r="ER180" s="12">
        <f t="array" ref="ER180">SUMPRODUCT(TRANSPOSE(ER$9:ER$34),$K180:$AJ180)</f>
        <v>111900</v>
      </c>
      <c r="ES180" s="12">
        <f t="array" ref="ES180">SUMPRODUCT(TRANSPOSE(ES$9:ES$34),$K180:$AJ180)</f>
        <v>111900</v>
      </c>
      <c r="ET180" s="12">
        <f t="array" ref="ET180">SUMPRODUCT(TRANSPOSE(ET$9:ET$34),$K180:$AJ180)</f>
        <v>111900</v>
      </c>
      <c r="EU180" s="12">
        <f t="array" ref="EU180">SUMPRODUCT(TRANSPOSE(EU$9:EU$34),$K180:$AJ180)</f>
        <v>111900</v>
      </c>
      <c r="EV180" s="12">
        <f t="array" ref="EV180">SUMPRODUCT(TRANSPOSE(EV$9:EV$34),$K180:$AJ180)</f>
        <v>111900</v>
      </c>
      <c r="EW180" s="12">
        <f t="array" ref="EW180">SUMPRODUCT(TRANSPOSE(EW$9:EW$34),$K180:$AJ180)</f>
        <v>109877</v>
      </c>
      <c r="EX180" s="12">
        <f t="array" ref="EX180">SUMPRODUCT(TRANSPOSE(EX$9:EX$34),$K180:$AJ180)</f>
        <v>109000</v>
      </c>
      <c r="EY180" s="12">
        <f t="array" ref="EY180">SUMPRODUCT(TRANSPOSE(EY$9:EY$34),$K180:$AJ180)</f>
        <v>109000</v>
      </c>
      <c r="EZ180" s="12">
        <f t="array" ref="EZ180">SUMPRODUCT(TRANSPOSE(EZ$9:EZ$34),$K180:$AJ180)</f>
        <v>109000</v>
      </c>
      <c r="FA180" s="12">
        <f t="array" ref="FA180">SUMPRODUCT(TRANSPOSE(FA$9:FA$34),$K180:$AJ180)</f>
        <v>109000</v>
      </c>
      <c r="FB180" s="12">
        <f t="array" ref="FB180">SUMPRODUCT(TRANSPOSE(FB$9:FB$34),$K180:$AJ180)</f>
        <v>109000</v>
      </c>
      <c r="FC180" s="12">
        <f t="array" ref="FC180">SUMPRODUCT(TRANSPOSE(FC$9:FC$34),$K180:$AJ180)</f>
        <v>109000</v>
      </c>
      <c r="FD180" s="12">
        <f t="array" ref="FD180">SUMPRODUCT(TRANSPOSE(FD$9:FD$34),$K180:$AJ180)</f>
        <v>109000</v>
      </c>
      <c r="FE180" s="12">
        <f t="array" ref="FE180">SUMPRODUCT(TRANSPOSE(FE$9:FE$34),$K180:$AJ180)</f>
        <v>109000</v>
      </c>
      <c r="FF180" s="12">
        <f t="array" ref="FF180">SUMPRODUCT(TRANSPOSE(FF$9:FF$34),$K180:$AJ180)</f>
        <v>109000</v>
      </c>
      <c r="FG180" s="12">
        <f t="array" ref="FG180">SUMPRODUCT(TRANSPOSE(FG$9:FG$34),$K180:$AJ180)</f>
        <v>109000</v>
      </c>
      <c r="FH180" s="12">
        <f t="array" ref="FH180">SUMPRODUCT(TRANSPOSE(FH$9:FH$34),$K180:$AJ180)</f>
        <v>109000</v>
      </c>
      <c r="FI180" s="12">
        <f t="array" ref="FI180">SUMPRODUCT(TRANSPOSE(FI$9:FI$34),$K180:$AJ180)</f>
        <v>109000</v>
      </c>
      <c r="FJ180" s="12">
        <f t="array" ref="FJ180">SUMPRODUCT(TRANSPOSE(FJ$9:FJ$34),$K180:$AJ180)</f>
        <v>109000</v>
      </c>
      <c r="FK180" s="12">
        <f t="array" ref="FK180">SUMPRODUCT(TRANSPOSE(FK$9:FK$34),$K180:$AJ180)</f>
        <v>109000</v>
      </c>
      <c r="FL180" s="12">
        <f t="array" ref="FL180">SUMPRODUCT(TRANSPOSE(FL$9:FL$34),$K180:$AJ180)</f>
        <v>109000</v>
      </c>
      <c r="FM180" s="12">
        <f t="array" ref="FM180">SUMPRODUCT(TRANSPOSE(FM$9:FM$34),$K180:$AJ180)</f>
        <v>109000</v>
      </c>
      <c r="FN180" s="12">
        <f t="array" ref="FN180">SUMPRODUCT(TRANSPOSE(FN$9:FN$34),$K180:$AJ180)</f>
        <v>92555</v>
      </c>
      <c r="FO180" s="12">
        <f t="array" ref="FO180">SUMPRODUCT(TRANSPOSE(FO$9:FO$34),$K180:$AJ180)</f>
        <v>3927</v>
      </c>
    </row>
    <row r="181" spans="1:171" ht="14.25" x14ac:dyDescent="0.2">
      <c r="A181" s="13">
        <f t="shared" si="10"/>
        <v>146</v>
      </c>
      <c r="B181" s="13" t="s">
        <v>522</v>
      </c>
      <c r="C181" s="25" t="s">
        <v>523</v>
      </c>
      <c r="D181" s="13" t="s">
        <v>67</v>
      </c>
      <c r="E181" s="13">
        <v>401281030</v>
      </c>
      <c r="F181" s="26" t="s">
        <v>524</v>
      </c>
      <c r="G181" s="13">
        <v>400294083</v>
      </c>
      <c r="H181" s="13" t="s">
        <v>61</v>
      </c>
      <c r="I181" s="13">
        <v>2</v>
      </c>
      <c r="J181" s="13">
        <v>3</v>
      </c>
      <c r="K181" s="13">
        <v>0</v>
      </c>
      <c r="L181" s="13">
        <v>0</v>
      </c>
      <c r="M181" s="13">
        <v>0</v>
      </c>
      <c r="N181" s="13">
        <v>0</v>
      </c>
      <c r="O181" s="13">
        <v>1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1</v>
      </c>
      <c r="Y181" s="13"/>
      <c r="Z181" s="13"/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1</v>
      </c>
      <c r="AK181" s="13">
        <f t="shared" si="11"/>
        <v>2</v>
      </c>
      <c r="AL181" s="23">
        <f t="shared" si="9"/>
        <v>70863</v>
      </c>
      <c r="AM181" s="13"/>
      <c r="AN181" s="13" t="s">
        <v>299</v>
      </c>
      <c r="AO181" s="7" t="s">
        <v>307</v>
      </c>
      <c r="AP181" s="41">
        <v>3.2000000000000002E-3</v>
      </c>
      <c r="AQ181" s="12">
        <v>80000</v>
      </c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13"/>
      <c r="CG181" s="13"/>
      <c r="CH181" s="13"/>
      <c r="CI181" s="12"/>
      <c r="CJ181" s="12"/>
      <c r="CK181" s="12"/>
      <c r="CL181" s="12"/>
      <c r="CM181" s="12"/>
      <c r="CN181" s="12"/>
      <c r="CO181" s="12"/>
      <c r="CP181" s="12">
        <f>SUM($AQ181:BJ181)-SUM($EA181:EH181)</f>
        <v>72937</v>
      </c>
      <c r="CQ181" s="12">
        <f>SUM($AQ181:BK181)-SUM($EA181:EI181)</f>
        <v>72537</v>
      </c>
      <c r="CR181" s="12">
        <f>SUM($AQ181:BL181)-SUM($EA181:EJ181)</f>
        <v>71522</v>
      </c>
      <c r="CS181" s="12">
        <f>SUM($AQ181:BM181)-SUM($EA181:EK181)</f>
        <v>70387</v>
      </c>
      <c r="CT181" s="12">
        <f>SUM($AQ181:BN181)-SUM($EA181:EL181)</f>
        <v>68372</v>
      </c>
      <c r="CU181" s="12">
        <f>SUM($AQ181:BO181)-SUM($EA181:EM181)</f>
        <v>66322</v>
      </c>
      <c r="CV181" s="12">
        <f>SUM($AQ181:BP181)-SUM($EA181:EN181)</f>
        <v>64272</v>
      </c>
      <c r="CW181" s="12">
        <f>SUM($AQ181:BQ181)-SUM($EA181:EO181)</f>
        <v>62272</v>
      </c>
      <c r="CX181" s="12">
        <f>SUM($AQ181:BR181)-SUM($EA181:EP181)</f>
        <v>60222</v>
      </c>
      <c r="CY181" s="12">
        <f>SUM($AQ181:BS181)-SUM($EA181:EQ181)</f>
        <v>58172</v>
      </c>
      <c r="CZ181" s="12">
        <f>SUM($AQ181:BT181)-SUM($EA181:ER181)</f>
        <v>56122</v>
      </c>
      <c r="DA181" s="12">
        <f>SUM($AQ181:BU181)-SUM($EA181:ES181)</f>
        <v>54072</v>
      </c>
      <c r="DB181" s="12">
        <f>SUM($AQ181:BV181)-SUM($EA181:ET181)</f>
        <v>52022</v>
      </c>
      <c r="DC181" s="12">
        <f>SUM($AQ181:BW181)-SUM($EA181:EU181)</f>
        <v>49972</v>
      </c>
      <c r="DD181" s="12">
        <f>SUM($AQ181:BX181)-SUM($EA181:EV181)</f>
        <v>47922</v>
      </c>
      <c r="DE181" s="12">
        <f>SUM($AQ181:BY181)-SUM($EA181:EW181)</f>
        <v>45912</v>
      </c>
      <c r="DF181" s="12">
        <f>SUM($AQ181:BZ181)-SUM($EA181:EX181)</f>
        <v>43912</v>
      </c>
      <c r="DG181" s="12">
        <f>SUM($AQ181:CA181)-SUM($EA181:EY181)</f>
        <v>41912</v>
      </c>
      <c r="DH181" s="12">
        <f>SUM($AQ181:CB181)-SUM($EA181:EZ181)</f>
        <v>39912</v>
      </c>
      <c r="DI181" s="12">
        <f>SUM($AQ181:CC181)-SUM($EA181:FA181)</f>
        <v>37912</v>
      </c>
      <c r="DJ181" s="12">
        <f>SUM($AQ181:CD181)-SUM($EA181:FB181)</f>
        <v>35912</v>
      </c>
      <c r="DK181" s="12">
        <f>SUM($AQ181:CE181)-SUM($EA181:FC181)</f>
        <v>33912</v>
      </c>
      <c r="DL181" s="12">
        <f>SUM($AQ181:CF181)-SUM($EA181:FD181)</f>
        <v>31912</v>
      </c>
      <c r="DM181" s="12">
        <f>SUM($AQ181:CG181)-SUM($EA181:FE181)</f>
        <v>29912</v>
      </c>
      <c r="DN181" s="12">
        <f>SUM($AQ181:CH181)-SUM($EA181:FF181)</f>
        <v>27912</v>
      </c>
      <c r="DO181" s="12">
        <f>SUM($AQ181:CI181)-SUM($EA181:FG181)</f>
        <v>25912</v>
      </c>
      <c r="DP181" s="12">
        <f>SUM($AQ181:CJ181)-SUM($EA181:FH181)</f>
        <v>23912</v>
      </c>
      <c r="DQ181" s="12">
        <f>SUM($AQ181:CK181)-SUM($EA181:FI181)</f>
        <v>21912</v>
      </c>
      <c r="DR181" s="12">
        <f>SUM($AQ181:CL181)-SUM($EA181:FJ181)</f>
        <v>19912</v>
      </c>
      <c r="DS181" s="12">
        <f>SUM($AQ181:CM181)-SUM($EA181:FK181)</f>
        <v>17912</v>
      </c>
      <c r="DT181" s="12">
        <f>SUM($AQ181:CN181)-SUM($EA181:FL181)</f>
        <v>15912</v>
      </c>
      <c r="DU181" s="12">
        <f>SUM($AQ181:CO181)-SUM($EA181:FM181)</f>
        <v>13912</v>
      </c>
      <c r="DV181" s="12">
        <f>SUM($AQ181:CP181)-SUM($EA181:FN181)</f>
        <v>85151</v>
      </c>
      <c r="DW181" s="12">
        <f>SUM($AQ181:CQ181)-SUM($EA181:FO181)</f>
        <v>157611</v>
      </c>
      <c r="DX181" s="13"/>
      <c r="DY181" s="13"/>
      <c r="DZ181" s="13"/>
      <c r="EA181" s="12"/>
      <c r="EB181" s="12"/>
      <c r="EC181" s="12"/>
      <c r="ED181" s="12"/>
      <c r="EE181" s="12"/>
      <c r="EF181" s="12"/>
      <c r="EG181" s="12"/>
      <c r="EH181" s="12">
        <f t="array" ref="EH181">SUMPRODUCT(TRANSPOSE(EH$9:EH$34),$K181:$AJ181)</f>
        <v>7063</v>
      </c>
      <c r="EI181" s="12">
        <f t="array" ref="EI181">SUMPRODUCT(TRANSPOSE(EI$9:EI$34),$K181:$AJ181)</f>
        <v>400</v>
      </c>
      <c r="EJ181" s="12">
        <f t="array" ref="EJ181">SUMPRODUCT(TRANSPOSE(EJ$9:EJ$34),$K181:$AJ181)</f>
        <v>1015</v>
      </c>
      <c r="EK181" s="12">
        <f t="array" ref="EK181">SUMPRODUCT(TRANSPOSE(EK$9:EK$34),$K181:$AJ181)</f>
        <v>1135</v>
      </c>
      <c r="EL181" s="12">
        <f t="array" ref="EL181">SUMPRODUCT(TRANSPOSE(EL$9:EL$34),$K181:$AJ181)</f>
        <v>2015</v>
      </c>
      <c r="EM181" s="12">
        <f t="array" ref="EM181">SUMPRODUCT(TRANSPOSE(EM$9:EM$34),$K181:$AJ181)</f>
        <v>2050</v>
      </c>
      <c r="EN181" s="12">
        <f t="array" ref="EN181">SUMPRODUCT(TRANSPOSE(EN$9:EN$34),$K181:$AJ181)</f>
        <v>2050</v>
      </c>
      <c r="EO181" s="12">
        <f t="array" ref="EO181">SUMPRODUCT(TRANSPOSE(EO$9:EO$34),$K181:$AJ181)</f>
        <v>2000</v>
      </c>
      <c r="EP181" s="12">
        <f t="array" ref="EP181">SUMPRODUCT(TRANSPOSE(EP$9:EP$34),$K181:$AJ181)</f>
        <v>2050</v>
      </c>
      <c r="EQ181" s="12">
        <f t="array" ref="EQ181">SUMPRODUCT(TRANSPOSE(EQ$9:EQ$34),$K181:$AJ181)</f>
        <v>2050</v>
      </c>
      <c r="ER181" s="12">
        <f t="array" ref="ER181">SUMPRODUCT(TRANSPOSE(ER$9:ER$34),$K181:$AJ181)</f>
        <v>2050</v>
      </c>
      <c r="ES181" s="12">
        <f t="array" ref="ES181">SUMPRODUCT(TRANSPOSE(ES$9:ES$34),$K181:$AJ181)</f>
        <v>2050</v>
      </c>
      <c r="ET181" s="12">
        <f t="array" ref="ET181">SUMPRODUCT(TRANSPOSE(ET$9:ET$34),$K181:$AJ181)</f>
        <v>2050</v>
      </c>
      <c r="EU181" s="12">
        <f t="array" ref="EU181">SUMPRODUCT(TRANSPOSE(EU$9:EU$34),$K181:$AJ181)</f>
        <v>2050</v>
      </c>
      <c r="EV181" s="12">
        <f t="array" ref="EV181">SUMPRODUCT(TRANSPOSE(EV$9:EV$34),$K181:$AJ181)</f>
        <v>2050</v>
      </c>
      <c r="EW181" s="12">
        <f t="array" ref="EW181">SUMPRODUCT(TRANSPOSE(EW$9:EW$34),$K181:$AJ181)</f>
        <v>2010</v>
      </c>
      <c r="EX181" s="12">
        <f t="array" ref="EX181">SUMPRODUCT(TRANSPOSE(EX$9:EX$34),$K181:$AJ181)</f>
        <v>2000</v>
      </c>
      <c r="EY181" s="12">
        <f t="array" ref="EY181">SUMPRODUCT(TRANSPOSE(EY$9:EY$34),$K181:$AJ181)</f>
        <v>2000</v>
      </c>
      <c r="EZ181" s="12">
        <f t="array" ref="EZ181">SUMPRODUCT(TRANSPOSE(EZ$9:EZ$34),$K181:$AJ181)</f>
        <v>2000</v>
      </c>
      <c r="FA181" s="12">
        <f t="array" ref="FA181">SUMPRODUCT(TRANSPOSE(FA$9:FA$34),$K181:$AJ181)</f>
        <v>2000</v>
      </c>
      <c r="FB181" s="12">
        <f t="array" ref="FB181">SUMPRODUCT(TRANSPOSE(FB$9:FB$34),$K181:$AJ181)</f>
        <v>2000</v>
      </c>
      <c r="FC181" s="12">
        <f t="array" ref="FC181">SUMPRODUCT(TRANSPOSE(FC$9:FC$34),$K181:$AJ181)</f>
        <v>2000</v>
      </c>
      <c r="FD181" s="12">
        <f t="array" ref="FD181">SUMPRODUCT(TRANSPOSE(FD$9:FD$34),$K181:$AJ181)</f>
        <v>2000</v>
      </c>
      <c r="FE181" s="12">
        <f t="array" ref="FE181">SUMPRODUCT(TRANSPOSE(FE$9:FE$34),$K181:$AJ181)</f>
        <v>2000</v>
      </c>
      <c r="FF181" s="12">
        <f t="array" ref="FF181">SUMPRODUCT(TRANSPOSE(FF$9:FF$34),$K181:$AJ181)</f>
        <v>2000</v>
      </c>
      <c r="FG181" s="12">
        <f t="array" ref="FG181">SUMPRODUCT(TRANSPOSE(FG$9:FG$34),$K181:$AJ181)</f>
        <v>2000</v>
      </c>
      <c r="FH181" s="12">
        <f t="array" ref="FH181">SUMPRODUCT(TRANSPOSE(FH$9:FH$34),$K181:$AJ181)</f>
        <v>2000</v>
      </c>
      <c r="FI181" s="12">
        <f t="array" ref="FI181">SUMPRODUCT(TRANSPOSE(FI$9:FI$34),$K181:$AJ181)</f>
        <v>2000</v>
      </c>
      <c r="FJ181" s="12">
        <f t="array" ref="FJ181">SUMPRODUCT(TRANSPOSE(FJ$9:FJ$34),$K181:$AJ181)</f>
        <v>2000</v>
      </c>
      <c r="FK181" s="12">
        <f t="array" ref="FK181">SUMPRODUCT(TRANSPOSE(FK$9:FK$34),$K181:$AJ181)</f>
        <v>2000</v>
      </c>
      <c r="FL181" s="12">
        <f t="array" ref="FL181">SUMPRODUCT(TRANSPOSE(FL$9:FL$34),$K181:$AJ181)</f>
        <v>2000</v>
      </c>
      <c r="FM181" s="12">
        <f t="array" ref="FM181">SUMPRODUCT(TRANSPOSE(FM$9:FM$34),$K181:$AJ181)</f>
        <v>2000</v>
      </c>
      <c r="FN181" s="12">
        <f t="array" ref="FN181">SUMPRODUCT(TRANSPOSE(FN$9:FN$34),$K181:$AJ181)</f>
        <v>1698</v>
      </c>
      <c r="FO181" s="12">
        <f t="array" ref="FO181">SUMPRODUCT(TRANSPOSE(FO$9:FO$34),$K181:$AJ181)</f>
        <v>77</v>
      </c>
    </row>
    <row r="182" spans="1:171" ht="14.25" x14ac:dyDescent="0.2">
      <c r="A182" s="13">
        <f t="shared" si="10"/>
        <v>147</v>
      </c>
      <c r="B182" s="13" t="s">
        <v>525</v>
      </c>
      <c r="C182" s="25" t="s">
        <v>526</v>
      </c>
      <c r="D182" s="13" t="s">
        <v>67</v>
      </c>
      <c r="E182" s="13">
        <v>401481540</v>
      </c>
      <c r="F182" s="26" t="s">
        <v>527</v>
      </c>
      <c r="G182" s="13">
        <v>400275409</v>
      </c>
      <c r="H182" s="13" t="s">
        <v>61</v>
      </c>
      <c r="I182" s="13">
        <v>2</v>
      </c>
      <c r="J182" s="13">
        <v>6</v>
      </c>
      <c r="K182" s="13">
        <v>0</v>
      </c>
      <c r="L182" s="13">
        <v>0</v>
      </c>
      <c r="M182" s="13">
        <v>0</v>
      </c>
      <c r="N182" s="13">
        <v>0</v>
      </c>
      <c r="O182" s="13">
        <v>2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2</v>
      </c>
      <c r="Y182" s="13"/>
      <c r="Z182" s="13"/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2</v>
      </c>
      <c r="AK182" s="13">
        <f t="shared" si="11"/>
        <v>4</v>
      </c>
      <c r="AL182" s="23">
        <f t="shared" si="9"/>
        <v>141726</v>
      </c>
      <c r="AM182" s="13"/>
      <c r="AN182" s="13" t="s">
        <v>299</v>
      </c>
      <c r="AO182" s="7" t="s">
        <v>307</v>
      </c>
      <c r="AP182" s="37">
        <v>3.0000000000000001E-3</v>
      </c>
      <c r="AQ182" s="12">
        <v>150000</v>
      </c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13"/>
      <c r="CG182" s="13"/>
      <c r="CH182" s="13"/>
      <c r="CI182" s="12"/>
      <c r="CJ182" s="12"/>
      <c r="CK182" s="12"/>
      <c r="CL182" s="12"/>
      <c r="CM182" s="12"/>
      <c r="CN182" s="12"/>
      <c r="CO182" s="12"/>
      <c r="CP182" s="12">
        <f>SUM($AQ182:BJ182)-SUM($EA182:EH182)</f>
        <v>135874</v>
      </c>
      <c r="CQ182" s="12">
        <f>SUM($AQ182:BK182)-SUM($EA182:EI182)</f>
        <v>135074</v>
      </c>
      <c r="CR182" s="12">
        <f>SUM($AQ182:BL182)-SUM($EA182:EJ182)</f>
        <v>133044</v>
      </c>
      <c r="CS182" s="12">
        <f>SUM($AQ182:BM182)-SUM($EA182:EK182)</f>
        <v>130774</v>
      </c>
      <c r="CT182" s="12">
        <f>SUM($AQ182:BN182)-SUM($EA182:EL182)</f>
        <v>126744</v>
      </c>
      <c r="CU182" s="12">
        <f>SUM($AQ182:BO182)-SUM($EA182:EM182)</f>
        <v>122644</v>
      </c>
      <c r="CV182" s="12">
        <f>SUM($AQ182:BP182)-SUM($EA182:EN182)</f>
        <v>118544</v>
      </c>
      <c r="CW182" s="12">
        <f>SUM($AQ182:BQ182)-SUM($EA182:EO182)</f>
        <v>114544</v>
      </c>
      <c r="CX182" s="12">
        <f>SUM($AQ182:BR182)-SUM($EA182:EP182)</f>
        <v>110444</v>
      </c>
      <c r="CY182" s="12">
        <f>SUM($AQ182:BS182)-SUM($EA182:EQ182)</f>
        <v>106344</v>
      </c>
      <c r="CZ182" s="12">
        <f>SUM($AQ182:BT182)-SUM($EA182:ER182)</f>
        <v>102244</v>
      </c>
      <c r="DA182" s="12">
        <f>SUM($AQ182:BU182)-SUM($EA182:ES182)</f>
        <v>98144</v>
      </c>
      <c r="DB182" s="12">
        <f>SUM($AQ182:BV182)-SUM($EA182:ET182)</f>
        <v>94044</v>
      </c>
      <c r="DC182" s="12">
        <f>SUM($AQ182:BW182)-SUM($EA182:EU182)</f>
        <v>89944</v>
      </c>
      <c r="DD182" s="12">
        <f>SUM($AQ182:BX182)-SUM($EA182:EV182)</f>
        <v>85844</v>
      </c>
      <c r="DE182" s="12">
        <f>SUM($AQ182:BY182)-SUM($EA182:EW182)</f>
        <v>81824</v>
      </c>
      <c r="DF182" s="12">
        <f>SUM($AQ182:BZ182)-SUM($EA182:EX182)</f>
        <v>77824</v>
      </c>
      <c r="DG182" s="12">
        <f>SUM($AQ182:CA182)-SUM($EA182:EY182)</f>
        <v>73824</v>
      </c>
      <c r="DH182" s="12">
        <f>SUM($AQ182:CB182)-SUM($EA182:EZ182)</f>
        <v>69824</v>
      </c>
      <c r="DI182" s="12">
        <f>SUM($AQ182:CC182)-SUM($EA182:FA182)</f>
        <v>65824</v>
      </c>
      <c r="DJ182" s="12">
        <f>SUM($AQ182:CD182)-SUM($EA182:FB182)</f>
        <v>61824</v>
      </c>
      <c r="DK182" s="12">
        <f>SUM($AQ182:CE182)-SUM($EA182:FC182)</f>
        <v>57824</v>
      </c>
      <c r="DL182" s="12">
        <f>SUM($AQ182:CF182)-SUM($EA182:FD182)</f>
        <v>53824</v>
      </c>
      <c r="DM182" s="12">
        <f>SUM($AQ182:CG182)-SUM($EA182:FE182)</f>
        <v>49824</v>
      </c>
      <c r="DN182" s="12">
        <f>SUM($AQ182:CH182)-SUM($EA182:FF182)</f>
        <v>45824</v>
      </c>
      <c r="DO182" s="12">
        <f>SUM($AQ182:CI182)-SUM($EA182:FG182)</f>
        <v>41824</v>
      </c>
      <c r="DP182" s="12">
        <f>SUM($AQ182:CJ182)-SUM($EA182:FH182)</f>
        <v>37824</v>
      </c>
      <c r="DQ182" s="12">
        <f>SUM($AQ182:CK182)-SUM($EA182:FI182)</f>
        <v>33824</v>
      </c>
      <c r="DR182" s="12">
        <f>SUM($AQ182:CL182)-SUM($EA182:FJ182)</f>
        <v>29824</v>
      </c>
      <c r="DS182" s="12">
        <f>SUM($AQ182:CM182)-SUM($EA182:FK182)</f>
        <v>25824</v>
      </c>
      <c r="DT182" s="12">
        <f>SUM($AQ182:CN182)-SUM($EA182:FL182)</f>
        <v>21824</v>
      </c>
      <c r="DU182" s="12">
        <f>SUM($AQ182:CO182)-SUM($EA182:FM182)</f>
        <v>17824</v>
      </c>
      <c r="DV182" s="12">
        <f>SUM($AQ182:CP182)-SUM($EA182:FN182)</f>
        <v>150302</v>
      </c>
      <c r="DW182" s="12">
        <f>SUM($AQ182:CQ182)-SUM($EA182:FO182)</f>
        <v>285222</v>
      </c>
      <c r="DX182" s="13"/>
      <c r="DY182" s="13"/>
      <c r="DZ182" s="13"/>
      <c r="EA182" s="12"/>
      <c r="EB182" s="12"/>
      <c r="EC182" s="12"/>
      <c r="ED182" s="12"/>
      <c r="EE182" s="12"/>
      <c r="EF182" s="12"/>
      <c r="EG182" s="12"/>
      <c r="EH182" s="12">
        <f t="array" ref="EH182">SUMPRODUCT(TRANSPOSE(EH$9:EH$34),$K182:$AJ182)</f>
        <v>14126</v>
      </c>
      <c r="EI182" s="12">
        <f t="array" ref="EI182">SUMPRODUCT(TRANSPOSE(EI$9:EI$34),$K182:$AJ182)</f>
        <v>800</v>
      </c>
      <c r="EJ182" s="12">
        <f t="array" ref="EJ182">SUMPRODUCT(TRANSPOSE(EJ$9:EJ$34),$K182:$AJ182)</f>
        <v>2030</v>
      </c>
      <c r="EK182" s="12">
        <f t="array" ref="EK182">SUMPRODUCT(TRANSPOSE(EK$9:EK$34),$K182:$AJ182)</f>
        <v>2270</v>
      </c>
      <c r="EL182" s="12">
        <f t="array" ref="EL182">SUMPRODUCT(TRANSPOSE(EL$9:EL$34),$K182:$AJ182)</f>
        <v>4030</v>
      </c>
      <c r="EM182" s="12">
        <f t="array" ref="EM182">SUMPRODUCT(TRANSPOSE(EM$9:EM$34),$K182:$AJ182)</f>
        <v>4100</v>
      </c>
      <c r="EN182" s="12">
        <f t="array" ref="EN182">SUMPRODUCT(TRANSPOSE(EN$9:EN$34),$K182:$AJ182)</f>
        <v>4100</v>
      </c>
      <c r="EO182" s="12">
        <f t="array" ref="EO182">SUMPRODUCT(TRANSPOSE(EO$9:EO$34),$K182:$AJ182)</f>
        <v>4000</v>
      </c>
      <c r="EP182" s="12">
        <f t="array" ref="EP182">SUMPRODUCT(TRANSPOSE(EP$9:EP$34),$K182:$AJ182)</f>
        <v>4100</v>
      </c>
      <c r="EQ182" s="12">
        <f t="array" ref="EQ182">SUMPRODUCT(TRANSPOSE(EQ$9:EQ$34),$K182:$AJ182)</f>
        <v>4100</v>
      </c>
      <c r="ER182" s="12">
        <f t="array" ref="ER182">SUMPRODUCT(TRANSPOSE(ER$9:ER$34),$K182:$AJ182)</f>
        <v>4100</v>
      </c>
      <c r="ES182" s="12">
        <f t="array" ref="ES182">SUMPRODUCT(TRANSPOSE(ES$9:ES$34),$K182:$AJ182)</f>
        <v>4100</v>
      </c>
      <c r="ET182" s="12">
        <f t="array" ref="ET182">SUMPRODUCT(TRANSPOSE(ET$9:ET$34),$K182:$AJ182)</f>
        <v>4100</v>
      </c>
      <c r="EU182" s="12">
        <f t="array" ref="EU182">SUMPRODUCT(TRANSPOSE(EU$9:EU$34),$K182:$AJ182)</f>
        <v>4100</v>
      </c>
      <c r="EV182" s="12">
        <f t="array" ref="EV182">SUMPRODUCT(TRANSPOSE(EV$9:EV$34),$K182:$AJ182)</f>
        <v>4100</v>
      </c>
      <c r="EW182" s="12">
        <f t="array" ref="EW182">SUMPRODUCT(TRANSPOSE(EW$9:EW$34),$K182:$AJ182)</f>
        <v>4020</v>
      </c>
      <c r="EX182" s="12">
        <f t="array" ref="EX182">SUMPRODUCT(TRANSPOSE(EX$9:EX$34),$K182:$AJ182)</f>
        <v>4000</v>
      </c>
      <c r="EY182" s="12">
        <f t="array" ref="EY182">SUMPRODUCT(TRANSPOSE(EY$9:EY$34),$K182:$AJ182)</f>
        <v>4000</v>
      </c>
      <c r="EZ182" s="12">
        <f t="array" ref="EZ182">SUMPRODUCT(TRANSPOSE(EZ$9:EZ$34),$K182:$AJ182)</f>
        <v>4000</v>
      </c>
      <c r="FA182" s="12">
        <f t="array" ref="FA182">SUMPRODUCT(TRANSPOSE(FA$9:FA$34),$K182:$AJ182)</f>
        <v>4000</v>
      </c>
      <c r="FB182" s="12">
        <f t="array" ref="FB182">SUMPRODUCT(TRANSPOSE(FB$9:FB$34),$K182:$AJ182)</f>
        <v>4000</v>
      </c>
      <c r="FC182" s="12">
        <f t="array" ref="FC182">SUMPRODUCT(TRANSPOSE(FC$9:FC$34),$K182:$AJ182)</f>
        <v>4000</v>
      </c>
      <c r="FD182" s="12">
        <f t="array" ref="FD182">SUMPRODUCT(TRANSPOSE(FD$9:FD$34),$K182:$AJ182)</f>
        <v>4000</v>
      </c>
      <c r="FE182" s="12">
        <f t="array" ref="FE182">SUMPRODUCT(TRANSPOSE(FE$9:FE$34),$K182:$AJ182)</f>
        <v>4000</v>
      </c>
      <c r="FF182" s="12">
        <f t="array" ref="FF182">SUMPRODUCT(TRANSPOSE(FF$9:FF$34),$K182:$AJ182)</f>
        <v>4000</v>
      </c>
      <c r="FG182" s="12">
        <f t="array" ref="FG182">SUMPRODUCT(TRANSPOSE(FG$9:FG$34),$K182:$AJ182)</f>
        <v>4000</v>
      </c>
      <c r="FH182" s="12">
        <f t="array" ref="FH182">SUMPRODUCT(TRANSPOSE(FH$9:FH$34),$K182:$AJ182)</f>
        <v>4000</v>
      </c>
      <c r="FI182" s="12">
        <f t="array" ref="FI182">SUMPRODUCT(TRANSPOSE(FI$9:FI$34),$K182:$AJ182)</f>
        <v>4000</v>
      </c>
      <c r="FJ182" s="12">
        <f t="array" ref="FJ182">SUMPRODUCT(TRANSPOSE(FJ$9:FJ$34),$K182:$AJ182)</f>
        <v>4000</v>
      </c>
      <c r="FK182" s="12">
        <f t="array" ref="FK182">SUMPRODUCT(TRANSPOSE(FK$9:FK$34),$K182:$AJ182)</f>
        <v>4000</v>
      </c>
      <c r="FL182" s="12">
        <f t="array" ref="FL182">SUMPRODUCT(TRANSPOSE(FL$9:FL$34),$K182:$AJ182)</f>
        <v>4000</v>
      </c>
      <c r="FM182" s="12">
        <f t="array" ref="FM182">SUMPRODUCT(TRANSPOSE(FM$9:FM$34),$K182:$AJ182)</f>
        <v>4000</v>
      </c>
      <c r="FN182" s="12">
        <f t="array" ref="FN182">SUMPRODUCT(TRANSPOSE(FN$9:FN$34),$K182:$AJ182)</f>
        <v>3396</v>
      </c>
      <c r="FO182" s="12">
        <f t="array" ref="FO182">SUMPRODUCT(TRANSPOSE(FO$9:FO$34),$K182:$AJ182)</f>
        <v>154</v>
      </c>
    </row>
    <row r="183" spans="1:171" ht="14.25" x14ac:dyDescent="0.2">
      <c r="A183" s="13">
        <f t="shared" si="10"/>
        <v>148</v>
      </c>
      <c r="B183" s="13" t="s">
        <v>528</v>
      </c>
      <c r="C183" s="25" t="s">
        <v>529</v>
      </c>
      <c r="D183" s="13" t="s">
        <v>67</v>
      </c>
      <c r="E183" s="13">
        <v>400656760</v>
      </c>
      <c r="F183" s="26" t="s">
        <v>530</v>
      </c>
      <c r="G183" s="13" t="s">
        <v>531</v>
      </c>
      <c r="H183" s="13" t="s">
        <v>61</v>
      </c>
      <c r="I183" s="13">
        <v>2</v>
      </c>
      <c r="J183" s="13">
        <v>138</v>
      </c>
      <c r="K183" s="13">
        <v>0</v>
      </c>
      <c r="L183" s="13">
        <v>0</v>
      </c>
      <c r="M183" s="13">
        <v>0</v>
      </c>
      <c r="N183" s="13">
        <v>0</v>
      </c>
      <c r="O183" s="13">
        <v>46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46</v>
      </c>
      <c r="Y183" s="13"/>
      <c r="Z183" s="13"/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46</v>
      </c>
      <c r="AK183" s="13">
        <f t="shared" si="11"/>
        <v>92</v>
      </c>
      <c r="AL183" s="23">
        <f t="shared" si="9"/>
        <v>3259698</v>
      </c>
      <c r="AM183" s="13"/>
      <c r="AN183" s="13" t="s">
        <v>299</v>
      </c>
      <c r="AO183" s="7" t="s">
        <v>307</v>
      </c>
      <c r="AP183" s="41">
        <v>8.9999999999999998E-4</v>
      </c>
      <c r="AQ183" s="12">
        <v>3260000</v>
      </c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13"/>
      <c r="CG183" s="13"/>
      <c r="CH183" s="13"/>
      <c r="CI183" s="12"/>
      <c r="CJ183" s="12"/>
      <c r="CK183" s="12"/>
      <c r="CL183" s="12"/>
      <c r="CM183" s="12"/>
      <c r="CN183" s="12"/>
      <c r="CO183" s="12"/>
      <c r="CP183" s="12">
        <f>SUM($AQ183:BJ183)-SUM($EA183:EH183)</f>
        <v>2935102</v>
      </c>
      <c r="CQ183" s="12">
        <f>SUM($AQ183:BK183)-SUM($EA183:EI183)</f>
        <v>2916702</v>
      </c>
      <c r="CR183" s="12">
        <f>SUM($AQ183:BL183)-SUM($EA183:EJ183)</f>
        <v>2870012</v>
      </c>
      <c r="CS183" s="12">
        <f>SUM($AQ183:BM183)-SUM($EA183:EK183)</f>
        <v>2817802</v>
      </c>
      <c r="CT183" s="12">
        <f>SUM($AQ183:BN183)-SUM($EA183:EL183)</f>
        <v>2725112</v>
      </c>
      <c r="CU183" s="12">
        <f>SUM($AQ183:BO183)-SUM($EA183:EM183)</f>
        <v>2630812</v>
      </c>
      <c r="CV183" s="12">
        <f>SUM($AQ183:BP183)-SUM($EA183:EN183)</f>
        <v>2536512</v>
      </c>
      <c r="CW183" s="12">
        <f>SUM($AQ183:BQ183)-SUM($EA183:EO183)</f>
        <v>2444512</v>
      </c>
      <c r="CX183" s="12">
        <f>SUM($AQ183:BR183)-SUM($EA183:EP183)</f>
        <v>2350212</v>
      </c>
      <c r="CY183" s="12">
        <f>SUM($AQ183:BS183)-SUM($EA183:EQ183)</f>
        <v>2255912</v>
      </c>
      <c r="CZ183" s="12">
        <f>SUM($AQ183:BT183)-SUM($EA183:ER183)</f>
        <v>2161612</v>
      </c>
      <c r="DA183" s="12">
        <f>SUM($AQ183:BU183)-SUM($EA183:ES183)</f>
        <v>2067312</v>
      </c>
      <c r="DB183" s="12">
        <f>SUM($AQ183:BV183)-SUM($EA183:ET183)</f>
        <v>1973012</v>
      </c>
      <c r="DC183" s="12">
        <f>SUM($AQ183:BW183)-SUM($EA183:EU183)</f>
        <v>1878712</v>
      </c>
      <c r="DD183" s="12">
        <f>SUM($AQ183:BX183)-SUM($EA183:EV183)</f>
        <v>1784412</v>
      </c>
      <c r="DE183" s="12">
        <f>SUM($AQ183:BY183)-SUM($EA183:EW183)</f>
        <v>1691952</v>
      </c>
      <c r="DF183" s="12">
        <f>SUM($AQ183:BZ183)-SUM($EA183:EX183)</f>
        <v>1599952</v>
      </c>
      <c r="DG183" s="12">
        <f>SUM($AQ183:CA183)-SUM($EA183:EY183)</f>
        <v>1507952</v>
      </c>
      <c r="DH183" s="12">
        <f>SUM($AQ183:CB183)-SUM($EA183:EZ183)</f>
        <v>1415952</v>
      </c>
      <c r="DI183" s="12">
        <f>SUM($AQ183:CC183)-SUM($EA183:FA183)</f>
        <v>1323952</v>
      </c>
      <c r="DJ183" s="12">
        <f>SUM($AQ183:CD183)-SUM($EA183:FB183)</f>
        <v>1231952</v>
      </c>
      <c r="DK183" s="12">
        <f>SUM($AQ183:CE183)-SUM($EA183:FC183)</f>
        <v>1139952</v>
      </c>
      <c r="DL183" s="12">
        <f>SUM($AQ183:CF183)-SUM($EA183:FD183)</f>
        <v>1047952</v>
      </c>
      <c r="DM183" s="12">
        <f>SUM($AQ183:CG183)-SUM($EA183:FE183)</f>
        <v>955952</v>
      </c>
      <c r="DN183" s="12">
        <f>SUM($AQ183:CH183)-SUM($EA183:FF183)</f>
        <v>863952</v>
      </c>
      <c r="DO183" s="12">
        <f>SUM($AQ183:CI183)-SUM($EA183:FG183)</f>
        <v>771952</v>
      </c>
      <c r="DP183" s="12">
        <f>SUM($AQ183:CJ183)-SUM($EA183:FH183)</f>
        <v>679952</v>
      </c>
      <c r="DQ183" s="12">
        <f>SUM($AQ183:CK183)-SUM($EA183:FI183)</f>
        <v>587952</v>
      </c>
      <c r="DR183" s="12">
        <f>SUM($AQ183:CL183)-SUM($EA183:FJ183)</f>
        <v>495952</v>
      </c>
      <c r="DS183" s="12">
        <f>SUM($AQ183:CM183)-SUM($EA183:FK183)</f>
        <v>403952</v>
      </c>
      <c r="DT183" s="12">
        <f>SUM($AQ183:CN183)-SUM($EA183:FL183)</f>
        <v>311952</v>
      </c>
      <c r="DU183" s="12">
        <f>SUM($AQ183:CO183)-SUM($EA183:FM183)</f>
        <v>219952</v>
      </c>
      <c r="DV183" s="12">
        <f>SUM($AQ183:CP183)-SUM($EA183:FN183)</f>
        <v>3076946</v>
      </c>
      <c r="DW183" s="12">
        <f>SUM($AQ183:CQ183)-SUM($EA183:FO183)</f>
        <v>5990106</v>
      </c>
      <c r="DX183" s="13"/>
      <c r="DY183" s="13"/>
      <c r="DZ183" s="13"/>
      <c r="EA183" s="12"/>
      <c r="EB183" s="12"/>
      <c r="EC183" s="12"/>
      <c r="ED183" s="12"/>
      <c r="EE183" s="12"/>
      <c r="EF183" s="12"/>
      <c r="EG183" s="12"/>
      <c r="EH183" s="12">
        <f t="array" ref="EH183">SUMPRODUCT(TRANSPOSE(EH$9:EH$34),$K183:$AJ183)</f>
        <v>324898</v>
      </c>
      <c r="EI183" s="12">
        <f t="array" ref="EI183">SUMPRODUCT(TRANSPOSE(EI$9:EI$34),$K183:$AJ183)</f>
        <v>18400</v>
      </c>
      <c r="EJ183" s="12">
        <f t="array" ref="EJ183">SUMPRODUCT(TRANSPOSE(EJ$9:EJ$34),$K183:$AJ183)</f>
        <v>46690</v>
      </c>
      <c r="EK183" s="12">
        <f t="array" ref="EK183">SUMPRODUCT(TRANSPOSE(EK$9:EK$34),$K183:$AJ183)</f>
        <v>52210</v>
      </c>
      <c r="EL183" s="12">
        <f t="array" ref="EL183">SUMPRODUCT(TRANSPOSE(EL$9:EL$34),$K183:$AJ183)</f>
        <v>92690</v>
      </c>
      <c r="EM183" s="12">
        <f t="array" ref="EM183">SUMPRODUCT(TRANSPOSE(EM$9:EM$34),$K183:$AJ183)</f>
        <v>94300</v>
      </c>
      <c r="EN183" s="12">
        <f t="array" ref="EN183">SUMPRODUCT(TRANSPOSE(EN$9:EN$34),$K183:$AJ183)</f>
        <v>94300</v>
      </c>
      <c r="EO183" s="12">
        <f t="array" ref="EO183">SUMPRODUCT(TRANSPOSE(EO$9:EO$34),$K183:$AJ183)</f>
        <v>92000</v>
      </c>
      <c r="EP183" s="12">
        <f t="array" ref="EP183">SUMPRODUCT(TRANSPOSE(EP$9:EP$34),$K183:$AJ183)</f>
        <v>94300</v>
      </c>
      <c r="EQ183" s="12">
        <f t="array" ref="EQ183">SUMPRODUCT(TRANSPOSE(EQ$9:EQ$34),$K183:$AJ183)</f>
        <v>94300</v>
      </c>
      <c r="ER183" s="12">
        <f t="array" ref="ER183">SUMPRODUCT(TRANSPOSE(ER$9:ER$34),$K183:$AJ183)</f>
        <v>94300</v>
      </c>
      <c r="ES183" s="12">
        <f t="array" ref="ES183">SUMPRODUCT(TRANSPOSE(ES$9:ES$34),$K183:$AJ183)</f>
        <v>94300</v>
      </c>
      <c r="ET183" s="12">
        <f t="array" ref="ET183">SUMPRODUCT(TRANSPOSE(ET$9:ET$34),$K183:$AJ183)</f>
        <v>94300</v>
      </c>
      <c r="EU183" s="12">
        <f t="array" ref="EU183">SUMPRODUCT(TRANSPOSE(EU$9:EU$34),$K183:$AJ183)</f>
        <v>94300</v>
      </c>
      <c r="EV183" s="12">
        <f t="array" ref="EV183">SUMPRODUCT(TRANSPOSE(EV$9:EV$34),$K183:$AJ183)</f>
        <v>94300</v>
      </c>
      <c r="EW183" s="12">
        <f t="array" ref="EW183">SUMPRODUCT(TRANSPOSE(EW$9:EW$34),$K183:$AJ183)</f>
        <v>92460</v>
      </c>
      <c r="EX183" s="12">
        <f t="array" ref="EX183">SUMPRODUCT(TRANSPOSE(EX$9:EX$34),$K183:$AJ183)</f>
        <v>92000</v>
      </c>
      <c r="EY183" s="12">
        <f t="array" ref="EY183">SUMPRODUCT(TRANSPOSE(EY$9:EY$34),$K183:$AJ183)</f>
        <v>92000</v>
      </c>
      <c r="EZ183" s="12">
        <f t="array" ref="EZ183">SUMPRODUCT(TRANSPOSE(EZ$9:EZ$34),$K183:$AJ183)</f>
        <v>92000</v>
      </c>
      <c r="FA183" s="12">
        <f t="array" ref="FA183">SUMPRODUCT(TRANSPOSE(FA$9:FA$34),$K183:$AJ183)</f>
        <v>92000</v>
      </c>
      <c r="FB183" s="12">
        <f t="array" ref="FB183">SUMPRODUCT(TRANSPOSE(FB$9:FB$34),$K183:$AJ183)</f>
        <v>92000</v>
      </c>
      <c r="FC183" s="12">
        <f t="array" ref="FC183">SUMPRODUCT(TRANSPOSE(FC$9:FC$34),$K183:$AJ183)</f>
        <v>92000</v>
      </c>
      <c r="FD183" s="12">
        <f t="array" ref="FD183">SUMPRODUCT(TRANSPOSE(FD$9:FD$34),$K183:$AJ183)</f>
        <v>92000</v>
      </c>
      <c r="FE183" s="12">
        <f t="array" ref="FE183">SUMPRODUCT(TRANSPOSE(FE$9:FE$34),$K183:$AJ183)</f>
        <v>92000</v>
      </c>
      <c r="FF183" s="12">
        <f t="array" ref="FF183">SUMPRODUCT(TRANSPOSE(FF$9:FF$34),$K183:$AJ183)</f>
        <v>92000</v>
      </c>
      <c r="FG183" s="12">
        <f t="array" ref="FG183">SUMPRODUCT(TRANSPOSE(FG$9:FG$34),$K183:$AJ183)</f>
        <v>92000</v>
      </c>
      <c r="FH183" s="12">
        <f t="array" ref="FH183">SUMPRODUCT(TRANSPOSE(FH$9:FH$34),$K183:$AJ183)</f>
        <v>92000</v>
      </c>
      <c r="FI183" s="12">
        <f t="array" ref="FI183">SUMPRODUCT(TRANSPOSE(FI$9:FI$34),$K183:$AJ183)</f>
        <v>92000</v>
      </c>
      <c r="FJ183" s="12">
        <f t="array" ref="FJ183">SUMPRODUCT(TRANSPOSE(FJ$9:FJ$34),$K183:$AJ183)</f>
        <v>92000</v>
      </c>
      <c r="FK183" s="12">
        <f t="array" ref="FK183">SUMPRODUCT(TRANSPOSE(FK$9:FK$34),$K183:$AJ183)</f>
        <v>92000</v>
      </c>
      <c r="FL183" s="12">
        <f t="array" ref="FL183">SUMPRODUCT(TRANSPOSE(FL$9:FL$34),$K183:$AJ183)</f>
        <v>92000</v>
      </c>
      <c r="FM183" s="12">
        <f t="array" ref="FM183">SUMPRODUCT(TRANSPOSE(FM$9:FM$34),$K183:$AJ183)</f>
        <v>92000</v>
      </c>
      <c r="FN183" s="12">
        <f t="array" ref="FN183">SUMPRODUCT(TRANSPOSE(FN$9:FN$34),$K183:$AJ183)</f>
        <v>78108</v>
      </c>
      <c r="FO183" s="12">
        <f t="array" ref="FO183">SUMPRODUCT(TRANSPOSE(FO$9:FO$34),$K183:$AJ183)</f>
        <v>3542</v>
      </c>
    </row>
    <row r="184" spans="1:171" ht="14.25" x14ac:dyDescent="0.2">
      <c r="A184" s="13">
        <f t="shared" si="10"/>
        <v>149</v>
      </c>
      <c r="B184" s="13" t="s">
        <v>532</v>
      </c>
      <c r="C184" s="25" t="s">
        <v>533</v>
      </c>
      <c r="D184" s="13" t="s">
        <v>67</v>
      </c>
      <c r="E184" s="13">
        <v>401234957</v>
      </c>
      <c r="F184" s="26" t="s">
        <v>534</v>
      </c>
      <c r="G184" s="13">
        <v>400275219</v>
      </c>
      <c r="H184" s="13" t="s">
        <v>61</v>
      </c>
      <c r="I184" s="13">
        <v>2</v>
      </c>
      <c r="J184" s="13">
        <v>3</v>
      </c>
      <c r="K184" s="13">
        <v>0</v>
      </c>
      <c r="L184" s="13">
        <v>0</v>
      </c>
      <c r="M184" s="13">
        <v>0</v>
      </c>
      <c r="N184" s="13">
        <v>0</v>
      </c>
      <c r="O184" s="13">
        <v>1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1</v>
      </c>
      <c r="Y184" s="13"/>
      <c r="Z184" s="13"/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1</v>
      </c>
      <c r="AK184" s="13">
        <f t="shared" si="11"/>
        <v>2</v>
      </c>
      <c r="AL184" s="23">
        <f t="shared" si="9"/>
        <v>70863</v>
      </c>
      <c r="AM184" s="13"/>
      <c r="AN184" s="13" t="s">
        <v>299</v>
      </c>
      <c r="AO184" s="7" t="s">
        <v>307</v>
      </c>
      <c r="AP184" s="41">
        <v>3.2000000000000002E-3</v>
      </c>
      <c r="AQ184" s="12">
        <v>80000</v>
      </c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13"/>
      <c r="CG184" s="13"/>
      <c r="CH184" s="13"/>
      <c r="CI184" s="12"/>
      <c r="CJ184" s="12"/>
      <c r="CK184" s="12"/>
      <c r="CL184" s="12"/>
      <c r="CM184" s="12"/>
      <c r="CN184" s="12"/>
      <c r="CO184" s="12"/>
      <c r="CP184" s="12">
        <f>SUM($AQ184:BJ184)-SUM($EA184:EH184)</f>
        <v>72937</v>
      </c>
      <c r="CQ184" s="12">
        <f>SUM($AQ184:BK184)-SUM($EA184:EI184)</f>
        <v>72537</v>
      </c>
      <c r="CR184" s="12">
        <f>SUM($AQ184:BL184)-SUM($EA184:EJ184)</f>
        <v>71522</v>
      </c>
      <c r="CS184" s="12">
        <f>SUM($AQ184:BM184)-SUM($EA184:EK184)</f>
        <v>70387</v>
      </c>
      <c r="CT184" s="12">
        <f>SUM($AQ184:BN184)-SUM($EA184:EL184)</f>
        <v>68372</v>
      </c>
      <c r="CU184" s="12">
        <f>SUM($AQ184:BO184)-SUM($EA184:EM184)</f>
        <v>66322</v>
      </c>
      <c r="CV184" s="12">
        <f>SUM($AQ184:BP184)-SUM($EA184:EN184)</f>
        <v>64272</v>
      </c>
      <c r="CW184" s="12">
        <f>SUM($AQ184:BQ184)-SUM($EA184:EO184)</f>
        <v>62272</v>
      </c>
      <c r="CX184" s="12">
        <f>SUM($AQ184:BR184)-SUM($EA184:EP184)</f>
        <v>60222</v>
      </c>
      <c r="CY184" s="12">
        <f>SUM($AQ184:BS184)-SUM($EA184:EQ184)</f>
        <v>58172</v>
      </c>
      <c r="CZ184" s="12">
        <f>SUM($AQ184:BT184)-SUM($EA184:ER184)</f>
        <v>56122</v>
      </c>
      <c r="DA184" s="12">
        <f>SUM($AQ184:BU184)-SUM($EA184:ES184)</f>
        <v>54072</v>
      </c>
      <c r="DB184" s="12">
        <f>SUM($AQ184:BV184)-SUM($EA184:ET184)</f>
        <v>52022</v>
      </c>
      <c r="DC184" s="12">
        <f>SUM($AQ184:BW184)-SUM($EA184:EU184)</f>
        <v>49972</v>
      </c>
      <c r="DD184" s="12">
        <f>SUM($AQ184:BX184)-SUM($EA184:EV184)</f>
        <v>47922</v>
      </c>
      <c r="DE184" s="12">
        <f>SUM($AQ184:BY184)-SUM($EA184:EW184)</f>
        <v>45912</v>
      </c>
      <c r="DF184" s="12">
        <f>SUM($AQ184:BZ184)-SUM($EA184:EX184)</f>
        <v>43912</v>
      </c>
      <c r="DG184" s="12">
        <f>SUM($AQ184:CA184)-SUM($EA184:EY184)</f>
        <v>41912</v>
      </c>
      <c r="DH184" s="12">
        <f>SUM($AQ184:CB184)-SUM($EA184:EZ184)</f>
        <v>39912</v>
      </c>
      <c r="DI184" s="12">
        <f>SUM($AQ184:CC184)-SUM($EA184:FA184)</f>
        <v>37912</v>
      </c>
      <c r="DJ184" s="12">
        <f>SUM($AQ184:CD184)-SUM($EA184:FB184)</f>
        <v>35912</v>
      </c>
      <c r="DK184" s="12">
        <f>SUM($AQ184:CE184)-SUM($EA184:FC184)</f>
        <v>33912</v>
      </c>
      <c r="DL184" s="12">
        <f>SUM($AQ184:CF184)-SUM($EA184:FD184)</f>
        <v>31912</v>
      </c>
      <c r="DM184" s="12">
        <f>SUM($AQ184:CG184)-SUM($EA184:FE184)</f>
        <v>29912</v>
      </c>
      <c r="DN184" s="12">
        <f>SUM($AQ184:CH184)-SUM($EA184:FF184)</f>
        <v>27912</v>
      </c>
      <c r="DO184" s="12">
        <f>SUM($AQ184:CI184)-SUM($EA184:FG184)</f>
        <v>25912</v>
      </c>
      <c r="DP184" s="12">
        <f>SUM($AQ184:CJ184)-SUM($EA184:FH184)</f>
        <v>23912</v>
      </c>
      <c r="DQ184" s="12">
        <f>SUM($AQ184:CK184)-SUM($EA184:FI184)</f>
        <v>21912</v>
      </c>
      <c r="DR184" s="12">
        <f>SUM($AQ184:CL184)-SUM($EA184:FJ184)</f>
        <v>19912</v>
      </c>
      <c r="DS184" s="12">
        <f>SUM($AQ184:CM184)-SUM($EA184:FK184)</f>
        <v>17912</v>
      </c>
      <c r="DT184" s="12">
        <f>SUM($AQ184:CN184)-SUM($EA184:FL184)</f>
        <v>15912</v>
      </c>
      <c r="DU184" s="12">
        <f>SUM($AQ184:CO184)-SUM($EA184:FM184)</f>
        <v>13912</v>
      </c>
      <c r="DV184" s="12">
        <f>SUM($AQ184:CP184)-SUM($EA184:FN184)</f>
        <v>85151</v>
      </c>
      <c r="DW184" s="12">
        <f>SUM($AQ184:CQ184)-SUM($EA184:FO184)</f>
        <v>157611</v>
      </c>
      <c r="DX184" s="13"/>
      <c r="DY184" s="13"/>
      <c r="DZ184" s="13"/>
      <c r="EA184" s="12"/>
      <c r="EB184" s="12"/>
      <c r="EC184" s="12"/>
      <c r="ED184" s="12"/>
      <c r="EE184" s="12"/>
      <c r="EF184" s="12"/>
      <c r="EG184" s="12"/>
      <c r="EH184" s="12">
        <f t="array" ref="EH184">SUMPRODUCT(TRANSPOSE(EH$9:EH$34),$K184:$AJ184)</f>
        <v>7063</v>
      </c>
      <c r="EI184" s="12">
        <f t="array" ref="EI184">SUMPRODUCT(TRANSPOSE(EI$9:EI$34),$K184:$AJ184)</f>
        <v>400</v>
      </c>
      <c r="EJ184" s="12">
        <f t="array" ref="EJ184">SUMPRODUCT(TRANSPOSE(EJ$9:EJ$34),$K184:$AJ184)</f>
        <v>1015</v>
      </c>
      <c r="EK184" s="12">
        <f t="array" ref="EK184">SUMPRODUCT(TRANSPOSE(EK$9:EK$34),$K184:$AJ184)</f>
        <v>1135</v>
      </c>
      <c r="EL184" s="12">
        <f t="array" ref="EL184">SUMPRODUCT(TRANSPOSE(EL$9:EL$34),$K184:$AJ184)</f>
        <v>2015</v>
      </c>
      <c r="EM184" s="12">
        <f t="array" ref="EM184">SUMPRODUCT(TRANSPOSE(EM$9:EM$34),$K184:$AJ184)</f>
        <v>2050</v>
      </c>
      <c r="EN184" s="12">
        <f t="array" ref="EN184">SUMPRODUCT(TRANSPOSE(EN$9:EN$34),$K184:$AJ184)</f>
        <v>2050</v>
      </c>
      <c r="EO184" s="12">
        <f t="array" ref="EO184">SUMPRODUCT(TRANSPOSE(EO$9:EO$34),$K184:$AJ184)</f>
        <v>2000</v>
      </c>
      <c r="EP184" s="12">
        <f t="array" ref="EP184">SUMPRODUCT(TRANSPOSE(EP$9:EP$34),$K184:$AJ184)</f>
        <v>2050</v>
      </c>
      <c r="EQ184" s="12">
        <f t="array" ref="EQ184">SUMPRODUCT(TRANSPOSE(EQ$9:EQ$34),$K184:$AJ184)</f>
        <v>2050</v>
      </c>
      <c r="ER184" s="12">
        <f t="array" ref="ER184">SUMPRODUCT(TRANSPOSE(ER$9:ER$34),$K184:$AJ184)</f>
        <v>2050</v>
      </c>
      <c r="ES184" s="12">
        <f t="array" ref="ES184">SUMPRODUCT(TRANSPOSE(ES$9:ES$34),$K184:$AJ184)</f>
        <v>2050</v>
      </c>
      <c r="ET184" s="12">
        <f t="array" ref="ET184">SUMPRODUCT(TRANSPOSE(ET$9:ET$34),$K184:$AJ184)</f>
        <v>2050</v>
      </c>
      <c r="EU184" s="12">
        <f t="array" ref="EU184">SUMPRODUCT(TRANSPOSE(EU$9:EU$34),$K184:$AJ184)</f>
        <v>2050</v>
      </c>
      <c r="EV184" s="12">
        <f t="array" ref="EV184">SUMPRODUCT(TRANSPOSE(EV$9:EV$34),$K184:$AJ184)</f>
        <v>2050</v>
      </c>
      <c r="EW184" s="12">
        <f t="array" ref="EW184">SUMPRODUCT(TRANSPOSE(EW$9:EW$34),$K184:$AJ184)</f>
        <v>2010</v>
      </c>
      <c r="EX184" s="12">
        <f t="array" ref="EX184">SUMPRODUCT(TRANSPOSE(EX$9:EX$34),$K184:$AJ184)</f>
        <v>2000</v>
      </c>
      <c r="EY184" s="12">
        <f t="array" ref="EY184">SUMPRODUCT(TRANSPOSE(EY$9:EY$34),$K184:$AJ184)</f>
        <v>2000</v>
      </c>
      <c r="EZ184" s="12">
        <f t="array" ref="EZ184">SUMPRODUCT(TRANSPOSE(EZ$9:EZ$34),$K184:$AJ184)</f>
        <v>2000</v>
      </c>
      <c r="FA184" s="12">
        <f t="array" ref="FA184">SUMPRODUCT(TRANSPOSE(FA$9:FA$34),$K184:$AJ184)</f>
        <v>2000</v>
      </c>
      <c r="FB184" s="12">
        <f t="array" ref="FB184">SUMPRODUCT(TRANSPOSE(FB$9:FB$34),$K184:$AJ184)</f>
        <v>2000</v>
      </c>
      <c r="FC184" s="12">
        <f t="array" ref="FC184">SUMPRODUCT(TRANSPOSE(FC$9:FC$34),$K184:$AJ184)</f>
        <v>2000</v>
      </c>
      <c r="FD184" s="12">
        <f t="array" ref="FD184">SUMPRODUCT(TRANSPOSE(FD$9:FD$34),$K184:$AJ184)</f>
        <v>2000</v>
      </c>
      <c r="FE184" s="12">
        <f t="array" ref="FE184">SUMPRODUCT(TRANSPOSE(FE$9:FE$34),$K184:$AJ184)</f>
        <v>2000</v>
      </c>
      <c r="FF184" s="12">
        <f t="array" ref="FF184">SUMPRODUCT(TRANSPOSE(FF$9:FF$34),$K184:$AJ184)</f>
        <v>2000</v>
      </c>
      <c r="FG184" s="12">
        <f t="array" ref="FG184">SUMPRODUCT(TRANSPOSE(FG$9:FG$34),$K184:$AJ184)</f>
        <v>2000</v>
      </c>
      <c r="FH184" s="12">
        <f t="array" ref="FH184">SUMPRODUCT(TRANSPOSE(FH$9:FH$34),$K184:$AJ184)</f>
        <v>2000</v>
      </c>
      <c r="FI184" s="12">
        <f t="array" ref="FI184">SUMPRODUCT(TRANSPOSE(FI$9:FI$34),$K184:$AJ184)</f>
        <v>2000</v>
      </c>
      <c r="FJ184" s="12">
        <f t="array" ref="FJ184">SUMPRODUCT(TRANSPOSE(FJ$9:FJ$34),$K184:$AJ184)</f>
        <v>2000</v>
      </c>
      <c r="FK184" s="12">
        <f t="array" ref="FK184">SUMPRODUCT(TRANSPOSE(FK$9:FK$34),$K184:$AJ184)</f>
        <v>2000</v>
      </c>
      <c r="FL184" s="12">
        <f t="array" ref="FL184">SUMPRODUCT(TRANSPOSE(FL$9:FL$34),$K184:$AJ184)</f>
        <v>2000</v>
      </c>
      <c r="FM184" s="12">
        <f t="array" ref="FM184">SUMPRODUCT(TRANSPOSE(FM$9:FM$34),$K184:$AJ184)</f>
        <v>2000</v>
      </c>
      <c r="FN184" s="12">
        <f t="array" ref="FN184">SUMPRODUCT(TRANSPOSE(FN$9:FN$34),$K184:$AJ184)</f>
        <v>1698</v>
      </c>
      <c r="FO184" s="12">
        <f t="array" ref="FO184">SUMPRODUCT(TRANSPOSE(FO$9:FO$34),$K184:$AJ184)</f>
        <v>77</v>
      </c>
    </row>
    <row r="185" spans="1:171" ht="14.25" x14ac:dyDescent="0.2">
      <c r="A185" s="13">
        <f t="shared" si="10"/>
        <v>150</v>
      </c>
      <c r="B185" s="13" t="s">
        <v>535</v>
      </c>
      <c r="C185" s="25" t="s">
        <v>536</v>
      </c>
      <c r="D185" s="13" t="s">
        <v>67</v>
      </c>
      <c r="E185" s="13">
        <v>401308899</v>
      </c>
      <c r="F185" s="26" t="s">
        <v>537</v>
      </c>
      <c r="G185" s="13">
        <v>401240059</v>
      </c>
      <c r="H185" s="13" t="s">
        <v>61</v>
      </c>
      <c r="I185" s="13">
        <v>2</v>
      </c>
      <c r="J185" s="13">
        <v>9</v>
      </c>
      <c r="K185" s="13">
        <v>0</v>
      </c>
      <c r="L185" s="13">
        <v>0</v>
      </c>
      <c r="M185" s="13">
        <v>0</v>
      </c>
      <c r="N185" s="13">
        <v>0</v>
      </c>
      <c r="O185" s="13">
        <v>3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3</v>
      </c>
      <c r="Y185" s="13"/>
      <c r="Z185" s="13"/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3</v>
      </c>
      <c r="AK185" s="13">
        <f t="shared" si="11"/>
        <v>6</v>
      </c>
      <c r="AL185" s="23">
        <f t="shared" si="9"/>
        <v>212589</v>
      </c>
      <c r="AM185" s="13"/>
      <c r="AN185" s="13" t="s">
        <v>299</v>
      </c>
      <c r="AO185" s="7" t="s">
        <v>307</v>
      </c>
      <c r="AP185" s="41">
        <v>2.0999999999999999E-3</v>
      </c>
      <c r="AQ185" s="12">
        <v>220000</v>
      </c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13"/>
      <c r="CG185" s="13"/>
      <c r="CH185" s="13"/>
      <c r="CI185" s="12"/>
      <c r="CJ185" s="12"/>
      <c r="CK185" s="12"/>
      <c r="CL185" s="12"/>
      <c r="CM185" s="12"/>
      <c r="CN185" s="12"/>
      <c r="CO185" s="12"/>
      <c r="CP185" s="12">
        <f>SUM($AQ185:BJ185)-SUM($EA185:EH185)</f>
        <v>198811</v>
      </c>
      <c r="CQ185" s="12">
        <f>SUM($AQ185:BK185)-SUM($EA185:EI185)</f>
        <v>197611</v>
      </c>
      <c r="CR185" s="12">
        <f>SUM($AQ185:BL185)-SUM($EA185:EJ185)</f>
        <v>194566</v>
      </c>
      <c r="CS185" s="12">
        <f>SUM($AQ185:BM185)-SUM($EA185:EK185)</f>
        <v>191161</v>
      </c>
      <c r="CT185" s="12">
        <f>SUM($AQ185:BN185)-SUM($EA185:EL185)</f>
        <v>185116</v>
      </c>
      <c r="CU185" s="12">
        <f>SUM($AQ185:BO185)-SUM($EA185:EM185)</f>
        <v>178966</v>
      </c>
      <c r="CV185" s="12">
        <f>SUM($AQ185:BP185)-SUM($EA185:EN185)</f>
        <v>172816</v>
      </c>
      <c r="CW185" s="12">
        <f>SUM($AQ185:BQ185)-SUM($EA185:EO185)</f>
        <v>166816</v>
      </c>
      <c r="CX185" s="12">
        <f>SUM($AQ185:BR185)-SUM($EA185:EP185)</f>
        <v>160666</v>
      </c>
      <c r="CY185" s="12">
        <f>SUM($AQ185:BS185)-SUM($EA185:EQ185)</f>
        <v>154516</v>
      </c>
      <c r="CZ185" s="12">
        <f>SUM($AQ185:BT185)-SUM($EA185:ER185)</f>
        <v>148366</v>
      </c>
      <c r="DA185" s="12">
        <f>SUM($AQ185:BU185)-SUM($EA185:ES185)</f>
        <v>142216</v>
      </c>
      <c r="DB185" s="12">
        <f>SUM($AQ185:BV185)-SUM($EA185:ET185)</f>
        <v>136066</v>
      </c>
      <c r="DC185" s="12">
        <f>SUM($AQ185:BW185)-SUM($EA185:EU185)</f>
        <v>129916</v>
      </c>
      <c r="DD185" s="12">
        <f>SUM($AQ185:BX185)-SUM($EA185:EV185)</f>
        <v>123766</v>
      </c>
      <c r="DE185" s="12">
        <f>SUM($AQ185:BY185)-SUM($EA185:EW185)</f>
        <v>117736</v>
      </c>
      <c r="DF185" s="12">
        <f>SUM($AQ185:BZ185)-SUM($EA185:EX185)</f>
        <v>111736</v>
      </c>
      <c r="DG185" s="12">
        <f>SUM($AQ185:CA185)-SUM($EA185:EY185)</f>
        <v>105736</v>
      </c>
      <c r="DH185" s="12">
        <f>SUM($AQ185:CB185)-SUM($EA185:EZ185)</f>
        <v>99736</v>
      </c>
      <c r="DI185" s="12">
        <f>SUM($AQ185:CC185)-SUM($EA185:FA185)</f>
        <v>93736</v>
      </c>
      <c r="DJ185" s="12">
        <f>SUM($AQ185:CD185)-SUM($EA185:FB185)</f>
        <v>87736</v>
      </c>
      <c r="DK185" s="12">
        <f>SUM($AQ185:CE185)-SUM($EA185:FC185)</f>
        <v>81736</v>
      </c>
      <c r="DL185" s="12">
        <f>SUM($AQ185:CF185)-SUM($EA185:FD185)</f>
        <v>75736</v>
      </c>
      <c r="DM185" s="12">
        <f>SUM($AQ185:CG185)-SUM($EA185:FE185)</f>
        <v>69736</v>
      </c>
      <c r="DN185" s="12">
        <f>SUM($AQ185:CH185)-SUM($EA185:FF185)</f>
        <v>63736</v>
      </c>
      <c r="DO185" s="12">
        <f>SUM($AQ185:CI185)-SUM($EA185:FG185)</f>
        <v>57736</v>
      </c>
      <c r="DP185" s="12">
        <f>SUM($AQ185:CJ185)-SUM($EA185:FH185)</f>
        <v>51736</v>
      </c>
      <c r="DQ185" s="12">
        <f>SUM($AQ185:CK185)-SUM($EA185:FI185)</f>
        <v>45736</v>
      </c>
      <c r="DR185" s="12">
        <f>SUM($AQ185:CL185)-SUM($EA185:FJ185)</f>
        <v>39736</v>
      </c>
      <c r="DS185" s="12">
        <f>SUM($AQ185:CM185)-SUM($EA185:FK185)</f>
        <v>33736</v>
      </c>
      <c r="DT185" s="12">
        <f>SUM($AQ185:CN185)-SUM($EA185:FL185)</f>
        <v>27736</v>
      </c>
      <c r="DU185" s="12">
        <f>SUM($AQ185:CO185)-SUM($EA185:FM185)</f>
        <v>21736</v>
      </c>
      <c r="DV185" s="12">
        <f>SUM($AQ185:CP185)-SUM($EA185:FN185)</f>
        <v>215453</v>
      </c>
      <c r="DW185" s="12">
        <f>SUM($AQ185:CQ185)-SUM($EA185:FO185)</f>
        <v>412833</v>
      </c>
      <c r="DX185" s="13"/>
      <c r="DY185" s="13"/>
      <c r="DZ185" s="13"/>
      <c r="EA185" s="12"/>
      <c r="EB185" s="12"/>
      <c r="EC185" s="12"/>
      <c r="ED185" s="12"/>
      <c r="EE185" s="12"/>
      <c r="EF185" s="12"/>
      <c r="EG185" s="12"/>
      <c r="EH185" s="12">
        <f t="array" ref="EH185">SUMPRODUCT(TRANSPOSE(EH$9:EH$34),$K185:$AJ185)</f>
        <v>21189</v>
      </c>
      <c r="EI185" s="12">
        <f t="array" ref="EI185">SUMPRODUCT(TRANSPOSE(EI$9:EI$34),$K185:$AJ185)</f>
        <v>1200</v>
      </c>
      <c r="EJ185" s="12">
        <f t="array" ref="EJ185">SUMPRODUCT(TRANSPOSE(EJ$9:EJ$34),$K185:$AJ185)</f>
        <v>3045</v>
      </c>
      <c r="EK185" s="12">
        <f t="array" ref="EK185">SUMPRODUCT(TRANSPOSE(EK$9:EK$34),$K185:$AJ185)</f>
        <v>3405</v>
      </c>
      <c r="EL185" s="12">
        <f t="array" ref="EL185">SUMPRODUCT(TRANSPOSE(EL$9:EL$34),$K185:$AJ185)</f>
        <v>6045</v>
      </c>
      <c r="EM185" s="12">
        <f t="array" ref="EM185">SUMPRODUCT(TRANSPOSE(EM$9:EM$34),$K185:$AJ185)</f>
        <v>6150</v>
      </c>
      <c r="EN185" s="12">
        <f t="array" ref="EN185">SUMPRODUCT(TRANSPOSE(EN$9:EN$34),$K185:$AJ185)</f>
        <v>6150</v>
      </c>
      <c r="EO185" s="12">
        <f t="array" ref="EO185">SUMPRODUCT(TRANSPOSE(EO$9:EO$34),$K185:$AJ185)</f>
        <v>6000</v>
      </c>
      <c r="EP185" s="12">
        <f t="array" ref="EP185">SUMPRODUCT(TRANSPOSE(EP$9:EP$34),$K185:$AJ185)</f>
        <v>6150</v>
      </c>
      <c r="EQ185" s="12">
        <f t="array" ref="EQ185">SUMPRODUCT(TRANSPOSE(EQ$9:EQ$34),$K185:$AJ185)</f>
        <v>6150</v>
      </c>
      <c r="ER185" s="12">
        <f t="array" ref="ER185">SUMPRODUCT(TRANSPOSE(ER$9:ER$34),$K185:$AJ185)</f>
        <v>6150</v>
      </c>
      <c r="ES185" s="12">
        <f t="array" ref="ES185">SUMPRODUCT(TRANSPOSE(ES$9:ES$34),$K185:$AJ185)</f>
        <v>6150</v>
      </c>
      <c r="ET185" s="12">
        <f t="array" ref="ET185">SUMPRODUCT(TRANSPOSE(ET$9:ET$34),$K185:$AJ185)</f>
        <v>6150</v>
      </c>
      <c r="EU185" s="12">
        <f t="array" ref="EU185">SUMPRODUCT(TRANSPOSE(EU$9:EU$34),$K185:$AJ185)</f>
        <v>6150</v>
      </c>
      <c r="EV185" s="12">
        <f t="array" ref="EV185">SUMPRODUCT(TRANSPOSE(EV$9:EV$34),$K185:$AJ185)</f>
        <v>6150</v>
      </c>
      <c r="EW185" s="12">
        <f t="array" ref="EW185">SUMPRODUCT(TRANSPOSE(EW$9:EW$34),$K185:$AJ185)</f>
        <v>6030</v>
      </c>
      <c r="EX185" s="12">
        <f t="array" ref="EX185">SUMPRODUCT(TRANSPOSE(EX$9:EX$34),$K185:$AJ185)</f>
        <v>6000</v>
      </c>
      <c r="EY185" s="12">
        <f t="array" ref="EY185">SUMPRODUCT(TRANSPOSE(EY$9:EY$34),$K185:$AJ185)</f>
        <v>6000</v>
      </c>
      <c r="EZ185" s="12">
        <f t="array" ref="EZ185">SUMPRODUCT(TRANSPOSE(EZ$9:EZ$34),$K185:$AJ185)</f>
        <v>6000</v>
      </c>
      <c r="FA185" s="12">
        <f t="array" ref="FA185">SUMPRODUCT(TRANSPOSE(FA$9:FA$34),$K185:$AJ185)</f>
        <v>6000</v>
      </c>
      <c r="FB185" s="12">
        <f t="array" ref="FB185">SUMPRODUCT(TRANSPOSE(FB$9:FB$34),$K185:$AJ185)</f>
        <v>6000</v>
      </c>
      <c r="FC185" s="12">
        <f t="array" ref="FC185">SUMPRODUCT(TRANSPOSE(FC$9:FC$34),$K185:$AJ185)</f>
        <v>6000</v>
      </c>
      <c r="FD185" s="12">
        <f t="array" ref="FD185">SUMPRODUCT(TRANSPOSE(FD$9:FD$34),$K185:$AJ185)</f>
        <v>6000</v>
      </c>
      <c r="FE185" s="12">
        <f t="array" ref="FE185">SUMPRODUCT(TRANSPOSE(FE$9:FE$34),$K185:$AJ185)</f>
        <v>6000</v>
      </c>
      <c r="FF185" s="12">
        <f t="array" ref="FF185">SUMPRODUCT(TRANSPOSE(FF$9:FF$34),$K185:$AJ185)</f>
        <v>6000</v>
      </c>
      <c r="FG185" s="12">
        <f t="array" ref="FG185">SUMPRODUCT(TRANSPOSE(FG$9:FG$34),$K185:$AJ185)</f>
        <v>6000</v>
      </c>
      <c r="FH185" s="12">
        <f t="array" ref="FH185">SUMPRODUCT(TRANSPOSE(FH$9:FH$34),$K185:$AJ185)</f>
        <v>6000</v>
      </c>
      <c r="FI185" s="12">
        <f t="array" ref="FI185">SUMPRODUCT(TRANSPOSE(FI$9:FI$34),$K185:$AJ185)</f>
        <v>6000</v>
      </c>
      <c r="FJ185" s="12">
        <f t="array" ref="FJ185">SUMPRODUCT(TRANSPOSE(FJ$9:FJ$34),$K185:$AJ185)</f>
        <v>6000</v>
      </c>
      <c r="FK185" s="12">
        <f t="array" ref="FK185">SUMPRODUCT(TRANSPOSE(FK$9:FK$34),$K185:$AJ185)</f>
        <v>6000</v>
      </c>
      <c r="FL185" s="12">
        <f t="array" ref="FL185">SUMPRODUCT(TRANSPOSE(FL$9:FL$34),$K185:$AJ185)</f>
        <v>6000</v>
      </c>
      <c r="FM185" s="12">
        <f t="array" ref="FM185">SUMPRODUCT(TRANSPOSE(FM$9:FM$34),$K185:$AJ185)</f>
        <v>6000</v>
      </c>
      <c r="FN185" s="12">
        <f t="array" ref="FN185">SUMPRODUCT(TRANSPOSE(FN$9:FN$34),$K185:$AJ185)</f>
        <v>5094</v>
      </c>
      <c r="FO185" s="12">
        <f t="array" ref="FO185">SUMPRODUCT(TRANSPOSE(FO$9:FO$34),$K185:$AJ185)</f>
        <v>231</v>
      </c>
    </row>
    <row r="186" spans="1:171" ht="14.25" x14ac:dyDescent="0.2">
      <c r="A186" s="13">
        <f t="shared" si="10"/>
        <v>151</v>
      </c>
      <c r="B186" s="13" t="s">
        <v>538</v>
      </c>
      <c r="C186" s="25" t="s">
        <v>539</v>
      </c>
      <c r="D186" s="13" t="s">
        <v>67</v>
      </c>
      <c r="E186" s="13">
        <v>400658318</v>
      </c>
      <c r="F186" s="26" t="s">
        <v>540</v>
      </c>
      <c r="G186" s="13">
        <v>400275407</v>
      </c>
      <c r="H186" s="13" t="s">
        <v>61</v>
      </c>
      <c r="I186" s="13">
        <v>2</v>
      </c>
      <c r="J186" s="13">
        <v>3</v>
      </c>
      <c r="K186" s="13">
        <v>0</v>
      </c>
      <c r="L186" s="13">
        <v>0</v>
      </c>
      <c r="M186" s="13">
        <v>0</v>
      </c>
      <c r="N186" s="13">
        <v>0</v>
      </c>
      <c r="O186" s="13">
        <v>1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1</v>
      </c>
      <c r="Y186" s="13"/>
      <c r="Z186" s="13"/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1</v>
      </c>
      <c r="AK186" s="13">
        <f t="shared" si="11"/>
        <v>2</v>
      </c>
      <c r="AL186" s="23">
        <f t="shared" si="9"/>
        <v>70863</v>
      </c>
      <c r="AM186" s="13"/>
      <c r="AN186" s="13" t="s">
        <v>299</v>
      </c>
      <c r="AO186" s="7" t="s">
        <v>300</v>
      </c>
      <c r="AP186" s="38">
        <v>1E-3</v>
      </c>
      <c r="AQ186" s="12">
        <v>80300</v>
      </c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13"/>
      <c r="CG186" s="13"/>
      <c r="CH186" s="13"/>
      <c r="CI186" s="12"/>
      <c r="CJ186" s="12"/>
      <c r="CK186" s="12"/>
      <c r="CL186" s="12"/>
      <c r="CM186" s="12"/>
      <c r="CN186" s="12"/>
      <c r="CO186" s="12"/>
      <c r="CP186" s="12">
        <f>SUM($AQ186:BJ186)-SUM($EA186:EH186)</f>
        <v>73237</v>
      </c>
      <c r="CQ186" s="12">
        <f>SUM($AQ186:BK186)-SUM($EA186:EI186)</f>
        <v>72837</v>
      </c>
      <c r="CR186" s="12">
        <f>SUM($AQ186:BL186)-SUM($EA186:EJ186)</f>
        <v>71822</v>
      </c>
      <c r="CS186" s="12">
        <f>SUM($AQ186:BM186)-SUM($EA186:EK186)</f>
        <v>70687</v>
      </c>
      <c r="CT186" s="12">
        <f>SUM($AQ186:BN186)-SUM($EA186:EL186)</f>
        <v>68672</v>
      </c>
      <c r="CU186" s="12">
        <f>SUM($AQ186:BO186)-SUM($EA186:EM186)</f>
        <v>66622</v>
      </c>
      <c r="CV186" s="12">
        <f>SUM($AQ186:BP186)-SUM($EA186:EN186)</f>
        <v>64572</v>
      </c>
      <c r="CW186" s="12">
        <f>SUM($AQ186:BQ186)-SUM($EA186:EO186)</f>
        <v>62572</v>
      </c>
      <c r="CX186" s="12">
        <f>SUM($AQ186:BR186)-SUM($EA186:EP186)</f>
        <v>60522</v>
      </c>
      <c r="CY186" s="12">
        <f>SUM($AQ186:BS186)-SUM($EA186:EQ186)</f>
        <v>58472</v>
      </c>
      <c r="CZ186" s="12">
        <f>SUM($AQ186:BT186)-SUM($EA186:ER186)</f>
        <v>56422</v>
      </c>
      <c r="DA186" s="12">
        <f>SUM($AQ186:BU186)-SUM($EA186:ES186)</f>
        <v>54372</v>
      </c>
      <c r="DB186" s="12">
        <f>SUM($AQ186:BV186)-SUM($EA186:ET186)</f>
        <v>52322</v>
      </c>
      <c r="DC186" s="12">
        <f>SUM($AQ186:BW186)-SUM($EA186:EU186)</f>
        <v>50272</v>
      </c>
      <c r="DD186" s="12">
        <f>SUM($AQ186:BX186)-SUM($EA186:EV186)</f>
        <v>48222</v>
      </c>
      <c r="DE186" s="12">
        <f>SUM($AQ186:BY186)-SUM($EA186:EW186)</f>
        <v>46212</v>
      </c>
      <c r="DF186" s="12">
        <f>SUM($AQ186:BZ186)-SUM($EA186:EX186)</f>
        <v>44212</v>
      </c>
      <c r="DG186" s="12">
        <f>SUM($AQ186:CA186)-SUM($EA186:EY186)</f>
        <v>42212</v>
      </c>
      <c r="DH186" s="12">
        <f>SUM($AQ186:CB186)-SUM($EA186:EZ186)</f>
        <v>40212</v>
      </c>
      <c r="DI186" s="12">
        <f>SUM($AQ186:CC186)-SUM($EA186:FA186)</f>
        <v>38212</v>
      </c>
      <c r="DJ186" s="12">
        <f>SUM($AQ186:CD186)-SUM($EA186:FB186)</f>
        <v>36212</v>
      </c>
      <c r="DK186" s="12">
        <f>SUM($AQ186:CE186)-SUM($EA186:FC186)</f>
        <v>34212</v>
      </c>
      <c r="DL186" s="12">
        <f>SUM($AQ186:CF186)-SUM($EA186:FD186)</f>
        <v>32212</v>
      </c>
      <c r="DM186" s="12">
        <f>SUM($AQ186:CG186)-SUM($EA186:FE186)</f>
        <v>30212</v>
      </c>
      <c r="DN186" s="12">
        <f>SUM($AQ186:CH186)-SUM($EA186:FF186)</f>
        <v>28212</v>
      </c>
      <c r="DO186" s="12">
        <f>SUM($AQ186:CI186)-SUM($EA186:FG186)</f>
        <v>26212</v>
      </c>
      <c r="DP186" s="12">
        <f>SUM($AQ186:CJ186)-SUM($EA186:FH186)</f>
        <v>24212</v>
      </c>
      <c r="DQ186" s="12">
        <f>SUM($AQ186:CK186)-SUM($EA186:FI186)</f>
        <v>22212</v>
      </c>
      <c r="DR186" s="12">
        <f>SUM($AQ186:CL186)-SUM($EA186:FJ186)</f>
        <v>20212</v>
      </c>
      <c r="DS186" s="12">
        <f>SUM($AQ186:CM186)-SUM($EA186:FK186)</f>
        <v>18212</v>
      </c>
      <c r="DT186" s="12">
        <f>SUM($AQ186:CN186)-SUM($EA186:FL186)</f>
        <v>16212</v>
      </c>
      <c r="DU186" s="12">
        <f>SUM($AQ186:CO186)-SUM($EA186:FM186)</f>
        <v>14212</v>
      </c>
      <c r="DV186" s="12">
        <f>SUM($AQ186:CP186)-SUM($EA186:FN186)</f>
        <v>85751</v>
      </c>
      <c r="DW186" s="12">
        <f>SUM($AQ186:CQ186)-SUM($EA186:FO186)</f>
        <v>158511</v>
      </c>
      <c r="DX186" s="13"/>
      <c r="DY186" s="13"/>
      <c r="DZ186" s="13"/>
      <c r="EA186" s="12"/>
      <c r="EB186" s="12"/>
      <c r="EC186" s="12"/>
      <c r="ED186" s="12"/>
      <c r="EE186" s="12"/>
      <c r="EF186" s="12"/>
      <c r="EG186" s="12"/>
      <c r="EH186" s="12">
        <f t="array" ref="EH186">SUMPRODUCT(TRANSPOSE(EH$9:EH$34),$K186:$AJ186)</f>
        <v>7063</v>
      </c>
      <c r="EI186" s="12">
        <f t="array" ref="EI186">SUMPRODUCT(TRANSPOSE(EI$9:EI$34),$K186:$AJ186)</f>
        <v>400</v>
      </c>
      <c r="EJ186" s="12">
        <f t="array" ref="EJ186">SUMPRODUCT(TRANSPOSE(EJ$9:EJ$34),$K186:$AJ186)</f>
        <v>1015</v>
      </c>
      <c r="EK186" s="12">
        <f t="array" ref="EK186">SUMPRODUCT(TRANSPOSE(EK$9:EK$34),$K186:$AJ186)</f>
        <v>1135</v>
      </c>
      <c r="EL186" s="12">
        <f t="array" ref="EL186">SUMPRODUCT(TRANSPOSE(EL$9:EL$34),$K186:$AJ186)</f>
        <v>2015</v>
      </c>
      <c r="EM186" s="12">
        <f t="array" ref="EM186">SUMPRODUCT(TRANSPOSE(EM$9:EM$34),$K186:$AJ186)</f>
        <v>2050</v>
      </c>
      <c r="EN186" s="12">
        <f t="array" ref="EN186">SUMPRODUCT(TRANSPOSE(EN$9:EN$34),$K186:$AJ186)</f>
        <v>2050</v>
      </c>
      <c r="EO186" s="12">
        <f t="array" ref="EO186">SUMPRODUCT(TRANSPOSE(EO$9:EO$34),$K186:$AJ186)</f>
        <v>2000</v>
      </c>
      <c r="EP186" s="12">
        <f t="array" ref="EP186">SUMPRODUCT(TRANSPOSE(EP$9:EP$34),$K186:$AJ186)</f>
        <v>2050</v>
      </c>
      <c r="EQ186" s="12">
        <f t="array" ref="EQ186">SUMPRODUCT(TRANSPOSE(EQ$9:EQ$34),$K186:$AJ186)</f>
        <v>2050</v>
      </c>
      <c r="ER186" s="12">
        <f t="array" ref="ER186">SUMPRODUCT(TRANSPOSE(ER$9:ER$34),$K186:$AJ186)</f>
        <v>2050</v>
      </c>
      <c r="ES186" s="12">
        <f t="array" ref="ES186">SUMPRODUCT(TRANSPOSE(ES$9:ES$34),$K186:$AJ186)</f>
        <v>2050</v>
      </c>
      <c r="ET186" s="12">
        <f t="array" ref="ET186">SUMPRODUCT(TRANSPOSE(ET$9:ET$34),$K186:$AJ186)</f>
        <v>2050</v>
      </c>
      <c r="EU186" s="12">
        <f t="array" ref="EU186">SUMPRODUCT(TRANSPOSE(EU$9:EU$34),$K186:$AJ186)</f>
        <v>2050</v>
      </c>
      <c r="EV186" s="12">
        <f t="array" ref="EV186">SUMPRODUCT(TRANSPOSE(EV$9:EV$34),$K186:$AJ186)</f>
        <v>2050</v>
      </c>
      <c r="EW186" s="12">
        <f t="array" ref="EW186">SUMPRODUCT(TRANSPOSE(EW$9:EW$34),$K186:$AJ186)</f>
        <v>2010</v>
      </c>
      <c r="EX186" s="12">
        <f t="array" ref="EX186">SUMPRODUCT(TRANSPOSE(EX$9:EX$34),$K186:$AJ186)</f>
        <v>2000</v>
      </c>
      <c r="EY186" s="12">
        <f t="array" ref="EY186">SUMPRODUCT(TRANSPOSE(EY$9:EY$34),$K186:$AJ186)</f>
        <v>2000</v>
      </c>
      <c r="EZ186" s="12">
        <f t="array" ref="EZ186">SUMPRODUCT(TRANSPOSE(EZ$9:EZ$34),$K186:$AJ186)</f>
        <v>2000</v>
      </c>
      <c r="FA186" s="12">
        <f t="array" ref="FA186">SUMPRODUCT(TRANSPOSE(FA$9:FA$34),$K186:$AJ186)</f>
        <v>2000</v>
      </c>
      <c r="FB186" s="12">
        <f t="array" ref="FB186">SUMPRODUCT(TRANSPOSE(FB$9:FB$34),$K186:$AJ186)</f>
        <v>2000</v>
      </c>
      <c r="FC186" s="12">
        <f t="array" ref="FC186">SUMPRODUCT(TRANSPOSE(FC$9:FC$34),$K186:$AJ186)</f>
        <v>2000</v>
      </c>
      <c r="FD186" s="12">
        <f t="array" ref="FD186">SUMPRODUCT(TRANSPOSE(FD$9:FD$34),$K186:$AJ186)</f>
        <v>2000</v>
      </c>
      <c r="FE186" s="12">
        <f t="array" ref="FE186">SUMPRODUCT(TRANSPOSE(FE$9:FE$34),$K186:$AJ186)</f>
        <v>2000</v>
      </c>
      <c r="FF186" s="12">
        <f t="array" ref="FF186">SUMPRODUCT(TRANSPOSE(FF$9:FF$34),$K186:$AJ186)</f>
        <v>2000</v>
      </c>
      <c r="FG186" s="12">
        <f t="array" ref="FG186">SUMPRODUCT(TRANSPOSE(FG$9:FG$34),$K186:$AJ186)</f>
        <v>2000</v>
      </c>
      <c r="FH186" s="12">
        <f t="array" ref="FH186">SUMPRODUCT(TRANSPOSE(FH$9:FH$34),$K186:$AJ186)</f>
        <v>2000</v>
      </c>
      <c r="FI186" s="12">
        <f t="array" ref="FI186">SUMPRODUCT(TRANSPOSE(FI$9:FI$34),$K186:$AJ186)</f>
        <v>2000</v>
      </c>
      <c r="FJ186" s="12">
        <f t="array" ref="FJ186">SUMPRODUCT(TRANSPOSE(FJ$9:FJ$34),$K186:$AJ186)</f>
        <v>2000</v>
      </c>
      <c r="FK186" s="12">
        <f t="array" ref="FK186">SUMPRODUCT(TRANSPOSE(FK$9:FK$34),$K186:$AJ186)</f>
        <v>2000</v>
      </c>
      <c r="FL186" s="12">
        <f t="array" ref="FL186">SUMPRODUCT(TRANSPOSE(FL$9:FL$34),$K186:$AJ186)</f>
        <v>2000</v>
      </c>
      <c r="FM186" s="12">
        <f t="array" ref="FM186">SUMPRODUCT(TRANSPOSE(FM$9:FM$34),$K186:$AJ186)</f>
        <v>2000</v>
      </c>
      <c r="FN186" s="12">
        <f t="array" ref="FN186">SUMPRODUCT(TRANSPOSE(FN$9:FN$34),$K186:$AJ186)</f>
        <v>1698</v>
      </c>
      <c r="FO186" s="12">
        <f t="array" ref="FO186">SUMPRODUCT(TRANSPOSE(FO$9:FO$34),$K186:$AJ186)</f>
        <v>77</v>
      </c>
    </row>
    <row r="187" spans="1:171" ht="14.25" x14ac:dyDescent="0.2">
      <c r="A187" s="13">
        <f t="shared" si="10"/>
        <v>152</v>
      </c>
      <c r="B187" s="13" t="s">
        <v>541</v>
      </c>
      <c r="C187" s="25" t="s">
        <v>542</v>
      </c>
      <c r="D187" s="13" t="s">
        <v>67</v>
      </c>
      <c r="E187" s="13">
        <v>405295603</v>
      </c>
      <c r="F187" s="26" t="s">
        <v>543</v>
      </c>
      <c r="G187" s="13">
        <v>400275509</v>
      </c>
      <c r="H187" s="13" t="s">
        <v>61</v>
      </c>
      <c r="I187" s="13">
        <v>2</v>
      </c>
      <c r="J187" s="13">
        <v>69</v>
      </c>
      <c r="K187" s="13">
        <v>0</v>
      </c>
      <c r="L187" s="13">
        <v>0</v>
      </c>
      <c r="M187" s="13">
        <v>0</v>
      </c>
      <c r="N187" s="13">
        <v>0</v>
      </c>
      <c r="O187" s="13">
        <v>23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23</v>
      </c>
      <c r="Y187" s="13"/>
      <c r="Z187" s="13"/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23</v>
      </c>
      <c r="AK187" s="13">
        <f t="shared" si="11"/>
        <v>46</v>
      </c>
      <c r="AL187" s="23">
        <f t="shared" si="9"/>
        <v>1629849</v>
      </c>
      <c r="AM187" s="13"/>
      <c r="AN187" s="13" t="s">
        <v>299</v>
      </c>
      <c r="AO187" s="7" t="s">
        <v>300</v>
      </c>
      <c r="AP187" s="41">
        <v>8.9999999999999998E-4</v>
      </c>
      <c r="AQ187" s="12">
        <v>1636900</v>
      </c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13"/>
      <c r="CG187" s="13"/>
      <c r="CH187" s="13"/>
      <c r="CI187" s="12"/>
      <c r="CJ187" s="12"/>
      <c r="CK187" s="12"/>
      <c r="CL187" s="12"/>
      <c r="CM187" s="12"/>
      <c r="CN187" s="12"/>
      <c r="CO187" s="12"/>
      <c r="CP187" s="12">
        <f>SUM($AQ187:BJ187)-SUM($EA187:EH187)</f>
        <v>1474451</v>
      </c>
      <c r="CQ187" s="12">
        <f>SUM($AQ187:BK187)-SUM($EA187:EI187)</f>
        <v>1465251</v>
      </c>
      <c r="CR187" s="12">
        <f>SUM($AQ187:BL187)-SUM($EA187:EJ187)</f>
        <v>1441906</v>
      </c>
      <c r="CS187" s="12">
        <f>SUM($AQ187:BM187)-SUM($EA187:EK187)</f>
        <v>1415801</v>
      </c>
      <c r="CT187" s="12">
        <f>SUM($AQ187:BN187)-SUM($EA187:EL187)</f>
        <v>1369456</v>
      </c>
      <c r="CU187" s="12">
        <f>SUM($AQ187:BO187)-SUM($EA187:EM187)</f>
        <v>1322306</v>
      </c>
      <c r="CV187" s="12">
        <f>SUM($AQ187:BP187)-SUM($EA187:EN187)</f>
        <v>1275156</v>
      </c>
      <c r="CW187" s="12">
        <f>SUM($AQ187:BQ187)-SUM($EA187:EO187)</f>
        <v>1229156</v>
      </c>
      <c r="CX187" s="12">
        <f>SUM($AQ187:BR187)-SUM($EA187:EP187)</f>
        <v>1182006</v>
      </c>
      <c r="CY187" s="12">
        <f>SUM($AQ187:BS187)-SUM($EA187:EQ187)</f>
        <v>1134856</v>
      </c>
      <c r="CZ187" s="12">
        <f>SUM($AQ187:BT187)-SUM($EA187:ER187)</f>
        <v>1087706</v>
      </c>
      <c r="DA187" s="12">
        <f>SUM($AQ187:BU187)-SUM($EA187:ES187)</f>
        <v>1040556</v>
      </c>
      <c r="DB187" s="12">
        <f>SUM($AQ187:BV187)-SUM($EA187:ET187)</f>
        <v>993406</v>
      </c>
      <c r="DC187" s="12">
        <f>SUM($AQ187:BW187)-SUM($EA187:EU187)</f>
        <v>946256</v>
      </c>
      <c r="DD187" s="12">
        <f>SUM($AQ187:BX187)-SUM($EA187:EV187)</f>
        <v>899106</v>
      </c>
      <c r="DE187" s="12">
        <f>SUM($AQ187:BY187)-SUM($EA187:EW187)</f>
        <v>852876</v>
      </c>
      <c r="DF187" s="12">
        <f>SUM($AQ187:BZ187)-SUM($EA187:EX187)</f>
        <v>806876</v>
      </c>
      <c r="DG187" s="12">
        <f>SUM($AQ187:CA187)-SUM($EA187:EY187)</f>
        <v>760876</v>
      </c>
      <c r="DH187" s="12">
        <f>SUM($AQ187:CB187)-SUM($EA187:EZ187)</f>
        <v>714876</v>
      </c>
      <c r="DI187" s="12">
        <f>SUM($AQ187:CC187)-SUM($EA187:FA187)</f>
        <v>668876</v>
      </c>
      <c r="DJ187" s="12">
        <f>SUM($AQ187:CD187)-SUM($EA187:FB187)</f>
        <v>622876</v>
      </c>
      <c r="DK187" s="12">
        <f>SUM($AQ187:CE187)-SUM($EA187:FC187)</f>
        <v>576876</v>
      </c>
      <c r="DL187" s="12">
        <f>SUM($AQ187:CF187)-SUM($EA187:FD187)</f>
        <v>530876</v>
      </c>
      <c r="DM187" s="12">
        <f>SUM($AQ187:CG187)-SUM($EA187:FE187)</f>
        <v>484876</v>
      </c>
      <c r="DN187" s="12">
        <f>SUM($AQ187:CH187)-SUM($EA187:FF187)</f>
        <v>438876</v>
      </c>
      <c r="DO187" s="12">
        <f>SUM($AQ187:CI187)-SUM($EA187:FG187)</f>
        <v>392876</v>
      </c>
      <c r="DP187" s="12">
        <f>SUM($AQ187:CJ187)-SUM($EA187:FH187)</f>
        <v>346876</v>
      </c>
      <c r="DQ187" s="12">
        <f>SUM($AQ187:CK187)-SUM($EA187:FI187)</f>
        <v>300876</v>
      </c>
      <c r="DR187" s="12">
        <f>SUM($AQ187:CL187)-SUM($EA187:FJ187)</f>
        <v>254876</v>
      </c>
      <c r="DS187" s="12">
        <f>SUM($AQ187:CM187)-SUM($EA187:FK187)</f>
        <v>208876</v>
      </c>
      <c r="DT187" s="12">
        <f>SUM($AQ187:CN187)-SUM($EA187:FL187)</f>
        <v>162876</v>
      </c>
      <c r="DU187" s="12">
        <f>SUM($AQ187:CO187)-SUM($EA187:FM187)</f>
        <v>116876</v>
      </c>
      <c r="DV187" s="12">
        <f>SUM($AQ187:CP187)-SUM($EA187:FN187)</f>
        <v>1552273</v>
      </c>
      <c r="DW187" s="12">
        <f>SUM($AQ187:CQ187)-SUM($EA187:FO187)</f>
        <v>3015753</v>
      </c>
      <c r="DX187" s="13"/>
      <c r="DY187" s="13"/>
      <c r="DZ187" s="13"/>
      <c r="EA187" s="12"/>
      <c r="EB187" s="12"/>
      <c r="EC187" s="12"/>
      <c r="ED187" s="12"/>
      <c r="EE187" s="12"/>
      <c r="EF187" s="12"/>
      <c r="EG187" s="12"/>
      <c r="EH187" s="12">
        <f t="array" ref="EH187">SUMPRODUCT(TRANSPOSE(EH$9:EH$34),$K187:$AJ187)</f>
        <v>162449</v>
      </c>
      <c r="EI187" s="12">
        <f t="array" ref="EI187">SUMPRODUCT(TRANSPOSE(EI$9:EI$34),$K187:$AJ187)</f>
        <v>9200</v>
      </c>
      <c r="EJ187" s="12">
        <f t="array" ref="EJ187">SUMPRODUCT(TRANSPOSE(EJ$9:EJ$34),$K187:$AJ187)</f>
        <v>23345</v>
      </c>
      <c r="EK187" s="12">
        <f t="array" ref="EK187">SUMPRODUCT(TRANSPOSE(EK$9:EK$34),$K187:$AJ187)</f>
        <v>26105</v>
      </c>
      <c r="EL187" s="12">
        <f t="array" ref="EL187">SUMPRODUCT(TRANSPOSE(EL$9:EL$34),$K187:$AJ187)</f>
        <v>46345</v>
      </c>
      <c r="EM187" s="12">
        <f t="array" ref="EM187">SUMPRODUCT(TRANSPOSE(EM$9:EM$34),$K187:$AJ187)</f>
        <v>47150</v>
      </c>
      <c r="EN187" s="12">
        <f t="array" ref="EN187">SUMPRODUCT(TRANSPOSE(EN$9:EN$34),$K187:$AJ187)</f>
        <v>47150</v>
      </c>
      <c r="EO187" s="12">
        <f t="array" ref="EO187">SUMPRODUCT(TRANSPOSE(EO$9:EO$34),$K187:$AJ187)</f>
        <v>46000</v>
      </c>
      <c r="EP187" s="12">
        <f t="array" ref="EP187">SUMPRODUCT(TRANSPOSE(EP$9:EP$34),$K187:$AJ187)</f>
        <v>47150</v>
      </c>
      <c r="EQ187" s="12">
        <f t="array" ref="EQ187">SUMPRODUCT(TRANSPOSE(EQ$9:EQ$34),$K187:$AJ187)</f>
        <v>47150</v>
      </c>
      <c r="ER187" s="12">
        <f t="array" ref="ER187">SUMPRODUCT(TRANSPOSE(ER$9:ER$34),$K187:$AJ187)</f>
        <v>47150</v>
      </c>
      <c r="ES187" s="12">
        <f t="array" ref="ES187">SUMPRODUCT(TRANSPOSE(ES$9:ES$34),$K187:$AJ187)</f>
        <v>47150</v>
      </c>
      <c r="ET187" s="12">
        <f t="array" ref="ET187">SUMPRODUCT(TRANSPOSE(ET$9:ET$34),$K187:$AJ187)</f>
        <v>47150</v>
      </c>
      <c r="EU187" s="12">
        <f t="array" ref="EU187">SUMPRODUCT(TRANSPOSE(EU$9:EU$34),$K187:$AJ187)</f>
        <v>47150</v>
      </c>
      <c r="EV187" s="12">
        <f t="array" ref="EV187">SUMPRODUCT(TRANSPOSE(EV$9:EV$34),$K187:$AJ187)</f>
        <v>47150</v>
      </c>
      <c r="EW187" s="12">
        <f t="array" ref="EW187">SUMPRODUCT(TRANSPOSE(EW$9:EW$34),$K187:$AJ187)</f>
        <v>46230</v>
      </c>
      <c r="EX187" s="12">
        <f t="array" ref="EX187">SUMPRODUCT(TRANSPOSE(EX$9:EX$34),$K187:$AJ187)</f>
        <v>46000</v>
      </c>
      <c r="EY187" s="12">
        <f t="array" ref="EY187">SUMPRODUCT(TRANSPOSE(EY$9:EY$34),$K187:$AJ187)</f>
        <v>46000</v>
      </c>
      <c r="EZ187" s="12">
        <f t="array" ref="EZ187">SUMPRODUCT(TRANSPOSE(EZ$9:EZ$34),$K187:$AJ187)</f>
        <v>46000</v>
      </c>
      <c r="FA187" s="12">
        <f t="array" ref="FA187">SUMPRODUCT(TRANSPOSE(FA$9:FA$34),$K187:$AJ187)</f>
        <v>46000</v>
      </c>
      <c r="FB187" s="12">
        <f t="array" ref="FB187">SUMPRODUCT(TRANSPOSE(FB$9:FB$34),$K187:$AJ187)</f>
        <v>46000</v>
      </c>
      <c r="FC187" s="12">
        <f t="array" ref="FC187">SUMPRODUCT(TRANSPOSE(FC$9:FC$34),$K187:$AJ187)</f>
        <v>46000</v>
      </c>
      <c r="FD187" s="12">
        <f t="array" ref="FD187">SUMPRODUCT(TRANSPOSE(FD$9:FD$34),$K187:$AJ187)</f>
        <v>46000</v>
      </c>
      <c r="FE187" s="12">
        <f t="array" ref="FE187">SUMPRODUCT(TRANSPOSE(FE$9:FE$34),$K187:$AJ187)</f>
        <v>46000</v>
      </c>
      <c r="FF187" s="12">
        <f t="array" ref="FF187">SUMPRODUCT(TRANSPOSE(FF$9:FF$34),$K187:$AJ187)</f>
        <v>46000</v>
      </c>
      <c r="FG187" s="12">
        <f t="array" ref="FG187">SUMPRODUCT(TRANSPOSE(FG$9:FG$34),$K187:$AJ187)</f>
        <v>46000</v>
      </c>
      <c r="FH187" s="12">
        <f t="array" ref="FH187">SUMPRODUCT(TRANSPOSE(FH$9:FH$34),$K187:$AJ187)</f>
        <v>46000</v>
      </c>
      <c r="FI187" s="12">
        <f t="array" ref="FI187">SUMPRODUCT(TRANSPOSE(FI$9:FI$34),$K187:$AJ187)</f>
        <v>46000</v>
      </c>
      <c r="FJ187" s="12">
        <f t="array" ref="FJ187">SUMPRODUCT(TRANSPOSE(FJ$9:FJ$34),$K187:$AJ187)</f>
        <v>46000</v>
      </c>
      <c r="FK187" s="12">
        <f t="array" ref="FK187">SUMPRODUCT(TRANSPOSE(FK$9:FK$34),$K187:$AJ187)</f>
        <v>46000</v>
      </c>
      <c r="FL187" s="12">
        <f t="array" ref="FL187">SUMPRODUCT(TRANSPOSE(FL$9:FL$34),$K187:$AJ187)</f>
        <v>46000</v>
      </c>
      <c r="FM187" s="12">
        <f t="array" ref="FM187">SUMPRODUCT(TRANSPOSE(FM$9:FM$34),$K187:$AJ187)</f>
        <v>46000</v>
      </c>
      <c r="FN187" s="12">
        <f t="array" ref="FN187">SUMPRODUCT(TRANSPOSE(FN$9:FN$34),$K187:$AJ187)</f>
        <v>39054</v>
      </c>
      <c r="FO187" s="12">
        <f t="array" ref="FO187">SUMPRODUCT(TRANSPOSE(FO$9:FO$34),$K187:$AJ187)</f>
        <v>1771</v>
      </c>
    </row>
    <row r="188" spans="1:171" ht="14.25" x14ac:dyDescent="0.2">
      <c r="A188" s="13">
        <f t="shared" si="10"/>
        <v>153</v>
      </c>
      <c r="B188" s="13" t="s">
        <v>544</v>
      </c>
      <c r="C188" s="25" t="s">
        <v>545</v>
      </c>
      <c r="D188" s="13" t="s">
        <v>67</v>
      </c>
      <c r="E188" s="13">
        <v>400658323</v>
      </c>
      <c r="F188" s="26" t="s">
        <v>546</v>
      </c>
      <c r="G188" s="13">
        <v>400005121</v>
      </c>
      <c r="H188" s="13" t="s">
        <v>61</v>
      </c>
      <c r="I188" s="13">
        <v>2</v>
      </c>
      <c r="J188" s="13">
        <v>12</v>
      </c>
      <c r="K188" s="13">
        <v>0</v>
      </c>
      <c r="L188" s="13">
        <v>0</v>
      </c>
      <c r="M188" s="13">
        <v>0</v>
      </c>
      <c r="N188" s="13">
        <v>0</v>
      </c>
      <c r="O188" s="13">
        <v>4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4</v>
      </c>
      <c r="Y188" s="13"/>
      <c r="Z188" s="13"/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4</v>
      </c>
      <c r="AK188" s="13">
        <f t="shared" si="11"/>
        <v>8</v>
      </c>
      <c r="AL188" s="23">
        <f t="shared" si="9"/>
        <v>283452</v>
      </c>
      <c r="AM188" s="13"/>
      <c r="AN188" s="13" t="s">
        <v>299</v>
      </c>
      <c r="AO188" s="7" t="s">
        <v>307</v>
      </c>
      <c r="AP188" s="38">
        <v>1E-3</v>
      </c>
      <c r="AQ188" s="12">
        <v>290000</v>
      </c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13"/>
      <c r="CG188" s="13"/>
      <c r="CH188" s="13"/>
      <c r="CI188" s="12"/>
      <c r="CJ188" s="12"/>
      <c r="CK188" s="12"/>
      <c r="CL188" s="12"/>
      <c r="CM188" s="12"/>
      <c r="CN188" s="12"/>
      <c r="CO188" s="12"/>
      <c r="CP188" s="12">
        <f>SUM($AQ188:BJ188)-SUM($EA188:EH188)</f>
        <v>261748</v>
      </c>
      <c r="CQ188" s="12">
        <f>SUM($AQ188:BK188)-SUM($EA188:EI188)</f>
        <v>260148</v>
      </c>
      <c r="CR188" s="12">
        <f>SUM($AQ188:BL188)-SUM($EA188:EJ188)</f>
        <v>256088</v>
      </c>
      <c r="CS188" s="12">
        <f>SUM($AQ188:BM188)-SUM($EA188:EK188)</f>
        <v>251548</v>
      </c>
      <c r="CT188" s="12">
        <f>SUM($AQ188:BN188)-SUM($EA188:EL188)</f>
        <v>243488</v>
      </c>
      <c r="CU188" s="12">
        <f>SUM($AQ188:BO188)-SUM($EA188:EM188)</f>
        <v>235288</v>
      </c>
      <c r="CV188" s="12">
        <f>SUM($AQ188:BP188)-SUM($EA188:EN188)</f>
        <v>227088</v>
      </c>
      <c r="CW188" s="12">
        <f>SUM($AQ188:BQ188)-SUM($EA188:EO188)</f>
        <v>219088</v>
      </c>
      <c r="CX188" s="12">
        <f>SUM($AQ188:BR188)-SUM($EA188:EP188)</f>
        <v>210888</v>
      </c>
      <c r="CY188" s="12">
        <f>SUM($AQ188:BS188)-SUM($EA188:EQ188)</f>
        <v>202688</v>
      </c>
      <c r="CZ188" s="12">
        <f>SUM($AQ188:BT188)-SUM($EA188:ER188)</f>
        <v>194488</v>
      </c>
      <c r="DA188" s="12">
        <f>SUM($AQ188:BU188)-SUM($EA188:ES188)</f>
        <v>186288</v>
      </c>
      <c r="DB188" s="12">
        <f>SUM($AQ188:BV188)-SUM($EA188:ET188)</f>
        <v>178088</v>
      </c>
      <c r="DC188" s="12">
        <f>SUM($AQ188:BW188)-SUM($EA188:EU188)</f>
        <v>169888</v>
      </c>
      <c r="DD188" s="12">
        <f>SUM($AQ188:BX188)-SUM($EA188:EV188)</f>
        <v>161688</v>
      </c>
      <c r="DE188" s="12">
        <f>SUM($AQ188:BY188)-SUM($EA188:EW188)</f>
        <v>153648</v>
      </c>
      <c r="DF188" s="12">
        <f>SUM($AQ188:BZ188)-SUM($EA188:EX188)</f>
        <v>145648</v>
      </c>
      <c r="DG188" s="12">
        <f>SUM($AQ188:CA188)-SUM($EA188:EY188)</f>
        <v>137648</v>
      </c>
      <c r="DH188" s="12">
        <f>SUM($AQ188:CB188)-SUM($EA188:EZ188)</f>
        <v>129648</v>
      </c>
      <c r="DI188" s="12">
        <f>SUM($AQ188:CC188)-SUM($EA188:FA188)</f>
        <v>121648</v>
      </c>
      <c r="DJ188" s="12">
        <f>SUM($AQ188:CD188)-SUM($EA188:FB188)</f>
        <v>113648</v>
      </c>
      <c r="DK188" s="12">
        <f>SUM($AQ188:CE188)-SUM($EA188:FC188)</f>
        <v>105648</v>
      </c>
      <c r="DL188" s="12">
        <f>SUM($AQ188:CF188)-SUM($EA188:FD188)</f>
        <v>97648</v>
      </c>
      <c r="DM188" s="12">
        <f>SUM($AQ188:CG188)-SUM($EA188:FE188)</f>
        <v>89648</v>
      </c>
      <c r="DN188" s="12">
        <f>SUM($AQ188:CH188)-SUM($EA188:FF188)</f>
        <v>81648</v>
      </c>
      <c r="DO188" s="12">
        <f>SUM($AQ188:CI188)-SUM($EA188:FG188)</f>
        <v>73648</v>
      </c>
      <c r="DP188" s="12">
        <f>SUM($AQ188:CJ188)-SUM($EA188:FH188)</f>
        <v>65648</v>
      </c>
      <c r="DQ188" s="12">
        <f>SUM($AQ188:CK188)-SUM($EA188:FI188)</f>
        <v>57648</v>
      </c>
      <c r="DR188" s="12">
        <f>SUM($AQ188:CL188)-SUM($EA188:FJ188)</f>
        <v>49648</v>
      </c>
      <c r="DS188" s="12">
        <f>SUM($AQ188:CM188)-SUM($EA188:FK188)</f>
        <v>41648</v>
      </c>
      <c r="DT188" s="12">
        <f>SUM($AQ188:CN188)-SUM($EA188:FL188)</f>
        <v>33648</v>
      </c>
      <c r="DU188" s="12">
        <f>SUM($AQ188:CO188)-SUM($EA188:FM188)</f>
        <v>25648</v>
      </c>
      <c r="DV188" s="12">
        <f>SUM($AQ188:CP188)-SUM($EA188:FN188)</f>
        <v>280604</v>
      </c>
      <c r="DW188" s="12">
        <f>SUM($AQ188:CQ188)-SUM($EA188:FO188)</f>
        <v>540444</v>
      </c>
      <c r="DX188" s="13"/>
      <c r="DY188" s="13"/>
      <c r="DZ188" s="13"/>
      <c r="EA188" s="12"/>
      <c r="EB188" s="12"/>
      <c r="EC188" s="12"/>
      <c r="ED188" s="12"/>
      <c r="EE188" s="12"/>
      <c r="EF188" s="12"/>
      <c r="EG188" s="12"/>
      <c r="EH188" s="12">
        <f t="array" ref="EH188">SUMPRODUCT(TRANSPOSE(EH$9:EH$34),$K188:$AJ188)</f>
        <v>28252</v>
      </c>
      <c r="EI188" s="12">
        <f t="array" ref="EI188">SUMPRODUCT(TRANSPOSE(EI$9:EI$34),$K188:$AJ188)</f>
        <v>1600</v>
      </c>
      <c r="EJ188" s="12">
        <f t="array" ref="EJ188">SUMPRODUCT(TRANSPOSE(EJ$9:EJ$34),$K188:$AJ188)</f>
        <v>4060</v>
      </c>
      <c r="EK188" s="12">
        <f t="array" ref="EK188">SUMPRODUCT(TRANSPOSE(EK$9:EK$34),$K188:$AJ188)</f>
        <v>4540</v>
      </c>
      <c r="EL188" s="12">
        <f t="array" ref="EL188">SUMPRODUCT(TRANSPOSE(EL$9:EL$34),$K188:$AJ188)</f>
        <v>8060</v>
      </c>
      <c r="EM188" s="12">
        <f t="array" ref="EM188">SUMPRODUCT(TRANSPOSE(EM$9:EM$34),$K188:$AJ188)</f>
        <v>8200</v>
      </c>
      <c r="EN188" s="12">
        <f t="array" ref="EN188">SUMPRODUCT(TRANSPOSE(EN$9:EN$34),$K188:$AJ188)</f>
        <v>8200</v>
      </c>
      <c r="EO188" s="12">
        <f t="array" ref="EO188">SUMPRODUCT(TRANSPOSE(EO$9:EO$34),$K188:$AJ188)</f>
        <v>8000</v>
      </c>
      <c r="EP188" s="12">
        <f t="array" ref="EP188">SUMPRODUCT(TRANSPOSE(EP$9:EP$34),$K188:$AJ188)</f>
        <v>8200</v>
      </c>
      <c r="EQ188" s="12">
        <f t="array" ref="EQ188">SUMPRODUCT(TRANSPOSE(EQ$9:EQ$34),$K188:$AJ188)</f>
        <v>8200</v>
      </c>
      <c r="ER188" s="12">
        <f t="array" ref="ER188">SUMPRODUCT(TRANSPOSE(ER$9:ER$34),$K188:$AJ188)</f>
        <v>8200</v>
      </c>
      <c r="ES188" s="12">
        <f t="array" ref="ES188">SUMPRODUCT(TRANSPOSE(ES$9:ES$34),$K188:$AJ188)</f>
        <v>8200</v>
      </c>
      <c r="ET188" s="12">
        <f t="array" ref="ET188">SUMPRODUCT(TRANSPOSE(ET$9:ET$34),$K188:$AJ188)</f>
        <v>8200</v>
      </c>
      <c r="EU188" s="12">
        <f t="array" ref="EU188">SUMPRODUCT(TRANSPOSE(EU$9:EU$34),$K188:$AJ188)</f>
        <v>8200</v>
      </c>
      <c r="EV188" s="12">
        <f t="array" ref="EV188">SUMPRODUCT(TRANSPOSE(EV$9:EV$34),$K188:$AJ188)</f>
        <v>8200</v>
      </c>
      <c r="EW188" s="12">
        <f t="array" ref="EW188">SUMPRODUCT(TRANSPOSE(EW$9:EW$34),$K188:$AJ188)</f>
        <v>8040</v>
      </c>
      <c r="EX188" s="12">
        <f t="array" ref="EX188">SUMPRODUCT(TRANSPOSE(EX$9:EX$34),$K188:$AJ188)</f>
        <v>8000</v>
      </c>
      <c r="EY188" s="12">
        <f t="array" ref="EY188">SUMPRODUCT(TRANSPOSE(EY$9:EY$34),$K188:$AJ188)</f>
        <v>8000</v>
      </c>
      <c r="EZ188" s="12">
        <f t="array" ref="EZ188">SUMPRODUCT(TRANSPOSE(EZ$9:EZ$34),$K188:$AJ188)</f>
        <v>8000</v>
      </c>
      <c r="FA188" s="12">
        <f t="array" ref="FA188">SUMPRODUCT(TRANSPOSE(FA$9:FA$34),$K188:$AJ188)</f>
        <v>8000</v>
      </c>
      <c r="FB188" s="12">
        <f t="array" ref="FB188">SUMPRODUCT(TRANSPOSE(FB$9:FB$34),$K188:$AJ188)</f>
        <v>8000</v>
      </c>
      <c r="FC188" s="12">
        <f t="array" ref="FC188">SUMPRODUCT(TRANSPOSE(FC$9:FC$34),$K188:$AJ188)</f>
        <v>8000</v>
      </c>
      <c r="FD188" s="12">
        <f t="array" ref="FD188">SUMPRODUCT(TRANSPOSE(FD$9:FD$34),$K188:$AJ188)</f>
        <v>8000</v>
      </c>
      <c r="FE188" s="12">
        <f t="array" ref="FE188">SUMPRODUCT(TRANSPOSE(FE$9:FE$34),$K188:$AJ188)</f>
        <v>8000</v>
      </c>
      <c r="FF188" s="12">
        <f t="array" ref="FF188">SUMPRODUCT(TRANSPOSE(FF$9:FF$34),$K188:$AJ188)</f>
        <v>8000</v>
      </c>
      <c r="FG188" s="12">
        <f t="array" ref="FG188">SUMPRODUCT(TRANSPOSE(FG$9:FG$34),$K188:$AJ188)</f>
        <v>8000</v>
      </c>
      <c r="FH188" s="12">
        <f t="array" ref="FH188">SUMPRODUCT(TRANSPOSE(FH$9:FH$34),$K188:$AJ188)</f>
        <v>8000</v>
      </c>
      <c r="FI188" s="12">
        <f t="array" ref="FI188">SUMPRODUCT(TRANSPOSE(FI$9:FI$34),$K188:$AJ188)</f>
        <v>8000</v>
      </c>
      <c r="FJ188" s="12">
        <f t="array" ref="FJ188">SUMPRODUCT(TRANSPOSE(FJ$9:FJ$34),$K188:$AJ188)</f>
        <v>8000</v>
      </c>
      <c r="FK188" s="12">
        <f t="array" ref="FK188">SUMPRODUCT(TRANSPOSE(FK$9:FK$34),$K188:$AJ188)</f>
        <v>8000</v>
      </c>
      <c r="FL188" s="12">
        <f t="array" ref="FL188">SUMPRODUCT(TRANSPOSE(FL$9:FL$34),$K188:$AJ188)</f>
        <v>8000</v>
      </c>
      <c r="FM188" s="12">
        <f t="array" ref="FM188">SUMPRODUCT(TRANSPOSE(FM$9:FM$34),$K188:$AJ188)</f>
        <v>8000</v>
      </c>
      <c r="FN188" s="12">
        <f t="array" ref="FN188">SUMPRODUCT(TRANSPOSE(FN$9:FN$34),$K188:$AJ188)</f>
        <v>6792</v>
      </c>
      <c r="FO188" s="12">
        <f t="array" ref="FO188">SUMPRODUCT(TRANSPOSE(FO$9:FO$34),$K188:$AJ188)</f>
        <v>308</v>
      </c>
    </row>
    <row r="189" spans="1:171" ht="14.25" x14ac:dyDescent="0.2">
      <c r="A189" s="13">
        <f t="shared" si="10"/>
        <v>154</v>
      </c>
      <c r="B189" s="13" t="s">
        <v>547</v>
      </c>
      <c r="C189" s="25" t="s">
        <v>548</v>
      </c>
      <c r="D189" s="13" t="s">
        <v>67</v>
      </c>
      <c r="E189" s="13">
        <v>400658325</v>
      </c>
      <c r="F189" s="26" t="s">
        <v>549</v>
      </c>
      <c r="G189" s="13">
        <v>400275524</v>
      </c>
      <c r="H189" s="13" t="s">
        <v>61</v>
      </c>
      <c r="I189" s="13">
        <v>2</v>
      </c>
      <c r="J189" s="13">
        <v>6</v>
      </c>
      <c r="K189" s="13">
        <v>0</v>
      </c>
      <c r="L189" s="13">
        <v>0</v>
      </c>
      <c r="M189" s="13">
        <v>0</v>
      </c>
      <c r="N189" s="13">
        <v>0</v>
      </c>
      <c r="O189" s="13">
        <v>2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2</v>
      </c>
      <c r="Y189" s="13"/>
      <c r="Z189" s="13"/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2</v>
      </c>
      <c r="AK189" s="13">
        <f t="shared" si="11"/>
        <v>4</v>
      </c>
      <c r="AL189" s="23">
        <f t="shared" si="9"/>
        <v>141726</v>
      </c>
      <c r="AM189" s="13"/>
      <c r="AN189" s="13" t="s">
        <v>299</v>
      </c>
      <c r="AO189" s="7" t="s">
        <v>307</v>
      </c>
      <c r="AP189" s="37">
        <v>3.0000000000000001E-3</v>
      </c>
      <c r="AQ189" s="12">
        <v>150000</v>
      </c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13"/>
      <c r="CG189" s="13"/>
      <c r="CH189" s="13"/>
      <c r="CI189" s="12"/>
      <c r="CJ189" s="12"/>
      <c r="CK189" s="12"/>
      <c r="CL189" s="12"/>
      <c r="CM189" s="12"/>
      <c r="CN189" s="12"/>
      <c r="CO189" s="12"/>
      <c r="CP189" s="12">
        <f>SUM($AQ189:BJ189)-SUM($EA189:EH189)</f>
        <v>135874</v>
      </c>
      <c r="CQ189" s="12">
        <f>SUM($AQ189:BK189)-SUM($EA189:EI189)</f>
        <v>135074</v>
      </c>
      <c r="CR189" s="12">
        <f>SUM($AQ189:BL189)-SUM($EA189:EJ189)</f>
        <v>133044</v>
      </c>
      <c r="CS189" s="12">
        <f>SUM($AQ189:BM189)-SUM($EA189:EK189)</f>
        <v>130774</v>
      </c>
      <c r="CT189" s="12">
        <f>SUM($AQ189:BN189)-SUM($EA189:EL189)</f>
        <v>126744</v>
      </c>
      <c r="CU189" s="12">
        <f>SUM($AQ189:BO189)-SUM($EA189:EM189)</f>
        <v>122644</v>
      </c>
      <c r="CV189" s="12">
        <f>SUM($AQ189:BP189)-SUM($EA189:EN189)</f>
        <v>118544</v>
      </c>
      <c r="CW189" s="12">
        <f>SUM($AQ189:BQ189)-SUM($EA189:EO189)</f>
        <v>114544</v>
      </c>
      <c r="CX189" s="12">
        <f>SUM($AQ189:BR189)-SUM($EA189:EP189)</f>
        <v>110444</v>
      </c>
      <c r="CY189" s="12">
        <f>SUM($AQ189:BS189)-SUM($EA189:EQ189)</f>
        <v>106344</v>
      </c>
      <c r="CZ189" s="12">
        <f>SUM($AQ189:BT189)-SUM($EA189:ER189)</f>
        <v>102244</v>
      </c>
      <c r="DA189" s="12">
        <f>SUM($AQ189:BU189)-SUM($EA189:ES189)</f>
        <v>98144</v>
      </c>
      <c r="DB189" s="12">
        <f>SUM($AQ189:BV189)-SUM($EA189:ET189)</f>
        <v>94044</v>
      </c>
      <c r="DC189" s="12">
        <f>SUM($AQ189:BW189)-SUM($EA189:EU189)</f>
        <v>89944</v>
      </c>
      <c r="DD189" s="12">
        <f>SUM($AQ189:BX189)-SUM($EA189:EV189)</f>
        <v>85844</v>
      </c>
      <c r="DE189" s="12">
        <f>SUM($AQ189:BY189)-SUM($EA189:EW189)</f>
        <v>81824</v>
      </c>
      <c r="DF189" s="12">
        <f>SUM($AQ189:BZ189)-SUM($EA189:EX189)</f>
        <v>77824</v>
      </c>
      <c r="DG189" s="12">
        <f>SUM($AQ189:CA189)-SUM($EA189:EY189)</f>
        <v>73824</v>
      </c>
      <c r="DH189" s="12">
        <f>SUM($AQ189:CB189)-SUM($EA189:EZ189)</f>
        <v>69824</v>
      </c>
      <c r="DI189" s="12">
        <f>SUM($AQ189:CC189)-SUM($EA189:FA189)</f>
        <v>65824</v>
      </c>
      <c r="DJ189" s="12">
        <f>SUM($AQ189:CD189)-SUM($EA189:FB189)</f>
        <v>61824</v>
      </c>
      <c r="DK189" s="12">
        <f>SUM($AQ189:CE189)-SUM($EA189:FC189)</f>
        <v>57824</v>
      </c>
      <c r="DL189" s="12">
        <f>SUM($AQ189:CF189)-SUM($EA189:FD189)</f>
        <v>53824</v>
      </c>
      <c r="DM189" s="12">
        <f>SUM($AQ189:CG189)-SUM($EA189:FE189)</f>
        <v>49824</v>
      </c>
      <c r="DN189" s="12">
        <f>SUM($AQ189:CH189)-SUM($EA189:FF189)</f>
        <v>45824</v>
      </c>
      <c r="DO189" s="12">
        <f>SUM($AQ189:CI189)-SUM($EA189:FG189)</f>
        <v>41824</v>
      </c>
      <c r="DP189" s="12">
        <f>SUM($AQ189:CJ189)-SUM($EA189:FH189)</f>
        <v>37824</v>
      </c>
      <c r="DQ189" s="12">
        <f>SUM($AQ189:CK189)-SUM($EA189:FI189)</f>
        <v>33824</v>
      </c>
      <c r="DR189" s="12">
        <f>SUM($AQ189:CL189)-SUM($EA189:FJ189)</f>
        <v>29824</v>
      </c>
      <c r="DS189" s="12">
        <f>SUM($AQ189:CM189)-SUM($EA189:FK189)</f>
        <v>25824</v>
      </c>
      <c r="DT189" s="12">
        <f>SUM($AQ189:CN189)-SUM($EA189:FL189)</f>
        <v>21824</v>
      </c>
      <c r="DU189" s="12">
        <f>SUM($AQ189:CO189)-SUM($EA189:FM189)</f>
        <v>17824</v>
      </c>
      <c r="DV189" s="12">
        <f>SUM($AQ189:CP189)-SUM($EA189:FN189)</f>
        <v>150302</v>
      </c>
      <c r="DW189" s="12">
        <f>SUM($AQ189:CQ189)-SUM($EA189:FO189)</f>
        <v>285222</v>
      </c>
      <c r="DX189" s="13"/>
      <c r="DY189" s="13"/>
      <c r="DZ189" s="13"/>
      <c r="EA189" s="12"/>
      <c r="EB189" s="12"/>
      <c r="EC189" s="12"/>
      <c r="ED189" s="12"/>
      <c r="EE189" s="12"/>
      <c r="EF189" s="12"/>
      <c r="EG189" s="12"/>
      <c r="EH189" s="12">
        <f t="array" ref="EH189">SUMPRODUCT(TRANSPOSE(EH$9:EH$34),$K189:$AJ189)</f>
        <v>14126</v>
      </c>
      <c r="EI189" s="12">
        <f t="array" ref="EI189">SUMPRODUCT(TRANSPOSE(EI$9:EI$34),$K189:$AJ189)</f>
        <v>800</v>
      </c>
      <c r="EJ189" s="12">
        <f t="array" ref="EJ189">SUMPRODUCT(TRANSPOSE(EJ$9:EJ$34),$K189:$AJ189)</f>
        <v>2030</v>
      </c>
      <c r="EK189" s="12">
        <f t="array" ref="EK189">SUMPRODUCT(TRANSPOSE(EK$9:EK$34),$K189:$AJ189)</f>
        <v>2270</v>
      </c>
      <c r="EL189" s="12">
        <f t="array" ref="EL189">SUMPRODUCT(TRANSPOSE(EL$9:EL$34),$K189:$AJ189)</f>
        <v>4030</v>
      </c>
      <c r="EM189" s="12">
        <f t="array" ref="EM189">SUMPRODUCT(TRANSPOSE(EM$9:EM$34),$K189:$AJ189)</f>
        <v>4100</v>
      </c>
      <c r="EN189" s="12">
        <f t="array" ref="EN189">SUMPRODUCT(TRANSPOSE(EN$9:EN$34),$K189:$AJ189)</f>
        <v>4100</v>
      </c>
      <c r="EO189" s="12">
        <f t="array" ref="EO189">SUMPRODUCT(TRANSPOSE(EO$9:EO$34),$K189:$AJ189)</f>
        <v>4000</v>
      </c>
      <c r="EP189" s="12">
        <f t="array" ref="EP189">SUMPRODUCT(TRANSPOSE(EP$9:EP$34),$K189:$AJ189)</f>
        <v>4100</v>
      </c>
      <c r="EQ189" s="12">
        <f t="array" ref="EQ189">SUMPRODUCT(TRANSPOSE(EQ$9:EQ$34),$K189:$AJ189)</f>
        <v>4100</v>
      </c>
      <c r="ER189" s="12">
        <f t="array" ref="ER189">SUMPRODUCT(TRANSPOSE(ER$9:ER$34),$K189:$AJ189)</f>
        <v>4100</v>
      </c>
      <c r="ES189" s="12">
        <f t="array" ref="ES189">SUMPRODUCT(TRANSPOSE(ES$9:ES$34),$K189:$AJ189)</f>
        <v>4100</v>
      </c>
      <c r="ET189" s="12">
        <f t="array" ref="ET189">SUMPRODUCT(TRANSPOSE(ET$9:ET$34),$K189:$AJ189)</f>
        <v>4100</v>
      </c>
      <c r="EU189" s="12">
        <f t="array" ref="EU189">SUMPRODUCT(TRANSPOSE(EU$9:EU$34),$K189:$AJ189)</f>
        <v>4100</v>
      </c>
      <c r="EV189" s="12">
        <f t="array" ref="EV189">SUMPRODUCT(TRANSPOSE(EV$9:EV$34),$K189:$AJ189)</f>
        <v>4100</v>
      </c>
      <c r="EW189" s="12">
        <f t="array" ref="EW189">SUMPRODUCT(TRANSPOSE(EW$9:EW$34),$K189:$AJ189)</f>
        <v>4020</v>
      </c>
      <c r="EX189" s="12">
        <f t="array" ref="EX189">SUMPRODUCT(TRANSPOSE(EX$9:EX$34),$K189:$AJ189)</f>
        <v>4000</v>
      </c>
      <c r="EY189" s="12">
        <f t="array" ref="EY189">SUMPRODUCT(TRANSPOSE(EY$9:EY$34),$K189:$AJ189)</f>
        <v>4000</v>
      </c>
      <c r="EZ189" s="12">
        <f t="array" ref="EZ189">SUMPRODUCT(TRANSPOSE(EZ$9:EZ$34),$K189:$AJ189)</f>
        <v>4000</v>
      </c>
      <c r="FA189" s="12">
        <f t="array" ref="FA189">SUMPRODUCT(TRANSPOSE(FA$9:FA$34),$K189:$AJ189)</f>
        <v>4000</v>
      </c>
      <c r="FB189" s="12">
        <f t="array" ref="FB189">SUMPRODUCT(TRANSPOSE(FB$9:FB$34),$K189:$AJ189)</f>
        <v>4000</v>
      </c>
      <c r="FC189" s="12">
        <f t="array" ref="FC189">SUMPRODUCT(TRANSPOSE(FC$9:FC$34),$K189:$AJ189)</f>
        <v>4000</v>
      </c>
      <c r="FD189" s="12">
        <f t="array" ref="FD189">SUMPRODUCT(TRANSPOSE(FD$9:FD$34),$K189:$AJ189)</f>
        <v>4000</v>
      </c>
      <c r="FE189" s="12">
        <f t="array" ref="FE189">SUMPRODUCT(TRANSPOSE(FE$9:FE$34),$K189:$AJ189)</f>
        <v>4000</v>
      </c>
      <c r="FF189" s="12">
        <f t="array" ref="FF189">SUMPRODUCT(TRANSPOSE(FF$9:FF$34),$K189:$AJ189)</f>
        <v>4000</v>
      </c>
      <c r="FG189" s="12">
        <f t="array" ref="FG189">SUMPRODUCT(TRANSPOSE(FG$9:FG$34),$K189:$AJ189)</f>
        <v>4000</v>
      </c>
      <c r="FH189" s="12">
        <f t="array" ref="FH189">SUMPRODUCT(TRANSPOSE(FH$9:FH$34),$K189:$AJ189)</f>
        <v>4000</v>
      </c>
      <c r="FI189" s="12">
        <f t="array" ref="FI189">SUMPRODUCT(TRANSPOSE(FI$9:FI$34),$K189:$AJ189)</f>
        <v>4000</v>
      </c>
      <c r="FJ189" s="12">
        <f t="array" ref="FJ189">SUMPRODUCT(TRANSPOSE(FJ$9:FJ$34),$K189:$AJ189)</f>
        <v>4000</v>
      </c>
      <c r="FK189" s="12">
        <f t="array" ref="FK189">SUMPRODUCT(TRANSPOSE(FK$9:FK$34),$K189:$AJ189)</f>
        <v>4000</v>
      </c>
      <c r="FL189" s="12">
        <f t="array" ref="FL189">SUMPRODUCT(TRANSPOSE(FL$9:FL$34),$K189:$AJ189)</f>
        <v>4000</v>
      </c>
      <c r="FM189" s="12">
        <f t="array" ref="FM189">SUMPRODUCT(TRANSPOSE(FM$9:FM$34),$K189:$AJ189)</f>
        <v>4000</v>
      </c>
      <c r="FN189" s="12">
        <f t="array" ref="FN189">SUMPRODUCT(TRANSPOSE(FN$9:FN$34),$K189:$AJ189)</f>
        <v>3396</v>
      </c>
      <c r="FO189" s="12">
        <f t="array" ref="FO189">SUMPRODUCT(TRANSPOSE(FO$9:FO$34),$K189:$AJ189)</f>
        <v>154</v>
      </c>
    </row>
    <row r="190" spans="1:171" ht="14.25" x14ac:dyDescent="0.2">
      <c r="A190" s="13">
        <f t="shared" si="10"/>
        <v>155</v>
      </c>
      <c r="B190" s="13" t="s">
        <v>550</v>
      </c>
      <c r="C190" s="25" t="s">
        <v>551</v>
      </c>
      <c r="D190" s="13" t="s">
        <v>67</v>
      </c>
      <c r="E190" s="13">
        <v>402215679</v>
      </c>
      <c r="F190" s="26" t="s">
        <v>552</v>
      </c>
      <c r="G190" s="13">
        <v>422391275</v>
      </c>
      <c r="H190" s="13" t="s">
        <v>61</v>
      </c>
      <c r="I190" s="13">
        <v>2</v>
      </c>
      <c r="J190" s="13">
        <v>15</v>
      </c>
      <c r="K190" s="13">
        <v>0</v>
      </c>
      <c r="L190" s="13">
        <v>0</v>
      </c>
      <c r="M190" s="13">
        <v>0</v>
      </c>
      <c r="N190" s="13">
        <v>0</v>
      </c>
      <c r="O190" s="13">
        <v>5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5</v>
      </c>
      <c r="Y190" s="13"/>
      <c r="Z190" s="13"/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5</v>
      </c>
      <c r="AK190" s="13">
        <f t="shared" si="11"/>
        <v>10</v>
      </c>
      <c r="AL190" s="23">
        <f t="shared" si="9"/>
        <v>354315</v>
      </c>
      <c r="AM190" s="13"/>
      <c r="AN190" s="13" t="s">
        <v>299</v>
      </c>
      <c r="AO190" s="7" t="s">
        <v>300</v>
      </c>
      <c r="AP190" s="41">
        <v>2.0999999999999999E-3</v>
      </c>
      <c r="AQ190" s="12">
        <v>360000</v>
      </c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13"/>
      <c r="CG190" s="13"/>
      <c r="CH190" s="13"/>
      <c r="CI190" s="12"/>
      <c r="CJ190" s="12"/>
      <c r="CK190" s="12"/>
      <c r="CL190" s="12"/>
      <c r="CM190" s="12"/>
      <c r="CN190" s="12"/>
      <c r="CO190" s="12"/>
      <c r="CP190" s="12">
        <f>SUM($AQ190:BJ190)-SUM($EA190:EH190)</f>
        <v>324685</v>
      </c>
      <c r="CQ190" s="12">
        <f>SUM($AQ190:BK190)-SUM($EA190:EI190)</f>
        <v>322685</v>
      </c>
      <c r="CR190" s="12">
        <f>SUM($AQ190:BL190)-SUM($EA190:EJ190)</f>
        <v>317610</v>
      </c>
      <c r="CS190" s="12">
        <f>SUM($AQ190:BM190)-SUM($EA190:EK190)</f>
        <v>311935</v>
      </c>
      <c r="CT190" s="12">
        <f>SUM($AQ190:BN190)-SUM($EA190:EL190)</f>
        <v>301860</v>
      </c>
      <c r="CU190" s="12">
        <f>SUM($AQ190:BO190)-SUM($EA190:EM190)</f>
        <v>291610</v>
      </c>
      <c r="CV190" s="12">
        <f>SUM($AQ190:BP190)-SUM($EA190:EN190)</f>
        <v>281360</v>
      </c>
      <c r="CW190" s="12">
        <f>SUM($AQ190:BQ190)-SUM($EA190:EO190)</f>
        <v>271360</v>
      </c>
      <c r="CX190" s="12">
        <f>SUM($AQ190:BR190)-SUM($EA190:EP190)</f>
        <v>261110</v>
      </c>
      <c r="CY190" s="12">
        <f>SUM($AQ190:BS190)-SUM($EA190:EQ190)</f>
        <v>250860</v>
      </c>
      <c r="CZ190" s="12">
        <f>SUM($AQ190:BT190)-SUM($EA190:ER190)</f>
        <v>240610</v>
      </c>
      <c r="DA190" s="12">
        <f>SUM($AQ190:BU190)-SUM($EA190:ES190)</f>
        <v>230360</v>
      </c>
      <c r="DB190" s="12">
        <f>SUM($AQ190:BV190)-SUM($EA190:ET190)</f>
        <v>220110</v>
      </c>
      <c r="DC190" s="12">
        <f>SUM($AQ190:BW190)-SUM($EA190:EU190)</f>
        <v>209860</v>
      </c>
      <c r="DD190" s="12">
        <f>SUM($AQ190:BX190)-SUM($EA190:EV190)</f>
        <v>199610</v>
      </c>
      <c r="DE190" s="12">
        <f>SUM($AQ190:BY190)-SUM($EA190:EW190)</f>
        <v>189560</v>
      </c>
      <c r="DF190" s="12">
        <f>SUM($AQ190:BZ190)-SUM($EA190:EX190)</f>
        <v>179560</v>
      </c>
      <c r="DG190" s="12">
        <f>SUM($AQ190:CA190)-SUM($EA190:EY190)</f>
        <v>169560</v>
      </c>
      <c r="DH190" s="12">
        <f>SUM($AQ190:CB190)-SUM($EA190:EZ190)</f>
        <v>159560</v>
      </c>
      <c r="DI190" s="12">
        <f>SUM($AQ190:CC190)-SUM($EA190:FA190)</f>
        <v>149560</v>
      </c>
      <c r="DJ190" s="12">
        <f>SUM($AQ190:CD190)-SUM($EA190:FB190)</f>
        <v>139560</v>
      </c>
      <c r="DK190" s="12">
        <f>SUM($AQ190:CE190)-SUM($EA190:FC190)</f>
        <v>129560</v>
      </c>
      <c r="DL190" s="12">
        <f>SUM($AQ190:CF190)-SUM($EA190:FD190)</f>
        <v>119560</v>
      </c>
      <c r="DM190" s="12">
        <f>SUM($AQ190:CG190)-SUM($EA190:FE190)</f>
        <v>109560</v>
      </c>
      <c r="DN190" s="12">
        <f>SUM($AQ190:CH190)-SUM($EA190:FF190)</f>
        <v>99560</v>
      </c>
      <c r="DO190" s="12">
        <f>SUM($AQ190:CI190)-SUM($EA190:FG190)</f>
        <v>89560</v>
      </c>
      <c r="DP190" s="12">
        <f>SUM($AQ190:CJ190)-SUM($EA190:FH190)</f>
        <v>79560</v>
      </c>
      <c r="DQ190" s="12">
        <f>SUM($AQ190:CK190)-SUM($EA190:FI190)</f>
        <v>69560</v>
      </c>
      <c r="DR190" s="12">
        <f>SUM($AQ190:CL190)-SUM($EA190:FJ190)</f>
        <v>59560</v>
      </c>
      <c r="DS190" s="12">
        <f>SUM($AQ190:CM190)-SUM($EA190:FK190)</f>
        <v>49560</v>
      </c>
      <c r="DT190" s="12">
        <f>SUM($AQ190:CN190)-SUM($EA190:FL190)</f>
        <v>39560</v>
      </c>
      <c r="DU190" s="12">
        <f>SUM($AQ190:CO190)-SUM($EA190:FM190)</f>
        <v>29560</v>
      </c>
      <c r="DV190" s="12">
        <f>SUM($AQ190:CP190)-SUM($EA190:FN190)</f>
        <v>345755</v>
      </c>
      <c r="DW190" s="12">
        <f>SUM($AQ190:CQ190)-SUM($EA190:FO190)</f>
        <v>668055</v>
      </c>
      <c r="DX190" s="13"/>
      <c r="DY190" s="13"/>
      <c r="DZ190" s="13"/>
      <c r="EA190" s="12"/>
      <c r="EB190" s="12"/>
      <c r="EC190" s="12"/>
      <c r="ED190" s="12"/>
      <c r="EE190" s="12"/>
      <c r="EF190" s="12"/>
      <c r="EG190" s="12"/>
      <c r="EH190" s="12">
        <f t="array" ref="EH190">SUMPRODUCT(TRANSPOSE(EH$9:EH$34),$K190:$AJ190)</f>
        <v>35315</v>
      </c>
      <c r="EI190" s="12">
        <f t="array" ref="EI190">SUMPRODUCT(TRANSPOSE(EI$9:EI$34),$K190:$AJ190)</f>
        <v>2000</v>
      </c>
      <c r="EJ190" s="12">
        <f t="array" ref="EJ190">SUMPRODUCT(TRANSPOSE(EJ$9:EJ$34),$K190:$AJ190)</f>
        <v>5075</v>
      </c>
      <c r="EK190" s="12">
        <f t="array" ref="EK190">SUMPRODUCT(TRANSPOSE(EK$9:EK$34),$K190:$AJ190)</f>
        <v>5675</v>
      </c>
      <c r="EL190" s="12">
        <f t="array" ref="EL190">SUMPRODUCT(TRANSPOSE(EL$9:EL$34),$K190:$AJ190)</f>
        <v>10075</v>
      </c>
      <c r="EM190" s="12">
        <f t="array" ref="EM190">SUMPRODUCT(TRANSPOSE(EM$9:EM$34),$K190:$AJ190)</f>
        <v>10250</v>
      </c>
      <c r="EN190" s="12">
        <f t="array" ref="EN190">SUMPRODUCT(TRANSPOSE(EN$9:EN$34),$K190:$AJ190)</f>
        <v>10250</v>
      </c>
      <c r="EO190" s="12">
        <f t="array" ref="EO190">SUMPRODUCT(TRANSPOSE(EO$9:EO$34),$K190:$AJ190)</f>
        <v>10000</v>
      </c>
      <c r="EP190" s="12">
        <f t="array" ref="EP190">SUMPRODUCT(TRANSPOSE(EP$9:EP$34),$K190:$AJ190)</f>
        <v>10250</v>
      </c>
      <c r="EQ190" s="12">
        <f t="array" ref="EQ190">SUMPRODUCT(TRANSPOSE(EQ$9:EQ$34),$K190:$AJ190)</f>
        <v>10250</v>
      </c>
      <c r="ER190" s="12">
        <f t="array" ref="ER190">SUMPRODUCT(TRANSPOSE(ER$9:ER$34),$K190:$AJ190)</f>
        <v>10250</v>
      </c>
      <c r="ES190" s="12">
        <f t="array" ref="ES190">SUMPRODUCT(TRANSPOSE(ES$9:ES$34),$K190:$AJ190)</f>
        <v>10250</v>
      </c>
      <c r="ET190" s="12">
        <f t="array" ref="ET190">SUMPRODUCT(TRANSPOSE(ET$9:ET$34),$K190:$AJ190)</f>
        <v>10250</v>
      </c>
      <c r="EU190" s="12">
        <f t="array" ref="EU190">SUMPRODUCT(TRANSPOSE(EU$9:EU$34),$K190:$AJ190)</f>
        <v>10250</v>
      </c>
      <c r="EV190" s="12">
        <f t="array" ref="EV190">SUMPRODUCT(TRANSPOSE(EV$9:EV$34),$K190:$AJ190)</f>
        <v>10250</v>
      </c>
      <c r="EW190" s="12">
        <f t="array" ref="EW190">SUMPRODUCT(TRANSPOSE(EW$9:EW$34),$K190:$AJ190)</f>
        <v>10050</v>
      </c>
      <c r="EX190" s="12">
        <f t="array" ref="EX190">SUMPRODUCT(TRANSPOSE(EX$9:EX$34),$K190:$AJ190)</f>
        <v>10000</v>
      </c>
      <c r="EY190" s="12">
        <f t="array" ref="EY190">SUMPRODUCT(TRANSPOSE(EY$9:EY$34),$K190:$AJ190)</f>
        <v>10000</v>
      </c>
      <c r="EZ190" s="12">
        <f t="array" ref="EZ190">SUMPRODUCT(TRANSPOSE(EZ$9:EZ$34),$K190:$AJ190)</f>
        <v>10000</v>
      </c>
      <c r="FA190" s="12">
        <f t="array" ref="FA190">SUMPRODUCT(TRANSPOSE(FA$9:FA$34),$K190:$AJ190)</f>
        <v>10000</v>
      </c>
      <c r="FB190" s="12">
        <f t="array" ref="FB190">SUMPRODUCT(TRANSPOSE(FB$9:FB$34),$K190:$AJ190)</f>
        <v>10000</v>
      </c>
      <c r="FC190" s="12">
        <f t="array" ref="FC190">SUMPRODUCT(TRANSPOSE(FC$9:FC$34),$K190:$AJ190)</f>
        <v>10000</v>
      </c>
      <c r="FD190" s="12">
        <f t="array" ref="FD190">SUMPRODUCT(TRANSPOSE(FD$9:FD$34),$K190:$AJ190)</f>
        <v>10000</v>
      </c>
      <c r="FE190" s="12">
        <f t="array" ref="FE190">SUMPRODUCT(TRANSPOSE(FE$9:FE$34),$K190:$AJ190)</f>
        <v>10000</v>
      </c>
      <c r="FF190" s="12">
        <f t="array" ref="FF190">SUMPRODUCT(TRANSPOSE(FF$9:FF$34),$K190:$AJ190)</f>
        <v>10000</v>
      </c>
      <c r="FG190" s="12">
        <f t="array" ref="FG190">SUMPRODUCT(TRANSPOSE(FG$9:FG$34),$K190:$AJ190)</f>
        <v>10000</v>
      </c>
      <c r="FH190" s="12">
        <f t="array" ref="FH190">SUMPRODUCT(TRANSPOSE(FH$9:FH$34),$K190:$AJ190)</f>
        <v>10000</v>
      </c>
      <c r="FI190" s="12">
        <f t="array" ref="FI190">SUMPRODUCT(TRANSPOSE(FI$9:FI$34),$K190:$AJ190)</f>
        <v>10000</v>
      </c>
      <c r="FJ190" s="12">
        <f t="array" ref="FJ190">SUMPRODUCT(TRANSPOSE(FJ$9:FJ$34),$K190:$AJ190)</f>
        <v>10000</v>
      </c>
      <c r="FK190" s="12">
        <f t="array" ref="FK190">SUMPRODUCT(TRANSPOSE(FK$9:FK$34),$K190:$AJ190)</f>
        <v>10000</v>
      </c>
      <c r="FL190" s="12">
        <f t="array" ref="FL190">SUMPRODUCT(TRANSPOSE(FL$9:FL$34),$K190:$AJ190)</f>
        <v>10000</v>
      </c>
      <c r="FM190" s="12">
        <f t="array" ref="FM190">SUMPRODUCT(TRANSPOSE(FM$9:FM$34),$K190:$AJ190)</f>
        <v>10000</v>
      </c>
      <c r="FN190" s="12">
        <f t="array" ref="FN190">SUMPRODUCT(TRANSPOSE(FN$9:FN$34),$K190:$AJ190)</f>
        <v>8490</v>
      </c>
      <c r="FO190" s="12">
        <f t="array" ref="FO190">SUMPRODUCT(TRANSPOSE(FO$9:FO$34),$K190:$AJ190)</f>
        <v>385</v>
      </c>
    </row>
    <row r="191" spans="1:171" ht="14.25" x14ac:dyDescent="0.2">
      <c r="A191" s="13">
        <f t="shared" si="10"/>
        <v>156</v>
      </c>
      <c r="B191" s="13" t="s">
        <v>553</v>
      </c>
      <c r="C191" s="25" t="s">
        <v>554</v>
      </c>
      <c r="D191" s="13" t="s">
        <v>67</v>
      </c>
      <c r="E191" s="13">
        <v>400658330</v>
      </c>
      <c r="F191" s="26" t="s">
        <v>555</v>
      </c>
      <c r="G191" s="13" t="s">
        <v>556</v>
      </c>
      <c r="H191" s="13" t="s">
        <v>61</v>
      </c>
      <c r="I191" s="13">
        <v>2</v>
      </c>
      <c r="J191" s="13">
        <v>10</v>
      </c>
      <c r="K191" s="13">
        <v>0</v>
      </c>
      <c r="L191" s="13">
        <v>0</v>
      </c>
      <c r="M191" s="13">
        <v>0</v>
      </c>
      <c r="N191" s="13">
        <v>2</v>
      </c>
      <c r="O191" s="13">
        <v>0</v>
      </c>
      <c r="P191" s="13">
        <v>0</v>
      </c>
      <c r="Q191" s="13">
        <v>0</v>
      </c>
      <c r="R191" s="13">
        <v>0</v>
      </c>
      <c r="S191" s="13">
        <v>4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/>
      <c r="Z191" s="13">
        <v>4</v>
      </c>
      <c r="AA191" s="13">
        <v>0</v>
      </c>
      <c r="AB191" s="13">
        <v>0</v>
      </c>
      <c r="AC191" s="13">
        <v>0</v>
      </c>
      <c r="AD191" s="13">
        <v>4</v>
      </c>
      <c r="AE191" s="13">
        <v>4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f t="shared" si="11"/>
        <v>14</v>
      </c>
      <c r="AL191" s="23">
        <f t="shared" si="9"/>
        <v>213122</v>
      </c>
      <c r="AM191" s="13"/>
      <c r="AN191" s="13" t="s">
        <v>299</v>
      </c>
      <c r="AO191" s="7" t="s">
        <v>307</v>
      </c>
      <c r="AP191" s="38">
        <v>1E-3</v>
      </c>
      <c r="AQ191" s="12">
        <v>220000</v>
      </c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13"/>
      <c r="CG191" s="13"/>
      <c r="CH191" s="13"/>
      <c r="CI191" s="12"/>
      <c r="CJ191" s="12"/>
      <c r="CK191" s="12"/>
      <c r="CL191" s="12"/>
      <c r="CM191" s="12"/>
      <c r="CN191" s="12"/>
      <c r="CO191" s="12"/>
      <c r="CP191" s="12">
        <f>SUM($AQ191:BJ191)-SUM($EA191:EH191)</f>
        <v>199656</v>
      </c>
      <c r="CQ191" s="12">
        <f>SUM($AQ191:BK191)-SUM($EA191:EI191)</f>
        <v>198532</v>
      </c>
      <c r="CR191" s="12">
        <f>SUM($AQ191:BL191)-SUM($EA191:EJ191)</f>
        <v>196472</v>
      </c>
      <c r="CS191" s="12">
        <f>SUM($AQ191:BM191)-SUM($EA191:EK191)</f>
        <v>193932</v>
      </c>
      <c r="CT191" s="12">
        <f>SUM($AQ191:BN191)-SUM($EA191:EL191)</f>
        <v>187872</v>
      </c>
      <c r="CU191" s="12">
        <f>SUM($AQ191:BO191)-SUM($EA191:EM191)</f>
        <v>179672</v>
      </c>
      <c r="CV191" s="12">
        <f>SUM($AQ191:BP191)-SUM($EA191:EN191)</f>
        <v>173272</v>
      </c>
      <c r="CW191" s="12">
        <f>SUM($AQ191:BQ191)-SUM($EA191:EO191)</f>
        <v>167272</v>
      </c>
      <c r="CX191" s="12">
        <f>SUM($AQ191:BR191)-SUM($EA191:EP191)</f>
        <v>161072</v>
      </c>
      <c r="CY191" s="12">
        <f>SUM($AQ191:BS191)-SUM($EA191:EQ191)</f>
        <v>154872</v>
      </c>
      <c r="CZ191" s="12">
        <f>SUM($AQ191:BT191)-SUM($EA191:ER191)</f>
        <v>148672</v>
      </c>
      <c r="DA191" s="12">
        <f>SUM($AQ191:BU191)-SUM($EA191:ES191)</f>
        <v>142472</v>
      </c>
      <c r="DB191" s="12">
        <f>SUM($AQ191:BV191)-SUM($EA191:ET191)</f>
        <v>136272</v>
      </c>
      <c r="DC191" s="12">
        <f>SUM($AQ191:BW191)-SUM($EA191:EU191)</f>
        <v>130072</v>
      </c>
      <c r="DD191" s="12">
        <f>SUM($AQ191:BX191)-SUM($EA191:EV191)</f>
        <v>123872</v>
      </c>
      <c r="DE191" s="12">
        <f>SUM($AQ191:BY191)-SUM($EA191:EW191)</f>
        <v>117700</v>
      </c>
      <c r="DF191" s="12">
        <f>SUM($AQ191:BZ191)-SUM($EA191:EX191)</f>
        <v>111700</v>
      </c>
      <c r="DG191" s="12">
        <f>SUM($AQ191:CA191)-SUM($EA191:EY191)</f>
        <v>105700</v>
      </c>
      <c r="DH191" s="12">
        <f>SUM($AQ191:CB191)-SUM($EA191:EZ191)</f>
        <v>99700</v>
      </c>
      <c r="DI191" s="12">
        <f>SUM($AQ191:CC191)-SUM($EA191:FA191)</f>
        <v>93700</v>
      </c>
      <c r="DJ191" s="12">
        <f>SUM($AQ191:CD191)-SUM($EA191:FB191)</f>
        <v>87700</v>
      </c>
      <c r="DK191" s="12">
        <f>SUM($AQ191:CE191)-SUM($EA191:FC191)</f>
        <v>81700</v>
      </c>
      <c r="DL191" s="12">
        <f>SUM($AQ191:CF191)-SUM($EA191:FD191)</f>
        <v>75700</v>
      </c>
      <c r="DM191" s="12">
        <f>SUM($AQ191:CG191)-SUM($EA191:FE191)</f>
        <v>69700</v>
      </c>
      <c r="DN191" s="12">
        <f>SUM($AQ191:CH191)-SUM($EA191:FF191)</f>
        <v>63700</v>
      </c>
      <c r="DO191" s="12">
        <f>SUM($AQ191:CI191)-SUM($EA191:FG191)</f>
        <v>57700</v>
      </c>
      <c r="DP191" s="12">
        <f>SUM($AQ191:CJ191)-SUM($EA191:FH191)</f>
        <v>51700</v>
      </c>
      <c r="DQ191" s="12">
        <f>SUM($AQ191:CK191)-SUM($EA191:FI191)</f>
        <v>45700</v>
      </c>
      <c r="DR191" s="12">
        <f>SUM($AQ191:CL191)-SUM($EA191:FJ191)</f>
        <v>39700</v>
      </c>
      <c r="DS191" s="12">
        <f>SUM($AQ191:CM191)-SUM($EA191:FK191)</f>
        <v>33700</v>
      </c>
      <c r="DT191" s="12">
        <f>SUM($AQ191:CN191)-SUM($EA191:FL191)</f>
        <v>27700</v>
      </c>
      <c r="DU191" s="12">
        <f>SUM($AQ191:CO191)-SUM($EA191:FM191)</f>
        <v>21700</v>
      </c>
      <c r="DV191" s="12">
        <f>SUM($AQ191:CP191)-SUM($EA191:FN191)</f>
        <v>216088</v>
      </c>
      <c r="DW191" s="12">
        <f>SUM($AQ191:CQ191)-SUM($EA191:FO191)</f>
        <v>414466</v>
      </c>
      <c r="DX191" s="13"/>
      <c r="DY191" s="13"/>
      <c r="DZ191" s="13"/>
      <c r="EA191" s="12"/>
      <c r="EB191" s="12"/>
      <c r="EC191" s="12"/>
      <c r="ED191" s="12"/>
      <c r="EE191" s="12"/>
      <c r="EF191" s="12"/>
      <c r="EG191" s="12"/>
      <c r="EH191" s="12">
        <f t="array" ref="EH191">SUMPRODUCT(TRANSPOSE(EH$9:EH$34),$K191:$AJ191)</f>
        <v>20344</v>
      </c>
      <c r="EI191" s="12">
        <f t="array" ref="EI191">SUMPRODUCT(TRANSPOSE(EI$9:EI$34),$K191:$AJ191)</f>
        <v>1124</v>
      </c>
      <c r="EJ191" s="12">
        <f t="array" ref="EJ191">SUMPRODUCT(TRANSPOSE(EJ$9:EJ$34),$K191:$AJ191)</f>
        <v>2060</v>
      </c>
      <c r="EK191" s="12">
        <f t="array" ref="EK191">SUMPRODUCT(TRANSPOSE(EK$9:EK$34),$K191:$AJ191)</f>
        <v>2540</v>
      </c>
      <c r="EL191" s="12">
        <f t="array" ref="EL191">SUMPRODUCT(TRANSPOSE(EL$9:EL$34),$K191:$AJ191)</f>
        <v>6060</v>
      </c>
      <c r="EM191" s="12">
        <f t="array" ref="EM191">SUMPRODUCT(TRANSPOSE(EM$9:EM$34),$K191:$AJ191)</f>
        <v>8200</v>
      </c>
      <c r="EN191" s="12">
        <f t="array" ref="EN191">SUMPRODUCT(TRANSPOSE(EN$9:EN$34),$K191:$AJ191)</f>
        <v>6400</v>
      </c>
      <c r="EO191" s="12">
        <f t="array" ref="EO191">SUMPRODUCT(TRANSPOSE(EO$9:EO$34),$K191:$AJ191)</f>
        <v>6000</v>
      </c>
      <c r="EP191" s="12">
        <f t="array" ref="EP191">SUMPRODUCT(TRANSPOSE(EP$9:EP$34),$K191:$AJ191)</f>
        <v>6200</v>
      </c>
      <c r="EQ191" s="12">
        <f t="array" ref="EQ191">SUMPRODUCT(TRANSPOSE(EQ$9:EQ$34),$K191:$AJ191)</f>
        <v>6200</v>
      </c>
      <c r="ER191" s="12">
        <f t="array" ref="ER191">SUMPRODUCT(TRANSPOSE(ER$9:ER$34),$K191:$AJ191)</f>
        <v>6200</v>
      </c>
      <c r="ES191" s="12">
        <f t="array" ref="ES191">SUMPRODUCT(TRANSPOSE(ES$9:ES$34),$K191:$AJ191)</f>
        <v>6200</v>
      </c>
      <c r="ET191" s="12">
        <f t="array" ref="ET191">SUMPRODUCT(TRANSPOSE(ET$9:ET$34),$K191:$AJ191)</f>
        <v>6200</v>
      </c>
      <c r="EU191" s="12">
        <f t="array" ref="EU191">SUMPRODUCT(TRANSPOSE(EU$9:EU$34),$K191:$AJ191)</f>
        <v>6200</v>
      </c>
      <c r="EV191" s="12">
        <f t="array" ref="EV191">SUMPRODUCT(TRANSPOSE(EV$9:EV$34),$K191:$AJ191)</f>
        <v>6200</v>
      </c>
      <c r="EW191" s="12">
        <f t="array" ref="EW191">SUMPRODUCT(TRANSPOSE(EW$9:EW$34),$K191:$AJ191)</f>
        <v>6172</v>
      </c>
      <c r="EX191" s="12">
        <f t="array" ref="EX191">SUMPRODUCT(TRANSPOSE(EX$9:EX$34),$K191:$AJ191)</f>
        <v>6000</v>
      </c>
      <c r="EY191" s="12">
        <f t="array" ref="EY191">SUMPRODUCT(TRANSPOSE(EY$9:EY$34),$K191:$AJ191)</f>
        <v>6000</v>
      </c>
      <c r="EZ191" s="12">
        <f t="array" ref="EZ191">SUMPRODUCT(TRANSPOSE(EZ$9:EZ$34),$K191:$AJ191)</f>
        <v>6000</v>
      </c>
      <c r="FA191" s="12">
        <f t="array" ref="FA191">SUMPRODUCT(TRANSPOSE(FA$9:FA$34),$K191:$AJ191)</f>
        <v>6000</v>
      </c>
      <c r="FB191" s="12">
        <f t="array" ref="FB191">SUMPRODUCT(TRANSPOSE(FB$9:FB$34),$K191:$AJ191)</f>
        <v>6000</v>
      </c>
      <c r="FC191" s="12">
        <f t="array" ref="FC191">SUMPRODUCT(TRANSPOSE(FC$9:FC$34),$K191:$AJ191)</f>
        <v>6000</v>
      </c>
      <c r="FD191" s="12">
        <f t="array" ref="FD191">SUMPRODUCT(TRANSPOSE(FD$9:FD$34),$K191:$AJ191)</f>
        <v>6000</v>
      </c>
      <c r="FE191" s="12">
        <f t="array" ref="FE191">SUMPRODUCT(TRANSPOSE(FE$9:FE$34),$K191:$AJ191)</f>
        <v>6000</v>
      </c>
      <c r="FF191" s="12">
        <f t="array" ref="FF191">SUMPRODUCT(TRANSPOSE(FF$9:FF$34),$K191:$AJ191)</f>
        <v>6000</v>
      </c>
      <c r="FG191" s="12">
        <f t="array" ref="FG191">SUMPRODUCT(TRANSPOSE(FG$9:FG$34),$K191:$AJ191)</f>
        <v>6000</v>
      </c>
      <c r="FH191" s="12">
        <f t="array" ref="FH191">SUMPRODUCT(TRANSPOSE(FH$9:FH$34),$K191:$AJ191)</f>
        <v>6000</v>
      </c>
      <c r="FI191" s="12">
        <f t="array" ref="FI191">SUMPRODUCT(TRANSPOSE(FI$9:FI$34),$K191:$AJ191)</f>
        <v>6000</v>
      </c>
      <c r="FJ191" s="12">
        <f t="array" ref="FJ191">SUMPRODUCT(TRANSPOSE(FJ$9:FJ$34),$K191:$AJ191)</f>
        <v>6000</v>
      </c>
      <c r="FK191" s="12">
        <f t="array" ref="FK191">SUMPRODUCT(TRANSPOSE(FK$9:FK$34),$K191:$AJ191)</f>
        <v>6000</v>
      </c>
      <c r="FL191" s="12">
        <f t="array" ref="FL191">SUMPRODUCT(TRANSPOSE(FL$9:FL$34),$K191:$AJ191)</f>
        <v>6000</v>
      </c>
      <c r="FM191" s="12">
        <f t="array" ref="FM191">SUMPRODUCT(TRANSPOSE(FM$9:FM$34),$K191:$AJ191)</f>
        <v>6000</v>
      </c>
      <c r="FN191" s="12">
        <f t="array" ref="FN191">SUMPRODUCT(TRANSPOSE(FN$9:FN$34),$K191:$AJ191)</f>
        <v>5268</v>
      </c>
      <c r="FO191" s="12">
        <f t="array" ref="FO191">SUMPRODUCT(TRANSPOSE(FO$9:FO$34),$K191:$AJ191)</f>
        <v>154</v>
      </c>
    </row>
    <row r="192" spans="1:171" ht="14.25" x14ac:dyDescent="0.2">
      <c r="A192" s="13">
        <f t="shared" si="10"/>
        <v>157</v>
      </c>
      <c r="B192" s="13" t="s">
        <v>557</v>
      </c>
      <c r="C192" s="25" t="s">
        <v>558</v>
      </c>
      <c r="D192" s="13" t="s">
        <v>67</v>
      </c>
      <c r="E192" s="13">
        <v>401246030</v>
      </c>
      <c r="F192" s="26" t="s">
        <v>559</v>
      </c>
      <c r="G192" s="13" t="s">
        <v>560</v>
      </c>
      <c r="H192" s="13" t="s">
        <v>61</v>
      </c>
      <c r="I192" s="13">
        <v>2</v>
      </c>
      <c r="J192" s="13">
        <v>3</v>
      </c>
      <c r="K192" s="13">
        <v>0</v>
      </c>
      <c r="L192" s="13">
        <v>0</v>
      </c>
      <c r="M192" s="13">
        <v>0</v>
      </c>
      <c r="N192" s="13">
        <v>0</v>
      </c>
      <c r="O192" s="13">
        <v>1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1</v>
      </c>
      <c r="Y192" s="13"/>
      <c r="Z192" s="13"/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1</v>
      </c>
      <c r="AK192" s="13">
        <f t="shared" si="11"/>
        <v>2</v>
      </c>
      <c r="AL192" s="23">
        <f t="shared" si="9"/>
        <v>70863</v>
      </c>
      <c r="AM192" s="13"/>
      <c r="AN192" s="13" t="s">
        <v>299</v>
      </c>
      <c r="AO192" s="7" t="s">
        <v>307</v>
      </c>
      <c r="AP192" s="41">
        <v>3.2000000000000002E-3</v>
      </c>
      <c r="AQ192" s="12">
        <v>80000</v>
      </c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13"/>
      <c r="CG192" s="13"/>
      <c r="CH192" s="13"/>
      <c r="CI192" s="12"/>
      <c r="CJ192" s="12"/>
      <c r="CK192" s="12"/>
      <c r="CL192" s="12"/>
      <c r="CM192" s="12"/>
      <c r="CN192" s="12"/>
      <c r="CO192" s="12"/>
      <c r="CP192" s="12">
        <f>SUM($AQ192:BJ192)-SUM($EA192:EH192)</f>
        <v>72937</v>
      </c>
      <c r="CQ192" s="12">
        <f>SUM($AQ192:BK192)-SUM($EA192:EI192)</f>
        <v>72537</v>
      </c>
      <c r="CR192" s="12">
        <f>SUM($AQ192:BL192)-SUM($EA192:EJ192)</f>
        <v>71522</v>
      </c>
      <c r="CS192" s="12">
        <f>SUM($AQ192:BM192)-SUM($EA192:EK192)</f>
        <v>70387</v>
      </c>
      <c r="CT192" s="12">
        <f>SUM($AQ192:BN192)-SUM($EA192:EL192)</f>
        <v>68372</v>
      </c>
      <c r="CU192" s="12">
        <f>SUM($AQ192:BO192)-SUM($EA192:EM192)</f>
        <v>66322</v>
      </c>
      <c r="CV192" s="12">
        <f>SUM($AQ192:BP192)-SUM($EA192:EN192)</f>
        <v>64272</v>
      </c>
      <c r="CW192" s="12">
        <f>SUM($AQ192:BQ192)-SUM($EA192:EO192)</f>
        <v>62272</v>
      </c>
      <c r="CX192" s="12">
        <f>SUM($AQ192:BR192)-SUM($EA192:EP192)</f>
        <v>60222</v>
      </c>
      <c r="CY192" s="12">
        <f>SUM($AQ192:BS192)-SUM($EA192:EQ192)</f>
        <v>58172</v>
      </c>
      <c r="CZ192" s="12">
        <f>SUM($AQ192:BT192)-SUM($EA192:ER192)</f>
        <v>56122</v>
      </c>
      <c r="DA192" s="12">
        <f>SUM($AQ192:BU192)-SUM($EA192:ES192)</f>
        <v>54072</v>
      </c>
      <c r="DB192" s="12">
        <f>SUM($AQ192:BV192)-SUM($EA192:ET192)</f>
        <v>52022</v>
      </c>
      <c r="DC192" s="12">
        <f>SUM($AQ192:BW192)-SUM($EA192:EU192)</f>
        <v>49972</v>
      </c>
      <c r="DD192" s="12">
        <f>SUM($AQ192:BX192)-SUM($EA192:EV192)</f>
        <v>47922</v>
      </c>
      <c r="DE192" s="12">
        <f>SUM($AQ192:BY192)-SUM($EA192:EW192)</f>
        <v>45912</v>
      </c>
      <c r="DF192" s="12">
        <f>SUM($AQ192:BZ192)-SUM($EA192:EX192)</f>
        <v>43912</v>
      </c>
      <c r="DG192" s="12">
        <f>SUM($AQ192:CA192)-SUM($EA192:EY192)</f>
        <v>41912</v>
      </c>
      <c r="DH192" s="12">
        <f>SUM($AQ192:CB192)-SUM($EA192:EZ192)</f>
        <v>39912</v>
      </c>
      <c r="DI192" s="12">
        <f>SUM($AQ192:CC192)-SUM($EA192:FA192)</f>
        <v>37912</v>
      </c>
      <c r="DJ192" s="12">
        <f>SUM($AQ192:CD192)-SUM($EA192:FB192)</f>
        <v>35912</v>
      </c>
      <c r="DK192" s="12">
        <f>SUM($AQ192:CE192)-SUM($EA192:FC192)</f>
        <v>33912</v>
      </c>
      <c r="DL192" s="12">
        <f>SUM($AQ192:CF192)-SUM($EA192:FD192)</f>
        <v>31912</v>
      </c>
      <c r="DM192" s="12">
        <f>SUM($AQ192:CG192)-SUM($EA192:FE192)</f>
        <v>29912</v>
      </c>
      <c r="DN192" s="12">
        <f>SUM($AQ192:CH192)-SUM($EA192:FF192)</f>
        <v>27912</v>
      </c>
      <c r="DO192" s="12">
        <f>SUM($AQ192:CI192)-SUM($EA192:FG192)</f>
        <v>25912</v>
      </c>
      <c r="DP192" s="12">
        <f>SUM($AQ192:CJ192)-SUM($EA192:FH192)</f>
        <v>23912</v>
      </c>
      <c r="DQ192" s="12">
        <f>SUM($AQ192:CK192)-SUM($EA192:FI192)</f>
        <v>21912</v>
      </c>
      <c r="DR192" s="12">
        <f>SUM($AQ192:CL192)-SUM($EA192:FJ192)</f>
        <v>19912</v>
      </c>
      <c r="DS192" s="12">
        <f>SUM($AQ192:CM192)-SUM($EA192:FK192)</f>
        <v>17912</v>
      </c>
      <c r="DT192" s="12">
        <f>SUM($AQ192:CN192)-SUM($EA192:FL192)</f>
        <v>15912</v>
      </c>
      <c r="DU192" s="12">
        <f>SUM($AQ192:CO192)-SUM($EA192:FM192)</f>
        <v>13912</v>
      </c>
      <c r="DV192" s="12">
        <f>SUM($AQ192:CP192)-SUM($EA192:FN192)</f>
        <v>85151</v>
      </c>
      <c r="DW192" s="12">
        <f>SUM($AQ192:CQ192)-SUM($EA192:FO192)</f>
        <v>157611</v>
      </c>
      <c r="DX192" s="13"/>
      <c r="DY192" s="13"/>
      <c r="DZ192" s="13"/>
      <c r="EA192" s="12"/>
      <c r="EB192" s="12"/>
      <c r="EC192" s="12"/>
      <c r="ED192" s="12"/>
      <c r="EE192" s="12"/>
      <c r="EF192" s="12"/>
      <c r="EG192" s="12"/>
      <c r="EH192" s="12">
        <f t="array" ref="EH192">SUMPRODUCT(TRANSPOSE(EH$9:EH$34),$K192:$AJ192)</f>
        <v>7063</v>
      </c>
      <c r="EI192" s="12">
        <f t="array" ref="EI192">SUMPRODUCT(TRANSPOSE(EI$9:EI$34),$K192:$AJ192)</f>
        <v>400</v>
      </c>
      <c r="EJ192" s="12">
        <f t="array" ref="EJ192">SUMPRODUCT(TRANSPOSE(EJ$9:EJ$34),$K192:$AJ192)</f>
        <v>1015</v>
      </c>
      <c r="EK192" s="12">
        <f t="array" ref="EK192">SUMPRODUCT(TRANSPOSE(EK$9:EK$34),$K192:$AJ192)</f>
        <v>1135</v>
      </c>
      <c r="EL192" s="12">
        <f t="array" ref="EL192">SUMPRODUCT(TRANSPOSE(EL$9:EL$34),$K192:$AJ192)</f>
        <v>2015</v>
      </c>
      <c r="EM192" s="12">
        <f t="array" ref="EM192">SUMPRODUCT(TRANSPOSE(EM$9:EM$34),$K192:$AJ192)</f>
        <v>2050</v>
      </c>
      <c r="EN192" s="12">
        <f t="array" ref="EN192">SUMPRODUCT(TRANSPOSE(EN$9:EN$34),$K192:$AJ192)</f>
        <v>2050</v>
      </c>
      <c r="EO192" s="12">
        <f t="array" ref="EO192">SUMPRODUCT(TRANSPOSE(EO$9:EO$34),$K192:$AJ192)</f>
        <v>2000</v>
      </c>
      <c r="EP192" s="12">
        <f t="array" ref="EP192">SUMPRODUCT(TRANSPOSE(EP$9:EP$34),$K192:$AJ192)</f>
        <v>2050</v>
      </c>
      <c r="EQ192" s="12">
        <f t="array" ref="EQ192">SUMPRODUCT(TRANSPOSE(EQ$9:EQ$34),$K192:$AJ192)</f>
        <v>2050</v>
      </c>
      <c r="ER192" s="12">
        <f t="array" ref="ER192">SUMPRODUCT(TRANSPOSE(ER$9:ER$34),$K192:$AJ192)</f>
        <v>2050</v>
      </c>
      <c r="ES192" s="12">
        <f t="array" ref="ES192">SUMPRODUCT(TRANSPOSE(ES$9:ES$34),$K192:$AJ192)</f>
        <v>2050</v>
      </c>
      <c r="ET192" s="12">
        <f t="array" ref="ET192">SUMPRODUCT(TRANSPOSE(ET$9:ET$34),$K192:$AJ192)</f>
        <v>2050</v>
      </c>
      <c r="EU192" s="12">
        <f t="array" ref="EU192">SUMPRODUCT(TRANSPOSE(EU$9:EU$34),$K192:$AJ192)</f>
        <v>2050</v>
      </c>
      <c r="EV192" s="12">
        <f t="array" ref="EV192">SUMPRODUCT(TRANSPOSE(EV$9:EV$34),$K192:$AJ192)</f>
        <v>2050</v>
      </c>
      <c r="EW192" s="12">
        <f t="array" ref="EW192">SUMPRODUCT(TRANSPOSE(EW$9:EW$34),$K192:$AJ192)</f>
        <v>2010</v>
      </c>
      <c r="EX192" s="12">
        <f t="array" ref="EX192">SUMPRODUCT(TRANSPOSE(EX$9:EX$34),$K192:$AJ192)</f>
        <v>2000</v>
      </c>
      <c r="EY192" s="12">
        <f t="array" ref="EY192">SUMPRODUCT(TRANSPOSE(EY$9:EY$34),$K192:$AJ192)</f>
        <v>2000</v>
      </c>
      <c r="EZ192" s="12">
        <f t="array" ref="EZ192">SUMPRODUCT(TRANSPOSE(EZ$9:EZ$34),$K192:$AJ192)</f>
        <v>2000</v>
      </c>
      <c r="FA192" s="12">
        <f t="array" ref="FA192">SUMPRODUCT(TRANSPOSE(FA$9:FA$34),$K192:$AJ192)</f>
        <v>2000</v>
      </c>
      <c r="FB192" s="12">
        <f t="array" ref="FB192">SUMPRODUCT(TRANSPOSE(FB$9:FB$34),$K192:$AJ192)</f>
        <v>2000</v>
      </c>
      <c r="FC192" s="12">
        <f t="array" ref="FC192">SUMPRODUCT(TRANSPOSE(FC$9:FC$34),$K192:$AJ192)</f>
        <v>2000</v>
      </c>
      <c r="FD192" s="12">
        <f t="array" ref="FD192">SUMPRODUCT(TRANSPOSE(FD$9:FD$34),$K192:$AJ192)</f>
        <v>2000</v>
      </c>
      <c r="FE192" s="12">
        <f t="array" ref="FE192">SUMPRODUCT(TRANSPOSE(FE$9:FE$34),$K192:$AJ192)</f>
        <v>2000</v>
      </c>
      <c r="FF192" s="12">
        <f t="array" ref="FF192">SUMPRODUCT(TRANSPOSE(FF$9:FF$34),$K192:$AJ192)</f>
        <v>2000</v>
      </c>
      <c r="FG192" s="12">
        <f t="array" ref="FG192">SUMPRODUCT(TRANSPOSE(FG$9:FG$34),$K192:$AJ192)</f>
        <v>2000</v>
      </c>
      <c r="FH192" s="12">
        <f t="array" ref="FH192">SUMPRODUCT(TRANSPOSE(FH$9:FH$34),$K192:$AJ192)</f>
        <v>2000</v>
      </c>
      <c r="FI192" s="12">
        <f t="array" ref="FI192">SUMPRODUCT(TRANSPOSE(FI$9:FI$34),$K192:$AJ192)</f>
        <v>2000</v>
      </c>
      <c r="FJ192" s="12">
        <f t="array" ref="FJ192">SUMPRODUCT(TRANSPOSE(FJ$9:FJ$34),$K192:$AJ192)</f>
        <v>2000</v>
      </c>
      <c r="FK192" s="12">
        <f t="array" ref="FK192">SUMPRODUCT(TRANSPOSE(FK$9:FK$34),$K192:$AJ192)</f>
        <v>2000</v>
      </c>
      <c r="FL192" s="12">
        <f t="array" ref="FL192">SUMPRODUCT(TRANSPOSE(FL$9:FL$34),$K192:$AJ192)</f>
        <v>2000</v>
      </c>
      <c r="FM192" s="12">
        <f t="array" ref="FM192">SUMPRODUCT(TRANSPOSE(FM$9:FM$34),$K192:$AJ192)</f>
        <v>2000</v>
      </c>
      <c r="FN192" s="12">
        <f t="array" ref="FN192">SUMPRODUCT(TRANSPOSE(FN$9:FN$34),$K192:$AJ192)</f>
        <v>1698</v>
      </c>
      <c r="FO192" s="12">
        <f t="array" ref="FO192">SUMPRODUCT(TRANSPOSE(FO$9:FO$34),$K192:$AJ192)</f>
        <v>77</v>
      </c>
    </row>
    <row r="193" spans="1:171" ht="14.25" x14ac:dyDescent="0.2">
      <c r="A193" s="13">
        <f t="shared" si="10"/>
        <v>158</v>
      </c>
      <c r="B193" s="13" t="s">
        <v>561</v>
      </c>
      <c r="C193" s="25" t="s">
        <v>562</v>
      </c>
      <c r="D193" s="13" t="s">
        <v>67</v>
      </c>
      <c r="E193" s="13">
        <v>401308902</v>
      </c>
      <c r="F193" s="26" t="s">
        <v>563</v>
      </c>
      <c r="G193" s="13" t="s">
        <v>564</v>
      </c>
      <c r="H193" s="13" t="s">
        <v>61</v>
      </c>
      <c r="I193" s="13">
        <v>2</v>
      </c>
      <c r="J193" s="13">
        <v>3</v>
      </c>
      <c r="K193" s="13">
        <v>0</v>
      </c>
      <c r="L193" s="13">
        <v>0</v>
      </c>
      <c r="M193" s="13">
        <v>0</v>
      </c>
      <c r="N193" s="13">
        <v>0</v>
      </c>
      <c r="O193" s="13">
        <v>1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1</v>
      </c>
      <c r="Y193" s="13"/>
      <c r="Z193" s="13"/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1</v>
      </c>
      <c r="AK193" s="13">
        <f t="shared" si="11"/>
        <v>2</v>
      </c>
      <c r="AL193" s="23">
        <f t="shared" si="9"/>
        <v>70863</v>
      </c>
      <c r="AM193" s="13"/>
      <c r="AN193" s="13" t="s">
        <v>299</v>
      </c>
      <c r="AO193" s="7" t="s">
        <v>307</v>
      </c>
      <c r="AP193" s="41">
        <v>3.2000000000000002E-3</v>
      </c>
      <c r="AQ193" s="12">
        <v>80000</v>
      </c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13"/>
      <c r="CG193" s="13"/>
      <c r="CH193" s="13"/>
      <c r="CI193" s="12"/>
      <c r="CJ193" s="12"/>
      <c r="CK193" s="12"/>
      <c r="CL193" s="12"/>
      <c r="CM193" s="12"/>
      <c r="CN193" s="12"/>
      <c r="CO193" s="12"/>
      <c r="CP193" s="12">
        <f>SUM($AQ193:BJ193)-SUM($EA193:EH193)</f>
        <v>72937</v>
      </c>
      <c r="CQ193" s="12">
        <f>SUM($AQ193:BK193)-SUM($EA193:EI193)</f>
        <v>72537</v>
      </c>
      <c r="CR193" s="12">
        <f>SUM($AQ193:BL193)-SUM($EA193:EJ193)</f>
        <v>71522</v>
      </c>
      <c r="CS193" s="12">
        <f>SUM($AQ193:BM193)-SUM($EA193:EK193)</f>
        <v>70387</v>
      </c>
      <c r="CT193" s="12">
        <f>SUM($AQ193:BN193)-SUM($EA193:EL193)</f>
        <v>68372</v>
      </c>
      <c r="CU193" s="12">
        <f>SUM($AQ193:BO193)-SUM($EA193:EM193)</f>
        <v>66322</v>
      </c>
      <c r="CV193" s="12">
        <f>SUM($AQ193:BP193)-SUM($EA193:EN193)</f>
        <v>64272</v>
      </c>
      <c r="CW193" s="12">
        <f>SUM($AQ193:BQ193)-SUM($EA193:EO193)</f>
        <v>62272</v>
      </c>
      <c r="CX193" s="12">
        <f>SUM($AQ193:BR193)-SUM($EA193:EP193)</f>
        <v>60222</v>
      </c>
      <c r="CY193" s="12">
        <f>SUM($AQ193:BS193)-SUM($EA193:EQ193)</f>
        <v>58172</v>
      </c>
      <c r="CZ193" s="12">
        <f>SUM($AQ193:BT193)-SUM($EA193:ER193)</f>
        <v>56122</v>
      </c>
      <c r="DA193" s="12">
        <f>SUM($AQ193:BU193)-SUM($EA193:ES193)</f>
        <v>54072</v>
      </c>
      <c r="DB193" s="12">
        <f>SUM($AQ193:BV193)-SUM($EA193:ET193)</f>
        <v>52022</v>
      </c>
      <c r="DC193" s="12">
        <f>SUM($AQ193:BW193)-SUM($EA193:EU193)</f>
        <v>49972</v>
      </c>
      <c r="DD193" s="12">
        <f>SUM($AQ193:BX193)-SUM($EA193:EV193)</f>
        <v>47922</v>
      </c>
      <c r="DE193" s="12">
        <f>SUM($AQ193:BY193)-SUM($EA193:EW193)</f>
        <v>45912</v>
      </c>
      <c r="DF193" s="12">
        <f>SUM($AQ193:BZ193)-SUM($EA193:EX193)</f>
        <v>43912</v>
      </c>
      <c r="DG193" s="12">
        <f>SUM($AQ193:CA193)-SUM($EA193:EY193)</f>
        <v>41912</v>
      </c>
      <c r="DH193" s="12">
        <f>SUM($AQ193:CB193)-SUM($EA193:EZ193)</f>
        <v>39912</v>
      </c>
      <c r="DI193" s="12">
        <f>SUM($AQ193:CC193)-SUM($EA193:FA193)</f>
        <v>37912</v>
      </c>
      <c r="DJ193" s="12">
        <f>SUM($AQ193:CD193)-SUM($EA193:FB193)</f>
        <v>35912</v>
      </c>
      <c r="DK193" s="12">
        <f>SUM($AQ193:CE193)-SUM($EA193:FC193)</f>
        <v>33912</v>
      </c>
      <c r="DL193" s="12">
        <f>SUM($AQ193:CF193)-SUM($EA193:FD193)</f>
        <v>31912</v>
      </c>
      <c r="DM193" s="12">
        <f>SUM($AQ193:CG193)-SUM($EA193:FE193)</f>
        <v>29912</v>
      </c>
      <c r="DN193" s="12">
        <f>SUM($AQ193:CH193)-SUM($EA193:FF193)</f>
        <v>27912</v>
      </c>
      <c r="DO193" s="12">
        <f>SUM($AQ193:CI193)-SUM($EA193:FG193)</f>
        <v>25912</v>
      </c>
      <c r="DP193" s="12">
        <f>SUM($AQ193:CJ193)-SUM($EA193:FH193)</f>
        <v>23912</v>
      </c>
      <c r="DQ193" s="12">
        <f>SUM($AQ193:CK193)-SUM($EA193:FI193)</f>
        <v>21912</v>
      </c>
      <c r="DR193" s="12">
        <f>SUM($AQ193:CL193)-SUM($EA193:FJ193)</f>
        <v>19912</v>
      </c>
      <c r="DS193" s="12">
        <f>SUM($AQ193:CM193)-SUM($EA193:FK193)</f>
        <v>17912</v>
      </c>
      <c r="DT193" s="12">
        <f>SUM($AQ193:CN193)-SUM($EA193:FL193)</f>
        <v>15912</v>
      </c>
      <c r="DU193" s="12">
        <f>SUM($AQ193:CO193)-SUM($EA193:FM193)</f>
        <v>13912</v>
      </c>
      <c r="DV193" s="12">
        <f>SUM($AQ193:CP193)-SUM($EA193:FN193)</f>
        <v>85151</v>
      </c>
      <c r="DW193" s="12">
        <f>SUM($AQ193:CQ193)-SUM($EA193:FO193)</f>
        <v>157611</v>
      </c>
      <c r="DX193" s="13"/>
      <c r="DY193" s="13"/>
      <c r="DZ193" s="13"/>
      <c r="EA193" s="12"/>
      <c r="EB193" s="12"/>
      <c r="EC193" s="12"/>
      <c r="ED193" s="12"/>
      <c r="EE193" s="12"/>
      <c r="EF193" s="12"/>
      <c r="EG193" s="12"/>
      <c r="EH193" s="12">
        <f t="array" ref="EH193">SUMPRODUCT(TRANSPOSE(EH$9:EH$34),$K193:$AJ193)</f>
        <v>7063</v>
      </c>
      <c r="EI193" s="12">
        <f t="array" ref="EI193">SUMPRODUCT(TRANSPOSE(EI$9:EI$34),$K193:$AJ193)</f>
        <v>400</v>
      </c>
      <c r="EJ193" s="12">
        <f t="array" ref="EJ193">SUMPRODUCT(TRANSPOSE(EJ$9:EJ$34),$K193:$AJ193)</f>
        <v>1015</v>
      </c>
      <c r="EK193" s="12">
        <f t="array" ref="EK193">SUMPRODUCT(TRANSPOSE(EK$9:EK$34),$K193:$AJ193)</f>
        <v>1135</v>
      </c>
      <c r="EL193" s="12">
        <f t="array" ref="EL193">SUMPRODUCT(TRANSPOSE(EL$9:EL$34),$K193:$AJ193)</f>
        <v>2015</v>
      </c>
      <c r="EM193" s="12">
        <f t="array" ref="EM193">SUMPRODUCT(TRANSPOSE(EM$9:EM$34),$K193:$AJ193)</f>
        <v>2050</v>
      </c>
      <c r="EN193" s="12">
        <f t="array" ref="EN193">SUMPRODUCT(TRANSPOSE(EN$9:EN$34),$K193:$AJ193)</f>
        <v>2050</v>
      </c>
      <c r="EO193" s="12">
        <f t="array" ref="EO193">SUMPRODUCT(TRANSPOSE(EO$9:EO$34),$K193:$AJ193)</f>
        <v>2000</v>
      </c>
      <c r="EP193" s="12">
        <f t="array" ref="EP193">SUMPRODUCT(TRANSPOSE(EP$9:EP$34),$K193:$AJ193)</f>
        <v>2050</v>
      </c>
      <c r="EQ193" s="12">
        <f t="array" ref="EQ193">SUMPRODUCT(TRANSPOSE(EQ$9:EQ$34),$K193:$AJ193)</f>
        <v>2050</v>
      </c>
      <c r="ER193" s="12">
        <f t="array" ref="ER193">SUMPRODUCT(TRANSPOSE(ER$9:ER$34),$K193:$AJ193)</f>
        <v>2050</v>
      </c>
      <c r="ES193" s="12">
        <f t="array" ref="ES193">SUMPRODUCT(TRANSPOSE(ES$9:ES$34),$K193:$AJ193)</f>
        <v>2050</v>
      </c>
      <c r="ET193" s="12">
        <f t="array" ref="ET193">SUMPRODUCT(TRANSPOSE(ET$9:ET$34),$K193:$AJ193)</f>
        <v>2050</v>
      </c>
      <c r="EU193" s="12">
        <f t="array" ref="EU193">SUMPRODUCT(TRANSPOSE(EU$9:EU$34),$K193:$AJ193)</f>
        <v>2050</v>
      </c>
      <c r="EV193" s="12">
        <f t="array" ref="EV193">SUMPRODUCT(TRANSPOSE(EV$9:EV$34),$K193:$AJ193)</f>
        <v>2050</v>
      </c>
      <c r="EW193" s="12">
        <f t="array" ref="EW193">SUMPRODUCT(TRANSPOSE(EW$9:EW$34),$K193:$AJ193)</f>
        <v>2010</v>
      </c>
      <c r="EX193" s="12">
        <f t="array" ref="EX193">SUMPRODUCT(TRANSPOSE(EX$9:EX$34),$K193:$AJ193)</f>
        <v>2000</v>
      </c>
      <c r="EY193" s="12">
        <f t="array" ref="EY193">SUMPRODUCT(TRANSPOSE(EY$9:EY$34),$K193:$AJ193)</f>
        <v>2000</v>
      </c>
      <c r="EZ193" s="12">
        <f t="array" ref="EZ193">SUMPRODUCT(TRANSPOSE(EZ$9:EZ$34),$K193:$AJ193)</f>
        <v>2000</v>
      </c>
      <c r="FA193" s="12">
        <f t="array" ref="FA193">SUMPRODUCT(TRANSPOSE(FA$9:FA$34),$K193:$AJ193)</f>
        <v>2000</v>
      </c>
      <c r="FB193" s="12">
        <f t="array" ref="FB193">SUMPRODUCT(TRANSPOSE(FB$9:FB$34),$K193:$AJ193)</f>
        <v>2000</v>
      </c>
      <c r="FC193" s="12">
        <f t="array" ref="FC193">SUMPRODUCT(TRANSPOSE(FC$9:FC$34),$K193:$AJ193)</f>
        <v>2000</v>
      </c>
      <c r="FD193" s="12">
        <f t="array" ref="FD193">SUMPRODUCT(TRANSPOSE(FD$9:FD$34),$K193:$AJ193)</f>
        <v>2000</v>
      </c>
      <c r="FE193" s="12">
        <f t="array" ref="FE193">SUMPRODUCT(TRANSPOSE(FE$9:FE$34),$K193:$AJ193)</f>
        <v>2000</v>
      </c>
      <c r="FF193" s="12">
        <f t="array" ref="FF193">SUMPRODUCT(TRANSPOSE(FF$9:FF$34),$K193:$AJ193)</f>
        <v>2000</v>
      </c>
      <c r="FG193" s="12">
        <f t="array" ref="FG193">SUMPRODUCT(TRANSPOSE(FG$9:FG$34),$K193:$AJ193)</f>
        <v>2000</v>
      </c>
      <c r="FH193" s="12">
        <f t="array" ref="FH193">SUMPRODUCT(TRANSPOSE(FH$9:FH$34),$K193:$AJ193)</f>
        <v>2000</v>
      </c>
      <c r="FI193" s="12">
        <f t="array" ref="FI193">SUMPRODUCT(TRANSPOSE(FI$9:FI$34),$K193:$AJ193)</f>
        <v>2000</v>
      </c>
      <c r="FJ193" s="12">
        <f t="array" ref="FJ193">SUMPRODUCT(TRANSPOSE(FJ$9:FJ$34),$K193:$AJ193)</f>
        <v>2000</v>
      </c>
      <c r="FK193" s="12">
        <f t="array" ref="FK193">SUMPRODUCT(TRANSPOSE(FK$9:FK$34),$K193:$AJ193)</f>
        <v>2000</v>
      </c>
      <c r="FL193" s="12">
        <f t="array" ref="FL193">SUMPRODUCT(TRANSPOSE(FL$9:FL$34),$K193:$AJ193)</f>
        <v>2000</v>
      </c>
      <c r="FM193" s="12">
        <f t="array" ref="FM193">SUMPRODUCT(TRANSPOSE(FM$9:FM$34),$K193:$AJ193)</f>
        <v>2000</v>
      </c>
      <c r="FN193" s="12">
        <f t="array" ref="FN193">SUMPRODUCT(TRANSPOSE(FN$9:FN$34),$K193:$AJ193)</f>
        <v>1698</v>
      </c>
      <c r="FO193" s="12">
        <f t="array" ref="FO193">SUMPRODUCT(TRANSPOSE(FO$9:FO$34),$K193:$AJ193)</f>
        <v>77</v>
      </c>
    </row>
    <row r="194" spans="1:171" ht="14.25" x14ac:dyDescent="0.2">
      <c r="A194" s="13">
        <f t="shared" si="10"/>
        <v>159</v>
      </c>
      <c r="B194" s="13" t="s">
        <v>565</v>
      </c>
      <c r="C194" s="25" t="s">
        <v>566</v>
      </c>
      <c r="D194" s="13" t="s">
        <v>67</v>
      </c>
      <c r="E194" s="13">
        <v>400658331</v>
      </c>
      <c r="F194" s="26" t="s">
        <v>567</v>
      </c>
      <c r="G194" s="13" t="s">
        <v>568</v>
      </c>
      <c r="H194" s="13" t="s">
        <v>61</v>
      </c>
      <c r="I194" s="13">
        <v>2</v>
      </c>
      <c r="J194" s="13">
        <v>6</v>
      </c>
      <c r="K194" s="13">
        <v>0</v>
      </c>
      <c r="L194" s="13">
        <v>0</v>
      </c>
      <c r="M194" s="13">
        <v>0</v>
      </c>
      <c r="N194" s="13">
        <v>0</v>
      </c>
      <c r="O194" s="13">
        <v>2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2</v>
      </c>
      <c r="Y194" s="13"/>
      <c r="Z194" s="13"/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2</v>
      </c>
      <c r="AK194" s="13">
        <f t="shared" si="11"/>
        <v>4</v>
      </c>
      <c r="AL194" s="23">
        <f t="shared" si="9"/>
        <v>141726</v>
      </c>
      <c r="AM194" s="13"/>
      <c r="AN194" s="13" t="s">
        <v>299</v>
      </c>
      <c r="AO194" s="7" t="s">
        <v>300</v>
      </c>
      <c r="AP194" s="38">
        <v>1E-3</v>
      </c>
      <c r="AQ194" s="12">
        <v>150000</v>
      </c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13"/>
      <c r="CG194" s="13"/>
      <c r="CH194" s="13"/>
      <c r="CI194" s="12"/>
      <c r="CJ194" s="12"/>
      <c r="CK194" s="12"/>
      <c r="CL194" s="12"/>
      <c r="CM194" s="12"/>
      <c r="CN194" s="12"/>
      <c r="CO194" s="12"/>
      <c r="CP194" s="12">
        <f>SUM($AQ194:BJ194)-SUM($EA194:EH194)</f>
        <v>135874</v>
      </c>
      <c r="CQ194" s="12">
        <f>SUM($AQ194:BK194)-SUM($EA194:EI194)</f>
        <v>135074</v>
      </c>
      <c r="CR194" s="12">
        <f>SUM($AQ194:BL194)-SUM($EA194:EJ194)</f>
        <v>133044</v>
      </c>
      <c r="CS194" s="12">
        <f>SUM($AQ194:BM194)-SUM($EA194:EK194)</f>
        <v>130774</v>
      </c>
      <c r="CT194" s="12">
        <f>SUM($AQ194:BN194)-SUM($EA194:EL194)</f>
        <v>126744</v>
      </c>
      <c r="CU194" s="12">
        <f>SUM($AQ194:BO194)-SUM($EA194:EM194)</f>
        <v>122644</v>
      </c>
      <c r="CV194" s="12">
        <f>SUM($AQ194:BP194)-SUM($EA194:EN194)</f>
        <v>118544</v>
      </c>
      <c r="CW194" s="12">
        <f>SUM($AQ194:BQ194)-SUM($EA194:EO194)</f>
        <v>114544</v>
      </c>
      <c r="CX194" s="12">
        <f>SUM($AQ194:BR194)-SUM($EA194:EP194)</f>
        <v>110444</v>
      </c>
      <c r="CY194" s="12">
        <f>SUM($AQ194:BS194)-SUM($EA194:EQ194)</f>
        <v>106344</v>
      </c>
      <c r="CZ194" s="12">
        <f>SUM($AQ194:BT194)-SUM($EA194:ER194)</f>
        <v>102244</v>
      </c>
      <c r="DA194" s="12">
        <f>SUM($AQ194:BU194)-SUM($EA194:ES194)</f>
        <v>98144</v>
      </c>
      <c r="DB194" s="12">
        <f>SUM($AQ194:BV194)-SUM($EA194:ET194)</f>
        <v>94044</v>
      </c>
      <c r="DC194" s="12">
        <f>SUM($AQ194:BW194)-SUM($EA194:EU194)</f>
        <v>89944</v>
      </c>
      <c r="DD194" s="12">
        <f>SUM($AQ194:BX194)-SUM($EA194:EV194)</f>
        <v>85844</v>
      </c>
      <c r="DE194" s="12">
        <f>SUM($AQ194:BY194)-SUM($EA194:EW194)</f>
        <v>81824</v>
      </c>
      <c r="DF194" s="12">
        <f>SUM($AQ194:BZ194)-SUM($EA194:EX194)</f>
        <v>77824</v>
      </c>
      <c r="DG194" s="12">
        <f>SUM($AQ194:CA194)-SUM($EA194:EY194)</f>
        <v>73824</v>
      </c>
      <c r="DH194" s="12">
        <f>SUM($AQ194:CB194)-SUM($EA194:EZ194)</f>
        <v>69824</v>
      </c>
      <c r="DI194" s="12">
        <f>SUM($AQ194:CC194)-SUM($EA194:FA194)</f>
        <v>65824</v>
      </c>
      <c r="DJ194" s="12">
        <f>SUM($AQ194:CD194)-SUM($EA194:FB194)</f>
        <v>61824</v>
      </c>
      <c r="DK194" s="12">
        <f>SUM($AQ194:CE194)-SUM($EA194:FC194)</f>
        <v>57824</v>
      </c>
      <c r="DL194" s="12">
        <f>SUM($AQ194:CF194)-SUM($EA194:FD194)</f>
        <v>53824</v>
      </c>
      <c r="DM194" s="12">
        <f>SUM($AQ194:CG194)-SUM($EA194:FE194)</f>
        <v>49824</v>
      </c>
      <c r="DN194" s="12">
        <f>SUM($AQ194:CH194)-SUM($EA194:FF194)</f>
        <v>45824</v>
      </c>
      <c r="DO194" s="12">
        <f>SUM($AQ194:CI194)-SUM($EA194:FG194)</f>
        <v>41824</v>
      </c>
      <c r="DP194" s="12">
        <f>SUM($AQ194:CJ194)-SUM($EA194:FH194)</f>
        <v>37824</v>
      </c>
      <c r="DQ194" s="12">
        <f>SUM($AQ194:CK194)-SUM($EA194:FI194)</f>
        <v>33824</v>
      </c>
      <c r="DR194" s="12">
        <f>SUM($AQ194:CL194)-SUM($EA194:FJ194)</f>
        <v>29824</v>
      </c>
      <c r="DS194" s="12">
        <f>SUM($AQ194:CM194)-SUM($EA194:FK194)</f>
        <v>25824</v>
      </c>
      <c r="DT194" s="12">
        <f>SUM($AQ194:CN194)-SUM($EA194:FL194)</f>
        <v>21824</v>
      </c>
      <c r="DU194" s="12">
        <f>SUM($AQ194:CO194)-SUM($EA194:FM194)</f>
        <v>17824</v>
      </c>
      <c r="DV194" s="12">
        <f>SUM($AQ194:CP194)-SUM($EA194:FN194)</f>
        <v>150302</v>
      </c>
      <c r="DW194" s="12">
        <f>SUM($AQ194:CQ194)-SUM($EA194:FO194)</f>
        <v>285222</v>
      </c>
      <c r="DX194" s="13"/>
      <c r="DY194" s="13"/>
      <c r="DZ194" s="13"/>
      <c r="EA194" s="12"/>
      <c r="EB194" s="12"/>
      <c r="EC194" s="12"/>
      <c r="ED194" s="12"/>
      <c r="EE194" s="12"/>
      <c r="EF194" s="12"/>
      <c r="EG194" s="12"/>
      <c r="EH194" s="12">
        <f t="array" ref="EH194">SUMPRODUCT(TRANSPOSE(EH$9:EH$34),$K194:$AJ194)</f>
        <v>14126</v>
      </c>
      <c r="EI194" s="12">
        <f t="array" ref="EI194">SUMPRODUCT(TRANSPOSE(EI$9:EI$34),$K194:$AJ194)</f>
        <v>800</v>
      </c>
      <c r="EJ194" s="12">
        <f t="array" ref="EJ194">SUMPRODUCT(TRANSPOSE(EJ$9:EJ$34),$K194:$AJ194)</f>
        <v>2030</v>
      </c>
      <c r="EK194" s="12">
        <f t="array" ref="EK194">SUMPRODUCT(TRANSPOSE(EK$9:EK$34),$K194:$AJ194)</f>
        <v>2270</v>
      </c>
      <c r="EL194" s="12">
        <f t="array" ref="EL194">SUMPRODUCT(TRANSPOSE(EL$9:EL$34),$K194:$AJ194)</f>
        <v>4030</v>
      </c>
      <c r="EM194" s="12">
        <f t="array" ref="EM194">SUMPRODUCT(TRANSPOSE(EM$9:EM$34),$K194:$AJ194)</f>
        <v>4100</v>
      </c>
      <c r="EN194" s="12">
        <f t="array" ref="EN194">SUMPRODUCT(TRANSPOSE(EN$9:EN$34),$K194:$AJ194)</f>
        <v>4100</v>
      </c>
      <c r="EO194" s="12">
        <f t="array" ref="EO194">SUMPRODUCT(TRANSPOSE(EO$9:EO$34),$K194:$AJ194)</f>
        <v>4000</v>
      </c>
      <c r="EP194" s="12">
        <f t="array" ref="EP194">SUMPRODUCT(TRANSPOSE(EP$9:EP$34),$K194:$AJ194)</f>
        <v>4100</v>
      </c>
      <c r="EQ194" s="12">
        <f t="array" ref="EQ194">SUMPRODUCT(TRANSPOSE(EQ$9:EQ$34),$K194:$AJ194)</f>
        <v>4100</v>
      </c>
      <c r="ER194" s="12">
        <f t="array" ref="ER194">SUMPRODUCT(TRANSPOSE(ER$9:ER$34),$K194:$AJ194)</f>
        <v>4100</v>
      </c>
      <c r="ES194" s="12">
        <f t="array" ref="ES194">SUMPRODUCT(TRANSPOSE(ES$9:ES$34),$K194:$AJ194)</f>
        <v>4100</v>
      </c>
      <c r="ET194" s="12">
        <f t="array" ref="ET194">SUMPRODUCT(TRANSPOSE(ET$9:ET$34),$K194:$AJ194)</f>
        <v>4100</v>
      </c>
      <c r="EU194" s="12">
        <f t="array" ref="EU194">SUMPRODUCT(TRANSPOSE(EU$9:EU$34),$K194:$AJ194)</f>
        <v>4100</v>
      </c>
      <c r="EV194" s="12">
        <f t="array" ref="EV194">SUMPRODUCT(TRANSPOSE(EV$9:EV$34),$K194:$AJ194)</f>
        <v>4100</v>
      </c>
      <c r="EW194" s="12">
        <f t="array" ref="EW194">SUMPRODUCT(TRANSPOSE(EW$9:EW$34),$K194:$AJ194)</f>
        <v>4020</v>
      </c>
      <c r="EX194" s="12">
        <f t="array" ref="EX194">SUMPRODUCT(TRANSPOSE(EX$9:EX$34),$K194:$AJ194)</f>
        <v>4000</v>
      </c>
      <c r="EY194" s="12">
        <f t="array" ref="EY194">SUMPRODUCT(TRANSPOSE(EY$9:EY$34),$K194:$AJ194)</f>
        <v>4000</v>
      </c>
      <c r="EZ194" s="12">
        <f t="array" ref="EZ194">SUMPRODUCT(TRANSPOSE(EZ$9:EZ$34),$K194:$AJ194)</f>
        <v>4000</v>
      </c>
      <c r="FA194" s="12">
        <f t="array" ref="FA194">SUMPRODUCT(TRANSPOSE(FA$9:FA$34),$K194:$AJ194)</f>
        <v>4000</v>
      </c>
      <c r="FB194" s="12">
        <f t="array" ref="FB194">SUMPRODUCT(TRANSPOSE(FB$9:FB$34),$K194:$AJ194)</f>
        <v>4000</v>
      </c>
      <c r="FC194" s="12">
        <f t="array" ref="FC194">SUMPRODUCT(TRANSPOSE(FC$9:FC$34),$K194:$AJ194)</f>
        <v>4000</v>
      </c>
      <c r="FD194" s="12">
        <f t="array" ref="FD194">SUMPRODUCT(TRANSPOSE(FD$9:FD$34),$K194:$AJ194)</f>
        <v>4000</v>
      </c>
      <c r="FE194" s="12">
        <f t="array" ref="FE194">SUMPRODUCT(TRANSPOSE(FE$9:FE$34),$K194:$AJ194)</f>
        <v>4000</v>
      </c>
      <c r="FF194" s="12">
        <f t="array" ref="FF194">SUMPRODUCT(TRANSPOSE(FF$9:FF$34),$K194:$AJ194)</f>
        <v>4000</v>
      </c>
      <c r="FG194" s="12">
        <f t="array" ref="FG194">SUMPRODUCT(TRANSPOSE(FG$9:FG$34),$K194:$AJ194)</f>
        <v>4000</v>
      </c>
      <c r="FH194" s="12">
        <f t="array" ref="FH194">SUMPRODUCT(TRANSPOSE(FH$9:FH$34),$K194:$AJ194)</f>
        <v>4000</v>
      </c>
      <c r="FI194" s="12">
        <f t="array" ref="FI194">SUMPRODUCT(TRANSPOSE(FI$9:FI$34),$K194:$AJ194)</f>
        <v>4000</v>
      </c>
      <c r="FJ194" s="12">
        <f t="array" ref="FJ194">SUMPRODUCT(TRANSPOSE(FJ$9:FJ$34),$K194:$AJ194)</f>
        <v>4000</v>
      </c>
      <c r="FK194" s="12">
        <f t="array" ref="FK194">SUMPRODUCT(TRANSPOSE(FK$9:FK$34),$K194:$AJ194)</f>
        <v>4000</v>
      </c>
      <c r="FL194" s="12">
        <f t="array" ref="FL194">SUMPRODUCT(TRANSPOSE(FL$9:FL$34),$K194:$AJ194)</f>
        <v>4000</v>
      </c>
      <c r="FM194" s="12">
        <f t="array" ref="FM194">SUMPRODUCT(TRANSPOSE(FM$9:FM$34),$K194:$AJ194)</f>
        <v>4000</v>
      </c>
      <c r="FN194" s="12">
        <f t="array" ref="FN194">SUMPRODUCT(TRANSPOSE(FN$9:FN$34),$K194:$AJ194)</f>
        <v>3396</v>
      </c>
      <c r="FO194" s="12">
        <f t="array" ref="FO194">SUMPRODUCT(TRANSPOSE(FO$9:FO$34),$K194:$AJ194)</f>
        <v>154</v>
      </c>
    </row>
    <row r="195" spans="1:171" ht="14.25" x14ac:dyDescent="0.2">
      <c r="A195" s="13">
        <f t="shared" si="10"/>
        <v>160</v>
      </c>
      <c r="B195" s="13" t="s">
        <v>569</v>
      </c>
      <c r="C195" s="25" t="s">
        <v>570</v>
      </c>
      <c r="D195" s="13" t="s">
        <v>67</v>
      </c>
      <c r="E195" s="13">
        <v>401193607</v>
      </c>
      <c r="F195" s="26" t="s">
        <v>571</v>
      </c>
      <c r="G195" s="13">
        <v>400275764</v>
      </c>
      <c r="H195" s="13" t="s">
        <v>61</v>
      </c>
      <c r="I195" s="13">
        <v>2</v>
      </c>
      <c r="J195" s="13">
        <v>6</v>
      </c>
      <c r="K195" s="13">
        <v>0</v>
      </c>
      <c r="L195" s="13">
        <v>0</v>
      </c>
      <c r="M195" s="13">
        <v>0</v>
      </c>
      <c r="N195" s="13">
        <v>0</v>
      </c>
      <c r="O195" s="13">
        <v>2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2</v>
      </c>
      <c r="Y195" s="13"/>
      <c r="Z195" s="13"/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2</v>
      </c>
      <c r="AK195" s="13">
        <f t="shared" si="11"/>
        <v>4</v>
      </c>
      <c r="AL195" s="23">
        <f t="shared" si="9"/>
        <v>141726</v>
      </c>
      <c r="AM195" s="13"/>
      <c r="AN195" s="13" t="s">
        <v>299</v>
      </c>
      <c r="AO195" s="7" t="s">
        <v>307</v>
      </c>
      <c r="AP195" s="37">
        <v>3.0000000000000001E-3</v>
      </c>
      <c r="AQ195" s="12">
        <v>150000</v>
      </c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13"/>
      <c r="CG195" s="13"/>
      <c r="CH195" s="13"/>
      <c r="CI195" s="12"/>
      <c r="CJ195" s="12"/>
      <c r="CK195" s="12"/>
      <c r="CL195" s="12"/>
      <c r="CM195" s="12"/>
      <c r="CN195" s="12"/>
      <c r="CO195" s="12"/>
      <c r="CP195" s="12">
        <f>SUM($AQ195:BJ195)-SUM($EA195:EH195)</f>
        <v>135874</v>
      </c>
      <c r="CQ195" s="12">
        <f>SUM($AQ195:BK195)-SUM($EA195:EI195)</f>
        <v>135074</v>
      </c>
      <c r="CR195" s="12">
        <f>SUM($AQ195:BL195)-SUM($EA195:EJ195)</f>
        <v>133044</v>
      </c>
      <c r="CS195" s="12">
        <f>SUM($AQ195:BM195)-SUM($EA195:EK195)</f>
        <v>130774</v>
      </c>
      <c r="CT195" s="12">
        <f>SUM($AQ195:BN195)-SUM($EA195:EL195)</f>
        <v>126744</v>
      </c>
      <c r="CU195" s="12">
        <f>SUM($AQ195:BO195)-SUM($EA195:EM195)</f>
        <v>122644</v>
      </c>
      <c r="CV195" s="12">
        <f>SUM($AQ195:BP195)-SUM($EA195:EN195)</f>
        <v>118544</v>
      </c>
      <c r="CW195" s="12">
        <f>SUM($AQ195:BQ195)-SUM($EA195:EO195)</f>
        <v>114544</v>
      </c>
      <c r="CX195" s="12">
        <f>SUM($AQ195:BR195)-SUM($EA195:EP195)</f>
        <v>110444</v>
      </c>
      <c r="CY195" s="12">
        <f>SUM($AQ195:BS195)-SUM($EA195:EQ195)</f>
        <v>106344</v>
      </c>
      <c r="CZ195" s="12">
        <f>SUM($AQ195:BT195)-SUM($EA195:ER195)</f>
        <v>102244</v>
      </c>
      <c r="DA195" s="12">
        <f>SUM($AQ195:BU195)-SUM($EA195:ES195)</f>
        <v>98144</v>
      </c>
      <c r="DB195" s="12">
        <f>SUM($AQ195:BV195)-SUM($EA195:ET195)</f>
        <v>94044</v>
      </c>
      <c r="DC195" s="12">
        <f>SUM($AQ195:BW195)-SUM($EA195:EU195)</f>
        <v>89944</v>
      </c>
      <c r="DD195" s="12">
        <f>SUM($AQ195:BX195)-SUM($EA195:EV195)</f>
        <v>85844</v>
      </c>
      <c r="DE195" s="12">
        <f>SUM($AQ195:BY195)-SUM($EA195:EW195)</f>
        <v>81824</v>
      </c>
      <c r="DF195" s="12">
        <f>SUM($AQ195:BZ195)-SUM($EA195:EX195)</f>
        <v>77824</v>
      </c>
      <c r="DG195" s="12">
        <f>SUM($AQ195:CA195)-SUM($EA195:EY195)</f>
        <v>73824</v>
      </c>
      <c r="DH195" s="12">
        <f>SUM($AQ195:CB195)-SUM($EA195:EZ195)</f>
        <v>69824</v>
      </c>
      <c r="DI195" s="12">
        <f>SUM($AQ195:CC195)-SUM($EA195:FA195)</f>
        <v>65824</v>
      </c>
      <c r="DJ195" s="12">
        <f>SUM($AQ195:CD195)-SUM($EA195:FB195)</f>
        <v>61824</v>
      </c>
      <c r="DK195" s="12">
        <f>SUM($AQ195:CE195)-SUM($EA195:FC195)</f>
        <v>57824</v>
      </c>
      <c r="DL195" s="12">
        <f>SUM($AQ195:CF195)-SUM($EA195:FD195)</f>
        <v>53824</v>
      </c>
      <c r="DM195" s="12">
        <f>SUM($AQ195:CG195)-SUM($EA195:FE195)</f>
        <v>49824</v>
      </c>
      <c r="DN195" s="12">
        <f>SUM($AQ195:CH195)-SUM($EA195:FF195)</f>
        <v>45824</v>
      </c>
      <c r="DO195" s="12">
        <f>SUM($AQ195:CI195)-SUM($EA195:FG195)</f>
        <v>41824</v>
      </c>
      <c r="DP195" s="12">
        <f>SUM($AQ195:CJ195)-SUM($EA195:FH195)</f>
        <v>37824</v>
      </c>
      <c r="DQ195" s="12">
        <f>SUM($AQ195:CK195)-SUM($EA195:FI195)</f>
        <v>33824</v>
      </c>
      <c r="DR195" s="12">
        <f>SUM($AQ195:CL195)-SUM($EA195:FJ195)</f>
        <v>29824</v>
      </c>
      <c r="DS195" s="12">
        <f>SUM($AQ195:CM195)-SUM($EA195:FK195)</f>
        <v>25824</v>
      </c>
      <c r="DT195" s="12">
        <f>SUM($AQ195:CN195)-SUM($EA195:FL195)</f>
        <v>21824</v>
      </c>
      <c r="DU195" s="12">
        <f>SUM($AQ195:CO195)-SUM($EA195:FM195)</f>
        <v>17824</v>
      </c>
      <c r="DV195" s="12">
        <f>SUM($AQ195:CP195)-SUM($EA195:FN195)</f>
        <v>150302</v>
      </c>
      <c r="DW195" s="12">
        <f>SUM($AQ195:CQ195)-SUM($EA195:FO195)</f>
        <v>285222</v>
      </c>
      <c r="DX195" s="13"/>
      <c r="DY195" s="13"/>
      <c r="DZ195" s="13"/>
      <c r="EA195" s="12"/>
      <c r="EB195" s="12"/>
      <c r="EC195" s="12"/>
      <c r="ED195" s="12"/>
      <c r="EE195" s="12"/>
      <c r="EF195" s="12"/>
      <c r="EG195" s="12"/>
      <c r="EH195" s="12">
        <f t="array" ref="EH195">SUMPRODUCT(TRANSPOSE(EH$9:EH$34),$K195:$AJ195)</f>
        <v>14126</v>
      </c>
      <c r="EI195" s="12">
        <f t="array" ref="EI195">SUMPRODUCT(TRANSPOSE(EI$9:EI$34),$K195:$AJ195)</f>
        <v>800</v>
      </c>
      <c r="EJ195" s="12">
        <f t="array" ref="EJ195">SUMPRODUCT(TRANSPOSE(EJ$9:EJ$34),$K195:$AJ195)</f>
        <v>2030</v>
      </c>
      <c r="EK195" s="12">
        <f t="array" ref="EK195">SUMPRODUCT(TRANSPOSE(EK$9:EK$34),$K195:$AJ195)</f>
        <v>2270</v>
      </c>
      <c r="EL195" s="12">
        <f t="array" ref="EL195">SUMPRODUCT(TRANSPOSE(EL$9:EL$34),$K195:$AJ195)</f>
        <v>4030</v>
      </c>
      <c r="EM195" s="12">
        <f t="array" ref="EM195">SUMPRODUCT(TRANSPOSE(EM$9:EM$34),$K195:$AJ195)</f>
        <v>4100</v>
      </c>
      <c r="EN195" s="12">
        <f t="array" ref="EN195">SUMPRODUCT(TRANSPOSE(EN$9:EN$34),$K195:$AJ195)</f>
        <v>4100</v>
      </c>
      <c r="EO195" s="12">
        <f t="array" ref="EO195">SUMPRODUCT(TRANSPOSE(EO$9:EO$34),$K195:$AJ195)</f>
        <v>4000</v>
      </c>
      <c r="EP195" s="12">
        <f t="array" ref="EP195">SUMPRODUCT(TRANSPOSE(EP$9:EP$34),$K195:$AJ195)</f>
        <v>4100</v>
      </c>
      <c r="EQ195" s="12">
        <f t="array" ref="EQ195">SUMPRODUCT(TRANSPOSE(EQ$9:EQ$34),$K195:$AJ195)</f>
        <v>4100</v>
      </c>
      <c r="ER195" s="12">
        <f t="array" ref="ER195">SUMPRODUCT(TRANSPOSE(ER$9:ER$34),$K195:$AJ195)</f>
        <v>4100</v>
      </c>
      <c r="ES195" s="12">
        <f t="array" ref="ES195">SUMPRODUCT(TRANSPOSE(ES$9:ES$34),$K195:$AJ195)</f>
        <v>4100</v>
      </c>
      <c r="ET195" s="12">
        <f t="array" ref="ET195">SUMPRODUCT(TRANSPOSE(ET$9:ET$34),$K195:$AJ195)</f>
        <v>4100</v>
      </c>
      <c r="EU195" s="12">
        <f t="array" ref="EU195">SUMPRODUCT(TRANSPOSE(EU$9:EU$34),$K195:$AJ195)</f>
        <v>4100</v>
      </c>
      <c r="EV195" s="12">
        <f t="array" ref="EV195">SUMPRODUCT(TRANSPOSE(EV$9:EV$34),$K195:$AJ195)</f>
        <v>4100</v>
      </c>
      <c r="EW195" s="12">
        <f t="array" ref="EW195">SUMPRODUCT(TRANSPOSE(EW$9:EW$34),$K195:$AJ195)</f>
        <v>4020</v>
      </c>
      <c r="EX195" s="12">
        <f t="array" ref="EX195">SUMPRODUCT(TRANSPOSE(EX$9:EX$34),$K195:$AJ195)</f>
        <v>4000</v>
      </c>
      <c r="EY195" s="12">
        <f t="array" ref="EY195">SUMPRODUCT(TRANSPOSE(EY$9:EY$34),$K195:$AJ195)</f>
        <v>4000</v>
      </c>
      <c r="EZ195" s="12">
        <f t="array" ref="EZ195">SUMPRODUCT(TRANSPOSE(EZ$9:EZ$34),$K195:$AJ195)</f>
        <v>4000</v>
      </c>
      <c r="FA195" s="12">
        <f t="array" ref="FA195">SUMPRODUCT(TRANSPOSE(FA$9:FA$34),$K195:$AJ195)</f>
        <v>4000</v>
      </c>
      <c r="FB195" s="12">
        <f t="array" ref="FB195">SUMPRODUCT(TRANSPOSE(FB$9:FB$34),$K195:$AJ195)</f>
        <v>4000</v>
      </c>
      <c r="FC195" s="12">
        <f t="array" ref="FC195">SUMPRODUCT(TRANSPOSE(FC$9:FC$34),$K195:$AJ195)</f>
        <v>4000</v>
      </c>
      <c r="FD195" s="12">
        <f t="array" ref="FD195">SUMPRODUCT(TRANSPOSE(FD$9:FD$34),$K195:$AJ195)</f>
        <v>4000</v>
      </c>
      <c r="FE195" s="12">
        <f t="array" ref="FE195">SUMPRODUCT(TRANSPOSE(FE$9:FE$34),$K195:$AJ195)</f>
        <v>4000</v>
      </c>
      <c r="FF195" s="12">
        <f t="array" ref="FF195">SUMPRODUCT(TRANSPOSE(FF$9:FF$34),$K195:$AJ195)</f>
        <v>4000</v>
      </c>
      <c r="FG195" s="12">
        <f t="array" ref="FG195">SUMPRODUCT(TRANSPOSE(FG$9:FG$34),$K195:$AJ195)</f>
        <v>4000</v>
      </c>
      <c r="FH195" s="12">
        <f t="array" ref="FH195">SUMPRODUCT(TRANSPOSE(FH$9:FH$34),$K195:$AJ195)</f>
        <v>4000</v>
      </c>
      <c r="FI195" s="12">
        <f t="array" ref="FI195">SUMPRODUCT(TRANSPOSE(FI$9:FI$34),$K195:$AJ195)</f>
        <v>4000</v>
      </c>
      <c r="FJ195" s="12">
        <f t="array" ref="FJ195">SUMPRODUCT(TRANSPOSE(FJ$9:FJ$34),$K195:$AJ195)</f>
        <v>4000</v>
      </c>
      <c r="FK195" s="12">
        <f t="array" ref="FK195">SUMPRODUCT(TRANSPOSE(FK$9:FK$34),$K195:$AJ195)</f>
        <v>4000</v>
      </c>
      <c r="FL195" s="12">
        <f t="array" ref="FL195">SUMPRODUCT(TRANSPOSE(FL$9:FL$34),$K195:$AJ195)</f>
        <v>4000</v>
      </c>
      <c r="FM195" s="12">
        <f t="array" ref="FM195">SUMPRODUCT(TRANSPOSE(FM$9:FM$34),$K195:$AJ195)</f>
        <v>4000</v>
      </c>
      <c r="FN195" s="12">
        <f t="array" ref="FN195">SUMPRODUCT(TRANSPOSE(FN$9:FN$34),$K195:$AJ195)</f>
        <v>3396</v>
      </c>
      <c r="FO195" s="12">
        <f t="array" ref="FO195">SUMPRODUCT(TRANSPOSE(FO$9:FO$34),$K195:$AJ195)</f>
        <v>154</v>
      </c>
    </row>
    <row r="196" spans="1:171" ht="14.25" x14ac:dyDescent="0.2">
      <c r="A196" s="13">
        <f t="shared" si="10"/>
        <v>161</v>
      </c>
      <c r="B196" s="13" t="s">
        <v>572</v>
      </c>
      <c r="C196" s="25" t="s">
        <v>573</v>
      </c>
      <c r="D196" s="13" t="s">
        <v>67</v>
      </c>
      <c r="E196" s="13">
        <v>401193608</v>
      </c>
      <c r="F196" s="26" t="s">
        <v>574</v>
      </c>
      <c r="G196" s="13" t="s">
        <v>575</v>
      </c>
      <c r="H196" s="13" t="s">
        <v>61</v>
      </c>
      <c r="I196" s="13">
        <v>2</v>
      </c>
      <c r="J196" s="13">
        <v>6</v>
      </c>
      <c r="K196" s="13">
        <v>0</v>
      </c>
      <c r="L196" s="13">
        <v>0</v>
      </c>
      <c r="M196" s="13">
        <v>0</v>
      </c>
      <c r="N196" s="13">
        <v>2</v>
      </c>
      <c r="O196" s="13">
        <v>0</v>
      </c>
      <c r="P196" s="13">
        <v>0</v>
      </c>
      <c r="Q196" s="13">
        <v>0</v>
      </c>
      <c r="R196" s="13">
        <v>0</v>
      </c>
      <c r="S196" s="13">
        <v>2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/>
      <c r="Z196" s="13">
        <v>2</v>
      </c>
      <c r="AA196" s="13">
        <v>0</v>
      </c>
      <c r="AB196" s="13">
        <v>0</v>
      </c>
      <c r="AC196" s="13">
        <v>0</v>
      </c>
      <c r="AD196" s="13">
        <v>2</v>
      </c>
      <c r="AE196" s="13">
        <v>2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f t="shared" si="11"/>
        <v>8</v>
      </c>
      <c r="AL196" s="23">
        <f t="shared" si="9"/>
        <v>141792</v>
      </c>
      <c r="AM196" s="13"/>
      <c r="AN196" s="13" t="s">
        <v>299</v>
      </c>
      <c r="AO196" s="7" t="s">
        <v>307</v>
      </c>
      <c r="AP196" s="38">
        <v>1E-3</v>
      </c>
      <c r="AQ196" s="12">
        <v>150000</v>
      </c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13"/>
      <c r="CG196" s="13"/>
      <c r="CH196" s="13"/>
      <c r="CI196" s="12"/>
      <c r="CJ196" s="12"/>
      <c r="CK196" s="12"/>
      <c r="CL196" s="12"/>
      <c r="CM196" s="12"/>
      <c r="CN196" s="12"/>
      <c r="CO196" s="12"/>
      <c r="CP196" s="12">
        <f>SUM($AQ196:BJ196)-SUM($EA196:EH196)</f>
        <v>135874</v>
      </c>
      <c r="CQ196" s="12">
        <f>SUM($AQ196:BK196)-SUM($EA196:EI196)</f>
        <v>135312</v>
      </c>
      <c r="CR196" s="12">
        <f>SUM($AQ196:BL196)-SUM($EA196:EJ196)</f>
        <v>133282</v>
      </c>
      <c r="CS196" s="12">
        <f>SUM($AQ196:BM196)-SUM($EA196:EK196)</f>
        <v>131012</v>
      </c>
      <c r="CT196" s="12">
        <f>SUM($AQ196:BN196)-SUM($EA196:EL196)</f>
        <v>126982</v>
      </c>
      <c r="CU196" s="12">
        <f>SUM($AQ196:BO196)-SUM($EA196:EM196)</f>
        <v>122882</v>
      </c>
      <c r="CV196" s="12">
        <f>SUM($AQ196:BP196)-SUM($EA196:EN196)</f>
        <v>118782</v>
      </c>
      <c r="CW196" s="12">
        <f>SUM($AQ196:BQ196)-SUM($EA196:EO196)</f>
        <v>114782</v>
      </c>
      <c r="CX196" s="12">
        <f>SUM($AQ196:BR196)-SUM($EA196:EP196)</f>
        <v>110682</v>
      </c>
      <c r="CY196" s="12">
        <f>SUM($AQ196:BS196)-SUM($EA196:EQ196)</f>
        <v>106582</v>
      </c>
      <c r="CZ196" s="12">
        <f>SUM($AQ196:BT196)-SUM($EA196:ER196)</f>
        <v>102482</v>
      </c>
      <c r="DA196" s="12">
        <f>SUM($AQ196:BU196)-SUM($EA196:ES196)</f>
        <v>98382</v>
      </c>
      <c r="DB196" s="12">
        <f>SUM($AQ196:BV196)-SUM($EA196:ET196)</f>
        <v>94282</v>
      </c>
      <c r="DC196" s="12">
        <f>SUM($AQ196:BW196)-SUM($EA196:EU196)</f>
        <v>90182</v>
      </c>
      <c r="DD196" s="12">
        <f>SUM($AQ196:BX196)-SUM($EA196:EV196)</f>
        <v>86082</v>
      </c>
      <c r="DE196" s="12">
        <f>SUM($AQ196:BY196)-SUM($EA196:EW196)</f>
        <v>81996</v>
      </c>
      <c r="DF196" s="12">
        <f>SUM($AQ196:BZ196)-SUM($EA196:EX196)</f>
        <v>77996</v>
      </c>
      <c r="DG196" s="12">
        <f>SUM($AQ196:CA196)-SUM($EA196:EY196)</f>
        <v>73996</v>
      </c>
      <c r="DH196" s="12">
        <f>SUM($AQ196:CB196)-SUM($EA196:EZ196)</f>
        <v>69996</v>
      </c>
      <c r="DI196" s="12">
        <f>SUM($AQ196:CC196)-SUM($EA196:FA196)</f>
        <v>65996</v>
      </c>
      <c r="DJ196" s="12">
        <f>SUM($AQ196:CD196)-SUM($EA196:FB196)</f>
        <v>61996</v>
      </c>
      <c r="DK196" s="12">
        <f>SUM($AQ196:CE196)-SUM($EA196:FC196)</f>
        <v>57996</v>
      </c>
      <c r="DL196" s="12">
        <f>SUM($AQ196:CF196)-SUM($EA196:FD196)</f>
        <v>53996</v>
      </c>
      <c r="DM196" s="12">
        <f>SUM($AQ196:CG196)-SUM($EA196:FE196)</f>
        <v>49996</v>
      </c>
      <c r="DN196" s="12">
        <f>SUM($AQ196:CH196)-SUM($EA196:FF196)</f>
        <v>45996</v>
      </c>
      <c r="DO196" s="12">
        <f>SUM($AQ196:CI196)-SUM($EA196:FG196)</f>
        <v>41996</v>
      </c>
      <c r="DP196" s="12">
        <f>SUM($AQ196:CJ196)-SUM($EA196:FH196)</f>
        <v>37996</v>
      </c>
      <c r="DQ196" s="12">
        <f>SUM($AQ196:CK196)-SUM($EA196:FI196)</f>
        <v>33996</v>
      </c>
      <c r="DR196" s="12">
        <f>SUM($AQ196:CL196)-SUM($EA196:FJ196)</f>
        <v>29996</v>
      </c>
      <c r="DS196" s="12">
        <f>SUM($AQ196:CM196)-SUM($EA196:FK196)</f>
        <v>25996</v>
      </c>
      <c r="DT196" s="12">
        <f>SUM($AQ196:CN196)-SUM($EA196:FL196)</f>
        <v>21996</v>
      </c>
      <c r="DU196" s="12">
        <f>SUM($AQ196:CO196)-SUM($EA196:FM196)</f>
        <v>17996</v>
      </c>
      <c r="DV196" s="12">
        <f>SUM($AQ196:CP196)-SUM($EA196:FN196)</f>
        <v>150236</v>
      </c>
      <c r="DW196" s="12">
        <f>SUM($AQ196:CQ196)-SUM($EA196:FO196)</f>
        <v>285394</v>
      </c>
      <c r="DX196" s="13"/>
      <c r="DY196" s="13"/>
      <c r="DZ196" s="13"/>
      <c r="EA196" s="12"/>
      <c r="EB196" s="12"/>
      <c r="EC196" s="12"/>
      <c r="ED196" s="12"/>
      <c r="EE196" s="12"/>
      <c r="EF196" s="12"/>
      <c r="EG196" s="12"/>
      <c r="EH196" s="12">
        <f t="array" ref="EH196">SUMPRODUCT(TRANSPOSE(EH$9:EH$34),$K196:$AJ196)</f>
        <v>14126</v>
      </c>
      <c r="EI196" s="12">
        <f t="array" ref="EI196">SUMPRODUCT(TRANSPOSE(EI$9:EI$34),$K196:$AJ196)</f>
        <v>562</v>
      </c>
      <c r="EJ196" s="12">
        <f t="array" ref="EJ196">SUMPRODUCT(TRANSPOSE(EJ$9:EJ$34),$K196:$AJ196)</f>
        <v>2030</v>
      </c>
      <c r="EK196" s="12">
        <f t="array" ref="EK196">SUMPRODUCT(TRANSPOSE(EK$9:EK$34),$K196:$AJ196)</f>
        <v>2270</v>
      </c>
      <c r="EL196" s="12">
        <f t="array" ref="EL196">SUMPRODUCT(TRANSPOSE(EL$9:EL$34),$K196:$AJ196)</f>
        <v>4030</v>
      </c>
      <c r="EM196" s="12">
        <f t="array" ref="EM196">SUMPRODUCT(TRANSPOSE(EM$9:EM$34),$K196:$AJ196)</f>
        <v>4100</v>
      </c>
      <c r="EN196" s="12">
        <f t="array" ref="EN196">SUMPRODUCT(TRANSPOSE(EN$9:EN$34),$K196:$AJ196)</f>
        <v>4100</v>
      </c>
      <c r="EO196" s="12">
        <f t="array" ref="EO196">SUMPRODUCT(TRANSPOSE(EO$9:EO$34),$K196:$AJ196)</f>
        <v>4000</v>
      </c>
      <c r="EP196" s="12">
        <f t="array" ref="EP196">SUMPRODUCT(TRANSPOSE(EP$9:EP$34),$K196:$AJ196)</f>
        <v>4100</v>
      </c>
      <c r="EQ196" s="12">
        <f t="array" ref="EQ196">SUMPRODUCT(TRANSPOSE(EQ$9:EQ$34),$K196:$AJ196)</f>
        <v>4100</v>
      </c>
      <c r="ER196" s="12">
        <f t="array" ref="ER196">SUMPRODUCT(TRANSPOSE(ER$9:ER$34),$K196:$AJ196)</f>
        <v>4100</v>
      </c>
      <c r="ES196" s="12">
        <f t="array" ref="ES196">SUMPRODUCT(TRANSPOSE(ES$9:ES$34),$K196:$AJ196)</f>
        <v>4100</v>
      </c>
      <c r="ET196" s="12">
        <f t="array" ref="ET196">SUMPRODUCT(TRANSPOSE(ET$9:ET$34),$K196:$AJ196)</f>
        <v>4100</v>
      </c>
      <c r="EU196" s="12">
        <f t="array" ref="EU196">SUMPRODUCT(TRANSPOSE(EU$9:EU$34),$K196:$AJ196)</f>
        <v>4100</v>
      </c>
      <c r="EV196" s="12">
        <f t="array" ref="EV196">SUMPRODUCT(TRANSPOSE(EV$9:EV$34),$K196:$AJ196)</f>
        <v>4100</v>
      </c>
      <c r="EW196" s="12">
        <f t="array" ref="EW196">SUMPRODUCT(TRANSPOSE(EW$9:EW$34),$K196:$AJ196)</f>
        <v>4086</v>
      </c>
      <c r="EX196" s="12">
        <f t="array" ref="EX196">SUMPRODUCT(TRANSPOSE(EX$9:EX$34),$K196:$AJ196)</f>
        <v>4000</v>
      </c>
      <c r="EY196" s="12">
        <f t="array" ref="EY196">SUMPRODUCT(TRANSPOSE(EY$9:EY$34),$K196:$AJ196)</f>
        <v>4000</v>
      </c>
      <c r="EZ196" s="12">
        <f t="array" ref="EZ196">SUMPRODUCT(TRANSPOSE(EZ$9:EZ$34),$K196:$AJ196)</f>
        <v>4000</v>
      </c>
      <c r="FA196" s="12">
        <f t="array" ref="FA196">SUMPRODUCT(TRANSPOSE(FA$9:FA$34),$K196:$AJ196)</f>
        <v>4000</v>
      </c>
      <c r="FB196" s="12">
        <f t="array" ref="FB196">SUMPRODUCT(TRANSPOSE(FB$9:FB$34),$K196:$AJ196)</f>
        <v>4000</v>
      </c>
      <c r="FC196" s="12">
        <f t="array" ref="FC196">SUMPRODUCT(TRANSPOSE(FC$9:FC$34),$K196:$AJ196)</f>
        <v>4000</v>
      </c>
      <c r="FD196" s="12">
        <f t="array" ref="FD196">SUMPRODUCT(TRANSPOSE(FD$9:FD$34),$K196:$AJ196)</f>
        <v>4000</v>
      </c>
      <c r="FE196" s="12">
        <f t="array" ref="FE196">SUMPRODUCT(TRANSPOSE(FE$9:FE$34),$K196:$AJ196)</f>
        <v>4000</v>
      </c>
      <c r="FF196" s="12">
        <f t="array" ref="FF196">SUMPRODUCT(TRANSPOSE(FF$9:FF$34),$K196:$AJ196)</f>
        <v>4000</v>
      </c>
      <c r="FG196" s="12">
        <f t="array" ref="FG196">SUMPRODUCT(TRANSPOSE(FG$9:FG$34),$K196:$AJ196)</f>
        <v>4000</v>
      </c>
      <c r="FH196" s="12">
        <f t="array" ref="FH196">SUMPRODUCT(TRANSPOSE(FH$9:FH$34),$K196:$AJ196)</f>
        <v>4000</v>
      </c>
      <c r="FI196" s="12">
        <f t="array" ref="FI196">SUMPRODUCT(TRANSPOSE(FI$9:FI$34),$K196:$AJ196)</f>
        <v>4000</v>
      </c>
      <c r="FJ196" s="12">
        <f t="array" ref="FJ196">SUMPRODUCT(TRANSPOSE(FJ$9:FJ$34),$K196:$AJ196)</f>
        <v>4000</v>
      </c>
      <c r="FK196" s="12">
        <f t="array" ref="FK196">SUMPRODUCT(TRANSPOSE(FK$9:FK$34),$K196:$AJ196)</f>
        <v>4000</v>
      </c>
      <c r="FL196" s="12">
        <f t="array" ref="FL196">SUMPRODUCT(TRANSPOSE(FL$9:FL$34),$K196:$AJ196)</f>
        <v>4000</v>
      </c>
      <c r="FM196" s="12">
        <f t="array" ref="FM196">SUMPRODUCT(TRANSPOSE(FM$9:FM$34),$K196:$AJ196)</f>
        <v>4000</v>
      </c>
      <c r="FN196" s="12">
        <f t="array" ref="FN196">SUMPRODUCT(TRANSPOSE(FN$9:FN$34),$K196:$AJ196)</f>
        <v>3634</v>
      </c>
      <c r="FO196" s="12">
        <f t="array" ref="FO196">SUMPRODUCT(TRANSPOSE(FO$9:FO$34),$K196:$AJ196)</f>
        <v>154</v>
      </c>
    </row>
    <row r="197" spans="1:171" ht="14.25" x14ac:dyDescent="0.2">
      <c r="A197" s="13">
        <f t="shared" si="10"/>
        <v>162</v>
      </c>
      <c r="B197" s="13" t="s">
        <v>576</v>
      </c>
      <c r="C197" s="25" t="s">
        <v>577</v>
      </c>
      <c r="D197" s="13" t="s">
        <v>67</v>
      </c>
      <c r="E197" s="13">
        <v>401554157</v>
      </c>
      <c r="F197" s="26" t="s">
        <v>578</v>
      </c>
      <c r="G197" s="13">
        <v>400275791</v>
      </c>
      <c r="H197" s="13" t="s">
        <v>61</v>
      </c>
      <c r="I197" s="13">
        <v>2</v>
      </c>
      <c r="J197" s="13">
        <v>6</v>
      </c>
      <c r="K197" s="13">
        <v>0</v>
      </c>
      <c r="L197" s="13">
        <v>0</v>
      </c>
      <c r="M197" s="13">
        <v>0</v>
      </c>
      <c r="N197" s="13">
        <v>0</v>
      </c>
      <c r="O197" s="13">
        <v>2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2</v>
      </c>
      <c r="Y197" s="13"/>
      <c r="Z197" s="13"/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2</v>
      </c>
      <c r="AK197" s="13">
        <f t="shared" si="11"/>
        <v>4</v>
      </c>
      <c r="AL197" s="23">
        <f t="shared" si="9"/>
        <v>141726</v>
      </c>
      <c r="AM197" s="13"/>
      <c r="AN197" s="13" t="s">
        <v>299</v>
      </c>
      <c r="AO197" s="7" t="s">
        <v>307</v>
      </c>
      <c r="AP197" s="37">
        <v>3.0000000000000001E-3</v>
      </c>
      <c r="AQ197" s="12">
        <v>150000</v>
      </c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13"/>
      <c r="CG197" s="13"/>
      <c r="CH197" s="13"/>
      <c r="CI197" s="12"/>
      <c r="CJ197" s="12"/>
      <c r="CK197" s="12"/>
      <c r="CL197" s="12"/>
      <c r="CM197" s="12"/>
      <c r="CN197" s="12"/>
      <c r="CO197" s="12"/>
      <c r="CP197" s="12">
        <f>SUM($AQ197:BJ197)-SUM($EA197:EH197)</f>
        <v>135874</v>
      </c>
      <c r="CQ197" s="12">
        <f>SUM($AQ197:BK197)-SUM($EA197:EI197)</f>
        <v>135074</v>
      </c>
      <c r="CR197" s="12">
        <f>SUM($AQ197:BL197)-SUM($EA197:EJ197)</f>
        <v>133044</v>
      </c>
      <c r="CS197" s="12">
        <f>SUM($AQ197:BM197)-SUM($EA197:EK197)</f>
        <v>130774</v>
      </c>
      <c r="CT197" s="12">
        <f>SUM($AQ197:BN197)-SUM($EA197:EL197)</f>
        <v>126744</v>
      </c>
      <c r="CU197" s="12">
        <f>SUM($AQ197:BO197)-SUM($EA197:EM197)</f>
        <v>122644</v>
      </c>
      <c r="CV197" s="12">
        <f>SUM($AQ197:BP197)-SUM($EA197:EN197)</f>
        <v>118544</v>
      </c>
      <c r="CW197" s="12">
        <f>SUM($AQ197:BQ197)-SUM($EA197:EO197)</f>
        <v>114544</v>
      </c>
      <c r="CX197" s="12">
        <f>SUM($AQ197:BR197)-SUM($EA197:EP197)</f>
        <v>110444</v>
      </c>
      <c r="CY197" s="12">
        <f>SUM($AQ197:BS197)-SUM($EA197:EQ197)</f>
        <v>106344</v>
      </c>
      <c r="CZ197" s="12">
        <f>SUM($AQ197:BT197)-SUM($EA197:ER197)</f>
        <v>102244</v>
      </c>
      <c r="DA197" s="12">
        <f>SUM($AQ197:BU197)-SUM($EA197:ES197)</f>
        <v>98144</v>
      </c>
      <c r="DB197" s="12">
        <f>SUM($AQ197:BV197)-SUM($EA197:ET197)</f>
        <v>94044</v>
      </c>
      <c r="DC197" s="12">
        <f>SUM($AQ197:BW197)-SUM($EA197:EU197)</f>
        <v>89944</v>
      </c>
      <c r="DD197" s="12">
        <f>SUM($AQ197:BX197)-SUM($EA197:EV197)</f>
        <v>85844</v>
      </c>
      <c r="DE197" s="12">
        <f>SUM($AQ197:BY197)-SUM($EA197:EW197)</f>
        <v>81824</v>
      </c>
      <c r="DF197" s="12">
        <f>SUM($AQ197:BZ197)-SUM($EA197:EX197)</f>
        <v>77824</v>
      </c>
      <c r="DG197" s="12">
        <f>SUM($AQ197:CA197)-SUM($EA197:EY197)</f>
        <v>73824</v>
      </c>
      <c r="DH197" s="12">
        <f>SUM($AQ197:CB197)-SUM($EA197:EZ197)</f>
        <v>69824</v>
      </c>
      <c r="DI197" s="12">
        <f>SUM($AQ197:CC197)-SUM($EA197:FA197)</f>
        <v>65824</v>
      </c>
      <c r="DJ197" s="12">
        <f>SUM($AQ197:CD197)-SUM($EA197:FB197)</f>
        <v>61824</v>
      </c>
      <c r="DK197" s="12">
        <f>SUM($AQ197:CE197)-SUM($EA197:FC197)</f>
        <v>57824</v>
      </c>
      <c r="DL197" s="12">
        <f>SUM($AQ197:CF197)-SUM($EA197:FD197)</f>
        <v>53824</v>
      </c>
      <c r="DM197" s="12">
        <f>SUM($AQ197:CG197)-SUM($EA197:FE197)</f>
        <v>49824</v>
      </c>
      <c r="DN197" s="12">
        <f>SUM($AQ197:CH197)-SUM($EA197:FF197)</f>
        <v>45824</v>
      </c>
      <c r="DO197" s="12">
        <f>SUM($AQ197:CI197)-SUM($EA197:FG197)</f>
        <v>41824</v>
      </c>
      <c r="DP197" s="12">
        <f>SUM($AQ197:CJ197)-SUM($EA197:FH197)</f>
        <v>37824</v>
      </c>
      <c r="DQ197" s="12">
        <f>SUM($AQ197:CK197)-SUM($EA197:FI197)</f>
        <v>33824</v>
      </c>
      <c r="DR197" s="12">
        <f>SUM($AQ197:CL197)-SUM($EA197:FJ197)</f>
        <v>29824</v>
      </c>
      <c r="DS197" s="12">
        <f>SUM($AQ197:CM197)-SUM($EA197:FK197)</f>
        <v>25824</v>
      </c>
      <c r="DT197" s="12">
        <f>SUM($AQ197:CN197)-SUM($EA197:FL197)</f>
        <v>21824</v>
      </c>
      <c r="DU197" s="12">
        <f>SUM($AQ197:CO197)-SUM($EA197:FM197)</f>
        <v>17824</v>
      </c>
      <c r="DV197" s="12">
        <f>SUM($AQ197:CP197)-SUM($EA197:FN197)</f>
        <v>150302</v>
      </c>
      <c r="DW197" s="12">
        <f>SUM($AQ197:CQ197)-SUM($EA197:FO197)</f>
        <v>285222</v>
      </c>
      <c r="DX197" s="13"/>
      <c r="DY197" s="13"/>
      <c r="DZ197" s="13"/>
      <c r="EA197" s="12"/>
      <c r="EB197" s="12"/>
      <c r="EC197" s="12"/>
      <c r="ED197" s="12"/>
      <c r="EE197" s="12"/>
      <c r="EF197" s="12"/>
      <c r="EG197" s="12"/>
      <c r="EH197" s="12">
        <f t="array" ref="EH197">SUMPRODUCT(TRANSPOSE(EH$9:EH$34),$K197:$AJ197)</f>
        <v>14126</v>
      </c>
      <c r="EI197" s="12">
        <f t="array" ref="EI197">SUMPRODUCT(TRANSPOSE(EI$9:EI$34),$K197:$AJ197)</f>
        <v>800</v>
      </c>
      <c r="EJ197" s="12">
        <f t="array" ref="EJ197">SUMPRODUCT(TRANSPOSE(EJ$9:EJ$34),$K197:$AJ197)</f>
        <v>2030</v>
      </c>
      <c r="EK197" s="12">
        <f t="array" ref="EK197">SUMPRODUCT(TRANSPOSE(EK$9:EK$34),$K197:$AJ197)</f>
        <v>2270</v>
      </c>
      <c r="EL197" s="12">
        <f t="array" ref="EL197">SUMPRODUCT(TRANSPOSE(EL$9:EL$34),$K197:$AJ197)</f>
        <v>4030</v>
      </c>
      <c r="EM197" s="12">
        <f t="array" ref="EM197">SUMPRODUCT(TRANSPOSE(EM$9:EM$34),$K197:$AJ197)</f>
        <v>4100</v>
      </c>
      <c r="EN197" s="12">
        <f t="array" ref="EN197">SUMPRODUCT(TRANSPOSE(EN$9:EN$34),$K197:$AJ197)</f>
        <v>4100</v>
      </c>
      <c r="EO197" s="12">
        <f t="array" ref="EO197">SUMPRODUCT(TRANSPOSE(EO$9:EO$34),$K197:$AJ197)</f>
        <v>4000</v>
      </c>
      <c r="EP197" s="12">
        <f t="array" ref="EP197">SUMPRODUCT(TRANSPOSE(EP$9:EP$34),$K197:$AJ197)</f>
        <v>4100</v>
      </c>
      <c r="EQ197" s="12">
        <f t="array" ref="EQ197">SUMPRODUCT(TRANSPOSE(EQ$9:EQ$34),$K197:$AJ197)</f>
        <v>4100</v>
      </c>
      <c r="ER197" s="12">
        <f t="array" ref="ER197">SUMPRODUCT(TRANSPOSE(ER$9:ER$34),$K197:$AJ197)</f>
        <v>4100</v>
      </c>
      <c r="ES197" s="12">
        <f t="array" ref="ES197">SUMPRODUCT(TRANSPOSE(ES$9:ES$34),$K197:$AJ197)</f>
        <v>4100</v>
      </c>
      <c r="ET197" s="12">
        <f t="array" ref="ET197">SUMPRODUCT(TRANSPOSE(ET$9:ET$34),$K197:$AJ197)</f>
        <v>4100</v>
      </c>
      <c r="EU197" s="12">
        <f t="array" ref="EU197">SUMPRODUCT(TRANSPOSE(EU$9:EU$34),$K197:$AJ197)</f>
        <v>4100</v>
      </c>
      <c r="EV197" s="12">
        <f t="array" ref="EV197">SUMPRODUCT(TRANSPOSE(EV$9:EV$34),$K197:$AJ197)</f>
        <v>4100</v>
      </c>
      <c r="EW197" s="12">
        <f t="array" ref="EW197">SUMPRODUCT(TRANSPOSE(EW$9:EW$34),$K197:$AJ197)</f>
        <v>4020</v>
      </c>
      <c r="EX197" s="12">
        <f t="array" ref="EX197">SUMPRODUCT(TRANSPOSE(EX$9:EX$34),$K197:$AJ197)</f>
        <v>4000</v>
      </c>
      <c r="EY197" s="12">
        <f t="array" ref="EY197">SUMPRODUCT(TRANSPOSE(EY$9:EY$34),$K197:$AJ197)</f>
        <v>4000</v>
      </c>
      <c r="EZ197" s="12">
        <f t="array" ref="EZ197">SUMPRODUCT(TRANSPOSE(EZ$9:EZ$34),$K197:$AJ197)</f>
        <v>4000</v>
      </c>
      <c r="FA197" s="12">
        <f t="array" ref="FA197">SUMPRODUCT(TRANSPOSE(FA$9:FA$34),$K197:$AJ197)</f>
        <v>4000</v>
      </c>
      <c r="FB197" s="12">
        <f t="array" ref="FB197">SUMPRODUCT(TRANSPOSE(FB$9:FB$34),$K197:$AJ197)</f>
        <v>4000</v>
      </c>
      <c r="FC197" s="12">
        <f t="array" ref="FC197">SUMPRODUCT(TRANSPOSE(FC$9:FC$34),$K197:$AJ197)</f>
        <v>4000</v>
      </c>
      <c r="FD197" s="12">
        <f t="array" ref="FD197">SUMPRODUCT(TRANSPOSE(FD$9:FD$34),$K197:$AJ197)</f>
        <v>4000</v>
      </c>
      <c r="FE197" s="12">
        <f t="array" ref="FE197">SUMPRODUCT(TRANSPOSE(FE$9:FE$34),$K197:$AJ197)</f>
        <v>4000</v>
      </c>
      <c r="FF197" s="12">
        <f t="array" ref="FF197">SUMPRODUCT(TRANSPOSE(FF$9:FF$34),$K197:$AJ197)</f>
        <v>4000</v>
      </c>
      <c r="FG197" s="12">
        <f t="array" ref="FG197">SUMPRODUCT(TRANSPOSE(FG$9:FG$34),$K197:$AJ197)</f>
        <v>4000</v>
      </c>
      <c r="FH197" s="12">
        <f t="array" ref="FH197">SUMPRODUCT(TRANSPOSE(FH$9:FH$34),$K197:$AJ197)</f>
        <v>4000</v>
      </c>
      <c r="FI197" s="12">
        <f t="array" ref="FI197">SUMPRODUCT(TRANSPOSE(FI$9:FI$34),$K197:$AJ197)</f>
        <v>4000</v>
      </c>
      <c r="FJ197" s="12">
        <f t="array" ref="FJ197">SUMPRODUCT(TRANSPOSE(FJ$9:FJ$34),$K197:$AJ197)</f>
        <v>4000</v>
      </c>
      <c r="FK197" s="12">
        <f t="array" ref="FK197">SUMPRODUCT(TRANSPOSE(FK$9:FK$34),$K197:$AJ197)</f>
        <v>4000</v>
      </c>
      <c r="FL197" s="12">
        <f t="array" ref="FL197">SUMPRODUCT(TRANSPOSE(FL$9:FL$34),$K197:$AJ197)</f>
        <v>4000</v>
      </c>
      <c r="FM197" s="12">
        <f t="array" ref="FM197">SUMPRODUCT(TRANSPOSE(FM$9:FM$34),$K197:$AJ197)</f>
        <v>4000</v>
      </c>
      <c r="FN197" s="12">
        <f t="array" ref="FN197">SUMPRODUCT(TRANSPOSE(FN$9:FN$34),$K197:$AJ197)</f>
        <v>3396</v>
      </c>
      <c r="FO197" s="12">
        <f t="array" ref="FO197">SUMPRODUCT(TRANSPOSE(FO$9:FO$34),$K197:$AJ197)</f>
        <v>154</v>
      </c>
    </row>
    <row r="198" spans="1:171" ht="14.25" x14ac:dyDescent="0.2">
      <c r="A198" s="13">
        <f t="shared" si="10"/>
        <v>163</v>
      </c>
      <c r="B198" s="13" t="s">
        <v>579</v>
      </c>
      <c r="C198" s="25" t="s">
        <v>580</v>
      </c>
      <c r="D198" s="13" t="s">
        <v>67</v>
      </c>
      <c r="E198" s="13">
        <v>425994123</v>
      </c>
      <c r="F198" s="26" t="s">
        <v>581</v>
      </c>
      <c r="G198" s="13">
        <v>400007534</v>
      </c>
      <c r="H198" s="13" t="s">
        <v>61</v>
      </c>
      <c r="I198" s="13">
        <v>2</v>
      </c>
      <c r="J198" s="13">
        <v>6</v>
      </c>
      <c r="K198" s="13">
        <v>0</v>
      </c>
      <c r="L198" s="13">
        <v>0</v>
      </c>
      <c r="M198" s="13">
        <v>0</v>
      </c>
      <c r="N198" s="13">
        <v>0</v>
      </c>
      <c r="O198" s="13">
        <v>2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2</v>
      </c>
      <c r="Y198" s="13"/>
      <c r="Z198" s="13"/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2</v>
      </c>
      <c r="AK198" s="13">
        <f t="shared" si="11"/>
        <v>4</v>
      </c>
      <c r="AL198" s="23">
        <f t="shared" si="9"/>
        <v>141726</v>
      </c>
      <c r="AM198" s="13"/>
      <c r="AN198" s="13" t="s">
        <v>299</v>
      </c>
      <c r="AO198" s="7" t="s">
        <v>307</v>
      </c>
      <c r="AP198" s="37">
        <v>3.0000000000000001E-3</v>
      </c>
      <c r="AQ198" s="12">
        <v>150000</v>
      </c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13"/>
      <c r="CG198" s="13"/>
      <c r="CH198" s="13"/>
      <c r="CI198" s="12"/>
      <c r="CJ198" s="12"/>
      <c r="CK198" s="12"/>
      <c r="CL198" s="12"/>
      <c r="CM198" s="12"/>
      <c r="CN198" s="12"/>
      <c r="CO198" s="12"/>
      <c r="CP198" s="12">
        <f>SUM($AQ198:BJ198)-SUM($EA198:EH198)</f>
        <v>135874</v>
      </c>
      <c r="CQ198" s="12">
        <f>SUM($AQ198:BK198)-SUM($EA198:EI198)</f>
        <v>135074</v>
      </c>
      <c r="CR198" s="12">
        <f>SUM($AQ198:BL198)-SUM($EA198:EJ198)</f>
        <v>133044</v>
      </c>
      <c r="CS198" s="12">
        <f>SUM($AQ198:BM198)-SUM($EA198:EK198)</f>
        <v>130774</v>
      </c>
      <c r="CT198" s="12">
        <f>SUM($AQ198:BN198)-SUM($EA198:EL198)</f>
        <v>126744</v>
      </c>
      <c r="CU198" s="12">
        <f>SUM($AQ198:BO198)-SUM($EA198:EM198)</f>
        <v>122644</v>
      </c>
      <c r="CV198" s="12">
        <f>SUM($AQ198:BP198)-SUM($EA198:EN198)</f>
        <v>118544</v>
      </c>
      <c r="CW198" s="12">
        <f>SUM($AQ198:BQ198)-SUM($EA198:EO198)</f>
        <v>114544</v>
      </c>
      <c r="CX198" s="12">
        <f>SUM($AQ198:BR198)-SUM($EA198:EP198)</f>
        <v>110444</v>
      </c>
      <c r="CY198" s="12">
        <f>SUM($AQ198:BS198)-SUM($EA198:EQ198)</f>
        <v>106344</v>
      </c>
      <c r="CZ198" s="12">
        <f>SUM($AQ198:BT198)-SUM($EA198:ER198)</f>
        <v>102244</v>
      </c>
      <c r="DA198" s="12">
        <f>SUM($AQ198:BU198)-SUM($EA198:ES198)</f>
        <v>98144</v>
      </c>
      <c r="DB198" s="12">
        <f>SUM($AQ198:BV198)-SUM($EA198:ET198)</f>
        <v>94044</v>
      </c>
      <c r="DC198" s="12">
        <f>SUM($AQ198:BW198)-SUM($EA198:EU198)</f>
        <v>89944</v>
      </c>
      <c r="DD198" s="12">
        <f>SUM($AQ198:BX198)-SUM($EA198:EV198)</f>
        <v>85844</v>
      </c>
      <c r="DE198" s="12">
        <f>SUM($AQ198:BY198)-SUM($EA198:EW198)</f>
        <v>81824</v>
      </c>
      <c r="DF198" s="12">
        <f>SUM($AQ198:BZ198)-SUM($EA198:EX198)</f>
        <v>77824</v>
      </c>
      <c r="DG198" s="12">
        <f>SUM($AQ198:CA198)-SUM($EA198:EY198)</f>
        <v>73824</v>
      </c>
      <c r="DH198" s="12">
        <f>SUM($AQ198:CB198)-SUM($EA198:EZ198)</f>
        <v>69824</v>
      </c>
      <c r="DI198" s="12">
        <f>SUM($AQ198:CC198)-SUM($EA198:FA198)</f>
        <v>65824</v>
      </c>
      <c r="DJ198" s="12">
        <f>SUM($AQ198:CD198)-SUM($EA198:FB198)</f>
        <v>61824</v>
      </c>
      <c r="DK198" s="12">
        <f>SUM($AQ198:CE198)-SUM($EA198:FC198)</f>
        <v>57824</v>
      </c>
      <c r="DL198" s="12">
        <f>SUM($AQ198:CF198)-SUM($EA198:FD198)</f>
        <v>53824</v>
      </c>
      <c r="DM198" s="12">
        <f>SUM($AQ198:CG198)-SUM($EA198:FE198)</f>
        <v>49824</v>
      </c>
      <c r="DN198" s="12">
        <f>SUM($AQ198:CH198)-SUM($EA198:FF198)</f>
        <v>45824</v>
      </c>
      <c r="DO198" s="12">
        <f>SUM($AQ198:CI198)-SUM($EA198:FG198)</f>
        <v>41824</v>
      </c>
      <c r="DP198" s="12">
        <f>SUM($AQ198:CJ198)-SUM($EA198:FH198)</f>
        <v>37824</v>
      </c>
      <c r="DQ198" s="12">
        <f>SUM($AQ198:CK198)-SUM($EA198:FI198)</f>
        <v>33824</v>
      </c>
      <c r="DR198" s="12">
        <f>SUM($AQ198:CL198)-SUM($EA198:FJ198)</f>
        <v>29824</v>
      </c>
      <c r="DS198" s="12">
        <f>SUM($AQ198:CM198)-SUM($EA198:FK198)</f>
        <v>25824</v>
      </c>
      <c r="DT198" s="12">
        <f>SUM($AQ198:CN198)-SUM($EA198:FL198)</f>
        <v>21824</v>
      </c>
      <c r="DU198" s="12">
        <f>SUM($AQ198:CO198)-SUM($EA198:FM198)</f>
        <v>17824</v>
      </c>
      <c r="DV198" s="12">
        <f>SUM($AQ198:CP198)-SUM($EA198:FN198)</f>
        <v>150302</v>
      </c>
      <c r="DW198" s="12">
        <f>SUM($AQ198:CQ198)-SUM($EA198:FO198)</f>
        <v>285222</v>
      </c>
      <c r="DX198" s="13"/>
      <c r="DY198" s="13"/>
      <c r="DZ198" s="13"/>
      <c r="EA198" s="12"/>
      <c r="EB198" s="12"/>
      <c r="EC198" s="12"/>
      <c r="ED198" s="12"/>
      <c r="EE198" s="12"/>
      <c r="EF198" s="12"/>
      <c r="EG198" s="12"/>
      <c r="EH198" s="12">
        <f t="array" ref="EH198">SUMPRODUCT(TRANSPOSE(EH$9:EH$34),$K198:$AJ198)</f>
        <v>14126</v>
      </c>
      <c r="EI198" s="12">
        <f t="array" ref="EI198">SUMPRODUCT(TRANSPOSE(EI$9:EI$34),$K198:$AJ198)</f>
        <v>800</v>
      </c>
      <c r="EJ198" s="12">
        <f t="array" ref="EJ198">SUMPRODUCT(TRANSPOSE(EJ$9:EJ$34),$K198:$AJ198)</f>
        <v>2030</v>
      </c>
      <c r="EK198" s="12">
        <f t="array" ref="EK198">SUMPRODUCT(TRANSPOSE(EK$9:EK$34),$K198:$AJ198)</f>
        <v>2270</v>
      </c>
      <c r="EL198" s="12">
        <f t="array" ref="EL198">SUMPRODUCT(TRANSPOSE(EL$9:EL$34),$K198:$AJ198)</f>
        <v>4030</v>
      </c>
      <c r="EM198" s="12">
        <f t="array" ref="EM198">SUMPRODUCT(TRANSPOSE(EM$9:EM$34),$K198:$AJ198)</f>
        <v>4100</v>
      </c>
      <c r="EN198" s="12">
        <f t="array" ref="EN198">SUMPRODUCT(TRANSPOSE(EN$9:EN$34),$K198:$AJ198)</f>
        <v>4100</v>
      </c>
      <c r="EO198" s="12">
        <f t="array" ref="EO198">SUMPRODUCT(TRANSPOSE(EO$9:EO$34),$K198:$AJ198)</f>
        <v>4000</v>
      </c>
      <c r="EP198" s="12">
        <f t="array" ref="EP198">SUMPRODUCT(TRANSPOSE(EP$9:EP$34),$K198:$AJ198)</f>
        <v>4100</v>
      </c>
      <c r="EQ198" s="12">
        <f t="array" ref="EQ198">SUMPRODUCT(TRANSPOSE(EQ$9:EQ$34),$K198:$AJ198)</f>
        <v>4100</v>
      </c>
      <c r="ER198" s="12">
        <f t="array" ref="ER198">SUMPRODUCT(TRANSPOSE(ER$9:ER$34),$K198:$AJ198)</f>
        <v>4100</v>
      </c>
      <c r="ES198" s="12">
        <f t="array" ref="ES198">SUMPRODUCT(TRANSPOSE(ES$9:ES$34),$K198:$AJ198)</f>
        <v>4100</v>
      </c>
      <c r="ET198" s="12">
        <f t="array" ref="ET198">SUMPRODUCT(TRANSPOSE(ET$9:ET$34),$K198:$AJ198)</f>
        <v>4100</v>
      </c>
      <c r="EU198" s="12">
        <f t="array" ref="EU198">SUMPRODUCT(TRANSPOSE(EU$9:EU$34),$K198:$AJ198)</f>
        <v>4100</v>
      </c>
      <c r="EV198" s="12">
        <f t="array" ref="EV198">SUMPRODUCT(TRANSPOSE(EV$9:EV$34),$K198:$AJ198)</f>
        <v>4100</v>
      </c>
      <c r="EW198" s="12">
        <f t="array" ref="EW198">SUMPRODUCT(TRANSPOSE(EW$9:EW$34),$K198:$AJ198)</f>
        <v>4020</v>
      </c>
      <c r="EX198" s="12">
        <f t="array" ref="EX198">SUMPRODUCT(TRANSPOSE(EX$9:EX$34),$K198:$AJ198)</f>
        <v>4000</v>
      </c>
      <c r="EY198" s="12">
        <f t="array" ref="EY198">SUMPRODUCT(TRANSPOSE(EY$9:EY$34),$K198:$AJ198)</f>
        <v>4000</v>
      </c>
      <c r="EZ198" s="12">
        <f t="array" ref="EZ198">SUMPRODUCT(TRANSPOSE(EZ$9:EZ$34),$K198:$AJ198)</f>
        <v>4000</v>
      </c>
      <c r="FA198" s="12">
        <f t="array" ref="FA198">SUMPRODUCT(TRANSPOSE(FA$9:FA$34),$K198:$AJ198)</f>
        <v>4000</v>
      </c>
      <c r="FB198" s="12">
        <f t="array" ref="FB198">SUMPRODUCT(TRANSPOSE(FB$9:FB$34),$K198:$AJ198)</f>
        <v>4000</v>
      </c>
      <c r="FC198" s="12">
        <f t="array" ref="FC198">SUMPRODUCT(TRANSPOSE(FC$9:FC$34),$K198:$AJ198)</f>
        <v>4000</v>
      </c>
      <c r="FD198" s="12">
        <f t="array" ref="FD198">SUMPRODUCT(TRANSPOSE(FD$9:FD$34),$K198:$AJ198)</f>
        <v>4000</v>
      </c>
      <c r="FE198" s="12">
        <f t="array" ref="FE198">SUMPRODUCT(TRANSPOSE(FE$9:FE$34),$K198:$AJ198)</f>
        <v>4000</v>
      </c>
      <c r="FF198" s="12">
        <f t="array" ref="FF198">SUMPRODUCT(TRANSPOSE(FF$9:FF$34),$K198:$AJ198)</f>
        <v>4000</v>
      </c>
      <c r="FG198" s="12">
        <f t="array" ref="FG198">SUMPRODUCT(TRANSPOSE(FG$9:FG$34),$K198:$AJ198)</f>
        <v>4000</v>
      </c>
      <c r="FH198" s="12">
        <f t="array" ref="FH198">SUMPRODUCT(TRANSPOSE(FH$9:FH$34),$K198:$AJ198)</f>
        <v>4000</v>
      </c>
      <c r="FI198" s="12">
        <f t="array" ref="FI198">SUMPRODUCT(TRANSPOSE(FI$9:FI$34),$K198:$AJ198)</f>
        <v>4000</v>
      </c>
      <c r="FJ198" s="12">
        <f t="array" ref="FJ198">SUMPRODUCT(TRANSPOSE(FJ$9:FJ$34),$K198:$AJ198)</f>
        <v>4000</v>
      </c>
      <c r="FK198" s="12">
        <f t="array" ref="FK198">SUMPRODUCT(TRANSPOSE(FK$9:FK$34),$K198:$AJ198)</f>
        <v>4000</v>
      </c>
      <c r="FL198" s="12">
        <f t="array" ref="FL198">SUMPRODUCT(TRANSPOSE(FL$9:FL$34),$K198:$AJ198)</f>
        <v>4000</v>
      </c>
      <c r="FM198" s="12">
        <f t="array" ref="FM198">SUMPRODUCT(TRANSPOSE(FM$9:FM$34),$K198:$AJ198)</f>
        <v>4000</v>
      </c>
      <c r="FN198" s="12">
        <f t="array" ref="FN198">SUMPRODUCT(TRANSPOSE(FN$9:FN$34),$K198:$AJ198)</f>
        <v>3396</v>
      </c>
      <c r="FO198" s="12">
        <f t="array" ref="FO198">SUMPRODUCT(TRANSPOSE(FO$9:FO$34),$K198:$AJ198)</f>
        <v>154</v>
      </c>
    </row>
    <row r="199" spans="1:171" ht="14.25" x14ac:dyDescent="0.2">
      <c r="A199" s="13">
        <f t="shared" si="10"/>
        <v>164</v>
      </c>
      <c r="B199" s="13" t="s">
        <v>582</v>
      </c>
      <c r="C199" s="25" t="s">
        <v>583</v>
      </c>
      <c r="D199" s="13" t="s">
        <v>67</v>
      </c>
      <c r="E199" s="13">
        <v>401679598</v>
      </c>
      <c r="F199" s="26" t="s">
        <v>584</v>
      </c>
      <c r="G199" s="13">
        <v>400294252</v>
      </c>
      <c r="H199" s="13" t="s">
        <v>61</v>
      </c>
      <c r="I199" s="13">
        <v>2</v>
      </c>
      <c r="J199" s="13">
        <v>17</v>
      </c>
      <c r="K199" s="13">
        <v>0</v>
      </c>
      <c r="L199" s="13">
        <v>0</v>
      </c>
      <c r="M199" s="13">
        <v>0</v>
      </c>
      <c r="N199" s="13">
        <v>0</v>
      </c>
      <c r="O199" s="13">
        <v>3</v>
      </c>
      <c r="P199" s="13">
        <v>0</v>
      </c>
      <c r="Q199" s="13">
        <v>0</v>
      </c>
      <c r="R199" s="13">
        <v>0</v>
      </c>
      <c r="S199" s="13">
        <v>4</v>
      </c>
      <c r="T199" s="13">
        <v>0</v>
      </c>
      <c r="U199" s="13">
        <v>0</v>
      </c>
      <c r="V199" s="13">
        <v>0</v>
      </c>
      <c r="W199" s="13">
        <v>0</v>
      </c>
      <c r="X199" s="13">
        <v>3</v>
      </c>
      <c r="Y199" s="13"/>
      <c r="Z199" s="13">
        <v>4</v>
      </c>
      <c r="AA199" s="13">
        <v>0</v>
      </c>
      <c r="AB199" s="13">
        <v>0</v>
      </c>
      <c r="AC199" s="13">
        <v>0</v>
      </c>
      <c r="AD199" s="13">
        <v>4</v>
      </c>
      <c r="AE199" s="13">
        <v>4</v>
      </c>
      <c r="AF199" s="13">
        <v>0</v>
      </c>
      <c r="AG199" s="13">
        <v>0</v>
      </c>
      <c r="AH199" s="13">
        <v>0</v>
      </c>
      <c r="AI199" s="13">
        <v>0</v>
      </c>
      <c r="AJ199" s="13">
        <v>3</v>
      </c>
      <c r="AK199" s="13">
        <f t="shared" si="11"/>
        <v>18</v>
      </c>
      <c r="AL199" s="23">
        <f t="shared" si="9"/>
        <v>355249</v>
      </c>
      <c r="AM199" s="13"/>
      <c r="AN199" s="13" t="s">
        <v>299</v>
      </c>
      <c r="AO199" s="7" t="s">
        <v>307</v>
      </c>
      <c r="AP199" s="41">
        <v>2.0999999999999999E-3</v>
      </c>
      <c r="AQ199" s="12">
        <v>360000</v>
      </c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13"/>
      <c r="CG199" s="13"/>
      <c r="CH199" s="13"/>
      <c r="CI199" s="12"/>
      <c r="CJ199" s="12"/>
      <c r="CK199" s="12"/>
      <c r="CL199" s="12"/>
      <c r="CM199" s="12"/>
      <c r="CN199" s="12"/>
      <c r="CO199" s="12"/>
      <c r="CP199" s="12">
        <f>SUM($AQ199:BJ199)-SUM($EA199:EH199)</f>
        <v>326375</v>
      </c>
      <c r="CQ199" s="12">
        <f>SUM($AQ199:BK199)-SUM($EA199:EI199)</f>
        <v>324051</v>
      </c>
      <c r="CR199" s="12">
        <f>SUM($AQ199:BL199)-SUM($EA199:EJ199)</f>
        <v>320946</v>
      </c>
      <c r="CS199" s="12">
        <f>SUM($AQ199:BM199)-SUM($EA199:EK199)</f>
        <v>317001</v>
      </c>
      <c r="CT199" s="12">
        <f>SUM($AQ199:BN199)-SUM($EA199:EL199)</f>
        <v>306896</v>
      </c>
      <c r="CU199" s="12">
        <f>SUM($AQ199:BO199)-SUM($EA199:EM199)</f>
        <v>292546</v>
      </c>
      <c r="CV199" s="12">
        <f>SUM($AQ199:BP199)-SUM($EA199:EN199)</f>
        <v>281796</v>
      </c>
      <c r="CW199" s="12">
        <f>SUM($AQ199:BQ199)-SUM($EA199:EO199)</f>
        <v>271796</v>
      </c>
      <c r="CX199" s="12">
        <f>SUM($AQ199:BR199)-SUM($EA199:EP199)</f>
        <v>261446</v>
      </c>
      <c r="CY199" s="12">
        <f>SUM($AQ199:BS199)-SUM($EA199:EQ199)</f>
        <v>251096</v>
      </c>
      <c r="CZ199" s="12">
        <f>SUM($AQ199:BT199)-SUM($EA199:ER199)</f>
        <v>240746</v>
      </c>
      <c r="DA199" s="12">
        <f>SUM($AQ199:BU199)-SUM($EA199:ES199)</f>
        <v>230396</v>
      </c>
      <c r="DB199" s="12">
        <f>SUM($AQ199:BV199)-SUM($EA199:ET199)</f>
        <v>220046</v>
      </c>
      <c r="DC199" s="12">
        <f>SUM($AQ199:BW199)-SUM($EA199:EU199)</f>
        <v>209696</v>
      </c>
      <c r="DD199" s="12">
        <f>SUM($AQ199:BX199)-SUM($EA199:EV199)</f>
        <v>199346</v>
      </c>
      <c r="DE199" s="12">
        <f>SUM($AQ199:BY199)-SUM($EA199:EW199)</f>
        <v>189144</v>
      </c>
      <c r="DF199" s="12">
        <f>SUM($AQ199:BZ199)-SUM($EA199:EX199)</f>
        <v>179144</v>
      </c>
      <c r="DG199" s="12">
        <f>SUM($AQ199:CA199)-SUM($EA199:EY199)</f>
        <v>169144</v>
      </c>
      <c r="DH199" s="12">
        <f>SUM($AQ199:CB199)-SUM($EA199:EZ199)</f>
        <v>159144</v>
      </c>
      <c r="DI199" s="12">
        <f>SUM($AQ199:CC199)-SUM($EA199:FA199)</f>
        <v>149144</v>
      </c>
      <c r="DJ199" s="12">
        <f>SUM($AQ199:CD199)-SUM($EA199:FB199)</f>
        <v>139144</v>
      </c>
      <c r="DK199" s="12">
        <f>SUM($AQ199:CE199)-SUM($EA199:FC199)</f>
        <v>129144</v>
      </c>
      <c r="DL199" s="12">
        <f>SUM($AQ199:CF199)-SUM($EA199:FD199)</f>
        <v>119144</v>
      </c>
      <c r="DM199" s="12">
        <f>SUM($AQ199:CG199)-SUM($EA199:FE199)</f>
        <v>109144</v>
      </c>
      <c r="DN199" s="12">
        <f>SUM($AQ199:CH199)-SUM($EA199:FF199)</f>
        <v>99144</v>
      </c>
      <c r="DO199" s="12">
        <f>SUM($AQ199:CI199)-SUM($EA199:FG199)</f>
        <v>89144</v>
      </c>
      <c r="DP199" s="12">
        <f>SUM($AQ199:CJ199)-SUM($EA199:FH199)</f>
        <v>79144</v>
      </c>
      <c r="DQ199" s="12">
        <f>SUM($AQ199:CK199)-SUM($EA199:FI199)</f>
        <v>69144</v>
      </c>
      <c r="DR199" s="12">
        <f>SUM($AQ199:CL199)-SUM($EA199:FJ199)</f>
        <v>59144</v>
      </c>
      <c r="DS199" s="12">
        <f>SUM($AQ199:CM199)-SUM($EA199:FK199)</f>
        <v>49144</v>
      </c>
      <c r="DT199" s="12">
        <f>SUM($AQ199:CN199)-SUM($EA199:FL199)</f>
        <v>39144</v>
      </c>
      <c r="DU199" s="12">
        <f>SUM($AQ199:CO199)-SUM($EA199:FM199)</f>
        <v>29144</v>
      </c>
      <c r="DV199" s="12">
        <f>SUM($AQ199:CP199)-SUM($EA199:FN199)</f>
        <v>347157</v>
      </c>
      <c r="DW199" s="12">
        <f>SUM($AQ199:CQ199)-SUM($EA199:FO199)</f>
        <v>670977</v>
      </c>
      <c r="DX199" s="13"/>
      <c r="DY199" s="13"/>
      <c r="DZ199" s="13"/>
      <c r="EA199" s="12"/>
      <c r="EB199" s="12"/>
      <c r="EC199" s="12"/>
      <c r="ED199" s="12"/>
      <c r="EE199" s="12"/>
      <c r="EF199" s="12"/>
      <c r="EG199" s="12"/>
      <c r="EH199" s="12">
        <f t="array" ref="EH199">SUMPRODUCT(TRANSPOSE(EH$9:EH$34),$K199:$AJ199)</f>
        <v>33625</v>
      </c>
      <c r="EI199" s="12">
        <f t="array" ref="EI199">SUMPRODUCT(TRANSPOSE(EI$9:EI$34),$K199:$AJ199)</f>
        <v>2324</v>
      </c>
      <c r="EJ199" s="12">
        <f t="array" ref="EJ199">SUMPRODUCT(TRANSPOSE(EJ$9:EJ$34),$K199:$AJ199)</f>
        <v>3105</v>
      </c>
      <c r="EK199" s="12">
        <f t="array" ref="EK199">SUMPRODUCT(TRANSPOSE(EK$9:EK$34),$K199:$AJ199)</f>
        <v>3945</v>
      </c>
      <c r="EL199" s="12">
        <f t="array" ref="EL199">SUMPRODUCT(TRANSPOSE(EL$9:EL$34),$K199:$AJ199)</f>
        <v>10105</v>
      </c>
      <c r="EM199" s="12">
        <f t="array" ref="EM199">SUMPRODUCT(TRANSPOSE(EM$9:EM$34),$K199:$AJ199)</f>
        <v>14350</v>
      </c>
      <c r="EN199" s="12">
        <f t="array" ref="EN199">SUMPRODUCT(TRANSPOSE(EN$9:EN$34),$K199:$AJ199)</f>
        <v>10750</v>
      </c>
      <c r="EO199" s="12">
        <f t="array" ref="EO199">SUMPRODUCT(TRANSPOSE(EO$9:EO$34),$K199:$AJ199)</f>
        <v>10000</v>
      </c>
      <c r="EP199" s="12">
        <f t="array" ref="EP199">SUMPRODUCT(TRANSPOSE(EP$9:EP$34),$K199:$AJ199)</f>
        <v>10350</v>
      </c>
      <c r="EQ199" s="12">
        <f t="array" ref="EQ199">SUMPRODUCT(TRANSPOSE(EQ$9:EQ$34),$K199:$AJ199)</f>
        <v>10350</v>
      </c>
      <c r="ER199" s="12">
        <f t="array" ref="ER199">SUMPRODUCT(TRANSPOSE(ER$9:ER$34),$K199:$AJ199)</f>
        <v>10350</v>
      </c>
      <c r="ES199" s="12">
        <f t="array" ref="ES199">SUMPRODUCT(TRANSPOSE(ES$9:ES$34),$K199:$AJ199)</f>
        <v>10350</v>
      </c>
      <c r="ET199" s="12">
        <f t="array" ref="ET199">SUMPRODUCT(TRANSPOSE(ET$9:ET$34),$K199:$AJ199)</f>
        <v>10350</v>
      </c>
      <c r="EU199" s="12">
        <f t="array" ref="EU199">SUMPRODUCT(TRANSPOSE(EU$9:EU$34),$K199:$AJ199)</f>
        <v>10350</v>
      </c>
      <c r="EV199" s="12">
        <f t="array" ref="EV199">SUMPRODUCT(TRANSPOSE(EV$9:EV$34),$K199:$AJ199)</f>
        <v>10350</v>
      </c>
      <c r="EW199" s="12">
        <f t="array" ref="EW199">SUMPRODUCT(TRANSPOSE(EW$9:EW$34),$K199:$AJ199)</f>
        <v>10202</v>
      </c>
      <c r="EX199" s="12">
        <f t="array" ref="EX199">SUMPRODUCT(TRANSPOSE(EX$9:EX$34),$K199:$AJ199)</f>
        <v>10000</v>
      </c>
      <c r="EY199" s="12">
        <f t="array" ref="EY199">SUMPRODUCT(TRANSPOSE(EY$9:EY$34),$K199:$AJ199)</f>
        <v>10000</v>
      </c>
      <c r="EZ199" s="12">
        <f t="array" ref="EZ199">SUMPRODUCT(TRANSPOSE(EZ$9:EZ$34),$K199:$AJ199)</f>
        <v>10000</v>
      </c>
      <c r="FA199" s="12">
        <f t="array" ref="FA199">SUMPRODUCT(TRANSPOSE(FA$9:FA$34),$K199:$AJ199)</f>
        <v>10000</v>
      </c>
      <c r="FB199" s="12">
        <f t="array" ref="FB199">SUMPRODUCT(TRANSPOSE(FB$9:FB$34),$K199:$AJ199)</f>
        <v>10000</v>
      </c>
      <c r="FC199" s="12">
        <f t="array" ref="FC199">SUMPRODUCT(TRANSPOSE(FC$9:FC$34),$K199:$AJ199)</f>
        <v>10000</v>
      </c>
      <c r="FD199" s="12">
        <f t="array" ref="FD199">SUMPRODUCT(TRANSPOSE(FD$9:FD$34),$K199:$AJ199)</f>
        <v>10000</v>
      </c>
      <c r="FE199" s="12">
        <f t="array" ref="FE199">SUMPRODUCT(TRANSPOSE(FE$9:FE$34),$K199:$AJ199)</f>
        <v>10000</v>
      </c>
      <c r="FF199" s="12">
        <f t="array" ref="FF199">SUMPRODUCT(TRANSPOSE(FF$9:FF$34),$K199:$AJ199)</f>
        <v>10000</v>
      </c>
      <c r="FG199" s="12">
        <f t="array" ref="FG199">SUMPRODUCT(TRANSPOSE(FG$9:FG$34),$K199:$AJ199)</f>
        <v>10000</v>
      </c>
      <c r="FH199" s="12">
        <f t="array" ref="FH199">SUMPRODUCT(TRANSPOSE(FH$9:FH$34),$K199:$AJ199)</f>
        <v>10000</v>
      </c>
      <c r="FI199" s="12">
        <f t="array" ref="FI199">SUMPRODUCT(TRANSPOSE(FI$9:FI$34),$K199:$AJ199)</f>
        <v>10000</v>
      </c>
      <c r="FJ199" s="12">
        <f t="array" ref="FJ199">SUMPRODUCT(TRANSPOSE(FJ$9:FJ$34),$K199:$AJ199)</f>
        <v>10000</v>
      </c>
      <c r="FK199" s="12">
        <f t="array" ref="FK199">SUMPRODUCT(TRANSPOSE(FK$9:FK$34),$K199:$AJ199)</f>
        <v>10000</v>
      </c>
      <c r="FL199" s="12">
        <f t="array" ref="FL199">SUMPRODUCT(TRANSPOSE(FL$9:FL$34),$K199:$AJ199)</f>
        <v>10000</v>
      </c>
      <c r="FM199" s="12">
        <f t="array" ref="FM199">SUMPRODUCT(TRANSPOSE(FM$9:FM$34),$K199:$AJ199)</f>
        <v>10000</v>
      </c>
      <c r="FN199" s="12">
        <f t="array" ref="FN199">SUMPRODUCT(TRANSPOSE(FN$9:FN$34),$K199:$AJ199)</f>
        <v>8362</v>
      </c>
      <c r="FO199" s="12">
        <f t="array" ref="FO199">SUMPRODUCT(TRANSPOSE(FO$9:FO$34),$K199:$AJ199)</f>
        <v>231</v>
      </c>
    </row>
    <row r="200" spans="1:171" ht="14.25" x14ac:dyDescent="0.2">
      <c r="A200" s="13">
        <f t="shared" si="10"/>
        <v>165</v>
      </c>
      <c r="B200" s="13" t="s">
        <v>585</v>
      </c>
      <c r="C200" s="25" t="s">
        <v>586</v>
      </c>
      <c r="D200" s="13" t="s">
        <v>67</v>
      </c>
      <c r="E200" s="13">
        <v>400679613</v>
      </c>
      <c r="F200" s="26" t="s">
        <v>587</v>
      </c>
      <c r="G200" s="13" t="s">
        <v>588</v>
      </c>
      <c r="H200" s="13" t="s">
        <v>61</v>
      </c>
      <c r="I200" s="13">
        <v>2</v>
      </c>
      <c r="J200" s="13">
        <v>27</v>
      </c>
      <c r="K200" s="13">
        <v>0</v>
      </c>
      <c r="L200" s="13">
        <v>0</v>
      </c>
      <c r="M200" s="13">
        <v>0</v>
      </c>
      <c r="N200" s="13">
        <v>0</v>
      </c>
      <c r="O200" s="13">
        <v>9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9</v>
      </c>
      <c r="Y200" s="13"/>
      <c r="Z200" s="13"/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9</v>
      </c>
      <c r="AK200" s="13">
        <f t="shared" si="11"/>
        <v>18</v>
      </c>
      <c r="AL200" s="23">
        <f t="shared" si="9"/>
        <v>637767</v>
      </c>
      <c r="AM200" s="13"/>
      <c r="AN200" s="13" t="s">
        <v>299</v>
      </c>
      <c r="AO200" s="7" t="s">
        <v>307</v>
      </c>
      <c r="AP200" s="38">
        <v>1E-3</v>
      </c>
      <c r="AQ200" s="12">
        <v>640000</v>
      </c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13"/>
      <c r="CG200" s="13"/>
      <c r="CH200" s="13"/>
      <c r="CI200" s="12"/>
      <c r="CJ200" s="12"/>
      <c r="CK200" s="12"/>
      <c r="CL200" s="12"/>
      <c r="CM200" s="12"/>
      <c r="CN200" s="12"/>
      <c r="CO200" s="12"/>
      <c r="CP200" s="12">
        <f>SUM($AQ200:BJ200)-SUM($EA200:EH200)</f>
        <v>576433</v>
      </c>
      <c r="CQ200" s="12">
        <f>SUM($AQ200:BK200)-SUM($EA200:EI200)</f>
        <v>572833</v>
      </c>
      <c r="CR200" s="12">
        <f>SUM($AQ200:BL200)-SUM($EA200:EJ200)</f>
        <v>563698</v>
      </c>
      <c r="CS200" s="12">
        <f>SUM($AQ200:BM200)-SUM($EA200:EK200)</f>
        <v>553483</v>
      </c>
      <c r="CT200" s="12">
        <f>SUM($AQ200:BN200)-SUM($EA200:EL200)</f>
        <v>535348</v>
      </c>
      <c r="CU200" s="12">
        <f>SUM($AQ200:BO200)-SUM($EA200:EM200)</f>
        <v>516898</v>
      </c>
      <c r="CV200" s="12">
        <f>SUM($AQ200:BP200)-SUM($EA200:EN200)</f>
        <v>498448</v>
      </c>
      <c r="CW200" s="12">
        <f>SUM($AQ200:BQ200)-SUM($EA200:EO200)</f>
        <v>480448</v>
      </c>
      <c r="CX200" s="12">
        <f>SUM($AQ200:BR200)-SUM($EA200:EP200)</f>
        <v>461998</v>
      </c>
      <c r="CY200" s="12">
        <f>SUM($AQ200:BS200)-SUM($EA200:EQ200)</f>
        <v>443548</v>
      </c>
      <c r="CZ200" s="12">
        <f>SUM($AQ200:BT200)-SUM($EA200:ER200)</f>
        <v>425098</v>
      </c>
      <c r="DA200" s="12">
        <f>SUM($AQ200:BU200)-SUM($EA200:ES200)</f>
        <v>406648</v>
      </c>
      <c r="DB200" s="12">
        <f>SUM($AQ200:BV200)-SUM($EA200:ET200)</f>
        <v>388198</v>
      </c>
      <c r="DC200" s="12">
        <f>SUM($AQ200:BW200)-SUM($EA200:EU200)</f>
        <v>369748</v>
      </c>
      <c r="DD200" s="12">
        <f>SUM($AQ200:BX200)-SUM($EA200:EV200)</f>
        <v>351298</v>
      </c>
      <c r="DE200" s="12">
        <f>SUM($AQ200:BY200)-SUM($EA200:EW200)</f>
        <v>333208</v>
      </c>
      <c r="DF200" s="12">
        <f>SUM($AQ200:BZ200)-SUM($EA200:EX200)</f>
        <v>315208</v>
      </c>
      <c r="DG200" s="12">
        <f>SUM($AQ200:CA200)-SUM($EA200:EY200)</f>
        <v>297208</v>
      </c>
      <c r="DH200" s="12">
        <f>SUM($AQ200:CB200)-SUM($EA200:EZ200)</f>
        <v>279208</v>
      </c>
      <c r="DI200" s="12">
        <f>SUM($AQ200:CC200)-SUM($EA200:FA200)</f>
        <v>261208</v>
      </c>
      <c r="DJ200" s="12">
        <f>SUM($AQ200:CD200)-SUM($EA200:FB200)</f>
        <v>243208</v>
      </c>
      <c r="DK200" s="12">
        <f>SUM($AQ200:CE200)-SUM($EA200:FC200)</f>
        <v>225208</v>
      </c>
      <c r="DL200" s="12">
        <f>SUM($AQ200:CF200)-SUM($EA200:FD200)</f>
        <v>207208</v>
      </c>
      <c r="DM200" s="12">
        <f>SUM($AQ200:CG200)-SUM($EA200:FE200)</f>
        <v>189208</v>
      </c>
      <c r="DN200" s="12">
        <f>SUM($AQ200:CH200)-SUM($EA200:FF200)</f>
        <v>171208</v>
      </c>
      <c r="DO200" s="12">
        <f>SUM($AQ200:CI200)-SUM($EA200:FG200)</f>
        <v>153208</v>
      </c>
      <c r="DP200" s="12">
        <f>SUM($AQ200:CJ200)-SUM($EA200:FH200)</f>
        <v>135208</v>
      </c>
      <c r="DQ200" s="12">
        <f>SUM($AQ200:CK200)-SUM($EA200:FI200)</f>
        <v>117208</v>
      </c>
      <c r="DR200" s="12">
        <f>SUM($AQ200:CL200)-SUM($EA200:FJ200)</f>
        <v>99208</v>
      </c>
      <c r="DS200" s="12">
        <f>SUM($AQ200:CM200)-SUM($EA200:FK200)</f>
        <v>81208</v>
      </c>
      <c r="DT200" s="12">
        <f>SUM($AQ200:CN200)-SUM($EA200:FL200)</f>
        <v>63208</v>
      </c>
      <c r="DU200" s="12">
        <f>SUM($AQ200:CO200)-SUM($EA200:FM200)</f>
        <v>45208</v>
      </c>
      <c r="DV200" s="12">
        <f>SUM($AQ200:CP200)-SUM($EA200:FN200)</f>
        <v>606359</v>
      </c>
      <c r="DW200" s="12">
        <f>SUM($AQ200:CQ200)-SUM($EA200:FO200)</f>
        <v>1178499</v>
      </c>
      <c r="DX200" s="13"/>
      <c r="DY200" s="13"/>
      <c r="DZ200" s="13"/>
      <c r="EA200" s="12"/>
      <c r="EB200" s="12"/>
      <c r="EC200" s="12"/>
      <c r="ED200" s="12"/>
      <c r="EE200" s="12"/>
      <c r="EF200" s="12"/>
      <c r="EG200" s="12"/>
      <c r="EH200" s="12">
        <f t="array" ref="EH200">SUMPRODUCT(TRANSPOSE(EH$9:EH$34),$K200:$AJ200)</f>
        <v>63567</v>
      </c>
      <c r="EI200" s="12">
        <f t="array" ref="EI200">SUMPRODUCT(TRANSPOSE(EI$9:EI$34),$K200:$AJ200)</f>
        <v>3600</v>
      </c>
      <c r="EJ200" s="12">
        <f t="array" ref="EJ200">SUMPRODUCT(TRANSPOSE(EJ$9:EJ$34),$K200:$AJ200)</f>
        <v>9135</v>
      </c>
      <c r="EK200" s="12">
        <f t="array" ref="EK200">SUMPRODUCT(TRANSPOSE(EK$9:EK$34),$K200:$AJ200)</f>
        <v>10215</v>
      </c>
      <c r="EL200" s="12">
        <f t="array" ref="EL200">SUMPRODUCT(TRANSPOSE(EL$9:EL$34),$K200:$AJ200)</f>
        <v>18135</v>
      </c>
      <c r="EM200" s="12">
        <f t="array" ref="EM200">SUMPRODUCT(TRANSPOSE(EM$9:EM$34),$K200:$AJ200)</f>
        <v>18450</v>
      </c>
      <c r="EN200" s="12">
        <f t="array" ref="EN200">SUMPRODUCT(TRANSPOSE(EN$9:EN$34),$K200:$AJ200)</f>
        <v>18450</v>
      </c>
      <c r="EO200" s="12">
        <f t="array" ref="EO200">SUMPRODUCT(TRANSPOSE(EO$9:EO$34),$K200:$AJ200)</f>
        <v>18000</v>
      </c>
      <c r="EP200" s="12">
        <f t="array" ref="EP200">SUMPRODUCT(TRANSPOSE(EP$9:EP$34),$K200:$AJ200)</f>
        <v>18450</v>
      </c>
      <c r="EQ200" s="12">
        <f t="array" ref="EQ200">SUMPRODUCT(TRANSPOSE(EQ$9:EQ$34),$K200:$AJ200)</f>
        <v>18450</v>
      </c>
      <c r="ER200" s="12">
        <f t="array" ref="ER200">SUMPRODUCT(TRANSPOSE(ER$9:ER$34),$K200:$AJ200)</f>
        <v>18450</v>
      </c>
      <c r="ES200" s="12">
        <f t="array" ref="ES200">SUMPRODUCT(TRANSPOSE(ES$9:ES$34),$K200:$AJ200)</f>
        <v>18450</v>
      </c>
      <c r="ET200" s="12">
        <f t="array" ref="ET200">SUMPRODUCT(TRANSPOSE(ET$9:ET$34),$K200:$AJ200)</f>
        <v>18450</v>
      </c>
      <c r="EU200" s="12">
        <f t="array" ref="EU200">SUMPRODUCT(TRANSPOSE(EU$9:EU$34),$K200:$AJ200)</f>
        <v>18450</v>
      </c>
      <c r="EV200" s="12">
        <f t="array" ref="EV200">SUMPRODUCT(TRANSPOSE(EV$9:EV$34),$K200:$AJ200)</f>
        <v>18450</v>
      </c>
      <c r="EW200" s="12">
        <f t="array" ref="EW200">SUMPRODUCT(TRANSPOSE(EW$9:EW$34),$K200:$AJ200)</f>
        <v>18090</v>
      </c>
      <c r="EX200" s="12">
        <f t="array" ref="EX200">SUMPRODUCT(TRANSPOSE(EX$9:EX$34),$K200:$AJ200)</f>
        <v>18000</v>
      </c>
      <c r="EY200" s="12">
        <f t="array" ref="EY200">SUMPRODUCT(TRANSPOSE(EY$9:EY$34),$K200:$AJ200)</f>
        <v>18000</v>
      </c>
      <c r="EZ200" s="12">
        <f t="array" ref="EZ200">SUMPRODUCT(TRANSPOSE(EZ$9:EZ$34),$K200:$AJ200)</f>
        <v>18000</v>
      </c>
      <c r="FA200" s="12">
        <f t="array" ref="FA200">SUMPRODUCT(TRANSPOSE(FA$9:FA$34),$K200:$AJ200)</f>
        <v>18000</v>
      </c>
      <c r="FB200" s="12">
        <f t="array" ref="FB200">SUMPRODUCT(TRANSPOSE(FB$9:FB$34),$K200:$AJ200)</f>
        <v>18000</v>
      </c>
      <c r="FC200" s="12">
        <f t="array" ref="FC200">SUMPRODUCT(TRANSPOSE(FC$9:FC$34),$K200:$AJ200)</f>
        <v>18000</v>
      </c>
      <c r="FD200" s="12">
        <f t="array" ref="FD200">SUMPRODUCT(TRANSPOSE(FD$9:FD$34),$K200:$AJ200)</f>
        <v>18000</v>
      </c>
      <c r="FE200" s="12">
        <f t="array" ref="FE200">SUMPRODUCT(TRANSPOSE(FE$9:FE$34),$K200:$AJ200)</f>
        <v>18000</v>
      </c>
      <c r="FF200" s="12">
        <f t="array" ref="FF200">SUMPRODUCT(TRANSPOSE(FF$9:FF$34),$K200:$AJ200)</f>
        <v>18000</v>
      </c>
      <c r="FG200" s="12">
        <f t="array" ref="FG200">SUMPRODUCT(TRANSPOSE(FG$9:FG$34),$K200:$AJ200)</f>
        <v>18000</v>
      </c>
      <c r="FH200" s="12">
        <f t="array" ref="FH200">SUMPRODUCT(TRANSPOSE(FH$9:FH$34),$K200:$AJ200)</f>
        <v>18000</v>
      </c>
      <c r="FI200" s="12">
        <f t="array" ref="FI200">SUMPRODUCT(TRANSPOSE(FI$9:FI$34),$K200:$AJ200)</f>
        <v>18000</v>
      </c>
      <c r="FJ200" s="12">
        <f t="array" ref="FJ200">SUMPRODUCT(TRANSPOSE(FJ$9:FJ$34),$K200:$AJ200)</f>
        <v>18000</v>
      </c>
      <c r="FK200" s="12">
        <f t="array" ref="FK200">SUMPRODUCT(TRANSPOSE(FK$9:FK$34),$K200:$AJ200)</f>
        <v>18000</v>
      </c>
      <c r="FL200" s="12">
        <f t="array" ref="FL200">SUMPRODUCT(TRANSPOSE(FL$9:FL$34),$K200:$AJ200)</f>
        <v>18000</v>
      </c>
      <c r="FM200" s="12">
        <f t="array" ref="FM200">SUMPRODUCT(TRANSPOSE(FM$9:FM$34),$K200:$AJ200)</f>
        <v>18000</v>
      </c>
      <c r="FN200" s="12">
        <f t="array" ref="FN200">SUMPRODUCT(TRANSPOSE(FN$9:FN$34),$K200:$AJ200)</f>
        <v>15282</v>
      </c>
      <c r="FO200" s="12">
        <f t="array" ref="FO200">SUMPRODUCT(TRANSPOSE(FO$9:FO$34),$K200:$AJ200)</f>
        <v>693</v>
      </c>
    </row>
    <row r="201" spans="1:171" ht="14.25" x14ac:dyDescent="0.2">
      <c r="A201" s="13">
        <f t="shared" si="10"/>
        <v>166</v>
      </c>
      <c r="B201" s="13" t="s">
        <v>589</v>
      </c>
      <c r="C201" s="25" t="s">
        <v>590</v>
      </c>
      <c r="D201" s="13" t="s">
        <v>67</v>
      </c>
      <c r="E201" s="13">
        <v>400693196</v>
      </c>
      <c r="F201" s="26" t="s">
        <v>591</v>
      </c>
      <c r="G201" s="13" t="s">
        <v>592</v>
      </c>
      <c r="H201" s="13" t="s">
        <v>61</v>
      </c>
      <c r="I201" s="13">
        <v>2</v>
      </c>
      <c r="J201" s="13">
        <v>2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1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/>
      <c r="Z201" s="13">
        <v>1</v>
      </c>
      <c r="AA201" s="13">
        <v>0</v>
      </c>
      <c r="AB201" s="13">
        <v>0</v>
      </c>
      <c r="AC201" s="13">
        <v>0</v>
      </c>
      <c r="AD201" s="13">
        <v>1</v>
      </c>
      <c r="AE201" s="13">
        <v>1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f t="shared" si="11"/>
        <v>3</v>
      </c>
      <c r="AL201" s="23">
        <f t="shared" si="9"/>
        <v>35665</v>
      </c>
      <c r="AM201" s="13"/>
      <c r="AN201" s="13" t="s">
        <v>299</v>
      </c>
      <c r="AO201" s="7" t="s">
        <v>300</v>
      </c>
      <c r="AP201" s="38">
        <v>1.1999999999999999E-3</v>
      </c>
      <c r="AQ201" s="12">
        <v>50000</v>
      </c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13"/>
      <c r="CG201" s="13"/>
      <c r="CH201" s="13"/>
      <c r="CI201" s="12"/>
      <c r="CJ201" s="12"/>
      <c r="CK201" s="12"/>
      <c r="CL201" s="12"/>
      <c r="CM201" s="12"/>
      <c r="CN201" s="12"/>
      <c r="CO201" s="12"/>
      <c r="CP201" s="12">
        <f>SUM($AQ201:BJ201)-SUM($EA201:EH201)</f>
        <v>46891</v>
      </c>
      <c r="CQ201" s="12">
        <f>SUM($AQ201:BK201)-SUM($EA201:EI201)</f>
        <v>46610</v>
      </c>
      <c r="CR201" s="12">
        <f>SUM($AQ201:BL201)-SUM($EA201:EJ201)</f>
        <v>46595</v>
      </c>
      <c r="CS201" s="12">
        <f>SUM($AQ201:BM201)-SUM($EA201:EK201)</f>
        <v>46460</v>
      </c>
      <c r="CT201" s="12">
        <f>SUM($AQ201:BN201)-SUM($EA201:EL201)</f>
        <v>45445</v>
      </c>
      <c r="CU201" s="12">
        <f>SUM($AQ201:BO201)-SUM($EA201:EM201)</f>
        <v>43395</v>
      </c>
      <c r="CV201" s="12">
        <f>SUM($AQ201:BP201)-SUM($EA201:EN201)</f>
        <v>42245</v>
      </c>
      <c r="CW201" s="12">
        <f>SUM($AQ201:BQ201)-SUM($EA201:EO201)</f>
        <v>41245</v>
      </c>
      <c r="CX201" s="12">
        <f>SUM($AQ201:BR201)-SUM($EA201:EP201)</f>
        <v>40195</v>
      </c>
      <c r="CY201" s="12">
        <f>SUM($AQ201:BS201)-SUM($EA201:EQ201)</f>
        <v>39145</v>
      </c>
      <c r="CZ201" s="12">
        <f>SUM($AQ201:BT201)-SUM($EA201:ER201)</f>
        <v>38095</v>
      </c>
      <c r="DA201" s="12">
        <f>SUM($AQ201:BU201)-SUM($EA201:ES201)</f>
        <v>37045</v>
      </c>
      <c r="DB201" s="12">
        <f>SUM($AQ201:BV201)-SUM($EA201:ET201)</f>
        <v>35995</v>
      </c>
      <c r="DC201" s="12">
        <f>SUM($AQ201:BW201)-SUM($EA201:EU201)</f>
        <v>34945</v>
      </c>
      <c r="DD201" s="12">
        <f>SUM($AQ201:BX201)-SUM($EA201:EV201)</f>
        <v>33895</v>
      </c>
      <c r="DE201" s="12">
        <f>SUM($AQ201:BY201)-SUM($EA201:EW201)</f>
        <v>32852</v>
      </c>
      <c r="DF201" s="12">
        <f>SUM($AQ201:BZ201)-SUM($EA201:EX201)</f>
        <v>31852</v>
      </c>
      <c r="DG201" s="12">
        <f>SUM($AQ201:CA201)-SUM($EA201:EY201)</f>
        <v>30852</v>
      </c>
      <c r="DH201" s="12">
        <f>SUM($AQ201:CB201)-SUM($EA201:EZ201)</f>
        <v>29852</v>
      </c>
      <c r="DI201" s="12">
        <f>SUM($AQ201:CC201)-SUM($EA201:FA201)</f>
        <v>28852</v>
      </c>
      <c r="DJ201" s="12">
        <f>SUM($AQ201:CD201)-SUM($EA201:FB201)</f>
        <v>27852</v>
      </c>
      <c r="DK201" s="12">
        <f>SUM($AQ201:CE201)-SUM($EA201:FC201)</f>
        <v>26852</v>
      </c>
      <c r="DL201" s="12">
        <f>SUM($AQ201:CF201)-SUM($EA201:FD201)</f>
        <v>25852</v>
      </c>
      <c r="DM201" s="12">
        <f>SUM($AQ201:CG201)-SUM($EA201:FE201)</f>
        <v>24852</v>
      </c>
      <c r="DN201" s="12">
        <f>SUM($AQ201:CH201)-SUM($EA201:FF201)</f>
        <v>23852</v>
      </c>
      <c r="DO201" s="12">
        <f>SUM($AQ201:CI201)-SUM($EA201:FG201)</f>
        <v>22852</v>
      </c>
      <c r="DP201" s="12">
        <f>SUM($AQ201:CJ201)-SUM($EA201:FH201)</f>
        <v>21852</v>
      </c>
      <c r="DQ201" s="12">
        <f>SUM($AQ201:CK201)-SUM($EA201:FI201)</f>
        <v>20852</v>
      </c>
      <c r="DR201" s="12">
        <f>SUM($AQ201:CL201)-SUM($EA201:FJ201)</f>
        <v>19852</v>
      </c>
      <c r="DS201" s="12">
        <f>SUM($AQ201:CM201)-SUM($EA201:FK201)</f>
        <v>18852</v>
      </c>
      <c r="DT201" s="12">
        <f>SUM($AQ201:CN201)-SUM($EA201:FL201)</f>
        <v>17852</v>
      </c>
      <c r="DU201" s="12">
        <f>SUM($AQ201:CO201)-SUM($EA201:FM201)</f>
        <v>16852</v>
      </c>
      <c r="DV201" s="12">
        <f>SUM($AQ201:CP201)-SUM($EA201:FN201)</f>
        <v>62926</v>
      </c>
      <c r="DW201" s="12">
        <f>SUM($AQ201:CQ201)-SUM($EA201:FO201)</f>
        <v>109536</v>
      </c>
      <c r="DX201" s="13"/>
      <c r="DY201" s="13"/>
      <c r="DZ201" s="13"/>
      <c r="EA201" s="12"/>
      <c r="EB201" s="12"/>
      <c r="EC201" s="12"/>
      <c r="ED201" s="12"/>
      <c r="EE201" s="12"/>
      <c r="EF201" s="12"/>
      <c r="EG201" s="12"/>
      <c r="EH201" s="12">
        <f t="array" ref="EH201">SUMPRODUCT(TRANSPOSE(EH$9:EH$34),$K201:$AJ201)</f>
        <v>3109</v>
      </c>
      <c r="EI201" s="12">
        <f t="array" ref="EI201">SUMPRODUCT(TRANSPOSE(EI$9:EI$34),$K201:$AJ201)</f>
        <v>281</v>
      </c>
      <c r="EJ201" s="12">
        <f t="array" ref="EJ201">SUMPRODUCT(TRANSPOSE(EJ$9:EJ$34),$K201:$AJ201)</f>
        <v>15</v>
      </c>
      <c r="EK201" s="12">
        <f t="array" ref="EK201">SUMPRODUCT(TRANSPOSE(EK$9:EK$34),$K201:$AJ201)</f>
        <v>135</v>
      </c>
      <c r="EL201" s="12">
        <f t="array" ref="EL201">SUMPRODUCT(TRANSPOSE(EL$9:EL$34),$K201:$AJ201)</f>
        <v>1015</v>
      </c>
      <c r="EM201" s="12">
        <f t="array" ref="EM201">SUMPRODUCT(TRANSPOSE(EM$9:EM$34),$K201:$AJ201)</f>
        <v>2050</v>
      </c>
      <c r="EN201" s="12">
        <f t="array" ref="EN201">SUMPRODUCT(TRANSPOSE(EN$9:EN$34),$K201:$AJ201)</f>
        <v>1150</v>
      </c>
      <c r="EO201" s="12">
        <f t="array" ref="EO201">SUMPRODUCT(TRANSPOSE(EO$9:EO$34),$K201:$AJ201)</f>
        <v>1000</v>
      </c>
      <c r="EP201" s="12">
        <f t="array" ref="EP201">SUMPRODUCT(TRANSPOSE(EP$9:EP$34),$K201:$AJ201)</f>
        <v>1050</v>
      </c>
      <c r="EQ201" s="12">
        <f t="array" ref="EQ201">SUMPRODUCT(TRANSPOSE(EQ$9:EQ$34),$K201:$AJ201)</f>
        <v>1050</v>
      </c>
      <c r="ER201" s="12">
        <f t="array" ref="ER201">SUMPRODUCT(TRANSPOSE(ER$9:ER$34),$K201:$AJ201)</f>
        <v>1050</v>
      </c>
      <c r="ES201" s="12">
        <f t="array" ref="ES201">SUMPRODUCT(TRANSPOSE(ES$9:ES$34),$K201:$AJ201)</f>
        <v>1050</v>
      </c>
      <c r="ET201" s="12">
        <f t="array" ref="ET201">SUMPRODUCT(TRANSPOSE(ET$9:ET$34),$K201:$AJ201)</f>
        <v>1050</v>
      </c>
      <c r="EU201" s="12">
        <f t="array" ref="EU201">SUMPRODUCT(TRANSPOSE(EU$9:EU$34),$K201:$AJ201)</f>
        <v>1050</v>
      </c>
      <c r="EV201" s="12">
        <f t="array" ref="EV201">SUMPRODUCT(TRANSPOSE(EV$9:EV$34),$K201:$AJ201)</f>
        <v>1050</v>
      </c>
      <c r="EW201" s="12">
        <f t="array" ref="EW201">SUMPRODUCT(TRANSPOSE(EW$9:EW$34),$K201:$AJ201)</f>
        <v>1043</v>
      </c>
      <c r="EX201" s="12">
        <f t="array" ref="EX201">SUMPRODUCT(TRANSPOSE(EX$9:EX$34),$K201:$AJ201)</f>
        <v>1000</v>
      </c>
      <c r="EY201" s="12">
        <f t="array" ref="EY201">SUMPRODUCT(TRANSPOSE(EY$9:EY$34),$K201:$AJ201)</f>
        <v>1000</v>
      </c>
      <c r="EZ201" s="12">
        <f t="array" ref="EZ201">SUMPRODUCT(TRANSPOSE(EZ$9:EZ$34),$K201:$AJ201)</f>
        <v>1000</v>
      </c>
      <c r="FA201" s="12">
        <f t="array" ref="FA201">SUMPRODUCT(TRANSPOSE(FA$9:FA$34),$K201:$AJ201)</f>
        <v>1000</v>
      </c>
      <c r="FB201" s="12">
        <f t="array" ref="FB201">SUMPRODUCT(TRANSPOSE(FB$9:FB$34),$K201:$AJ201)</f>
        <v>1000</v>
      </c>
      <c r="FC201" s="12">
        <f t="array" ref="FC201">SUMPRODUCT(TRANSPOSE(FC$9:FC$34),$K201:$AJ201)</f>
        <v>1000</v>
      </c>
      <c r="FD201" s="12">
        <f t="array" ref="FD201">SUMPRODUCT(TRANSPOSE(FD$9:FD$34),$K201:$AJ201)</f>
        <v>1000</v>
      </c>
      <c r="FE201" s="12">
        <f t="array" ref="FE201">SUMPRODUCT(TRANSPOSE(FE$9:FE$34),$K201:$AJ201)</f>
        <v>1000</v>
      </c>
      <c r="FF201" s="12">
        <f t="array" ref="FF201">SUMPRODUCT(TRANSPOSE(FF$9:FF$34),$K201:$AJ201)</f>
        <v>1000</v>
      </c>
      <c r="FG201" s="12">
        <f t="array" ref="FG201">SUMPRODUCT(TRANSPOSE(FG$9:FG$34),$K201:$AJ201)</f>
        <v>1000</v>
      </c>
      <c r="FH201" s="12">
        <f t="array" ref="FH201">SUMPRODUCT(TRANSPOSE(FH$9:FH$34),$K201:$AJ201)</f>
        <v>1000</v>
      </c>
      <c r="FI201" s="12">
        <f t="array" ref="FI201">SUMPRODUCT(TRANSPOSE(FI$9:FI$34),$K201:$AJ201)</f>
        <v>1000</v>
      </c>
      <c r="FJ201" s="12">
        <f t="array" ref="FJ201">SUMPRODUCT(TRANSPOSE(FJ$9:FJ$34),$K201:$AJ201)</f>
        <v>1000</v>
      </c>
      <c r="FK201" s="12">
        <f t="array" ref="FK201">SUMPRODUCT(TRANSPOSE(FK$9:FK$34),$K201:$AJ201)</f>
        <v>1000</v>
      </c>
      <c r="FL201" s="12">
        <f t="array" ref="FL201">SUMPRODUCT(TRANSPOSE(FL$9:FL$34),$K201:$AJ201)</f>
        <v>1000</v>
      </c>
      <c r="FM201" s="12">
        <f t="array" ref="FM201">SUMPRODUCT(TRANSPOSE(FM$9:FM$34),$K201:$AJ201)</f>
        <v>1000</v>
      </c>
      <c r="FN201" s="12">
        <f t="array" ref="FN201">SUMPRODUCT(TRANSPOSE(FN$9:FN$34),$K201:$AJ201)</f>
        <v>817</v>
      </c>
      <c r="FO201" s="12">
        <f t="array" ref="FO201">SUMPRODUCT(TRANSPOSE(FO$9:FO$34),$K201:$AJ201)</f>
        <v>0</v>
      </c>
    </row>
    <row r="202" spans="1:171" ht="14.25" x14ac:dyDescent="0.2">
      <c r="A202" s="13">
        <f t="shared" si="10"/>
        <v>167</v>
      </c>
      <c r="B202" s="13" t="s">
        <v>593</v>
      </c>
      <c r="C202" s="25" t="s">
        <v>594</v>
      </c>
      <c r="D202" s="13" t="s">
        <v>67</v>
      </c>
      <c r="E202" s="13">
        <v>401053474</v>
      </c>
      <c r="F202" s="26" t="s">
        <v>595</v>
      </c>
      <c r="G202" s="13" t="s">
        <v>596</v>
      </c>
      <c r="H202" s="13" t="s">
        <v>61</v>
      </c>
      <c r="I202" s="13">
        <v>2</v>
      </c>
      <c r="J202" s="13">
        <v>14</v>
      </c>
      <c r="K202" s="13">
        <v>0</v>
      </c>
      <c r="L202" s="13">
        <v>0</v>
      </c>
      <c r="M202" s="13">
        <v>0</v>
      </c>
      <c r="N202" s="13">
        <v>2</v>
      </c>
      <c r="O202" s="13">
        <v>2</v>
      </c>
      <c r="P202" s="13">
        <v>0</v>
      </c>
      <c r="Q202" s="13">
        <v>0</v>
      </c>
      <c r="R202" s="13">
        <v>0</v>
      </c>
      <c r="S202" s="13">
        <v>3</v>
      </c>
      <c r="T202" s="13">
        <v>0</v>
      </c>
      <c r="U202" s="13">
        <v>0</v>
      </c>
      <c r="V202" s="13">
        <v>0</v>
      </c>
      <c r="W202" s="13">
        <v>0</v>
      </c>
      <c r="X202" s="13">
        <v>2</v>
      </c>
      <c r="Y202" s="13"/>
      <c r="Z202" s="13">
        <v>3</v>
      </c>
      <c r="AA202" s="13">
        <v>0</v>
      </c>
      <c r="AB202" s="13">
        <v>0</v>
      </c>
      <c r="AC202" s="13">
        <v>0</v>
      </c>
      <c r="AD202" s="13">
        <v>3</v>
      </c>
      <c r="AE202" s="13">
        <v>3</v>
      </c>
      <c r="AF202" s="13">
        <v>0</v>
      </c>
      <c r="AG202" s="13">
        <v>0</v>
      </c>
      <c r="AH202" s="13">
        <v>0</v>
      </c>
      <c r="AI202" s="13">
        <v>0</v>
      </c>
      <c r="AJ202" s="13">
        <v>2</v>
      </c>
      <c r="AK202" s="13">
        <f t="shared" si="11"/>
        <v>15</v>
      </c>
      <c r="AL202" s="23">
        <f t="shared" si="9"/>
        <v>319183</v>
      </c>
      <c r="AM202" s="13"/>
      <c r="AN202" s="13" t="s">
        <v>299</v>
      </c>
      <c r="AO202" s="7" t="s">
        <v>300</v>
      </c>
      <c r="AP202" s="38">
        <v>1.1999999999999999E-3</v>
      </c>
      <c r="AQ202" s="12">
        <v>320000</v>
      </c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13"/>
      <c r="CG202" s="13"/>
      <c r="CH202" s="13"/>
      <c r="CI202" s="12"/>
      <c r="CJ202" s="12"/>
      <c r="CK202" s="12"/>
      <c r="CL202" s="12"/>
      <c r="CM202" s="12"/>
      <c r="CN202" s="12"/>
      <c r="CO202" s="12"/>
      <c r="CP202" s="12">
        <f>SUM($AQ202:BJ202)-SUM($EA202:EH202)</f>
        <v>288639</v>
      </c>
      <c r="CQ202" s="12">
        <f>SUM($AQ202:BK202)-SUM($EA202:EI202)</f>
        <v>286996</v>
      </c>
      <c r="CR202" s="12">
        <f>SUM($AQ202:BL202)-SUM($EA202:EJ202)</f>
        <v>282921</v>
      </c>
      <c r="CS202" s="12">
        <f>SUM($AQ202:BM202)-SUM($EA202:EK202)</f>
        <v>278246</v>
      </c>
      <c r="CT202" s="12">
        <f>SUM($AQ202:BN202)-SUM($EA202:EL202)</f>
        <v>269171</v>
      </c>
      <c r="CU202" s="12">
        <f>SUM($AQ202:BO202)-SUM($EA202:EM202)</f>
        <v>258921</v>
      </c>
      <c r="CV202" s="12">
        <f>SUM($AQ202:BP202)-SUM($EA202:EN202)</f>
        <v>249571</v>
      </c>
      <c r="CW202" s="12">
        <f>SUM($AQ202:BQ202)-SUM($EA202:EO202)</f>
        <v>240571</v>
      </c>
      <c r="CX202" s="12">
        <f>SUM($AQ202:BR202)-SUM($EA202:EP202)</f>
        <v>231321</v>
      </c>
      <c r="CY202" s="12">
        <f>SUM($AQ202:BS202)-SUM($EA202:EQ202)</f>
        <v>222071</v>
      </c>
      <c r="CZ202" s="12">
        <f>SUM($AQ202:BT202)-SUM($EA202:ER202)</f>
        <v>212821</v>
      </c>
      <c r="DA202" s="12">
        <f>SUM($AQ202:BU202)-SUM($EA202:ES202)</f>
        <v>203571</v>
      </c>
      <c r="DB202" s="12">
        <f>SUM($AQ202:BV202)-SUM($EA202:ET202)</f>
        <v>194321</v>
      </c>
      <c r="DC202" s="12">
        <f>SUM($AQ202:BW202)-SUM($EA202:EU202)</f>
        <v>185071</v>
      </c>
      <c r="DD202" s="12">
        <f>SUM($AQ202:BX202)-SUM($EA202:EV202)</f>
        <v>175821</v>
      </c>
      <c r="DE202" s="12">
        <f>SUM($AQ202:BY202)-SUM($EA202:EW202)</f>
        <v>166672</v>
      </c>
      <c r="DF202" s="12">
        <f>SUM($AQ202:BZ202)-SUM($EA202:EX202)</f>
        <v>157672</v>
      </c>
      <c r="DG202" s="12">
        <f>SUM($AQ202:CA202)-SUM($EA202:EY202)</f>
        <v>148672</v>
      </c>
      <c r="DH202" s="12">
        <f>SUM($AQ202:CB202)-SUM($EA202:EZ202)</f>
        <v>139672</v>
      </c>
      <c r="DI202" s="12">
        <f>SUM($AQ202:CC202)-SUM($EA202:FA202)</f>
        <v>130672</v>
      </c>
      <c r="DJ202" s="12">
        <f>SUM($AQ202:CD202)-SUM($EA202:FB202)</f>
        <v>121672</v>
      </c>
      <c r="DK202" s="12">
        <f>SUM($AQ202:CE202)-SUM($EA202:FC202)</f>
        <v>112672</v>
      </c>
      <c r="DL202" s="12">
        <f>SUM($AQ202:CF202)-SUM($EA202:FD202)</f>
        <v>103672</v>
      </c>
      <c r="DM202" s="12">
        <f>SUM($AQ202:CG202)-SUM($EA202:FE202)</f>
        <v>94672</v>
      </c>
      <c r="DN202" s="12">
        <f>SUM($AQ202:CH202)-SUM($EA202:FF202)</f>
        <v>85672</v>
      </c>
      <c r="DO202" s="12">
        <f>SUM($AQ202:CI202)-SUM($EA202:FG202)</f>
        <v>76672</v>
      </c>
      <c r="DP202" s="12">
        <f>SUM($AQ202:CJ202)-SUM($EA202:FH202)</f>
        <v>67672</v>
      </c>
      <c r="DQ202" s="12">
        <f>SUM($AQ202:CK202)-SUM($EA202:FI202)</f>
        <v>58672</v>
      </c>
      <c r="DR202" s="12">
        <f>SUM($AQ202:CL202)-SUM($EA202:FJ202)</f>
        <v>49672</v>
      </c>
      <c r="DS202" s="12">
        <f>SUM($AQ202:CM202)-SUM($EA202:FK202)</f>
        <v>40672</v>
      </c>
      <c r="DT202" s="12">
        <f>SUM($AQ202:CN202)-SUM($EA202:FL202)</f>
        <v>31672</v>
      </c>
      <c r="DU202" s="12">
        <f>SUM($AQ202:CO202)-SUM($EA202:FM202)</f>
        <v>22672</v>
      </c>
      <c r="DV202" s="12">
        <f>SUM($AQ202:CP202)-SUM($EA202:FN202)</f>
        <v>303464</v>
      </c>
      <c r="DW202" s="12">
        <f>SUM($AQ202:CQ202)-SUM($EA202:FO202)</f>
        <v>590152</v>
      </c>
      <c r="DX202" s="13"/>
      <c r="DY202" s="13"/>
      <c r="DZ202" s="13"/>
      <c r="EA202" s="12"/>
      <c r="EB202" s="12"/>
      <c r="EC202" s="12"/>
      <c r="ED202" s="12"/>
      <c r="EE202" s="12"/>
      <c r="EF202" s="12"/>
      <c r="EG202" s="12"/>
      <c r="EH202" s="12">
        <f t="array" ref="EH202">SUMPRODUCT(TRANSPOSE(EH$9:EH$34),$K202:$AJ202)</f>
        <v>31361</v>
      </c>
      <c r="EI202" s="12">
        <f t="array" ref="EI202">SUMPRODUCT(TRANSPOSE(EI$9:EI$34),$K202:$AJ202)</f>
        <v>1643</v>
      </c>
      <c r="EJ202" s="12">
        <f t="array" ref="EJ202">SUMPRODUCT(TRANSPOSE(EJ$9:EJ$34),$K202:$AJ202)</f>
        <v>4075</v>
      </c>
      <c r="EK202" s="12">
        <f t="array" ref="EK202">SUMPRODUCT(TRANSPOSE(EK$9:EK$34),$K202:$AJ202)</f>
        <v>4675</v>
      </c>
      <c r="EL202" s="12">
        <f t="array" ref="EL202">SUMPRODUCT(TRANSPOSE(EL$9:EL$34),$K202:$AJ202)</f>
        <v>9075</v>
      </c>
      <c r="EM202" s="12">
        <f t="array" ref="EM202">SUMPRODUCT(TRANSPOSE(EM$9:EM$34),$K202:$AJ202)</f>
        <v>10250</v>
      </c>
      <c r="EN202" s="12">
        <f t="array" ref="EN202">SUMPRODUCT(TRANSPOSE(EN$9:EN$34),$K202:$AJ202)</f>
        <v>9350</v>
      </c>
      <c r="EO202" s="12">
        <f t="array" ref="EO202">SUMPRODUCT(TRANSPOSE(EO$9:EO$34),$K202:$AJ202)</f>
        <v>9000</v>
      </c>
      <c r="EP202" s="12">
        <f t="array" ref="EP202">SUMPRODUCT(TRANSPOSE(EP$9:EP$34),$K202:$AJ202)</f>
        <v>9250</v>
      </c>
      <c r="EQ202" s="12">
        <f t="array" ref="EQ202">SUMPRODUCT(TRANSPOSE(EQ$9:EQ$34),$K202:$AJ202)</f>
        <v>9250</v>
      </c>
      <c r="ER202" s="12">
        <f t="array" ref="ER202">SUMPRODUCT(TRANSPOSE(ER$9:ER$34),$K202:$AJ202)</f>
        <v>9250</v>
      </c>
      <c r="ES202" s="12">
        <f t="array" ref="ES202">SUMPRODUCT(TRANSPOSE(ES$9:ES$34),$K202:$AJ202)</f>
        <v>9250</v>
      </c>
      <c r="ET202" s="12">
        <f t="array" ref="ET202">SUMPRODUCT(TRANSPOSE(ET$9:ET$34),$K202:$AJ202)</f>
        <v>9250</v>
      </c>
      <c r="EU202" s="12">
        <f t="array" ref="EU202">SUMPRODUCT(TRANSPOSE(EU$9:EU$34),$K202:$AJ202)</f>
        <v>9250</v>
      </c>
      <c r="EV202" s="12">
        <f t="array" ref="EV202">SUMPRODUCT(TRANSPOSE(EV$9:EV$34),$K202:$AJ202)</f>
        <v>9250</v>
      </c>
      <c r="EW202" s="12">
        <f t="array" ref="EW202">SUMPRODUCT(TRANSPOSE(EW$9:EW$34),$K202:$AJ202)</f>
        <v>9149</v>
      </c>
      <c r="EX202" s="12">
        <f t="array" ref="EX202">SUMPRODUCT(TRANSPOSE(EX$9:EX$34),$K202:$AJ202)</f>
        <v>9000</v>
      </c>
      <c r="EY202" s="12">
        <f t="array" ref="EY202">SUMPRODUCT(TRANSPOSE(EY$9:EY$34),$K202:$AJ202)</f>
        <v>9000</v>
      </c>
      <c r="EZ202" s="12">
        <f t="array" ref="EZ202">SUMPRODUCT(TRANSPOSE(EZ$9:EZ$34),$K202:$AJ202)</f>
        <v>9000</v>
      </c>
      <c r="FA202" s="12">
        <f t="array" ref="FA202">SUMPRODUCT(TRANSPOSE(FA$9:FA$34),$K202:$AJ202)</f>
        <v>9000</v>
      </c>
      <c r="FB202" s="12">
        <f t="array" ref="FB202">SUMPRODUCT(TRANSPOSE(FB$9:FB$34),$K202:$AJ202)</f>
        <v>9000</v>
      </c>
      <c r="FC202" s="12">
        <f t="array" ref="FC202">SUMPRODUCT(TRANSPOSE(FC$9:FC$34),$K202:$AJ202)</f>
        <v>9000</v>
      </c>
      <c r="FD202" s="12">
        <f t="array" ref="FD202">SUMPRODUCT(TRANSPOSE(FD$9:FD$34),$K202:$AJ202)</f>
        <v>9000</v>
      </c>
      <c r="FE202" s="12">
        <f t="array" ref="FE202">SUMPRODUCT(TRANSPOSE(FE$9:FE$34),$K202:$AJ202)</f>
        <v>9000</v>
      </c>
      <c r="FF202" s="12">
        <f t="array" ref="FF202">SUMPRODUCT(TRANSPOSE(FF$9:FF$34),$K202:$AJ202)</f>
        <v>9000</v>
      </c>
      <c r="FG202" s="12">
        <f t="array" ref="FG202">SUMPRODUCT(TRANSPOSE(FG$9:FG$34),$K202:$AJ202)</f>
        <v>9000</v>
      </c>
      <c r="FH202" s="12">
        <f t="array" ref="FH202">SUMPRODUCT(TRANSPOSE(FH$9:FH$34),$K202:$AJ202)</f>
        <v>9000</v>
      </c>
      <c r="FI202" s="12">
        <f t="array" ref="FI202">SUMPRODUCT(TRANSPOSE(FI$9:FI$34),$K202:$AJ202)</f>
        <v>9000</v>
      </c>
      <c r="FJ202" s="12">
        <f t="array" ref="FJ202">SUMPRODUCT(TRANSPOSE(FJ$9:FJ$34),$K202:$AJ202)</f>
        <v>9000</v>
      </c>
      <c r="FK202" s="12">
        <f t="array" ref="FK202">SUMPRODUCT(TRANSPOSE(FK$9:FK$34),$K202:$AJ202)</f>
        <v>9000</v>
      </c>
      <c r="FL202" s="12">
        <f t="array" ref="FL202">SUMPRODUCT(TRANSPOSE(FL$9:FL$34),$K202:$AJ202)</f>
        <v>9000</v>
      </c>
      <c r="FM202" s="12">
        <f t="array" ref="FM202">SUMPRODUCT(TRANSPOSE(FM$9:FM$34),$K202:$AJ202)</f>
        <v>9000</v>
      </c>
      <c r="FN202" s="12">
        <f t="array" ref="FN202">SUMPRODUCT(TRANSPOSE(FN$9:FN$34),$K202:$AJ202)</f>
        <v>7847</v>
      </c>
      <c r="FO202" s="12">
        <f t="array" ref="FO202">SUMPRODUCT(TRANSPOSE(FO$9:FO$34),$K202:$AJ202)</f>
        <v>308</v>
      </c>
    </row>
    <row r="203" spans="1:171" ht="14.25" x14ac:dyDescent="0.2">
      <c r="A203" s="13">
        <f t="shared" si="10"/>
        <v>168</v>
      </c>
      <c r="B203" s="13" t="s">
        <v>597</v>
      </c>
      <c r="C203" s="25" t="s">
        <v>598</v>
      </c>
      <c r="D203" s="13" t="s">
        <v>67</v>
      </c>
      <c r="E203" s="13">
        <v>401235096</v>
      </c>
      <c r="F203" s="26" t="s">
        <v>599</v>
      </c>
      <c r="G203" s="13" t="s">
        <v>600</v>
      </c>
      <c r="H203" s="13" t="s">
        <v>61</v>
      </c>
      <c r="I203" s="13">
        <v>2</v>
      </c>
      <c r="J203" s="13">
        <v>2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1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/>
      <c r="Z203" s="13">
        <v>1</v>
      </c>
      <c r="AA203" s="13">
        <v>0</v>
      </c>
      <c r="AB203" s="13">
        <v>0</v>
      </c>
      <c r="AC203" s="13">
        <v>0</v>
      </c>
      <c r="AD203" s="13">
        <v>1</v>
      </c>
      <c r="AE203" s="13">
        <v>1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f t="shared" si="11"/>
        <v>3</v>
      </c>
      <c r="AL203" s="23">
        <f t="shared" si="9"/>
        <v>35665</v>
      </c>
      <c r="AM203" s="13"/>
      <c r="AN203" s="13" t="s">
        <v>299</v>
      </c>
      <c r="AO203" s="7" t="s">
        <v>300</v>
      </c>
      <c r="AP203" s="38">
        <v>1.1999999999999999E-3</v>
      </c>
      <c r="AQ203" s="12">
        <v>50000</v>
      </c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13"/>
      <c r="CG203" s="13"/>
      <c r="CH203" s="13"/>
      <c r="CI203" s="12"/>
      <c r="CJ203" s="12"/>
      <c r="CK203" s="12"/>
      <c r="CL203" s="12"/>
      <c r="CM203" s="12"/>
      <c r="CN203" s="12"/>
      <c r="CO203" s="12"/>
      <c r="CP203" s="12">
        <f>SUM($AQ203:BJ203)-SUM($EA203:EH203)</f>
        <v>46891</v>
      </c>
      <c r="CQ203" s="12">
        <f>SUM($AQ203:BK203)-SUM($EA203:EI203)</f>
        <v>46610</v>
      </c>
      <c r="CR203" s="12">
        <f>SUM($AQ203:BL203)-SUM($EA203:EJ203)</f>
        <v>46595</v>
      </c>
      <c r="CS203" s="12">
        <f>SUM($AQ203:BM203)-SUM($EA203:EK203)</f>
        <v>46460</v>
      </c>
      <c r="CT203" s="12">
        <f>SUM($AQ203:BN203)-SUM($EA203:EL203)</f>
        <v>45445</v>
      </c>
      <c r="CU203" s="12">
        <f>SUM($AQ203:BO203)-SUM($EA203:EM203)</f>
        <v>43395</v>
      </c>
      <c r="CV203" s="12">
        <f>SUM($AQ203:BP203)-SUM($EA203:EN203)</f>
        <v>42245</v>
      </c>
      <c r="CW203" s="12">
        <f>SUM($AQ203:BQ203)-SUM($EA203:EO203)</f>
        <v>41245</v>
      </c>
      <c r="CX203" s="12">
        <f>SUM($AQ203:BR203)-SUM($EA203:EP203)</f>
        <v>40195</v>
      </c>
      <c r="CY203" s="12">
        <f>SUM($AQ203:BS203)-SUM($EA203:EQ203)</f>
        <v>39145</v>
      </c>
      <c r="CZ203" s="12">
        <f>SUM($AQ203:BT203)-SUM($EA203:ER203)</f>
        <v>38095</v>
      </c>
      <c r="DA203" s="12">
        <f>SUM($AQ203:BU203)-SUM($EA203:ES203)</f>
        <v>37045</v>
      </c>
      <c r="DB203" s="12">
        <f>SUM($AQ203:BV203)-SUM($EA203:ET203)</f>
        <v>35995</v>
      </c>
      <c r="DC203" s="12">
        <f>SUM($AQ203:BW203)-SUM($EA203:EU203)</f>
        <v>34945</v>
      </c>
      <c r="DD203" s="12">
        <f>SUM($AQ203:BX203)-SUM($EA203:EV203)</f>
        <v>33895</v>
      </c>
      <c r="DE203" s="12">
        <f>SUM($AQ203:BY203)-SUM($EA203:EW203)</f>
        <v>32852</v>
      </c>
      <c r="DF203" s="12">
        <f>SUM($AQ203:BZ203)-SUM($EA203:EX203)</f>
        <v>31852</v>
      </c>
      <c r="DG203" s="12">
        <f>SUM($AQ203:CA203)-SUM($EA203:EY203)</f>
        <v>30852</v>
      </c>
      <c r="DH203" s="12">
        <f>SUM($AQ203:CB203)-SUM($EA203:EZ203)</f>
        <v>29852</v>
      </c>
      <c r="DI203" s="12">
        <f>SUM($AQ203:CC203)-SUM($EA203:FA203)</f>
        <v>28852</v>
      </c>
      <c r="DJ203" s="12">
        <f>SUM($AQ203:CD203)-SUM($EA203:FB203)</f>
        <v>27852</v>
      </c>
      <c r="DK203" s="12">
        <f>SUM($AQ203:CE203)-SUM($EA203:FC203)</f>
        <v>26852</v>
      </c>
      <c r="DL203" s="12">
        <f>SUM($AQ203:CF203)-SUM($EA203:FD203)</f>
        <v>25852</v>
      </c>
      <c r="DM203" s="12">
        <f>SUM($AQ203:CG203)-SUM($EA203:FE203)</f>
        <v>24852</v>
      </c>
      <c r="DN203" s="12">
        <f>SUM($AQ203:CH203)-SUM($EA203:FF203)</f>
        <v>23852</v>
      </c>
      <c r="DO203" s="12">
        <f>SUM($AQ203:CI203)-SUM($EA203:FG203)</f>
        <v>22852</v>
      </c>
      <c r="DP203" s="12">
        <f>SUM($AQ203:CJ203)-SUM($EA203:FH203)</f>
        <v>21852</v>
      </c>
      <c r="DQ203" s="12">
        <f>SUM($AQ203:CK203)-SUM($EA203:FI203)</f>
        <v>20852</v>
      </c>
      <c r="DR203" s="12">
        <f>SUM($AQ203:CL203)-SUM($EA203:FJ203)</f>
        <v>19852</v>
      </c>
      <c r="DS203" s="12">
        <f>SUM($AQ203:CM203)-SUM($EA203:FK203)</f>
        <v>18852</v>
      </c>
      <c r="DT203" s="12">
        <f>SUM($AQ203:CN203)-SUM($EA203:FL203)</f>
        <v>17852</v>
      </c>
      <c r="DU203" s="12">
        <f>SUM($AQ203:CO203)-SUM($EA203:FM203)</f>
        <v>16852</v>
      </c>
      <c r="DV203" s="12">
        <f>SUM($AQ203:CP203)-SUM($EA203:FN203)</f>
        <v>62926</v>
      </c>
      <c r="DW203" s="12">
        <f>SUM($AQ203:CQ203)-SUM($EA203:FO203)</f>
        <v>109536</v>
      </c>
      <c r="DX203" s="13"/>
      <c r="DY203" s="13"/>
      <c r="DZ203" s="13"/>
      <c r="EA203" s="12"/>
      <c r="EB203" s="12"/>
      <c r="EC203" s="12"/>
      <c r="ED203" s="12"/>
      <c r="EE203" s="12"/>
      <c r="EF203" s="12"/>
      <c r="EG203" s="12"/>
      <c r="EH203" s="12">
        <f t="array" ref="EH203">SUMPRODUCT(TRANSPOSE(EH$9:EH$34),$K203:$AJ203)</f>
        <v>3109</v>
      </c>
      <c r="EI203" s="12">
        <f t="array" ref="EI203">SUMPRODUCT(TRANSPOSE(EI$9:EI$34),$K203:$AJ203)</f>
        <v>281</v>
      </c>
      <c r="EJ203" s="12">
        <f t="array" ref="EJ203">SUMPRODUCT(TRANSPOSE(EJ$9:EJ$34),$K203:$AJ203)</f>
        <v>15</v>
      </c>
      <c r="EK203" s="12">
        <f t="array" ref="EK203">SUMPRODUCT(TRANSPOSE(EK$9:EK$34),$K203:$AJ203)</f>
        <v>135</v>
      </c>
      <c r="EL203" s="12">
        <f t="array" ref="EL203">SUMPRODUCT(TRANSPOSE(EL$9:EL$34),$K203:$AJ203)</f>
        <v>1015</v>
      </c>
      <c r="EM203" s="12">
        <f t="array" ref="EM203">SUMPRODUCT(TRANSPOSE(EM$9:EM$34),$K203:$AJ203)</f>
        <v>2050</v>
      </c>
      <c r="EN203" s="12">
        <f t="array" ref="EN203">SUMPRODUCT(TRANSPOSE(EN$9:EN$34),$K203:$AJ203)</f>
        <v>1150</v>
      </c>
      <c r="EO203" s="12">
        <f t="array" ref="EO203">SUMPRODUCT(TRANSPOSE(EO$9:EO$34),$K203:$AJ203)</f>
        <v>1000</v>
      </c>
      <c r="EP203" s="12">
        <f t="array" ref="EP203">SUMPRODUCT(TRANSPOSE(EP$9:EP$34),$K203:$AJ203)</f>
        <v>1050</v>
      </c>
      <c r="EQ203" s="12">
        <f t="array" ref="EQ203">SUMPRODUCT(TRANSPOSE(EQ$9:EQ$34),$K203:$AJ203)</f>
        <v>1050</v>
      </c>
      <c r="ER203" s="12">
        <f t="array" ref="ER203">SUMPRODUCT(TRANSPOSE(ER$9:ER$34),$K203:$AJ203)</f>
        <v>1050</v>
      </c>
      <c r="ES203" s="12">
        <f t="array" ref="ES203">SUMPRODUCT(TRANSPOSE(ES$9:ES$34),$K203:$AJ203)</f>
        <v>1050</v>
      </c>
      <c r="ET203" s="12">
        <f t="array" ref="ET203">SUMPRODUCT(TRANSPOSE(ET$9:ET$34),$K203:$AJ203)</f>
        <v>1050</v>
      </c>
      <c r="EU203" s="12">
        <f t="array" ref="EU203">SUMPRODUCT(TRANSPOSE(EU$9:EU$34),$K203:$AJ203)</f>
        <v>1050</v>
      </c>
      <c r="EV203" s="12">
        <f t="array" ref="EV203">SUMPRODUCT(TRANSPOSE(EV$9:EV$34),$K203:$AJ203)</f>
        <v>1050</v>
      </c>
      <c r="EW203" s="12">
        <f t="array" ref="EW203">SUMPRODUCT(TRANSPOSE(EW$9:EW$34),$K203:$AJ203)</f>
        <v>1043</v>
      </c>
      <c r="EX203" s="12">
        <f t="array" ref="EX203">SUMPRODUCT(TRANSPOSE(EX$9:EX$34),$K203:$AJ203)</f>
        <v>1000</v>
      </c>
      <c r="EY203" s="12">
        <f t="array" ref="EY203">SUMPRODUCT(TRANSPOSE(EY$9:EY$34),$K203:$AJ203)</f>
        <v>1000</v>
      </c>
      <c r="EZ203" s="12">
        <f t="array" ref="EZ203">SUMPRODUCT(TRANSPOSE(EZ$9:EZ$34),$K203:$AJ203)</f>
        <v>1000</v>
      </c>
      <c r="FA203" s="12">
        <f t="array" ref="FA203">SUMPRODUCT(TRANSPOSE(FA$9:FA$34),$K203:$AJ203)</f>
        <v>1000</v>
      </c>
      <c r="FB203" s="12">
        <f t="array" ref="FB203">SUMPRODUCT(TRANSPOSE(FB$9:FB$34),$K203:$AJ203)</f>
        <v>1000</v>
      </c>
      <c r="FC203" s="12">
        <f t="array" ref="FC203">SUMPRODUCT(TRANSPOSE(FC$9:FC$34),$K203:$AJ203)</f>
        <v>1000</v>
      </c>
      <c r="FD203" s="12">
        <f t="array" ref="FD203">SUMPRODUCT(TRANSPOSE(FD$9:FD$34),$K203:$AJ203)</f>
        <v>1000</v>
      </c>
      <c r="FE203" s="12">
        <f t="array" ref="FE203">SUMPRODUCT(TRANSPOSE(FE$9:FE$34),$K203:$AJ203)</f>
        <v>1000</v>
      </c>
      <c r="FF203" s="12">
        <f t="array" ref="FF203">SUMPRODUCT(TRANSPOSE(FF$9:FF$34),$K203:$AJ203)</f>
        <v>1000</v>
      </c>
      <c r="FG203" s="12">
        <f t="array" ref="FG203">SUMPRODUCT(TRANSPOSE(FG$9:FG$34),$K203:$AJ203)</f>
        <v>1000</v>
      </c>
      <c r="FH203" s="12">
        <f t="array" ref="FH203">SUMPRODUCT(TRANSPOSE(FH$9:FH$34),$K203:$AJ203)</f>
        <v>1000</v>
      </c>
      <c r="FI203" s="12">
        <f t="array" ref="FI203">SUMPRODUCT(TRANSPOSE(FI$9:FI$34),$K203:$AJ203)</f>
        <v>1000</v>
      </c>
      <c r="FJ203" s="12">
        <f t="array" ref="FJ203">SUMPRODUCT(TRANSPOSE(FJ$9:FJ$34),$K203:$AJ203)</f>
        <v>1000</v>
      </c>
      <c r="FK203" s="12">
        <f t="array" ref="FK203">SUMPRODUCT(TRANSPOSE(FK$9:FK$34),$K203:$AJ203)</f>
        <v>1000</v>
      </c>
      <c r="FL203" s="12">
        <f t="array" ref="FL203">SUMPRODUCT(TRANSPOSE(FL$9:FL$34),$K203:$AJ203)</f>
        <v>1000</v>
      </c>
      <c r="FM203" s="12">
        <f t="array" ref="FM203">SUMPRODUCT(TRANSPOSE(FM$9:FM$34),$K203:$AJ203)</f>
        <v>1000</v>
      </c>
      <c r="FN203" s="12">
        <f t="array" ref="FN203">SUMPRODUCT(TRANSPOSE(FN$9:FN$34),$K203:$AJ203)</f>
        <v>817</v>
      </c>
      <c r="FO203" s="12">
        <f t="array" ref="FO203">SUMPRODUCT(TRANSPOSE(FO$9:FO$34),$K203:$AJ203)</f>
        <v>0</v>
      </c>
    </row>
    <row r="204" spans="1:171" ht="14.25" x14ac:dyDescent="0.2">
      <c r="A204" s="13">
        <f t="shared" si="10"/>
        <v>169</v>
      </c>
      <c r="B204" s="13" t="s">
        <v>601</v>
      </c>
      <c r="C204" s="25" t="s">
        <v>602</v>
      </c>
      <c r="D204" s="13" t="s">
        <v>67</v>
      </c>
      <c r="E204" s="13">
        <v>401382482</v>
      </c>
      <c r="F204" s="26" t="s">
        <v>603</v>
      </c>
      <c r="G204" s="13" t="s">
        <v>604</v>
      </c>
      <c r="H204" s="13" t="s">
        <v>61</v>
      </c>
      <c r="I204" s="13">
        <v>2</v>
      </c>
      <c r="J204" s="13">
        <v>6</v>
      </c>
      <c r="K204" s="13">
        <v>0</v>
      </c>
      <c r="L204" s="13">
        <v>0</v>
      </c>
      <c r="M204" s="13">
        <v>0</v>
      </c>
      <c r="N204" s="13">
        <v>0</v>
      </c>
      <c r="O204" s="13">
        <v>2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2</v>
      </c>
      <c r="Y204" s="13"/>
      <c r="Z204" s="13"/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2</v>
      </c>
      <c r="AK204" s="13">
        <f t="shared" si="11"/>
        <v>4</v>
      </c>
      <c r="AL204" s="23">
        <f t="shared" si="9"/>
        <v>141726</v>
      </c>
      <c r="AM204" s="13"/>
      <c r="AN204" s="13" t="s">
        <v>299</v>
      </c>
      <c r="AO204" s="7" t="s">
        <v>307</v>
      </c>
      <c r="AP204" s="37">
        <v>2.8E-3</v>
      </c>
      <c r="AQ204" s="12">
        <v>145000</v>
      </c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13"/>
      <c r="CG204" s="13"/>
      <c r="CH204" s="13"/>
      <c r="CI204" s="12"/>
      <c r="CJ204" s="12"/>
      <c r="CK204" s="12"/>
      <c r="CL204" s="12"/>
      <c r="CM204" s="12"/>
      <c r="CN204" s="12"/>
      <c r="CO204" s="12"/>
      <c r="CP204" s="12">
        <f>SUM($AQ204:BJ204)-SUM($EA204:EH204)</f>
        <v>130874</v>
      </c>
      <c r="CQ204" s="12">
        <f>SUM($AQ204:BK204)-SUM($EA204:EI204)</f>
        <v>130074</v>
      </c>
      <c r="CR204" s="12">
        <f>SUM($AQ204:BL204)-SUM($EA204:EJ204)</f>
        <v>128044</v>
      </c>
      <c r="CS204" s="12">
        <f>SUM($AQ204:BM204)-SUM($EA204:EK204)</f>
        <v>125774</v>
      </c>
      <c r="CT204" s="12">
        <f>SUM($AQ204:BN204)-SUM($EA204:EL204)</f>
        <v>121744</v>
      </c>
      <c r="CU204" s="12">
        <f>SUM($AQ204:BO204)-SUM($EA204:EM204)</f>
        <v>117644</v>
      </c>
      <c r="CV204" s="12">
        <f>SUM($AQ204:BP204)-SUM($EA204:EN204)</f>
        <v>113544</v>
      </c>
      <c r="CW204" s="12">
        <f>SUM($AQ204:BQ204)-SUM($EA204:EO204)</f>
        <v>109544</v>
      </c>
      <c r="CX204" s="12">
        <f>SUM($AQ204:BR204)-SUM($EA204:EP204)</f>
        <v>105444</v>
      </c>
      <c r="CY204" s="12">
        <f>SUM($AQ204:BS204)-SUM($EA204:EQ204)</f>
        <v>101344</v>
      </c>
      <c r="CZ204" s="12">
        <f>SUM($AQ204:BT204)-SUM($EA204:ER204)</f>
        <v>97244</v>
      </c>
      <c r="DA204" s="12">
        <f>SUM($AQ204:BU204)-SUM($EA204:ES204)</f>
        <v>93144</v>
      </c>
      <c r="DB204" s="12">
        <f>SUM($AQ204:BV204)-SUM($EA204:ET204)</f>
        <v>89044</v>
      </c>
      <c r="DC204" s="12">
        <f>SUM($AQ204:BW204)-SUM($EA204:EU204)</f>
        <v>84944</v>
      </c>
      <c r="DD204" s="12">
        <f>SUM($AQ204:BX204)-SUM($EA204:EV204)</f>
        <v>80844</v>
      </c>
      <c r="DE204" s="12">
        <f>SUM($AQ204:BY204)-SUM($EA204:EW204)</f>
        <v>76824</v>
      </c>
      <c r="DF204" s="12">
        <f>SUM($AQ204:BZ204)-SUM($EA204:EX204)</f>
        <v>72824</v>
      </c>
      <c r="DG204" s="12">
        <f>SUM($AQ204:CA204)-SUM($EA204:EY204)</f>
        <v>68824</v>
      </c>
      <c r="DH204" s="12">
        <f>SUM($AQ204:CB204)-SUM($EA204:EZ204)</f>
        <v>64824</v>
      </c>
      <c r="DI204" s="12">
        <f>SUM($AQ204:CC204)-SUM($EA204:FA204)</f>
        <v>60824</v>
      </c>
      <c r="DJ204" s="12">
        <f>SUM($AQ204:CD204)-SUM($EA204:FB204)</f>
        <v>56824</v>
      </c>
      <c r="DK204" s="12">
        <f>SUM($AQ204:CE204)-SUM($EA204:FC204)</f>
        <v>52824</v>
      </c>
      <c r="DL204" s="12">
        <f>SUM($AQ204:CF204)-SUM($EA204:FD204)</f>
        <v>48824</v>
      </c>
      <c r="DM204" s="12">
        <f>SUM($AQ204:CG204)-SUM($EA204:FE204)</f>
        <v>44824</v>
      </c>
      <c r="DN204" s="12">
        <f>SUM($AQ204:CH204)-SUM($EA204:FF204)</f>
        <v>40824</v>
      </c>
      <c r="DO204" s="12">
        <f>SUM($AQ204:CI204)-SUM($EA204:FG204)</f>
        <v>36824</v>
      </c>
      <c r="DP204" s="12">
        <f>SUM($AQ204:CJ204)-SUM($EA204:FH204)</f>
        <v>32824</v>
      </c>
      <c r="DQ204" s="12">
        <f>SUM($AQ204:CK204)-SUM($EA204:FI204)</f>
        <v>28824</v>
      </c>
      <c r="DR204" s="12">
        <f>SUM($AQ204:CL204)-SUM($EA204:FJ204)</f>
        <v>24824</v>
      </c>
      <c r="DS204" s="12">
        <f>SUM($AQ204:CM204)-SUM($EA204:FK204)</f>
        <v>20824</v>
      </c>
      <c r="DT204" s="12">
        <f>SUM($AQ204:CN204)-SUM($EA204:FL204)</f>
        <v>16824</v>
      </c>
      <c r="DU204" s="12">
        <f>SUM($AQ204:CO204)-SUM($EA204:FM204)</f>
        <v>12824</v>
      </c>
      <c r="DV204" s="12">
        <f>SUM($AQ204:CP204)-SUM($EA204:FN204)</f>
        <v>140302</v>
      </c>
      <c r="DW204" s="12">
        <f>SUM($AQ204:CQ204)-SUM($EA204:FO204)</f>
        <v>270222</v>
      </c>
      <c r="DX204" s="13"/>
      <c r="DY204" s="13"/>
      <c r="DZ204" s="13"/>
      <c r="EA204" s="12"/>
      <c r="EB204" s="12"/>
      <c r="EC204" s="12"/>
      <c r="ED204" s="12"/>
      <c r="EE204" s="12"/>
      <c r="EF204" s="12"/>
      <c r="EG204" s="12"/>
      <c r="EH204" s="12">
        <f t="array" ref="EH204">SUMPRODUCT(TRANSPOSE(EH$9:EH$34),$K204:$AJ204)</f>
        <v>14126</v>
      </c>
      <c r="EI204" s="12">
        <f t="array" ref="EI204">SUMPRODUCT(TRANSPOSE(EI$9:EI$34),$K204:$AJ204)</f>
        <v>800</v>
      </c>
      <c r="EJ204" s="12">
        <f t="array" ref="EJ204">SUMPRODUCT(TRANSPOSE(EJ$9:EJ$34),$K204:$AJ204)</f>
        <v>2030</v>
      </c>
      <c r="EK204" s="12">
        <f t="array" ref="EK204">SUMPRODUCT(TRANSPOSE(EK$9:EK$34),$K204:$AJ204)</f>
        <v>2270</v>
      </c>
      <c r="EL204" s="12">
        <f t="array" ref="EL204">SUMPRODUCT(TRANSPOSE(EL$9:EL$34),$K204:$AJ204)</f>
        <v>4030</v>
      </c>
      <c r="EM204" s="12">
        <f t="array" ref="EM204">SUMPRODUCT(TRANSPOSE(EM$9:EM$34),$K204:$AJ204)</f>
        <v>4100</v>
      </c>
      <c r="EN204" s="12">
        <f t="array" ref="EN204">SUMPRODUCT(TRANSPOSE(EN$9:EN$34),$K204:$AJ204)</f>
        <v>4100</v>
      </c>
      <c r="EO204" s="12">
        <f t="array" ref="EO204">SUMPRODUCT(TRANSPOSE(EO$9:EO$34),$K204:$AJ204)</f>
        <v>4000</v>
      </c>
      <c r="EP204" s="12">
        <f t="array" ref="EP204">SUMPRODUCT(TRANSPOSE(EP$9:EP$34),$K204:$AJ204)</f>
        <v>4100</v>
      </c>
      <c r="EQ204" s="12">
        <f t="array" ref="EQ204">SUMPRODUCT(TRANSPOSE(EQ$9:EQ$34),$K204:$AJ204)</f>
        <v>4100</v>
      </c>
      <c r="ER204" s="12">
        <f t="array" ref="ER204">SUMPRODUCT(TRANSPOSE(ER$9:ER$34),$K204:$AJ204)</f>
        <v>4100</v>
      </c>
      <c r="ES204" s="12">
        <f t="array" ref="ES204">SUMPRODUCT(TRANSPOSE(ES$9:ES$34),$K204:$AJ204)</f>
        <v>4100</v>
      </c>
      <c r="ET204" s="12">
        <f t="array" ref="ET204">SUMPRODUCT(TRANSPOSE(ET$9:ET$34),$K204:$AJ204)</f>
        <v>4100</v>
      </c>
      <c r="EU204" s="12">
        <f t="array" ref="EU204">SUMPRODUCT(TRANSPOSE(EU$9:EU$34),$K204:$AJ204)</f>
        <v>4100</v>
      </c>
      <c r="EV204" s="12">
        <f t="array" ref="EV204">SUMPRODUCT(TRANSPOSE(EV$9:EV$34),$K204:$AJ204)</f>
        <v>4100</v>
      </c>
      <c r="EW204" s="12">
        <f t="array" ref="EW204">SUMPRODUCT(TRANSPOSE(EW$9:EW$34),$K204:$AJ204)</f>
        <v>4020</v>
      </c>
      <c r="EX204" s="12">
        <f t="array" ref="EX204">SUMPRODUCT(TRANSPOSE(EX$9:EX$34),$K204:$AJ204)</f>
        <v>4000</v>
      </c>
      <c r="EY204" s="12">
        <f t="array" ref="EY204">SUMPRODUCT(TRANSPOSE(EY$9:EY$34),$K204:$AJ204)</f>
        <v>4000</v>
      </c>
      <c r="EZ204" s="12">
        <f t="array" ref="EZ204">SUMPRODUCT(TRANSPOSE(EZ$9:EZ$34),$K204:$AJ204)</f>
        <v>4000</v>
      </c>
      <c r="FA204" s="12">
        <f t="array" ref="FA204">SUMPRODUCT(TRANSPOSE(FA$9:FA$34),$K204:$AJ204)</f>
        <v>4000</v>
      </c>
      <c r="FB204" s="12">
        <f t="array" ref="FB204">SUMPRODUCT(TRANSPOSE(FB$9:FB$34),$K204:$AJ204)</f>
        <v>4000</v>
      </c>
      <c r="FC204" s="12">
        <f t="array" ref="FC204">SUMPRODUCT(TRANSPOSE(FC$9:FC$34),$K204:$AJ204)</f>
        <v>4000</v>
      </c>
      <c r="FD204" s="12">
        <f t="array" ref="FD204">SUMPRODUCT(TRANSPOSE(FD$9:FD$34),$K204:$AJ204)</f>
        <v>4000</v>
      </c>
      <c r="FE204" s="12">
        <f t="array" ref="FE204">SUMPRODUCT(TRANSPOSE(FE$9:FE$34),$K204:$AJ204)</f>
        <v>4000</v>
      </c>
      <c r="FF204" s="12">
        <f t="array" ref="FF204">SUMPRODUCT(TRANSPOSE(FF$9:FF$34),$K204:$AJ204)</f>
        <v>4000</v>
      </c>
      <c r="FG204" s="12">
        <f t="array" ref="FG204">SUMPRODUCT(TRANSPOSE(FG$9:FG$34),$K204:$AJ204)</f>
        <v>4000</v>
      </c>
      <c r="FH204" s="12">
        <f t="array" ref="FH204">SUMPRODUCT(TRANSPOSE(FH$9:FH$34),$K204:$AJ204)</f>
        <v>4000</v>
      </c>
      <c r="FI204" s="12">
        <f t="array" ref="FI204">SUMPRODUCT(TRANSPOSE(FI$9:FI$34),$K204:$AJ204)</f>
        <v>4000</v>
      </c>
      <c r="FJ204" s="12">
        <f t="array" ref="FJ204">SUMPRODUCT(TRANSPOSE(FJ$9:FJ$34),$K204:$AJ204)</f>
        <v>4000</v>
      </c>
      <c r="FK204" s="12">
        <f t="array" ref="FK204">SUMPRODUCT(TRANSPOSE(FK$9:FK$34),$K204:$AJ204)</f>
        <v>4000</v>
      </c>
      <c r="FL204" s="12">
        <f t="array" ref="FL204">SUMPRODUCT(TRANSPOSE(FL$9:FL$34),$K204:$AJ204)</f>
        <v>4000</v>
      </c>
      <c r="FM204" s="12">
        <f t="array" ref="FM204">SUMPRODUCT(TRANSPOSE(FM$9:FM$34),$K204:$AJ204)</f>
        <v>4000</v>
      </c>
      <c r="FN204" s="12">
        <f t="array" ref="FN204">SUMPRODUCT(TRANSPOSE(FN$9:FN$34),$K204:$AJ204)</f>
        <v>3396</v>
      </c>
      <c r="FO204" s="12">
        <f t="array" ref="FO204">SUMPRODUCT(TRANSPOSE(FO$9:FO$34),$K204:$AJ204)</f>
        <v>154</v>
      </c>
    </row>
    <row r="205" spans="1:171" ht="14.25" x14ac:dyDescent="0.2">
      <c r="A205" s="13">
        <f t="shared" si="10"/>
        <v>170</v>
      </c>
      <c r="B205" s="13" t="s">
        <v>605</v>
      </c>
      <c r="C205" s="25" t="s">
        <v>606</v>
      </c>
      <c r="D205" s="13" t="s">
        <v>67</v>
      </c>
      <c r="E205" s="13">
        <v>400700883</v>
      </c>
      <c r="F205" s="26" t="s">
        <v>607</v>
      </c>
      <c r="G205" s="13" t="s">
        <v>608</v>
      </c>
      <c r="H205" s="13" t="s">
        <v>61</v>
      </c>
      <c r="I205" s="13">
        <v>2</v>
      </c>
      <c r="J205" s="13">
        <v>2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1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/>
      <c r="Z205" s="13">
        <v>1</v>
      </c>
      <c r="AA205" s="13">
        <v>0</v>
      </c>
      <c r="AB205" s="13">
        <v>0</v>
      </c>
      <c r="AC205" s="13">
        <v>0</v>
      </c>
      <c r="AD205" s="13">
        <v>1</v>
      </c>
      <c r="AE205" s="13">
        <v>1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f t="shared" si="11"/>
        <v>3</v>
      </c>
      <c r="AL205" s="23">
        <f t="shared" si="9"/>
        <v>35665</v>
      </c>
      <c r="AM205" s="13"/>
      <c r="AN205" s="13" t="s">
        <v>299</v>
      </c>
      <c r="AO205" s="7" t="s">
        <v>307</v>
      </c>
      <c r="AP205" s="41">
        <v>3.2000000000000002E-3</v>
      </c>
      <c r="AQ205" s="12">
        <v>40000</v>
      </c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13"/>
      <c r="CG205" s="13"/>
      <c r="CH205" s="13"/>
      <c r="CI205" s="12"/>
      <c r="CJ205" s="12"/>
      <c r="CK205" s="12"/>
      <c r="CL205" s="12"/>
      <c r="CM205" s="12"/>
      <c r="CN205" s="12"/>
      <c r="CO205" s="12"/>
      <c r="CP205" s="12">
        <f>SUM($AQ205:BJ205)-SUM($EA205:EH205)</f>
        <v>36891</v>
      </c>
      <c r="CQ205" s="12">
        <f>SUM($AQ205:BK205)-SUM($EA205:EI205)</f>
        <v>36610</v>
      </c>
      <c r="CR205" s="12">
        <f>SUM($AQ205:BL205)-SUM($EA205:EJ205)</f>
        <v>36595</v>
      </c>
      <c r="CS205" s="12">
        <f>SUM($AQ205:BM205)-SUM($EA205:EK205)</f>
        <v>36460</v>
      </c>
      <c r="CT205" s="12">
        <f>SUM($AQ205:BN205)-SUM($EA205:EL205)</f>
        <v>35445</v>
      </c>
      <c r="CU205" s="12">
        <f>SUM($AQ205:BO205)-SUM($EA205:EM205)</f>
        <v>33395</v>
      </c>
      <c r="CV205" s="12">
        <f>SUM($AQ205:BP205)-SUM($EA205:EN205)</f>
        <v>32245</v>
      </c>
      <c r="CW205" s="12">
        <f>SUM($AQ205:BQ205)-SUM($EA205:EO205)</f>
        <v>31245</v>
      </c>
      <c r="CX205" s="12">
        <f>SUM($AQ205:BR205)-SUM($EA205:EP205)</f>
        <v>30195</v>
      </c>
      <c r="CY205" s="12">
        <f>SUM($AQ205:BS205)-SUM($EA205:EQ205)</f>
        <v>29145</v>
      </c>
      <c r="CZ205" s="12">
        <f>SUM($AQ205:BT205)-SUM($EA205:ER205)</f>
        <v>28095</v>
      </c>
      <c r="DA205" s="12">
        <f>SUM($AQ205:BU205)-SUM($EA205:ES205)</f>
        <v>27045</v>
      </c>
      <c r="DB205" s="12">
        <f>SUM($AQ205:BV205)-SUM($EA205:ET205)</f>
        <v>25995</v>
      </c>
      <c r="DC205" s="12">
        <f>SUM($AQ205:BW205)-SUM($EA205:EU205)</f>
        <v>24945</v>
      </c>
      <c r="DD205" s="12">
        <f>SUM($AQ205:BX205)-SUM($EA205:EV205)</f>
        <v>23895</v>
      </c>
      <c r="DE205" s="12">
        <f>SUM($AQ205:BY205)-SUM($EA205:EW205)</f>
        <v>22852</v>
      </c>
      <c r="DF205" s="12">
        <f>SUM($AQ205:BZ205)-SUM($EA205:EX205)</f>
        <v>21852</v>
      </c>
      <c r="DG205" s="12">
        <f>SUM($AQ205:CA205)-SUM($EA205:EY205)</f>
        <v>20852</v>
      </c>
      <c r="DH205" s="12">
        <f>SUM($AQ205:CB205)-SUM($EA205:EZ205)</f>
        <v>19852</v>
      </c>
      <c r="DI205" s="12">
        <f>SUM($AQ205:CC205)-SUM($EA205:FA205)</f>
        <v>18852</v>
      </c>
      <c r="DJ205" s="12">
        <f>SUM($AQ205:CD205)-SUM($EA205:FB205)</f>
        <v>17852</v>
      </c>
      <c r="DK205" s="12">
        <f>SUM($AQ205:CE205)-SUM($EA205:FC205)</f>
        <v>16852</v>
      </c>
      <c r="DL205" s="12">
        <f>SUM($AQ205:CF205)-SUM($EA205:FD205)</f>
        <v>15852</v>
      </c>
      <c r="DM205" s="12">
        <f>SUM($AQ205:CG205)-SUM($EA205:FE205)</f>
        <v>14852</v>
      </c>
      <c r="DN205" s="12">
        <f>SUM($AQ205:CH205)-SUM($EA205:FF205)</f>
        <v>13852</v>
      </c>
      <c r="DO205" s="12">
        <f>SUM($AQ205:CI205)-SUM($EA205:FG205)</f>
        <v>12852</v>
      </c>
      <c r="DP205" s="12">
        <f>SUM($AQ205:CJ205)-SUM($EA205:FH205)</f>
        <v>11852</v>
      </c>
      <c r="DQ205" s="12">
        <f>SUM($AQ205:CK205)-SUM($EA205:FI205)</f>
        <v>10852</v>
      </c>
      <c r="DR205" s="12">
        <f>SUM($AQ205:CL205)-SUM($EA205:FJ205)</f>
        <v>9852</v>
      </c>
      <c r="DS205" s="12">
        <f>SUM($AQ205:CM205)-SUM($EA205:FK205)</f>
        <v>8852</v>
      </c>
      <c r="DT205" s="12">
        <f>SUM($AQ205:CN205)-SUM($EA205:FL205)</f>
        <v>7852</v>
      </c>
      <c r="DU205" s="12">
        <f>SUM($AQ205:CO205)-SUM($EA205:FM205)</f>
        <v>6852</v>
      </c>
      <c r="DV205" s="12">
        <f>SUM($AQ205:CP205)-SUM($EA205:FN205)</f>
        <v>42926</v>
      </c>
      <c r="DW205" s="12">
        <f>SUM($AQ205:CQ205)-SUM($EA205:FO205)</f>
        <v>79536</v>
      </c>
      <c r="DX205" s="13"/>
      <c r="DY205" s="13"/>
      <c r="DZ205" s="13"/>
      <c r="EA205" s="12"/>
      <c r="EB205" s="12"/>
      <c r="EC205" s="12"/>
      <c r="ED205" s="12"/>
      <c r="EE205" s="12"/>
      <c r="EF205" s="12"/>
      <c r="EG205" s="12"/>
      <c r="EH205" s="12">
        <f t="array" ref="EH205">SUMPRODUCT(TRANSPOSE(EH$9:EH$34),$K205:$AJ205)</f>
        <v>3109</v>
      </c>
      <c r="EI205" s="12">
        <f t="array" ref="EI205">SUMPRODUCT(TRANSPOSE(EI$9:EI$34),$K205:$AJ205)</f>
        <v>281</v>
      </c>
      <c r="EJ205" s="12">
        <f t="array" ref="EJ205">SUMPRODUCT(TRANSPOSE(EJ$9:EJ$34),$K205:$AJ205)</f>
        <v>15</v>
      </c>
      <c r="EK205" s="12">
        <f t="array" ref="EK205">SUMPRODUCT(TRANSPOSE(EK$9:EK$34),$K205:$AJ205)</f>
        <v>135</v>
      </c>
      <c r="EL205" s="12">
        <f t="array" ref="EL205">SUMPRODUCT(TRANSPOSE(EL$9:EL$34),$K205:$AJ205)</f>
        <v>1015</v>
      </c>
      <c r="EM205" s="12">
        <f t="array" ref="EM205">SUMPRODUCT(TRANSPOSE(EM$9:EM$34),$K205:$AJ205)</f>
        <v>2050</v>
      </c>
      <c r="EN205" s="12">
        <f t="array" ref="EN205">SUMPRODUCT(TRANSPOSE(EN$9:EN$34),$K205:$AJ205)</f>
        <v>1150</v>
      </c>
      <c r="EO205" s="12">
        <f t="array" ref="EO205">SUMPRODUCT(TRANSPOSE(EO$9:EO$34),$K205:$AJ205)</f>
        <v>1000</v>
      </c>
      <c r="EP205" s="12">
        <f t="array" ref="EP205">SUMPRODUCT(TRANSPOSE(EP$9:EP$34),$K205:$AJ205)</f>
        <v>1050</v>
      </c>
      <c r="EQ205" s="12">
        <f t="array" ref="EQ205">SUMPRODUCT(TRANSPOSE(EQ$9:EQ$34),$K205:$AJ205)</f>
        <v>1050</v>
      </c>
      <c r="ER205" s="12">
        <f t="array" ref="ER205">SUMPRODUCT(TRANSPOSE(ER$9:ER$34),$K205:$AJ205)</f>
        <v>1050</v>
      </c>
      <c r="ES205" s="12">
        <f t="array" ref="ES205">SUMPRODUCT(TRANSPOSE(ES$9:ES$34),$K205:$AJ205)</f>
        <v>1050</v>
      </c>
      <c r="ET205" s="12">
        <f t="array" ref="ET205">SUMPRODUCT(TRANSPOSE(ET$9:ET$34),$K205:$AJ205)</f>
        <v>1050</v>
      </c>
      <c r="EU205" s="12">
        <f t="array" ref="EU205">SUMPRODUCT(TRANSPOSE(EU$9:EU$34),$K205:$AJ205)</f>
        <v>1050</v>
      </c>
      <c r="EV205" s="12">
        <f t="array" ref="EV205">SUMPRODUCT(TRANSPOSE(EV$9:EV$34),$K205:$AJ205)</f>
        <v>1050</v>
      </c>
      <c r="EW205" s="12">
        <f t="array" ref="EW205">SUMPRODUCT(TRANSPOSE(EW$9:EW$34),$K205:$AJ205)</f>
        <v>1043</v>
      </c>
      <c r="EX205" s="12">
        <f t="array" ref="EX205">SUMPRODUCT(TRANSPOSE(EX$9:EX$34),$K205:$AJ205)</f>
        <v>1000</v>
      </c>
      <c r="EY205" s="12">
        <f t="array" ref="EY205">SUMPRODUCT(TRANSPOSE(EY$9:EY$34),$K205:$AJ205)</f>
        <v>1000</v>
      </c>
      <c r="EZ205" s="12">
        <f t="array" ref="EZ205">SUMPRODUCT(TRANSPOSE(EZ$9:EZ$34),$K205:$AJ205)</f>
        <v>1000</v>
      </c>
      <c r="FA205" s="12">
        <f t="array" ref="FA205">SUMPRODUCT(TRANSPOSE(FA$9:FA$34),$K205:$AJ205)</f>
        <v>1000</v>
      </c>
      <c r="FB205" s="12">
        <f t="array" ref="FB205">SUMPRODUCT(TRANSPOSE(FB$9:FB$34),$K205:$AJ205)</f>
        <v>1000</v>
      </c>
      <c r="FC205" s="12">
        <f t="array" ref="FC205">SUMPRODUCT(TRANSPOSE(FC$9:FC$34),$K205:$AJ205)</f>
        <v>1000</v>
      </c>
      <c r="FD205" s="12">
        <f t="array" ref="FD205">SUMPRODUCT(TRANSPOSE(FD$9:FD$34),$K205:$AJ205)</f>
        <v>1000</v>
      </c>
      <c r="FE205" s="12">
        <f t="array" ref="FE205">SUMPRODUCT(TRANSPOSE(FE$9:FE$34),$K205:$AJ205)</f>
        <v>1000</v>
      </c>
      <c r="FF205" s="12">
        <f t="array" ref="FF205">SUMPRODUCT(TRANSPOSE(FF$9:FF$34),$K205:$AJ205)</f>
        <v>1000</v>
      </c>
      <c r="FG205" s="12">
        <f t="array" ref="FG205">SUMPRODUCT(TRANSPOSE(FG$9:FG$34),$K205:$AJ205)</f>
        <v>1000</v>
      </c>
      <c r="FH205" s="12">
        <f t="array" ref="FH205">SUMPRODUCT(TRANSPOSE(FH$9:FH$34),$K205:$AJ205)</f>
        <v>1000</v>
      </c>
      <c r="FI205" s="12">
        <f t="array" ref="FI205">SUMPRODUCT(TRANSPOSE(FI$9:FI$34),$K205:$AJ205)</f>
        <v>1000</v>
      </c>
      <c r="FJ205" s="12">
        <f t="array" ref="FJ205">SUMPRODUCT(TRANSPOSE(FJ$9:FJ$34),$K205:$AJ205)</f>
        <v>1000</v>
      </c>
      <c r="FK205" s="12">
        <f t="array" ref="FK205">SUMPRODUCT(TRANSPOSE(FK$9:FK$34),$K205:$AJ205)</f>
        <v>1000</v>
      </c>
      <c r="FL205" s="12">
        <f t="array" ref="FL205">SUMPRODUCT(TRANSPOSE(FL$9:FL$34),$K205:$AJ205)</f>
        <v>1000</v>
      </c>
      <c r="FM205" s="12">
        <f t="array" ref="FM205">SUMPRODUCT(TRANSPOSE(FM$9:FM$34),$K205:$AJ205)</f>
        <v>1000</v>
      </c>
      <c r="FN205" s="12">
        <f t="array" ref="FN205">SUMPRODUCT(TRANSPOSE(FN$9:FN$34),$K205:$AJ205)</f>
        <v>817</v>
      </c>
      <c r="FO205" s="12">
        <f t="array" ref="FO205">SUMPRODUCT(TRANSPOSE(FO$9:FO$34),$K205:$AJ205)</f>
        <v>0</v>
      </c>
    </row>
    <row r="206" spans="1:171" ht="14.25" x14ac:dyDescent="0.2">
      <c r="A206" s="13">
        <f t="shared" si="10"/>
        <v>171</v>
      </c>
      <c r="B206" s="13" t="s">
        <v>609</v>
      </c>
      <c r="C206" s="25" t="s">
        <v>610</v>
      </c>
      <c r="D206" s="13" t="s">
        <v>67</v>
      </c>
      <c r="E206" s="13">
        <v>401466051</v>
      </c>
      <c r="F206" s="26" t="s">
        <v>611</v>
      </c>
      <c r="G206" s="13" t="s">
        <v>612</v>
      </c>
      <c r="H206" s="13" t="s">
        <v>61</v>
      </c>
      <c r="I206" s="13">
        <v>2</v>
      </c>
      <c r="J206" s="13">
        <v>8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4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/>
      <c r="Z206" s="13">
        <v>4</v>
      </c>
      <c r="AA206" s="13">
        <v>0</v>
      </c>
      <c r="AB206" s="13">
        <v>0</v>
      </c>
      <c r="AC206" s="13">
        <v>0</v>
      </c>
      <c r="AD206" s="13">
        <v>4</v>
      </c>
      <c r="AE206" s="13">
        <v>4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f t="shared" si="11"/>
        <v>12</v>
      </c>
      <c r="AL206" s="23">
        <f t="shared" si="9"/>
        <v>142660</v>
      </c>
      <c r="AM206" s="13"/>
      <c r="AN206" s="13" t="s">
        <v>299</v>
      </c>
      <c r="AO206" s="7" t="s">
        <v>300</v>
      </c>
      <c r="AP206" s="37">
        <v>3.0000000000000001E-3</v>
      </c>
      <c r="AQ206" s="12">
        <v>145120</v>
      </c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13"/>
      <c r="CG206" s="13"/>
      <c r="CH206" s="13"/>
      <c r="CI206" s="12"/>
      <c r="CJ206" s="12"/>
      <c r="CK206" s="12"/>
      <c r="CL206" s="12"/>
      <c r="CM206" s="12"/>
      <c r="CN206" s="12"/>
      <c r="CO206" s="12"/>
      <c r="CP206" s="12">
        <f>SUM($AQ206:BJ206)-SUM($EA206:EH206)</f>
        <v>132684</v>
      </c>
      <c r="CQ206" s="12">
        <f>SUM($AQ206:BK206)-SUM($EA206:EI206)</f>
        <v>131560</v>
      </c>
      <c r="CR206" s="12">
        <f>SUM($AQ206:BL206)-SUM($EA206:EJ206)</f>
        <v>131500</v>
      </c>
      <c r="CS206" s="12">
        <f>SUM($AQ206:BM206)-SUM($EA206:EK206)</f>
        <v>130960</v>
      </c>
      <c r="CT206" s="12">
        <f>SUM($AQ206:BN206)-SUM($EA206:EL206)</f>
        <v>126900</v>
      </c>
      <c r="CU206" s="12">
        <f>SUM($AQ206:BO206)-SUM($EA206:EM206)</f>
        <v>118700</v>
      </c>
      <c r="CV206" s="12">
        <f>SUM($AQ206:BP206)-SUM($EA206:EN206)</f>
        <v>114100</v>
      </c>
      <c r="CW206" s="12">
        <f>SUM($AQ206:BQ206)-SUM($EA206:EO206)</f>
        <v>110100</v>
      </c>
      <c r="CX206" s="12">
        <f>SUM($AQ206:BR206)-SUM($EA206:EP206)</f>
        <v>105900</v>
      </c>
      <c r="CY206" s="12">
        <f>SUM($AQ206:BS206)-SUM($EA206:EQ206)</f>
        <v>101700</v>
      </c>
      <c r="CZ206" s="12">
        <f>SUM($AQ206:BT206)-SUM($EA206:ER206)</f>
        <v>97500</v>
      </c>
      <c r="DA206" s="12">
        <f>SUM($AQ206:BU206)-SUM($EA206:ES206)</f>
        <v>93300</v>
      </c>
      <c r="DB206" s="12">
        <f>SUM($AQ206:BV206)-SUM($EA206:ET206)</f>
        <v>89100</v>
      </c>
      <c r="DC206" s="12">
        <f>SUM($AQ206:BW206)-SUM($EA206:EU206)</f>
        <v>84900</v>
      </c>
      <c r="DD206" s="12">
        <f>SUM($AQ206:BX206)-SUM($EA206:EV206)</f>
        <v>80700</v>
      </c>
      <c r="DE206" s="12">
        <f>SUM($AQ206:BY206)-SUM($EA206:EW206)</f>
        <v>76528</v>
      </c>
      <c r="DF206" s="12">
        <f>SUM($AQ206:BZ206)-SUM($EA206:EX206)</f>
        <v>72528</v>
      </c>
      <c r="DG206" s="12">
        <f>SUM($AQ206:CA206)-SUM($EA206:EY206)</f>
        <v>68528</v>
      </c>
      <c r="DH206" s="12">
        <f>SUM($AQ206:CB206)-SUM($EA206:EZ206)</f>
        <v>64528</v>
      </c>
      <c r="DI206" s="12">
        <f>SUM($AQ206:CC206)-SUM($EA206:FA206)</f>
        <v>60528</v>
      </c>
      <c r="DJ206" s="12">
        <f>SUM($AQ206:CD206)-SUM($EA206:FB206)</f>
        <v>56528</v>
      </c>
      <c r="DK206" s="12">
        <f>SUM($AQ206:CE206)-SUM($EA206:FC206)</f>
        <v>52528</v>
      </c>
      <c r="DL206" s="12">
        <f>SUM($AQ206:CF206)-SUM($EA206:FD206)</f>
        <v>48528</v>
      </c>
      <c r="DM206" s="12">
        <f>SUM($AQ206:CG206)-SUM($EA206:FE206)</f>
        <v>44528</v>
      </c>
      <c r="DN206" s="12">
        <f>SUM($AQ206:CH206)-SUM($EA206:FF206)</f>
        <v>40528</v>
      </c>
      <c r="DO206" s="12">
        <f>SUM($AQ206:CI206)-SUM($EA206:FG206)</f>
        <v>36528</v>
      </c>
      <c r="DP206" s="12">
        <f>SUM($AQ206:CJ206)-SUM($EA206:FH206)</f>
        <v>32528</v>
      </c>
      <c r="DQ206" s="12">
        <f>SUM($AQ206:CK206)-SUM($EA206:FI206)</f>
        <v>28528</v>
      </c>
      <c r="DR206" s="12">
        <f>SUM($AQ206:CL206)-SUM($EA206:FJ206)</f>
        <v>24528</v>
      </c>
      <c r="DS206" s="12">
        <f>SUM($AQ206:CM206)-SUM($EA206:FK206)</f>
        <v>20528</v>
      </c>
      <c r="DT206" s="12">
        <f>SUM($AQ206:CN206)-SUM($EA206:FL206)</f>
        <v>16528</v>
      </c>
      <c r="DU206" s="12">
        <f>SUM($AQ206:CO206)-SUM($EA206:FM206)</f>
        <v>12528</v>
      </c>
      <c r="DV206" s="12">
        <f>SUM($AQ206:CP206)-SUM($EA206:FN206)</f>
        <v>141944</v>
      </c>
      <c r="DW206" s="12">
        <f>SUM($AQ206:CQ206)-SUM($EA206:FO206)</f>
        <v>273504</v>
      </c>
      <c r="DX206" s="13"/>
      <c r="DY206" s="13"/>
      <c r="DZ206" s="13"/>
      <c r="EA206" s="12"/>
      <c r="EB206" s="12"/>
      <c r="EC206" s="12"/>
      <c r="ED206" s="12"/>
      <c r="EE206" s="12"/>
      <c r="EF206" s="12"/>
      <c r="EG206" s="12"/>
      <c r="EH206" s="12">
        <f t="array" ref="EH206">SUMPRODUCT(TRANSPOSE(EH$9:EH$34),$K206:$AJ206)</f>
        <v>12436</v>
      </c>
      <c r="EI206" s="12">
        <f t="array" ref="EI206">SUMPRODUCT(TRANSPOSE(EI$9:EI$34),$K206:$AJ206)</f>
        <v>1124</v>
      </c>
      <c r="EJ206" s="12">
        <f t="array" ref="EJ206">SUMPRODUCT(TRANSPOSE(EJ$9:EJ$34),$K206:$AJ206)</f>
        <v>60</v>
      </c>
      <c r="EK206" s="12">
        <f t="array" ref="EK206">SUMPRODUCT(TRANSPOSE(EK$9:EK$34),$K206:$AJ206)</f>
        <v>540</v>
      </c>
      <c r="EL206" s="12">
        <f t="array" ref="EL206">SUMPRODUCT(TRANSPOSE(EL$9:EL$34),$K206:$AJ206)</f>
        <v>4060</v>
      </c>
      <c r="EM206" s="12">
        <f t="array" ref="EM206">SUMPRODUCT(TRANSPOSE(EM$9:EM$34),$K206:$AJ206)</f>
        <v>8200</v>
      </c>
      <c r="EN206" s="12">
        <f t="array" ref="EN206">SUMPRODUCT(TRANSPOSE(EN$9:EN$34),$K206:$AJ206)</f>
        <v>4600</v>
      </c>
      <c r="EO206" s="12">
        <f t="array" ref="EO206">SUMPRODUCT(TRANSPOSE(EO$9:EO$34),$K206:$AJ206)</f>
        <v>4000</v>
      </c>
      <c r="EP206" s="12">
        <f t="array" ref="EP206">SUMPRODUCT(TRANSPOSE(EP$9:EP$34),$K206:$AJ206)</f>
        <v>4200</v>
      </c>
      <c r="EQ206" s="12">
        <f t="array" ref="EQ206">SUMPRODUCT(TRANSPOSE(EQ$9:EQ$34),$K206:$AJ206)</f>
        <v>4200</v>
      </c>
      <c r="ER206" s="12">
        <f t="array" ref="ER206">SUMPRODUCT(TRANSPOSE(ER$9:ER$34),$K206:$AJ206)</f>
        <v>4200</v>
      </c>
      <c r="ES206" s="12">
        <f t="array" ref="ES206">SUMPRODUCT(TRANSPOSE(ES$9:ES$34),$K206:$AJ206)</f>
        <v>4200</v>
      </c>
      <c r="ET206" s="12">
        <f t="array" ref="ET206">SUMPRODUCT(TRANSPOSE(ET$9:ET$34),$K206:$AJ206)</f>
        <v>4200</v>
      </c>
      <c r="EU206" s="12">
        <f t="array" ref="EU206">SUMPRODUCT(TRANSPOSE(EU$9:EU$34),$K206:$AJ206)</f>
        <v>4200</v>
      </c>
      <c r="EV206" s="12">
        <f t="array" ref="EV206">SUMPRODUCT(TRANSPOSE(EV$9:EV$34),$K206:$AJ206)</f>
        <v>4200</v>
      </c>
      <c r="EW206" s="12">
        <f t="array" ref="EW206">SUMPRODUCT(TRANSPOSE(EW$9:EW$34),$K206:$AJ206)</f>
        <v>4172</v>
      </c>
      <c r="EX206" s="12">
        <f t="array" ref="EX206">SUMPRODUCT(TRANSPOSE(EX$9:EX$34),$K206:$AJ206)</f>
        <v>4000</v>
      </c>
      <c r="EY206" s="12">
        <f t="array" ref="EY206">SUMPRODUCT(TRANSPOSE(EY$9:EY$34),$K206:$AJ206)</f>
        <v>4000</v>
      </c>
      <c r="EZ206" s="12">
        <f t="array" ref="EZ206">SUMPRODUCT(TRANSPOSE(EZ$9:EZ$34),$K206:$AJ206)</f>
        <v>4000</v>
      </c>
      <c r="FA206" s="12">
        <f t="array" ref="FA206">SUMPRODUCT(TRANSPOSE(FA$9:FA$34),$K206:$AJ206)</f>
        <v>4000</v>
      </c>
      <c r="FB206" s="12">
        <f t="array" ref="FB206">SUMPRODUCT(TRANSPOSE(FB$9:FB$34),$K206:$AJ206)</f>
        <v>4000</v>
      </c>
      <c r="FC206" s="12">
        <f t="array" ref="FC206">SUMPRODUCT(TRANSPOSE(FC$9:FC$34),$K206:$AJ206)</f>
        <v>4000</v>
      </c>
      <c r="FD206" s="12">
        <f t="array" ref="FD206">SUMPRODUCT(TRANSPOSE(FD$9:FD$34),$K206:$AJ206)</f>
        <v>4000</v>
      </c>
      <c r="FE206" s="12">
        <f t="array" ref="FE206">SUMPRODUCT(TRANSPOSE(FE$9:FE$34),$K206:$AJ206)</f>
        <v>4000</v>
      </c>
      <c r="FF206" s="12">
        <f t="array" ref="FF206">SUMPRODUCT(TRANSPOSE(FF$9:FF$34),$K206:$AJ206)</f>
        <v>4000</v>
      </c>
      <c r="FG206" s="12">
        <f t="array" ref="FG206">SUMPRODUCT(TRANSPOSE(FG$9:FG$34),$K206:$AJ206)</f>
        <v>4000</v>
      </c>
      <c r="FH206" s="12">
        <f t="array" ref="FH206">SUMPRODUCT(TRANSPOSE(FH$9:FH$34),$K206:$AJ206)</f>
        <v>4000</v>
      </c>
      <c r="FI206" s="12">
        <f t="array" ref="FI206">SUMPRODUCT(TRANSPOSE(FI$9:FI$34),$K206:$AJ206)</f>
        <v>4000</v>
      </c>
      <c r="FJ206" s="12">
        <f t="array" ref="FJ206">SUMPRODUCT(TRANSPOSE(FJ$9:FJ$34),$K206:$AJ206)</f>
        <v>4000</v>
      </c>
      <c r="FK206" s="12">
        <f t="array" ref="FK206">SUMPRODUCT(TRANSPOSE(FK$9:FK$34),$K206:$AJ206)</f>
        <v>4000</v>
      </c>
      <c r="FL206" s="12">
        <f t="array" ref="FL206">SUMPRODUCT(TRANSPOSE(FL$9:FL$34),$K206:$AJ206)</f>
        <v>4000</v>
      </c>
      <c r="FM206" s="12">
        <f t="array" ref="FM206">SUMPRODUCT(TRANSPOSE(FM$9:FM$34),$K206:$AJ206)</f>
        <v>4000</v>
      </c>
      <c r="FN206" s="12">
        <f t="array" ref="FN206">SUMPRODUCT(TRANSPOSE(FN$9:FN$34),$K206:$AJ206)</f>
        <v>3268</v>
      </c>
      <c r="FO206" s="12">
        <f t="array" ref="FO206">SUMPRODUCT(TRANSPOSE(FO$9:FO$34),$K206:$AJ206)</f>
        <v>0</v>
      </c>
    </row>
    <row r="207" spans="1:171" ht="14.25" x14ac:dyDescent="0.2">
      <c r="A207" s="13">
        <f t="shared" si="10"/>
        <v>172</v>
      </c>
      <c r="B207" s="13" t="s">
        <v>613</v>
      </c>
      <c r="C207" s="25" t="s">
        <v>614</v>
      </c>
      <c r="D207" s="13" t="s">
        <v>67</v>
      </c>
      <c r="E207" s="13">
        <v>401225496</v>
      </c>
      <c r="F207" s="26" t="s">
        <v>615</v>
      </c>
      <c r="G207" s="13"/>
      <c r="H207" s="13" t="s">
        <v>61</v>
      </c>
      <c r="I207" s="13">
        <v>2</v>
      </c>
      <c r="J207" s="13">
        <v>2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1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/>
      <c r="Z207" s="13">
        <v>1</v>
      </c>
      <c r="AA207" s="13">
        <v>0</v>
      </c>
      <c r="AB207" s="13">
        <v>0</v>
      </c>
      <c r="AC207" s="13">
        <v>0</v>
      </c>
      <c r="AD207" s="13">
        <v>1</v>
      </c>
      <c r="AE207" s="13">
        <v>1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f t="shared" si="11"/>
        <v>3</v>
      </c>
      <c r="AL207" s="23">
        <f t="shared" si="9"/>
        <v>35665</v>
      </c>
      <c r="AM207" s="13"/>
      <c r="AN207" s="13" t="s">
        <v>299</v>
      </c>
      <c r="AO207" s="7" t="s">
        <v>307</v>
      </c>
      <c r="AP207" s="38">
        <v>3.0000000000000001E-3</v>
      </c>
      <c r="AQ207" s="12">
        <v>40000</v>
      </c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13"/>
      <c r="CG207" s="13"/>
      <c r="CH207" s="13"/>
      <c r="CI207" s="12"/>
      <c r="CJ207" s="12"/>
      <c r="CK207" s="12"/>
      <c r="CL207" s="12"/>
      <c r="CM207" s="12"/>
      <c r="CN207" s="12"/>
      <c r="CO207" s="12"/>
      <c r="CP207" s="12">
        <f>SUM($AQ207:BJ207)-SUM($EA207:EH207)</f>
        <v>36891</v>
      </c>
      <c r="CQ207" s="12">
        <f>SUM($AQ207:BK207)-SUM($EA207:EI207)</f>
        <v>36610</v>
      </c>
      <c r="CR207" s="12">
        <f>SUM($AQ207:BL207)-SUM($EA207:EJ207)</f>
        <v>36595</v>
      </c>
      <c r="CS207" s="12">
        <f>SUM($AQ207:BM207)-SUM($EA207:EK207)</f>
        <v>36460</v>
      </c>
      <c r="CT207" s="12">
        <f>SUM($AQ207:BN207)-SUM($EA207:EL207)</f>
        <v>35445</v>
      </c>
      <c r="CU207" s="12">
        <f>SUM($AQ207:BO207)-SUM($EA207:EM207)</f>
        <v>33395</v>
      </c>
      <c r="CV207" s="12">
        <f>SUM($AQ207:BP207)-SUM($EA207:EN207)</f>
        <v>32245</v>
      </c>
      <c r="CW207" s="12">
        <f>SUM($AQ207:BQ207)-SUM($EA207:EO207)</f>
        <v>31245</v>
      </c>
      <c r="CX207" s="12">
        <f>SUM($AQ207:BR207)-SUM($EA207:EP207)</f>
        <v>30195</v>
      </c>
      <c r="CY207" s="12">
        <f>SUM($AQ207:BS207)-SUM($EA207:EQ207)</f>
        <v>29145</v>
      </c>
      <c r="CZ207" s="12">
        <f>SUM($AQ207:BT207)-SUM($EA207:ER207)</f>
        <v>28095</v>
      </c>
      <c r="DA207" s="12">
        <f>SUM($AQ207:BU207)-SUM($EA207:ES207)</f>
        <v>27045</v>
      </c>
      <c r="DB207" s="12">
        <f>SUM($AQ207:BV207)-SUM($EA207:ET207)</f>
        <v>25995</v>
      </c>
      <c r="DC207" s="12">
        <f>SUM($AQ207:BW207)-SUM($EA207:EU207)</f>
        <v>24945</v>
      </c>
      <c r="DD207" s="12">
        <f>SUM($AQ207:BX207)-SUM($EA207:EV207)</f>
        <v>23895</v>
      </c>
      <c r="DE207" s="12">
        <f>SUM($AQ207:BY207)-SUM($EA207:EW207)</f>
        <v>22852</v>
      </c>
      <c r="DF207" s="12">
        <f>SUM($AQ207:BZ207)-SUM($EA207:EX207)</f>
        <v>21852</v>
      </c>
      <c r="DG207" s="12">
        <f>SUM($AQ207:CA207)-SUM($EA207:EY207)</f>
        <v>20852</v>
      </c>
      <c r="DH207" s="12">
        <f>SUM($AQ207:CB207)-SUM($EA207:EZ207)</f>
        <v>19852</v>
      </c>
      <c r="DI207" s="12">
        <f>SUM($AQ207:CC207)-SUM($EA207:FA207)</f>
        <v>18852</v>
      </c>
      <c r="DJ207" s="12">
        <f>SUM($AQ207:CD207)-SUM($EA207:FB207)</f>
        <v>17852</v>
      </c>
      <c r="DK207" s="12">
        <f>SUM($AQ207:CE207)-SUM($EA207:FC207)</f>
        <v>16852</v>
      </c>
      <c r="DL207" s="12">
        <f>SUM($AQ207:CF207)-SUM($EA207:FD207)</f>
        <v>15852</v>
      </c>
      <c r="DM207" s="12">
        <f>SUM($AQ207:CG207)-SUM($EA207:FE207)</f>
        <v>14852</v>
      </c>
      <c r="DN207" s="12">
        <f>SUM($AQ207:CH207)-SUM($EA207:FF207)</f>
        <v>13852</v>
      </c>
      <c r="DO207" s="12">
        <f>SUM($AQ207:CI207)-SUM($EA207:FG207)</f>
        <v>12852</v>
      </c>
      <c r="DP207" s="12">
        <f>SUM($AQ207:CJ207)-SUM($EA207:FH207)</f>
        <v>11852</v>
      </c>
      <c r="DQ207" s="12">
        <f>SUM($AQ207:CK207)-SUM($EA207:FI207)</f>
        <v>10852</v>
      </c>
      <c r="DR207" s="12">
        <f>SUM($AQ207:CL207)-SUM($EA207:FJ207)</f>
        <v>9852</v>
      </c>
      <c r="DS207" s="12">
        <f>SUM($AQ207:CM207)-SUM($EA207:FK207)</f>
        <v>8852</v>
      </c>
      <c r="DT207" s="12">
        <f>SUM($AQ207:CN207)-SUM($EA207:FL207)</f>
        <v>7852</v>
      </c>
      <c r="DU207" s="12">
        <f>SUM($AQ207:CO207)-SUM($EA207:FM207)</f>
        <v>6852</v>
      </c>
      <c r="DV207" s="12">
        <f>SUM($AQ207:CP207)-SUM($EA207:FN207)</f>
        <v>42926</v>
      </c>
      <c r="DW207" s="12">
        <f>SUM($AQ207:CQ207)-SUM($EA207:FO207)</f>
        <v>79536</v>
      </c>
      <c r="DX207" s="13"/>
      <c r="DY207" s="13"/>
      <c r="DZ207" s="13"/>
      <c r="EA207" s="12"/>
      <c r="EB207" s="12"/>
      <c r="EC207" s="12"/>
      <c r="ED207" s="12"/>
      <c r="EE207" s="12"/>
      <c r="EF207" s="12"/>
      <c r="EG207" s="12"/>
      <c r="EH207" s="12">
        <f t="array" ref="EH207">SUMPRODUCT(TRANSPOSE(EH$9:EH$34),$K207:$AJ207)</f>
        <v>3109</v>
      </c>
      <c r="EI207" s="12">
        <f t="array" ref="EI207">SUMPRODUCT(TRANSPOSE(EI$9:EI$34),$K207:$AJ207)</f>
        <v>281</v>
      </c>
      <c r="EJ207" s="12">
        <f t="array" ref="EJ207">SUMPRODUCT(TRANSPOSE(EJ$9:EJ$34),$K207:$AJ207)</f>
        <v>15</v>
      </c>
      <c r="EK207" s="12">
        <f t="array" ref="EK207">SUMPRODUCT(TRANSPOSE(EK$9:EK$34),$K207:$AJ207)</f>
        <v>135</v>
      </c>
      <c r="EL207" s="12">
        <f t="array" ref="EL207">SUMPRODUCT(TRANSPOSE(EL$9:EL$34),$K207:$AJ207)</f>
        <v>1015</v>
      </c>
      <c r="EM207" s="12">
        <f t="array" ref="EM207">SUMPRODUCT(TRANSPOSE(EM$9:EM$34),$K207:$AJ207)</f>
        <v>2050</v>
      </c>
      <c r="EN207" s="12">
        <f t="array" ref="EN207">SUMPRODUCT(TRANSPOSE(EN$9:EN$34),$K207:$AJ207)</f>
        <v>1150</v>
      </c>
      <c r="EO207" s="12">
        <f t="array" ref="EO207">SUMPRODUCT(TRANSPOSE(EO$9:EO$34),$K207:$AJ207)</f>
        <v>1000</v>
      </c>
      <c r="EP207" s="12">
        <f t="array" ref="EP207">SUMPRODUCT(TRANSPOSE(EP$9:EP$34),$K207:$AJ207)</f>
        <v>1050</v>
      </c>
      <c r="EQ207" s="12">
        <f t="array" ref="EQ207">SUMPRODUCT(TRANSPOSE(EQ$9:EQ$34),$K207:$AJ207)</f>
        <v>1050</v>
      </c>
      <c r="ER207" s="12">
        <f t="array" ref="ER207">SUMPRODUCT(TRANSPOSE(ER$9:ER$34),$K207:$AJ207)</f>
        <v>1050</v>
      </c>
      <c r="ES207" s="12">
        <f t="array" ref="ES207">SUMPRODUCT(TRANSPOSE(ES$9:ES$34),$K207:$AJ207)</f>
        <v>1050</v>
      </c>
      <c r="ET207" s="12">
        <f t="array" ref="ET207">SUMPRODUCT(TRANSPOSE(ET$9:ET$34),$K207:$AJ207)</f>
        <v>1050</v>
      </c>
      <c r="EU207" s="12">
        <f t="array" ref="EU207">SUMPRODUCT(TRANSPOSE(EU$9:EU$34),$K207:$AJ207)</f>
        <v>1050</v>
      </c>
      <c r="EV207" s="12">
        <f t="array" ref="EV207">SUMPRODUCT(TRANSPOSE(EV$9:EV$34),$K207:$AJ207)</f>
        <v>1050</v>
      </c>
      <c r="EW207" s="12">
        <f t="array" ref="EW207">SUMPRODUCT(TRANSPOSE(EW$9:EW$34),$K207:$AJ207)</f>
        <v>1043</v>
      </c>
      <c r="EX207" s="12">
        <f t="array" ref="EX207">SUMPRODUCT(TRANSPOSE(EX$9:EX$34),$K207:$AJ207)</f>
        <v>1000</v>
      </c>
      <c r="EY207" s="12">
        <f t="array" ref="EY207">SUMPRODUCT(TRANSPOSE(EY$9:EY$34),$K207:$AJ207)</f>
        <v>1000</v>
      </c>
      <c r="EZ207" s="12">
        <f t="array" ref="EZ207">SUMPRODUCT(TRANSPOSE(EZ$9:EZ$34),$K207:$AJ207)</f>
        <v>1000</v>
      </c>
      <c r="FA207" s="12">
        <f t="array" ref="FA207">SUMPRODUCT(TRANSPOSE(FA$9:FA$34),$K207:$AJ207)</f>
        <v>1000</v>
      </c>
      <c r="FB207" s="12">
        <f t="array" ref="FB207">SUMPRODUCT(TRANSPOSE(FB$9:FB$34),$K207:$AJ207)</f>
        <v>1000</v>
      </c>
      <c r="FC207" s="12">
        <f t="array" ref="FC207">SUMPRODUCT(TRANSPOSE(FC$9:FC$34),$K207:$AJ207)</f>
        <v>1000</v>
      </c>
      <c r="FD207" s="12">
        <f t="array" ref="FD207">SUMPRODUCT(TRANSPOSE(FD$9:FD$34),$K207:$AJ207)</f>
        <v>1000</v>
      </c>
      <c r="FE207" s="12">
        <f t="array" ref="FE207">SUMPRODUCT(TRANSPOSE(FE$9:FE$34),$K207:$AJ207)</f>
        <v>1000</v>
      </c>
      <c r="FF207" s="12">
        <f t="array" ref="FF207">SUMPRODUCT(TRANSPOSE(FF$9:FF$34),$K207:$AJ207)</f>
        <v>1000</v>
      </c>
      <c r="FG207" s="12">
        <f t="array" ref="FG207">SUMPRODUCT(TRANSPOSE(FG$9:FG$34),$K207:$AJ207)</f>
        <v>1000</v>
      </c>
      <c r="FH207" s="12">
        <f t="array" ref="FH207">SUMPRODUCT(TRANSPOSE(FH$9:FH$34),$K207:$AJ207)</f>
        <v>1000</v>
      </c>
      <c r="FI207" s="12">
        <f t="array" ref="FI207">SUMPRODUCT(TRANSPOSE(FI$9:FI$34),$K207:$AJ207)</f>
        <v>1000</v>
      </c>
      <c r="FJ207" s="12">
        <f t="array" ref="FJ207">SUMPRODUCT(TRANSPOSE(FJ$9:FJ$34),$K207:$AJ207)</f>
        <v>1000</v>
      </c>
      <c r="FK207" s="12">
        <f t="array" ref="FK207">SUMPRODUCT(TRANSPOSE(FK$9:FK$34),$K207:$AJ207)</f>
        <v>1000</v>
      </c>
      <c r="FL207" s="12">
        <f t="array" ref="FL207">SUMPRODUCT(TRANSPOSE(FL$9:FL$34),$K207:$AJ207)</f>
        <v>1000</v>
      </c>
      <c r="FM207" s="12">
        <f t="array" ref="FM207">SUMPRODUCT(TRANSPOSE(FM$9:FM$34),$K207:$AJ207)</f>
        <v>1000</v>
      </c>
      <c r="FN207" s="12">
        <f t="array" ref="FN207">SUMPRODUCT(TRANSPOSE(FN$9:FN$34),$K207:$AJ207)</f>
        <v>817</v>
      </c>
      <c r="FO207" s="12">
        <f t="array" ref="FO207">SUMPRODUCT(TRANSPOSE(FO$9:FO$34),$K207:$AJ207)</f>
        <v>0</v>
      </c>
    </row>
    <row r="208" spans="1:171" ht="14.25" x14ac:dyDescent="0.2">
      <c r="A208" s="13">
        <f t="shared" si="10"/>
        <v>173</v>
      </c>
      <c r="B208" s="13" t="s">
        <v>616</v>
      </c>
      <c r="C208" s="25" t="s">
        <v>617</v>
      </c>
      <c r="D208" s="13" t="s">
        <v>67</v>
      </c>
      <c r="E208" s="13">
        <v>400931576</v>
      </c>
      <c r="F208" s="26" t="s">
        <v>618</v>
      </c>
      <c r="G208" s="13" t="s">
        <v>619</v>
      </c>
      <c r="H208" s="13" t="s">
        <v>61</v>
      </c>
      <c r="I208" s="13">
        <v>2</v>
      </c>
      <c r="J208" s="13">
        <v>10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5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/>
      <c r="Z208" s="13">
        <v>5</v>
      </c>
      <c r="AA208" s="13">
        <v>0</v>
      </c>
      <c r="AB208" s="13">
        <v>0</v>
      </c>
      <c r="AC208" s="13">
        <v>0</v>
      </c>
      <c r="AD208" s="13">
        <v>5</v>
      </c>
      <c r="AE208" s="13">
        <v>5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f t="shared" si="11"/>
        <v>15</v>
      </c>
      <c r="AL208" s="23">
        <f t="shared" si="9"/>
        <v>178325</v>
      </c>
      <c r="AM208" s="13"/>
      <c r="AN208" s="13" t="s">
        <v>299</v>
      </c>
      <c r="AO208" s="7" t="s">
        <v>300</v>
      </c>
      <c r="AP208" s="38">
        <v>1.1999999999999999E-3</v>
      </c>
      <c r="AQ208" s="12">
        <v>180000</v>
      </c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13"/>
      <c r="CG208" s="13"/>
      <c r="CH208" s="13"/>
      <c r="CI208" s="12"/>
      <c r="CJ208" s="12"/>
      <c r="CK208" s="12"/>
      <c r="CL208" s="12"/>
      <c r="CM208" s="12"/>
      <c r="CN208" s="12"/>
      <c r="CO208" s="12"/>
      <c r="CP208" s="12">
        <f>SUM($AQ208:BJ208)-SUM($EA208:EH208)</f>
        <v>164455</v>
      </c>
      <c r="CQ208" s="12">
        <f>SUM($AQ208:BK208)-SUM($EA208:EI208)</f>
        <v>163050</v>
      </c>
      <c r="CR208" s="12">
        <f>SUM($AQ208:BL208)-SUM($EA208:EJ208)</f>
        <v>162975</v>
      </c>
      <c r="CS208" s="12">
        <f>SUM($AQ208:BM208)-SUM($EA208:EK208)</f>
        <v>162300</v>
      </c>
      <c r="CT208" s="12">
        <f>SUM($AQ208:BN208)-SUM($EA208:EL208)</f>
        <v>157225</v>
      </c>
      <c r="CU208" s="12">
        <f>SUM($AQ208:BO208)-SUM($EA208:EM208)</f>
        <v>146975</v>
      </c>
      <c r="CV208" s="12">
        <f>SUM($AQ208:BP208)-SUM($EA208:EN208)</f>
        <v>141225</v>
      </c>
      <c r="CW208" s="12">
        <f>SUM($AQ208:BQ208)-SUM($EA208:EO208)</f>
        <v>136225</v>
      </c>
      <c r="CX208" s="12">
        <f>SUM($AQ208:BR208)-SUM($EA208:EP208)</f>
        <v>130975</v>
      </c>
      <c r="CY208" s="12">
        <f>SUM($AQ208:BS208)-SUM($EA208:EQ208)</f>
        <v>125725</v>
      </c>
      <c r="CZ208" s="12">
        <f>SUM($AQ208:BT208)-SUM($EA208:ER208)</f>
        <v>120475</v>
      </c>
      <c r="DA208" s="12">
        <f>SUM($AQ208:BU208)-SUM($EA208:ES208)</f>
        <v>115225</v>
      </c>
      <c r="DB208" s="12">
        <f>SUM($AQ208:BV208)-SUM($EA208:ET208)</f>
        <v>109975</v>
      </c>
      <c r="DC208" s="12">
        <f>SUM($AQ208:BW208)-SUM($EA208:EU208)</f>
        <v>104725</v>
      </c>
      <c r="DD208" s="12">
        <f>SUM($AQ208:BX208)-SUM($EA208:EV208)</f>
        <v>99475</v>
      </c>
      <c r="DE208" s="12">
        <f>SUM($AQ208:BY208)-SUM($EA208:EW208)</f>
        <v>94260</v>
      </c>
      <c r="DF208" s="12">
        <f>SUM($AQ208:BZ208)-SUM($EA208:EX208)</f>
        <v>89260</v>
      </c>
      <c r="DG208" s="12">
        <f>SUM($AQ208:CA208)-SUM($EA208:EY208)</f>
        <v>84260</v>
      </c>
      <c r="DH208" s="12">
        <f>SUM($AQ208:CB208)-SUM($EA208:EZ208)</f>
        <v>79260</v>
      </c>
      <c r="DI208" s="12">
        <f>SUM($AQ208:CC208)-SUM($EA208:FA208)</f>
        <v>74260</v>
      </c>
      <c r="DJ208" s="12">
        <f>SUM($AQ208:CD208)-SUM($EA208:FB208)</f>
        <v>69260</v>
      </c>
      <c r="DK208" s="12">
        <f>SUM($AQ208:CE208)-SUM($EA208:FC208)</f>
        <v>64260</v>
      </c>
      <c r="DL208" s="12">
        <f>SUM($AQ208:CF208)-SUM($EA208:FD208)</f>
        <v>59260</v>
      </c>
      <c r="DM208" s="12">
        <f>SUM($AQ208:CG208)-SUM($EA208:FE208)</f>
        <v>54260</v>
      </c>
      <c r="DN208" s="12">
        <f>SUM($AQ208:CH208)-SUM($EA208:FF208)</f>
        <v>49260</v>
      </c>
      <c r="DO208" s="12">
        <f>SUM($AQ208:CI208)-SUM($EA208:FG208)</f>
        <v>44260</v>
      </c>
      <c r="DP208" s="12">
        <f>SUM($AQ208:CJ208)-SUM($EA208:FH208)</f>
        <v>39260</v>
      </c>
      <c r="DQ208" s="12">
        <f>SUM($AQ208:CK208)-SUM($EA208:FI208)</f>
        <v>34260</v>
      </c>
      <c r="DR208" s="12">
        <f>SUM($AQ208:CL208)-SUM($EA208:FJ208)</f>
        <v>29260</v>
      </c>
      <c r="DS208" s="12">
        <f>SUM($AQ208:CM208)-SUM($EA208:FK208)</f>
        <v>24260</v>
      </c>
      <c r="DT208" s="12">
        <f>SUM($AQ208:CN208)-SUM($EA208:FL208)</f>
        <v>19260</v>
      </c>
      <c r="DU208" s="12">
        <f>SUM($AQ208:CO208)-SUM($EA208:FM208)</f>
        <v>14260</v>
      </c>
      <c r="DV208" s="12">
        <f>SUM($AQ208:CP208)-SUM($EA208:FN208)</f>
        <v>174630</v>
      </c>
      <c r="DW208" s="12">
        <f>SUM($AQ208:CQ208)-SUM($EA208:FO208)</f>
        <v>337680</v>
      </c>
      <c r="DX208" s="13"/>
      <c r="DY208" s="13"/>
      <c r="DZ208" s="13"/>
      <c r="EA208" s="12"/>
      <c r="EB208" s="12"/>
      <c r="EC208" s="12"/>
      <c r="ED208" s="12"/>
      <c r="EE208" s="12"/>
      <c r="EF208" s="12"/>
      <c r="EG208" s="12"/>
      <c r="EH208" s="12">
        <f t="array" ref="EH208">SUMPRODUCT(TRANSPOSE(EH$9:EH$34),$K208:$AJ208)</f>
        <v>15545</v>
      </c>
      <c r="EI208" s="12">
        <f t="array" ref="EI208">SUMPRODUCT(TRANSPOSE(EI$9:EI$34),$K208:$AJ208)</f>
        <v>1405</v>
      </c>
      <c r="EJ208" s="12">
        <f t="array" ref="EJ208">SUMPRODUCT(TRANSPOSE(EJ$9:EJ$34),$K208:$AJ208)</f>
        <v>75</v>
      </c>
      <c r="EK208" s="12">
        <f t="array" ref="EK208">SUMPRODUCT(TRANSPOSE(EK$9:EK$34),$K208:$AJ208)</f>
        <v>675</v>
      </c>
      <c r="EL208" s="12">
        <f t="array" ref="EL208">SUMPRODUCT(TRANSPOSE(EL$9:EL$34),$K208:$AJ208)</f>
        <v>5075</v>
      </c>
      <c r="EM208" s="12">
        <f t="array" ref="EM208">SUMPRODUCT(TRANSPOSE(EM$9:EM$34),$K208:$AJ208)</f>
        <v>10250</v>
      </c>
      <c r="EN208" s="12">
        <f t="array" ref="EN208">SUMPRODUCT(TRANSPOSE(EN$9:EN$34),$K208:$AJ208)</f>
        <v>5750</v>
      </c>
      <c r="EO208" s="12">
        <f t="array" ref="EO208">SUMPRODUCT(TRANSPOSE(EO$9:EO$34),$K208:$AJ208)</f>
        <v>5000</v>
      </c>
      <c r="EP208" s="12">
        <f t="array" ref="EP208">SUMPRODUCT(TRANSPOSE(EP$9:EP$34),$K208:$AJ208)</f>
        <v>5250</v>
      </c>
      <c r="EQ208" s="12">
        <f t="array" ref="EQ208">SUMPRODUCT(TRANSPOSE(EQ$9:EQ$34),$K208:$AJ208)</f>
        <v>5250</v>
      </c>
      <c r="ER208" s="12">
        <f t="array" ref="ER208">SUMPRODUCT(TRANSPOSE(ER$9:ER$34),$K208:$AJ208)</f>
        <v>5250</v>
      </c>
      <c r="ES208" s="12">
        <f t="array" ref="ES208">SUMPRODUCT(TRANSPOSE(ES$9:ES$34),$K208:$AJ208)</f>
        <v>5250</v>
      </c>
      <c r="ET208" s="12">
        <f t="array" ref="ET208">SUMPRODUCT(TRANSPOSE(ET$9:ET$34),$K208:$AJ208)</f>
        <v>5250</v>
      </c>
      <c r="EU208" s="12">
        <f t="array" ref="EU208">SUMPRODUCT(TRANSPOSE(EU$9:EU$34),$K208:$AJ208)</f>
        <v>5250</v>
      </c>
      <c r="EV208" s="12">
        <f t="array" ref="EV208">SUMPRODUCT(TRANSPOSE(EV$9:EV$34),$K208:$AJ208)</f>
        <v>5250</v>
      </c>
      <c r="EW208" s="12">
        <f t="array" ref="EW208">SUMPRODUCT(TRANSPOSE(EW$9:EW$34),$K208:$AJ208)</f>
        <v>5215</v>
      </c>
      <c r="EX208" s="12">
        <f t="array" ref="EX208">SUMPRODUCT(TRANSPOSE(EX$9:EX$34),$K208:$AJ208)</f>
        <v>5000</v>
      </c>
      <c r="EY208" s="12">
        <f t="array" ref="EY208">SUMPRODUCT(TRANSPOSE(EY$9:EY$34),$K208:$AJ208)</f>
        <v>5000</v>
      </c>
      <c r="EZ208" s="12">
        <f t="array" ref="EZ208">SUMPRODUCT(TRANSPOSE(EZ$9:EZ$34),$K208:$AJ208)</f>
        <v>5000</v>
      </c>
      <c r="FA208" s="12">
        <f t="array" ref="FA208">SUMPRODUCT(TRANSPOSE(FA$9:FA$34),$K208:$AJ208)</f>
        <v>5000</v>
      </c>
      <c r="FB208" s="12">
        <f t="array" ref="FB208">SUMPRODUCT(TRANSPOSE(FB$9:FB$34),$K208:$AJ208)</f>
        <v>5000</v>
      </c>
      <c r="FC208" s="12">
        <f t="array" ref="FC208">SUMPRODUCT(TRANSPOSE(FC$9:FC$34),$K208:$AJ208)</f>
        <v>5000</v>
      </c>
      <c r="FD208" s="12">
        <f t="array" ref="FD208">SUMPRODUCT(TRANSPOSE(FD$9:FD$34),$K208:$AJ208)</f>
        <v>5000</v>
      </c>
      <c r="FE208" s="12">
        <f t="array" ref="FE208">SUMPRODUCT(TRANSPOSE(FE$9:FE$34),$K208:$AJ208)</f>
        <v>5000</v>
      </c>
      <c r="FF208" s="12">
        <f t="array" ref="FF208">SUMPRODUCT(TRANSPOSE(FF$9:FF$34),$K208:$AJ208)</f>
        <v>5000</v>
      </c>
      <c r="FG208" s="12">
        <f t="array" ref="FG208">SUMPRODUCT(TRANSPOSE(FG$9:FG$34),$K208:$AJ208)</f>
        <v>5000</v>
      </c>
      <c r="FH208" s="12">
        <f t="array" ref="FH208">SUMPRODUCT(TRANSPOSE(FH$9:FH$34),$K208:$AJ208)</f>
        <v>5000</v>
      </c>
      <c r="FI208" s="12">
        <f t="array" ref="FI208">SUMPRODUCT(TRANSPOSE(FI$9:FI$34),$K208:$AJ208)</f>
        <v>5000</v>
      </c>
      <c r="FJ208" s="12">
        <f t="array" ref="FJ208">SUMPRODUCT(TRANSPOSE(FJ$9:FJ$34),$K208:$AJ208)</f>
        <v>5000</v>
      </c>
      <c r="FK208" s="12">
        <f t="array" ref="FK208">SUMPRODUCT(TRANSPOSE(FK$9:FK$34),$K208:$AJ208)</f>
        <v>5000</v>
      </c>
      <c r="FL208" s="12">
        <f t="array" ref="FL208">SUMPRODUCT(TRANSPOSE(FL$9:FL$34),$K208:$AJ208)</f>
        <v>5000</v>
      </c>
      <c r="FM208" s="12">
        <f t="array" ref="FM208">SUMPRODUCT(TRANSPOSE(FM$9:FM$34),$K208:$AJ208)</f>
        <v>5000</v>
      </c>
      <c r="FN208" s="12">
        <f t="array" ref="FN208">SUMPRODUCT(TRANSPOSE(FN$9:FN$34),$K208:$AJ208)</f>
        <v>4085</v>
      </c>
      <c r="FO208" s="12">
        <f t="array" ref="FO208">SUMPRODUCT(TRANSPOSE(FO$9:FO$34),$K208:$AJ208)</f>
        <v>0</v>
      </c>
    </row>
    <row r="209" spans="1:171" ht="14.25" x14ac:dyDescent="0.2">
      <c r="A209" s="13">
        <f t="shared" si="10"/>
        <v>174</v>
      </c>
      <c r="B209" s="13" t="s">
        <v>620</v>
      </c>
      <c r="C209" s="25" t="s">
        <v>621</v>
      </c>
      <c r="D209" s="13" t="s">
        <v>67</v>
      </c>
      <c r="E209" s="13">
        <v>402515066</v>
      </c>
      <c r="F209" s="26" t="s">
        <v>622</v>
      </c>
      <c r="G209" s="13" t="s">
        <v>623</v>
      </c>
      <c r="H209" s="13" t="s">
        <v>61</v>
      </c>
      <c r="I209" s="13">
        <v>2</v>
      </c>
      <c r="J209" s="13">
        <v>12</v>
      </c>
      <c r="K209" s="13">
        <v>0</v>
      </c>
      <c r="L209" s="13">
        <v>0</v>
      </c>
      <c r="M209" s="13">
        <v>0</v>
      </c>
      <c r="N209" s="13">
        <v>0</v>
      </c>
      <c r="O209" s="13">
        <v>4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4</v>
      </c>
      <c r="Y209" s="13"/>
      <c r="Z209" s="13"/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4</v>
      </c>
      <c r="AK209" s="13">
        <f t="shared" si="11"/>
        <v>8</v>
      </c>
      <c r="AL209" s="23">
        <f t="shared" si="9"/>
        <v>283452</v>
      </c>
      <c r="AM209" s="13"/>
      <c r="AN209" s="13" t="s">
        <v>299</v>
      </c>
      <c r="AO209" s="7" t="s">
        <v>307</v>
      </c>
      <c r="AP209" s="41">
        <v>2.2000000000000001E-3</v>
      </c>
      <c r="AQ209" s="12">
        <v>285000</v>
      </c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13"/>
      <c r="CG209" s="13"/>
      <c r="CH209" s="13"/>
      <c r="CI209" s="12"/>
      <c r="CJ209" s="12"/>
      <c r="CK209" s="12"/>
      <c r="CL209" s="12"/>
      <c r="CM209" s="12"/>
      <c r="CN209" s="12"/>
      <c r="CO209" s="12"/>
      <c r="CP209" s="12">
        <f>SUM($AQ209:BJ209)-SUM($EA209:EH209)</f>
        <v>256748</v>
      </c>
      <c r="CQ209" s="12">
        <f>SUM($AQ209:BK209)-SUM($EA209:EI209)</f>
        <v>255148</v>
      </c>
      <c r="CR209" s="12">
        <f>SUM($AQ209:BL209)-SUM($EA209:EJ209)</f>
        <v>251088</v>
      </c>
      <c r="CS209" s="12">
        <f>SUM($AQ209:BM209)-SUM($EA209:EK209)</f>
        <v>246548</v>
      </c>
      <c r="CT209" s="12">
        <f>SUM($AQ209:BN209)-SUM($EA209:EL209)</f>
        <v>238488</v>
      </c>
      <c r="CU209" s="12">
        <f>SUM($AQ209:BO209)-SUM($EA209:EM209)</f>
        <v>230288</v>
      </c>
      <c r="CV209" s="12">
        <f>SUM($AQ209:BP209)-SUM($EA209:EN209)</f>
        <v>222088</v>
      </c>
      <c r="CW209" s="12">
        <f>SUM($AQ209:BQ209)-SUM($EA209:EO209)</f>
        <v>214088</v>
      </c>
      <c r="CX209" s="12">
        <f>SUM($AQ209:BR209)-SUM($EA209:EP209)</f>
        <v>205888</v>
      </c>
      <c r="CY209" s="12">
        <f>SUM($AQ209:BS209)-SUM($EA209:EQ209)</f>
        <v>197688</v>
      </c>
      <c r="CZ209" s="12">
        <f>SUM($AQ209:BT209)-SUM($EA209:ER209)</f>
        <v>189488</v>
      </c>
      <c r="DA209" s="12">
        <f>SUM($AQ209:BU209)-SUM($EA209:ES209)</f>
        <v>181288</v>
      </c>
      <c r="DB209" s="12">
        <f>SUM($AQ209:BV209)-SUM($EA209:ET209)</f>
        <v>173088</v>
      </c>
      <c r="DC209" s="12">
        <f>SUM($AQ209:BW209)-SUM($EA209:EU209)</f>
        <v>164888</v>
      </c>
      <c r="DD209" s="12">
        <f>SUM($AQ209:BX209)-SUM($EA209:EV209)</f>
        <v>156688</v>
      </c>
      <c r="DE209" s="12">
        <f>SUM($AQ209:BY209)-SUM($EA209:EW209)</f>
        <v>148648</v>
      </c>
      <c r="DF209" s="12">
        <f>SUM($AQ209:BZ209)-SUM($EA209:EX209)</f>
        <v>140648</v>
      </c>
      <c r="DG209" s="12">
        <f>SUM($AQ209:CA209)-SUM($EA209:EY209)</f>
        <v>132648</v>
      </c>
      <c r="DH209" s="12">
        <f>SUM($AQ209:CB209)-SUM($EA209:EZ209)</f>
        <v>124648</v>
      </c>
      <c r="DI209" s="12">
        <f>SUM($AQ209:CC209)-SUM($EA209:FA209)</f>
        <v>116648</v>
      </c>
      <c r="DJ209" s="12">
        <f>SUM($AQ209:CD209)-SUM($EA209:FB209)</f>
        <v>108648</v>
      </c>
      <c r="DK209" s="12">
        <f>SUM($AQ209:CE209)-SUM($EA209:FC209)</f>
        <v>100648</v>
      </c>
      <c r="DL209" s="12">
        <f>SUM($AQ209:CF209)-SUM($EA209:FD209)</f>
        <v>92648</v>
      </c>
      <c r="DM209" s="12">
        <f>SUM($AQ209:CG209)-SUM($EA209:FE209)</f>
        <v>84648</v>
      </c>
      <c r="DN209" s="12">
        <f>SUM($AQ209:CH209)-SUM($EA209:FF209)</f>
        <v>76648</v>
      </c>
      <c r="DO209" s="12">
        <f>SUM($AQ209:CI209)-SUM($EA209:FG209)</f>
        <v>68648</v>
      </c>
      <c r="DP209" s="12">
        <f>SUM($AQ209:CJ209)-SUM($EA209:FH209)</f>
        <v>60648</v>
      </c>
      <c r="DQ209" s="12">
        <f>SUM($AQ209:CK209)-SUM($EA209:FI209)</f>
        <v>52648</v>
      </c>
      <c r="DR209" s="12">
        <f>SUM($AQ209:CL209)-SUM($EA209:FJ209)</f>
        <v>44648</v>
      </c>
      <c r="DS209" s="12">
        <f>SUM($AQ209:CM209)-SUM($EA209:FK209)</f>
        <v>36648</v>
      </c>
      <c r="DT209" s="12">
        <f>SUM($AQ209:CN209)-SUM($EA209:FL209)</f>
        <v>28648</v>
      </c>
      <c r="DU209" s="12">
        <f>SUM($AQ209:CO209)-SUM($EA209:FM209)</f>
        <v>20648</v>
      </c>
      <c r="DV209" s="12">
        <f>SUM($AQ209:CP209)-SUM($EA209:FN209)</f>
        <v>270604</v>
      </c>
      <c r="DW209" s="12">
        <f>SUM($AQ209:CQ209)-SUM($EA209:FO209)</f>
        <v>525444</v>
      </c>
      <c r="DX209" s="13"/>
      <c r="DY209" s="13"/>
      <c r="DZ209" s="13"/>
      <c r="EA209" s="12"/>
      <c r="EB209" s="12"/>
      <c r="EC209" s="12"/>
      <c r="ED209" s="12"/>
      <c r="EE209" s="12"/>
      <c r="EF209" s="12"/>
      <c r="EG209" s="12"/>
      <c r="EH209" s="12">
        <f t="array" ref="EH209">SUMPRODUCT(TRANSPOSE(EH$9:EH$34),$K209:$AJ209)</f>
        <v>28252</v>
      </c>
      <c r="EI209" s="12">
        <f t="array" ref="EI209">SUMPRODUCT(TRANSPOSE(EI$9:EI$34),$K209:$AJ209)</f>
        <v>1600</v>
      </c>
      <c r="EJ209" s="12">
        <f t="array" ref="EJ209">SUMPRODUCT(TRANSPOSE(EJ$9:EJ$34),$K209:$AJ209)</f>
        <v>4060</v>
      </c>
      <c r="EK209" s="12">
        <f t="array" ref="EK209">SUMPRODUCT(TRANSPOSE(EK$9:EK$34),$K209:$AJ209)</f>
        <v>4540</v>
      </c>
      <c r="EL209" s="12">
        <f t="array" ref="EL209">SUMPRODUCT(TRANSPOSE(EL$9:EL$34),$K209:$AJ209)</f>
        <v>8060</v>
      </c>
      <c r="EM209" s="12">
        <f t="array" ref="EM209">SUMPRODUCT(TRANSPOSE(EM$9:EM$34),$K209:$AJ209)</f>
        <v>8200</v>
      </c>
      <c r="EN209" s="12">
        <f t="array" ref="EN209">SUMPRODUCT(TRANSPOSE(EN$9:EN$34),$K209:$AJ209)</f>
        <v>8200</v>
      </c>
      <c r="EO209" s="12">
        <f t="array" ref="EO209">SUMPRODUCT(TRANSPOSE(EO$9:EO$34),$K209:$AJ209)</f>
        <v>8000</v>
      </c>
      <c r="EP209" s="12">
        <f t="array" ref="EP209">SUMPRODUCT(TRANSPOSE(EP$9:EP$34),$K209:$AJ209)</f>
        <v>8200</v>
      </c>
      <c r="EQ209" s="12">
        <f t="array" ref="EQ209">SUMPRODUCT(TRANSPOSE(EQ$9:EQ$34),$K209:$AJ209)</f>
        <v>8200</v>
      </c>
      <c r="ER209" s="12">
        <f t="array" ref="ER209">SUMPRODUCT(TRANSPOSE(ER$9:ER$34),$K209:$AJ209)</f>
        <v>8200</v>
      </c>
      <c r="ES209" s="12">
        <f t="array" ref="ES209">SUMPRODUCT(TRANSPOSE(ES$9:ES$34),$K209:$AJ209)</f>
        <v>8200</v>
      </c>
      <c r="ET209" s="12">
        <f t="array" ref="ET209">SUMPRODUCT(TRANSPOSE(ET$9:ET$34),$K209:$AJ209)</f>
        <v>8200</v>
      </c>
      <c r="EU209" s="12">
        <f t="array" ref="EU209">SUMPRODUCT(TRANSPOSE(EU$9:EU$34),$K209:$AJ209)</f>
        <v>8200</v>
      </c>
      <c r="EV209" s="12">
        <f t="array" ref="EV209">SUMPRODUCT(TRANSPOSE(EV$9:EV$34),$K209:$AJ209)</f>
        <v>8200</v>
      </c>
      <c r="EW209" s="12">
        <f t="array" ref="EW209">SUMPRODUCT(TRANSPOSE(EW$9:EW$34),$K209:$AJ209)</f>
        <v>8040</v>
      </c>
      <c r="EX209" s="12">
        <f t="array" ref="EX209">SUMPRODUCT(TRANSPOSE(EX$9:EX$34),$K209:$AJ209)</f>
        <v>8000</v>
      </c>
      <c r="EY209" s="12">
        <f t="array" ref="EY209">SUMPRODUCT(TRANSPOSE(EY$9:EY$34),$K209:$AJ209)</f>
        <v>8000</v>
      </c>
      <c r="EZ209" s="12">
        <f t="array" ref="EZ209">SUMPRODUCT(TRANSPOSE(EZ$9:EZ$34),$K209:$AJ209)</f>
        <v>8000</v>
      </c>
      <c r="FA209" s="12">
        <f t="array" ref="FA209">SUMPRODUCT(TRANSPOSE(FA$9:FA$34),$K209:$AJ209)</f>
        <v>8000</v>
      </c>
      <c r="FB209" s="12">
        <f t="array" ref="FB209">SUMPRODUCT(TRANSPOSE(FB$9:FB$34),$K209:$AJ209)</f>
        <v>8000</v>
      </c>
      <c r="FC209" s="12">
        <f t="array" ref="FC209">SUMPRODUCT(TRANSPOSE(FC$9:FC$34),$K209:$AJ209)</f>
        <v>8000</v>
      </c>
      <c r="FD209" s="12">
        <f t="array" ref="FD209">SUMPRODUCT(TRANSPOSE(FD$9:FD$34),$K209:$AJ209)</f>
        <v>8000</v>
      </c>
      <c r="FE209" s="12">
        <f t="array" ref="FE209">SUMPRODUCT(TRANSPOSE(FE$9:FE$34),$K209:$AJ209)</f>
        <v>8000</v>
      </c>
      <c r="FF209" s="12">
        <f t="array" ref="FF209">SUMPRODUCT(TRANSPOSE(FF$9:FF$34),$K209:$AJ209)</f>
        <v>8000</v>
      </c>
      <c r="FG209" s="12">
        <f t="array" ref="FG209">SUMPRODUCT(TRANSPOSE(FG$9:FG$34),$K209:$AJ209)</f>
        <v>8000</v>
      </c>
      <c r="FH209" s="12">
        <f t="array" ref="FH209">SUMPRODUCT(TRANSPOSE(FH$9:FH$34),$K209:$AJ209)</f>
        <v>8000</v>
      </c>
      <c r="FI209" s="12">
        <f t="array" ref="FI209">SUMPRODUCT(TRANSPOSE(FI$9:FI$34),$K209:$AJ209)</f>
        <v>8000</v>
      </c>
      <c r="FJ209" s="12">
        <f t="array" ref="FJ209">SUMPRODUCT(TRANSPOSE(FJ$9:FJ$34),$K209:$AJ209)</f>
        <v>8000</v>
      </c>
      <c r="FK209" s="12">
        <f t="array" ref="FK209">SUMPRODUCT(TRANSPOSE(FK$9:FK$34),$K209:$AJ209)</f>
        <v>8000</v>
      </c>
      <c r="FL209" s="12">
        <f t="array" ref="FL209">SUMPRODUCT(TRANSPOSE(FL$9:FL$34),$K209:$AJ209)</f>
        <v>8000</v>
      </c>
      <c r="FM209" s="12">
        <f t="array" ref="FM209">SUMPRODUCT(TRANSPOSE(FM$9:FM$34),$K209:$AJ209)</f>
        <v>8000</v>
      </c>
      <c r="FN209" s="12">
        <f t="array" ref="FN209">SUMPRODUCT(TRANSPOSE(FN$9:FN$34),$K209:$AJ209)</f>
        <v>6792</v>
      </c>
      <c r="FO209" s="12">
        <f t="array" ref="FO209">SUMPRODUCT(TRANSPOSE(FO$9:FO$34),$K209:$AJ209)</f>
        <v>308</v>
      </c>
    </row>
    <row r="210" spans="1:171" ht="14.25" x14ac:dyDescent="0.2">
      <c r="A210" s="13">
        <f t="shared" si="10"/>
        <v>175</v>
      </c>
      <c r="B210" s="13" t="s">
        <v>624</v>
      </c>
      <c r="C210" s="25" t="s">
        <v>625</v>
      </c>
      <c r="D210" s="13" t="s">
        <v>67</v>
      </c>
      <c r="E210" s="13">
        <v>401466052</v>
      </c>
      <c r="F210" s="26" t="s">
        <v>626</v>
      </c>
      <c r="G210" s="13" t="s">
        <v>627</v>
      </c>
      <c r="H210" s="13" t="s">
        <v>61</v>
      </c>
      <c r="I210" s="13">
        <v>2</v>
      </c>
      <c r="J210" s="13">
        <v>2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1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/>
      <c r="Z210" s="13">
        <v>1</v>
      </c>
      <c r="AA210" s="13">
        <v>0</v>
      </c>
      <c r="AB210" s="13">
        <v>0</v>
      </c>
      <c r="AC210" s="13">
        <v>0</v>
      </c>
      <c r="AD210" s="13">
        <v>1</v>
      </c>
      <c r="AE210" s="13">
        <v>1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f t="shared" si="11"/>
        <v>3</v>
      </c>
      <c r="AL210" s="23">
        <f t="shared" si="9"/>
        <v>35665</v>
      </c>
      <c r="AM210" s="13"/>
      <c r="AN210" s="13" t="s">
        <v>299</v>
      </c>
      <c r="AO210" s="7" t="s">
        <v>300</v>
      </c>
      <c r="AP210" s="38">
        <v>1.1999999999999999E-3</v>
      </c>
      <c r="AQ210" s="12">
        <v>50000</v>
      </c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13"/>
      <c r="CG210" s="13"/>
      <c r="CH210" s="13"/>
      <c r="CI210" s="12"/>
      <c r="CJ210" s="12"/>
      <c r="CK210" s="12"/>
      <c r="CL210" s="12"/>
      <c r="CM210" s="12"/>
      <c r="CN210" s="12"/>
      <c r="CO210" s="12"/>
      <c r="CP210" s="12">
        <f>SUM($AQ210:BJ210)-SUM($EA210:EH210)</f>
        <v>46891</v>
      </c>
      <c r="CQ210" s="12">
        <f>SUM($AQ210:BK210)-SUM($EA210:EI210)</f>
        <v>46610</v>
      </c>
      <c r="CR210" s="12">
        <f>SUM($AQ210:BL210)-SUM($EA210:EJ210)</f>
        <v>46595</v>
      </c>
      <c r="CS210" s="12">
        <f>SUM($AQ210:BM210)-SUM($EA210:EK210)</f>
        <v>46460</v>
      </c>
      <c r="CT210" s="12">
        <f>SUM($AQ210:BN210)-SUM($EA210:EL210)</f>
        <v>45445</v>
      </c>
      <c r="CU210" s="12">
        <f>SUM($AQ210:BO210)-SUM($EA210:EM210)</f>
        <v>43395</v>
      </c>
      <c r="CV210" s="12">
        <f>SUM($AQ210:BP210)-SUM($EA210:EN210)</f>
        <v>42245</v>
      </c>
      <c r="CW210" s="12">
        <f>SUM($AQ210:BQ210)-SUM($EA210:EO210)</f>
        <v>41245</v>
      </c>
      <c r="CX210" s="12">
        <f>SUM($AQ210:BR210)-SUM($EA210:EP210)</f>
        <v>40195</v>
      </c>
      <c r="CY210" s="12">
        <f>SUM($AQ210:BS210)-SUM($EA210:EQ210)</f>
        <v>39145</v>
      </c>
      <c r="CZ210" s="12">
        <f>SUM($AQ210:BT210)-SUM($EA210:ER210)</f>
        <v>38095</v>
      </c>
      <c r="DA210" s="12">
        <f>SUM($AQ210:BU210)-SUM($EA210:ES210)</f>
        <v>37045</v>
      </c>
      <c r="DB210" s="12">
        <f>SUM($AQ210:BV210)-SUM($EA210:ET210)</f>
        <v>35995</v>
      </c>
      <c r="DC210" s="12">
        <f>SUM($AQ210:BW210)-SUM($EA210:EU210)</f>
        <v>34945</v>
      </c>
      <c r="DD210" s="12">
        <f>SUM($AQ210:BX210)-SUM($EA210:EV210)</f>
        <v>33895</v>
      </c>
      <c r="DE210" s="12">
        <f>SUM($AQ210:BY210)-SUM($EA210:EW210)</f>
        <v>32852</v>
      </c>
      <c r="DF210" s="12">
        <f>SUM($AQ210:BZ210)-SUM($EA210:EX210)</f>
        <v>31852</v>
      </c>
      <c r="DG210" s="12">
        <f>SUM($AQ210:CA210)-SUM($EA210:EY210)</f>
        <v>30852</v>
      </c>
      <c r="DH210" s="12">
        <f>SUM($AQ210:CB210)-SUM($EA210:EZ210)</f>
        <v>29852</v>
      </c>
      <c r="DI210" s="12">
        <f>SUM($AQ210:CC210)-SUM($EA210:FA210)</f>
        <v>28852</v>
      </c>
      <c r="DJ210" s="12">
        <f>SUM($AQ210:CD210)-SUM($EA210:FB210)</f>
        <v>27852</v>
      </c>
      <c r="DK210" s="12">
        <f>SUM($AQ210:CE210)-SUM($EA210:FC210)</f>
        <v>26852</v>
      </c>
      <c r="DL210" s="12">
        <f>SUM($AQ210:CF210)-SUM($EA210:FD210)</f>
        <v>25852</v>
      </c>
      <c r="DM210" s="12">
        <f>SUM($AQ210:CG210)-SUM($EA210:FE210)</f>
        <v>24852</v>
      </c>
      <c r="DN210" s="12">
        <f>SUM($AQ210:CH210)-SUM($EA210:FF210)</f>
        <v>23852</v>
      </c>
      <c r="DO210" s="12">
        <f>SUM($AQ210:CI210)-SUM($EA210:FG210)</f>
        <v>22852</v>
      </c>
      <c r="DP210" s="12">
        <f>SUM($AQ210:CJ210)-SUM($EA210:FH210)</f>
        <v>21852</v>
      </c>
      <c r="DQ210" s="12">
        <f>SUM($AQ210:CK210)-SUM($EA210:FI210)</f>
        <v>20852</v>
      </c>
      <c r="DR210" s="12">
        <f>SUM($AQ210:CL210)-SUM($EA210:FJ210)</f>
        <v>19852</v>
      </c>
      <c r="DS210" s="12">
        <f>SUM($AQ210:CM210)-SUM($EA210:FK210)</f>
        <v>18852</v>
      </c>
      <c r="DT210" s="12">
        <f>SUM($AQ210:CN210)-SUM($EA210:FL210)</f>
        <v>17852</v>
      </c>
      <c r="DU210" s="12">
        <f>SUM($AQ210:CO210)-SUM($EA210:FM210)</f>
        <v>16852</v>
      </c>
      <c r="DV210" s="12">
        <f>SUM($AQ210:CP210)-SUM($EA210:FN210)</f>
        <v>62926</v>
      </c>
      <c r="DW210" s="12">
        <f>SUM($AQ210:CQ210)-SUM($EA210:FO210)</f>
        <v>109536</v>
      </c>
      <c r="DX210" s="13"/>
      <c r="DY210" s="13"/>
      <c r="DZ210" s="13"/>
      <c r="EA210" s="12"/>
      <c r="EB210" s="12"/>
      <c r="EC210" s="12"/>
      <c r="ED210" s="12"/>
      <c r="EE210" s="12"/>
      <c r="EF210" s="12"/>
      <c r="EG210" s="12"/>
      <c r="EH210" s="12">
        <f t="array" ref="EH210">SUMPRODUCT(TRANSPOSE(EH$9:EH$34),$K210:$AJ210)</f>
        <v>3109</v>
      </c>
      <c r="EI210" s="12">
        <f t="array" ref="EI210">SUMPRODUCT(TRANSPOSE(EI$9:EI$34),$K210:$AJ210)</f>
        <v>281</v>
      </c>
      <c r="EJ210" s="12">
        <f t="array" ref="EJ210">SUMPRODUCT(TRANSPOSE(EJ$9:EJ$34),$K210:$AJ210)</f>
        <v>15</v>
      </c>
      <c r="EK210" s="12">
        <f t="array" ref="EK210">SUMPRODUCT(TRANSPOSE(EK$9:EK$34),$K210:$AJ210)</f>
        <v>135</v>
      </c>
      <c r="EL210" s="12">
        <f t="array" ref="EL210">SUMPRODUCT(TRANSPOSE(EL$9:EL$34),$K210:$AJ210)</f>
        <v>1015</v>
      </c>
      <c r="EM210" s="12">
        <f t="array" ref="EM210">SUMPRODUCT(TRANSPOSE(EM$9:EM$34),$K210:$AJ210)</f>
        <v>2050</v>
      </c>
      <c r="EN210" s="12">
        <f t="array" ref="EN210">SUMPRODUCT(TRANSPOSE(EN$9:EN$34),$K210:$AJ210)</f>
        <v>1150</v>
      </c>
      <c r="EO210" s="12">
        <f t="array" ref="EO210">SUMPRODUCT(TRANSPOSE(EO$9:EO$34),$K210:$AJ210)</f>
        <v>1000</v>
      </c>
      <c r="EP210" s="12">
        <f t="array" ref="EP210">SUMPRODUCT(TRANSPOSE(EP$9:EP$34),$K210:$AJ210)</f>
        <v>1050</v>
      </c>
      <c r="EQ210" s="12">
        <f t="array" ref="EQ210">SUMPRODUCT(TRANSPOSE(EQ$9:EQ$34),$K210:$AJ210)</f>
        <v>1050</v>
      </c>
      <c r="ER210" s="12">
        <f t="array" ref="ER210">SUMPRODUCT(TRANSPOSE(ER$9:ER$34),$K210:$AJ210)</f>
        <v>1050</v>
      </c>
      <c r="ES210" s="12">
        <f t="array" ref="ES210">SUMPRODUCT(TRANSPOSE(ES$9:ES$34),$K210:$AJ210)</f>
        <v>1050</v>
      </c>
      <c r="ET210" s="12">
        <f t="array" ref="ET210">SUMPRODUCT(TRANSPOSE(ET$9:ET$34),$K210:$AJ210)</f>
        <v>1050</v>
      </c>
      <c r="EU210" s="12">
        <f t="array" ref="EU210">SUMPRODUCT(TRANSPOSE(EU$9:EU$34),$K210:$AJ210)</f>
        <v>1050</v>
      </c>
      <c r="EV210" s="12">
        <f t="array" ref="EV210">SUMPRODUCT(TRANSPOSE(EV$9:EV$34),$K210:$AJ210)</f>
        <v>1050</v>
      </c>
      <c r="EW210" s="12">
        <f t="array" ref="EW210">SUMPRODUCT(TRANSPOSE(EW$9:EW$34),$K210:$AJ210)</f>
        <v>1043</v>
      </c>
      <c r="EX210" s="12">
        <f t="array" ref="EX210">SUMPRODUCT(TRANSPOSE(EX$9:EX$34),$K210:$AJ210)</f>
        <v>1000</v>
      </c>
      <c r="EY210" s="12">
        <f t="array" ref="EY210">SUMPRODUCT(TRANSPOSE(EY$9:EY$34),$K210:$AJ210)</f>
        <v>1000</v>
      </c>
      <c r="EZ210" s="12">
        <f t="array" ref="EZ210">SUMPRODUCT(TRANSPOSE(EZ$9:EZ$34),$K210:$AJ210)</f>
        <v>1000</v>
      </c>
      <c r="FA210" s="12">
        <f t="array" ref="FA210">SUMPRODUCT(TRANSPOSE(FA$9:FA$34),$K210:$AJ210)</f>
        <v>1000</v>
      </c>
      <c r="FB210" s="12">
        <f t="array" ref="FB210">SUMPRODUCT(TRANSPOSE(FB$9:FB$34),$K210:$AJ210)</f>
        <v>1000</v>
      </c>
      <c r="FC210" s="12">
        <f t="array" ref="FC210">SUMPRODUCT(TRANSPOSE(FC$9:FC$34),$K210:$AJ210)</f>
        <v>1000</v>
      </c>
      <c r="FD210" s="12">
        <f t="array" ref="FD210">SUMPRODUCT(TRANSPOSE(FD$9:FD$34),$K210:$AJ210)</f>
        <v>1000</v>
      </c>
      <c r="FE210" s="12">
        <f t="array" ref="FE210">SUMPRODUCT(TRANSPOSE(FE$9:FE$34),$K210:$AJ210)</f>
        <v>1000</v>
      </c>
      <c r="FF210" s="12">
        <f t="array" ref="FF210">SUMPRODUCT(TRANSPOSE(FF$9:FF$34),$K210:$AJ210)</f>
        <v>1000</v>
      </c>
      <c r="FG210" s="12">
        <f t="array" ref="FG210">SUMPRODUCT(TRANSPOSE(FG$9:FG$34),$K210:$AJ210)</f>
        <v>1000</v>
      </c>
      <c r="FH210" s="12">
        <f t="array" ref="FH210">SUMPRODUCT(TRANSPOSE(FH$9:FH$34),$K210:$AJ210)</f>
        <v>1000</v>
      </c>
      <c r="FI210" s="12">
        <f t="array" ref="FI210">SUMPRODUCT(TRANSPOSE(FI$9:FI$34),$K210:$AJ210)</f>
        <v>1000</v>
      </c>
      <c r="FJ210" s="12">
        <f t="array" ref="FJ210">SUMPRODUCT(TRANSPOSE(FJ$9:FJ$34),$K210:$AJ210)</f>
        <v>1000</v>
      </c>
      <c r="FK210" s="12">
        <f t="array" ref="FK210">SUMPRODUCT(TRANSPOSE(FK$9:FK$34),$K210:$AJ210)</f>
        <v>1000</v>
      </c>
      <c r="FL210" s="12">
        <f t="array" ref="FL210">SUMPRODUCT(TRANSPOSE(FL$9:FL$34),$K210:$AJ210)</f>
        <v>1000</v>
      </c>
      <c r="FM210" s="12">
        <f t="array" ref="FM210">SUMPRODUCT(TRANSPOSE(FM$9:FM$34),$K210:$AJ210)</f>
        <v>1000</v>
      </c>
      <c r="FN210" s="12">
        <f t="array" ref="FN210">SUMPRODUCT(TRANSPOSE(FN$9:FN$34),$K210:$AJ210)</f>
        <v>817</v>
      </c>
      <c r="FO210" s="12">
        <f t="array" ref="FO210">SUMPRODUCT(TRANSPOSE(FO$9:FO$34),$K210:$AJ210)</f>
        <v>0</v>
      </c>
    </row>
    <row r="211" spans="1:171" ht="14.25" x14ac:dyDescent="0.2">
      <c r="A211" s="13">
        <f t="shared" si="10"/>
        <v>176</v>
      </c>
      <c r="B211" s="13" t="s">
        <v>628</v>
      </c>
      <c r="C211" s="25" t="s">
        <v>629</v>
      </c>
      <c r="D211" s="13" t="s">
        <v>67</v>
      </c>
      <c r="E211" s="13">
        <v>400658342</v>
      </c>
      <c r="F211" s="26" t="s">
        <v>630</v>
      </c>
      <c r="G211" s="13" t="s">
        <v>631</v>
      </c>
      <c r="H211" s="13" t="s">
        <v>61</v>
      </c>
      <c r="I211" s="13">
        <v>2</v>
      </c>
      <c r="J211" s="13">
        <v>16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8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/>
      <c r="Z211" s="13">
        <v>8</v>
      </c>
      <c r="AA211" s="13">
        <v>0</v>
      </c>
      <c r="AB211" s="13">
        <v>0</v>
      </c>
      <c r="AC211" s="13">
        <v>0</v>
      </c>
      <c r="AD211" s="13">
        <v>8</v>
      </c>
      <c r="AE211" s="13">
        <v>8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f t="shared" si="11"/>
        <v>24</v>
      </c>
      <c r="AL211" s="23">
        <f t="shared" si="9"/>
        <v>285320</v>
      </c>
      <c r="AM211" s="13"/>
      <c r="AN211" s="13" t="s">
        <v>299</v>
      </c>
      <c r="AO211" s="7" t="s">
        <v>307</v>
      </c>
      <c r="AP211" s="41">
        <v>2.2000000000000001E-3</v>
      </c>
      <c r="AQ211" s="12">
        <v>285000</v>
      </c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13"/>
      <c r="CG211" s="13"/>
      <c r="CH211" s="13"/>
      <c r="CI211" s="12"/>
      <c r="CJ211" s="12"/>
      <c r="CK211" s="12"/>
      <c r="CL211" s="12"/>
      <c r="CM211" s="12"/>
      <c r="CN211" s="12"/>
      <c r="CO211" s="12"/>
      <c r="CP211" s="12">
        <f>SUM($AQ211:BJ211)-SUM($EA211:EH211)</f>
        <v>260128</v>
      </c>
      <c r="CQ211" s="12">
        <f>SUM($AQ211:BK211)-SUM($EA211:EI211)</f>
        <v>257880</v>
      </c>
      <c r="CR211" s="12">
        <f>SUM($AQ211:BL211)-SUM($EA211:EJ211)</f>
        <v>257760</v>
      </c>
      <c r="CS211" s="12">
        <f>SUM($AQ211:BM211)-SUM($EA211:EK211)</f>
        <v>256680</v>
      </c>
      <c r="CT211" s="12">
        <f>SUM($AQ211:BN211)-SUM($EA211:EL211)</f>
        <v>248560</v>
      </c>
      <c r="CU211" s="12">
        <f>SUM($AQ211:BO211)-SUM($EA211:EM211)</f>
        <v>232160</v>
      </c>
      <c r="CV211" s="12">
        <f>SUM($AQ211:BP211)-SUM($EA211:EN211)</f>
        <v>222960</v>
      </c>
      <c r="CW211" s="12">
        <f>SUM($AQ211:BQ211)-SUM($EA211:EO211)</f>
        <v>214960</v>
      </c>
      <c r="CX211" s="12">
        <f>SUM($AQ211:BR211)-SUM($EA211:EP211)</f>
        <v>206560</v>
      </c>
      <c r="CY211" s="12">
        <f>SUM($AQ211:BS211)-SUM($EA211:EQ211)</f>
        <v>198160</v>
      </c>
      <c r="CZ211" s="12">
        <f>SUM($AQ211:BT211)-SUM($EA211:ER211)</f>
        <v>189760</v>
      </c>
      <c r="DA211" s="12">
        <f>SUM($AQ211:BU211)-SUM($EA211:ES211)</f>
        <v>181360</v>
      </c>
      <c r="DB211" s="12">
        <f>SUM($AQ211:BV211)-SUM($EA211:ET211)</f>
        <v>172960</v>
      </c>
      <c r="DC211" s="12">
        <f>SUM($AQ211:BW211)-SUM($EA211:EU211)</f>
        <v>164560</v>
      </c>
      <c r="DD211" s="12">
        <f>SUM($AQ211:BX211)-SUM($EA211:EV211)</f>
        <v>156160</v>
      </c>
      <c r="DE211" s="12">
        <f>SUM($AQ211:BY211)-SUM($EA211:EW211)</f>
        <v>147816</v>
      </c>
      <c r="DF211" s="12">
        <f>SUM($AQ211:BZ211)-SUM($EA211:EX211)</f>
        <v>139816</v>
      </c>
      <c r="DG211" s="12">
        <f>SUM($AQ211:CA211)-SUM($EA211:EY211)</f>
        <v>131816</v>
      </c>
      <c r="DH211" s="12">
        <f>SUM($AQ211:CB211)-SUM($EA211:EZ211)</f>
        <v>123816</v>
      </c>
      <c r="DI211" s="12">
        <f>SUM($AQ211:CC211)-SUM($EA211:FA211)</f>
        <v>115816</v>
      </c>
      <c r="DJ211" s="12">
        <f>SUM($AQ211:CD211)-SUM($EA211:FB211)</f>
        <v>107816</v>
      </c>
      <c r="DK211" s="12">
        <f>SUM($AQ211:CE211)-SUM($EA211:FC211)</f>
        <v>99816</v>
      </c>
      <c r="DL211" s="12">
        <f>SUM($AQ211:CF211)-SUM($EA211:FD211)</f>
        <v>91816</v>
      </c>
      <c r="DM211" s="12">
        <f>SUM($AQ211:CG211)-SUM($EA211:FE211)</f>
        <v>83816</v>
      </c>
      <c r="DN211" s="12">
        <f>SUM($AQ211:CH211)-SUM($EA211:FF211)</f>
        <v>75816</v>
      </c>
      <c r="DO211" s="12">
        <f>SUM($AQ211:CI211)-SUM($EA211:FG211)</f>
        <v>67816</v>
      </c>
      <c r="DP211" s="12">
        <f>SUM($AQ211:CJ211)-SUM($EA211:FH211)</f>
        <v>59816</v>
      </c>
      <c r="DQ211" s="12">
        <f>SUM($AQ211:CK211)-SUM($EA211:FI211)</f>
        <v>51816</v>
      </c>
      <c r="DR211" s="12">
        <f>SUM($AQ211:CL211)-SUM($EA211:FJ211)</f>
        <v>43816</v>
      </c>
      <c r="DS211" s="12">
        <f>SUM($AQ211:CM211)-SUM($EA211:FK211)</f>
        <v>35816</v>
      </c>
      <c r="DT211" s="12">
        <f>SUM($AQ211:CN211)-SUM($EA211:FL211)</f>
        <v>27816</v>
      </c>
      <c r="DU211" s="12">
        <f>SUM($AQ211:CO211)-SUM($EA211:FM211)</f>
        <v>19816</v>
      </c>
      <c r="DV211" s="12">
        <f>SUM($AQ211:CP211)-SUM($EA211:FN211)</f>
        <v>273408</v>
      </c>
      <c r="DW211" s="12">
        <f>SUM($AQ211:CQ211)-SUM($EA211:FO211)</f>
        <v>531288</v>
      </c>
      <c r="DX211" s="13"/>
      <c r="DY211" s="13"/>
      <c r="DZ211" s="13"/>
      <c r="EA211" s="12"/>
      <c r="EB211" s="12"/>
      <c r="EC211" s="12"/>
      <c r="ED211" s="12"/>
      <c r="EE211" s="12"/>
      <c r="EF211" s="12"/>
      <c r="EG211" s="12"/>
      <c r="EH211" s="12">
        <f t="array" ref="EH211">SUMPRODUCT(TRANSPOSE(EH$9:EH$34),$K211:$AJ211)</f>
        <v>24872</v>
      </c>
      <c r="EI211" s="12">
        <f t="array" ref="EI211">SUMPRODUCT(TRANSPOSE(EI$9:EI$34),$K211:$AJ211)</f>
        <v>2248</v>
      </c>
      <c r="EJ211" s="12">
        <f t="array" ref="EJ211">SUMPRODUCT(TRANSPOSE(EJ$9:EJ$34),$K211:$AJ211)</f>
        <v>120</v>
      </c>
      <c r="EK211" s="12">
        <f t="array" ref="EK211">SUMPRODUCT(TRANSPOSE(EK$9:EK$34),$K211:$AJ211)</f>
        <v>1080</v>
      </c>
      <c r="EL211" s="12">
        <f t="array" ref="EL211">SUMPRODUCT(TRANSPOSE(EL$9:EL$34),$K211:$AJ211)</f>
        <v>8120</v>
      </c>
      <c r="EM211" s="12">
        <f t="array" ref="EM211">SUMPRODUCT(TRANSPOSE(EM$9:EM$34),$K211:$AJ211)</f>
        <v>16400</v>
      </c>
      <c r="EN211" s="12">
        <f t="array" ref="EN211">SUMPRODUCT(TRANSPOSE(EN$9:EN$34),$K211:$AJ211)</f>
        <v>9200</v>
      </c>
      <c r="EO211" s="12">
        <f t="array" ref="EO211">SUMPRODUCT(TRANSPOSE(EO$9:EO$34),$K211:$AJ211)</f>
        <v>8000</v>
      </c>
      <c r="EP211" s="12">
        <f t="array" ref="EP211">SUMPRODUCT(TRANSPOSE(EP$9:EP$34),$K211:$AJ211)</f>
        <v>8400</v>
      </c>
      <c r="EQ211" s="12">
        <f t="array" ref="EQ211">SUMPRODUCT(TRANSPOSE(EQ$9:EQ$34),$K211:$AJ211)</f>
        <v>8400</v>
      </c>
      <c r="ER211" s="12">
        <f t="array" ref="ER211">SUMPRODUCT(TRANSPOSE(ER$9:ER$34),$K211:$AJ211)</f>
        <v>8400</v>
      </c>
      <c r="ES211" s="12">
        <f t="array" ref="ES211">SUMPRODUCT(TRANSPOSE(ES$9:ES$34),$K211:$AJ211)</f>
        <v>8400</v>
      </c>
      <c r="ET211" s="12">
        <f t="array" ref="ET211">SUMPRODUCT(TRANSPOSE(ET$9:ET$34),$K211:$AJ211)</f>
        <v>8400</v>
      </c>
      <c r="EU211" s="12">
        <f t="array" ref="EU211">SUMPRODUCT(TRANSPOSE(EU$9:EU$34),$K211:$AJ211)</f>
        <v>8400</v>
      </c>
      <c r="EV211" s="12">
        <f t="array" ref="EV211">SUMPRODUCT(TRANSPOSE(EV$9:EV$34),$K211:$AJ211)</f>
        <v>8400</v>
      </c>
      <c r="EW211" s="12">
        <f t="array" ref="EW211">SUMPRODUCT(TRANSPOSE(EW$9:EW$34),$K211:$AJ211)</f>
        <v>8344</v>
      </c>
      <c r="EX211" s="12">
        <f t="array" ref="EX211">SUMPRODUCT(TRANSPOSE(EX$9:EX$34),$K211:$AJ211)</f>
        <v>8000</v>
      </c>
      <c r="EY211" s="12">
        <f t="array" ref="EY211">SUMPRODUCT(TRANSPOSE(EY$9:EY$34),$K211:$AJ211)</f>
        <v>8000</v>
      </c>
      <c r="EZ211" s="12">
        <f t="array" ref="EZ211">SUMPRODUCT(TRANSPOSE(EZ$9:EZ$34),$K211:$AJ211)</f>
        <v>8000</v>
      </c>
      <c r="FA211" s="12">
        <f t="array" ref="FA211">SUMPRODUCT(TRANSPOSE(FA$9:FA$34),$K211:$AJ211)</f>
        <v>8000</v>
      </c>
      <c r="FB211" s="12">
        <f t="array" ref="FB211">SUMPRODUCT(TRANSPOSE(FB$9:FB$34),$K211:$AJ211)</f>
        <v>8000</v>
      </c>
      <c r="FC211" s="12">
        <f t="array" ref="FC211">SUMPRODUCT(TRANSPOSE(FC$9:FC$34),$K211:$AJ211)</f>
        <v>8000</v>
      </c>
      <c r="FD211" s="12">
        <f t="array" ref="FD211">SUMPRODUCT(TRANSPOSE(FD$9:FD$34),$K211:$AJ211)</f>
        <v>8000</v>
      </c>
      <c r="FE211" s="12">
        <f t="array" ref="FE211">SUMPRODUCT(TRANSPOSE(FE$9:FE$34),$K211:$AJ211)</f>
        <v>8000</v>
      </c>
      <c r="FF211" s="12">
        <f t="array" ref="FF211">SUMPRODUCT(TRANSPOSE(FF$9:FF$34),$K211:$AJ211)</f>
        <v>8000</v>
      </c>
      <c r="FG211" s="12">
        <f t="array" ref="FG211">SUMPRODUCT(TRANSPOSE(FG$9:FG$34),$K211:$AJ211)</f>
        <v>8000</v>
      </c>
      <c r="FH211" s="12">
        <f t="array" ref="FH211">SUMPRODUCT(TRANSPOSE(FH$9:FH$34),$K211:$AJ211)</f>
        <v>8000</v>
      </c>
      <c r="FI211" s="12">
        <f t="array" ref="FI211">SUMPRODUCT(TRANSPOSE(FI$9:FI$34),$K211:$AJ211)</f>
        <v>8000</v>
      </c>
      <c r="FJ211" s="12">
        <f t="array" ref="FJ211">SUMPRODUCT(TRANSPOSE(FJ$9:FJ$34),$K211:$AJ211)</f>
        <v>8000</v>
      </c>
      <c r="FK211" s="12">
        <f t="array" ref="FK211">SUMPRODUCT(TRANSPOSE(FK$9:FK$34),$K211:$AJ211)</f>
        <v>8000</v>
      </c>
      <c r="FL211" s="12">
        <f t="array" ref="FL211">SUMPRODUCT(TRANSPOSE(FL$9:FL$34),$K211:$AJ211)</f>
        <v>8000</v>
      </c>
      <c r="FM211" s="12">
        <f t="array" ref="FM211">SUMPRODUCT(TRANSPOSE(FM$9:FM$34),$K211:$AJ211)</f>
        <v>8000</v>
      </c>
      <c r="FN211" s="12">
        <f t="array" ref="FN211">SUMPRODUCT(TRANSPOSE(FN$9:FN$34),$K211:$AJ211)</f>
        <v>6536</v>
      </c>
      <c r="FO211" s="12">
        <f t="array" ref="FO211">SUMPRODUCT(TRANSPOSE(FO$9:FO$34),$K211:$AJ211)</f>
        <v>0</v>
      </c>
    </row>
    <row r="212" spans="1:171" ht="14.25" x14ac:dyDescent="0.2">
      <c r="A212" s="13">
        <f t="shared" si="10"/>
        <v>177</v>
      </c>
      <c r="B212" s="13" t="s">
        <v>632</v>
      </c>
      <c r="C212" s="25" t="s">
        <v>633</v>
      </c>
      <c r="D212" s="13" t="s">
        <v>67</v>
      </c>
      <c r="E212" s="13">
        <v>401226566</v>
      </c>
      <c r="F212" s="26" t="s">
        <v>634</v>
      </c>
      <c r="G212" s="13" t="s">
        <v>635</v>
      </c>
      <c r="H212" s="13" t="s">
        <v>61</v>
      </c>
      <c r="I212" s="13">
        <v>2</v>
      </c>
      <c r="J212" s="13">
        <v>6</v>
      </c>
      <c r="K212" s="13">
        <v>0</v>
      </c>
      <c r="L212" s="13">
        <v>0</v>
      </c>
      <c r="M212" s="13">
        <v>0</v>
      </c>
      <c r="N212" s="13">
        <v>0</v>
      </c>
      <c r="O212" s="13">
        <v>2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2</v>
      </c>
      <c r="Y212" s="13"/>
      <c r="Z212" s="13"/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2</v>
      </c>
      <c r="AK212" s="13">
        <f t="shared" si="11"/>
        <v>4</v>
      </c>
      <c r="AL212" s="23">
        <f t="shared" si="9"/>
        <v>141726</v>
      </c>
      <c r="AM212" s="13"/>
      <c r="AN212" s="13" t="s">
        <v>299</v>
      </c>
      <c r="AO212" s="7" t="s">
        <v>307</v>
      </c>
      <c r="AP212" s="37">
        <v>3.0000000000000001E-3</v>
      </c>
      <c r="AQ212" s="12">
        <v>145000</v>
      </c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13"/>
      <c r="CG212" s="13"/>
      <c r="CH212" s="13"/>
      <c r="CI212" s="12"/>
      <c r="CJ212" s="12"/>
      <c r="CK212" s="12"/>
      <c r="CL212" s="12"/>
      <c r="CM212" s="12"/>
      <c r="CN212" s="12"/>
      <c r="CO212" s="12"/>
      <c r="CP212" s="12">
        <f>SUM($AQ212:BJ212)-SUM($EA212:EH212)</f>
        <v>130874</v>
      </c>
      <c r="CQ212" s="12">
        <f>SUM($AQ212:BK212)-SUM($EA212:EI212)</f>
        <v>130074</v>
      </c>
      <c r="CR212" s="12">
        <f>SUM($AQ212:BL212)-SUM($EA212:EJ212)</f>
        <v>128044</v>
      </c>
      <c r="CS212" s="12">
        <f>SUM($AQ212:BM212)-SUM($EA212:EK212)</f>
        <v>125774</v>
      </c>
      <c r="CT212" s="12">
        <f>SUM($AQ212:BN212)-SUM($EA212:EL212)</f>
        <v>121744</v>
      </c>
      <c r="CU212" s="12">
        <f>SUM($AQ212:BO212)-SUM($EA212:EM212)</f>
        <v>117644</v>
      </c>
      <c r="CV212" s="12">
        <f>SUM($AQ212:BP212)-SUM($EA212:EN212)</f>
        <v>113544</v>
      </c>
      <c r="CW212" s="12">
        <f>SUM($AQ212:BQ212)-SUM($EA212:EO212)</f>
        <v>109544</v>
      </c>
      <c r="CX212" s="12">
        <f>SUM($AQ212:BR212)-SUM($EA212:EP212)</f>
        <v>105444</v>
      </c>
      <c r="CY212" s="12">
        <f>SUM($AQ212:BS212)-SUM($EA212:EQ212)</f>
        <v>101344</v>
      </c>
      <c r="CZ212" s="12">
        <f>SUM($AQ212:BT212)-SUM($EA212:ER212)</f>
        <v>97244</v>
      </c>
      <c r="DA212" s="12">
        <f>SUM($AQ212:BU212)-SUM($EA212:ES212)</f>
        <v>93144</v>
      </c>
      <c r="DB212" s="12">
        <f>SUM($AQ212:BV212)-SUM($EA212:ET212)</f>
        <v>89044</v>
      </c>
      <c r="DC212" s="12">
        <f>SUM($AQ212:BW212)-SUM($EA212:EU212)</f>
        <v>84944</v>
      </c>
      <c r="DD212" s="12">
        <f>SUM($AQ212:BX212)-SUM($EA212:EV212)</f>
        <v>80844</v>
      </c>
      <c r="DE212" s="12">
        <f>SUM($AQ212:BY212)-SUM($EA212:EW212)</f>
        <v>76824</v>
      </c>
      <c r="DF212" s="12">
        <f>SUM($AQ212:BZ212)-SUM($EA212:EX212)</f>
        <v>72824</v>
      </c>
      <c r="DG212" s="12">
        <f>SUM($AQ212:CA212)-SUM($EA212:EY212)</f>
        <v>68824</v>
      </c>
      <c r="DH212" s="12">
        <f>SUM($AQ212:CB212)-SUM($EA212:EZ212)</f>
        <v>64824</v>
      </c>
      <c r="DI212" s="12">
        <f>SUM($AQ212:CC212)-SUM($EA212:FA212)</f>
        <v>60824</v>
      </c>
      <c r="DJ212" s="12">
        <f>SUM($AQ212:CD212)-SUM($EA212:FB212)</f>
        <v>56824</v>
      </c>
      <c r="DK212" s="12">
        <f>SUM($AQ212:CE212)-SUM($EA212:FC212)</f>
        <v>52824</v>
      </c>
      <c r="DL212" s="12">
        <f>SUM($AQ212:CF212)-SUM($EA212:FD212)</f>
        <v>48824</v>
      </c>
      <c r="DM212" s="12">
        <f>SUM($AQ212:CG212)-SUM($EA212:FE212)</f>
        <v>44824</v>
      </c>
      <c r="DN212" s="12">
        <f>SUM($AQ212:CH212)-SUM($EA212:FF212)</f>
        <v>40824</v>
      </c>
      <c r="DO212" s="12">
        <f>SUM($AQ212:CI212)-SUM($EA212:FG212)</f>
        <v>36824</v>
      </c>
      <c r="DP212" s="12">
        <f>SUM($AQ212:CJ212)-SUM($EA212:FH212)</f>
        <v>32824</v>
      </c>
      <c r="DQ212" s="12">
        <f>SUM($AQ212:CK212)-SUM($EA212:FI212)</f>
        <v>28824</v>
      </c>
      <c r="DR212" s="12">
        <f>SUM($AQ212:CL212)-SUM($EA212:FJ212)</f>
        <v>24824</v>
      </c>
      <c r="DS212" s="12">
        <f>SUM($AQ212:CM212)-SUM($EA212:FK212)</f>
        <v>20824</v>
      </c>
      <c r="DT212" s="12">
        <f>SUM($AQ212:CN212)-SUM($EA212:FL212)</f>
        <v>16824</v>
      </c>
      <c r="DU212" s="12">
        <f>SUM($AQ212:CO212)-SUM($EA212:FM212)</f>
        <v>12824</v>
      </c>
      <c r="DV212" s="12">
        <f>SUM($AQ212:CP212)-SUM($EA212:FN212)</f>
        <v>140302</v>
      </c>
      <c r="DW212" s="12">
        <f>SUM($AQ212:CQ212)-SUM($EA212:FO212)</f>
        <v>270222</v>
      </c>
      <c r="DX212" s="13"/>
      <c r="DY212" s="13"/>
      <c r="DZ212" s="13"/>
      <c r="EA212" s="12"/>
      <c r="EB212" s="12"/>
      <c r="EC212" s="12"/>
      <c r="ED212" s="12"/>
      <c r="EE212" s="12"/>
      <c r="EF212" s="12"/>
      <c r="EG212" s="12"/>
      <c r="EH212" s="12">
        <f t="array" ref="EH212">SUMPRODUCT(TRANSPOSE(EH$9:EH$34),$K212:$AJ212)</f>
        <v>14126</v>
      </c>
      <c r="EI212" s="12">
        <f t="array" ref="EI212">SUMPRODUCT(TRANSPOSE(EI$9:EI$34),$K212:$AJ212)</f>
        <v>800</v>
      </c>
      <c r="EJ212" s="12">
        <f t="array" ref="EJ212">SUMPRODUCT(TRANSPOSE(EJ$9:EJ$34),$K212:$AJ212)</f>
        <v>2030</v>
      </c>
      <c r="EK212" s="12">
        <f t="array" ref="EK212">SUMPRODUCT(TRANSPOSE(EK$9:EK$34),$K212:$AJ212)</f>
        <v>2270</v>
      </c>
      <c r="EL212" s="12">
        <f t="array" ref="EL212">SUMPRODUCT(TRANSPOSE(EL$9:EL$34),$K212:$AJ212)</f>
        <v>4030</v>
      </c>
      <c r="EM212" s="12">
        <f t="array" ref="EM212">SUMPRODUCT(TRANSPOSE(EM$9:EM$34),$K212:$AJ212)</f>
        <v>4100</v>
      </c>
      <c r="EN212" s="12">
        <f t="array" ref="EN212">SUMPRODUCT(TRANSPOSE(EN$9:EN$34),$K212:$AJ212)</f>
        <v>4100</v>
      </c>
      <c r="EO212" s="12">
        <f t="array" ref="EO212">SUMPRODUCT(TRANSPOSE(EO$9:EO$34),$K212:$AJ212)</f>
        <v>4000</v>
      </c>
      <c r="EP212" s="12">
        <f t="array" ref="EP212">SUMPRODUCT(TRANSPOSE(EP$9:EP$34),$K212:$AJ212)</f>
        <v>4100</v>
      </c>
      <c r="EQ212" s="12">
        <f t="array" ref="EQ212">SUMPRODUCT(TRANSPOSE(EQ$9:EQ$34),$K212:$AJ212)</f>
        <v>4100</v>
      </c>
      <c r="ER212" s="12">
        <f t="array" ref="ER212">SUMPRODUCT(TRANSPOSE(ER$9:ER$34),$K212:$AJ212)</f>
        <v>4100</v>
      </c>
      <c r="ES212" s="12">
        <f t="array" ref="ES212">SUMPRODUCT(TRANSPOSE(ES$9:ES$34),$K212:$AJ212)</f>
        <v>4100</v>
      </c>
      <c r="ET212" s="12">
        <f t="array" ref="ET212">SUMPRODUCT(TRANSPOSE(ET$9:ET$34),$K212:$AJ212)</f>
        <v>4100</v>
      </c>
      <c r="EU212" s="12">
        <f t="array" ref="EU212">SUMPRODUCT(TRANSPOSE(EU$9:EU$34),$K212:$AJ212)</f>
        <v>4100</v>
      </c>
      <c r="EV212" s="12">
        <f t="array" ref="EV212">SUMPRODUCT(TRANSPOSE(EV$9:EV$34),$K212:$AJ212)</f>
        <v>4100</v>
      </c>
      <c r="EW212" s="12">
        <f t="array" ref="EW212">SUMPRODUCT(TRANSPOSE(EW$9:EW$34),$K212:$AJ212)</f>
        <v>4020</v>
      </c>
      <c r="EX212" s="12">
        <f t="array" ref="EX212">SUMPRODUCT(TRANSPOSE(EX$9:EX$34),$K212:$AJ212)</f>
        <v>4000</v>
      </c>
      <c r="EY212" s="12">
        <f t="array" ref="EY212">SUMPRODUCT(TRANSPOSE(EY$9:EY$34),$K212:$AJ212)</f>
        <v>4000</v>
      </c>
      <c r="EZ212" s="12">
        <f t="array" ref="EZ212">SUMPRODUCT(TRANSPOSE(EZ$9:EZ$34),$K212:$AJ212)</f>
        <v>4000</v>
      </c>
      <c r="FA212" s="12">
        <f t="array" ref="FA212">SUMPRODUCT(TRANSPOSE(FA$9:FA$34),$K212:$AJ212)</f>
        <v>4000</v>
      </c>
      <c r="FB212" s="12">
        <f t="array" ref="FB212">SUMPRODUCT(TRANSPOSE(FB$9:FB$34),$K212:$AJ212)</f>
        <v>4000</v>
      </c>
      <c r="FC212" s="12">
        <f t="array" ref="FC212">SUMPRODUCT(TRANSPOSE(FC$9:FC$34),$K212:$AJ212)</f>
        <v>4000</v>
      </c>
      <c r="FD212" s="12">
        <f t="array" ref="FD212">SUMPRODUCT(TRANSPOSE(FD$9:FD$34),$K212:$AJ212)</f>
        <v>4000</v>
      </c>
      <c r="FE212" s="12">
        <f t="array" ref="FE212">SUMPRODUCT(TRANSPOSE(FE$9:FE$34),$K212:$AJ212)</f>
        <v>4000</v>
      </c>
      <c r="FF212" s="12">
        <f t="array" ref="FF212">SUMPRODUCT(TRANSPOSE(FF$9:FF$34),$K212:$AJ212)</f>
        <v>4000</v>
      </c>
      <c r="FG212" s="12">
        <f t="array" ref="FG212">SUMPRODUCT(TRANSPOSE(FG$9:FG$34),$K212:$AJ212)</f>
        <v>4000</v>
      </c>
      <c r="FH212" s="12">
        <f t="array" ref="FH212">SUMPRODUCT(TRANSPOSE(FH$9:FH$34),$K212:$AJ212)</f>
        <v>4000</v>
      </c>
      <c r="FI212" s="12">
        <f t="array" ref="FI212">SUMPRODUCT(TRANSPOSE(FI$9:FI$34),$K212:$AJ212)</f>
        <v>4000</v>
      </c>
      <c r="FJ212" s="12">
        <f t="array" ref="FJ212">SUMPRODUCT(TRANSPOSE(FJ$9:FJ$34),$K212:$AJ212)</f>
        <v>4000</v>
      </c>
      <c r="FK212" s="12">
        <f t="array" ref="FK212">SUMPRODUCT(TRANSPOSE(FK$9:FK$34),$K212:$AJ212)</f>
        <v>4000</v>
      </c>
      <c r="FL212" s="12">
        <f t="array" ref="FL212">SUMPRODUCT(TRANSPOSE(FL$9:FL$34),$K212:$AJ212)</f>
        <v>4000</v>
      </c>
      <c r="FM212" s="12">
        <f t="array" ref="FM212">SUMPRODUCT(TRANSPOSE(FM$9:FM$34),$K212:$AJ212)</f>
        <v>4000</v>
      </c>
      <c r="FN212" s="12">
        <f t="array" ref="FN212">SUMPRODUCT(TRANSPOSE(FN$9:FN$34),$K212:$AJ212)</f>
        <v>3396</v>
      </c>
      <c r="FO212" s="12">
        <f t="array" ref="FO212">SUMPRODUCT(TRANSPOSE(FO$9:FO$34),$K212:$AJ212)</f>
        <v>154</v>
      </c>
    </row>
    <row r="213" spans="1:171" ht="14.25" x14ac:dyDescent="0.2">
      <c r="A213" s="13">
        <f t="shared" si="10"/>
        <v>178</v>
      </c>
      <c r="B213" s="13" t="s">
        <v>636</v>
      </c>
      <c r="C213" s="25" t="s">
        <v>637</v>
      </c>
      <c r="D213" s="13" t="s">
        <v>67</v>
      </c>
      <c r="E213" s="13">
        <v>401485719</v>
      </c>
      <c r="F213" s="26" t="s">
        <v>638</v>
      </c>
      <c r="G213" s="13" t="s">
        <v>639</v>
      </c>
      <c r="H213" s="13" t="s">
        <v>61</v>
      </c>
      <c r="I213" s="13">
        <v>2</v>
      </c>
      <c r="J213" s="13">
        <v>6</v>
      </c>
      <c r="K213" s="13">
        <v>0</v>
      </c>
      <c r="L213" s="13">
        <v>0</v>
      </c>
      <c r="M213" s="13">
        <v>0</v>
      </c>
      <c r="N213" s="13">
        <v>0</v>
      </c>
      <c r="O213" s="13">
        <v>2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2</v>
      </c>
      <c r="Y213" s="13"/>
      <c r="Z213" s="13"/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2</v>
      </c>
      <c r="AK213" s="13">
        <f t="shared" si="11"/>
        <v>4</v>
      </c>
      <c r="AL213" s="23">
        <f t="shared" si="9"/>
        <v>141726</v>
      </c>
      <c r="AM213" s="13"/>
      <c r="AN213" s="13" t="s">
        <v>299</v>
      </c>
      <c r="AO213" s="7" t="s">
        <v>300</v>
      </c>
      <c r="AP213" s="38">
        <v>1.1999999999999999E-3</v>
      </c>
      <c r="AQ213" s="12">
        <v>145000</v>
      </c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13"/>
      <c r="CG213" s="13"/>
      <c r="CH213" s="13"/>
      <c r="CI213" s="12"/>
      <c r="CJ213" s="12"/>
      <c r="CK213" s="12"/>
      <c r="CL213" s="12"/>
      <c r="CM213" s="12"/>
      <c r="CN213" s="12"/>
      <c r="CO213" s="12"/>
      <c r="CP213" s="12">
        <f>SUM($AQ213:BJ213)-SUM($EA213:EH213)</f>
        <v>130874</v>
      </c>
      <c r="CQ213" s="12">
        <f>SUM($AQ213:BK213)-SUM($EA213:EI213)</f>
        <v>130074</v>
      </c>
      <c r="CR213" s="12">
        <f>SUM($AQ213:BL213)-SUM($EA213:EJ213)</f>
        <v>128044</v>
      </c>
      <c r="CS213" s="12">
        <f>SUM($AQ213:BM213)-SUM($EA213:EK213)</f>
        <v>125774</v>
      </c>
      <c r="CT213" s="12">
        <f>SUM($AQ213:BN213)-SUM($EA213:EL213)</f>
        <v>121744</v>
      </c>
      <c r="CU213" s="12">
        <f>SUM($AQ213:BO213)-SUM($EA213:EM213)</f>
        <v>117644</v>
      </c>
      <c r="CV213" s="12">
        <f>SUM($AQ213:BP213)-SUM($EA213:EN213)</f>
        <v>113544</v>
      </c>
      <c r="CW213" s="12">
        <f>SUM($AQ213:BQ213)-SUM($EA213:EO213)</f>
        <v>109544</v>
      </c>
      <c r="CX213" s="12">
        <f>SUM($AQ213:BR213)-SUM($EA213:EP213)</f>
        <v>105444</v>
      </c>
      <c r="CY213" s="12">
        <f>SUM($AQ213:BS213)-SUM($EA213:EQ213)</f>
        <v>101344</v>
      </c>
      <c r="CZ213" s="12">
        <f>SUM($AQ213:BT213)-SUM($EA213:ER213)</f>
        <v>97244</v>
      </c>
      <c r="DA213" s="12">
        <f>SUM($AQ213:BU213)-SUM($EA213:ES213)</f>
        <v>93144</v>
      </c>
      <c r="DB213" s="12">
        <f>SUM($AQ213:BV213)-SUM($EA213:ET213)</f>
        <v>89044</v>
      </c>
      <c r="DC213" s="12">
        <f>SUM($AQ213:BW213)-SUM($EA213:EU213)</f>
        <v>84944</v>
      </c>
      <c r="DD213" s="12">
        <f>SUM($AQ213:BX213)-SUM($EA213:EV213)</f>
        <v>80844</v>
      </c>
      <c r="DE213" s="12">
        <f>SUM($AQ213:BY213)-SUM($EA213:EW213)</f>
        <v>76824</v>
      </c>
      <c r="DF213" s="12">
        <f>SUM($AQ213:BZ213)-SUM($EA213:EX213)</f>
        <v>72824</v>
      </c>
      <c r="DG213" s="12">
        <f>SUM($AQ213:CA213)-SUM($EA213:EY213)</f>
        <v>68824</v>
      </c>
      <c r="DH213" s="12">
        <f>SUM($AQ213:CB213)-SUM($EA213:EZ213)</f>
        <v>64824</v>
      </c>
      <c r="DI213" s="12">
        <f>SUM($AQ213:CC213)-SUM($EA213:FA213)</f>
        <v>60824</v>
      </c>
      <c r="DJ213" s="12">
        <f>SUM($AQ213:CD213)-SUM($EA213:FB213)</f>
        <v>56824</v>
      </c>
      <c r="DK213" s="12">
        <f>SUM($AQ213:CE213)-SUM($EA213:FC213)</f>
        <v>52824</v>
      </c>
      <c r="DL213" s="12">
        <f>SUM($AQ213:CF213)-SUM($EA213:FD213)</f>
        <v>48824</v>
      </c>
      <c r="DM213" s="12">
        <f>SUM($AQ213:CG213)-SUM($EA213:FE213)</f>
        <v>44824</v>
      </c>
      <c r="DN213" s="12">
        <f>SUM($AQ213:CH213)-SUM($EA213:FF213)</f>
        <v>40824</v>
      </c>
      <c r="DO213" s="12">
        <f>SUM($AQ213:CI213)-SUM($EA213:FG213)</f>
        <v>36824</v>
      </c>
      <c r="DP213" s="12">
        <f>SUM($AQ213:CJ213)-SUM($EA213:FH213)</f>
        <v>32824</v>
      </c>
      <c r="DQ213" s="12">
        <f>SUM($AQ213:CK213)-SUM($EA213:FI213)</f>
        <v>28824</v>
      </c>
      <c r="DR213" s="12">
        <f>SUM($AQ213:CL213)-SUM($EA213:FJ213)</f>
        <v>24824</v>
      </c>
      <c r="DS213" s="12">
        <f>SUM($AQ213:CM213)-SUM($EA213:FK213)</f>
        <v>20824</v>
      </c>
      <c r="DT213" s="12">
        <f>SUM($AQ213:CN213)-SUM($EA213:FL213)</f>
        <v>16824</v>
      </c>
      <c r="DU213" s="12">
        <f>SUM($AQ213:CO213)-SUM($EA213:FM213)</f>
        <v>12824</v>
      </c>
      <c r="DV213" s="12">
        <f>SUM($AQ213:CP213)-SUM($EA213:FN213)</f>
        <v>140302</v>
      </c>
      <c r="DW213" s="12">
        <f>SUM($AQ213:CQ213)-SUM($EA213:FO213)</f>
        <v>270222</v>
      </c>
      <c r="DX213" s="13"/>
      <c r="DY213" s="13"/>
      <c r="DZ213" s="13"/>
      <c r="EA213" s="12"/>
      <c r="EB213" s="12"/>
      <c r="EC213" s="12"/>
      <c r="ED213" s="12"/>
      <c r="EE213" s="12"/>
      <c r="EF213" s="12"/>
      <c r="EG213" s="12"/>
      <c r="EH213" s="12">
        <f t="array" ref="EH213">SUMPRODUCT(TRANSPOSE(EH$9:EH$34),$K213:$AJ213)</f>
        <v>14126</v>
      </c>
      <c r="EI213" s="12">
        <f t="array" ref="EI213">SUMPRODUCT(TRANSPOSE(EI$9:EI$34),$K213:$AJ213)</f>
        <v>800</v>
      </c>
      <c r="EJ213" s="12">
        <f t="array" ref="EJ213">SUMPRODUCT(TRANSPOSE(EJ$9:EJ$34),$K213:$AJ213)</f>
        <v>2030</v>
      </c>
      <c r="EK213" s="12">
        <f t="array" ref="EK213">SUMPRODUCT(TRANSPOSE(EK$9:EK$34),$K213:$AJ213)</f>
        <v>2270</v>
      </c>
      <c r="EL213" s="12">
        <f t="array" ref="EL213">SUMPRODUCT(TRANSPOSE(EL$9:EL$34),$K213:$AJ213)</f>
        <v>4030</v>
      </c>
      <c r="EM213" s="12">
        <f t="array" ref="EM213">SUMPRODUCT(TRANSPOSE(EM$9:EM$34),$K213:$AJ213)</f>
        <v>4100</v>
      </c>
      <c r="EN213" s="12">
        <f t="array" ref="EN213">SUMPRODUCT(TRANSPOSE(EN$9:EN$34),$K213:$AJ213)</f>
        <v>4100</v>
      </c>
      <c r="EO213" s="12">
        <f t="array" ref="EO213">SUMPRODUCT(TRANSPOSE(EO$9:EO$34),$K213:$AJ213)</f>
        <v>4000</v>
      </c>
      <c r="EP213" s="12">
        <f t="array" ref="EP213">SUMPRODUCT(TRANSPOSE(EP$9:EP$34),$K213:$AJ213)</f>
        <v>4100</v>
      </c>
      <c r="EQ213" s="12">
        <f t="array" ref="EQ213">SUMPRODUCT(TRANSPOSE(EQ$9:EQ$34),$K213:$AJ213)</f>
        <v>4100</v>
      </c>
      <c r="ER213" s="12">
        <f t="array" ref="ER213">SUMPRODUCT(TRANSPOSE(ER$9:ER$34),$K213:$AJ213)</f>
        <v>4100</v>
      </c>
      <c r="ES213" s="12">
        <f t="array" ref="ES213">SUMPRODUCT(TRANSPOSE(ES$9:ES$34),$K213:$AJ213)</f>
        <v>4100</v>
      </c>
      <c r="ET213" s="12">
        <f t="array" ref="ET213">SUMPRODUCT(TRANSPOSE(ET$9:ET$34),$K213:$AJ213)</f>
        <v>4100</v>
      </c>
      <c r="EU213" s="12">
        <f t="array" ref="EU213">SUMPRODUCT(TRANSPOSE(EU$9:EU$34),$K213:$AJ213)</f>
        <v>4100</v>
      </c>
      <c r="EV213" s="12">
        <f t="array" ref="EV213">SUMPRODUCT(TRANSPOSE(EV$9:EV$34),$K213:$AJ213)</f>
        <v>4100</v>
      </c>
      <c r="EW213" s="12">
        <f t="array" ref="EW213">SUMPRODUCT(TRANSPOSE(EW$9:EW$34),$K213:$AJ213)</f>
        <v>4020</v>
      </c>
      <c r="EX213" s="12">
        <f t="array" ref="EX213">SUMPRODUCT(TRANSPOSE(EX$9:EX$34),$K213:$AJ213)</f>
        <v>4000</v>
      </c>
      <c r="EY213" s="12">
        <f t="array" ref="EY213">SUMPRODUCT(TRANSPOSE(EY$9:EY$34),$K213:$AJ213)</f>
        <v>4000</v>
      </c>
      <c r="EZ213" s="12">
        <f t="array" ref="EZ213">SUMPRODUCT(TRANSPOSE(EZ$9:EZ$34),$K213:$AJ213)</f>
        <v>4000</v>
      </c>
      <c r="FA213" s="12">
        <f t="array" ref="FA213">SUMPRODUCT(TRANSPOSE(FA$9:FA$34),$K213:$AJ213)</f>
        <v>4000</v>
      </c>
      <c r="FB213" s="12">
        <f t="array" ref="FB213">SUMPRODUCT(TRANSPOSE(FB$9:FB$34),$K213:$AJ213)</f>
        <v>4000</v>
      </c>
      <c r="FC213" s="12">
        <f t="array" ref="FC213">SUMPRODUCT(TRANSPOSE(FC$9:FC$34),$K213:$AJ213)</f>
        <v>4000</v>
      </c>
      <c r="FD213" s="12">
        <f t="array" ref="FD213">SUMPRODUCT(TRANSPOSE(FD$9:FD$34),$K213:$AJ213)</f>
        <v>4000</v>
      </c>
      <c r="FE213" s="12">
        <f t="array" ref="FE213">SUMPRODUCT(TRANSPOSE(FE$9:FE$34),$K213:$AJ213)</f>
        <v>4000</v>
      </c>
      <c r="FF213" s="12">
        <f t="array" ref="FF213">SUMPRODUCT(TRANSPOSE(FF$9:FF$34),$K213:$AJ213)</f>
        <v>4000</v>
      </c>
      <c r="FG213" s="12">
        <f t="array" ref="FG213">SUMPRODUCT(TRANSPOSE(FG$9:FG$34),$K213:$AJ213)</f>
        <v>4000</v>
      </c>
      <c r="FH213" s="12">
        <f t="array" ref="FH213">SUMPRODUCT(TRANSPOSE(FH$9:FH$34),$K213:$AJ213)</f>
        <v>4000</v>
      </c>
      <c r="FI213" s="12">
        <f t="array" ref="FI213">SUMPRODUCT(TRANSPOSE(FI$9:FI$34),$K213:$AJ213)</f>
        <v>4000</v>
      </c>
      <c r="FJ213" s="12">
        <f t="array" ref="FJ213">SUMPRODUCT(TRANSPOSE(FJ$9:FJ$34),$K213:$AJ213)</f>
        <v>4000</v>
      </c>
      <c r="FK213" s="12">
        <f t="array" ref="FK213">SUMPRODUCT(TRANSPOSE(FK$9:FK$34),$K213:$AJ213)</f>
        <v>4000</v>
      </c>
      <c r="FL213" s="12">
        <f t="array" ref="FL213">SUMPRODUCT(TRANSPOSE(FL$9:FL$34),$K213:$AJ213)</f>
        <v>4000</v>
      </c>
      <c r="FM213" s="12">
        <f t="array" ref="FM213">SUMPRODUCT(TRANSPOSE(FM$9:FM$34),$K213:$AJ213)</f>
        <v>4000</v>
      </c>
      <c r="FN213" s="12">
        <f t="array" ref="FN213">SUMPRODUCT(TRANSPOSE(FN$9:FN$34),$K213:$AJ213)</f>
        <v>3396</v>
      </c>
      <c r="FO213" s="12">
        <f t="array" ref="FO213">SUMPRODUCT(TRANSPOSE(FO$9:FO$34),$K213:$AJ213)</f>
        <v>154</v>
      </c>
    </row>
    <row r="214" spans="1:171" ht="14.25" x14ac:dyDescent="0.2">
      <c r="A214" s="13">
        <f t="shared" si="10"/>
        <v>179</v>
      </c>
      <c r="B214" s="13" t="s">
        <v>640</v>
      </c>
      <c r="C214" s="25" t="s">
        <v>641</v>
      </c>
      <c r="D214" s="13" t="s">
        <v>67</v>
      </c>
      <c r="E214" s="13">
        <v>401235524</v>
      </c>
      <c r="F214" s="26" t="s">
        <v>642</v>
      </c>
      <c r="G214" s="13" t="s">
        <v>643</v>
      </c>
      <c r="H214" s="13" t="s">
        <v>61</v>
      </c>
      <c r="I214" s="13">
        <v>2</v>
      </c>
      <c r="J214" s="13">
        <v>6</v>
      </c>
      <c r="K214" s="13">
        <v>0</v>
      </c>
      <c r="L214" s="13">
        <v>0</v>
      </c>
      <c r="M214" s="13">
        <v>0</v>
      </c>
      <c r="N214" s="13">
        <v>2</v>
      </c>
      <c r="O214" s="13">
        <v>0</v>
      </c>
      <c r="P214" s="13">
        <v>0</v>
      </c>
      <c r="Q214" s="13">
        <v>0</v>
      </c>
      <c r="R214" s="13">
        <v>0</v>
      </c>
      <c r="S214" s="13">
        <v>2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/>
      <c r="Z214" s="13">
        <v>2</v>
      </c>
      <c r="AA214" s="13">
        <v>0</v>
      </c>
      <c r="AB214" s="13">
        <v>0</v>
      </c>
      <c r="AC214" s="13">
        <v>0</v>
      </c>
      <c r="AD214" s="13">
        <v>2</v>
      </c>
      <c r="AE214" s="13">
        <v>2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f t="shared" si="11"/>
        <v>8</v>
      </c>
      <c r="AL214" s="23">
        <f t="shared" si="9"/>
        <v>141792</v>
      </c>
      <c r="AM214" s="13"/>
      <c r="AN214" s="13" t="s">
        <v>299</v>
      </c>
      <c r="AO214" s="7" t="s">
        <v>307</v>
      </c>
      <c r="AP214" s="37">
        <v>3.0000000000000001E-3</v>
      </c>
      <c r="AQ214" s="12">
        <v>145000</v>
      </c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13"/>
      <c r="CG214" s="13"/>
      <c r="CH214" s="13"/>
      <c r="CI214" s="12"/>
      <c r="CJ214" s="12"/>
      <c r="CK214" s="12"/>
      <c r="CL214" s="12"/>
      <c r="CM214" s="12"/>
      <c r="CN214" s="12"/>
      <c r="CO214" s="12"/>
      <c r="CP214" s="12">
        <f>SUM($AQ214:BJ214)-SUM($EA214:EH214)</f>
        <v>130874</v>
      </c>
      <c r="CQ214" s="12">
        <f>SUM($AQ214:BK214)-SUM($EA214:EI214)</f>
        <v>130312</v>
      </c>
      <c r="CR214" s="12">
        <f>SUM($AQ214:BL214)-SUM($EA214:EJ214)</f>
        <v>128282</v>
      </c>
      <c r="CS214" s="12">
        <f>SUM($AQ214:BM214)-SUM($EA214:EK214)</f>
        <v>126012</v>
      </c>
      <c r="CT214" s="12">
        <f>SUM($AQ214:BN214)-SUM($EA214:EL214)</f>
        <v>121982</v>
      </c>
      <c r="CU214" s="12">
        <f>SUM($AQ214:BO214)-SUM($EA214:EM214)</f>
        <v>117882</v>
      </c>
      <c r="CV214" s="12">
        <f>SUM($AQ214:BP214)-SUM($EA214:EN214)</f>
        <v>113782</v>
      </c>
      <c r="CW214" s="12">
        <f>SUM($AQ214:BQ214)-SUM($EA214:EO214)</f>
        <v>109782</v>
      </c>
      <c r="CX214" s="12">
        <f>SUM($AQ214:BR214)-SUM($EA214:EP214)</f>
        <v>105682</v>
      </c>
      <c r="CY214" s="12">
        <f>SUM($AQ214:BS214)-SUM($EA214:EQ214)</f>
        <v>101582</v>
      </c>
      <c r="CZ214" s="12">
        <f>SUM($AQ214:BT214)-SUM($EA214:ER214)</f>
        <v>97482</v>
      </c>
      <c r="DA214" s="12">
        <f>SUM($AQ214:BU214)-SUM($EA214:ES214)</f>
        <v>93382</v>
      </c>
      <c r="DB214" s="12">
        <f>SUM($AQ214:BV214)-SUM($EA214:ET214)</f>
        <v>89282</v>
      </c>
      <c r="DC214" s="12">
        <f>SUM($AQ214:BW214)-SUM($EA214:EU214)</f>
        <v>85182</v>
      </c>
      <c r="DD214" s="12">
        <f>SUM($AQ214:BX214)-SUM($EA214:EV214)</f>
        <v>81082</v>
      </c>
      <c r="DE214" s="12">
        <f>SUM($AQ214:BY214)-SUM($EA214:EW214)</f>
        <v>76996</v>
      </c>
      <c r="DF214" s="12">
        <f>SUM($AQ214:BZ214)-SUM($EA214:EX214)</f>
        <v>72996</v>
      </c>
      <c r="DG214" s="12">
        <f>SUM($AQ214:CA214)-SUM($EA214:EY214)</f>
        <v>68996</v>
      </c>
      <c r="DH214" s="12">
        <f>SUM($AQ214:CB214)-SUM($EA214:EZ214)</f>
        <v>64996</v>
      </c>
      <c r="DI214" s="12">
        <f>SUM($AQ214:CC214)-SUM($EA214:FA214)</f>
        <v>60996</v>
      </c>
      <c r="DJ214" s="12">
        <f>SUM($AQ214:CD214)-SUM($EA214:FB214)</f>
        <v>56996</v>
      </c>
      <c r="DK214" s="12">
        <f>SUM($AQ214:CE214)-SUM($EA214:FC214)</f>
        <v>52996</v>
      </c>
      <c r="DL214" s="12">
        <f>SUM($AQ214:CF214)-SUM($EA214:FD214)</f>
        <v>48996</v>
      </c>
      <c r="DM214" s="12">
        <f>SUM($AQ214:CG214)-SUM($EA214:FE214)</f>
        <v>44996</v>
      </c>
      <c r="DN214" s="12">
        <f>SUM($AQ214:CH214)-SUM($EA214:FF214)</f>
        <v>40996</v>
      </c>
      <c r="DO214" s="12">
        <f>SUM($AQ214:CI214)-SUM($EA214:FG214)</f>
        <v>36996</v>
      </c>
      <c r="DP214" s="12">
        <f>SUM($AQ214:CJ214)-SUM($EA214:FH214)</f>
        <v>32996</v>
      </c>
      <c r="DQ214" s="12">
        <f>SUM($AQ214:CK214)-SUM($EA214:FI214)</f>
        <v>28996</v>
      </c>
      <c r="DR214" s="12">
        <f>SUM($AQ214:CL214)-SUM($EA214:FJ214)</f>
        <v>24996</v>
      </c>
      <c r="DS214" s="12">
        <f>SUM($AQ214:CM214)-SUM($EA214:FK214)</f>
        <v>20996</v>
      </c>
      <c r="DT214" s="12">
        <f>SUM($AQ214:CN214)-SUM($EA214:FL214)</f>
        <v>16996</v>
      </c>
      <c r="DU214" s="12">
        <f>SUM($AQ214:CO214)-SUM($EA214:FM214)</f>
        <v>12996</v>
      </c>
      <c r="DV214" s="12">
        <f>SUM($AQ214:CP214)-SUM($EA214:FN214)</f>
        <v>140236</v>
      </c>
      <c r="DW214" s="12">
        <f>SUM($AQ214:CQ214)-SUM($EA214:FO214)</f>
        <v>270394</v>
      </c>
      <c r="DX214" s="13"/>
      <c r="DY214" s="13"/>
      <c r="DZ214" s="13"/>
      <c r="EA214" s="12"/>
      <c r="EB214" s="12"/>
      <c r="EC214" s="12"/>
      <c r="ED214" s="12"/>
      <c r="EE214" s="12"/>
      <c r="EF214" s="12"/>
      <c r="EG214" s="12"/>
      <c r="EH214" s="12">
        <f t="array" ref="EH214">SUMPRODUCT(TRANSPOSE(EH$9:EH$34),$K214:$AJ214)</f>
        <v>14126</v>
      </c>
      <c r="EI214" s="12">
        <f t="array" ref="EI214">SUMPRODUCT(TRANSPOSE(EI$9:EI$34),$K214:$AJ214)</f>
        <v>562</v>
      </c>
      <c r="EJ214" s="12">
        <f t="array" ref="EJ214">SUMPRODUCT(TRANSPOSE(EJ$9:EJ$34),$K214:$AJ214)</f>
        <v>2030</v>
      </c>
      <c r="EK214" s="12">
        <f t="array" ref="EK214">SUMPRODUCT(TRANSPOSE(EK$9:EK$34),$K214:$AJ214)</f>
        <v>2270</v>
      </c>
      <c r="EL214" s="12">
        <f t="array" ref="EL214">SUMPRODUCT(TRANSPOSE(EL$9:EL$34),$K214:$AJ214)</f>
        <v>4030</v>
      </c>
      <c r="EM214" s="12">
        <f t="array" ref="EM214">SUMPRODUCT(TRANSPOSE(EM$9:EM$34),$K214:$AJ214)</f>
        <v>4100</v>
      </c>
      <c r="EN214" s="12">
        <f t="array" ref="EN214">SUMPRODUCT(TRANSPOSE(EN$9:EN$34),$K214:$AJ214)</f>
        <v>4100</v>
      </c>
      <c r="EO214" s="12">
        <f t="array" ref="EO214">SUMPRODUCT(TRANSPOSE(EO$9:EO$34),$K214:$AJ214)</f>
        <v>4000</v>
      </c>
      <c r="EP214" s="12">
        <f t="array" ref="EP214">SUMPRODUCT(TRANSPOSE(EP$9:EP$34),$K214:$AJ214)</f>
        <v>4100</v>
      </c>
      <c r="EQ214" s="12">
        <f t="array" ref="EQ214">SUMPRODUCT(TRANSPOSE(EQ$9:EQ$34),$K214:$AJ214)</f>
        <v>4100</v>
      </c>
      <c r="ER214" s="12">
        <f t="array" ref="ER214">SUMPRODUCT(TRANSPOSE(ER$9:ER$34),$K214:$AJ214)</f>
        <v>4100</v>
      </c>
      <c r="ES214" s="12">
        <f t="array" ref="ES214">SUMPRODUCT(TRANSPOSE(ES$9:ES$34),$K214:$AJ214)</f>
        <v>4100</v>
      </c>
      <c r="ET214" s="12">
        <f t="array" ref="ET214">SUMPRODUCT(TRANSPOSE(ET$9:ET$34),$K214:$AJ214)</f>
        <v>4100</v>
      </c>
      <c r="EU214" s="12">
        <f t="array" ref="EU214">SUMPRODUCT(TRANSPOSE(EU$9:EU$34),$K214:$AJ214)</f>
        <v>4100</v>
      </c>
      <c r="EV214" s="12">
        <f t="array" ref="EV214">SUMPRODUCT(TRANSPOSE(EV$9:EV$34),$K214:$AJ214)</f>
        <v>4100</v>
      </c>
      <c r="EW214" s="12">
        <f t="array" ref="EW214">SUMPRODUCT(TRANSPOSE(EW$9:EW$34),$K214:$AJ214)</f>
        <v>4086</v>
      </c>
      <c r="EX214" s="12">
        <f t="array" ref="EX214">SUMPRODUCT(TRANSPOSE(EX$9:EX$34),$K214:$AJ214)</f>
        <v>4000</v>
      </c>
      <c r="EY214" s="12">
        <f t="array" ref="EY214">SUMPRODUCT(TRANSPOSE(EY$9:EY$34),$K214:$AJ214)</f>
        <v>4000</v>
      </c>
      <c r="EZ214" s="12">
        <f t="array" ref="EZ214">SUMPRODUCT(TRANSPOSE(EZ$9:EZ$34),$K214:$AJ214)</f>
        <v>4000</v>
      </c>
      <c r="FA214" s="12">
        <f t="array" ref="FA214">SUMPRODUCT(TRANSPOSE(FA$9:FA$34),$K214:$AJ214)</f>
        <v>4000</v>
      </c>
      <c r="FB214" s="12">
        <f t="array" ref="FB214">SUMPRODUCT(TRANSPOSE(FB$9:FB$34),$K214:$AJ214)</f>
        <v>4000</v>
      </c>
      <c r="FC214" s="12">
        <f t="array" ref="FC214">SUMPRODUCT(TRANSPOSE(FC$9:FC$34),$K214:$AJ214)</f>
        <v>4000</v>
      </c>
      <c r="FD214" s="12">
        <f t="array" ref="FD214">SUMPRODUCT(TRANSPOSE(FD$9:FD$34),$K214:$AJ214)</f>
        <v>4000</v>
      </c>
      <c r="FE214" s="12">
        <f t="array" ref="FE214">SUMPRODUCT(TRANSPOSE(FE$9:FE$34),$K214:$AJ214)</f>
        <v>4000</v>
      </c>
      <c r="FF214" s="12">
        <f t="array" ref="FF214">SUMPRODUCT(TRANSPOSE(FF$9:FF$34),$K214:$AJ214)</f>
        <v>4000</v>
      </c>
      <c r="FG214" s="12">
        <f t="array" ref="FG214">SUMPRODUCT(TRANSPOSE(FG$9:FG$34),$K214:$AJ214)</f>
        <v>4000</v>
      </c>
      <c r="FH214" s="12">
        <f t="array" ref="FH214">SUMPRODUCT(TRANSPOSE(FH$9:FH$34),$K214:$AJ214)</f>
        <v>4000</v>
      </c>
      <c r="FI214" s="12">
        <f t="array" ref="FI214">SUMPRODUCT(TRANSPOSE(FI$9:FI$34),$K214:$AJ214)</f>
        <v>4000</v>
      </c>
      <c r="FJ214" s="12">
        <f t="array" ref="FJ214">SUMPRODUCT(TRANSPOSE(FJ$9:FJ$34),$K214:$AJ214)</f>
        <v>4000</v>
      </c>
      <c r="FK214" s="12">
        <f t="array" ref="FK214">SUMPRODUCT(TRANSPOSE(FK$9:FK$34),$K214:$AJ214)</f>
        <v>4000</v>
      </c>
      <c r="FL214" s="12">
        <f t="array" ref="FL214">SUMPRODUCT(TRANSPOSE(FL$9:FL$34),$K214:$AJ214)</f>
        <v>4000</v>
      </c>
      <c r="FM214" s="12">
        <f t="array" ref="FM214">SUMPRODUCT(TRANSPOSE(FM$9:FM$34),$K214:$AJ214)</f>
        <v>4000</v>
      </c>
      <c r="FN214" s="12">
        <f t="array" ref="FN214">SUMPRODUCT(TRANSPOSE(FN$9:FN$34),$K214:$AJ214)</f>
        <v>3634</v>
      </c>
      <c r="FO214" s="12">
        <f t="array" ref="FO214">SUMPRODUCT(TRANSPOSE(FO$9:FO$34),$K214:$AJ214)</f>
        <v>154</v>
      </c>
    </row>
    <row r="215" spans="1:171" ht="14.25" x14ac:dyDescent="0.2">
      <c r="A215" s="13">
        <f t="shared" si="10"/>
        <v>180</v>
      </c>
      <c r="B215" s="13" t="s">
        <v>644</v>
      </c>
      <c r="C215" s="25" t="s">
        <v>645</v>
      </c>
      <c r="D215" s="13" t="s">
        <v>67</v>
      </c>
      <c r="E215" s="13">
        <v>401229464</v>
      </c>
      <c r="F215" s="26" t="s">
        <v>646</v>
      </c>
      <c r="G215" s="13"/>
      <c r="H215" s="13" t="s">
        <v>61</v>
      </c>
      <c r="I215" s="13">
        <v>2</v>
      </c>
      <c r="J215" s="13">
        <v>2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1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/>
      <c r="Z215" s="13">
        <v>1</v>
      </c>
      <c r="AA215" s="13">
        <v>0</v>
      </c>
      <c r="AB215" s="13">
        <v>0</v>
      </c>
      <c r="AC215" s="13">
        <v>0</v>
      </c>
      <c r="AD215" s="13">
        <v>1</v>
      </c>
      <c r="AE215" s="13">
        <v>1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f t="shared" si="11"/>
        <v>3</v>
      </c>
      <c r="AL215" s="23">
        <f t="shared" si="9"/>
        <v>35665</v>
      </c>
      <c r="AM215" s="27"/>
      <c r="AN215" s="13" t="s">
        <v>299</v>
      </c>
      <c r="AO215" s="7" t="s">
        <v>307</v>
      </c>
      <c r="AP215" s="38">
        <v>3.0000000000000001E-3</v>
      </c>
      <c r="AQ215" s="12">
        <v>40000</v>
      </c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13"/>
      <c r="CG215" s="13"/>
      <c r="CH215" s="13"/>
      <c r="CI215" s="12"/>
      <c r="CJ215" s="12"/>
      <c r="CK215" s="12"/>
      <c r="CL215" s="12"/>
      <c r="CM215" s="12"/>
      <c r="CN215" s="12"/>
      <c r="CO215" s="12"/>
      <c r="CP215" s="12">
        <f>SUM($AQ215:BJ215)-SUM($EA215:EH215)</f>
        <v>36891</v>
      </c>
      <c r="CQ215" s="12">
        <f>SUM($AQ215:BK215)-SUM($EA215:EI215)</f>
        <v>36610</v>
      </c>
      <c r="CR215" s="12">
        <f>SUM($AQ215:BL215)-SUM($EA215:EJ215)</f>
        <v>36595</v>
      </c>
      <c r="CS215" s="12">
        <f>SUM($AQ215:BM215)-SUM($EA215:EK215)</f>
        <v>36460</v>
      </c>
      <c r="CT215" s="12">
        <f>SUM($AQ215:BN215)-SUM($EA215:EL215)</f>
        <v>35445</v>
      </c>
      <c r="CU215" s="12">
        <f>SUM($AQ215:BO215)-SUM($EA215:EM215)</f>
        <v>33395</v>
      </c>
      <c r="CV215" s="12">
        <f>SUM($AQ215:BP215)-SUM($EA215:EN215)</f>
        <v>32245</v>
      </c>
      <c r="CW215" s="12">
        <f>SUM($AQ215:BQ215)-SUM($EA215:EO215)</f>
        <v>31245</v>
      </c>
      <c r="CX215" s="12">
        <f>SUM($AQ215:BR215)-SUM($EA215:EP215)</f>
        <v>30195</v>
      </c>
      <c r="CY215" s="12">
        <f>SUM($AQ215:BS215)-SUM($EA215:EQ215)</f>
        <v>29145</v>
      </c>
      <c r="CZ215" s="12">
        <f>SUM($AQ215:BT215)-SUM($EA215:ER215)</f>
        <v>28095</v>
      </c>
      <c r="DA215" s="12">
        <f>SUM($AQ215:BU215)-SUM($EA215:ES215)</f>
        <v>27045</v>
      </c>
      <c r="DB215" s="12">
        <f>SUM($AQ215:BV215)-SUM($EA215:ET215)</f>
        <v>25995</v>
      </c>
      <c r="DC215" s="12">
        <f>SUM($AQ215:BW215)-SUM($EA215:EU215)</f>
        <v>24945</v>
      </c>
      <c r="DD215" s="12">
        <f>SUM($AQ215:BX215)-SUM($EA215:EV215)</f>
        <v>23895</v>
      </c>
      <c r="DE215" s="12">
        <f>SUM($AQ215:BY215)-SUM($EA215:EW215)</f>
        <v>22852</v>
      </c>
      <c r="DF215" s="12">
        <f>SUM($AQ215:BZ215)-SUM($EA215:EX215)</f>
        <v>21852</v>
      </c>
      <c r="DG215" s="12">
        <f>SUM($AQ215:CA215)-SUM($EA215:EY215)</f>
        <v>20852</v>
      </c>
      <c r="DH215" s="12">
        <f>SUM($AQ215:CB215)-SUM($EA215:EZ215)</f>
        <v>19852</v>
      </c>
      <c r="DI215" s="12">
        <f>SUM($AQ215:CC215)-SUM($EA215:FA215)</f>
        <v>18852</v>
      </c>
      <c r="DJ215" s="12">
        <f>SUM($AQ215:CD215)-SUM($EA215:FB215)</f>
        <v>17852</v>
      </c>
      <c r="DK215" s="12">
        <f>SUM($AQ215:CE215)-SUM($EA215:FC215)</f>
        <v>16852</v>
      </c>
      <c r="DL215" s="12">
        <f>SUM($AQ215:CF215)-SUM($EA215:FD215)</f>
        <v>15852</v>
      </c>
      <c r="DM215" s="12">
        <f>SUM($AQ215:CG215)-SUM($EA215:FE215)</f>
        <v>14852</v>
      </c>
      <c r="DN215" s="12">
        <f>SUM($AQ215:CH215)-SUM($EA215:FF215)</f>
        <v>13852</v>
      </c>
      <c r="DO215" s="12">
        <f>SUM($AQ215:CI215)-SUM($EA215:FG215)</f>
        <v>12852</v>
      </c>
      <c r="DP215" s="12">
        <f>SUM($AQ215:CJ215)-SUM($EA215:FH215)</f>
        <v>11852</v>
      </c>
      <c r="DQ215" s="12">
        <f>SUM($AQ215:CK215)-SUM($EA215:FI215)</f>
        <v>10852</v>
      </c>
      <c r="DR215" s="12">
        <f>SUM($AQ215:CL215)-SUM($EA215:FJ215)</f>
        <v>9852</v>
      </c>
      <c r="DS215" s="12">
        <f>SUM($AQ215:CM215)-SUM($EA215:FK215)</f>
        <v>8852</v>
      </c>
      <c r="DT215" s="12">
        <f>SUM($AQ215:CN215)-SUM($EA215:FL215)</f>
        <v>7852</v>
      </c>
      <c r="DU215" s="12">
        <f>SUM($AQ215:CO215)-SUM($EA215:FM215)</f>
        <v>6852</v>
      </c>
      <c r="DV215" s="12">
        <f>SUM($AQ215:CP215)-SUM($EA215:FN215)</f>
        <v>42926</v>
      </c>
      <c r="DW215" s="12">
        <f>SUM($AQ215:CQ215)-SUM($EA215:FO215)</f>
        <v>79536</v>
      </c>
      <c r="DX215" s="13"/>
      <c r="DY215" s="13"/>
      <c r="DZ215" s="13"/>
      <c r="EA215" s="12"/>
      <c r="EB215" s="12"/>
      <c r="EC215" s="12"/>
      <c r="ED215" s="12"/>
      <c r="EE215" s="12"/>
      <c r="EF215" s="12"/>
      <c r="EG215" s="12"/>
      <c r="EH215" s="12">
        <f t="array" ref="EH215">SUMPRODUCT(TRANSPOSE(EH$9:EH$34),$K215:$AJ215)</f>
        <v>3109</v>
      </c>
      <c r="EI215" s="12">
        <f t="array" ref="EI215">SUMPRODUCT(TRANSPOSE(EI$9:EI$34),$K215:$AJ215)</f>
        <v>281</v>
      </c>
      <c r="EJ215" s="12">
        <f t="array" ref="EJ215">SUMPRODUCT(TRANSPOSE(EJ$9:EJ$34),$K215:$AJ215)</f>
        <v>15</v>
      </c>
      <c r="EK215" s="12">
        <f t="array" ref="EK215">SUMPRODUCT(TRANSPOSE(EK$9:EK$34),$K215:$AJ215)</f>
        <v>135</v>
      </c>
      <c r="EL215" s="12">
        <f t="array" ref="EL215">SUMPRODUCT(TRANSPOSE(EL$9:EL$34),$K215:$AJ215)</f>
        <v>1015</v>
      </c>
      <c r="EM215" s="12">
        <f t="array" ref="EM215">SUMPRODUCT(TRANSPOSE(EM$9:EM$34),$K215:$AJ215)</f>
        <v>2050</v>
      </c>
      <c r="EN215" s="12">
        <f t="array" ref="EN215">SUMPRODUCT(TRANSPOSE(EN$9:EN$34),$K215:$AJ215)</f>
        <v>1150</v>
      </c>
      <c r="EO215" s="12">
        <f t="array" ref="EO215">SUMPRODUCT(TRANSPOSE(EO$9:EO$34),$K215:$AJ215)</f>
        <v>1000</v>
      </c>
      <c r="EP215" s="12">
        <f t="array" ref="EP215">SUMPRODUCT(TRANSPOSE(EP$9:EP$34),$K215:$AJ215)</f>
        <v>1050</v>
      </c>
      <c r="EQ215" s="12">
        <f t="array" ref="EQ215">SUMPRODUCT(TRANSPOSE(EQ$9:EQ$34),$K215:$AJ215)</f>
        <v>1050</v>
      </c>
      <c r="ER215" s="12">
        <f t="array" ref="ER215">SUMPRODUCT(TRANSPOSE(ER$9:ER$34),$K215:$AJ215)</f>
        <v>1050</v>
      </c>
      <c r="ES215" s="12">
        <f t="array" ref="ES215">SUMPRODUCT(TRANSPOSE(ES$9:ES$34),$K215:$AJ215)</f>
        <v>1050</v>
      </c>
      <c r="ET215" s="12">
        <f t="array" ref="ET215">SUMPRODUCT(TRANSPOSE(ET$9:ET$34),$K215:$AJ215)</f>
        <v>1050</v>
      </c>
      <c r="EU215" s="12">
        <f t="array" ref="EU215">SUMPRODUCT(TRANSPOSE(EU$9:EU$34),$K215:$AJ215)</f>
        <v>1050</v>
      </c>
      <c r="EV215" s="12">
        <f t="array" ref="EV215">SUMPRODUCT(TRANSPOSE(EV$9:EV$34),$K215:$AJ215)</f>
        <v>1050</v>
      </c>
      <c r="EW215" s="12">
        <f t="array" ref="EW215">SUMPRODUCT(TRANSPOSE(EW$9:EW$34),$K215:$AJ215)</f>
        <v>1043</v>
      </c>
      <c r="EX215" s="12">
        <f t="array" ref="EX215">SUMPRODUCT(TRANSPOSE(EX$9:EX$34),$K215:$AJ215)</f>
        <v>1000</v>
      </c>
      <c r="EY215" s="12">
        <f t="array" ref="EY215">SUMPRODUCT(TRANSPOSE(EY$9:EY$34),$K215:$AJ215)</f>
        <v>1000</v>
      </c>
      <c r="EZ215" s="12">
        <f t="array" ref="EZ215">SUMPRODUCT(TRANSPOSE(EZ$9:EZ$34),$K215:$AJ215)</f>
        <v>1000</v>
      </c>
      <c r="FA215" s="12">
        <f t="array" ref="FA215">SUMPRODUCT(TRANSPOSE(FA$9:FA$34),$K215:$AJ215)</f>
        <v>1000</v>
      </c>
      <c r="FB215" s="12">
        <f t="array" ref="FB215">SUMPRODUCT(TRANSPOSE(FB$9:FB$34),$K215:$AJ215)</f>
        <v>1000</v>
      </c>
      <c r="FC215" s="12">
        <f t="array" ref="FC215">SUMPRODUCT(TRANSPOSE(FC$9:FC$34),$K215:$AJ215)</f>
        <v>1000</v>
      </c>
      <c r="FD215" s="12">
        <f t="array" ref="FD215">SUMPRODUCT(TRANSPOSE(FD$9:FD$34),$K215:$AJ215)</f>
        <v>1000</v>
      </c>
      <c r="FE215" s="12">
        <f t="array" ref="FE215">SUMPRODUCT(TRANSPOSE(FE$9:FE$34),$K215:$AJ215)</f>
        <v>1000</v>
      </c>
      <c r="FF215" s="12">
        <f t="array" ref="FF215">SUMPRODUCT(TRANSPOSE(FF$9:FF$34),$K215:$AJ215)</f>
        <v>1000</v>
      </c>
      <c r="FG215" s="12">
        <f t="array" ref="FG215">SUMPRODUCT(TRANSPOSE(FG$9:FG$34),$K215:$AJ215)</f>
        <v>1000</v>
      </c>
      <c r="FH215" s="12">
        <f t="array" ref="FH215">SUMPRODUCT(TRANSPOSE(FH$9:FH$34),$K215:$AJ215)</f>
        <v>1000</v>
      </c>
      <c r="FI215" s="12">
        <f t="array" ref="FI215">SUMPRODUCT(TRANSPOSE(FI$9:FI$34),$K215:$AJ215)</f>
        <v>1000</v>
      </c>
      <c r="FJ215" s="12">
        <f t="array" ref="FJ215">SUMPRODUCT(TRANSPOSE(FJ$9:FJ$34),$K215:$AJ215)</f>
        <v>1000</v>
      </c>
      <c r="FK215" s="12">
        <f t="array" ref="FK215">SUMPRODUCT(TRANSPOSE(FK$9:FK$34),$K215:$AJ215)</f>
        <v>1000</v>
      </c>
      <c r="FL215" s="12">
        <f t="array" ref="FL215">SUMPRODUCT(TRANSPOSE(FL$9:FL$34),$K215:$AJ215)</f>
        <v>1000</v>
      </c>
      <c r="FM215" s="12">
        <f t="array" ref="FM215">SUMPRODUCT(TRANSPOSE(FM$9:FM$34),$K215:$AJ215)</f>
        <v>1000</v>
      </c>
      <c r="FN215" s="12">
        <f t="array" ref="FN215">SUMPRODUCT(TRANSPOSE(FN$9:FN$34),$K215:$AJ215)</f>
        <v>817</v>
      </c>
      <c r="FO215" s="12">
        <f t="array" ref="FO215">SUMPRODUCT(TRANSPOSE(FO$9:FO$34),$K215:$AJ215)</f>
        <v>0</v>
      </c>
    </row>
    <row r="216" spans="1:171" ht="14.25" x14ac:dyDescent="0.2">
      <c r="A216" s="13">
        <f t="shared" si="10"/>
        <v>181</v>
      </c>
      <c r="B216" s="13" t="s">
        <v>647</v>
      </c>
      <c r="C216" s="25" t="s">
        <v>648</v>
      </c>
      <c r="D216" s="13" t="s">
        <v>67</v>
      </c>
      <c r="E216" s="13">
        <v>401234951</v>
      </c>
      <c r="F216" s="26" t="s">
        <v>649</v>
      </c>
      <c r="G216" s="13" t="s">
        <v>650</v>
      </c>
      <c r="H216" s="13" t="s">
        <v>61</v>
      </c>
      <c r="I216" s="13">
        <v>2</v>
      </c>
      <c r="J216" s="13">
        <v>6</v>
      </c>
      <c r="K216" s="13">
        <v>0</v>
      </c>
      <c r="L216" s="13">
        <v>0</v>
      </c>
      <c r="M216" s="13">
        <v>0</v>
      </c>
      <c r="N216" s="13">
        <v>0</v>
      </c>
      <c r="O216" s="13">
        <v>2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2</v>
      </c>
      <c r="Y216" s="13"/>
      <c r="Z216" s="13"/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2</v>
      </c>
      <c r="AK216" s="13">
        <f t="shared" si="11"/>
        <v>4</v>
      </c>
      <c r="AL216" s="23">
        <f t="shared" si="9"/>
        <v>141726</v>
      </c>
      <c r="AM216" s="13"/>
      <c r="AN216" s="13" t="s">
        <v>299</v>
      </c>
      <c r="AO216" s="7" t="s">
        <v>307</v>
      </c>
      <c r="AP216" s="37">
        <v>3.0000000000000001E-3</v>
      </c>
      <c r="AQ216" s="12">
        <v>145000</v>
      </c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13"/>
      <c r="CG216" s="13"/>
      <c r="CH216" s="13"/>
      <c r="CI216" s="12"/>
      <c r="CJ216" s="12"/>
      <c r="CK216" s="12"/>
      <c r="CL216" s="12"/>
      <c r="CM216" s="12"/>
      <c r="CN216" s="12"/>
      <c r="CO216" s="12"/>
      <c r="CP216" s="12">
        <f>SUM($AQ216:BJ216)-SUM($EA216:EH216)</f>
        <v>130874</v>
      </c>
      <c r="CQ216" s="12">
        <f>SUM($AQ216:BK216)-SUM($EA216:EI216)</f>
        <v>130074</v>
      </c>
      <c r="CR216" s="12">
        <f>SUM($AQ216:BL216)-SUM($EA216:EJ216)</f>
        <v>128044</v>
      </c>
      <c r="CS216" s="12">
        <f>SUM($AQ216:BM216)-SUM($EA216:EK216)</f>
        <v>125774</v>
      </c>
      <c r="CT216" s="12">
        <f>SUM($AQ216:BN216)-SUM($EA216:EL216)</f>
        <v>121744</v>
      </c>
      <c r="CU216" s="12">
        <f>SUM($AQ216:BO216)-SUM($EA216:EM216)</f>
        <v>117644</v>
      </c>
      <c r="CV216" s="12">
        <f>SUM($AQ216:BP216)-SUM($EA216:EN216)</f>
        <v>113544</v>
      </c>
      <c r="CW216" s="12">
        <f>SUM($AQ216:BQ216)-SUM($EA216:EO216)</f>
        <v>109544</v>
      </c>
      <c r="CX216" s="12">
        <f>SUM($AQ216:BR216)-SUM($EA216:EP216)</f>
        <v>105444</v>
      </c>
      <c r="CY216" s="12">
        <f>SUM($AQ216:BS216)-SUM($EA216:EQ216)</f>
        <v>101344</v>
      </c>
      <c r="CZ216" s="12">
        <f>SUM($AQ216:BT216)-SUM($EA216:ER216)</f>
        <v>97244</v>
      </c>
      <c r="DA216" s="12">
        <f>SUM($AQ216:BU216)-SUM($EA216:ES216)</f>
        <v>93144</v>
      </c>
      <c r="DB216" s="12">
        <f>SUM($AQ216:BV216)-SUM($EA216:ET216)</f>
        <v>89044</v>
      </c>
      <c r="DC216" s="12">
        <f>SUM($AQ216:BW216)-SUM($EA216:EU216)</f>
        <v>84944</v>
      </c>
      <c r="DD216" s="12">
        <f>SUM($AQ216:BX216)-SUM($EA216:EV216)</f>
        <v>80844</v>
      </c>
      <c r="DE216" s="12">
        <f>SUM($AQ216:BY216)-SUM($EA216:EW216)</f>
        <v>76824</v>
      </c>
      <c r="DF216" s="12">
        <f>SUM($AQ216:BZ216)-SUM($EA216:EX216)</f>
        <v>72824</v>
      </c>
      <c r="DG216" s="12">
        <f>SUM($AQ216:CA216)-SUM($EA216:EY216)</f>
        <v>68824</v>
      </c>
      <c r="DH216" s="12">
        <f>SUM($AQ216:CB216)-SUM($EA216:EZ216)</f>
        <v>64824</v>
      </c>
      <c r="DI216" s="12">
        <f>SUM($AQ216:CC216)-SUM($EA216:FA216)</f>
        <v>60824</v>
      </c>
      <c r="DJ216" s="12">
        <f>SUM($AQ216:CD216)-SUM($EA216:FB216)</f>
        <v>56824</v>
      </c>
      <c r="DK216" s="12">
        <f>SUM($AQ216:CE216)-SUM($EA216:FC216)</f>
        <v>52824</v>
      </c>
      <c r="DL216" s="12">
        <f>SUM($AQ216:CF216)-SUM($EA216:FD216)</f>
        <v>48824</v>
      </c>
      <c r="DM216" s="12">
        <f>SUM($AQ216:CG216)-SUM($EA216:FE216)</f>
        <v>44824</v>
      </c>
      <c r="DN216" s="12">
        <f>SUM($AQ216:CH216)-SUM($EA216:FF216)</f>
        <v>40824</v>
      </c>
      <c r="DO216" s="12">
        <f>SUM($AQ216:CI216)-SUM($EA216:FG216)</f>
        <v>36824</v>
      </c>
      <c r="DP216" s="12">
        <f>SUM($AQ216:CJ216)-SUM($EA216:FH216)</f>
        <v>32824</v>
      </c>
      <c r="DQ216" s="12">
        <f>SUM($AQ216:CK216)-SUM($EA216:FI216)</f>
        <v>28824</v>
      </c>
      <c r="DR216" s="12">
        <f>SUM($AQ216:CL216)-SUM($EA216:FJ216)</f>
        <v>24824</v>
      </c>
      <c r="DS216" s="12">
        <f>SUM($AQ216:CM216)-SUM($EA216:FK216)</f>
        <v>20824</v>
      </c>
      <c r="DT216" s="12">
        <f>SUM($AQ216:CN216)-SUM($EA216:FL216)</f>
        <v>16824</v>
      </c>
      <c r="DU216" s="12">
        <f>SUM($AQ216:CO216)-SUM($EA216:FM216)</f>
        <v>12824</v>
      </c>
      <c r="DV216" s="12">
        <f>SUM($AQ216:CP216)-SUM($EA216:FN216)</f>
        <v>140302</v>
      </c>
      <c r="DW216" s="12">
        <f>SUM($AQ216:CQ216)-SUM($EA216:FO216)</f>
        <v>270222</v>
      </c>
      <c r="DX216" s="13"/>
      <c r="DY216" s="13"/>
      <c r="DZ216" s="13"/>
      <c r="EA216" s="12"/>
      <c r="EB216" s="12"/>
      <c r="EC216" s="12"/>
      <c r="ED216" s="12"/>
      <c r="EE216" s="12"/>
      <c r="EF216" s="12"/>
      <c r="EG216" s="12"/>
      <c r="EH216" s="12">
        <f t="array" ref="EH216">SUMPRODUCT(TRANSPOSE(EH$9:EH$34),$K216:$AJ216)</f>
        <v>14126</v>
      </c>
      <c r="EI216" s="12">
        <f t="array" ref="EI216">SUMPRODUCT(TRANSPOSE(EI$9:EI$34),$K216:$AJ216)</f>
        <v>800</v>
      </c>
      <c r="EJ216" s="12">
        <f t="array" ref="EJ216">SUMPRODUCT(TRANSPOSE(EJ$9:EJ$34),$K216:$AJ216)</f>
        <v>2030</v>
      </c>
      <c r="EK216" s="12">
        <f t="array" ref="EK216">SUMPRODUCT(TRANSPOSE(EK$9:EK$34),$K216:$AJ216)</f>
        <v>2270</v>
      </c>
      <c r="EL216" s="12">
        <f t="array" ref="EL216">SUMPRODUCT(TRANSPOSE(EL$9:EL$34),$K216:$AJ216)</f>
        <v>4030</v>
      </c>
      <c r="EM216" s="12">
        <f t="array" ref="EM216">SUMPRODUCT(TRANSPOSE(EM$9:EM$34),$K216:$AJ216)</f>
        <v>4100</v>
      </c>
      <c r="EN216" s="12">
        <f t="array" ref="EN216">SUMPRODUCT(TRANSPOSE(EN$9:EN$34),$K216:$AJ216)</f>
        <v>4100</v>
      </c>
      <c r="EO216" s="12">
        <f t="array" ref="EO216">SUMPRODUCT(TRANSPOSE(EO$9:EO$34),$K216:$AJ216)</f>
        <v>4000</v>
      </c>
      <c r="EP216" s="12">
        <f t="array" ref="EP216">SUMPRODUCT(TRANSPOSE(EP$9:EP$34),$K216:$AJ216)</f>
        <v>4100</v>
      </c>
      <c r="EQ216" s="12">
        <f t="array" ref="EQ216">SUMPRODUCT(TRANSPOSE(EQ$9:EQ$34),$K216:$AJ216)</f>
        <v>4100</v>
      </c>
      <c r="ER216" s="12">
        <f t="array" ref="ER216">SUMPRODUCT(TRANSPOSE(ER$9:ER$34),$K216:$AJ216)</f>
        <v>4100</v>
      </c>
      <c r="ES216" s="12">
        <f t="array" ref="ES216">SUMPRODUCT(TRANSPOSE(ES$9:ES$34),$K216:$AJ216)</f>
        <v>4100</v>
      </c>
      <c r="ET216" s="12">
        <f t="array" ref="ET216">SUMPRODUCT(TRANSPOSE(ET$9:ET$34),$K216:$AJ216)</f>
        <v>4100</v>
      </c>
      <c r="EU216" s="12">
        <f t="array" ref="EU216">SUMPRODUCT(TRANSPOSE(EU$9:EU$34),$K216:$AJ216)</f>
        <v>4100</v>
      </c>
      <c r="EV216" s="12">
        <f t="array" ref="EV216">SUMPRODUCT(TRANSPOSE(EV$9:EV$34),$K216:$AJ216)</f>
        <v>4100</v>
      </c>
      <c r="EW216" s="12">
        <f t="array" ref="EW216">SUMPRODUCT(TRANSPOSE(EW$9:EW$34),$K216:$AJ216)</f>
        <v>4020</v>
      </c>
      <c r="EX216" s="12">
        <f t="array" ref="EX216">SUMPRODUCT(TRANSPOSE(EX$9:EX$34),$K216:$AJ216)</f>
        <v>4000</v>
      </c>
      <c r="EY216" s="12">
        <f t="array" ref="EY216">SUMPRODUCT(TRANSPOSE(EY$9:EY$34),$K216:$AJ216)</f>
        <v>4000</v>
      </c>
      <c r="EZ216" s="12">
        <f t="array" ref="EZ216">SUMPRODUCT(TRANSPOSE(EZ$9:EZ$34),$K216:$AJ216)</f>
        <v>4000</v>
      </c>
      <c r="FA216" s="12">
        <f t="array" ref="FA216">SUMPRODUCT(TRANSPOSE(FA$9:FA$34),$K216:$AJ216)</f>
        <v>4000</v>
      </c>
      <c r="FB216" s="12">
        <f t="array" ref="FB216">SUMPRODUCT(TRANSPOSE(FB$9:FB$34),$K216:$AJ216)</f>
        <v>4000</v>
      </c>
      <c r="FC216" s="12">
        <f t="array" ref="FC216">SUMPRODUCT(TRANSPOSE(FC$9:FC$34),$K216:$AJ216)</f>
        <v>4000</v>
      </c>
      <c r="FD216" s="12">
        <f t="array" ref="FD216">SUMPRODUCT(TRANSPOSE(FD$9:FD$34),$K216:$AJ216)</f>
        <v>4000</v>
      </c>
      <c r="FE216" s="12">
        <f t="array" ref="FE216">SUMPRODUCT(TRANSPOSE(FE$9:FE$34),$K216:$AJ216)</f>
        <v>4000</v>
      </c>
      <c r="FF216" s="12">
        <f t="array" ref="FF216">SUMPRODUCT(TRANSPOSE(FF$9:FF$34),$K216:$AJ216)</f>
        <v>4000</v>
      </c>
      <c r="FG216" s="12">
        <f t="array" ref="FG216">SUMPRODUCT(TRANSPOSE(FG$9:FG$34),$K216:$AJ216)</f>
        <v>4000</v>
      </c>
      <c r="FH216" s="12">
        <f t="array" ref="FH216">SUMPRODUCT(TRANSPOSE(FH$9:FH$34),$K216:$AJ216)</f>
        <v>4000</v>
      </c>
      <c r="FI216" s="12">
        <f t="array" ref="FI216">SUMPRODUCT(TRANSPOSE(FI$9:FI$34),$K216:$AJ216)</f>
        <v>4000</v>
      </c>
      <c r="FJ216" s="12">
        <f t="array" ref="FJ216">SUMPRODUCT(TRANSPOSE(FJ$9:FJ$34),$K216:$AJ216)</f>
        <v>4000</v>
      </c>
      <c r="FK216" s="12">
        <f t="array" ref="FK216">SUMPRODUCT(TRANSPOSE(FK$9:FK$34),$K216:$AJ216)</f>
        <v>4000</v>
      </c>
      <c r="FL216" s="12">
        <f t="array" ref="FL216">SUMPRODUCT(TRANSPOSE(FL$9:FL$34),$K216:$AJ216)</f>
        <v>4000</v>
      </c>
      <c r="FM216" s="12">
        <f t="array" ref="FM216">SUMPRODUCT(TRANSPOSE(FM$9:FM$34),$K216:$AJ216)</f>
        <v>4000</v>
      </c>
      <c r="FN216" s="12">
        <f t="array" ref="FN216">SUMPRODUCT(TRANSPOSE(FN$9:FN$34),$K216:$AJ216)</f>
        <v>3396</v>
      </c>
      <c r="FO216" s="12">
        <f t="array" ref="FO216">SUMPRODUCT(TRANSPOSE(FO$9:FO$34),$K216:$AJ216)</f>
        <v>154</v>
      </c>
    </row>
    <row r="217" spans="1:171" ht="14.25" x14ac:dyDescent="0.2">
      <c r="A217" s="13">
        <f t="shared" si="10"/>
        <v>182</v>
      </c>
      <c r="B217" s="13" t="s">
        <v>651</v>
      </c>
      <c r="C217" s="25" t="s">
        <v>652</v>
      </c>
      <c r="D217" s="13" t="s">
        <v>67</v>
      </c>
      <c r="E217" s="13">
        <v>401195892</v>
      </c>
      <c r="F217" s="26" t="s">
        <v>653</v>
      </c>
      <c r="G217" s="13" t="s">
        <v>654</v>
      </c>
      <c r="H217" s="13" t="s">
        <v>61</v>
      </c>
      <c r="I217" s="13">
        <v>2</v>
      </c>
      <c r="J217" s="13">
        <v>6</v>
      </c>
      <c r="K217" s="13">
        <v>0</v>
      </c>
      <c r="L217" s="13">
        <v>0</v>
      </c>
      <c r="M217" s="13">
        <v>0</v>
      </c>
      <c r="N217" s="13">
        <v>0</v>
      </c>
      <c r="O217" s="13">
        <v>2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2</v>
      </c>
      <c r="Y217" s="13"/>
      <c r="Z217" s="13"/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2</v>
      </c>
      <c r="AK217" s="13">
        <f t="shared" si="11"/>
        <v>4</v>
      </c>
      <c r="AL217" s="23">
        <f t="shared" si="9"/>
        <v>141726</v>
      </c>
      <c r="AM217" s="13"/>
      <c r="AN217" s="13" t="s">
        <v>299</v>
      </c>
      <c r="AO217" s="7" t="s">
        <v>307</v>
      </c>
      <c r="AP217" s="37">
        <v>3.0000000000000001E-3</v>
      </c>
      <c r="AQ217" s="12">
        <v>145000</v>
      </c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13"/>
      <c r="CG217" s="13"/>
      <c r="CH217" s="13"/>
      <c r="CI217" s="12"/>
      <c r="CJ217" s="12"/>
      <c r="CK217" s="12"/>
      <c r="CL217" s="12"/>
      <c r="CM217" s="12"/>
      <c r="CN217" s="12"/>
      <c r="CO217" s="12"/>
      <c r="CP217" s="12">
        <f>SUM($AQ217:BJ217)-SUM($EA217:EH217)</f>
        <v>130874</v>
      </c>
      <c r="CQ217" s="12">
        <f>SUM($AQ217:BK217)-SUM($EA217:EI217)</f>
        <v>130074</v>
      </c>
      <c r="CR217" s="12">
        <f>SUM($AQ217:BL217)-SUM($EA217:EJ217)</f>
        <v>128044</v>
      </c>
      <c r="CS217" s="12">
        <f>SUM($AQ217:BM217)-SUM($EA217:EK217)</f>
        <v>125774</v>
      </c>
      <c r="CT217" s="12">
        <f>SUM($AQ217:BN217)-SUM($EA217:EL217)</f>
        <v>121744</v>
      </c>
      <c r="CU217" s="12">
        <f>SUM($AQ217:BO217)-SUM($EA217:EM217)</f>
        <v>117644</v>
      </c>
      <c r="CV217" s="12">
        <f>SUM($AQ217:BP217)-SUM($EA217:EN217)</f>
        <v>113544</v>
      </c>
      <c r="CW217" s="12">
        <f>SUM($AQ217:BQ217)-SUM($EA217:EO217)</f>
        <v>109544</v>
      </c>
      <c r="CX217" s="12">
        <f>SUM($AQ217:BR217)-SUM($EA217:EP217)</f>
        <v>105444</v>
      </c>
      <c r="CY217" s="12">
        <f>SUM($AQ217:BS217)-SUM($EA217:EQ217)</f>
        <v>101344</v>
      </c>
      <c r="CZ217" s="12">
        <f>SUM($AQ217:BT217)-SUM($EA217:ER217)</f>
        <v>97244</v>
      </c>
      <c r="DA217" s="12">
        <f>SUM($AQ217:BU217)-SUM($EA217:ES217)</f>
        <v>93144</v>
      </c>
      <c r="DB217" s="12">
        <f>SUM($AQ217:BV217)-SUM($EA217:ET217)</f>
        <v>89044</v>
      </c>
      <c r="DC217" s="12">
        <f>SUM($AQ217:BW217)-SUM($EA217:EU217)</f>
        <v>84944</v>
      </c>
      <c r="DD217" s="12">
        <f>SUM($AQ217:BX217)-SUM($EA217:EV217)</f>
        <v>80844</v>
      </c>
      <c r="DE217" s="12">
        <f>SUM($AQ217:BY217)-SUM($EA217:EW217)</f>
        <v>76824</v>
      </c>
      <c r="DF217" s="12">
        <f>SUM($AQ217:BZ217)-SUM($EA217:EX217)</f>
        <v>72824</v>
      </c>
      <c r="DG217" s="12">
        <f>SUM($AQ217:CA217)-SUM($EA217:EY217)</f>
        <v>68824</v>
      </c>
      <c r="DH217" s="12">
        <f>SUM($AQ217:CB217)-SUM($EA217:EZ217)</f>
        <v>64824</v>
      </c>
      <c r="DI217" s="12">
        <f>SUM($AQ217:CC217)-SUM($EA217:FA217)</f>
        <v>60824</v>
      </c>
      <c r="DJ217" s="12">
        <f>SUM($AQ217:CD217)-SUM($EA217:FB217)</f>
        <v>56824</v>
      </c>
      <c r="DK217" s="12">
        <f>SUM($AQ217:CE217)-SUM($EA217:FC217)</f>
        <v>52824</v>
      </c>
      <c r="DL217" s="12">
        <f>SUM($AQ217:CF217)-SUM($EA217:FD217)</f>
        <v>48824</v>
      </c>
      <c r="DM217" s="12">
        <f>SUM($AQ217:CG217)-SUM($EA217:FE217)</f>
        <v>44824</v>
      </c>
      <c r="DN217" s="12">
        <f>SUM($AQ217:CH217)-SUM($EA217:FF217)</f>
        <v>40824</v>
      </c>
      <c r="DO217" s="12">
        <f>SUM($AQ217:CI217)-SUM($EA217:FG217)</f>
        <v>36824</v>
      </c>
      <c r="DP217" s="12">
        <f>SUM($AQ217:CJ217)-SUM($EA217:FH217)</f>
        <v>32824</v>
      </c>
      <c r="DQ217" s="12">
        <f>SUM($AQ217:CK217)-SUM($EA217:FI217)</f>
        <v>28824</v>
      </c>
      <c r="DR217" s="12">
        <f>SUM($AQ217:CL217)-SUM($EA217:FJ217)</f>
        <v>24824</v>
      </c>
      <c r="DS217" s="12">
        <f>SUM($AQ217:CM217)-SUM($EA217:FK217)</f>
        <v>20824</v>
      </c>
      <c r="DT217" s="12">
        <f>SUM($AQ217:CN217)-SUM($EA217:FL217)</f>
        <v>16824</v>
      </c>
      <c r="DU217" s="12">
        <f>SUM($AQ217:CO217)-SUM($EA217:FM217)</f>
        <v>12824</v>
      </c>
      <c r="DV217" s="12">
        <f>SUM($AQ217:CP217)-SUM($EA217:FN217)</f>
        <v>140302</v>
      </c>
      <c r="DW217" s="12">
        <f>SUM($AQ217:CQ217)-SUM($EA217:FO217)</f>
        <v>270222</v>
      </c>
      <c r="DX217" s="13"/>
      <c r="DY217" s="13"/>
      <c r="DZ217" s="13"/>
      <c r="EA217" s="12"/>
      <c r="EB217" s="12"/>
      <c r="EC217" s="12"/>
      <c r="ED217" s="12"/>
      <c r="EE217" s="12"/>
      <c r="EF217" s="12"/>
      <c r="EG217" s="12"/>
      <c r="EH217" s="12">
        <f t="array" ref="EH217">SUMPRODUCT(TRANSPOSE(EH$9:EH$34),$K217:$AJ217)</f>
        <v>14126</v>
      </c>
      <c r="EI217" s="12">
        <f t="array" ref="EI217">SUMPRODUCT(TRANSPOSE(EI$9:EI$34),$K217:$AJ217)</f>
        <v>800</v>
      </c>
      <c r="EJ217" s="12">
        <f t="array" ref="EJ217">SUMPRODUCT(TRANSPOSE(EJ$9:EJ$34),$K217:$AJ217)</f>
        <v>2030</v>
      </c>
      <c r="EK217" s="12">
        <f t="array" ref="EK217">SUMPRODUCT(TRANSPOSE(EK$9:EK$34),$K217:$AJ217)</f>
        <v>2270</v>
      </c>
      <c r="EL217" s="12">
        <f t="array" ref="EL217">SUMPRODUCT(TRANSPOSE(EL$9:EL$34),$K217:$AJ217)</f>
        <v>4030</v>
      </c>
      <c r="EM217" s="12">
        <f t="array" ref="EM217">SUMPRODUCT(TRANSPOSE(EM$9:EM$34),$K217:$AJ217)</f>
        <v>4100</v>
      </c>
      <c r="EN217" s="12">
        <f t="array" ref="EN217">SUMPRODUCT(TRANSPOSE(EN$9:EN$34),$K217:$AJ217)</f>
        <v>4100</v>
      </c>
      <c r="EO217" s="12">
        <f t="array" ref="EO217">SUMPRODUCT(TRANSPOSE(EO$9:EO$34),$K217:$AJ217)</f>
        <v>4000</v>
      </c>
      <c r="EP217" s="12">
        <f t="array" ref="EP217">SUMPRODUCT(TRANSPOSE(EP$9:EP$34),$K217:$AJ217)</f>
        <v>4100</v>
      </c>
      <c r="EQ217" s="12">
        <f t="array" ref="EQ217">SUMPRODUCT(TRANSPOSE(EQ$9:EQ$34),$K217:$AJ217)</f>
        <v>4100</v>
      </c>
      <c r="ER217" s="12">
        <f t="array" ref="ER217">SUMPRODUCT(TRANSPOSE(ER$9:ER$34),$K217:$AJ217)</f>
        <v>4100</v>
      </c>
      <c r="ES217" s="12">
        <f t="array" ref="ES217">SUMPRODUCT(TRANSPOSE(ES$9:ES$34),$K217:$AJ217)</f>
        <v>4100</v>
      </c>
      <c r="ET217" s="12">
        <f t="array" ref="ET217">SUMPRODUCT(TRANSPOSE(ET$9:ET$34),$K217:$AJ217)</f>
        <v>4100</v>
      </c>
      <c r="EU217" s="12">
        <f t="array" ref="EU217">SUMPRODUCT(TRANSPOSE(EU$9:EU$34),$K217:$AJ217)</f>
        <v>4100</v>
      </c>
      <c r="EV217" s="12">
        <f t="array" ref="EV217">SUMPRODUCT(TRANSPOSE(EV$9:EV$34),$K217:$AJ217)</f>
        <v>4100</v>
      </c>
      <c r="EW217" s="12">
        <f t="array" ref="EW217">SUMPRODUCT(TRANSPOSE(EW$9:EW$34),$K217:$AJ217)</f>
        <v>4020</v>
      </c>
      <c r="EX217" s="12">
        <f t="array" ref="EX217">SUMPRODUCT(TRANSPOSE(EX$9:EX$34),$K217:$AJ217)</f>
        <v>4000</v>
      </c>
      <c r="EY217" s="12">
        <f t="array" ref="EY217">SUMPRODUCT(TRANSPOSE(EY$9:EY$34),$K217:$AJ217)</f>
        <v>4000</v>
      </c>
      <c r="EZ217" s="12">
        <f t="array" ref="EZ217">SUMPRODUCT(TRANSPOSE(EZ$9:EZ$34),$K217:$AJ217)</f>
        <v>4000</v>
      </c>
      <c r="FA217" s="12">
        <f t="array" ref="FA217">SUMPRODUCT(TRANSPOSE(FA$9:FA$34),$K217:$AJ217)</f>
        <v>4000</v>
      </c>
      <c r="FB217" s="12">
        <f t="array" ref="FB217">SUMPRODUCT(TRANSPOSE(FB$9:FB$34),$K217:$AJ217)</f>
        <v>4000</v>
      </c>
      <c r="FC217" s="12">
        <f t="array" ref="FC217">SUMPRODUCT(TRANSPOSE(FC$9:FC$34),$K217:$AJ217)</f>
        <v>4000</v>
      </c>
      <c r="FD217" s="12">
        <f t="array" ref="FD217">SUMPRODUCT(TRANSPOSE(FD$9:FD$34),$K217:$AJ217)</f>
        <v>4000</v>
      </c>
      <c r="FE217" s="12">
        <f t="array" ref="FE217">SUMPRODUCT(TRANSPOSE(FE$9:FE$34),$K217:$AJ217)</f>
        <v>4000</v>
      </c>
      <c r="FF217" s="12">
        <f t="array" ref="FF217">SUMPRODUCT(TRANSPOSE(FF$9:FF$34),$K217:$AJ217)</f>
        <v>4000</v>
      </c>
      <c r="FG217" s="12">
        <f t="array" ref="FG217">SUMPRODUCT(TRANSPOSE(FG$9:FG$34),$K217:$AJ217)</f>
        <v>4000</v>
      </c>
      <c r="FH217" s="12">
        <f t="array" ref="FH217">SUMPRODUCT(TRANSPOSE(FH$9:FH$34),$K217:$AJ217)</f>
        <v>4000</v>
      </c>
      <c r="FI217" s="12">
        <f t="array" ref="FI217">SUMPRODUCT(TRANSPOSE(FI$9:FI$34),$K217:$AJ217)</f>
        <v>4000</v>
      </c>
      <c r="FJ217" s="12">
        <f t="array" ref="FJ217">SUMPRODUCT(TRANSPOSE(FJ$9:FJ$34),$K217:$AJ217)</f>
        <v>4000</v>
      </c>
      <c r="FK217" s="12">
        <f t="array" ref="FK217">SUMPRODUCT(TRANSPOSE(FK$9:FK$34),$K217:$AJ217)</f>
        <v>4000</v>
      </c>
      <c r="FL217" s="12">
        <f t="array" ref="FL217">SUMPRODUCT(TRANSPOSE(FL$9:FL$34),$K217:$AJ217)</f>
        <v>4000</v>
      </c>
      <c r="FM217" s="12">
        <f t="array" ref="FM217">SUMPRODUCT(TRANSPOSE(FM$9:FM$34),$K217:$AJ217)</f>
        <v>4000</v>
      </c>
      <c r="FN217" s="12">
        <f t="array" ref="FN217">SUMPRODUCT(TRANSPOSE(FN$9:FN$34),$K217:$AJ217)</f>
        <v>3396</v>
      </c>
      <c r="FO217" s="12">
        <f t="array" ref="FO217">SUMPRODUCT(TRANSPOSE(FO$9:FO$34),$K217:$AJ217)</f>
        <v>154</v>
      </c>
    </row>
    <row r="218" spans="1:171" ht="14.25" x14ac:dyDescent="0.2">
      <c r="A218" s="13">
        <f t="shared" si="10"/>
        <v>183</v>
      </c>
      <c r="B218" s="13" t="s">
        <v>655</v>
      </c>
      <c r="C218" s="25" t="s">
        <v>656</v>
      </c>
      <c r="D218" s="13" t="s">
        <v>67</v>
      </c>
      <c r="E218" s="13">
        <v>400658343</v>
      </c>
      <c r="F218" s="26" t="s">
        <v>657</v>
      </c>
      <c r="G218" s="13" t="s">
        <v>658</v>
      </c>
      <c r="H218" s="13" t="s">
        <v>61</v>
      </c>
      <c r="I218" s="13">
        <v>2</v>
      </c>
      <c r="J218" s="13">
        <v>4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2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/>
      <c r="Z218" s="13">
        <v>2</v>
      </c>
      <c r="AA218" s="13">
        <v>0</v>
      </c>
      <c r="AB218" s="13">
        <v>0</v>
      </c>
      <c r="AC218" s="13">
        <v>0</v>
      </c>
      <c r="AD218" s="13">
        <v>2</v>
      </c>
      <c r="AE218" s="13">
        <v>2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f t="shared" si="11"/>
        <v>6</v>
      </c>
      <c r="AL218" s="23">
        <f t="shared" si="9"/>
        <v>71330</v>
      </c>
      <c r="AM218" s="13"/>
      <c r="AN218" s="13" t="s">
        <v>299</v>
      </c>
      <c r="AO218" s="7" t="s">
        <v>307</v>
      </c>
      <c r="AP218" s="41">
        <v>3.0999999999999999E-3</v>
      </c>
      <c r="AQ218" s="12">
        <v>75000</v>
      </c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13"/>
      <c r="CG218" s="13"/>
      <c r="CH218" s="13"/>
      <c r="CI218" s="12"/>
      <c r="CJ218" s="12"/>
      <c r="CK218" s="12"/>
      <c r="CL218" s="12"/>
      <c r="CM218" s="12"/>
      <c r="CN218" s="12"/>
      <c r="CO218" s="12"/>
      <c r="CP218" s="12">
        <f>SUM($AQ218:BJ218)-SUM($EA218:EH218)</f>
        <v>68782</v>
      </c>
      <c r="CQ218" s="12">
        <f>SUM($AQ218:BK218)-SUM($EA218:EI218)</f>
        <v>68220</v>
      </c>
      <c r="CR218" s="12">
        <f>SUM($AQ218:BL218)-SUM($EA218:EJ218)</f>
        <v>68190</v>
      </c>
      <c r="CS218" s="12">
        <f>SUM($AQ218:BM218)-SUM($EA218:EK218)</f>
        <v>67920</v>
      </c>
      <c r="CT218" s="12">
        <f>SUM($AQ218:BN218)-SUM($EA218:EL218)</f>
        <v>65890</v>
      </c>
      <c r="CU218" s="12">
        <f>SUM($AQ218:BO218)-SUM($EA218:EM218)</f>
        <v>61790</v>
      </c>
      <c r="CV218" s="12">
        <f>SUM($AQ218:BP218)-SUM($EA218:EN218)</f>
        <v>59490</v>
      </c>
      <c r="CW218" s="12">
        <f>SUM($AQ218:BQ218)-SUM($EA218:EO218)</f>
        <v>57490</v>
      </c>
      <c r="CX218" s="12">
        <f>SUM($AQ218:BR218)-SUM($EA218:EP218)</f>
        <v>55390</v>
      </c>
      <c r="CY218" s="12">
        <f>SUM($AQ218:BS218)-SUM($EA218:EQ218)</f>
        <v>53290</v>
      </c>
      <c r="CZ218" s="12">
        <f>SUM($AQ218:BT218)-SUM($EA218:ER218)</f>
        <v>51190</v>
      </c>
      <c r="DA218" s="12">
        <f>SUM($AQ218:BU218)-SUM($EA218:ES218)</f>
        <v>49090</v>
      </c>
      <c r="DB218" s="12">
        <f>SUM($AQ218:BV218)-SUM($EA218:ET218)</f>
        <v>46990</v>
      </c>
      <c r="DC218" s="12">
        <f>SUM($AQ218:BW218)-SUM($EA218:EU218)</f>
        <v>44890</v>
      </c>
      <c r="DD218" s="12">
        <f>SUM($AQ218:BX218)-SUM($EA218:EV218)</f>
        <v>42790</v>
      </c>
      <c r="DE218" s="12">
        <f>SUM($AQ218:BY218)-SUM($EA218:EW218)</f>
        <v>40704</v>
      </c>
      <c r="DF218" s="12">
        <f>SUM($AQ218:BZ218)-SUM($EA218:EX218)</f>
        <v>38704</v>
      </c>
      <c r="DG218" s="12">
        <f>SUM($AQ218:CA218)-SUM($EA218:EY218)</f>
        <v>36704</v>
      </c>
      <c r="DH218" s="12">
        <f>SUM($AQ218:CB218)-SUM($EA218:EZ218)</f>
        <v>34704</v>
      </c>
      <c r="DI218" s="12">
        <f>SUM($AQ218:CC218)-SUM($EA218:FA218)</f>
        <v>32704</v>
      </c>
      <c r="DJ218" s="12">
        <f>SUM($AQ218:CD218)-SUM($EA218:FB218)</f>
        <v>30704</v>
      </c>
      <c r="DK218" s="12">
        <f>SUM($AQ218:CE218)-SUM($EA218:FC218)</f>
        <v>28704</v>
      </c>
      <c r="DL218" s="12">
        <f>SUM($AQ218:CF218)-SUM($EA218:FD218)</f>
        <v>26704</v>
      </c>
      <c r="DM218" s="12">
        <f>SUM($AQ218:CG218)-SUM($EA218:FE218)</f>
        <v>24704</v>
      </c>
      <c r="DN218" s="12">
        <f>SUM($AQ218:CH218)-SUM($EA218:FF218)</f>
        <v>22704</v>
      </c>
      <c r="DO218" s="12">
        <f>SUM($AQ218:CI218)-SUM($EA218:FG218)</f>
        <v>20704</v>
      </c>
      <c r="DP218" s="12">
        <f>SUM($AQ218:CJ218)-SUM($EA218:FH218)</f>
        <v>18704</v>
      </c>
      <c r="DQ218" s="12">
        <f>SUM($AQ218:CK218)-SUM($EA218:FI218)</f>
        <v>16704</v>
      </c>
      <c r="DR218" s="12">
        <f>SUM($AQ218:CL218)-SUM($EA218:FJ218)</f>
        <v>14704</v>
      </c>
      <c r="DS218" s="12">
        <f>SUM($AQ218:CM218)-SUM($EA218:FK218)</f>
        <v>12704</v>
      </c>
      <c r="DT218" s="12">
        <f>SUM($AQ218:CN218)-SUM($EA218:FL218)</f>
        <v>10704</v>
      </c>
      <c r="DU218" s="12">
        <f>SUM($AQ218:CO218)-SUM($EA218:FM218)</f>
        <v>8704</v>
      </c>
      <c r="DV218" s="12">
        <f>SUM($AQ218:CP218)-SUM($EA218:FN218)</f>
        <v>75852</v>
      </c>
      <c r="DW218" s="12">
        <f>SUM($AQ218:CQ218)-SUM($EA218:FO218)</f>
        <v>144072</v>
      </c>
      <c r="DX218" s="13"/>
      <c r="DY218" s="13"/>
      <c r="DZ218" s="13"/>
      <c r="EA218" s="12"/>
      <c r="EB218" s="12"/>
      <c r="EC218" s="12"/>
      <c r="ED218" s="12"/>
      <c r="EE218" s="12"/>
      <c r="EF218" s="12"/>
      <c r="EG218" s="12"/>
      <c r="EH218" s="12">
        <f t="array" ref="EH218">SUMPRODUCT(TRANSPOSE(EH$9:EH$34),$K218:$AJ218)</f>
        <v>6218</v>
      </c>
      <c r="EI218" s="12">
        <f t="array" ref="EI218">SUMPRODUCT(TRANSPOSE(EI$9:EI$34),$K218:$AJ218)</f>
        <v>562</v>
      </c>
      <c r="EJ218" s="12">
        <f t="array" ref="EJ218">SUMPRODUCT(TRANSPOSE(EJ$9:EJ$34),$K218:$AJ218)</f>
        <v>30</v>
      </c>
      <c r="EK218" s="12">
        <f t="array" ref="EK218">SUMPRODUCT(TRANSPOSE(EK$9:EK$34),$K218:$AJ218)</f>
        <v>270</v>
      </c>
      <c r="EL218" s="12">
        <f t="array" ref="EL218">SUMPRODUCT(TRANSPOSE(EL$9:EL$34),$K218:$AJ218)</f>
        <v>2030</v>
      </c>
      <c r="EM218" s="12">
        <f t="array" ref="EM218">SUMPRODUCT(TRANSPOSE(EM$9:EM$34),$K218:$AJ218)</f>
        <v>4100</v>
      </c>
      <c r="EN218" s="12">
        <f t="array" ref="EN218">SUMPRODUCT(TRANSPOSE(EN$9:EN$34),$K218:$AJ218)</f>
        <v>2300</v>
      </c>
      <c r="EO218" s="12">
        <f t="array" ref="EO218">SUMPRODUCT(TRANSPOSE(EO$9:EO$34),$K218:$AJ218)</f>
        <v>2000</v>
      </c>
      <c r="EP218" s="12">
        <f t="array" ref="EP218">SUMPRODUCT(TRANSPOSE(EP$9:EP$34),$K218:$AJ218)</f>
        <v>2100</v>
      </c>
      <c r="EQ218" s="12">
        <f t="array" ref="EQ218">SUMPRODUCT(TRANSPOSE(EQ$9:EQ$34),$K218:$AJ218)</f>
        <v>2100</v>
      </c>
      <c r="ER218" s="12">
        <f t="array" ref="ER218">SUMPRODUCT(TRANSPOSE(ER$9:ER$34),$K218:$AJ218)</f>
        <v>2100</v>
      </c>
      <c r="ES218" s="12">
        <f t="array" ref="ES218">SUMPRODUCT(TRANSPOSE(ES$9:ES$34),$K218:$AJ218)</f>
        <v>2100</v>
      </c>
      <c r="ET218" s="12">
        <f t="array" ref="ET218">SUMPRODUCT(TRANSPOSE(ET$9:ET$34),$K218:$AJ218)</f>
        <v>2100</v>
      </c>
      <c r="EU218" s="12">
        <f t="array" ref="EU218">SUMPRODUCT(TRANSPOSE(EU$9:EU$34),$K218:$AJ218)</f>
        <v>2100</v>
      </c>
      <c r="EV218" s="12">
        <f t="array" ref="EV218">SUMPRODUCT(TRANSPOSE(EV$9:EV$34),$K218:$AJ218)</f>
        <v>2100</v>
      </c>
      <c r="EW218" s="12">
        <f t="array" ref="EW218">SUMPRODUCT(TRANSPOSE(EW$9:EW$34),$K218:$AJ218)</f>
        <v>2086</v>
      </c>
      <c r="EX218" s="12">
        <f t="array" ref="EX218">SUMPRODUCT(TRANSPOSE(EX$9:EX$34),$K218:$AJ218)</f>
        <v>2000</v>
      </c>
      <c r="EY218" s="12">
        <f t="array" ref="EY218">SUMPRODUCT(TRANSPOSE(EY$9:EY$34),$K218:$AJ218)</f>
        <v>2000</v>
      </c>
      <c r="EZ218" s="12">
        <f t="array" ref="EZ218">SUMPRODUCT(TRANSPOSE(EZ$9:EZ$34),$K218:$AJ218)</f>
        <v>2000</v>
      </c>
      <c r="FA218" s="12">
        <f t="array" ref="FA218">SUMPRODUCT(TRANSPOSE(FA$9:FA$34),$K218:$AJ218)</f>
        <v>2000</v>
      </c>
      <c r="FB218" s="12">
        <f t="array" ref="FB218">SUMPRODUCT(TRANSPOSE(FB$9:FB$34),$K218:$AJ218)</f>
        <v>2000</v>
      </c>
      <c r="FC218" s="12">
        <f t="array" ref="FC218">SUMPRODUCT(TRANSPOSE(FC$9:FC$34),$K218:$AJ218)</f>
        <v>2000</v>
      </c>
      <c r="FD218" s="12">
        <f t="array" ref="FD218">SUMPRODUCT(TRANSPOSE(FD$9:FD$34),$K218:$AJ218)</f>
        <v>2000</v>
      </c>
      <c r="FE218" s="12">
        <f t="array" ref="FE218">SUMPRODUCT(TRANSPOSE(FE$9:FE$34),$K218:$AJ218)</f>
        <v>2000</v>
      </c>
      <c r="FF218" s="12">
        <f t="array" ref="FF218">SUMPRODUCT(TRANSPOSE(FF$9:FF$34),$K218:$AJ218)</f>
        <v>2000</v>
      </c>
      <c r="FG218" s="12">
        <f t="array" ref="FG218">SUMPRODUCT(TRANSPOSE(FG$9:FG$34),$K218:$AJ218)</f>
        <v>2000</v>
      </c>
      <c r="FH218" s="12">
        <f t="array" ref="FH218">SUMPRODUCT(TRANSPOSE(FH$9:FH$34),$K218:$AJ218)</f>
        <v>2000</v>
      </c>
      <c r="FI218" s="12">
        <f t="array" ref="FI218">SUMPRODUCT(TRANSPOSE(FI$9:FI$34),$K218:$AJ218)</f>
        <v>2000</v>
      </c>
      <c r="FJ218" s="12">
        <f t="array" ref="FJ218">SUMPRODUCT(TRANSPOSE(FJ$9:FJ$34),$K218:$AJ218)</f>
        <v>2000</v>
      </c>
      <c r="FK218" s="12">
        <f t="array" ref="FK218">SUMPRODUCT(TRANSPOSE(FK$9:FK$34),$K218:$AJ218)</f>
        <v>2000</v>
      </c>
      <c r="FL218" s="12">
        <f t="array" ref="FL218">SUMPRODUCT(TRANSPOSE(FL$9:FL$34),$K218:$AJ218)</f>
        <v>2000</v>
      </c>
      <c r="FM218" s="12">
        <f t="array" ref="FM218">SUMPRODUCT(TRANSPOSE(FM$9:FM$34),$K218:$AJ218)</f>
        <v>2000</v>
      </c>
      <c r="FN218" s="12">
        <f t="array" ref="FN218">SUMPRODUCT(TRANSPOSE(FN$9:FN$34),$K218:$AJ218)</f>
        <v>1634</v>
      </c>
      <c r="FO218" s="12">
        <f t="array" ref="FO218">SUMPRODUCT(TRANSPOSE(FO$9:FO$34),$K218:$AJ218)</f>
        <v>0</v>
      </c>
    </row>
    <row r="219" spans="1:171" ht="14.25" x14ac:dyDescent="0.2">
      <c r="A219" s="13">
        <f t="shared" si="10"/>
        <v>184</v>
      </c>
      <c r="B219" s="13" t="s">
        <v>659</v>
      </c>
      <c r="C219" s="25" t="s">
        <v>660</v>
      </c>
      <c r="D219" s="13" t="s">
        <v>67</v>
      </c>
      <c r="E219" s="13">
        <v>401519147</v>
      </c>
      <c r="F219" s="26" t="s">
        <v>661</v>
      </c>
      <c r="G219" s="13" t="s">
        <v>662</v>
      </c>
      <c r="H219" s="13" t="s">
        <v>61</v>
      </c>
      <c r="I219" s="13">
        <v>2</v>
      </c>
      <c r="J219" s="13">
        <v>4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2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/>
      <c r="Z219" s="13">
        <v>4</v>
      </c>
      <c r="AA219" s="13">
        <v>0</v>
      </c>
      <c r="AB219" s="13">
        <v>0</v>
      </c>
      <c r="AC219" s="13">
        <v>0</v>
      </c>
      <c r="AD219" s="13">
        <v>2</v>
      </c>
      <c r="AE219" s="13">
        <v>2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f t="shared" si="11"/>
        <v>8</v>
      </c>
      <c r="AL219" s="23">
        <f t="shared" si="9"/>
        <v>134564</v>
      </c>
      <c r="AM219" s="13"/>
      <c r="AN219" s="13" t="s">
        <v>299</v>
      </c>
      <c r="AO219" s="7" t="s">
        <v>307</v>
      </c>
      <c r="AP219" s="41">
        <v>3.2000000000000002E-3</v>
      </c>
      <c r="AQ219" s="12">
        <v>75000</v>
      </c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13"/>
      <c r="CG219" s="13"/>
      <c r="CH219" s="13"/>
      <c r="CI219" s="12"/>
      <c r="CJ219" s="12"/>
      <c r="CK219" s="12"/>
      <c r="CL219" s="12"/>
      <c r="CM219" s="12"/>
      <c r="CN219" s="12"/>
      <c r="CO219" s="12"/>
      <c r="CP219" s="12">
        <f>SUM($AQ219:BJ219)-SUM($EA219:EH219)</f>
        <v>68782</v>
      </c>
      <c r="CQ219" s="12">
        <f>SUM($AQ219:BK219)-SUM($EA219:EI219)</f>
        <v>68220</v>
      </c>
      <c r="CR219" s="12">
        <f>SUM($AQ219:BL219)-SUM($EA219:EJ219)</f>
        <v>68190</v>
      </c>
      <c r="CS219" s="12">
        <f>SUM($AQ219:BM219)-SUM($EA219:EK219)</f>
        <v>67720</v>
      </c>
      <c r="CT219" s="12">
        <f>SUM($AQ219:BN219)-SUM($EA219:EL219)</f>
        <v>63690</v>
      </c>
      <c r="CU219" s="12">
        <f>SUM($AQ219:BO219)-SUM($EA219:EM219)</f>
        <v>55590</v>
      </c>
      <c r="CV219" s="12">
        <f>SUM($AQ219:BP219)-SUM($EA219:EN219)</f>
        <v>51090</v>
      </c>
      <c r="CW219" s="12">
        <f>SUM($AQ219:BQ219)-SUM($EA219:EO219)</f>
        <v>47090</v>
      </c>
      <c r="CX219" s="12">
        <f>SUM($AQ219:BR219)-SUM($EA219:EP219)</f>
        <v>42990</v>
      </c>
      <c r="CY219" s="12">
        <f>SUM($AQ219:BS219)-SUM($EA219:EQ219)</f>
        <v>38890</v>
      </c>
      <c r="CZ219" s="12">
        <f>SUM($AQ219:BT219)-SUM($EA219:ER219)</f>
        <v>34790</v>
      </c>
      <c r="DA219" s="12">
        <f>SUM($AQ219:BU219)-SUM($EA219:ES219)</f>
        <v>30690</v>
      </c>
      <c r="DB219" s="12">
        <f>SUM($AQ219:BV219)-SUM($EA219:ET219)</f>
        <v>26590</v>
      </c>
      <c r="DC219" s="12">
        <f>SUM($AQ219:BW219)-SUM($EA219:EU219)</f>
        <v>22490</v>
      </c>
      <c r="DD219" s="12">
        <f>SUM($AQ219:BX219)-SUM($EA219:EV219)</f>
        <v>18390</v>
      </c>
      <c r="DE219" s="12">
        <f>SUM($AQ219:BY219)-SUM($EA219:EW219)</f>
        <v>14304</v>
      </c>
      <c r="DF219" s="12">
        <f>SUM($AQ219:BZ219)-SUM($EA219:EX219)</f>
        <v>10304</v>
      </c>
      <c r="DG219" s="12">
        <f>SUM($AQ219:CA219)-SUM($EA219:EY219)</f>
        <v>6304</v>
      </c>
      <c r="DH219" s="12">
        <f>SUM($AQ219:CB219)-SUM($EA219:EZ219)</f>
        <v>2304</v>
      </c>
      <c r="DI219" s="12">
        <f>SUM($AQ219:CC219)-SUM($EA219:FA219)</f>
        <v>-1696</v>
      </c>
      <c r="DJ219" s="12">
        <f>SUM($AQ219:CD219)-SUM($EA219:FB219)</f>
        <v>-5696</v>
      </c>
      <c r="DK219" s="12">
        <f>SUM($AQ219:CE219)-SUM($EA219:FC219)</f>
        <v>-9696</v>
      </c>
      <c r="DL219" s="12">
        <f>SUM($AQ219:CF219)-SUM($EA219:FD219)</f>
        <v>-13696</v>
      </c>
      <c r="DM219" s="12">
        <f>SUM($AQ219:CG219)-SUM($EA219:FE219)</f>
        <v>-17696</v>
      </c>
      <c r="DN219" s="12">
        <f>SUM($AQ219:CH219)-SUM($EA219:FF219)</f>
        <v>-21696</v>
      </c>
      <c r="DO219" s="12">
        <f>SUM($AQ219:CI219)-SUM($EA219:FG219)</f>
        <v>-25696</v>
      </c>
      <c r="DP219" s="12">
        <f>SUM($AQ219:CJ219)-SUM($EA219:FH219)</f>
        <v>-29696</v>
      </c>
      <c r="DQ219" s="12">
        <f>SUM($AQ219:CK219)-SUM($EA219:FI219)</f>
        <v>-33696</v>
      </c>
      <c r="DR219" s="12">
        <f>SUM($AQ219:CL219)-SUM($EA219:FJ219)</f>
        <v>-37696</v>
      </c>
      <c r="DS219" s="12">
        <f>SUM($AQ219:CM219)-SUM($EA219:FK219)</f>
        <v>-41696</v>
      </c>
      <c r="DT219" s="12">
        <f>SUM($AQ219:CN219)-SUM($EA219:FL219)</f>
        <v>-45696</v>
      </c>
      <c r="DU219" s="12">
        <f>SUM($AQ219:CO219)-SUM($EA219:FM219)</f>
        <v>-49696</v>
      </c>
      <c r="DV219" s="12">
        <f>SUM($AQ219:CP219)-SUM($EA219:FN219)</f>
        <v>15818</v>
      </c>
      <c r="DW219" s="12">
        <f>SUM($AQ219:CQ219)-SUM($EA219:FO219)</f>
        <v>84038</v>
      </c>
      <c r="DX219" s="13"/>
      <c r="DY219" s="13"/>
      <c r="DZ219" s="13"/>
      <c r="EA219" s="12"/>
      <c r="EB219" s="12"/>
      <c r="EC219" s="12"/>
      <c r="ED219" s="12"/>
      <c r="EE219" s="12"/>
      <c r="EF219" s="12"/>
      <c r="EG219" s="12"/>
      <c r="EH219" s="12">
        <f t="array" ref="EH219">SUMPRODUCT(TRANSPOSE(EH$9:EH$34),$K219:$AJ219)</f>
        <v>6218</v>
      </c>
      <c r="EI219" s="12">
        <f t="array" ref="EI219">SUMPRODUCT(TRANSPOSE(EI$9:EI$34),$K219:$AJ219)</f>
        <v>562</v>
      </c>
      <c r="EJ219" s="12">
        <f t="array" ref="EJ219">SUMPRODUCT(TRANSPOSE(EJ$9:EJ$34),$K219:$AJ219)</f>
        <v>30</v>
      </c>
      <c r="EK219" s="12">
        <f t="array" ref="EK219">SUMPRODUCT(TRANSPOSE(EK$9:EK$34),$K219:$AJ219)</f>
        <v>470</v>
      </c>
      <c r="EL219" s="12">
        <f t="array" ref="EL219">SUMPRODUCT(TRANSPOSE(EL$9:EL$34),$K219:$AJ219)</f>
        <v>4030</v>
      </c>
      <c r="EM219" s="12">
        <f t="array" ref="EM219">SUMPRODUCT(TRANSPOSE(EM$9:EM$34),$K219:$AJ219)</f>
        <v>8100</v>
      </c>
      <c r="EN219" s="12">
        <f t="array" ref="EN219">SUMPRODUCT(TRANSPOSE(EN$9:EN$34),$K219:$AJ219)</f>
        <v>4500</v>
      </c>
      <c r="EO219" s="12">
        <f t="array" ref="EO219">SUMPRODUCT(TRANSPOSE(EO$9:EO$34),$K219:$AJ219)</f>
        <v>4000</v>
      </c>
      <c r="EP219" s="12">
        <f t="array" ref="EP219">SUMPRODUCT(TRANSPOSE(EP$9:EP$34),$K219:$AJ219)</f>
        <v>4100</v>
      </c>
      <c r="EQ219" s="12">
        <f t="array" ref="EQ219">SUMPRODUCT(TRANSPOSE(EQ$9:EQ$34),$K219:$AJ219)</f>
        <v>4100</v>
      </c>
      <c r="ER219" s="12">
        <f t="array" ref="ER219">SUMPRODUCT(TRANSPOSE(ER$9:ER$34),$K219:$AJ219)</f>
        <v>4100</v>
      </c>
      <c r="ES219" s="12">
        <f t="array" ref="ES219">SUMPRODUCT(TRANSPOSE(ES$9:ES$34),$K219:$AJ219)</f>
        <v>4100</v>
      </c>
      <c r="ET219" s="12">
        <f t="array" ref="ET219">SUMPRODUCT(TRANSPOSE(ET$9:ET$34),$K219:$AJ219)</f>
        <v>4100</v>
      </c>
      <c r="EU219" s="12">
        <f t="array" ref="EU219">SUMPRODUCT(TRANSPOSE(EU$9:EU$34),$K219:$AJ219)</f>
        <v>4100</v>
      </c>
      <c r="EV219" s="12">
        <f t="array" ref="EV219">SUMPRODUCT(TRANSPOSE(EV$9:EV$34),$K219:$AJ219)</f>
        <v>4100</v>
      </c>
      <c r="EW219" s="12">
        <f t="array" ref="EW219">SUMPRODUCT(TRANSPOSE(EW$9:EW$34),$K219:$AJ219)</f>
        <v>4086</v>
      </c>
      <c r="EX219" s="12">
        <f t="array" ref="EX219">SUMPRODUCT(TRANSPOSE(EX$9:EX$34),$K219:$AJ219)</f>
        <v>4000</v>
      </c>
      <c r="EY219" s="12">
        <f t="array" ref="EY219">SUMPRODUCT(TRANSPOSE(EY$9:EY$34),$K219:$AJ219)</f>
        <v>4000</v>
      </c>
      <c r="EZ219" s="12">
        <f t="array" ref="EZ219">SUMPRODUCT(TRANSPOSE(EZ$9:EZ$34),$K219:$AJ219)</f>
        <v>4000</v>
      </c>
      <c r="FA219" s="12">
        <f t="array" ref="FA219">SUMPRODUCT(TRANSPOSE(FA$9:FA$34),$K219:$AJ219)</f>
        <v>4000</v>
      </c>
      <c r="FB219" s="12">
        <f t="array" ref="FB219">SUMPRODUCT(TRANSPOSE(FB$9:FB$34),$K219:$AJ219)</f>
        <v>4000</v>
      </c>
      <c r="FC219" s="12">
        <f t="array" ref="FC219">SUMPRODUCT(TRANSPOSE(FC$9:FC$34),$K219:$AJ219)</f>
        <v>4000</v>
      </c>
      <c r="FD219" s="12">
        <f t="array" ref="FD219">SUMPRODUCT(TRANSPOSE(FD$9:FD$34),$K219:$AJ219)</f>
        <v>4000</v>
      </c>
      <c r="FE219" s="12">
        <f t="array" ref="FE219">SUMPRODUCT(TRANSPOSE(FE$9:FE$34),$K219:$AJ219)</f>
        <v>4000</v>
      </c>
      <c r="FF219" s="12">
        <f t="array" ref="FF219">SUMPRODUCT(TRANSPOSE(FF$9:FF$34),$K219:$AJ219)</f>
        <v>4000</v>
      </c>
      <c r="FG219" s="12">
        <f t="array" ref="FG219">SUMPRODUCT(TRANSPOSE(FG$9:FG$34),$K219:$AJ219)</f>
        <v>4000</v>
      </c>
      <c r="FH219" s="12">
        <f t="array" ref="FH219">SUMPRODUCT(TRANSPOSE(FH$9:FH$34),$K219:$AJ219)</f>
        <v>4000</v>
      </c>
      <c r="FI219" s="12">
        <f t="array" ref="FI219">SUMPRODUCT(TRANSPOSE(FI$9:FI$34),$K219:$AJ219)</f>
        <v>4000</v>
      </c>
      <c r="FJ219" s="12">
        <f t="array" ref="FJ219">SUMPRODUCT(TRANSPOSE(FJ$9:FJ$34),$K219:$AJ219)</f>
        <v>4000</v>
      </c>
      <c r="FK219" s="12">
        <f t="array" ref="FK219">SUMPRODUCT(TRANSPOSE(FK$9:FK$34),$K219:$AJ219)</f>
        <v>4000</v>
      </c>
      <c r="FL219" s="12">
        <f t="array" ref="FL219">SUMPRODUCT(TRANSPOSE(FL$9:FL$34),$K219:$AJ219)</f>
        <v>4000</v>
      </c>
      <c r="FM219" s="12">
        <f t="array" ref="FM219">SUMPRODUCT(TRANSPOSE(FM$9:FM$34),$K219:$AJ219)</f>
        <v>4000</v>
      </c>
      <c r="FN219" s="12">
        <f t="array" ref="FN219">SUMPRODUCT(TRANSPOSE(FN$9:FN$34),$K219:$AJ219)</f>
        <v>3268</v>
      </c>
      <c r="FO219" s="12">
        <f t="array" ref="FO219">SUMPRODUCT(TRANSPOSE(FO$9:FO$34),$K219:$AJ219)</f>
        <v>0</v>
      </c>
    </row>
    <row r="220" spans="1:171" ht="14.25" x14ac:dyDescent="0.2">
      <c r="A220" s="13">
        <f t="shared" si="10"/>
        <v>185</v>
      </c>
      <c r="B220" s="13" t="s">
        <v>663</v>
      </c>
      <c r="C220" s="25" t="s">
        <v>664</v>
      </c>
      <c r="D220" s="13" t="s">
        <v>67</v>
      </c>
      <c r="E220" s="13">
        <v>400693204</v>
      </c>
      <c r="F220" s="26" t="s">
        <v>665</v>
      </c>
      <c r="G220" s="13" t="s">
        <v>666</v>
      </c>
      <c r="H220" s="13" t="s">
        <v>61</v>
      </c>
      <c r="I220" s="13">
        <v>2</v>
      </c>
      <c r="J220" s="13">
        <v>6</v>
      </c>
      <c r="K220" s="13">
        <v>0</v>
      </c>
      <c r="L220" s="13">
        <v>0</v>
      </c>
      <c r="M220" s="13">
        <v>0</v>
      </c>
      <c r="N220" s="13">
        <v>2</v>
      </c>
      <c r="O220" s="13">
        <v>0</v>
      </c>
      <c r="P220" s="13">
        <v>0</v>
      </c>
      <c r="Q220" s="13">
        <v>0</v>
      </c>
      <c r="R220" s="13">
        <v>0</v>
      </c>
      <c r="S220" s="13">
        <v>2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/>
      <c r="Z220" s="13">
        <v>2</v>
      </c>
      <c r="AA220" s="13">
        <v>0</v>
      </c>
      <c r="AB220" s="13">
        <v>0</v>
      </c>
      <c r="AC220" s="13">
        <v>0</v>
      </c>
      <c r="AD220" s="13">
        <v>2</v>
      </c>
      <c r="AE220" s="13">
        <v>4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f t="shared" si="11"/>
        <v>8</v>
      </c>
      <c r="AL220" s="23">
        <f t="shared" si="9"/>
        <v>143108</v>
      </c>
      <c r="AM220" s="13"/>
      <c r="AN220" s="13" t="s">
        <v>299</v>
      </c>
      <c r="AO220" s="7" t="s">
        <v>300</v>
      </c>
      <c r="AP220" s="38">
        <v>1.1999999999999999E-3</v>
      </c>
      <c r="AQ220" s="12">
        <v>145000</v>
      </c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13"/>
      <c r="CG220" s="13"/>
      <c r="CH220" s="13"/>
      <c r="CI220" s="12"/>
      <c r="CJ220" s="12"/>
      <c r="CK220" s="12"/>
      <c r="CL220" s="12"/>
      <c r="CM220" s="12"/>
      <c r="CN220" s="12"/>
      <c r="CO220" s="12"/>
      <c r="CP220" s="12">
        <f>SUM($AQ220:BJ220)-SUM($EA220:EH220)</f>
        <v>130874</v>
      </c>
      <c r="CQ220" s="12">
        <f>SUM($AQ220:BK220)-SUM($EA220:EI220)</f>
        <v>130312</v>
      </c>
      <c r="CR220" s="12">
        <f>SUM($AQ220:BL220)-SUM($EA220:EJ220)</f>
        <v>128252</v>
      </c>
      <c r="CS220" s="12">
        <f>SUM($AQ220:BM220)-SUM($EA220:EK220)</f>
        <v>125912</v>
      </c>
      <c r="CT220" s="12">
        <f>SUM($AQ220:BN220)-SUM($EA220:EL220)</f>
        <v>121852</v>
      </c>
      <c r="CU220" s="12">
        <f>SUM($AQ220:BO220)-SUM($EA220:EM220)</f>
        <v>117652</v>
      </c>
      <c r="CV220" s="12">
        <f>SUM($AQ220:BP220)-SUM($EA220:EN220)</f>
        <v>113452</v>
      </c>
      <c r="CW220" s="12">
        <f>SUM($AQ220:BQ220)-SUM($EA220:EO220)</f>
        <v>109452</v>
      </c>
      <c r="CX220" s="12">
        <f>SUM($AQ220:BR220)-SUM($EA220:EP220)</f>
        <v>105252</v>
      </c>
      <c r="CY220" s="12">
        <f>SUM($AQ220:BS220)-SUM($EA220:EQ220)</f>
        <v>101052</v>
      </c>
      <c r="CZ220" s="12">
        <f>SUM($AQ220:BT220)-SUM($EA220:ER220)</f>
        <v>96852</v>
      </c>
      <c r="DA220" s="12">
        <f>SUM($AQ220:BU220)-SUM($EA220:ES220)</f>
        <v>92652</v>
      </c>
      <c r="DB220" s="12">
        <f>SUM($AQ220:BV220)-SUM($EA220:ET220)</f>
        <v>88452</v>
      </c>
      <c r="DC220" s="12">
        <f>SUM($AQ220:BW220)-SUM($EA220:EU220)</f>
        <v>84252</v>
      </c>
      <c r="DD220" s="12">
        <f>SUM($AQ220:BX220)-SUM($EA220:EV220)</f>
        <v>80052</v>
      </c>
      <c r="DE220" s="12">
        <f>SUM($AQ220:BY220)-SUM($EA220:EW220)</f>
        <v>75880</v>
      </c>
      <c r="DF220" s="12">
        <f>SUM($AQ220:BZ220)-SUM($EA220:EX220)</f>
        <v>71880</v>
      </c>
      <c r="DG220" s="12">
        <f>SUM($AQ220:CA220)-SUM($EA220:EY220)</f>
        <v>67880</v>
      </c>
      <c r="DH220" s="12">
        <f>SUM($AQ220:CB220)-SUM($EA220:EZ220)</f>
        <v>63880</v>
      </c>
      <c r="DI220" s="12">
        <f>SUM($AQ220:CC220)-SUM($EA220:FA220)</f>
        <v>59880</v>
      </c>
      <c r="DJ220" s="12">
        <f>SUM($AQ220:CD220)-SUM($EA220:FB220)</f>
        <v>55880</v>
      </c>
      <c r="DK220" s="12">
        <f>SUM($AQ220:CE220)-SUM($EA220:FC220)</f>
        <v>51880</v>
      </c>
      <c r="DL220" s="12">
        <f>SUM($AQ220:CF220)-SUM($EA220:FD220)</f>
        <v>47880</v>
      </c>
      <c r="DM220" s="12">
        <f>SUM($AQ220:CG220)-SUM($EA220:FE220)</f>
        <v>43880</v>
      </c>
      <c r="DN220" s="12">
        <f>SUM($AQ220:CH220)-SUM($EA220:FF220)</f>
        <v>39880</v>
      </c>
      <c r="DO220" s="12">
        <f>SUM($AQ220:CI220)-SUM($EA220:FG220)</f>
        <v>35880</v>
      </c>
      <c r="DP220" s="12">
        <f>SUM($AQ220:CJ220)-SUM($EA220:FH220)</f>
        <v>31880</v>
      </c>
      <c r="DQ220" s="12">
        <f>SUM($AQ220:CK220)-SUM($EA220:FI220)</f>
        <v>27880</v>
      </c>
      <c r="DR220" s="12">
        <f>SUM($AQ220:CL220)-SUM($EA220:FJ220)</f>
        <v>23880</v>
      </c>
      <c r="DS220" s="12">
        <f>SUM($AQ220:CM220)-SUM($EA220:FK220)</f>
        <v>19880</v>
      </c>
      <c r="DT220" s="12">
        <f>SUM($AQ220:CN220)-SUM($EA220:FL220)</f>
        <v>15880</v>
      </c>
      <c r="DU220" s="12">
        <f>SUM($AQ220:CO220)-SUM($EA220:FM220)</f>
        <v>11880</v>
      </c>
      <c r="DV220" s="12">
        <f>SUM($AQ220:CP220)-SUM($EA220:FN220)</f>
        <v>139120</v>
      </c>
      <c r="DW220" s="12">
        <f>SUM($AQ220:CQ220)-SUM($EA220:FO220)</f>
        <v>269278</v>
      </c>
      <c r="DX220" s="13"/>
      <c r="DY220" s="13"/>
      <c r="DZ220" s="13"/>
      <c r="EA220" s="12"/>
      <c r="EB220" s="12"/>
      <c r="EC220" s="12"/>
      <c r="ED220" s="12"/>
      <c r="EE220" s="12"/>
      <c r="EF220" s="12"/>
      <c r="EG220" s="12"/>
      <c r="EH220" s="12">
        <f t="array" ref="EH220">SUMPRODUCT(TRANSPOSE(EH$9:EH$34),$K220:$AJ220)</f>
        <v>14126</v>
      </c>
      <c r="EI220" s="12">
        <f t="array" ref="EI220">SUMPRODUCT(TRANSPOSE(EI$9:EI$34),$K220:$AJ220)</f>
        <v>562</v>
      </c>
      <c r="EJ220" s="12">
        <f t="array" ref="EJ220">SUMPRODUCT(TRANSPOSE(EJ$9:EJ$34),$K220:$AJ220)</f>
        <v>2060</v>
      </c>
      <c r="EK220" s="12">
        <f t="array" ref="EK220">SUMPRODUCT(TRANSPOSE(EK$9:EK$34),$K220:$AJ220)</f>
        <v>2340</v>
      </c>
      <c r="EL220" s="12">
        <f t="array" ref="EL220">SUMPRODUCT(TRANSPOSE(EL$9:EL$34),$K220:$AJ220)</f>
        <v>4060</v>
      </c>
      <c r="EM220" s="12">
        <f t="array" ref="EM220">SUMPRODUCT(TRANSPOSE(EM$9:EM$34),$K220:$AJ220)</f>
        <v>4200</v>
      </c>
      <c r="EN220" s="12">
        <f t="array" ref="EN220">SUMPRODUCT(TRANSPOSE(EN$9:EN$34),$K220:$AJ220)</f>
        <v>4200</v>
      </c>
      <c r="EO220" s="12">
        <f t="array" ref="EO220">SUMPRODUCT(TRANSPOSE(EO$9:EO$34),$K220:$AJ220)</f>
        <v>4000</v>
      </c>
      <c r="EP220" s="12">
        <f t="array" ref="EP220">SUMPRODUCT(TRANSPOSE(EP$9:EP$34),$K220:$AJ220)</f>
        <v>4200</v>
      </c>
      <c r="EQ220" s="12">
        <f t="array" ref="EQ220">SUMPRODUCT(TRANSPOSE(EQ$9:EQ$34),$K220:$AJ220)</f>
        <v>4200</v>
      </c>
      <c r="ER220" s="12">
        <f t="array" ref="ER220">SUMPRODUCT(TRANSPOSE(ER$9:ER$34),$K220:$AJ220)</f>
        <v>4200</v>
      </c>
      <c r="ES220" s="12">
        <f t="array" ref="ES220">SUMPRODUCT(TRANSPOSE(ES$9:ES$34),$K220:$AJ220)</f>
        <v>4200</v>
      </c>
      <c r="ET220" s="12">
        <f t="array" ref="ET220">SUMPRODUCT(TRANSPOSE(ET$9:ET$34),$K220:$AJ220)</f>
        <v>4200</v>
      </c>
      <c r="EU220" s="12">
        <f t="array" ref="EU220">SUMPRODUCT(TRANSPOSE(EU$9:EU$34),$K220:$AJ220)</f>
        <v>4200</v>
      </c>
      <c r="EV220" s="12">
        <f t="array" ref="EV220">SUMPRODUCT(TRANSPOSE(EV$9:EV$34),$K220:$AJ220)</f>
        <v>4200</v>
      </c>
      <c r="EW220" s="12">
        <f t="array" ref="EW220">SUMPRODUCT(TRANSPOSE(EW$9:EW$34),$K220:$AJ220)</f>
        <v>4172</v>
      </c>
      <c r="EX220" s="12">
        <f t="array" ref="EX220">SUMPRODUCT(TRANSPOSE(EX$9:EX$34),$K220:$AJ220)</f>
        <v>4000</v>
      </c>
      <c r="EY220" s="12">
        <f t="array" ref="EY220">SUMPRODUCT(TRANSPOSE(EY$9:EY$34),$K220:$AJ220)</f>
        <v>4000</v>
      </c>
      <c r="EZ220" s="12">
        <f t="array" ref="EZ220">SUMPRODUCT(TRANSPOSE(EZ$9:EZ$34),$K220:$AJ220)</f>
        <v>4000</v>
      </c>
      <c r="FA220" s="12">
        <f t="array" ref="FA220">SUMPRODUCT(TRANSPOSE(FA$9:FA$34),$K220:$AJ220)</f>
        <v>4000</v>
      </c>
      <c r="FB220" s="12">
        <f t="array" ref="FB220">SUMPRODUCT(TRANSPOSE(FB$9:FB$34),$K220:$AJ220)</f>
        <v>4000</v>
      </c>
      <c r="FC220" s="12">
        <f t="array" ref="FC220">SUMPRODUCT(TRANSPOSE(FC$9:FC$34),$K220:$AJ220)</f>
        <v>4000</v>
      </c>
      <c r="FD220" s="12">
        <f t="array" ref="FD220">SUMPRODUCT(TRANSPOSE(FD$9:FD$34),$K220:$AJ220)</f>
        <v>4000</v>
      </c>
      <c r="FE220" s="12">
        <f t="array" ref="FE220">SUMPRODUCT(TRANSPOSE(FE$9:FE$34),$K220:$AJ220)</f>
        <v>4000</v>
      </c>
      <c r="FF220" s="12">
        <f t="array" ref="FF220">SUMPRODUCT(TRANSPOSE(FF$9:FF$34),$K220:$AJ220)</f>
        <v>4000</v>
      </c>
      <c r="FG220" s="12">
        <f t="array" ref="FG220">SUMPRODUCT(TRANSPOSE(FG$9:FG$34),$K220:$AJ220)</f>
        <v>4000</v>
      </c>
      <c r="FH220" s="12">
        <f t="array" ref="FH220">SUMPRODUCT(TRANSPOSE(FH$9:FH$34),$K220:$AJ220)</f>
        <v>4000</v>
      </c>
      <c r="FI220" s="12">
        <f t="array" ref="FI220">SUMPRODUCT(TRANSPOSE(FI$9:FI$34),$K220:$AJ220)</f>
        <v>4000</v>
      </c>
      <c r="FJ220" s="12">
        <f t="array" ref="FJ220">SUMPRODUCT(TRANSPOSE(FJ$9:FJ$34),$K220:$AJ220)</f>
        <v>4000</v>
      </c>
      <c r="FK220" s="12">
        <f t="array" ref="FK220">SUMPRODUCT(TRANSPOSE(FK$9:FK$34),$K220:$AJ220)</f>
        <v>4000</v>
      </c>
      <c r="FL220" s="12">
        <f t="array" ref="FL220">SUMPRODUCT(TRANSPOSE(FL$9:FL$34),$K220:$AJ220)</f>
        <v>4000</v>
      </c>
      <c r="FM220" s="12">
        <f t="array" ref="FM220">SUMPRODUCT(TRANSPOSE(FM$9:FM$34),$K220:$AJ220)</f>
        <v>4000</v>
      </c>
      <c r="FN220" s="12">
        <f t="array" ref="FN220">SUMPRODUCT(TRANSPOSE(FN$9:FN$34),$K220:$AJ220)</f>
        <v>3634</v>
      </c>
      <c r="FO220" s="12">
        <f t="array" ref="FO220">SUMPRODUCT(TRANSPOSE(FO$9:FO$34),$K220:$AJ220)</f>
        <v>154</v>
      </c>
    </row>
    <row r="221" spans="1:171" ht="14.25" x14ac:dyDescent="0.2">
      <c r="A221" s="13">
        <f t="shared" si="10"/>
        <v>186</v>
      </c>
      <c r="B221" s="13" t="s">
        <v>667</v>
      </c>
      <c r="C221" s="25" t="s">
        <v>668</v>
      </c>
      <c r="D221" s="13" t="s">
        <v>67</v>
      </c>
      <c r="E221" s="13">
        <v>401053377</v>
      </c>
      <c r="F221" s="26" t="s">
        <v>669</v>
      </c>
      <c r="G221" s="13" t="s">
        <v>670</v>
      </c>
      <c r="H221" s="13" t="s">
        <v>61</v>
      </c>
      <c r="I221" s="13">
        <v>2</v>
      </c>
      <c r="J221" s="13">
        <v>2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1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/>
      <c r="Z221" s="13">
        <v>1</v>
      </c>
      <c r="AA221" s="13">
        <v>0</v>
      </c>
      <c r="AB221" s="13">
        <v>0</v>
      </c>
      <c r="AC221" s="13">
        <v>0</v>
      </c>
      <c r="AD221" s="13">
        <v>1</v>
      </c>
      <c r="AE221" s="13">
        <v>1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f t="shared" si="11"/>
        <v>3</v>
      </c>
      <c r="AL221" s="23">
        <f t="shared" si="9"/>
        <v>35665</v>
      </c>
      <c r="AM221" s="13"/>
      <c r="AN221" s="13" t="s">
        <v>299</v>
      </c>
      <c r="AO221" s="7" t="s">
        <v>300</v>
      </c>
      <c r="AP221" s="38">
        <v>1.1999999999999999E-3</v>
      </c>
      <c r="AQ221" s="12">
        <v>50000</v>
      </c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13"/>
      <c r="CG221" s="13"/>
      <c r="CH221" s="13"/>
      <c r="CI221" s="12"/>
      <c r="CJ221" s="12"/>
      <c r="CK221" s="12"/>
      <c r="CL221" s="12"/>
      <c r="CM221" s="12"/>
      <c r="CN221" s="12"/>
      <c r="CO221" s="12"/>
      <c r="CP221" s="12">
        <f>SUM($AQ221:BJ221)-SUM($EA221:EH221)</f>
        <v>46891</v>
      </c>
      <c r="CQ221" s="12">
        <f>SUM($AQ221:BK221)-SUM($EA221:EI221)</f>
        <v>46610</v>
      </c>
      <c r="CR221" s="12">
        <f>SUM($AQ221:BL221)-SUM($EA221:EJ221)</f>
        <v>46595</v>
      </c>
      <c r="CS221" s="12">
        <f>SUM($AQ221:BM221)-SUM($EA221:EK221)</f>
        <v>46460</v>
      </c>
      <c r="CT221" s="12">
        <f>SUM($AQ221:BN221)-SUM($EA221:EL221)</f>
        <v>45445</v>
      </c>
      <c r="CU221" s="12">
        <f>SUM($AQ221:BO221)-SUM($EA221:EM221)</f>
        <v>43395</v>
      </c>
      <c r="CV221" s="12">
        <f>SUM($AQ221:BP221)-SUM($EA221:EN221)</f>
        <v>42245</v>
      </c>
      <c r="CW221" s="12">
        <f>SUM($AQ221:BQ221)-SUM($EA221:EO221)</f>
        <v>41245</v>
      </c>
      <c r="CX221" s="12">
        <f>SUM($AQ221:BR221)-SUM($EA221:EP221)</f>
        <v>40195</v>
      </c>
      <c r="CY221" s="12">
        <f>SUM($AQ221:BS221)-SUM($EA221:EQ221)</f>
        <v>39145</v>
      </c>
      <c r="CZ221" s="12">
        <f>SUM($AQ221:BT221)-SUM($EA221:ER221)</f>
        <v>38095</v>
      </c>
      <c r="DA221" s="12">
        <f>SUM($AQ221:BU221)-SUM($EA221:ES221)</f>
        <v>37045</v>
      </c>
      <c r="DB221" s="12">
        <f>SUM($AQ221:BV221)-SUM($EA221:ET221)</f>
        <v>35995</v>
      </c>
      <c r="DC221" s="12">
        <f>SUM($AQ221:BW221)-SUM($EA221:EU221)</f>
        <v>34945</v>
      </c>
      <c r="DD221" s="12">
        <f>SUM($AQ221:BX221)-SUM($EA221:EV221)</f>
        <v>33895</v>
      </c>
      <c r="DE221" s="12">
        <f>SUM($AQ221:BY221)-SUM($EA221:EW221)</f>
        <v>32852</v>
      </c>
      <c r="DF221" s="12">
        <f>SUM($AQ221:BZ221)-SUM($EA221:EX221)</f>
        <v>31852</v>
      </c>
      <c r="DG221" s="12">
        <f>SUM($AQ221:CA221)-SUM($EA221:EY221)</f>
        <v>30852</v>
      </c>
      <c r="DH221" s="12">
        <f>SUM($AQ221:CB221)-SUM($EA221:EZ221)</f>
        <v>29852</v>
      </c>
      <c r="DI221" s="12">
        <f>SUM($AQ221:CC221)-SUM($EA221:FA221)</f>
        <v>28852</v>
      </c>
      <c r="DJ221" s="12">
        <f>SUM($AQ221:CD221)-SUM($EA221:FB221)</f>
        <v>27852</v>
      </c>
      <c r="DK221" s="12">
        <f>SUM($AQ221:CE221)-SUM($EA221:FC221)</f>
        <v>26852</v>
      </c>
      <c r="DL221" s="12">
        <f>SUM($AQ221:CF221)-SUM($EA221:FD221)</f>
        <v>25852</v>
      </c>
      <c r="DM221" s="12">
        <f>SUM($AQ221:CG221)-SUM($EA221:FE221)</f>
        <v>24852</v>
      </c>
      <c r="DN221" s="12">
        <f>SUM($AQ221:CH221)-SUM($EA221:FF221)</f>
        <v>23852</v>
      </c>
      <c r="DO221" s="12">
        <f>SUM($AQ221:CI221)-SUM($EA221:FG221)</f>
        <v>22852</v>
      </c>
      <c r="DP221" s="12">
        <f>SUM($AQ221:CJ221)-SUM($EA221:FH221)</f>
        <v>21852</v>
      </c>
      <c r="DQ221" s="12">
        <f>SUM($AQ221:CK221)-SUM($EA221:FI221)</f>
        <v>20852</v>
      </c>
      <c r="DR221" s="12">
        <f>SUM($AQ221:CL221)-SUM($EA221:FJ221)</f>
        <v>19852</v>
      </c>
      <c r="DS221" s="12">
        <f>SUM($AQ221:CM221)-SUM($EA221:FK221)</f>
        <v>18852</v>
      </c>
      <c r="DT221" s="12">
        <f>SUM($AQ221:CN221)-SUM($EA221:FL221)</f>
        <v>17852</v>
      </c>
      <c r="DU221" s="12">
        <f>SUM($AQ221:CO221)-SUM($EA221:FM221)</f>
        <v>16852</v>
      </c>
      <c r="DV221" s="12">
        <f>SUM($AQ221:CP221)-SUM($EA221:FN221)</f>
        <v>62926</v>
      </c>
      <c r="DW221" s="12">
        <f>SUM($AQ221:CQ221)-SUM($EA221:FO221)</f>
        <v>109536</v>
      </c>
      <c r="DX221" s="13"/>
      <c r="DY221" s="13"/>
      <c r="DZ221" s="13"/>
      <c r="EA221" s="12"/>
      <c r="EB221" s="12"/>
      <c r="EC221" s="12"/>
      <c r="ED221" s="12"/>
      <c r="EE221" s="12"/>
      <c r="EF221" s="12"/>
      <c r="EG221" s="12"/>
      <c r="EH221" s="12">
        <f t="array" ref="EH221">SUMPRODUCT(TRANSPOSE(EH$9:EH$34),$K221:$AJ221)</f>
        <v>3109</v>
      </c>
      <c r="EI221" s="12">
        <f t="array" ref="EI221">SUMPRODUCT(TRANSPOSE(EI$9:EI$34),$K221:$AJ221)</f>
        <v>281</v>
      </c>
      <c r="EJ221" s="12">
        <f t="array" ref="EJ221">SUMPRODUCT(TRANSPOSE(EJ$9:EJ$34),$K221:$AJ221)</f>
        <v>15</v>
      </c>
      <c r="EK221" s="12">
        <f t="array" ref="EK221">SUMPRODUCT(TRANSPOSE(EK$9:EK$34),$K221:$AJ221)</f>
        <v>135</v>
      </c>
      <c r="EL221" s="12">
        <f t="array" ref="EL221">SUMPRODUCT(TRANSPOSE(EL$9:EL$34),$K221:$AJ221)</f>
        <v>1015</v>
      </c>
      <c r="EM221" s="12">
        <f t="array" ref="EM221">SUMPRODUCT(TRANSPOSE(EM$9:EM$34),$K221:$AJ221)</f>
        <v>2050</v>
      </c>
      <c r="EN221" s="12">
        <f t="array" ref="EN221">SUMPRODUCT(TRANSPOSE(EN$9:EN$34),$K221:$AJ221)</f>
        <v>1150</v>
      </c>
      <c r="EO221" s="12">
        <f t="array" ref="EO221">SUMPRODUCT(TRANSPOSE(EO$9:EO$34),$K221:$AJ221)</f>
        <v>1000</v>
      </c>
      <c r="EP221" s="12">
        <f t="array" ref="EP221">SUMPRODUCT(TRANSPOSE(EP$9:EP$34),$K221:$AJ221)</f>
        <v>1050</v>
      </c>
      <c r="EQ221" s="12">
        <f t="array" ref="EQ221">SUMPRODUCT(TRANSPOSE(EQ$9:EQ$34),$K221:$AJ221)</f>
        <v>1050</v>
      </c>
      <c r="ER221" s="12">
        <f t="array" ref="ER221">SUMPRODUCT(TRANSPOSE(ER$9:ER$34),$K221:$AJ221)</f>
        <v>1050</v>
      </c>
      <c r="ES221" s="12">
        <f t="array" ref="ES221">SUMPRODUCT(TRANSPOSE(ES$9:ES$34),$K221:$AJ221)</f>
        <v>1050</v>
      </c>
      <c r="ET221" s="12">
        <f t="array" ref="ET221">SUMPRODUCT(TRANSPOSE(ET$9:ET$34),$K221:$AJ221)</f>
        <v>1050</v>
      </c>
      <c r="EU221" s="12">
        <f t="array" ref="EU221">SUMPRODUCT(TRANSPOSE(EU$9:EU$34),$K221:$AJ221)</f>
        <v>1050</v>
      </c>
      <c r="EV221" s="12">
        <f t="array" ref="EV221">SUMPRODUCT(TRANSPOSE(EV$9:EV$34),$K221:$AJ221)</f>
        <v>1050</v>
      </c>
      <c r="EW221" s="12">
        <f t="array" ref="EW221">SUMPRODUCT(TRANSPOSE(EW$9:EW$34),$K221:$AJ221)</f>
        <v>1043</v>
      </c>
      <c r="EX221" s="12">
        <f t="array" ref="EX221">SUMPRODUCT(TRANSPOSE(EX$9:EX$34),$K221:$AJ221)</f>
        <v>1000</v>
      </c>
      <c r="EY221" s="12">
        <f t="array" ref="EY221">SUMPRODUCT(TRANSPOSE(EY$9:EY$34),$K221:$AJ221)</f>
        <v>1000</v>
      </c>
      <c r="EZ221" s="12">
        <f t="array" ref="EZ221">SUMPRODUCT(TRANSPOSE(EZ$9:EZ$34),$K221:$AJ221)</f>
        <v>1000</v>
      </c>
      <c r="FA221" s="12">
        <f t="array" ref="FA221">SUMPRODUCT(TRANSPOSE(FA$9:FA$34),$K221:$AJ221)</f>
        <v>1000</v>
      </c>
      <c r="FB221" s="12">
        <f t="array" ref="FB221">SUMPRODUCT(TRANSPOSE(FB$9:FB$34),$K221:$AJ221)</f>
        <v>1000</v>
      </c>
      <c r="FC221" s="12">
        <f t="array" ref="FC221">SUMPRODUCT(TRANSPOSE(FC$9:FC$34),$K221:$AJ221)</f>
        <v>1000</v>
      </c>
      <c r="FD221" s="12">
        <f t="array" ref="FD221">SUMPRODUCT(TRANSPOSE(FD$9:FD$34),$K221:$AJ221)</f>
        <v>1000</v>
      </c>
      <c r="FE221" s="12">
        <f t="array" ref="FE221">SUMPRODUCT(TRANSPOSE(FE$9:FE$34),$K221:$AJ221)</f>
        <v>1000</v>
      </c>
      <c r="FF221" s="12">
        <f t="array" ref="FF221">SUMPRODUCT(TRANSPOSE(FF$9:FF$34),$K221:$AJ221)</f>
        <v>1000</v>
      </c>
      <c r="FG221" s="12">
        <f t="array" ref="FG221">SUMPRODUCT(TRANSPOSE(FG$9:FG$34),$K221:$AJ221)</f>
        <v>1000</v>
      </c>
      <c r="FH221" s="12">
        <f t="array" ref="FH221">SUMPRODUCT(TRANSPOSE(FH$9:FH$34),$K221:$AJ221)</f>
        <v>1000</v>
      </c>
      <c r="FI221" s="12">
        <f t="array" ref="FI221">SUMPRODUCT(TRANSPOSE(FI$9:FI$34),$K221:$AJ221)</f>
        <v>1000</v>
      </c>
      <c r="FJ221" s="12">
        <f t="array" ref="FJ221">SUMPRODUCT(TRANSPOSE(FJ$9:FJ$34),$K221:$AJ221)</f>
        <v>1000</v>
      </c>
      <c r="FK221" s="12">
        <f t="array" ref="FK221">SUMPRODUCT(TRANSPOSE(FK$9:FK$34),$K221:$AJ221)</f>
        <v>1000</v>
      </c>
      <c r="FL221" s="12">
        <f t="array" ref="FL221">SUMPRODUCT(TRANSPOSE(FL$9:FL$34),$K221:$AJ221)</f>
        <v>1000</v>
      </c>
      <c r="FM221" s="12">
        <f t="array" ref="FM221">SUMPRODUCT(TRANSPOSE(FM$9:FM$34),$K221:$AJ221)</f>
        <v>1000</v>
      </c>
      <c r="FN221" s="12">
        <f t="array" ref="FN221">SUMPRODUCT(TRANSPOSE(FN$9:FN$34),$K221:$AJ221)</f>
        <v>817</v>
      </c>
      <c r="FO221" s="12">
        <f t="array" ref="FO221">SUMPRODUCT(TRANSPOSE(FO$9:FO$34),$K221:$AJ221)</f>
        <v>0</v>
      </c>
    </row>
    <row r="222" spans="1:171" ht="14.25" x14ac:dyDescent="0.2">
      <c r="A222" s="13">
        <f t="shared" si="10"/>
        <v>187</v>
      </c>
      <c r="B222" s="13" t="s">
        <v>671</v>
      </c>
      <c r="C222" s="25" t="s">
        <v>672</v>
      </c>
      <c r="D222" s="13" t="s">
        <v>67</v>
      </c>
      <c r="E222" s="13">
        <v>400658345</v>
      </c>
      <c r="F222" s="26" t="s">
        <v>673</v>
      </c>
      <c r="G222" s="13" t="s">
        <v>674</v>
      </c>
      <c r="H222" s="13" t="s">
        <v>61</v>
      </c>
      <c r="I222" s="13">
        <v>2</v>
      </c>
      <c r="J222" s="13">
        <v>8</v>
      </c>
      <c r="K222" s="13">
        <v>0</v>
      </c>
      <c r="L222" s="13">
        <v>0</v>
      </c>
      <c r="M222" s="13">
        <v>0</v>
      </c>
      <c r="N222" s="13">
        <v>0</v>
      </c>
      <c r="O222" s="13">
        <v>2</v>
      </c>
      <c r="P222" s="13">
        <v>0</v>
      </c>
      <c r="Q222" s="13">
        <v>0</v>
      </c>
      <c r="R222" s="13">
        <v>0</v>
      </c>
      <c r="S222" s="13">
        <v>1</v>
      </c>
      <c r="T222" s="13">
        <v>0</v>
      </c>
      <c r="U222" s="13">
        <v>0</v>
      </c>
      <c r="V222" s="13">
        <v>0</v>
      </c>
      <c r="W222" s="13">
        <v>0</v>
      </c>
      <c r="X222" s="13">
        <v>2</v>
      </c>
      <c r="Y222" s="13"/>
      <c r="Z222" s="13">
        <v>1</v>
      </c>
      <c r="AA222" s="13">
        <v>0</v>
      </c>
      <c r="AB222" s="13">
        <v>0</v>
      </c>
      <c r="AC222" s="13">
        <v>0</v>
      </c>
      <c r="AD222" s="13">
        <v>1</v>
      </c>
      <c r="AE222" s="13">
        <v>1</v>
      </c>
      <c r="AF222" s="13">
        <v>0</v>
      </c>
      <c r="AG222" s="13">
        <v>0</v>
      </c>
      <c r="AH222" s="13">
        <v>0</v>
      </c>
      <c r="AI222" s="13">
        <v>0</v>
      </c>
      <c r="AJ222" s="13">
        <v>2</v>
      </c>
      <c r="AK222" s="13">
        <f t="shared" si="11"/>
        <v>7</v>
      </c>
      <c r="AL222" s="23">
        <f t="shared" si="9"/>
        <v>177391</v>
      </c>
      <c r="AM222" s="13"/>
      <c r="AN222" s="13" t="s">
        <v>299</v>
      </c>
      <c r="AO222" s="7" t="s">
        <v>300</v>
      </c>
      <c r="AP222" s="38">
        <v>1.1999999999999999E-3</v>
      </c>
      <c r="AQ222" s="12">
        <v>180000</v>
      </c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13"/>
      <c r="CG222" s="13"/>
      <c r="CH222" s="13"/>
      <c r="CI222" s="12"/>
      <c r="CJ222" s="12"/>
      <c r="CK222" s="12"/>
      <c r="CL222" s="12"/>
      <c r="CM222" s="12"/>
      <c r="CN222" s="12"/>
      <c r="CO222" s="12"/>
      <c r="CP222" s="12">
        <f>SUM($AQ222:BJ222)-SUM($EA222:EH222)</f>
        <v>162765</v>
      </c>
      <c r="CQ222" s="12">
        <f>SUM($AQ222:BK222)-SUM($EA222:EI222)</f>
        <v>161684</v>
      </c>
      <c r="CR222" s="12">
        <f>SUM($AQ222:BL222)-SUM($EA222:EJ222)</f>
        <v>159639</v>
      </c>
      <c r="CS222" s="12">
        <f>SUM($AQ222:BM222)-SUM($EA222:EK222)</f>
        <v>157234</v>
      </c>
      <c r="CT222" s="12">
        <f>SUM($AQ222:BN222)-SUM($EA222:EL222)</f>
        <v>152189</v>
      </c>
      <c r="CU222" s="12">
        <f>SUM($AQ222:BO222)-SUM($EA222:EM222)</f>
        <v>146039</v>
      </c>
      <c r="CV222" s="12">
        <f>SUM($AQ222:BP222)-SUM($EA222:EN222)</f>
        <v>140789</v>
      </c>
      <c r="CW222" s="12">
        <f>SUM($AQ222:BQ222)-SUM($EA222:EO222)</f>
        <v>135789</v>
      </c>
      <c r="CX222" s="12">
        <f>SUM($AQ222:BR222)-SUM($EA222:EP222)</f>
        <v>130639</v>
      </c>
      <c r="CY222" s="12">
        <f>SUM($AQ222:BS222)-SUM($EA222:EQ222)</f>
        <v>125489</v>
      </c>
      <c r="CZ222" s="12">
        <f>SUM($AQ222:BT222)-SUM($EA222:ER222)</f>
        <v>120339</v>
      </c>
      <c r="DA222" s="12">
        <f>SUM($AQ222:BU222)-SUM($EA222:ES222)</f>
        <v>115189</v>
      </c>
      <c r="DB222" s="12">
        <f>SUM($AQ222:BV222)-SUM($EA222:ET222)</f>
        <v>110039</v>
      </c>
      <c r="DC222" s="12">
        <f>SUM($AQ222:BW222)-SUM($EA222:EU222)</f>
        <v>104889</v>
      </c>
      <c r="DD222" s="12">
        <f>SUM($AQ222:BX222)-SUM($EA222:EV222)</f>
        <v>99739</v>
      </c>
      <c r="DE222" s="12">
        <f>SUM($AQ222:BY222)-SUM($EA222:EW222)</f>
        <v>94676</v>
      </c>
      <c r="DF222" s="12">
        <f>SUM($AQ222:BZ222)-SUM($EA222:EX222)</f>
        <v>89676</v>
      </c>
      <c r="DG222" s="12">
        <f>SUM($AQ222:CA222)-SUM($EA222:EY222)</f>
        <v>84676</v>
      </c>
      <c r="DH222" s="12">
        <f>SUM($AQ222:CB222)-SUM($EA222:EZ222)</f>
        <v>79676</v>
      </c>
      <c r="DI222" s="12">
        <f>SUM($AQ222:CC222)-SUM($EA222:FA222)</f>
        <v>74676</v>
      </c>
      <c r="DJ222" s="12">
        <f>SUM($AQ222:CD222)-SUM($EA222:FB222)</f>
        <v>69676</v>
      </c>
      <c r="DK222" s="12">
        <f>SUM($AQ222:CE222)-SUM($EA222:FC222)</f>
        <v>64676</v>
      </c>
      <c r="DL222" s="12">
        <f>SUM($AQ222:CF222)-SUM($EA222:FD222)</f>
        <v>59676</v>
      </c>
      <c r="DM222" s="12">
        <f>SUM($AQ222:CG222)-SUM($EA222:FE222)</f>
        <v>54676</v>
      </c>
      <c r="DN222" s="12">
        <f>SUM($AQ222:CH222)-SUM($EA222:FF222)</f>
        <v>49676</v>
      </c>
      <c r="DO222" s="12">
        <f>SUM($AQ222:CI222)-SUM($EA222:FG222)</f>
        <v>44676</v>
      </c>
      <c r="DP222" s="12">
        <f>SUM($AQ222:CJ222)-SUM($EA222:FH222)</f>
        <v>39676</v>
      </c>
      <c r="DQ222" s="12">
        <f>SUM($AQ222:CK222)-SUM($EA222:FI222)</f>
        <v>34676</v>
      </c>
      <c r="DR222" s="12">
        <f>SUM($AQ222:CL222)-SUM($EA222:FJ222)</f>
        <v>29676</v>
      </c>
      <c r="DS222" s="12">
        <f>SUM($AQ222:CM222)-SUM($EA222:FK222)</f>
        <v>24676</v>
      </c>
      <c r="DT222" s="12">
        <f>SUM($AQ222:CN222)-SUM($EA222:FL222)</f>
        <v>19676</v>
      </c>
      <c r="DU222" s="12">
        <f>SUM($AQ222:CO222)-SUM($EA222:FM222)</f>
        <v>14676</v>
      </c>
      <c r="DV222" s="12">
        <f>SUM($AQ222:CP222)-SUM($EA222:FN222)</f>
        <v>173228</v>
      </c>
      <c r="DW222" s="12">
        <f>SUM($AQ222:CQ222)-SUM($EA222:FO222)</f>
        <v>334758</v>
      </c>
      <c r="DX222" s="13"/>
      <c r="DY222" s="13"/>
      <c r="DZ222" s="13"/>
      <c r="EA222" s="12"/>
      <c r="EB222" s="12"/>
      <c r="EC222" s="12"/>
      <c r="ED222" s="12"/>
      <c r="EE222" s="12"/>
      <c r="EF222" s="12"/>
      <c r="EG222" s="12"/>
      <c r="EH222" s="12">
        <f t="array" ref="EH222">SUMPRODUCT(TRANSPOSE(EH$9:EH$34),$K222:$AJ222)</f>
        <v>17235</v>
      </c>
      <c r="EI222" s="12">
        <f t="array" ref="EI222">SUMPRODUCT(TRANSPOSE(EI$9:EI$34),$K222:$AJ222)</f>
        <v>1081</v>
      </c>
      <c r="EJ222" s="12">
        <f t="array" ref="EJ222">SUMPRODUCT(TRANSPOSE(EJ$9:EJ$34),$K222:$AJ222)</f>
        <v>2045</v>
      </c>
      <c r="EK222" s="12">
        <f t="array" ref="EK222">SUMPRODUCT(TRANSPOSE(EK$9:EK$34),$K222:$AJ222)</f>
        <v>2405</v>
      </c>
      <c r="EL222" s="12">
        <f t="array" ref="EL222">SUMPRODUCT(TRANSPOSE(EL$9:EL$34),$K222:$AJ222)</f>
        <v>5045</v>
      </c>
      <c r="EM222" s="12">
        <f t="array" ref="EM222">SUMPRODUCT(TRANSPOSE(EM$9:EM$34),$K222:$AJ222)</f>
        <v>6150</v>
      </c>
      <c r="EN222" s="12">
        <f t="array" ref="EN222">SUMPRODUCT(TRANSPOSE(EN$9:EN$34),$K222:$AJ222)</f>
        <v>5250</v>
      </c>
      <c r="EO222" s="12">
        <f t="array" ref="EO222">SUMPRODUCT(TRANSPOSE(EO$9:EO$34),$K222:$AJ222)</f>
        <v>5000</v>
      </c>
      <c r="EP222" s="12">
        <f t="array" ref="EP222">SUMPRODUCT(TRANSPOSE(EP$9:EP$34),$K222:$AJ222)</f>
        <v>5150</v>
      </c>
      <c r="EQ222" s="12">
        <f t="array" ref="EQ222">SUMPRODUCT(TRANSPOSE(EQ$9:EQ$34),$K222:$AJ222)</f>
        <v>5150</v>
      </c>
      <c r="ER222" s="12">
        <f t="array" ref="ER222">SUMPRODUCT(TRANSPOSE(ER$9:ER$34),$K222:$AJ222)</f>
        <v>5150</v>
      </c>
      <c r="ES222" s="12">
        <f t="array" ref="ES222">SUMPRODUCT(TRANSPOSE(ES$9:ES$34),$K222:$AJ222)</f>
        <v>5150</v>
      </c>
      <c r="ET222" s="12">
        <f t="array" ref="ET222">SUMPRODUCT(TRANSPOSE(ET$9:ET$34),$K222:$AJ222)</f>
        <v>5150</v>
      </c>
      <c r="EU222" s="12">
        <f t="array" ref="EU222">SUMPRODUCT(TRANSPOSE(EU$9:EU$34),$K222:$AJ222)</f>
        <v>5150</v>
      </c>
      <c r="EV222" s="12">
        <f t="array" ref="EV222">SUMPRODUCT(TRANSPOSE(EV$9:EV$34),$K222:$AJ222)</f>
        <v>5150</v>
      </c>
      <c r="EW222" s="12">
        <f t="array" ref="EW222">SUMPRODUCT(TRANSPOSE(EW$9:EW$34),$K222:$AJ222)</f>
        <v>5063</v>
      </c>
      <c r="EX222" s="12">
        <f t="array" ref="EX222">SUMPRODUCT(TRANSPOSE(EX$9:EX$34),$K222:$AJ222)</f>
        <v>5000</v>
      </c>
      <c r="EY222" s="12">
        <f t="array" ref="EY222">SUMPRODUCT(TRANSPOSE(EY$9:EY$34),$K222:$AJ222)</f>
        <v>5000</v>
      </c>
      <c r="EZ222" s="12">
        <f t="array" ref="EZ222">SUMPRODUCT(TRANSPOSE(EZ$9:EZ$34),$K222:$AJ222)</f>
        <v>5000</v>
      </c>
      <c r="FA222" s="12">
        <f t="array" ref="FA222">SUMPRODUCT(TRANSPOSE(FA$9:FA$34),$K222:$AJ222)</f>
        <v>5000</v>
      </c>
      <c r="FB222" s="12">
        <f t="array" ref="FB222">SUMPRODUCT(TRANSPOSE(FB$9:FB$34),$K222:$AJ222)</f>
        <v>5000</v>
      </c>
      <c r="FC222" s="12">
        <f t="array" ref="FC222">SUMPRODUCT(TRANSPOSE(FC$9:FC$34),$K222:$AJ222)</f>
        <v>5000</v>
      </c>
      <c r="FD222" s="12">
        <f t="array" ref="FD222">SUMPRODUCT(TRANSPOSE(FD$9:FD$34),$K222:$AJ222)</f>
        <v>5000</v>
      </c>
      <c r="FE222" s="12">
        <f t="array" ref="FE222">SUMPRODUCT(TRANSPOSE(FE$9:FE$34),$K222:$AJ222)</f>
        <v>5000</v>
      </c>
      <c r="FF222" s="12">
        <f t="array" ref="FF222">SUMPRODUCT(TRANSPOSE(FF$9:FF$34),$K222:$AJ222)</f>
        <v>5000</v>
      </c>
      <c r="FG222" s="12">
        <f t="array" ref="FG222">SUMPRODUCT(TRANSPOSE(FG$9:FG$34),$K222:$AJ222)</f>
        <v>5000</v>
      </c>
      <c r="FH222" s="12">
        <f t="array" ref="FH222">SUMPRODUCT(TRANSPOSE(FH$9:FH$34),$K222:$AJ222)</f>
        <v>5000</v>
      </c>
      <c r="FI222" s="12">
        <f t="array" ref="FI222">SUMPRODUCT(TRANSPOSE(FI$9:FI$34),$K222:$AJ222)</f>
        <v>5000</v>
      </c>
      <c r="FJ222" s="12">
        <f t="array" ref="FJ222">SUMPRODUCT(TRANSPOSE(FJ$9:FJ$34),$K222:$AJ222)</f>
        <v>5000</v>
      </c>
      <c r="FK222" s="12">
        <f t="array" ref="FK222">SUMPRODUCT(TRANSPOSE(FK$9:FK$34),$K222:$AJ222)</f>
        <v>5000</v>
      </c>
      <c r="FL222" s="12">
        <f t="array" ref="FL222">SUMPRODUCT(TRANSPOSE(FL$9:FL$34),$K222:$AJ222)</f>
        <v>5000</v>
      </c>
      <c r="FM222" s="12">
        <f t="array" ref="FM222">SUMPRODUCT(TRANSPOSE(FM$9:FM$34),$K222:$AJ222)</f>
        <v>5000</v>
      </c>
      <c r="FN222" s="12">
        <f t="array" ref="FN222">SUMPRODUCT(TRANSPOSE(FN$9:FN$34),$K222:$AJ222)</f>
        <v>4213</v>
      </c>
      <c r="FO222" s="12">
        <f t="array" ref="FO222">SUMPRODUCT(TRANSPOSE(FO$9:FO$34),$K222:$AJ222)</f>
        <v>154</v>
      </c>
    </row>
    <row r="223" spans="1:171" ht="14.25" x14ac:dyDescent="0.2">
      <c r="A223" s="13">
        <f t="shared" si="10"/>
        <v>188</v>
      </c>
      <c r="B223" s="13" t="s">
        <v>675</v>
      </c>
      <c r="C223" s="25" t="s">
        <v>676</v>
      </c>
      <c r="D223" s="13" t="s">
        <v>67</v>
      </c>
      <c r="E223" s="13">
        <v>401197282</v>
      </c>
      <c r="F223" s="26" t="s">
        <v>677</v>
      </c>
      <c r="G223" s="13"/>
      <c r="H223" s="13" t="s">
        <v>61</v>
      </c>
      <c r="I223" s="13">
        <v>2</v>
      </c>
      <c r="J223" s="13">
        <v>4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2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/>
      <c r="Z223" s="13">
        <v>2</v>
      </c>
      <c r="AA223" s="13">
        <v>0</v>
      </c>
      <c r="AB223" s="13">
        <v>0</v>
      </c>
      <c r="AC223" s="13">
        <v>0</v>
      </c>
      <c r="AD223" s="13">
        <v>2</v>
      </c>
      <c r="AE223" s="13">
        <v>2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f t="shared" si="11"/>
        <v>6</v>
      </c>
      <c r="AL223" s="23">
        <f t="shared" si="9"/>
        <v>71330</v>
      </c>
      <c r="AM223" s="13"/>
      <c r="AN223" s="13" t="s">
        <v>299</v>
      </c>
      <c r="AO223" s="7" t="s">
        <v>307</v>
      </c>
      <c r="AP223" s="41">
        <v>3.2000000000000002E-3</v>
      </c>
      <c r="AQ223" s="12">
        <v>75000</v>
      </c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13"/>
      <c r="CG223" s="13"/>
      <c r="CH223" s="13"/>
      <c r="CI223" s="12"/>
      <c r="CJ223" s="12"/>
      <c r="CK223" s="12"/>
      <c r="CL223" s="12"/>
      <c r="CM223" s="12"/>
      <c r="CN223" s="12"/>
      <c r="CO223" s="12"/>
      <c r="CP223" s="12">
        <f>SUM($AQ223:BJ223)-SUM($EA223:EH223)</f>
        <v>68782</v>
      </c>
      <c r="CQ223" s="12">
        <f>SUM($AQ223:BK223)-SUM($EA223:EI223)</f>
        <v>68220</v>
      </c>
      <c r="CR223" s="12">
        <f>SUM($AQ223:BL223)-SUM($EA223:EJ223)</f>
        <v>68190</v>
      </c>
      <c r="CS223" s="12">
        <f>SUM($AQ223:BM223)-SUM($EA223:EK223)</f>
        <v>67920</v>
      </c>
      <c r="CT223" s="12">
        <f>SUM($AQ223:BN223)-SUM($EA223:EL223)</f>
        <v>65890</v>
      </c>
      <c r="CU223" s="12">
        <f>SUM($AQ223:BO223)-SUM($EA223:EM223)</f>
        <v>61790</v>
      </c>
      <c r="CV223" s="12">
        <f>SUM($AQ223:BP223)-SUM($EA223:EN223)</f>
        <v>59490</v>
      </c>
      <c r="CW223" s="12">
        <f>SUM($AQ223:BQ223)-SUM($EA223:EO223)</f>
        <v>57490</v>
      </c>
      <c r="CX223" s="12">
        <f>SUM($AQ223:BR223)-SUM($EA223:EP223)</f>
        <v>55390</v>
      </c>
      <c r="CY223" s="12">
        <f>SUM($AQ223:BS223)-SUM($EA223:EQ223)</f>
        <v>53290</v>
      </c>
      <c r="CZ223" s="12">
        <f>SUM($AQ223:BT223)-SUM($EA223:ER223)</f>
        <v>51190</v>
      </c>
      <c r="DA223" s="12">
        <f>SUM($AQ223:BU223)-SUM($EA223:ES223)</f>
        <v>49090</v>
      </c>
      <c r="DB223" s="12">
        <f>SUM($AQ223:BV223)-SUM($EA223:ET223)</f>
        <v>46990</v>
      </c>
      <c r="DC223" s="12">
        <f>SUM($AQ223:BW223)-SUM($EA223:EU223)</f>
        <v>44890</v>
      </c>
      <c r="DD223" s="12">
        <f>SUM($AQ223:BX223)-SUM($EA223:EV223)</f>
        <v>42790</v>
      </c>
      <c r="DE223" s="12">
        <f>SUM($AQ223:BY223)-SUM($EA223:EW223)</f>
        <v>40704</v>
      </c>
      <c r="DF223" s="12">
        <f>SUM($AQ223:BZ223)-SUM($EA223:EX223)</f>
        <v>38704</v>
      </c>
      <c r="DG223" s="12">
        <f>SUM($AQ223:CA223)-SUM($EA223:EY223)</f>
        <v>36704</v>
      </c>
      <c r="DH223" s="12">
        <f>SUM($AQ223:CB223)-SUM($EA223:EZ223)</f>
        <v>34704</v>
      </c>
      <c r="DI223" s="12">
        <f>SUM($AQ223:CC223)-SUM($EA223:FA223)</f>
        <v>32704</v>
      </c>
      <c r="DJ223" s="12">
        <f>SUM($AQ223:CD223)-SUM($EA223:FB223)</f>
        <v>30704</v>
      </c>
      <c r="DK223" s="12">
        <f>SUM($AQ223:CE223)-SUM($EA223:FC223)</f>
        <v>28704</v>
      </c>
      <c r="DL223" s="12">
        <f>SUM($AQ223:CF223)-SUM($EA223:FD223)</f>
        <v>26704</v>
      </c>
      <c r="DM223" s="12">
        <f>SUM($AQ223:CG223)-SUM($EA223:FE223)</f>
        <v>24704</v>
      </c>
      <c r="DN223" s="12">
        <f>SUM($AQ223:CH223)-SUM($EA223:FF223)</f>
        <v>22704</v>
      </c>
      <c r="DO223" s="12">
        <f>SUM($AQ223:CI223)-SUM($EA223:FG223)</f>
        <v>20704</v>
      </c>
      <c r="DP223" s="12">
        <f>SUM($AQ223:CJ223)-SUM($EA223:FH223)</f>
        <v>18704</v>
      </c>
      <c r="DQ223" s="12">
        <f>SUM($AQ223:CK223)-SUM($EA223:FI223)</f>
        <v>16704</v>
      </c>
      <c r="DR223" s="12">
        <f>SUM($AQ223:CL223)-SUM($EA223:FJ223)</f>
        <v>14704</v>
      </c>
      <c r="DS223" s="12">
        <f>SUM($AQ223:CM223)-SUM($EA223:FK223)</f>
        <v>12704</v>
      </c>
      <c r="DT223" s="12">
        <f>SUM($AQ223:CN223)-SUM($EA223:FL223)</f>
        <v>10704</v>
      </c>
      <c r="DU223" s="12">
        <f>SUM($AQ223:CO223)-SUM($EA223:FM223)</f>
        <v>8704</v>
      </c>
      <c r="DV223" s="12">
        <f>SUM($AQ223:CP223)-SUM($EA223:FN223)</f>
        <v>75852</v>
      </c>
      <c r="DW223" s="12">
        <f>SUM($AQ223:CQ223)-SUM($EA223:FO223)</f>
        <v>144072</v>
      </c>
      <c r="DX223" s="13"/>
      <c r="DY223" s="13"/>
      <c r="DZ223" s="13"/>
      <c r="EA223" s="12"/>
      <c r="EB223" s="12"/>
      <c r="EC223" s="12"/>
      <c r="ED223" s="12"/>
      <c r="EE223" s="12"/>
      <c r="EF223" s="12"/>
      <c r="EG223" s="12"/>
      <c r="EH223" s="12">
        <f t="array" ref="EH223">SUMPRODUCT(TRANSPOSE(EH$9:EH$34),$K223:$AJ223)</f>
        <v>6218</v>
      </c>
      <c r="EI223" s="12">
        <f t="array" ref="EI223">SUMPRODUCT(TRANSPOSE(EI$9:EI$34),$K223:$AJ223)</f>
        <v>562</v>
      </c>
      <c r="EJ223" s="12">
        <f t="array" ref="EJ223">SUMPRODUCT(TRANSPOSE(EJ$9:EJ$34),$K223:$AJ223)</f>
        <v>30</v>
      </c>
      <c r="EK223" s="12">
        <f t="array" ref="EK223">SUMPRODUCT(TRANSPOSE(EK$9:EK$34),$K223:$AJ223)</f>
        <v>270</v>
      </c>
      <c r="EL223" s="12">
        <f t="array" ref="EL223">SUMPRODUCT(TRANSPOSE(EL$9:EL$34),$K223:$AJ223)</f>
        <v>2030</v>
      </c>
      <c r="EM223" s="12">
        <f t="array" ref="EM223">SUMPRODUCT(TRANSPOSE(EM$9:EM$34),$K223:$AJ223)</f>
        <v>4100</v>
      </c>
      <c r="EN223" s="12">
        <f t="array" ref="EN223">SUMPRODUCT(TRANSPOSE(EN$9:EN$34),$K223:$AJ223)</f>
        <v>2300</v>
      </c>
      <c r="EO223" s="12">
        <f t="array" ref="EO223">SUMPRODUCT(TRANSPOSE(EO$9:EO$34),$K223:$AJ223)</f>
        <v>2000</v>
      </c>
      <c r="EP223" s="12">
        <f t="array" ref="EP223">SUMPRODUCT(TRANSPOSE(EP$9:EP$34),$K223:$AJ223)</f>
        <v>2100</v>
      </c>
      <c r="EQ223" s="12">
        <f t="array" ref="EQ223">SUMPRODUCT(TRANSPOSE(EQ$9:EQ$34),$K223:$AJ223)</f>
        <v>2100</v>
      </c>
      <c r="ER223" s="12">
        <f t="array" ref="ER223">SUMPRODUCT(TRANSPOSE(ER$9:ER$34),$K223:$AJ223)</f>
        <v>2100</v>
      </c>
      <c r="ES223" s="12">
        <f t="array" ref="ES223">SUMPRODUCT(TRANSPOSE(ES$9:ES$34),$K223:$AJ223)</f>
        <v>2100</v>
      </c>
      <c r="ET223" s="12">
        <f t="array" ref="ET223">SUMPRODUCT(TRANSPOSE(ET$9:ET$34),$K223:$AJ223)</f>
        <v>2100</v>
      </c>
      <c r="EU223" s="12">
        <f t="array" ref="EU223">SUMPRODUCT(TRANSPOSE(EU$9:EU$34),$K223:$AJ223)</f>
        <v>2100</v>
      </c>
      <c r="EV223" s="12">
        <f t="array" ref="EV223">SUMPRODUCT(TRANSPOSE(EV$9:EV$34),$K223:$AJ223)</f>
        <v>2100</v>
      </c>
      <c r="EW223" s="12">
        <f t="array" ref="EW223">SUMPRODUCT(TRANSPOSE(EW$9:EW$34),$K223:$AJ223)</f>
        <v>2086</v>
      </c>
      <c r="EX223" s="12">
        <f t="array" ref="EX223">SUMPRODUCT(TRANSPOSE(EX$9:EX$34),$K223:$AJ223)</f>
        <v>2000</v>
      </c>
      <c r="EY223" s="12">
        <f t="array" ref="EY223">SUMPRODUCT(TRANSPOSE(EY$9:EY$34),$K223:$AJ223)</f>
        <v>2000</v>
      </c>
      <c r="EZ223" s="12">
        <f t="array" ref="EZ223">SUMPRODUCT(TRANSPOSE(EZ$9:EZ$34),$K223:$AJ223)</f>
        <v>2000</v>
      </c>
      <c r="FA223" s="12">
        <f t="array" ref="FA223">SUMPRODUCT(TRANSPOSE(FA$9:FA$34),$K223:$AJ223)</f>
        <v>2000</v>
      </c>
      <c r="FB223" s="12">
        <f t="array" ref="FB223">SUMPRODUCT(TRANSPOSE(FB$9:FB$34),$K223:$AJ223)</f>
        <v>2000</v>
      </c>
      <c r="FC223" s="12">
        <f t="array" ref="FC223">SUMPRODUCT(TRANSPOSE(FC$9:FC$34),$K223:$AJ223)</f>
        <v>2000</v>
      </c>
      <c r="FD223" s="12">
        <f t="array" ref="FD223">SUMPRODUCT(TRANSPOSE(FD$9:FD$34),$K223:$AJ223)</f>
        <v>2000</v>
      </c>
      <c r="FE223" s="12">
        <f t="array" ref="FE223">SUMPRODUCT(TRANSPOSE(FE$9:FE$34),$K223:$AJ223)</f>
        <v>2000</v>
      </c>
      <c r="FF223" s="12">
        <f t="array" ref="FF223">SUMPRODUCT(TRANSPOSE(FF$9:FF$34),$K223:$AJ223)</f>
        <v>2000</v>
      </c>
      <c r="FG223" s="12">
        <f t="array" ref="FG223">SUMPRODUCT(TRANSPOSE(FG$9:FG$34),$K223:$AJ223)</f>
        <v>2000</v>
      </c>
      <c r="FH223" s="12">
        <f t="array" ref="FH223">SUMPRODUCT(TRANSPOSE(FH$9:FH$34),$K223:$AJ223)</f>
        <v>2000</v>
      </c>
      <c r="FI223" s="12">
        <f t="array" ref="FI223">SUMPRODUCT(TRANSPOSE(FI$9:FI$34),$K223:$AJ223)</f>
        <v>2000</v>
      </c>
      <c r="FJ223" s="12">
        <f t="array" ref="FJ223">SUMPRODUCT(TRANSPOSE(FJ$9:FJ$34),$K223:$AJ223)</f>
        <v>2000</v>
      </c>
      <c r="FK223" s="12">
        <f t="array" ref="FK223">SUMPRODUCT(TRANSPOSE(FK$9:FK$34),$K223:$AJ223)</f>
        <v>2000</v>
      </c>
      <c r="FL223" s="12">
        <f t="array" ref="FL223">SUMPRODUCT(TRANSPOSE(FL$9:FL$34),$K223:$AJ223)</f>
        <v>2000</v>
      </c>
      <c r="FM223" s="12">
        <f t="array" ref="FM223">SUMPRODUCT(TRANSPOSE(FM$9:FM$34),$K223:$AJ223)</f>
        <v>2000</v>
      </c>
      <c r="FN223" s="12">
        <f t="array" ref="FN223">SUMPRODUCT(TRANSPOSE(FN$9:FN$34),$K223:$AJ223)</f>
        <v>1634</v>
      </c>
      <c r="FO223" s="12">
        <f t="array" ref="FO223">SUMPRODUCT(TRANSPOSE(FO$9:FO$34),$K223:$AJ223)</f>
        <v>0</v>
      </c>
    </row>
    <row r="224" spans="1:171" ht="14.25" x14ac:dyDescent="0.2">
      <c r="A224" s="13">
        <f t="shared" si="10"/>
        <v>189</v>
      </c>
      <c r="B224" s="13" t="s">
        <v>678</v>
      </c>
      <c r="C224" s="25" t="s">
        <v>679</v>
      </c>
      <c r="D224" s="13" t="s">
        <v>67</v>
      </c>
      <c r="E224" s="13">
        <v>413012036</v>
      </c>
      <c r="F224" s="26" t="s">
        <v>680</v>
      </c>
      <c r="G224" s="13">
        <v>400274911</v>
      </c>
      <c r="H224" s="13" t="s">
        <v>61</v>
      </c>
      <c r="I224" s="13">
        <v>2</v>
      </c>
      <c r="J224" s="13">
        <v>6</v>
      </c>
      <c r="K224" s="13">
        <v>0</v>
      </c>
      <c r="L224" s="13">
        <v>0</v>
      </c>
      <c r="M224" s="13">
        <v>0</v>
      </c>
      <c r="N224" s="13">
        <v>0</v>
      </c>
      <c r="O224" s="13">
        <v>2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2</v>
      </c>
      <c r="Y224" s="13"/>
      <c r="Z224" s="13"/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2</v>
      </c>
      <c r="AK224" s="13">
        <f t="shared" si="11"/>
        <v>4</v>
      </c>
      <c r="AL224" s="23">
        <f t="shared" si="9"/>
        <v>141726</v>
      </c>
      <c r="AM224" s="13"/>
      <c r="AN224" s="13" t="s">
        <v>299</v>
      </c>
      <c r="AO224" s="7" t="s">
        <v>307</v>
      </c>
      <c r="AP224" s="37">
        <v>3.0000000000000001E-3</v>
      </c>
      <c r="AQ224" s="12">
        <v>145000</v>
      </c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13"/>
      <c r="CG224" s="13"/>
      <c r="CH224" s="13"/>
      <c r="CI224" s="12"/>
      <c r="CJ224" s="12"/>
      <c r="CK224" s="12"/>
      <c r="CL224" s="12"/>
      <c r="CM224" s="12"/>
      <c r="CN224" s="12"/>
      <c r="CO224" s="12"/>
      <c r="CP224" s="12">
        <f>SUM($AQ224:BJ224)-SUM($EA224:EH224)</f>
        <v>130874</v>
      </c>
      <c r="CQ224" s="12">
        <f>SUM($AQ224:BK224)-SUM($EA224:EI224)</f>
        <v>130074</v>
      </c>
      <c r="CR224" s="12">
        <f>SUM($AQ224:BL224)-SUM($EA224:EJ224)</f>
        <v>128044</v>
      </c>
      <c r="CS224" s="12">
        <f>SUM($AQ224:BM224)-SUM($EA224:EK224)</f>
        <v>125774</v>
      </c>
      <c r="CT224" s="12">
        <f>SUM($AQ224:BN224)-SUM($EA224:EL224)</f>
        <v>121744</v>
      </c>
      <c r="CU224" s="12">
        <f>SUM($AQ224:BO224)-SUM($EA224:EM224)</f>
        <v>117644</v>
      </c>
      <c r="CV224" s="12">
        <f>SUM($AQ224:BP224)-SUM($EA224:EN224)</f>
        <v>113544</v>
      </c>
      <c r="CW224" s="12">
        <f>SUM($AQ224:BQ224)-SUM($EA224:EO224)</f>
        <v>109544</v>
      </c>
      <c r="CX224" s="12">
        <f>SUM($AQ224:BR224)-SUM($EA224:EP224)</f>
        <v>105444</v>
      </c>
      <c r="CY224" s="12">
        <f>SUM($AQ224:BS224)-SUM($EA224:EQ224)</f>
        <v>101344</v>
      </c>
      <c r="CZ224" s="12">
        <f>SUM($AQ224:BT224)-SUM($EA224:ER224)</f>
        <v>97244</v>
      </c>
      <c r="DA224" s="12">
        <f>SUM($AQ224:BU224)-SUM($EA224:ES224)</f>
        <v>93144</v>
      </c>
      <c r="DB224" s="12">
        <f>SUM($AQ224:BV224)-SUM($EA224:ET224)</f>
        <v>89044</v>
      </c>
      <c r="DC224" s="12">
        <f>SUM($AQ224:BW224)-SUM($EA224:EU224)</f>
        <v>84944</v>
      </c>
      <c r="DD224" s="12">
        <f>SUM($AQ224:BX224)-SUM($EA224:EV224)</f>
        <v>80844</v>
      </c>
      <c r="DE224" s="12">
        <f>SUM($AQ224:BY224)-SUM($EA224:EW224)</f>
        <v>76824</v>
      </c>
      <c r="DF224" s="12">
        <f>SUM($AQ224:BZ224)-SUM($EA224:EX224)</f>
        <v>72824</v>
      </c>
      <c r="DG224" s="12">
        <f>SUM($AQ224:CA224)-SUM($EA224:EY224)</f>
        <v>68824</v>
      </c>
      <c r="DH224" s="12">
        <f>SUM($AQ224:CB224)-SUM($EA224:EZ224)</f>
        <v>64824</v>
      </c>
      <c r="DI224" s="12">
        <f>SUM($AQ224:CC224)-SUM($EA224:FA224)</f>
        <v>60824</v>
      </c>
      <c r="DJ224" s="12">
        <f>SUM($AQ224:CD224)-SUM($EA224:FB224)</f>
        <v>56824</v>
      </c>
      <c r="DK224" s="12">
        <f>SUM($AQ224:CE224)-SUM($EA224:FC224)</f>
        <v>52824</v>
      </c>
      <c r="DL224" s="12">
        <f>SUM($AQ224:CF224)-SUM($EA224:FD224)</f>
        <v>48824</v>
      </c>
      <c r="DM224" s="12">
        <f>SUM($AQ224:CG224)-SUM($EA224:FE224)</f>
        <v>44824</v>
      </c>
      <c r="DN224" s="12">
        <f>SUM($AQ224:CH224)-SUM($EA224:FF224)</f>
        <v>40824</v>
      </c>
      <c r="DO224" s="12">
        <f>SUM($AQ224:CI224)-SUM($EA224:FG224)</f>
        <v>36824</v>
      </c>
      <c r="DP224" s="12">
        <f>SUM($AQ224:CJ224)-SUM($EA224:FH224)</f>
        <v>32824</v>
      </c>
      <c r="DQ224" s="12">
        <f>SUM($AQ224:CK224)-SUM($EA224:FI224)</f>
        <v>28824</v>
      </c>
      <c r="DR224" s="12">
        <f>SUM($AQ224:CL224)-SUM($EA224:FJ224)</f>
        <v>24824</v>
      </c>
      <c r="DS224" s="12">
        <f>SUM($AQ224:CM224)-SUM($EA224:FK224)</f>
        <v>20824</v>
      </c>
      <c r="DT224" s="12">
        <f>SUM($AQ224:CN224)-SUM($EA224:FL224)</f>
        <v>16824</v>
      </c>
      <c r="DU224" s="12">
        <f>SUM($AQ224:CO224)-SUM($EA224:FM224)</f>
        <v>12824</v>
      </c>
      <c r="DV224" s="12">
        <f>SUM($AQ224:CP224)-SUM($EA224:FN224)</f>
        <v>140302</v>
      </c>
      <c r="DW224" s="12">
        <f>SUM($AQ224:CQ224)-SUM($EA224:FO224)</f>
        <v>270222</v>
      </c>
      <c r="DX224" s="13"/>
      <c r="DY224" s="13"/>
      <c r="DZ224" s="13"/>
      <c r="EA224" s="12"/>
      <c r="EB224" s="12"/>
      <c r="EC224" s="12"/>
      <c r="ED224" s="12"/>
      <c r="EE224" s="12"/>
      <c r="EF224" s="12"/>
      <c r="EG224" s="12"/>
      <c r="EH224" s="12">
        <f t="array" ref="EH224">SUMPRODUCT(TRANSPOSE(EH$9:EH$34),$K224:$AJ224)</f>
        <v>14126</v>
      </c>
      <c r="EI224" s="12">
        <f t="array" ref="EI224">SUMPRODUCT(TRANSPOSE(EI$9:EI$34),$K224:$AJ224)</f>
        <v>800</v>
      </c>
      <c r="EJ224" s="12">
        <f t="array" ref="EJ224">SUMPRODUCT(TRANSPOSE(EJ$9:EJ$34),$K224:$AJ224)</f>
        <v>2030</v>
      </c>
      <c r="EK224" s="12">
        <f t="array" ref="EK224">SUMPRODUCT(TRANSPOSE(EK$9:EK$34),$K224:$AJ224)</f>
        <v>2270</v>
      </c>
      <c r="EL224" s="12">
        <f t="array" ref="EL224">SUMPRODUCT(TRANSPOSE(EL$9:EL$34),$K224:$AJ224)</f>
        <v>4030</v>
      </c>
      <c r="EM224" s="12">
        <f t="array" ref="EM224">SUMPRODUCT(TRANSPOSE(EM$9:EM$34),$K224:$AJ224)</f>
        <v>4100</v>
      </c>
      <c r="EN224" s="12">
        <f t="array" ref="EN224">SUMPRODUCT(TRANSPOSE(EN$9:EN$34),$K224:$AJ224)</f>
        <v>4100</v>
      </c>
      <c r="EO224" s="12">
        <f t="array" ref="EO224">SUMPRODUCT(TRANSPOSE(EO$9:EO$34),$K224:$AJ224)</f>
        <v>4000</v>
      </c>
      <c r="EP224" s="12">
        <f t="array" ref="EP224">SUMPRODUCT(TRANSPOSE(EP$9:EP$34),$K224:$AJ224)</f>
        <v>4100</v>
      </c>
      <c r="EQ224" s="12">
        <f t="array" ref="EQ224">SUMPRODUCT(TRANSPOSE(EQ$9:EQ$34),$K224:$AJ224)</f>
        <v>4100</v>
      </c>
      <c r="ER224" s="12">
        <f t="array" ref="ER224">SUMPRODUCT(TRANSPOSE(ER$9:ER$34),$K224:$AJ224)</f>
        <v>4100</v>
      </c>
      <c r="ES224" s="12">
        <f t="array" ref="ES224">SUMPRODUCT(TRANSPOSE(ES$9:ES$34),$K224:$AJ224)</f>
        <v>4100</v>
      </c>
      <c r="ET224" s="12">
        <f t="array" ref="ET224">SUMPRODUCT(TRANSPOSE(ET$9:ET$34),$K224:$AJ224)</f>
        <v>4100</v>
      </c>
      <c r="EU224" s="12">
        <f t="array" ref="EU224">SUMPRODUCT(TRANSPOSE(EU$9:EU$34),$K224:$AJ224)</f>
        <v>4100</v>
      </c>
      <c r="EV224" s="12">
        <f t="array" ref="EV224">SUMPRODUCT(TRANSPOSE(EV$9:EV$34),$K224:$AJ224)</f>
        <v>4100</v>
      </c>
      <c r="EW224" s="12">
        <f t="array" ref="EW224">SUMPRODUCT(TRANSPOSE(EW$9:EW$34),$K224:$AJ224)</f>
        <v>4020</v>
      </c>
      <c r="EX224" s="12">
        <f t="array" ref="EX224">SUMPRODUCT(TRANSPOSE(EX$9:EX$34),$K224:$AJ224)</f>
        <v>4000</v>
      </c>
      <c r="EY224" s="12">
        <f t="array" ref="EY224">SUMPRODUCT(TRANSPOSE(EY$9:EY$34),$K224:$AJ224)</f>
        <v>4000</v>
      </c>
      <c r="EZ224" s="12">
        <f t="array" ref="EZ224">SUMPRODUCT(TRANSPOSE(EZ$9:EZ$34),$K224:$AJ224)</f>
        <v>4000</v>
      </c>
      <c r="FA224" s="12">
        <f t="array" ref="FA224">SUMPRODUCT(TRANSPOSE(FA$9:FA$34),$K224:$AJ224)</f>
        <v>4000</v>
      </c>
      <c r="FB224" s="12">
        <f t="array" ref="FB224">SUMPRODUCT(TRANSPOSE(FB$9:FB$34),$K224:$AJ224)</f>
        <v>4000</v>
      </c>
      <c r="FC224" s="12">
        <f t="array" ref="FC224">SUMPRODUCT(TRANSPOSE(FC$9:FC$34),$K224:$AJ224)</f>
        <v>4000</v>
      </c>
      <c r="FD224" s="12">
        <f t="array" ref="FD224">SUMPRODUCT(TRANSPOSE(FD$9:FD$34),$K224:$AJ224)</f>
        <v>4000</v>
      </c>
      <c r="FE224" s="12">
        <f t="array" ref="FE224">SUMPRODUCT(TRANSPOSE(FE$9:FE$34),$K224:$AJ224)</f>
        <v>4000</v>
      </c>
      <c r="FF224" s="12">
        <f t="array" ref="FF224">SUMPRODUCT(TRANSPOSE(FF$9:FF$34),$K224:$AJ224)</f>
        <v>4000</v>
      </c>
      <c r="FG224" s="12">
        <f t="array" ref="FG224">SUMPRODUCT(TRANSPOSE(FG$9:FG$34),$K224:$AJ224)</f>
        <v>4000</v>
      </c>
      <c r="FH224" s="12">
        <f t="array" ref="FH224">SUMPRODUCT(TRANSPOSE(FH$9:FH$34),$K224:$AJ224)</f>
        <v>4000</v>
      </c>
      <c r="FI224" s="12">
        <f t="array" ref="FI224">SUMPRODUCT(TRANSPOSE(FI$9:FI$34),$K224:$AJ224)</f>
        <v>4000</v>
      </c>
      <c r="FJ224" s="12">
        <f t="array" ref="FJ224">SUMPRODUCT(TRANSPOSE(FJ$9:FJ$34),$K224:$AJ224)</f>
        <v>4000</v>
      </c>
      <c r="FK224" s="12">
        <f t="array" ref="FK224">SUMPRODUCT(TRANSPOSE(FK$9:FK$34),$K224:$AJ224)</f>
        <v>4000</v>
      </c>
      <c r="FL224" s="12">
        <f t="array" ref="FL224">SUMPRODUCT(TRANSPOSE(FL$9:FL$34),$K224:$AJ224)</f>
        <v>4000</v>
      </c>
      <c r="FM224" s="12">
        <f t="array" ref="FM224">SUMPRODUCT(TRANSPOSE(FM$9:FM$34),$K224:$AJ224)</f>
        <v>4000</v>
      </c>
      <c r="FN224" s="12">
        <f t="array" ref="FN224">SUMPRODUCT(TRANSPOSE(FN$9:FN$34),$K224:$AJ224)</f>
        <v>3396</v>
      </c>
      <c r="FO224" s="12">
        <f t="array" ref="FO224">SUMPRODUCT(TRANSPOSE(FO$9:FO$34),$K224:$AJ224)</f>
        <v>154</v>
      </c>
    </row>
    <row r="225" spans="1:171" ht="14.25" x14ac:dyDescent="0.2">
      <c r="A225" s="13">
        <f t="shared" si="10"/>
        <v>190</v>
      </c>
      <c r="B225" s="13" t="s">
        <v>681</v>
      </c>
      <c r="C225" s="25" t="s">
        <v>682</v>
      </c>
      <c r="D225" s="13" t="s">
        <v>67</v>
      </c>
      <c r="E225" s="13">
        <v>414137917</v>
      </c>
      <c r="F225" s="26" t="s">
        <v>683</v>
      </c>
      <c r="G225" s="13" t="s">
        <v>684</v>
      </c>
      <c r="H225" s="13" t="s">
        <v>61</v>
      </c>
      <c r="I225" s="13">
        <v>2</v>
      </c>
      <c r="J225" s="13">
        <v>4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2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/>
      <c r="Z225" s="13"/>
      <c r="AA225" s="13">
        <v>0</v>
      </c>
      <c r="AB225" s="13">
        <v>0</v>
      </c>
      <c r="AC225" s="13">
        <v>0</v>
      </c>
      <c r="AD225" s="13">
        <v>2</v>
      </c>
      <c r="AE225" s="13">
        <v>2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f t="shared" si="11"/>
        <v>4</v>
      </c>
      <c r="AL225" s="23">
        <f t="shared" si="9"/>
        <v>8096</v>
      </c>
      <c r="AM225" s="13"/>
      <c r="AN225" s="13" t="s">
        <v>299</v>
      </c>
      <c r="AO225" s="7" t="s">
        <v>307</v>
      </c>
      <c r="AP225" s="41">
        <v>3.2000000000000002E-3</v>
      </c>
      <c r="AQ225" s="12">
        <v>75000</v>
      </c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13"/>
      <c r="CG225" s="13"/>
      <c r="CH225" s="13"/>
      <c r="CI225" s="12"/>
      <c r="CJ225" s="12"/>
      <c r="CK225" s="12"/>
      <c r="CL225" s="12"/>
      <c r="CM225" s="12"/>
      <c r="CN225" s="12"/>
      <c r="CO225" s="12"/>
      <c r="CP225" s="12">
        <f>SUM($AQ225:BJ225)-SUM($EA225:EH225)</f>
        <v>68782</v>
      </c>
      <c r="CQ225" s="12">
        <f>SUM($AQ225:BK225)-SUM($EA225:EI225)</f>
        <v>68220</v>
      </c>
      <c r="CR225" s="12">
        <f>SUM($AQ225:BL225)-SUM($EA225:EJ225)</f>
        <v>68190</v>
      </c>
      <c r="CS225" s="12">
        <f>SUM($AQ225:BM225)-SUM($EA225:EK225)</f>
        <v>68120</v>
      </c>
      <c r="CT225" s="12">
        <f>SUM($AQ225:BN225)-SUM($EA225:EL225)</f>
        <v>68090</v>
      </c>
      <c r="CU225" s="12">
        <f>SUM($AQ225:BO225)-SUM($EA225:EM225)</f>
        <v>67990</v>
      </c>
      <c r="CV225" s="12">
        <f>SUM($AQ225:BP225)-SUM($EA225:EN225)</f>
        <v>67890</v>
      </c>
      <c r="CW225" s="12">
        <f>SUM($AQ225:BQ225)-SUM($EA225:EO225)</f>
        <v>67890</v>
      </c>
      <c r="CX225" s="12">
        <f>SUM($AQ225:BR225)-SUM($EA225:EP225)</f>
        <v>67790</v>
      </c>
      <c r="CY225" s="12">
        <f>SUM($AQ225:BS225)-SUM($EA225:EQ225)</f>
        <v>67690</v>
      </c>
      <c r="CZ225" s="12">
        <f>SUM($AQ225:BT225)-SUM($EA225:ER225)</f>
        <v>67590</v>
      </c>
      <c r="DA225" s="12">
        <f>SUM($AQ225:BU225)-SUM($EA225:ES225)</f>
        <v>67490</v>
      </c>
      <c r="DB225" s="12">
        <f>SUM($AQ225:BV225)-SUM($EA225:ET225)</f>
        <v>67390</v>
      </c>
      <c r="DC225" s="12">
        <f>SUM($AQ225:BW225)-SUM($EA225:EU225)</f>
        <v>67290</v>
      </c>
      <c r="DD225" s="12">
        <f>SUM($AQ225:BX225)-SUM($EA225:EV225)</f>
        <v>67190</v>
      </c>
      <c r="DE225" s="12">
        <f>SUM($AQ225:BY225)-SUM($EA225:EW225)</f>
        <v>67104</v>
      </c>
      <c r="DF225" s="12">
        <f>SUM($AQ225:BZ225)-SUM($EA225:EX225)</f>
        <v>67104</v>
      </c>
      <c r="DG225" s="12">
        <f>SUM($AQ225:CA225)-SUM($EA225:EY225)</f>
        <v>67104</v>
      </c>
      <c r="DH225" s="12">
        <f>SUM($AQ225:CB225)-SUM($EA225:EZ225)</f>
        <v>67104</v>
      </c>
      <c r="DI225" s="12">
        <f>SUM($AQ225:CC225)-SUM($EA225:FA225)</f>
        <v>67104</v>
      </c>
      <c r="DJ225" s="12">
        <f>SUM($AQ225:CD225)-SUM($EA225:FB225)</f>
        <v>67104</v>
      </c>
      <c r="DK225" s="12">
        <f>SUM($AQ225:CE225)-SUM($EA225:FC225)</f>
        <v>67104</v>
      </c>
      <c r="DL225" s="12">
        <f>SUM($AQ225:CF225)-SUM($EA225:FD225)</f>
        <v>67104</v>
      </c>
      <c r="DM225" s="12">
        <f>SUM($AQ225:CG225)-SUM($EA225:FE225)</f>
        <v>67104</v>
      </c>
      <c r="DN225" s="12">
        <f>SUM($AQ225:CH225)-SUM($EA225:FF225)</f>
        <v>67104</v>
      </c>
      <c r="DO225" s="12">
        <f>SUM($AQ225:CI225)-SUM($EA225:FG225)</f>
        <v>67104</v>
      </c>
      <c r="DP225" s="12">
        <f>SUM($AQ225:CJ225)-SUM($EA225:FH225)</f>
        <v>67104</v>
      </c>
      <c r="DQ225" s="12">
        <f>SUM($AQ225:CK225)-SUM($EA225:FI225)</f>
        <v>67104</v>
      </c>
      <c r="DR225" s="12">
        <f>SUM($AQ225:CL225)-SUM($EA225:FJ225)</f>
        <v>67104</v>
      </c>
      <c r="DS225" s="12">
        <f>SUM($AQ225:CM225)-SUM($EA225:FK225)</f>
        <v>67104</v>
      </c>
      <c r="DT225" s="12">
        <f>SUM($AQ225:CN225)-SUM($EA225:FL225)</f>
        <v>67104</v>
      </c>
      <c r="DU225" s="12">
        <f>SUM($AQ225:CO225)-SUM($EA225:FM225)</f>
        <v>67104</v>
      </c>
      <c r="DV225" s="12">
        <f>SUM($AQ225:CP225)-SUM($EA225:FN225)</f>
        <v>135886</v>
      </c>
      <c r="DW225" s="12">
        <f>SUM($AQ225:CQ225)-SUM($EA225:FO225)</f>
        <v>204106</v>
      </c>
      <c r="DX225" s="13"/>
      <c r="DY225" s="13"/>
      <c r="DZ225" s="13"/>
      <c r="EA225" s="12"/>
      <c r="EB225" s="12"/>
      <c r="EC225" s="12"/>
      <c r="ED225" s="12"/>
      <c r="EE225" s="12"/>
      <c r="EF225" s="12"/>
      <c r="EG225" s="12"/>
      <c r="EH225" s="12">
        <f t="array" ref="EH225">SUMPRODUCT(TRANSPOSE(EH$9:EH$34),$K225:$AJ225)</f>
        <v>6218</v>
      </c>
      <c r="EI225" s="12">
        <f t="array" ref="EI225">SUMPRODUCT(TRANSPOSE(EI$9:EI$34),$K225:$AJ225)</f>
        <v>562</v>
      </c>
      <c r="EJ225" s="12">
        <f t="array" ref="EJ225">SUMPRODUCT(TRANSPOSE(EJ$9:EJ$34),$K225:$AJ225)</f>
        <v>30</v>
      </c>
      <c r="EK225" s="12">
        <f t="array" ref="EK225">SUMPRODUCT(TRANSPOSE(EK$9:EK$34),$K225:$AJ225)</f>
        <v>70</v>
      </c>
      <c r="EL225" s="12">
        <f t="array" ref="EL225">SUMPRODUCT(TRANSPOSE(EL$9:EL$34),$K225:$AJ225)</f>
        <v>30</v>
      </c>
      <c r="EM225" s="12">
        <f t="array" ref="EM225">SUMPRODUCT(TRANSPOSE(EM$9:EM$34),$K225:$AJ225)</f>
        <v>100</v>
      </c>
      <c r="EN225" s="12">
        <f t="array" ref="EN225">SUMPRODUCT(TRANSPOSE(EN$9:EN$34),$K225:$AJ225)</f>
        <v>100</v>
      </c>
      <c r="EO225" s="12">
        <f t="array" ref="EO225">SUMPRODUCT(TRANSPOSE(EO$9:EO$34),$K225:$AJ225)</f>
        <v>0</v>
      </c>
      <c r="EP225" s="12">
        <f t="array" ref="EP225">SUMPRODUCT(TRANSPOSE(EP$9:EP$34),$K225:$AJ225)</f>
        <v>100</v>
      </c>
      <c r="EQ225" s="12">
        <f t="array" ref="EQ225">SUMPRODUCT(TRANSPOSE(EQ$9:EQ$34),$K225:$AJ225)</f>
        <v>100</v>
      </c>
      <c r="ER225" s="12">
        <f t="array" ref="ER225">SUMPRODUCT(TRANSPOSE(ER$9:ER$34),$K225:$AJ225)</f>
        <v>100</v>
      </c>
      <c r="ES225" s="12">
        <f t="array" ref="ES225">SUMPRODUCT(TRANSPOSE(ES$9:ES$34),$K225:$AJ225)</f>
        <v>100</v>
      </c>
      <c r="ET225" s="12">
        <f t="array" ref="ET225">SUMPRODUCT(TRANSPOSE(ET$9:ET$34),$K225:$AJ225)</f>
        <v>100</v>
      </c>
      <c r="EU225" s="12">
        <f t="array" ref="EU225">SUMPRODUCT(TRANSPOSE(EU$9:EU$34),$K225:$AJ225)</f>
        <v>100</v>
      </c>
      <c r="EV225" s="12">
        <f t="array" ref="EV225">SUMPRODUCT(TRANSPOSE(EV$9:EV$34),$K225:$AJ225)</f>
        <v>100</v>
      </c>
      <c r="EW225" s="12">
        <f t="array" ref="EW225">SUMPRODUCT(TRANSPOSE(EW$9:EW$34),$K225:$AJ225)</f>
        <v>86</v>
      </c>
      <c r="EX225" s="12">
        <f t="array" ref="EX225">SUMPRODUCT(TRANSPOSE(EX$9:EX$34),$K225:$AJ225)</f>
        <v>0</v>
      </c>
      <c r="EY225" s="12">
        <f t="array" ref="EY225">SUMPRODUCT(TRANSPOSE(EY$9:EY$34),$K225:$AJ225)</f>
        <v>0</v>
      </c>
      <c r="EZ225" s="12">
        <f t="array" ref="EZ225">SUMPRODUCT(TRANSPOSE(EZ$9:EZ$34),$K225:$AJ225)</f>
        <v>0</v>
      </c>
      <c r="FA225" s="12">
        <f t="array" ref="FA225">SUMPRODUCT(TRANSPOSE(FA$9:FA$34),$K225:$AJ225)</f>
        <v>0</v>
      </c>
      <c r="FB225" s="12">
        <f t="array" ref="FB225">SUMPRODUCT(TRANSPOSE(FB$9:FB$34),$K225:$AJ225)</f>
        <v>0</v>
      </c>
      <c r="FC225" s="12">
        <f t="array" ref="FC225">SUMPRODUCT(TRANSPOSE(FC$9:FC$34),$K225:$AJ225)</f>
        <v>0</v>
      </c>
      <c r="FD225" s="12">
        <f t="array" ref="FD225">SUMPRODUCT(TRANSPOSE(FD$9:FD$34),$K225:$AJ225)</f>
        <v>0</v>
      </c>
      <c r="FE225" s="12">
        <f t="array" ref="FE225">SUMPRODUCT(TRANSPOSE(FE$9:FE$34),$K225:$AJ225)</f>
        <v>0</v>
      </c>
      <c r="FF225" s="12">
        <f t="array" ref="FF225">SUMPRODUCT(TRANSPOSE(FF$9:FF$34),$K225:$AJ225)</f>
        <v>0</v>
      </c>
      <c r="FG225" s="12">
        <f t="array" ref="FG225">SUMPRODUCT(TRANSPOSE(FG$9:FG$34),$K225:$AJ225)</f>
        <v>0</v>
      </c>
      <c r="FH225" s="12">
        <f t="array" ref="FH225">SUMPRODUCT(TRANSPOSE(FH$9:FH$34),$K225:$AJ225)</f>
        <v>0</v>
      </c>
      <c r="FI225" s="12">
        <f t="array" ref="FI225">SUMPRODUCT(TRANSPOSE(FI$9:FI$34),$K225:$AJ225)</f>
        <v>0</v>
      </c>
      <c r="FJ225" s="12">
        <f t="array" ref="FJ225">SUMPRODUCT(TRANSPOSE(FJ$9:FJ$34),$K225:$AJ225)</f>
        <v>0</v>
      </c>
      <c r="FK225" s="12">
        <f t="array" ref="FK225">SUMPRODUCT(TRANSPOSE(FK$9:FK$34),$K225:$AJ225)</f>
        <v>0</v>
      </c>
      <c r="FL225" s="12">
        <f t="array" ref="FL225">SUMPRODUCT(TRANSPOSE(FL$9:FL$34),$K225:$AJ225)</f>
        <v>0</v>
      </c>
      <c r="FM225" s="12">
        <f t="array" ref="FM225">SUMPRODUCT(TRANSPOSE(FM$9:FM$34),$K225:$AJ225)</f>
        <v>0</v>
      </c>
      <c r="FN225" s="12">
        <f t="array" ref="FN225">SUMPRODUCT(TRANSPOSE(FN$9:FN$34),$K225:$AJ225)</f>
        <v>0</v>
      </c>
      <c r="FO225" s="12">
        <f t="array" ref="FO225">SUMPRODUCT(TRANSPOSE(FO$9:FO$34),$K225:$AJ225)</f>
        <v>0</v>
      </c>
    </row>
    <row r="226" spans="1:171" ht="14.25" x14ac:dyDescent="0.2">
      <c r="A226" s="13">
        <f t="shared" si="10"/>
        <v>191</v>
      </c>
      <c r="B226" s="13" t="s">
        <v>685</v>
      </c>
      <c r="C226" s="25" t="s">
        <v>686</v>
      </c>
      <c r="D226" s="13" t="s">
        <v>67</v>
      </c>
      <c r="E226" s="13">
        <v>401234952</v>
      </c>
      <c r="F226" s="26" t="s">
        <v>687</v>
      </c>
      <c r="G226" s="13" t="s">
        <v>688</v>
      </c>
      <c r="H226" s="13" t="s">
        <v>61</v>
      </c>
      <c r="I226" s="13">
        <v>2</v>
      </c>
      <c r="J226" s="13">
        <v>16</v>
      </c>
      <c r="K226" s="13">
        <v>0</v>
      </c>
      <c r="L226" s="13">
        <v>0</v>
      </c>
      <c r="M226" s="13">
        <v>0</v>
      </c>
      <c r="N226" s="13">
        <v>0</v>
      </c>
      <c r="O226" s="13">
        <v>4</v>
      </c>
      <c r="P226" s="13">
        <v>0</v>
      </c>
      <c r="Q226" s="13">
        <v>0</v>
      </c>
      <c r="R226" s="13">
        <v>0</v>
      </c>
      <c r="S226" s="13">
        <v>2</v>
      </c>
      <c r="T226" s="13">
        <v>0</v>
      </c>
      <c r="U226" s="13">
        <v>0</v>
      </c>
      <c r="V226" s="13">
        <v>0</v>
      </c>
      <c r="W226" s="13">
        <v>0</v>
      </c>
      <c r="X226" s="13">
        <v>4</v>
      </c>
      <c r="Y226" s="13"/>
      <c r="Z226" s="13">
        <v>2</v>
      </c>
      <c r="AA226" s="13">
        <v>0</v>
      </c>
      <c r="AB226" s="13">
        <v>0</v>
      </c>
      <c r="AC226" s="13">
        <v>0</v>
      </c>
      <c r="AD226" s="13">
        <v>2</v>
      </c>
      <c r="AE226" s="13">
        <v>4</v>
      </c>
      <c r="AF226" s="13">
        <v>0</v>
      </c>
      <c r="AG226" s="13">
        <v>0</v>
      </c>
      <c r="AH226" s="13">
        <v>0</v>
      </c>
      <c r="AI226" s="13">
        <v>0</v>
      </c>
      <c r="AJ226" s="13">
        <v>4</v>
      </c>
      <c r="AK226" s="13">
        <f t="shared" si="11"/>
        <v>14</v>
      </c>
      <c r="AL226" s="23">
        <f t="shared" si="9"/>
        <v>356098</v>
      </c>
      <c r="AM226" s="13"/>
      <c r="AN226" s="13" t="s">
        <v>299</v>
      </c>
      <c r="AO226" s="7" t="s">
        <v>307</v>
      </c>
      <c r="AP226" s="41">
        <v>2.2000000000000001E-3</v>
      </c>
      <c r="AQ226" s="12">
        <v>355000</v>
      </c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13"/>
      <c r="CG226" s="13"/>
      <c r="CH226" s="13"/>
      <c r="CI226" s="12"/>
      <c r="CJ226" s="12"/>
      <c r="CK226" s="12"/>
      <c r="CL226" s="12"/>
      <c r="CM226" s="12"/>
      <c r="CN226" s="12"/>
      <c r="CO226" s="12"/>
      <c r="CP226" s="12">
        <f>SUM($AQ226:BJ226)-SUM($EA226:EH226)</f>
        <v>320530</v>
      </c>
      <c r="CQ226" s="12">
        <f>SUM($AQ226:BK226)-SUM($EA226:EI226)</f>
        <v>318368</v>
      </c>
      <c r="CR226" s="12">
        <f>SUM($AQ226:BL226)-SUM($EA226:EJ226)</f>
        <v>314248</v>
      </c>
      <c r="CS226" s="12">
        <f>SUM($AQ226:BM226)-SUM($EA226:EK226)</f>
        <v>309368</v>
      </c>
      <c r="CT226" s="12">
        <f>SUM($AQ226:BN226)-SUM($EA226:EL226)</f>
        <v>299248</v>
      </c>
      <c r="CU226" s="12">
        <f>SUM($AQ226:BO226)-SUM($EA226:EM226)</f>
        <v>286848</v>
      </c>
      <c r="CV226" s="12">
        <f>SUM($AQ226:BP226)-SUM($EA226:EN226)</f>
        <v>276248</v>
      </c>
      <c r="CW226" s="12">
        <f>SUM($AQ226:BQ226)-SUM($EA226:EO226)</f>
        <v>266248</v>
      </c>
      <c r="CX226" s="12">
        <f>SUM($AQ226:BR226)-SUM($EA226:EP226)</f>
        <v>255848</v>
      </c>
      <c r="CY226" s="12">
        <f>SUM($AQ226:BS226)-SUM($EA226:EQ226)</f>
        <v>245448</v>
      </c>
      <c r="CZ226" s="12">
        <f>SUM($AQ226:BT226)-SUM($EA226:ER226)</f>
        <v>235048</v>
      </c>
      <c r="DA226" s="12">
        <f>SUM($AQ226:BU226)-SUM($EA226:ES226)</f>
        <v>224648</v>
      </c>
      <c r="DB226" s="12">
        <f>SUM($AQ226:BV226)-SUM($EA226:ET226)</f>
        <v>214248</v>
      </c>
      <c r="DC226" s="12">
        <f>SUM($AQ226:BW226)-SUM($EA226:EU226)</f>
        <v>203848</v>
      </c>
      <c r="DD226" s="12">
        <f>SUM($AQ226:BX226)-SUM($EA226:EV226)</f>
        <v>193448</v>
      </c>
      <c r="DE226" s="12">
        <f>SUM($AQ226:BY226)-SUM($EA226:EW226)</f>
        <v>183236</v>
      </c>
      <c r="DF226" s="12">
        <f>SUM($AQ226:BZ226)-SUM($EA226:EX226)</f>
        <v>173236</v>
      </c>
      <c r="DG226" s="12">
        <f>SUM($AQ226:CA226)-SUM($EA226:EY226)</f>
        <v>163236</v>
      </c>
      <c r="DH226" s="12">
        <f>SUM($AQ226:CB226)-SUM($EA226:EZ226)</f>
        <v>153236</v>
      </c>
      <c r="DI226" s="12">
        <f>SUM($AQ226:CC226)-SUM($EA226:FA226)</f>
        <v>143236</v>
      </c>
      <c r="DJ226" s="12">
        <f>SUM($AQ226:CD226)-SUM($EA226:FB226)</f>
        <v>133236</v>
      </c>
      <c r="DK226" s="12">
        <f>SUM($AQ226:CE226)-SUM($EA226:FC226)</f>
        <v>123236</v>
      </c>
      <c r="DL226" s="12">
        <f>SUM($AQ226:CF226)-SUM($EA226:FD226)</f>
        <v>113236</v>
      </c>
      <c r="DM226" s="12">
        <f>SUM($AQ226:CG226)-SUM($EA226:FE226)</f>
        <v>103236</v>
      </c>
      <c r="DN226" s="12">
        <f>SUM($AQ226:CH226)-SUM($EA226:FF226)</f>
        <v>93236</v>
      </c>
      <c r="DO226" s="12">
        <f>SUM($AQ226:CI226)-SUM($EA226:FG226)</f>
        <v>83236</v>
      </c>
      <c r="DP226" s="12">
        <f>SUM($AQ226:CJ226)-SUM($EA226:FH226)</f>
        <v>73236</v>
      </c>
      <c r="DQ226" s="12">
        <f>SUM($AQ226:CK226)-SUM($EA226:FI226)</f>
        <v>63236</v>
      </c>
      <c r="DR226" s="12">
        <f>SUM($AQ226:CL226)-SUM($EA226:FJ226)</f>
        <v>53236</v>
      </c>
      <c r="DS226" s="12">
        <f>SUM($AQ226:CM226)-SUM($EA226:FK226)</f>
        <v>43236</v>
      </c>
      <c r="DT226" s="12">
        <f>SUM($AQ226:CN226)-SUM($EA226:FL226)</f>
        <v>33236</v>
      </c>
      <c r="DU226" s="12">
        <f>SUM($AQ226:CO226)-SUM($EA226:FM226)</f>
        <v>23236</v>
      </c>
      <c r="DV226" s="12">
        <f>SUM($AQ226:CP226)-SUM($EA226:FN226)</f>
        <v>335340</v>
      </c>
      <c r="DW226" s="12">
        <f>SUM($AQ226:CQ226)-SUM($EA226:FO226)</f>
        <v>653400</v>
      </c>
      <c r="DX226" s="13"/>
      <c r="DY226" s="13"/>
      <c r="DZ226" s="13"/>
      <c r="EA226" s="12"/>
      <c r="EB226" s="12"/>
      <c r="EC226" s="12"/>
      <c r="ED226" s="12"/>
      <c r="EE226" s="12"/>
      <c r="EF226" s="12"/>
      <c r="EG226" s="12"/>
      <c r="EH226" s="12">
        <f t="array" ref="EH226">SUMPRODUCT(TRANSPOSE(EH$9:EH$34),$K226:$AJ226)</f>
        <v>34470</v>
      </c>
      <c r="EI226" s="12">
        <f t="array" ref="EI226">SUMPRODUCT(TRANSPOSE(EI$9:EI$34),$K226:$AJ226)</f>
        <v>2162</v>
      </c>
      <c r="EJ226" s="12">
        <f t="array" ref="EJ226">SUMPRODUCT(TRANSPOSE(EJ$9:EJ$34),$K226:$AJ226)</f>
        <v>4120</v>
      </c>
      <c r="EK226" s="12">
        <f t="array" ref="EK226">SUMPRODUCT(TRANSPOSE(EK$9:EK$34),$K226:$AJ226)</f>
        <v>4880</v>
      </c>
      <c r="EL226" s="12">
        <f t="array" ref="EL226">SUMPRODUCT(TRANSPOSE(EL$9:EL$34),$K226:$AJ226)</f>
        <v>10120</v>
      </c>
      <c r="EM226" s="12">
        <f t="array" ref="EM226">SUMPRODUCT(TRANSPOSE(EM$9:EM$34),$K226:$AJ226)</f>
        <v>12400</v>
      </c>
      <c r="EN226" s="12">
        <f t="array" ref="EN226">SUMPRODUCT(TRANSPOSE(EN$9:EN$34),$K226:$AJ226)</f>
        <v>10600</v>
      </c>
      <c r="EO226" s="12">
        <f t="array" ref="EO226">SUMPRODUCT(TRANSPOSE(EO$9:EO$34),$K226:$AJ226)</f>
        <v>10000</v>
      </c>
      <c r="EP226" s="12">
        <f t="array" ref="EP226">SUMPRODUCT(TRANSPOSE(EP$9:EP$34),$K226:$AJ226)</f>
        <v>10400</v>
      </c>
      <c r="EQ226" s="12">
        <f t="array" ref="EQ226">SUMPRODUCT(TRANSPOSE(EQ$9:EQ$34),$K226:$AJ226)</f>
        <v>10400</v>
      </c>
      <c r="ER226" s="12">
        <f t="array" ref="ER226">SUMPRODUCT(TRANSPOSE(ER$9:ER$34),$K226:$AJ226)</f>
        <v>10400</v>
      </c>
      <c r="ES226" s="12">
        <f t="array" ref="ES226">SUMPRODUCT(TRANSPOSE(ES$9:ES$34),$K226:$AJ226)</f>
        <v>10400</v>
      </c>
      <c r="ET226" s="12">
        <f t="array" ref="ET226">SUMPRODUCT(TRANSPOSE(ET$9:ET$34),$K226:$AJ226)</f>
        <v>10400</v>
      </c>
      <c r="EU226" s="12">
        <f t="array" ref="EU226">SUMPRODUCT(TRANSPOSE(EU$9:EU$34),$K226:$AJ226)</f>
        <v>10400</v>
      </c>
      <c r="EV226" s="12">
        <f t="array" ref="EV226">SUMPRODUCT(TRANSPOSE(EV$9:EV$34),$K226:$AJ226)</f>
        <v>10400</v>
      </c>
      <c r="EW226" s="12">
        <f t="array" ref="EW226">SUMPRODUCT(TRANSPOSE(EW$9:EW$34),$K226:$AJ226)</f>
        <v>10212</v>
      </c>
      <c r="EX226" s="12">
        <f t="array" ref="EX226">SUMPRODUCT(TRANSPOSE(EX$9:EX$34),$K226:$AJ226)</f>
        <v>10000</v>
      </c>
      <c r="EY226" s="12">
        <f t="array" ref="EY226">SUMPRODUCT(TRANSPOSE(EY$9:EY$34),$K226:$AJ226)</f>
        <v>10000</v>
      </c>
      <c r="EZ226" s="12">
        <f t="array" ref="EZ226">SUMPRODUCT(TRANSPOSE(EZ$9:EZ$34),$K226:$AJ226)</f>
        <v>10000</v>
      </c>
      <c r="FA226" s="12">
        <f t="array" ref="FA226">SUMPRODUCT(TRANSPOSE(FA$9:FA$34),$K226:$AJ226)</f>
        <v>10000</v>
      </c>
      <c r="FB226" s="12">
        <f t="array" ref="FB226">SUMPRODUCT(TRANSPOSE(FB$9:FB$34),$K226:$AJ226)</f>
        <v>10000</v>
      </c>
      <c r="FC226" s="12">
        <f t="array" ref="FC226">SUMPRODUCT(TRANSPOSE(FC$9:FC$34),$K226:$AJ226)</f>
        <v>10000</v>
      </c>
      <c r="FD226" s="12">
        <f t="array" ref="FD226">SUMPRODUCT(TRANSPOSE(FD$9:FD$34),$K226:$AJ226)</f>
        <v>10000</v>
      </c>
      <c r="FE226" s="12">
        <f t="array" ref="FE226">SUMPRODUCT(TRANSPOSE(FE$9:FE$34),$K226:$AJ226)</f>
        <v>10000</v>
      </c>
      <c r="FF226" s="12">
        <f t="array" ref="FF226">SUMPRODUCT(TRANSPOSE(FF$9:FF$34),$K226:$AJ226)</f>
        <v>10000</v>
      </c>
      <c r="FG226" s="12">
        <f t="array" ref="FG226">SUMPRODUCT(TRANSPOSE(FG$9:FG$34),$K226:$AJ226)</f>
        <v>10000</v>
      </c>
      <c r="FH226" s="12">
        <f t="array" ref="FH226">SUMPRODUCT(TRANSPOSE(FH$9:FH$34),$K226:$AJ226)</f>
        <v>10000</v>
      </c>
      <c r="FI226" s="12">
        <f t="array" ref="FI226">SUMPRODUCT(TRANSPOSE(FI$9:FI$34),$K226:$AJ226)</f>
        <v>10000</v>
      </c>
      <c r="FJ226" s="12">
        <f t="array" ref="FJ226">SUMPRODUCT(TRANSPOSE(FJ$9:FJ$34),$K226:$AJ226)</f>
        <v>10000</v>
      </c>
      <c r="FK226" s="12">
        <f t="array" ref="FK226">SUMPRODUCT(TRANSPOSE(FK$9:FK$34),$K226:$AJ226)</f>
        <v>10000</v>
      </c>
      <c r="FL226" s="12">
        <f t="array" ref="FL226">SUMPRODUCT(TRANSPOSE(FL$9:FL$34),$K226:$AJ226)</f>
        <v>10000</v>
      </c>
      <c r="FM226" s="12">
        <f t="array" ref="FM226">SUMPRODUCT(TRANSPOSE(FM$9:FM$34),$K226:$AJ226)</f>
        <v>10000</v>
      </c>
      <c r="FN226" s="12">
        <f t="array" ref="FN226">SUMPRODUCT(TRANSPOSE(FN$9:FN$34),$K226:$AJ226)</f>
        <v>8426</v>
      </c>
      <c r="FO226" s="12">
        <f t="array" ref="FO226">SUMPRODUCT(TRANSPOSE(FO$9:FO$34),$K226:$AJ226)</f>
        <v>308</v>
      </c>
    </row>
    <row r="227" spans="1:171" ht="14.25" x14ac:dyDescent="0.2">
      <c r="A227" s="13">
        <f t="shared" si="10"/>
        <v>192</v>
      </c>
      <c r="B227" s="13" t="s">
        <v>689</v>
      </c>
      <c r="C227" s="25" t="s">
        <v>690</v>
      </c>
      <c r="D227" s="13" t="s">
        <v>67</v>
      </c>
      <c r="E227" s="13">
        <v>409286444</v>
      </c>
      <c r="F227" s="26" t="s">
        <v>691</v>
      </c>
      <c r="G227" s="13" t="s">
        <v>692</v>
      </c>
      <c r="H227" s="13" t="s">
        <v>61</v>
      </c>
      <c r="I227" s="13">
        <v>2</v>
      </c>
      <c r="J227" s="13">
        <v>4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2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/>
      <c r="Z227" s="13">
        <v>4</v>
      </c>
      <c r="AA227" s="13">
        <v>0</v>
      </c>
      <c r="AB227" s="13">
        <v>0</v>
      </c>
      <c r="AC227" s="13">
        <v>0</v>
      </c>
      <c r="AD227" s="13">
        <v>2</v>
      </c>
      <c r="AE227" s="13">
        <v>2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f t="shared" si="11"/>
        <v>8</v>
      </c>
      <c r="AL227" s="23">
        <f t="shared" si="9"/>
        <v>134564</v>
      </c>
      <c r="AM227" s="13"/>
      <c r="AN227" s="13" t="s">
        <v>299</v>
      </c>
      <c r="AO227" s="7" t="s">
        <v>300</v>
      </c>
      <c r="AP227" s="41">
        <v>3.2000000000000002E-3</v>
      </c>
      <c r="AQ227" s="12">
        <v>75380</v>
      </c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13"/>
      <c r="CG227" s="13"/>
      <c r="CH227" s="13"/>
      <c r="CI227" s="12"/>
      <c r="CJ227" s="12"/>
      <c r="CK227" s="12"/>
      <c r="CL227" s="12"/>
      <c r="CM227" s="12"/>
      <c r="CN227" s="12"/>
      <c r="CO227" s="12"/>
      <c r="CP227" s="12">
        <f>SUM($AQ227:BJ227)-SUM($EA227:EH227)</f>
        <v>69162</v>
      </c>
      <c r="CQ227" s="12">
        <f>SUM($AQ227:BK227)-SUM($EA227:EI227)</f>
        <v>68600</v>
      </c>
      <c r="CR227" s="12">
        <f>SUM($AQ227:BL227)-SUM($EA227:EJ227)</f>
        <v>68570</v>
      </c>
      <c r="CS227" s="12">
        <f>SUM($AQ227:BM227)-SUM($EA227:EK227)</f>
        <v>68100</v>
      </c>
      <c r="CT227" s="12">
        <f>SUM($AQ227:BN227)-SUM($EA227:EL227)</f>
        <v>64070</v>
      </c>
      <c r="CU227" s="12">
        <f>SUM($AQ227:BO227)-SUM($EA227:EM227)</f>
        <v>55970</v>
      </c>
      <c r="CV227" s="12">
        <f>SUM($AQ227:BP227)-SUM($EA227:EN227)</f>
        <v>51470</v>
      </c>
      <c r="CW227" s="12">
        <f>SUM($AQ227:BQ227)-SUM($EA227:EO227)</f>
        <v>47470</v>
      </c>
      <c r="CX227" s="12">
        <f>SUM($AQ227:BR227)-SUM($EA227:EP227)</f>
        <v>43370</v>
      </c>
      <c r="CY227" s="12">
        <f>SUM($AQ227:BS227)-SUM($EA227:EQ227)</f>
        <v>39270</v>
      </c>
      <c r="CZ227" s="12">
        <f>SUM($AQ227:BT227)-SUM($EA227:ER227)</f>
        <v>35170</v>
      </c>
      <c r="DA227" s="12">
        <f>SUM($AQ227:BU227)-SUM($EA227:ES227)</f>
        <v>31070</v>
      </c>
      <c r="DB227" s="12">
        <f>SUM($AQ227:BV227)-SUM($EA227:ET227)</f>
        <v>26970</v>
      </c>
      <c r="DC227" s="12">
        <f>SUM($AQ227:BW227)-SUM($EA227:EU227)</f>
        <v>22870</v>
      </c>
      <c r="DD227" s="12">
        <f>SUM($AQ227:BX227)-SUM($EA227:EV227)</f>
        <v>18770</v>
      </c>
      <c r="DE227" s="12">
        <f>SUM($AQ227:BY227)-SUM($EA227:EW227)</f>
        <v>14684</v>
      </c>
      <c r="DF227" s="12">
        <f>SUM($AQ227:BZ227)-SUM($EA227:EX227)</f>
        <v>10684</v>
      </c>
      <c r="DG227" s="12">
        <f>SUM($AQ227:CA227)-SUM($EA227:EY227)</f>
        <v>6684</v>
      </c>
      <c r="DH227" s="12">
        <f>SUM($AQ227:CB227)-SUM($EA227:EZ227)</f>
        <v>2684</v>
      </c>
      <c r="DI227" s="12">
        <f>SUM($AQ227:CC227)-SUM($EA227:FA227)</f>
        <v>-1316</v>
      </c>
      <c r="DJ227" s="12">
        <f>SUM($AQ227:CD227)-SUM($EA227:FB227)</f>
        <v>-5316</v>
      </c>
      <c r="DK227" s="12">
        <f>SUM($AQ227:CE227)-SUM($EA227:FC227)</f>
        <v>-9316</v>
      </c>
      <c r="DL227" s="12">
        <f>SUM($AQ227:CF227)-SUM($EA227:FD227)</f>
        <v>-13316</v>
      </c>
      <c r="DM227" s="12">
        <f>SUM($AQ227:CG227)-SUM($EA227:FE227)</f>
        <v>-17316</v>
      </c>
      <c r="DN227" s="12">
        <f>SUM($AQ227:CH227)-SUM($EA227:FF227)</f>
        <v>-21316</v>
      </c>
      <c r="DO227" s="12">
        <f>SUM($AQ227:CI227)-SUM($EA227:FG227)</f>
        <v>-25316</v>
      </c>
      <c r="DP227" s="12">
        <f>SUM($AQ227:CJ227)-SUM($EA227:FH227)</f>
        <v>-29316</v>
      </c>
      <c r="DQ227" s="12">
        <f>SUM($AQ227:CK227)-SUM($EA227:FI227)</f>
        <v>-33316</v>
      </c>
      <c r="DR227" s="12">
        <f>SUM($AQ227:CL227)-SUM($EA227:FJ227)</f>
        <v>-37316</v>
      </c>
      <c r="DS227" s="12">
        <f>SUM($AQ227:CM227)-SUM($EA227:FK227)</f>
        <v>-41316</v>
      </c>
      <c r="DT227" s="12">
        <f>SUM($AQ227:CN227)-SUM($EA227:FL227)</f>
        <v>-45316</v>
      </c>
      <c r="DU227" s="12">
        <f>SUM($AQ227:CO227)-SUM($EA227:FM227)</f>
        <v>-49316</v>
      </c>
      <c r="DV227" s="12">
        <f>SUM($AQ227:CP227)-SUM($EA227:FN227)</f>
        <v>16578</v>
      </c>
      <c r="DW227" s="12">
        <f>SUM($AQ227:CQ227)-SUM($EA227:FO227)</f>
        <v>85178</v>
      </c>
      <c r="DX227" s="13"/>
      <c r="DY227" s="13"/>
      <c r="DZ227" s="13"/>
      <c r="EA227" s="12"/>
      <c r="EB227" s="12"/>
      <c r="EC227" s="12"/>
      <c r="ED227" s="12"/>
      <c r="EE227" s="12"/>
      <c r="EF227" s="12"/>
      <c r="EG227" s="12"/>
      <c r="EH227" s="12">
        <f t="array" ref="EH227">SUMPRODUCT(TRANSPOSE(EH$9:EH$34),$K227:$AJ227)</f>
        <v>6218</v>
      </c>
      <c r="EI227" s="12">
        <f t="array" ref="EI227">SUMPRODUCT(TRANSPOSE(EI$9:EI$34),$K227:$AJ227)</f>
        <v>562</v>
      </c>
      <c r="EJ227" s="12">
        <f t="array" ref="EJ227">SUMPRODUCT(TRANSPOSE(EJ$9:EJ$34),$K227:$AJ227)</f>
        <v>30</v>
      </c>
      <c r="EK227" s="12">
        <f t="array" ref="EK227">SUMPRODUCT(TRANSPOSE(EK$9:EK$34),$K227:$AJ227)</f>
        <v>470</v>
      </c>
      <c r="EL227" s="12">
        <f t="array" ref="EL227">SUMPRODUCT(TRANSPOSE(EL$9:EL$34),$K227:$AJ227)</f>
        <v>4030</v>
      </c>
      <c r="EM227" s="12">
        <f t="array" ref="EM227">SUMPRODUCT(TRANSPOSE(EM$9:EM$34),$K227:$AJ227)</f>
        <v>8100</v>
      </c>
      <c r="EN227" s="12">
        <f t="array" ref="EN227">SUMPRODUCT(TRANSPOSE(EN$9:EN$34),$K227:$AJ227)</f>
        <v>4500</v>
      </c>
      <c r="EO227" s="12">
        <f t="array" ref="EO227">SUMPRODUCT(TRANSPOSE(EO$9:EO$34),$K227:$AJ227)</f>
        <v>4000</v>
      </c>
      <c r="EP227" s="12">
        <f t="array" ref="EP227">SUMPRODUCT(TRANSPOSE(EP$9:EP$34),$K227:$AJ227)</f>
        <v>4100</v>
      </c>
      <c r="EQ227" s="12">
        <f t="array" ref="EQ227">SUMPRODUCT(TRANSPOSE(EQ$9:EQ$34),$K227:$AJ227)</f>
        <v>4100</v>
      </c>
      <c r="ER227" s="12">
        <f t="array" ref="ER227">SUMPRODUCT(TRANSPOSE(ER$9:ER$34),$K227:$AJ227)</f>
        <v>4100</v>
      </c>
      <c r="ES227" s="12">
        <f t="array" ref="ES227">SUMPRODUCT(TRANSPOSE(ES$9:ES$34),$K227:$AJ227)</f>
        <v>4100</v>
      </c>
      <c r="ET227" s="12">
        <f t="array" ref="ET227">SUMPRODUCT(TRANSPOSE(ET$9:ET$34),$K227:$AJ227)</f>
        <v>4100</v>
      </c>
      <c r="EU227" s="12">
        <f t="array" ref="EU227">SUMPRODUCT(TRANSPOSE(EU$9:EU$34),$K227:$AJ227)</f>
        <v>4100</v>
      </c>
      <c r="EV227" s="12">
        <f t="array" ref="EV227">SUMPRODUCT(TRANSPOSE(EV$9:EV$34),$K227:$AJ227)</f>
        <v>4100</v>
      </c>
      <c r="EW227" s="12">
        <f t="array" ref="EW227">SUMPRODUCT(TRANSPOSE(EW$9:EW$34),$K227:$AJ227)</f>
        <v>4086</v>
      </c>
      <c r="EX227" s="12">
        <f t="array" ref="EX227">SUMPRODUCT(TRANSPOSE(EX$9:EX$34),$K227:$AJ227)</f>
        <v>4000</v>
      </c>
      <c r="EY227" s="12">
        <f t="array" ref="EY227">SUMPRODUCT(TRANSPOSE(EY$9:EY$34),$K227:$AJ227)</f>
        <v>4000</v>
      </c>
      <c r="EZ227" s="12">
        <f t="array" ref="EZ227">SUMPRODUCT(TRANSPOSE(EZ$9:EZ$34),$K227:$AJ227)</f>
        <v>4000</v>
      </c>
      <c r="FA227" s="12">
        <f t="array" ref="FA227">SUMPRODUCT(TRANSPOSE(FA$9:FA$34),$K227:$AJ227)</f>
        <v>4000</v>
      </c>
      <c r="FB227" s="12">
        <f t="array" ref="FB227">SUMPRODUCT(TRANSPOSE(FB$9:FB$34),$K227:$AJ227)</f>
        <v>4000</v>
      </c>
      <c r="FC227" s="12">
        <f t="array" ref="FC227">SUMPRODUCT(TRANSPOSE(FC$9:FC$34),$K227:$AJ227)</f>
        <v>4000</v>
      </c>
      <c r="FD227" s="12">
        <f t="array" ref="FD227">SUMPRODUCT(TRANSPOSE(FD$9:FD$34),$K227:$AJ227)</f>
        <v>4000</v>
      </c>
      <c r="FE227" s="12">
        <f t="array" ref="FE227">SUMPRODUCT(TRANSPOSE(FE$9:FE$34),$K227:$AJ227)</f>
        <v>4000</v>
      </c>
      <c r="FF227" s="12">
        <f t="array" ref="FF227">SUMPRODUCT(TRANSPOSE(FF$9:FF$34),$K227:$AJ227)</f>
        <v>4000</v>
      </c>
      <c r="FG227" s="12">
        <f t="array" ref="FG227">SUMPRODUCT(TRANSPOSE(FG$9:FG$34),$K227:$AJ227)</f>
        <v>4000</v>
      </c>
      <c r="FH227" s="12">
        <f t="array" ref="FH227">SUMPRODUCT(TRANSPOSE(FH$9:FH$34),$K227:$AJ227)</f>
        <v>4000</v>
      </c>
      <c r="FI227" s="12">
        <f t="array" ref="FI227">SUMPRODUCT(TRANSPOSE(FI$9:FI$34),$K227:$AJ227)</f>
        <v>4000</v>
      </c>
      <c r="FJ227" s="12">
        <f t="array" ref="FJ227">SUMPRODUCT(TRANSPOSE(FJ$9:FJ$34),$K227:$AJ227)</f>
        <v>4000</v>
      </c>
      <c r="FK227" s="12">
        <f t="array" ref="FK227">SUMPRODUCT(TRANSPOSE(FK$9:FK$34),$K227:$AJ227)</f>
        <v>4000</v>
      </c>
      <c r="FL227" s="12">
        <f t="array" ref="FL227">SUMPRODUCT(TRANSPOSE(FL$9:FL$34),$K227:$AJ227)</f>
        <v>4000</v>
      </c>
      <c r="FM227" s="12">
        <f t="array" ref="FM227">SUMPRODUCT(TRANSPOSE(FM$9:FM$34),$K227:$AJ227)</f>
        <v>4000</v>
      </c>
      <c r="FN227" s="12">
        <f t="array" ref="FN227">SUMPRODUCT(TRANSPOSE(FN$9:FN$34),$K227:$AJ227)</f>
        <v>3268</v>
      </c>
      <c r="FO227" s="12">
        <f t="array" ref="FO227">SUMPRODUCT(TRANSPOSE(FO$9:FO$34),$K227:$AJ227)</f>
        <v>0</v>
      </c>
    </row>
    <row r="228" spans="1:171" ht="14.25" x14ac:dyDescent="0.2">
      <c r="A228" s="13">
        <f t="shared" si="10"/>
        <v>193</v>
      </c>
      <c r="B228" s="13" t="s">
        <v>693</v>
      </c>
      <c r="C228" s="25" t="s">
        <v>694</v>
      </c>
      <c r="D228" s="13" t="s">
        <v>67</v>
      </c>
      <c r="E228" s="13">
        <v>401414922</v>
      </c>
      <c r="F228" s="26" t="s">
        <v>695</v>
      </c>
      <c r="G228" s="13" t="s">
        <v>696</v>
      </c>
      <c r="H228" s="13" t="s">
        <v>61</v>
      </c>
      <c r="I228" s="13">
        <v>2</v>
      </c>
      <c r="J228" s="13">
        <v>4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2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/>
      <c r="Z228" s="13"/>
      <c r="AA228" s="13">
        <v>0</v>
      </c>
      <c r="AB228" s="13">
        <v>0</v>
      </c>
      <c r="AC228" s="13">
        <v>0</v>
      </c>
      <c r="AD228" s="13">
        <v>2</v>
      </c>
      <c r="AE228" s="13">
        <v>2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f t="shared" si="11"/>
        <v>4</v>
      </c>
      <c r="AL228" s="23">
        <f t="shared" ref="AL228:AL291" si="12">SUMPRODUCT(K228:AJ228,$K$31:$AJ$31)</f>
        <v>8096</v>
      </c>
      <c r="AM228" s="13"/>
      <c r="AN228" s="13" t="s">
        <v>299</v>
      </c>
      <c r="AO228" s="7" t="s">
        <v>307</v>
      </c>
      <c r="AP228" s="41">
        <v>3.2000000000000002E-3</v>
      </c>
      <c r="AQ228" s="12">
        <v>75000</v>
      </c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13"/>
      <c r="CG228" s="13"/>
      <c r="CH228" s="13"/>
      <c r="CI228" s="12"/>
      <c r="CJ228" s="12"/>
      <c r="CK228" s="12"/>
      <c r="CL228" s="12"/>
      <c r="CM228" s="12"/>
      <c r="CN228" s="12"/>
      <c r="CO228" s="12"/>
      <c r="CP228" s="12">
        <f>SUM($AQ228:BJ228)-SUM($EA228:EH228)</f>
        <v>68782</v>
      </c>
      <c r="CQ228" s="12">
        <f>SUM($AQ228:BK228)-SUM($EA228:EI228)</f>
        <v>68220</v>
      </c>
      <c r="CR228" s="12">
        <f>SUM($AQ228:BL228)-SUM($EA228:EJ228)</f>
        <v>68190</v>
      </c>
      <c r="CS228" s="12">
        <f>SUM($AQ228:BM228)-SUM($EA228:EK228)</f>
        <v>68120</v>
      </c>
      <c r="CT228" s="12">
        <f>SUM($AQ228:BN228)-SUM($EA228:EL228)</f>
        <v>68090</v>
      </c>
      <c r="CU228" s="12">
        <f>SUM($AQ228:BO228)-SUM($EA228:EM228)</f>
        <v>67990</v>
      </c>
      <c r="CV228" s="12">
        <f>SUM($AQ228:BP228)-SUM($EA228:EN228)</f>
        <v>67890</v>
      </c>
      <c r="CW228" s="12">
        <f>SUM($AQ228:BQ228)-SUM($EA228:EO228)</f>
        <v>67890</v>
      </c>
      <c r="CX228" s="12">
        <f>SUM($AQ228:BR228)-SUM($EA228:EP228)</f>
        <v>67790</v>
      </c>
      <c r="CY228" s="12">
        <f>SUM($AQ228:BS228)-SUM($EA228:EQ228)</f>
        <v>67690</v>
      </c>
      <c r="CZ228" s="12">
        <f>SUM($AQ228:BT228)-SUM($EA228:ER228)</f>
        <v>67590</v>
      </c>
      <c r="DA228" s="12">
        <f>SUM($AQ228:BU228)-SUM($EA228:ES228)</f>
        <v>67490</v>
      </c>
      <c r="DB228" s="12">
        <f>SUM($AQ228:BV228)-SUM($EA228:ET228)</f>
        <v>67390</v>
      </c>
      <c r="DC228" s="12">
        <f>SUM($AQ228:BW228)-SUM($EA228:EU228)</f>
        <v>67290</v>
      </c>
      <c r="DD228" s="12">
        <f>SUM($AQ228:BX228)-SUM($EA228:EV228)</f>
        <v>67190</v>
      </c>
      <c r="DE228" s="12">
        <f>SUM($AQ228:BY228)-SUM($EA228:EW228)</f>
        <v>67104</v>
      </c>
      <c r="DF228" s="12">
        <f>SUM($AQ228:BZ228)-SUM($EA228:EX228)</f>
        <v>67104</v>
      </c>
      <c r="DG228" s="12">
        <f>SUM($AQ228:CA228)-SUM($EA228:EY228)</f>
        <v>67104</v>
      </c>
      <c r="DH228" s="12">
        <f>SUM($AQ228:CB228)-SUM($EA228:EZ228)</f>
        <v>67104</v>
      </c>
      <c r="DI228" s="12">
        <f>SUM($AQ228:CC228)-SUM($EA228:FA228)</f>
        <v>67104</v>
      </c>
      <c r="DJ228" s="12">
        <f>SUM($AQ228:CD228)-SUM($EA228:FB228)</f>
        <v>67104</v>
      </c>
      <c r="DK228" s="12">
        <f>SUM($AQ228:CE228)-SUM($EA228:FC228)</f>
        <v>67104</v>
      </c>
      <c r="DL228" s="12">
        <f>SUM($AQ228:CF228)-SUM($EA228:FD228)</f>
        <v>67104</v>
      </c>
      <c r="DM228" s="12">
        <f>SUM($AQ228:CG228)-SUM($EA228:FE228)</f>
        <v>67104</v>
      </c>
      <c r="DN228" s="12">
        <f>SUM($AQ228:CH228)-SUM($EA228:FF228)</f>
        <v>67104</v>
      </c>
      <c r="DO228" s="12">
        <f>SUM($AQ228:CI228)-SUM($EA228:FG228)</f>
        <v>67104</v>
      </c>
      <c r="DP228" s="12">
        <f>SUM($AQ228:CJ228)-SUM($EA228:FH228)</f>
        <v>67104</v>
      </c>
      <c r="DQ228" s="12">
        <f>SUM($AQ228:CK228)-SUM($EA228:FI228)</f>
        <v>67104</v>
      </c>
      <c r="DR228" s="12">
        <f>SUM($AQ228:CL228)-SUM($EA228:FJ228)</f>
        <v>67104</v>
      </c>
      <c r="DS228" s="12">
        <f>SUM($AQ228:CM228)-SUM($EA228:FK228)</f>
        <v>67104</v>
      </c>
      <c r="DT228" s="12">
        <f>SUM($AQ228:CN228)-SUM($EA228:FL228)</f>
        <v>67104</v>
      </c>
      <c r="DU228" s="12">
        <f>SUM($AQ228:CO228)-SUM($EA228:FM228)</f>
        <v>67104</v>
      </c>
      <c r="DV228" s="12">
        <f>SUM($AQ228:CP228)-SUM($EA228:FN228)</f>
        <v>135886</v>
      </c>
      <c r="DW228" s="12">
        <f>SUM($AQ228:CQ228)-SUM($EA228:FO228)</f>
        <v>204106</v>
      </c>
      <c r="DX228" s="13"/>
      <c r="DY228" s="13"/>
      <c r="DZ228" s="13"/>
      <c r="EA228" s="12"/>
      <c r="EB228" s="12"/>
      <c r="EC228" s="12"/>
      <c r="ED228" s="12"/>
      <c r="EE228" s="12"/>
      <c r="EF228" s="12"/>
      <c r="EG228" s="12"/>
      <c r="EH228" s="12">
        <f t="array" ref="EH228">SUMPRODUCT(TRANSPOSE(EH$9:EH$34),$K228:$AJ228)</f>
        <v>6218</v>
      </c>
      <c r="EI228" s="12">
        <f t="array" ref="EI228">SUMPRODUCT(TRANSPOSE(EI$9:EI$34),$K228:$AJ228)</f>
        <v>562</v>
      </c>
      <c r="EJ228" s="12">
        <f t="array" ref="EJ228">SUMPRODUCT(TRANSPOSE(EJ$9:EJ$34),$K228:$AJ228)</f>
        <v>30</v>
      </c>
      <c r="EK228" s="12">
        <f t="array" ref="EK228">SUMPRODUCT(TRANSPOSE(EK$9:EK$34),$K228:$AJ228)</f>
        <v>70</v>
      </c>
      <c r="EL228" s="12">
        <f t="array" ref="EL228">SUMPRODUCT(TRANSPOSE(EL$9:EL$34),$K228:$AJ228)</f>
        <v>30</v>
      </c>
      <c r="EM228" s="12">
        <f t="array" ref="EM228">SUMPRODUCT(TRANSPOSE(EM$9:EM$34),$K228:$AJ228)</f>
        <v>100</v>
      </c>
      <c r="EN228" s="12">
        <f t="array" ref="EN228">SUMPRODUCT(TRANSPOSE(EN$9:EN$34),$K228:$AJ228)</f>
        <v>100</v>
      </c>
      <c r="EO228" s="12">
        <f t="array" ref="EO228">SUMPRODUCT(TRANSPOSE(EO$9:EO$34),$K228:$AJ228)</f>
        <v>0</v>
      </c>
      <c r="EP228" s="12">
        <f t="array" ref="EP228">SUMPRODUCT(TRANSPOSE(EP$9:EP$34),$K228:$AJ228)</f>
        <v>100</v>
      </c>
      <c r="EQ228" s="12">
        <f t="array" ref="EQ228">SUMPRODUCT(TRANSPOSE(EQ$9:EQ$34),$K228:$AJ228)</f>
        <v>100</v>
      </c>
      <c r="ER228" s="12">
        <f t="array" ref="ER228">SUMPRODUCT(TRANSPOSE(ER$9:ER$34),$K228:$AJ228)</f>
        <v>100</v>
      </c>
      <c r="ES228" s="12">
        <f t="array" ref="ES228">SUMPRODUCT(TRANSPOSE(ES$9:ES$34),$K228:$AJ228)</f>
        <v>100</v>
      </c>
      <c r="ET228" s="12">
        <f t="array" ref="ET228">SUMPRODUCT(TRANSPOSE(ET$9:ET$34),$K228:$AJ228)</f>
        <v>100</v>
      </c>
      <c r="EU228" s="12">
        <f t="array" ref="EU228">SUMPRODUCT(TRANSPOSE(EU$9:EU$34),$K228:$AJ228)</f>
        <v>100</v>
      </c>
      <c r="EV228" s="12">
        <f t="array" ref="EV228">SUMPRODUCT(TRANSPOSE(EV$9:EV$34),$K228:$AJ228)</f>
        <v>100</v>
      </c>
      <c r="EW228" s="12">
        <f t="array" ref="EW228">SUMPRODUCT(TRANSPOSE(EW$9:EW$34),$K228:$AJ228)</f>
        <v>86</v>
      </c>
      <c r="EX228" s="12">
        <f t="array" ref="EX228">SUMPRODUCT(TRANSPOSE(EX$9:EX$34),$K228:$AJ228)</f>
        <v>0</v>
      </c>
      <c r="EY228" s="12">
        <f t="array" ref="EY228">SUMPRODUCT(TRANSPOSE(EY$9:EY$34),$K228:$AJ228)</f>
        <v>0</v>
      </c>
      <c r="EZ228" s="12">
        <f t="array" ref="EZ228">SUMPRODUCT(TRANSPOSE(EZ$9:EZ$34),$K228:$AJ228)</f>
        <v>0</v>
      </c>
      <c r="FA228" s="12">
        <f t="array" ref="FA228">SUMPRODUCT(TRANSPOSE(FA$9:FA$34),$K228:$AJ228)</f>
        <v>0</v>
      </c>
      <c r="FB228" s="12">
        <f t="array" ref="FB228">SUMPRODUCT(TRANSPOSE(FB$9:FB$34),$K228:$AJ228)</f>
        <v>0</v>
      </c>
      <c r="FC228" s="12">
        <f t="array" ref="FC228">SUMPRODUCT(TRANSPOSE(FC$9:FC$34),$K228:$AJ228)</f>
        <v>0</v>
      </c>
      <c r="FD228" s="12">
        <f t="array" ref="FD228">SUMPRODUCT(TRANSPOSE(FD$9:FD$34),$K228:$AJ228)</f>
        <v>0</v>
      </c>
      <c r="FE228" s="12">
        <f t="array" ref="FE228">SUMPRODUCT(TRANSPOSE(FE$9:FE$34),$K228:$AJ228)</f>
        <v>0</v>
      </c>
      <c r="FF228" s="12">
        <f t="array" ref="FF228">SUMPRODUCT(TRANSPOSE(FF$9:FF$34),$K228:$AJ228)</f>
        <v>0</v>
      </c>
      <c r="FG228" s="12">
        <f t="array" ref="FG228">SUMPRODUCT(TRANSPOSE(FG$9:FG$34),$K228:$AJ228)</f>
        <v>0</v>
      </c>
      <c r="FH228" s="12">
        <f t="array" ref="FH228">SUMPRODUCT(TRANSPOSE(FH$9:FH$34),$K228:$AJ228)</f>
        <v>0</v>
      </c>
      <c r="FI228" s="12">
        <f t="array" ref="FI228">SUMPRODUCT(TRANSPOSE(FI$9:FI$34),$K228:$AJ228)</f>
        <v>0</v>
      </c>
      <c r="FJ228" s="12">
        <f t="array" ref="FJ228">SUMPRODUCT(TRANSPOSE(FJ$9:FJ$34),$K228:$AJ228)</f>
        <v>0</v>
      </c>
      <c r="FK228" s="12">
        <f t="array" ref="FK228">SUMPRODUCT(TRANSPOSE(FK$9:FK$34),$K228:$AJ228)</f>
        <v>0</v>
      </c>
      <c r="FL228" s="12">
        <f t="array" ref="FL228">SUMPRODUCT(TRANSPOSE(FL$9:FL$34),$K228:$AJ228)</f>
        <v>0</v>
      </c>
      <c r="FM228" s="12">
        <f t="array" ref="FM228">SUMPRODUCT(TRANSPOSE(FM$9:FM$34),$K228:$AJ228)</f>
        <v>0</v>
      </c>
      <c r="FN228" s="12">
        <f t="array" ref="FN228">SUMPRODUCT(TRANSPOSE(FN$9:FN$34),$K228:$AJ228)</f>
        <v>0</v>
      </c>
      <c r="FO228" s="12">
        <f t="array" ref="FO228">SUMPRODUCT(TRANSPOSE(FO$9:FO$34),$K228:$AJ228)</f>
        <v>0</v>
      </c>
    </row>
    <row r="229" spans="1:171" ht="14.25" x14ac:dyDescent="0.2">
      <c r="A229" s="13">
        <f t="shared" si="10"/>
        <v>194</v>
      </c>
      <c r="B229" s="13" t="s">
        <v>697</v>
      </c>
      <c r="C229" s="25" t="s">
        <v>698</v>
      </c>
      <c r="D229" s="13" t="s">
        <v>67</v>
      </c>
      <c r="E229" s="13">
        <v>401282464</v>
      </c>
      <c r="F229" s="26" t="s">
        <v>699</v>
      </c>
      <c r="G229" s="13" t="s">
        <v>700</v>
      </c>
      <c r="H229" s="13" t="s">
        <v>61</v>
      </c>
      <c r="I229" s="13">
        <v>2</v>
      </c>
      <c r="J229" s="13">
        <v>12</v>
      </c>
      <c r="K229" s="13">
        <v>0</v>
      </c>
      <c r="L229" s="13">
        <v>0</v>
      </c>
      <c r="M229" s="13">
        <v>0</v>
      </c>
      <c r="N229" s="13">
        <v>0</v>
      </c>
      <c r="O229" s="13">
        <v>4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4</v>
      </c>
      <c r="Y229" s="13"/>
      <c r="Z229" s="13"/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4</v>
      </c>
      <c r="AK229" s="13">
        <f t="shared" si="11"/>
        <v>8</v>
      </c>
      <c r="AL229" s="23">
        <f t="shared" si="12"/>
        <v>283452</v>
      </c>
      <c r="AM229" s="13"/>
      <c r="AN229" s="13" t="s">
        <v>299</v>
      </c>
      <c r="AO229" s="7" t="s">
        <v>300</v>
      </c>
      <c r="AP229" s="41">
        <v>2.2000000000000001E-3</v>
      </c>
      <c r="AQ229" s="12">
        <v>285000</v>
      </c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13"/>
      <c r="CG229" s="13"/>
      <c r="CH229" s="13"/>
      <c r="CI229" s="12"/>
      <c r="CJ229" s="12"/>
      <c r="CK229" s="12"/>
      <c r="CL229" s="12"/>
      <c r="CM229" s="12"/>
      <c r="CN229" s="12"/>
      <c r="CO229" s="12"/>
      <c r="CP229" s="12">
        <f>SUM($AQ229:BJ229)-SUM($EA229:EH229)</f>
        <v>256748</v>
      </c>
      <c r="CQ229" s="12">
        <f>SUM($AQ229:BK229)-SUM($EA229:EI229)</f>
        <v>255148</v>
      </c>
      <c r="CR229" s="12">
        <f>SUM($AQ229:BL229)-SUM($EA229:EJ229)</f>
        <v>251088</v>
      </c>
      <c r="CS229" s="12">
        <f>SUM($AQ229:BM229)-SUM($EA229:EK229)</f>
        <v>246548</v>
      </c>
      <c r="CT229" s="12">
        <f>SUM($AQ229:BN229)-SUM($EA229:EL229)</f>
        <v>238488</v>
      </c>
      <c r="CU229" s="12">
        <f>SUM($AQ229:BO229)-SUM($EA229:EM229)</f>
        <v>230288</v>
      </c>
      <c r="CV229" s="12">
        <f>SUM($AQ229:BP229)-SUM($EA229:EN229)</f>
        <v>222088</v>
      </c>
      <c r="CW229" s="12">
        <f>SUM($AQ229:BQ229)-SUM($EA229:EO229)</f>
        <v>214088</v>
      </c>
      <c r="CX229" s="12">
        <f>SUM($AQ229:BR229)-SUM($EA229:EP229)</f>
        <v>205888</v>
      </c>
      <c r="CY229" s="12">
        <f>SUM($AQ229:BS229)-SUM($EA229:EQ229)</f>
        <v>197688</v>
      </c>
      <c r="CZ229" s="12">
        <f>SUM($AQ229:BT229)-SUM($EA229:ER229)</f>
        <v>189488</v>
      </c>
      <c r="DA229" s="12">
        <f>SUM($AQ229:BU229)-SUM($EA229:ES229)</f>
        <v>181288</v>
      </c>
      <c r="DB229" s="12">
        <f>SUM($AQ229:BV229)-SUM($EA229:ET229)</f>
        <v>173088</v>
      </c>
      <c r="DC229" s="12">
        <f>SUM($AQ229:BW229)-SUM($EA229:EU229)</f>
        <v>164888</v>
      </c>
      <c r="DD229" s="12">
        <f>SUM($AQ229:BX229)-SUM($EA229:EV229)</f>
        <v>156688</v>
      </c>
      <c r="DE229" s="12">
        <f>SUM($AQ229:BY229)-SUM($EA229:EW229)</f>
        <v>148648</v>
      </c>
      <c r="DF229" s="12">
        <f>SUM($AQ229:BZ229)-SUM($EA229:EX229)</f>
        <v>140648</v>
      </c>
      <c r="DG229" s="12">
        <f>SUM($AQ229:CA229)-SUM($EA229:EY229)</f>
        <v>132648</v>
      </c>
      <c r="DH229" s="12">
        <f>SUM($AQ229:CB229)-SUM($EA229:EZ229)</f>
        <v>124648</v>
      </c>
      <c r="DI229" s="12">
        <f>SUM($AQ229:CC229)-SUM($EA229:FA229)</f>
        <v>116648</v>
      </c>
      <c r="DJ229" s="12">
        <f>SUM($AQ229:CD229)-SUM($EA229:FB229)</f>
        <v>108648</v>
      </c>
      <c r="DK229" s="12">
        <f>SUM($AQ229:CE229)-SUM($EA229:FC229)</f>
        <v>100648</v>
      </c>
      <c r="DL229" s="12">
        <f>SUM($AQ229:CF229)-SUM($EA229:FD229)</f>
        <v>92648</v>
      </c>
      <c r="DM229" s="12">
        <f>SUM($AQ229:CG229)-SUM($EA229:FE229)</f>
        <v>84648</v>
      </c>
      <c r="DN229" s="12">
        <f>SUM($AQ229:CH229)-SUM($EA229:FF229)</f>
        <v>76648</v>
      </c>
      <c r="DO229" s="12">
        <f>SUM($AQ229:CI229)-SUM($EA229:FG229)</f>
        <v>68648</v>
      </c>
      <c r="DP229" s="12">
        <f>SUM($AQ229:CJ229)-SUM($EA229:FH229)</f>
        <v>60648</v>
      </c>
      <c r="DQ229" s="12">
        <f>SUM($AQ229:CK229)-SUM($EA229:FI229)</f>
        <v>52648</v>
      </c>
      <c r="DR229" s="12">
        <f>SUM($AQ229:CL229)-SUM($EA229:FJ229)</f>
        <v>44648</v>
      </c>
      <c r="DS229" s="12">
        <f>SUM($AQ229:CM229)-SUM($EA229:FK229)</f>
        <v>36648</v>
      </c>
      <c r="DT229" s="12">
        <f>SUM($AQ229:CN229)-SUM($EA229:FL229)</f>
        <v>28648</v>
      </c>
      <c r="DU229" s="12">
        <f>SUM($AQ229:CO229)-SUM($EA229:FM229)</f>
        <v>20648</v>
      </c>
      <c r="DV229" s="12">
        <f>SUM($AQ229:CP229)-SUM($EA229:FN229)</f>
        <v>270604</v>
      </c>
      <c r="DW229" s="12">
        <f>SUM($AQ229:CQ229)-SUM($EA229:FO229)</f>
        <v>525444</v>
      </c>
      <c r="DX229" s="13"/>
      <c r="DY229" s="13"/>
      <c r="DZ229" s="13"/>
      <c r="EA229" s="12"/>
      <c r="EB229" s="12"/>
      <c r="EC229" s="12"/>
      <c r="ED229" s="12"/>
      <c r="EE229" s="12"/>
      <c r="EF229" s="12"/>
      <c r="EG229" s="12"/>
      <c r="EH229" s="12">
        <f t="array" ref="EH229">SUMPRODUCT(TRANSPOSE(EH$9:EH$34),$K229:$AJ229)</f>
        <v>28252</v>
      </c>
      <c r="EI229" s="12">
        <f t="array" ref="EI229">SUMPRODUCT(TRANSPOSE(EI$9:EI$34),$K229:$AJ229)</f>
        <v>1600</v>
      </c>
      <c r="EJ229" s="12">
        <f t="array" ref="EJ229">SUMPRODUCT(TRANSPOSE(EJ$9:EJ$34),$K229:$AJ229)</f>
        <v>4060</v>
      </c>
      <c r="EK229" s="12">
        <f t="array" ref="EK229">SUMPRODUCT(TRANSPOSE(EK$9:EK$34),$K229:$AJ229)</f>
        <v>4540</v>
      </c>
      <c r="EL229" s="12">
        <f t="array" ref="EL229">SUMPRODUCT(TRANSPOSE(EL$9:EL$34),$K229:$AJ229)</f>
        <v>8060</v>
      </c>
      <c r="EM229" s="12">
        <f t="array" ref="EM229">SUMPRODUCT(TRANSPOSE(EM$9:EM$34),$K229:$AJ229)</f>
        <v>8200</v>
      </c>
      <c r="EN229" s="12">
        <f t="array" ref="EN229">SUMPRODUCT(TRANSPOSE(EN$9:EN$34),$K229:$AJ229)</f>
        <v>8200</v>
      </c>
      <c r="EO229" s="12">
        <f t="array" ref="EO229">SUMPRODUCT(TRANSPOSE(EO$9:EO$34),$K229:$AJ229)</f>
        <v>8000</v>
      </c>
      <c r="EP229" s="12">
        <f t="array" ref="EP229">SUMPRODUCT(TRANSPOSE(EP$9:EP$34),$K229:$AJ229)</f>
        <v>8200</v>
      </c>
      <c r="EQ229" s="12">
        <f t="array" ref="EQ229">SUMPRODUCT(TRANSPOSE(EQ$9:EQ$34),$K229:$AJ229)</f>
        <v>8200</v>
      </c>
      <c r="ER229" s="12">
        <f t="array" ref="ER229">SUMPRODUCT(TRANSPOSE(ER$9:ER$34),$K229:$AJ229)</f>
        <v>8200</v>
      </c>
      <c r="ES229" s="12">
        <f t="array" ref="ES229">SUMPRODUCT(TRANSPOSE(ES$9:ES$34),$K229:$AJ229)</f>
        <v>8200</v>
      </c>
      <c r="ET229" s="12">
        <f t="array" ref="ET229">SUMPRODUCT(TRANSPOSE(ET$9:ET$34),$K229:$AJ229)</f>
        <v>8200</v>
      </c>
      <c r="EU229" s="12">
        <f t="array" ref="EU229">SUMPRODUCT(TRANSPOSE(EU$9:EU$34),$K229:$AJ229)</f>
        <v>8200</v>
      </c>
      <c r="EV229" s="12">
        <f t="array" ref="EV229">SUMPRODUCT(TRANSPOSE(EV$9:EV$34),$K229:$AJ229)</f>
        <v>8200</v>
      </c>
      <c r="EW229" s="12">
        <f t="array" ref="EW229">SUMPRODUCT(TRANSPOSE(EW$9:EW$34),$K229:$AJ229)</f>
        <v>8040</v>
      </c>
      <c r="EX229" s="12">
        <f t="array" ref="EX229">SUMPRODUCT(TRANSPOSE(EX$9:EX$34),$K229:$AJ229)</f>
        <v>8000</v>
      </c>
      <c r="EY229" s="12">
        <f t="array" ref="EY229">SUMPRODUCT(TRANSPOSE(EY$9:EY$34),$K229:$AJ229)</f>
        <v>8000</v>
      </c>
      <c r="EZ229" s="12">
        <f t="array" ref="EZ229">SUMPRODUCT(TRANSPOSE(EZ$9:EZ$34),$K229:$AJ229)</f>
        <v>8000</v>
      </c>
      <c r="FA229" s="12">
        <f t="array" ref="FA229">SUMPRODUCT(TRANSPOSE(FA$9:FA$34),$K229:$AJ229)</f>
        <v>8000</v>
      </c>
      <c r="FB229" s="12">
        <f t="array" ref="FB229">SUMPRODUCT(TRANSPOSE(FB$9:FB$34),$K229:$AJ229)</f>
        <v>8000</v>
      </c>
      <c r="FC229" s="12">
        <f t="array" ref="FC229">SUMPRODUCT(TRANSPOSE(FC$9:FC$34),$K229:$AJ229)</f>
        <v>8000</v>
      </c>
      <c r="FD229" s="12">
        <f t="array" ref="FD229">SUMPRODUCT(TRANSPOSE(FD$9:FD$34),$K229:$AJ229)</f>
        <v>8000</v>
      </c>
      <c r="FE229" s="12">
        <f t="array" ref="FE229">SUMPRODUCT(TRANSPOSE(FE$9:FE$34),$K229:$AJ229)</f>
        <v>8000</v>
      </c>
      <c r="FF229" s="12">
        <f t="array" ref="FF229">SUMPRODUCT(TRANSPOSE(FF$9:FF$34),$K229:$AJ229)</f>
        <v>8000</v>
      </c>
      <c r="FG229" s="12">
        <f t="array" ref="FG229">SUMPRODUCT(TRANSPOSE(FG$9:FG$34),$K229:$AJ229)</f>
        <v>8000</v>
      </c>
      <c r="FH229" s="12">
        <f t="array" ref="FH229">SUMPRODUCT(TRANSPOSE(FH$9:FH$34),$K229:$AJ229)</f>
        <v>8000</v>
      </c>
      <c r="FI229" s="12">
        <f t="array" ref="FI229">SUMPRODUCT(TRANSPOSE(FI$9:FI$34),$K229:$AJ229)</f>
        <v>8000</v>
      </c>
      <c r="FJ229" s="12">
        <f t="array" ref="FJ229">SUMPRODUCT(TRANSPOSE(FJ$9:FJ$34),$K229:$AJ229)</f>
        <v>8000</v>
      </c>
      <c r="FK229" s="12">
        <f t="array" ref="FK229">SUMPRODUCT(TRANSPOSE(FK$9:FK$34),$K229:$AJ229)</f>
        <v>8000</v>
      </c>
      <c r="FL229" s="12">
        <f t="array" ref="FL229">SUMPRODUCT(TRANSPOSE(FL$9:FL$34),$K229:$AJ229)</f>
        <v>8000</v>
      </c>
      <c r="FM229" s="12">
        <f t="array" ref="FM229">SUMPRODUCT(TRANSPOSE(FM$9:FM$34),$K229:$AJ229)</f>
        <v>8000</v>
      </c>
      <c r="FN229" s="12">
        <f t="array" ref="FN229">SUMPRODUCT(TRANSPOSE(FN$9:FN$34),$K229:$AJ229)</f>
        <v>6792</v>
      </c>
      <c r="FO229" s="12">
        <f t="array" ref="FO229">SUMPRODUCT(TRANSPOSE(FO$9:FO$34),$K229:$AJ229)</f>
        <v>308</v>
      </c>
    </row>
    <row r="230" spans="1:171" ht="14.25" x14ac:dyDescent="0.2">
      <c r="A230" s="13">
        <f t="shared" ref="A230:A293" si="13">A229+1</f>
        <v>195</v>
      </c>
      <c r="B230" s="13" t="s">
        <v>701</v>
      </c>
      <c r="C230" s="25" t="s">
        <v>702</v>
      </c>
      <c r="D230" s="13" t="s">
        <v>67</v>
      </c>
      <c r="E230" s="13">
        <v>401464830</v>
      </c>
      <c r="F230" s="26" t="s">
        <v>703</v>
      </c>
      <c r="G230" s="13"/>
      <c r="H230" s="13" t="s">
        <v>61</v>
      </c>
      <c r="I230" s="13">
        <v>2</v>
      </c>
      <c r="J230" s="13">
        <v>2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1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/>
      <c r="Z230" s="13">
        <v>1</v>
      </c>
      <c r="AA230" s="13">
        <v>0</v>
      </c>
      <c r="AB230" s="13">
        <v>0</v>
      </c>
      <c r="AC230" s="13">
        <v>0</v>
      </c>
      <c r="AD230" s="13">
        <v>1</v>
      </c>
      <c r="AE230" s="13">
        <v>1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f t="shared" si="11"/>
        <v>3</v>
      </c>
      <c r="AL230" s="23">
        <f t="shared" si="12"/>
        <v>35665</v>
      </c>
      <c r="AM230" s="13"/>
      <c r="AN230" s="13" t="s">
        <v>299</v>
      </c>
      <c r="AO230" s="7" t="s">
        <v>307</v>
      </c>
      <c r="AP230" s="38">
        <v>7.0000000000000001E-3</v>
      </c>
      <c r="AQ230" s="12">
        <v>40000</v>
      </c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13"/>
      <c r="CG230" s="13"/>
      <c r="CH230" s="13"/>
      <c r="CI230" s="12"/>
      <c r="CJ230" s="12"/>
      <c r="CK230" s="12"/>
      <c r="CL230" s="12"/>
      <c r="CM230" s="12"/>
      <c r="CN230" s="12"/>
      <c r="CO230" s="12"/>
      <c r="CP230" s="12">
        <f>SUM($AQ230:BJ230)-SUM($EA230:EH230)</f>
        <v>36891</v>
      </c>
      <c r="CQ230" s="12">
        <f>SUM($AQ230:BK230)-SUM($EA230:EI230)</f>
        <v>36610</v>
      </c>
      <c r="CR230" s="12">
        <f>SUM($AQ230:BL230)-SUM($EA230:EJ230)</f>
        <v>36595</v>
      </c>
      <c r="CS230" s="12">
        <f>SUM($AQ230:BM230)-SUM($EA230:EK230)</f>
        <v>36460</v>
      </c>
      <c r="CT230" s="12">
        <f>SUM($AQ230:BN230)-SUM($EA230:EL230)</f>
        <v>35445</v>
      </c>
      <c r="CU230" s="12">
        <f>SUM($AQ230:BO230)-SUM($EA230:EM230)</f>
        <v>33395</v>
      </c>
      <c r="CV230" s="12">
        <f>SUM($AQ230:BP230)-SUM($EA230:EN230)</f>
        <v>32245</v>
      </c>
      <c r="CW230" s="12">
        <f>SUM($AQ230:BQ230)-SUM($EA230:EO230)</f>
        <v>31245</v>
      </c>
      <c r="CX230" s="12">
        <f>SUM($AQ230:BR230)-SUM($EA230:EP230)</f>
        <v>30195</v>
      </c>
      <c r="CY230" s="12">
        <f>SUM($AQ230:BS230)-SUM($EA230:EQ230)</f>
        <v>29145</v>
      </c>
      <c r="CZ230" s="12">
        <f>SUM($AQ230:BT230)-SUM($EA230:ER230)</f>
        <v>28095</v>
      </c>
      <c r="DA230" s="12">
        <f>SUM($AQ230:BU230)-SUM($EA230:ES230)</f>
        <v>27045</v>
      </c>
      <c r="DB230" s="12">
        <f>SUM($AQ230:BV230)-SUM($EA230:ET230)</f>
        <v>25995</v>
      </c>
      <c r="DC230" s="12">
        <f>SUM($AQ230:BW230)-SUM($EA230:EU230)</f>
        <v>24945</v>
      </c>
      <c r="DD230" s="12">
        <f>SUM($AQ230:BX230)-SUM($EA230:EV230)</f>
        <v>23895</v>
      </c>
      <c r="DE230" s="12">
        <f>SUM($AQ230:BY230)-SUM($EA230:EW230)</f>
        <v>22852</v>
      </c>
      <c r="DF230" s="12">
        <f>SUM($AQ230:BZ230)-SUM($EA230:EX230)</f>
        <v>21852</v>
      </c>
      <c r="DG230" s="12">
        <f>SUM($AQ230:CA230)-SUM($EA230:EY230)</f>
        <v>20852</v>
      </c>
      <c r="DH230" s="12">
        <f>SUM($AQ230:CB230)-SUM($EA230:EZ230)</f>
        <v>19852</v>
      </c>
      <c r="DI230" s="12">
        <f>SUM($AQ230:CC230)-SUM($EA230:FA230)</f>
        <v>18852</v>
      </c>
      <c r="DJ230" s="12">
        <f>SUM($AQ230:CD230)-SUM($EA230:FB230)</f>
        <v>17852</v>
      </c>
      <c r="DK230" s="12">
        <f>SUM($AQ230:CE230)-SUM($EA230:FC230)</f>
        <v>16852</v>
      </c>
      <c r="DL230" s="12">
        <f>SUM($AQ230:CF230)-SUM($EA230:FD230)</f>
        <v>15852</v>
      </c>
      <c r="DM230" s="12">
        <f>SUM($AQ230:CG230)-SUM($EA230:FE230)</f>
        <v>14852</v>
      </c>
      <c r="DN230" s="12">
        <f>SUM($AQ230:CH230)-SUM($EA230:FF230)</f>
        <v>13852</v>
      </c>
      <c r="DO230" s="12">
        <f>SUM($AQ230:CI230)-SUM($EA230:FG230)</f>
        <v>12852</v>
      </c>
      <c r="DP230" s="12">
        <f>SUM($AQ230:CJ230)-SUM($EA230:FH230)</f>
        <v>11852</v>
      </c>
      <c r="DQ230" s="12">
        <f>SUM($AQ230:CK230)-SUM($EA230:FI230)</f>
        <v>10852</v>
      </c>
      <c r="DR230" s="12">
        <f>SUM($AQ230:CL230)-SUM($EA230:FJ230)</f>
        <v>9852</v>
      </c>
      <c r="DS230" s="12">
        <f>SUM($AQ230:CM230)-SUM($EA230:FK230)</f>
        <v>8852</v>
      </c>
      <c r="DT230" s="12">
        <f>SUM($AQ230:CN230)-SUM($EA230:FL230)</f>
        <v>7852</v>
      </c>
      <c r="DU230" s="12">
        <f>SUM($AQ230:CO230)-SUM($EA230:FM230)</f>
        <v>6852</v>
      </c>
      <c r="DV230" s="12">
        <f>SUM($AQ230:CP230)-SUM($EA230:FN230)</f>
        <v>42926</v>
      </c>
      <c r="DW230" s="12">
        <f>SUM($AQ230:CQ230)-SUM($EA230:FO230)</f>
        <v>79536</v>
      </c>
      <c r="DX230" s="13"/>
      <c r="DY230" s="13"/>
      <c r="DZ230" s="13"/>
      <c r="EA230" s="12"/>
      <c r="EB230" s="12"/>
      <c r="EC230" s="12"/>
      <c r="ED230" s="12"/>
      <c r="EE230" s="12"/>
      <c r="EF230" s="12"/>
      <c r="EG230" s="12"/>
      <c r="EH230" s="12">
        <f t="array" ref="EH230">SUMPRODUCT(TRANSPOSE(EH$9:EH$34),$K230:$AJ230)</f>
        <v>3109</v>
      </c>
      <c r="EI230" s="12">
        <f t="array" ref="EI230">SUMPRODUCT(TRANSPOSE(EI$9:EI$34),$K230:$AJ230)</f>
        <v>281</v>
      </c>
      <c r="EJ230" s="12">
        <f t="array" ref="EJ230">SUMPRODUCT(TRANSPOSE(EJ$9:EJ$34),$K230:$AJ230)</f>
        <v>15</v>
      </c>
      <c r="EK230" s="12">
        <f t="array" ref="EK230">SUMPRODUCT(TRANSPOSE(EK$9:EK$34),$K230:$AJ230)</f>
        <v>135</v>
      </c>
      <c r="EL230" s="12">
        <f t="array" ref="EL230">SUMPRODUCT(TRANSPOSE(EL$9:EL$34),$K230:$AJ230)</f>
        <v>1015</v>
      </c>
      <c r="EM230" s="12">
        <f t="array" ref="EM230">SUMPRODUCT(TRANSPOSE(EM$9:EM$34),$K230:$AJ230)</f>
        <v>2050</v>
      </c>
      <c r="EN230" s="12">
        <f t="array" ref="EN230">SUMPRODUCT(TRANSPOSE(EN$9:EN$34),$K230:$AJ230)</f>
        <v>1150</v>
      </c>
      <c r="EO230" s="12">
        <f t="array" ref="EO230">SUMPRODUCT(TRANSPOSE(EO$9:EO$34),$K230:$AJ230)</f>
        <v>1000</v>
      </c>
      <c r="EP230" s="12">
        <f t="array" ref="EP230">SUMPRODUCT(TRANSPOSE(EP$9:EP$34),$K230:$AJ230)</f>
        <v>1050</v>
      </c>
      <c r="EQ230" s="12">
        <f t="array" ref="EQ230">SUMPRODUCT(TRANSPOSE(EQ$9:EQ$34),$K230:$AJ230)</f>
        <v>1050</v>
      </c>
      <c r="ER230" s="12">
        <f t="array" ref="ER230">SUMPRODUCT(TRANSPOSE(ER$9:ER$34),$K230:$AJ230)</f>
        <v>1050</v>
      </c>
      <c r="ES230" s="12">
        <f t="array" ref="ES230">SUMPRODUCT(TRANSPOSE(ES$9:ES$34),$K230:$AJ230)</f>
        <v>1050</v>
      </c>
      <c r="ET230" s="12">
        <f t="array" ref="ET230">SUMPRODUCT(TRANSPOSE(ET$9:ET$34),$K230:$AJ230)</f>
        <v>1050</v>
      </c>
      <c r="EU230" s="12">
        <f t="array" ref="EU230">SUMPRODUCT(TRANSPOSE(EU$9:EU$34),$K230:$AJ230)</f>
        <v>1050</v>
      </c>
      <c r="EV230" s="12">
        <f t="array" ref="EV230">SUMPRODUCT(TRANSPOSE(EV$9:EV$34),$K230:$AJ230)</f>
        <v>1050</v>
      </c>
      <c r="EW230" s="12">
        <f t="array" ref="EW230">SUMPRODUCT(TRANSPOSE(EW$9:EW$34),$K230:$AJ230)</f>
        <v>1043</v>
      </c>
      <c r="EX230" s="12">
        <f t="array" ref="EX230">SUMPRODUCT(TRANSPOSE(EX$9:EX$34),$K230:$AJ230)</f>
        <v>1000</v>
      </c>
      <c r="EY230" s="12">
        <f t="array" ref="EY230">SUMPRODUCT(TRANSPOSE(EY$9:EY$34),$K230:$AJ230)</f>
        <v>1000</v>
      </c>
      <c r="EZ230" s="12">
        <f t="array" ref="EZ230">SUMPRODUCT(TRANSPOSE(EZ$9:EZ$34),$K230:$AJ230)</f>
        <v>1000</v>
      </c>
      <c r="FA230" s="12">
        <f t="array" ref="FA230">SUMPRODUCT(TRANSPOSE(FA$9:FA$34),$K230:$AJ230)</f>
        <v>1000</v>
      </c>
      <c r="FB230" s="12">
        <f t="array" ref="FB230">SUMPRODUCT(TRANSPOSE(FB$9:FB$34),$K230:$AJ230)</f>
        <v>1000</v>
      </c>
      <c r="FC230" s="12">
        <f t="array" ref="FC230">SUMPRODUCT(TRANSPOSE(FC$9:FC$34),$K230:$AJ230)</f>
        <v>1000</v>
      </c>
      <c r="FD230" s="12">
        <f t="array" ref="FD230">SUMPRODUCT(TRANSPOSE(FD$9:FD$34),$K230:$AJ230)</f>
        <v>1000</v>
      </c>
      <c r="FE230" s="12">
        <f t="array" ref="FE230">SUMPRODUCT(TRANSPOSE(FE$9:FE$34),$K230:$AJ230)</f>
        <v>1000</v>
      </c>
      <c r="FF230" s="12">
        <f t="array" ref="FF230">SUMPRODUCT(TRANSPOSE(FF$9:FF$34),$K230:$AJ230)</f>
        <v>1000</v>
      </c>
      <c r="FG230" s="12">
        <f t="array" ref="FG230">SUMPRODUCT(TRANSPOSE(FG$9:FG$34),$K230:$AJ230)</f>
        <v>1000</v>
      </c>
      <c r="FH230" s="12">
        <f t="array" ref="FH230">SUMPRODUCT(TRANSPOSE(FH$9:FH$34),$K230:$AJ230)</f>
        <v>1000</v>
      </c>
      <c r="FI230" s="12">
        <f t="array" ref="FI230">SUMPRODUCT(TRANSPOSE(FI$9:FI$34),$K230:$AJ230)</f>
        <v>1000</v>
      </c>
      <c r="FJ230" s="12">
        <f t="array" ref="FJ230">SUMPRODUCT(TRANSPOSE(FJ$9:FJ$34),$K230:$AJ230)</f>
        <v>1000</v>
      </c>
      <c r="FK230" s="12">
        <f t="array" ref="FK230">SUMPRODUCT(TRANSPOSE(FK$9:FK$34),$K230:$AJ230)</f>
        <v>1000</v>
      </c>
      <c r="FL230" s="12">
        <f t="array" ref="FL230">SUMPRODUCT(TRANSPOSE(FL$9:FL$34),$K230:$AJ230)</f>
        <v>1000</v>
      </c>
      <c r="FM230" s="12">
        <f t="array" ref="FM230">SUMPRODUCT(TRANSPOSE(FM$9:FM$34),$K230:$AJ230)</f>
        <v>1000</v>
      </c>
      <c r="FN230" s="12">
        <f t="array" ref="FN230">SUMPRODUCT(TRANSPOSE(FN$9:FN$34),$K230:$AJ230)</f>
        <v>817</v>
      </c>
      <c r="FO230" s="12">
        <f t="array" ref="FO230">SUMPRODUCT(TRANSPOSE(FO$9:FO$34),$K230:$AJ230)</f>
        <v>0</v>
      </c>
    </row>
    <row r="231" spans="1:171" ht="14.25" x14ac:dyDescent="0.2">
      <c r="A231" s="13">
        <f t="shared" si="13"/>
        <v>196</v>
      </c>
      <c r="B231" s="13" t="s">
        <v>704</v>
      </c>
      <c r="C231" s="25" t="s">
        <v>705</v>
      </c>
      <c r="D231" s="13" t="s">
        <v>67</v>
      </c>
      <c r="E231" s="13">
        <v>417983248</v>
      </c>
      <c r="F231" s="26" t="s">
        <v>706</v>
      </c>
      <c r="G231" s="13">
        <v>400632302</v>
      </c>
      <c r="H231" s="13" t="s">
        <v>61</v>
      </c>
      <c r="I231" s="13">
        <v>2</v>
      </c>
      <c r="J231" s="13">
        <v>24</v>
      </c>
      <c r="K231" s="13">
        <v>0</v>
      </c>
      <c r="L231" s="13">
        <v>0</v>
      </c>
      <c r="M231" s="13">
        <v>0</v>
      </c>
      <c r="N231" s="13">
        <v>0</v>
      </c>
      <c r="O231" s="13">
        <v>8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8</v>
      </c>
      <c r="Y231" s="13"/>
      <c r="Z231" s="13"/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8</v>
      </c>
      <c r="AK231" s="13">
        <f t="shared" ref="AK231:AK294" si="14">SUM(K231:AD231)</f>
        <v>16</v>
      </c>
      <c r="AL231" s="23">
        <f t="shared" si="12"/>
        <v>566904</v>
      </c>
      <c r="AM231" s="13"/>
      <c r="AN231" s="13" t="s">
        <v>299</v>
      </c>
      <c r="AO231" s="7" t="s">
        <v>300</v>
      </c>
      <c r="AP231" s="37">
        <v>0.03</v>
      </c>
      <c r="AQ231" s="12">
        <v>292000</v>
      </c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13"/>
      <c r="CG231" s="13"/>
      <c r="CH231" s="13"/>
      <c r="CI231" s="12"/>
      <c r="CJ231" s="12"/>
      <c r="CK231" s="12"/>
      <c r="CL231" s="12"/>
      <c r="CM231" s="12"/>
      <c r="CN231" s="12"/>
      <c r="CO231" s="12"/>
      <c r="CP231" s="12">
        <f>SUM($AQ231:BJ231)-SUM($EA231:EH231)</f>
        <v>235496</v>
      </c>
      <c r="CQ231" s="12">
        <f>SUM($AQ231:BK231)-SUM($EA231:EI231)</f>
        <v>232296</v>
      </c>
      <c r="CR231" s="12">
        <f>SUM($AQ231:BL231)-SUM($EA231:EJ231)</f>
        <v>224176</v>
      </c>
      <c r="CS231" s="12">
        <f>SUM($AQ231:BM231)-SUM($EA231:EK231)</f>
        <v>215096</v>
      </c>
      <c r="CT231" s="12">
        <f>SUM($AQ231:BN231)-SUM($EA231:EL231)</f>
        <v>198976</v>
      </c>
      <c r="CU231" s="12">
        <f>SUM($AQ231:BO231)-SUM($EA231:EM231)</f>
        <v>182576</v>
      </c>
      <c r="CV231" s="12">
        <f>SUM($AQ231:BP231)-SUM($EA231:EN231)</f>
        <v>166176</v>
      </c>
      <c r="CW231" s="12">
        <f>SUM($AQ231:BQ231)-SUM($EA231:EO231)</f>
        <v>150176</v>
      </c>
      <c r="CX231" s="12">
        <f>SUM($AQ231:BR231)-SUM($EA231:EP231)</f>
        <v>133776</v>
      </c>
      <c r="CY231" s="12">
        <f>SUM($AQ231:BS231)-SUM($EA231:EQ231)</f>
        <v>117376</v>
      </c>
      <c r="CZ231" s="12">
        <f>SUM($AQ231:BT231)-SUM($EA231:ER231)</f>
        <v>100976</v>
      </c>
      <c r="DA231" s="12">
        <f>SUM($AQ231:BU231)-SUM($EA231:ES231)</f>
        <v>84576</v>
      </c>
      <c r="DB231" s="12">
        <f>SUM($AQ231:BV231)-SUM($EA231:ET231)</f>
        <v>68176</v>
      </c>
      <c r="DC231" s="12">
        <f>SUM($AQ231:BW231)-SUM($EA231:EU231)</f>
        <v>51776</v>
      </c>
      <c r="DD231" s="12">
        <f>SUM($AQ231:BX231)-SUM($EA231:EV231)</f>
        <v>35376</v>
      </c>
      <c r="DE231" s="12">
        <f>SUM($AQ231:BY231)-SUM($EA231:EW231)</f>
        <v>19296</v>
      </c>
      <c r="DF231" s="12">
        <f>SUM($AQ231:BZ231)-SUM($EA231:EX231)</f>
        <v>3296</v>
      </c>
      <c r="DG231" s="12">
        <f>SUM($AQ231:CA231)-SUM($EA231:EY231)</f>
        <v>-12704</v>
      </c>
      <c r="DH231" s="12">
        <f>SUM($AQ231:CB231)-SUM($EA231:EZ231)</f>
        <v>-28704</v>
      </c>
      <c r="DI231" s="12">
        <f>SUM($AQ231:CC231)-SUM($EA231:FA231)</f>
        <v>-44704</v>
      </c>
      <c r="DJ231" s="12">
        <f>SUM($AQ231:CD231)-SUM($EA231:FB231)</f>
        <v>-60704</v>
      </c>
      <c r="DK231" s="12">
        <f>SUM($AQ231:CE231)-SUM($EA231:FC231)</f>
        <v>-76704</v>
      </c>
      <c r="DL231" s="12">
        <f>SUM($AQ231:CF231)-SUM($EA231:FD231)</f>
        <v>-92704</v>
      </c>
      <c r="DM231" s="12">
        <f>SUM($AQ231:CG231)-SUM($EA231:FE231)</f>
        <v>-108704</v>
      </c>
      <c r="DN231" s="12">
        <f>SUM($AQ231:CH231)-SUM($EA231:FF231)</f>
        <v>-124704</v>
      </c>
      <c r="DO231" s="12">
        <f>SUM($AQ231:CI231)-SUM($EA231:FG231)</f>
        <v>-140704</v>
      </c>
      <c r="DP231" s="12">
        <f>SUM($AQ231:CJ231)-SUM($EA231:FH231)</f>
        <v>-156704</v>
      </c>
      <c r="DQ231" s="12">
        <f>SUM($AQ231:CK231)-SUM($EA231:FI231)</f>
        <v>-172704</v>
      </c>
      <c r="DR231" s="12">
        <f>SUM($AQ231:CL231)-SUM($EA231:FJ231)</f>
        <v>-188704</v>
      </c>
      <c r="DS231" s="12">
        <f>SUM($AQ231:CM231)-SUM($EA231:FK231)</f>
        <v>-204704</v>
      </c>
      <c r="DT231" s="12">
        <f>SUM($AQ231:CN231)-SUM($EA231:FL231)</f>
        <v>-220704</v>
      </c>
      <c r="DU231" s="12">
        <f>SUM($AQ231:CO231)-SUM($EA231:FM231)</f>
        <v>-236704</v>
      </c>
      <c r="DV231" s="12">
        <f>SUM($AQ231:CP231)-SUM($EA231:FN231)</f>
        <v>-14792</v>
      </c>
      <c r="DW231" s="12">
        <f>SUM($AQ231:CQ231)-SUM($EA231:FO231)</f>
        <v>216888</v>
      </c>
      <c r="DX231" s="13"/>
      <c r="DY231" s="13"/>
      <c r="DZ231" s="13"/>
      <c r="EA231" s="12"/>
      <c r="EB231" s="12"/>
      <c r="EC231" s="12"/>
      <c r="ED231" s="12"/>
      <c r="EE231" s="12"/>
      <c r="EF231" s="12"/>
      <c r="EG231" s="12"/>
      <c r="EH231" s="12">
        <f t="array" ref="EH231">SUMPRODUCT(TRANSPOSE(EH$9:EH$34),$K231:$AJ231)</f>
        <v>56504</v>
      </c>
      <c r="EI231" s="12">
        <f t="array" ref="EI231">SUMPRODUCT(TRANSPOSE(EI$9:EI$34),$K231:$AJ231)</f>
        <v>3200</v>
      </c>
      <c r="EJ231" s="12">
        <f t="array" ref="EJ231">SUMPRODUCT(TRANSPOSE(EJ$9:EJ$34),$K231:$AJ231)</f>
        <v>8120</v>
      </c>
      <c r="EK231" s="12">
        <f t="array" ref="EK231">SUMPRODUCT(TRANSPOSE(EK$9:EK$34),$K231:$AJ231)</f>
        <v>9080</v>
      </c>
      <c r="EL231" s="12">
        <f t="array" ref="EL231">SUMPRODUCT(TRANSPOSE(EL$9:EL$34),$K231:$AJ231)</f>
        <v>16120</v>
      </c>
      <c r="EM231" s="12">
        <f t="array" ref="EM231">SUMPRODUCT(TRANSPOSE(EM$9:EM$34),$K231:$AJ231)</f>
        <v>16400</v>
      </c>
      <c r="EN231" s="12">
        <f t="array" ref="EN231">SUMPRODUCT(TRANSPOSE(EN$9:EN$34),$K231:$AJ231)</f>
        <v>16400</v>
      </c>
      <c r="EO231" s="12">
        <f t="array" ref="EO231">SUMPRODUCT(TRANSPOSE(EO$9:EO$34),$K231:$AJ231)</f>
        <v>16000</v>
      </c>
      <c r="EP231" s="12">
        <f t="array" ref="EP231">SUMPRODUCT(TRANSPOSE(EP$9:EP$34),$K231:$AJ231)</f>
        <v>16400</v>
      </c>
      <c r="EQ231" s="12">
        <f t="array" ref="EQ231">SUMPRODUCT(TRANSPOSE(EQ$9:EQ$34),$K231:$AJ231)</f>
        <v>16400</v>
      </c>
      <c r="ER231" s="12">
        <f t="array" ref="ER231">SUMPRODUCT(TRANSPOSE(ER$9:ER$34),$K231:$AJ231)</f>
        <v>16400</v>
      </c>
      <c r="ES231" s="12">
        <f t="array" ref="ES231">SUMPRODUCT(TRANSPOSE(ES$9:ES$34),$K231:$AJ231)</f>
        <v>16400</v>
      </c>
      <c r="ET231" s="12">
        <f t="array" ref="ET231">SUMPRODUCT(TRANSPOSE(ET$9:ET$34),$K231:$AJ231)</f>
        <v>16400</v>
      </c>
      <c r="EU231" s="12">
        <f t="array" ref="EU231">SUMPRODUCT(TRANSPOSE(EU$9:EU$34),$K231:$AJ231)</f>
        <v>16400</v>
      </c>
      <c r="EV231" s="12">
        <f t="array" ref="EV231">SUMPRODUCT(TRANSPOSE(EV$9:EV$34),$K231:$AJ231)</f>
        <v>16400</v>
      </c>
      <c r="EW231" s="12">
        <f t="array" ref="EW231">SUMPRODUCT(TRANSPOSE(EW$9:EW$34),$K231:$AJ231)</f>
        <v>16080</v>
      </c>
      <c r="EX231" s="12">
        <f t="array" ref="EX231">SUMPRODUCT(TRANSPOSE(EX$9:EX$34),$K231:$AJ231)</f>
        <v>16000</v>
      </c>
      <c r="EY231" s="12">
        <f t="array" ref="EY231">SUMPRODUCT(TRANSPOSE(EY$9:EY$34),$K231:$AJ231)</f>
        <v>16000</v>
      </c>
      <c r="EZ231" s="12">
        <f t="array" ref="EZ231">SUMPRODUCT(TRANSPOSE(EZ$9:EZ$34),$K231:$AJ231)</f>
        <v>16000</v>
      </c>
      <c r="FA231" s="12">
        <f t="array" ref="FA231">SUMPRODUCT(TRANSPOSE(FA$9:FA$34),$K231:$AJ231)</f>
        <v>16000</v>
      </c>
      <c r="FB231" s="12">
        <f t="array" ref="FB231">SUMPRODUCT(TRANSPOSE(FB$9:FB$34),$K231:$AJ231)</f>
        <v>16000</v>
      </c>
      <c r="FC231" s="12">
        <f t="array" ref="FC231">SUMPRODUCT(TRANSPOSE(FC$9:FC$34),$K231:$AJ231)</f>
        <v>16000</v>
      </c>
      <c r="FD231" s="12">
        <f t="array" ref="FD231">SUMPRODUCT(TRANSPOSE(FD$9:FD$34),$K231:$AJ231)</f>
        <v>16000</v>
      </c>
      <c r="FE231" s="12">
        <f t="array" ref="FE231">SUMPRODUCT(TRANSPOSE(FE$9:FE$34),$K231:$AJ231)</f>
        <v>16000</v>
      </c>
      <c r="FF231" s="12">
        <f t="array" ref="FF231">SUMPRODUCT(TRANSPOSE(FF$9:FF$34),$K231:$AJ231)</f>
        <v>16000</v>
      </c>
      <c r="FG231" s="12">
        <f t="array" ref="FG231">SUMPRODUCT(TRANSPOSE(FG$9:FG$34),$K231:$AJ231)</f>
        <v>16000</v>
      </c>
      <c r="FH231" s="12">
        <f t="array" ref="FH231">SUMPRODUCT(TRANSPOSE(FH$9:FH$34),$K231:$AJ231)</f>
        <v>16000</v>
      </c>
      <c r="FI231" s="12">
        <f t="array" ref="FI231">SUMPRODUCT(TRANSPOSE(FI$9:FI$34),$K231:$AJ231)</f>
        <v>16000</v>
      </c>
      <c r="FJ231" s="12">
        <f t="array" ref="FJ231">SUMPRODUCT(TRANSPOSE(FJ$9:FJ$34),$K231:$AJ231)</f>
        <v>16000</v>
      </c>
      <c r="FK231" s="12">
        <f t="array" ref="FK231">SUMPRODUCT(TRANSPOSE(FK$9:FK$34),$K231:$AJ231)</f>
        <v>16000</v>
      </c>
      <c r="FL231" s="12">
        <f t="array" ref="FL231">SUMPRODUCT(TRANSPOSE(FL$9:FL$34),$K231:$AJ231)</f>
        <v>16000</v>
      </c>
      <c r="FM231" s="12">
        <f t="array" ref="FM231">SUMPRODUCT(TRANSPOSE(FM$9:FM$34),$K231:$AJ231)</f>
        <v>16000</v>
      </c>
      <c r="FN231" s="12">
        <f t="array" ref="FN231">SUMPRODUCT(TRANSPOSE(FN$9:FN$34),$K231:$AJ231)</f>
        <v>13584</v>
      </c>
      <c r="FO231" s="12">
        <f t="array" ref="FO231">SUMPRODUCT(TRANSPOSE(FO$9:FO$34),$K231:$AJ231)</f>
        <v>616</v>
      </c>
    </row>
    <row r="232" spans="1:171" ht="14.25" x14ac:dyDescent="0.2">
      <c r="A232" s="13">
        <f t="shared" si="13"/>
        <v>197</v>
      </c>
      <c r="B232" s="13" t="s">
        <v>707</v>
      </c>
      <c r="C232" s="25" t="s">
        <v>708</v>
      </c>
      <c r="D232" s="13" t="s">
        <v>401</v>
      </c>
      <c r="E232" s="13">
        <v>400561082</v>
      </c>
      <c r="F232" s="26" t="s">
        <v>709</v>
      </c>
      <c r="G232" s="13"/>
      <c r="H232" s="13" t="s">
        <v>61</v>
      </c>
      <c r="I232" s="13">
        <v>2</v>
      </c>
      <c r="J232" s="13">
        <v>6</v>
      </c>
      <c r="K232" s="13">
        <v>0</v>
      </c>
      <c r="L232" s="13">
        <v>0</v>
      </c>
      <c r="M232" s="13">
        <v>0</v>
      </c>
      <c r="N232" s="13">
        <v>0</v>
      </c>
      <c r="O232" s="13">
        <v>2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2</v>
      </c>
      <c r="Y232" s="13"/>
      <c r="Z232" s="13"/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2</v>
      </c>
      <c r="AK232" s="13">
        <f t="shared" si="14"/>
        <v>4</v>
      </c>
      <c r="AL232" s="23">
        <f t="shared" si="12"/>
        <v>141726</v>
      </c>
      <c r="AM232" s="13" t="s">
        <v>2</v>
      </c>
      <c r="AN232" s="13" t="s">
        <v>710</v>
      </c>
      <c r="AO232" s="7" t="s">
        <v>2</v>
      </c>
      <c r="AP232" s="41"/>
      <c r="AQ232" s="12">
        <v>142500</v>
      </c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13"/>
      <c r="CG232" s="13"/>
      <c r="CH232" s="13"/>
      <c r="CI232" s="12"/>
      <c r="CJ232" s="12"/>
      <c r="CK232" s="12"/>
      <c r="CL232" s="12"/>
      <c r="CM232" s="12"/>
      <c r="CN232" s="12"/>
      <c r="CO232" s="12"/>
      <c r="CP232" s="12">
        <f>SUM($AQ232:BJ232)-SUM($EA232:EH232)</f>
        <v>128374</v>
      </c>
      <c r="CQ232" s="12">
        <f>SUM($AQ232:BK232)-SUM($EA232:EI232)</f>
        <v>127574</v>
      </c>
      <c r="CR232" s="12">
        <f>SUM($AQ232:BL232)-SUM($EA232:EJ232)</f>
        <v>125544</v>
      </c>
      <c r="CS232" s="12">
        <f>SUM($AQ232:BM232)-SUM($EA232:EK232)</f>
        <v>123274</v>
      </c>
      <c r="CT232" s="12">
        <f>SUM($AQ232:BN232)-SUM($EA232:EL232)</f>
        <v>119244</v>
      </c>
      <c r="CU232" s="12">
        <f>SUM($AQ232:BO232)-SUM($EA232:EM232)</f>
        <v>115144</v>
      </c>
      <c r="CV232" s="12">
        <f>SUM($AQ232:BP232)-SUM($EA232:EN232)</f>
        <v>111044</v>
      </c>
      <c r="CW232" s="12">
        <f>SUM($AQ232:BQ232)-SUM($EA232:EO232)</f>
        <v>107044</v>
      </c>
      <c r="CX232" s="12">
        <f>SUM($AQ232:BR232)-SUM($EA232:EP232)</f>
        <v>102944</v>
      </c>
      <c r="CY232" s="12">
        <f>SUM($AQ232:BS232)-SUM($EA232:EQ232)</f>
        <v>98844</v>
      </c>
      <c r="CZ232" s="12">
        <f>SUM($AQ232:BT232)-SUM($EA232:ER232)</f>
        <v>94744</v>
      </c>
      <c r="DA232" s="12">
        <f>SUM($AQ232:BU232)-SUM($EA232:ES232)</f>
        <v>90644</v>
      </c>
      <c r="DB232" s="12">
        <f>SUM($AQ232:BV232)-SUM($EA232:ET232)</f>
        <v>86544</v>
      </c>
      <c r="DC232" s="12">
        <f>SUM($AQ232:BW232)-SUM($EA232:EU232)</f>
        <v>82444</v>
      </c>
      <c r="DD232" s="12">
        <f>SUM($AQ232:BX232)-SUM($EA232:EV232)</f>
        <v>78344</v>
      </c>
      <c r="DE232" s="12">
        <f>SUM($AQ232:BY232)-SUM($EA232:EW232)</f>
        <v>74324</v>
      </c>
      <c r="DF232" s="12">
        <f>SUM($AQ232:BZ232)-SUM($EA232:EX232)</f>
        <v>70324</v>
      </c>
      <c r="DG232" s="12">
        <f>SUM($AQ232:CA232)-SUM($EA232:EY232)</f>
        <v>66324</v>
      </c>
      <c r="DH232" s="12">
        <f>SUM($AQ232:CB232)-SUM($EA232:EZ232)</f>
        <v>62324</v>
      </c>
      <c r="DI232" s="12">
        <f>SUM($AQ232:CC232)-SUM($EA232:FA232)</f>
        <v>58324</v>
      </c>
      <c r="DJ232" s="12">
        <f>SUM($AQ232:CD232)-SUM($EA232:FB232)</f>
        <v>54324</v>
      </c>
      <c r="DK232" s="12">
        <f>SUM($AQ232:CE232)-SUM($EA232:FC232)</f>
        <v>50324</v>
      </c>
      <c r="DL232" s="12">
        <f>SUM($AQ232:CF232)-SUM($EA232:FD232)</f>
        <v>46324</v>
      </c>
      <c r="DM232" s="12">
        <f>SUM($AQ232:CG232)-SUM($EA232:FE232)</f>
        <v>42324</v>
      </c>
      <c r="DN232" s="12">
        <f>SUM($AQ232:CH232)-SUM($EA232:FF232)</f>
        <v>38324</v>
      </c>
      <c r="DO232" s="12">
        <f>SUM($AQ232:CI232)-SUM($EA232:FG232)</f>
        <v>34324</v>
      </c>
      <c r="DP232" s="12">
        <f>SUM($AQ232:CJ232)-SUM($EA232:FH232)</f>
        <v>30324</v>
      </c>
      <c r="DQ232" s="12">
        <f>SUM($AQ232:CK232)-SUM($EA232:FI232)</f>
        <v>26324</v>
      </c>
      <c r="DR232" s="12">
        <f>SUM($AQ232:CL232)-SUM($EA232:FJ232)</f>
        <v>22324</v>
      </c>
      <c r="DS232" s="12">
        <f>SUM($AQ232:CM232)-SUM($EA232:FK232)</f>
        <v>18324</v>
      </c>
      <c r="DT232" s="12">
        <f>SUM($AQ232:CN232)-SUM($EA232:FL232)</f>
        <v>14324</v>
      </c>
      <c r="DU232" s="12">
        <f>SUM($AQ232:CO232)-SUM($EA232:FM232)</f>
        <v>10324</v>
      </c>
      <c r="DV232" s="12">
        <f>SUM($AQ232:CP232)-SUM($EA232:FN232)</f>
        <v>135302</v>
      </c>
      <c r="DW232" s="12">
        <f>SUM($AQ232:CQ232)-SUM($EA232:FO232)</f>
        <v>262722</v>
      </c>
      <c r="DX232" s="13"/>
      <c r="DY232" s="13"/>
      <c r="DZ232" s="13"/>
      <c r="EA232" s="12"/>
      <c r="EB232" s="12"/>
      <c r="EC232" s="12"/>
      <c r="ED232" s="12"/>
      <c r="EE232" s="12"/>
      <c r="EF232" s="12"/>
      <c r="EG232" s="12"/>
      <c r="EH232" s="12">
        <f t="array" ref="EH232">SUMPRODUCT(TRANSPOSE(EH$9:EH$34),$K232:$AJ232)</f>
        <v>14126</v>
      </c>
      <c r="EI232" s="12">
        <f t="array" ref="EI232">SUMPRODUCT(TRANSPOSE(EI$9:EI$34),$K232:$AJ232)</f>
        <v>800</v>
      </c>
      <c r="EJ232" s="12">
        <f t="array" ref="EJ232">SUMPRODUCT(TRANSPOSE(EJ$9:EJ$34),$K232:$AJ232)</f>
        <v>2030</v>
      </c>
      <c r="EK232" s="12">
        <f t="array" ref="EK232">SUMPRODUCT(TRANSPOSE(EK$9:EK$34),$K232:$AJ232)</f>
        <v>2270</v>
      </c>
      <c r="EL232" s="12">
        <f t="array" ref="EL232">SUMPRODUCT(TRANSPOSE(EL$9:EL$34),$K232:$AJ232)</f>
        <v>4030</v>
      </c>
      <c r="EM232" s="12">
        <f t="array" ref="EM232">SUMPRODUCT(TRANSPOSE(EM$9:EM$34),$K232:$AJ232)</f>
        <v>4100</v>
      </c>
      <c r="EN232" s="12">
        <f t="array" ref="EN232">SUMPRODUCT(TRANSPOSE(EN$9:EN$34),$K232:$AJ232)</f>
        <v>4100</v>
      </c>
      <c r="EO232" s="12">
        <f t="array" ref="EO232">SUMPRODUCT(TRANSPOSE(EO$9:EO$34),$K232:$AJ232)</f>
        <v>4000</v>
      </c>
      <c r="EP232" s="12">
        <f t="array" ref="EP232">SUMPRODUCT(TRANSPOSE(EP$9:EP$34),$K232:$AJ232)</f>
        <v>4100</v>
      </c>
      <c r="EQ232" s="12">
        <f t="array" ref="EQ232">SUMPRODUCT(TRANSPOSE(EQ$9:EQ$34),$K232:$AJ232)</f>
        <v>4100</v>
      </c>
      <c r="ER232" s="12">
        <f t="array" ref="ER232">SUMPRODUCT(TRANSPOSE(ER$9:ER$34),$K232:$AJ232)</f>
        <v>4100</v>
      </c>
      <c r="ES232" s="12">
        <f t="array" ref="ES232">SUMPRODUCT(TRANSPOSE(ES$9:ES$34),$K232:$AJ232)</f>
        <v>4100</v>
      </c>
      <c r="ET232" s="12">
        <f t="array" ref="ET232">SUMPRODUCT(TRANSPOSE(ET$9:ET$34),$K232:$AJ232)</f>
        <v>4100</v>
      </c>
      <c r="EU232" s="12">
        <f t="array" ref="EU232">SUMPRODUCT(TRANSPOSE(EU$9:EU$34),$K232:$AJ232)</f>
        <v>4100</v>
      </c>
      <c r="EV232" s="12">
        <f t="array" ref="EV232">SUMPRODUCT(TRANSPOSE(EV$9:EV$34),$K232:$AJ232)</f>
        <v>4100</v>
      </c>
      <c r="EW232" s="12">
        <f t="array" ref="EW232">SUMPRODUCT(TRANSPOSE(EW$9:EW$34),$K232:$AJ232)</f>
        <v>4020</v>
      </c>
      <c r="EX232" s="12">
        <f t="array" ref="EX232">SUMPRODUCT(TRANSPOSE(EX$9:EX$34),$K232:$AJ232)</f>
        <v>4000</v>
      </c>
      <c r="EY232" s="12">
        <f t="array" ref="EY232">SUMPRODUCT(TRANSPOSE(EY$9:EY$34),$K232:$AJ232)</f>
        <v>4000</v>
      </c>
      <c r="EZ232" s="12">
        <f t="array" ref="EZ232">SUMPRODUCT(TRANSPOSE(EZ$9:EZ$34),$K232:$AJ232)</f>
        <v>4000</v>
      </c>
      <c r="FA232" s="12">
        <f t="array" ref="FA232">SUMPRODUCT(TRANSPOSE(FA$9:FA$34),$K232:$AJ232)</f>
        <v>4000</v>
      </c>
      <c r="FB232" s="12">
        <f t="array" ref="FB232">SUMPRODUCT(TRANSPOSE(FB$9:FB$34),$K232:$AJ232)</f>
        <v>4000</v>
      </c>
      <c r="FC232" s="12">
        <f t="array" ref="FC232">SUMPRODUCT(TRANSPOSE(FC$9:FC$34),$K232:$AJ232)</f>
        <v>4000</v>
      </c>
      <c r="FD232" s="12">
        <f t="array" ref="FD232">SUMPRODUCT(TRANSPOSE(FD$9:FD$34),$K232:$AJ232)</f>
        <v>4000</v>
      </c>
      <c r="FE232" s="12">
        <f t="array" ref="FE232">SUMPRODUCT(TRANSPOSE(FE$9:FE$34),$K232:$AJ232)</f>
        <v>4000</v>
      </c>
      <c r="FF232" s="12">
        <f t="array" ref="FF232">SUMPRODUCT(TRANSPOSE(FF$9:FF$34),$K232:$AJ232)</f>
        <v>4000</v>
      </c>
      <c r="FG232" s="12">
        <f t="array" ref="FG232">SUMPRODUCT(TRANSPOSE(FG$9:FG$34),$K232:$AJ232)</f>
        <v>4000</v>
      </c>
      <c r="FH232" s="12">
        <f t="array" ref="FH232">SUMPRODUCT(TRANSPOSE(FH$9:FH$34),$K232:$AJ232)</f>
        <v>4000</v>
      </c>
      <c r="FI232" s="12">
        <f t="array" ref="FI232">SUMPRODUCT(TRANSPOSE(FI$9:FI$34),$K232:$AJ232)</f>
        <v>4000</v>
      </c>
      <c r="FJ232" s="12">
        <f t="array" ref="FJ232">SUMPRODUCT(TRANSPOSE(FJ$9:FJ$34),$K232:$AJ232)</f>
        <v>4000</v>
      </c>
      <c r="FK232" s="12">
        <f t="array" ref="FK232">SUMPRODUCT(TRANSPOSE(FK$9:FK$34),$K232:$AJ232)</f>
        <v>4000</v>
      </c>
      <c r="FL232" s="12">
        <f t="array" ref="FL232">SUMPRODUCT(TRANSPOSE(FL$9:FL$34),$K232:$AJ232)</f>
        <v>4000</v>
      </c>
      <c r="FM232" s="12">
        <f t="array" ref="FM232">SUMPRODUCT(TRANSPOSE(FM$9:FM$34),$K232:$AJ232)</f>
        <v>4000</v>
      </c>
      <c r="FN232" s="12">
        <f t="array" ref="FN232">SUMPRODUCT(TRANSPOSE(FN$9:FN$34),$K232:$AJ232)</f>
        <v>3396</v>
      </c>
      <c r="FO232" s="12">
        <f t="array" ref="FO232">SUMPRODUCT(TRANSPOSE(FO$9:FO$34),$K232:$AJ232)</f>
        <v>154</v>
      </c>
    </row>
    <row r="233" spans="1:171" ht="14.25" x14ac:dyDescent="0.2">
      <c r="A233" s="13">
        <f t="shared" si="13"/>
        <v>198</v>
      </c>
      <c r="B233" s="13" t="s">
        <v>711</v>
      </c>
      <c r="C233" s="25" t="s">
        <v>712</v>
      </c>
      <c r="D233" s="13" t="s">
        <v>67</v>
      </c>
      <c r="E233" s="13">
        <v>401361571</v>
      </c>
      <c r="F233" s="26" t="s">
        <v>713</v>
      </c>
      <c r="G233" s="13">
        <v>400510819</v>
      </c>
      <c r="H233" s="13" t="s">
        <v>61</v>
      </c>
      <c r="I233" s="13">
        <v>2</v>
      </c>
      <c r="J233" s="13">
        <v>3</v>
      </c>
      <c r="K233" s="13">
        <v>0</v>
      </c>
      <c r="L233" s="13">
        <v>0</v>
      </c>
      <c r="M233" s="13">
        <v>0</v>
      </c>
      <c r="N233" s="13">
        <v>0</v>
      </c>
      <c r="O233" s="13">
        <v>1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1</v>
      </c>
      <c r="Y233" s="13"/>
      <c r="Z233" s="13"/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1</v>
      </c>
      <c r="AK233" s="13">
        <f t="shared" si="14"/>
        <v>2</v>
      </c>
      <c r="AL233" s="23">
        <f t="shared" si="12"/>
        <v>70863</v>
      </c>
      <c r="AM233" s="13" t="s">
        <v>2</v>
      </c>
      <c r="AN233" s="13" t="s">
        <v>710</v>
      </c>
      <c r="AO233" s="7" t="s">
        <v>2</v>
      </c>
      <c r="AP233" s="41"/>
      <c r="AQ233" s="12">
        <v>71280</v>
      </c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13"/>
      <c r="CG233" s="13"/>
      <c r="CH233" s="13"/>
      <c r="CI233" s="12"/>
      <c r="CJ233" s="12"/>
      <c r="CK233" s="12"/>
      <c r="CL233" s="12"/>
      <c r="CM233" s="12"/>
      <c r="CN233" s="12"/>
      <c r="CO233" s="12"/>
      <c r="CP233" s="12">
        <f>SUM($AQ233:BJ233)-SUM($EA233:EH233)</f>
        <v>64217</v>
      </c>
      <c r="CQ233" s="12">
        <f>SUM($AQ233:BK233)-SUM($EA233:EI233)</f>
        <v>63817</v>
      </c>
      <c r="CR233" s="12">
        <f>SUM($AQ233:BL233)-SUM($EA233:EJ233)</f>
        <v>62802</v>
      </c>
      <c r="CS233" s="12">
        <f>SUM($AQ233:BM233)-SUM($EA233:EK233)</f>
        <v>61667</v>
      </c>
      <c r="CT233" s="12">
        <f>SUM($AQ233:BN233)-SUM($EA233:EL233)</f>
        <v>59652</v>
      </c>
      <c r="CU233" s="12">
        <f>SUM($AQ233:BO233)-SUM($EA233:EM233)</f>
        <v>57602</v>
      </c>
      <c r="CV233" s="12">
        <f>SUM($AQ233:BP233)-SUM($EA233:EN233)</f>
        <v>55552</v>
      </c>
      <c r="CW233" s="12">
        <f>SUM($AQ233:BQ233)-SUM($EA233:EO233)</f>
        <v>53552</v>
      </c>
      <c r="CX233" s="12">
        <f>SUM($AQ233:BR233)-SUM($EA233:EP233)</f>
        <v>51502</v>
      </c>
      <c r="CY233" s="12">
        <f>SUM($AQ233:BS233)-SUM($EA233:EQ233)</f>
        <v>49452</v>
      </c>
      <c r="CZ233" s="12">
        <f>SUM($AQ233:BT233)-SUM($EA233:ER233)</f>
        <v>47402</v>
      </c>
      <c r="DA233" s="12">
        <f>SUM($AQ233:BU233)-SUM($EA233:ES233)</f>
        <v>45352</v>
      </c>
      <c r="DB233" s="12">
        <f>SUM($AQ233:BV233)-SUM($EA233:ET233)</f>
        <v>43302</v>
      </c>
      <c r="DC233" s="12">
        <f>SUM($AQ233:BW233)-SUM($EA233:EU233)</f>
        <v>41252</v>
      </c>
      <c r="DD233" s="12">
        <f>SUM($AQ233:BX233)-SUM($EA233:EV233)</f>
        <v>39202</v>
      </c>
      <c r="DE233" s="12">
        <f>SUM($AQ233:BY233)-SUM($EA233:EW233)</f>
        <v>37192</v>
      </c>
      <c r="DF233" s="12">
        <f>SUM($AQ233:BZ233)-SUM($EA233:EX233)</f>
        <v>35192</v>
      </c>
      <c r="DG233" s="12">
        <f>SUM($AQ233:CA233)-SUM($EA233:EY233)</f>
        <v>33192</v>
      </c>
      <c r="DH233" s="12">
        <f>SUM($AQ233:CB233)-SUM($EA233:EZ233)</f>
        <v>31192</v>
      </c>
      <c r="DI233" s="12">
        <f>SUM($AQ233:CC233)-SUM($EA233:FA233)</f>
        <v>29192</v>
      </c>
      <c r="DJ233" s="12">
        <f>SUM($AQ233:CD233)-SUM($EA233:FB233)</f>
        <v>27192</v>
      </c>
      <c r="DK233" s="12">
        <f>SUM($AQ233:CE233)-SUM($EA233:FC233)</f>
        <v>25192</v>
      </c>
      <c r="DL233" s="12">
        <f>SUM($AQ233:CF233)-SUM($EA233:FD233)</f>
        <v>23192</v>
      </c>
      <c r="DM233" s="12">
        <f>SUM($AQ233:CG233)-SUM($EA233:FE233)</f>
        <v>21192</v>
      </c>
      <c r="DN233" s="12">
        <f>SUM($AQ233:CH233)-SUM($EA233:FF233)</f>
        <v>19192</v>
      </c>
      <c r="DO233" s="12">
        <f>SUM($AQ233:CI233)-SUM($EA233:FG233)</f>
        <v>17192</v>
      </c>
      <c r="DP233" s="12">
        <f>SUM($AQ233:CJ233)-SUM($EA233:FH233)</f>
        <v>15192</v>
      </c>
      <c r="DQ233" s="12">
        <f>SUM($AQ233:CK233)-SUM($EA233:FI233)</f>
        <v>13192</v>
      </c>
      <c r="DR233" s="12">
        <f>SUM($AQ233:CL233)-SUM($EA233:FJ233)</f>
        <v>11192</v>
      </c>
      <c r="DS233" s="12">
        <f>SUM($AQ233:CM233)-SUM($EA233:FK233)</f>
        <v>9192</v>
      </c>
      <c r="DT233" s="12">
        <f>SUM($AQ233:CN233)-SUM($EA233:FL233)</f>
        <v>7192</v>
      </c>
      <c r="DU233" s="12">
        <f>SUM($AQ233:CO233)-SUM($EA233:FM233)</f>
        <v>5192</v>
      </c>
      <c r="DV233" s="12">
        <f>SUM($AQ233:CP233)-SUM($EA233:FN233)</f>
        <v>67711</v>
      </c>
      <c r="DW233" s="12">
        <f>SUM($AQ233:CQ233)-SUM($EA233:FO233)</f>
        <v>131451</v>
      </c>
      <c r="DX233" s="13"/>
      <c r="DY233" s="13"/>
      <c r="DZ233" s="13"/>
      <c r="EA233" s="12"/>
      <c r="EB233" s="12"/>
      <c r="EC233" s="12"/>
      <c r="ED233" s="12"/>
      <c r="EE233" s="12"/>
      <c r="EF233" s="12"/>
      <c r="EG233" s="12"/>
      <c r="EH233" s="12">
        <f t="array" ref="EH233">SUMPRODUCT(TRANSPOSE(EH$9:EH$34),$K233:$AJ233)</f>
        <v>7063</v>
      </c>
      <c r="EI233" s="12">
        <f t="array" ref="EI233">SUMPRODUCT(TRANSPOSE(EI$9:EI$34),$K233:$AJ233)</f>
        <v>400</v>
      </c>
      <c r="EJ233" s="12">
        <f t="array" ref="EJ233">SUMPRODUCT(TRANSPOSE(EJ$9:EJ$34),$K233:$AJ233)</f>
        <v>1015</v>
      </c>
      <c r="EK233" s="12">
        <f t="array" ref="EK233">SUMPRODUCT(TRANSPOSE(EK$9:EK$34),$K233:$AJ233)</f>
        <v>1135</v>
      </c>
      <c r="EL233" s="12">
        <f t="array" ref="EL233">SUMPRODUCT(TRANSPOSE(EL$9:EL$34),$K233:$AJ233)</f>
        <v>2015</v>
      </c>
      <c r="EM233" s="12">
        <f t="array" ref="EM233">SUMPRODUCT(TRANSPOSE(EM$9:EM$34),$K233:$AJ233)</f>
        <v>2050</v>
      </c>
      <c r="EN233" s="12">
        <f t="array" ref="EN233">SUMPRODUCT(TRANSPOSE(EN$9:EN$34),$K233:$AJ233)</f>
        <v>2050</v>
      </c>
      <c r="EO233" s="12">
        <f t="array" ref="EO233">SUMPRODUCT(TRANSPOSE(EO$9:EO$34),$K233:$AJ233)</f>
        <v>2000</v>
      </c>
      <c r="EP233" s="12">
        <f t="array" ref="EP233">SUMPRODUCT(TRANSPOSE(EP$9:EP$34),$K233:$AJ233)</f>
        <v>2050</v>
      </c>
      <c r="EQ233" s="12">
        <f t="array" ref="EQ233">SUMPRODUCT(TRANSPOSE(EQ$9:EQ$34),$K233:$AJ233)</f>
        <v>2050</v>
      </c>
      <c r="ER233" s="12">
        <f t="array" ref="ER233">SUMPRODUCT(TRANSPOSE(ER$9:ER$34),$K233:$AJ233)</f>
        <v>2050</v>
      </c>
      <c r="ES233" s="12">
        <f t="array" ref="ES233">SUMPRODUCT(TRANSPOSE(ES$9:ES$34),$K233:$AJ233)</f>
        <v>2050</v>
      </c>
      <c r="ET233" s="12">
        <f t="array" ref="ET233">SUMPRODUCT(TRANSPOSE(ET$9:ET$34),$K233:$AJ233)</f>
        <v>2050</v>
      </c>
      <c r="EU233" s="12">
        <f t="array" ref="EU233">SUMPRODUCT(TRANSPOSE(EU$9:EU$34),$K233:$AJ233)</f>
        <v>2050</v>
      </c>
      <c r="EV233" s="12">
        <f t="array" ref="EV233">SUMPRODUCT(TRANSPOSE(EV$9:EV$34),$K233:$AJ233)</f>
        <v>2050</v>
      </c>
      <c r="EW233" s="12">
        <f t="array" ref="EW233">SUMPRODUCT(TRANSPOSE(EW$9:EW$34),$K233:$AJ233)</f>
        <v>2010</v>
      </c>
      <c r="EX233" s="12">
        <f t="array" ref="EX233">SUMPRODUCT(TRANSPOSE(EX$9:EX$34),$K233:$AJ233)</f>
        <v>2000</v>
      </c>
      <c r="EY233" s="12">
        <f t="array" ref="EY233">SUMPRODUCT(TRANSPOSE(EY$9:EY$34),$K233:$AJ233)</f>
        <v>2000</v>
      </c>
      <c r="EZ233" s="12">
        <f t="array" ref="EZ233">SUMPRODUCT(TRANSPOSE(EZ$9:EZ$34),$K233:$AJ233)</f>
        <v>2000</v>
      </c>
      <c r="FA233" s="12">
        <f t="array" ref="FA233">SUMPRODUCT(TRANSPOSE(FA$9:FA$34),$K233:$AJ233)</f>
        <v>2000</v>
      </c>
      <c r="FB233" s="12">
        <f t="array" ref="FB233">SUMPRODUCT(TRANSPOSE(FB$9:FB$34),$K233:$AJ233)</f>
        <v>2000</v>
      </c>
      <c r="FC233" s="12">
        <f t="array" ref="FC233">SUMPRODUCT(TRANSPOSE(FC$9:FC$34),$K233:$AJ233)</f>
        <v>2000</v>
      </c>
      <c r="FD233" s="12">
        <f t="array" ref="FD233">SUMPRODUCT(TRANSPOSE(FD$9:FD$34),$K233:$AJ233)</f>
        <v>2000</v>
      </c>
      <c r="FE233" s="12">
        <f t="array" ref="FE233">SUMPRODUCT(TRANSPOSE(FE$9:FE$34),$K233:$AJ233)</f>
        <v>2000</v>
      </c>
      <c r="FF233" s="12">
        <f t="array" ref="FF233">SUMPRODUCT(TRANSPOSE(FF$9:FF$34),$K233:$AJ233)</f>
        <v>2000</v>
      </c>
      <c r="FG233" s="12">
        <f t="array" ref="FG233">SUMPRODUCT(TRANSPOSE(FG$9:FG$34),$K233:$AJ233)</f>
        <v>2000</v>
      </c>
      <c r="FH233" s="12">
        <f t="array" ref="FH233">SUMPRODUCT(TRANSPOSE(FH$9:FH$34),$K233:$AJ233)</f>
        <v>2000</v>
      </c>
      <c r="FI233" s="12">
        <f t="array" ref="FI233">SUMPRODUCT(TRANSPOSE(FI$9:FI$34),$K233:$AJ233)</f>
        <v>2000</v>
      </c>
      <c r="FJ233" s="12">
        <f t="array" ref="FJ233">SUMPRODUCT(TRANSPOSE(FJ$9:FJ$34),$K233:$AJ233)</f>
        <v>2000</v>
      </c>
      <c r="FK233" s="12">
        <f t="array" ref="FK233">SUMPRODUCT(TRANSPOSE(FK$9:FK$34),$K233:$AJ233)</f>
        <v>2000</v>
      </c>
      <c r="FL233" s="12">
        <f t="array" ref="FL233">SUMPRODUCT(TRANSPOSE(FL$9:FL$34),$K233:$AJ233)</f>
        <v>2000</v>
      </c>
      <c r="FM233" s="12">
        <f t="array" ref="FM233">SUMPRODUCT(TRANSPOSE(FM$9:FM$34),$K233:$AJ233)</f>
        <v>2000</v>
      </c>
      <c r="FN233" s="12">
        <f t="array" ref="FN233">SUMPRODUCT(TRANSPOSE(FN$9:FN$34),$K233:$AJ233)</f>
        <v>1698</v>
      </c>
      <c r="FO233" s="12">
        <f t="array" ref="FO233">SUMPRODUCT(TRANSPOSE(FO$9:FO$34),$K233:$AJ233)</f>
        <v>77</v>
      </c>
    </row>
    <row r="234" spans="1:171" ht="14.25" x14ac:dyDescent="0.2">
      <c r="A234" s="13">
        <f t="shared" si="13"/>
        <v>199</v>
      </c>
      <c r="B234" s="13" t="s">
        <v>714</v>
      </c>
      <c r="C234" s="25" t="s">
        <v>715</v>
      </c>
      <c r="D234" s="13" t="s">
        <v>401</v>
      </c>
      <c r="E234" s="13">
        <v>400929924</v>
      </c>
      <c r="F234" s="26" t="s">
        <v>716</v>
      </c>
      <c r="G234" s="13">
        <v>400930961</v>
      </c>
      <c r="H234" s="13" t="s">
        <v>61</v>
      </c>
      <c r="I234" s="13">
        <v>2</v>
      </c>
      <c r="J234" s="13">
        <v>17</v>
      </c>
      <c r="K234" s="13">
        <v>0</v>
      </c>
      <c r="L234" s="13">
        <v>0</v>
      </c>
      <c r="M234" s="13">
        <v>0</v>
      </c>
      <c r="N234" s="13">
        <v>2</v>
      </c>
      <c r="O234" s="13">
        <v>1</v>
      </c>
      <c r="P234" s="13">
        <v>0</v>
      </c>
      <c r="Q234" s="13">
        <v>0</v>
      </c>
      <c r="R234" s="13">
        <v>0</v>
      </c>
      <c r="S234" s="13">
        <v>6</v>
      </c>
      <c r="T234" s="13">
        <v>0</v>
      </c>
      <c r="U234" s="13">
        <v>0</v>
      </c>
      <c r="V234" s="13">
        <v>0</v>
      </c>
      <c r="W234" s="13">
        <v>0</v>
      </c>
      <c r="X234" s="13">
        <v>1</v>
      </c>
      <c r="Y234" s="13"/>
      <c r="Z234" s="13">
        <v>6</v>
      </c>
      <c r="AA234" s="13">
        <v>0</v>
      </c>
      <c r="AB234" s="13">
        <v>0</v>
      </c>
      <c r="AC234" s="13">
        <v>0</v>
      </c>
      <c r="AD234" s="13">
        <v>6</v>
      </c>
      <c r="AE234" s="13">
        <v>6</v>
      </c>
      <c r="AF234" s="13">
        <v>0</v>
      </c>
      <c r="AG234" s="13">
        <v>0</v>
      </c>
      <c r="AH234" s="13">
        <v>0</v>
      </c>
      <c r="AI234" s="13">
        <v>0</v>
      </c>
      <c r="AJ234" s="13">
        <v>1</v>
      </c>
      <c r="AK234" s="13">
        <f t="shared" si="14"/>
        <v>22</v>
      </c>
      <c r="AL234" s="23">
        <f t="shared" si="12"/>
        <v>355315</v>
      </c>
      <c r="AM234" s="13"/>
      <c r="AN234" s="13" t="s">
        <v>717</v>
      </c>
      <c r="AO234" s="7" t="s">
        <v>2</v>
      </c>
      <c r="AP234" s="38">
        <v>1.5022</v>
      </c>
      <c r="AQ234" s="12">
        <v>64700</v>
      </c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13"/>
      <c r="CG234" s="13"/>
      <c r="CH234" s="13"/>
      <c r="CI234" s="12"/>
      <c r="CJ234" s="12"/>
      <c r="CK234" s="12"/>
      <c r="CL234" s="12"/>
      <c r="CM234" s="12"/>
      <c r="CN234" s="12"/>
      <c r="CO234" s="12"/>
      <c r="CP234" s="12">
        <f>SUM($AQ234:BJ234)-SUM($EA234:EH234)</f>
        <v>31075</v>
      </c>
      <c r="CQ234" s="12">
        <f>SUM($AQ234:BK234)-SUM($EA234:EI234)</f>
        <v>28989</v>
      </c>
      <c r="CR234" s="12">
        <f>SUM($AQ234:BL234)-SUM($EA234:EJ234)</f>
        <v>25884</v>
      </c>
      <c r="CS234" s="12">
        <f>SUM($AQ234:BM234)-SUM($EA234:EK234)</f>
        <v>21939</v>
      </c>
      <c r="CT234" s="12">
        <f>SUM($AQ234:BN234)-SUM($EA234:EL234)</f>
        <v>11834</v>
      </c>
      <c r="CU234" s="12">
        <f>SUM($AQ234:BO234)-SUM($EA234:EM234)</f>
        <v>-2516</v>
      </c>
      <c r="CV234" s="12">
        <f>SUM($AQ234:BP234)-SUM($EA234:EN234)</f>
        <v>-13266</v>
      </c>
      <c r="CW234" s="12">
        <f>SUM($AQ234:BQ234)-SUM($EA234:EO234)</f>
        <v>-23266</v>
      </c>
      <c r="CX234" s="12">
        <f>SUM($AQ234:BR234)-SUM($EA234:EP234)</f>
        <v>-33616</v>
      </c>
      <c r="CY234" s="12">
        <f>SUM($AQ234:BS234)-SUM($EA234:EQ234)</f>
        <v>-43966</v>
      </c>
      <c r="CZ234" s="12">
        <f>SUM($AQ234:BT234)-SUM($EA234:ER234)</f>
        <v>-54316</v>
      </c>
      <c r="DA234" s="12">
        <f>SUM($AQ234:BU234)-SUM($EA234:ES234)</f>
        <v>-64666</v>
      </c>
      <c r="DB234" s="12">
        <f>SUM($AQ234:BV234)-SUM($EA234:ET234)</f>
        <v>-75016</v>
      </c>
      <c r="DC234" s="12">
        <f>SUM($AQ234:BW234)-SUM($EA234:EU234)</f>
        <v>-85366</v>
      </c>
      <c r="DD234" s="12">
        <f>SUM($AQ234:BX234)-SUM($EA234:EV234)</f>
        <v>-95716</v>
      </c>
      <c r="DE234" s="12">
        <f>SUM($AQ234:BY234)-SUM($EA234:EW234)</f>
        <v>-105984</v>
      </c>
      <c r="DF234" s="12">
        <f>SUM($AQ234:BZ234)-SUM($EA234:EX234)</f>
        <v>-115984</v>
      </c>
      <c r="DG234" s="12">
        <f>SUM($AQ234:CA234)-SUM($EA234:EY234)</f>
        <v>-125984</v>
      </c>
      <c r="DH234" s="12">
        <f>SUM($AQ234:CB234)-SUM($EA234:EZ234)</f>
        <v>-135984</v>
      </c>
      <c r="DI234" s="12">
        <f>SUM($AQ234:CC234)-SUM($EA234:FA234)</f>
        <v>-145984</v>
      </c>
      <c r="DJ234" s="12">
        <f>SUM($AQ234:CD234)-SUM($EA234:FB234)</f>
        <v>-155984</v>
      </c>
      <c r="DK234" s="12">
        <f>SUM($AQ234:CE234)-SUM($EA234:FC234)</f>
        <v>-165984</v>
      </c>
      <c r="DL234" s="12">
        <f>SUM($AQ234:CF234)-SUM($EA234:FD234)</f>
        <v>-175984</v>
      </c>
      <c r="DM234" s="12">
        <f>SUM($AQ234:CG234)-SUM($EA234:FE234)</f>
        <v>-185984</v>
      </c>
      <c r="DN234" s="12">
        <f>SUM($AQ234:CH234)-SUM($EA234:FF234)</f>
        <v>-195984</v>
      </c>
      <c r="DO234" s="12">
        <f>SUM($AQ234:CI234)-SUM($EA234:FG234)</f>
        <v>-205984</v>
      </c>
      <c r="DP234" s="12">
        <f>SUM($AQ234:CJ234)-SUM($EA234:FH234)</f>
        <v>-215984</v>
      </c>
      <c r="DQ234" s="12">
        <f>SUM($AQ234:CK234)-SUM($EA234:FI234)</f>
        <v>-225984</v>
      </c>
      <c r="DR234" s="12">
        <f>SUM($AQ234:CL234)-SUM($EA234:FJ234)</f>
        <v>-235984</v>
      </c>
      <c r="DS234" s="12">
        <f>SUM($AQ234:CM234)-SUM($EA234:FK234)</f>
        <v>-245984</v>
      </c>
      <c r="DT234" s="12">
        <f>SUM($AQ234:CN234)-SUM($EA234:FL234)</f>
        <v>-255984</v>
      </c>
      <c r="DU234" s="12">
        <f>SUM($AQ234:CO234)-SUM($EA234:FM234)</f>
        <v>-265984</v>
      </c>
      <c r="DV234" s="12">
        <f>SUM($AQ234:CP234)-SUM($EA234:FN234)</f>
        <v>-243509</v>
      </c>
      <c r="DW234" s="12">
        <f>SUM($AQ234:CQ234)-SUM($EA234:FO234)</f>
        <v>-214751</v>
      </c>
      <c r="DX234" s="13"/>
      <c r="DY234" s="13"/>
      <c r="DZ234" s="13"/>
      <c r="EA234" s="12"/>
      <c r="EB234" s="12"/>
      <c r="EC234" s="12"/>
      <c r="ED234" s="12"/>
      <c r="EE234" s="12"/>
      <c r="EF234" s="12"/>
      <c r="EG234" s="12"/>
      <c r="EH234" s="12">
        <f t="array" ref="EH234">SUMPRODUCT(TRANSPOSE(EH$9:EH$34),$K234:$AJ234)</f>
        <v>33625</v>
      </c>
      <c r="EI234" s="12">
        <f t="array" ref="EI234">SUMPRODUCT(TRANSPOSE(EI$9:EI$34),$K234:$AJ234)</f>
        <v>2086</v>
      </c>
      <c r="EJ234" s="12">
        <f t="array" ref="EJ234">SUMPRODUCT(TRANSPOSE(EJ$9:EJ$34),$K234:$AJ234)</f>
        <v>3105</v>
      </c>
      <c r="EK234" s="12">
        <f t="array" ref="EK234">SUMPRODUCT(TRANSPOSE(EK$9:EK$34),$K234:$AJ234)</f>
        <v>3945</v>
      </c>
      <c r="EL234" s="12">
        <f t="array" ref="EL234">SUMPRODUCT(TRANSPOSE(EL$9:EL$34),$K234:$AJ234)</f>
        <v>10105</v>
      </c>
      <c r="EM234" s="12">
        <f t="array" ref="EM234">SUMPRODUCT(TRANSPOSE(EM$9:EM$34),$K234:$AJ234)</f>
        <v>14350</v>
      </c>
      <c r="EN234" s="12">
        <f t="array" ref="EN234">SUMPRODUCT(TRANSPOSE(EN$9:EN$34),$K234:$AJ234)</f>
        <v>10750</v>
      </c>
      <c r="EO234" s="12">
        <f t="array" ref="EO234">SUMPRODUCT(TRANSPOSE(EO$9:EO$34),$K234:$AJ234)</f>
        <v>10000</v>
      </c>
      <c r="EP234" s="12">
        <f t="array" ref="EP234">SUMPRODUCT(TRANSPOSE(EP$9:EP$34),$K234:$AJ234)</f>
        <v>10350</v>
      </c>
      <c r="EQ234" s="12">
        <f t="array" ref="EQ234">SUMPRODUCT(TRANSPOSE(EQ$9:EQ$34),$K234:$AJ234)</f>
        <v>10350</v>
      </c>
      <c r="ER234" s="12">
        <f t="array" ref="ER234">SUMPRODUCT(TRANSPOSE(ER$9:ER$34),$K234:$AJ234)</f>
        <v>10350</v>
      </c>
      <c r="ES234" s="12">
        <f t="array" ref="ES234">SUMPRODUCT(TRANSPOSE(ES$9:ES$34),$K234:$AJ234)</f>
        <v>10350</v>
      </c>
      <c r="ET234" s="12">
        <f t="array" ref="ET234">SUMPRODUCT(TRANSPOSE(ET$9:ET$34),$K234:$AJ234)</f>
        <v>10350</v>
      </c>
      <c r="EU234" s="12">
        <f t="array" ref="EU234">SUMPRODUCT(TRANSPOSE(EU$9:EU$34),$K234:$AJ234)</f>
        <v>10350</v>
      </c>
      <c r="EV234" s="12">
        <f t="array" ref="EV234">SUMPRODUCT(TRANSPOSE(EV$9:EV$34),$K234:$AJ234)</f>
        <v>10350</v>
      </c>
      <c r="EW234" s="12">
        <f t="array" ref="EW234">SUMPRODUCT(TRANSPOSE(EW$9:EW$34),$K234:$AJ234)</f>
        <v>10268</v>
      </c>
      <c r="EX234" s="12">
        <f t="array" ref="EX234">SUMPRODUCT(TRANSPOSE(EX$9:EX$34),$K234:$AJ234)</f>
        <v>10000</v>
      </c>
      <c r="EY234" s="12">
        <f t="array" ref="EY234">SUMPRODUCT(TRANSPOSE(EY$9:EY$34),$K234:$AJ234)</f>
        <v>10000</v>
      </c>
      <c r="EZ234" s="12">
        <f t="array" ref="EZ234">SUMPRODUCT(TRANSPOSE(EZ$9:EZ$34),$K234:$AJ234)</f>
        <v>10000</v>
      </c>
      <c r="FA234" s="12">
        <f t="array" ref="FA234">SUMPRODUCT(TRANSPOSE(FA$9:FA$34),$K234:$AJ234)</f>
        <v>10000</v>
      </c>
      <c r="FB234" s="12">
        <f t="array" ref="FB234">SUMPRODUCT(TRANSPOSE(FB$9:FB$34),$K234:$AJ234)</f>
        <v>10000</v>
      </c>
      <c r="FC234" s="12">
        <f t="array" ref="FC234">SUMPRODUCT(TRANSPOSE(FC$9:FC$34),$K234:$AJ234)</f>
        <v>10000</v>
      </c>
      <c r="FD234" s="12">
        <f t="array" ref="FD234">SUMPRODUCT(TRANSPOSE(FD$9:FD$34),$K234:$AJ234)</f>
        <v>10000</v>
      </c>
      <c r="FE234" s="12">
        <f t="array" ref="FE234">SUMPRODUCT(TRANSPOSE(FE$9:FE$34),$K234:$AJ234)</f>
        <v>10000</v>
      </c>
      <c r="FF234" s="12">
        <f t="array" ref="FF234">SUMPRODUCT(TRANSPOSE(FF$9:FF$34),$K234:$AJ234)</f>
        <v>10000</v>
      </c>
      <c r="FG234" s="12">
        <f t="array" ref="FG234">SUMPRODUCT(TRANSPOSE(FG$9:FG$34),$K234:$AJ234)</f>
        <v>10000</v>
      </c>
      <c r="FH234" s="12">
        <f t="array" ref="FH234">SUMPRODUCT(TRANSPOSE(FH$9:FH$34),$K234:$AJ234)</f>
        <v>10000</v>
      </c>
      <c r="FI234" s="12">
        <f t="array" ref="FI234">SUMPRODUCT(TRANSPOSE(FI$9:FI$34),$K234:$AJ234)</f>
        <v>10000</v>
      </c>
      <c r="FJ234" s="12">
        <f t="array" ref="FJ234">SUMPRODUCT(TRANSPOSE(FJ$9:FJ$34),$K234:$AJ234)</f>
        <v>10000</v>
      </c>
      <c r="FK234" s="12">
        <f t="array" ref="FK234">SUMPRODUCT(TRANSPOSE(FK$9:FK$34),$K234:$AJ234)</f>
        <v>10000</v>
      </c>
      <c r="FL234" s="12">
        <f t="array" ref="FL234">SUMPRODUCT(TRANSPOSE(FL$9:FL$34),$K234:$AJ234)</f>
        <v>10000</v>
      </c>
      <c r="FM234" s="12">
        <f t="array" ref="FM234">SUMPRODUCT(TRANSPOSE(FM$9:FM$34),$K234:$AJ234)</f>
        <v>10000</v>
      </c>
      <c r="FN234" s="12">
        <f t="array" ref="FN234">SUMPRODUCT(TRANSPOSE(FN$9:FN$34),$K234:$AJ234)</f>
        <v>8600</v>
      </c>
      <c r="FO234" s="12">
        <f t="array" ref="FO234">SUMPRODUCT(TRANSPOSE(FO$9:FO$34),$K234:$AJ234)</f>
        <v>231</v>
      </c>
    </row>
    <row r="235" spans="1:171" ht="14.25" x14ac:dyDescent="0.2">
      <c r="A235" s="13">
        <f t="shared" si="13"/>
        <v>200</v>
      </c>
      <c r="B235" s="13" t="s">
        <v>719</v>
      </c>
      <c r="C235" s="25" t="s">
        <v>720</v>
      </c>
      <c r="D235" s="13" t="s">
        <v>67</v>
      </c>
      <c r="E235" s="13">
        <v>411359913</v>
      </c>
      <c r="F235" s="26" t="s">
        <v>721</v>
      </c>
      <c r="G235" s="13"/>
      <c r="H235" s="13" t="s">
        <v>61</v>
      </c>
      <c r="I235" s="13">
        <v>2</v>
      </c>
      <c r="J235" s="13">
        <v>3</v>
      </c>
      <c r="K235" s="13">
        <v>0</v>
      </c>
      <c r="L235" s="13">
        <v>0</v>
      </c>
      <c r="M235" s="13">
        <v>0</v>
      </c>
      <c r="N235" s="13">
        <v>0</v>
      </c>
      <c r="O235" s="13">
        <v>1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1</v>
      </c>
      <c r="Y235" s="13"/>
      <c r="Z235" s="13"/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1</v>
      </c>
      <c r="AK235" s="13">
        <f t="shared" si="14"/>
        <v>2</v>
      </c>
      <c r="AL235" s="23">
        <f t="shared" si="12"/>
        <v>70863</v>
      </c>
      <c r="AM235" s="13"/>
      <c r="AN235" s="13" t="s">
        <v>334</v>
      </c>
      <c r="AO235" s="7" t="s">
        <v>134</v>
      </c>
      <c r="AP235" s="45">
        <v>3.677</v>
      </c>
      <c r="AQ235" s="12">
        <v>18532</v>
      </c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>
        <v>875</v>
      </c>
      <c r="BD235" s="12">
        <v>500</v>
      </c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13"/>
      <c r="CG235" s="13"/>
      <c r="CH235" s="13"/>
      <c r="CI235" s="12"/>
      <c r="CJ235" s="12"/>
      <c r="CK235" s="12"/>
      <c r="CL235" s="12"/>
      <c r="CM235" s="12"/>
      <c r="CN235" s="12"/>
      <c r="CO235" s="12"/>
      <c r="CP235" s="12">
        <f>SUM($AQ235:BJ235)-SUM($EA235:EH235)</f>
        <v>12844</v>
      </c>
      <c r="CQ235" s="12">
        <f>SUM($AQ235:BK235)-SUM($EA235:EI235)</f>
        <v>12444</v>
      </c>
      <c r="CR235" s="12">
        <f>SUM($AQ235:BL235)-SUM($EA235:EJ235)</f>
        <v>11429</v>
      </c>
      <c r="CS235" s="12">
        <f>SUM($AQ235:BM235)-SUM($EA235:EK235)</f>
        <v>10294</v>
      </c>
      <c r="CT235" s="12">
        <f>SUM($AQ235:BN235)-SUM($EA235:EL235)</f>
        <v>8279</v>
      </c>
      <c r="CU235" s="12">
        <f>SUM($AQ235:BO235)-SUM($EA235:EM235)</f>
        <v>6229</v>
      </c>
      <c r="CV235" s="12">
        <f>SUM($AQ235:BP235)-SUM($EA235:EN235)</f>
        <v>4179</v>
      </c>
      <c r="CW235" s="12">
        <f>SUM($AQ235:BQ235)-SUM($EA235:EO235)</f>
        <v>2179</v>
      </c>
      <c r="CX235" s="12">
        <f>SUM($AQ235:BR235)-SUM($EA235:EP235)</f>
        <v>129</v>
      </c>
      <c r="CY235" s="12">
        <f>SUM($AQ235:BS235)-SUM($EA235:EQ235)</f>
        <v>-1921</v>
      </c>
      <c r="CZ235" s="12">
        <f>SUM($AQ235:BT235)-SUM($EA235:ER235)</f>
        <v>-3971</v>
      </c>
      <c r="DA235" s="12">
        <f>SUM($AQ235:BU235)-SUM($EA235:ES235)</f>
        <v>-6021</v>
      </c>
      <c r="DB235" s="12">
        <f>SUM($AQ235:BV235)-SUM($EA235:ET235)</f>
        <v>-8071</v>
      </c>
      <c r="DC235" s="12">
        <f>SUM($AQ235:BW235)-SUM($EA235:EU235)</f>
        <v>-10121</v>
      </c>
      <c r="DD235" s="12">
        <f>SUM($AQ235:BX235)-SUM($EA235:EV235)</f>
        <v>-12171</v>
      </c>
      <c r="DE235" s="12">
        <f>SUM($AQ235:BY235)-SUM($EA235:EW235)</f>
        <v>-14181</v>
      </c>
      <c r="DF235" s="12">
        <f>SUM($AQ235:BZ235)-SUM($EA235:EX235)</f>
        <v>-16181</v>
      </c>
      <c r="DG235" s="12">
        <f>SUM($AQ235:CA235)-SUM($EA235:EY235)</f>
        <v>-18181</v>
      </c>
      <c r="DH235" s="12">
        <f>SUM($AQ235:CB235)-SUM($EA235:EZ235)</f>
        <v>-20181</v>
      </c>
      <c r="DI235" s="12">
        <f>SUM($AQ235:CC235)-SUM($EA235:FA235)</f>
        <v>-22181</v>
      </c>
      <c r="DJ235" s="12">
        <f>SUM($AQ235:CD235)-SUM($EA235:FB235)</f>
        <v>-24181</v>
      </c>
      <c r="DK235" s="12">
        <f>SUM($AQ235:CE235)-SUM($EA235:FC235)</f>
        <v>-26181</v>
      </c>
      <c r="DL235" s="12">
        <f>SUM($AQ235:CF235)-SUM($EA235:FD235)</f>
        <v>-28181</v>
      </c>
      <c r="DM235" s="12">
        <f>SUM($AQ235:CG235)-SUM($EA235:FE235)</f>
        <v>-30181</v>
      </c>
      <c r="DN235" s="12">
        <f>SUM($AQ235:CH235)-SUM($EA235:FF235)</f>
        <v>-32181</v>
      </c>
      <c r="DO235" s="12">
        <f>SUM($AQ235:CI235)-SUM($EA235:FG235)</f>
        <v>-34181</v>
      </c>
      <c r="DP235" s="12">
        <f>SUM($AQ235:CJ235)-SUM($EA235:FH235)</f>
        <v>-36181</v>
      </c>
      <c r="DQ235" s="12">
        <f>SUM($AQ235:CK235)-SUM($EA235:FI235)</f>
        <v>-38181</v>
      </c>
      <c r="DR235" s="12">
        <f>SUM($AQ235:CL235)-SUM($EA235:FJ235)</f>
        <v>-40181</v>
      </c>
      <c r="DS235" s="12">
        <f>SUM($AQ235:CM235)-SUM($EA235:FK235)</f>
        <v>-42181</v>
      </c>
      <c r="DT235" s="12">
        <f>SUM($AQ235:CN235)-SUM($EA235:FL235)</f>
        <v>-44181</v>
      </c>
      <c r="DU235" s="12">
        <f>SUM($AQ235:CO235)-SUM($EA235:FM235)</f>
        <v>-46181</v>
      </c>
      <c r="DV235" s="12">
        <f>SUM($AQ235:CP235)-SUM($EA235:FN235)</f>
        <v>-35035</v>
      </c>
      <c r="DW235" s="12">
        <f>SUM($AQ235:CQ235)-SUM($EA235:FO235)</f>
        <v>-22668</v>
      </c>
      <c r="DX235" s="13"/>
      <c r="DY235" s="13"/>
      <c r="DZ235" s="13"/>
      <c r="EA235" s="12"/>
      <c r="EB235" s="12"/>
      <c r="EC235" s="12"/>
      <c r="ED235" s="12"/>
      <c r="EE235" s="12"/>
      <c r="EF235" s="12"/>
      <c r="EG235" s="12"/>
      <c r="EH235" s="12">
        <f t="array" ref="EH235">SUMPRODUCT(TRANSPOSE(EH$9:EH$34),$K235:$AJ235)</f>
        <v>7063</v>
      </c>
      <c r="EI235" s="12">
        <f t="array" ref="EI235">SUMPRODUCT(TRANSPOSE(EI$9:EI$34),$K235:$AJ235)</f>
        <v>400</v>
      </c>
      <c r="EJ235" s="12">
        <f t="array" ref="EJ235">SUMPRODUCT(TRANSPOSE(EJ$9:EJ$34),$K235:$AJ235)</f>
        <v>1015</v>
      </c>
      <c r="EK235" s="12">
        <f t="array" ref="EK235">SUMPRODUCT(TRANSPOSE(EK$9:EK$34),$K235:$AJ235)</f>
        <v>1135</v>
      </c>
      <c r="EL235" s="12">
        <f t="array" ref="EL235">SUMPRODUCT(TRANSPOSE(EL$9:EL$34),$K235:$AJ235)</f>
        <v>2015</v>
      </c>
      <c r="EM235" s="12">
        <f t="array" ref="EM235">SUMPRODUCT(TRANSPOSE(EM$9:EM$34),$K235:$AJ235)</f>
        <v>2050</v>
      </c>
      <c r="EN235" s="12">
        <f t="array" ref="EN235">SUMPRODUCT(TRANSPOSE(EN$9:EN$34),$K235:$AJ235)</f>
        <v>2050</v>
      </c>
      <c r="EO235" s="12">
        <f t="array" ref="EO235">SUMPRODUCT(TRANSPOSE(EO$9:EO$34),$K235:$AJ235)</f>
        <v>2000</v>
      </c>
      <c r="EP235" s="12">
        <f t="array" ref="EP235">SUMPRODUCT(TRANSPOSE(EP$9:EP$34),$K235:$AJ235)</f>
        <v>2050</v>
      </c>
      <c r="EQ235" s="12">
        <f t="array" ref="EQ235">SUMPRODUCT(TRANSPOSE(EQ$9:EQ$34),$K235:$AJ235)</f>
        <v>2050</v>
      </c>
      <c r="ER235" s="12">
        <f t="array" ref="ER235">SUMPRODUCT(TRANSPOSE(ER$9:ER$34),$K235:$AJ235)</f>
        <v>2050</v>
      </c>
      <c r="ES235" s="12">
        <f t="array" ref="ES235">SUMPRODUCT(TRANSPOSE(ES$9:ES$34),$K235:$AJ235)</f>
        <v>2050</v>
      </c>
      <c r="ET235" s="12">
        <f t="array" ref="ET235">SUMPRODUCT(TRANSPOSE(ET$9:ET$34),$K235:$AJ235)</f>
        <v>2050</v>
      </c>
      <c r="EU235" s="12">
        <f t="array" ref="EU235">SUMPRODUCT(TRANSPOSE(EU$9:EU$34),$K235:$AJ235)</f>
        <v>2050</v>
      </c>
      <c r="EV235" s="12">
        <f t="array" ref="EV235">SUMPRODUCT(TRANSPOSE(EV$9:EV$34),$K235:$AJ235)</f>
        <v>2050</v>
      </c>
      <c r="EW235" s="12">
        <f t="array" ref="EW235">SUMPRODUCT(TRANSPOSE(EW$9:EW$34),$K235:$AJ235)</f>
        <v>2010</v>
      </c>
      <c r="EX235" s="12">
        <f t="array" ref="EX235">SUMPRODUCT(TRANSPOSE(EX$9:EX$34),$K235:$AJ235)</f>
        <v>2000</v>
      </c>
      <c r="EY235" s="12">
        <f t="array" ref="EY235">SUMPRODUCT(TRANSPOSE(EY$9:EY$34),$K235:$AJ235)</f>
        <v>2000</v>
      </c>
      <c r="EZ235" s="12">
        <f t="array" ref="EZ235">SUMPRODUCT(TRANSPOSE(EZ$9:EZ$34),$K235:$AJ235)</f>
        <v>2000</v>
      </c>
      <c r="FA235" s="12">
        <f t="array" ref="FA235">SUMPRODUCT(TRANSPOSE(FA$9:FA$34),$K235:$AJ235)</f>
        <v>2000</v>
      </c>
      <c r="FB235" s="12">
        <f t="array" ref="FB235">SUMPRODUCT(TRANSPOSE(FB$9:FB$34),$K235:$AJ235)</f>
        <v>2000</v>
      </c>
      <c r="FC235" s="12">
        <f t="array" ref="FC235">SUMPRODUCT(TRANSPOSE(FC$9:FC$34),$K235:$AJ235)</f>
        <v>2000</v>
      </c>
      <c r="FD235" s="12">
        <f t="array" ref="FD235">SUMPRODUCT(TRANSPOSE(FD$9:FD$34),$K235:$AJ235)</f>
        <v>2000</v>
      </c>
      <c r="FE235" s="12">
        <f t="array" ref="FE235">SUMPRODUCT(TRANSPOSE(FE$9:FE$34),$K235:$AJ235)</f>
        <v>2000</v>
      </c>
      <c r="FF235" s="12">
        <f t="array" ref="FF235">SUMPRODUCT(TRANSPOSE(FF$9:FF$34),$K235:$AJ235)</f>
        <v>2000</v>
      </c>
      <c r="FG235" s="12">
        <f t="array" ref="FG235">SUMPRODUCT(TRANSPOSE(FG$9:FG$34),$K235:$AJ235)</f>
        <v>2000</v>
      </c>
      <c r="FH235" s="12">
        <f t="array" ref="FH235">SUMPRODUCT(TRANSPOSE(FH$9:FH$34),$K235:$AJ235)</f>
        <v>2000</v>
      </c>
      <c r="FI235" s="12">
        <f t="array" ref="FI235">SUMPRODUCT(TRANSPOSE(FI$9:FI$34),$K235:$AJ235)</f>
        <v>2000</v>
      </c>
      <c r="FJ235" s="12">
        <f t="array" ref="FJ235">SUMPRODUCT(TRANSPOSE(FJ$9:FJ$34),$K235:$AJ235)</f>
        <v>2000</v>
      </c>
      <c r="FK235" s="12">
        <f t="array" ref="FK235">SUMPRODUCT(TRANSPOSE(FK$9:FK$34),$K235:$AJ235)</f>
        <v>2000</v>
      </c>
      <c r="FL235" s="12">
        <f t="array" ref="FL235">SUMPRODUCT(TRANSPOSE(FL$9:FL$34),$K235:$AJ235)</f>
        <v>2000</v>
      </c>
      <c r="FM235" s="12">
        <f t="array" ref="FM235">SUMPRODUCT(TRANSPOSE(FM$9:FM$34),$K235:$AJ235)</f>
        <v>2000</v>
      </c>
      <c r="FN235" s="12">
        <f t="array" ref="FN235">SUMPRODUCT(TRANSPOSE(FN$9:FN$34),$K235:$AJ235)</f>
        <v>1698</v>
      </c>
      <c r="FO235" s="12">
        <f t="array" ref="FO235">SUMPRODUCT(TRANSPOSE(FO$9:FO$34),$K235:$AJ235)</f>
        <v>77</v>
      </c>
    </row>
    <row r="236" spans="1:171" ht="14.25" x14ac:dyDescent="0.2">
      <c r="A236" s="13">
        <f t="shared" si="13"/>
        <v>201</v>
      </c>
      <c r="B236" s="13" t="s">
        <v>722</v>
      </c>
      <c r="C236" s="25" t="s">
        <v>723</v>
      </c>
      <c r="D236" s="13" t="s">
        <v>67</v>
      </c>
      <c r="E236" s="13">
        <v>405043942</v>
      </c>
      <c r="F236" s="26" t="s">
        <v>724</v>
      </c>
      <c r="G236" s="13">
        <v>405046714</v>
      </c>
      <c r="H236" s="13" t="s">
        <v>61</v>
      </c>
      <c r="I236" s="13">
        <v>1</v>
      </c>
      <c r="J236" s="13">
        <v>6</v>
      </c>
      <c r="K236" s="13">
        <v>0</v>
      </c>
      <c r="L236" s="13">
        <v>0</v>
      </c>
      <c r="M236" s="13">
        <v>0</v>
      </c>
      <c r="N236" s="13">
        <v>0</v>
      </c>
      <c r="O236" s="13">
        <v>2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2</v>
      </c>
      <c r="Y236" s="13"/>
      <c r="Z236" s="13"/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2</v>
      </c>
      <c r="AK236" s="13">
        <f t="shared" si="14"/>
        <v>4</v>
      </c>
      <c r="AL236" s="23">
        <f t="shared" si="12"/>
        <v>141726</v>
      </c>
      <c r="AM236" s="13"/>
      <c r="AN236" s="13" t="s">
        <v>725</v>
      </c>
      <c r="AO236" s="7" t="s">
        <v>727</v>
      </c>
      <c r="AP236" s="45">
        <v>6.56</v>
      </c>
      <c r="AQ236" s="12">
        <v>99720</v>
      </c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13"/>
      <c r="CG236" s="13"/>
      <c r="CH236" s="13"/>
      <c r="CI236" s="12"/>
      <c r="CJ236" s="12"/>
      <c r="CK236" s="12"/>
      <c r="CL236" s="12"/>
      <c r="CM236" s="12"/>
      <c r="CN236" s="12"/>
      <c r="CO236" s="12"/>
      <c r="CP236" s="12">
        <f>SUM($AQ236:BJ236)-SUM($EA236:EH236)</f>
        <v>85594</v>
      </c>
      <c r="CQ236" s="12">
        <f>SUM($AQ236:BK236)-SUM($EA236:EI236)</f>
        <v>84794</v>
      </c>
      <c r="CR236" s="12">
        <f>SUM($AQ236:BL236)-SUM($EA236:EJ236)</f>
        <v>82764</v>
      </c>
      <c r="CS236" s="12">
        <f>SUM($AQ236:BM236)-SUM($EA236:EK236)</f>
        <v>80494</v>
      </c>
      <c r="CT236" s="12">
        <f>SUM($AQ236:BN236)-SUM($EA236:EL236)</f>
        <v>76464</v>
      </c>
      <c r="CU236" s="12">
        <f>SUM($AQ236:BO236)-SUM($EA236:EM236)</f>
        <v>72364</v>
      </c>
      <c r="CV236" s="12">
        <f>SUM($AQ236:BP236)-SUM($EA236:EN236)</f>
        <v>68264</v>
      </c>
      <c r="CW236" s="12">
        <f>SUM($AQ236:BQ236)-SUM($EA236:EO236)</f>
        <v>64264</v>
      </c>
      <c r="CX236" s="12">
        <f>SUM($AQ236:BR236)-SUM($EA236:EP236)</f>
        <v>60164</v>
      </c>
      <c r="CY236" s="12">
        <f>SUM($AQ236:BS236)-SUM($EA236:EQ236)</f>
        <v>56064</v>
      </c>
      <c r="CZ236" s="12">
        <f>SUM($AQ236:BT236)-SUM($EA236:ER236)</f>
        <v>51964</v>
      </c>
      <c r="DA236" s="12">
        <f>SUM($AQ236:BU236)-SUM($EA236:ES236)</f>
        <v>47864</v>
      </c>
      <c r="DB236" s="12">
        <f>SUM($AQ236:BV236)-SUM($EA236:ET236)</f>
        <v>43764</v>
      </c>
      <c r="DC236" s="12">
        <f>SUM($AQ236:BW236)-SUM($EA236:EU236)</f>
        <v>39664</v>
      </c>
      <c r="DD236" s="12">
        <f>SUM($AQ236:BX236)-SUM($EA236:EV236)</f>
        <v>35564</v>
      </c>
      <c r="DE236" s="12">
        <f>SUM($AQ236:BY236)-SUM($EA236:EW236)</f>
        <v>31544</v>
      </c>
      <c r="DF236" s="12">
        <f>SUM($AQ236:BZ236)-SUM($EA236:EX236)</f>
        <v>27544</v>
      </c>
      <c r="DG236" s="12">
        <f>SUM($AQ236:CA236)-SUM($EA236:EY236)</f>
        <v>23544</v>
      </c>
      <c r="DH236" s="12">
        <f>SUM($AQ236:CB236)-SUM($EA236:EZ236)</f>
        <v>19544</v>
      </c>
      <c r="DI236" s="12">
        <f>SUM($AQ236:CC236)-SUM($EA236:FA236)</f>
        <v>15544</v>
      </c>
      <c r="DJ236" s="12">
        <f>SUM($AQ236:CD236)-SUM($EA236:FB236)</f>
        <v>11544</v>
      </c>
      <c r="DK236" s="12">
        <f>SUM($AQ236:CE236)-SUM($EA236:FC236)</f>
        <v>7544</v>
      </c>
      <c r="DL236" s="12">
        <f>SUM($AQ236:CF236)-SUM($EA236:FD236)</f>
        <v>3544</v>
      </c>
      <c r="DM236" s="12">
        <f>SUM($AQ236:CG236)-SUM($EA236:FE236)</f>
        <v>-456</v>
      </c>
      <c r="DN236" s="12">
        <f>SUM($AQ236:CH236)-SUM($EA236:FF236)</f>
        <v>-4456</v>
      </c>
      <c r="DO236" s="12">
        <f>SUM($AQ236:CI236)-SUM($EA236:FG236)</f>
        <v>-8456</v>
      </c>
      <c r="DP236" s="12">
        <f>SUM($AQ236:CJ236)-SUM($EA236:FH236)</f>
        <v>-12456</v>
      </c>
      <c r="DQ236" s="12">
        <f>SUM($AQ236:CK236)-SUM($EA236:FI236)</f>
        <v>-16456</v>
      </c>
      <c r="DR236" s="12">
        <f>SUM($AQ236:CL236)-SUM($EA236:FJ236)</f>
        <v>-20456</v>
      </c>
      <c r="DS236" s="12">
        <f>SUM($AQ236:CM236)-SUM($EA236:FK236)</f>
        <v>-24456</v>
      </c>
      <c r="DT236" s="12">
        <f>SUM($AQ236:CN236)-SUM($EA236:FL236)</f>
        <v>-28456</v>
      </c>
      <c r="DU236" s="12">
        <f>SUM($AQ236:CO236)-SUM($EA236:FM236)</f>
        <v>-32456</v>
      </c>
      <c r="DV236" s="12">
        <f>SUM($AQ236:CP236)-SUM($EA236:FN236)</f>
        <v>49742</v>
      </c>
      <c r="DW236" s="12">
        <f>SUM($AQ236:CQ236)-SUM($EA236:FO236)</f>
        <v>134382</v>
      </c>
      <c r="DX236" s="13"/>
      <c r="DY236" s="13"/>
      <c r="DZ236" s="13"/>
      <c r="EA236" s="12"/>
      <c r="EB236" s="12"/>
      <c r="EC236" s="12"/>
      <c r="ED236" s="12"/>
      <c r="EE236" s="12"/>
      <c r="EF236" s="12"/>
      <c r="EG236" s="12"/>
      <c r="EH236" s="12">
        <f t="array" ref="EH236">SUMPRODUCT(TRANSPOSE(EH$9:EH$34),$K236:$AJ236)</f>
        <v>14126</v>
      </c>
      <c r="EI236" s="12">
        <f t="array" ref="EI236">SUMPRODUCT(TRANSPOSE(EI$9:EI$34),$K236:$AJ236)</f>
        <v>800</v>
      </c>
      <c r="EJ236" s="12">
        <f t="array" ref="EJ236">SUMPRODUCT(TRANSPOSE(EJ$9:EJ$34),$K236:$AJ236)</f>
        <v>2030</v>
      </c>
      <c r="EK236" s="12">
        <f t="array" ref="EK236">SUMPRODUCT(TRANSPOSE(EK$9:EK$34),$K236:$AJ236)</f>
        <v>2270</v>
      </c>
      <c r="EL236" s="12">
        <f t="array" ref="EL236">SUMPRODUCT(TRANSPOSE(EL$9:EL$34),$K236:$AJ236)</f>
        <v>4030</v>
      </c>
      <c r="EM236" s="12">
        <f t="array" ref="EM236">SUMPRODUCT(TRANSPOSE(EM$9:EM$34),$K236:$AJ236)</f>
        <v>4100</v>
      </c>
      <c r="EN236" s="12">
        <f t="array" ref="EN236">SUMPRODUCT(TRANSPOSE(EN$9:EN$34),$K236:$AJ236)</f>
        <v>4100</v>
      </c>
      <c r="EO236" s="12">
        <f t="array" ref="EO236">SUMPRODUCT(TRANSPOSE(EO$9:EO$34),$K236:$AJ236)</f>
        <v>4000</v>
      </c>
      <c r="EP236" s="12">
        <f t="array" ref="EP236">SUMPRODUCT(TRANSPOSE(EP$9:EP$34),$K236:$AJ236)</f>
        <v>4100</v>
      </c>
      <c r="EQ236" s="12">
        <f t="array" ref="EQ236">SUMPRODUCT(TRANSPOSE(EQ$9:EQ$34),$K236:$AJ236)</f>
        <v>4100</v>
      </c>
      <c r="ER236" s="12">
        <f t="array" ref="ER236">SUMPRODUCT(TRANSPOSE(ER$9:ER$34),$K236:$AJ236)</f>
        <v>4100</v>
      </c>
      <c r="ES236" s="12">
        <f t="array" ref="ES236">SUMPRODUCT(TRANSPOSE(ES$9:ES$34),$K236:$AJ236)</f>
        <v>4100</v>
      </c>
      <c r="ET236" s="12">
        <f t="array" ref="ET236">SUMPRODUCT(TRANSPOSE(ET$9:ET$34),$K236:$AJ236)</f>
        <v>4100</v>
      </c>
      <c r="EU236" s="12">
        <f t="array" ref="EU236">SUMPRODUCT(TRANSPOSE(EU$9:EU$34),$K236:$AJ236)</f>
        <v>4100</v>
      </c>
      <c r="EV236" s="12">
        <f t="array" ref="EV236">SUMPRODUCT(TRANSPOSE(EV$9:EV$34),$K236:$AJ236)</f>
        <v>4100</v>
      </c>
      <c r="EW236" s="12">
        <f t="array" ref="EW236">SUMPRODUCT(TRANSPOSE(EW$9:EW$34),$K236:$AJ236)</f>
        <v>4020</v>
      </c>
      <c r="EX236" s="12">
        <f t="array" ref="EX236">SUMPRODUCT(TRANSPOSE(EX$9:EX$34),$K236:$AJ236)</f>
        <v>4000</v>
      </c>
      <c r="EY236" s="12">
        <f t="array" ref="EY236">SUMPRODUCT(TRANSPOSE(EY$9:EY$34),$K236:$AJ236)</f>
        <v>4000</v>
      </c>
      <c r="EZ236" s="12">
        <f t="array" ref="EZ236">SUMPRODUCT(TRANSPOSE(EZ$9:EZ$34),$K236:$AJ236)</f>
        <v>4000</v>
      </c>
      <c r="FA236" s="12">
        <f t="array" ref="FA236">SUMPRODUCT(TRANSPOSE(FA$9:FA$34),$K236:$AJ236)</f>
        <v>4000</v>
      </c>
      <c r="FB236" s="12">
        <f t="array" ref="FB236">SUMPRODUCT(TRANSPOSE(FB$9:FB$34),$K236:$AJ236)</f>
        <v>4000</v>
      </c>
      <c r="FC236" s="12">
        <f t="array" ref="FC236">SUMPRODUCT(TRANSPOSE(FC$9:FC$34),$K236:$AJ236)</f>
        <v>4000</v>
      </c>
      <c r="FD236" s="12">
        <f t="array" ref="FD236">SUMPRODUCT(TRANSPOSE(FD$9:FD$34),$K236:$AJ236)</f>
        <v>4000</v>
      </c>
      <c r="FE236" s="12">
        <f t="array" ref="FE236">SUMPRODUCT(TRANSPOSE(FE$9:FE$34),$K236:$AJ236)</f>
        <v>4000</v>
      </c>
      <c r="FF236" s="12">
        <f t="array" ref="FF236">SUMPRODUCT(TRANSPOSE(FF$9:FF$34),$K236:$AJ236)</f>
        <v>4000</v>
      </c>
      <c r="FG236" s="12">
        <f t="array" ref="FG236">SUMPRODUCT(TRANSPOSE(FG$9:FG$34),$K236:$AJ236)</f>
        <v>4000</v>
      </c>
      <c r="FH236" s="12">
        <f t="array" ref="FH236">SUMPRODUCT(TRANSPOSE(FH$9:FH$34),$K236:$AJ236)</f>
        <v>4000</v>
      </c>
      <c r="FI236" s="12">
        <f t="array" ref="FI236">SUMPRODUCT(TRANSPOSE(FI$9:FI$34),$K236:$AJ236)</f>
        <v>4000</v>
      </c>
      <c r="FJ236" s="12">
        <f t="array" ref="FJ236">SUMPRODUCT(TRANSPOSE(FJ$9:FJ$34),$K236:$AJ236)</f>
        <v>4000</v>
      </c>
      <c r="FK236" s="12">
        <f t="array" ref="FK236">SUMPRODUCT(TRANSPOSE(FK$9:FK$34),$K236:$AJ236)</f>
        <v>4000</v>
      </c>
      <c r="FL236" s="12">
        <f t="array" ref="FL236">SUMPRODUCT(TRANSPOSE(FL$9:FL$34),$K236:$AJ236)</f>
        <v>4000</v>
      </c>
      <c r="FM236" s="12">
        <f t="array" ref="FM236">SUMPRODUCT(TRANSPOSE(FM$9:FM$34),$K236:$AJ236)</f>
        <v>4000</v>
      </c>
      <c r="FN236" s="12">
        <f t="array" ref="FN236">SUMPRODUCT(TRANSPOSE(FN$9:FN$34),$K236:$AJ236)</f>
        <v>3396</v>
      </c>
      <c r="FO236" s="12">
        <f t="array" ref="FO236">SUMPRODUCT(TRANSPOSE(FO$9:FO$34),$K236:$AJ236)</f>
        <v>154</v>
      </c>
    </row>
    <row r="237" spans="1:171" ht="14.25" x14ac:dyDescent="0.2">
      <c r="A237" s="13">
        <f t="shared" si="13"/>
        <v>202</v>
      </c>
      <c r="B237" s="13" t="s">
        <v>728</v>
      </c>
      <c r="C237" s="25" t="s">
        <v>729</v>
      </c>
      <c r="D237" s="13" t="s">
        <v>67</v>
      </c>
      <c r="E237" s="13">
        <v>400261962</v>
      </c>
      <c r="F237" s="26" t="s">
        <v>730</v>
      </c>
      <c r="G237" s="13">
        <v>401589017</v>
      </c>
      <c r="H237" s="13" t="s">
        <v>61</v>
      </c>
      <c r="I237" s="13">
        <v>1</v>
      </c>
      <c r="J237" s="13">
        <v>3</v>
      </c>
      <c r="K237" s="13">
        <v>0</v>
      </c>
      <c r="L237" s="13">
        <v>0</v>
      </c>
      <c r="M237" s="13">
        <v>0</v>
      </c>
      <c r="N237" s="13">
        <v>0</v>
      </c>
      <c r="O237" s="13">
        <v>1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1</v>
      </c>
      <c r="Y237" s="13"/>
      <c r="Z237" s="13"/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1</v>
      </c>
      <c r="AK237" s="13">
        <f t="shared" si="14"/>
        <v>2</v>
      </c>
      <c r="AL237" s="23">
        <f t="shared" si="12"/>
        <v>70863</v>
      </c>
      <c r="AM237" s="13" t="s">
        <v>731</v>
      </c>
      <c r="AN237" s="13" t="s">
        <v>732</v>
      </c>
      <c r="AO237" s="7" t="s">
        <v>3</v>
      </c>
      <c r="AP237" s="38">
        <v>2.0699999999999998</v>
      </c>
      <c r="AQ237" s="12">
        <v>9999999</v>
      </c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13"/>
      <c r="CG237" s="13"/>
      <c r="CH237" s="13"/>
      <c r="CI237" s="12"/>
      <c r="CJ237" s="12"/>
      <c r="CK237" s="12"/>
      <c r="CL237" s="12"/>
      <c r="CM237" s="12"/>
      <c r="CN237" s="12"/>
      <c r="CO237" s="12"/>
      <c r="CP237" s="12">
        <f>SUM($AQ237:BJ237)-SUM($EA237:EH237)</f>
        <v>9992936</v>
      </c>
      <c r="CQ237" s="12">
        <f>SUM($AQ237:BK237)-SUM($EA237:EI237)</f>
        <v>9992536</v>
      </c>
      <c r="CR237" s="12">
        <f>SUM($AQ237:BL237)-SUM($EA237:EJ237)</f>
        <v>9991521</v>
      </c>
      <c r="CS237" s="12">
        <f>SUM($AQ237:BM237)-SUM($EA237:EK237)</f>
        <v>9990386</v>
      </c>
      <c r="CT237" s="12">
        <f>SUM($AQ237:BN237)-SUM($EA237:EL237)</f>
        <v>9988371</v>
      </c>
      <c r="CU237" s="12">
        <f>SUM($AQ237:BO237)-SUM($EA237:EM237)</f>
        <v>9986321</v>
      </c>
      <c r="CV237" s="12">
        <f>SUM($AQ237:BP237)-SUM($EA237:EN237)</f>
        <v>9984271</v>
      </c>
      <c r="CW237" s="12">
        <f>SUM($AQ237:BQ237)-SUM($EA237:EO237)</f>
        <v>9982271</v>
      </c>
      <c r="CX237" s="12">
        <f>SUM($AQ237:BR237)-SUM($EA237:EP237)</f>
        <v>9980221</v>
      </c>
      <c r="CY237" s="12">
        <f>SUM($AQ237:BS237)-SUM($EA237:EQ237)</f>
        <v>9978171</v>
      </c>
      <c r="CZ237" s="12">
        <f>SUM($AQ237:BT237)-SUM($EA237:ER237)</f>
        <v>9976121</v>
      </c>
      <c r="DA237" s="12">
        <f>SUM($AQ237:BU237)-SUM($EA237:ES237)</f>
        <v>9974071</v>
      </c>
      <c r="DB237" s="12">
        <f>SUM($AQ237:BV237)-SUM($EA237:ET237)</f>
        <v>9972021</v>
      </c>
      <c r="DC237" s="12">
        <f>SUM($AQ237:BW237)-SUM($EA237:EU237)</f>
        <v>9969971</v>
      </c>
      <c r="DD237" s="12">
        <f>SUM($AQ237:BX237)-SUM($EA237:EV237)</f>
        <v>9967921</v>
      </c>
      <c r="DE237" s="12">
        <f>SUM($AQ237:BY237)-SUM($EA237:EW237)</f>
        <v>9965911</v>
      </c>
      <c r="DF237" s="12">
        <f>SUM($AQ237:BZ237)-SUM($EA237:EX237)</f>
        <v>9963911</v>
      </c>
      <c r="DG237" s="12">
        <f>SUM($AQ237:CA237)-SUM($EA237:EY237)</f>
        <v>9961911</v>
      </c>
      <c r="DH237" s="12">
        <f>SUM($AQ237:CB237)-SUM($EA237:EZ237)</f>
        <v>9959911</v>
      </c>
      <c r="DI237" s="12">
        <f>SUM($AQ237:CC237)-SUM($EA237:FA237)</f>
        <v>9957911</v>
      </c>
      <c r="DJ237" s="12">
        <f>SUM($AQ237:CD237)-SUM($EA237:FB237)</f>
        <v>9955911</v>
      </c>
      <c r="DK237" s="12">
        <f>SUM($AQ237:CE237)-SUM($EA237:FC237)</f>
        <v>9953911</v>
      </c>
      <c r="DL237" s="12">
        <f>SUM($AQ237:CF237)-SUM($EA237:FD237)</f>
        <v>9951911</v>
      </c>
      <c r="DM237" s="12">
        <f>SUM($AQ237:CG237)-SUM($EA237:FE237)</f>
        <v>9949911</v>
      </c>
      <c r="DN237" s="12">
        <f>SUM($AQ237:CH237)-SUM($EA237:FF237)</f>
        <v>9947911</v>
      </c>
      <c r="DO237" s="12">
        <f>SUM($AQ237:CI237)-SUM($EA237:FG237)</f>
        <v>9945911</v>
      </c>
      <c r="DP237" s="12">
        <f>SUM($AQ237:CJ237)-SUM($EA237:FH237)</f>
        <v>9943911</v>
      </c>
      <c r="DQ237" s="12">
        <f>SUM($AQ237:CK237)-SUM($EA237:FI237)</f>
        <v>9941911</v>
      </c>
      <c r="DR237" s="12">
        <f>SUM($AQ237:CL237)-SUM($EA237:FJ237)</f>
        <v>9939911</v>
      </c>
      <c r="DS237" s="12">
        <f>SUM($AQ237:CM237)-SUM($EA237:FK237)</f>
        <v>9937911</v>
      </c>
      <c r="DT237" s="12">
        <f>SUM($AQ237:CN237)-SUM($EA237:FL237)</f>
        <v>9935911</v>
      </c>
      <c r="DU237" s="12">
        <f>SUM($AQ237:CO237)-SUM($EA237:FM237)</f>
        <v>9933911</v>
      </c>
      <c r="DV237" s="12">
        <f>SUM($AQ237:CP237)-SUM($EA237:FN237)</f>
        <v>19925149</v>
      </c>
      <c r="DW237" s="12">
        <f>SUM($AQ237:CQ237)-SUM($EA237:FO237)</f>
        <v>29917608</v>
      </c>
      <c r="DX237" s="13"/>
      <c r="DY237" s="13"/>
      <c r="DZ237" s="13"/>
      <c r="EA237" s="12"/>
      <c r="EB237" s="12"/>
      <c r="EC237" s="12"/>
      <c r="ED237" s="12"/>
      <c r="EE237" s="12"/>
      <c r="EF237" s="12"/>
      <c r="EG237" s="12"/>
      <c r="EH237" s="12">
        <f t="array" ref="EH237">SUMPRODUCT(TRANSPOSE(EH$9:EH$34),$K237:$AJ237)</f>
        <v>7063</v>
      </c>
      <c r="EI237" s="12">
        <f t="array" ref="EI237">SUMPRODUCT(TRANSPOSE(EI$9:EI$34),$K237:$AJ237)</f>
        <v>400</v>
      </c>
      <c r="EJ237" s="12">
        <f t="array" ref="EJ237">SUMPRODUCT(TRANSPOSE(EJ$9:EJ$34),$K237:$AJ237)</f>
        <v>1015</v>
      </c>
      <c r="EK237" s="12">
        <f t="array" ref="EK237">SUMPRODUCT(TRANSPOSE(EK$9:EK$34),$K237:$AJ237)</f>
        <v>1135</v>
      </c>
      <c r="EL237" s="12">
        <f t="array" ref="EL237">SUMPRODUCT(TRANSPOSE(EL$9:EL$34),$K237:$AJ237)</f>
        <v>2015</v>
      </c>
      <c r="EM237" s="12">
        <f t="array" ref="EM237">SUMPRODUCT(TRANSPOSE(EM$9:EM$34),$K237:$AJ237)</f>
        <v>2050</v>
      </c>
      <c r="EN237" s="12">
        <f t="array" ref="EN237">SUMPRODUCT(TRANSPOSE(EN$9:EN$34),$K237:$AJ237)</f>
        <v>2050</v>
      </c>
      <c r="EO237" s="12">
        <f t="array" ref="EO237">SUMPRODUCT(TRANSPOSE(EO$9:EO$34),$K237:$AJ237)</f>
        <v>2000</v>
      </c>
      <c r="EP237" s="12">
        <f t="array" ref="EP237">SUMPRODUCT(TRANSPOSE(EP$9:EP$34),$K237:$AJ237)</f>
        <v>2050</v>
      </c>
      <c r="EQ237" s="12">
        <f t="array" ref="EQ237">SUMPRODUCT(TRANSPOSE(EQ$9:EQ$34),$K237:$AJ237)</f>
        <v>2050</v>
      </c>
      <c r="ER237" s="12">
        <f t="array" ref="ER237">SUMPRODUCT(TRANSPOSE(ER$9:ER$34),$K237:$AJ237)</f>
        <v>2050</v>
      </c>
      <c r="ES237" s="12">
        <f t="array" ref="ES237">SUMPRODUCT(TRANSPOSE(ES$9:ES$34),$K237:$AJ237)</f>
        <v>2050</v>
      </c>
      <c r="ET237" s="12">
        <f t="array" ref="ET237">SUMPRODUCT(TRANSPOSE(ET$9:ET$34),$K237:$AJ237)</f>
        <v>2050</v>
      </c>
      <c r="EU237" s="12">
        <f t="array" ref="EU237">SUMPRODUCT(TRANSPOSE(EU$9:EU$34),$K237:$AJ237)</f>
        <v>2050</v>
      </c>
      <c r="EV237" s="12">
        <f t="array" ref="EV237">SUMPRODUCT(TRANSPOSE(EV$9:EV$34),$K237:$AJ237)</f>
        <v>2050</v>
      </c>
      <c r="EW237" s="12">
        <f t="array" ref="EW237">SUMPRODUCT(TRANSPOSE(EW$9:EW$34),$K237:$AJ237)</f>
        <v>2010</v>
      </c>
      <c r="EX237" s="12">
        <f t="array" ref="EX237">SUMPRODUCT(TRANSPOSE(EX$9:EX$34),$K237:$AJ237)</f>
        <v>2000</v>
      </c>
      <c r="EY237" s="12">
        <f t="array" ref="EY237">SUMPRODUCT(TRANSPOSE(EY$9:EY$34),$K237:$AJ237)</f>
        <v>2000</v>
      </c>
      <c r="EZ237" s="12">
        <f t="array" ref="EZ237">SUMPRODUCT(TRANSPOSE(EZ$9:EZ$34),$K237:$AJ237)</f>
        <v>2000</v>
      </c>
      <c r="FA237" s="12">
        <f t="array" ref="FA237">SUMPRODUCT(TRANSPOSE(FA$9:FA$34),$K237:$AJ237)</f>
        <v>2000</v>
      </c>
      <c r="FB237" s="12">
        <f t="array" ref="FB237">SUMPRODUCT(TRANSPOSE(FB$9:FB$34),$K237:$AJ237)</f>
        <v>2000</v>
      </c>
      <c r="FC237" s="12">
        <f t="array" ref="FC237">SUMPRODUCT(TRANSPOSE(FC$9:FC$34),$K237:$AJ237)</f>
        <v>2000</v>
      </c>
      <c r="FD237" s="12">
        <f t="array" ref="FD237">SUMPRODUCT(TRANSPOSE(FD$9:FD$34),$K237:$AJ237)</f>
        <v>2000</v>
      </c>
      <c r="FE237" s="12">
        <f t="array" ref="FE237">SUMPRODUCT(TRANSPOSE(FE$9:FE$34),$K237:$AJ237)</f>
        <v>2000</v>
      </c>
      <c r="FF237" s="12">
        <f t="array" ref="FF237">SUMPRODUCT(TRANSPOSE(FF$9:FF$34),$K237:$AJ237)</f>
        <v>2000</v>
      </c>
      <c r="FG237" s="12">
        <f t="array" ref="FG237">SUMPRODUCT(TRANSPOSE(FG$9:FG$34),$K237:$AJ237)</f>
        <v>2000</v>
      </c>
      <c r="FH237" s="12">
        <f t="array" ref="FH237">SUMPRODUCT(TRANSPOSE(FH$9:FH$34),$K237:$AJ237)</f>
        <v>2000</v>
      </c>
      <c r="FI237" s="12">
        <f t="array" ref="FI237">SUMPRODUCT(TRANSPOSE(FI$9:FI$34),$K237:$AJ237)</f>
        <v>2000</v>
      </c>
      <c r="FJ237" s="12">
        <f t="array" ref="FJ237">SUMPRODUCT(TRANSPOSE(FJ$9:FJ$34),$K237:$AJ237)</f>
        <v>2000</v>
      </c>
      <c r="FK237" s="12">
        <f t="array" ref="FK237">SUMPRODUCT(TRANSPOSE(FK$9:FK$34),$K237:$AJ237)</f>
        <v>2000</v>
      </c>
      <c r="FL237" s="12">
        <f t="array" ref="FL237">SUMPRODUCT(TRANSPOSE(FL$9:FL$34),$K237:$AJ237)</f>
        <v>2000</v>
      </c>
      <c r="FM237" s="12">
        <f t="array" ref="FM237">SUMPRODUCT(TRANSPOSE(FM$9:FM$34),$K237:$AJ237)</f>
        <v>2000</v>
      </c>
      <c r="FN237" s="12">
        <f t="array" ref="FN237">SUMPRODUCT(TRANSPOSE(FN$9:FN$34),$K237:$AJ237)</f>
        <v>1698</v>
      </c>
      <c r="FO237" s="12">
        <f t="array" ref="FO237">SUMPRODUCT(TRANSPOSE(FO$9:FO$34),$K237:$AJ237)</f>
        <v>77</v>
      </c>
    </row>
    <row r="238" spans="1:171" ht="14.25" x14ac:dyDescent="0.2">
      <c r="A238" s="13">
        <f t="shared" si="13"/>
        <v>203</v>
      </c>
      <c r="B238" s="13" t="s">
        <v>733</v>
      </c>
      <c r="C238" s="25" t="s">
        <v>734</v>
      </c>
      <c r="D238" s="13" t="s">
        <v>67</v>
      </c>
      <c r="E238" s="13">
        <v>409187956</v>
      </c>
      <c r="F238" s="26" t="s">
        <v>735</v>
      </c>
      <c r="G238" s="13"/>
      <c r="H238" s="13" t="s">
        <v>61</v>
      </c>
      <c r="I238" s="13">
        <v>2</v>
      </c>
      <c r="J238" s="13">
        <v>24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12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/>
      <c r="Z238" s="13">
        <v>12</v>
      </c>
      <c r="AA238" s="13">
        <v>0</v>
      </c>
      <c r="AB238" s="13">
        <v>0</v>
      </c>
      <c r="AC238" s="13">
        <v>0</v>
      </c>
      <c r="AD238" s="13">
        <v>12</v>
      </c>
      <c r="AE238" s="13">
        <v>12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f t="shared" si="14"/>
        <v>36</v>
      </c>
      <c r="AL238" s="23">
        <f t="shared" si="12"/>
        <v>427980</v>
      </c>
      <c r="AM238" s="13"/>
      <c r="AN238" s="13" t="s">
        <v>408</v>
      </c>
      <c r="AO238" s="7" t="s">
        <v>409</v>
      </c>
      <c r="AP238" s="41">
        <v>0.28999999999999998</v>
      </c>
      <c r="AQ238" s="12">
        <v>224000</v>
      </c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13"/>
      <c r="CG238" s="13"/>
      <c r="CH238" s="13"/>
      <c r="CI238" s="12"/>
      <c r="CJ238" s="12"/>
      <c r="CK238" s="12"/>
      <c r="CL238" s="12"/>
      <c r="CM238" s="12"/>
      <c r="CN238" s="12"/>
      <c r="CO238" s="12"/>
      <c r="CP238" s="12">
        <f>SUM($AQ238:BJ238)-SUM($EA238:EH238)</f>
        <v>186692</v>
      </c>
      <c r="CQ238" s="12">
        <f>SUM($AQ238:BK238)-SUM($EA238:EI238)</f>
        <v>183320</v>
      </c>
      <c r="CR238" s="12">
        <f>SUM($AQ238:BL238)-SUM($EA238:EJ238)</f>
        <v>183140</v>
      </c>
      <c r="CS238" s="12">
        <f>SUM($AQ238:BM238)-SUM($EA238:EK238)</f>
        <v>181520</v>
      </c>
      <c r="CT238" s="12">
        <f>SUM($AQ238:BN238)-SUM($EA238:EL238)</f>
        <v>169340</v>
      </c>
      <c r="CU238" s="12">
        <f>SUM($AQ238:BO238)-SUM($EA238:EM238)</f>
        <v>144740</v>
      </c>
      <c r="CV238" s="12">
        <f>SUM($AQ238:BP238)-SUM($EA238:EN238)</f>
        <v>130940</v>
      </c>
      <c r="CW238" s="12">
        <f>SUM($AQ238:BQ238)-SUM($EA238:EO238)</f>
        <v>118940</v>
      </c>
      <c r="CX238" s="12">
        <f>SUM($AQ238:BR238)-SUM($EA238:EP238)</f>
        <v>106340</v>
      </c>
      <c r="CY238" s="12">
        <f>SUM($AQ238:BS238)-SUM($EA238:EQ238)</f>
        <v>93740</v>
      </c>
      <c r="CZ238" s="12">
        <f>SUM($AQ238:BT238)-SUM($EA238:ER238)</f>
        <v>81140</v>
      </c>
      <c r="DA238" s="12">
        <f>SUM($AQ238:BU238)-SUM($EA238:ES238)</f>
        <v>68540</v>
      </c>
      <c r="DB238" s="12">
        <f>SUM($AQ238:BV238)-SUM($EA238:ET238)</f>
        <v>55940</v>
      </c>
      <c r="DC238" s="12">
        <f>SUM($AQ238:BW238)-SUM($EA238:EU238)</f>
        <v>43340</v>
      </c>
      <c r="DD238" s="12">
        <f>SUM($AQ238:BX238)-SUM($EA238:EV238)</f>
        <v>30740</v>
      </c>
      <c r="DE238" s="12">
        <f>SUM($AQ238:BY238)-SUM($EA238:EW238)</f>
        <v>18224</v>
      </c>
      <c r="DF238" s="12">
        <f>SUM($AQ238:BZ238)-SUM($EA238:EX238)</f>
        <v>6224</v>
      </c>
      <c r="DG238" s="12">
        <f>SUM($AQ238:CA238)-SUM($EA238:EY238)</f>
        <v>-5776</v>
      </c>
      <c r="DH238" s="12">
        <f>SUM($AQ238:CB238)-SUM($EA238:EZ238)</f>
        <v>-17776</v>
      </c>
      <c r="DI238" s="12">
        <f>SUM($AQ238:CC238)-SUM($EA238:FA238)</f>
        <v>-29776</v>
      </c>
      <c r="DJ238" s="12">
        <f>SUM($AQ238:CD238)-SUM($EA238:FB238)</f>
        <v>-41776</v>
      </c>
      <c r="DK238" s="12">
        <f>SUM($AQ238:CE238)-SUM($EA238:FC238)</f>
        <v>-53776</v>
      </c>
      <c r="DL238" s="12">
        <f>SUM($AQ238:CF238)-SUM($EA238:FD238)</f>
        <v>-65776</v>
      </c>
      <c r="DM238" s="12">
        <f>SUM($AQ238:CG238)-SUM($EA238:FE238)</f>
        <v>-77776</v>
      </c>
      <c r="DN238" s="12">
        <f>SUM($AQ238:CH238)-SUM($EA238:FF238)</f>
        <v>-89776</v>
      </c>
      <c r="DO238" s="12">
        <f>SUM($AQ238:CI238)-SUM($EA238:FG238)</f>
        <v>-101776</v>
      </c>
      <c r="DP238" s="12">
        <f>SUM($AQ238:CJ238)-SUM($EA238:FH238)</f>
        <v>-113776</v>
      </c>
      <c r="DQ238" s="12">
        <f>SUM($AQ238:CK238)-SUM($EA238:FI238)</f>
        <v>-125776</v>
      </c>
      <c r="DR238" s="12">
        <f>SUM($AQ238:CL238)-SUM($EA238:FJ238)</f>
        <v>-137776</v>
      </c>
      <c r="DS238" s="12">
        <f>SUM($AQ238:CM238)-SUM($EA238:FK238)</f>
        <v>-149776</v>
      </c>
      <c r="DT238" s="12">
        <f>SUM($AQ238:CN238)-SUM($EA238:FL238)</f>
        <v>-161776</v>
      </c>
      <c r="DU238" s="12">
        <f>SUM($AQ238:CO238)-SUM($EA238:FM238)</f>
        <v>-173776</v>
      </c>
      <c r="DV238" s="12">
        <f>SUM($AQ238:CP238)-SUM($EA238:FN238)</f>
        <v>3112</v>
      </c>
      <c r="DW238" s="12">
        <f>SUM($AQ238:CQ238)-SUM($EA238:FO238)</f>
        <v>186432</v>
      </c>
      <c r="DX238" s="13"/>
      <c r="DY238" s="13"/>
      <c r="DZ238" s="13"/>
      <c r="EA238" s="12"/>
      <c r="EB238" s="12"/>
      <c r="EC238" s="12"/>
      <c r="ED238" s="12"/>
      <c r="EE238" s="12"/>
      <c r="EF238" s="12"/>
      <c r="EG238" s="12"/>
      <c r="EH238" s="12">
        <f t="array" ref="EH238">SUMPRODUCT(TRANSPOSE(EH$9:EH$34),$K238:$AJ238)</f>
        <v>37308</v>
      </c>
      <c r="EI238" s="12">
        <f t="array" ref="EI238">SUMPRODUCT(TRANSPOSE(EI$9:EI$34),$K238:$AJ238)</f>
        <v>3372</v>
      </c>
      <c r="EJ238" s="12">
        <f t="array" ref="EJ238">SUMPRODUCT(TRANSPOSE(EJ$9:EJ$34),$K238:$AJ238)</f>
        <v>180</v>
      </c>
      <c r="EK238" s="12">
        <f t="array" ref="EK238">SUMPRODUCT(TRANSPOSE(EK$9:EK$34),$K238:$AJ238)</f>
        <v>1620</v>
      </c>
      <c r="EL238" s="12">
        <f t="array" ref="EL238">SUMPRODUCT(TRANSPOSE(EL$9:EL$34),$K238:$AJ238)</f>
        <v>12180</v>
      </c>
      <c r="EM238" s="12">
        <f t="array" ref="EM238">SUMPRODUCT(TRANSPOSE(EM$9:EM$34),$K238:$AJ238)</f>
        <v>24600</v>
      </c>
      <c r="EN238" s="12">
        <f t="array" ref="EN238">SUMPRODUCT(TRANSPOSE(EN$9:EN$34),$K238:$AJ238)</f>
        <v>13800</v>
      </c>
      <c r="EO238" s="12">
        <f t="array" ref="EO238">SUMPRODUCT(TRANSPOSE(EO$9:EO$34),$K238:$AJ238)</f>
        <v>12000</v>
      </c>
      <c r="EP238" s="12">
        <f t="array" ref="EP238">SUMPRODUCT(TRANSPOSE(EP$9:EP$34),$K238:$AJ238)</f>
        <v>12600</v>
      </c>
      <c r="EQ238" s="12">
        <f t="array" ref="EQ238">SUMPRODUCT(TRANSPOSE(EQ$9:EQ$34),$K238:$AJ238)</f>
        <v>12600</v>
      </c>
      <c r="ER238" s="12">
        <f t="array" ref="ER238">SUMPRODUCT(TRANSPOSE(ER$9:ER$34),$K238:$AJ238)</f>
        <v>12600</v>
      </c>
      <c r="ES238" s="12">
        <f t="array" ref="ES238">SUMPRODUCT(TRANSPOSE(ES$9:ES$34),$K238:$AJ238)</f>
        <v>12600</v>
      </c>
      <c r="ET238" s="12">
        <f t="array" ref="ET238">SUMPRODUCT(TRANSPOSE(ET$9:ET$34),$K238:$AJ238)</f>
        <v>12600</v>
      </c>
      <c r="EU238" s="12">
        <f t="array" ref="EU238">SUMPRODUCT(TRANSPOSE(EU$9:EU$34),$K238:$AJ238)</f>
        <v>12600</v>
      </c>
      <c r="EV238" s="12">
        <f t="array" ref="EV238">SUMPRODUCT(TRANSPOSE(EV$9:EV$34),$K238:$AJ238)</f>
        <v>12600</v>
      </c>
      <c r="EW238" s="12">
        <f t="array" ref="EW238">SUMPRODUCT(TRANSPOSE(EW$9:EW$34),$K238:$AJ238)</f>
        <v>12516</v>
      </c>
      <c r="EX238" s="12">
        <f t="array" ref="EX238">SUMPRODUCT(TRANSPOSE(EX$9:EX$34),$K238:$AJ238)</f>
        <v>12000</v>
      </c>
      <c r="EY238" s="12">
        <f t="array" ref="EY238">SUMPRODUCT(TRANSPOSE(EY$9:EY$34),$K238:$AJ238)</f>
        <v>12000</v>
      </c>
      <c r="EZ238" s="12">
        <f t="array" ref="EZ238">SUMPRODUCT(TRANSPOSE(EZ$9:EZ$34),$K238:$AJ238)</f>
        <v>12000</v>
      </c>
      <c r="FA238" s="12">
        <f t="array" ref="FA238">SUMPRODUCT(TRANSPOSE(FA$9:FA$34),$K238:$AJ238)</f>
        <v>12000</v>
      </c>
      <c r="FB238" s="12">
        <f t="array" ref="FB238">SUMPRODUCT(TRANSPOSE(FB$9:FB$34),$K238:$AJ238)</f>
        <v>12000</v>
      </c>
      <c r="FC238" s="12">
        <f t="array" ref="FC238">SUMPRODUCT(TRANSPOSE(FC$9:FC$34),$K238:$AJ238)</f>
        <v>12000</v>
      </c>
      <c r="FD238" s="12">
        <f t="array" ref="FD238">SUMPRODUCT(TRANSPOSE(FD$9:FD$34),$K238:$AJ238)</f>
        <v>12000</v>
      </c>
      <c r="FE238" s="12">
        <f t="array" ref="FE238">SUMPRODUCT(TRANSPOSE(FE$9:FE$34),$K238:$AJ238)</f>
        <v>12000</v>
      </c>
      <c r="FF238" s="12">
        <f t="array" ref="FF238">SUMPRODUCT(TRANSPOSE(FF$9:FF$34),$K238:$AJ238)</f>
        <v>12000</v>
      </c>
      <c r="FG238" s="12">
        <f t="array" ref="FG238">SUMPRODUCT(TRANSPOSE(FG$9:FG$34),$K238:$AJ238)</f>
        <v>12000</v>
      </c>
      <c r="FH238" s="12">
        <f t="array" ref="FH238">SUMPRODUCT(TRANSPOSE(FH$9:FH$34),$K238:$AJ238)</f>
        <v>12000</v>
      </c>
      <c r="FI238" s="12">
        <f t="array" ref="FI238">SUMPRODUCT(TRANSPOSE(FI$9:FI$34),$K238:$AJ238)</f>
        <v>12000</v>
      </c>
      <c r="FJ238" s="12">
        <f t="array" ref="FJ238">SUMPRODUCT(TRANSPOSE(FJ$9:FJ$34),$K238:$AJ238)</f>
        <v>12000</v>
      </c>
      <c r="FK238" s="12">
        <f t="array" ref="FK238">SUMPRODUCT(TRANSPOSE(FK$9:FK$34),$K238:$AJ238)</f>
        <v>12000</v>
      </c>
      <c r="FL238" s="12">
        <f t="array" ref="FL238">SUMPRODUCT(TRANSPOSE(FL$9:FL$34),$K238:$AJ238)</f>
        <v>12000</v>
      </c>
      <c r="FM238" s="12">
        <f t="array" ref="FM238">SUMPRODUCT(TRANSPOSE(FM$9:FM$34),$K238:$AJ238)</f>
        <v>12000</v>
      </c>
      <c r="FN238" s="12">
        <f t="array" ref="FN238">SUMPRODUCT(TRANSPOSE(FN$9:FN$34),$K238:$AJ238)</f>
        <v>9804</v>
      </c>
      <c r="FO238" s="12">
        <f t="array" ref="FO238">SUMPRODUCT(TRANSPOSE(FO$9:FO$34),$K238:$AJ238)</f>
        <v>0</v>
      </c>
    </row>
    <row r="239" spans="1:171" ht="14.25" x14ac:dyDescent="0.2">
      <c r="A239" s="13">
        <f t="shared" si="13"/>
        <v>204</v>
      </c>
      <c r="B239" s="13" t="s">
        <v>736</v>
      </c>
      <c r="C239" s="25" t="s">
        <v>737</v>
      </c>
      <c r="D239" s="13" t="s">
        <v>67</v>
      </c>
      <c r="E239" s="13">
        <v>402125924</v>
      </c>
      <c r="F239" s="26" t="s">
        <v>738</v>
      </c>
      <c r="G239" s="13">
        <v>417493482</v>
      </c>
      <c r="H239" s="13" t="s">
        <v>61</v>
      </c>
      <c r="I239" s="13">
        <v>2</v>
      </c>
      <c r="J239" s="13">
        <v>45</v>
      </c>
      <c r="K239" s="13">
        <v>0</v>
      </c>
      <c r="L239" s="13">
        <v>0</v>
      </c>
      <c r="M239" s="13">
        <v>0</v>
      </c>
      <c r="N239" s="13">
        <v>0</v>
      </c>
      <c r="O239" s="13">
        <v>15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15</v>
      </c>
      <c r="Y239" s="13"/>
      <c r="Z239" s="13"/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15</v>
      </c>
      <c r="AK239" s="13">
        <f t="shared" si="14"/>
        <v>30</v>
      </c>
      <c r="AL239" s="23">
        <f t="shared" si="12"/>
        <v>1062945</v>
      </c>
      <c r="AM239" s="13"/>
      <c r="AN239" s="13" t="s">
        <v>408</v>
      </c>
      <c r="AO239" s="7" t="s">
        <v>409</v>
      </c>
      <c r="AP239" s="41">
        <v>4.7999999999999996E-3</v>
      </c>
      <c r="AQ239" s="12">
        <v>1070000</v>
      </c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13"/>
      <c r="CG239" s="13"/>
      <c r="CH239" s="13"/>
      <c r="CI239" s="12"/>
      <c r="CJ239" s="12"/>
      <c r="CK239" s="12"/>
      <c r="CL239" s="12"/>
      <c r="CM239" s="12"/>
      <c r="CN239" s="12"/>
      <c r="CO239" s="12"/>
      <c r="CP239" s="12">
        <f>SUM($AQ239:BJ239)-SUM($EA239:EH239)</f>
        <v>964055</v>
      </c>
      <c r="CQ239" s="12">
        <f>SUM($AQ239:BK239)-SUM($EA239:EI239)</f>
        <v>958055</v>
      </c>
      <c r="CR239" s="12">
        <f>SUM($AQ239:BL239)-SUM($EA239:EJ239)</f>
        <v>942830</v>
      </c>
      <c r="CS239" s="12">
        <f>SUM($AQ239:BM239)-SUM($EA239:EK239)</f>
        <v>925805</v>
      </c>
      <c r="CT239" s="12">
        <f>SUM($AQ239:BN239)-SUM($EA239:EL239)</f>
        <v>895580</v>
      </c>
      <c r="CU239" s="12">
        <f>SUM($AQ239:BO239)-SUM($EA239:EM239)</f>
        <v>864830</v>
      </c>
      <c r="CV239" s="12">
        <f>SUM($AQ239:BP239)-SUM($EA239:EN239)</f>
        <v>834080</v>
      </c>
      <c r="CW239" s="12">
        <f>SUM($AQ239:BQ239)-SUM($EA239:EO239)</f>
        <v>804080</v>
      </c>
      <c r="CX239" s="12">
        <f>SUM($AQ239:BR239)-SUM($EA239:EP239)</f>
        <v>773330</v>
      </c>
      <c r="CY239" s="12">
        <f>SUM($AQ239:BS239)-SUM($EA239:EQ239)</f>
        <v>742580</v>
      </c>
      <c r="CZ239" s="12">
        <f>SUM($AQ239:BT239)-SUM($EA239:ER239)</f>
        <v>711830</v>
      </c>
      <c r="DA239" s="12">
        <f>SUM($AQ239:BU239)-SUM($EA239:ES239)</f>
        <v>681080</v>
      </c>
      <c r="DB239" s="12">
        <f>SUM($AQ239:BV239)-SUM($EA239:ET239)</f>
        <v>650330</v>
      </c>
      <c r="DC239" s="12">
        <f>SUM($AQ239:BW239)-SUM($EA239:EU239)</f>
        <v>619580</v>
      </c>
      <c r="DD239" s="12">
        <f>SUM($AQ239:BX239)-SUM($EA239:EV239)</f>
        <v>588830</v>
      </c>
      <c r="DE239" s="12">
        <f>SUM($AQ239:BY239)-SUM($EA239:EW239)</f>
        <v>558680</v>
      </c>
      <c r="DF239" s="12">
        <f>SUM($AQ239:BZ239)-SUM($EA239:EX239)</f>
        <v>528680</v>
      </c>
      <c r="DG239" s="12">
        <f>SUM($AQ239:CA239)-SUM($EA239:EY239)</f>
        <v>498680</v>
      </c>
      <c r="DH239" s="12">
        <f>SUM($AQ239:CB239)-SUM($EA239:EZ239)</f>
        <v>468680</v>
      </c>
      <c r="DI239" s="12">
        <f>SUM($AQ239:CC239)-SUM($EA239:FA239)</f>
        <v>438680</v>
      </c>
      <c r="DJ239" s="12">
        <f>SUM($AQ239:CD239)-SUM($EA239:FB239)</f>
        <v>408680</v>
      </c>
      <c r="DK239" s="12">
        <f>SUM($AQ239:CE239)-SUM($EA239:FC239)</f>
        <v>378680</v>
      </c>
      <c r="DL239" s="12">
        <f>SUM($AQ239:CF239)-SUM($EA239:FD239)</f>
        <v>348680</v>
      </c>
      <c r="DM239" s="12">
        <f>SUM($AQ239:CG239)-SUM($EA239:FE239)</f>
        <v>318680</v>
      </c>
      <c r="DN239" s="12">
        <f>SUM($AQ239:CH239)-SUM($EA239:FF239)</f>
        <v>288680</v>
      </c>
      <c r="DO239" s="12">
        <f>SUM($AQ239:CI239)-SUM($EA239:FG239)</f>
        <v>258680</v>
      </c>
      <c r="DP239" s="12">
        <f>SUM($AQ239:CJ239)-SUM($EA239:FH239)</f>
        <v>228680</v>
      </c>
      <c r="DQ239" s="12">
        <f>SUM($AQ239:CK239)-SUM($EA239:FI239)</f>
        <v>198680</v>
      </c>
      <c r="DR239" s="12">
        <f>SUM($AQ239:CL239)-SUM($EA239:FJ239)</f>
        <v>168680</v>
      </c>
      <c r="DS239" s="12">
        <f>SUM($AQ239:CM239)-SUM($EA239:FK239)</f>
        <v>138680</v>
      </c>
      <c r="DT239" s="12">
        <f>SUM($AQ239:CN239)-SUM($EA239:FL239)</f>
        <v>108680</v>
      </c>
      <c r="DU239" s="12">
        <f>SUM($AQ239:CO239)-SUM($EA239:FM239)</f>
        <v>78680</v>
      </c>
      <c r="DV239" s="12">
        <f>SUM($AQ239:CP239)-SUM($EA239:FN239)</f>
        <v>1017265</v>
      </c>
      <c r="DW239" s="12">
        <f>SUM($AQ239:CQ239)-SUM($EA239:FO239)</f>
        <v>1974165</v>
      </c>
      <c r="DX239" s="13"/>
      <c r="DY239" s="13"/>
      <c r="DZ239" s="13"/>
      <c r="EA239" s="12"/>
      <c r="EB239" s="12"/>
      <c r="EC239" s="12"/>
      <c r="ED239" s="12"/>
      <c r="EE239" s="12"/>
      <c r="EF239" s="12"/>
      <c r="EG239" s="12"/>
      <c r="EH239" s="12">
        <f t="array" ref="EH239">SUMPRODUCT(TRANSPOSE(EH$9:EH$34),$K239:$AJ239)</f>
        <v>105945</v>
      </c>
      <c r="EI239" s="12">
        <f t="array" ref="EI239">SUMPRODUCT(TRANSPOSE(EI$9:EI$34),$K239:$AJ239)</f>
        <v>6000</v>
      </c>
      <c r="EJ239" s="12">
        <f t="array" ref="EJ239">SUMPRODUCT(TRANSPOSE(EJ$9:EJ$34),$K239:$AJ239)</f>
        <v>15225</v>
      </c>
      <c r="EK239" s="12">
        <f t="array" ref="EK239">SUMPRODUCT(TRANSPOSE(EK$9:EK$34),$K239:$AJ239)</f>
        <v>17025</v>
      </c>
      <c r="EL239" s="12">
        <f t="array" ref="EL239">SUMPRODUCT(TRANSPOSE(EL$9:EL$34),$K239:$AJ239)</f>
        <v>30225</v>
      </c>
      <c r="EM239" s="12">
        <f t="array" ref="EM239">SUMPRODUCT(TRANSPOSE(EM$9:EM$34),$K239:$AJ239)</f>
        <v>30750</v>
      </c>
      <c r="EN239" s="12">
        <f t="array" ref="EN239">SUMPRODUCT(TRANSPOSE(EN$9:EN$34),$K239:$AJ239)</f>
        <v>30750</v>
      </c>
      <c r="EO239" s="12">
        <f t="array" ref="EO239">SUMPRODUCT(TRANSPOSE(EO$9:EO$34),$K239:$AJ239)</f>
        <v>30000</v>
      </c>
      <c r="EP239" s="12">
        <f t="array" ref="EP239">SUMPRODUCT(TRANSPOSE(EP$9:EP$34),$K239:$AJ239)</f>
        <v>30750</v>
      </c>
      <c r="EQ239" s="12">
        <f t="array" ref="EQ239">SUMPRODUCT(TRANSPOSE(EQ$9:EQ$34),$K239:$AJ239)</f>
        <v>30750</v>
      </c>
      <c r="ER239" s="12">
        <f t="array" ref="ER239">SUMPRODUCT(TRANSPOSE(ER$9:ER$34),$K239:$AJ239)</f>
        <v>30750</v>
      </c>
      <c r="ES239" s="12">
        <f t="array" ref="ES239">SUMPRODUCT(TRANSPOSE(ES$9:ES$34),$K239:$AJ239)</f>
        <v>30750</v>
      </c>
      <c r="ET239" s="12">
        <f t="array" ref="ET239">SUMPRODUCT(TRANSPOSE(ET$9:ET$34),$K239:$AJ239)</f>
        <v>30750</v>
      </c>
      <c r="EU239" s="12">
        <f t="array" ref="EU239">SUMPRODUCT(TRANSPOSE(EU$9:EU$34),$K239:$AJ239)</f>
        <v>30750</v>
      </c>
      <c r="EV239" s="12">
        <f t="array" ref="EV239">SUMPRODUCT(TRANSPOSE(EV$9:EV$34),$K239:$AJ239)</f>
        <v>30750</v>
      </c>
      <c r="EW239" s="12">
        <f t="array" ref="EW239">SUMPRODUCT(TRANSPOSE(EW$9:EW$34),$K239:$AJ239)</f>
        <v>30150</v>
      </c>
      <c r="EX239" s="12">
        <f t="array" ref="EX239">SUMPRODUCT(TRANSPOSE(EX$9:EX$34),$K239:$AJ239)</f>
        <v>30000</v>
      </c>
      <c r="EY239" s="12">
        <f t="array" ref="EY239">SUMPRODUCT(TRANSPOSE(EY$9:EY$34),$K239:$AJ239)</f>
        <v>30000</v>
      </c>
      <c r="EZ239" s="12">
        <f t="array" ref="EZ239">SUMPRODUCT(TRANSPOSE(EZ$9:EZ$34),$K239:$AJ239)</f>
        <v>30000</v>
      </c>
      <c r="FA239" s="12">
        <f t="array" ref="FA239">SUMPRODUCT(TRANSPOSE(FA$9:FA$34),$K239:$AJ239)</f>
        <v>30000</v>
      </c>
      <c r="FB239" s="12">
        <f t="array" ref="FB239">SUMPRODUCT(TRANSPOSE(FB$9:FB$34),$K239:$AJ239)</f>
        <v>30000</v>
      </c>
      <c r="FC239" s="12">
        <f t="array" ref="FC239">SUMPRODUCT(TRANSPOSE(FC$9:FC$34),$K239:$AJ239)</f>
        <v>30000</v>
      </c>
      <c r="FD239" s="12">
        <f t="array" ref="FD239">SUMPRODUCT(TRANSPOSE(FD$9:FD$34),$K239:$AJ239)</f>
        <v>30000</v>
      </c>
      <c r="FE239" s="12">
        <f t="array" ref="FE239">SUMPRODUCT(TRANSPOSE(FE$9:FE$34),$K239:$AJ239)</f>
        <v>30000</v>
      </c>
      <c r="FF239" s="12">
        <f t="array" ref="FF239">SUMPRODUCT(TRANSPOSE(FF$9:FF$34),$K239:$AJ239)</f>
        <v>30000</v>
      </c>
      <c r="FG239" s="12">
        <f t="array" ref="FG239">SUMPRODUCT(TRANSPOSE(FG$9:FG$34),$K239:$AJ239)</f>
        <v>30000</v>
      </c>
      <c r="FH239" s="12">
        <f t="array" ref="FH239">SUMPRODUCT(TRANSPOSE(FH$9:FH$34),$K239:$AJ239)</f>
        <v>30000</v>
      </c>
      <c r="FI239" s="12">
        <f t="array" ref="FI239">SUMPRODUCT(TRANSPOSE(FI$9:FI$34),$K239:$AJ239)</f>
        <v>30000</v>
      </c>
      <c r="FJ239" s="12">
        <f t="array" ref="FJ239">SUMPRODUCT(TRANSPOSE(FJ$9:FJ$34),$K239:$AJ239)</f>
        <v>30000</v>
      </c>
      <c r="FK239" s="12">
        <f t="array" ref="FK239">SUMPRODUCT(TRANSPOSE(FK$9:FK$34),$K239:$AJ239)</f>
        <v>30000</v>
      </c>
      <c r="FL239" s="12">
        <f t="array" ref="FL239">SUMPRODUCT(TRANSPOSE(FL$9:FL$34),$K239:$AJ239)</f>
        <v>30000</v>
      </c>
      <c r="FM239" s="12">
        <f t="array" ref="FM239">SUMPRODUCT(TRANSPOSE(FM$9:FM$34),$K239:$AJ239)</f>
        <v>30000</v>
      </c>
      <c r="FN239" s="12">
        <f t="array" ref="FN239">SUMPRODUCT(TRANSPOSE(FN$9:FN$34),$K239:$AJ239)</f>
        <v>25470</v>
      </c>
      <c r="FO239" s="12">
        <f t="array" ref="FO239">SUMPRODUCT(TRANSPOSE(FO$9:FO$34),$K239:$AJ239)</f>
        <v>1155</v>
      </c>
    </row>
    <row r="240" spans="1:171" ht="14.25" x14ac:dyDescent="0.2">
      <c r="A240" s="13">
        <f t="shared" si="13"/>
        <v>205</v>
      </c>
      <c r="B240" s="13" t="s">
        <v>739</v>
      </c>
      <c r="C240" s="25" t="s">
        <v>740</v>
      </c>
      <c r="D240" s="13" t="s">
        <v>67</v>
      </c>
      <c r="E240" s="13">
        <v>417049490</v>
      </c>
      <c r="F240" s="26" t="s">
        <v>741</v>
      </c>
      <c r="G240" s="13">
        <v>400326581</v>
      </c>
      <c r="H240" s="13" t="s">
        <v>61</v>
      </c>
      <c r="I240" s="13">
        <v>2</v>
      </c>
      <c r="J240" s="13">
        <v>382</v>
      </c>
      <c r="K240" s="13">
        <v>0</v>
      </c>
      <c r="L240" s="13">
        <v>0</v>
      </c>
      <c r="M240" s="13">
        <v>0</v>
      </c>
      <c r="N240" s="13">
        <v>14</v>
      </c>
      <c r="O240" s="13">
        <v>100</v>
      </c>
      <c r="P240" s="13">
        <v>0</v>
      </c>
      <c r="Q240" s="13">
        <v>0</v>
      </c>
      <c r="R240" s="13">
        <v>0</v>
      </c>
      <c r="S240" s="13">
        <v>34</v>
      </c>
      <c r="T240" s="13">
        <v>0</v>
      </c>
      <c r="U240" s="13">
        <v>0</v>
      </c>
      <c r="V240" s="13">
        <v>0</v>
      </c>
      <c r="W240" s="13">
        <v>0</v>
      </c>
      <c r="X240" s="13">
        <v>100</v>
      </c>
      <c r="Y240" s="13"/>
      <c r="Z240" s="13">
        <v>34</v>
      </c>
      <c r="AA240" s="13">
        <v>0</v>
      </c>
      <c r="AB240" s="13">
        <v>0</v>
      </c>
      <c r="AC240" s="13">
        <v>0</v>
      </c>
      <c r="AD240" s="13">
        <v>34</v>
      </c>
      <c r="AE240" s="13">
        <v>34</v>
      </c>
      <c r="AF240" s="13">
        <v>0</v>
      </c>
      <c r="AG240" s="13">
        <v>0</v>
      </c>
      <c r="AH240" s="13">
        <v>0</v>
      </c>
      <c r="AI240" s="13">
        <v>0</v>
      </c>
      <c r="AJ240" s="13">
        <v>100</v>
      </c>
      <c r="AK240" s="13">
        <f t="shared" si="14"/>
        <v>316</v>
      </c>
      <c r="AL240" s="23">
        <f t="shared" si="12"/>
        <v>8792144</v>
      </c>
      <c r="AM240" s="13"/>
      <c r="AN240" s="13" t="s">
        <v>408</v>
      </c>
      <c r="AO240" s="7" t="s">
        <v>409</v>
      </c>
      <c r="AP240" s="41">
        <v>8.0000000000000004E-4</v>
      </c>
      <c r="AQ240" s="12">
        <v>8780000</v>
      </c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13"/>
      <c r="CG240" s="13"/>
      <c r="CH240" s="13"/>
      <c r="CI240" s="12"/>
      <c r="CJ240" s="12"/>
      <c r="CK240" s="12"/>
      <c r="CL240" s="12"/>
      <c r="CM240" s="12"/>
      <c r="CN240" s="12"/>
      <c r="CO240" s="12"/>
      <c r="CP240" s="12">
        <f>SUM($AQ240:BJ240)-SUM($EA240:EH240)</f>
        <v>7912638</v>
      </c>
      <c r="CQ240" s="12">
        <f>SUM($AQ240:BK240)-SUM($EA240:EI240)</f>
        <v>7863084</v>
      </c>
      <c r="CR240" s="12">
        <f>SUM($AQ240:BL240)-SUM($EA240:EJ240)</f>
        <v>7747074</v>
      </c>
      <c r="CS240" s="12">
        <f>SUM($AQ240:BM240)-SUM($EA240:EK240)</f>
        <v>7614984</v>
      </c>
      <c r="CT240" s="12">
        <f>SUM($AQ240:BN240)-SUM($EA240:EL240)</f>
        <v>7364974</v>
      </c>
      <c r="CU240" s="12">
        <f>SUM($AQ240:BO240)-SUM($EA240:EM240)</f>
        <v>7090274</v>
      </c>
      <c r="CV240" s="12">
        <f>SUM($AQ240:BP240)-SUM($EA240:EN240)</f>
        <v>6833574</v>
      </c>
      <c r="CW240" s="12">
        <f>SUM($AQ240:BQ240)-SUM($EA240:EO240)</f>
        <v>6585574</v>
      </c>
      <c r="CX240" s="12">
        <f>SUM($AQ240:BR240)-SUM($EA240:EP240)</f>
        <v>6330874</v>
      </c>
      <c r="CY240" s="12">
        <f>SUM($AQ240:BS240)-SUM($EA240:EQ240)</f>
        <v>6076174</v>
      </c>
      <c r="CZ240" s="12">
        <f>SUM($AQ240:BT240)-SUM($EA240:ER240)</f>
        <v>5821474</v>
      </c>
      <c r="DA240" s="12">
        <f>SUM($AQ240:BU240)-SUM($EA240:ES240)</f>
        <v>5566774</v>
      </c>
      <c r="DB240" s="12">
        <f>SUM($AQ240:BV240)-SUM($EA240:ET240)</f>
        <v>5312074</v>
      </c>
      <c r="DC240" s="12">
        <f>SUM($AQ240:BW240)-SUM($EA240:EU240)</f>
        <v>5057374</v>
      </c>
      <c r="DD240" s="12">
        <f>SUM($AQ240:BX240)-SUM($EA240:EV240)</f>
        <v>4802674</v>
      </c>
      <c r="DE240" s="12">
        <f>SUM($AQ240:BY240)-SUM($EA240:EW240)</f>
        <v>4552212</v>
      </c>
      <c r="DF240" s="12">
        <f>SUM($AQ240:BZ240)-SUM($EA240:EX240)</f>
        <v>4304212</v>
      </c>
      <c r="DG240" s="12">
        <f>SUM($AQ240:CA240)-SUM($EA240:EY240)</f>
        <v>4056212</v>
      </c>
      <c r="DH240" s="12">
        <f>SUM($AQ240:CB240)-SUM($EA240:EZ240)</f>
        <v>3808212</v>
      </c>
      <c r="DI240" s="12">
        <f>SUM($AQ240:CC240)-SUM($EA240:FA240)</f>
        <v>3560212</v>
      </c>
      <c r="DJ240" s="12">
        <f>SUM($AQ240:CD240)-SUM($EA240:FB240)</f>
        <v>3312212</v>
      </c>
      <c r="DK240" s="12">
        <f>SUM($AQ240:CE240)-SUM($EA240:FC240)</f>
        <v>3064212</v>
      </c>
      <c r="DL240" s="12">
        <f>SUM($AQ240:CF240)-SUM($EA240:FD240)</f>
        <v>2816212</v>
      </c>
      <c r="DM240" s="12">
        <f>SUM($AQ240:CG240)-SUM($EA240:FE240)</f>
        <v>2568212</v>
      </c>
      <c r="DN240" s="12">
        <f>SUM($AQ240:CH240)-SUM($EA240:FF240)</f>
        <v>2320212</v>
      </c>
      <c r="DO240" s="12">
        <f>SUM($AQ240:CI240)-SUM($EA240:FG240)</f>
        <v>2072212</v>
      </c>
      <c r="DP240" s="12">
        <f>SUM($AQ240:CJ240)-SUM($EA240:FH240)</f>
        <v>1824212</v>
      </c>
      <c r="DQ240" s="12">
        <f>SUM($AQ240:CK240)-SUM($EA240:FI240)</f>
        <v>1576212</v>
      </c>
      <c r="DR240" s="12">
        <f>SUM($AQ240:CL240)-SUM($EA240:FJ240)</f>
        <v>1328212</v>
      </c>
      <c r="DS240" s="12">
        <f>SUM($AQ240:CM240)-SUM($EA240:FK240)</f>
        <v>1080212</v>
      </c>
      <c r="DT240" s="12">
        <f>SUM($AQ240:CN240)-SUM($EA240:FL240)</f>
        <v>832212</v>
      </c>
      <c r="DU240" s="12">
        <f>SUM($AQ240:CO240)-SUM($EA240:FM240)</f>
        <v>584212</v>
      </c>
      <c r="DV240" s="12">
        <f>SUM($AQ240:CP240)-SUM($EA240:FN240)</f>
        <v>8285272</v>
      </c>
      <c r="DW240" s="12">
        <f>SUM($AQ240:CQ240)-SUM($EA240:FO240)</f>
        <v>16139578</v>
      </c>
      <c r="DX240" s="13"/>
      <c r="DY240" s="13"/>
      <c r="DZ240" s="13"/>
      <c r="EA240" s="12"/>
      <c r="EB240" s="12"/>
      <c r="EC240" s="12"/>
      <c r="ED240" s="12"/>
      <c r="EE240" s="12"/>
      <c r="EF240" s="12"/>
      <c r="EG240" s="12"/>
      <c r="EH240" s="12">
        <f t="array" ref="EH240">SUMPRODUCT(TRANSPOSE(EH$9:EH$34),$K240:$AJ240)</f>
        <v>867362</v>
      </c>
      <c r="EI240" s="12">
        <f t="array" ref="EI240">SUMPRODUCT(TRANSPOSE(EI$9:EI$34),$K240:$AJ240)</f>
        <v>49554</v>
      </c>
      <c r="EJ240" s="12">
        <f t="array" ref="EJ240">SUMPRODUCT(TRANSPOSE(EJ$9:EJ$34),$K240:$AJ240)</f>
        <v>116010</v>
      </c>
      <c r="EK240" s="12">
        <f t="array" ref="EK240">SUMPRODUCT(TRANSPOSE(EK$9:EK$34),$K240:$AJ240)</f>
        <v>132090</v>
      </c>
      <c r="EL240" s="12">
        <f t="array" ref="EL240">SUMPRODUCT(TRANSPOSE(EL$9:EL$34),$K240:$AJ240)</f>
        <v>250010</v>
      </c>
      <c r="EM240" s="12">
        <f t="array" ref="EM240">SUMPRODUCT(TRANSPOSE(EM$9:EM$34),$K240:$AJ240)</f>
        <v>274700</v>
      </c>
      <c r="EN240" s="12">
        <f t="array" ref="EN240">SUMPRODUCT(TRANSPOSE(EN$9:EN$34),$K240:$AJ240)</f>
        <v>256700</v>
      </c>
      <c r="EO240" s="12">
        <f t="array" ref="EO240">SUMPRODUCT(TRANSPOSE(EO$9:EO$34),$K240:$AJ240)</f>
        <v>248000</v>
      </c>
      <c r="EP240" s="12">
        <f t="array" ref="EP240">SUMPRODUCT(TRANSPOSE(EP$9:EP$34),$K240:$AJ240)</f>
        <v>254700</v>
      </c>
      <c r="EQ240" s="12">
        <f t="array" ref="EQ240">SUMPRODUCT(TRANSPOSE(EQ$9:EQ$34),$K240:$AJ240)</f>
        <v>254700</v>
      </c>
      <c r="ER240" s="12">
        <f t="array" ref="ER240">SUMPRODUCT(TRANSPOSE(ER$9:ER$34),$K240:$AJ240)</f>
        <v>254700</v>
      </c>
      <c r="ES240" s="12">
        <f t="array" ref="ES240">SUMPRODUCT(TRANSPOSE(ES$9:ES$34),$K240:$AJ240)</f>
        <v>254700</v>
      </c>
      <c r="ET240" s="12">
        <f t="array" ref="ET240">SUMPRODUCT(TRANSPOSE(ET$9:ET$34),$K240:$AJ240)</f>
        <v>254700</v>
      </c>
      <c r="EU240" s="12">
        <f t="array" ref="EU240">SUMPRODUCT(TRANSPOSE(EU$9:EU$34),$K240:$AJ240)</f>
        <v>254700</v>
      </c>
      <c r="EV240" s="12">
        <f t="array" ref="EV240">SUMPRODUCT(TRANSPOSE(EV$9:EV$34),$K240:$AJ240)</f>
        <v>254700</v>
      </c>
      <c r="EW240" s="12">
        <f t="array" ref="EW240">SUMPRODUCT(TRANSPOSE(EW$9:EW$34),$K240:$AJ240)</f>
        <v>250462</v>
      </c>
      <c r="EX240" s="12">
        <f t="array" ref="EX240">SUMPRODUCT(TRANSPOSE(EX$9:EX$34),$K240:$AJ240)</f>
        <v>248000</v>
      </c>
      <c r="EY240" s="12">
        <f t="array" ref="EY240">SUMPRODUCT(TRANSPOSE(EY$9:EY$34),$K240:$AJ240)</f>
        <v>248000</v>
      </c>
      <c r="EZ240" s="12">
        <f t="array" ref="EZ240">SUMPRODUCT(TRANSPOSE(EZ$9:EZ$34),$K240:$AJ240)</f>
        <v>248000</v>
      </c>
      <c r="FA240" s="12">
        <f t="array" ref="FA240">SUMPRODUCT(TRANSPOSE(FA$9:FA$34),$K240:$AJ240)</f>
        <v>248000</v>
      </c>
      <c r="FB240" s="12">
        <f t="array" ref="FB240">SUMPRODUCT(TRANSPOSE(FB$9:FB$34),$K240:$AJ240)</f>
        <v>248000</v>
      </c>
      <c r="FC240" s="12">
        <f t="array" ref="FC240">SUMPRODUCT(TRANSPOSE(FC$9:FC$34),$K240:$AJ240)</f>
        <v>248000</v>
      </c>
      <c r="FD240" s="12">
        <f t="array" ref="FD240">SUMPRODUCT(TRANSPOSE(FD$9:FD$34),$K240:$AJ240)</f>
        <v>248000</v>
      </c>
      <c r="FE240" s="12">
        <f t="array" ref="FE240">SUMPRODUCT(TRANSPOSE(FE$9:FE$34),$K240:$AJ240)</f>
        <v>248000</v>
      </c>
      <c r="FF240" s="12">
        <f t="array" ref="FF240">SUMPRODUCT(TRANSPOSE(FF$9:FF$34),$K240:$AJ240)</f>
        <v>248000</v>
      </c>
      <c r="FG240" s="12">
        <f t="array" ref="FG240">SUMPRODUCT(TRANSPOSE(FG$9:FG$34),$K240:$AJ240)</f>
        <v>248000</v>
      </c>
      <c r="FH240" s="12">
        <f t="array" ref="FH240">SUMPRODUCT(TRANSPOSE(FH$9:FH$34),$K240:$AJ240)</f>
        <v>248000</v>
      </c>
      <c r="FI240" s="12">
        <f t="array" ref="FI240">SUMPRODUCT(TRANSPOSE(FI$9:FI$34),$K240:$AJ240)</f>
        <v>248000</v>
      </c>
      <c r="FJ240" s="12">
        <f t="array" ref="FJ240">SUMPRODUCT(TRANSPOSE(FJ$9:FJ$34),$K240:$AJ240)</f>
        <v>248000</v>
      </c>
      <c r="FK240" s="12">
        <f t="array" ref="FK240">SUMPRODUCT(TRANSPOSE(FK$9:FK$34),$K240:$AJ240)</f>
        <v>248000</v>
      </c>
      <c r="FL240" s="12">
        <f t="array" ref="FL240">SUMPRODUCT(TRANSPOSE(FL$9:FL$34),$K240:$AJ240)</f>
        <v>248000</v>
      </c>
      <c r="FM240" s="12">
        <f t="array" ref="FM240">SUMPRODUCT(TRANSPOSE(FM$9:FM$34),$K240:$AJ240)</f>
        <v>248000</v>
      </c>
      <c r="FN240" s="12">
        <f t="array" ref="FN240">SUMPRODUCT(TRANSPOSE(FN$9:FN$34),$K240:$AJ240)</f>
        <v>211578</v>
      </c>
      <c r="FO240" s="12">
        <f t="array" ref="FO240">SUMPRODUCT(TRANSPOSE(FO$9:FO$34),$K240:$AJ240)</f>
        <v>8778</v>
      </c>
    </row>
    <row r="241" spans="1:171" ht="14.25" x14ac:dyDescent="0.2">
      <c r="A241" s="13">
        <f t="shared" si="13"/>
        <v>206</v>
      </c>
      <c r="B241" s="13" t="s">
        <v>742</v>
      </c>
      <c r="C241" s="25" t="s">
        <v>743</v>
      </c>
      <c r="D241" s="13" t="s">
        <v>67</v>
      </c>
      <c r="E241" s="13">
        <v>410434088</v>
      </c>
      <c r="F241" s="26" t="s">
        <v>744</v>
      </c>
      <c r="G241" s="13"/>
      <c r="H241" s="13" t="s">
        <v>61</v>
      </c>
      <c r="I241" s="13">
        <v>2</v>
      </c>
      <c r="J241" s="13">
        <v>8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4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/>
      <c r="Z241" s="13">
        <v>4</v>
      </c>
      <c r="AA241" s="13">
        <v>0</v>
      </c>
      <c r="AB241" s="13">
        <v>0</v>
      </c>
      <c r="AC241" s="13">
        <v>0</v>
      </c>
      <c r="AD241" s="13">
        <v>4</v>
      </c>
      <c r="AE241" s="13">
        <v>4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f t="shared" si="14"/>
        <v>12</v>
      </c>
      <c r="AL241" s="23">
        <f t="shared" si="12"/>
        <v>142660</v>
      </c>
      <c r="AM241" s="13"/>
      <c r="AN241" s="13" t="s">
        <v>408</v>
      </c>
      <c r="AO241" s="7" t="s">
        <v>409</v>
      </c>
      <c r="AP241" s="41">
        <v>4.2000000000000003E-2</v>
      </c>
      <c r="AQ241" s="12">
        <v>145011</v>
      </c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13"/>
      <c r="CG241" s="13"/>
      <c r="CH241" s="13"/>
      <c r="CI241" s="12"/>
      <c r="CJ241" s="12"/>
      <c r="CK241" s="12"/>
      <c r="CL241" s="12"/>
      <c r="CM241" s="12"/>
      <c r="CN241" s="12"/>
      <c r="CO241" s="12"/>
      <c r="CP241" s="12">
        <f>SUM($AQ241:BJ241)-SUM($EA241:EH241)</f>
        <v>132575</v>
      </c>
      <c r="CQ241" s="12">
        <f>SUM($AQ241:BK241)-SUM($EA241:EI241)</f>
        <v>131451</v>
      </c>
      <c r="CR241" s="12">
        <f>SUM($AQ241:BL241)-SUM($EA241:EJ241)</f>
        <v>131391</v>
      </c>
      <c r="CS241" s="12">
        <f>SUM($AQ241:BM241)-SUM($EA241:EK241)</f>
        <v>130851</v>
      </c>
      <c r="CT241" s="12">
        <f>SUM($AQ241:BN241)-SUM($EA241:EL241)</f>
        <v>126791</v>
      </c>
      <c r="CU241" s="12">
        <f>SUM($AQ241:BO241)-SUM($EA241:EM241)</f>
        <v>118591</v>
      </c>
      <c r="CV241" s="12">
        <f>SUM($AQ241:BP241)-SUM($EA241:EN241)</f>
        <v>113991</v>
      </c>
      <c r="CW241" s="12">
        <f>SUM($AQ241:BQ241)-SUM($EA241:EO241)</f>
        <v>109991</v>
      </c>
      <c r="CX241" s="12">
        <f>SUM($AQ241:BR241)-SUM($EA241:EP241)</f>
        <v>105791</v>
      </c>
      <c r="CY241" s="12">
        <f>SUM($AQ241:BS241)-SUM($EA241:EQ241)</f>
        <v>101591</v>
      </c>
      <c r="CZ241" s="12">
        <f>SUM($AQ241:BT241)-SUM($EA241:ER241)</f>
        <v>97391</v>
      </c>
      <c r="DA241" s="12">
        <f>SUM($AQ241:BU241)-SUM($EA241:ES241)</f>
        <v>93191</v>
      </c>
      <c r="DB241" s="12">
        <f>SUM($AQ241:BV241)-SUM($EA241:ET241)</f>
        <v>88991</v>
      </c>
      <c r="DC241" s="12">
        <f>SUM($AQ241:BW241)-SUM($EA241:EU241)</f>
        <v>84791</v>
      </c>
      <c r="DD241" s="12">
        <f>SUM($AQ241:BX241)-SUM($EA241:EV241)</f>
        <v>80591</v>
      </c>
      <c r="DE241" s="12">
        <f>SUM($AQ241:BY241)-SUM($EA241:EW241)</f>
        <v>76419</v>
      </c>
      <c r="DF241" s="12">
        <f>SUM($AQ241:BZ241)-SUM($EA241:EX241)</f>
        <v>72419</v>
      </c>
      <c r="DG241" s="12">
        <f>SUM($AQ241:CA241)-SUM($EA241:EY241)</f>
        <v>68419</v>
      </c>
      <c r="DH241" s="12">
        <f>SUM($AQ241:CB241)-SUM($EA241:EZ241)</f>
        <v>64419</v>
      </c>
      <c r="DI241" s="12">
        <f>SUM($AQ241:CC241)-SUM($EA241:FA241)</f>
        <v>60419</v>
      </c>
      <c r="DJ241" s="12">
        <f>SUM($AQ241:CD241)-SUM($EA241:FB241)</f>
        <v>56419</v>
      </c>
      <c r="DK241" s="12">
        <f>SUM($AQ241:CE241)-SUM($EA241:FC241)</f>
        <v>52419</v>
      </c>
      <c r="DL241" s="12">
        <f>SUM($AQ241:CF241)-SUM($EA241:FD241)</f>
        <v>48419</v>
      </c>
      <c r="DM241" s="12">
        <f>SUM($AQ241:CG241)-SUM($EA241:FE241)</f>
        <v>44419</v>
      </c>
      <c r="DN241" s="12">
        <f>SUM($AQ241:CH241)-SUM($EA241:FF241)</f>
        <v>40419</v>
      </c>
      <c r="DO241" s="12">
        <f>SUM($AQ241:CI241)-SUM($EA241:FG241)</f>
        <v>36419</v>
      </c>
      <c r="DP241" s="12">
        <f>SUM($AQ241:CJ241)-SUM($EA241:FH241)</f>
        <v>32419</v>
      </c>
      <c r="DQ241" s="12">
        <f>SUM($AQ241:CK241)-SUM($EA241:FI241)</f>
        <v>28419</v>
      </c>
      <c r="DR241" s="12">
        <f>SUM($AQ241:CL241)-SUM($EA241:FJ241)</f>
        <v>24419</v>
      </c>
      <c r="DS241" s="12">
        <f>SUM($AQ241:CM241)-SUM($EA241:FK241)</f>
        <v>20419</v>
      </c>
      <c r="DT241" s="12">
        <f>SUM($AQ241:CN241)-SUM($EA241:FL241)</f>
        <v>16419</v>
      </c>
      <c r="DU241" s="12">
        <f>SUM($AQ241:CO241)-SUM($EA241:FM241)</f>
        <v>12419</v>
      </c>
      <c r="DV241" s="12">
        <f>SUM($AQ241:CP241)-SUM($EA241:FN241)</f>
        <v>141726</v>
      </c>
      <c r="DW241" s="12">
        <f>SUM($AQ241:CQ241)-SUM($EA241:FO241)</f>
        <v>273177</v>
      </c>
      <c r="DX241" s="13"/>
      <c r="DY241" s="13"/>
      <c r="DZ241" s="13"/>
      <c r="EA241" s="12"/>
      <c r="EB241" s="12"/>
      <c r="EC241" s="12"/>
      <c r="ED241" s="12"/>
      <c r="EE241" s="12"/>
      <c r="EF241" s="12"/>
      <c r="EG241" s="12"/>
      <c r="EH241" s="12">
        <f t="array" ref="EH241">SUMPRODUCT(TRANSPOSE(EH$9:EH$34),$K241:$AJ241)</f>
        <v>12436</v>
      </c>
      <c r="EI241" s="12">
        <f t="array" ref="EI241">SUMPRODUCT(TRANSPOSE(EI$9:EI$34),$K241:$AJ241)</f>
        <v>1124</v>
      </c>
      <c r="EJ241" s="12">
        <f t="array" ref="EJ241">SUMPRODUCT(TRANSPOSE(EJ$9:EJ$34),$K241:$AJ241)</f>
        <v>60</v>
      </c>
      <c r="EK241" s="12">
        <f t="array" ref="EK241">SUMPRODUCT(TRANSPOSE(EK$9:EK$34),$K241:$AJ241)</f>
        <v>540</v>
      </c>
      <c r="EL241" s="12">
        <f t="array" ref="EL241">SUMPRODUCT(TRANSPOSE(EL$9:EL$34),$K241:$AJ241)</f>
        <v>4060</v>
      </c>
      <c r="EM241" s="12">
        <f t="array" ref="EM241">SUMPRODUCT(TRANSPOSE(EM$9:EM$34),$K241:$AJ241)</f>
        <v>8200</v>
      </c>
      <c r="EN241" s="12">
        <f t="array" ref="EN241">SUMPRODUCT(TRANSPOSE(EN$9:EN$34),$K241:$AJ241)</f>
        <v>4600</v>
      </c>
      <c r="EO241" s="12">
        <f t="array" ref="EO241">SUMPRODUCT(TRANSPOSE(EO$9:EO$34),$K241:$AJ241)</f>
        <v>4000</v>
      </c>
      <c r="EP241" s="12">
        <f t="array" ref="EP241">SUMPRODUCT(TRANSPOSE(EP$9:EP$34),$K241:$AJ241)</f>
        <v>4200</v>
      </c>
      <c r="EQ241" s="12">
        <f t="array" ref="EQ241">SUMPRODUCT(TRANSPOSE(EQ$9:EQ$34),$K241:$AJ241)</f>
        <v>4200</v>
      </c>
      <c r="ER241" s="12">
        <f t="array" ref="ER241">SUMPRODUCT(TRANSPOSE(ER$9:ER$34),$K241:$AJ241)</f>
        <v>4200</v>
      </c>
      <c r="ES241" s="12">
        <f t="array" ref="ES241">SUMPRODUCT(TRANSPOSE(ES$9:ES$34),$K241:$AJ241)</f>
        <v>4200</v>
      </c>
      <c r="ET241" s="12">
        <f t="array" ref="ET241">SUMPRODUCT(TRANSPOSE(ET$9:ET$34),$K241:$AJ241)</f>
        <v>4200</v>
      </c>
      <c r="EU241" s="12">
        <f t="array" ref="EU241">SUMPRODUCT(TRANSPOSE(EU$9:EU$34),$K241:$AJ241)</f>
        <v>4200</v>
      </c>
      <c r="EV241" s="12">
        <f t="array" ref="EV241">SUMPRODUCT(TRANSPOSE(EV$9:EV$34),$K241:$AJ241)</f>
        <v>4200</v>
      </c>
      <c r="EW241" s="12">
        <f t="array" ref="EW241">SUMPRODUCT(TRANSPOSE(EW$9:EW$34),$K241:$AJ241)</f>
        <v>4172</v>
      </c>
      <c r="EX241" s="12">
        <f t="array" ref="EX241">SUMPRODUCT(TRANSPOSE(EX$9:EX$34),$K241:$AJ241)</f>
        <v>4000</v>
      </c>
      <c r="EY241" s="12">
        <f t="array" ref="EY241">SUMPRODUCT(TRANSPOSE(EY$9:EY$34),$K241:$AJ241)</f>
        <v>4000</v>
      </c>
      <c r="EZ241" s="12">
        <f t="array" ref="EZ241">SUMPRODUCT(TRANSPOSE(EZ$9:EZ$34),$K241:$AJ241)</f>
        <v>4000</v>
      </c>
      <c r="FA241" s="12">
        <f t="array" ref="FA241">SUMPRODUCT(TRANSPOSE(FA$9:FA$34),$K241:$AJ241)</f>
        <v>4000</v>
      </c>
      <c r="FB241" s="12">
        <f t="array" ref="FB241">SUMPRODUCT(TRANSPOSE(FB$9:FB$34),$K241:$AJ241)</f>
        <v>4000</v>
      </c>
      <c r="FC241" s="12">
        <f t="array" ref="FC241">SUMPRODUCT(TRANSPOSE(FC$9:FC$34),$K241:$AJ241)</f>
        <v>4000</v>
      </c>
      <c r="FD241" s="12">
        <f t="array" ref="FD241">SUMPRODUCT(TRANSPOSE(FD$9:FD$34),$K241:$AJ241)</f>
        <v>4000</v>
      </c>
      <c r="FE241" s="12">
        <f t="array" ref="FE241">SUMPRODUCT(TRANSPOSE(FE$9:FE$34),$K241:$AJ241)</f>
        <v>4000</v>
      </c>
      <c r="FF241" s="12">
        <f t="array" ref="FF241">SUMPRODUCT(TRANSPOSE(FF$9:FF$34),$K241:$AJ241)</f>
        <v>4000</v>
      </c>
      <c r="FG241" s="12">
        <f t="array" ref="FG241">SUMPRODUCT(TRANSPOSE(FG$9:FG$34),$K241:$AJ241)</f>
        <v>4000</v>
      </c>
      <c r="FH241" s="12">
        <f t="array" ref="FH241">SUMPRODUCT(TRANSPOSE(FH$9:FH$34),$K241:$AJ241)</f>
        <v>4000</v>
      </c>
      <c r="FI241" s="12">
        <f t="array" ref="FI241">SUMPRODUCT(TRANSPOSE(FI$9:FI$34),$K241:$AJ241)</f>
        <v>4000</v>
      </c>
      <c r="FJ241" s="12">
        <f t="array" ref="FJ241">SUMPRODUCT(TRANSPOSE(FJ$9:FJ$34),$K241:$AJ241)</f>
        <v>4000</v>
      </c>
      <c r="FK241" s="12">
        <f t="array" ref="FK241">SUMPRODUCT(TRANSPOSE(FK$9:FK$34),$K241:$AJ241)</f>
        <v>4000</v>
      </c>
      <c r="FL241" s="12">
        <f t="array" ref="FL241">SUMPRODUCT(TRANSPOSE(FL$9:FL$34),$K241:$AJ241)</f>
        <v>4000</v>
      </c>
      <c r="FM241" s="12">
        <f t="array" ref="FM241">SUMPRODUCT(TRANSPOSE(FM$9:FM$34),$K241:$AJ241)</f>
        <v>4000</v>
      </c>
      <c r="FN241" s="12">
        <f t="array" ref="FN241">SUMPRODUCT(TRANSPOSE(FN$9:FN$34),$K241:$AJ241)</f>
        <v>3268</v>
      </c>
      <c r="FO241" s="12">
        <f t="array" ref="FO241">SUMPRODUCT(TRANSPOSE(FO$9:FO$34),$K241:$AJ241)</f>
        <v>0</v>
      </c>
    </row>
    <row r="242" spans="1:171" ht="14.25" x14ac:dyDescent="0.2">
      <c r="A242" s="13">
        <f t="shared" si="13"/>
        <v>207</v>
      </c>
      <c r="B242" s="13" t="s">
        <v>745</v>
      </c>
      <c r="C242" s="25" t="s">
        <v>746</v>
      </c>
      <c r="D242" s="13" t="s">
        <v>67</v>
      </c>
      <c r="E242" s="13">
        <v>411048246</v>
      </c>
      <c r="F242" s="26" t="s">
        <v>747</v>
      </c>
      <c r="G242" s="13"/>
      <c r="H242" s="13" t="s">
        <v>61</v>
      </c>
      <c r="I242" s="13">
        <v>2</v>
      </c>
      <c r="J242" s="13">
        <v>32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16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/>
      <c r="Z242" s="13">
        <v>16</v>
      </c>
      <c r="AA242" s="13">
        <v>0</v>
      </c>
      <c r="AB242" s="13">
        <v>0</v>
      </c>
      <c r="AC242" s="13">
        <v>0</v>
      </c>
      <c r="AD242" s="13">
        <v>16</v>
      </c>
      <c r="AE242" s="13">
        <v>16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f t="shared" si="14"/>
        <v>48</v>
      </c>
      <c r="AL242" s="23">
        <f t="shared" si="12"/>
        <v>570640</v>
      </c>
      <c r="AM242" s="13"/>
      <c r="AN242" s="13" t="s">
        <v>408</v>
      </c>
      <c r="AO242" s="7" t="s">
        <v>409</v>
      </c>
      <c r="AP242" s="41">
        <v>0.17</v>
      </c>
      <c r="AQ242" s="12">
        <v>295000</v>
      </c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13"/>
      <c r="CG242" s="13"/>
      <c r="CH242" s="13"/>
      <c r="CI242" s="12"/>
      <c r="CJ242" s="12"/>
      <c r="CK242" s="12"/>
      <c r="CL242" s="12"/>
      <c r="CM242" s="12"/>
      <c r="CN242" s="12"/>
      <c r="CO242" s="12"/>
      <c r="CP242" s="12">
        <f>SUM($AQ242:BJ242)-SUM($EA242:EH242)</f>
        <v>245256</v>
      </c>
      <c r="CQ242" s="12">
        <f>SUM($AQ242:BK242)-SUM($EA242:EI242)</f>
        <v>240760</v>
      </c>
      <c r="CR242" s="12">
        <f>SUM($AQ242:BL242)-SUM($EA242:EJ242)</f>
        <v>240520</v>
      </c>
      <c r="CS242" s="12">
        <f>SUM($AQ242:BM242)-SUM($EA242:EK242)</f>
        <v>238360</v>
      </c>
      <c r="CT242" s="12">
        <f>SUM($AQ242:BN242)-SUM($EA242:EL242)</f>
        <v>222120</v>
      </c>
      <c r="CU242" s="12">
        <f>SUM($AQ242:BO242)-SUM($EA242:EM242)</f>
        <v>189320</v>
      </c>
      <c r="CV242" s="12">
        <f>SUM($AQ242:BP242)-SUM($EA242:EN242)</f>
        <v>170920</v>
      </c>
      <c r="CW242" s="12">
        <f>SUM($AQ242:BQ242)-SUM($EA242:EO242)</f>
        <v>154920</v>
      </c>
      <c r="CX242" s="12">
        <f>SUM($AQ242:BR242)-SUM($EA242:EP242)</f>
        <v>138120</v>
      </c>
      <c r="CY242" s="12">
        <f>SUM($AQ242:BS242)-SUM($EA242:EQ242)</f>
        <v>121320</v>
      </c>
      <c r="CZ242" s="12">
        <f>SUM($AQ242:BT242)-SUM($EA242:ER242)</f>
        <v>104520</v>
      </c>
      <c r="DA242" s="12">
        <f>SUM($AQ242:BU242)-SUM($EA242:ES242)</f>
        <v>87720</v>
      </c>
      <c r="DB242" s="12">
        <f>SUM($AQ242:BV242)-SUM($EA242:ET242)</f>
        <v>70920</v>
      </c>
      <c r="DC242" s="12">
        <f>SUM($AQ242:BW242)-SUM($EA242:EU242)</f>
        <v>54120</v>
      </c>
      <c r="DD242" s="12">
        <f>SUM($AQ242:BX242)-SUM($EA242:EV242)</f>
        <v>37320</v>
      </c>
      <c r="DE242" s="12">
        <f>SUM($AQ242:BY242)-SUM($EA242:EW242)</f>
        <v>20632</v>
      </c>
      <c r="DF242" s="12">
        <f>SUM($AQ242:BZ242)-SUM($EA242:EX242)</f>
        <v>4632</v>
      </c>
      <c r="DG242" s="12">
        <f>SUM($AQ242:CA242)-SUM($EA242:EY242)</f>
        <v>-11368</v>
      </c>
      <c r="DH242" s="12">
        <f>SUM($AQ242:CB242)-SUM($EA242:EZ242)</f>
        <v>-27368</v>
      </c>
      <c r="DI242" s="12">
        <f>SUM($AQ242:CC242)-SUM($EA242:FA242)</f>
        <v>-43368</v>
      </c>
      <c r="DJ242" s="12">
        <f>SUM($AQ242:CD242)-SUM($EA242:FB242)</f>
        <v>-59368</v>
      </c>
      <c r="DK242" s="12">
        <f>SUM($AQ242:CE242)-SUM($EA242:FC242)</f>
        <v>-75368</v>
      </c>
      <c r="DL242" s="12">
        <f>SUM($AQ242:CF242)-SUM($EA242:FD242)</f>
        <v>-91368</v>
      </c>
      <c r="DM242" s="12">
        <f>SUM($AQ242:CG242)-SUM($EA242:FE242)</f>
        <v>-107368</v>
      </c>
      <c r="DN242" s="12">
        <f>SUM($AQ242:CH242)-SUM($EA242:FF242)</f>
        <v>-123368</v>
      </c>
      <c r="DO242" s="12">
        <f>SUM($AQ242:CI242)-SUM($EA242:FG242)</f>
        <v>-139368</v>
      </c>
      <c r="DP242" s="12">
        <f>SUM($AQ242:CJ242)-SUM($EA242:FH242)</f>
        <v>-155368</v>
      </c>
      <c r="DQ242" s="12">
        <f>SUM($AQ242:CK242)-SUM($EA242:FI242)</f>
        <v>-171368</v>
      </c>
      <c r="DR242" s="12">
        <f>SUM($AQ242:CL242)-SUM($EA242:FJ242)</f>
        <v>-187368</v>
      </c>
      <c r="DS242" s="12">
        <f>SUM($AQ242:CM242)-SUM($EA242:FK242)</f>
        <v>-203368</v>
      </c>
      <c r="DT242" s="12">
        <f>SUM($AQ242:CN242)-SUM($EA242:FL242)</f>
        <v>-219368</v>
      </c>
      <c r="DU242" s="12">
        <f>SUM($AQ242:CO242)-SUM($EA242:FM242)</f>
        <v>-235368</v>
      </c>
      <c r="DV242" s="12">
        <f>SUM($AQ242:CP242)-SUM($EA242:FN242)</f>
        <v>-3184</v>
      </c>
      <c r="DW242" s="12">
        <f>SUM($AQ242:CQ242)-SUM($EA242:FO242)</f>
        <v>237576</v>
      </c>
      <c r="DX242" s="13"/>
      <c r="DY242" s="13"/>
      <c r="DZ242" s="13"/>
      <c r="EA242" s="12"/>
      <c r="EB242" s="12"/>
      <c r="EC242" s="12"/>
      <c r="ED242" s="12"/>
      <c r="EE242" s="12"/>
      <c r="EF242" s="12"/>
      <c r="EG242" s="12"/>
      <c r="EH242" s="12">
        <f t="array" ref="EH242">SUMPRODUCT(TRANSPOSE(EH$9:EH$34),$K242:$AJ242)</f>
        <v>49744</v>
      </c>
      <c r="EI242" s="12">
        <f t="array" ref="EI242">SUMPRODUCT(TRANSPOSE(EI$9:EI$34),$K242:$AJ242)</f>
        <v>4496</v>
      </c>
      <c r="EJ242" s="12">
        <f t="array" ref="EJ242">SUMPRODUCT(TRANSPOSE(EJ$9:EJ$34),$K242:$AJ242)</f>
        <v>240</v>
      </c>
      <c r="EK242" s="12">
        <f t="array" ref="EK242">SUMPRODUCT(TRANSPOSE(EK$9:EK$34),$K242:$AJ242)</f>
        <v>2160</v>
      </c>
      <c r="EL242" s="12">
        <f t="array" ref="EL242">SUMPRODUCT(TRANSPOSE(EL$9:EL$34),$K242:$AJ242)</f>
        <v>16240</v>
      </c>
      <c r="EM242" s="12">
        <f t="array" ref="EM242">SUMPRODUCT(TRANSPOSE(EM$9:EM$34),$K242:$AJ242)</f>
        <v>32800</v>
      </c>
      <c r="EN242" s="12">
        <f t="array" ref="EN242">SUMPRODUCT(TRANSPOSE(EN$9:EN$34),$K242:$AJ242)</f>
        <v>18400</v>
      </c>
      <c r="EO242" s="12">
        <f t="array" ref="EO242">SUMPRODUCT(TRANSPOSE(EO$9:EO$34),$K242:$AJ242)</f>
        <v>16000</v>
      </c>
      <c r="EP242" s="12">
        <f t="array" ref="EP242">SUMPRODUCT(TRANSPOSE(EP$9:EP$34),$K242:$AJ242)</f>
        <v>16800</v>
      </c>
      <c r="EQ242" s="12">
        <f t="array" ref="EQ242">SUMPRODUCT(TRANSPOSE(EQ$9:EQ$34),$K242:$AJ242)</f>
        <v>16800</v>
      </c>
      <c r="ER242" s="12">
        <f t="array" ref="ER242">SUMPRODUCT(TRANSPOSE(ER$9:ER$34),$K242:$AJ242)</f>
        <v>16800</v>
      </c>
      <c r="ES242" s="12">
        <f t="array" ref="ES242">SUMPRODUCT(TRANSPOSE(ES$9:ES$34),$K242:$AJ242)</f>
        <v>16800</v>
      </c>
      <c r="ET242" s="12">
        <f t="array" ref="ET242">SUMPRODUCT(TRANSPOSE(ET$9:ET$34),$K242:$AJ242)</f>
        <v>16800</v>
      </c>
      <c r="EU242" s="12">
        <f t="array" ref="EU242">SUMPRODUCT(TRANSPOSE(EU$9:EU$34),$K242:$AJ242)</f>
        <v>16800</v>
      </c>
      <c r="EV242" s="12">
        <f t="array" ref="EV242">SUMPRODUCT(TRANSPOSE(EV$9:EV$34),$K242:$AJ242)</f>
        <v>16800</v>
      </c>
      <c r="EW242" s="12">
        <f t="array" ref="EW242">SUMPRODUCT(TRANSPOSE(EW$9:EW$34),$K242:$AJ242)</f>
        <v>16688</v>
      </c>
      <c r="EX242" s="12">
        <f t="array" ref="EX242">SUMPRODUCT(TRANSPOSE(EX$9:EX$34),$K242:$AJ242)</f>
        <v>16000</v>
      </c>
      <c r="EY242" s="12">
        <f t="array" ref="EY242">SUMPRODUCT(TRANSPOSE(EY$9:EY$34),$K242:$AJ242)</f>
        <v>16000</v>
      </c>
      <c r="EZ242" s="12">
        <f t="array" ref="EZ242">SUMPRODUCT(TRANSPOSE(EZ$9:EZ$34),$K242:$AJ242)</f>
        <v>16000</v>
      </c>
      <c r="FA242" s="12">
        <f t="array" ref="FA242">SUMPRODUCT(TRANSPOSE(FA$9:FA$34),$K242:$AJ242)</f>
        <v>16000</v>
      </c>
      <c r="FB242" s="12">
        <f t="array" ref="FB242">SUMPRODUCT(TRANSPOSE(FB$9:FB$34),$K242:$AJ242)</f>
        <v>16000</v>
      </c>
      <c r="FC242" s="12">
        <f t="array" ref="FC242">SUMPRODUCT(TRANSPOSE(FC$9:FC$34),$K242:$AJ242)</f>
        <v>16000</v>
      </c>
      <c r="FD242" s="12">
        <f t="array" ref="FD242">SUMPRODUCT(TRANSPOSE(FD$9:FD$34),$K242:$AJ242)</f>
        <v>16000</v>
      </c>
      <c r="FE242" s="12">
        <f t="array" ref="FE242">SUMPRODUCT(TRANSPOSE(FE$9:FE$34),$K242:$AJ242)</f>
        <v>16000</v>
      </c>
      <c r="FF242" s="12">
        <f t="array" ref="FF242">SUMPRODUCT(TRANSPOSE(FF$9:FF$34),$K242:$AJ242)</f>
        <v>16000</v>
      </c>
      <c r="FG242" s="12">
        <f t="array" ref="FG242">SUMPRODUCT(TRANSPOSE(FG$9:FG$34),$K242:$AJ242)</f>
        <v>16000</v>
      </c>
      <c r="FH242" s="12">
        <f t="array" ref="FH242">SUMPRODUCT(TRANSPOSE(FH$9:FH$34),$K242:$AJ242)</f>
        <v>16000</v>
      </c>
      <c r="FI242" s="12">
        <f t="array" ref="FI242">SUMPRODUCT(TRANSPOSE(FI$9:FI$34),$K242:$AJ242)</f>
        <v>16000</v>
      </c>
      <c r="FJ242" s="12">
        <f t="array" ref="FJ242">SUMPRODUCT(TRANSPOSE(FJ$9:FJ$34),$K242:$AJ242)</f>
        <v>16000</v>
      </c>
      <c r="FK242" s="12">
        <f t="array" ref="FK242">SUMPRODUCT(TRANSPOSE(FK$9:FK$34),$K242:$AJ242)</f>
        <v>16000</v>
      </c>
      <c r="FL242" s="12">
        <f t="array" ref="FL242">SUMPRODUCT(TRANSPOSE(FL$9:FL$34),$K242:$AJ242)</f>
        <v>16000</v>
      </c>
      <c r="FM242" s="12">
        <f t="array" ref="FM242">SUMPRODUCT(TRANSPOSE(FM$9:FM$34),$K242:$AJ242)</f>
        <v>16000</v>
      </c>
      <c r="FN242" s="12">
        <f t="array" ref="FN242">SUMPRODUCT(TRANSPOSE(FN$9:FN$34),$K242:$AJ242)</f>
        <v>13072</v>
      </c>
      <c r="FO242" s="12">
        <f t="array" ref="FO242">SUMPRODUCT(TRANSPOSE(FO$9:FO$34),$K242:$AJ242)</f>
        <v>0</v>
      </c>
    </row>
    <row r="243" spans="1:171" ht="14.25" x14ac:dyDescent="0.2">
      <c r="A243" s="13">
        <f t="shared" si="13"/>
        <v>208</v>
      </c>
      <c r="B243" s="13" t="s">
        <v>748</v>
      </c>
      <c r="C243" s="25" t="s">
        <v>749</v>
      </c>
      <c r="D243" s="13" t="s">
        <v>67</v>
      </c>
      <c r="E243" s="13">
        <v>400416555</v>
      </c>
      <c r="F243" s="26" t="s">
        <v>750</v>
      </c>
      <c r="G243" s="13">
        <v>417372705</v>
      </c>
      <c r="H243" s="13" t="s">
        <v>61</v>
      </c>
      <c r="I243" s="13">
        <v>2</v>
      </c>
      <c r="J243" s="13">
        <v>40</v>
      </c>
      <c r="K243" s="13">
        <v>0</v>
      </c>
      <c r="L243" s="13">
        <v>0</v>
      </c>
      <c r="M243" s="13">
        <v>0</v>
      </c>
      <c r="N243" s="13">
        <v>0</v>
      </c>
      <c r="O243" s="13">
        <v>8</v>
      </c>
      <c r="P243" s="13">
        <v>0</v>
      </c>
      <c r="Q243" s="13">
        <v>0</v>
      </c>
      <c r="R243" s="13">
        <v>0</v>
      </c>
      <c r="S243" s="13">
        <v>8</v>
      </c>
      <c r="T243" s="13">
        <v>0</v>
      </c>
      <c r="U243" s="13">
        <v>0</v>
      </c>
      <c r="V243" s="13">
        <v>0</v>
      </c>
      <c r="W243" s="13">
        <v>0</v>
      </c>
      <c r="X243" s="13">
        <v>8</v>
      </c>
      <c r="Y243" s="13"/>
      <c r="Z243" s="13">
        <v>8</v>
      </c>
      <c r="AA243" s="13">
        <v>0</v>
      </c>
      <c r="AB243" s="13">
        <v>0</v>
      </c>
      <c r="AC243" s="13">
        <v>0</v>
      </c>
      <c r="AD243" s="13">
        <v>8</v>
      </c>
      <c r="AE243" s="13">
        <v>8</v>
      </c>
      <c r="AF243" s="13">
        <v>0</v>
      </c>
      <c r="AG243" s="13">
        <v>0</v>
      </c>
      <c r="AH243" s="13">
        <v>0</v>
      </c>
      <c r="AI243" s="13">
        <v>0</v>
      </c>
      <c r="AJ243" s="13">
        <v>8</v>
      </c>
      <c r="AK243" s="13">
        <f t="shared" si="14"/>
        <v>40</v>
      </c>
      <c r="AL243" s="23">
        <f t="shared" si="12"/>
        <v>852224</v>
      </c>
      <c r="AM243" s="13"/>
      <c r="AN243" s="13" t="s">
        <v>408</v>
      </c>
      <c r="AO243" s="7" t="s">
        <v>409</v>
      </c>
      <c r="AP243" s="41">
        <v>6.5000000000000002E-2</v>
      </c>
      <c r="AQ243" s="12">
        <v>439000</v>
      </c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13"/>
      <c r="CG243" s="13"/>
      <c r="CH243" s="13"/>
      <c r="CI243" s="12"/>
      <c r="CJ243" s="12"/>
      <c r="CK243" s="12"/>
      <c r="CL243" s="12"/>
      <c r="CM243" s="12"/>
      <c r="CN243" s="12"/>
      <c r="CO243" s="12"/>
      <c r="CP243" s="12">
        <f>SUM($AQ243:BJ243)-SUM($EA243:EH243)</f>
        <v>357624</v>
      </c>
      <c r="CQ243" s="12">
        <f>SUM($AQ243:BK243)-SUM($EA243:EI243)</f>
        <v>352176</v>
      </c>
      <c r="CR243" s="12">
        <f>SUM($AQ243:BL243)-SUM($EA243:EJ243)</f>
        <v>343936</v>
      </c>
      <c r="CS243" s="12">
        <f>SUM($AQ243:BM243)-SUM($EA243:EK243)</f>
        <v>333776</v>
      </c>
      <c r="CT243" s="12">
        <f>SUM($AQ243:BN243)-SUM($EA243:EL243)</f>
        <v>309536</v>
      </c>
      <c r="CU243" s="12">
        <f>SUM($AQ243:BO243)-SUM($EA243:EM243)</f>
        <v>276736</v>
      </c>
      <c r="CV243" s="12">
        <f>SUM($AQ243:BP243)-SUM($EA243:EN243)</f>
        <v>251136</v>
      </c>
      <c r="CW243" s="12">
        <f>SUM($AQ243:BQ243)-SUM($EA243:EO243)</f>
        <v>227136</v>
      </c>
      <c r="CX243" s="12">
        <f>SUM($AQ243:BR243)-SUM($EA243:EP243)</f>
        <v>202336</v>
      </c>
      <c r="CY243" s="12">
        <f>SUM($AQ243:BS243)-SUM($EA243:EQ243)</f>
        <v>177536</v>
      </c>
      <c r="CZ243" s="12">
        <f>SUM($AQ243:BT243)-SUM($EA243:ER243)</f>
        <v>152736</v>
      </c>
      <c r="DA243" s="12">
        <f>SUM($AQ243:BU243)-SUM($EA243:ES243)</f>
        <v>127936</v>
      </c>
      <c r="DB243" s="12">
        <f>SUM($AQ243:BV243)-SUM($EA243:ET243)</f>
        <v>103136</v>
      </c>
      <c r="DC243" s="12">
        <f>SUM($AQ243:BW243)-SUM($EA243:EU243)</f>
        <v>78336</v>
      </c>
      <c r="DD243" s="12">
        <f>SUM($AQ243:BX243)-SUM($EA243:EV243)</f>
        <v>53536</v>
      </c>
      <c r="DE243" s="12">
        <f>SUM($AQ243:BY243)-SUM($EA243:EW243)</f>
        <v>29112</v>
      </c>
      <c r="DF243" s="12">
        <f>SUM($AQ243:BZ243)-SUM($EA243:EX243)</f>
        <v>5112</v>
      </c>
      <c r="DG243" s="12">
        <f>SUM($AQ243:CA243)-SUM($EA243:EY243)</f>
        <v>-18888</v>
      </c>
      <c r="DH243" s="12">
        <f>SUM($AQ243:CB243)-SUM($EA243:EZ243)</f>
        <v>-42888</v>
      </c>
      <c r="DI243" s="12">
        <f>SUM($AQ243:CC243)-SUM($EA243:FA243)</f>
        <v>-66888</v>
      </c>
      <c r="DJ243" s="12">
        <f>SUM($AQ243:CD243)-SUM($EA243:FB243)</f>
        <v>-90888</v>
      </c>
      <c r="DK243" s="12">
        <f>SUM($AQ243:CE243)-SUM($EA243:FC243)</f>
        <v>-114888</v>
      </c>
      <c r="DL243" s="12">
        <f>SUM($AQ243:CF243)-SUM($EA243:FD243)</f>
        <v>-138888</v>
      </c>
      <c r="DM243" s="12">
        <f>SUM($AQ243:CG243)-SUM($EA243:FE243)</f>
        <v>-162888</v>
      </c>
      <c r="DN243" s="12">
        <f>SUM($AQ243:CH243)-SUM($EA243:FF243)</f>
        <v>-186888</v>
      </c>
      <c r="DO243" s="12">
        <f>SUM($AQ243:CI243)-SUM($EA243:FG243)</f>
        <v>-210888</v>
      </c>
      <c r="DP243" s="12">
        <f>SUM($AQ243:CJ243)-SUM($EA243:FH243)</f>
        <v>-234888</v>
      </c>
      <c r="DQ243" s="12">
        <f>SUM($AQ243:CK243)-SUM($EA243:FI243)</f>
        <v>-258888</v>
      </c>
      <c r="DR243" s="12">
        <f>SUM($AQ243:CL243)-SUM($EA243:FJ243)</f>
        <v>-282888</v>
      </c>
      <c r="DS243" s="12">
        <f>SUM($AQ243:CM243)-SUM($EA243:FK243)</f>
        <v>-306888</v>
      </c>
      <c r="DT243" s="12">
        <f>SUM($AQ243:CN243)-SUM($EA243:FL243)</f>
        <v>-330888</v>
      </c>
      <c r="DU243" s="12">
        <f>SUM($AQ243:CO243)-SUM($EA243:FM243)</f>
        <v>-354888</v>
      </c>
      <c r="DV243" s="12">
        <f>SUM($AQ243:CP243)-SUM($EA243:FN243)</f>
        <v>-17384</v>
      </c>
      <c r="DW243" s="12">
        <f>SUM($AQ243:CQ243)-SUM($EA243:FO243)</f>
        <v>334176</v>
      </c>
      <c r="DX243" s="13"/>
      <c r="DY243" s="13"/>
      <c r="DZ243" s="13"/>
      <c r="EA243" s="12"/>
      <c r="EB243" s="12"/>
      <c r="EC243" s="12"/>
      <c r="ED243" s="12"/>
      <c r="EE243" s="12"/>
      <c r="EF243" s="12"/>
      <c r="EG243" s="12"/>
      <c r="EH243" s="12">
        <f t="array" ref="EH243">SUMPRODUCT(TRANSPOSE(EH$9:EH$34),$K243:$AJ243)</f>
        <v>81376</v>
      </c>
      <c r="EI243" s="12">
        <f t="array" ref="EI243">SUMPRODUCT(TRANSPOSE(EI$9:EI$34),$K243:$AJ243)</f>
        <v>5448</v>
      </c>
      <c r="EJ243" s="12">
        <f t="array" ref="EJ243">SUMPRODUCT(TRANSPOSE(EJ$9:EJ$34),$K243:$AJ243)</f>
        <v>8240</v>
      </c>
      <c r="EK243" s="12">
        <f t="array" ref="EK243">SUMPRODUCT(TRANSPOSE(EK$9:EK$34),$K243:$AJ243)</f>
        <v>10160</v>
      </c>
      <c r="EL243" s="12">
        <f t="array" ref="EL243">SUMPRODUCT(TRANSPOSE(EL$9:EL$34),$K243:$AJ243)</f>
        <v>24240</v>
      </c>
      <c r="EM243" s="12">
        <f t="array" ref="EM243">SUMPRODUCT(TRANSPOSE(EM$9:EM$34),$K243:$AJ243)</f>
        <v>32800</v>
      </c>
      <c r="EN243" s="12">
        <f t="array" ref="EN243">SUMPRODUCT(TRANSPOSE(EN$9:EN$34),$K243:$AJ243)</f>
        <v>25600</v>
      </c>
      <c r="EO243" s="12">
        <f t="array" ref="EO243">SUMPRODUCT(TRANSPOSE(EO$9:EO$34),$K243:$AJ243)</f>
        <v>24000</v>
      </c>
      <c r="EP243" s="12">
        <f t="array" ref="EP243">SUMPRODUCT(TRANSPOSE(EP$9:EP$34),$K243:$AJ243)</f>
        <v>24800</v>
      </c>
      <c r="EQ243" s="12">
        <f t="array" ref="EQ243">SUMPRODUCT(TRANSPOSE(EQ$9:EQ$34),$K243:$AJ243)</f>
        <v>24800</v>
      </c>
      <c r="ER243" s="12">
        <f t="array" ref="ER243">SUMPRODUCT(TRANSPOSE(ER$9:ER$34),$K243:$AJ243)</f>
        <v>24800</v>
      </c>
      <c r="ES243" s="12">
        <f t="array" ref="ES243">SUMPRODUCT(TRANSPOSE(ES$9:ES$34),$K243:$AJ243)</f>
        <v>24800</v>
      </c>
      <c r="ET243" s="12">
        <f t="array" ref="ET243">SUMPRODUCT(TRANSPOSE(ET$9:ET$34),$K243:$AJ243)</f>
        <v>24800</v>
      </c>
      <c r="EU243" s="12">
        <f t="array" ref="EU243">SUMPRODUCT(TRANSPOSE(EU$9:EU$34),$K243:$AJ243)</f>
        <v>24800</v>
      </c>
      <c r="EV243" s="12">
        <f t="array" ref="EV243">SUMPRODUCT(TRANSPOSE(EV$9:EV$34),$K243:$AJ243)</f>
        <v>24800</v>
      </c>
      <c r="EW243" s="12">
        <f t="array" ref="EW243">SUMPRODUCT(TRANSPOSE(EW$9:EW$34),$K243:$AJ243)</f>
        <v>24424</v>
      </c>
      <c r="EX243" s="12">
        <f t="array" ref="EX243">SUMPRODUCT(TRANSPOSE(EX$9:EX$34),$K243:$AJ243)</f>
        <v>24000</v>
      </c>
      <c r="EY243" s="12">
        <f t="array" ref="EY243">SUMPRODUCT(TRANSPOSE(EY$9:EY$34),$K243:$AJ243)</f>
        <v>24000</v>
      </c>
      <c r="EZ243" s="12">
        <f t="array" ref="EZ243">SUMPRODUCT(TRANSPOSE(EZ$9:EZ$34),$K243:$AJ243)</f>
        <v>24000</v>
      </c>
      <c r="FA243" s="12">
        <f t="array" ref="FA243">SUMPRODUCT(TRANSPOSE(FA$9:FA$34),$K243:$AJ243)</f>
        <v>24000</v>
      </c>
      <c r="FB243" s="12">
        <f t="array" ref="FB243">SUMPRODUCT(TRANSPOSE(FB$9:FB$34),$K243:$AJ243)</f>
        <v>24000</v>
      </c>
      <c r="FC243" s="12">
        <f t="array" ref="FC243">SUMPRODUCT(TRANSPOSE(FC$9:FC$34),$K243:$AJ243)</f>
        <v>24000</v>
      </c>
      <c r="FD243" s="12">
        <f t="array" ref="FD243">SUMPRODUCT(TRANSPOSE(FD$9:FD$34),$K243:$AJ243)</f>
        <v>24000</v>
      </c>
      <c r="FE243" s="12">
        <f t="array" ref="FE243">SUMPRODUCT(TRANSPOSE(FE$9:FE$34),$K243:$AJ243)</f>
        <v>24000</v>
      </c>
      <c r="FF243" s="12">
        <f t="array" ref="FF243">SUMPRODUCT(TRANSPOSE(FF$9:FF$34),$K243:$AJ243)</f>
        <v>24000</v>
      </c>
      <c r="FG243" s="12">
        <f t="array" ref="FG243">SUMPRODUCT(TRANSPOSE(FG$9:FG$34),$K243:$AJ243)</f>
        <v>24000</v>
      </c>
      <c r="FH243" s="12">
        <f t="array" ref="FH243">SUMPRODUCT(TRANSPOSE(FH$9:FH$34),$K243:$AJ243)</f>
        <v>24000</v>
      </c>
      <c r="FI243" s="12">
        <f t="array" ref="FI243">SUMPRODUCT(TRANSPOSE(FI$9:FI$34),$K243:$AJ243)</f>
        <v>24000</v>
      </c>
      <c r="FJ243" s="12">
        <f t="array" ref="FJ243">SUMPRODUCT(TRANSPOSE(FJ$9:FJ$34),$K243:$AJ243)</f>
        <v>24000</v>
      </c>
      <c r="FK243" s="12">
        <f t="array" ref="FK243">SUMPRODUCT(TRANSPOSE(FK$9:FK$34),$K243:$AJ243)</f>
        <v>24000</v>
      </c>
      <c r="FL243" s="12">
        <f t="array" ref="FL243">SUMPRODUCT(TRANSPOSE(FL$9:FL$34),$K243:$AJ243)</f>
        <v>24000</v>
      </c>
      <c r="FM243" s="12">
        <f t="array" ref="FM243">SUMPRODUCT(TRANSPOSE(FM$9:FM$34),$K243:$AJ243)</f>
        <v>24000</v>
      </c>
      <c r="FN243" s="12">
        <f t="array" ref="FN243">SUMPRODUCT(TRANSPOSE(FN$9:FN$34),$K243:$AJ243)</f>
        <v>20120</v>
      </c>
      <c r="FO243" s="12">
        <f t="array" ref="FO243">SUMPRODUCT(TRANSPOSE(FO$9:FO$34),$K243:$AJ243)</f>
        <v>616</v>
      </c>
    </row>
    <row r="244" spans="1:171" ht="14.25" x14ac:dyDescent="0.2">
      <c r="A244" s="13">
        <f t="shared" si="13"/>
        <v>209</v>
      </c>
      <c r="B244" s="13" t="s">
        <v>751</v>
      </c>
      <c r="C244" s="25" t="s">
        <v>752</v>
      </c>
      <c r="D244" s="13" t="s">
        <v>67</v>
      </c>
      <c r="E244" s="13">
        <v>409331535</v>
      </c>
      <c r="F244" s="26" t="s">
        <v>753</v>
      </c>
      <c r="G244" s="13"/>
      <c r="H244" s="13" t="s">
        <v>61</v>
      </c>
      <c r="I244" s="13">
        <v>2</v>
      </c>
      <c r="J244" s="13">
        <v>50</v>
      </c>
      <c r="K244" s="13">
        <v>0</v>
      </c>
      <c r="L244" s="13">
        <v>0</v>
      </c>
      <c r="M244" s="13">
        <v>0</v>
      </c>
      <c r="N244" s="13">
        <v>0</v>
      </c>
      <c r="O244" s="13">
        <v>8</v>
      </c>
      <c r="P244" s="13">
        <v>0</v>
      </c>
      <c r="Q244" s="13">
        <v>0</v>
      </c>
      <c r="R244" s="13">
        <v>0</v>
      </c>
      <c r="S244" s="13">
        <v>13</v>
      </c>
      <c r="T244" s="13">
        <v>0</v>
      </c>
      <c r="U244" s="13">
        <v>0</v>
      </c>
      <c r="V244" s="13">
        <v>0</v>
      </c>
      <c r="W244" s="13">
        <v>0</v>
      </c>
      <c r="X244" s="13">
        <v>8</v>
      </c>
      <c r="Y244" s="13"/>
      <c r="Z244" s="13">
        <v>13</v>
      </c>
      <c r="AA244" s="13">
        <v>0</v>
      </c>
      <c r="AB244" s="13">
        <v>0</v>
      </c>
      <c r="AC244" s="13">
        <v>0</v>
      </c>
      <c r="AD244" s="13">
        <v>13</v>
      </c>
      <c r="AE244" s="13">
        <v>13</v>
      </c>
      <c r="AF244" s="13">
        <v>0</v>
      </c>
      <c r="AG244" s="13">
        <v>0</v>
      </c>
      <c r="AH244" s="13">
        <v>0</v>
      </c>
      <c r="AI244" s="13">
        <v>0</v>
      </c>
      <c r="AJ244" s="13">
        <v>8</v>
      </c>
      <c r="AK244" s="13">
        <f t="shared" si="14"/>
        <v>55</v>
      </c>
      <c r="AL244" s="23">
        <f t="shared" si="12"/>
        <v>1030549</v>
      </c>
      <c r="AM244" s="13"/>
      <c r="AN244" s="13" t="s">
        <v>408</v>
      </c>
      <c r="AO244" s="7" t="s">
        <v>409</v>
      </c>
      <c r="AP244" s="41">
        <v>0.19</v>
      </c>
      <c r="AQ244" s="12">
        <v>531000</v>
      </c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13"/>
      <c r="CG244" s="13"/>
      <c r="CH244" s="13"/>
      <c r="CI244" s="12"/>
      <c r="CJ244" s="12"/>
      <c r="CK244" s="12"/>
      <c r="CL244" s="12"/>
      <c r="CM244" s="12"/>
      <c r="CN244" s="12"/>
      <c r="CO244" s="12"/>
      <c r="CP244" s="12">
        <f>SUM($AQ244:BJ244)-SUM($EA244:EH244)</f>
        <v>434079</v>
      </c>
      <c r="CQ244" s="12">
        <f>SUM($AQ244:BK244)-SUM($EA244:EI244)</f>
        <v>427226</v>
      </c>
      <c r="CR244" s="12">
        <f>SUM($AQ244:BL244)-SUM($EA244:EJ244)</f>
        <v>418911</v>
      </c>
      <c r="CS244" s="12">
        <f>SUM($AQ244:BM244)-SUM($EA244:EK244)</f>
        <v>408076</v>
      </c>
      <c r="CT244" s="12">
        <f>SUM($AQ244:BN244)-SUM($EA244:EL244)</f>
        <v>378761</v>
      </c>
      <c r="CU244" s="12">
        <f>SUM($AQ244:BO244)-SUM($EA244:EM244)</f>
        <v>335711</v>
      </c>
      <c r="CV244" s="12">
        <f>SUM($AQ244:BP244)-SUM($EA244:EN244)</f>
        <v>304361</v>
      </c>
      <c r="CW244" s="12">
        <f>SUM($AQ244:BQ244)-SUM($EA244:EO244)</f>
        <v>275361</v>
      </c>
      <c r="CX244" s="12">
        <f>SUM($AQ244:BR244)-SUM($EA244:EP244)</f>
        <v>245311</v>
      </c>
      <c r="CY244" s="12">
        <f>SUM($AQ244:BS244)-SUM($EA244:EQ244)</f>
        <v>215261</v>
      </c>
      <c r="CZ244" s="12">
        <f>SUM($AQ244:BT244)-SUM($EA244:ER244)</f>
        <v>185211</v>
      </c>
      <c r="DA244" s="12">
        <f>SUM($AQ244:BU244)-SUM($EA244:ES244)</f>
        <v>155161</v>
      </c>
      <c r="DB244" s="12">
        <f>SUM($AQ244:BV244)-SUM($EA244:ET244)</f>
        <v>125111</v>
      </c>
      <c r="DC244" s="12">
        <f>SUM($AQ244:BW244)-SUM($EA244:EU244)</f>
        <v>95061</v>
      </c>
      <c r="DD244" s="12">
        <f>SUM($AQ244:BX244)-SUM($EA244:EV244)</f>
        <v>65011</v>
      </c>
      <c r="DE244" s="12">
        <f>SUM($AQ244:BY244)-SUM($EA244:EW244)</f>
        <v>35372</v>
      </c>
      <c r="DF244" s="12">
        <f>SUM($AQ244:BZ244)-SUM($EA244:EX244)</f>
        <v>6372</v>
      </c>
      <c r="DG244" s="12">
        <f>SUM($AQ244:CA244)-SUM($EA244:EY244)</f>
        <v>-22628</v>
      </c>
      <c r="DH244" s="12">
        <f>SUM($AQ244:CB244)-SUM($EA244:EZ244)</f>
        <v>-51628</v>
      </c>
      <c r="DI244" s="12">
        <f>SUM($AQ244:CC244)-SUM($EA244:FA244)</f>
        <v>-80628</v>
      </c>
      <c r="DJ244" s="12">
        <f>SUM($AQ244:CD244)-SUM($EA244:FB244)</f>
        <v>-109628</v>
      </c>
      <c r="DK244" s="12">
        <f>SUM($AQ244:CE244)-SUM($EA244:FC244)</f>
        <v>-138628</v>
      </c>
      <c r="DL244" s="12">
        <f>SUM($AQ244:CF244)-SUM($EA244:FD244)</f>
        <v>-167628</v>
      </c>
      <c r="DM244" s="12">
        <f>SUM($AQ244:CG244)-SUM($EA244:FE244)</f>
        <v>-196628</v>
      </c>
      <c r="DN244" s="12">
        <f>SUM($AQ244:CH244)-SUM($EA244:FF244)</f>
        <v>-225628</v>
      </c>
      <c r="DO244" s="12">
        <f>SUM($AQ244:CI244)-SUM($EA244:FG244)</f>
        <v>-254628</v>
      </c>
      <c r="DP244" s="12">
        <f>SUM($AQ244:CJ244)-SUM($EA244:FH244)</f>
        <v>-283628</v>
      </c>
      <c r="DQ244" s="12">
        <f>SUM($AQ244:CK244)-SUM($EA244:FI244)</f>
        <v>-312628</v>
      </c>
      <c r="DR244" s="12">
        <f>SUM($AQ244:CL244)-SUM($EA244:FJ244)</f>
        <v>-341628</v>
      </c>
      <c r="DS244" s="12">
        <f>SUM($AQ244:CM244)-SUM($EA244:FK244)</f>
        <v>-370628</v>
      </c>
      <c r="DT244" s="12">
        <f>SUM($AQ244:CN244)-SUM($EA244:FL244)</f>
        <v>-399628</v>
      </c>
      <c r="DU244" s="12">
        <f>SUM($AQ244:CO244)-SUM($EA244:FM244)</f>
        <v>-428628</v>
      </c>
      <c r="DV244" s="12">
        <f>SUM($AQ244:CP244)-SUM($EA244:FN244)</f>
        <v>-18754</v>
      </c>
      <c r="DW244" s="12">
        <f>SUM($AQ244:CQ244)-SUM($EA244:FO244)</f>
        <v>407856</v>
      </c>
      <c r="DX244" s="13"/>
      <c r="DY244" s="13"/>
      <c r="DZ244" s="13"/>
      <c r="EA244" s="12"/>
      <c r="EB244" s="12"/>
      <c r="EC244" s="12"/>
      <c r="ED244" s="12"/>
      <c r="EE244" s="12"/>
      <c r="EF244" s="12"/>
      <c r="EG244" s="12"/>
      <c r="EH244" s="12">
        <f t="array" ref="EH244">SUMPRODUCT(TRANSPOSE(EH$9:EH$34),$K244:$AJ244)</f>
        <v>96921</v>
      </c>
      <c r="EI244" s="12">
        <f t="array" ref="EI244">SUMPRODUCT(TRANSPOSE(EI$9:EI$34),$K244:$AJ244)</f>
        <v>6853</v>
      </c>
      <c r="EJ244" s="12">
        <f t="array" ref="EJ244">SUMPRODUCT(TRANSPOSE(EJ$9:EJ$34),$K244:$AJ244)</f>
        <v>8315</v>
      </c>
      <c r="EK244" s="12">
        <f t="array" ref="EK244">SUMPRODUCT(TRANSPOSE(EK$9:EK$34),$K244:$AJ244)</f>
        <v>10835</v>
      </c>
      <c r="EL244" s="12">
        <f t="array" ref="EL244">SUMPRODUCT(TRANSPOSE(EL$9:EL$34),$K244:$AJ244)</f>
        <v>29315</v>
      </c>
      <c r="EM244" s="12">
        <f t="array" ref="EM244">SUMPRODUCT(TRANSPOSE(EM$9:EM$34),$K244:$AJ244)</f>
        <v>43050</v>
      </c>
      <c r="EN244" s="12">
        <f t="array" ref="EN244">SUMPRODUCT(TRANSPOSE(EN$9:EN$34),$K244:$AJ244)</f>
        <v>31350</v>
      </c>
      <c r="EO244" s="12">
        <f t="array" ref="EO244">SUMPRODUCT(TRANSPOSE(EO$9:EO$34),$K244:$AJ244)</f>
        <v>29000</v>
      </c>
      <c r="EP244" s="12">
        <f t="array" ref="EP244">SUMPRODUCT(TRANSPOSE(EP$9:EP$34),$K244:$AJ244)</f>
        <v>30050</v>
      </c>
      <c r="EQ244" s="12">
        <f t="array" ref="EQ244">SUMPRODUCT(TRANSPOSE(EQ$9:EQ$34),$K244:$AJ244)</f>
        <v>30050</v>
      </c>
      <c r="ER244" s="12">
        <f t="array" ref="ER244">SUMPRODUCT(TRANSPOSE(ER$9:ER$34),$K244:$AJ244)</f>
        <v>30050</v>
      </c>
      <c r="ES244" s="12">
        <f t="array" ref="ES244">SUMPRODUCT(TRANSPOSE(ES$9:ES$34),$K244:$AJ244)</f>
        <v>30050</v>
      </c>
      <c r="ET244" s="12">
        <f t="array" ref="ET244">SUMPRODUCT(TRANSPOSE(ET$9:ET$34),$K244:$AJ244)</f>
        <v>30050</v>
      </c>
      <c r="EU244" s="12">
        <f t="array" ref="EU244">SUMPRODUCT(TRANSPOSE(EU$9:EU$34),$K244:$AJ244)</f>
        <v>30050</v>
      </c>
      <c r="EV244" s="12">
        <f t="array" ref="EV244">SUMPRODUCT(TRANSPOSE(EV$9:EV$34),$K244:$AJ244)</f>
        <v>30050</v>
      </c>
      <c r="EW244" s="12">
        <f t="array" ref="EW244">SUMPRODUCT(TRANSPOSE(EW$9:EW$34),$K244:$AJ244)</f>
        <v>29639</v>
      </c>
      <c r="EX244" s="12">
        <f t="array" ref="EX244">SUMPRODUCT(TRANSPOSE(EX$9:EX$34),$K244:$AJ244)</f>
        <v>29000</v>
      </c>
      <c r="EY244" s="12">
        <f t="array" ref="EY244">SUMPRODUCT(TRANSPOSE(EY$9:EY$34),$K244:$AJ244)</f>
        <v>29000</v>
      </c>
      <c r="EZ244" s="12">
        <f t="array" ref="EZ244">SUMPRODUCT(TRANSPOSE(EZ$9:EZ$34),$K244:$AJ244)</f>
        <v>29000</v>
      </c>
      <c r="FA244" s="12">
        <f t="array" ref="FA244">SUMPRODUCT(TRANSPOSE(FA$9:FA$34),$K244:$AJ244)</f>
        <v>29000</v>
      </c>
      <c r="FB244" s="12">
        <f t="array" ref="FB244">SUMPRODUCT(TRANSPOSE(FB$9:FB$34),$K244:$AJ244)</f>
        <v>29000</v>
      </c>
      <c r="FC244" s="12">
        <f t="array" ref="FC244">SUMPRODUCT(TRANSPOSE(FC$9:FC$34),$K244:$AJ244)</f>
        <v>29000</v>
      </c>
      <c r="FD244" s="12">
        <f t="array" ref="FD244">SUMPRODUCT(TRANSPOSE(FD$9:FD$34),$K244:$AJ244)</f>
        <v>29000</v>
      </c>
      <c r="FE244" s="12">
        <f t="array" ref="FE244">SUMPRODUCT(TRANSPOSE(FE$9:FE$34),$K244:$AJ244)</f>
        <v>29000</v>
      </c>
      <c r="FF244" s="12">
        <f t="array" ref="FF244">SUMPRODUCT(TRANSPOSE(FF$9:FF$34),$K244:$AJ244)</f>
        <v>29000</v>
      </c>
      <c r="FG244" s="12">
        <f t="array" ref="FG244">SUMPRODUCT(TRANSPOSE(FG$9:FG$34),$K244:$AJ244)</f>
        <v>29000</v>
      </c>
      <c r="FH244" s="12">
        <f t="array" ref="FH244">SUMPRODUCT(TRANSPOSE(FH$9:FH$34),$K244:$AJ244)</f>
        <v>29000</v>
      </c>
      <c r="FI244" s="12">
        <f t="array" ref="FI244">SUMPRODUCT(TRANSPOSE(FI$9:FI$34),$K244:$AJ244)</f>
        <v>29000</v>
      </c>
      <c r="FJ244" s="12">
        <f t="array" ref="FJ244">SUMPRODUCT(TRANSPOSE(FJ$9:FJ$34),$K244:$AJ244)</f>
        <v>29000</v>
      </c>
      <c r="FK244" s="12">
        <f t="array" ref="FK244">SUMPRODUCT(TRANSPOSE(FK$9:FK$34),$K244:$AJ244)</f>
        <v>29000</v>
      </c>
      <c r="FL244" s="12">
        <f t="array" ref="FL244">SUMPRODUCT(TRANSPOSE(FL$9:FL$34),$K244:$AJ244)</f>
        <v>29000</v>
      </c>
      <c r="FM244" s="12">
        <f t="array" ref="FM244">SUMPRODUCT(TRANSPOSE(FM$9:FM$34),$K244:$AJ244)</f>
        <v>29000</v>
      </c>
      <c r="FN244" s="12">
        <f t="array" ref="FN244">SUMPRODUCT(TRANSPOSE(FN$9:FN$34),$K244:$AJ244)</f>
        <v>24205</v>
      </c>
      <c r="FO244" s="12">
        <f t="array" ref="FO244">SUMPRODUCT(TRANSPOSE(FO$9:FO$34),$K244:$AJ244)</f>
        <v>616</v>
      </c>
    </row>
    <row r="245" spans="1:171" ht="14.25" x14ac:dyDescent="0.2">
      <c r="A245" s="13">
        <f t="shared" si="13"/>
        <v>210</v>
      </c>
      <c r="B245" s="13" t="s">
        <v>754</v>
      </c>
      <c r="C245" s="25" t="s">
        <v>755</v>
      </c>
      <c r="D245" s="13" t="s">
        <v>401</v>
      </c>
      <c r="E245" s="13">
        <v>400120842</v>
      </c>
      <c r="F245" s="26" t="s">
        <v>756</v>
      </c>
      <c r="G245" s="13"/>
      <c r="H245" s="13" t="s">
        <v>61</v>
      </c>
      <c r="I245" s="13">
        <v>2</v>
      </c>
      <c r="J245" s="13">
        <v>6</v>
      </c>
      <c r="K245" s="13">
        <v>0</v>
      </c>
      <c r="L245" s="13">
        <v>0</v>
      </c>
      <c r="M245" s="13">
        <v>0</v>
      </c>
      <c r="N245" s="13">
        <v>2</v>
      </c>
      <c r="O245" s="13">
        <v>0</v>
      </c>
      <c r="P245" s="13">
        <v>0</v>
      </c>
      <c r="Q245" s="13">
        <v>0</v>
      </c>
      <c r="R245" s="13">
        <v>0</v>
      </c>
      <c r="S245" s="13">
        <v>2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/>
      <c r="Z245" s="13">
        <v>2</v>
      </c>
      <c r="AA245" s="13">
        <v>0</v>
      </c>
      <c r="AB245" s="13">
        <v>0</v>
      </c>
      <c r="AC245" s="13">
        <v>0</v>
      </c>
      <c r="AD245" s="13">
        <v>2</v>
      </c>
      <c r="AE245" s="13">
        <v>2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f t="shared" si="14"/>
        <v>8</v>
      </c>
      <c r="AL245" s="23">
        <f t="shared" si="12"/>
        <v>141792</v>
      </c>
      <c r="AM245" s="13"/>
      <c r="AN245" s="29" t="s">
        <v>403</v>
      </c>
      <c r="AO245" s="7" t="s">
        <v>404</v>
      </c>
      <c r="AP245" s="38">
        <v>0.63</v>
      </c>
      <c r="AQ245" s="12">
        <v>78000</v>
      </c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13"/>
      <c r="CG245" s="13"/>
      <c r="CH245" s="13"/>
      <c r="CI245" s="12"/>
      <c r="CJ245" s="12"/>
      <c r="CK245" s="12"/>
      <c r="CL245" s="12"/>
      <c r="CM245" s="12"/>
      <c r="CN245" s="12"/>
      <c r="CO245" s="12"/>
      <c r="CP245" s="12">
        <f>SUM($AQ245:BJ245)-SUM($EA245:EH245)</f>
        <v>63874</v>
      </c>
      <c r="CQ245" s="12">
        <f>SUM($AQ245:BK245)-SUM($EA245:EI245)</f>
        <v>63312</v>
      </c>
      <c r="CR245" s="12">
        <f>SUM($AQ245:BL245)-SUM($EA245:EJ245)</f>
        <v>61282</v>
      </c>
      <c r="CS245" s="12">
        <f>SUM($AQ245:BM245)-SUM($EA245:EK245)</f>
        <v>59012</v>
      </c>
      <c r="CT245" s="12">
        <f>SUM($AQ245:BN245)-SUM($EA245:EL245)</f>
        <v>54982</v>
      </c>
      <c r="CU245" s="12">
        <f>SUM($AQ245:BO245)-SUM($EA245:EM245)</f>
        <v>50882</v>
      </c>
      <c r="CV245" s="12">
        <f>SUM($AQ245:BP245)-SUM($EA245:EN245)</f>
        <v>46782</v>
      </c>
      <c r="CW245" s="12">
        <f>SUM($AQ245:BQ245)-SUM($EA245:EO245)</f>
        <v>42782</v>
      </c>
      <c r="CX245" s="12">
        <f>SUM($AQ245:BR245)-SUM($EA245:EP245)</f>
        <v>38682</v>
      </c>
      <c r="CY245" s="12">
        <f>SUM($AQ245:BS245)-SUM($EA245:EQ245)</f>
        <v>34582</v>
      </c>
      <c r="CZ245" s="12">
        <f>SUM($AQ245:BT245)-SUM($EA245:ER245)</f>
        <v>30482</v>
      </c>
      <c r="DA245" s="12">
        <f>SUM($AQ245:BU245)-SUM($EA245:ES245)</f>
        <v>26382</v>
      </c>
      <c r="DB245" s="12">
        <f>SUM($AQ245:BV245)-SUM($EA245:ET245)</f>
        <v>22282</v>
      </c>
      <c r="DC245" s="12">
        <f>SUM($AQ245:BW245)-SUM($EA245:EU245)</f>
        <v>18182</v>
      </c>
      <c r="DD245" s="12">
        <f>SUM($AQ245:BX245)-SUM($EA245:EV245)</f>
        <v>14082</v>
      </c>
      <c r="DE245" s="12">
        <f>SUM($AQ245:BY245)-SUM($EA245:EW245)</f>
        <v>9996</v>
      </c>
      <c r="DF245" s="12">
        <f>SUM($AQ245:BZ245)-SUM($EA245:EX245)</f>
        <v>5996</v>
      </c>
      <c r="DG245" s="12">
        <f>SUM($AQ245:CA245)-SUM($EA245:EY245)</f>
        <v>1996</v>
      </c>
      <c r="DH245" s="12">
        <f>SUM($AQ245:CB245)-SUM($EA245:EZ245)</f>
        <v>-2004</v>
      </c>
      <c r="DI245" s="12">
        <f>SUM($AQ245:CC245)-SUM($EA245:FA245)</f>
        <v>-6004</v>
      </c>
      <c r="DJ245" s="12">
        <f>SUM($AQ245:CD245)-SUM($EA245:FB245)</f>
        <v>-10004</v>
      </c>
      <c r="DK245" s="12">
        <f>SUM($AQ245:CE245)-SUM($EA245:FC245)</f>
        <v>-14004</v>
      </c>
      <c r="DL245" s="12">
        <f>SUM($AQ245:CF245)-SUM($EA245:FD245)</f>
        <v>-18004</v>
      </c>
      <c r="DM245" s="12">
        <f>SUM($AQ245:CG245)-SUM($EA245:FE245)</f>
        <v>-22004</v>
      </c>
      <c r="DN245" s="12">
        <f>SUM($AQ245:CH245)-SUM($EA245:FF245)</f>
        <v>-26004</v>
      </c>
      <c r="DO245" s="12">
        <f>SUM($AQ245:CI245)-SUM($EA245:FG245)</f>
        <v>-30004</v>
      </c>
      <c r="DP245" s="12">
        <f>SUM($AQ245:CJ245)-SUM($EA245:FH245)</f>
        <v>-34004</v>
      </c>
      <c r="DQ245" s="12">
        <f>SUM($AQ245:CK245)-SUM($EA245:FI245)</f>
        <v>-38004</v>
      </c>
      <c r="DR245" s="12">
        <f>SUM($AQ245:CL245)-SUM($EA245:FJ245)</f>
        <v>-42004</v>
      </c>
      <c r="DS245" s="12">
        <f>SUM($AQ245:CM245)-SUM($EA245:FK245)</f>
        <v>-46004</v>
      </c>
      <c r="DT245" s="12">
        <f>SUM($AQ245:CN245)-SUM($EA245:FL245)</f>
        <v>-50004</v>
      </c>
      <c r="DU245" s="12">
        <f>SUM($AQ245:CO245)-SUM($EA245:FM245)</f>
        <v>-54004</v>
      </c>
      <c r="DV245" s="12">
        <f>SUM($AQ245:CP245)-SUM($EA245:FN245)</f>
        <v>6236</v>
      </c>
      <c r="DW245" s="12">
        <f>SUM($AQ245:CQ245)-SUM($EA245:FO245)</f>
        <v>69394</v>
      </c>
      <c r="DX245" s="13"/>
      <c r="DY245" s="13"/>
      <c r="DZ245" s="13"/>
      <c r="EA245" s="12"/>
      <c r="EB245" s="12"/>
      <c r="EC245" s="12"/>
      <c r="ED245" s="12"/>
      <c r="EE245" s="12"/>
      <c r="EF245" s="12"/>
      <c r="EG245" s="12"/>
      <c r="EH245" s="12">
        <f t="array" ref="EH245">SUMPRODUCT(TRANSPOSE(EH$9:EH$34),$K245:$AJ245)</f>
        <v>14126</v>
      </c>
      <c r="EI245" s="12">
        <f t="array" ref="EI245">SUMPRODUCT(TRANSPOSE(EI$9:EI$34),$K245:$AJ245)</f>
        <v>562</v>
      </c>
      <c r="EJ245" s="12">
        <f t="array" ref="EJ245">SUMPRODUCT(TRANSPOSE(EJ$9:EJ$34),$K245:$AJ245)</f>
        <v>2030</v>
      </c>
      <c r="EK245" s="12">
        <f t="array" ref="EK245">SUMPRODUCT(TRANSPOSE(EK$9:EK$34),$K245:$AJ245)</f>
        <v>2270</v>
      </c>
      <c r="EL245" s="12">
        <f t="array" ref="EL245">SUMPRODUCT(TRANSPOSE(EL$9:EL$34),$K245:$AJ245)</f>
        <v>4030</v>
      </c>
      <c r="EM245" s="12">
        <f t="array" ref="EM245">SUMPRODUCT(TRANSPOSE(EM$9:EM$34),$K245:$AJ245)</f>
        <v>4100</v>
      </c>
      <c r="EN245" s="12">
        <f t="array" ref="EN245">SUMPRODUCT(TRANSPOSE(EN$9:EN$34),$K245:$AJ245)</f>
        <v>4100</v>
      </c>
      <c r="EO245" s="12">
        <f t="array" ref="EO245">SUMPRODUCT(TRANSPOSE(EO$9:EO$34),$K245:$AJ245)</f>
        <v>4000</v>
      </c>
      <c r="EP245" s="12">
        <f t="array" ref="EP245">SUMPRODUCT(TRANSPOSE(EP$9:EP$34),$K245:$AJ245)</f>
        <v>4100</v>
      </c>
      <c r="EQ245" s="12">
        <f t="array" ref="EQ245">SUMPRODUCT(TRANSPOSE(EQ$9:EQ$34),$K245:$AJ245)</f>
        <v>4100</v>
      </c>
      <c r="ER245" s="12">
        <f t="array" ref="ER245">SUMPRODUCT(TRANSPOSE(ER$9:ER$34),$K245:$AJ245)</f>
        <v>4100</v>
      </c>
      <c r="ES245" s="12">
        <f t="array" ref="ES245">SUMPRODUCT(TRANSPOSE(ES$9:ES$34),$K245:$AJ245)</f>
        <v>4100</v>
      </c>
      <c r="ET245" s="12">
        <f t="array" ref="ET245">SUMPRODUCT(TRANSPOSE(ET$9:ET$34),$K245:$AJ245)</f>
        <v>4100</v>
      </c>
      <c r="EU245" s="12">
        <f t="array" ref="EU245">SUMPRODUCT(TRANSPOSE(EU$9:EU$34),$K245:$AJ245)</f>
        <v>4100</v>
      </c>
      <c r="EV245" s="12">
        <f t="array" ref="EV245">SUMPRODUCT(TRANSPOSE(EV$9:EV$34),$K245:$AJ245)</f>
        <v>4100</v>
      </c>
      <c r="EW245" s="12">
        <f t="array" ref="EW245">SUMPRODUCT(TRANSPOSE(EW$9:EW$34),$K245:$AJ245)</f>
        <v>4086</v>
      </c>
      <c r="EX245" s="12">
        <f t="array" ref="EX245">SUMPRODUCT(TRANSPOSE(EX$9:EX$34),$K245:$AJ245)</f>
        <v>4000</v>
      </c>
      <c r="EY245" s="12">
        <f t="array" ref="EY245">SUMPRODUCT(TRANSPOSE(EY$9:EY$34),$K245:$AJ245)</f>
        <v>4000</v>
      </c>
      <c r="EZ245" s="12">
        <f t="array" ref="EZ245">SUMPRODUCT(TRANSPOSE(EZ$9:EZ$34),$K245:$AJ245)</f>
        <v>4000</v>
      </c>
      <c r="FA245" s="12">
        <f t="array" ref="FA245">SUMPRODUCT(TRANSPOSE(FA$9:FA$34),$K245:$AJ245)</f>
        <v>4000</v>
      </c>
      <c r="FB245" s="12">
        <f t="array" ref="FB245">SUMPRODUCT(TRANSPOSE(FB$9:FB$34),$K245:$AJ245)</f>
        <v>4000</v>
      </c>
      <c r="FC245" s="12">
        <f t="array" ref="FC245">SUMPRODUCT(TRANSPOSE(FC$9:FC$34),$K245:$AJ245)</f>
        <v>4000</v>
      </c>
      <c r="FD245" s="12">
        <f t="array" ref="FD245">SUMPRODUCT(TRANSPOSE(FD$9:FD$34),$K245:$AJ245)</f>
        <v>4000</v>
      </c>
      <c r="FE245" s="12">
        <f t="array" ref="FE245">SUMPRODUCT(TRANSPOSE(FE$9:FE$34),$K245:$AJ245)</f>
        <v>4000</v>
      </c>
      <c r="FF245" s="12">
        <f t="array" ref="FF245">SUMPRODUCT(TRANSPOSE(FF$9:FF$34),$K245:$AJ245)</f>
        <v>4000</v>
      </c>
      <c r="FG245" s="12">
        <f t="array" ref="FG245">SUMPRODUCT(TRANSPOSE(FG$9:FG$34),$K245:$AJ245)</f>
        <v>4000</v>
      </c>
      <c r="FH245" s="12">
        <f t="array" ref="FH245">SUMPRODUCT(TRANSPOSE(FH$9:FH$34),$K245:$AJ245)</f>
        <v>4000</v>
      </c>
      <c r="FI245" s="12">
        <f t="array" ref="FI245">SUMPRODUCT(TRANSPOSE(FI$9:FI$34),$K245:$AJ245)</f>
        <v>4000</v>
      </c>
      <c r="FJ245" s="12">
        <f t="array" ref="FJ245">SUMPRODUCT(TRANSPOSE(FJ$9:FJ$34),$K245:$AJ245)</f>
        <v>4000</v>
      </c>
      <c r="FK245" s="12">
        <f t="array" ref="FK245">SUMPRODUCT(TRANSPOSE(FK$9:FK$34),$K245:$AJ245)</f>
        <v>4000</v>
      </c>
      <c r="FL245" s="12">
        <f t="array" ref="FL245">SUMPRODUCT(TRANSPOSE(FL$9:FL$34),$K245:$AJ245)</f>
        <v>4000</v>
      </c>
      <c r="FM245" s="12">
        <f t="array" ref="FM245">SUMPRODUCT(TRANSPOSE(FM$9:FM$34),$K245:$AJ245)</f>
        <v>4000</v>
      </c>
      <c r="FN245" s="12">
        <f t="array" ref="FN245">SUMPRODUCT(TRANSPOSE(FN$9:FN$34),$K245:$AJ245)</f>
        <v>3634</v>
      </c>
      <c r="FO245" s="12">
        <f t="array" ref="FO245">SUMPRODUCT(TRANSPOSE(FO$9:FO$34),$K245:$AJ245)</f>
        <v>154</v>
      </c>
    </row>
    <row r="246" spans="1:171" ht="14.25" x14ac:dyDescent="0.2">
      <c r="A246" s="13">
        <f t="shared" si="13"/>
        <v>211</v>
      </c>
      <c r="B246" s="13" t="s">
        <v>757</v>
      </c>
      <c r="C246" s="25" t="s">
        <v>758</v>
      </c>
      <c r="D246" s="13" t="s">
        <v>67</v>
      </c>
      <c r="E246" s="13">
        <v>403115907</v>
      </c>
      <c r="F246" s="26" t="s">
        <v>759</v>
      </c>
      <c r="G246" s="13"/>
      <c r="H246" s="13" t="s">
        <v>61</v>
      </c>
      <c r="I246" s="13">
        <v>2</v>
      </c>
      <c r="J246" s="13">
        <v>4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2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/>
      <c r="Z246" s="13">
        <v>2</v>
      </c>
      <c r="AA246" s="13">
        <v>0</v>
      </c>
      <c r="AB246" s="13">
        <v>0</v>
      </c>
      <c r="AC246" s="13">
        <v>0</v>
      </c>
      <c r="AD246" s="13">
        <v>2</v>
      </c>
      <c r="AE246" s="13">
        <v>2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f t="shared" si="14"/>
        <v>6</v>
      </c>
      <c r="AL246" s="23">
        <f t="shared" si="12"/>
        <v>71330</v>
      </c>
      <c r="AM246" s="13"/>
      <c r="AN246" s="13" t="s">
        <v>360</v>
      </c>
      <c r="AO246" s="7" t="s">
        <v>134</v>
      </c>
      <c r="AP246" s="38">
        <v>1.9879</v>
      </c>
      <c r="AQ246" s="12">
        <v>37000</v>
      </c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13"/>
      <c r="CG246" s="13"/>
      <c r="CH246" s="13"/>
      <c r="CI246" s="12"/>
      <c r="CJ246" s="12"/>
      <c r="CK246" s="12"/>
      <c r="CL246" s="12"/>
      <c r="CM246" s="12"/>
      <c r="CN246" s="12"/>
      <c r="CO246" s="12"/>
      <c r="CP246" s="12">
        <f>SUM($AQ246:BJ246)-SUM($EA246:EH246)</f>
        <v>30782</v>
      </c>
      <c r="CQ246" s="12">
        <f>SUM($AQ246:BK246)-SUM($EA246:EI246)</f>
        <v>30220</v>
      </c>
      <c r="CR246" s="12">
        <f>SUM($AQ246:BL246)-SUM($EA246:EJ246)</f>
        <v>30190</v>
      </c>
      <c r="CS246" s="12">
        <f>SUM($AQ246:BM246)-SUM($EA246:EK246)</f>
        <v>29920</v>
      </c>
      <c r="CT246" s="12">
        <f>SUM($AQ246:BN246)-SUM($EA246:EL246)</f>
        <v>27890</v>
      </c>
      <c r="CU246" s="12">
        <f>SUM($AQ246:BO246)-SUM($EA246:EM246)</f>
        <v>23790</v>
      </c>
      <c r="CV246" s="12">
        <f>SUM($AQ246:BP246)-SUM($EA246:EN246)</f>
        <v>21490</v>
      </c>
      <c r="CW246" s="12">
        <f>SUM($AQ246:BQ246)-SUM($EA246:EO246)</f>
        <v>19490</v>
      </c>
      <c r="CX246" s="12">
        <f>SUM($AQ246:BR246)-SUM($EA246:EP246)</f>
        <v>17390</v>
      </c>
      <c r="CY246" s="12">
        <f>SUM($AQ246:BS246)-SUM($EA246:EQ246)</f>
        <v>15290</v>
      </c>
      <c r="CZ246" s="12">
        <f>SUM($AQ246:BT246)-SUM($EA246:ER246)</f>
        <v>13190</v>
      </c>
      <c r="DA246" s="12">
        <f>SUM($AQ246:BU246)-SUM($EA246:ES246)</f>
        <v>11090</v>
      </c>
      <c r="DB246" s="12">
        <f>SUM($AQ246:BV246)-SUM($EA246:ET246)</f>
        <v>8990</v>
      </c>
      <c r="DC246" s="12">
        <f>SUM($AQ246:BW246)-SUM($EA246:EU246)</f>
        <v>6890</v>
      </c>
      <c r="DD246" s="12">
        <f>SUM($AQ246:BX246)-SUM($EA246:EV246)</f>
        <v>4790</v>
      </c>
      <c r="DE246" s="12">
        <f>SUM($AQ246:BY246)-SUM($EA246:EW246)</f>
        <v>2704</v>
      </c>
      <c r="DF246" s="12">
        <f>SUM($AQ246:BZ246)-SUM($EA246:EX246)</f>
        <v>704</v>
      </c>
      <c r="DG246" s="12">
        <f>SUM($AQ246:CA246)-SUM($EA246:EY246)</f>
        <v>-1296</v>
      </c>
      <c r="DH246" s="12">
        <f>SUM($AQ246:CB246)-SUM($EA246:EZ246)</f>
        <v>-3296</v>
      </c>
      <c r="DI246" s="12">
        <f>SUM($AQ246:CC246)-SUM($EA246:FA246)</f>
        <v>-5296</v>
      </c>
      <c r="DJ246" s="12">
        <f>SUM($AQ246:CD246)-SUM($EA246:FB246)</f>
        <v>-7296</v>
      </c>
      <c r="DK246" s="12">
        <f>SUM($AQ246:CE246)-SUM($EA246:FC246)</f>
        <v>-9296</v>
      </c>
      <c r="DL246" s="12">
        <f>SUM($AQ246:CF246)-SUM($EA246:FD246)</f>
        <v>-11296</v>
      </c>
      <c r="DM246" s="12">
        <f>SUM($AQ246:CG246)-SUM($EA246:FE246)</f>
        <v>-13296</v>
      </c>
      <c r="DN246" s="12">
        <f>SUM($AQ246:CH246)-SUM($EA246:FF246)</f>
        <v>-15296</v>
      </c>
      <c r="DO246" s="12">
        <f>SUM($AQ246:CI246)-SUM($EA246:FG246)</f>
        <v>-17296</v>
      </c>
      <c r="DP246" s="12">
        <f>SUM($AQ246:CJ246)-SUM($EA246:FH246)</f>
        <v>-19296</v>
      </c>
      <c r="DQ246" s="12">
        <f>SUM($AQ246:CK246)-SUM($EA246:FI246)</f>
        <v>-21296</v>
      </c>
      <c r="DR246" s="12">
        <f>SUM($AQ246:CL246)-SUM($EA246:FJ246)</f>
        <v>-23296</v>
      </c>
      <c r="DS246" s="12">
        <f>SUM($AQ246:CM246)-SUM($EA246:FK246)</f>
        <v>-25296</v>
      </c>
      <c r="DT246" s="12">
        <f>SUM($AQ246:CN246)-SUM($EA246:FL246)</f>
        <v>-27296</v>
      </c>
      <c r="DU246" s="12">
        <f>SUM($AQ246:CO246)-SUM($EA246:FM246)</f>
        <v>-29296</v>
      </c>
      <c r="DV246" s="12">
        <f>SUM($AQ246:CP246)-SUM($EA246:FN246)</f>
        <v>-148</v>
      </c>
      <c r="DW246" s="12">
        <f>SUM($AQ246:CQ246)-SUM($EA246:FO246)</f>
        <v>30072</v>
      </c>
      <c r="DX246" s="13"/>
      <c r="DY246" s="13"/>
      <c r="DZ246" s="13"/>
      <c r="EA246" s="12"/>
      <c r="EB246" s="12"/>
      <c r="EC246" s="12"/>
      <c r="ED246" s="12"/>
      <c r="EE246" s="12"/>
      <c r="EF246" s="12"/>
      <c r="EG246" s="12"/>
      <c r="EH246" s="12">
        <f t="array" ref="EH246">SUMPRODUCT(TRANSPOSE(EH$9:EH$34),$K246:$AJ246)</f>
        <v>6218</v>
      </c>
      <c r="EI246" s="12">
        <f t="array" ref="EI246">SUMPRODUCT(TRANSPOSE(EI$9:EI$34),$K246:$AJ246)</f>
        <v>562</v>
      </c>
      <c r="EJ246" s="12">
        <f t="array" ref="EJ246">SUMPRODUCT(TRANSPOSE(EJ$9:EJ$34),$K246:$AJ246)</f>
        <v>30</v>
      </c>
      <c r="EK246" s="12">
        <f t="array" ref="EK246">SUMPRODUCT(TRANSPOSE(EK$9:EK$34),$K246:$AJ246)</f>
        <v>270</v>
      </c>
      <c r="EL246" s="12">
        <f t="array" ref="EL246">SUMPRODUCT(TRANSPOSE(EL$9:EL$34),$K246:$AJ246)</f>
        <v>2030</v>
      </c>
      <c r="EM246" s="12">
        <f t="array" ref="EM246">SUMPRODUCT(TRANSPOSE(EM$9:EM$34),$K246:$AJ246)</f>
        <v>4100</v>
      </c>
      <c r="EN246" s="12">
        <f t="array" ref="EN246">SUMPRODUCT(TRANSPOSE(EN$9:EN$34),$K246:$AJ246)</f>
        <v>2300</v>
      </c>
      <c r="EO246" s="12">
        <f t="array" ref="EO246">SUMPRODUCT(TRANSPOSE(EO$9:EO$34),$K246:$AJ246)</f>
        <v>2000</v>
      </c>
      <c r="EP246" s="12">
        <f t="array" ref="EP246">SUMPRODUCT(TRANSPOSE(EP$9:EP$34),$K246:$AJ246)</f>
        <v>2100</v>
      </c>
      <c r="EQ246" s="12">
        <f t="array" ref="EQ246">SUMPRODUCT(TRANSPOSE(EQ$9:EQ$34),$K246:$AJ246)</f>
        <v>2100</v>
      </c>
      <c r="ER246" s="12">
        <f t="array" ref="ER246">SUMPRODUCT(TRANSPOSE(ER$9:ER$34),$K246:$AJ246)</f>
        <v>2100</v>
      </c>
      <c r="ES246" s="12">
        <f t="array" ref="ES246">SUMPRODUCT(TRANSPOSE(ES$9:ES$34),$K246:$AJ246)</f>
        <v>2100</v>
      </c>
      <c r="ET246" s="12">
        <f t="array" ref="ET246">SUMPRODUCT(TRANSPOSE(ET$9:ET$34),$K246:$AJ246)</f>
        <v>2100</v>
      </c>
      <c r="EU246" s="12">
        <f t="array" ref="EU246">SUMPRODUCT(TRANSPOSE(EU$9:EU$34),$K246:$AJ246)</f>
        <v>2100</v>
      </c>
      <c r="EV246" s="12">
        <f t="array" ref="EV246">SUMPRODUCT(TRANSPOSE(EV$9:EV$34),$K246:$AJ246)</f>
        <v>2100</v>
      </c>
      <c r="EW246" s="12">
        <f t="array" ref="EW246">SUMPRODUCT(TRANSPOSE(EW$9:EW$34),$K246:$AJ246)</f>
        <v>2086</v>
      </c>
      <c r="EX246" s="12">
        <f t="array" ref="EX246">SUMPRODUCT(TRANSPOSE(EX$9:EX$34),$K246:$AJ246)</f>
        <v>2000</v>
      </c>
      <c r="EY246" s="12">
        <f t="array" ref="EY246">SUMPRODUCT(TRANSPOSE(EY$9:EY$34),$K246:$AJ246)</f>
        <v>2000</v>
      </c>
      <c r="EZ246" s="12">
        <f t="array" ref="EZ246">SUMPRODUCT(TRANSPOSE(EZ$9:EZ$34),$K246:$AJ246)</f>
        <v>2000</v>
      </c>
      <c r="FA246" s="12">
        <f t="array" ref="FA246">SUMPRODUCT(TRANSPOSE(FA$9:FA$34),$K246:$AJ246)</f>
        <v>2000</v>
      </c>
      <c r="FB246" s="12">
        <f t="array" ref="FB246">SUMPRODUCT(TRANSPOSE(FB$9:FB$34),$K246:$AJ246)</f>
        <v>2000</v>
      </c>
      <c r="FC246" s="12">
        <f t="array" ref="FC246">SUMPRODUCT(TRANSPOSE(FC$9:FC$34),$K246:$AJ246)</f>
        <v>2000</v>
      </c>
      <c r="FD246" s="12">
        <f t="array" ref="FD246">SUMPRODUCT(TRANSPOSE(FD$9:FD$34),$K246:$AJ246)</f>
        <v>2000</v>
      </c>
      <c r="FE246" s="12">
        <f t="array" ref="FE246">SUMPRODUCT(TRANSPOSE(FE$9:FE$34),$K246:$AJ246)</f>
        <v>2000</v>
      </c>
      <c r="FF246" s="12">
        <f t="array" ref="FF246">SUMPRODUCT(TRANSPOSE(FF$9:FF$34),$K246:$AJ246)</f>
        <v>2000</v>
      </c>
      <c r="FG246" s="12">
        <f t="array" ref="FG246">SUMPRODUCT(TRANSPOSE(FG$9:FG$34),$K246:$AJ246)</f>
        <v>2000</v>
      </c>
      <c r="FH246" s="12">
        <f t="array" ref="FH246">SUMPRODUCT(TRANSPOSE(FH$9:FH$34),$K246:$AJ246)</f>
        <v>2000</v>
      </c>
      <c r="FI246" s="12">
        <f t="array" ref="FI246">SUMPRODUCT(TRANSPOSE(FI$9:FI$34),$K246:$AJ246)</f>
        <v>2000</v>
      </c>
      <c r="FJ246" s="12">
        <f t="array" ref="FJ246">SUMPRODUCT(TRANSPOSE(FJ$9:FJ$34),$K246:$AJ246)</f>
        <v>2000</v>
      </c>
      <c r="FK246" s="12">
        <f t="array" ref="FK246">SUMPRODUCT(TRANSPOSE(FK$9:FK$34),$K246:$AJ246)</f>
        <v>2000</v>
      </c>
      <c r="FL246" s="12">
        <f t="array" ref="FL246">SUMPRODUCT(TRANSPOSE(FL$9:FL$34),$K246:$AJ246)</f>
        <v>2000</v>
      </c>
      <c r="FM246" s="12">
        <f t="array" ref="FM246">SUMPRODUCT(TRANSPOSE(FM$9:FM$34),$K246:$AJ246)</f>
        <v>2000</v>
      </c>
      <c r="FN246" s="12">
        <f t="array" ref="FN246">SUMPRODUCT(TRANSPOSE(FN$9:FN$34),$K246:$AJ246)</f>
        <v>1634</v>
      </c>
      <c r="FO246" s="12">
        <f t="array" ref="FO246">SUMPRODUCT(TRANSPOSE(FO$9:FO$34),$K246:$AJ246)</f>
        <v>0</v>
      </c>
    </row>
    <row r="247" spans="1:171" ht="14.25" x14ac:dyDescent="0.2">
      <c r="A247" s="13">
        <f t="shared" si="13"/>
        <v>212</v>
      </c>
      <c r="B247" s="13" t="s">
        <v>760</v>
      </c>
      <c r="C247" s="25" t="s">
        <v>761</v>
      </c>
      <c r="D247" s="13" t="s">
        <v>67</v>
      </c>
      <c r="E247" s="13">
        <v>400951927</v>
      </c>
      <c r="F247" s="26" t="s">
        <v>762</v>
      </c>
      <c r="G247" s="13"/>
      <c r="H247" s="13" t="s">
        <v>61</v>
      </c>
      <c r="I247" s="13">
        <v>2</v>
      </c>
      <c r="J247" s="13">
        <v>3</v>
      </c>
      <c r="K247" s="13">
        <v>0</v>
      </c>
      <c r="L247" s="13">
        <v>0</v>
      </c>
      <c r="M247" s="13">
        <v>0</v>
      </c>
      <c r="N247" s="13">
        <v>0</v>
      </c>
      <c r="O247" s="13">
        <v>1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1</v>
      </c>
      <c r="Y247" s="13"/>
      <c r="Z247" s="13"/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1</v>
      </c>
      <c r="AK247" s="13">
        <f t="shared" si="14"/>
        <v>2</v>
      </c>
      <c r="AL247" s="23">
        <f t="shared" si="12"/>
        <v>70863</v>
      </c>
      <c r="AM247" s="13"/>
      <c r="AN247" s="13" t="s">
        <v>763</v>
      </c>
      <c r="AO247" s="7" t="s">
        <v>764</v>
      </c>
      <c r="AP247" s="38">
        <v>0.06</v>
      </c>
      <c r="AQ247" s="12">
        <v>72000</v>
      </c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13"/>
      <c r="CG247" s="13"/>
      <c r="CH247" s="13"/>
      <c r="CI247" s="12"/>
      <c r="CJ247" s="12"/>
      <c r="CK247" s="12"/>
      <c r="CL247" s="12"/>
      <c r="CM247" s="12"/>
      <c r="CN247" s="12"/>
      <c r="CO247" s="12"/>
      <c r="CP247" s="12">
        <f>SUM($AQ247:BJ247)-SUM($EA247:EH247)</f>
        <v>64937</v>
      </c>
      <c r="CQ247" s="12">
        <f>SUM($AQ247:BK247)-SUM($EA247:EI247)</f>
        <v>64537</v>
      </c>
      <c r="CR247" s="12">
        <f>SUM($AQ247:BL247)-SUM($EA247:EJ247)</f>
        <v>63522</v>
      </c>
      <c r="CS247" s="12">
        <f>SUM($AQ247:BM247)-SUM($EA247:EK247)</f>
        <v>62387</v>
      </c>
      <c r="CT247" s="12">
        <f>SUM($AQ247:BN247)-SUM($EA247:EL247)</f>
        <v>60372</v>
      </c>
      <c r="CU247" s="12">
        <f>SUM($AQ247:BO247)-SUM($EA247:EM247)</f>
        <v>58322</v>
      </c>
      <c r="CV247" s="12">
        <f>SUM($AQ247:BP247)-SUM($EA247:EN247)</f>
        <v>56272</v>
      </c>
      <c r="CW247" s="12">
        <f>SUM($AQ247:BQ247)-SUM($EA247:EO247)</f>
        <v>54272</v>
      </c>
      <c r="CX247" s="12">
        <f>SUM($AQ247:BR247)-SUM($EA247:EP247)</f>
        <v>52222</v>
      </c>
      <c r="CY247" s="12">
        <f>SUM($AQ247:BS247)-SUM($EA247:EQ247)</f>
        <v>50172</v>
      </c>
      <c r="CZ247" s="12">
        <f>SUM($AQ247:BT247)-SUM($EA247:ER247)</f>
        <v>48122</v>
      </c>
      <c r="DA247" s="12">
        <f>SUM($AQ247:BU247)-SUM($EA247:ES247)</f>
        <v>46072</v>
      </c>
      <c r="DB247" s="12">
        <f>SUM($AQ247:BV247)-SUM($EA247:ET247)</f>
        <v>44022</v>
      </c>
      <c r="DC247" s="12">
        <f>SUM($AQ247:BW247)-SUM($EA247:EU247)</f>
        <v>41972</v>
      </c>
      <c r="DD247" s="12">
        <f>SUM($AQ247:BX247)-SUM($EA247:EV247)</f>
        <v>39922</v>
      </c>
      <c r="DE247" s="12">
        <f>SUM($AQ247:BY247)-SUM($EA247:EW247)</f>
        <v>37912</v>
      </c>
      <c r="DF247" s="12">
        <f>SUM($AQ247:BZ247)-SUM($EA247:EX247)</f>
        <v>35912</v>
      </c>
      <c r="DG247" s="12">
        <f>SUM($AQ247:CA247)-SUM($EA247:EY247)</f>
        <v>33912</v>
      </c>
      <c r="DH247" s="12">
        <f>SUM($AQ247:CB247)-SUM($EA247:EZ247)</f>
        <v>31912</v>
      </c>
      <c r="DI247" s="12">
        <f>SUM($AQ247:CC247)-SUM($EA247:FA247)</f>
        <v>29912</v>
      </c>
      <c r="DJ247" s="12">
        <f>SUM($AQ247:CD247)-SUM($EA247:FB247)</f>
        <v>27912</v>
      </c>
      <c r="DK247" s="12">
        <f>SUM($AQ247:CE247)-SUM($EA247:FC247)</f>
        <v>25912</v>
      </c>
      <c r="DL247" s="12">
        <f>SUM($AQ247:CF247)-SUM($EA247:FD247)</f>
        <v>23912</v>
      </c>
      <c r="DM247" s="12">
        <f>SUM($AQ247:CG247)-SUM($EA247:FE247)</f>
        <v>21912</v>
      </c>
      <c r="DN247" s="12">
        <f>SUM($AQ247:CH247)-SUM($EA247:FF247)</f>
        <v>19912</v>
      </c>
      <c r="DO247" s="12">
        <f>SUM($AQ247:CI247)-SUM($EA247:FG247)</f>
        <v>17912</v>
      </c>
      <c r="DP247" s="12">
        <f>SUM($AQ247:CJ247)-SUM($EA247:FH247)</f>
        <v>15912</v>
      </c>
      <c r="DQ247" s="12">
        <f>SUM($AQ247:CK247)-SUM($EA247:FI247)</f>
        <v>13912</v>
      </c>
      <c r="DR247" s="12">
        <f>SUM($AQ247:CL247)-SUM($EA247:FJ247)</f>
        <v>11912</v>
      </c>
      <c r="DS247" s="12">
        <f>SUM($AQ247:CM247)-SUM($EA247:FK247)</f>
        <v>9912</v>
      </c>
      <c r="DT247" s="12">
        <f>SUM($AQ247:CN247)-SUM($EA247:FL247)</f>
        <v>7912</v>
      </c>
      <c r="DU247" s="12">
        <f>SUM($AQ247:CO247)-SUM($EA247:FM247)</f>
        <v>5912</v>
      </c>
      <c r="DV247" s="12">
        <f>SUM($AQ247:CP247)-SUM($EA247:FN247)</f>
        <v>69151</v>
      </c>
      <c r="DW247" s="12">
        <f>SUM($AQ247:CQ247)-SUM($EA247:FO247)</f>
        <v>133611</v>
      </c>
      <c r="DX247" s="13"/>
      <c r="DY247" s="13"/>
      <c r="DZ247" s="13"/>
      <c r="EA247" s="12"/>
      <c r="EB247" s="12"/>
      <c r="EC247" s="12"/>
      <c r="ED247" s="12"/>
      <c r="EE247" s="12"/>
      <c r="EF247" s="12"/>
      <c r="EG247" s="12"/>
      <c r="EH247" s="12">
        <f t="array" ref="EH247">SUMPRODUCT(TRANSPOSE(EH$9:EH$34),$K247:$AJ247)</f>
        <v>7063</v>
      </c>
      <c r="EI247" s="12">
        <f t="array" ref="EI247">SUMPRODUCT(TRANSPOSE(EI$9:EI$34),$K247:$AJ247)</f>
        <v>400</v>
      </c>
      <c r="EJ247" s="12">
        <f t="array" ref="EJ247">SUMPRODUCT(TRANSPOSE(EJ$9:EJ$34),$K247:$AJ247)</f>
        <v>1015</v>
      </c>
      <c r="EK247" s="12">
        <f t="array" ref="EK247">SUMPRODUCT(TRANSPOSE(EK$9:EK$34),$K247:$AJ247)</f>
        <v>1135</v>
      </c>
      <c r="EL247" s="12">
        <f t="array" ref="EL247">SUMPRODUCT(TRANSPOSE(EL$9:EL$34),$K247:$AJ247)</f>
        <v>2015</v>
      </c>
      <c r="EM247" s="12">
        <f t="array" ref="EM247">SUMPRODUCT(TRANSPOSE(EM$9:EM$34),$K247:$AJ247)</f>
        <v>2050</v>
      </c>
      <c r="EN247" s="12">
        <f t="array" ref="EN247">SUMPRODUCT(TRANSPOSE(EN$9:EN$34),$K247:$AJ247)</f>
        <v>2050</v>
      </c>
      <c r="EO247" s="12">
        <f t="array" ref="EO247">SUMPRODUCT(TRANSPOSE(EO$9:EO$34),$K247:$AJ247)</f>
        <v>2000</v>
      </c>
      <c r="EP247" s="12">
        <f t="array" ref="EP247">SUMPRODUCT(TRANSPOSE(EP$9:EP$34),$K247:$AJ247)</f>
        <v>2050</v>
      </c>
      <c r="EQ247" s="12">
        <f t="array" ref="EQ247">SUMPRODUCT(TRANSPOSE(EQ$9:EQ$34),$K247:$AJ247)</f>
        <v>2050</v>
      </c>
      <c r="ER247" s="12">
        <f t="array" ref="ER247">SUMPRODUCT(TRANSPOSE(ER$9:ER$34),$K247:$AJ247)</f>
        <v>2050</v>
      </c>
      <c r="ES247" s="12">
        <f t="array" ref="ES247">SUMPRODUCT(TRANSPOSE(ES$9:ES$34),$K247:$AJ247)</f>
        <v>2050</v>
      </c>
      <c r="ET247" s="12">
        <f t="array" ref="ET247">SUMPRODUCT(TRANSPOSE(ET$9:ET$34),$K247:$AJ247)</f>
        <v>2050</v>
      </c>
      <c r="EU247" s="12">
        <f t="array" ref="EU247">SUMPRODUCT(TRANSPOSE(EU$9:EU$34),$K247:$AJ247)</f>
        <v>2050</v>
      </c>
      <c r="EV247" s="12">
        <f t="array" ref="EV247">SUMPRODUCT(TRANSPOSE(EV$9:EV$34),$K247:$AJ247)</f>
        <v>2050</v>
      </c>
      <c r="EW247" s="12">
        <f t="array" ref="EW247">SUMPRODUCT(TRANSPOSE(EW$9:EW$34),$K247:$AJ247)</f>
        <v>2010</v>
      </c>
      <c r="EX247" s="12">
        <f t="array" ref="EX247">SUMPRODUCT(TRANSPOSE(EX$9:EX$34),$K247:$AJ247)</f>
        <v>2000</v>
      </c>
      <c r="EY247" s="12">
        <f t="array" ref="EY247">SUMPRODUCT(TRANSPOSE(EY$9:EY$34),$K247:$AJ247)</f>
        <v>2000</v>
      </c>
      <c r="EZ247" s="12">
        <f t="array" ref="EZ247">SUMPRODUCT(TRANSPOSE(EZ$9:EZ$34),$K247:$AJ247)</f>
        <v>2000</v>
      </c>
      <c r="FA247" s="12">
        <f t="array" ref="FA247">SUMPRODUCT(TRANSPOSE(FA$9:FA$34),$K247:$AJ247)</f>
        <v>2000</v>
      </c>
      <c r="FB247" s="12">
        <f t="array" ref="FB247">SUMPRODUCT(TRANSPOSE(FB$9:FB$34),$K247:$AJ247)</f>
        <v>2000</v>
      </c>
      <c r="FC247" s="12">
        <f t="array" ref="FC247">SUMPRODUCT(TRANSPOSE(FC$9:FC$34),$K247:$AJ247)</f>
        <v>2000</v>
      </c>
      <c r="FD247" s="12">
        <f t="array" ref="FD247">SUMPRODUCT(TRANSPOSE(FD$9:FD$34),$K247:$AJ247)</f>
        <v>2000</v>
      </c>
      <c r="FE247" s="12">
        <f t="array" ref="FE247">SUMPRODUCT(TRANSPOSE(FE$9:FE$34),$K247:$AJ247)</f>
        <v>2000</v>
      </c>
      <c r="FF247" s="12">
        <f t="array" ref="FF247">SUMPRODUCT(TRANSPOSE(FF$9:FF$34),$K247:$AJ247)</f>
        <v>2000</v>
      </c>
      <c r="FG247" s="12">
        <f t="array" ref="FG247">SUMPRODUCT(TRANSPOSE(FG$9:FG$34),$K247:$AJ247)</f>
        <v>2000</v>
      </c>
      <c r="FH247" s="12">
        <f t="array" ref="FH247">SUMPRODUCT(TRANSPOSE(FH$9:FH$34),$K247:$AJ247)</f>
        <v>2000</v>
      </c>
      <c r="FI247" s="12">
        <f t="array" ref="FI247">SUMPRODUCT(TRANSPOSE(FI$9:FI$34),$K247:$AJ247)</f>
        <v>2000</v>
      </c>
      <c r="FJ247" s="12">
        <f t="array" ref="FJ247">SUMPRODUCT(TRANSPOSE(FJ$9:FJ$34),$K247:$AJ247)</f>
        <v>2000</v>
      </c>
      <c r="FK247" s="12">
        <f t="array" ref="FK247">SUMPRODUCT(TRANSPOSE(FK$9:FK$34),$K247:$AJ247)</f>
        <v>2000</v>
      </c>
      <c r="FL247" s="12">
        <f t="array" ref="FL247">SUMPRODUCT(TRANSPOSE(FL$9:FL$34),$K247:$AJ247)</f>
        <v>2000</v>
      </c>
      <c r="FM247" s="12">
        <f t="array" ref="FM247">SUMPRODUCT(TRANSPOSE(FM$9:FM$34),$K247:$AJ247)</f>
        <v>2000</v>
      </c>
      <c r="FN247" s="12">
        <f t="array" ref="FN247">SUMPRODUCT(TRANSPOSE(FN$9:FN$34),$K247:$AJ247)</f>
        <v>1698</v>
      </c>
      <c r="FO247" s="12">
        <f t="array" ref="FO247">SUMPRODUCT(TRANSPOSE(FO$9:FO$34),$K247:$AJ247)</f>
        <v>77</v>
      </c>
    </row>
    <row r="248" spans="1:171" ht="14.25" x14ac:dyDescent="0.2">
      <c r="A248" s="13">
        <f t="shared" si="13"/>
        <v>213</v>
      </c>
      <c r="B248" s="13" t="s">
        <v>765</v>
      </c>
      <c r="C248" s="25" t="s">
        <v>766</v>
      </c>
      <c r="D248" s="13" t="s">
        <v>67</v>
      </c>
      <c r="E248" s="13">
        <v>400615818</v>
      </c>
      <c r="F248" s="26" t="s">
        <v>767</v>
      </c>
      <c r="G248" s="13"/>
      <c r="H248" s="13" t="s">
        <v>61</v>
      </c>
      <c r="I248" s="13">
        <v>2</v>
      </c>
      <c r="J248" s="13">
        <v>6</v>
      </c>
      <c r="K248" s="13">
        <v>0</v>
      </c>
      <c r="L248" s="13">
        <v>0</v>
      </c>
      <c r="M248" s="13">
        <v>0</v>
      </c>
      <c r="N248" s="13">
        <v>0</v>
      </c>
      <c r="O248" s="13">
        <v>2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2</v>
      </c>
      <c r="Y248" s="13"/>
      <c r="Z248" s="13"/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2</v>
      </c>
      <c r="AK248" s="13">
        <f t="shared" si="14"/>
        <v>4</v>
      </c>
      <c r="AL248" s="23">
        <f t="shared" si="12"/>
        <v>141726</v>
      </c>
      <c r="AM248" s="13"/>
      <c r="AN248" s="13" t="s">
        <v>763</v>
      </c>
      <c r="AO248" s="7" t="s">
        <v>764</v>
      </c>
      <c r="AP248" s="38">
        <v>0.05</v>
      </c>
      <c r="AQ248" s="12">
        <v>144000</v>
      </c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13"/>
      <c r="CG248" s="13"/>
      <c r="CH248" s="13"/>
      <c r="CI248" s="12"/>
      <c r="CJ248" s="12"/>
      <c r="CK248" s="12"/>
      <c r="CL248" s="12"/>
      <c r="CM248" s="12"/>
      <c r="CN248" s="12"/>
      <c r="CO248" s="12"/>
      <c r="CP248" s="12">
        <f>SUM($AQ248:BJ248)-SUM($EA248:EH248)</f>
        <v>129874</v>
      </c>
      <c r="CQ248" s="12">
        <f>SUM($AQ248:BK248)-SUM($EA248:EI248)</f>
        <v>129074</v>
      </c>
      <c r="CR248" s="12">
        <f>SUM($AQ248:BL248)-SUM($EA248:EJ248)</f>
        <v>127044</v>
      </c>
      <c r="CS248" s="12">
        <f>SUM($AQ248:BM248)-SUM($EA248:EK248)</f>
        <v>124774</v>
      </c>
      <c r="CT248" s="12">
        <f>SUM($AQ248:BN248)-SUM($EA248:EL248)</f>
        <v>120744</v>
      </c>
      <c r="CU248" s="12">
        <f>SUM($AQ248:BO248)-SUM($EA248:EM248)</f>
        <v>116644</v>
      </c>
      <c r="CV248" s="12">
        <f>SUM($AQ248:BP248)-SUM($EA248:EN248)</f>
        <v>112544</v>
      </c>
      <c r="CW248" s="12">
        <f>SUM($AQ248:BQ248)-SUM($EA248:EO248)</f>
        <v>108544</v>
      </c>
      <c r="CX248" s="12">
        <f>SUM($AQ248:BR248)-SUM($EA248:EP248)</f>
        <v>104444</v>
      </c>
      <c r="CY248" s="12">
        <f>SUM($AQ248:BS248)-SUM($EA248:EQ248)</f>
        <v>100344</v>
      </c>
      <c r="CZ248" s="12">
        <f>SUM($AQ248:BT248)-SUM($EA248:ER248)</f>
        <v>96244</v>
      </c>
      <c r="DA248" s="12">
        <f>SUM($AQ248:BU248)-SUM($EA248:ES248)</f>
        <v>92144</v>
      </c>
      <c r="DB248" s="12">
        <f>SUM($AQ248:BV248)-SUM($EA248:ET248)</f>
        <v>88044</v>
      </c>
      <c r="DC248" s="12">
        <f>SUM($AQ248:BW248)-SUM($EA248:EU248)</f>
        <v>83944</v>
      </c>
      <c r="DD248" s="12">
        <f>SUM($AQ248:BX248)-SUM($EA248:EV248)</f>
        <v>79844</v>
      </c>
      <c r="DE248" s="12">
        <f>SUM($AQ248:BY248)-SUM($EA248:EW248)</f>
        <v>75824</v>
      </c>
      <c r="DF248" s="12">
        <f>SUM($AQ248:BZ248)-SUM($EA248:EX248)</f>
        <v>71824</v>
      </c>
      <c r="DG248" s="12">
        <f>SUM($AQ248:CA248)-SUM($EA248:EY248)</f>
        <v>67824</v>
      </c>
      <c r="DH248" s="12">
        <f>SUM($AQ248:CB248)-SUM($EA248:EZ248)</f>
        <v>63824</v>
      </c>
      <c r="DI248" s="12">
        <f>SUM($AQ248:CC248)-SUM($EA248:FA248)</f>
        <v>59824</v>
      </c>
      <c r="DJ248" s="12">
        <f>SUM($AQ248:CD248)-SUM($EA248:FB248)</f>
        <v>55824</v>
      </c>
      <c r="DK248" s="12">
        <f>SUM($AQ248:CE248)-SUM($EA248:FC248)</f>
        <v>51824</v>
      </c>
      <c r="DL248" s="12">
        <f>SUM($AQ248:CF248)-SUM($EA248:FD248)</f>
        <v>47824</v>
      </c>
      <c r="DM248" s="12">
        <f>SUM($AQ248:CG248)-SUM($EA248:FE248)</f>
        <v>43824</v>
      </c>
      <c r="DN248" s="12">
        <f>SUM($AQ248:CH248)-SUM($EA248:FF248)</f>
        <v>39824</v>
      </c>
      <c r="DO248" s="12">
        <f>SUM($AQ248:CI248)-SUM($EA248:FG248)</f>
        <v>35824</v>
      </c>
      <c r="DP248" s="12">
        <f>SUM($AQ248:CJ248)-SUM($EA248:FH248)</f>
        <v>31824</v>
      </c>
      <c r="DQ248" s="12">
        <f>SUM($AQ248:CK248)-SUM($EA248:FI248)</f>
        <v>27824</v>
      </c>
      <c r="DR248" s="12">
        <f>SUM($AQ248:CL248)-SUM($EA248:FJ248)</f>
        <v>23824</v>
      </c>
      <c r="DS248" s="12">
        <f>SUM($AQ248:CM248)-SUM($EA248:FK248)</f>
        <v>19824</v>
      </c>
      <c r="DT248" s="12">
        <f>SUM($AQ248:CN248)-SUM($EA248:FL248)</f>
        <v>15824</v>
      </c>
      <c r="DU248" s="12">
        <f>SUM($AQ248:CO248)-SUM($EA248:FM248)</f>
        <v>11824</v>
      </c>
      <c r="DV248" s="12">
        <f>SUM($AQ248:CP248)-SUM($EA248:FN248)</f>
        <v>138302</v>
      </c>
      <c r="DW248" s="12">
        <f>SUM($AQ248:CQ248)-SUM($EA248:FO248)</f>
        <v>267222</v>
      </c>
      <c r="DX248" s="13"/>
      <c r="DY248" s="13"/>
      <c r="DZ248" s="13"/>
      <c r="EA248" s="12"/>
      <c r="EB248" s="12"/>
      <c r="EC248" s="12"/>
      <c r="ED248" s="12"/>
      <c r="EE248" s="12"/>
      <c r="EF248" s="12"/>
      <c r="EG248" s="12"/>
      <c r="EH248" s="12">
        <f t="array" ref="EH248">SUMPRODUCT(TRANSPOSE(EH$9:EH$34),$K248:$AJ248)</f>
        <v>14126</v>
      </c>
      <c r="EI248" s="12">
        <f t="array" ref="EI248">SUMPRODUCT(TRANSPOSE(EI$9:EI$34),$K248:$AJ248)</f>
        <v>800</v>
      </c>
      <c r="EJ248" s="12">
        <f t="array" ref="EJ248">SUMPRODUCT(TRANSPOSE(EJ$9:EJ$34),$K248:$AJ248)</f>
        <v>2030</v>
      </c>
      <c r="EK248" s="12">
        <f t="array" ref="EK248">SUMPRODUCT(TRANSPOSE(EK$9:EK$34),$K248:$AJ248)</f>
        <v>2270</v>
      </c>
      <c r="EL248" s="12">
        <f t="array" ref="EL248">SUMPRODUCT(TRANSPOSE(EL$9:EL$34),$K248:$AJ248)</f>
        <v>4030</v>
      </c>
      <c r="EM248" s="12">
        <f t="array" ref="EM248">SUMPRODUCT(TRANSPOSE(EM$9:EM$34),$K248:$AJ248)</f>
        <v>4100</v>
      </c>
      <c r="EN248" s="12">
        <f t="array" ref="EN248">SUMPRODUCT(TRANSPOSE(EN$9:EN$34),$K248:$AJ248)</f>
        <v>4100</v>
      </c>
      <c r="EO248" s="12">
        <f t="array" ref="EO248">SUMPRODUCT(TRANSPOSE(EO$9:EO$34),$K248:$AJ248)</f>
        <v>4000</v>
      </c>
      <c r="EP248" s="12">
        <f t="array" ref="EP248">SUMPRODUCT(TRANSPOSE(EP$9:EP$34),$K248:$AJ248)</f>
        <v>4100</v>
      </c>
      <c r="EQ248" s="12">
        <f t="array" ref="EQ248">SUMPRODUCT(TRANSPOSE(EQ$9:EQ$34),$K248:$AJ248)</f>
        <v>4100</v>
      </c>
      <c r="ER248" s="12">
        <f t="array" ref="ER248">SUMPRODUCT(TRANSPOSE(ER$9:ER$34),$K248:$AJ248)</f>
        <v>4100</v>
      </c>
      <c r="ES248" s="12">
        <f t="array" ref="ES248">SUMPRODUCT(TRANSPOSE(ES$9:ES$34),$K248:$AJ248)</f>
        <v>4100</v>
      </c>
      <c r="ET248" s="12">
        <f t="array" ref="ET248">SUMPRODUCT(TRANSPOSE(ET$9:ET$34),$K248:$AJ248)</f>
        <v>4100</v>
      </c>
      <c r="EU248" s="12">
        <f t="array" ref="EU248">SUMPRODUCT(TRANSPOSE(EU$9:EU$34),$K248:$AJ248)</f>
        <v>4100</v>
      </c>
      <c r="EV248" s="12">
        <f t="array" ref="EV248">SUMPRODUCT(TRANSPOSE(EV$9:EV$34),$K248:$AJ248)</f>
        <v>4100</v>
      </c>
      <c r="EW248" s="12">
        <f t="array" ref="EW248">SUMPRODUCT(TRANSPOSE(EW$9:EW$34),$K248:$AJ248)</f>
        <v>4020</v>
      </c>
      <c r="EX248" s="12">
        <f t="array" ref="EX248">SUMPRODUCT(TRANSPOSE(EX$9:EX$34),$K248:$AJ248)</f>
        <v>4000</v>
      </c>
      <c r="EY248" s="12">
        <f t="array" ref="EY248">SUMPRODUCT(TRANSPOSE(EY$9:EY$34),$K248:$AJ248)</f>
        <v>4000</v>
      </c>
      <c r="EZ248" s="12">
        <f t="array" ref="EZ248">SUMPRODUCT(TRANSPOSE(EZ$9:EZ$34),$K248:$AJ248)</f>
        <v>4000</v>
      </c>
      <c r="FA248" s="12">
        <f t="array" ref="FA248">SUMPRODUCT(TRANSPOSE(FA$9:FA$34),$K248:$AJ248)</f>
        <v>4000</v>
      </c>
      <c r="FB248" s="12">
        <f t="array" ref="FB248">SUMPRODUCT(TRANSPOSE(FB$9:FB$34),$K248:$AJ248)</f>
        <v>4000</v>
      </c>
      <c r="FC248" s="12">
        <f t="array" ref="FC248">SUMPRODUCT(TRANSPOSE(FC$9:FC$34),$K248:$AJ248)</f>
        <v>4000</v>
      </c>
      <c r="FD248" s="12">
        <f t="array" ref="FD248">SUMPRODUCT(TRANSPOSE(FD$9:FD$34),$K248:$AJ248)</f>
        <v>4000</v>
      </c>
      <c r="FE248" s="12">
        <f t="array" ref="FE248">SUMPRODUCT(TRANSPOSE(FE$9:FE$34),$K248:$AJ248)</f>
        <v>4000</v>
      </c>
      <c r="FF248" s="12">
        <f t="array" ref="FF248">SUMPRODUCT(TRANSPOSE(FF$9:FF$34),$K248:$AJ248)</f>
        <v>4000</v>
      </c>
      <c r="FG248" s="12">
        <f t="array" ref="FG248">SUMPRODUCT(TRANSPOSE(FG$9:FG$34),$K248:$AJ248)</f>
        <v>4000</v>
      </c>
      <c r="FH248" s="12">
        <f t="array" ref="FH248">SUMPRODUCT(TRANSPOSE(FH$9:FH$34),$K248:$AJ248)</f>
        <v>4000</v>
      </c>
      <c r="FI248" s="12">
        <f t="array" ref="FI248">SUMPRODUCT(TRANSPOSE(FI$9:FI$34),$K248:$AJ248)</f>
        <v>4000</v>
      </c>
      <c r="FJ248" s="12">
        <f t="array" ref="FJ248">SUMPRODUCT(TRANSPOSE(FJ$9:FJ$34),$K248:$AJ248)</f>
        <v>4000</v>
      </c>
      <c r="FK248" s="12">
        <f t="array" ref="FK248">SUMPRODUCT(TRANSPOSE(FK$9:FK$34),$K248:$AJ248)</f>
        <v>4000</v>
      </c>
      <c r="FL248" s="12">
        <f t="array" ref="FL248">SUMPRODUCT(TRANSPOSE(FL$9:FL$34),$K248:$AJ248)</f>
        <v>4000</v>
      </c>
      <c r="FM248" s="12">
        <f t="array" ref="FM248">SUMPRODUCT(TRANSPOSE(FM$9:FM$34),$K248:$AJ248)</f>
        <v>4000</v>
      </c>
      <c r="FN248" s="12">
        <f t="array" ref="FN248">SUMPRODUCT(TRANSPOSE(FN$9:FN$34),$K248:$AJ248)</f>
        <v>3396</v>
      </c>
      <c r="FO248" s="12">
        <f t="array" ref="FO248">SUMPRODUCT(TRANSPOSE(FO$9:FO$34),$K248:$AJ248)</f>
        <v>154</v>
      </c>
    </row>
    <row r="249" spans="1:171" ht="14.25" x14ac:dyDescent="0.2">
      <c r="A249" s="13">
        <f t="shared" si="13"/>
        <v>214</v>
      </c>
      <c r="B249" s="13" t="s">
        <v>768</v>
      </c>
      <c r="C249" s="25" t="s">
        <v>769</v>
      </c>
      <c r="D249" s="13" t="s">
        <v>67</v>
      </c>
      <c r="E249" s="29">
        <v>400479535</v>
      </c>
      <c r="F249" s="26" t="s">
        <v>770</v>
      </c>
      <c r="G249" s="13">
        <v>400481605</v>
      </c>
      <c r="H249" s="13" t="s">
        <v>61</v>
      </c>
      <c r="I249" s="13">
        <v>2</v>
      </c>
      <c r="J249" s="13">
        <v>3</v>
      </c>
      <c r="K249" s="13">
        <v>0</v>
      </c>
      <c r="L249" s="13">
        <v>0</v>
      </c>
      <c r="M249" s="13">
        <v>0</v>
      </c>
      <c r="N249" s="13">
        <v>0</v>
      </c>
      <c r="O249" s="13">
        <v>1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1</v>
      </c>
      <c r="Y249" s="13"/>
      <c r="Z249" s="13"/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1</v>
      </c>
      <c r="AK249" s="13">
        <f t="shared" si="14"/>
        <v>2</v>
      </c>
      <c r="AL249" s="23">
        <f t="shared" si="12"/>
        <v>70863</v>
      </c>
      <c r="AM249" s="13"/>
      <c r="AN249" s="13" t="s">
        <v>299</v>
      </c>
      <c r="AO249" s="7" t="s">
        <v>300</v>
      </c>
      <c r="AP249" s="37">
        <v>0.20599999999999999</v>
      </c>
      <c r="AQ249" s="12">
        <v>72000</v>
      </c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13"/>
      <c r="CG249" s="13"/>
      <c r="CH249" s="13"/>
      <c r="CI249" s="12"/>
      <c r="CJ249" s="12"/>
      <c r="CK249" s="12"/>
      <c r="CL249" s="12"/>
      <c r="CM249" s="12"/>
      <c r="CN249" s="12"/>
      <c r="CO249" s="12"/>
      <c r="CP249" s="12">
        <f>SUM($AQ249:BJ249)-SUM($EA249:EH249)</f>
        <v>64937</v>
      </c>
      <c r="CQ249" s="12">
        <f>SUM($AQ249:BK249)-SUM($EA249:EI249)</f>
        <v>64537</v>
      </c>
      <c r="CR249" s="12">
        <f>SUM($AQ249:BL249)-SUM($EA249:EJ249)</f>
        <v>63522</v>
      </c>
      <c r="CS249" s="12">
        <f>SUM($AQ249:BM249)-SUM($EA249:EK249)</f>
        <v>62387</v>
      </c>
      <c r="CT249" s="12">
        <f>SUM($AQ249:BN249)-SUM($EA249:EL249)</f>
        <v>60372</v>
      </c>
      <c r="CU249" s="12">
        <f>SUM($AQ249:BO249)-SUM($EA249:EM249)</f>
        <v>58322</v>
      </c>
      <c r="CV249" s="12">
        <f>SUM($AQ249:BP249)-SUM($EA249:EN249)</f>
        <v>56272</v>
      </c>
      <c r="CW249" s="12">
        <f>SUM($AQ249:BQ249)-SUM($EA249:EO249)</f>
        <v>54272</v>
      </c>
      <c r="CX249" s="12">
        <f>SUM($AQ249:BR249)-SUM($EA249:EP249)</f>
        <v>52222</v>
      </c>
      <c r="CY249" s="12">
        <f>SUM($AQ249:BS249)-SUM($EA249:EQ249)</f>
        <v>50172</v>
      </c>
      <c r="CZ249" s="12">
        <f>SUM($AQ249:BT249)-SUM($EA249:ER249)</f>
        <v>48122</v>
      </c>
      <c r="DA249" s="12">
        <f>SUM($AQ249:BU249)-SUM($EA249:ES249)</f>
        <v>46072</v>
      </c>
      <c r="DB249" s="12">
        <f>SUM($AQ249:BV249)-SUM($EA249:ET249)</f>
        <v>44022</v>
      </c>
      <c r="DC249" s="12">
        <f>SUM($AQ249:BW249)-SUM($EA249:EU249)</f>
        <v>41972</v>
      </c>
      <c r="DD249" s="12">
        <f>SUM($AQ249:BX249)-SUM($EA249:EV249)</f>
        <v>39922</v>
      </c>
      <c r="DE249" s="12">
        <f>SUM($AQ249:BY249)-SUM($EA249:EW249)</f>
        <v>37912</v>
      </c>
      <c r="DF249" s="12">
        <f>SUM($AQ249:BZ249)-SUM($EA249:EX249)</f>
        <v>35912</v>
      </c>
      <c r="DG249" s="12">
        <f>SUM($AQ249:CA249)-SUM($EA249:EY249)</f>
        <v>33912</v>
      </c>
      <c r="DH249" s="12">
        <f>SUM($AQ249:CB249)-SUM($EA249:EZ249)</f>
        <v>31912</v>
      </c>
      <c r="DI249" s="12">
        <f>SUM($AQ249:CC249)-SUM($EA249:FA249)</f>
        <v>29912</v>
      </c>
      <c r="DJ249" s="12">
        <f>SUM($AQ249:CD249)-SUM($EA249:FB249)</f>
        <v>27912</v>
      </c>
      <c r="DK249" s="12">
        <f>SUM($AQ249:CE249)-SUM($EA249:FC249)</f>
        <v>25912</v>
      </c>
      <c r="DL249" s="12">
        <f>SUM($AQ249:CF249)-SUM($EA249:FD249)</f>
        <v>23912</v>
      </c>
      <c r="DM249" s="12">
        <f>SUM($AQ249:CG249)-SUM($EA249:FE249)</f>
        <v>21912</v>
      </c>
      <c r="DN249" s="12">
        <f>SUM($AQ249:CH249)-SUM($EA249:FF249)</f>
        <v>19912</v>
      </c>
      <c r="DO249" s="12">
        <f>SUM($AQ249:CI249)-SUM($EA249:FG249)</f>
        <v>17912</v>
      </c>
      <c r="DP249" s="12">
        <f>SUM($AQ249:CJ249)-SUM($EA249:FH249)</f>
        <v>15912</v>
      </c>
      <c r="DQ249" s="12">
        <f>SUM($AQ249:CK249)-SUM($EA249:FI249)</f>
        <v>13912</v>
      </c>
      <c r="DR249" s="12">
        <f>SUM($AQ249:CL249)-SUM($EA249:FJ249)</f>
        <v>11912</v>
      </c>
      <c r="DS249" s="12">
        <f>SUM($AQ249:CM249)-SUM($EA249:FK249)</f>
        <v>9912</v>
      </c>
      <c r="DT249" s="12">
        <f>SUM($AQ249:CN249)-SUM($EA249:FL249)</f>
        <v>7912</v>
      </c>
      <c r="DU249" s="12">
        <f>SUM($AQ249:CO249)-SUM($EA249:FM249)</f>
        <v>5912</v>
      </c>
      <c r="DV249" s="12">
        <f>SUM($AQ249:CP249)-SUM($EA249:FN249)</f>
        <v>69151</v>
      </c>
      <c r="DW249" s="12">
        <f>SUM($AQ249:CQ249)-SUM($EA249:FO249)</f>
        <v>133611</v>
      </c>
      <c r="DX249" s="13"/>
      <c r="DY249" s="13"/>
      <c r="DZ249" s="13"/>
      <c r="EA249" s="12"/>
      <c r="EB249" s="12"/>
      <c r="EC249" s="12"/>
      <c r="ED249" s="12"/>
      <c r="EE249" s="12"/>
      <c r="EF249" s="12"/>
      <c r="EG249" s="12"/>
      <c r="EH249" s="12">
        <f t="array" ref="EH249">SUMPRODUCT(TRANSPOSE(EH$9:EH$34),$K249:$AJ249)</f>
        <v>7063</v>
      </c>
      <c r="EI249" s="12">
        <f t="array" ref="EI249">SUMPRODUCT(TRANSPOSE(EI$9:EI$34),$K249:$AJ249)</f>
        <v>400</v>
      </c>
      <c r="EJ249" s="12">
        <f t="array" ref="EJ249">SUMPRODUCT(TRANSPOSE(EJ$9:EJ$34),$K249:$AJ249)</f>
        <v>1015</v>
      </c>
      <c r="EK249" s="12">
        <f t="array" ref="EK249">SUMPRODUCT(TRANSPOSE(EK$9:EK$34),$K249:$AJ249)</f>
        <v>1135</v>
      </c>
      <c r="EL249" s="12">
        <f t="array" ref="EL249">SUMPRODUCT(TRANSPOSE(EL$9:EL$34),$K249:$AJ249)</f>
        <v>2015</v>
      </c>
      <c r="EM249" s="12">
        <f t="array" ref="EM249">SUMPRODUCT(TRANSPOSE(EM$9:EM$34),$K249:$AJ249)</f>
        <v>2050</v>
      </c>
      <c r="EN249" s="12">
        <f t="array" ref="EN249">SUMPRODUCT(TRANSPOSE(EN$9:EN$34),$K249:$AJ249)</f>
        <v>2050</v>
      </c>
      <c r="EO249" s="12">
        <f t="array" ref="EO249">SUMPRODUCT(TRANSPOSE(EO$9:EO$34),$K249:$AJ249)</f>
        <v>2000</v>
      </c>
      <c r="EP249" s="12">
        <f t="array" ref="EP249">SUMPRODUCT(TRANSPOSE(EP$9:EP$34),$K249:$AJ249)</f>
        <v>2050</v>
      </c>
      <c r="EQ249" s="12">
        <f t="array" ref="EQ249">SUMPRODUCT(TRANSPOSE(EQ$9:EQ$34),$K249:$AJ249)</f>
        <v>2050</v>
      </c>
      <c r="ER249" s="12">
        <f t="array" ref="ER249">SUMPRODUCT(TRANSPOSE(ER$9:ER$34),$K249:$AJ249)</f>
        <v>2050</v>
      </c>
      <c r="ES249" s="12">
        <f t="array" ref="ES249">SUMPRODUCT(TRANSPOSE(ES$9:ES$34),$K249:$AJ249)</f>
        <v>2050</v>
      </c>
      <c r="ET249" s="12">
        <f t="array" ref="ET249">SUMPRODUCT(TRANSPOSE(ET$9:ET$34),$K249:$AJ249)</f>
        <v>2050</v>
      </c>
      <c r="EU249" s="12">
        <f t="array" ref="EU249">SUMPRODUCT(TRANSPOSE(EU$9:EU$34),$K249:$AJ249)</f>
        <v>2050</v>
      </c>
      <c r="EV249" s="12">
        <f t="array" ref="EV249">SUMPRODUCT(TRANSPOSE(EV$9:EV$34),$K249:$AJ249)</f>
        <v>2050</v>
      </c>
      <c r="EW249" s="12">
        <f t="array" ref="EW249">SUMPRODUCT(TRANSPOSE(EW$9:EW$34),$K249:$AJ249)</f>
        <v>2010</v>
      </c>
      <c r="EX249" s="12">
        <f t="array" ref="EX249">SUMPRODUCT(TRANSPOSE(EX$9:EX$34),$K249:$AJ249)</f>
        <v>2000</v>
      </c>
      <c r="EY249" s="12">
        <f t="array" ref="EY249">SUMPRODUCT(TRANSPOSE(EY$9:EY$34),$K249:$AJ249)</f>
        <v>2000</v>
      </c>
      <c r="EZ249" s="12">
        <f t="array" ref="EZ249">SUMPRODUCT(TRANSPOSE(EZ$9:EZ$34),$K249:$AJ249)</f>
        <v>2000</v>
      </c>
      <c r="FA249" s="12">
        <f t="array" ref="FA249">SUMPRODUCT(TRANSPOSE(FA$9:FA$34),$K249:$AJ249)</f>
        <v>2000</v>
      </c>
      <c r="FB249" s="12">
        <f t="array" ref="FB249">SUMPRODUCT(TRANSPOSE(FB$9:FB$34),$K249:$AJ249)</f>
        <v>2000</v>
      </c>
      <c r="FC249" s="12">
        <f t="array" ref="FC249">SUMPRODUCT(TRANSPOSE(FC$9:FC$34),$K249:$AJ249)</f>
        <v>2000</v>
      </c>
      <c r="FD249" s="12">
        <f t="array" ref="FD249">SUMPRODUCT(TRANSPOSE(FD$9:FD$34),$K249:$AJ249)</f>
        <v>2000</v>
      </c>
      <c r="FE249" s="12">
        <f t="array" ref="FE249">SUMPRODUCT(TRANSPOSE(FE$9:FE$34),$K249:$AJ249)</f>
        <v>2000</v>
      </c>
      <c r="FF249" s="12">
        <f t="array" ref="FF249">SUMPRODUCT(TRANSPOSE(FF$9:FF$34),$K249:$AJ249)</f>
        <v>2000</v>
      </c>
      <c r="FG249" s="12">
        <f t="array" ref="FG249">SUMPRODUCT(TRANSPOSE(FG$9:FG$34),$K249:$AJ249)</f>
        <v>2000</v>
      </c>
      <c r="FH249" s="12">
        <f t="array" ref="FH249">SUMPRODUCT(TRANSPOSE(FH$9:FH$34),$K249:$AJ249)</f>
        <v>2000</v>
      </c>
      <c r="FI249" s="12">
        <f t="array" ref="FI249">SUMPRODUCT(TRANSPOSE(FI$9:FI$34),$K249:$AJ249)</f>
        <v>2000</v>
      </c>
      <c r="FJ249" s="12">
        <f t="array" ref="FJ249">SUMPRODUCT(TRANSPOSE(FJ$9:FJ$34),$K249:$AJ249)</f>
        <v>2000</v>
      </c>
      <c r="FK249" s="12">
        <f t="array" ref="FK249">SUMPRODUCT(TRANSPOSE(FK$9:FK$34),$K249:$AJ249)</f>
        <v>2000</v>
      </c>
      <c r="FL249" s="12">
        <f t="array" ref="FL249">SUMPRODUCT(TRANSPOSE(FL$9:FL$34),$K249:$AJ249)</f>
        <v>2000</v>
      </c>
      <c r="FM249" s="12">
        <f t="array" ref="FM249">SUMPRODUCT(TRANSPOSE(FM$9:FM$34),$K249:$AJ249)</f>
        <v>2000</v>
      </c>
      <c r="FN249" s="12">
        <f t="array" ref="FN249">SUMPRODUCT(TRANSPOSE(FN$9:FN$34),$K249:$AJ249)</f>
        <v>1698</v>
      </c>
      <c r="FO249" s="12">
        <f t="array" ref="FO249">SUMPRODUCT(TRANSPOSE(FO$9:FO$34),$K249:$AJ249)</f>
        <v>77</v>
      </c>
    </row>
    <row r="250" spans="1:171" ht="14.25" x14ac:dyDescent="0.2">
      <c r="A250" s="13">
        <f t="shared" si="13"/>
        <v>215</v>
      </c>
      <c r="B250" s="13" t="s">
        <v>771</v>
      </c>
      <c r="C250" s="25" t="s">
        <v>772</v>
      </c>
      <c r="D250" s="13" t="s">
        <v>67</v>
      </c>
      <c r="E250" s="13">
        <v>411048244</v>
      </c>
      <c r="F250" s="26" t="s">
        <v>773</v>
      </c>
      <c r="G250" s="13"/>
      <c r="H250" s="13" t="s">
        <v>61</v>
      </c>
      <c r="I250" s="13">
        <v>1</v>
      </c>
      <c r="J250" s="13">
        <v>2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1</v>
      </c>
      <c r="V250" s="13">
        <v>0</v>
      </c>
      <c r="W250" s="13">
        <v>0</v>
      </c>
      <c r="X250" s="13">
        <v>0</v>
      </c>
      <c r="Y250" s="13"/>
      <c r="Z250" s="13"/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1</v>
      </c>
      <c r="AH250" s="13">
        <v>0</v>
      </c>
      <c r="AI250" s="13">
        <v>0</v>
      </c>
      <c r="AJ250" s="13">
        <v>0</v>
      </c>
      <c r="AK250" s="13">
        <f t="shared" si="14"/>
        <v>1</v>
      </c>
      <c r="AL250" s="23">
        <f t="shared" si="12"/>
        <v>35665</v>
      </c>
      <c r="AM250" s="13"/>
      <c r="AN250" s="13" t="s">
        <v>725</v>
      </c>
      <c r="AO250" s="7" t="s">
        <v>718</v>
      </c>
      <c r="AP250" s="38">
        <v>1.06</v>
      </c>
      <c r="AQ250" s="12">
        <v>36030</v>
      </c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13"/>
      <c r="CG250" s="13"/>
      <c r="CH250" s="13"/>
      <c r="CI250" s="12"/>
      <c r="CJ250" s="12"/>
      <c r="CK250" s="12"/>
      <c r="CL250" s="12"/>
      <c r="CM250" s="12"/>
      <c r="CN250" s="12"/>
      <c r="CO250" s="12"/>
      <c r="CP250" s="12">
        <f>SUM($AQ250:BJ250)-SUM($EA250:EH250)</f>
        <v>32931</v>
      </c>
      <c r="CQ250" s="12">
        <f>SUM($AQ250:BK250)-SUM($EA250:EI250)</f>
        <v>32650</v>
      </c>
      <c r="CR250" s="12">
        <f>SUM($AQ250:BL250)-SUM($EA250:EJ250)</f>
        <v>32635</v>
      </c>
      <c r="CS250" s="12">
        <f>SUM($AQ250:BM250)-SUM($EA250:EK250)</f>
        <v>32600</v>
      </c>
      <c r="CT250" s="12">
        <f>SUM($AQ250:BN250)-SUM($EA250:EL250)</f>
        <v>32585</v>
      </c>
      <c r="CU250" s="12">
        <f>SUM($AQ250:BO250)-SUM($EA250:EM250)</f>
        <v>32535</v>
      </c>
      <c r="CV250" s="12">
        <f>SUM($AQ250:BP250)-SUM($EA250:EN250)</f>
        <v>32485</v>
      </c>
      <c r="CW250" s="12">
        <f>SUM($AQ250:BQ250)-SUM($EA250:EO250)</f>
        <v>32485</v>
      </c>
      <c r="CX250" s="12">
        <f>SUM($AQ250:BR250)-SUM($EA250:EP250)</f>
        <v>32435</v>
      </c>
      <c r="CY250" s="12">
        <f>SUM($AQ250:BS250)-SUM($EA250:EQ250)</f>
        <v>32385</v>
      </c>
      <c r="CZ250" s="12">
        <f>SUM($AQ250:BT250)-SUM($EA250:ER250)</f>
        <v>32335</v>
      </c>
      <c r="DA250" s="12">
        <f>SUM($AQ250:BU250)-SUM($EA250:ES250)</f>
        <v>32285</v>
      </c>
      <c r="DB250" s="12">
        <f>SUM($AQ250:BV250)-SUM($EA250:ET250)</f>
        <v>32235</v>
      </c>
      <c r="DC250" s="12">
        <f>SUM($AQ250:BW250)-SUM($EA250:EU250)</f>
        <v>32185</v>
      </c>
      <c r="DD250" s="12">
        <f>SUM($AQ250:BX250)-SUM($EA250:EV250)</f>
        <v>32135</v>
      </c>
      <c r="DE250" s="12">
        <f>SUM($AQ250:BY250)-SUM($EA250:EW250)</f>
        <v>32092</v>
      </c>
      <c r="DF250" s="12">
        <f>SUM($AQ250:BZ250)-SUM($EA250:EX250)</f>
        <v>32092</v>
      </c>
      <c r="DG250" s="12">
        <f>SUM($AQ250:CA250)-SUM($EA250:EY250)</f>
        <v>32092</v>
      </c>
      <c r="DH250" s="12">
        <f>SUM($AQ250:CB250)-SUM($EA250:EZ250)</f>
        <v>32092</v>
      </c>
      <c r="DI250" s="12">
        <f>SUM($AQ250:CC250)-SUM($EA250:FA250)</f>
        <v>32092</v>
      </c>
      <c r="DJ250" s="12">
        <f>SUM($AQ250:CD250)-SUM($EA250:FB250)</f>
        <v>32092</v>
      </c>
      <c r="DK250" s="12">
        <f>SUM($AQ250:CE250)-SUM($EA250:FC250)</f>
        <v>32092</v>
      </c>
      <c r="DL250" s="12">
        <f>SUM($AQ250:CF250)-SUM($EA250:FD250)</f>
        <v>32092</v>
      </c>
      <c r="DM250" s="12">
        <f>SUM($AQ250:CG250)-SUM($EA250:FE250)</f>
        <v>32092</v>
      </c>
      <c r="DN250" s="12">
        <f>SUM($AQ250:CH250)-SUM($EA250:FF250)</f>
        <v>32092</v>
      </c>
      <c r="DO250" s="12">
        <f>SUM($AQ250:CI250)-SUM($EA250:FG250)</f>
        <v>32092</v>
      </c>
      <c r="DP250" s="12">
        <f>SUM($AQ250:CJ250)-SUM($EA250:FH250)</f>
        <v>32092</v>
      </c>
      <c r="DQ250" s="12">
        <f>SUM($AQ250:CK250)-SUM($EA250:FI250)</f>
        <v>32092</v>
      </c>
      <c r="DR250" s="12">
        <f>SUM($AQ250:CL250)-SUM($EA250:FJ250)</f>
        <v>32092</v>
      </c>
      <c r="DS250" s="12">
        <f>SUM($AQ250:CM250)-SUM($EA250:FK250)</f>
        <v>32092</v>
      </c>
      <c r="DT250" s="12">
        <f>SUM($AQ250:CN250)-SUM($EA250:FL250)</f>
        <v>32092</v>
      </c>
      <c r="DU250" s="12">
        <f>SUM($AQ250:CO250)-SUM($EA250:FM250)</f>
        <v>32092</v>
      </c>
      <c r="DV250" s="12">
        <f>SUM($AQ250:CP250)-SUM($EA250:FN250)</f>
        <v>65023</v>
      </c>
      <c r="DW250" s="12">
        <f>SUM($AQ250:CQ250)-SUM($EA250:FO250)</f>
        <v>97673</v>
      </c>
      <c r="DX250" s="13"/>
      <c r="DY250" s="13"/>
      <c r="DZ250" s="13"/>
      <c r="EA250" s="12"/>
      <c r="EB250" s="12"/>
      <c r="EC250" s="12"/>
      <c r="ED250" s="12"/>
      <c r="EE250" s="12"/>
      <c r="EF250" s="12"/>
      <c r="EG250" s="12"/>
      <c r="EH250" s="12">
        <f t="array" ref="EH250">SUMPRODUCT(TRANSPOSE(EH$9:EH$34),$K250:$AJ250)</f>
        <v>3099</v>
      </c>
      <c r="EI250" s="12">
        <f t="array" ref="EI250">SUMPRODUCT(TRANSPOSE(EI$9:EI$34),$K250:$AJ250)</f>
        <v>281</v>
      </c>
      <c r="EJ250" s="12">
        <f t="array" ref="EJ250">SUMPRODUCT(TRANSPOSE(EJ$9:EJ$34),$K250:$AJ250)</f>
        <v>15</v>
      </c>
      <c r="EK250" s="12">
        <f t="array" ref="EK250">SUMPRODUCT(TRANSPOSE(EK$9:EK$34),$K250:$AJ250)</f>
        <v>35</v>
      </c>
      <c r="EL250" s="12">
        <f t="array" ref="EL250">SUMPRODUCT(TRANSPOSE(EL$9:EL$34),$K250:$AJ250)</f>
        <v>15</v>
      </c>
      <c r="EM250" s="12">
        <f t="array" ref="EM250">SUMPRODUCT(TRANSPOSE(EM$9:EM$34),$K250:$AJ250)</f>
        <v>50</v>
      </c>
      <c r="EN250" s="12">
        <f t="array" ref="EN250">SUMPRODUCT(TRANSPOSE(EN$9:EN$34),$K250:$AJ250)</f>
        <v>50</v>
      </c>
      <c r="EO250" s="12">
        <f t="array" ref="EO250">SUMPRODUCT(TRANSPOSE(EO$9:EO$34),$K250:$AJ250)</f>
        <v>0</v>
      </c>
      <c r="EP250" s="12">
        <f t="array" ref="EP250">SUMPRODUCT(TRANSPOSE(EP$9:EP$34),$K250:$AJ250)</f>
        <v>50</v>
      </c>
      <c r="EQ250" s="12">
        <f t="array" ref="EQ250">SUMPRODUCT(TRANSPOSE(EQ$9:EQ$34),$K250:$AJ250)</f>
        <v>50</v>
      </c>
      <c r="ER250" s="12">
        <f t="array" ref="ER250">SUMPRODUCT(TRANSPOSE(ER$9:ER$34),$K250:$AJ250)</f>
        <v>50</v>
      </c>
      <c r="ES250" s="12">
        <f t="array" ref="ES250">SUMPRODUCT(TRANSPOSE(ES$9:ES$34),$K250:$AJ250)</f>
        <v>50</v>
      </c>
      <c r="ET250" s="12">
        <f t="array" ref="ET250">SUMPRODUCT(TRANSPOSE(ET$9:ET$34),$K250:$AJ250)</f>
        <v>50</v>
      </c>
      <c r="EU250" s="12">
        <f t="array" ref="EU250">SUMPRODUCT(TRANSPOSE(EU$9:EU$34),$K250:$AJ250)</f>
        <v>50</v>
      </c>
      <c r="EV250" s="12">
        <f t="array" ref="EV250">SUMPRODUCT(TRANSPOSE(EV$9:EV$34),$K250:$AJ250)</f>
        <v>50</v>
      </c>
      <c r="EW250" s="12">
        <f t="array" ref="EW250">SUMPRODUCT(TRANSPOSE(EW$9:EW$34),$K250:$AJ250)</f>
        <v>43</v>
      </c>
      <c r="EX250" s="12">
        <f t="array" ref="EX250">SUMPRODUCT(TRANSPOSE(EX$9:EX$34),$K250:$AJ250)</f>
        <v>0</v>
      </c>
      <c r="EY250" s="12">
        <f t="array" ref="EY250">SUMPRODUCT(TRANSPOSE(EY$9:EY$34),$K250:$AJ250)</f>
        <v>0</v>
      </c>
      <c r="EZ250" s="12">
        <f t="array" ref="EZ250">SUMPRODUCT(TRANSPOSE(EZ$9:EZ$34),$K250:$AJ250)</f>
        <v>0</v>
      </c>
      <c r="FA250" s="12">
        <f t="array" ref="FA250">SUMPRODUCT(TRANSPOSE(FA$9:FA$34),$K250:$AJ250)</f>
        <v>0</v>
      </c>
      <c r="FB250" s="12">
        <f t="array" ref="FB250">SUMPRODUCT(TRANSPOSE(FB$9:FB$34),$K250:$AJ250)</f>
        <v>0</v>
      </c>
      <c r="FC250" s="12">
        <f t="array" ref="FC250">SUMPRODUCT(TRANSPOSE(FC$9:FC$34),$K250:$AJ250)</f>
        <v>0</v>
      </c>
      <c r="FD250" s="12">
        <f t="array" ref="FD250">SUMPRODUCT(TRANSPOSE(FD$9:FD$34),$K250:$AJ250)</f>
        <v>0</v>
      </c>
      <c r="FE250" s="12">
        <f t="array" ref="FE250">SUMPRODUCT(TRANSPOSE(FE$9:FE$34),$K250:$AJ250)</f>
        <v>0</v>
      </c>
      <c r="FF250" s="12">
        <f t="array" ref="FF250">SUMPRODUCT(TRANSPOSE(FF$9:FF$34),$K250:$AJ250)</f>
        <v>0</v>
      </c>
      <c r="FG250" s="12">
        <f t="array" ref="FG250">SUMPRODUCT(TRANSPOSE(FG$9:FG$34),$K250:$AJ250)</f>
        <v>0</v>
      </c>
      <c r="FH250" s="12">
        <f t="array" ref="FH250">SUMPRODUCT(TRANSPOSE(FH$9:FH$34),$K250:$AJ250)</f>
        <v>0</v>
      </c>
      <c r="FI250" s="12">
        <f t="array" ref="FI250">SUMPRODUCT(TRANSPOSE(FI$9:FI$34),$K250:$AJ250)</f>
        <v>0</v>
      </c>
      <c r="FJ250" s="12">
        <f t="array" ref="FJ250">SUMPRODUCT(TRANSPOSE(FJ$9:FJ$34),$K250:$AJ250)</f>
        <v>0</v>
      </c>
      <c r="FK250" s="12">
        <f t="array" ref="FK250">SUMPRODUCT(TRANSPOSE(FK$9:FK$34),$K250:$AJ250)</f>
        <v>0</v>
      </c>
      <c r="FL250" s="12">
        <f t="array" ref="FL250">SUMPRODUCT(TRANSPOSE(FL$9:FL$34),$K250:$AJ250)</f>
        <v>0</v>
      </c>
      <c r="FM250" s="12">
        <f t="array" ref="FM250">SUMPRODUCT(TRANSPOSE(FM$9:FM$34),$K250:$AJ250)</f>
        <v>0</v>
      </c>
      <c r="FN250" s="12">
        <f t="array" ref="FN250">SUMPRODUCT(TRANSPOSE(FN$9:FN$34),$K250:$AJ250)</f>
        <v>0</v>
      </c>
      <c r="FO250" s="12">
        <f t="array" ref="FO250">SUMPRODUCT(TRANSPOSE(FO$9:FO$34),$K250:$AJ250)</f>
        <v>0</v>
      </c>
    </row>
    <row r="251" spans="1:171" ht="14.25" x14ac:dyDescent="0.2">
      <c r="A251" s="13">
        <f t="shared" si="13"/>
        <v>216</v>
      </c>
      <c r="B251" s="13" t="s">
        <v>774</v>
      </c>
      <c r="C251" s="25" t="s">
        <v>775</v>
      </c>
      <c r="D251" s="13" t="s">
        <v>67</v>
      </c>
      <c r="E251" s="13">
        <v>405852894</v>
      </c>
      <c r="F251" s="26" t="s">
        <v>776</v>
      </c>
      <c r="G251" s="13">
        <v>405876630</v>
      </c>
      <c r="H251" s="13" t="s">
        <v>61</v>
      </c>
      <c r="I251" s="13">
        <v>2</v>
      </c>
      <c r="J251" s="13">
        <v>3</v>
      </c>
      <c r="K251" s="13">
        <v>0</v>
      </c>
      <c r="L251" s="13">
        <v>0</v>
      </c>
      <c r="M251" s="13">
        <v>0</v>
      </c>
      <c r="N251" s="13">
        <v>0</v>
      </c>
      <c r="O251" s="13">
        <v>1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1</v>
      </c>
      <c r="Y251" s="13"/>
      <c r="Z251" s="13"/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1</v>
      </c>
      <c r="AK251" s="13">
        <f t="shared" si="14"/>
        <v>2</v>
      </c>
      <c r="AL251" s="23">
        <f t="shared" si="12"/>
        <v>70863</v>
      </c>
      <c r="AM251" s="13"/>
      <c r="AN251" s="13" t="s">
        <v>777</v>
      </c>
      <c r="AO251" s="7" t="s">
        <v>726</v>
      </c>
      <c r="AP251" s="38">
        <v>5.3</v>
      </c>
      <c r="AQ251" s="12">
        <v>21250</v>
      </c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13"/>
      <c r="CG251" s="13"/>
      <c r="CH251" s="13"/>
      <c r="CI251" s="12"/>
      <c r="CJ251" s="12"/>
      <c r="CK251" s="12"/>
      <c r="CL251" s="12"/>
      <c r="CM251" s="12"/>
      <c r="CN251" s="12"/>
      <c r="CO251" s="12"/>
      <c r="CP251" s="12">
        <f>SUM($AQ251:BJ251)-SUM($EA251:EH251)</f>
        <v>14187</v>
      </c>
      <c r="CQ251" s="12">
        <f>SUM($AQ251:BK251)-SUM($EA251:EI251)</f>
        <v>13787</v>
      </c>
      <c r="CR251" s="12">
        <f>SUM($AQ251:BL251)-SUM($EA251:EJ251)</f>
        <v>12772</v>
      </c>
      <c r="CS251" s="12">
        <f>SUM($AQ251:BM251)-SUM($EA251:EK251)</f>
        <v>11637</v>
      </c>
      <c r="CT251" s="12">
        <f>SUM($AQ251:BN251)-SUM($EA251:EL251)</f>
        <v>9622</v>
      </c>
      <c r="CU251" s="12">
        <f>SUM($AQ251:BO251)-SUM($EA251:EM251)</f>
        <v>7572</v>
      </c>
      <c r="CV251" s="12">
        <f>SUM($AQ251:BP251)-SUM($EA251:EN251)</f>
        <v>5522</v>
      </c>
      <c r="CW251" s="12">
        <f>SUM($AQ251:BQ251)-SUM($EA251:EO251)</f>
        <v>3522</v>
      </c>
      <c r="CX251" s="12">
        <f>SUM($AQ251:BR251)-SUM($EA251:EP251)</f>
        <v>1472</v>
      </c>
      <c r="CY251" s="12">
        <f>SUM($AQ251:BS251)-SUM($EA251:EQ251)</f>
        <v>-578</v>
      </c>
      <c r="CZ251" s="12">
        <f>SUM($AQ251:BT251)-SUM($EA251:ER251)</f>
        <v>-2628</v>
      </c>
      <c r="DA251" s="12">
        <f>SUM($AQ251:BU251)-SUM($EA251:ES251)</f>
        <v>-4678</v>
      </c>
      <c r="DB251" s="12">
        <f>SUM($AQ251:BV251)-SUM($EA251:ET251)</f>
        <v>-6728</v>
      </c>
      <c r="DC251" s="12">
        <f>SUM($AQ251:BW251)-SUM($EA251:EU251)</f>
        <v>-8778</v>
      </c>
      <c r="DD251" s="12">
        <f>SUM($AQ251:BX251)-SUM($EA251:EV251)</f>
        <v>-10828</v>
      </c>
      <c r="DE251" s="12">
        <f>SUM($AQ251:BY251)-SUM($EA251:EW251)</f>
        <v>-12838</v>
      </c>
      <c r="DF251" s="12">
        <f>SUM($AQ251:BZ251)-SUM($EA251:EX251)</f>
        <v>-14838</v>
      </c>
      <c r="DG251" s="12">
        <f>SUM($AQ251:CA251)-SUM($EA251:EY251)</f>
        <v>-16838</v>
      </c>
      <c r="DH251" s="12">
        <f>SUM($AQ251:CB251)-SUM($EA251:EZ251)</f>
        <v>-18838</v>
      </c>
      <c r="DI251" s="12">
        <f>SUM($AQ251:CC251)-SUM($EA251:FA251)</f>
        <v>-20838</v>
      </c>
      <c r="DJ251" s="12">
        <f>SUM($AQ251:CD251)-SUM($EA251:FB251)</f>
        <v>-22838</v>
      </c>
      <c r="DK251" s="12">
        <f>SUM($AQ251:CE251)-SUM($EA251:FC251)</f>
        <v>-24838</v>
      </c>
      <c r="DL251" s="12">
        <f>SUM($AQ251:CF251)-SUM($EA251:FD251)</f>
        <v>-26838</v>
      </c>
      <c r="DM251" s="12">
        <f>SUM($AQ251:CG251)-SUM($EA251:FE251)</f>
        <v>-28838</v>
      </c>
      <c r="DN251" s="12">
        <f>SUM($AQ251:CH251)-SUM($EA251:FF251)</f>
        <v>-30838</v>
      </c>
      <c r="DO251" s="12">
        <f>SUM($AQ251:CI251)-SUM($EA251:FG251)</f>
        <v>-32838</v>
      </c>
      <c r="DP251" s="12">
        <f>SUM($AQ251:CJ251)-SUM($EA251:FH251)</f>
        <v>-34838</v>
      </c>
      <c r="DQ251" s="12">
        <f>SUM($AQ251:CK251)-SUM($EA251:FI251)</f>
        <v>-36838</v>
      </c>
      <c r="DR251" s="12">
        <f>SUM($AQ251:CL251)-SUM($EA251:FJ251)</f>
        <v>-38838</v>
      </c>
      <c r="DS251" s="12">
        <f>SUM($AQ251:CM251)-SUM($EA251:FK251)</f>
        <v>-40838</v>
      </c>
      <c r="DT251" s="12">
        <f>SUM($AQ251:CN251)-SUM($EA251:FL251)</f>
        <v>-42838</v>
      </c>
      <c r="DU251" s="12">
        <f>SUM($AQ251:CO251)-SUM($EA251:FM251)</f>
        <v>-44838</v>
      </c>
      <c r="DV251" s="12">
        <f>SUM($AQ251:CP251)-SUM($EA251:FN251)</f>
        <v>-32349</v>
      </c>
      <c r="DW251" s="12">
        <f>SUM($AQ251:CQ251)-SUM($EA251:FO251)</f>
        <v>-18639</v>
      </c>
      <c r="DX251" s="13"/>
      <c r="DY251" s="13"/>
      <c r="DZ251" s="13"/>
      <c r="EA251" s="12"/>
      <c r="EB251" s="12"/>
      <c r="EC251" s="12"/>
      <c r="ED251" s="12"/>
      <c r="EE251" s="12"/>
      <c r="EF251" s="12"/>
      <c r="EG251" s="12"/>
      <c r="EH251" s="12">
        <f t="array" ref="EH251">SUMPRODUCT(TRANSPOSE(EH$9:EH$34),$K251:$AJ251)</f>
        <v>7063</v>
      </c>
      <c r="EI251" s="12">
        <f t="array" ref="EI251">SUMPRODUCT(TRANSPOSE(EI$9:EI$34),$K251:$AJ251)</f>
        <v>400</v>
      </c>
      <c r="EJ251" s="12">
        <f t="array" ref="EJ251">SUMPRODUCT(TRANSPOSE(EJ$9:EJ$34),$K251:$AJ251)</f>
        <v>1015</v>
      </c>
      <c r="EK251" s="12">
        <f t="array" ref="EK251">SUMPRODUCT(TRANSPOSE(EK$9:EK$34),$K251:$AJ251)</f>
        <v>1135</v>
      </c>
      <c r="EL251" s="12">
        <f t="array" ref="EL251">SUMPRODUCT(TRANSPOSE(EL$9:EL$34),$K251:$AJ251)</f>
        <v>2015</v>
      </c>
      <c r="EM251" s="12">
        <f t="array" ref="EM251">SUMPRODUCT(TRANSPOSE(EM$9:EM$34),$K251:$AJ251)</f>
        <v>2050</v>
      </c>
      <c r="EN251" s="12">
        <f t="array" ref="EN251">SUMPRODUCT(TRANSPOSE(EN$9:EN$34),$K251:$AJ251)</f>
        <v>2050</v>
      </c>
      <c r="EO251" s="12">
        <f t="array" ref="EO251">SUMPRODUCT(TRANSPOSE(EO$9:EO$34),$K251:$AJ251)</f>
        <v>2000</v>
      </c>
      <c r="EP251" s="12">
        <f t="array" ref="EP251">SUMPRODUCT(TRANSPOSE(EP$9:EP$34),$K251:$AJ251)</f>
        <v>2050</v>
      </c>
      <c r="EQ251" s="12">
        <f t="array" ref="EQ251">SUMPRODUCT(TRANSPOSE(EQ$9:EQ$34),$K251:$AJ251)</f>
        <v>2050</v>
      </c>
      <c r="ER251" s="12">
        <f t="array" ref="ER251">SUMPRODUCT(TRANSPOSE(ER$9:ER$34),$K251:$AJ251)</f>
        <v>2050</v>
      </c>
      <c r="ES251" s="12">
        <f t="array" ref="ES251">SUMPRODUCT(TRANSPOSE(ES$9:ES$34),$K251:$AJ251)</f>
        <v>2050</v>
      </c>
      <c r="ET251" s="12">
        <f t="array" ref="ET251">SUMPRODUCT(TRANSPOSE(ET$9:ET$34),$K251:$AJ251)</f>
        <v>2050</v>
      </c>
      <c r="EU251" s="12">
        <f t="array" ref="EU251">SUMPRODUCT(TRANSPOSE(EU$9:EU$34),$K251:$AJ251)</f>
        <v>2050</v>
      </c>
      <c r="EV251" s="12">
        <f t="array" ref="EV251">SUMPRODUCT(TRANSPOSE(EV$9:EV$34),$K251:$AJ251)</f>
        <v>2050</v>
      </c>
      <c r="EW251" s="12">
        <f t="array" ref="EW251">SUMPRODUCT(TRANSPOSE(EW$9:EW$34),$K251:$AJ251)</f>
        <v>2010</v>
      </c>
      <c r="EX251" s="12">
        <f t="array" ref="EX251">SUMPRODUCT(TRANSPOSE(EX$9:EX$34),$K251:$AJ251)</f>
        <v>2000</v>
      </c>
      <c r="EY251" s="12">
        <f t="array" ref="EY251">SUMPRODUCT(TRANSPOSE(EY$9:EY$34),$K251:$AJ251)</f>
        <v>2000</v>
      </c>
      <c r="EZ251" s="12">
        <f t="array" ref="EZ251">SUMPRODUCT(TRANSPOSE(EZ$9:EZ$34),$K251:$AJ251)</f>
        <v>2000</v>
      </c>
      <c r="FA251" s="12">
        <f t="array" ref="FA251">SUMPRODUCT(TRANSPOSE(FA$9:FA$34),$K251:$AJ251)</f>
        <v>2000</v>
      </c>
      <c r="FB251" s="12">
        <f t="array" ref="FB251">SUMPRODUCT(TRANSPOSE(FB$9:FB$34),$K251:$AJ251)</f>
        <v>2000</v>
      </c>
      <c r="FC251" s="12">
        <f t="array" ref="FC251">SUMPRODUCT(TRANSPOSE(FC$9:FC$34),$K251:$AJ251)</f>
        <v>2000</v>
      </c>
      <c r="FD251" s="12">
        <f t="array" ref="FD251">SUMPRODUCT(TRANSPOSE(FD$9:FD$34),$K251:$AJ251)</f>
        <v>2000</v>
      </c>
      <c r="FE251" s="12">
        <f t="array" ref="FE251">SUMPRODUCT(TRANSPOSE(FE$9:FE$34),$K251:$AJ251)</f>
        <v>2000</v>
      </c>
      <c r="FF251" s="12">
        <f t="array" ref="FF251">SUMPRODUCT(TRANSPOSE(FF$9:FF$34),$K251:$AJ251)</f>
        <v>2000</v>
      </c>
      <c r="FG251" s="12">
        <f t="array" ref="FG251">SUMPRODUCT(TRANSPOSE(FG$9:FG$34),$K251:$AJ251)</f>
        <v>2000</v>
      </c>
      <c r="FH251" s="12">
        <f t="array" ref="FH251">SUMPRODUCT(TRANSPOSE(FH$9:FH$34),$K251:$AJ251)</f>
        <v>2000</v>
      </c>
      <c r="FI251" s="12">
        <f t="array" ref="FI251">SUMPRODUCT(TRANSPOSE(FI$9:FI$34),$K251:$AJ251)</f>
        <v>2000</v>
      </c>
      <c r="FJ251" s="12">
        <f t="array" ref="FJ251">SUMPRODUCT(TRANSPOSE(FJ$9:FJ$34),$K251:$AJ251)</f>
        <v>2000</v>
      </c>
      <c r="FK251" s="12">
        <f t="array" ref="FK251">SUMPRODUCT(TRANSPOSE(FK$9:FK$34),$K251:$AJ251)</f>
        <v>2000</v>
      </c>
      <c r="FL251" s="12">
        <f t="array" ref="FL251">SUMPRODUCT(TRANSPOSE(FL$9:FL$34),$K251:$AJ251)</f>
        <v>2000</v>
      </c>
      <c r="FM251" s="12">
        <f t="array" ref="FM251">SUMPRODUCT(TRANSPOSE(FM$9:FM$34),$K251:$AJ251)</f>
        <v>2000</v>
      </c>
      <c r="FN251" s="12">
        <f t="array" ref="FN251">SUMPRODUCT(TRANSPOSE(FN$9:FN$34),$K251:$AJ251)</f>
        <v>1698</v>
      </c>
      <c r="FO251" s="12">
        <f t="array" ref="FO251">SUMPRODUCT(TRANSPOSE(FO$9:FO$34),$K251:$AJ251)</f>
        <v>77</v>
      </c>
    </row>
    <row r="252" spans="1:171" ht="14.25" x14ac:dyDescent="0.2">
      <c r="A252" s="13">
        <f t="shared" si="13"/>
        <v>217</v>
      </c>
      <c r="B252" s="13" t="s">
        <v>778</v>
      </c>
      <c r="C252" s="25" t="s">
        <v>779</v>
      </c>
      <c r="D252" s="13" t="s">
        <v>67</v>
      </c>
      <c r="E252" s="30">
        <v>410238312</v>
      </c>
      <c r="F252" s="26" t="s">
        <v>780</v>
      </c>
      <c r="G252" s="13"/>
      <c r="H252" s="13" t="s">
        <v>61</v>
      </c>
      <c r="I252" s="13">
        <v>1</v>
      </c>
      <c r="J252" s="13">
        <v>1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1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/>
      <c r="Z252" s="13">
        <v>1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f t="shared" si="14"/>
        <v>2</v>
      </c>
      <c r="AL252" s="23">
        <f t="shared" si="12"/>
        <v>34997</v>
      </c>
      <c r="AM252" s="13"/>
      <c r="AN252" s="13" t="s">
        <v>781</v>
      </c>
      <c r="AO252" s="7" t="s">
        <v>507</v>
      </c>
      <c r="AP252" s="38">
        <v>17.850000000000001</v>
      </c>
      <c r="AQ252" s="12">
        <v>15000</v>
      </c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13"/>
      <c r="CG252" s="13"/>
      <c r="CH252" s="13"/>
      <c r="CI252" s="12"/>
      <c r="CJ252" s="12"/>
      <c r="CK252" s="12"/>
      <c r="CL252" s="12"/>
      <c r="CM252" s="12"/>
      <c r="CN252" s="12"/>
      <c r="CO252" s="12"/>
      <c r="CP252" s="12">
        <f>SUM($AQ252:BJ252)-SUM($EA252:EH252)</f>
        <v>11901</v>
      </c>
      <c r="CQ252" s="12">
        <f>SUM($AQ252:BK252)-SUM($EA252:EI252)</f>
        <v>11620</v>
      </c>
      <c r="CR252" s="12">
        <f>SUM($AQ252:BL252)-SUM($EA252:EJ252)</f>
        <v>11620</v>
      </c>
      <c r="CS252" s="12">
        <f>SUM($AQ252:BM252)-SUM($EA252:EK252)</f>
        <v>11520</v>
      </c>
      <c r="CT252" s="12">
        <f>SUM($AQ252:BN252)-SUM($EA252:EL252)</f>
        <v>10520</v>
      </c>
      <c r="CU252" s="12">
        <f>SUM($AQ252:BO252)-SUM($EA252:EM252)</f>
        <v>8520</v>
      </c>
      <c r="CV252" s="12">
        <f>SUM($AQ252:BP252)-SUM($EA252:EN252)</f>
        <v>7420</v>
      </c>
      <c r="CW252" s="12">
        <f>SUM($AQ252:BQ252)-SUM($EA252:EO252)</f>
        <v>6420</v>
      </c>
      <c r="CX252" s="12">
        <f>SUM($AQ252:BR252)-SUM($EA252:EP252)</f>
        <v>5420</v>
      </c>
      <c r="CY252" s="12">
        <f>SUM($AQ252:BS252)-SUM($EA252:EQ252)</f>
        <v>4420</v>
      </c>
      <c r="CZ252" s="12">
        <f>SUM($AQ252:BT252)-SUM($EA252:ER252)</f>
        <v>3420</v>
      </c>
      <c r="DA252" s="12">
        <f>SUM($AQ252:BU252)-SUM($EA252:ES252)</f>
        <v>2420</v>
      </c>
      <c r="DB252" s="12">
        <f>SUM($AQ252:BV252)-SUM($EA252:ET252)</f>
        <v>1420</v>
      </c>
      <c r="DC252" s="12">
        <f>SUM($AQ252:BW252)-SUM($EA252:EU252)</f>
        <v>420</v>
      </c>
      <c r="DD252" s="12">
        <f>SUM($AQ252:BX252)-SUM($EA252:EV252)</f>
        <v>-580</v>
      </c>
      <c r="DE252" s="12">
        <f>SUM($AQ252:BY252)-SUM($EA252:EW252)</f>
        <v>-1580</v>
      </c>
      <c r="DF252" s="12">
        <f>SUM($AQ252:BZ252)-SUM($EA252:EX252)</f>
        <v>-2580</v>
      </c>
      <c r="DG252" s="12">
        <f>SUM($AQ252:CA252)-SUM($EA252:EY252)</f>
        <v>-3580</v>
      </c>
      <c r="DH252" s="12">
        <f>SUM($AQ252:CB252)-SUM($EA252:EZ252)</f>
        <v>-4580</v>
      </c>
      <c r="DI252" s="12">
        <f>SUM($AQ252:CC252)-SUM($EA252:FA252)</f>
        <v>-5580</v>
      </c>
      <c r="DJ252" s="12">
        <f>SUM($AQ252:CD252)-SUM($EA252:FB252)</f>
        <v>-6580</v>
      </c>
      <c r="DK252" s="12">
        <f>SUM($AQ252:CE252)-SUM($EA252:FC252)</f>
        <v>-7580</v>
      </c>
      <c r="DL252" s="12">
        <f>SUM($AQ252:CF252)-SUM($EA252:FD252)</f>
        <v>-8580</v>
      </c>
      <c r="DM252" s="12">
        <f>SUM($AQ252:CG252)-SUM($EA252:FE252)</f>
        <v>-9580</v>
      </c>
      <c r="DN252" s="12">
        <f>SUM($AQ252:CH252)-SUM($EA252:FF252)</f>
        <v>-10580</v>
      </c>
      <c r="DO252" s="12">
        <f>SUM($AQ252:CI252)-SUM($EA252:FG252)</f>
        <v>-11580</v>
      </c>
      <c r="DP252" s="12">
        <f>SUM($AQ252:CJ252)-SUM($EA252:FH252)</f>
        <v>-12580</v>
      </c>
      <c r="DQ252" s="12">
        <f>SUM($AQ252:CK252)-SUM($EA252:FI252)</f>
        <v>-13580</v>
      </c>
      <c r="DR252" s="12">
        <f>SUM($AQ252:CL252)-SUM($EA252:FJ252)</f>
        <v>-14580</v>
      </c>
      <c r="DS252" s="12">
        <f>SUM($AQ252:CM252)-SUM($EA252:FK252)</f>
        <v>-15580</v>
      </c>
      <c r="DT252" s="12">
        <f>SUM($AQ252:CN252)-SUM($EA252:FL252)</f>
        <v>-16580</v>
      </c>
      <c r="DU252" s="12">
        <f>SUM($AQ252:CO252)-SUM($EA252:FM252)</f>
        <v>-17580</v>
      </c>
      <c r="DV252" s="12">
        <f>SUM($AQ252:CP252)-SUM($EA252:FN252)</f>
        <v>-6496</v>
      </c>
      <c r="DW252" s="12">
        <f>SUM($AQ252:CQ252)-SUM($EA252:FO252)</f>
        <v>5124</v>
      </c>
      <c r="DX252" s="13"/>
      <c r="DY252" s="13"/>
      <c r="DZ252" s="13"/>
      <c r="EA252" s="12"/>
      <c r="EB252" s="12"/>
      <c r="EC252" s="12"/>
      <c r="ED252" s="12"/>
      <c r="EE252" s="12"/>
      <c r="EF252" s="12"/>
      <c r="EG252" s="12"/>
      <c r="EH252" s="12">
        <f t="array" ref="EH252">SUMPRODUCT(TRANSPOSE(EH$9:EH$34),$K252:$AJ252)</f>
        <v>3099</v>
      </c>
      <c r="EI252" s="12">
        <f t="array" ref="EI252">SUMPRODUCT(TRANSPOSE(EI$9:EI$34),$K252:$AJ252)</f>
        <v>281</v>
      </c>
      <c r="EJ252" s="12">
        <f t="array" ref="EJ252">SUMPRODUCT(TRANSPOSE(EJ$9:EJ$34),$K252:$AJ252)</f>
        <v>0</v>
      </c>
      <c r="EK252" s="12">
        <f t="array" ref="EK252">SUMPRODUCT(TRANSPOSE(EK$9:EK$34),$K252:$AJ252)</f>
        <v>100</v>
      </c>
      <c r="EL252" s="12">
        <f t="array" ref="EL252">SUMPRODUCT(TRANSPOSE(EL$9:EL$34),$K252:$AJ252)</f>
        <v>1000</v>
      </c>
      <c r="EM252" s="12">
        <f t="array" ref="EM252">SUMPRODUCT(TRANSPOSE(EM$9:EM$34),$K252:$AJ252)</f>
        <v>2000</v>
      </c>
      <c r="EN252" s="12">
        <f t="array" ref="EN252">SUMPRODUCT(TRANSPOSE(EN$9:EN$34),$K252:$AJ252)</f>
        <v>1100</v>
      </c>
      <c r="EO252" s="12">
        <f t="array" ref="EO252">SUMPRODUCT(TRANSPOSE(EO$9:EO$34),$K252:$AJ252)</f>
        <v>1000</v>
      </c>
      <c r="EP252" s="12">
        <f t="array" ref="EP252">SUMPRODUCT(TRANSPOSE(EP$9:EP$34),$K252:$AJ252)</f>
        <v>1000</v>
      </c>
      <c r="EQ252" s="12">
        <f t="array" ref="EQ252">SUMPRODUCT(TRANSPOSE(EQ$9:EQ$34),$K252:$AJ252)</f>
        <v>1000</v>
      </c>
      <c r="ER252" s="12">
        <f t="array" ref="ER252">SUMPRODUCT(TRANSPOSE(ER$9:ER$34),$K252:$AJ252)</f>
        <v>1000</v>
      </c>
      <c r="ES252" s="12">
        <f t="array" ref="ES252">SUMPRODUCT(TRANSPOSE(ES$9:ES$34),$K252:$AJ252)</f>
        <v>1000</v>
      </c>
      <c r="ET252" s="12">
        <f t="array" ref="ET252">SUMPRODUCT(TRANSPOSE(ET$9:ET$34),$K252:$AJ252)</f>
        <v>1000</v>
      </c>
      <c r="EU252" s="12">
        <f t="array" ref="EU252">SUMPRODUCT(TRANSPOSE(EU$9:EU$34),$K252:$AJ252)</f>
        <v>1000</v>
      </c>
      <c r="EV252" s="12">
        <f t="array" ref="EV252">SUMPRODUCT(TRANSPOSE(EV$9:EV$34),$K252:$AJ252)</f>
        <v>1000</v>
      </c>
      <c r="EW252" s="12">
        <f t="array" ref="EW252">SUMPRODUCT(TRANSPOSE(EW$9:EW$34),$K252:$AJ252)</f>
        <v>1000</v>
      </c>
      <c r="EX252" s="12">
        <f t="array" ref="EX252">SUMPRODUCT(TRANSPOSE(EX$9:EX$34),$K252:$AJ252)</f>
        <v>1000</v>
      </c>
      <c r="EY252" s="12">
        <f t="array" ref="EY252">SUMPRODUCT(TRANSPOSE(EY$9:EY$34),$K252:$AJ252)</f>
        <v>1000</v>
      </c>
      <c r="EZ252" s="12">
        <f t="array" ref="EZ252">SUMPRODUCT(TRANSPOSE(EZ$9:EZ$34),$K252:$AJ252)</f>
        <v>1000</v>
      </c>
      <c r="FA252" s="12">
        <f t="array" ref="FA252">SUMPRODUCT(TRANSPOSE(FA$9:FA$34),$K252:$AJ252)</f>
        <v>1000</v>
      </c>
      <c r="FB252" s="12">
        <f t="array" ref="FB252">SUMPRODUCT(TRANSPOSE(FB$9:FB$34),$K252:$AJ252)</f>
        <v>1000</v>
      </c>
      <c r="FC252" s="12">
        <f t="array" ref="FC252">SUMPRODUCT(TRANSPOSE(FC$9:FC$34),$K252:$AJ252)</f>
        <v>1000</v>
      </c>
      <c r="FD252" s="12">
        <f t="array" ref="FD252">SUMPRODUCT(TRANSPOSE(FD$9:FD$34),$K252:$AJ252)</f>
        <v>1000</v>
      </c>
      <c r="FE252" s="12">
        <f t="array" ref="FE252">SUMPRODUCT(TRANSPOSE(FE$9:FE$34),$K252:$AJ252)</f>
        <v>1000</v>
      </c>
      <c r="FF252" s="12">
        <f t="array" ref="FF252">SUMPRODUCT(TRANSPOSE(FF$9:FF$34),$K252:$AJ252)</f>
        <v>1000</v>
      </c>
      <c r="FG252" s="12">
        <f t="array" ref="FG252">SUMPRODUCT(TRANSPOSE(FG$9:FG$34),$K252:$AJ252)</f>
        <v>1000</v>
      </c>
      <c r="FH252" s="12">
        <f t="array" ref="FH252">SUMPRODUCT(TRANSPOSE(FH$9:FH$34),$K252:$AJ252)</f>
        <v>1000</v>
      </c>
      <c r="FI252" s="12">
        <f t="array" ref="FI252">SUMPRODUCT(TRANSPOSE(FI$9:FI$34),$K252:$AJ252)</f>
        <v>1000</v>
      </c>
      <c r="FJ252" s="12">
        <f t="array" ref="FJ252">SUMPRODUCT(TRANSPOSE(FJ$9:FJ$34),$K252:$AJ252)</f>
        <v>1000</v>
      </c>
      <c r="FK252" s="12">
        <f t="array" ref="FK252">SUMPRODUCT(TRANSPOSE(FK$9:FK$34),$K252:$AJ252)</f>
        <v>1000</v>
      </c>
      <c r="FL252" s="12">
        <f t="array" ref="FL252">SUMPRODUCT(TRANSPOSE(FL$9:FL$34),$K252:$AJ252)</f>
        <v>1000</v>
      </c>
      <c r="FM252" s="12">
        <f t="array" ref="FM252">SUMPRODUCT(TRANSPOSE(FM$9:FM$34),$K252:$AJ252)</f>
        <v>1000</v>
      </c>
      <c r="FN252" s="12">
        <f t="array" ref="FN252">SUMPRODUCT(TRANSPOSE(FN$9:FN$34),$K252:$AJ252)</f>
        <v>817</v>
      </c>
      <c r="FO252" s="12">
        <f t="array" ref="FO252">SUMPRODUCT(TRANSPOSE(FO$9:FO$34),$K252:$AJ252)</f>
        <v>0</v>
      </c>
    </row>
    <row r="253" spans="1:171" ht="14.25" x14ac:dyDescent="0.2">
      <c r="A253" s="13">
        <f t="shared" si="13"/>
        <v>218</v>
      </c>
      <c r="B253" s="13" t="s">
        <v>782</v>
      </c>
      <c r="C253" s="25" t="s">
        <v>783</v>
      </c>
      <c r="D253" s="13" t="s">
        <v>67</v>
      </c>
      <c r="E253" s="30">
        <v>410238313</v>
      </c>
      <c r="F253" s="26" t="s">
        <v>784</v>
      </c>
      <c r="G253" s="13"/>
      <c r="H253" s="13" t="s">
        <v>61</v>
      </c>
      <c r="I253" s="13">
        <v>1</v>
      </c>
      <c r="J253" s="13">
        <v>2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1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/>
      <c r="Z253" s="13">
        <v>1</v>
      </c>
      <c r="AA253" s="13">
        <v>0</v>
      </c>
      <c r="AB253" s="13">
        <v>0</v>
      </c>
      <c r="AC253" s="13">
        <v>0</v>
      </c>
      <c r="AD253" s="13">
        <v>1</v>
      </c>
      <c r="AE253" s="13">
        <v>1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f t="shared" si="14"/>
        <v>3</v>
      </c>
      <c r="AL253" s="23">
        <f t="shared" si="12"/>
        <v>35665</v>
      </c>
      <c r="AM253" s="13"/>
      <c r="AN253" s="13" t="s">
        <v>781</v>
      </c>
      <c r="AO253" s="7" t="s">
        <v>507</v>
      </c>
      <c r="AP253" s="38">
        <v>17.850000000000001</v>
      </c>
      <c r="AQ253" s="12">
        <v>15325</v>
      </c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13"/>
      <c r="CG253" s="13"/>
      <c r="CH253" s="13"/>
      <c r="CI253" s="12"/>
      <c r="CJ253" s="12"/>
      <c r="CK253" s="12"/>
      <c r="CL253" s="12"/>
      <c r="CM253" s="12"/>
      <c r="CN253" s="12"/>
      <c r="CO253" s="12"/>
      <c r="CP253" s="12">
        <f>SUM($AQ253:BJ253)-SUM($EA253:EH253)</f>
        <v>12216</v>
      </c>
      <c r="CQ253" s="12">
        <f>SUM($AQ253:BK253)-SUM($EA253:EI253)</f>
        <v>11935</v>
      </c>
      <c r="CR253" s="12">
        <f>SUM($AQ253:BL253)-SUM($EA253:EJ253)</f>
        <v>11920</v>
      </c>
      <c r="CS253" s="12">
        <f>SUM($AQ253:BM253)-SUM($EA253:EK253)</f>
        <v>11785</v>
      </c>
      <c r="CT253" s="12">
        <f>SUM($AQ253:BN253)-SUM($EA253:EL253)</f>
        <v>10770</v>
      </c>
      <c r="CU253" s="12">
        <f>SUM($AQ253:BO253)-SUM($EA253:EM253)</f>
        <v>8720</v>
      </c>
      <c r="CV253" s="12">
        <f>SUM($AQ253:BP253)-SUM($EA253:EN253)</f>
        <v>7570</v>
      </c>
      <c r="CW253" s="12">
        <f>SUM($AQ253:BQ253)-SUM($EA253:EO253)</f>
        <v>6570</v>
      </c>
      <c r="CX253" s="12">
        <f>SUM($AQ253:BR253)-SUM($EA253:EP253)</f>
        <v>5520</v>
      </c>
      <c r="CY253" s="12">
        <f>SUM($AQ253:BS253)-SUM($EA253:EQ253)</f>
        <v>4470</v>
      </c>
      <c r="CZ253" s="12">
        <f>SUM($AQ253:BT253)-SUM($EA253:ER253)</f>
        <v>3420</v>
      </c>
      <c r="DA253" s="12">
        <f>SUM($AQ253:BU253)-SUM($EA253:ES253)</f>
        <v>2370</v>
      </c>
      <c r="DB253" s="12">
        <f>SUM($AQ253:BV253)-SUM($EA253:ET253)</f>
        <v>1320</v>
      </c>
      <c r="DC253" s="12">
        <f>SUM($AQ253:BW253)-SUM($EA253:EU253)</f>
        <v>270</v>
      </c>
      <c r="DD253" s="12">
        <f>SUM($AQ253:BX253)-SUM($EA253:EV253)</f>
        <v>-780</v>
      </c>
      <c r="DE253" s="12">
        <f>SUM($AQ253:BY253)-SUM($EA253:EW253)</f>
        <v>-1823</v>
      </c>
      <c r="DF253" s="12">
        <f>SUM($AQ253:BZ253)-SUM($EA253:EX253)</f>
        <v>-2823</v>
      </c>
      <c r="DG253" s="12">
        <f>SUM($AQ253:CA253)-SUM($EA253:EY253)</f>
        <v>-3823</v>
      </c>
      <c r="DH253" s="12">
        <f>SUM($AQ253:CB253)-SUM($EA253:EZ253)</f>
        <v>-4823</v>
      </c>
      <c r="DI253" s="12">
        <f>SUM($AQ253:CC253)-SUM($EA253:FA253)</f>
        <v>-5823</v>
      </c>
      <c r="DJ253" s="12">
        <f>SUM($AQ253:CD253)-SUM($EA253:FB253)</f>
        <v>-6823</v>
      </c>
      <c r="DK253" s="12">
        <f>SUM($AQ253:CE253)-SUM($EA253:FC253)</f>
        <v>-7823</v>
      </c>
      <c r="DL253" s="12">
        <f>SUM($AQ253:CF253)-SUM($EA253:FD253)</f>
        <v>-8823</v>
      </c>
      <c r="DM253" s="12">
        <f>SUM($AQ253:CG253)-SUM($EA253:FE253)</f>
        <v>-9823</v>
      </c>
      <c r="DN253" s="12">
        <f>SUM($AQ253:CH253)-SUM($EA253:FF253)</f>
        <v>-10823</v>
      </c>
      <c r="DO253" s="12">
        <f>SUM($AQ253:CI253)-SUM($EA253:FG253)</f>
        <v>-11823</v>
      </c>
      <c r="DP253" s="12">
        <f>SUM($AQ253:CJ253)-SUM($EA253:FH253)</f>
        <v>-12823</v>
      </c>
      <c r="DQ253" s="12">
        <f>SUM($AQ253:CK253)-SUM($EA253:FI253)</f>
        <v>-13823</v>
      </c>
      <c r="DR253" s="12">
        <f>SUM($AQ253:CL253)-SUM($EA253:FJ253)</f>
        <v>-14823</v>
      </c>
      <c r="DS253" s="12">
        <f>SUM($AQ253:CM253)-SUM($EA253:FK253)</f>
        <v>-15823</v>
      </c>
      <c r="DT253" s="12">
        <f>SUM($AQ253:CN253)-SUM($EA253:FL253)</f>
        <v>-16823</v>
      </c>
      <c r="DU253" s="12">
        <f>SUM($AQ253:CO253)-SUM($EA253:FM253)</f>
        <v>-17823</v>
      </c>
      <c r="DV253" s="12">
        <f>SUM($AQ253:CP253)-SUM($EA253:FN253)</f>
        <v>-6424</v>
      </c>
      <c r="DW253" s="12">
        <f>SUM($AQ253:CQ253)-SUM($EA253:FO253)</f>
        <v>5511</v>
      </c>
      <c r="DX253" s="13"/>
      <c r="DY253" s="13"/>
      <c r="DZ253" s="13"/>
      <c r="EA253" s="12"/>
      <c r="EB253" s="12"/>
      <c r="EC253" s="12"/>
      <c r="ED253" s="12"/>
      <c r="EE253" s="12"/>
      <c r="EF253" s="12"/>
      <c r="EG253" s="12"/>
      <c r="EH253" s="12">
        <f t="array" ref="EH253">SUMPRODUCT(TRANSPOSE(EH$9:EH$34),$K253:$AJ253)</f>
        <v>3109</v>
      </c>
      <c r="EI253" s="12">
        <f t="array" ref="EI253">SUMPRODUCT(TRANSPOSE(EI$9:EI$34),$K253:$AJ253)</f>
        <v>281</v>
      </c>
      <c r="EJ253" s="12">
        <f t="array" ref="EJ253">SUMPRODUCT(TRANSPOSE(EJ$9:EJ$34),$K253:$AJ253)</f>
        <v>15</v>
      </c>
      <c r="EK253" s="12">
        <f t="array" ref="EK253">SUMPRODUCT(TRANSPOSE(EK$9:EK$34),$K253:$AJ253)</f>
        <v>135</v>
      </c>
      <c r="EL253" s="12">
        <f t="array" ref="EL253">SUMPRODUCT(TRANSPOSE(EL$9:EL$34),$K253:$AJ253)</f>
        <v>1015</v>
      </c>
      <c r="EM253" s="12">
        <f t="array" ref="EM253">SUMPRODUCT(TRANSPOSE(EM$9:EM$34),$K253:$AJ253)</f>
        <v>2050</v>
      </c>
      <c r="EN253" s="12">
        <f t="array" ref="EN253">SUMPRODUCT(TRANSPOSE(EN$9:EN$34),$K253:$AJ253)</f>
        <v>1150</v>
      </c>
      <c r="EO253" s="12">
        <f t="array" ref="EO253">SUMPRODUCT(TRANSPOSE(EO$9:EO$34),$K253:$AJ253)</f>
        <v>1000</v>
      </c>
      <c r="EP253" s="12">
        <f t="array" ref="EP253">SUMPRODUCT(TRANSPOSE(EP$9:EP$34),$K253:$AJ253)</f>
        <v>1050</v>
      </c>
      <c r="EQ253" s="12">
        <f t="array" ref="EQ253">SUMPRODUCT(TRANSPOSE(EQ$9:EQ$34),$K253:$AJ253)</f>
        <v>1050</v>
      </c>
      <c r="ER253" s="12">
        <f t="array" ref="ER253">SUMPRODUCT(TRANSPOSE(ER$9:ER$34),$K253:$AJ253)</f>
        <v>1050</v>
      </c>
      <c r="ES253" s="12">
        <f t="array" ref="ES253">SUMPRODUCT(TRANSPOSE(ES$9:ES$34),$K253:$AJ253)</f>
        <v>1050</v>
      </c>
      <c r="ET253" s="12">
        <f t="array" ref="ET253">SUMPRODUCT(TRANSPOSE(ET$9:ET$34),$K253:$AJ253)</f>
        <v>1050</v>
      </c>
      <c r="EU253" s="12">
        <f t="array" ref="EU253">SUMPRODUCT(TRANSPOSE(EU$9:EU$34),$K253:$AJ253)</f>
        <v>1050</v>
      </c>
      <c r="EV253" s="12">
        <f t="array" ref="EV253">SUMPRODUCT(TRANSPOSE(EV$9:EV$34),$K253:$AJ253)</f>
        <v>1050</v>
      </c>
      <c r="EW253" s="12">
        <f t="array" ref="EW253">SUMPRODUCT(TRANSPOSE(EW$9:EW$34),$K253:$AJ253)</f>
        <v>1043</v>
      </c>
      <c r="EX253" s="12">
        <f t="array" ref="EX253">SUMPRODUCT(TRANSPOSE(EX$9:EX$34),$K253:$AJ253)</f>
        <v>1000</v>
      </c>
      <c r="EY253" s="12">
        <f t="array" ref="EY253">SUMPRODUCT(TRANSPOSE(EY$9:EY$34),$K253:$AJ253)</f>
        <v>1000</v>
      </c>
      <c r="EZ253" s="12">
        <f t="array" ref="EZ253">SUMPRODUCT(TRANSPOSE(EZ$9:EZ$34),$K253:$AJ253)</f>
        <v>1000</v>
      </c>
      <c r="FA253" s="12">
        <f t="array" ref="FA253">SUMPRODUCT(TRANSPOSE(FA$9:FA$34),$K253:$AJ253)</f>
        <v>1000</v>
      </c>
      <c r="FB253" s="12">
        <f t="array" ref="FB253">SUMPRODUCT(TRANSPOSE(FB$9:FB$34),$K253:$AJ253)</f>
        <v>1000</v>
      </c>
      <c r="FC253" s="12">
        <f t="array" ref="FC253">SUMPRODUCT(TRANSPOSE(FC$9:FC$34),$K253:$AJ253)</f>
        <v>1000</v>
      </c>
      <c r="FD253" s="12">
        <f t="array" ref="FD253">SUMPRODUCT(TRANSPOSE(FD$9:FD$34),$K253:$AJ253)</f>
        <v>1000</v>
      </c>
      <c r="FE253" s="12">
        <f t="array" ref="FE253">SUMPRODUCT(TRANSPOSE(FE$9:FE$34),$K253:$AJ253)</f>
        <v>1000</v>
      </c>
      <c r="FF253" s="12">
        <f t="array" ref="FF253">SUMPRODUCT(TRANSPOSE(FF$9:FF$34),$K253:$AJ253)</f>
        <v>1000</v>
      </c>
      <c r="FG253" s="12">
        <f t="array" ref="FG253">SUMPRODUCT(TRANSPOSE(FG$9:FG$34),$K253:$AJ253)</f>
        <v>1000</v>
      </c>
      <c r="FH253" s="12">
        <f t="array" ref="FH253">SUMPRODUCT(TRANSPOSE(FH$9:FH$34),$K253:$AJ253)</f>
        <v>1000</v>
      </c>
      <c r="FI253" s="12">
        <f t="array" ref="FI253">SUMPRODUCT(TRANSPOSE(FI$9:FI$34),$K253:$AJ253)</f>
        <v>1000</v>
      </c>
      <c r="FJ253" s="12">
        <f t="array" ref="FJ253">SUMPRODUCT(TRANSPOSE(FJ$9:FJ$34),$K253:$AJ253)</f>
        <v>1000</v>
      </c>
      <c r="FK253" s="12">
        <f t="array" ref="FK253">SUMPRODUCT(TRANSPOSE(FK$9:FK$34),$K253:$AJ253)</f>
        <v>1000</v>
      </c>
      <c r="FL253" s="12">
        <f t="array" ref="FL253">SUMPRODUCT(TRANSPOSE(FL$9:FL$34),$K253:$AJ253)</f>
        <v>1000</v>
      </c>
      <c r="FM253" s="12">
        <f t="array" ref="FM253">SUMPRODUCT(TRANSPOSE(FM$9:FM$34),$K253:$AJ253)</f>
        <v>1000</v>
      </c>
      <c r="FN253" s="12">
        <f t="array" ref="FN253">SUMPRODUCT(TRANSPOSE(FN$9:FN$34),$K253:$AJ253)</f>
        <v>817</v>
      </c>
      <c r="FO253" s="12">
        <f t="array" ref="FO253">SUMPRODUCT(TRANSPOSE(FO$9:FO$34),$K253:$AJ253)</f>
        <v>0</v>
      </c>
    </row>
    <row r="254" spans="1:171" ht="14.25" x14ac:dyDescent="0.2">
      <c r="A254" s="13">
        <f t="shared" si="13"/>
        <v>219</v>
      </c>
      <c r="B254" s="13" t="s">
        <v>785</v>
      </c>
      <c r="C254" s="25" t="s">
        <v>786</v>
      </c>
      <c r="D254" s="13" t="s">
        <v>67</v>
      </c>
      <c r="E254" s="13">
        <v>410238311</v>
      </c>
      <c r="F254" s="26" t="s">
        <v>780</v>
      </c>
      <c r="G254" s="13"/>
      <c r="H254" s="13" t="s">
        <v>61</v>
      </c>
      <c r="I254" s="13">
        <v>1</v>
      </c>
      <c r="J254" s="13">
        <v>1</v>
      </c>
      <c r="K254" s="13">
        <v>0</v>
      </c>
      <c r="L254" s="13">
        <v>0</v>
      </c>
      <c r="M254" s="13">
        <v>0</v>
      </c>
      <c r="N254" s="13">
        <v>1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/>
      <c r="Z254" s="13"/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f t="shared" si="14"/>
        <v>1</v>
      </c>
      <c r="AL254" s="23">
        <f t="shared" si="12"/>
        <v>35231</v>
      </c>
      <c r="AM254" s="13"/>
      <c r="AN254" s="13" t="s">
        <v>781</v>
      </c>
      <c r="AO254" s="7" t="s">
        <v>507</v>
      </c>
      <c r="AP254" s="38">
        <v>16.5</v>
      </c>
      <c r="AQ254" s="12">
        <v>15000</v>
      </c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13"/>
      <c r="CG254" s="13"/>
      <c r="CH254" s="13"/>
      <c r="CI254" s="12"/>
      <c r="CJ254" s="12"/>
      <c r="CK254" s="12"/>
      <c r="CL254" s="12"/>
      <c r="CM254" s="12"/>
      <c r="CN254" s="12"/>
      <c r="CO254" s="12"/>
      <c r="CP254" s="12">
        <f>SUM($AQ254:BJ254)-SUM($EA254:EH254)</f>
        <v>11046</v>
      </c>
      <c r="CQ254" s="12">
        <f>SUM($AQ254:BK254)-SUM($EA254:EI254)</f>
        <v>11046</v>
      </c>
      <c r="CR254" s="12">
        <f>SUM($AQ254:BL254)-SUM($EA254:EJ254)</f>
        <v>10046</v>
      </c>
      <c r="CS254" s="12">
        <f>SUM($AQ254:BM254)-SUM($EA254:EK254)</f>
        <v>9046</v>
      </c>
      <c r="CT254" s="12">
        <f>SUM($AQ254:BN254)-SUM($EA254:EL254)</f>
        <v>8046</v>
      </c>
      <c r="CU254" s="12">
        <f>SUM($AQ254:BO254)-SUM($EA254:EM254)</f>
        <v>8046</v>
      </c>
      <c r="CV254" s="12">
        <f>SUM($AQ254:BP254)-SUM($EA254:EN254)</f>
        <v>7146</v>
      </c>
      <c r="CW254" s="12">
        <f>SUM($AQ254:BQ254)-SUM($EA254:EO254)</f>
        <v>6146</v>
      </c>
      <c r="CX254" s="12">
        <f>SUM($AQ254:BR254)-SUM($EA254:EP254)</f>
        <v>5146</v>
      </c>
      <c r="CY254" s="12">
        <f>SUM($AQ254:BS254)-SUM($EA254:EQ254)</f>
        <v>4146</v>
      </c>
      <c r="CZ254" s="12">
        <f>SUM($AQ254:BT254)-SUM($EA254:ER254)</f>
        <v>3146</v>
      </c>
      <c r="DA254" s="12">
        <f>SUM($AQ254:BU254)-SUM($EA254:ES254)</f>
        <v>2146</v>
      </c>
      <c r="DB254" s="12">
        <f>SUM($AQ254:BV254)-SUM($EA254:ET254)</f>
        <v>1146</v>
      </c>
      <c r="DC254" s="12">
        <f>SUM($AQ254:BW254)-SUM($EA254:EU254)</f>
        <v>146</v>
      </c>
      <c r="DD254" s="12">
        <f>SUM($AQ254:BX254)-SUM($EA254:EV254)</f>
        <v>-854</v>
      </c>
      <c r="DE254" s="12">
        <f>SUM($AQ254:BY254)-SUM($EA254:EW254)</f>
        <v>-1854</v>
      </c>
      <c r="DF254" s="12">
        <f>SUM($AQ254:BZ254)-SUM($EA254:EX254)</f>
        <v>-2854</v>
      </c>
      <c r="DG254" s="12">
        <f>SUM($AQ254:CA254)-SUM($EA254:EY254)</f>
        <v>-3854</v>
      </c>
      <c r="DH254" s="12">
        <f>SUM($AQ254:CB254)-SUM($EA254:EZ254)</f>
        <v>-4854</v>
      </c>
      <c r="DI254" s="12">
        <f>SUM($AQ254:CC254)-SUM($EA254:FA254)</f>
        <v>-5854</v>
      </c>
      <c r="DJ254" s="12">
        <f>SUM($AQ254:CD254)-SUM($EA254:FB254)</f>
        <v>-6854</v>
      </c>
      <c r="DK254" s="12">
        <f>SUM($AQ254:CE254)-SUM($EA254:FC254)</f>
        <v>-7854</v>
      </c>
      <c r="DL254" s="12">
        <f>SUM($AQ254:CF254)-SUM($EA254:FD254)</f>
        <v>-8854</v>
      </c>
      <c r="DM254" s="12">
        <f>SUM($AQ254:CG254)-SUM($EA254:FE254)</f>
        <v>-9854</v>
      </c>
      <c r="DN254" s="12">
        <f>SUM($AQ254:CH254)-SUM($EA254:FF254)</f>
        <v>-10854</v>
      </c>
      <c r="DO254" s="12">
        <f>SUM($AQ254:CI254)-SUM($EA254:FG254)</f>
        <v>-11854</v>
      </c>
      <c r="DP254" s="12">
        <f>SUM($AQ254:CJ254)-SUM($EA254:FH254)</f>
        <v>-12854</v>
      </c>
      <c r="DQ254" s="12">
        <f>SUM($AQ254:CK254)-SUM($EA254:FI254)</f>
        <v>-13854</v>
      </c>
      <c r="DR254" s="12">
        <f>SUM($AQ254:CL254)-SUM($EA254:FJ254)</f>
        <v>-14854</v>
      </c>
      <c r="DS254" s="12">
        <f>SUM($AQ254:CM254)-SUM($EA254:FK254)</f>
        <v>-15854</v>
      </c>
      <c r="DT254" s="12">
        <f>SUM($AQ254:CN254)-SUM($EA254:FL254)</f>
        <v>-16854</v>
      </c>
      <c r="DU254" s="12">
        <f>SUM($AQ254:CO254)-SUM($EA254:FM254)</f>
        <v>-17854</v>
      </c>
      <c r="DV254" s="12">
        <f>SUM($AQ254:CP254)-SUM($EA254:FN254)</f>
        <v>-7808</v>
      </c>
      <c r="DW254" s="12">
        <f>SUM($AQ254:CQ254)-SUM($EA254:FO254)</f>
        <v>3161</v>
      </c>
      <c r="DX254" s="13"/>
      <c r="DY254" s="13"/>
      <c r="DZ254" s="13"/>
      <c r="EA254" s="12"/>
      <c r="EB254" s="12"/>
      <c r="EC254" s="12"/>
      <c r="ED254" s="12"/>
      <c r="EE254" s="12"/>
      <c r="EF254" s="12"/>
      <c r="EG254" s="12"/>
      <c r="EH254" s="12">
        <f t="array" ref="EH254">SUMPRODUCT(TRANSPOSE(EH$9:EH$34),$K254:$AJ254)</f>
        <v>3954</v>
      </c>
      <c r="EI254" s="12">
        <f t="array" ref="EI254">SUMPRODUCT(TRANSPOSE(EI$9:EI$34),$K254:$AJ254)</f>
        <v>0</v>
      </c>
      <c r="EJ254" s="12">
        <f t="array" ref="EJ254">SUMPRODUCT(TRANSPOSE(EJ$9:EJ$34),$K254:$AJ254)</f>
        <v>1000</v>
      </c>
      <c r="EK254" s="12">
        <f t="array" ref="EK254">SUMPRODUCT(TRANSPOSE(EK$9:EK$34),$K254:$AJ254)</f>
        <v>1000</v>
      </c>
      <c r="EL254" s="12">
        <f t="array" ref="EL254">SUMPRODUCT(TRANSPOSE(EL$9:EL$34),$K254:$AJ254)</f>
        <v>1000</v>
      </c>
      <c r="EM254" s="12">
        <f t="array" ref="EM254">SUMPRODUCT(TRANSPOSE(EM$9:EM$34),$K254:$AJ254)</f>
        <v>0</v>
      </c>
      <c r="EN254" s="12">
        <f t="array" ref="EN254">SUMPRODUCT(TRANSPOSE(EN$9:EN$34),$K254:$AJ254)</f>
        <v>900</v>
      </c>
      <c r="EO254" s="12">
        <f t="array" ref="EO254">SUMPRODUCT(TRANSPOSE(EO$9:EO$34),$K254:$AJ254)</f>
        <v>1000</v>
      </c>
      <c r="EP254" s="12">
        <f t="array" ref="EP254">SUMPRODUCT(TRANSPOSE(EP$9:EP$34),$K254:$AJ254)</f>
        <v>1000</v>
      </c>
      <c r="EQ254" s="12">
        <f t="array" ref="EQ254">SUMPRODUCT(TRANSPOSE(EQ$9:EQ$34),$K254:$AJ254)</f>
        <v>1000</v>
      </c>
      <c r="ER254" s="12">
        <f t="array" ref="ER254">SUMPRODUCT(TRANSPOSE(ER$9:ER$34),$K254:$AJ254)</f>
        <v>1000</v>
      </c>
      <c r="ES254" s="12">
        <f t="array" ref="ES254">SUMPRODUCT(TRANSPOSE(ES$9:ES$34),$K254:$AJ254)</f>
        <v>1000</v>
      </c>
      <c r="ET254" s="12">
        <f t="array" ref="ET254">SUMPRODUCT(TRANSPOSE(ET$9:ET$34),$K254:$AJ254)</f>
        <v>1000</v>
      </c>
      <c r="EU254" s="12">
        <f t="array" ref="EU254">SUMPRODUCT(TRANSPOSE(EU$9:EU$34),$K254:$AJ254)</f>
        <v>1000</v>
      </c>
      <c r="EV254" s="12">
        <f t="array" ref="EV254">SUMPRODUCT(TRANSPOSE(EV$9:EV$34),$K254:$AJ254)</f>
        <v>1000</v>
      </c>
      <c r="EW254" s="12">
        <f t="array" ref="EW254">SUMPRODUCT(TRANSPOSE(EW$9:EW$34),$K254:$AJ254)</f>
        <v>1000</v>
      </c>
      <c r="EX254" s="12">
        <f t="array" ref="EX254">SUMPRODUCT(TRANSPOSE(EX$9:EX$34),$K254:$AJ254)</f>
        <v>1000</v>
      </c>
      <c r="EY254" s="12">
        <f t="array" ref="EY254">SUMPRODUCT(TRANSPOSE(EY$9:EY$34),$K254:$AJ254)</f>
        <v>1000</v>
      </c>
      <c r="EZ254" s="12">
        <f t="array" ref="EZ254">SUMPRODUCT(TRANSPOSE(EZ$9:EZ$34),$K254:$AJ254)</f>
        <v>1000</v>
      </c>
      <c r="FA254" s="12">
        <f t="array" ref="FA254">SUMPRODUCT(TRANSPOSE(FA$9:FA$34),$K254:$AJ254)</f>
        <v>1000</v>
      </c>
      <c r="FB254" s="12">
        <f t="array" ref="FB254">SUMPRODUCT(TRANSPOSE(FB$9:FB$34),$K254:$AJ254)</f>
        <v>1000</v>
      </c>
      <c r="FC254" s="12">
        <f t="array" ref="FC254">SUMPRODUCT(TRANSPOSE(FC$9:FC$34),$K254:$AJ254)</f>
        <v>1000</v>
      </c>
      <c r="FD254" s="12">
        <f t="array" ref="FD254">SUMPRODUCT(TRANSPOSE(FD$9:FD$34),$K254:$AJ254)</f>
        <v>1000</v>
      </c>
      <c r="FE254" s="12">
        <f t="array" ref="FE254">SUMPRODUCT(TRANSPOSE(FE$9:FE$34),$K254:$AJ254)</f>
        <v>1000</v>
      </c>
      <c r="FF254" s="12">
        <f t="array" ref="FF254">SUMPRODUCT(TRANSPOSE(FF$9:FF$34),$K254:$AJ254)</f>
        <v>1000</v>
      </c>
      <c r="FG254" s="12">
        <f t="array" ref="FG254">SUMPRODUCT(TRANSPOSE(FG$9:FG$34),$K254:$AJ254)</f>
        <v>1000</v>
      </c>
      <c r="FH254" s="12">
        <f t="array" ref="FH254">SUMPRODUCT(TRANSPOSE(FH$9:FH$34),$K254:$AJ254)</f>
        <v>1000</v>
      </c>
      <c r="FI254" s="12">
        <f t="array" ref="FI254">SUMPRODUCT(TRANSPOSE(FI$9:FI$34),$K254:$AJ254)</f>
        <v>1000</v>
      </c>
      <c r="FJ254" s="12">
        <f t="array" ref="FJ254">SUMPRODUCT(TRANSPOSE(FJ$9:FJ$34),$K254:$AJ254)</f>
        <v>1000</v>
      </c>
      <c r="FK254" s="12">
        <f t="array" ref="FK254">SUMPRODUCT(TRANSPOSE(FK$9:FK$34),$K254:$AJ254)</f>
        <v>1000</v>
      </c>
      <c r="FL254" s="12">
        <f t="array" ref="FL254">SUMPRODUCT(TRANSPOSE(FL$9:FL$34),$K254:$AJ254)</f>
        <v>1000</v>
      </c>
      <c r="FM254" s="12">
        <f t="array" ref="FM254">SUMPRODUCT(TRANSPOSE(FM$9:FM$34),$K254:$AJ254)</f>
        <v>1000</v>
      </c>
      <c r="FN254" s="12">
        <f t="array" ref="FN254">SUMPRODUCT(TRANSPOSE(FN$9:FN$34),$K254:$AJ254)</f>
        <v>1000</v>
      </c>
      <c r="FO254" s="12">
        <f t="array" ref="FO254">SUMPRODUCT(TRANSPOSE(FO$9:FO$34),$K254:$AJ254)</f>
        <v>77</v>
      </c>
    </row>
    <row r="255" spans="1:171" ht="14.25" x14ac:dyDescent="0.2">
      <c r="A255" s="13">
        <f t="shared" si="13"/>
        <v>220</v>
      </c>
      <c r="B255" s="13" t="s">
        <v>787</v>
      </c>
      <c r="C255" s="25" t="s">
        <v>788</v>
      </c>
      <c r="D255" s="13" t="s">
        <v>67</v>
      </c>
      <c r="E255" s="13">
        <v>410257220</v>
      </c>
      <c r="F255" s="26" t="s">
        <v>784</v>
      </c>
      <c r="G255" s="13"/>
      <c r="H255" s="13" t="s">
        <v>61</v>
      </c>
      <c r="I255" s="13">
        <v>1</v>
      </c>
      <c r="J255" s="13">
        <v>1</v>
      </c>
      <c r="K255" s="13">
        <v>0</v>
      </c>
      <c r="L255" s="13">
        <v>0</v>
      </c>
      <c r="M255" s="13">
        <v>0</v>
      </c>
      <c r="N255" s="13">
        <v>1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/>
      <c r="Z255" s="13"/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f t="shared" si="14"/>
        <v>1</v>
      </c>
      <c r="AL255" s="23">
        <f t="shared" si="12"/>
        <v>35231</v>
      </c>
      <c r="AM255" s="13"/>
      <c r="AN255" s="13" t="s">
        <v>781</v>
      </c>
      <c r="AO255" s="7" t="s">
        <v>507</v>
      </c>
      <c r="AP255" s="38">
        <v>16.5</v>
      </c>
      <c r="AQ255" s="12">
        <v>15000</v>
      </c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13"/>
      <c r="CG255" s="13"/>
      <c r="CH255" s="13"/>
      <c r="CI255" s="12"/>
      <c r="CJ255" s="12"/>
      <c r="CK255" s="12"/>
      <c r="CL255" s="12"/>
      <c r="CM255" s="12"/>
      <c r="CN255" s="12"/>
      <c r="CO255" s="12"/>
      <c r="CP255" s="12">
        <f>SUM($AQ255:BJ255)-SUM($EA255:EH255)</f>
        <v>11046</v>
      </c>
      <c r="CQ255" s="12">
        <f>SUM($AQ255:BK255)-SUM($EA255:EI255)</f>
        <v>11046</v>
      </c>
      <c r="CR255" s="12">
        <f>SUM($AQ255:BL255)-SUM($EA255:EJ255)</f>
        <v>10046</v>
      </c>
      <c r="CS255" s="12">
        <f>SUM($AQ255:BM255)-SUM($EA255:EK255)</f>
        <v>9046</v>
      </c>
      <c r="CT255" s="12">
        <f>SUM($AQ255:BN255)-SUM($EA255:EL255)</f>
        <v>8046</v>
      </c>
      <c r="CU255" s="12">
        <f>SUM($AQ255:BO255)-SUM($EA255:EM255)</f>
        <v>8046</v>
      </c>
      <c r="CV255" s="12">
        <f>SUM($AQ255:BP255)-SUM($EA255:EN255)</f>
        <v>7146</v>
      </c>
      <c r="CW255" s="12">
        <f>SUM($AQ255:BQ255)-SUM($EA255:EO255)</f>
        <v>6146</v>
      </c>
      <c r="CX255" s="12">
        <f>SUM($AQ255:BR255)-SUM($EA255:EP255)</f>
        <v>5146</v>
      </c>
      <c r="CY255" s="12">
        <f>SUM($AQ255:BS255)-SUM($EA255:EQ255)</f>
        <v>4146</v>
      </c>
      <c r="CZ255" s="12">
        <f>SUM($AQ255:BT255)-SUM($EA255:ER255)</f>
        <v>3146</v>
      </c>
      <c r="DA255" s="12">
        <f>SUM($AQ255:BU255)-SUM($EA255:ES255)</f>
        <v>2146</v>
      </c>
      <c r="DB255" s="12">
        <f>SUM($AQ255:BV255)-SUM($EA255:ET255)</f>
        <v>1146</v>
      </c>
      <c r="DC255" s="12">
        <f>SUM($AQ255:BW255)-SUM($EA255:EU255)</f>
        <v>146</v>
      </c>
      <c r="DD255" s="12">
        <f>SUM($AQ255:BX255)-SUM($EA255:EV255)</f>
        <v>-854</v>
      </c>
      <c r="DE255" s="12">
        <f>SUM($AQ255:BY255)-SUM($EA255:EW255)</f>
        <v>-1854</v>
      </c>
      <c r="DF255" s="12">
        <f>SUM($AQ255:BZ255)-SUM($EA255:EX255)</f>
        <v>-2854</v>
      </c>
      <c r="DG255" s="12">
        <f>SUM($AQ255:CA255)-SUM($EA255:EY255)</f>
        <v>-3854</v>
      </c>
      <c r="DH255" s="12">
        <f>SUM($AQ255:CB255)-SUM($EA255:EZ255)</f>
        <v>-4854</v>
      </c>
      <c r="DI255" s="12">
        <f>SUM($AQ255:CC255)-SUM($EA255:FA255)</f>
        <v>-5854</v>
      </c>
      <c r="DJ255" s="12">
        <f>SUM($AQ255:CD255)-SUM($EA255:FB255)</f>
        <v>-6854</v>
      </c>
      <c r="DK255" s="12">
        <f>SUM($AQ255:CE255)-SUM($EA255:FC255)</f>
        <v>-7854</v>
      </c>
      <c r="DL255" s="12">
        <f>SUM($AQ255:CF255)-SUM($EA255:FD255)</f>
        <v>-8854</v>
      </c>
      <c r="DM255" s="12">
        <f>SUM($AQ255:CG255)-SUM($EA255:FE255)</f>
        <v>-9854</v>
      </c>
      <c r="DN255" s="12">
        <f>SUM($AQ255:CH255)-SUM($EA255:FF255)</f>
        <v>-10854</v>
      </c>
      <c r="DO255" s="12">
        <f>SUM($AQ255:CI255)-SUM($EA255:FG255)</f>
        <v>-11854</v>
      </c>
      <c r="DP255" s="12">
        <f>SUM($AQ255:CJ255)-SUM($EA255:FH255)</f>
        <v>-12854</v>
      </c>
      <c r="DQ255" s="12">
        <f>SUM($AQ255:CK255)-SUM($EA255:FI255)</f>
        <v>-13854</v>
      </c>
      <c r="DR255" s="12">
        <f>SUM($AQ255:CL255)-SUM($EA255:FJ255)</f>
        <v>-14854</v>
      </c>
      <c r="DS255" s="12">
        <f>SUM($AQ255:CM255)-SUM($EA255:FK255)</f>
        <v>-15854</v>
      </c>
      <c r="DT255" s="12">
        <f>SUM($AQ255:CN255)-SUM($EA255:FL255)</f>
        <v>-16854</v>
      </c>
      <c r="DU255" s="12">
        <f>SUM($AQ255:CO255)-SUM($EA255:FM255)</f>
        <v>-17854</v>
      </c>
      <c r="DV255" s="12">
        <f>SUM($AQ255:CP255)-SUM($EA255:FN255)</f>
        <v>-7808</v>
      </c>
      <c r="DW255" s="12">
        <f>SUM($AQ255:CQ255)-SUM($EA255:FO255)</f>
        <v>3161</v>
      </c>
      <c r="DX255" s="13"/>
      <c r="DY255" s="13"/>
      <c r="DZ255" s="13"/>
      <c r="EA255" s="12"/>
      <c r="EB255" s="12"/>
      <c r="EC255" s="12"/>
      <c r="ED255" s="12"/>
      <c r="EE255" s="12"/>
      <c r="EF255" s="12"/>
      <c r="EG255" s="12"/>
      <c r="EH255" s="12">
        <f t="array" ref="EH255">SUMPRODUCT(TRANSPOSE(EH$9:EH$34),$K255:$AJ255)</f>
        <v>3954</v>
      </c>
      <c r="EI255" s="12">
        <f t="array" ref="EI255">SUMPRODUCT(TRANSPOSE(EI$9:EI$34),$K255:$AJ255)</f>
        <v>0</v>
      </c>
      <c r="EJ255" s="12">
        <f t="array" ref="EJ255">SUMPRODUCT(TRANSPOSE(EJ$9:EJ$34),$K255:$AJ255)</f>
        <v>1000</v>
      </c>
      <c r="EK255" s="12">
        <f t="array" ref="EK255">SUMPRODUCT(TRANSPOSE(EK$9:EK$34),$K255:$AJ255)</f>
        <v>1000</v>
      </c>
      <c r="EL255" s="12">
        <f t="array" ref="EL255">SUMPRODUCT(TRANSPOSE(EL$9:EL$34),$K255:$AJ255)</f>
        <v>1000</v>
      </c>
      <c r="EM255" s="12">
        <f t="array" ref="EM255">SUMPRODUCT(TRANSPOSE(EM$9:EM$34),$K255:$AJ255)</f>
        <v>0</v>
      </c>
      <c r="EN255" s="12">
        <f t="array" ref="EN255">SUMPRODUCT(TRANSPOSE(EN$9:EN$34),$K255:$AJ255)</f>
        <v>900</v>
      </c>
      <c r="EO255" s="12">
        <f t="array" ref="EO255">SUMPRODUCT(TRANSPOSE(EO$9:EO$34),$K255:$AJ255)</f>
        <v>1000</v>
      </c>
      <c r="EP255" s="12">
        <f t="array" ref="EP255">SUMPRODUCT(TRANSPOSE(EP$9:EP$34),$K255:$AJ255)</f>
        <v>1000</v>
      </c>
      <c r="EQ255" s="12">
        <f t="array" ref="EQ255">SUMPRODUCT(TRANSPOSE(EQ$9:EQ$34),$K255:$AJ255)</f>
        <v>1000</v>
      </c>
      <c r="ER255" s="12">
        <f t="array" ref="ER255">SUMPRODUCT(TRANSPOSE(ER$9:ER$34),$K255:$AJ255)</f>
        <v>1000</v>
      </c>
      <c r="ES255" s="12">
        <f t="array" ref="ES255">SUMPRODUCT(TRANSPOSE(ES$9:ES$34),$K255:$AJ255)</f>
        <v>1000</v>
      </c>
      <c r="ET255" s="12">
        <f t="array" ref="ET255">SUMPRODUCT(TRANSPOSE(ET$9:ET$34),$K255:$AJ255)</f>
        <v>1000</v>
      </c>
      <c r="EU255" s="12">
        <f t="array" ref="EU255">SUMPRODUCT(TRANSPOSE(EU$9:EU$34),$K255:$AJ255)</f>
        <v>1000</v>
      </c>
      <c r="EV255" s="12">
        <f t="array" ref="EV255">SUMPRODUCT(TRANSPOSE(EV$9:EV$34),$K255:$AJ255)</f>
        <v>1000</v>
      </c>
      <c r="EW255" s="12">
        <f t="array" ref="EW255">SUMPRODUCT(TRANSPOSE(EW$9:EW$34),$K255:$AJ255)</f>
        <v>1000</v>
      </c>
      <c r="EX255" s="12">
        <f t="array" ref="EX255">SUMPRODUCT(TRANSPOSE(EX$9:EX$34),$K255:$AJ255)</f>
        <v>1000</v>
      </c>
      <c r="EY255" s="12">
        <f t="array" ref="EY255">SUMPRODUCT(TRANSPOSE(EY$9:EY$34),$K255:$AJ255)</f>
        <v>1000</v>
      </c>
      <c r="EZ255" s="12">
        <f t="array" ref="EZ255">SUMPRODUCT(TRANSPOSE(EZ$9:EZ$34),$K255:$AJ255)</f>
        <v>1000</v>
      </c>
      <c r="FA255" s="12">
        <f t="array" ref="FA255">SUMPRODUCT(TRANSPOSE(FA$9:FA$34),$K255:$AJ255)</f>
        <v>1000</v>
      </c>
      <c r="FB255" s="12">
        <f t="array" ref="FB255">SUMPRODUCT(TRANSPOSE(FB$9:FB$34),$K255:$AJ255)</f>
        <v>1000</v>
      </c>
      <c r="FC255" s="12">
        <f t="array" ref="FC255">SUMPRODUCT(TRANSPOSE(FC$9:FC$34),$K255:$AJ255)</f>
        <v>1000</v>
      </c>
      <c r="FD255" s="12">
        <f t="array" ref="FD255">SUMPRODUCT(TRANSPOSE(FD$9:FD$34),$K255:$AJ255)</f>
        <v>1000</v>
      </c>
      <c r="FE255" s="12">
        <f t="array" ref="FE255">SUMPRODUCT(TRANSPOSE(FE$9:FE$34),$K255:$AJ255)</f>
        <v>1000</v>
      </c>
      <c r="FF255" s="12">
        <f t="array" ref="FF255">SUMPRODUCT(TRANSPOSE(FF$9:FF$34),$K255:$AJ255)</f>
        <v>1000</v>
      </c>
      <c r="FG255" s="12">
        <f t="array" ref="FG255">SUMPRODUCT(TRANSPOSE(FG$9:FG$34),$K255:$AJ255)</f>
        <v>1000</v>
      </c>
      <c r="FH255" s="12">
        <f t="array" ref="FH255">SUMPRODUCT(TRANSPOSE(FH$9:FH$34),$K255:$AJ255)</f>
        <v>1000</v>
      </c>
      <c r="FI255" s="12">
        <f t="array" ref="FI255">SUMPRODUCT(TRANSPOSE(FI$9:FI$34),$K255:$AJ255)</f>
        <v>1000</v>
      </c>
      <c r="FJ255" s="12">
        <f t="array" ref="FJ255">SUMPRODUCT(TRANSPOSE(FJ$9:FJ$34),$K255:$AJ255)</f>
        <v>1000</v>
      </c>
      <c r="FK255" s="12">
        <f t="array" ref="FK255">SUMPRODUCT(TRANSPOSE(FK$9:FK$34),$K255:$AJ255)</f>
        <v>1000</v>
      </c>
      <c r="FL255" s="12">
        <f t="array" ref="FL255">SUMPRODUCT(TRANSPOSE(FL$9:FL$34),$K255:$AJ255)</f>
        <v>1000</v>
      </c>
      <c r="FM255" s="12">
        <f t="array" ref="FM255">SUMPRODUCT(TRANSPOSE(FM$9:FM$34),$K255:$AJ255)</f>
        <v>1000</v>
      </c>
      <c r="FN255" s="12">
        <f t="array" ref="FN255">SUMPRODUCT(TRANSPOSE(FN$9:FN$34),$K255:$AJ255)</f>
        <v>1000</v>
      </c>
      <c r="FO255" s="12">
        <f t="array" ref="FO255">SUMPRODUCT(TRANSPOSE(FO$9:FO$34),$K255:$AJ255)</f>
        <v>77</v>
      </c>
    </row>
    <row r="256" spans="1:171" s="81" customFormat="1" ht="14.25" x14ac:dyDescent="0.2">
      <c r="A256" s="47">
        <f t="shared" si="13"/>
        <v>221</v>
      </c>
      <c r="B256" s="47" t="s">
        <v>789</v>
      </c>
      <c r="C256" s="48" t="s">
        <v>790</v>
      </c>
      <c r="D256" s="47" t="s">
        <v>67</v>
      </c>
      <c r="E256" s="47">
        <v>409177480</v>
      </c>
      <c r="F256" s="49" t="s">
        <v>791</v>
      </c>
      <c r="G256" s="47"/>
      <c r="H256" s="47" t="s">
        <v>61</v>
      </c>
      <c r="I256" s="47">
        <v>1</v>
      </c>
      <c r="J256" s="47">
        <v>1</v>
      </c>
      <c r="K256" s="47">
        <v>0</v>
      </c>
      <c r="L256" s="47">
        <v>0</v>
      </c>
      <c r="M256" s="47">
        <v>0</v>
      </c>
      <c r="N256" s="47">
        <v>0</v>
      </c>
      <c r="O256" s="47">
        <v>0</v>
      </c>
      <c r="P256" s="47">
        <v>0</v>
      </c>
      <c r="Q256" s="47">
        <v>0</v>
      </c>
      <c r="R256" s="47">
        <v>0</v>
      </c>
      <c r="S256" s="47">
        <v>0</v>
      </c>
      <c r="T256" s="47">
        <v>0</v>
      </c>
      <c r="U256" s="47">
        <v>0</v>
      </c>
      <c r="V256" s="47">
        <v>0</v>
      </c>
      <c r="W256" s="47">
        <v>0</v>
      </c>
      <c r="X256" s="47">
        <v>0</v>
      </c>
      <c r="Y256" s="47"/>
      <c r="Z256" s="13"/>
      <c r="AA256" s="47">
        <v>0</v>
      </c>
      <c r="AB256" s="47">
        <v>0</v>
      </c>
      <c r="AC256" s="47">
        <v>0</v>
      </c>
      <c r="AD256" s="47">
        <v>1</v>
      </c>
      <c r="AE256" s="47">
        <v>1</v>
      </c>
      <c r="AF256" s="47">
        <v>0</v>
      </c>
      <c r="AG256" s="47">
        <v>0</v>
      </c>
      <c r="AH256" s="47">
        <v>0</v>
      </c>
      <c r="AI256" s="47">
        <v>0</v>
      </c>
      <c r="AJ256" s="47">
        <v>0</v>
      </c>
      <c r="AK256" s="47">
        <f t="shared" si="14"/>
        <v>1</v>
      </c>
      <c r="AL256" s="23">
        <f t="shared" si="12"/>
        <v>668</v>
      </c>
      <c r="AM256" s="47"/>
      <c r="AN256" s="47" t="s">
        <v>781</v>
      </c>
      <c r="AO256" s="46" t="s">
        <v>507</v>
      </c>
      <c r="AP256" s="50">
        <v>22.5</v>
      </c>
      <c r="AQ256" s="12">
        <v>640</v>
      </c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47"/>
      <c r="CG256" s="47"/>
      <c r="CH256" s="47"/>
      <c r="CI256" s="12"/>
      <c r="CJ256" s="12"/>
      <c r="CK256" s="12"/>
      <c r="CL256" s="12"/>
      <c r="CM256" s="12"/>
      <c r="CN256" s="12"/>
      <c r="CO256" s="12"/>
      <c r="CP256" s="12">
        <f>SUM($AQ256:BJ256)-SUM($EA256:EH256)</f>
        <v>630</v>
      </c>
      <c r="CQ256" s="12">
        <f>SUM($AQ256:BK256)-SUM($EA256:EI256)</f>
        <v>630</v>
      </c>
      <c r="CR256" s="12">
        <f>SUM($AQ256:BL256)-SUM($EA256:EJ256)</f>
        <v>615</v>
      </c>
      <c r="CS256" s="12">
        <f>SUM($AQ256:BM256)-SUM($EA256:EK256)</f>
        <v>580</v>
      </c>
      <c r="CT256" s="12">
        <f>SUM($AQ256:BN256)-SUM($EA256:EL256)</f>
        <v>565</v>
      </c>
      <c r="CU256" s="12">
        <f>SUM($AQ256:BO256)-SUM($EA256:EM256)</f>
        <v>515</v>
      </c>
      <c r="CV256" s="12">
        <f>SUM($AQ256:BP256)-SUM($EA256:EN256)</f>
        <v>465</v>
      </c>
      <c r="CW256" s="12">
        <f>SUM($AQ256:BQ256)-SUM($EA256:EO256)</f>
        <v>465</v>
      </c>
      <c r="CX256" s="12">
        <f>SUM($AQ256:BR256)-SUM($EA256:EP256)</f>
        <v>415</v>
      </c>
      <c r="CY256" s="12">
        <f>SUM($AQ256:BS256)-SUM($EA256:EQ256)</f>
        <v>365</v>
      </c>
      <c r="CZ256" s="12">
        <f>SUM($AQ256:BT256)-SUM($EA256:ER256)</f>
        <v>315</v>
      </c>
      <c r="DA256" s="12">
        <f>SUM($AQ256:BU256)-SUM($EA256:ES256)</f>
        <v>265</v>
      </c>
      <c r="DB256" s="12">
        <f>SUM($AQ256:BV256)-SUM($EA256:ET256)</f>
        <v>215</v>
      </c>
      <c r="DC256" s="12">
        <f>SUM($AQ256:BW256)-SUM($EA256:EU256)</f>
        <v>165</v>
      </c>
      <c r="DD256" s="12">
        <f>SUM($AQ256:BX256)-SUM($EA256:EV256)</f>
        <v>115</v>
      </c>
      <c r="DE256" s="12">
        <f>SUM($AQ256:BY256)-SUM($EA256:EW256)</f>
        <v>72</v>
      </c>
      <c r="DF256" s="12">
        <f>SUM($AQ256:BZ256)-SUM($EA256:EX256)</f>
        <v>72</v>
      </c>
      <c r="DG256" s="12">
        <f>SUM($AQ256:CA256)-SUM($EA256:EY256)</f>
        <v>72</v>
      </c>
      <c r="DH256" s="12">
        <f>SUM($AQ256:CB256)-SUM($EA256:EZ256)</f>
        <v>72</v>
      </c>
      <c r="DI256" s="12">
        <f>SUM($AQ256:CC256)-SUM($EA256:FA256)</f>
        <v>72</v>
      </c>
      <c r="DJ256" s="12">
        <f>SUM($AQ256:CD256)-SUM($EA256:FB256)</f>
        <v>72</v>
      </c>
      <c r="DK256" s="12">
        <f>SUM($AQ256:CE256)-SUM($EA256:FC256)</f>
        <v>72</v>
      </c>
      <c r="DL256" s="12">
        <f>SUM($AQ256:CF256)-SUM($EA256:FD256)</f>
        <v>72</v>
      </c>
      <c r="DM256" s="12">
        <f>SUM($AQ256:CG256)-SUM($EA256:FE256)</f>
        <v>72</v>
      </c>
      <c r="DN256" s="12">
        <f>SUM($AQ256:CH256)-SUM($EA256:FF256)</f>
        <v>72</v>
      </c>
      <c r="DO256" s="12">
        <f>SUM($AQ256:CI256)-SUM($EA256:FG256)</f>
        <v>72</v>
      </c>
      <c r="DP256" s="12">
        <f>SUM($AQ256:CJ256)-SUM($EA256:FH256)</f>
        <v>72</v>
      </c>
      <c r="DQ256" s="12">
        <f>SUM($AQ256:CK256)-SUM($EA256:FI256)</f>
        <v>72</v>
      </c>
      <c r="DR256" s="12">
        <f>SUM($AQ256:CL256)-SUM($EA256:FJ256)</f>
        <v>72</v>
      </c>
      <c r="DS256" s="12">
        <f>SUM($AQ256:CM256)-SUM($EA256:FK256)</f>
        <v>72</v>
      </c>
      <c r="DT256" s="12">
        <f>SUM($AQ256:CN256)-SUM($EA256:FL256)</f>
        <v>72</v>
      </c>
      <c r="DU256" s="12">
        <f>SUM($AQ256:CO256)-SUM($EA256:FM256)</f>
        <v>72</v>
      </c>
      <c r="DV256" s="12">
        <f>SUM($AQ256:CP256)-SUM($EA256:FN256)</f>
        <v>702</v>
      </c>
      <c r="DW256" s="12">
        <f>SUM($AQ256:CQ256)-SUM($EA256:FO256)</f>
        <v>1332</v>
      </c>
      <c r="DX256" s="47"/>
      <c r="DY256" s="47"/>
      <c r="DZ256" s="47"/>
      <c r="EA256" s="12"/>
      <c r="EB256" s="12"/>
      <c r="EC256" s="12"/>
      <c r="ED256" s="12"/>
      <c r="EE256" s="12"/>
      <c r="EF256" s="12"/>
      <c r="EG256" s="12"/>
      <c r="EH256" s="12">
        <f t="array" ref="EH256">SUMPRODUCT(TRANSPOSE(EH$9:EH$34),$K256:$AJ256)</f>
        <v>10</v>
      </c>
      <c r="EI256" s="12">
        <f t="array" ref="EI256">SUMPRODUCT(TRANSPOSE(EI$9:EI$34),$K256:$AJ256)</f>
        <v>0</v>
      </c>
      <c r="EJ256" s="12">
        <f t="array" ref="EJ256">SUMPRODUCT(TRANSPOSE(EJ$9:EJ$34),$K256:$AJ256)</f>
        <v>15</v>
      </c>
      <c r="EK256" s="12">
        <f t="array" ref="EK256">SUMPRODUCT(TRANSPOSE(EK$9:EK$34),$K256:$AJ256)</f>
        <v>35</v>
      </c>
      <c r="EL256" s="12">
        <f t="array" ref="EL256">SUMPRODUCT(TRANSPOSE(EL$9:EL$34),$K256:$AJ256)</f>
        <v>15</v>
      </c>
      <c r="EM256" s="12">
        <f t="array" ref="EM256">SUMPRODUCT(TRANSPOSE(EM$9:EM$34),$K256:$AJ256)</f>
        <v>50</v>
      </c>
      <c r="EN256" s="12">
        <f t="array" ref="EN256">SUMPRODUCT(TRANSPOSE(EN$9:EN$34),$K256:$AJ256)</f>
        <v>50</v>
      </c>
      <c r="EO256" s="12">
        <f t="array" ref="EO256">SUMPRODUCT(TRANSPOSE(EO$9:EO$34),$K256:$AJ256)</f>
        <v>0</v>
      </c>
      <c r="EP256" s="12">
        <f t="array" ref="EP256">SUMPRODUCT(TRANSPOSE(EP$9:EP$34),$K256:$AJ256)</f>
        <v>50</v>
      </c>
      <c r="EQ256" s="12">
        <f t="array" ref="EQ256">SUMPRODUCT(TRANSPOSE(EQ$9:EQ$34),$K256:$AJ256)</f>
        <v>50</v>
      </c>
      <c r="ER256" s="12">
        <f t="array" ref="ER256">SUMPRODUCT(TRANSPOSE(ER$9:ER$34),$K256:$AJ256)</f>
        <v>50</v>
      </c>
      <c r="ES256" s="12">
        <f t="array" ref="ES256">SUMPRODUCT(TRANSPOSE(ES$9:ES$34),$K256:$AJ256)</f>
        <v>50</v>
      </c>
      <c r="ET256" s="12">
        <f t="array" ref="ET256">SUMPRODUCT(TRANSPOSE(ET$9:ET$34),$K256:$AJ256)</f>
        <v>50</v>
      </c>
      <c r="EU256" s="12">
        <f t="array" ref="EU256">SUMPRODUCT(TRANSPOSE(EU$9:EU$34),$K256:$AJ256)</f>
        <v>50</v>
      </c>
      <c r="EV256" s="12">
        <f t="array" ref="EV256">SUMPRODUCT(TRANSPOSE(EV$9:EV$34),$K256:$AJ256)</f>
        <v>50</v>
      </c>
      <c r="EW256" s="12">
        <f t="array" ref="EW256">SUMPRODUCT(TRANSPOSE(EW$9:EW$34),$K256:$AJ256)</f>
        <v>43</v>
      </c>
      <c r="EX256" s="12">
        <f t="array" ref="EX256">SUMPRODUCT(TRANSPOSE(EX$9:EX$34),$K256:$AJ256)</f>
        <v>0</v>
      </c>
      <c r="EY256" s="12">
        <f t="array" ref="EY256">SUMPRODUCT(TRANSPOSE(EY$9:EY$34),$K256:$AJ256)</f>
        <v>0</v>
      </c>
      <c r="EZ256" s="12">
        <f t="array" ref="EZ256">SUMPRODUCT(TRANSPOSE(EZ$9:EZ$34),$K256:$AJ256)</f>
        <v>0</v>
      </c>
      <c r="FA256" s="12">
        <f t="array" ref="FA256">SUMPRODUCT(TRANSPOSE(FA$9:FA$34),$K256:$AJ256)</f>
        <v>0</v>
      </c>
      <c r="FB256" s="12">
        <f t="array" ref="FB256">SUMPRODUCT(TRANSPOSE(FB$9:FB$34),$K256:$AJ256)</f>
        <v>0</v>
      </c>
      <c r="FC256" s="12">
        <f t="array" ref="FC256">SUMPRODUCT(TRANSPOSE(FC$9:FC$34),$K256:$AJ256)</f>
        <v>0</v>
      </c>
      <c r="FD256" s="12">
        <f t="array" ref="FD256">SUMPRODUCT(TRANSPOSE(FD$9:FD$34),$K256:$AJ256)</f>
        <v>0</v>
      </c>
      <c r="FE256" s="12">
        <f t="array" ref="FE256">SUMPRODUCT(TRANSPOSE(FE$9:FE$34),$K256:$AJ256)</f>
        <v>0</v>
      </c>
      <c r="FF256" s="12">
        <f t="array" ref="FF256">SUMPRODUCT(TRANSPOSE(FF$9:FF$34),$K256:$AJ256)</f>
        <v>0</v>
      </c>
      <c r="FG256" s="12">
        <f t="array" ref="FG256">SUMPRODUCT(TRANSPOSE(FG$9:FG$34),$K256:$AJ256)</f>
        <v>0</v>
      </c>
      <c r="FH256" s="12">
        <f t="array" ref="FH256">SUMPRODUCT(TRANSPOSE(FH$9:FH$34),$K256:$AJ256)</f>
        <v>0</v>
      </c>
      <c r="FI256" s="12">
        <f t="array" ref="FI256">SUMPRODUCT(TRANSPOSE(FI$9:FI$34),$K256:$AJ256)</f>
        <v>0</v>
      </c>
      <c r="FJ256" s="12">
        <f t="array" ref="FJ256">SUMPRODUCT(TRANSPOSE(FJ$9:FJ$34),$K256:$AJ256)</f>
        <v>0</v>
      </c>
      <c r="FK256" s="12">
        <f t="array" ref="FK256">SUMPRODUCT(TRANSPOSE(FK$9:FK$34),$K256:$AJ256)</f>
        <v>0</v>
      </c>
      <c r="FL256" s="12">
        <f t="array" ref="FL256">SUMPRODUCT(TRANSPOSE(FL$9:FL$34),$K256:$AJ256)</f>
        <v>0</v>
      </c>
      <c r="FM256" s="12">
        <f t="array" ref="FM256">SUMPRODUCT(TRANSPOSE(FM$9:FM$34),$K256:$AJ256)</f>
        <v>0</v>
      </c>
      <c r="FN256" s="12">
        <f t="array" ref="FN256">SUMPRODUCT(TRANSPOSE(FN$9:FN$34),$K256:$AJ256)</f>
        <v>0</v>
      </c>
      <c r="FO256" s="12">
        <f t="array" ref="FO256">SUMPRODUCT(TRANSPOSE(FO$9:FO$34),$K256:$AJ256)</f>
        <v>0</v>
      </c>
    </row>
    <row r="257" spans="1:171" ht="14.25" x14ac:dyDescent="0.2">
      <c r="A257" s="13">
        <f t="shared" si="13"/>
        <v>222</v>
      </c>
      <c r="B257" s="13" t="s">
        <v>792</v>
      </c>
      <c r="C257" s="25" t="s">
        <v>793</v>
      </c>
      <c r="D257" s="13" t="s">
        <v>67</v>
      </c>
      <c r="E257" s="13">
        <v>418688952</v>
      </c>
      <c r="F257" s="26" t="s">
        <v>794</v>
      </c>
      <c r="G257" s="13"/>
      <c r="H257" s="13" t="s">
        <v>61</v>
      </c>
      <c r="I257" s="13">
        <v>2</v>
      </c>
      <c r="J257" s="13">
        <v>4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2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/>
      <c r="Z257" s="13">
        <v>2</v>
      </c>
      <c r="AA257" s="13">
        <v>0</v>
      </c>
      <c r="AB257" s="13">
        <v>0</v>
      </c>
      <c r="AC257" s="13">
        <v>0</v>
      </c>
      <c r="AD257" s="13">
        <v>2</v>
      </c>
      <c r="AE257" s="13">
        <v>2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f t="shared" si="14"/>
        <v>6</v>
      </c>
      <c r="AL257" s="23">
        <f t="shared" si="12"/>
        <v>71330</v>
      </c>
      <c r="AM257" s="13" t="s">
        <v>2</v>
      </c>
      <c r="AN257" s="13" t="s">
        <v>710</v>
      </c>
      <c r="AO257" s="7" t="s">
        <v>2</v>
      </c>
      <c r="AP257" s="41"/>
      <c r="AQ257" s="12">
        <v>72000</v>
      </c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13"/>
      <c r="CG257" s="13"/>
      <c r="CH257" s="13"/>
      <c r="CI257" s="12"/>
      <c r="CJ257" s="12"/>
      <c r="CK257" s="12"/>
      <c r="CL257" s="12"/>
      <c r="CM257" s="12"/>
      <c r="CN257" s="12"/>
      <c r="CO257" s="12"/>
      <c r="CP257" s="12">
        <f>SUM($AQ257:BJ257)-SUM($EA257:EH257)</f>
        <v>65782</v>
      </c>
      <c r="CQ257" s="12">
        <f>SUM($AQ257:BK257)-SUM($EA257:EI257)</f>
        <v>65220</v>
      </c>
      <c r="CR257" s="12">
        <f>SUM($AQ257:BL257)-SUM($EA257:EJ257)</f>
        <v>65190</v>
      </c>
      <c r="CS257" s="12">
        <f>SUM($AQ257:BM257)-SUM($EA257:EK257)</f>
        <v>64920</v>
      </c>
      <c r="CT257" s="12">
        <f>SUM($AQ257:BN257)-SUM($EA257:EL257)</f>
        <v>62890</v>
      </c>
      <c r="CU257" s="12">
        <f>SUM($AQ257:BO257)-SUM($EA257:EM257)</f>
        <v>58790</v>
      </c>
      <c r="CV257" s="12">
        <f>SUM($AQ257:BP257)-SUM($EA257:EN257)</f>
        <v>56490</v>
      </c>
      <c r="CW257" s="12">
        <f>SUM($AQ257:BQ257)-SUM($EA257:EO257)</f>
        <v>54490</v>
      </c>
      <c r="CX257" s="12">
        <f>SUM($AQ257:BR257)-SUM($EA257:EP257)</f>
        <v>52390</v>
      </c>
      <c r="CY257" s="12">
        <f>SUM($AQ257:BS257)-SUM($EA257:EQ257)</f>
        <v>50290</v>
      </c>
      <c r="CZ257" s="12">
        <f>SUM($AQ257:BT257)-SUM($EA257:ER257)</f>
        <v>48190</v>
      </c>
      <c r="DA257" s="12">
        <f>SUM($AQ257:BU257)-SUM($EA257:ES257)</f>
        <v>46090</v>
      </c>
      <c r="DB257" s="12">
        <f>SUM($AQ257:BV257)-SUM($EA257:ET257)</f>
        <v>43990</v>
      </c>
      <c r="DC257" s="12">
        <f>SUM($AQ257:BW257)-SUM($EA257:EU257)</f>
        <v>41890</v>
      </c>
      <c r="DD257" s="12">
        <f>SUM($AQ257:BX257)-SUM($EA257:EV257)</f>
        <v>39790</v>
      </c>
      <c r="DE257" s="12">
        <f>SUM($AQ257:BY257)-SUM($EA257:EW257)</f>
        <v>37704</v>
      </c>
      <c r="DF257" s="12">
        <f>SUM($AQ257:BZ257)-SUM($EA257:EX257)</f>
        <v>35704</v>
      </c>
      <c r="DG257" s="12">
        <f>SUM($AQ257:CA257)-SUM($EA257:EY257)</f>
        <v>33704</v>
      </c>
      <c r="DH257" s="12">
        <f>SUM($AQ257:CB257)-SUM($EA257:EZ257)</f>
        <v>31704</v>
      </c>
      <c r="DI257" s="12">
        <f>SUM($AQ257:CC257)-SUM($EA257:FA257)</f>
        <v>29704</v>
      </c>
      <c r="DJ257" s="12">
        <f>SUM($AQ257:CD257)-SUM($EA257:FB257)</f>
        <v>27704</v>
      </c>
      <c r="DK257" s="12">
        <f>SUM($AQ257:CE257)-SUM($EA257:FC257)</f>
        <v>25704</v>
      </c>
      <c r="DL257" s="12">
        <f>SUM($AQ257:CF257)-SUM($EA257:FD257)</f>
        <v>23704</v>
      </c>
      <c r="DM257" s="12">
        <f>SUM($AQ257:CG257)-SUM($EA257:FE257)</f>
        <v>21704</v>
      </c>
      <c r="DN257" s="12">
        <f>SUM($AQ257:CH257)-SUM($EA257:FF257)</f>
        <v>19704</v>
      </c>
      <c r="DO257" s="12">
        <f>SUM($AQ257:CI257)-SUM($EA257:FG257)</f>
        <v>17704</v>
      </c>
      <c r="DP257" s="12">
        <f>SUM($AQ257:CJ257)-SUM($EA257:FH257)</f>
        <v>15704</v>
      </c>
      <c r="DQ257" s="12">
        <f>SUM($AQ257:CK257)-SUM($EA257:FI257)</f>
        <v>13704</v>
      </c>
      <c r="DR257" s="12">
        <f>SUM($AQ257:CL257)-SUM($EA257:FJ257)</f>
        <v>11704</v>
      </c>
      <c r="DS257" s="12">
        <f>SUM($AQ257:CM257)-SUM($EA257:FK257)</f>
        <v>9704</v>
      </c>
      <c r="DT257" s="12">
        <f>SUM($AQ257:CN257)-SUM($EA257:FL257)</f>
        <v>7704</v>
      </c>
      <c r="DU257" s="12">
        <f>SUM($AQ257:CO257)-SUM($EA257:FM257)</f>
        <v>5704</v>
      </c>
      <c r="DV257" s="12">
        <f>SUM($AQ257:CP257)-SUM($EA257:FN257)</f>
        <v>69852</v>
      </c>
      <c r="DW257" s="12">
        <f>SUM($AQ257:CQ257)-SUM($EA257:FO257)</f>
        <v>135072</v>
      </c>
      <c r="DX257" s="13"/>
      <c r="DY257" s="13"/>
      <c r="DZ257" s="13"/>
      <c r="EA257" s="12"/>
      <c r="EB257" s="12"/>
      <c r="EC257" s="12"/>
      <c r="ED257" s="12"/>
      <c r="EE257" s="12"/>
      <c r="EF257" s="12"/>
      <c r="EG257" s="12"/>
      <c r="EH257" s="12">
        <f t="array" ref="EH257">SUMPRODUCT(TRANSPOSE(EH$9:EH$34),$K257:$AJ257)</f>
        <v>6218</v>
      </c>
      <c r="EI257" s="12">
        <f t="array" ref="EI257">SUMPRODUCT(TRANSPOSE(EI$9:EI$34),$K257:$AJ257)</f>
        <v>562</v>
      </c>
      <c r="EJ257" s="12">
        <f t="array" ref="EJ257">SUMPRODUCT(TRANSPOSE(EJ$9:EJ$34),$K257:$AJ257)</f>
        <v>30</v>
      </c>
      <c r="EK257" s="12">
        <f t="array" ref="EK257">SUMPRODUCT(TRANSPOSE(EK$9:EK$34),$K257:$AJ257)</f>
        <v>270</v>
      </c>
      <c r="EL257" s="12">
        <f t="array" ref="EL257">SUMPRODUCT(TRANSPOSE(EL$9:EL$34),$K257:$AJ257)</f>
        <v>2030</v>
      </c>
      <c r="EM257" s="12">
        <f t="array" ref="EM257">SUMPRODUCT(TRANSPOSE(EM$9:EM$34),$K257:$AJ257)</f>
        <v>4100</v>
      </c>
      <c r="EN257" s="12">
        <f t="array" ref="EN257">SUMPRODUCT(TRANSPOSE(EN$9:EN$34),$K257:$AJ257)</f>
        <v>2300</v>
      </c>
      <c r="EO257" s="12">
        <f t="array" ref="EO257">SUMPRODUCT(TRANSPOSE(EO$9:EO$34),$K257:$AJ257)</f>
        <v>2000</v>
      </c>
      <c r="EP257" s="12">
        <f t="array" ref="EP257">SUMPRODUCT(TRANSPOSE(EP$9:EP$34),$K257:$AJ257)</f>
        <v>2100</v>
      </c>
      <c r="EQ257" s="12">
        <f t="array" ref="EQ257">SUMPRODUCT(TRANSPOSE(EQ$9:EQ$34),$K257:$AJ257)</f>
        <v>2100</v>
      </c>
      <c r="ER257" s="12">
        <f t="array" ref="ER257">SUMPRODUCT(TRANSPOSE(ER$9:ER$34),$K257:$AJ257)</f>
        <v>2100</v>
      </c>
      <c r="ES257" s="12">
        <f t="array" ref="ES257">SUMPRODUCT(TRANSPOSE(ES$9:ES$34),$K257:$AJ257)</f>
        <v>2100</v>
      </c>
      <c r="ET257" s="12">
        <f t="array" ref="ET257">SUMPRODUCT(TRANSPOSE(ET$9:ET$34),$K257:$AJ257)</f>
        <v>2100</v>
      </c>
      <c r="EU257" s="12">
        <f t="array" ref="EU257">SUMPRODUCT(TRANSPOSE(EU$9:EU$34),$K257:$AJ257)</f>
        <v>2100</v>
      </c>
      <c r="EV257" s="12">
        <f t="array" ref="EV257">SUMPRODUCT(TRANSPOSE(EV$9:EV$34),$K257:$AJ257)</f>
        <v>2100</v>
      </c>
      <c r="EW257" s="12">
        <f t="array" ref="EW257">SUMPRODUCT(TRANSPOSE(EW$9:EW$34),$K257:$AJ257)</f>
        <v>2086</v>
      </c>
      <c r="EX257" s="12">
        <f t="array" ref="EX257">SUMPRODUCT(TRANSPOSE(EX$9:EX$34),$K257:$AJ257)</f>
        <v>2000</v>
      </c>
      <c r="EY257" s="12">
        <f t="array" ref="EY257">SUMPRODUCT(TRANSPOSE(EY$9:EY$34),$K257:$AJ257)</f>
        <v>2000</v>
      </c>
      <c r="EZ257" s="12">
        <f t="array" ref="EZ257">SUMPRODUCT(TRANSPOSE(EZ$9:EZ$34),$K257:$AJ257)</f>
        <v>2000</v>
      </c>
      <c r="FA257" s="12">
        <f t="array" ref="FA257">SUMPRODUCT(TRANSPOSE(FA$9:FA$34),$K257:$AJ257)</f>
        <v>2000</v>
      </c>
      <c r="FB257" s="12">
        <f t="array" ref="FB257">SUMPRODUCT(TRANSPOSE(FB$9:FB$34),$K257:$AJ257)</f>
        <v>2000</v>
      </c>
      <c r="FC257" s="12">
        <f t="array" ref="FC257">SUMPRODUCT(TRANSPOSE(FC$9:FC$34),$K257:$AJ257)</f>
        <v>2000</v>
      </c>
      <c r="FD257" s="12">
        <f t="array" ref="FD257">SUMPRODUCT(TRANSPOSE(FD$9:FD$34),$K257:$AJ257)</f>
        <v>2000</v>
      </c>
      <c r="FE257" s="12">
        <f t="array" ref="FE257">SUMPRODUCT(TRANSPOSE(FE$9:FE$34),$K257:$AJ257)</f>
        <v>2000</v>
      </c>
      <c r="FF257" s="12">
        <f t="array" ref="FF257">SUMPRODUCT(TRANSPOSE(FF$9:FF$34),$K257:$AJ257)</f>
        <v>2000</v>
      </c>
      <c r="FG257" s="12">
        <f t="array" ref="FG257">SUMPRODUCT(TRANSPOSE(FG$9:FG$34),$K257:$AJ257)</f>
        <v>2000</v>
      </c>
      <c r="FH257" s="12">
        <f t="array" ref="FH257">SUMPRODUCT(TRANSPOSE(FH$9:FH$34),$K257:$AJ257)</f>
        <v>2000</v>
      </c>
      <c r="FI257" s="12">
        <f t="array" ref="FI257">SUMPRODUCT(TRANSPOSE(FI$9:FI$34),$K257:$AJ257)</f>
        <v>2000</v>
      </c>
      <c r="FJ257" s="12">
        <f t="array" ref="FJ257">SUMPRODUCT(TRANSPOSE(FJ$9:FJ$34),$K257:$AJ257)</f>
        <v>2000</v>
      </c>
      <c r="FK257" s="12">
        <f t="array" ref="FK257">SUMPRODUCT(TRANSPOSE(FK$9:FK$34),$K257:$AJ257)</f>
        <v>2000</v>
      </c>
      <c r="FL257" s="12">
        <f t="array" ref="FL257">SUMPRODUCT(TRANSPOSE(FL$9:FL$34),$K257:$AJ257)</f>
        <v>2000</v>
      </c>
      <c r="FM257" s="12">
        <f t="array" ref="FM257">SUMPRODUCT(TRANSPOSE(FM$9:FM$34),$K257:$AJ257)</f>
        <v>2000</v>
      </c>
      <c r="FN257" s="12">
        <f t="array" ref="FN257">SUMPRODUCT(TRANSPOSE(FN$9:FN$34),$K257:$AJ257)</f>
        <v>1634</v>
      </c>
      <c r="FO257" s="12">
        <f t="array" ref="FO257">SUMPRODUCT(TRANSPOSE(FO$9:FO$34),$K257:$AJ257)</f>
        <v>0</v>
      </c>
    </row>
    <row r="258" spans="1:171" ht="14.25" x14ac:dyDescent="0.2">
      <c r="A258" s="13">
        <f t="shared" si="13"/>
        <v>223</v>
      </c>
      <c r="B258" s="13" t="s">
        <v>795</v>
      </c>
      <c r="C258" s="25" t="s">
        <v>796</v>
      </c>
      <c r="D258" s="13" t="s">
        <v>401</v>
      </c>
      <c r="E258" s="13">
        <v>732684436</v>
      </c>
      <c r="F258" s="26" t="s">
        <v>797</v>
      </c>
      <c r="G258" s="13" t="s">
        <v>798</v>
      </c>
      <c r="H258" s="13" t="s">
        <v>112</v>
      </c>
      <c r="I258" s="13">
        <v>2</v>
      </c>
      <c r="J258" s="13" t="s">
        <v>113</v>
      </c>
      <c r="K258" s="13">
        <v>0</v>
      </c>
      <c r="L258" s="13">
        <v>0.05</v>
      </c>
      <c r="M258" s="13">
        <v>0</v>
      </c>
      <c r="N258" s="13">
        <v>0</v>
      </c>
      <c r="O258" s="13">
        <v>0</v>
      </c>
      <c r="P258" s="13">
        <v>0</v>
      </c>
      <c r="Q258" s="13">
        <v>0.05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/>
      <c r="Z258" s="13"/>
      <c r="AA258" s="13">
        <v>0</v>
      </c>
      <c r="AB258" s="13">
        <v>0.05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f t="shared" si="14"/>
        <v>0.15000000000000002</v>
      </c>
      <c r="AL258" s="23">
        <f t="shared" si="12"/>
        <v>3539.8500000000004</v>
      </c>
      <c r="AM258" s="13"/>
      <c r="AN258" s="13" t="s">
        <v>799</v>
      </c>
      <c r="AO258" s="7" t="s">
        <v>800</v>
      </c>
      <c r="AP258" s="38">
        <v>0.156</v>
      </c>
      <c r="AQ258" s="12">
        <v>68</v>
      </c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13"/>
      <c r="CG258" s="13"/>
      <c r="CH258" s="13"/>
      <c r="CI258" s="12"/>
      <c r="CJ258" s="12"/>
      <c r="CK258" s="12"/>
      <c r="CL258" s="12"/>
      <c r="CM258" s="12"/>
      <c r="CN258" s="12"/>
      <c r="CO258" s="12"/>
      <c r="CP258" s="12">
        <f>SUM($AQ258:BJ258)-SUM($EA258:EH258)</f>
        <v>-254.45000000000005</v>
      </c>
      <c r="CQ258" s="12">
        <f>SUM($AQ258:BK258)-SUM($EA258:EI258)</f>
        <v>-299.20000000000005</v>
      </c>
      <c r="CR258" s="12">
        <f>SUM($AQ258:BL258)-SUM($EA258:EJ258)</f>
        <v>-349.95000000000005</v>
      </c>
      <c r="CS258" s="12">
        <f>SUM($AQ258:BM258)-SUM($EA258:EK258)</f>
        <v>-401.70000000000005</v>
      </c>
      <c r="CT258" s="12">
        <f>SUM($AQ258:BN258)-SUM($EA258:EL258)</f>
        <v>-452.45000000000005</v>
      </c>
      <c r="CU258" s="12">
        <f>SUM($AQ258:BO258)-SUM($EA258:EM258)</f>
        <v>-454.95000000000005</v>
      </c>
      <c r="CV258" s="12">
        <f>SUM($AQ258:BP258)-SUM($EA258:EN258)</f>
        <v>-502.45000000000005</v>
      </c>
      <c r="CW258" s="12">
        <f>SUM($AQ258:BQ258)-SUM($EA258:EO258)</f>
        <v>-552.45000000000005</v>
      </c>
      <c r="CX258" s="12">
        <f>SUM($AQ258:BR258)-SUM($EA258:EP258)</f>
        <v>-604.95000000000005</v>
      </c>
      <c r="CY258" s="12">
        <f>SUM($AQ258:BS258)-SUM($EA258:EQ258)</f>
        <v>-657.45</v>
      </c>
      <c r="CZ258" s="12">
        <f>SUM($AQ258:BT258)-SUM($EA258:ER258)</f>
        <v>-709.95</v>
      </c>
      <c r="DA258" s="12">
        <f>SUM($AQ258:BU258)-SUM($EA258:ES258)</f>
        <v>-762.45</v>
      </c>
      <c r="DB258" s="12">
        <f>SUM($AQ258:BV258)-SUM($EA258:ET258)</f>
        <v>-814.95</v>
      </c>
      <c r="DC258" s="12">
        <f>SUM($AQ258:BW258)-SUM($EA258:EU258)</f>
        <v>-867.45</v>
      </c>
      <c r="DD258" s="12">
        <f>SUM($AQ258:BX258)-SUM($EA258:EV258)</f>
        <v>-919.95</v>
      </c>
      <c r="DE258" s="12">
        <f>SUM($AQ258:BY258)-SUM($EA258:EW258)</f>
        <v>-970.45</v>
      </c>
      <c r="DF258" s="12">
        <f>SUM($AQ258:BZ258)-SUM($EA258:EX258)</f>
        <v>-1020.45</v>
      </c>
      <c r="DG258" s="12">
        <f>SUM($AQ258:CA258)-SUM($EA258:EY258)</f>
        <v>-1070.45</v>
      </c>
      <c r="DH258" s="12">
        <f>SUM($AQ258:CB258)-SUM($EA258:EZ258)</f>
        <v>-1120.45</v>
      </c>
      <c r="DI258" s="12">
        <f>SUM($AQ258:CC258)-SUM($EA258:FA258)</f>
        <v>-1170.45</v>
      </c>
      <c r="DJ258" s="12">
        <f>SUM($AQ258:CD258)-SUM($EA258:FB258)</f>
        <v>-1220.45</v>
      </c>
      <c r="DK258" s="12">
        <f>SUM($AQ258:CE258)-SUM($EA258:FC258)</f>
        <v>-1270.45</v>
      </c>
      <c r="DL258" s="12">
        <f>SUM($AQ258:CF258)-SUM($EA258:FD258)</f>
        <v>-1320.45</v>
      </c>
      <c r="DM258" s="12">
        <f>SUM($AQ258:CG258)-SUM($EA258:FE258)</f>
        <v>-1370.45</v>
      </c>
      <c r="DN258" s="12">
        <f>SUM($AQ258:CH258)-SUM($EA258:FF258)</f>
        <v>-1420.45</v>
      </c>
      <c r="DO258" s="12">
        <f>SUM($AQ258:CI258)-SUM($EA258:FG258)</f>
        <v>-1470.45</v>
      </c>
      <c r="DP258" s="12">
        <f>SUM($AQ258:CJ258)-SUM($EA258:FH258)</f>
        <v>-1520.45</v>
      </c>
      <c r="DQ258" s="12">
        <f>SUM($AQ258:CK258)-SUM($EA258:FI258)</f>
        <v>-1570.45</v>
      </c>
      <c r="DR258" s="12">
        <f>SUM($AQ258:CL258)-SUM($EA258:FJ258)</f>
        <v>-1620.45</v>
      </c>
      <c r="DS258" s="12">
        <f>SUM($AQ258:CM258)-SUM($EA258:FK258)</f>
        <v>-1670.45</v>
      </c>
      <c r="DT258" s="12">
        <f>SUM($AQ258:CN258)-SUM($EA258:FL258)</f>
        <v>-1720.45</v>
      </c>
      <c r="DU258" s="12">
        <f>SUM($AQ258:CO258)-SUM($EA258:FM258)</f>
        <v>-1770.45</v>
      </c>
      <c r="DV258" s="12">
        <f>SUM($AQ258:CP258)-SUM($EA258:FN258)</f>
        <v>-2074.9</v>
      </c>
      <c r="DW258" s="12">
        <f>SUM($AQ258:CQ258)-SUM($EA258:FO258)</f>
        <v>-2376.3000000000002</v>
      </c>
      <c r="DX258" s="13"/>
      <c r="DY258" s="13"/>
      <c r="DZ258" s="13"/>
      <c r="EA258" s="12"/>
      <c r="EB258" s="12"/>
      <c r="EC258" s="12"/>
      <c r="ED258" s="12"/>
      <c r="EE258" s="12"/>
      <c r="EF258" s="12"/>
      <c r="EG258" s="12"/>
      <c r="EH258" s="12">
        <f t="array" ref="EH258">SUMPRODUCT(TRANSPOSE(EH$9:EH$34),$K258:$AJ258)</f>
        <v>322.45000000000005</v>
      </c>
      <c r="EI258" s="12">
        <f t="array" ref="EI258">SUMPRODUCT(TRANSPOSE(EI$9:EI$34),$K258:$AJ258)</f>
        <v>44.75</v>
      </c>
      <c r="EJ258" s="12">
        <f t="array" ref="EJ258">SUMPRODUCT(TRANSPOSE(EJ$9:EJ$34),$K258:$AJ258)</f>
        <v>50.75</v>
      </c>
      <c r="EK258" s="12">
        <f t="array" ref="EK258">SUMPRODUCT(TRANSPOSE(EK$9:EK$34),$K258:$AJ258)</f>
        <v>51.75</v>
      </c>
      <c r="EL258" s="12">
        <f t="array" ref="EL258">SUMPRODUCT(TRANSPOSE(EL$9:EL$34),$K258:$AJ258)</f>
        <v>50.75</v>
      </c>
      <c r="EM258" s="12">
        <f t="array" ref="EM258">SUMPRODUCT(TRANSPOSE(EM$9:EM$34),$K258:$AJ258)</f>
        <v>2.5</v>
      </c>
      <c r="EN258" s="12">
        <f t="array" ref="EN258">SUMPRODUCT(TRANSPOSE(EN$9:EN$34),$K258:$AJ258)</f>
        <v>47.5</v>
      </c>
      <c r="EO258" s="12">
        <f t="array" ref="EO258">SUMPRODUCT(TRANSPOSE(EO$9:EO$34),$K258:$AJ258)</f>
        <v>50</v>
      </c>
      <c r="EP258" s="12">
        <f t="array" ref="EP258">SUMPRODUCT(TRANSPOSE(EP$9:EP$34),$K258:$AJ258)</f>
        <v>52.5</v>
      </c>
      <c r="EQ258" s="12">
        <f t="array" ref="EQ258">SUMPRODUCT(TRANSPOSE(EQ$9:EQ$34),$K258:$AJ258)</f>
        <v>52.5</v>
      </c>
      <c r="ER258" s="12">
        <f t="array" ref="ER258">SUMPRODUCT(TRANSPOSE(ER$9:ER$34),$K258:$AJ258)</f>
        <v>52.5</v>
      </c>
      <c r="ES258" s="12">
        <f t="array" ref="ES258">SUMPRODUCT(TRANSPOSE(ES$9:ES$34),$K258:$AJ258)</f>
        <v>52.5</v>
      </c>
      <c r="ET258" s="12">
        <f t="array" ref="ET258">SUMPRODUCT(TRANSPOSE(ET$9:ET$34),$K258:$AJ258)</f>
        <v>52.5</v>
      </c>
      <c r="EU258" s="12">
        <f t="array" ref="EU258">SUMPRODUCT(TRANSPOSE(EU$9:EU$34),$K258:$AJ258)</f>
        <v>52.5</v>
      </c>
      <c r="EV258" s="12">
        <f t="array" ref="EV258">SUMPRODUCT(TRANSPOSE(EV$9:EV$34),$K258:$AJ258)</f>
        <v>52.5</v>
      </c>
      <c r="EW258" s="12">
        <f t="array" ref="EW258">SUMPRODUCT(TRANSPOSE(EW$9:EW$34),$K258:$AJ258)</f>
        <v>50.5</v>
      </c>
      <c r="EX258" s="12">
        <f t="array" ref="EX258">SUMPRODUCT(TRANSPOSE(EX$9:EX$34),$K258:$AJ258)</f>
        <v>50</v>
      </c>
      <c r="EY258" s="12">
        <f t="array" ref="EY258">SUMPRODUCT(TRANSPOSE(EY$9:EY$34),$K258:$AJ258)</f>
        <v>50</v>
      </c>
      <c r="EZ258" s="12">
        <f t="array" ref="EZ258">SUMPRODUCT(TRANSPOSE(EZ$9:EZ$34),$K258:$AJ258)</f>
        <v>50</v>
      </c>
      <c r="FA258" s="12">
        <f t="array" ref="FA258">SUMPRODUCT(TRANSPOSE(FA$9:FA$34),$K258:$AJ258)</f>
        <v>50</v>
      </c>
      <c r="FB258" s="12">
        <f t="array" ref="FB258">SUMPRODUCT(TRANSPOSE(FB$9:FB$34),$K258:$AJ258)</f>
        <v>50</v>
      </c>
      <c r="FC258" s="12">
        <f t="array" ref="FC258">SUMPRODUCT(TRANSPOSE(FC$9:FC$34),$K258:$AJ258)</f>
        <v>50</v>
      </c>
      <c r="FD258" s="12">
        <f t="array" ref="FD258">SUMPRODUCT(TRANSPOSE(FD$9:FD$34),$K258:$AJ258)</f>
        <v>50</v>
      </c>
      <c r="FE258" s="12">
        <f t="array" ref="FE258">SUMPRODUCT(TRANSPOSE(FE$9:FE$34),$K258:$AJ258)</f>
        <v>50</v>
      </c>
      <c r="FF258" s="12">
        <f t="array" ref="FF258">SUMPRODUCT(TRANSPOSE(FF$9:FF$34),$K258:$AJ258)</f>
        <v>50</v>
      </c>
      <c r="FG258" s="12">
        <f t="array" ref="FG258">SUMPRODUCT(TRANSPOSE(FG$9:FG$34),$K258:$AJ258)</f>
        <v>50</v>
      </c>
      <c r="FH258" s="12">
        <f t="array" ref="FH258">SUMPRODUCT(TRANSPOSE(FH$9:FH$34),$K258:$AJ258)</f>
        <v>50</v>
      </c>
      <c r="FI258" s="12">
        <f t="array" ref="FI258">SUMPRODUCT(TRANSPOSE(FI$9:FI$34),$K258:$AJ258)</f>
        <v>50</v>
      </c>
      <c r="FJ258" s="12">
        <f t="array" ref="FJ258">SUMPRODUCT(TRANSPOSE(FJ$9:FJ$34),$K258:$AJ258)</f>
        <v>50</v>
      </c>
      <c r="FK258" s="12">
        <f t="array" ref="FK258">SUMPRODUCT(TRANSPOSE(FK$9:FK$34),$K258:$AJ258)</f>
        <v>50</v>
      </c>
      <c r="FL258" s="12">
        <f t="array" ref="FL258">SUMPRODUCT(TRANSPOSE(FL$9:FL$34),$K258:$AJ258)</f>
        <v>50</v>
      </c>
      <c r="FM258" s="12">
        <f t="array" ref="FM258">SUMPRODUCT(TRANSPOSE(FM$9:FM$34),$K258:$AJ258)</f>
        <v>50</v>
      </c>
      <c r="FN258" s="12">
        <f t="array" ref="FN258">SUMPRODUCT(TRANSPOSE(FN$9:FN$34),$K258:$AJ258)</f>
        <v>50</v>
      </c>
      <c r="FO258" s="12">
        <f t="array" ref="FO258">SUMPRODUCT(TRANSPOSE(FO$9:FO$34),$K258:$AJ258)</f>
        <v>2.2000000000000002</v>
      </c>
    </row>
    <row r="259" spans="1:171" ht="14.25" x14ac:dyDescent="0.2">
      <c r="A259" s="13">
        <f t="shared" si="13"/>
        <v>224</v>
      </c>
      <c r="B259" s="13" t="s">
        <v>801</v>
      </c>
      <c r="C259" s="25" t="s">
        <v>802</v>
      </c>
      <c r="D259" s="13" t="s">
        <v>67</v>
      </c>
      <c r="E259" s="13">
        <v>401020862</v>
      </c>
      <c r="F259" s="26" t="s">
        <v>803</v>
      </c>
      <c r="G259" s="13" t="s">
        <v>804</v>
      </c>
      <c r="H259" s="13" t="s">
        <v>112</v>
      </c>
      <c r="I259" s="13">
        <v>2</v>
      </c>
      <c r="J259" s="13" t="s">
        <v>113</v>
      </c>
      <c r="K259" s="13">
        <v>0</v>
      </c>
      <c r="L259" s="13">
        <v>0.05</v>
      </c>
      <c r="M259" s="13">
        <v>0</v>
      </c>
      <c r="N259" s="13">
        <v>0</v>
      </c>
      <c r="O259" s="13">
        <v>0</v>
      </c>
      <c r="P259" s="13">
        <v>0</v>
      </c>
      <c r="Q259" s="13">
        <v>0.05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/>
      <c r="Z259" s="13"/>
      <c r="AA259" s="13">
        <v>0</v>
      </c>
      <c r="AB259" s="13">
        <v>0.05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f t="shared" si="14"/>
        <v>0.15000000000000002</v>
      </c>
      <c r="AL259" s="23">
        <f t="shared" si="12"/>
        <v>3539.8500000000004</v>
      </c>
      <c r="AM259" s="13"/>
      <c r="AN259" s="13" t="s">
        <v>799</v>
      </c>
      <c r="AO259" s="7" t="s">
        <v>800</v>
      </c>
      <c r="AP259" s="38">
        <v>0.17616000000000001</v>
      </c>
      <c r="AQ259" s="12">
        <v>70</v>
      </c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13"/>
      <c r="CG259" s="13"/>
      <c r="CH259" s="13"/>
      <c r="CI259" s="12"/>
      <c r="CJ259" s="12"/>
      <c r="CK259" s="12"/>
      <c r="CL259" s="12"/>
      <c r="CM259" s="12"/>
      <c r="CN259" s="12"/>
      <c r="CO259" s="12"/>
      <c r="CP259" s="12">
        <f>SUM($AQ259:BJ259)-SUM($EA259:EH259)</f>
        <v>-252.45000000000005</v>
      </c>
      <c r="CQ259" s="12">
        <f>SUM($AQ259:BK259)-SUM($EA259:EI259)</f>
        <v>-297.20000000000005</v>
      </c>
      <c r="CR259" s="12">
        <f>SUM($AQ259:BL259)-SUM($EA259:EJ259)</f>
        <v>-347.95000000000005</v>
      </c>
      <c r="CS259" s="12">
        <f>SUM($AQ259:BM259)-SUM($EA259:EK259)</f>
        <v>-399.70000000000005</v>
      </c>
      <c r="CT259" s="12">
        <f>SUM($AQ259:BN259)-SUM($EA259:EL259)</f>
        <v>-450.45000000000005</v>
      </c>
      <c r="CU259" s="12">
        <f>SUM($AQ259:BO259)-SUM($EA259:EM259)</f>
        <v>-452.95000000000005</v>
      </c>
      <c r="CV259" s="12">
        <f>SUM($AQ259:BP259)-SUM($EA259:EN259)</f>
        <v>-500.45000000000005</v>
      </c>
      <c r="CW259" s="12">
        <f>SUM($AQ259:BQ259)-SUM($EA259:EO259)</f>
        <v>-550.45000000000005</v>
      </c>
      <c r="CX259" s="12">
        <f>SUM($AQ259:BR259)-SUM($EA259:EP259)</f>
        <v>-602.95000000000005</v>
      </c>
      <c r="CY259" s="12">
        <f>SUM($AQ259:BS259)-SUM($EA259:EQ259)</f>
        <v>-655.45</v>
      </c>
      <c r="CZ259" s="12">
        <f>SUM($AQ259:BT259)-SUM($EA259:ER259)</f>
        <v>-707.95</v>
      </c>
      <c r="DA259" s="12">
        <f>SUM($AQ259:BU259)-SUM($EA259:ES259)</f>
        <v>-760.45</v>
      </c>
      <c r="DB259" s="12">
        <f>SUM($AQ259:BV259)-SUM($EA259:ET259)</f>
        <v>-812.95</v>
      </c>
      <c r="DC259" s="12">
        <f>SUM($AQ259:BW259)-SUM($EA259:EU259)</f>
        <v>-865.45</v>
      </c>
      <c r="DD259" s="12">
        <f>SUM($AQ259:BX259)-SUM($EA259:EV259)</f>
        <v>-917.95</v>
      </c>
      <c r="DE259" s="12">
        <f>SUM($AQ259:BY259)-SUM($EA259:EW259)</f>
        <v>-968.45</v>
      </c>
      <c r="DF259" s="12">
        <f>SUM($AQ259:BZ259)-SUM($EA259:EX259)</f>
        <v>-1018.45</v>
      </c>
      <c r="DG259" s="12">
        <f>SUM($AQ259:CA259)-SUM($EA259:EY259)</f>
        <v>-1068.45</v>
      </c>
      <c r="DH259" s="12">
        <f>SUM($AQ259:CB259)-SUM($EA259:EZ259)</f>
        <v>-1118.45</v>
      </c>
      <c r="DI259" s="12">
        <f>SUM($AQ259:CC259)-SUM($EA259:FA259)</f>
        <v>-1168.45</v>
      </c>
      <c r="DJ259" s="12">
        <f>SUM($AQ259:CD259)-SUM($EA259:FB259)</f>
        <v>-1218.45</v>
      </c>
      <c r="DK259" s="12">
        <f>SUM($AQ259:CE259)-SUM($EA259:FC259)</f>
        <v>-1268.45</v>
      </c>
      <c r="DL259" s="12">
        <f>SUM($AQ259:CF259)-SUM($EA259:FD259)</f>
        <v>-1318.45</v>
      </c>
      <c r="DM259" s="12">
        <f>SUM($AQ259:CG259)-SUM($EA259:FE259)</f>
        <v>-1368.45</v>
      </c>
      <c r="DN259" s="12">
        <f>SUM($AQ259:CH259)-SUM($EA259:FF259)</f>
        <v>-1418.45</v>
      </c>
      <c r="DO259" s="12">
        <f>SUM($AQ259:CI259)-SUM($EA259:FG259)</f>
        <v>-1468.45</v>
      </c>
      <c r="DP259" s="12">
        <f>SUM($AQ259:CJ259)-SUM($EA259:FH259)</f>
        <v>-1518.45</v>
      </c>
      <c r="DQ259" s="12">
        <f>SUM($AQ259:CK259)-SUM($EA259:FI259)</f>
        <v>-1568.45</v>
      </c>
      <c r="DR259" s="12">
        <f>SUM($AQ259:CL259)-SUM($EA259:FJ259)</f>
        <v>-1618.45</v>
      </c>
      <c r="DS259" s="12">
        <f>SUM($AQ259:CM259)-SUM($EA259:FK259)</f>
        <v>-1668.45</v>
      </c>
      <c r="DT259" s="12">
        <f>SUM($AQ259:CN259)-SUM($EA259:FL259)</f>
        <v>-1718.45</v>
      </c>
      <c r="DU259" s="12">
        <f>SUM($AQ259:CO259)-SUM($EA259:FM259)</f>
        <v>-1768.45</v>
      </c>
      <c r="DV259" s="12">
        <f>SUM($AQ259:CP259)-SUM($EA259:FN259)</f>
        <v>-2070.9</v>
      </c>
      <c r="DW259" s="12">
        <f>SUM($AQ259:CQ259)-SUM($EA259:FO259)</f>
        <v>-2370.3000000000002</v>
      </c>
      <c r="DX259" s="13"/>
      <c r="DY259" s="13"/>
      <c r="DZ259" s="13"/>
      <c r="EA259" s="12"/>
      <c r="EB259" s="12"/>
      <c r="EC259" s="12"/>
      <c r="ED259" s="12"/>
      <c r="EE259" s="12"/>
      <c r="EF259" s="12"/>
      <c r="EG259" s="12"/>
      <c r="EH259" s="12">
        <f t="array" ref="EH259">SUMPRODUCT(TRANSPOSE(EH$9:EH$34),$K259:$AJ259)</f>
        <v>322.45000000000005</v>
      </c>
      <c r="EI259" s="12">
        <f t="array" ref="EI259">SUMPRODUCT(TRANSPOSE(EI$9:EI$34),$K259:$AJ259)</f>
        <v>44.75</v>
      </c>
      <c r="EJ259" s="12">
        <f t="array" ref="EJ259">SUMPRODUCT(TRANSPOSE(EJ$9:EJ$34),$K259:$AJ259)</f>
        <v>50.75</v>
      </c>
      <c r="EK259" s="12">
        <f t="array" ref="EK259">SUMPRODUCT(TRANSPOSE(EK$9:EK$34),$K259:$AJ259)</f>
        <v>51.75</v>
      </c>
      <c r="EL259" s="12">
        <f t="array" ref="EL259">SUMPRODUCT(TRANSPOSE(EL$9:EL$34),$K259:$AJ259)</f>
        <v>50.75</v>
      </c>
      <c r="EM259" s="12">
        <f t="array" ref="EM259">SUMPRODUCT(TRANSPOSE(EM$9:EM$34),$K259:$AJ259)</f>
        <v>2.5</v>
      </c>
      <c r="EN259" s="12">
        <f t="array" ref="EN259">SUMPRODUCT(TRANSPOSE(EN$9:EN$34),$K259:$AJ259)</f>
        <v>47.5</v>
      </c>
      <c r="EO259" s="12">
        <f t="array" ref="EO259">SUMPRODUCT(TRANSPOSE(EO$9:EO$34),$K259:$AJ259)</f>
        <v>50</v>
      </c>
      <c r="EP259" s="12">
        <f t="array" ref="EP259">SUMPRODUCT(TRANSPOSE(EP$9:EP$34),$K259:$AJ259)</f>
        <v>52.5</v>
      </c>
      <c r="EQ259" s="12">
        <f t="array" ref="EQ259">SUMPRODUCT(TRANSPOSE(EQ$9:EQ$34),$K259:$AJ259)</f>
        <v>52.5</v>
      </c>
      <c r="ER259" s="12">
        <f t="array" ref="ER259">SUMPRODUCT(TRANSPOSE(ER$9:ER$34),$K259:$AJ259)</f>
        <v>52.5</v>
      </c>
      <c r="ES259" s="12">
        <f t="array" ref="ES259">SUMPRODUCT(TRANSPOSE(ES$9:ES$34),$K259:$AJ259)</f>
        <v>52.5</v>
      </c>
      <c r="ET259" s="12">
        <f t="array" ref="ET259">SUMPRODUCT(TRANSPOSE(ET$9:ET$34),$K259:$AJ259)</f>
        <v>52.5</v>
      </c>
      <c r="EU259" s="12">
        <f t="array" ref="EU259">SUMPRODUCT(TRANSPOSE(EU$9:EU$34),$K259:$AJ259)</f>
        <v>52.5</v>
      </c>
      <c r="EV259" s="12">
        <f t="array" ref="EV259">SUMPRODUCT(TRANSPOSE(EV$9:EV$34),$K259:$AJ259)</f>
        <v>52.5</v>
      </c>
      <c r="EW259" s="12">
        <f t="array" ref="EW259">SUMPRODUCT(TRANSPOSE(EW$9:EW$34),$K259:$AJ259)</f>
        <v>50.5</v>
      </c>
      <c r="EX259" s="12">
        <f t="array" ref="EX259">SUMPRODUCT(TRANSPOSE(EX$9:EX$34),$K259:$AJ259)</f>
        <v>50</v>
      </c>
      <c r="EY259" s="12">
        <f t="array" ref="EY259">SUMPRODUCT(TRANSPOSE(EY$9:EY$34),$K259:$AJ259)</f>
        <v>50</v>
      </c>
      <c r="EZ259" s="12">
        <f t="array" ref="EZ259">SUMPRODUCT(TRANSPOSE(EZ$9:EZ$34),$K259:$AJ259)</f>
        <v>50</v>
      </c>
      <c r="FA259" s="12">
        <f t="array" ref="FA259">SUMPRODUCT(TRANSPOSE(FA$9:FA$34),$K259:$AJ259)</f>
        <v>50</v>
      </c>
      <c r="FB259" s="12">
        <f t="array" ref="FB259">SUMPRODUCT(TRANSPOSE(FB$9:FB$34),$K259:$AJ259)</f>
        <v>50</v>
      </c>
      <c r="FC259" s="12">
        <f t="array" ref="FC259">SUMPRODUCT(TRANSPOSE(FC$9:FC$34),$K259:$AJ259)</f>
        <v>50</v>
      </c>
      <c r="FD259" s="12">
        <f t="array" ref="FD259">SUMPRODUCT(TRANSPOSE(FD$9:FD$34),$K259:$AJ259)</f>
        <v>50</v>
      </c>
      <c r="FE259" s="12">
        <f t="array" ref="FE259">SUMPRODUCT(TRANSPOSE(FE$9:FE$34),$K259:$AJ259)</f>
        <v>50</v>
      </c>
      <c r="FF259" s="12">
        <f t="array" ref="FF259">SUMPRODUCT(TRANSPOSE(FF$9:FF$34),$K259:$AJ259)</f>
        <v>50</v>
      </c>
      <c r="FG259" s="12">
        <f t="array" ref="FG259">SUMPRODUCT(TRANSPOSE(FG$9:FG$34),$K259:$AJ259)</f>
        <v>50</v>
      </c>
      <c r="FH259" s="12">
        <f t="array" ref="FH259">SUMPRODUCT(TRANSPOSE(FH$9:FH$34),$K259:$AJ259)</f>
        <v>50</v>
      </c>
      <c r="FI259" s="12">
        <f t="array" ref="FI259">SUMPRODUCT(TRANSPOSE(FI$9:FI$34),$K259:$AJ259)</f>
        <v>50</v>
      </c>
      <c r="FJ259" s="12">
        <f t="array" ref="FJ259">SUMPRODUCT(TRANSPOSE(FJ$9:FJ$34),$K259:$AJ259)</f>
        <v>50</v>
      </c>
      <c r="FK259" s="12">
        <f t="array" ref="FK259">SUMPRODUCT(TRANSPOSE(FK$9:FK$34),$K259:$AJ259)</f>
        <v>50</v>
      </c>
      <c r="FL259" s="12">
        <f t="array" ref="FL259">SUMPRODUCT(TRANSPOSE(FL$9:FL$34),$K259:$AJ259)</f>
        <v>50</v>
      </c>
      <c r="FM259" s="12">
        <f t="array" ref="FM259">SUMPRODUCT(TRANSPOSE(FM$9:FM$34),$K259:$AJ259)</f>
        <v>50</v>
      </c>
      <c r="FN259" s="12">
        <f t="array" ref="FN259">SUMPRODUCT(TRANSPOSE(FN$9:FN$34),$K259:$AJ259)</f>
        <v>50</v>
      </c>
      <c r="FO259" s="12">
        <f t="array" ref="FO259">SUMPRODUCT(TRANSPOSE(FO$9:FO$34),$K259:$AJ259)</f>
        <v>2.2000000000000002</v>
      </c>
    </row>
    <row r="260" spans="1:171" ht="14.25" x14ac:dyDescent="0.2">
      <c r="A260" s="13">
        <f t="shared" si="13"/>
        <v>225</v>
      </c>
      <c r="B260" s="13" t="s">
        <v>805</v>
      </c>
      <c r="C260" s="25" t="s">
        <v>806</v>
      </c>
      <c r="D260" s="13" t="s">
        <v>67</v>
      </c>
      <c r="E260" s="13">
        <v>409604723</v>
      </c>
      <c r="F260" s="26" t="s">
        <v>807</v>
      </c>
      <c r="G260" s="13"/>
      <c r="H260" s="13" t="s">
        <v>61</v>
      </c>
      <c r="I260" s="13">
        <v>2</v>
      </c>
      <c r="J260" s="13">
        <v>4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2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/>
      <c r="Z260" s="13">
        <v>2</v>
      </c>
      <c r="AA260" s="13">
        <v>0</v>
      </c>
      <c r="AB260" s="13">
        <v>0</v>
      </c>
      <c r="AC260" s="13">
        <v>0</v>
      </c>
      <c r="AD260" s="13">
        <v>2</v>
      </c>
      <c r="AE260" s="13">
        <v>2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f t="shared" si="14"/>
        <v>6</v>
      </c>
      <c r="AL260" s="23">
        <f t="shared" si="12"/>
        <v>71330</v>
      </c>
      <c r="AM260" s="13"/>
      <c r="AN260" s="13" t="s">
        <v>408</v>
      </c>
      <c r="AO260" s="7" t="s">
        <v>409</v>
      </c>
      <c r="AP260" s="41">
        <v>3.1E-2</v>
      </c>
      <c r="AQ260" s="12">
        <v>80000</v>
      </c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13"/>
      <c r="CG260" s="13"/>
      <c r="CH260" s="13"/>
      <c r="CI260" s="12"/>
      <c r="CJ260" s="12"/>
      <c r="CK260" s="12"/>
      <c r="CL260" s="12"/>
      <c r="CM260" s="12"/>
      <c r="CN260" s="12"/>
      <c r="CO260" s="12"/>
      <c r="CP260" s="12">
        <f>SUM($AQ260:BJ260)-SUM($EA260:EH260)</f>
        <v>73782</v>
      </c>
      <c r="CQ260" s="12">
        <f>SUM($AQ260:BK260)-SUM($EA260:EI260)</f>
        <v>73220</v>
      </c>
      <c r="CR260" s="12">
        <f>SUM($AQ260:BL260)-SUM($EA260:EJ260)</f>
        <v>73190</v>
      </c>
      <c r="CS260" s="12">
        <f>SUM($AQ260:BM260)-SUM($EA260:EK260)</f>
        <v>72920</v>
      </c>
      <c r="CT260" s="12">
        <f>SUM($AQ260:BN260)-SUM($EA260:EL260)</f>
        <v>70890</v>
      </c>
      <c r="CU260" s="12">
        <f>SUM($AQ260:BO260)-SUM($EA260:EM260)</f>
        <v>66790</v>
      </c>
      <c r="CV260" s="12">
        <f>SUM($AQ260:BP260)-SUM($EA260:EN260)</f>
        <v>64490</v>
      </c>
      <c r="CW260" s="12">
        <f>SUM($AQ260:BQ260)-SUM($EA260:EO260)</f>
        <v>62490</v>
      </c>
      <c r="CX260" s="12">
        <f>SUM($AQ260:BR260)-SUM($EA260:EP260)</f>
        <v>60390</v>
      </c>
      <c r="CY260" s="12">
        <f>SUM($AQ260:BS260)-SUM($EA260:EQ260)</f>
        <v>58290</v>
      </c>
      <c r="CZ260" s="12">
        <f>SUM($AQ260:BT260)-SUM($EA260:ER260)</f>
        <v>56190</v>
      </c>
      <c r="DA260" s="12">
        <f>SUM($AQ260:BU260)-SUM($EA260:ES260)</f>
        <v>54090</v>
      </c>
      <c r="DB260" s="12">
        <f>SUM($AQ260:BV260)-SUM($EA260:ET260)</f>
        <v>51990</v>
      </c>
      <c r="DC260" s="12">
        <f>SUM($AQ260:BW260)-SUM($EA260:EU260)</f>
        <v>49890</v>
      </c>
      <c r="DD260" s="12">
        <f>SUM($AQ260:BX260)-SUM($EA260:EV260)</f>
        <v>47790</v>
      </c>
      <c r="DE260" s="12">
        <f>SUM($AQ260:BY260)-SUM($EA260:EW260)</f>
        <v>45704</v>
      </c>
      <c r="DF260" s="12">
        <f>SUM($AQ260:BZ260)-SUM($EA260:EX260)</f>
        <v>43704</v>
      </c>
      <c r="DG260" s="12">
        <f>SUM($AQ260:CA260)-SUM($EA260:EY260)</f>
        <v>41704</v>
      </c>
      <c r="DH260" s="12">
        <f>SUM($AQ260:CB260)-SUM($EA260:EZ260)</f>
        <v>39704</v>
      </c>
      <c r="DI260" s="12">
        <f>SUM($AQ260:CC260)-SUM($EA260:FA260)</f>
        <v>37704</v>
      </c>
      <c r="DJ260" s="12">
        <f>SUM($AQ260:CD260)-SUM($EA260:FB260)</f>
        <v>35704</v>
      </c>
      <c r="DK260" s="12">
        <f>SUM($AQ260:CE260)-SUM($EA260:FC260)</f>
        <v>33704</v>
      </c>
      <c r="DL260" s="12">
        <f>SUM($AQ260:CF260)-SUM($EA260:FD260)</f>
        <v>31704</v>
      </c>
      <c r="DM260" s="12">
        <f>SUM($AQ260:CG260)-SUM($EA260:FE260)</f>
        <v>29704</v>
      </c>
      <c r="DN260" s="12">
        <f>SUM($AQ260:CH260)-SUM($EA260:FF260)</f>
        <v>27704</v>
      </c>
      <c r="DO260" s="12">
        <f>SUM($AQ260:CI260)-SUM($EA260:FG260)</f>
        <v>25704</v>
      </c>
      <c r="DP260" s="12">
        <f>SUM($AQ260:CJ260)-SUM($EA260:FH260)</f>
        <v>23704</v>
      </c>
      <c r="DQ260" s="12">
        <f>SUM($AQ260:CK260)-SUM($EA260:FI260)</f>
        <v>21704</v>
      </c>
      <c r="DR260" s="12">
        <f>SUM($AQ260:CL260)-SUM($EA260:FJ260)</f>
        <v>19704</v>
      </c>
      <c r="DS260" s="12">
        <f>SUM($AQ260:CM260)-SUM($EA260:FK260)</f>
        <v>17704</v>
      </c>
      <c r="DT260" s="12">
        <f>SUM($AQ260:CN260)-SUM($EA260:FL260)</f>
        <v>15704</v>
      </c>
      <c r="DU260" s="12">
        <f>SUM($AQ260:CO260)-SUM($EA260:FM260)</f>
        <v>13704</v>
      </c>
      <c r="DV260" s="12">
        <f>SUM($AQ260:CP260)-SUM($EA260:FN260)</f>
        <v>85852</v>
      </c>
      <c r="DW260" s="12">
        <f>SUM($AQ260:CQ260)-SUM($EA260:FO260)</f>
        <v>159072</v>
      </c>
      <c r="DX260" s="13"/>
      <c r="DY260" s="13"/>
      <c r="DZ260" s="13"/>
      <c r="EA260" s="12"/>
      <c r="EB260" s="12"/>
      <c r="EC260" s="12"/>
      <c r="ED260" s="12"/>
      <c r="EE260" s="12"/>
      <c r="EF260" s="12"/>
      <c r="EG260" s="12"/>
      <c r="EH260" s="12">
        <f t="array" ref="EH260">SUMPRODUCT(TRANSPOSE(EH$9:EH$34),$K260:$AJ260)</f>
        <v>6218</v>
      </c>
      <c r="EI260" s="12">
        <f t="array" ref="EI260">SUMPRODUCT(TRANSPOSE(EI$9:EI$34),$K260:$AJ260)</f>
        <v>562</v>
      </c>
      <c r="EJ260" s="12">
        <f t="array" ref="EJ260">SUMPRODUCT(TRANSPOSE(EJ$9:EJ$34),$K260:$AJ260)</f>
        <v>30</v>
      </c>
      <c r="EK260" s="12">
        <f t="array" ref="EK260">SUMPRODUCT(TRANSPOSE(EK$9:EK$34),$K260:$AJ260)</f>
        <v>270</v>
      </c>
      <c r="EL260" s="12">
        <f t="array" ref="EL260">SUMPRODUCT(TRANSPOSE(EL$9:EL$34),$K260:$AJ260)</f>
        <v>2030</v>
      </c>
      <c r="EM260" s="12">
        <f t="array" ref="EM260">SUMPRODUCT(TRANSPOSE(EM$9:EM$34),$K260:$AJ260)</f>
        <v>4100</v>
      </c>
      <c r="EN260" s="12">
        <f t="array" ref="EN260">SUMPRODUCT(TRANSPOSE(EN$9:EN$34),$K260:$AJ260)</f>
        <v>2300</v>
      </c>
      <c r="EO260" s="12">
        <f t="array" ref="EO260">SUMPRODUCT(TRANSPOSE(EO$9:EO$34),$K260:$AJ260)</f>
        <v>2000</v>
      </c>
      <c r="EP260" s="12">
        <f t="array" ref="EP260">SUMPRODUCT(TRANSPOSE(EP$9:EP$34),$K260:$AJ260)</f>
        <v>2100</v>
      </c>
      <c r="EQ260" s="12">
        <f t="array" ref="EQ260">SUMPRODUCT(TRANSPOSE(EQ$9:EQ$34),$K260:$AJ260)</f>
        <v>2100</v>
      </c>
      <c r="ER260" s="12">
        <f t="array" ref="ER260">SUMPRODUCT(TRANSPOSE(ER$9:ER$34),$K260:$AJ260)</f>
        <v>2100</v>
      </c>
      <c r="ES260" s="12">
        <f t="array" ref="ES260">SUMPRODUCT(TRANSPOSE(ES$9:ES$34),$K260:$AJ260)</f>
        <v>2100</v>
      </c>
      <c r="ET260" s="12">
        <f t="array" ref="ET260">SUMPRODUCT(TRANSPOSE(ET$9:ET$34),$K260:$AJ260)</f>
        <v>2100</v>
      </c>
      <c r="EU260" s="12">
        <f t="array" ref="EU260">SUMPRODUCT(TRANSPOSE(EU$9:EU$34),$K260:$AJ260)</f>
        <v>2100</v>
      </c>
      <c r="EV260" s="12">
        <f t="array" ref="EV260">SUMPRODUCT(TRANSPOSE(EV$9:EV$34),$K260:$AJ260)</f>
        <v>2100</v>
      </c>
      <c r="EW260" s="12">
        <f t="array" ref="EW260">SUMPRODUCT(TRANSPOSE(EW$9:EW$34),$K260:$AJ260)</f>
        <v>2086</v>
      </c>
      <c r="EX260" s="12">
        <f t="array" ref="EX260">SUMPRODUCT(TRANSPOSE(EX$9:EX$34),$K260:$AJ260)</f>
        <v>2000</v>
      </c>
      <c r="EY260" s="12">
        <f t="array" ref="EY260">SUMPRODUCT(TRANSPOSE(EY$9:EY$34),$K260:$AJ260)</f>
        <v>2000</v>
      </c>
      <c r="EZ260" s="12">
        <f t="array" ref="EZ260">SUMPRODUCT(TRANSPOSE(EZ$9:EZ$34),$K260:$AJ260)</f>
        <v>2000</v>
      </c>
      <c r="FA260" s="12">
        <f t="array" ref="FA260">SUMPRODUCT(TRANSPOSE(FA$9:FA$34),$K260:$AJ260)</f>
        <v>2000</v>
      </c>
      <c r="FB260" s="12">
        <f t="array" ref="FB260">SUMPRODUCT(TRANSPOSE(FB$9:FB$34),$K260:$AJ260)</f>
        <v>2000</v>
      </c>
      <c r="FC260" s="12">
        <f t="array" ref="FC260">SUMPRODUCT(TRANSPOSE(FC$9:FC$34),$K260:$AJ260)</f>
        <v>2000</v>
      </c>
      <c r="FD260" s="12">
        <f t="array" ref="FD260">SUMPRODUCT(TRANSPOSE(FD$9:FD$34),$K260:$AJ260)</f>
        <v>2000</v>
      </c>
      <c r="FE260" s="12">
        <f t="array" ref="FE260">SUMPRODUCT(TRANSPOSE(FE$9:FE$34),$K260:$AJ260)</f>
        <v>2000</v>
      </c>
      <c r="FF260" s="12">
        <f t="array" ref="FF260">SUMPRODUCT(TRANSPOSE(FF$9:FF$34),$K260:$AJ260)</f>
        <v>2000</v>
      </c>
      <c r="FG260" s="12">
        <f t="array" ref="FG260">SUMPRODUCT(TRANSPOSE(FG$9:FG$34),$K260:$AJ260)</f>
        <v>2000</v>
      </c>
      <c r="FH260" s="12">
        <f t="array" ref="FH260">SUMPRODUCT(TRANSPOSE(FH$9:FH$34),$K260:$AJ260)</f>
        <v>2000</v>
      </c>
      <c r="FI260" s="12">
        <f t="array" ref="FI260">SUMPRODUCT(TRANSPOSE(FI$9:FI$34),$K260:$AJ260)</f>
        <v>2000</v>
      </c>
      <c r="FJ260" s="12">
        <f t="array" ref="FJ260">SUMPRODUCT(TRANSPOSE(FJ$9:FJ$34),$K260:$AJ260)</f>
        <v>2000</v>
      </c>
      <c r="FK260" s="12">
        <f t="array" ref="FK260">SUMPRODUCT(TRANSPOSE(FK$9:FK$34),$K260:$AJ260)</f>
        <v>2000</v>
      </c>
      <c r="FL260" s="12">
        <f t="array" ref="FL260">SUMPRODUCT(TRANSPOSE(FL$9:FL$34),$K260:$AJ260)</f>
        <v>2000</v>
      </c>
      <c r="FM260" s="12">
        <f t="array" ref="FM260">SUMPRODUCT(TRANSPOSE(FM$9:FM$34),$K260:$AJ260)</f>
        <v>2000</v>
      </c>
      <c r="FN260" s="12">
        <f t="array" ref="FN260">SUMPRODUCT(TRANSPOSE(FN$9:FN$34),$K260:$AJ260)</f>
        <v>1634</v>
      </c>
      <c r="FO260" s="12">
        <f t="array" ref="FO260">SUMPRODUCT(TRANSPOSE(FO$9:FO$34),$K260:$AJ260)</f>
        <v>0</v>
      </c>
    </row>
    <row r="261" spans="1:171" ht="14.25" x14ac:dyDescent="0.2">
      <c r="A261" s="13">
        <f t="shared" si="13"/>
        <v>226</v>
      </c>
      <c r="B261" s="13" t="s">
        <v>808</v>
      </c>
      <c r="C261" s="25" t="s">
        <v>809</v>
      </c>
      <c r="D261" s="13" t="s">
        <v>401</v>
      </c>
      <c r="E261" s="13">
        <v>401196672</v>
      </c>
      <c r="F261" s="26" t="s">
        <v>810</v>
      </c>
      <c r="G261" s="13">
        <v>400510825</v>
      </c>
      <c r="H261" s="13" t="s">
        <v>61</v>
      </c>
      <c r="I261" s="13">
        <v>2</v>
      </c>
      <c r="J261" s="13">
        <v>12</v>
      </c>
      <c r="K261" s="13">
        <v>0</v>
      </c>
      <c r="L261" s="13">
        <v>0</v>
      </c>
      <c r="M261" s="13">
        <v>0</v>
      </c>
      <c r="N261" s="13">
        <v>0</v>
      </c>
      <c r="O261" s="13">
        <v>4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4</v>
      </c>
      <c r="Y261" s="13"/>
      <c r="Z261" s="13"/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4</v>
      </c>
      <c r="AK261" s="13">
        <f t="shared" si="14"/>
        <v>8</v>
      </c>
      <c r="AL261" s="23">
        <f t="shared" si="12"/>
        <v>283452</v>
      </c>
      <c r="AM261" s="13"/>
      <c r="AN261" s="13" t="s">
        <v>360</v>
      </c>
      <c r="AO261" s="7" t="s">
        <v>134</v>
      </c>
      <c r="AP261" s="38">
        <v>3.605</v>
      </c>
      <c r="AQ261" s="12">
        <v>97500</v>
      </c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13"/>
      <c r="CG261" s="13"/>
      <c r="CH261" s="13"/>
      <c r="CI261" s="12"/>
      <c r="CJ261" s="12"/>
      <c r="CK261" s="12"/>
      <c r="CL261" s="12"/>
      <c r="CM261" s="12"/>
      <c r="CN261" s="12"/>
      <c r="CO261" s="12"/>
      <c r="CP261" s="12">
        <f>SUM($AQ261:BJ261)-SUM($EA261:EH261)</f>
        <v>69248</v>
      </c>
      <c r="CQ261" s="12">
        <f>SUM($AQ261:BK261)-SUM($EA261:EI261)</f>
        <v>67648</v>
      </c>
      <c r="CR261" s="12">
        <f>SUM($AQ261:BL261)-SUM($EA261:EJ261)</f>
        <v>63588</v>
      </c>
      <c r="CS261" s="12">
        <f>SUM($AQ261:BM261)-SUM($EA261:EK261)</f>
        <v>59048</v>
      </c>
      <c r="CT261" s="12">
        <f>SUM($AQ261:BN261)-SUM($EA261:EL261)</f>
        <v>50988</v>
      </c>
      <c r="CU261" s="12">
        <f>SUM($AQ261:BO261)-SUM($EA261:EM261)</f>
        <v>42788</v>
      </c>
      <c r="CV261" s="12">
        <f>SUM($AQ261:BP261)-SUM($EA261:EN261)</f>
        <v>34588</v>
      </c>
      <c r="CW261" s="12">
        <f>SUM($AQ261:BQ261)-SUM($EA261:EO261)</f>
        <v>26588</v>
      </c>
      <c r="CX261" s="12">
        <f>SUM($AQ261:BR261)-SUM($EA261:EP261)</f>
        <v>18388</v>
      </c>
      <c r="CY261" s="12">
        <f>SUM($AQ261:BS261)-SUM($EA261:EQ261)</f>
        <v>10188</v>
      </c>
      <c r="CZ261" s="12">
        <f>SUM($AQ261:BT261)-SUM($EA261:ER261)</f>
        <v>1988</v>
      </c>
      <c r="DA261" s="12">
        <f>SUM($AQ261:BU261)-SUM($EA261:ES261)</f>
        <v>-6212</v>
      </c>
      <c r="DB261" s="12">
        <f>SUM($AQ261:BV261)-SUM($EA261:ET261)</f>
        <v>-14412</v>
      </c>
      <c r="DC261" s="12">
        <f>SUM($AQ261:BW261)-SUM($EA261:EU261)</f>
        <v>-22612</v>
      </c>
      <c r="DD261" s="12">
        <f>SUM($AQ261:BX261)-SUM($EA261:EV261)</f>
        <v>-30812</v>
      </c>
      <c r="DE261" s="12">
        <f>SUM($AQ261:BY261)-SUM($EA261:EW261)</f>
        <v>-38852</v>
      </c>
      <c r="DF261" s="12">
        <f>SUM($AQ261:BZ261)-SUM($EA261:EX261)</f>
        <v>-46852</v>
      </c>
      <c r="DG261" s="12">
        <f>SUM($AQ261:CA261)-SUM($EA261:EY261)</f>
        <v>-54852</v>
      </c>
      <c r="DH261" s="12">
        <f>SUM($AQ261:CB261)-SUM($EA261:EZ261)</f>
        <v>-62852</v>
      </c>
      <c r="DI261" s="12">
        <f>SUM($AQ261:CC261)-SUM($EA261:FA261)</f>
        <v>-70852</v>
      </c>
      <c r="DJ261" s="12">
        <f>SUM($AQ261:CD261)-SUM($EA261:FB261)</f>
        <v>-78852</v>
      </c>
      <c r="DK261" s="12">
        <f>SUM($AQ261:CE261)-SUM($EA261:FC261)</f>
        <v>-86852</v>
      </c>
      <c r="DL261" s="12">
        <f>SUM($AQ261:CF261)-SUM($EA261:FD261)</f>
        <v>-94852</v>
      </c>
      <c r="DM261" s="12">
        <f>SUM($AQ261:CG261)-SUM($EA261:FE261)</f>
        <v>-102852</v>
      </c>
      <c r="DN261" s="12">
        <f>SUM($AQ261:CH261)-SUM($EA261:FF261)</f>
        <v>-110852</v>
      </c>
      <c r="DO261" s="12">
        <f>SUM($AQ261:CI261)-SUM($EA261:FG261)</f>
        <v>-118852</v>
      </c>
      <c r="DP261" s="12">
        <f>SUM($AQ261:CJ261)-SUM($EA261:FH261)</f>
        <v>-126852</v>
      </c>
      <c r="DQ261" s="12">
        <f>SUM($AQ261:CK261)-SUM($EA261:FI261)</f>
        <v>-134852</v>
      </c>
      <c r="DR261" s="12">
        <f>SUM($AQ261:CL261)-SUM($EA261:FJ261)</f>
        <v>-142852</v>
      </c>
      <c r="DS261" s="12">
        <f>SUM($AQ261:CM261)-SUM($EA261:FK261)</f>
        <v>-150852</v>
      </c>
      <c r="DT261" s="12">
        <f>SUM($AQ261:CN261)-SUM($EA261:FL261)</f>
        <v>-158852</v>
      </c>
      <c r="DU261" s="12">
        <f>SUM($AQ261:CO261)-SUM($EA261:FM261)</f>
        <v>-166852</v>
      </c>
      <c r="DV261" s="12">
        <f>SUM($AQ261:CP261)-SUM($EA261:FN261)</f>
        <v>-104396</v>
      </c>
      <c r="DW261" s="12">
        <f>SUM($AQ261:CQ261)-SUM($EA261:FO261)</f>
        <v>-37056</v>
      </c>
      <c r="DX261" s="13"/>
      <c r="DY261" s="13"/>
      <c r="DZ261" s="13"/>
      <c r="EA261" s="12"/>
      <c r="EB261" s="12"/>
      <c r="EC261" s="12"/>
      <c r="ED261" s="12"/>
      <c r="EE261" s="12"/>
      <c r="EF261" s="12"/>
      <c r="EG261" s="12"/>
      <c r="EH261" s="12">
        <f t="array" ref="EH261">SUMPRODUCT(TRANSPOSE(EH$9:EH$34),$K261:$AJ261)</f>
        <v>28252</v>
      </c>
      <c r="EI261" s="12">
        <f t="array" ref="EI261">SUMPRODUCT(TRANSPOSE(EI$9:EI$34),$K261:$AJ261)</f>
        <v>1600</v>
      </c>
      <c r="EJ261" s="12">
        <f t="array" ref="EJ261">SUMPRODUCT(TRANSPOSE(EJ$9:EJ$34),$K261:$AJ261)</f>
        <v>4060</v>
      </c>
      <c r="EK261" s="12">
        <f t="array" ref="EK261">SUMPRODUCT(TRANSPOSE(EK$9:EK$34),$K261:$AJ261)</f>
        <v>4540</v>
      </c>
      <c r="EL261" s="12">
        <f t="array" ref="EL261">SUMPRODUCT(TRANSPOSE(EL$9:EL$34),$K261:$AJ261)</f>
        <v>8060</v>
      </c>
      <c r="EM261" s="12">
        <f t="array" ref="EM261">SUMPRODUCT(TRANSPOSE(EM$9:EM$34),$K261:$AJ261)</f>
        <v>8200</v>
      </c>
      <c r="EN261" s="12">
        <f t="array" ref="EN261">SUMPRODUCT(TRANSPOSE(EN$9:EN$34),$K261:$AJ261)</f>
        <v>8200</v>
      </c>
      <c r="EO261" s="12">
        <f t="array" ref="EO261">SUMPRODUCT(TRANSPOSE(EO$9:EO$34),$K261:$AJ261)</f>
        <v>8000</v>
      </c>
      <c r="EP261" s="12">
        <f t="array" ref="EP261">SUMPRODUCT(TRANSPOSE(EP$9:EP$34),$K261:$AJ261)</f>
        <v>8200</v>
      </c>
      <c r="EQ261" s="12">
        <f t="array" ref="EQ261">SUMPRODUCT(TRANSPOSE(EQ$9:EQ$34),$K261:$AJ261)</f>
        <v>8200</v>
      </c>
      <c r="ER261" s="12">
        <f t="array" ref="ER261">SUMPRODUCT(TRANSPOSE(ER$9:ER$34),$K261:$AJ261)</f>
        <v>8200</v>
      </c>
      <c r="ES261" s="12">
        <f t="array" ref="ES261">SUMPRODUCT(TRANSPOSE(ES$9:ES$34),$K261:$AJ261)</f>
        <v>8200</v>
      </c>
      <c r="ET261" s="12">
        <f t="array" ref="ET261">SUMPRODUCT(TRANSPOSE(ET$9:ET$34),$K261:$AJ261)</f>
        <v>8200</v>
      </c>
      <c r="EU261" s="12">
        <f t="array" ref="EU261">SUMPRODUCT(TRANSPOSE(EU$9:EU$34),$K261:$AJ261)</f>
        <v>8200</v>
      </c>
      <c r="EV261" s="12">
        <f t="array" ref="EV261">SUMPRODUCT(TRANSPOSE(EV$9:EV$34),$K261:$AJ261)</f>
        <v>8200</v>
      </c>
      <c r="EW261" s="12">
        <f t="array" ref="EW261">SUMPRODUCT(TRANSPOSE(EW$9:EW$34),$K261:$AJ261)</f>
        <v>8040</v>
      </c>
      <c r="EX261" s="12">
        <f t="array" ref="EX261">SUMPRODUCT(TRANSPOSE(EX$9:EX$34),$K261:$AJ261)</f>
        <v>8000</v>
      </c>
      <c r="EY261" s="12">
        <f t="array" ref="EY261">SUMPRODUCT(TRANSPOSE(EY$9:EY$34),$K261:$AJ261)</f>
        <v>8000</v>
      </c>
      <c r="EZ261" s="12">
        <f t="array" ref="EZ261">SUMPRODUCT(TRANSPOSE(EZ$9:EZ$34),$K261:$AJ261)</f>
        <v>8000</v>
      </c>
      <c r="FA261" s="12">
        <f t="array" ref="FA261">SUMPRODUCT(TRANSPOSE(FA$9:FA$34),$K261:$AJ261)</f>
        <v>8000</v>
      </c>
      <c r="FB261" s="12">
        <f t="array" ref="FB261">SUMPRODUCT(TRANSPOSE(FB$9:FB$34),$K261:$AJ261)</f>
        <v>8000</v>
      </c>
      <c r="FC261" s="12">
        <f t="array" ref="FC261">SUMPRODUCT(TRANSPOSE(FC$9:FC$34),$K261:$AJ261)</f>
        <v>8000</v>
      </c>
      <c r="FD261" s="12">
        <f t="array" ref="FD261">SUMPRODUCT(TRANSPOSE(FD$9:FD$34),$K261:$AJ261)</f>
        <v>8000</v>
      </c>
      <c r="FE261" s="12">
        <f t="array" ref="FE261">SUMPRODUCT(TRANSPOSE(FE$9:FE$34),$K261:$AJ261)</f>
        <v>8000</v>
      </c>
      <c r="FF261" s="12">
        <f t="array" ref="FF261">SUMPRODUCT(TRANSPOSE(FF$9:FF$34),$K261:$AJ261)</f>
        <v>8000</v>
      </c>
      <c r="FG261" s="12">
        <f t="array" ref="FG261">SUMPRODUCT(TRANSPOSE(FG$9:FG$34),$K261:$AJ261)</f>
        <v>8000</v>
      </c>
      <c r="FH261" s="12">
        <f t="array" ref="FH261">SUMPRODUCT(TRANSPOSE(FH$9:FH$34),$K261:$AJ261)</f>
        <v>8000</v>
      </c>
      <c r="FI261" s="12">
        <f t="array" ref="FI261">SUMPRODUCT(TRANSPOSE(FI$9:FI$34),$K261:$AJ261)</f>
        <v>8000</v>
      </c>
      <c r="FJ261" s="12">
        <f t="array" ref="FJ261">SUMPRODUCT(TRANSPOSE(FJ$9:FJ$34),$K261:$AJ261)</f>
        <v>8000</v>
      </c>
      <c r="FK261" s="12">
        <f t="array" ref="FK261">SUMPRODUCT(TRANSPOSE(FK$9:FK$34),$K261:$AJ261)</f>
        <v>8000</v>
      </c>
      <c r="FL261" s="12">
        <f t="array" ref="FL261">SUMPRODUCT(TRANSPOSE(FL$9:FL$34),$K261:$AJ261)</f>
        <v>8000</v>
      </c>
      <c r="FM261" s="12">
        <f t="array" ref="FM261">SUMPRODUCT(TRANSPOSE(FM$9:FM$34),$K261:$AJ261)</f>
        <v>8000</v>
      </c>
      <c r="FN261" s="12">
        <f t="array" ref="FN261">SUMPRODUCT(TRANSPOSE(FN$9:FN$34),$K261:$AJ261)</f>
        <v>6792</v>
      </c>
      <c r="FO261" s="12">
        <f t="array" ref="FO261">SUMPRODUCT(TRANSPOSE(FO$9:FO$34),$K261:$AJ261)</f>
        <v>308</v>
      </c>
    </row>
    <row r="262" spans="1:171" ht="14.25" x14ac:dyDescent="0.2">
      <c r="A262" s="13">
        <f t="shared" si="13"/>
        <v>227</v>
      </c>
      <c r="B262" s="13" t="s">
        <v>811</v>
      </c>
      <c r="C262" s="25" t="s">
        <v>812</v>
      </c>
      <c r="D262" s="13" t="s">
        <v>401</v>
      </c>
      <c r="E262" s="13">
        <v>400319690</v>
      </c>
      <c r="F262" s="26" t="s">
        <v>813</v>
      </c>
      <c r="G262" s="13"/>
      <c r="H262" s="13" t="s">
        <v>61</v>
      </c>
      <c r="I262" s="13">
        <v>2</v>
      </c>
      <c r="J262" s="13">
        <v>2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1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/>
      <c r="Z262" s="13">
        <v>1</v>
      </c>
      <c r="AA262" s="13">
        <v>0</v>
      </c>
      <c r="AB262" s="13">
        <v>0</v>
      </c>
      <c r="AC262" s="13">
        <v>0</v>
      </c>
      <c r="AD262" s="13">
        <v>1</v>
      </c>
      <c r="AE262" s="13">
        <v>1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f t="shared" si="14"/>
        <v>3</v>
      </c>
      <c r="AL262" s="23">
        <f t="shared" si="12"/>
        <v>35665</v>
      </c>
      <c r="AM262" s="13"/>
      <c r="AN262" s="13" t="s">
        <v>360</v>
      </c>
      <c r="AO262" s="7" t="s">
        <v>134</v>
      </c>
      <c r="AP262" s="38">
        <v>6.0358000000000001</v>
      </c>
      <c r="AQ262" s="12">
        <v>12500</v>
      </c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13"/>
      <c r="CG262" s="13"/>
      <c r="CH262" s="13"/>
      <c r="CI262" s="12"/>
      <c r="CJ262" s="12"/>
      <c r="CK262" s="12"/>
      <c r="CL262" s="12"/>
      <c r="CM262" s="12"/>
      <c r="CN262" s="12"/>
      <c r="CO262" s="12"/>
      <c r="CP262" s="12">
        <f>SUM($AQ262:BJ262)-SUM($EA262:EH262)</f>
        <v>9391</v>
      </c>
      <c r="CQ262" s="12">
        <f>SUM($AQ262:BK262)-SUM($EA262:EI262)</f>
        <v>9110</v>
      </c>
      <c r="CR262" s="12">
        <f>SUM($AQ262:BL262)-SUM($EA262:EJ262)</f>
        <v>9095</v>
      </c>
      <c r="CS262" s="12">
        <f>SUM($AQ262:BM262)-SUM($EA262:EK262)</f>
        <v>8960</v>
      </c>
      <c r="CT262" s="12">
        <f>SUM($AQ262:BN262)-SUM($EA262:EL262)</f>
        <v>7945</v>
      </c>
      <c r="CU262" s="12">
        <f>SUM($AQ262:BO262)-SUM($EA262:EM262)</f>
        <v>5895</v>
      </c>
      <c r="CV262" s="12">
        <f>SUM($AQ262:BP262)-SUM($EA262:EN262)</f>
        <v>4745</v>
      </c>
      <c r="CW262" s="12">
        <f>SUM($AQ262:BQ262)-SUM($EA262:EO262)</f>
        <v>3745</v>
      </c>
      <c r="CX262" s="12">
        <f>SUM($AQ262:BR262)-SUM($EA262:EP262)</f>
        <v>2695</v>
      </c>
      <c r="CY262" s="12">
        <f>SUM($AQ262:BS262)-SUM($EA262:EQ262)</f>
        <v>1645</v>
      </c>
      <c r="CZ262" s="12">
        <f>SUM($AQ262:BT262)-SUM($EA262:ER262)</f>
        <v>595</v>
      </c>
      <c r="DA262" s="12">
        <f>SUM($AQ262:BU262)-SUM($EA262:ES262)</f>
        <v>-455</v>
      </c>
      <c r="DB262" s="12">
        <f>SUM($AQ262:BV262)-SUM($EA262:ET262)</f>
        <v>-1505</v>
      </c>
      <c r="DC262" s="12">
        <f>SUM($AQ262:BW262)-SUM($EA262:EU262)</f>
        <v>-2555</v>
      </c>
      <c r="DD262" s="12">
        <f>SUM($AQ262:BX262)-SUM($EA262:EV262)</f>
        <v>-3605</v>
      </c>
      <c r="DE262" s="12">
        <f>SUM($AQ262:BY262)-SUM($EA262:EW262)</f>
        <v>-4648</v>
      </c>
      <c r="DF262" s="12">
        <f>SUM($AQ262:BZ262)-SUM($EA262:EX262)</f>
        <v>-5648</v>
      </c>
      <c r="DG262" s="12">
        <f>SUM($AQ262:CA262)-SUM($EA262:EY262)</f>
        <v>-6648</v>
      </c>
      <c r="DH262" s="12">
        <f>SUM($AQ262:CB262)-SUM($EA262:EZ262)</f>
        <v>-7648</v>
      </c>
      <c r="DI262" s="12">
        <f>SUM($AQ262:CC262)-SUM($EA262:FA262)</f>
        <v>-8648</v>
      </c>
      <c r="DJ262" s="12">
        <f>SUM($AQ262:CD262)-SUM($EA262:FB262)</f>
        <v>-9648</v>
      </c>
      <c r="DK262" s="12">
        <f>SUM($AQ262:CE262)-SUM($EA262:FC262)</f>
        <v>-10648</v>
      </c>
      <c r="DL262" s="12">
        <f>SUM($AQ262:CF262)-SUM($EA262:FD262)</f>
        <v>-11648</v>
      </c>
      <c r="DM262" s="12">
        <f>SUM($AQ262:CG262)-SUM($EA262:FE262)</f>
        <v>-12648</v>
      </c>
      <c r="DN262" s="12">
        <f>SUM($AQ262:CH262)-SUM($EA262:FF262)</f>
        <v>-13648</v>
      </c>
      <c r="DO262" s="12">
        <f>SUM($AQ262:CI262)-SUM($EA262:FG262)</f>
        <v>-14648</v>
      </c>
      <c r="DP262" s="12">
        <f>SUM($AQ262:CJ262)-SUM($EA262:FH262)</f>
        <v>-15648</v>
      </c>
      <c r="DQ262" s="12">
        <f>SUM($AQ262:CK262)-SUM($EA262:FI262)</f>
        <v>-16648</v>
      </c>
      <c r="DR262" s="12">
        <f>SUM($AQ262:CL262)-SUM($EA262:FJ262)</f>
        <v>-17648</v>
      </c>
      <c r="DS262" s="12">
        <f>SUM($AQ262:CM262)-SUM($EA262:FK262)</f>
        <v>-18648</v>
      </c>
      <c r="DT262" s="12">
        <f>SUM($AQ262:CN262)-SUM($EA262:FL262)</f>
        <v>-19648</v>
      </c>
      <c r="DU262" s="12">
        <f>SUM($AQ262:CO262)-SUM($EA262:FM262)</f>
        <v>-20648</v>
      </c>
      <c r="DV262" s="12">
        <f>SUM($AQ262:CP262)-SUM($EA262:FN262)</f>
        <v>-12074</v>
      </c>
      <c r="DW262" s="12">
        <f>SUM($AQ262:CQ262)-SUM($EA262:FO262)</f>
        <v>-2964</v>
      </c>
      <c r="DX262" s="13"/>
      <c r="DY262" s="13"/>
      <c r="DZ262" s="13"/>
      <c r="EA262" s="12"/>
      <c r="EB262" s="12"/>
      <c r="EC262" s="12"/>
      <c r="ED262" s="12"/>
      <c r="EE262" s="12"/>
      <c r="EF262" s="12"/>
      <c r="EG262" s="12"/>
      <c r="EH262" s="12">
        <f t="array" ref="EH262">SUMPRODUCT(TRANSPOSE(EH$9:EH$34),$K262:$AJ262)</f>
        <v>3109</v>
      </c>
      <c r="EI262" s="12">
        <f t="array" ref="EI262">SUMPRODUCT(TRANSPOSE(EI$9:EI$34),$K262:$AJ262)</f>
        <v>281</v>
      </c>
      <c r="EJ262" s="12">
        <f t="array" ref="EJ262">SUMPRODUCT(TRANSPOSE(EJ$9:EJ$34),$K262:$AJ262)</f>
        <v>15</v>
      </c>
      <c r="EK262" s="12">
        <f t="array" ref="EK262">SUMPRODUCT(TRANSPOSE(EK$9:EK$34),$K262:$AJ262)</f>
        <v>135</v>
      </c>
      <c r="EL262" s="12">
        <f t="array" ref="EL262">SUMPRODUCT(TRANSPOSE(EL$9:EL$34),$K262:$AJ262)</f>
        <v>1015</v>
      </c>
      <c r="EM262" s="12">
        <f t="array" ref="EM262">SUMPRODUCT(TRANSPOSE(EM$9:EM$34),$K262:$AJ262)</f>
        <v>2050</v>
      </c>
      <c r="EN262" s="12">
        <f t="array" ref="EN262">SUMPRODUCT(TRANSPOSE(EN$9:EN$34),$K262:$AJ262)</f>
        <v>1150</v>
      </c>
      <c r="EO262" s="12">
        <f t="array" ref="EO262">SUMPRODUCT(TRANSPOSE(EO$9:EO$34),$K262:$AJ262)</f>
        <v>1000</v>
      </c>
      <c r="EP262" s="12">
        <f t="array" ref="EP262">SUMPRODUCT(TRANSPOSE(EP$9:EP$34),$K262:$AJ262)</f>
        <v>1050</v>
      </c>
      <c r="EQ262" s="12">
        <f t="array" ref="EQ262">SUMPRODUCT(TRANSPOSE(EQ$9:EQ$34),$K262:$AJ262)</f>
        <v>1050</v>
      </c>
      <c r="ER262" s="12">
        <f t="array" ref="ER262">SUMPRODUCT(TRANSPOSE(ER$9:ER$34),$K262:$AJ262)</f>
        <v>1050</v>
      </c>
      <c r="ES262" s="12">
        <f t="array" ref="ES262">SUMPRODUCT(TRANSPOSE(ES$9:ES$34),$K262:$AJ262)</f>
        <v>1050</v>
      </c>
      <c r="ET262" s="12">
        <f t="array" ref="ET262">SUMPRODUCT(TRANSPOSE(ET$9:ET$34),$K262:$AJ262)</f>
        <v>1050</v>
      </c>
      <c r="EU262" s="12">
        <f t="array" ref="EU262">SUMPRODUCT(TRANSPOSE(EU$9:EU$34),$K262:$AJ262)</f>
        <v>1050</v>
      </c>
      <c r="EV262" s="12">
        <f t="array" ref="EV262">SUMPRODUCT(TRANSPOSE(EV$9:EV$34),$K262:$AJ262)</f>
        <v>1050</v>
      </c>
      <c r="EW262" s="12">
        <f t="array" ref="EW262">SUMPRODUCT(TRANSPOSE(EW$9:EW$34),$K262:$AJ262)</f>
        <v>1043</v>
      </c>
      <c r="EX262" s="12">
        <f t="array" ref="EX262">SUMPRODUCT(TRANSPOSE(EX$9:EX$34),$K262:$AJ262)</f>
        <v>1000</v>
      </c>
      <c r="EY262" s="12">
        <f t="array" ref="EY262">SUMPRODUCT(TRANSPOSE(EY$9:EY$34),$K262:$AJ262)</f>
        <v>1000</v>
      </c>
      <c r="EZ262" s="12">
        <f t="array" ref="EZ262">SUMPRODUCT(TRANSPOSE(EZ$9:EZ$34),$K262:$AJ262)</f>
        <v>1000</v>
      </c>
      <c r="FA262" s="12">
        <f t="array" ref="FA262">SUMPRODUCT(TRANSPOSE(FA$9:FA$34),$K262:$AJ262)</f>
        <v>1000</v>
      </c>
      <c r="FB262" s="12">
        <f t="array" ref="FB262">SUMPRODUCT(TRANSPOSE(FB$9:FB$34),$K262:$AJ262)</f>
        <v>1000</v>
      </c>
      <c r="FC262" s="12">
        <f t="array" ref="FC262">SUMPRODUCT(TRANSPOSE(FC$9:FC$34),$K262:$AJ262)</f>
        <v>1000</v>
      </c>
      <c r="FD262" s="12">
        <f t="array" ref="FD262">SUMPRODUCT(TRANSPOSE(FD$9:FD$34),$K262:$AJ262)</f>
        <v>1000</v>
      </c>
      <c r="FE262" s="12">
        <f t="array" ref="FE262">SUMPRODUCT(TRANSPOSE(FE$9:FE$34),$K262:$AJ262)</f>
        <v>1000</v>
      </c>
      <c r="FF262" s="12">
        <f t="array" ref="FF262">SUMPRODUCT(TRANSPOSE(FF$9:FF$34),$K262:$AJ262)</f>
        <v>1000</v>
      </c>
      <c r="FG262" s="12">
        <f t="array" ref="FG262">SUMPRODUCT(TRANSPOSE(FG$9:FG$34),$K262:$AJ262)</f>
        <v>1000</v>
      </c>
      <c r="FH262" s="12">
        <f t="array" ref="FH262">SUMPRODUCT(TRANSPOSE(FH$9:FH$34),$K262:$AJ262)</f>
        <v>1000</v>
      </c>
      <c r="FI262" s="12">
        <f t="array" ref="FI262">SUMPRODUCT(TRANSPOSE(FI$9:FI$34),$K262:$AJ262)</f>
        <v>1000</v>
      </c>
      <c r="FJ262" s="12">
        <f t="array" ref="FJ262">SUMPRODUCT(TRANSPOSE(FJ$9:FJ$34),$K262:$AJ262)</f>
        <v>1000</v>
      </c>
      <c r="FK262" s="12">
        <f t="array" ref="FK262">SUMPRODUCT(TRANSPOSE(FK$9:FK$34),$K262:$AJ262)</f>
        <v>1000</v>
      </c>
      <c r="FL262" s="12">
        <f t="array" ref="FL262">SUMPRODUCT(TRANSPOSE(FL$9:FL$34),$K262:$AJ262)</f>
        <v>1000</v>
      </c>
      <c r="FM262" s="12">
        <f t="array" ref="FM262">SUMPRODUCT(TRANSPOSE(FM$9:FM$34),$K262:$AJ262)</f>
        <v>1000</v>
      </c>
      <c r="FN262" s="12">
        <f t="array" ref="FN262">SUMPRODUCT(TRANSPOSE(FN$9:FN$34),$K262:$AJ262)</f>
        <v>817</v>
      </c>
      <c r="FO262" s="12">
        <f t="array" ref="FO262">SUMPRODUCT(TRANSPOSE(FO$9:FO$34),$K262:$AJ262)</f>
        <v>0</v>
      </c>
    </row>
    <row r="263" spans="1:171" ht="14.25" x14ac:dyDescent="0.2">
      <c r="A263" s="13">
        <f t="shared" si="13"/>
        <v>228</v>
      </c>
      <c r="B263" s="13" t="s">
        <v>814</v>
      </c>
      <c r="C263" s="25" t="s">
        <v>815</v>
      </c>
      <c r="D263" s="13" t="s">
        <v>67</v>
      </c>
      <c r="E263" s="13">
        <v>404580094</v>
      </c>
      <c r="F263" s="26" t="s">
        <v>816</v>
      </c>
      <c r="G263" s="13"/>
      <c r="H263" s="13" t="s">
        <v>61</v>
      </c>
      <c r="I263" s="13">
        <v>1</v>
      </c>
      <c r="J263" s="13">
        <v>4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2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/>
      <c r="Z263" s="13">
        <v>2</v>
      </c>
      <c r="AA263" s="13">
        <v>0</v>
      </c>
      <c r="AB263" s="13">
        <v>0</v>
      </c>
      <c r="AC263" s="13">
        <v>0</v>
      </c>
      <c r="AD263" s="13">
        <v>2</v>
      </c>
      <c r="AE263" s="13">
        <v>2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f t="shared" si="14"/>
        <v>6</v>
      </c>
      <c r="AL263" s="23">
        <f t="shared" si="12"/>
        <v>71330</v>
      </c>
      <c r="AM263" s="13"/>
      <c r="AN263" s="13" t="s">
        <v>817</v>
      </c>
      <c r="AO263" s="7" t="s">
        <v>507</v>
      </c>
      <c r="AP263" s="41">
        <v>2.85</v>
      </c>
      <c r="AQ263" s="12">
        <v>39000</v>
      </c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13"/>
      <c r="CG263" s="13"/>
      <c r="CH263" s="13"/>
      <c r="CI263" s="12"/>
      <c r="CJ263" s="12"/>
      <c r="CK263" s="12"/>
      <c r="CL263" s="12"/>
      <c r="CM263" s="12"/>
      <c r="CN263" s="12"/>
      <c r="CO263" s="12"/>
      <c r="CP263" s="12">
        <f>SUM($AQ263:BJ263)-SUM($EA263:EH263)</f>
        <v>32782</v>
      </c>
      <c r="CQ263" s="12">
        <f>SUM($AQ263:BK263)-SUM($EA263:EI263)</f>
        <v>32220</v>
      </c>
      <c r="CR263" s="12">
        <f>SUM($AQ263:BL263)-SUM($EA263:EJ263)</f>
        <v>32190</v>
      </c>
      <c r="CS263" s="12">
        <f>SUM($AQ263:BM263)-SUM($EA263:EK263)</f>
        <v>31920</v>
      </c>
      <c r="CT263" s="12">
        <f>SUM($AQ263:BN263)-SUM($EA263:EL263)</f>
        <v>29890</v>
      </c>
      <c r="CU263" s="12">
        <f>SUM($AQ263:BO263)-SUM($EA263:EM263)</f>
        <v>25790</v>
      </c>
      <c r="CV263" s="12">
        <f>SUM($AQ263:BP263)-SUM($EA263:EN263)</f>
        <v>23490</v>
      </c>
      <c r="CW263" s="12">
        <f>SUM($AQ263:BQ263)-SUM($EA263:EO263)</f>
        <v>21490</v>
      </c>
      <c r="CX263" s="12">
        <f>SUM($AQ263:BR263)-SUM($EA263:EP263)</f>
        <v>19390</v>
      </c>
      <c r="CY263" s="12">
        <f>SUM($AQ263:BS263)-SUM($EA263:EQ263)</f>
        <v>17290</v>
      </c>
      <c r="CZ263" s="12">
        <f>SUM($AQ263:BT263)-SUM($EA263:ER263)</f>
        <v>15190</v>
      </c>
      <c r="DA263" s="12">
        <f>SUM($AQ263:BU263)-SUM($EA263:ES263)</f>
        <v>13090</v>
      </c>
      <c r="DB263" s="12">
        <f>SUM($AQ263:BV263)-SUM($EA263:ET263)</f>
        <v>10990</v>
      </c>
      <c r="DC263" s="12">
        <f>SUM($AQ263:BW263)-SUM($EA263:EU263)</f>
        <v>8890</v>
      </c>
      <c r="DD263" s="12">
        <f>SUM($AQ263:BX263)-SUM($EA263:EV263)</f>
        <v>6790</v>
      </c>
      <c r="DE263" s="12">
        <f>SUM($AQ263:BY263)-SUM($EA263:EW263)</f>
        <v>4704</v>
      </c>
      <c r="DF263" s="12">
        <f>SUM($AQ263:BZ263)-SUM($EA263:EX263)</f>
        <v>2704</v>
      </c>
      <c r="DG263" s="12">
        <f>SUM($AQ263:CA263)-SUM($EA263:EY263)</f>
        <v>704</v>
      </c>
      <c r="DH263" s="12">
        <f>SUM($AQ263:CB263)-SUM($EA263:EZ263)</f>
        <v>-1296</v>
      </c>
      <c r="DI263" s="12">
        <f>SUM($AQ263:CC263)-SUM($EA263:FA263)</f>
        <v>-3296</v>
      </c>
      <c r="DJ263" s="12">
        <f>SUM($AQ263:CD263)-SUM($EA263:FB263)</f>
        <v>-5296</v>
      </c>
      <c r="DK263" s="12">
        <f>SUM($AQ263:CE263)-SUM($EA263:FC263)</f>
        <v>-7296</v>
      </c>
      <c r="DL263" s="12">
        <f>SUM($AQ263:CF263)-SUM($EA263:FD263)</f>
        <v>-9296</v>
      </c>
      <c r="DM263" s="12">
        <f>SUM($AQ263:CG263)-SUM($EA263:FE263)</f>
        <v>-11296</v>
      </c>
      <c r="DN263" s="12">
        <f>SUM($AQ263:CH263)-SUM($EA263:FF263)</f>
        <v>-13296</v>
      </c>
      <c r="DO263" s="12">
        <f>SUM($AQ263:CI263)-SUM($EA263:FG263)</f>
        <v>-15296</v>
      </c>
      <c r="DP263" s="12">
        <f>SUM($AQ263:CJ263)-SUM($EA263:FH263)</f>
        <v>-17296</v>
      </c>
      <c r="DQ263" s="12">
        <f>SUM($AQ263:CK263)-SUM($EA263:FI263)</f>
        <v>-19296</v>
      </c>
      <c r="DR263" s="12">
        <f>SUM($AQ263:CL263)-SUM($EA263:FJ263)</f>
        <v>-21296</v>
      </c>
      <c r="DS263" s="12">
        <f>SUM($AQ263:CM263)-SUM($EA263:FK263)</f>
        <v>-23296</v>
      </c>
      <c r="DT263" s="12">
        <f>SUM($AQ263:CN263)-SUM($EA263:FL263)</f>
        <v>-25296</v>
      </c>
      <c r="DU263" s="12">
        <f>SUM($AQ263:CO263)-SUM($EA263:FM263)</f>
        <v>-27296</v>
      </c>
      <c r="DV263" s="12">
        <f>SUM($AQ263:CP263)-SUM($EA263:FN263)</f>
        <v>3852</v>
      </c>
      <c r="DW263" s="12">
        <f>SUM($AQ263:CQ263)-SUM($EA263:FO263)</f>
        <v>36072</v>
      </c>
      <c r="DX263" s="13"/>
      <c r="DY263" s="13"/>
      <c r="DZ263" s="13"/>
      <c r="EA263" s="12"/>
      <c r="EB263" s="12"/>
      <c r="EC263" s="12"/>
      <c r="ED263" s="12"/>
      <c r="EE263" s="12"/>
      <c r="EF263" s="12"/>
      <c r="EG263" s="12"/>
      <c r="EH263" s="12">
        <f t="array" ref="EH263">SUMPRODUCT(TRANSPOSE(EH$9:EH$34),$K263:$AJ263)</f>
        <v>6218</v>
      </c>
      <c r="EI263" s="12">
        <f t="array" ref="EI263">SUMPRODUCT(TRANSPOSE(EI$9:EI$34),$K263:$AJ263)</f>
        <v>562</v>
      </c>
      <c r="EJ263" s="12">
        <f t="array" ref="EJ263">SUMPRODUCT(TRANSPOSE(EJ$9:EJ$34),$K263:$AJ263)</f>
        <v>30</v>
      </c>
      <c r="EK263" s="12">
        <f t="array" ref="EK263">SUMPRODUCT(TRANSPOSE(EK$9:EK$34),$K263:$AJ263)</f>
        <v>270</v>
      </c>
      <c r="EL263" s="12">
        <f t="array" ref="EL263">SUMPRODUCT(TRANSPOSE(EL$9:EL$34),$K263:$AJ263)</f>
        <v>2030</v>
      </c>
      <c r="EM263" s="12">
        <f t="array" ref="EM263">SUMPRODUCT(TRANSPOSE(EM$9:EM$34),$K263:$AJ263)</f>
        <v>4100</v>
      </c>
      <c r="EN263" s="12">
        <f t="array" ref="EN263">SUMPRODUCT(TRANSPOSE(EN$9:EN$34),$K263:$AJ263)</f>
        <v>2300</v>
      </c>
      <c r="EO263" s="12">
        <f t="array" ref="EO263">SUMPRODUCT(TRANSPOSE(EO$9:EO$34),$K263:$AJ263)</f>
        <v>2000</v>
      </c>
      <c r="EP263" s="12">
        <f t="array" ref="EP263">SUMPRODUCT(TRANSPOSE(EP$9:EP$34),$K263:$AJ263)</f>
        <v>2100</v>
      </c>
      <c r="EQ263" s="12">
        <f t="array" ref="EQ263">SUMPRODUCT(TRANSPOSE(EQ$9:EQ$34),$K263:$AJ263)</f>
        <v>2100</v>
      </c>
      <c r="ER263" s="12">
        <f t="array" ref="ER263">SUMPRODUCT(TRANSPOSE(ER$9:ER$34),$K263:$AJ263)</f>
        <v>2100</v>
      </c>
      <c r="ES263" s="12">
        <f t="array" ref="ES263">SUMPRODUCT(TRANSPOSE(ES$9:ES$34),$K263:$AJ263)</f>
        <v>2100</v>
      </c>
      <c r="ET263" s="12">
        <f t="array" ref="ET263">SUMPRODUCT(TRANSPOSE(ET$9:ET$34),$K263:$AJ263)</f>
        <v>2100</v>
      </c>
      <c r="EU263" s="12">
        <f t="array" ref="EU263">SUMPRODUCT(TRANSPOSE(EU$9:EU$34),$K263:$AJ263)</f>
        <v>2100</v>
      </c>
      <c r="EV263" s="12">
        <f t="array" ref="EV263">SUMPRODUCT(TRANSPOSE(EV$9:EV$34),$K263:$AJ263)</f>
        <v>2100</v>
      </c>
      <c r="EW263" s="12">
        <f t="array" ref="EW263">SUMPRODUCT(TRANSPOSE(EW$9:EW$34),$K263:$AJ263)</f>
        <v>2086</v>
      </c>
      <c r="EX263" s="12">
        <f t="array" ref="EX263">SUMPRODUCT(TRANSPOSE(EX$9:EX$34),$K263:$AJ263)</f>
        <v>2000</v>
      </c>
      <c r="EY263" s="12">
        <f t="array" ref="EY263">SUMPRODUCT(TRANSPOSE(EY$9:EY$34),$K263:$AJ263)</f>
        <v>2000</v>
      </c>
      <c r="EZ263" s="12">
        <f t="array" ref="EZ263">SUMPRODUCT(TRANSPOSE(EZ$9:EZ$34),$K263:$AJ263)</f>
        <v>2000</v>
      </c>
      <c r="FA263" s="12">
        <f t="array" ref="FA263">SUMPRODUCT(TRANSPOSE(FA$9:FA$34),$K263:$AJ263)</f>
        <v>2000</v>
      </c>
      <c r="FB263" s="12">
        <f t="array" ref="FB263">SUMPRODUCT(TRANSPOSE(FB$9:FB$34),$K263:$AJ263)</f>
        <v>2000</v>
      </c>
      <c r="FC263" s="12">
        <f t="array" ref="FC263">SUMPRODUCT(TRANSPOSE(FC$9:FC$34),$K263:$AJ263)</f>
        <v>2000</v>
      </c>
      <c r="FD263" s="12">
        <f t="array" ref="FD263">SUMPRODUCT(TRANSPOSE(FD$9:FD$34),$K263:$AJ263)</f>
        <v>2000</v>
      </c>
      <c r="FE263" s="12">
        <f t="array" ref="FE263">SUMPRODUCT(TRANSPOSE(FE$9:FE$34),$K263:$AJ263)</f>
        <v>2000</v>
      </c>
      <c r="FF263" s="12">
        <f t="array" ref="FF263">SUMPRODUCT(TRANSPOSE(FF$9:FF$34),$K263:$AJ263)</f>
        <v>2000</v>
      </c>
      <c r="FG263" s="12">
        <f t="array" ref="FG263">SUMPRODUCT(TRANSPOSE(FG$9:FG$34),$K263:$AJ263)</f>
        <v>2000</v>
      </c>
      <c r="FH263" s="12">
        <f t="array" ref="FH263">SUMPRODUCT(TRANSPOSE(FH$9:FH$34),$K263:$AJ263)</f>
        <v>2000</v>
      </c>
      <c r="FI263" s="12">
        <f t="array" ref="FI263">SUMPRODUCT(TRANSPOSE(FI$9:FI$34),$K263:$AJ263)</f>
        <v>2000</v>
      </c>
      <c r="FJ263" s="12">
        <f t="array" ref="FJ263">SUMPRODUCT(TRANSPOSE(FJ$9:FJ$34),$K263:$AJ263)</f>
        <v>2000</v>
      </c>
      <c r="FK263" s="12">
        <f t="array" ref="FK263">SUMPRODUCT(TRANSPOSE(FK$9:FK$34),$K263:$AJ263)</f>
        <v>2000</v>
      </c>
      <c r="FL263" s="12">
        <f t="array" ref="FL263">SUMPRODUCT(TRANSPOSE(FL$9:FL$34),$K263:$AJ263)</f>
        <v>2000</v>
      </c>
      <c r="FM263" s="12">
        <f t="array" ref="FM263">SUMPRODUCT(TRANSPOSE(FM$9:FM$34),$K263:$AJ263)</f>
        <v>2000</v>
      </c>
      <c r="FN263" s="12">
        <f t="array" ref="FN263">SUMPRODUCT(TRANSPOSE(FN$9:FN$34),$K263:$AJ263)</f>
        <v>1634</v>
      </c>
      <c r="FO263" s="12">
        <f t="array" ref="FO263">SUMPRODUCT(TRANSPOSE(FO$9:FO$34),$K263:$AJ263)</f>
        <v>0</v>
      </c>
    </row>
    <row r="264" spans="1:171" ht="14.25" x14ac:dyDescent="0.2">
      <c r="A264" s="13">
        <f t="shared" si="13"/>
        <v>229</v>
      </c>
      <c r="B264" s="13" t="s">
        <v>818</v>
      </c>
      <c r="C264" s="25" t="s">
        <v>819</v>
      </c>
      <c r="D264" s="13" t="s">
        <v>67</v>
      </c>
      <c r="E264" s="13">
        <v>401681605</v>
      </c>
      <c r="F264" s="26" t="s">
        <v>820</v>
      </c>
      <c r="G264" s="13"/>
      <c r="H264" s="13" t="s">
        <v>61</v>
      </c>
      <c r="I264" s="13">
        <v>2</v>
      </c>
      <c r="J264" s="13">
        <v>8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4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/>
      <c r="Z264" s="13">
        <v>4</v>
      </c>
      <c r="AA264" s="13">
        <v>0</v>
      </c>
      <c r="AB264" s="13">
        <v>0</v>
      </c>
      <c r="AC264" s="13">
        <v>0</v>
      </c>
      <c r="AD264" s="13">
        <v>4</v>
      </c>
      <c r="AE264" s="13">
        <v>4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f t="shared" si="14"/>
        <v>12</v>
      </c>
      <c r="AL264" s="23">
        <f t="shared" si="12"/>
        <v>142660</v>
      </c>
      <c r="AM264" s="13"/>
      <c r="AN264" s="13" t="s">
        <v>360</v>
      </c>
      <c r="AO264" s="7" t="s">
        <v>134</v>
      </c>
      <c r="AP264" s="38">
        <v>1.7922</v>
      </c>
      <c r="AQ264" s="12">
        <v>60000</v>
      </c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13"/>
      <c r="CG264" s="13"/>
      <c r="CH264" s="13"/>
      <c r="CI264" s="12"/>
      <c r="CJ264" s="12"/>
      <c r="CK264" s="12"/>
      <c r="CL264" s="12"/>
      <c r="CM264" s="12"/>
      <c r="CN264" s="12"/>
      <c r="CO264" s="12"/>
      <c r="CP264" s="12">
        <f>SUM($AQ264:BJ264)-SUM($EA264:EH264)</f>
        <v>47564</v>
      </c>
      <c r="CQ264" s="12">
        <f>SUM($AQ264:BK264)-SUM($EA264:EI264)</f>
        <v>46440</v>
      </c>
      <c r="CR264" s="12">
        <f>SUM($AQ264:BL264)-SUM($EA264:EJ264)</f>
        <v>46380</v>
      </c>
      <c r="CS264" s="12">
        <f>SUM($AQ264:BM264)-SUM($EA264:EK264)</f>
        <v>45840</v>
      </c>
      <c r="CT264" s="12">
        <f>SUM($AQ264:BN264)-SUM($EA264:EL264)</f>
        <v>41780</v>
      </c>
      <c r="CU264" s="12">
        <f>SUM($AQ264:BO264)-SUM($EA264:EM264)</f>
        <v>33580</v>
      </c>
      <c r="CV264" s="12">
        <f>SUM($AQ264:BP264)-SUM($EA264:EN264)</f>
        <v>28980</v>
      </c>
      <c r="CW264" s="12">
        <f>SUM($AQ264:BQ264)-SUM($EA264:EO264)</f>
        <v>24980</v>
      </c>
      <c r="CX264" s="12">
        <f>SUM($AQ264:BR264)-SUM($EA264:EP264)</f>
        <v>20780</v>
      </c>
      <c r="CY264" s="12">
        <f>SUM($AQ264:BS264)-SUM($EA264:EQ264)</f>
        <v>16580</v>
      </c>
      <c r="CZ264" s="12">
        <f>SUM($AQ264:BT264)-SUM($EA264:ER264)</f>
        <v>12380</v>
      </c>
      <c r="DA264" s="12">
        <f>SUM($AQ264:BU264)-SUM($EA264:ES264)</f>
        <v>8180</v>
      </c>
      <c r="DB264" s="12">
        <f>SUM($AQ264:BV264)-SUM($EA264:ET264)</f>
        <v>3980</v>
      </c>
      <c r="DC264" s="12">
        <f>SUM($AQ264:BW264)-SUM($EA264:EU264)</f>
        <v>-220</v>
      </c>
      <c r="DD264" s="12">
        <f>SUM($AQ264:BX264)-SUM($EA264:EV264)</f>
        <v>-4420</v>
      </c>
      <c r="DE264" s="12">
        <f>SUM($AQ264:BY264)-SUM($EA264:EW264)</f>
        <v>-8592</v>
      </c>
      <c r="DF264" s="12">
        <f>SUM($AQ264:BZ264)-SUM($EA264:EX264)</f>
        <v>-12592</v>
      </c>
      <c r="DG264" s="12">
        <f>SUM($AQ264:CA264)-SUM($EA264:EY264)</f>
        <v>-16592</v>
      </c>
      <c r="DH264" s="12">
        <f>SUM($AQ264:CB264)-SUM($EA264:EZ264)</f>
        <v>-20592</v>
      </c>
      <c r="DI264" s="12">
        <f>SUM($AQ264:CC264)-SUM($EA264:FA264)</f>
        <v>-24592</v>
      </c>
      <c r="DJ264" s="12">
        <f>SUM($AQ264:CD264)-SUM($EA264:FB264)</f>
        <v>-28592</v>
      </c>
      <c r="DK264" s="12">
        <f>SUM($AQ264:CE264)-SUM($EA264:FC264)</f>
        <v>-32592</v>
      </c>
      <c r="DL264" s="12">
        <f>SUM($AQ264:CF264)-SUM($EA264:FD264)</f>
        <v>-36592</v>
      </c>
      <c r="DM264" s="12">
        <f>SUM($AQ264:CG264)-SUM($EA264:FE264)</f>
        <v>-40592</v>
      </c>
      <c r="DN264" s="12">
        <f>SUM($AQ264:CH264)-SUM($EA264:FF264)</f>
        <v>-44592</v>
      </c>
      <c r="DO264" s="12">
        <f>SUM($AQ264:CI264)-SUM($EA264:FG264)</f>
        <v>-48592</v>
      </c>
      <c r="DP264" s="12">
        <f>SUM($AQ264:CJ264)-SUM($EA264:FH264)</f>
        <v>-52592</v>
      </c>
      <c r="DQ264" s="12">
        <f>SUM($AQ264:CK264)-SUM($EA264:FI264)</f>
        <v>-56592</v>
      </c>
      <c r="DR264" s="12">
        <f>SUM($AQ264:CL264)-SUM($EA264:FJ264)</f>
        <v>-60592</v>
      </c>
      <c r="DS264" s="12">
        <f>SUM($AQ264:CM264)-SUM($EA264:FK264)</f>
        <v>-64592</v>
      </c>
      <c r="DT264" s="12">
        <f>SUM($AQ264:CN264)-SUM($EA264:FL264)</f>
        <v>-68592</v>
      </c>
      <c r="DU264" s="12">
        <f>SUM($AQ264:CO264)-SUM($EA264:FM264)</f>
        <v>-72592</v>
      </c>
      <c r="DV264" s="12">
        <f>SUM($AQ264:CP264)-SUM($EA264:FN264)</f>
        <v>-28296</v>
      </c>
      <c r="DW264" s="12">
        <f>SUM($AQ264:CQ264)-SUM($EA264:FO264)</f>
        <v>18144</v>
      </c>
      <c r="DX264" s="13"/>
      <c r="DY264" s="13"/>
      <c r="DZ264" s="13"/>
      <c r="EA264" s="12"/>
      <c r="EB264" s="12"/>
      <c r="EC264" s="12"/>
      <c r="ED264" s="12"/>
      <c r="EE264" s="12"/>
      <c r="EF264" s="12"/>
      <c r="EG264" s="12"/>
      <c r="EH264" s="12">
        <f t="array" ref="EH264">SUMPRODUCT(TRANSPOSE(EH$9:EH$34),$K264:$AJ264)</f>
        <v>12436</v>
      </c>
      <c r="EI264" s="12">
        <f t="array" ref="EI264">SUMPRODUCT(TRANSPOSE(EI$9:EI$34),$K264:$AJ264)</f>
        <v>1124</v>
      </c>
      <c r="EJ264" s="12">
        <f t="array" ref="EJ264">SUMPRODUCT(TRANSPOSE(EJ$9:EJ$34),$K264:$AJ264)</f>
        <v>60</v>
      </c>
      <c r="EK264" s="12">
        <f t="array" ref="EK264">SUMPRODUCT(TRANSPOSE(EK$9:EK$34),$K264:$AJ264)</f>
        <v>540</v>
      </c>
      <c r="EL264" s="12">
        <f t="array" ref="EL264">SUMPRODUCT(TRANSPOSE(EL$9:EL$34),$K264:$AJ264)</f>
        <v>4060</v>
      </c>
      <c r="EM264" s="12">
        <f t="array" ref="EM264">SUMPRODUCT(TRANSPOSE(EM$9:EM$34),$K264:$AJ264)</f>
        <v>8200</v>
      </c>
      <c r="EN264" s="12">
        <f t="array" ref="EN264">SUMPRODUCT(TRANSPOSE(EN$9:EN$34),$K264:$AJ264)</f>
        <v>4600</v>
      </c>
      <c r="EO264" s="12">
        <f t="array" ref="EO264">SUMPRODUCT(TRANSPOSE(EO$9:EO$34),$K264:$AJ264)</f>
        <v>4000</v>
      </c>
      <c r="EP264" s="12">
        <f t="array" ref="EP264">SUMPRODUCT(TRANSPOSE(EP$9:EP$34),$K264:$AJ264)</f>
        <v>4200</v>
      </c>
      <c r="EQ264" s="12">
        <f t="array" ref="EQ264">SUMPRODUCT(TRANSPOSE(EQ$9:EQ$34),$K264:$AJ264)</f>
        <v>4200</v>
      </c>
      <c r="ER264" s="12">
        <f t="array" ref="ER264">SUMPRODUCT(TRANSPOSE(ER$9:ER$34),$K264:$AJ264)</f>
        <v>4200</v>
      </c>
      <c r="ES264" s="12">
        <f t="array" ref="ES264">SUMPRODUCT(TRANSPOSE(ES$9:ES$34),$K264:$AJ264)</f>
        <v>4200</v>
      </c>
      <c r="ET264" s="12">
        <f t="array" ref="ET264">SUMPRODUCT(TRANSPOSE(ET$9:ET$34),$K264:$AJ264)</f>
        <v>4200</v>
      </c>
      <c r="EU264" s="12">
        <f t="array" ref="EU264">SUMPRODUCT(TRANSPOSE(EU$9:EU$34),$K264:$AJ264)</f>
        <v>4200</v>
      </c>
      <c r="EV264" s="12">
        <f t="array" ref="EV264">SUMPRODUCT(TRANSPOSE(EV$9:EV$34),$K264:$AJ264)</f>
        <v>4200</v>
      </c>
      <c r="EW264" s="12">
        <f t="array" ref="EW264">SUMPRODUCT(TRANSPOSE(EW$9:EW$34),$K264:$AJ264)</f>
        <v>4172</v>
      </c>
      <c r="EX264" s="12">
        <f t="array" ref="EX264">SUMPRODUCT(TRANSPOSE(EX$9:EX$34),$K264:$AJ264)</f>
        <v>4000</v>
      </c>
      <c r="EY264" s="12">
        <f t="array" ref="EY264">SUMPRODUCT(TRANSPOSE(EY$9:EY$34),$K264:$AJ264)</f>
        <v>4000</v>
      </c>
      <c r="EZ264" s="12">
        <f t="array" ref="EZ264">SUMPRODUCT(TRANSPOSE(EZ$9:EZ$34),$K264:$AJ264)</f>
        <v>4000</v>
      </c>
      <c r="FA264" s="12">
        <f t="array" ref="FA264">SUMPRODUCT(TRANSPOSE(FA$9:FA$34),$K264:$AJ264)</f>
        <v>4000</v>
      </c>
      <c r="FB264" s="12">
        <f t="array" ref="FB264">SUMPRODUCT(TRANSPOSE(FB$9:FB$34),$K264:$AJ264)</f>
        <v>4000</v>
      </c>
      <c r="FC264" s="12">
        <f t="array" ref="FC264">SUMPRODUCT(TRANSPOSE(FC$9:FC$34),$K264:$AJ264)</f>
        <v>4000</v>
      </c>
      <c r="FD264" s="12">
        <f t="array" ref="FD264">SUMPRODUCT(TRANSPOSE(FD$9:FD$34),$K264:$AJ264)</f>
        <v>4000</v>
      </c>
      <c r="FE264" s="12">
        <f t="array" ref="FE264">SUMPRODUCT(TRANSPOSE(FE$9:FE$34),$K264:$AJ264)</f>
        <v>4000</v>
      </c>
      <c r="FF264" s="12">
        <f t="array" ref="FF264">SUMPRODUCT(TRANSPOSE(FF$9:FF$34),$K264:$AJ264)</f>
        <v>4000</v>
      </c>
      <c r="FG264" s="12">
        <f t="array" ref="FG264">SUMPRODUCT(TRANSPOSE(FG$9:FG$34),$K264:$AJ264)</f>
        <v>4000</v>
      </c>
      <c r="FH264" s="12">
        <f t="array" ref="FH264">SUMPRODUCT(TRANSPOSE(FH$9:FH$34),$K264:$AJ264)</f>
        <v>4000</v>
      </c>
      <c r="FI264" s="12">
        <f t="array" ref="FI264">SUMPRODUCT(TRANSPOSE(FI$9:FI$34),$K264:$AJ264)</f>
        <v>4000</v>
      </c>
      <c r="FJ264" s="12">
        <f t="array" ref="FJ264">SUMPRODUCT(TRANSPOSE(FJ$9:FJ$34),$K264:$AJ264)</f>
        <v>4000</v>
      </c>
      <c r="FK264" s="12">
        <f t="array" ref="FK264">SUMPRODUCT(TRANSPOSE(FK$9:FK$34),$K264:$AJ264)</f>
        <v>4000</v>
      </c>
      <c r="FL264" s="12">
        <f t="array" ref="FL264">SUMPRODUCT(TRANSPOSE(FL$9:FL$34),$K264:$AJ264)</f>
        <v>4000</v>
      </c>
      <c r="FM264" s="12">
        <f t="array" ref="FM264">SUMPRODUCT(TRANSPOSE(FM$9:FM$34),$K264:$AJ264)</f>
        <v>4000</v>
      </c>
      <c r="FN264" s="12">
        <f t="array" ref="FN264">SUMPRODUCT(TRANSPOSE(FN$9:FN$34),$K264:$AJ264)</f>
        <v>3268</v>
      </c>
      <c r="FO264" s="12">
        <f t="array" ref="FO264">SUMPRODUCT(TRANSPOSE(FO$9:FO$34),$K264:$AJ264)</f>
        <v>0</v>
      </c>
    </row>
    <row r="265" spans="1:171" ht="14.25" x14ac:dyDescent="0.2">
      <c r="A265" s="13">
        <f t="shared" si="13"/>
        <v>230</v>
      </c>
      <c r="B265" s="13" t="s">
        <v>821</v>
      </c>
      <c r="C265" s="25" t="s">
        <v>822</v>
      </c>
      <c r="D265" s="13" t="s">
        <v>67</v>
      </c>
      <c r="E265" s="13">
        <v>417221752</v>
      </c>
      <c r="F265" s="26" t="s">
        <v>823</v>
      </c>
      <c r="G265" s="13"/>
      <c r="H265" s="13" t="s">
        <v>61</v>
      </c>
      <c r="I265" s="13">
        <v>2</v>
      </c>
      <c r="J265" s="13">
        <v>3</v>
      </c>
      <c r="K265" s="13">
        <v>0</v>
      </c>
      <c r="L265" s="13">
        <v>0</v>
      </c>
      <c r="M265" s="13">
        <v>0</v>
      </c>
      <c r="N265" s="13">
        <v>0</v>
      </c>
      <c r="O265" s="13">
        <v>1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1</v>
      </c>
      <c r="Y265" s="13"/>
      <c r="Z265" s="13"/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1</v>
      </c>
      <c r="AK265" s="13">
        <f t="shared" si="14"/>
        <v>2</v>
      </c>
      <c r="AL265" s="23">
        <f t="shared" si="12"/>
        <v>70863</v>
      </c>
      <c r="AM265" s="13"/>
      <c r="AN265" s="13" t="s">
        <v>360</v>
      </c>
      <c r="AO265" s="7" t="s">
        <v>134</v>
      </c>
      <c r="AP265" s="38">
        <v>22.7836</v>
      </c>
      <c r="AQ265" s="12">
        <v>19720</v>
      </c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>
        <v>3000</v>
      </c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13"/>
      <c r="CG265" s="13"/>
      <c r="CH265" s="13"/>
      <c r="CI265" s="12"/>
      <c r="CJ265" s="12"/>
      <c r="CK265" s="12"/>
      <c r="CL265" s="12"/>
      <c r="CM265" s="12"/>
      <c r="CN265" s="12"/>
      <c r="CO265" s="12"/>
      <c r="CP265" s="12">
        <f>SUM($AQ265:BJ265)-SUM($EA265:EH265)</f>
        <v>15657</v>
      </c>
      <c r="CQ265" s="12">
        <f>SUM($AQ265:BK265)-SUM($EA265:EI265)</f>
        <v>15257</v>
      </c>
      <c r="CR265" s="12">
        <f>SUM($AQ265:BL265)-SUM($EA265:EJ265)</f>
        <v>14242</v>
      </c>
      <c r="CS265" s="12">
        <f>SUM($AQ265:BM265)-SUM($EA265:EK265)</f>
        <v>13107</v>
      </c>
      <c r="CT265" s="12">
        <f>SUM($AQ265:BN265)-SUM($EA265:EL265)</f>
        <v>11092</v>
      </c>
      <c r="CU265" s="12">
        <f>SUM($AQ265:BO265)-SUM($EA265:EM265)</f>
        <v>9042</v>
      </c>
      <c r="CV265" s="12">
        <f>SUM($AQ265:BP265)-SUM($EA265:EN265)</f>
        <v>6992</v>
      </c>
      <c r="CW265" s="12">
        <f>SUM($AQ265:BQ265)-SUM($EA265:EO265)</f>
        <v>4992</v>
      </c>
      <c r="CX265" s="12">
        <f>SUM($AQ265:BR265)-SUM($EA265:EP265)</f>
        <v>2942</v>
      </c>
      <c r="CY265" s="12">
        <f>SUM($AQ265:BS265)-SUM($EA265:EQ265)</f>
        <v>892</v>
      </c>
      <c r="CZ265" s="12">
        <f>SUM($AQ265:BT265)-SUM($EA265:ER265)</f>
        <v>-1158</v>
      </c>
      <c r="DA265" s="12">
        <f>SUM($AQ265:BU265)-SUM($EA265:ES265)</f>
        <v>-3208</v>
      </c>
      <c r="DB265" s="12">
        <f>SUM($AQ265:BV265)-SUM($EA265:ET265)</f>
        <v>-5258</v>
      </c>
      <c r="DC265" s="12">
        <f>SUM($AQ265:BW265)-SUM($EA265:EU265)</f>
        <v>-7308</v>
      </c>
      <c r="DD265" s="12">
        <f>SUM($AQ265:BX265)-SUM($EA265:EV265)</f>
        <v>-9358</v>
      </c>
      <c r="DE265" s="12">
        <f>SUM($AQ265:BY265)-SUM($EA265:EW265)</f>
        <v>-11368</v>
      </c>
      <c r="DF265" s="12">
        <f>SUM($AQ265:BZ265)-SUM($EA265:EX265)</f>
        <v>-13368</v>
      </c>
      <c r="DG265" s="12">
        <f>SUM($AQ265:CA265)-SUM($EA265:EY265)</f>
        <v>-15368</v>
      </c>
      <c r="DH265" s="12">
        <f>SUM($AQ265:CB265)-SUM($EA265:EZ265)</f>
        <v>-17368</v>
      </c>
      <c r="DI265" s="12">
        <f>SUM($AQ265:CC265)-SUM($EA265:FA265)</f>
        <v>-19368</v>
      </c>
      <c r="DJ265" s="12">
        <f>SUM($AQ265:CD265)-SUM($EA265:FB265)</f>
        <v>-21368</v>
      </c>
      <c r="DK265" s="12">
        <f>SUM($AQ265:CE265)-SUM($EA265:FC265)</f>
        <v>-23368</v>
      </c>
      <c r="DL265" s="12">
        <f>SUM($AQ265:CF265)-SUM($EA265:FD265)</f>
        <v>-25368</v>
      </c>
      <c r="DM265" s="12">
        <f>SUM($AQ265:CG265)-SUM($EA265:FE265)</f>
        <v>-27368</v>
      </c>
      <c r="DN265" s="12">
        <f>SUM($AQ265:CH265)-SUM($EA265:FF265)</f>
        <v>-29368</v>
      </c>
      <c r="DO265" s="12">
        <f>SUM($AQ265:CI265)-SUM($EA265:FG265)</f>
        <v>-31368</v>
      </c>
      <c r="DP265" s="12">
        <f>SUM($AQ265:CJ265)-SUM($EA265:FH265)</f>
        <v>-33368</v>
      </c>
      <c r="DQ265" s="12">
        <f>SUM($AQ265:CK265)-SUM($EA265:FI265)</f>
        <v>-35368</v>
      </c>
      <c r="DR265" s="12">
        <f>SUM($AQ265:CL265)-SUM($EA265:FJ265)</f>
        <v>-37368</v>
      </c>
      <c r="DS265" s="12">
        <f>SUM($AQ265:CM265)-SUM($EA265:FK265)</f>
        <v>-39368</v>
      </c>
      <c r="DT265" s="12">
        <f>SUM($AQ265:CN265)-SUM($EA265:FL265)</f>
        <v>-41368</v>
      </c>
      <c r="DU265" s="12">
        <f>SUM($AQ265:CO265)-SUM($EA265:FM265)</f>
        <v>-43368</v>
      </c>
      <c r="DV265" s="12">
        <f>SUM($AQ265:CP265)-SUM($EA265:FN265)</f>
        <v>-29409</v>
      </c>
      <c r="DW265" s="12">
        <f>SUM($AQ265:CQ265)-SUM($EA265:FO265)</f>
        <v>-14229</v>
      </c>
      <c r="DX265" s="13"/>
      <c r="DY265" s="13"/>
      <c r="DZ265" s="13"/>
      <c r="EA265" s="12"/>
      <c r="EB265" s="12"/>
      <c r="EC265" s="12"/>
      <c r="ED265" s="12"/>
      <c r="EE265" s="12"/>
      <c r="EF265" s="12"/>
      <c r="EG265" s="12"/>
      <c r="EH265" s="12">
        <f t="array" ref="EH265">SUMPRODUCT(TRANSPOSE(EH$9:EH$34),$K265:$AJ265)</f>
        <v>7063</v>
      </c>
      <c r="EI265" s="12">
        <f t="array" ref="EI265">SUMPRODUCT(TRANSPOSE(EI$9:EI$34),$K265:$AJ265)</f>
        <v>400</v>
      </c>
      <c r="EJ265" s="12">
        <f t="array" ref="EJ265">SUMPRODUCT(TRANSPOSE(EJ$9:EJ$34),$K265:$AJ265)</f>
        <v>1015</v>
      </c>
      <c r="EK265" s="12">
        <f t="array" ref="EK265">SUMPRODUCT(TRANSPOSE(EK$9:EK$34),$K265:$AJ265)</f>
        <v>1135</v>
      </c>
      <c r="EL265" s="12">
        <f t="array" ref="EL265">SUMPRODUCT(TRANSPOSE(EL$9:EL$34),$K265:$AJ265)</f>
        <v>2015</v>
      </c>
      <c r="EM265" s="12">
        <f t="array" ref="EM265">SUMPRODUCT(TRANSPOSE(EM$9:EM$34),$K265:$AJ265)</f>
        <v>2050</v>
      </c>
      <c r="EN265" s="12">
        <f t="array" ref="EN265">SUMPRODUCT(TRANSPOSE(EN$9:EN$34),$K265:$AJ265)</f>
        <v>2050</v>
      </c>
      <c r="EO265" s="12">
        <f t="array" ref="EO265">SUMPRODUCT(TRANSPOSE(EO$9:EO$34),$K265:$AJ265)</f>
        <v>2000</v>
      </c>
      <c r="EP265" s="12">
        <f t="array" ref="EP265">SUMPRODUCT(TRANSPOSE(EP$9:EP$34),$K265:$AJ265)</f>
        <v>2050</v>
      </c>
      <c r="EQ265" s="12">
        <f t="array" ref="EQ265">SUMPRODUCT(TRANSPOSE(EQ$9:EQ$34),$K265:$AJ265)</f>
        <v>2050</v>
      </c>
      <c r="ER265" s="12">
        <f t="array" ref="ER265">SUMPRODUCT(TRANSPOSE(ER$9:ER$34),$K265:$AJ265)</f>
        <v>2050</v>
      </c>
      <c r="ES265" s="12">
        <f t="array" ref="ES265">SUMPRODUCT(TRANSPOSE(ES$9:ES$34),$K265:$AJ265)</f>
        <v>2050</v>
      </c>
      <c r="ET265" s="12">
        <f t="array" ref="ET265">SUMPRODUCT(TRANSPOSE(ET$9:ET$34),$K265:$AJ265)</f>
        <v>2050</v>
      </c>
      <c r="EU265" s="12">
        <f t="array" ref="EU265">SUMPRODUCT(TRANSPOSE(EU$9:EU$34),$K265:$AJ265)</f>
        <v>2050</v>
      </c>
      <c r="EV265" s="12">
        <f t="array" ref="EV265">SUMPRODUCT(TRANSPOSE(EV$9:EV$34),$K265:$AJ265)</f>
        <v>2050</v>
      </c>
      <c r="EW265" s="12">
        <f t="array" ref="EW265">SUMPRODUCT(TRANSPOSE(EW$9:EW$34),$K265:$AJ265)</f>
        <v>2010</v>
      </c>
      <c r="EX265" s="12">
        <f t="array" ref="EX265">SUMPRODUCT(TRANSPOSE(EX$9:EX$34),$K265:$AJ265)</f>
        <v>2000</v>
      </c>
      <c r="EY265" s="12">
        <f t="array" ref="EY265">SUMPRODUCT(TRANSPOSE(EY$9:EY$34),$K265:$AJ265)</f>
        <v>2000</v>
      </c>
      <c r="EZ265" s="12">
        <f t="array" ref="EZ265">SUMPRODUCT(TRANSPOSE(EZ$9:EZ$34),$K265:$AJ265)</f>
        <v>2000</v>
      </c>
      <c r="FA265" s="12">
        <f t="array" ref="FA265">SUMPRODUCT(TRANSPOSE(FA$9:FA$34),$K265:$AJ265)</f>
        <v>2000</v>
      </c>
      <c r="FB265" s="12">
        <f t="array" ref="FB265">SUMPRODUCT(TRANSPOSE(FB$9:FB$34),$K265:$AJ265)</f>
        <v>2000</v>
      </c>
      <c r="FC265" s="12">
        <f t="array" ref="FC265">SUMPRODUCT(TRANSPOSE(FC$9:FC$34),$K265:$AJ265)</f>
        <v>2000</v>
      </c>
      <c r="FD265" s="12">
        <f t="array" ref="FD265">SUMPRODUCT(TRANSPOSE(FD$9:FD$34),$K265:$AJ265)</f>
        <v>2000</v>
      </c>
      <c r="FE265" s="12">
        <f t="array" ref="FE265">SUMPRODUCT(TRANSPOSE(FE$9:FE$34),$K265:$AJ265)</f>
        <v>2000</v>
      </c>
      <c r="FF265" s="12">
        <f t="array" ref="FF265">SUMPRODUCT(TRANSPOSE(FF$9:FF$34),$K265:$AJ265)</f>
        <v>2000</v>
      </c>
      <c r="FG265" s="12">
        <f t="array" ref="FG265">SUMPRODUCT(TRANSPOSE(FG$9:FG$34),$K265:$AJ265)</f>
        <v>2000</v>
      </c>
      <c r="FH265" s="12">
        <f t="array" ref="FH265">SUMPRODUCT(TRANSPOSE(FH$9:FH$34),$K265:$AJ265)</f>
        <v>2000</v>
      </c>
      <c r="FI265" s="12">
        <f t="array" ref="FI265">SUMPRODUCT(TRANSPOSE(FI$9:FI$34),$K265:$AJ265)</f>
        <v>2000</v>
      </c>
      <c r="FJ265" s="12">
        <f t="array" ref="FJ265">SUMPRODUCT(TRANSPOSE(FJ$9:FJ$34),$K265:$AJ265)</f>
        <v>2000</v>
      </c>
      <c r="FK265" s="12">
        <f t="array" ref="FK265">SUMPRODUCT(TRANSPOSE(FK$9:FK$34),$K265:$AJ265)</f>
        <v>2000</v>
      </c>
      <c r="FL265" s="12">
        <f t="array" ref="FL265">SUMPRODUCT(TRANSPOSE(FL$9:FL$34),$K265:$AJ265)</f>
        <v>2000</v>
      </c>
      <c r="FM265" s="12">
        <f t="array" ref="FM265">SUMPRODUCT(TRANSPOSE(FM$9:FM$34),$K265:$AJ265)</f>
        <v>2000</v>
      </c>
      <c r="FN265" s="12">
        <f t="array" ref="FN265">SUMPRODUCT(TRANSPOSE(FN$9:FN$34),$K265:$AJ265)</f>
        <v>1698</v>
      </c>
      <c r="FO265" s="12">
        <f t="array" ref="FO265">SUMPRODUCT(TRANSPOSE(FO$9:FO$34),$K265:$AJ265)</f>
        <v>77</v>
      </c>
    </row>
    <row r="266" spans="1:171" ht="14.25" x14ac:dyDescent="0.2">
      <c r="A266" s="13">
        <f t="shared" si="13"/>
        <v>231</v>
      </c>
      <c r="B266" s="13" t="s">
        <v>824</v>
      </c>
      <c r="C266" s="25" t="s">
        <v>825</v>
      </c>
      <c r="D266" s="13" t="s">
        <v>67</v>
      </c>
      <c r="E266" s="13">
        <v>405670656</v>
      </c>
      <c r="F266" s="26" t="s">
        <v>826</v>
      </c>
      <c r="G266" s="13"/>
      <c r="H266" s="13" t="s">
        <v>61</v>
      </c>
      <c r="I266" s="13">
        <v>2</v>
      </c>
      <c r="J266" s="13">
        <v>4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2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/>
      <c r="Z266" s="13">
        <v>2</v>
      </c>
      <c r="AA266" s="13">
        <v>0</v>
      </c>
      <c r="AB266" s="13">
        <v>0</v>
      </c>
      <c r="AC266" s="13">
        <v>0</v>
      </c>
      <c r="AD266" s="13">
        <v>2</v>
      </c>
      <c r="AE266" s="13">
        <v>2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f t="shared" si="14"/>
        <v>6</v>
      </c>
      <c r="AL266" s="23">
        <f t="shared" si="12"/>
        <v>71330</v>
      </c>
      <c r="AM266" s="13"/>
      <c r="AN266" s="13" t="s">
        <v>827</v>
      </c>
      <c r="AO266" s="7" t="s">
        <v>75</v>
      </c>
      <c r="AP266" s="38">
        <v>2.36</v>
      </c>
      <c r="AQ266" s="12">
        <v>36870</v>
      </c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13"/>
      <c r="CG266" s="13"/>
      <c r="CH266" s="13"/>
      <c r="CI266" s="12"/>
      <c r="CJ266" s="12"/>
      <c r="CK266" s="12"/>
      <c r="CL266" s="12"/>
      <c r="CM266" s="12"/>
      <c r="CN266" s="12"/>
      <c r="CO266" s="12"/>
      <c r="CP266" s="12">
        <f>SUM($AQ266:BJ266)-SUM($EA266:EH266)</f>
        <v>30652</v>
      </c>
      <c r="CQ266" s="12">
        <f>SUM($AQ266:BK266)-SUM($EA266:EI266)</f>
        <v>30090</v>
      </c>
      <c r="CR266" s="12">
        <f>SUM($AQ266:BL266)-SUM($EA266:EJ266)</f>
        <v>30060</v>
      </c>
      <c r="CS266" s="12">
        <f>SUM($AQ266:BM266)-SUM($EA266:EK266)</f>
        <v>29790</v>
      </c>
      <c r="CT266" s="12">
        <f>SUM($AQ266:BN266)-SUM($EA266:EL266)</f>
        <v>27760</v>
      </c>
      <c r="CU266" s="12">
        <f>SUM($AQ266:BO266)-SUM($EA266:EM266)</f>
        <v>23660</v>
      </c>
      <c r="CV266" s="12">
        <f>SUM($AQ266:BP266)-SUM($EA266:EN266)</f>
        <v>21360</v>
      </c>
      <c r="CW266" s="12">
        <f>SUM($AQ266:BQ266)-SUM($EA266:EO266)</f>
        <v>19360</v>
      </c>
      <c r="CX266" s="12">
        <f>SUM($AQ266:BR266)-SUM($EA266:EP266)</f>
        <v>17260</v>
      </c>
      <c r="CY266" s="12">
        <f>SUM($AQ266:BS266)-SUM($EA266:EQ266)</f>
        <v>15160</v>
      </c>
      <c r="CZ266" s="12">
        <f>SUM($AQ266:BT266)-SUM($EA266:ER266)</f>
        <v>13060</v>
      </c>
      <c r="DA266" s="12">
        <f>SUM($AQ266:BU266)-SUM($EA266:ES266)</f>
        <v>10960</v>
      </c>
      <c r="DB266" s="12">
        <f>SUM($AQ266:BV266)-SUM($EA266:ET266)</f>
        <v>8860</v>
      </c>
      <c r="DC266" s="12">
        <f>SUM($AQ266:BW266)-SUM($EA266:EU266)</f>
        <v>6760</v>
      </c>
      <c r="DD266" s="12">
        <f>SUM($AQ266:BX266)-SUM($EA266:EV266)</f>
        <v>4660</v>
      </c>
      <c r="DE266" s="12">
        <f>SUM($AQ266:BY266)-SUM($EA266:EW266)</f>
        <v>2574</v>
      </c>
      <c r="DF266" s="12">
        <f>SUM($AQ266:BZ266)-SUM($EA266:EX266)</f>
        <v>574</v>
      </c>
      <c r="DG266" s="12">
        <f>SUM($AQ266:CA266)-SUM($EA266:EY266)</f>
        <v>-1426</v>
      </c>
      <c r="DH266" s="12">
        <f>SUM($AQ266:CB266)-SUM($EA266:EZ266)</f>
        <v>-3426</v>
      </c>
      <c r="DI266" s="12">
        <f>SUM($AQ266:CC266)-SUM($EA266:FA266)</f>
        <v>-5426</v>
      </c>
      <c r="DJ266" s="12">
        <f>SUM($AQ266:CD266)-SUM($EA266:FB266)</f>
        <v>-7426</v>
      </c>
      <c r="DK266" s="12">
        <f>SUM($AQ266:CE266)-SUM($EA266:FC266)</f>
        <v>-9426</v>
      </c>
      <c r="DL266" s="12">
        <f>SUM($AQ266:CF266)-SUM($EA266:FD266)</f>
        <v>-11426</v>
      </c>
      <c r="DM266" s="12">
        <f>SUM($AQ266:CG266)-SUM($EA266:FE266)</f>
        <v>-13426</v>
      </c>
      <c r="DN266" s="12">
        <f>SUM($AQ266:CH266)-SUM($EA266:FF266)</f>
        <v>-15426</v>
      </c>
      <c r="DO266" s="12">
        <f>SUM($AQ266:CI266)-SUM($EA266:FG266)</f>
        <v>-17426</v>
      </c>
      <c r="DP266" s="12">
        <f>SUM($AQ266:CJ266)-SUM($EA266:FH266)</f>
        <v>-19426</v>
      </c>
      <c r="DQ266" s="12">
        <f>SUM($AQ266:CK266)-SUM($EA266:FI266)</f>
        <v>-21426</v>
      </c>
      <c r="DR266" s="12">
        <f>SUM($AQ266:CL266)-SUM($EA266:FJ266)</f>
        <v>-23426</v>
      </c>
      <c r="DS266" s="12">
        <f>SUM($AQ266:CM266)-SUM($EA266:FK266)</f>
        <v>-25426</v>
      </c>
      <c r="DT266" s="12">
        <f>SUM($AQ266:CN266)-SUM($EA266:FL266)</f>
        <v>-27426</v>
      </c>
      <c r="DU266" s="12">
        <f>SUM($AQ266:CO266)-SUM($EA266:FM266)</f>
        <v>-29426</v>
      </c>
      <c r="DV266" s="12">
        <f>SUM($AQ266:CP266)-SUM($EA266:FN266)</f>
        <v>-408</v>
      </c>
      <c r="DW266" s="12">
        <f>SUM($AQ266:CQ266)-SUM($EA266:FO266)</f>
        <v>29682</v>
      </c>
      <c r="DX266" s="13"/>
      <c r="DY266" s="13"/>
      <c r="DZ266" s="13"/>
      <c r="EA266" s="12"/>
      <c r="EB266" s="12"/>
      <c r="EC266" s="12"/>
      <c r="ED266" s="12"/>
      <c r="EE266" s="12"/>
      <c r="EF266" s="12"/>
      <c r="EG266" s="12"/>
      <c r="EH266" s="12">
        <f t="array" ref="EH266">SUMPRODUCT(TRANSPOSE(EH$9:EH$34),$K266:$AJ266)</f>
        <v>6218</v>
      </c>
      <c r="EI266" s="12">
        <f t="array" ref="EI266">SUMPRODUCT(TRANSPOSE(EI$9:EI$34),$K266:$AJ266)</f>
        <v>562</v>
      </c>
      <c r="EJ266" s="12">
        <f t="array" ref="EJ266">SUMPRODUCT(TRANSPOSE(EJ$9:EJ$34),$K266:$AJ266)</f>
        <v>30</v>
      </c>
      <c r="EK266" s="12">
        <f t="array" ref="EK266">SUMPRODUCT(TRANSPOSE(EK$9:EK$34),$K266:$AJ266)</f>
        <v>270</v>
      </c>
      <c r="EL266" s="12">
        <f t="array" ref="EL266">SUMPRODUCT(TRANSPOSE(EL$9:EL$34),$K266:$AJ266)</f>
        <v>2030</v>
      </c>
      <c r="EM266" s="12">
        <f t="array" ref="EM266">SUMPRODUCT(TRANSPOSE(EM$9:EM$34),$K266:$AJ266)</f>
        <v>4100</v>
      </c>
      <c r="EN266" s="12">
        <f t="array" ref="EN266">SUMPRODUCT(TRANSPOSE(EN$9:EN$34),$K266:$AJ266)</f>
        <v>2300</v>
      </c>
      <c r="EO266" s="12">
        <f t="array" ref="EO266">SUMPRODUCT(TRANSPOSE(EO$9:EO$34),$K266:$AJ266)</f>
        <v>2000</v>
      </c>
      <c r="EP266" s="12">
        <f t="array" ref="EP266">SUMPRODUCT(TRANSPOSE(EP$9:EP$34),$K266:$AJ266)</f>
        <v>2100</v>
      </c>
      <c r="EQ266" s="12">
        <f t="array" ref="EQ266">SUMPRODUCT(TRANSPOSE(EQ$9:EQ$34),$K266:$AJ266)</f>
        <v>2100</v>
      </c>
      <c r="ER266" s="12">
        <f t="array" ref="ER266">SUMPRODUCT(TRANSPOSE(ER$9:ER$34),$K266:$AJ266)</f>
        <v>2100</v>
      </c>
      <c r="ES266" s="12">
        <f t="array" ref="ES266">SUMPRODUCT(TRANSPOSE(ES$9:ES$34),$K266:$AJ266)</f>
        <v>2100</v>
      </c>
      <c r="ET266" s="12">
        <f t="array" ref="ET266">SUMPRODUCT(TRANSPOSE(ET$9:ET$34),$K266:$AJ266)</f>
        <v>2100</v>
      </c>
      <c r="EU266" s="12">
        <f t="array" ref="EU266">SUMPRODUCT(TRANSPOSE(EU$9:EU$34),$K266:$AJ266)</f>
        <v>2100</v>
      </c>
      <c r="EV266" s="12">
        <f t="array" ref="EV266">SUMPRODUCT(TRANSPOSE(EV$9:EV$34),$K266:$AJ266)</f>
        <v>2100</v>
      </c>
      <c r="EW266" s="12">
        <f t="array" ref="EW266">SUMPRODUCT(TRANSPOSE(EW$9:EW$34),$K266:$AJ266)</f>
        <v>2086</v>
      </c>
      <c r="EX266" s="12">
        <f t="array" ref="EX266">SUMPRODUCT(TRANSPOSE(EX$9:EX$34),$K266:$AJ266)</f>
        <v>2000</v>
      </c>
      <c r="EY266" s="12">
        <f t="array" ref="EY266">SUMPRODUCT(TRANSPOSE(EY$9:EY$34),$K266:$AJ266)</f>
        <v>2000</v>
      </c>
      <c r="EZ266" s="12">
        <f t="array" ref="EZ266">SUMPRODUCT(TRANSPOSE(EZ$9:EZ$34),$K266:$AJ266)</f>
        <v>2000</v>
      </c>
      <c r="FA266" s="12">
        <f t="array" ref="FA266">SUMPRODUCT(TRANSPOSE(FA$9:FA$34),$K266:$AJ266)</f>
        <v>2000</v>
      </c>
      <c r="FB266" s="12">
        <f t="array" ref="FB266">SUMPRODUCT(TRANSPOSE(FB$9:FB$34),$K266:$AJ266)</f>
        <v>2000</v>
      </c>
      <c r="FC266" s="12">
        <f t="array" ref="FC266">SUMPRODUCT(TRANSPOSE(FC$9:FC$34),$K266:$AJ266)</f>
        <v>2000</v>
      </c>
      <c r="FD266" s="12">
        <f t="array" ref="FD266">SUMPRODUCT(TRANSPOSE(FD$9:FD$34),$K266:$AJ266)</f>
        <v>2000</v>
      </c>
      <c r="FE266" s="12">
        <f t="array" ref="FE266">SUMPRODUCT(TRANSPOSE(FE$9:FE$34),$K266:$AJ266)</f>
        <v>2000</v>
      </c>
      <c r="FF266" s="12">
        <f t="array" ref="FF266">SUMPRODUCT(TRANSPOSE(FF$9:FF$34),$K266:$AJ266)</f>
        <v>2000</v>
      </c>
      <c r="FG266" s="12">
        <f t="array" ref="FG266">SUMPRODUCT(TRANSPOSE(FG$9:FG$34),$K266:$AJ266)</f>
        <v>2000</v>
      </c>
      <c r="FH266" s="12">
        <f t="array" ref="FH266">SUMPRODUCT(TRANSPOSE(FH$9:FH$34),$K266:$AJ266)</f>
        <v>2000</v>
      </c>
      <c r="FI266" s="12">
        <f t="array" ref="FI266">SUMPRODUCT(TRANSPOSE(FI$9:FI$34),$K266:$AJ266)</f>
        <v>2000</v>
      </c>
      <c r="FJ266" s="12">
        <f t="array" ref="FJ266">SUMPRODUCT(TRANSPOSE(FJ$9:FJ$34),$K266:$AJ266)</f>
        <v>2000</v>
      </c>
      <c r="FK266" s="12">
        <f t="array" ref="FK266">SUMPRODUCT(TRANSPOSE(FK$9:FK$34),$K266:$AJ266)</f>
        <v>2000</v>
      </c>
      <c r="FL266" s="12">
        <f t="array" ref="FL266">SUMPRODUCT(TRANSPOSE(FL$9:FL$34),$K266:$AJ266)</f>
        <v>2000</v>
      </c>
      <c r="FM266" s="12">
        <f t="array" ref="FM266">SUMPRODUCT(TRANSPOSE(FM$9:FM$34),$K266:$AJ266)</f>
        <v>2000</v>
      </c>
      <c r="FN266" s="12">
        <f t="array" ref="FN266">SUMPRODUCT(TRANSPOSE(FN$9:FN$34),$K266:$AJ266)</f>
        <v>1634</v>
      </c>
      <c r="FO266" s="12">
        <f t="array" ref="FO266">SUMPRODUCT(TRANSPOSE(FO$9:FO$34),$K266:$AJ266)</f>
        <v>0</v>
      </c>
    </row>
    <row r="267" spans="1:171" ht="14.25" x14ac:dyDescent="0.2">
      <c r="A267" s="13">
        <f t="shared" si="13"/>
        <v>232</v>
      </c>
      <c r="B267" s="13" t="s">
        <v>828</v>
      </c>
      <c r="C267" s="25" t="s">
        <v>829</v>
      </c>
      <c r="D267" s="13" t="s">
        <v>67</v>
      </c>
      <c r="E267" s="13">
        <v>413047332</v>
      </c>
      <c r="F267" s="26" t="s">
        <v>830</v>
      </c>
      <c r="G267" s="13">
        <v>413064801</v>
      </c>
      <c r="H267" s="13" t="s">
        <v>61</v>
      </c>
      <c r="I267" s="13">
        <v>1</v>
      </c>
      <c r="J267" s="13">
        <v>4</v>
      </c>
      <c r="K267" s="13">
        <v>0</v>
      </c>
      <c r="L267" s="13">
        <v>0</v>
      </c>
      <c r="M267" s="13">
        <v>0</v>
      </c>
      <c r="N267" s="13">
        <v>4</v>
      </c>
      <c r="O267" s="13">
        <v>0</v>
      </c>
      <c r="P267" s="13">
        <v>0</v>
      </c>
      <c r="Q267" s="13">
        <v>0</v>
      </c>
      <c r="R267" s="13">
        <v>0</v>
      </c>
      <c r="S267" s="13">
        <v>4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/>
      <c r="Z267" s="13">
        <v>4</v>
      </c>
      <c r="AA267" s="13">
        <v>0</v>
      </c>
      <c r="AB267" s="13">
        <v>0</v>
      </c>
      <c r="AC267" s="13">
        <v>0</v>
      </c>
      <c r="AD267" s="13">
        <v>4</v>
      </c>
      <c r="AE267" s="13">
        <v>4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f t="shared" si="14"/>
        <v>16</v>
      </c>
      <c r="AL267" s="23">
        <f t="shared" si="12"/>
        <v>283584</v>
      </c>
      <c r="AM267" s="13"/>
      <c r="AN267" s="13" t="s">
        <v>831</v>
      </c>
      <c r="AO267" s="7" t="s">
        <v>75</v>
      </c>
      <c r="AP267" s="41">
        <v>6</v>
      </c>
      <c r="AQ267" s="12">
        <v>73000</v>
      </c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13"/>
      <c r="CG267" s="13"/>
      <c r="CH267" s="13"/>
      <c r="CI267" s="12"/>
      <c r="CJ267" s="12"/>
      <c r="CK267" s="12"/>
      <c r="CL267" s="12"/>
      <c r="CM267" s="12"/>
      <c r="CN267" s="12"/>
      <c r="CO267" s="12"/>
      <c r="CP267" s="12">
        <f>SUM($AQ267:BJ267)-SUM($EA267:EH267)</f>
        <v>44748</v>
      </c>
      <c r="CQ267" s="12">
        <f>SUM($AQ267:BK267)-SUM($EA267:EI267)</f>
        <v>43624</v>
      </c>
      <c r="CR267" s="12">
        <f>SUM($AQ267:BL267)-SUM($EA267:EJ267)</f>
        <v>39564</v>
      </c>
      <c r="CS267" s="12">
        <f>SUM($AQ267:BM267)-SUM($EA267:EK267)</f>
        <v>35024</v>
      </c>
      <c r="CT267" s="12">
        <f>SUM($AQ267:BN267)-SUM($EA267:EL267)</f>
        <v>26964</v>
      </c>
      <c r="CU267" s="12">
        <f>SUM($AQ267:BO267)-SUM($EA267:EM267)</f>
        <v>18764</v>
      </c>
      <c r="CV267" s="12">
        <f>SUM($AQ267:BP267)-SUM($EA267:EN267)</f>
        <v>10564</v>
      </c>
      <c r="CW267" s="12">
        <f>SUM($AQ267:BQ267)-SUM($EA267:EO267)</f>
        <v>2564</v>
      </c>
      <c r="CX267" s="12">
        <f>SUM($AQ267:BR267)-SUM($EA267:EP267)</f>
        <v>-5636</v>
      </c>
      <c r="CY267" s="12">
        <f>SUM($AQ267:BS267)-SUM($EA267:EQ267)</f>
        <v>-13836</v>
      </c>
      <c r="CZ267" s="12">
        <f>SUM($AQ267:BT267)-SUM($EA267:ER267)</f>
        <v>-22036</v>
      </c>
      <c r="DA267" s="12">
        <f>SUM($AQ267:BU267)-SUM($EA267:ES267)</f>
        <v>-30236</v>
      </c>
      <c r="DB267" s="12">
        <f>SUM($AQ267:BV267)-SUM($EA267:ET267)</f>
        <v>-38436</v>
      </c>
      <c r="DC267" s="12">
        <f>SUM($AQ267:BW267)-SUM($EA267:EU267)</f>
        <v>-46636</v>
      </c>
      <c r="DD267" s="12">
        <f>SUM($AQ267:BX267)-SUM($EA267:EV267)</f>
        <v>-54836</v>
      </c>
      <c r="DE267" s="12">
        <f>SUM($AQ267:BY267)-SUM($EA267:EW267)</f>
        <v>-63008</v>
      </c>
      <c r="DF267" s="12">
        <f>SUM($AQ267:BZ267)-SUM($EA267:EX267)</f>
        <v>-71008</v>
      </c>
      <c r="DG267" s="12">
        <f>SUM($AQ267:CA267)-SUM($EA267:EY267)</f>
        <v>-79008</v>
      </c>
      <c r="DH267" s="12">
        <f>SUM($AQ267:CB267)-SUM($EA267:EZ267)</f>
        <v>-87008</v>
      </c>
      <c r="DI267" s="12">
        <f>SUM($AQ267:CC267)-SUM($EA267:FA267)</f>
        <v>-95008</v>
      </c>
      <c r="DJ267" s="12">
        <f>SUM($AQ267:CD267)-SUM($EA267:FB267)</f>
        <v>-103008</v>
      </c>
      <c r="DK267" s="12">
        <f>SUM($AQ267:CE267)-SUM($EA267:FC267)</f>
        <v>-111008</v>
      </c>
      <c r="DL267" s="12">
        <f>SUM($AQ267:CF267)-SUM($EA267:FD267)</f>
        <v>-119008</v>
      </c>
      <c r="DM267" s="12">
        <f>SUM($AQ267:CG267)-SUM($EA267:FE267)</f>
        <v>-127008</v>
      </c>
      <c r="DN267" s="12">
        <f>SUM($AQ267:CH267)-SUM($EA267:FF267)</f>
        <v>-135008</v>
      </c>
      <c r="DO267" s="12">
        <f>SUM($AQ267:CI267)-SUM($EA267:FG267)</f>
        <v>-143008</v>
      </c>
      <c r="DP267" s="12">
        <f>SUM($AQ267:CJ267)-SUM($EA267:FH267)</f>
        <v>-151008</v>
      </c>
      <c r="DQ267" s="12">
        <f>SUM($AQ267:CK267)-SUM($EA267:FI267)</f>
        <v>-159008</v>
      </c>
      <c r="DR267" s="12">
        <f>SUM($AQ267:CL267)-SUM($EA267:FJ267)</f>
        <v>-167008</v>
      </c>
      <c r="DS267" s="12">
        <f>SUM($AQ267:CM267)-SUM($EA267:FK267)</f>
        <v>-175008</v>
      </c>
      <c r="DT267" s="12">
        <f>SUM($AQ267:CN267)-SUM($EA267:FL267)</f>
        <v>-183008</v>
      </c>
      <c r="DU267" s="12">
        <f>SUM($AQ267:CO267)-SUM($EA267:FM267)</f>
        <v>-191008</v>
      </c>
      <c r="DV267" s="12">
        <f>SUM($AQ267:CP267)-SUM($EA267:FN267)</f>
        <v>-153528</v>
      </c>
      <c r="DW267" s="12">
        <f>SUM($AQ267:CQ267)-SUM($EA267:FO267)</f>
        <v>-110212</v>
      </c>
      <c r="DX267" s="13"/>
      <c r="DY267" s="13"/>
      <c r="DZ267" s="13"/>
      <c r="EA267" s="12"/>
      <c r="EB267" s="12"/>
      <c r="EC267" s="12"/>
      <c r="ED267" s="12"/>
      <c r="EE267" s="12"/>
      <c r="EF267" s="12"/>
      <c r="EG267" s="12"/>
      <c r="EH267" s="12">
        <f t="array" ref="EH267">SUMPRODUCT(TRANSPOSE(EH$9:EH$34),$K267:$AJ267)</f>
        <v>28252</v>
      </c>
      <c r="EI267" s="12">
        <f t="array" ref="EI267">SUMPRODUCT(TRANSPOSE(EI$9:EI$34),$K267:$AJ267)</f>
        <v>1124</v>
      </c>
      <c r="EJ267" s="12">
        <f t="array" ref="EJ267">SUMPRODUCT(TRANSPOSE(EJ$9:EJ$34),$K267:$AJ267)</f>
        <v>4060</v>
      </c>
      <c r="EK267" s="12">
        <f t="array" ref="EK267">SUMPRODUCT(TRANSPOSE(EK$9:EK$34),$K267:$AJ267)</f>
        <v>4540</v>
      </c>
      <c r="EL267" s="12">
        <f t="array" ref="EL267">SUMPRODUCT(TRANSPOSE(EL$9:EL$34),$K267:$AJ267)</f>
        <v>8060</v>
      </c>
      <c r="EM267" s="12">
        <f t="array" ref="EM267">SUMPRODUCT(TRANSPOSE(EM$9:EM$34),$K267:$AJ267)</f>
        <v>8200</v>
      </c>
      <c r="EN267" s="12">
        <f t="array" ref="EN267">SUMPRODUCT(TRANSPOSE(EN$9:EN$34),$K267:$AJ267)</f>
        <v>8200</v>
      </c>
      <c r="EO267" s="12">
        <f t="array" ref="EO267">SUMPRODUCT(TRANSPOSE(EO$9:EO$34),$K267:$AJ267)</f>
        <v>8000</v>
      </c>
      <c r="EP267" s="12">
        <f t="array" ref="EP267">SUMPRODUCT(TRANSPOSE(EP$9:EP$34),$K267:$AJ267)</f>
        <v>8200</v>
      </c>
      <c r="EQ267" s="12">
        <f t="array" ref="EQ267">SUMPRODUCT(TRANSPOSE(EQ$9:EQ$34),$K267:$AJ267)</f>
        <v>8200</v>
      </c>
      <c r="ER267" s="12">
        <f t="array" ref="ER267">SUMPRODUCT(TRANSPOSE(ER$9:ER$34),$K267:$AJ267)</f>
        <v>8200</v>
      </c>
      <c r="ES267" s="12">
        <f t="array" ref="ES267">SUMPRODUCT(TRANSPOSE(ES$9:ES$34),$K267:$AJ267)</f>
        <v>8200</v>
      </c>
      <c r="ET267" s="12">
        <f t="array" ref="ET267">SUMPRODUCT(TRANSPOSE(ET$9:ET$34),$K267:$AJ267)</f>
        <v>8200</v>
      </c>
      <c r="EU267" s="12">
        <f t="array" ref="EU267">SUMPRODUCT(TRANSPOSE(EU$9:EU$34),$K267:$AJ267)</f>
        <v>8200</v>
      </c>
      <c r="EV267" s="12">
        <f t="array" ref="EV267">SUMPRODUCT(TRANSPOSE(EV$9:EV$34),$K267:$AJ267)</f>
        <v>8200</v>
      </c>
      <c r="EW267" s="12">
        <f t="array" ref="EW267">SUMPRODUCT(TRANSPOSE(EW$9:EW$34),$K267:$AJ267)</f>
        <v>8172</v>
      </c>
      <c r="EX267" s="12">
        <f t="array" ref="EX267">SUMPRODUCT(TRANSPOSE(EX$9:EX$34),$K267:$AJ267)</f>
        <v>8000</v>
      </c>
      <c r="EY267" s="12">
        <f t="array" ref="EY267">SUMPRODUCT(TRANSPOSE(EY$9:EY$34),$K267:$AJ267)</f>
        <v>8000</v>
      </c>
      <c r="EZ267" s="12">
        <f t="array" ref="EZ267">SUMPRODUCT(TRANSPOSE(EZ$9:EZ$34),$K267:$AJ267)</f>
        <v>8000</v>
      </c>
      <c r="FA267" s="12">
        <f t="array" ref="FA267">SUMPRODUCT(TRANSPOSE(FA$9:FA$34),$K267:$AJ267)</f>
        <v>8000</v>
      </c>
      <c r="FB267" s="12">
        <f t="array" ref="FB267">SUMPRODUCT(TRANSPOSE(FB$9:FB$34),$K267:$AJ267)</f>
        <v>8000</v>
      </c>
      <c r="FC267" s="12">
        <f t="array" ref="FC267">SUMPRODUCT(TRANSPOSE(FC$9:FC$34),$K267:$AJ267)</f>
        <v>8000</v>
      </c>
      <c r="FD267" s="12">
        <f t="array" ref="FD267">SUMPRODUCT(TRANSPOSE(FD$9:FD$34),$K267:$AJ267)</f>
        <v>8000</v>
      </c>
      <c r="FE267" s="12">
        <f t="array" ref="FE267">SUMPRODUCT(TRANSPOSE(FE$9:FE$34),$K267:$AJ267)</f>
        <v>8000</v>
      </c>
      <c r="FF267" s="12">
        <f t="array" ref="FF267">SUMPRODUCT(TRANSPOSE(FF$9:FF$34),$K267:$AJ267)</f>
        <v>8000</v>
      </c>
      <c r="FG267" s="12">
        <f t="array" ref="FG267">SUMPRODUCT(TRANSPOSE(FG$9:FG$34),$K267:$AJ267)</f>
        <v>8000</v>
      </c>
      <c r="FH267" s="12">
        <f t="array" ref="FH267">SUMPRODUCT(TRANSPOSE(FH$9:FH$34),$K267:$AJ267)</f>
        <v>8000</v>
      </c>
      <c r="FI267" s="12">
        <f t="array" ref="FI267">SUMPRODUCT(TRANSPOSE(FI$9:FI$34),$K267:$AJ267)</f>
        <v>8000</v>
      </c>
      <c r="FJ267" s="12">
        <f t="array" ref="FJ267">SUMPRODUCT(TRANSPOSE(FJ$9:FJ$34),$K267:$AJ267)</f>
        <v>8000</v>
      </c>
      <c r="FK267" s="12">
        <f t="array" ref="FK267">SUMPRODUCT(TRANSPOSE(FK$9:FK$34),$K267:$AJ267)</f>
        <v>8000</v>
      </c>
      <c r="FL267" s="12">
        <f t="array" ref="FL267">SUMPRODUCT(TRANSPOSE(FL$9:FL$34),$K267:$AJ267)</f>
        <v>8000</v>
      </c>
      <c r="FM267" s="12">
        <f t="array" ref="FM267">SUMPRODUCT(TRANSPOSE(FM$9:FM$34),$K267:$AJ267)</f>
        <v>8000</v>
      </c>
      <c r="FN267" s="12">
        <f t="array" ref="FN267">SUMPRODUCT(TRANSPOSE(FN$9:FN$34),$K267:$AJ267)</f>
        <v>7268</v>
      </c>
      <c r="FO267" s="12">
        <f t="array" ref="FO267">SUMPRODUCT(TRANSPOSE(FO$9:FO$34),$K267:$AJ267)</f>
        <v>308</v>
      </c>
    </row>
    <row r="268" spans="1:171" ht="14.25" x14ac:dyDescent="0.2">
      <c r="A268" s="13">
        <f t="shared" si="13"/>
        <v>233</v>
      </c>
      <c r="B268" s="13" t="s">
        <v>832</v>
      </c>
      <c r="C268" s="43" t="s">
        <v>833</v>
      </c>
      <c r="D268" s="13" t="s">
        <v>401</v>
      </c>
      <c r="E268" s="13">
        <v>400330009</v>
      </c>
      <c r="F268" s="26" t="s">
        <v>834</v>
      </c>
      <c r="G268" s="13"/>
      <c r="H268" s="13" t="s">
        <v>61</v>
      </c>
      <c r="I268" s="13">
        <v>1</v>
      </c>
      <c r="J268" s="13">
        <v>9</v>
      </c>
      <c r="K268" s="13" t="s">
        <v>835</v>
      </c>
      <c r="L268" s="13">
        <v>0</v>
      </c>
      <c r="M268" s="13">
        <v>0</v>
      </c>
      <c r="N268" s="13">
        <v>0</v>
      </c>
      <c r="O268" s="13">
        <v>3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3</v>
      </c>
      <c r="Y268" s="13"/>
      <c r="Z268" s="13"/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3</v>
      </c>
      <c r="AK268" s="13">
        <f t="shared" si="14"/>
        <v>6</v>
      </c>
      <c r="AL268" s="23">
        <f t="shared" si="12"/>
        <v>212589</v>
      </c>
      <c r="AM268" s="13"/>
      <c r="AN268" s="13" t="s">
        <v>717</v>
      </c>
      <c r="AO268" s="7" t="s">
        <v>718</v>
      </c>
      <c r="AP268" s="37">
        <v>2.17</v>
      </c>
      <c r="AQ268" s="12">
        <v>95900</v>
      </c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13"/>
      <c r="CG268" s="13"/>
      <c r="CH268" s="13"/>
      <c r="CI268" s="12"/>
      <c r="CJ268" s="12"/>
      <c r="CK268" s="12"/>
      <c r="CL268" s="12"/>
      <c r="CM268" s="12"/>
      <c r="CN268" s="12"/>
      <c r="CO268" s="12"/>
      <c r="CP268" s="12">
        <f>SUM($AQ268:BJ268)-SUM($EA268:EH268)</f>
        <v>74711</v>
      </c>
      <c r="CQ268" s="12">
        <f>SUM($AQ268:BK268)-SUM($EA268:EI268)</f>
        <v>73511</v>
      </c>
      <c r="CR268" s="12">
        <f>SUM($AQ268:BL268)-SUM($EA268:EJ268)</f>
        <v>70466</v>
      </c>
      <c r="CS268" s="12">
        <f>SUM($AQ268:BM268)-SUM($EA268:EK268)</f>
        <v>67061</v>
      </c>
      <c r="CT268" s="12">
        <f>SUM($AQ268:BN268)-SUM($EA268:EL268)</f>
        <v>61016</v>
      </c>
      <c r="CU268" s="12">
        <f>SUM($AQ268:BO268)-SUM($EA268:EM268)</f>
        <v>54866</v>
      </c>
      <c r="CV268" s="12">
        <f>SUM($AQ268:BP268)-SUM($EA268:EN268)</f>
        <v>48716</v>
      </c>
      <c r="CW268" s="12">
        <f>SUM($AQ268:BQ268)-SUM($EA268:EO268)</f>
        <v>42716</v>
      </c>
      <c r="CX268" s="12">
        <f>SUM($AQ268:BR268)-SUM($EA268:EP268)</f>
        <v>36566</v>
      </c>
      <c r="CY268" s="12">
        <f>SUM($AQ268:BS268)-SUM($EA268:EQ268)</f>
        <v>30416</v>
      </c>
      <c r="CZ268" s="12">
        <f>SUM($AQ268:BT268)-SUM($EA268:ER268)</f>
        <v>24266</v>
      </c>
      <c r="DA268" s="12">
        <f>SUM($AQ268:BU268)-SUM($EA268:ES268)</f>
        <v>18116</v>
      </c>
      <c r="DB268" s="12">
        <f>SUM($AQ268:BV268)-SUM($EA268:ET268)</f>
        <v>11966</v>
      </c>
      <c r="DC268" s="12">
        <f>SUM($AQ268:BW268)-SUM($EA268:EU268)</f>
        <v>5816</v>
      </c>
      <c r="DD268" s="12">
        <f>SUM($AQ268:BX268)-SUM($EA268:EV268)</f>
        <v>-334</v>
      </c>
      <c r="DE268" s="12">
        <f>SUM($AQ268:BY268)-SUM($EA268:EW268)</f>
        <v>-6364</v>
      </c>
      <c r="DF268" s="12">
        <f>SUM($AQ268:BZ268)-SUM($EA268:EX268)</f>
        <v>-12364</v>
      </c>
      <c r="DG268" s="12">
        <f>SUM($AQ268:CA268)-SUM($EA268:EY268)</f>
        <v>-18364</v>
      </c>
      <c r="DH268" s="12">
        <f>SUM($AQ268:CB268)-SUM($EA268:EZ268)</f>
        <v>-24364</v>
      </c>
      <c r="DI268" s="12">
        <f>SUM($AQ268:CC268)-SUM($EA268:FA268)</f>
        <v>-30364</v>
      </c>
      <c r="DJ268" s="12">
        <f>SUM($AQ268:CD268)-SUM($EA268:FB268)</f>
        <v>-36364</v>
      </c>
      <c r="DK268" s="12">
        <f>SUM($AQ268:CE268)-SUM($EA268:FC268)</f>
        <v>-42364</v>
      </c>
      <c r="DL268" s="12">
        <f>SUM($AQ268:CF268)-SUM($EA268:FD268)</f>
        <v>-48364</v>
      </c>
      <c r="DM268" s="12">
        <f>SUM($AQ268:CG268)-SUM($EA268:FE268)</f>
        <v>-54364</v>
      </c>
      <c r="DN268" s="12">
        <f>SUM($AQ268:CH268)-SUM($EA268:FF268)</f>
        <v>-60364</v>
      </c>
      <c r="DO268" s="12">
        <f>SUM($AQ268:CI268)-SUM($EA268:FG268)</f>
        <v>-66364</v>
      </c>
      <c r="DP268" s="12">
        <f>SUM($AQ268:CJ268)-SUM($EA268:FH268)</f>
        <v>-72364</v>
      </c>
      <c r="DQ268" s="12">
        <f>SUM($AQ268:CK268)-SUM($EA268:FI268)</f>
        <v>-78364</v>
      </c>
      <c r="DR268" s="12">
        <f>SUM($AQ268:CL268)-SUM($EA268:FJ268)</f>
        <v>-84364</v>
      </c>
      <c r="DS268" s="12">
        <f>SUM($AQ268:CM268)-SUM($EA268:FK268)</f>
        <v>-90364</v>
      </c>
      <c r="DT268" s="12">
        <f>SUM($AQ268:CN268)-SUM($EA268:FL268)</f>
        <v>-96364</v>
      </c>
      <c r="DU268" s="12">
        <f>SUM($AQ268:CO268)-SUM($EA268:FM268)</f>
        <v>-102364</v>
      </c>
      <c r="DV268" s="12">
        <f>SUM($AQ268:CP268)-SUM($EA268:FN268)</f>
        <v>-32747</v>
      </c>
      <c r="DW268" s="12">
        <f>SUM($AQ268:CQ268)-SUM($EA268:FO268)</f>
        <v>40533</v>
      </c>
      <c r="DX268" s="13"/>
      <c r="DY268" s="13"/>
      <c r="DZ268" s="13"/>
      <c r="EA268" s="12"/>
      <c r="EB268" s="12"/>
      <c r="EC268" s="12"/>
      <c r="ED268" s="12"/>
      <c r="EE268" s="12"/>
      <c r="EF268" s="12"/>
      <c r="EG268" s="12"/>
      <c r="EH268" s="12">
        <f t="array" ref="EH268">SUMPRODUCT(TRANSPOSE(EH$9:EH$34),$K268:$AJ268)</f>
        <v>21189</v>
      </c>
      <c r="EI268" s="12">
        <f t="array" ref="EI268">SUMPRODUCT(TRANSPOSE(EI$9:EI$34),$K268:$AJ268)</f>
        <v>1200</v>
      </c>
      <c r="EJ268" s="12">
        <f t="array" ref="EJ268">SUMPRODUCT(TRANSPOSE(EJ$9:EJ$34),$K268:$AJ268)</f>
        <v>3045</v>
      </c>
      <c r="EK268" s="12">
        <f t="array" ref="EK268">SUMPRODUCT(TRANSPOSE(EK$9:EK$34),$K268:$AJ268)</f>
        <v>3405</v>
      </c>
      <c r="EL268" s="12">
        <f t="array" ref="EL268">SUMPRODUCT(TRANSPOSE(EL$9:EL$34),$K268:$AJ268)</f>
        <v>6045</v>
      </c>
      <c r="EM268" s="12">
        <f t="array" ref="EM268">SUMPRODUCT(TRANSPOSE(EM$9:EM$34),$K268:$AJ268)</f>
        <v>6150</v>
      </c>
      <c r="EN268" s="12">
        <f t="array" ref="EN268">SUMPRODUCT(TRANSPOSE(EN$9:EN$34),$K268:$AJ268)</f>
        <v>6150</v>
      </c>
      <c r="EO268" s="12">
        <f t="array" ref="EO268">SUMPRODUCT(TRANSPOSE(EO$9:EO$34),$K268:$AJ268)</f>
        <v>6000</v>
      </c>
      <c r="EP268" s="12">
        <f t="array" ref="EP268">SUMPRODUCT(TRANSPOSE(EP$9:EP$34),$K268:$AJ268)</f>
        <v>6150</v>
      </c>
      <c r="EQ268" s="12">
        <f t="array" ref="EQ268">SUMPRODUCT(TRANSPOSE(EQ$9:EQ$34),$K268:$AJ268)</f>
        <v>6150</v>
      </c>
      <c r="ER268" s="12">
        <f t="array" ref="ER268">SUMPRODUCT(TRANSPOSE(ER$9:ER$34),$K268:$AJ268)</f>
        <v>6150</v>
      </c>
      <c r="ES268" s="12">
        <f t="array" ref="ES268">SUMPRODUCT(TRANSPOSE(ES$9:ES$34),$K268:$AJ268)</f>
        <v>6150</v>
      </c>
      <c r="ET268" s="12">
        <f t="array" ref="ET268">SUMPRODUCT(TRANSPOSE(ET$9:ET$34),$K268:$AJ268)</f>
        <v>6150</v>
      </c>
      <c r="EU268" s="12">
        <f t="array" ref="EU268">SUMPRODUCT(TRANSPOSE(EU$9:EU$34),$K268:$AJ268)</f>
        <v>6150</v>
      </c>
      <c r="EV268" s="12">
        <f t="array" ref="EV268">SUMPRODUCT(TRANSPOSE(EV$9:EV$34),$K268:$AJ268)</f>
        <v>6150</v>
      </c>
      <c r="EW268" s="12">
        <f t="array" ref="EW268">SUMPRODUCT(TRANSPOSE(EW$9:EW$34),$K268:$AJ268)</f>
        <v>6030</v>
      </c>
      <c r="EX268" s="12">
        <f t="array" ref="EX268">SUMPRODUCT(TRANSPOSE(EX$9:EX$34),$K268:$AJ268)</f>
        <v>6000</v>
      </c>
      <c r="EY268" s="12">
        <f t="array" ref="EY268">SUMPRODUCT(TRANSPOSE(EY$9:EY$34),$K268:$AJ268)</f>
        <v>6000</v>
      </c>
      <c r="EZ268" s="12">
        <f t="array" ref="EZ268">SUMPRODUCT(TRANSPOSE(EZ$9:EZ$34),$K268:$AJ268)</f>
        <v>6000</v>
      </c>
      <c r="FA268" s="12">
        <f t="array" ref="FA268">SUMPRODUCT(TRANSPOSE(FA$9:FA$34),$K268:$AJ268)</f>
        <v>6000</v>
      </c>
      <c r="FB268" s="12">
        <f t="array" ref="FB268">SUMPRODUCT(TRANSPOSE(FB$9:FB$34),$K268:$AJ268)</f>
        <v>6000</v>
      </c>
      <c r="FC268" s="12">
        <f t="array" ref="FC268">SUMPRODUCT(TRANSPOSE(FC$9:FC$34),$K268:$AJ268)</f>
        <v>6000</v>
      </c>
      <c r="FD268" s="12">
        <f t="array" ref="FD268">SUMPRODUCT(TRANSPOSE(FD$9:FD$34),$K268:$AJ268)</f>
        <v>6000</v>
      </c>
      <c r="FE268" s="12">
        <f t="array" ref="FE268">SUMPRODUCT(TRANSPOSE(FE$9:FE$34),$K268:$AJ268)</f>
        <v>6000</v>
      </c>
      <c r="FF268" s="12">
        <f t="array" ref="FF268">SUMPRODUCT(TRANSPOSE(FF$9:FF$34),$K268:$AJ268)</f>
        <v>6000</v>
      </c>
      <c r="FG268" s="12">
        <f t="array" ref="FG268">SUMPRODUCT(TRANSPOSE(FG$9:FG$34),$K268:$AJ268)</f>
        <v>6000</v>
      </c>
      <c r="FH268" s="12">
        <f t="array" ref="FH268">SUMPRODUCT(TRANSPOSE(FH$9:FH$34),$K268:$AJ268)</f>
        <v>6000</v>
      </c>
      <c r="FI268" s="12">
        <f t="array" ref="FI268">SUMPRODUCT(TRANSPOSE(FI$9:FI$34),$K268:$AJ268)</f>
        <v>6000</v>
      </c>
      <c r="FJ268" s="12">
        <f t="array" ref="FJ268">SUMPRODUCT(TRANSPOSE(FJ$9:FJ$34),$K268:$AJ268)</f>
        <v>6000</v>
      </c>
      <c r="FK268" s="12">
        <f t="array" ref="FK268">SUMPRODUCT(TRANSPOSE(FK$9:FK$34),$K268:$AJ268)</f>
        <v>6000</v>
      </c>
      <c r="FL268" s="12">
        <f t="array" ref="FL268">SUMPRODUCT(TRANSPOSE(FL$9:FL$34),$K268:$AJ268)</f>
        <v>6000</v>
      </c>
      <c r="FM268" s="12">
        <f t="array" ref="FM268">SUMPRODUCT(TRANSPOSE(FM$9:FM$34),$K268:$AJ268)</f>
        <v>6000</v>
      </c>
      <c r="FN268" s="12">
        <f t="array" ref="FN268">SUMPRODUCT(TRANSPOSE(FN$9:FN$34),$K268:$AJ268)</f>
        <v>5094</v>
      </c>
      <c r="FO268" s="12">
        <f t="array" ref="FO268">SUMPRODUCT(TRANSPOSE(FO$9:FO$34),$K268:$AJ268)</f>
        <v>231</v>
      </c>
    </row>
    <row r="269" spans="1:171" ht="14.25" x14ac:dyDescent="0.2">
      <c r="A269" s="13">
        <f t="shared" si="13"/>
        <v>234</v>
      </c>
      <c r="B269" s="13" t="s">
        <v>836</v>
      </c>
      <c r="C269" s="25" t="s">
        <v>837</v>
      </c>
      <c r="D269" s="13" t="s">
        <v>67</v>
      </c>
      <c r="E269" s="13">
        <v>400149265</v>
      </c>
      <c r="F269" s="26" t="s">
        <v>838</v>
      </c>
      <c r="G269" s="13"/>
      <c r="H269" s="13" t="s">
        <v>61</v>
      </c>
      <c r="I269" s="13">
        <v>2</v>
      </c>
      <c r="J269" s="13">
        <v>72</v>
      </c>
      <c r="K269" s="13">
        <v>0</v>
      </c>
      <c r="L269" s="13">
        <v>0</v>
      </c>
      <c r="M269" s="13">
        <v>0</v>
      </c>
      <c r="N269" s="13">
        <v>0</v>
      </c>
      <c r="O269" s="13">
        <v>24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24</v>
      </c>
      <c r="Y269" s="13"/>
      <c r="Z269" s="13"/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24</v>
      </c>
      <c r="AK269" s="13">
        <f t="shared" si="14"/>
        <v>48</v>
      </c>
      <c r="AL269" s="23">
        <f t="shared" si="12"/>
        <v>1700712</v>
      </c>
      <c r="AM269" s="13"/>
      <c r="AN269" s="29" t="s">
        <v>839</v>
      </c>
      <c r="AO269" s="7" t="s">
        <v>266</v>
      </c>
      <c r="AP269" s="38">
        <v>1.35E-2</v>
      </c>
      <c r="AQ269" s="12">
        <v>876000</v>
      </c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13"/>
      <c r="CG269" s="13"/>
      <c r="CH269" s="13"/>
      <c r="CI269" s="12"/>
      <c r="CJ269" s="12"/>
      <c r="CK269" s="12"/>
      <c r="CL269" s="12"/>
      <c r="CM269" s="12"/>
      <c r="CN269" s="12"/>
      <c r="CO269" s="12"/>
      <c r="CP269" s="12">
        <f>SUM($AQ269:BJ269)-SUM($EA269:EH269)</f>
        <v>706488</v>
      </c>
      <c r="CQ269" s="12">
        <f>SUM($AQ269:BK269)-SUM($EA269:EI269)</f>
        <v>696888</v>
      </c>
      <c r="CR269" s="12">
        <f>SUM($AQ269:BL269)-SUM($EA269:EJ269)</f>
        <v>672528</v>
      </c>
      <c r="CS269" s="12">
        <f>SUM($AQ269:BM269)-SUM($EA269:EK269)</f>
        <v>645288</v>
      </c>
      <c r="CT269" s="12">
        <f>SUM($AQ269:BN269)-SUM($EA269:EL269)</f>
        <v>596928</v>
      </c>
      <c r="CU269" s="12">
        <f>SUM($AQ269:BO269)-SUM($EA269:EM269)</f>
        <v>547728</v>
      </c>
      <c r="CV269" s="12">
        <f>SUM($AQ269:BP269)-SUM($EA269:EN269)</f>
        <v>498528</v>
      </c>
      <c r="CW269" s="12">
        <f>SUM($AQ269:BQ269)-SUM($EA269:EO269)</f>
        <v>450528</v>
      </c>
      <c r="CX269" s="12">
        <f>SUM($AQ269:BR269)-SUM($EA269:EP269)</f>
        <v>401328</v>
      </c>
      <c r="CY269" s="12">
        <f>SUM($AQ269:BS269)-SUM($EA269:EQ269)</f>
        <v>352128</v>
      </c>
      <c r="CZ269" s="12">
        <f>SUM($AQ269:BT269)-SUM($EA269:ER269)</f>
        <v>302928</v>
      </c>
      <c r="DA269" s="12">
        <f>SUM($AQ269:BU269)-SUM($EA269:ES269)</f>
        <v>253728</v>
      </c>
      <c r="DB269" s="12">
        <f>SUM($AQ269:BV269)-SUM($EA269:ET269)</f>
        <v>204528</v>
      </c>
      <c r="DC269" s="12">
        <f>SUM($AQ269:BW269)-SUM($EA269:EU269)</f>
        <v>155328</v>
      </c>
      <c r="DD269" s="12">
        <f>SUM($AQ269:BX269)-SUM($EA269:EV269)</f>
        <v>106128</v>
      </c>
      <c r="DE269" s="12">
        <f>SUM($AQ269:BY269)-SUM($EA269:EW269)</f>
        <v>57888</v>
      </c>
      <c r="DF269" s="12">
        <f>SUM($AQ269:BZ269)-SUM($EA269:EX269)</f>
        <v>9888</v>
      </c>
      <c r="DG269" s="12">
        <f>SUM($AQ269:CA269)-SUM($EA269:EY269)</f>
        <v>-38112</v>
      </c>
      <c r="DH269" s="12">
        <f>SUM($AQ269:CB269)-SUM($EA269:EZ269)</f>
        <v>-86112</v>
      </c>
      <c r="DI269" s="12">
        <f>SUM($AQ269:CC269)-SUM($EA269:FA269)</f>
        <v>-134112</v>
      </c>
      <c r="DJ269" s="12">
        <f>SUM($AQ269:CD269)-SUM($EA269:FB269)</f>
        <v>-182112</v>
      </c>
      <c r="DK269" s="12">
        <f>SUM($AQ269:CE269)-SUM($EA269:FC269)</f>
        <v>-230112</v>
      </c>
      <c r="DL269" s="12">
        <f>SUM($AQ269:CF269)-SUM($EA269:FD269)</f>
        <v>-278112</v>
      </c>
      <c r="DM269" s="12">
        <f>SUM($AQ269:CG269)-SUM($EA269:FE269)</f>
        <v>-326112</v>
      </c>
      <c r="DN269" s="12">
        <f>SUM($AQ269:CH269)-SUM($EA269:FF269)</f>
        <v>-374112</v>
      </c>
      <c r="DO269" s="12">
        <f>SUM($AQ269:CI269)-SUM($EA269:FG269)</f>
        <v>-422112</v>
      </c>
      <c r="DP269" s="12">
        <f>SUM($AQ269:CJ269)-SUM($EA269:FH269)</f>
        <v>-470112</v>
      </c>
      <c r="DQ269" s="12">
        <f>SUM($AQ269:CK269)-SUM($EA269:FI269)</f>
        <v>-518112</v>
      </c>
      <c r="DR269" s="12">
        <f>SUM($AQ269:CL269)-SUM($EA269:FJ269)</f>
        <v>-566112</v>
      </c>
      <c r="DS269" s="12">
        <f>SUM($AQ269:CM269)-SUM($EA269:FK269)</f>
        <v>-614112</v>
      </c>
      <c r="DT269" s="12">
        <f>SUM($AQ269:CN269)-SUM($EA269:FL269)</f>
        <v>-662112</v>
      </c>
      <c r="DU269" s="12">
        <f>SUM($AQ269:CO269)-SUM($EA269:FM269)</f>
        <v>-710112</v>
      </c>
      <c r="DV269" s="12">
        <f>SUM($AQ269:CP269)-SUM($EA269:FN269)</f>
        <v>-44376</v>
      </c>
      <c r="DW269" s="12">
        <f>SUM($AQ269:CQ269)-SUM($EA269:FO269)</f>
        <v>650664</v>
      </c>
      <c r="DX269" s="13"/>
      <c r="DY269" s="13"/>
      <c r="DZ269" s="13"/>
      <c r="EA269" s="12"/>
      <c r="EB269" s="12"/>
      <c r="EC269" s="12"/>
      <c r="ED269" s="12"/>
      <c r="EE269" s="12"/>
      <c r="EF269" s="12"/>
      <c r="EG269" s="12"/>
      <c r="EH269" s="12">
        <f t="array" ref="EH269">SUMPRODUCT(TRANSPOSE(EH$9:EH$34),$K269:$AJ269)</f>
        <v>169512</v>
      </c>
      <c r="EI269" s="12">
        <f t="array" ref="EI269">SUMPRODUCT(TRANSPOSE(EI$9:EI$34),$K269:$AJ269)</f>
        <v>9600</v>
      </c>
      <c r="EJ269" s="12">
        <f t="array" ref="EJ269">SUMPRODUCT(TRANSPOSE(EJ$9:EJ$34),$K269:$AJ269)</f>
        <v>24360</v>
      </c>
      <c r="EK269" s="12">
        <f t="array" ref="EK269">SUMPRODUCT(TRANSPOSE(EK$9:EK$34),$K269:$AJ269)</f>
        <v>27240</v>
      </c>
      <c r="EL269" s="12">
        <f t="array" ref="EL269">SUMPRODUCT(TRANSPOSE(EL$9:EL$34),$K269:$AJ269)</f>
        <v>48360</v>
      </c>
      <c r="EM269" s="12">
        <f t="array" ref="EM269">SUMPRODUCT(TRANSPOSE(EM$9:EM$34),$K269:$AJ269)</f>
        <v>49200</v>
      </c>
      <c r="EN269" s="12">
        <f t="array" ref="EN269">SUMPRODUCT(TRANSPOSE(EN$9:EN$34),$K269:$AJ269)</f>
        <v>49200</v>
      </c>
      <c r="EO269" s="12">
        <f t="array" ref="EO269">SUMPRODUCT(TRANSPOSE(EO$9:EO$34),$K269:$AJ269)</f>
        <v>48000</v>
      </c>
      <c r="EP269" s="12">
        <f t="array" ref="EP269">SUMPRODUCT(TRANSPOSE(EP$9:EP$34),$K269:$AJ269)</f>
        <v>49200</v>
      </c>
      <c r="EQ269" s="12">
        <f t="array" ref="EQ269">SUMPRODUCT(TRANSPOSE(EQ$9:EQ$34),$K269:$AJ269)</f>
        <v>49200</v>
      </c>
      <c r="ER269" s="12">
        <f t="array" ref="ER269">SUMPRODUCT(TRANSPOSE(ER$9:ER$34),$K269:$AJ269)</f>
        <v>49200</v>
      </c>
      <c r="ES269" s="12">
        <f t="array" ref="ES269">SUMPRODUCT(TRANSPOSE(ES$9:ES$34),$K269:$AJ269)</f>
        <v>49200</v>
      </c>
      <c r="ET269" s="12">
        <f t="array" ref="ET269">SUMPRODUCT(TRANSPOSE(ET$9:ET$34),$K269:$AJ269)</f>
        <v>49200</v>
      </c>
      <c r="EU269" s="12">
        <f t="array" ref="EU269">SUMPRODUCT(TRANSPOSE(EU$9:EU$34),$K269:$AJ269)</f>
        <v>49200</v>
      </c>
      <c r="EV269" s="12">
        <f t="array" ref="EV269">SUMPRODUCT(TRANSPOSE(EV$9:EV$34),$K269:$AJ269)</f>
        <v>49200</v>
      </c>
      <c r="EW269" s="12">
        <f t="array" ref="EW269">SUMPRODUCT(TRANSPOSE(EW$9:EW$34),$K269:$AJ269)</f>
        <v>48240</v>
      </c>
      <c r="EX269" s="12">
        <f t="array" ref="EX269">SUMPRODUCT(TRANSPOSE(EX$9:EX$34),$K269:$AJ269)</f>
        <v>48000</v>
      </c>
      <c r="EY269" s="12">
        <f t="array" ref="EY269">SUMPRODUCT(TRANSPOSE(EY$9:EY$34),$K269:$AJ269)</f>
        <v>48000</v>
      </c>
      <c r="EZ269" s="12">
        <f t="array" ref="EZ269">SUMPRODUCT(TRANSPOSE(EZ$9:EZ$34),$K269:$AJ269)</f>
        <v>48000</v>
      </c>
      <c r="FA269" s="12">
        <f t="array" ref="FA269">SUMPRODUCT(TRANSPOSE(FA$9:FA$34),$K269:$AJ269)</f>
        <v>48000</v>
      </c>
      <c r="FB269" s="12">
        <f t="array" ref="FB269">SUMPRODUCT(TRANSPOSE(FB$9:FB$34),$K269:$AJ269)</f>
        <v>48000</v>
      </c>
      <c r="FC269" s="12">
        <f t="array" ref="FC269">SUMPRODUCT(TRANSPOSE(FC$9:FC$34),$K269:$AJ269)</f>
        <v>48000</v>
      </c>
      <c r="FD269" s="12">
        <f t="array" ref="FD269">SUMPRODUCT(TRANSPOSE(FD$9:FD$34),$K269:$AJ269)</f>
        <v>48000</v>
      </c>
      <c r="FE269" s="12">
        <f t="array" ref="FE269">SUMPRODUCT(TRANSPOSE(FE$9:FE$34),$K269:$AJ269)</f>
        <v>48000</v>
      </c>
      <c r="FF269" s="12">
        <f t="array" ref="FF269">SUMPRODUCT(TRANSPOSE(FF$9:FF$34),$K269:$AJ269)</f>
        <v>48000</v>
      </c>
      <c r="FG269" s="12">
        <f t="array" ref="FG269">SUMPRODUCT(TRANSPOSE(FG$9:FG$34),$K269:$AJ269)</f>
        <v>48000</v>
      </c>
      <c r="FH269" s="12">
        <f t="array" ref="FH269">SUMPRODUCT(TRANSPOSE(FH$9:FH$34),$K269:$AJ269)</f>
        <v>48000</v>
      </c>
      <c r="FI269" s="12">
        <f t="array" ref="FI269">SUMPRODUCT(TRANSPOSE(FI$9:FI$34),$K269:$AJ269)</f>
        <v>48000</v>
      </c>
      <c r="FJ269" s="12">
        <f t="array" ref="FJ269">SUMPRODUCT(TRANSPOSE(FJ$9:FJ$34),$K269:$AJ269)</f>
        <v>48000</v>
      </c>
      <c r="FK269" s="12">
        <f t="array" ref="FK269">SUMPRODUCT(TRANSPOSE(FK$9:FK$34),$K269:$AJ269)</f>
        <v>48000</v>
      </c>
      <c r="FL269" s="12">
        <f t="array" ref="FL269">SUMPRODUCT(TRANSPOSE(FL$9:FL$34),$K269:$AJ269)</f>
        <v>48000</v>
      </c>
      <c r="FM269" s="12">
        <f t="array" ref="FM269">SUMPRODUCT(TRANSPOSE(FM$9:FM$34),$K269:$AJ269)</f>
        <v>48000</v>
      </c>
      <c r="FN269" s="12">
        <f t="array" ref="FN269">SUMPRODUCT(TRANSPOSE(FN$9:FN$34),$K269:$AJ269)</f>
        <v>40752</v>
      </c>
      <c r="FO269" s="12">
        <f t="array" ref="FO269">SUMPRODUCT(TRANSPOSE(FO$9:FO$34),$K269:$AJ269)</f>
        <v>1848</v>
      </c>
    </row>
    <row r="270" spans="1:171" ht="14.25" x14ac:dyDescent="0.2">
      <c r="A270" s="13">
        <f t="shared" si="13"/>
        <v>235</v>
      </c>
      <c r="B270" s="13" t="s">
        <v>840</v>
      </c>
      <c r="C270" s="25" t="s">
        <v>841</v>
      </c>
      <c r="D270" s="13" t="s">
        <v>67</v>
      </c>
      <c r="E270" s="13">
        <v>401348252</v>
      </c>
      <c r="F270" s="26" t="s">
        <v>842</v>
      </c>
      <c r="G270" s="13">
        <v>40134939</v>
      </c>
      <c r="H270" s="13" t="s">
        <v>61</v>
      </c>
      <c r="I270" s="13">
        <v>2</v>
      </c>
      <c r="J270" s="13">
        <v>3</v>
      </c>
      <c r="K270" s="13">
        <v>0</v>
      </c>
      <c r="L270" s="13">
        <v>0</v>
      </c>
      <c r="M270" s="13">
        <v>0</v>
      </c>
      <c r="N270" s="13">
        <v>0</v>
      </c>
      <c r="O270" s="13">
        <v>1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1</v>
      </c>
      <c r="Y270" s="13"/>
      <c r="Z270" s="13"/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1</v>
      </c>
      <c r="AK270" s="13">
        <f t="shared" si="14"/>
        <v>2</v>
      </c>
      <c r="AL270" s="23">
        <f t="shared" si="12"/>
        <v>70863</v>
      </c>
      <c r="AM270" s="13"/>
      <c r="AN270" s="13" t="s">
        <v>843</v>
      </c>
      <c r="AO270" s="7" t="s">
        <v>468</v>
      </c>
      <c r="AP270" s="38">
        <v>0.56999999999999995</v>
      </c>
      <c r="AQ270" s="12">
        <v>37500</v>
      </c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13"/>
      <c r="CG270" s="13"/>
      <c r="CH270" s="13"/>
      <c r="CI270" s="12"/>
      <c r="CJ270" s="12"/>
      <c r="CK270" s="12"/>
      <c r="CL270" s="12"/>
      <c r="CM270" s="12"/>
      <c r="CN270" s="12"/>
      <c r="CO270" s="12"/>
      <c r="CP270" s="12">
        <f>SUM($AQ270:BJ270)-SUM($EA270:EH270)</f>
        <v>30437</v>
      </c>
      <c r="CQ270" s="12">
        <f>SUM($AQ270:BK270)-SUM($EA270:EI270)</f>
        <v>30037</v>
      </c>
      <c r="CR270" s="12">
        <f>SUM($AQ270:BL270)-SUM($EA270:EJ270)</f>
        <v>29022</v>
      </c>
      <c r="CS270" s="12">
        <f>SUM($AQ270:BM270)-SUM($EA270:EK270)</f>
        <v>27887</v>
      </c>
      <c r="CT270" s="12">
        <f>SUM($AQ270:BN270)-SUM($EA270:EL270)</f>
        <v>25872</v>
      </c>
      <c r="CU270" s="12">
        <f>SUM($AQ270:BO270)-SUM($EA270:EM270)</f>
        <v>23822</v>
      </c>
      <c r="CV270" s="12">
        <f>SUM($AQ270:BP270)-SUM($EA270:EN270)</f>
        <v>21772</v>
      </c>
      <c r="CW270" s="12">
        <f>SUM($AQ270:BQ270)-SUM($EA270:EO270)</f>
        <v>19772</v>
      </c>
      <c r="CX270" s="12">
        <f>SUM($AQ270:BR270)-SUM($EA270:EP270)</f>
        <v>17722</v>
      </c>
      <c r="CY270" s="12">
        <f>SUM($AQ270:BS270)-SUM($EA270:EQ270)</f>
        <v>15672</v>
      </c>
      <c r="CZ270" s="12">
        <f>SUM($AQ270:BT270)-SUM($EA270:ER270)</f>
        <v>13622</v>
      </c>
      <c r="DA270" s="12">
        <f>SUM($AQ270:BU270)-SUM($EA270:ES270)</f>
        <v>11572</v>
      </c>
      <c r="DB270" s="12">
        <f>SUM($AQ270:BV270)-SUM($EA270:ET270)</f>
        <v>9522</v>
      </c>
      <c r="DC270" s="12">
        <f>SUM($AQ270:BW270)-SUM($EA270:EU270)</f>
        <v>7472</v>
      </c>
      <c r="DD270" s="12">
        <f>SUM($AQ270:BX270)-SUM($EA270:EV270)</f>
        <v>5422</v>
      </c>
      <c r="DE270" s="12">
        <f>SUM($AQ270:BY270)-SUM($EA270:EW270)</f>
        <v>3412</v>
      </c>
      <c r="DF270" s="12">
        <f>SUM($AQ270:BZ270)-SUM($EA270:EX270)</f>
        <v>1412</v>
      </c>
      <c r="DG270" s="12">
        <f>SUM($AQ270:CA270)-SUM($EA270:EY270)</f>
        <v>-588</v>
      </c>
      <c r="DH270" s="12">
        <f>SUM($AQ270:CB270)-SUM($EA270:EZ270)</f>
        <v>-2588</v>
      </c>
      <c r="DI270" s="12">
        <f>SUM($AQ270:CC270)-SUM($EA270:FA270)</f>
        <v>-4588</v>
      </c>
      <c r="DJ270" s="12">
        <f>SUM($AQ270:CD270)-SUM($EA270:FB270)</f>
        <v>-6588</v>
      </c>
      <c r="DK270" s="12">
        <f>SUM($AQ270:CE270)-SUM($EA270:FC270)</f>
        <v>-8588</v>
      </c>
      <c r="DL270" s="12">
        <f>SUM($AQ270:CF270)-SUM($EA270:FD270)</f>
        <v>-10588</v>
      </c>
      <c r="DM270" s="12">
        <f>SUM($AQ270:CG270)-SUM($EA270:FE270)</f>
        <v>-12588</v>
      </c>
      <c r="DN270" s="12">
        <f>SUM($AQ270:CH270)-SUM($EA270:FF270)</f>
        <v>-14588</v>
      </c>
      <c r="DO270" s="12">
        <f>SUM($AQ270:CI270)-SUM($EA270:FG270)</f>
        <v>-16588</v>
      </c>
      <c r="DP270" s="12">
        <f>SUM($AQ270:CJ270)-SUM($EA270:FH270)</f>
        <v>-18588</v>
      </c>
      <c r="DQ270" s="12">
        <f>SUM($AQ270:CK270)-SUM($EA270:FI270)</f>
        <v>-20588</v>
      </c>
      <c r="DR270" s="12">
        <f>SUM($AQ270:CL270)-SUM($EA270:FJ270)</f>
        <v>-22588</v>
      </c>
      <c r="DS270" s="12">
        <f>SUM($AQ270:CM270)-SUM($EA270:FK270)</f>
        <v>-24588</v>
      </c>
      <c r="DT270" s="12">
        <f>SUM($AQ270:CN270)-SUM($EA270:FL270)</f>
        <v>-26588</v>
      </c>
      <c r="DU270" s="12">
        <f>SUM($AQ270:CO270)-SUM($EA270:FM270)</f>
        <v>-28588</v>
      </c>
      <c r="DV270" s="12">
        <f>SUM($AQ270:CP270)-SUM($EA270:FN270)</f>
        <v>151</v>
      </c>
      <c r="DW270" s="12">
        <f>SUM($AQ270:CQ270)-SUM($EA270:FO270)</f>
        <v>30111</v>
      </c>
      <c r="DX270" s="13"/>
      <c r="DY270" s="13"/>
      <c r="DZ270" s="13"/>
      <c r="EA270" s="12"/>
      <c r="EB270" s="12"/>
      <c r="EC270" s="12"/>
      <c r="ED270" s="12"/>
      <c r="EE270" s="12"/>
      <c r="EF270" s="12"/>
      <c r="EG270" s="12"/>
      <c r="EH270" s="12">
        <f t="array" ref="EH270">SUMPRODUCT(TRANSPOSE(EH$9:EH$34),$K270:$AJ270)</f>
        <v>7063</v>
      </c>
      <c r="EI270" s="12">
        <f t="array" ref="EI270">SUMPRODUCT(TRANSPOSE(EI$9:EI$34),$K270:$AJ270)</f>
        <v>400</v>
      </c>
      <c r="EJ270" s="12">
        <f t="array" ref="EJ270">SUMPRODUCT(TRANSPOSE(EJ$9:EJ$34),$K270:$AJ270)</f>
        <v>1015</v>
      </c>
      <c r="EK270" s="12">
        <f t="array" ref="EK270">SUMPRODUCT(TRANSPOSE(EK$9:EK$34),$K270:$AJ270)</f>
        <v>1135</v>
      </c>
      <c r="EL270" s="12">
        <f t="array" ref="EL270">SUMPRODUCT(TRANSPOSE(EL$9:EL$34),$K270:$AJ270)</f>
        <v>2015</v>
      </c>
      <c r="EM270" s="12">
        <f t="array" ref="EM270">SUMPRODUCT(TRANSPOSE(EM$9:EM$34),$K270:$AJ270)</f>
        <v>2050</v>
      </c>
      <c r="EN270" s="12">
        <f t="array" ref="EN270">SUMPRODUCT(TRANSPOSE(EN$9:EN$34),$K270:$AJ270)</f>
        <v>2050</v>
      </c>
      <c r="EO270" s="12">
        <f t="array" ref="EO270">SUMPRODUCT(TRANSPOSE(EO$9:EO$34),$K270:$AJ270)</f>
        <v>2000</v>
      </c>
      <c r="EP270" s="12">
        <f t="array" ref="EP270">SUMPRODUCT(TRANSPOSE(EP$9:EP$34),$K270:$AJ270)</f>
        <v>2050</v>
      </c>
      <c r="EQ270" s="12">
        <f t="array" ref="EQ270">SUMPRODUCT(TRANSPOSE(EQ$9:EQ$34),$K270:$AJ270)</f>
        <v>2050</v>
      </c>
      <c r="ER270" s="12">
        <f t="array" ref="ER270">SUMPRODUCT(TRANSPOSE(ER$9:ER$34),$K270:$AJ270)</f>
        <v>2050</v>
      </c>
      <c r="ES270" s="12">
        <f t="array" ref="ES270">SUMPRODUCT(TRANSPOSE(ES$9:ES$34),$K270:$AJ270)</f>
        <v>2050</v>
      </c>
      <c r="ET270" s="12">
        <f t="array" ref="ET270">SUMPRODUCT(TRANSPOSE(ET$9:ET$34),$K270:$AJ270)</f>
        <v>2050</v>
      </c>
      <c r="EU270" s="12">
        <f t="array" ref="EU270">SUMPRODUCT(TRANSPOSE(EU$9:EU$34),$K270:$AJ270)</f>
        <v>2050</v>
      </c>
      <c r="EV270" s="12">
        <f t="array" ref="EV270">SUMPRODUCT(TRANSPOSE(EV$9:EV$34),$K270:$AJ270)</f>
        <v>2050</v>
      </c>
      <c r="EW270" s="12">
        <f t="array" ref="EW270">SUMPRODUCT(TRANSPOSE(EW$9:EW$34),$K270:$AJ270)</f>
        <v>2010</v>
      </c>
      <c r="EX270" s="12">
        <f t="array" ref="EX270">SUMPRODUCT(TRANSPOSE(EX$9:EX$34),$K270:$AJ270)</f>
        <v>2000</v>
      </c>
      <c r="EY270" s="12">
        <f t="array" ref="EY270">SUMPRODUCT(TRANSPOSE(EY$9:EY$34),$K270:$AJ270)</f>
        <v>2000</v>
      </c>
      <c r="EZ270" s="12">
        <f t="array" ref="EZ270">SUMPRODUCT(TRANSPOSE(EZ$9:EZ$34),$K270:$AJ270)</f>
        <v>2000</v>
      </c>
      <c r="FA270" s="12">
        <f t="array" ref="FA270">SUMPRODUCT(TRANSPOSE(FA$9:FA$34),$K270:$AJ270)</f>
        <v>2000</v>
      </c>
      <c r="FB270" s="12">
        <f t="array" ref="FB270">SUMPRODUCT(TRANSPOSE(FB$9:FB$34),$K270:$AJ270)</f>
        <v>2000</v>
      </c>
      <c r="FC270" s="12">
        <f t="array" ref="FC270">SUMPRODUCT(TRANSPOSE(FC$9:FC$34),$K270:$AJ270)</f>
        <v>2000</v>
      </c>
      <c r="FD270" s="12">
        <f t="array" ref="FD270">SUMPRODUCT(TRANSPOSE(FD$9:FD$34),$K270:$AJ270)</f>
        <v>2000</v>
      </c>
      <c r="FE270" s="12">
        <f t="array" ref="FE270">SUMPRODUCT(TRANSPOSE(FE$9:FE$34),$K270:$AJ270)</f>
        <v>2000</v>
      </c>
      <c r="FF270" s="12">
        <f t="array" ref="FF270">SUMPRODUCT(TRANSPOSE(FF$9:FF$34),$K270:$AJ270)</f>
        <v>2000</v>
      </c>
      <c r="FG270" s="12">
        <f t="array" ref="FG270">SUMPRODUCT(TRANSPOSE(FG$9:FG$34),$K270:$AJ270)</f>
        <v>2000</v>
      </c>
      <c r="FH270" s="12">
        <f t="array" ref="FH270">SUMPRODUCT(TRANSPOSE(FH$9:FH$34),$K270:$AJ270)</f>
        <v>2000</v>
      </c>
      <c r="FI270" s="12">
        <f t="array" ref="FI270">SUMPRODUCT(TRANSPOSE(FI$9:FI$34),$K270:$AJ270)</f>
        <v>2000</v>
      </c>
      <c r="FJ270" s="12">
        <f t="array" ref="FJ270">SUMPRODUCT(TRANSPOSE(FJ$9:FJ$34),$K270:$AJ270)</f>
        <v>2000</v>
      </c>
      <c r="FK270" s="12">
        <f t="array" ref="FK270">SUMPRODUCT(TRANSPOSE(FK$9:FK$34),$K270:$AJ270)</f>
        <v>2000</v>
      </c>
      <c r="FL270" s="12">
        <f t="array" ref="FL270">SUMPRODUCT(TRANSPOSE(FL$9:FL$34),$K270:$AJ270)</f>
        <v>2000</v>
      </c>
      <c r="FM270" s="12">
        <f t="array" ref="FM270">SUMPRODUCT(TRANSPOSE(FM$9:FM$34),$K270:$AJ270)</f>
        <v>2000</v>
      </c>
      <c r="FN270" s="12">
        <f t="array" ref="FN270">SUMPRODUCT(TRANSPOSE(FN$9:FN$34),$K270:$AJ270)</f>
        <v>1698</v>
      </c>
      <c r="FO270" s="12">
        <f t="array" ref="FO270">SUMPRODUCT(TRANSPOSE(FO$9:FO$34),$K270:$AJ270)</f>
        <v>77</v>
      </c>
    </row>
    <row r="271" spans="1:171" ht="14.25" x14ac:dyDescent="0.2">
      <c r="A271" s="13">
        <f t="shared" si="13"/>
        <v>236</v>
      </c>
      <c r="B271" s="13" t="s">
        <v>844</v>
      </c>
      <c r="C271" s="34" t="s">
        <v>845</v>
      </c>
      <c r="D271" s="13" t="s">
        <v>67</v>
      </c>
      <c r="E271" s="13">
        <v>400068581</v>
      </c>
      <c r="F271" s="26" t="s">
        <v>846</v>
      </c>
      <c r="G271" s="13">
        <v>400856511</v>
      </c>
      <c r="H271" s="13" t="s">
        <v>61</v>
      </c>
      <c r="I271" s="13">
        <v>2</v>
      </c>
      <c r="J271" s="13">
        <v>10</v>
      </c>
      <c r="K271" s="13">
        <v>0</v>
      </c>
      <c r="L271" s="13">
        <v>0</v>
      </c>
      <c r="M271" s="13">
        <v>0</v>
      </c>
      <c r="N271" s="13">
        <v>0</v>
      </c>
      <c r="O271" s="13">
        <v>2</v>
      </c>
      <c r="P271" s="13">
        <v>0</v>
      </c>
      <c r="Q271" s="13">
        <v>0</v>
      </c>
      <c r="R271" s="13">
        <v>0</v>
      </c>
      <c r="S271" s="13">
        <v>2</v>
      </c>
      <c r="T271" s="13">
        <v>0</v>
      </c>
      <c r="U271" s="13">
        <v>0</v>
      </c>
      <c r="V271" s="13">
        <v>0</v>
      </c>
      <c r="W271" s="13">
        <v>0</v>
      </c>
      <c r="X271" s="13">
        <v>2</v>
      </c>
      <c r="Y271" s="13"/>
      <c r="Z271" s="13">
        <v>2</v>
      </c>
      <c r="AA271" s="13">
        <v>0</v>
      </c>
      <c r="AB271" s="13">
        <v>0</v>
      </c>
      <c r="AC271" s="13">
        <v>0</v>
      </c>
      <c r="AD271" s="13">
        <v>2</v>
      </c>
      <c r="AE271" s="13">
        <v>2</v>
      </c>
      <c r="AF271" s="13">
        <v>0</v>
      </c>
      <c r="AG271" s="13">
        <v>0</v>
      </c>
      <c r="AH271" s="13">
        <v>0</v>
      </c>
      <c r="AI271" s="13">
        <v>0</v>
      </c>
      <c r="AJ271" s="13">
        <v>2</v>
      </c>
      <c r="AK271" s="13">
        <f t="shared" si="14"/>
        <v>10</v>
      </c>
      <c r="AL271" s="23">
        <f t="shared" si="12"/>
        <v>213056</v>
      </c>
      <c r="AM271" s="13"/>
      <c r="AN271" s="13" t="s">
        <v>847</v>
      </c>
      <c r="AO271" s="7" t="s">
        <v>726</v>
      </c>
      <c r="AP271" s="38">
        <v>1.0800000000000001E-2</v>
      </c>
      <c r="AQ271" s="12">
        <v>241000</v>
      </c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13"/>
      <c r="CG271" s="13"/>
      <c r="CH271" s="13"/>
      <c r="CI271" s="12"/>
      <c r="CJ271" s="12"/>
      <c r="CK271" s="12"/>
      <c r="CL271" s="12"/>
      <c r="CM271" s="12"/>
      <c r="CN271" s="12"/>
      <c r="CO271" s="12"/>
      <c r="CP271" s="12">
        <f>SUM($AQ271:BJ271)-SUM($EA271:EH271)</f>
        <v>220656</v>
      </c>
      <c r="CQ271" s="12">
        <f>SUM($AQ271:BK271)-SUM($EA271:EI271)</f>
        <v>219294</v>
      </c>
      <c r="CR271" s="12">
        <f>SUM($AQ271:BL271)-SUM($EA271:EJ271)</f>
        <v>217234</v>
      </c>
      <c r="CS271" s="12">
        <f>SUM($AQ271:BM271)-SUM($EA271:EK271)</f>
        <v>214694</v>
      </c>
      <c r="CT271" s="12">
        <f>SUM($AQ271:BN271)-SUM($EA271:EL271)</f>
        <v>208634</v>
      </c>
      <c r="CU271" s="12">
        <f>SUM($AQ271:BO271)-SUM($EA271:EM271)</f>
        <v>200434</v>
      </c>
      <c r="CV271" s="12">
        <f>SUM($AQ271:BP271)-SUM($EA271:EN271)</f>
        <v>194034</v>
      </c>
      <c r="CW271" s="12">
        <f>SUM($AQ271:BQ271)-SUM($EA271:EO271)</f>
        <v>188034</v>
      </c>
      <c r="CX271" s="12">
        <f>SUM($AQ271:BR271)-SUM($EA271:EP271)</f>
        <v>181834</v>
      </c>
      <c r="CY271" s="12">
        <f>SUM($AQ271:BS271)-SUM($EA271:EQ271)</f>
        <v>175634</v>
      </c>
      <c r="CZ271" s="12">
        <f>SUM($AQ271:BT271)-SUM($EA271:ER271)</f>
        <v>169434</v>
      </c>
      <c r="DA271" s="12">
        <f>SUM($AQ271:BU271)-SUM($EA271:ES271)</f>
        <v>163234</v>
      </c>
      <c r="DB271" s="12">
        <f>SUM($AQ271:BV271)-SUM($EA271:ET271)</f>
        <v>157034</v>
      </c>
      <c r="DC271" s="12">
        <f>SUM($AQ271:BW271)-SUM($EA271:EU271)</f>
        <v>150834</v>
      </c>
      <c r="DD271" s="12">
        <f>SUM($AQ271:BX271)-SUM($EA271:EV271)</f>
        <v>144634</v>
      </c>
      <c r="DE271" s="12">
        <f>SUM($AQ271:BY271)-SUM($EA271:EW271)</f>
        <v>138528</v>
      </c>
      <c r="DF271" s="12">
        <f>SUM($AQ271:BZ271)-SUM($EA271:EX271)</f>
        <v>132528</v>
      </c>
      <c r="DG271" s="12">
        <f>SUM($AQ271:CA271)-SUM($EA271:EY271)</f>
        <v>126528</v>
      </c>
      <c r="DH271" s="12">
        <f>SUM($AQ271:CB271)-SUM($EA271:EZ271)</f>
        <v>120528</v>
      </c>
      <c r="DI271" s="12">
        <f>SUM($AQ271:CC271)-SUM($EA271:FA271)</f>
        <v>114528</v>
      </c>
      <c r="DJ271" s="12">
        <f>SUM($AQ271:CD271)-SUM($EA271:FB271)</f>
        <v>108528</v>
      </c>
      <c r="DK271" s="12">
        <f>SUM($AQ271:CE271)-SUM($EA271:FC271)</f>
        <v>102528</v>
      </c>
      <c r="DL271" s="12">
        <f>SUM($AQ271:CF271)-SUM($EA271:FD271)</f>
        <v>96528</v>
      </c>
      <c r="DM271" s="12">
        <f>SUM($AQ271:CG271)-SUM($EA271:FE271)</f>
        <v>90528</v>
      </c>
      <c r="DN271" s="12">
        <f>SUM($AQ271:CH271)-SUM($EA271:FF271)</f>
        <v>84528</v>
      </c>
      <c r="DO271" s="12">
        <f>SUM($AQ271:CI271)-SUM($EA271:FG271)</f>
        <v>78528</v>
      </c>
      <c r="DP271" s="12">
        <f>SUM($AQ271:CJ271)-SUM($EA271:FH271)</f>
        <v>72528</v>
      </c>
      <c r="DQ271" s="12">
        <f>SUM($AQ271:CK271)-SUM($EA271:FI271)</f>
        <v>66528</v>
      </c>
      <c r="DR271" s="12">
        <f>SUM($AQ271:CL271)-SUM($EA271:FJ271)</f>
        <v>60528</v>
      </c>
      <c r="DS271" s="12">
        <f>SUM($AQ271:CM271)-SUM($EA271:FK271)</f>
        <v>54528</v>
      </c>
      <c r="DT271" s="12">
        <f>SUM($AQ271:CN271)-SUM($EA271:FL271)</f>
        <v>48528</v>
      </c>
      <c r="DU271" s="12">
        <f>SUM($AQ271:CO271)-SUM($EA271:FM271)</f>
        <v>42528</v>
      </c>
      <c r="DV271" s="12">
        <f>SUM($AQ271:CP271)-SUM($EA271:FN271)</f>
        <v>258154</v>
      </c>
      <c r="DW271" s="12">
        <f>SUM($AQ271:CQ271)-SUM($EA271:FO271)</f>
        <v>477294</v>
      </c>
      <c r="DX271" s="13"/>
      <c r="DY271" s="13"/>
      <c r="DZ271" s="13"/>
      <c r="EA271" s="12"/>
      <c r="EB271" s="12"/>
      <c r="EC271" s="12"/>
      <c r="ED271" s="12"/>
      <c r="EE271" s="12"/>
      <c r="EF271" s="12"/>
      <c r="EG271" s="12"/>
      <c r="EH271" s="12">
        <f t="array" ref="EH271">SUMPRODUCT(TRANSPOSE(EH$9:EH$34),$K271:$AJ271)</f>
        <v>20344</v>
      </c>
      <c r="EI271" s="12">
        <f t="array" ref="EI271">SUMPRODUCT(TRANSPOSE(EI$9:EI$34),$K271:$AJ271)</f>
        <v>1362</v>
      </c>
      <c r="EJ271" s="12">
        <f t="array" ref="EJ271">SUMPRODUCT(TRANSPOSE(EJ$9:EJ$34),$K271:$AJ271)</f>
        <v>2060</v>
      </c>
      <c r="EK271" s="12">
        <f t="array" ref="EK271">SUMPRODUCT(TRANSPOSE(EK$9:EK$34),$K271:$AJ271)</f>
        <v>2540</v>
      </c>
      <c r="EL271" s="12">
        <f t="array" ref="EL271">SUMPRODUCT(TRANSPOSE(EL$9:EL$34),$K271:$AJ271)</f>
        <v>6060</v>
      </c>
      <c r="EM271" s="12">
        <f t="array" ref="EM271">SUMPRODUCT(TRANSPOSE(EM$9:EM$34),$K271:$AJ271)</f>
        <v>8200</v>
      </c>
      <c r="EN271" s="12">
        <f t="array" ref="EN271">SUMPRODUCT(TRANSPOSE(EN$9:EN$34),$K271:$AJ271)</f>
        <v>6400</v>
      </c>
      <c r="EO271" s="12">
        <f t="array" ref="EO271">SUMPRODUCT(TRANSPOSE(EO$9:EO$34),$K271:$AJ271)</f>
        <v>6000</v>
      </c>
      <c r="EP271" s="12">
        <f t="array" ref="EP271">SUMPRODUCT(TRANSPOSE(EP$9:EP$34),$K271:$AJ271)</f>
        <v>6200</v>
      </c>
      <c r="EQ271" s="12">
        <f t="array" ref="EQ271">SUMPRODUCT(TRANSPOSE(EQ$9:EQ$34),$K271:$AJ271)</f>
        <v>6200</v>
      </c>
      <c r="ER271" s="12">
        <f t="array" ref="ER271">SUMPRODUCT(TRANSPOSE(ER$9:ER$34),$K271:$AJ271)</f>
        <v>6200</v>
      </c>
      <c r="ES271" s="12">
        <f t="array" ref="ES271">SUMPRODUCT(TRANSPOSE(ES$9:ES$34),$K271:$AJ271)</f>
        <v>6200</v>
      </c>
      <c r="ET271" s="12">
        <f t="array" ref="ET271">SUMPRODUCT(TRANSPOSE(ET$9:ET$34),$K271:$AJ271)</f>
        <v>6200</v>
      </c>
      <c r="EU271" s="12">
        <f t="array" ref="EU271">SUMPRODUCT(TRANSPOSE(EU$9:EU$34),$K271:$AJ271)</f>
        <v>6200</v>
      </c>
      <c r="EV271" s="12">
        <f t="array" ref="EV271">SUMPRODUCT(TRANSPOSE(EV$9:EV$34),$K271:$AJ271)</f>
        <v>6200</v>
      </c>
      <c r="EW271" s="12">
        <f t="array" ref="EW271">SUMPRODUCT(TRANSPOSE(EW$9:EW$34),$K271:$AJ271)</f>
        <v>6106</v>
      </c>
      <c r="EX271" s="12">
        <f t="array" ref="EX271">SUMPRODUCT(TRANSPOSE(EX$9:EX$34),$K271:$AJ271)</f>
        <v>6000</v>
      </c>
      <c r="EY271" s="12">
        <f t="array" ref="EY271">SUMPRODUCT(TRANSPOSE(EY$9:EY$34),$K271:$AJ271)</f>
        <v>6000</v>
      </c>
      <c r="EZ271" s="12">
        <f t="array" ref="EZ271">SUMPRODUCT(TRANSPOSE(EZ$9:EZ$34),$K271:$AJ271)</f>
        <v>6000</v>
      </c>
      <c r="FA271" s="12">
        <f t="array" ref="FA271">SUMPRODUCT(TRANSPOSE(FA$9:FA$34),$K271:$AJ271)</f>
        <v>6000</v>
      </c>
      <c r="FB271" s="12">
        <f t="array" ref="FB271">SUMPRODUCT(TRANSPOSE(FB$9:FB$34),$K271:$AJ271)</f>
        <v>6000</v>
      </c>
      <c r="FC271" s="12">
        <f t="array" ref="FC271">SUMPRODUCT(TRANSPOSE(FC$9:FC$34),$K271:$AJ271)</f>
        <v>6000</v>
      </c>
      <c r="FD271" s="12">
        <f t="array" ref="FD271">SUMPRODUCT(TRANSPOSE(FD$9:FD$34),$K271:$AJ271)</f>
        <v>6000</v>
      </c>
      <c r="FE271" s="12">
        <f t="array" ref="FE271">SUMPRODUCT(TRANSPOSE(FE$9:FE$34),$K271:$AJ271)</f>
        <v>6000</v>
      </c>
      <c r="FF271" s="12">
        <f t="array" ref="FF271">SUMPRODUCT(TRANSPOSE(FF$9:FF$34),$K271:$AJ271)</f>
        <v>6000</v>
      </c>
      <c r="FG271" s="12">
        <f t="array" ref="FG271">SUMPRODUCT(TRANSPOSE(FG$9:FG$34),$K271:$AJ271)</f>
        <v>6000</v>
      </c>
      <c r="FH271" s="12">
        <f t="array" ref="FH271">SUMPRODUCT(TRANSPOSE(FH$9:FH$34),$K271:$AJ271)</f>
        <v>6000</v>
      </c>
      <c r="FI271" s="12">
        <f t="array" ref="FI271">SUMPRODUCT(TRANSPOSE(FI$9:FI$34),$K271:$AJ271)</f>
        <v>6000</v>
      </c>
      <c r="FJ271" s="12">
        <f t="array" ref="FJ271">SUMPRODUCT(TRANSPOSE(FJ$9:FJ$34),$K271:$AJ271)</f>
        <v>6000</v>
      </c>
      <c r="FK271" s="12">
        <f t="array" ref="FK271">SUMPRODUCT(TRANSPOSE(FK$9:FK$34),$K271:$AJ271)</f>
        <v>6000</v>
      </c>
      <c r="FL271" s="12">
        <f t="array" ref="FL271">SUMPRODUCT(TRANSPOSE(FL$9:FL$34),$K271:$AJ271)</f>
        <v>6000</v>
      </c>
      <c r="FM271" s="12">
        <f t="array" ref="FM271">SUMPRODUCT(TRANSPOSE(FM$9:FM$34),$K271:$AJ271)</f>
        <v>6000</v>
      </c>
      <c r="FN271" s="12">
        <f t="array" ref="FN271">SUMPRODUCT(TRANSPOSE(FN$9:FN$34),$K271:$AJ271)</f>
        <v>5030</v>
      </c>
      <c r="FO271" s="12">
        <f t="array" ref="FO271">SUMPRODUCT(TRANSPOSE(FO$9:FO$34),$K271:$AJ271)</f>
        <v>154</v>
      </c>
    </row>
    <row r="272" spans="1:171" ht="14.25" x14ac:dyDescent="0.2">
      <c r="A272" s="13">
        <f t="shared" si="13"/>
        <v>237</v>
      </c>
      <c r="B272" s="13" t="s">
        <v>848</v>
      </c>
      <c r="C272" s="25" t="s">
        <v>849</v>
      </c>
      <c r="D272" s="13" t="s">
        <v>67</v>
      </c>
      <c r="E272" s="13">
        <v>400280614</v>
      </c>
      <c r="F272" s="26" t="s">
        <v>850</v>
      </c>
      <c r="G272" s="13">
        <v>400481611</v>
      </c>
      <c r="H272" s="13" t="s">
        <v>61</v>
      </c>
      <c r="I272" s="13">
        <v>2</v>
      </c>
      <c r="J272" s="13">
        <v>10</v>
      </c>
      <c r="K272" s="13">
        <v>0</v>
      </c>
      <c r="L272" s="13">
        <v>0</v>
      </c>
      <c r="M272" s="13">
        <v>0</v>
      </c>
      <c r="N272" s="13">
        <v>0</v>
      </c>
      <c r="O272" s="13">
        <v>2</v>
      </c>
      <c r="P272" s="13">
        <v>0</v>
      </c>
      <c r="Q272" s="13">
        <v>0</v>
      </c>
      <c r="R272" s="13">
        <v>0</v>
      </c>
      <c r="S272" s="13">
        <v>2</v>
      </c>
      <c r="T272" s="13">
        <v>0</v>
      </c>
      <c r="U272" s="13">
        <v>0</v>
      </c>
      <c r="V272" s="13">
        <v>0</v>
      </c>
      <c r="W272" s="13">
        <v>0</v>
      </c>
      <c r="X272" s="13">
        <v>2</v>
      </c>
      <c r="Y272" s="13"/>
      <c r="Z272" s="13">
        <v>2</v>
      </c>
      <c r="AA272" s="13">
        <v>0</v>
      </c>
      <c r="AB272" s="13">
        <v>0</v>
      </c>
      <c r="AC272" s="13">
        <v>0</v>
      </c>
      <c r="AD272" s="13">
        <v>2</v>
      </c>
      <c r="AE272" s="13">
        <v>2</v>
      </c>
      <c r="AF272" s="13">
        <v>0</v>
      </c>
      <c r="AG272" s="13">
        <v>0</v>
      </c>
      <c r="AH272" s="13">
        <v>0</v>
      </c>
      <c r="AI272" s="13">
        <v>0</v>
      </c>
      <c r="AJ272" s="13">
        <v>2</v>
      </c>
      <c r="AK272" s="13">
        <f t="shared" si="14"/>
        <v>10</v>
      </c>
      <c r="AL272" s="23">
        <f t="shared" si="12"/>
        <v>213056</v>
      </c>
      <c r="AM272" s="13"/>
      <c r="AN272" s="13" t="s">
        <v>847</v>
      </c>
      <c r="AO272" s="7" t="s">
        <v>718</v>
      </c>
      <c r="AP272" s="38">
        <v>7.7000000000000002E-3</v>
      </c>
      <c r="AQ272" s="12">
        <v>213160</v>
      </c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13"/>
      <c r="CG272" s="13"/>
      <c r="CH272" s="13"/>
      <c r="CI272" s="12"/>
      <c r="CJ272" s="12"/>
      <c r="CK272" s="12"/>
      <c r="CL272" s="12"/>
      <c r="CM272" s="12"/>
      <c r="CN272" s="12"/>
      <c r="CO272" s="12"/>
      <c r="CP272" s="12">
        <f>SUM($AQ272:BJ272)-SUM($EA272:EH272)</f>
        <v>192816</v>
      </c>
      <c r="CQ272" s="12">
        <f>SUM($AQ272:BK272)-SUM($EA272:EI272)</f>
        <v>191454</v>
      </c>
      <c r="CR272" s="12">
        <f>SUM($AQ272:BL272)-SUM($EA272:EJ272)</f>
        <v>189394</v>
      </c>
      <c r="CS272" s="12">
        <f>SUM($AQ272:BM272)-SUM($EA272:EK272)</f>
        <v>186854</v>
      </c>
      <c r="CT272" s="12">
        <f>SUM($AQ272:BN272)-SUM($EA272:EL272)</f>
        <v>180794</v>
      </c>
      <c r="CU272" s="12">
        <f>SUM($AQ272:BO272)-SUM($EA272:EM272)</f>
        <v>172594</v>
      </c>
      <c r="CV272" s="12">
        <f>SUM($AQ272:BP272)-SUM($EA272:EN272)</f>
        <v>166194</v>
      </c>
      <c r="CW272" s="12">
        <f>SUM($AQ272:BQ272)-SUM($EA272:EO272)</f>
        <v>160194</v>
      </c>
      <c r="CX272" s="12">
        <f>SUM($AQ272:BR272)-SUM($EA272:EP272)</f>
        <v>153994</v>
      </c>
      <c r="CY272" s="12">
        <f>SUM($AQ272:BS272)-SUM($EA272:EQ272)</f>
        <v>147794</v>
      </c>
      <c r="CZ272" s="12">
        <f>SUM($AQ272:BT272)-SUM($EA272:ER272)</f>
        <v>141594</v>
      </c>
      <c r="DA272" s="12">
        <f>SUM($AQ272:BU272)-SUM($EA272:ES272)</f>
        <v>135394</v>
      </c>
      <c r="DB272" s="12">
        <f>SUM($AQ272:BV272)-SUM($EA272:ET272)</f>
        <v>129194</v>
      </c>
      <c r="DC272" s="12">
        <f>SUM($AQ272:BW272)-SUM($EA272:EU272)</f>
        <v>122994</v>
      </c>
      <c r="DD272" s="12">
        <f>SUM($AQ272:BX272)-SUM($EA272:EV272)</f>
        <v>116794</v>
      </c>
      <c r="DE272" s="12">
        <f>SUM($AQ272:BY272)-SUM($EA272:EW272)</f>
        <v>110688</v>
      </c>
      <c r="DF272" s="12">
        <f>SUM($AQ272:BZ272)-SUM($EA272:EX272)</f>
        <v>104688</v>
      </c>
      <c r="DG272" s="12">
        <f>SUM($AQ272:CA272)-SUM($EA272:EY272)</f>
        <v>98688</v>
      </c>
      <c r="DH272" s="12">
        <f>SUM($AQ272:CB272)-SUM($EA272:EZ272)</f>
        <v>92688</v>
      </c>
      <c r="DI272" s="12">
        <f>SUM($AQ272:CC272)-SUM($EA272:FA272)</f>
        <v>86688</v>
      </c>
      <c r="DJ272" s="12">
        <f>SUM($AQ272:CD272)-SUM($EA272:FB272)</f>
        <v>80688</v>
      </c>
      <c r="DK272" s="12">
        <f>SUM($AQ272:CE272)-SUM($EA272:FC272)</f>
        <v>74688</v>
      </c>
      <c r="DL272" s="12">
        <f>SUM($AQ272:CF272)-SUM($EA272:FD272)</f>
        <v>68688</v>
      </c>
      <c r="DM272" s="12">
        <f>SUM($AQ272:CG272)-SUM($EA272:FE272)</f>
        <v>62688</v>
      </c>
      <c r="DN272" s="12">
        <f>SUM($AQ272:CH272)-SUM($EA272:FF272)</f>
        <v>56688</v>
      </c>
      <c r="DO272" s="12">
        <f>SUM($AQ272:CI272)-SUM($EA272:FG272)</f>
        <v>50688</v>
      </c>
      <c r="DP272" s="12">
        <f>SUM($AQ272:CJ272)-SUM($EA272:FH272)</f>
        <v>44688</v>
      </c>
      <c r="DQ272" s="12">
        <f>SUM($AQ272:CK272)-SUM($EA272:FI272)</f>
        <v>38688</v>
      </c>
      <c r="DR272" s="12">
        <f>SUM($AQ272:CL272)-SUM($EA272:FJ272)</f>
        <v>32688</v>
      </c>
      <c r="DS272" s="12">
        <f>SUM($AQ272:CM272)-SUM($EA272:FK272)</f>
        <v>26688</v>
      </c>
      <c r="DT272" s="12">
        <f>SUM($AQ272:CN272)-SUM($EA272:FL272)</f>
        <v>20688</v>
      </c>
      <c r="DU272" s="12">
        <f>SUM($AQ272:CO272)-SUM($EA272:FM272)</f>
        <v>14688</v>
      </c>
      <c r="DV272" s="12">
        <f>SUM($AQ272:CP272)-SUM($EA272:FN272)</f>
        <v>202474</v>
      </c>
      <c r="DW272" s="12">
        <f>SUM($AQ272:CQ272)-SUM($EA272:FO272)</f>
        <v>393774</v>
      </c>
      <c r="DX272" s="13"/>
      <c r="DY272" s="13"/>
      <c r="DZ272" s="13"/>
      <c r="EA272" s="12"/>
      <c r="EB272" s="12"/>
      <c r="EC272" s="12"/>
      <c r="ED272" s="12"/>
      <c r="EE272" s="12"/>
      <c r="EF272" s="12"/>
      <c r="EG272" s="12"/>
      <c r="EH272" s="12">
        <f t="array" ref="EH272">SUMPRODUCT(TRANSPOSE(EH$9:EH$34),$K272:$AJ272)</f>
        <v>20344</v>
      </c>
      <c r="EI272" s="12">
        <f t="array" ref="EI272">SUMPRODUCT(TRANSPOSE(EI$9:EI$34),$K272:$AJ272)</f>
        <v>1362</v>
      </c>
      <c r="EJ272" s="12">
        <f t="array" ref="EJ272">SUMPRODUCT(TRANSPOSE(EJ$9:EJ$34),$K272:$AJ272)</f>
        <v>2060</v>
      </c>
      <c r="EK272" s="12">
        <f t="array" ref="EK272">SUMPRODUCT(TRANSPOSE(EK$9:EK$34),$K272:$AJ272)</f>
        <v>2540</v>
      </c>
      <c r="EL272" s="12">
        <f t="array" ref="EL272">SUMPRODUCT(TRANSPOSE(EL$9:EL$34),$K272:$AJ272)</f>
        <v>6060</v>
      </c>
      <c r="EM272" s="12">
        <f t="array" ref="EM272">SUMPRODUCT(TRANSPOSE(EM$9:EM$34),$K272:$AJ272)</f>
        <v>8200</v>
      </c>
      <c r="EN272" s="12">
        <f t="array" ref="EN272">SUMPRODUCT(TRANSPOSE(EN$9:EN$34),$K272:$AJ272)</f>
        <v>6400</v>
      </c>
      <c r="EO272" s="12">
        <f t="array" ref="EO272">SUMPRODUCT(TRANSPOSE(EO$9:EO$34),$K272:$AJ272)</f>
        <v>6000</v>
      </c>
      <c r="EP272" s="12">
        <f t="array" ref="EP272">SUMPRODUCT(TRANSPOSE(EP$9:EP$34),$K272:$AJ272)</f>
        <v>6200</v>
      </c>
      <c r="EQ272" s="12">
        <f t="array" ref="EQ272">SUMPRODUCT(TRANSPOSE(EQ$9:EQ$34),$K272:$AJ272)</f>
        <v>6200</v>
      </c>
      <c r="ER272" s="12">
        <f t="array" ref="ER272">SUMPRODUCT(TRANSPOSE(ER$9:ER$34),$K272:$AJ272)</f>
        <v>6200</v>
      </c>
      <c r="ES272" s="12">
        <f t="array" ref="ES272">SUMPRODUCT(TRANSPOSE(ES$9:ES$34),$K272:$AJ272)</f>
        <v>6200</v>
      </c>
      <c r="ET272" s="12">
        <f t="array" ref="ET272">SUMPRODUCT(TRANSPOSE(ET$9:ET$34),$K272:$AJ272)</f>
        <v>6200</v>
      </c>
      <c r="EU272" s="12">
        <f t="array" ref="EU272">SUMPRODUCT(TRANSPOSE(EU$9:EU$34),$K272:$AJ272)</f>
        <v>6200</v>
      </c>
      <c r="EV272" s="12">
        <f t="array" ref="EV272">SUMPRODUCT(TRANSPOSE(EV$9:EV$34),$K272:$AJ272)</f>
        <v>6200</v>
      </c>
      <c r="EW272" s="12">
        <f t="array" ref="EW272">SUMPRODUCT(TRANSPOSE(EW$9:EW$34),$K272:$AJ272)</f>
        <v>6106</v>
      </c>
      <c r="EX272" s="12">
        <f t="array" ref="EX272">SUMPRODUCT(TRANSPOSE(EX$9:EX$34),$K272:$AJ272)</f>
        <v>6000</v>
      </c>
      <c r="EY272" s="12">
        <f t="array" ref="EY272">SUMPRODUCT(TRANSPOSE(EY$9:EY$34),$K272:$AJ272)</f>
        <v>6000</v>
      </c>
      <c r="EZ272" s="12">
        <f t="array" ref="EZ272">SUMPRODUCT(TRANSPOSE(EZ$9:EZ$34),$K272:$AJ272)</f>
        <v>6000</v>
      </c>
      <c r="FA272" s="12">
        <f t="array" ref="FA272">SUMPRODUCT(TRANSPOSE(FA$9:FA$34),$K272:$AJ272)</f>
        <v>6000</v>
      </c>
      <c r="FB272" s="12">
        <f t="array" ref="FB272">SUMPRODUCT(TRANSPOSE(FB$9:FB$34),$K272:$AJ272)</f>
        <v>6000</v>
      </c>
      <c r="FC272" s="12">
        <f t="array" ref="FC272">SUMPRODUCT(TRANSPOSE(FC$9:FC$34),$K272:$AJ272)</f>
        <v>6000</v>
      </c>
      <c r="FD272" s="12">
        <f t="array" ref="FD272">SUMPRODUCT(TRANSPOSE(FD$9:FD$34),$K272:$AJ272)</f>
        <v>6000</v>
      </c>
      <c r="FE272" s="12">
        <f t="array" ref="FE272">SUMPRODUCT(TRANSPOSE(FE$9:FE$34),$K272:$AJ272)</f>
        <v>6000</v>
      </c>
      <c r="FF272" s="12">
        <f t="array" ref="FF272">SUMPRODUCT(TRANSPOSE(FF$9:FF$34),$K272:$AJ272)</f>
        <v>6000</v>
      </c>
      <c r="FG272" s="12">
        <f t="array" ref="FG272">SUMPRODUCT(TRANSPOSE(FG$9:FG$34),$K272:$AJ272)</f>
        <v>6000</v>
      </c>
      <c r="FH272" s="12">
        <f t="array" ref="FH272">SUMPRODUCT(TRANSPOSE(FH$9:FH$34),$K272:$AJ272)</f>
        <v>6000</v>
      </c>
      <c r="FI272" s="12">
        <f t="array" ref="FI272">SUMPRODUCT(TRANSPOSE(FI$9:FI$34),$K272:$AJ272)</f>
        <v>6000</v>
      </c>
      <c r="FJ272" s="12">
        <f t="array" ref="FJ272">SUMPRODUCT(TRANSPOSE(FJ$9:FJ$34),$K272:$AJ272)</f>
        <v>6000</v>
      </c>
      <c r="FK272" s="12">
        <f t="array" ref="FK272">SUMPRODUCT(TRANSPOSE(FK$9:FK$34),$K272:$AJ272)</f>
        <v>6000</v>
      </c>
      <c r="FL272" s="12">
        <f t="array" ref="FL272">SUMPRODUCT(TRANSPOSE(FL$9:FL$34),$K272:$AJ272)</f>
        <v>6000</v>
      </c>
      <c r="FM272" s="12">
        <f t="array" ref="FM272">SUMPRODUCT(TRANSPOSE(FM$9:FM$34),$K272:$AJ272)</f>
        <v>6000</v>
      </c>
      <c r="FN272" s="12">
        <f t="array" ref="FN272">SUMPRODUCT(TRANSPOSE(FN$9:FN$34),$K272:$AJ272)</f>
        <v>5030</v>
      </c>
      <c r="FO272" s="12">
        <f t="array" ref="FO272">SUMPRODUCT(TRANSPOSE(FO$9:FO$34),$K272:$AJ272)</f>
        <v>154</v>
      </c>
    </row>
    <row r="273" spans="1:171" ht="14.25" x14ac:dyDescent="0.2">
      <c r="A273" s="13">
        <f t="shared" si="13"/>
        <v>238</v>
      </c>
      <c r="B273" s="13" t="s">
        <v>851</v>
      </c>
      <c r="C273" s="25" t="s">
        <v>852</v>
      </c>
      <c r="D273" s="13" t="s">
        <v>67</v>
      </c>
      <c r="E273" s="13">
        <v>512306754</v>
      </c>
      <c r="F273" s="26" t="s">
        <v>853</v>
      </c>
      <c r="G273" s="13"/>
      <c r="H273" s="13" t="s">
        <v>61</v>
      </c>
      <c r="I273" s="13">
        <v>2</v>
      </c>
      <c r="J273" s="13">
        <v>6</v>
      </c>
      <c r="K273" s="13">
        <v>0</v>
      </c>
      <c r="L273" s="13">
        <v>2</v>
      </c>
      <c r="M273" s="13">
        <v>0</v>
      </c>
      <c r="N273" s="13">
        <v>0</v>
      </c>
      <c r="O273" s="13">
        <v>0</v>
      </c>
      <c r="P273" s="13">
        <v>0</v>
      </c>
      <c r="Q273" s="13">
        <v>2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/>
      <c r="Z273" s="13"/>
      <c r="AA273" s="13">
        <v>0</v>
      </c>
      <c r="AB273" s="13">
        <v>2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f t="shared" si="14"/>
        <v>6</v>
      </c>
      <c r="AL273" s="23">
        <f t="shared" si="12"/>
        <v>141594</v>
      </c>
      <c r="AM273" s="13"/>
      <c r="AN273" s="13" t="s">
        <v>854</v>
      </c>
      <c r="AO273" s="7" t="s">
        <v>855</v>
      </c>
      <c r="AP273" s="38">
        <v>7.4999999999999997E-2</v>
      </c>
      <c r="AQ273" s="12">
        <v>143500</v>
      </c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13"/>
      <c r="CG273" s="13"/>
      <c r="CH273" s="13"/>
      <c r="CI273" s="12"/>
      <c r="CJ273" s="12"/>
      <c r="CK273" s="12"/>
      <c r="CL273" s="12"/>
      <c r="CM273" s="12"/>
      <c r="CN273" s="12"/>
      <c r="CO273" s="12"/>
      <c r="CP273" s="12">
        <f>SUM($AQ273:BJ273)-SUM($EA273:EH273)</f>
        <v>130602</v>
      </c>
      <c r="CQ273" s="12">
        <f>SUM($AQ273:BK273)-SUM($EA273:EI273)</f>
        <v>128812</v>
      </c>
      <c r="CR273" s="12">
        <f>SUM($AQ273:BL273)-SUM($EA273:EJ273)</f>
        <v>126782</v>
      </c>
      <c r="CS273" s="12">
        <f>SUM($AQ273:BM273)-SUM($EA273:EK273)</f>
        <v>124712</v>
      </c>
      <c r="CT273" s="12">
        <f>SUM($AQ273:BN273)-SUM($EA273:EL273)</f>
        <v>122682</v>
      </c>
      <c r="CU273" s="12">
        <f>SUM($AQ273:BO273)-SUM($EA273:EM273)</f>
        <v>122582</v>
      </c>
      <c r="CV273" s="12">
        <f>SUM($AQ273:BP273)-SUM($EA273:EN273)</f>
        <v>120682</v>
      </c>
      <c r="CW273" s="12">
        <f>SUM($AQ273:BQ273)-SUM($EA273:EO273)</f>
        <v>118682</v>
      </c>
      <c r="CX273" s="12">
        <f>SUM($AQ273:BR273)-SUM($EA273:EP273)</f>
        <v>116582</v>
      </c>
      <c r="CY273" s="12">
        <f>SUM($AQ273:BS273)-SUM($EA273:EQ273)</f>
        <v>114482</v>
      </c>
      <c r="CZ273" s="12">
        <f>SUM($AQ273:BT273)-SUM($EA273:ER273)</f>
        <v>112382</v>
      </c>
      <c r="DA273" s="12">
        <f>SUM($AQ273:BU273)-SUM($EA273:ES273)</f>
        <v>110282</v>
      </c>
      <c r="DB273" s="12">
        <f>SUM($AQ273:BV273)-SUM($EA273:ET273)</f>
        <v>108182</v>
      </c>
      <c r="DC273" s="12">
        <f>SUM($AQ273:BW273)-SUM($EA273:EU273)</f>
        <v>106082</v>
      </c>
      <c r="DD273" s="12">
        <f>SUM($AQ273:BX273)-SUM($EA273:EV273)</f>
        <v>103982</v>
      </c>
      <c r="DE273" s="12">
        <f>SUM($AQ273:BY273)-SUM($EA273:EW273)</f>
        <v>101962</v>
      </c>
      <c r="DF273" s="12">
        <f>SUM($AQ273:BZ273)-SUM($EA273:EX273)</f>
        <v>99962</v>
      </c>
      <c r="DG273" s="12">
        <f>SUM($AQ273:CA273)-SUM($EA273:EY273)</f>
        <v>97962</v>
      </c>
      <c r="DH273" s="12">
        <f>SUM($AQ273:CB273)-SUM($EA273:EZ273)</f>
        <v>95962</v>
      </c>
      <c r="DI273" s="12">
        <f>SUM($AQ273:CC273)-SUM($EA273:FA273)</f>
        <v>93962</v>
      </c>
      <c r="DJ273" s="12">
        <f>SUM($AQ273:CD273)-SUM($EA273:FB273)</f>
        <v>91962</v>
      </c>
      <c r="DK273" s="12">
        <f>SUM($AQ273:CE273)-SUM($EA273:FC273)</f>
        <v>89962</v>
      </c>
      <c r="DL273" s="12">
        <f>SUM($AQ273:CF273)-SUM($EA273:FD273)</f>
        <v>87962</v>
      </c>
      <c r="DM273" s="12">
        <f>SUM($AQ273:CG273)-SUM($EA273:FE273)</f>
        <v>85962</v>
      </c>
      <c r="DN273" s="12">
        <f>SUM($AQ273:CH273)-SUM($EA273:FF273)</f>
        <v>83962</v>
      </c>
      <c r="DO273" s="12">
        <f>SUM($AQ273:CI273)-SUM($EA273:FG273)</f>
        <v>81962</v>
      </c>
      <c r="DP273" s="12">
        <f>SUM($AQ273:CJ273)-SUM($EA273:FH273)</f>
        <v>79962</v>
      </c>
      <c r="DQ273" s="12">
        <f>SUM($AQ273:CK273)-SUM($EA273:FI273)</f>
        <v>77962</v>
      </c>
      <c r="DR273" s="12">
        <f>SUM($AQ273:CL273)-SUM($EA273:FJ273)</f>
        <v>75962</v>
      </c>
      <c r="DS273" s="12">
        <f>SUM($AQ273:CM273)-SUM($EA273:FK273)</f>
        <v>73962</v>
      </c>
      <c r="DT273" s="12">
        <f>SUM($AQ273:CN273)-SUM($EA273:FL273)</f>
        <v>71962</v>
      </c>
      <c r="DU273" s="12">
        <f>SUM($AQ273:CO273)-SUM($EA273:FM273)</f>
        <v>69962</v>
      </c>
      <c r="DV273" s="12">
        <f>SUM($AQ273:CP273)-SUM($EA273:FN273)</f>
        <v>198564</v>
      </c>
      <c r="DW273" s="12">
        <f>SUM($AQ273:CQ273)-SUM($EA273:FO273)</f>
        <v>327288</v>
      </c>
      <c r="DX273" s="13"/>
      <c r="DY273" s="13"/>
      <c r="DZ273" s="13"/>
      <c r="EA273" s="12"/>
      <c r="EB273" s="12"/>
      <c r="EC273" s="12"/>
      <c r="ED273" s="12"/>
      <c r="EE273" s="12"/>
      <c r="EF273" s="12"/>
      <c r="EG273" s="12"/>
      <c r="EH273" s="12">
        <f t="array" ref="EH273">SUMPRODUCT(TRANSPOSE(EH$9:EH$34),$K273:$AJ273)</f>
        <v>12898</v>
      </c>
      <c r="EI273" s="12">
        <f t="array" ref="EI273">SUMPRODUCT(TRANSPOSE(EI$9:EI$34),$K273:$AJ273)</f>
        <v>1790</v>
      </c>
      <c r="EJ273" s="12">
        <f t="array" ref="EJ273">SUMPRODUCT(TRANSPOSE(EJ$9:EJ$34),$K273:$AJ273)</f>
        <v>2030</v>
      </c>
      <c r="EK273" s="12">
        <f t="array" ref="EK273">SUMPRODUCT(TRANSPOSE(EK$9:EK$34),$K273:$AJ273)</f>
        <v>2070</v>
      </c>
      <c r="EL273" s="12">
        <f t="array" ref="EL273">SUMPRODUCT(TRANSPOSE(EL$9:EL$34),$K273:$AJ273)</f>
        <v>2030</v>
      </c>
      <c r="EM273" s="12">
        <f t="array" ref="EM273">SUMPRODUCT(TRANSPOSE(EM$9:EM$34),$K273:$AJ273)</f>
        <v>100</v>
      </c>
      <c r="EN273" s="12">
        <f t="array" ref="EN273">SUMPRODUCT(TRANSPOSE(EN$9:EN$34),$K273:$AJ273)</f>
        <v>1900</v>
      </c>
      <c r="EO273" s="12">
        <f t="array" ref="EO273">SUMPRODUCT(TRANSPOSE(EO$9:EO$34),$K273:$AJ273)</f>
        <v>2000</v>
      </c>
      <c r="EP273" s="12">
        <f t="array" ref="EP273">SUMPRODUCT(TRANSPOSE(EP$9:EP$34),$K273:$AJ273)</f>
        <v>2100</v>
      </c>
      <c r="EQ273" s="12">
        <f t="array" ref="EQ273">SUMPRODUCT(TRANSPOSE(EQ$9:EQ$34),$K273:$AJ273)</f>
        <v>2100</v>
      </c>
      <c r="ER273" s="12">
        <f t="array" ref="ER273">SUMPRODUCT(TRANSPOSE(ER$9:ER$34),$K273:$AJ273)</f>
        <v>2100</v>
      </c>
      <c r="ES273" s="12">
        <f t="array" ref="ES273">SUMPRODUCT(TRANSPOSE(ES$9:ES$34),$K273:$AJ273)</f>
        <v>2100</v>
      </c>
      <c r="ET273" s="12">
        <f t="array" ref="ET273">SUMPRODUCT(TRANSPOSE(ET$9:ET$34),$K273:$AJ273)</f>
        <v>2100</v>
      </c>
      <c r="EU273" s="12">
        <f t="array" ref="EU273">SUMPRODUCT(TRANSPOSE(EU$9:EU$34),$K273:$AJ273)</f>
        <v>2100</v>
      </c>
      <c r="EV273" s="12">
        <f t="array" ref="EV273">SUMPRODUCT(TRANSPOSE(EV$9:EV$34),$K273:$AJ273)</f>
        <v>2100</v>
      </c>
      <c r="EW273" s="12">
        <f t="array" ref="EW273">SUMPRODUCT(TRANSPOSE(EW$9:EW$34),$K273:$AJ273)</f>
        <v>2020</v>
      </c>
      <c r="EX273" s="12">
        <f t="array" ref="EX273">SUMPRODUCT(TRANSPOSE(EX$9:EX$34),$K273:$AJ273)</f>
        <v>2000</v>
      </c>
      <c r="EY273" s="12">
        <f t="array" ref="EY273">SUMPRODUCT(TRANSPOSE(EY$9:EY$34),$K273:$AJ273)</f>
        <v>2000</v>
      </c>
      <c r="EZ273" s="12">
        <f t="array" ref="EZ273">SUMPRODUCT(TRANSPOSE(EZ$9:EZ$34),$K273:$AJ273)</f>
        <v>2000</v>
      </c>
      <c r="FA273" s="12">
        <f t="array" ref="FA273">SUMPRODUCT(TRANSPOSE(FA$9:FA$34),$K273:$AJ273)</f>
        <v>2000</v>
      </c>
      <c r="FB273" s="12">
        <f t="array" ref="FB273">SUMPRODUCT(TRANSPOSE(FB$9:FB$34),$K273:$AJ273)</f>
        <v>2000</v>
      </c>
      <c r="FC273" s="12">
        <f t="array" ref="FC273">SUMPRODUCT(TRANSPOSE(FC$9:FC$34),$K273:$AJ273)</f>
        <v>2000</v>
      </c>
      <c r="FD273" s="12">
        <f t="array" ref="FD273">SUMPRODUCT(TRANSPOSE(FD$9:FD$34),$K273:$AJ273)</f>
        <v>2000</v>
      </c>
      <c r="FE273" s="12">
        <f t="array" ref="FE273">SUMPRODUCT(TRANSPOSE(FE$9:FE$34),$K273:$AJ273)</f>
        <v>2000</v>
      </c>
      <c r="FF273" s="12">
        <f t="array" ref="FF273">SUMPRODUCT(TRANSPOSE(FF$9:FF$34),$K273:$AJ273)</f>
        <v>2000</v>
      </c>
      <c r="FG273" s="12">
        <f t="array" ref="FG273">SUMPRODUCT(TRANSPOSE(FG$9:FG$34),$K273:$AJ273)</f>
        <v>2000</v>
      </c>
      <c r="FH273" s="12">
        <f t="array" ref="FH273">SUMPRODUCT(TRANSPOSE(FH$9:FH$34),$K273:$AJ273)</f>
        <v>2000</v>
      </c>
      <c r="FI273" s="12">
        <f t="array" ref="FI273">SUMPRODUCT(TRANSPOSE(FI$9:FI$34),$K273:$AJ273)</f>
        <v>2000</v>
      </c>
      <c r="FJ273" s="12">
        <f t="array" ref="FJ273">SUMPRODUCT(TRANSPOSE(FJ$9:FJ$34),$K273:$AJ273)</f>
        <v>2000</v>
      </c>
      <c r="FK273" s="12">
        <f t="array" ref="FK273">SUMPRODUCT(TRANSPOSE(FK$9:FK$34),$K273:$AJ273)</f>
        <v>2000</v>
      </c>
      <c r="FL273" s="12">
        <f t="array" ref="FL273">SUMPRODUCT(TRANSPOSE(FL$9:FL$34),$K273:$AJ273)</f>
        <v>2000</v>
      </c>
      <c r="FM273" s="12">
        <f t="array" ref="FM273">SUMPRODUCT(TRANSPOSE(FM$9:FM$34),$K273:$AJ273)</f>
        <v>2000</v>
      </c>
      <c r="FN273" s="12">
        <f t="array" ref="FN273">SUMPRODUCT(TRANSPOSE(FN$9:FN$34),$K273:$AJ273)</f>
        <v>2000</v>
      </c>
      <c r="FO273" s="12">
        <f t="array" ref="FO273">SUMPRODUCT(TRANSPOSE(FO$9:FO$34),$K273:$AJ273)</f>
        <v>88</v>
      </c>
    </row>
    <row r="274" spans="1:171" ht="14.25" x14ac:dyDescent="0.2">
      <c r="A274" s="13">
        <f t="shared" si="13"/>
        <v>239</v>
      </c>
      <c r="B274" s="13" t="s">
        <v>856</v>
      </c>
      <c r="C274" s="25" t="s">
        <v>857</v>
      </c>
      <c r="D274" s="13" t="s">
        <v>67</v>
      </c>
      <c r="E274" s="13">
        <v>512306770</v>
      </c>
      <c r="F274" s="26" t="s">
        <v>853</v>
      </c>
      <c r="G274" s="13"/>
      <c r="H274" s="13" t="s">
        <v>61</v>
      </c>
      <c r="I274" s="13">
        <v>2</v>
      </c>
      <c r="J274" s="13">
        <v>15</v>
      </c>
      <c r="K274" s="13">
        <v>0</v>
      </c>
      <c r="L274" s="13">
        <v>0</v>
      </c>
      <c r="M274" s="13">
        <v>5</v>
      </c>
      <c r="N274" s="13">
        <v>0</v>
      </c>
      <c r="O274" s="13">
        <v>0</v>
      </c>
      <c r="P274" s="13">
        <v>0</v>
      </c>
      <c r="Q274" s="13">
        <v>0</v>
      </c>
      <c r="R274" s="13">
        <v>5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5</v>
      </c>
      <c r="Z274" s="13"/>
      <c r="AA274" s="13">
        <v>0</v>
      </c>
      <c r="AB274" s="13">
        <v>0</v>
      </c>
      <c r="AC274" s="13">
        <v>5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f t="shared" si="14"/>
        <v>20</v>
      </c>
      <c r="AL274" s="23">
        <f t="shared" si="12"/>
        <v>354480</v>
      </c>
      <c r="AM274" s="13"/>
      <c r="AN274" s="13" t="s">
        <v>854</v>
      </c>
      <c r="AO274" s="7" t="s">
        <v>855</v>
      </c>
      <c r="AP274" s="38">
        <v>7.4999999999999997E-2</v>
      </c>
      <c r="AQ274" s="12">
        <v>355500</v>
      </c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13"/>
      <c r="CG274" s="13"/>
      <c r="CH274" s="13"/>
      <c r="CI274" s="12"/>
      <c r="CJ274" s="12"/>
      <c r="CK274" s="12"/>
      <c r="CL274" s="12"/>
      <c r="CM274" s="12"/>
      <c r="CN274" s="12"/>
      <c r="CO274" s="12"/>
      <c r="CP274" s="12">
        <f>SUM($AQ274:BJ274)-SUM($EA274:EH274)</f>
        <v>320185</v>
      </c>
      <c r="CQ274" s="12">
        <f>SUM($AQ274:BK274)-SUM($EA274:EI274)</f>
        <v>318780</v>
      </c>
      <c r="CR274" s="12">
        <f>SUM($AQ274:BL274)-SUM($EA274:EJ274)</f>
        <v>313780</v>
      </c>
      <c r="CS274" s="12">
        <f>SUM($AQ274:BM274)-SUM($EA274:EK274)</f>
        <v>308280</v>
      </c>
      <c r="CT274" s="12">
        <f>SUM($AQ274:BN274)-SUM($EA274:EL274)</f>
        <v>298280</v>
      </c>
      <c r="CU274" s="12">
        <f>SUM($AQ274:BO274)-SUM($EA274:EM274)</f>
        <v>288280</v>
      </c>
      <c r="CV274" s="12">
        <f>SUM($AQ274:BP274)-SUM($EA274:EN274)</f>
        <v>278280</v>
      </c>
      <c r="CW274" s="12">
        <f>SUM($AQ274:BQ274)-SUM($EA274:EO274)</f>
        <v>268280</v>
      </c>
      <c r="CX274" s="12">
        <f>SUM($AQ274:BR274)-SUM($EA274:EP274)</f>
        <v>258280</v>
      </c>
      <c r="CY274" s="12">
        <f>SUM($AQ274:BS274)-SUM($EA274:EQ274)</f>
        <v>248280</v>
      </c>
      <c r="CZ274" s="12">
        <f>SUM($AQ274:BT274)-SUM($EA274:ER274)</f>
        <v>238280</v>
      </c>
      <c r="DA274" s="12">
        <f>SUM($AQ274:BU274)-SUM($EA274:ES274)</f>
        <v>228280</v>
      </c>
      <c r="DB274" s="12">
        <f>SUM($AQ274:BV274)-SUM($EA274:ET274)</f>
        <v>218280</v>
      </c>
      <c r="DC274" s="12">
        <f>SUM($AQ274:BW274)-SUM($EA274:EU274)</f>
        <v>208280</v>
      </c>
      <c r="DD274" s="12">
        <f>SUM($AQ274:BX274)-SUM($EA274:EV274)</f>
        <v>198280</v>
      </c>
      <c r="DE274" s="12">
        <f>SUM($AQ274:BY274)-SUM($EA274:EW274)</f>
        <v>188280</v>
      </c>
      <c r="DF274" s="12">
        <f>SUM($AQ274:BZ274)-SUM($EA274:EX274)</f>
        <v>178280</v>
      </c>
      <c r="DG274" s="12">
        <f>SUM($AQ274:CA274)-SUM($EA274:EY274)</f>
        <v>168280</v>
      </c>
      <c r="DH274" s="12">
        <f>SUM($AQ274:CB274)-SUM($EA274:EZ274)</f>
        <v>158280</v>
      </c>
      <c r="DI274" s="12">
        <f>SUM($AQ274:CC274)-SUM($EA274:FA274)</f>
        <v>148280</v>
      </c>
      <c r="DJ274" s="12">
        <f>SUM($AQ274:CD274)-SUM($EA274:FB274)</f>
        <v>138280</v>
      </c>
      <c r="DK274" s="12">
        <f>SUM($AQ274:CE274)-SUM($EA274:FC274)</f>
        <v>128280</v>
      </c>
      <c r="DL274" s="12">
        <f>SUM($AQ274:CF274)-SUM($EA274:FD274)</f>
        <v>118280</v>
      </c>
      <c r="DM274" s="12">
        <f>SUM($AQ274:CG274)-SUM($EA274:FE274)</f>
        <v>108280</v>
      </c>
      <c r="DN274" s="12">
        <f>SUM($AQ274:CH274)-SUM($EA274:FF274)</f>
        <v>98280</v>
      </c>
      <c r="DO274" s="12">
        <f>SUM($AQ274:CI274)-SUM($EA274:FG274)</f>
        <v>88280</v>
      </c>
      <c r="DP274" s="12">
        <f>SUM($AQ274:CJ274)-SUM($EA274:FH274)</f>
        <v>78280</v>
      </c>
      <c r="DQ274" s="12">
        <f>SUM($AQ274:CK274)-SUM($EA274:FI274)</f>
        <v>68280</v>
      </c>
      <c r="DR274" s="12">
        <f>SUM($AQ274:CL274)-SUM($EA274:FJ274)</f>
        <v>58280</v>
      </c>
      <c r="DS274" s="12">
        <f>SUM($AQ274:CM274)-SUM($EA274:FK274)</f>
        <v>48280</v>
      </c>
      <c r="DT274" s="12">
        <f>SUM($AQ274:CN274)-SUM($EA274:FL274)</f>
        <v>38280</v>
      </c>
      <c r="DU274" s="12">
        <f>SUM($AQ274:CO274)-SUM($EA274:FM274)</f>
        <v>28280</v>
      </c>
      <c r="DV274" s="12">
        <f>SUM($AQ274:CP274)-SUM($EA274:FN274)</f>
        <v>339380</v>
      </c>
      <c r="DW274" s="12">
        <f>SUM($AQ274:CQ274)-SUM($EA274:FO274)</f>
        <v>657775</v>
      </c>
      <c r="DX274" s="13"/>
      <c r="DY274" s="13"/>
      <c r="DZ274" s="13"/>
      <c r="EA274" s="12"/>
      <c r="EB274" s="12"/>
      <c r="EC274" s="12"/>
      <c r="ED274" s="12"/>
      <c r="EE274" s="12"/>
      <c r="EF274" s="12"/>
      <c r="EG274" s="12"/>
      <c r="EH274" s="12">
        <f t="array" ref="EH274">SUMPRODUCT(TRANSPOSE(EH$9:EH$34),$K274:$AJ274)</f>
        <v>35315</v>
      </c>
      <c r="EI274" s="12">
        <f t="array" ref="EI274">SUMPRODUCT(TRANSPOSE(EI$9:EI$34),$K274:$AJ274)</f>
        <v>1405</v>
      </c>
      <c r="EJ274" s="12">
        <f t="array" ref="EJ274">SUMPRODUCT(TRANSPOSE(EJ$9:EJ$34),$K274:$AJ274)</f>
        <v>5000</v>
      </c>
      <c r="EK274" s="12">
        <f t="array" ref="EK274">SUMPRODUCT(TRANSPOSE(EK$9:EK$34),$K274:$AJ274)</f>
        <v>5500</v>
      </c>
      <c r="EL274" s="12">
        <f t="array" ref="EL274">SUMPRODUCT(TRANSPOSE(EL$9:EL$34),$K274:$AJ274)</f>
        <v>10000</v>
      </c>
      <c r="EM274" s="12">
        <f t="array" ref="EM274">SUMPRODUCT(TRANSPOSE(EM$9:EM$34),$K274:$AJ274)</f>
        <v>10000</v>
      </c>
      <c r="EN274" s="12">
        <f t="array" ref="EN274">SUMPRODUCT(TRANSPOSE(EN$9:EN$34),$K274:$AJ274)</f>
        <v>10000</v>
      </c>
      <c r="EO274" s="12">
        <f t="array" ref="EO274">SUMPRODUCT(TRANSPOSE(EO$9:EO$34),$K274:$AJ274)</f>
        <v>10000</v>
      </c>
      <c r="EP274" s="12">
        <f t="array" ref="EP274">SUMPRODUCT(TRANSPOSE(EP$9:EP$34),$K274:$AJ274)</f>
        <v>10000</v>
      </c>
      <c r="EQ274" s="12">
        <f t="array" ref="EQ274">SUMPRODUCT(TRANSPOSE(EQ$9:EQ$34),$K274:$AJ274)</f>
        <v>10000</v>
      </c>
      <c r="ER274" s="12">
        <f t="array" ref="ER274">SUMPRODUCT(TRANSPOSE(ER$9:ER$34),$K274:$AJ274)</f>
        <v>10000</v>
      </c>
      <c r="ES274" s="12">
        <f t="array" ref="ES274">SUMPRODUCT(TRANSPOSE(ES$9:ES$34),$K274:$AJ274)</f>
        <v>10000</v>
      </c>
      <c r="ET274" s="12">
        <f t="array" ref="ET274">SUMPRODUCT(TRANSPOSE(ET$9:ET$34),$K274:$AJ274)</f>
        <v>10000</v>
      </c>
      <c r="EU274" s="12">
        <f t="array" ref="EU274">SUMPRODUCT(TRANSPOSE(EU$9:EU$34),$K274:$AJ274)</f>
        <v>10000</v>
      </c>
      <c r="EV274" s="12">
        <f t="array" ref="EV274">SUMPRODUCT(TRANSPOSE(EV$9:EV$34),$K274:$AJ274)</f>
        <v>10000</v>
      </c>
      <c r="EW274" s="12">
        <f t="array" ref="EW274">SUMPRODUCT(TRANSPOSE(EW$9:EW$34),$K274:$AJ274)</f>
        <v>10000</v>
      </c>
      <c r="EX274" s="12">
        <f t="array" ref="EX274">SUMPRODUCT(TRANSPOSE(EX$9:EX$34),$K274:$AJ274)</f>
        <v>10000</v>
      </c>
      <c r="EY274" s="12">
        <f t="array" ref="EY274">SUMPRODUCT(TRANSPOSE(EY$9:EY$34),$K274:$AJ274)</f>
        <v>10000</v>
      </c>
      <c r="EZ274" s="12">
        <f t="array" ref="EZ274">SUMPRODUCT(TRANSPOSE(EZ$9:EZ$34),$K274:$AJ274)</f>
        <v>10000</v>
      </c>
      <c r="FA274" s="12">
        <f t="array" ref="FA274">SUMPRODUCT(TRANSPOSE(FA$9:FA$34),$K274:$AJ274)</f>
        <v>10000</v>
      </c>
      <c r="FB274" s="12">
        <f t="array" ref="FB274">SUMPRODUCT(TRANSPOSE(FB$9:FB$34),$K274:$AJ274)</f>
        <v>10000</v>
      </c>
      <c r="FC274" s="12">
        <f t="array" ref="FC274">SUMPRODUCT(TRANSPOSE(FC$9:FC$34),$K274:$AJ274)</f>
        <v>10000</v>
      </c>
      <c r="FD274" s="12">
        <f t="array" ref="FD274">SUMPRODUCT(TRANSPOSE(FD$9:FD$34),$K274:$AJ274)</f>
        <v>10000</v>
      </c>
      <c r="FE274" s="12">
        <f t="array" ref="FE274">SUMPRODUCT(TRANSPOSE(FE$9:FE$34),$K274:$AJ274)</f>
        <v>10000</v>
      </c>
      <c r="FF274" s="12">
        <f t="array" ref="FF274">SUMPRODUCT(TRANSPOSE(FF$9:FF$34),$K274:$AJ274)</f>
        <v>10000</v>
      </c>
      <c r="FG274" s="12">
        <f t="array" ref="FG274">SUMPRODUCT(TRANSPOSE(FG$9:FG$34),$K274:$AJ274)</f>
        <v>10000</v>
      </c>
      <c r="FH274" s="12">
        <f t="array" ref="FH274">SUMPRODUCT(TRANSPOSE(FH$9:FH$34),$K274:$AJ274)</f>
        <v>10000</v>
      </c>
      <c r="FI274" s="12">
        <f t="array" ref="FI274">SUMPRODUCT(TRANSPOSE(FI$9:FI$34),$K274:$AJ274)</f>
        <v>10000</v>
      </c>
      <c r="FJ274" s="12">
        <f t="array" ref="FJ274">SUMPRODUCT(TRANSPOSE(FJ$9:FJ$34),$K274:$AJ274)</f>
        <v>10000</v>
      </c>
      <c r="FK274" s="12">
        <f t="array" ref="FK274">SUMPRODUCT(TRANSPOSE(FK$9:FK$34),$K274:$AJ274)</f>
        <v>10000</v>
      </c>
      <c r="FL274" s="12">
        <f t="array" ref="FL274">SUMPRODUCT(TRANSPOSE(FL$9:FL$34),$K274:$AJ274)</f>
        <v>10000</v>
      </c>
      <c r="FM274" s="12">
        <f t="array" ref="FM274">SUMPRODUCT(TRANSPOSE(FM$9:FM$34),$K274:$AJ274)</f>
        <v>10000</v>
      </c>
      <c r="FN274" s="12">
        <f t="array" ref="FN274">SUMPRODUCT(TRANSPOSE(FN$9:FN$34),$K274:$AJ274)</f>
        <v>9085</v>
      </c>
      <c r="FO274" s="12">
        <f t="array" ref="FO274">SUMPRODUCT(TRANSPOSE(FO$9:FO$34),$K274:$AJ274)</f>
        <v>385</v>
      </c>
    </row>
    <row r="275" spans="1:171" ht="13.9" customHeight="1" x14ac:dyDescent="0.2">
      <c r="A275" s="13">
        <f t="shared" si="13"/>
        <v>240</v>
      </c>
      <c r="B275" s="13" t="s">
        <v>858</v>
      </c>
      <c r="C275" s="25" t="s">
        <v>859</v>
      </c>
      <c r="D275" s="13" t="s">
        <v>67</v>
      </c>
      <c r="E275" s="13">
        <v>514301548</v>
      </c>
      <c r="F275" s="26" t="s">
        <v>860</v>
      </c>
      <c r="G275" s="13"/>
      <c r="H275" s="13" t="s">
        <v>61</v>
      </c>
      <c r="I275" s="13">
        <v>2</v>
      </c>
      <c r="J275" s="13">
        <v>186</v>
      </c>
      <c r="K275" s="13">
        <v>0</v>
      </c>
      <c r="L275" s="13">
        <v>50</v>
      </c>
      <c r="M275" s="13">
        <v>2</v>
      </c>
      <c r="N275" s="13">
        <v>0</v>
      </c>
      <c r="O275" s="13">
        <v>0</v>
      </c>
      <c r="P275" s="13">
        <v>0</v>
      </c>
      <c r="Q275" s="13">
        <v>50</v>
      </c>
      <c r="R275" s="13">
        <v>17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17</v>
      </c>
      <c r="Z275" s="13"/>
      <c r="AA275" s="13">
        <v>0</v>
      </c>
      <c r="AB275" s="13">
        <v>50</v>
      </c>
      <c r="AC275" s="13">
        <v>17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f t="shared" si="14"/>
        <v>203</v>
      </c>
      <c r="AL275" s="23">
        <f t="shared" si="12"/>
        <v>4216617</v>
      </c>
      <c r="AM275" s="13"/>
      <c r="AN275" s="13" t="s">
        <v>854</v>
      </c>
      <c r="AO275" s="7" t="s">
        <v>855</v>
      </c>
      <c r="AP275" s="38">
        <v>6.7499999999999999E-3</v>
      </c>
      <c r="AQ275" s="12">
        <v>4214500</v>
      </c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13"/>
      <c r="CG275" s="13"/>
      <c r="CH275" s="13"/>
      <c r="CI275" s="12"/>
      <c r="CJ275" s="12"/>
      <c r="CK275" s="12"/>
      <c r="CL275" s="12"/>
      <c r="CM275" s="12"/>
      <c r="CN275" s="12"/>
      <c r="CO275" s="12"/>
      <c r="CP275" s="12">
        <f>SUM($AQ275:BJ275)-SUM($EA275:EH275)</f>
        <v>3831289</v>
      </c>
      <c r="CQ275" s="12">
        <f>SUM($AQ275:BK275)-SUM($EA275:EI275)</f>
        <v>3781762</v>
      </c>
      <c r="CR275" s="12">
        <f>SUM($AQ275:BL275)-SUM($EA275:EJ275)</f>
        <v>3729012</v>
      </c>
      <c r="CS275" s="12">
        <f>SUM($AQ275:BM275)-SUM($EA275:EK275)</f>
        <v>3673562</v>
      </c>
      <c r="CT275" s="12">
        <f>SUM($AQ275:BN275)-SUM($EA275:EL275)</f>
        <v>3603812</v>
      </c>
      <c r="CU275" s="12">
        <f>SUM($AQ275:BO275)-SUM($EA275:EM275)</f>
        <v>3567312</v>
      </c>
      <c r="CV275" s="12">
        <f>SUM($AQ275:BP275)-SUM($EA275:EN275)</f>
        <v>3499312</v>
      </c>
      <c r="CW275" s="12">
        <f>SUM($AQ275:BQ275)-SUM($EA275:EO275)</f>
        <v>3430312</v>
      </c>
      <c r="CX275" s="12">
        <f>SUM($AQ275:BR275)-SUM($EA275:EP275)</f>
        <v>3358812</v>
      </c>
      <c r="CY275" s="12">
        <f>SUM($AQ275:BS275)-SUM($EA275:EQ275)</f>
        <v>3287312</v>
      </c>
      <c r="CZ275" s="12">
        <f>SUM($AQ275:BT275)-SUM($EA275:ER275)</f>
        <v>3215812</v>
      </c>
      <c r="DA275" s="12">
        <f>SUM($AQ275:BU275)-SUM($EA275:ES275)</f>
        <v>3144312</v>
      </c>
      <c r="DB275" s="12">
        <f>SUM($AQ275:BV275)-SUM($EA275:ET275)</f>
        <v>3072812</v>
      </c>
      <c r="DC275" s="12">
        <f>SUM($AQ275:BW275)-SUM($EA275:EU275)</f>
        <v>3001312</v>
      </c>
      <c r="DD275" s="12">
        <f>SUM($AQ275:BX275)-SUM($EA275:EV275)</f>
        <v>2929812</v>
      </c>
      <c r="DE275" s="12">
        <f>SUM($AQ275:BY275)-SUM($EA275:EW275)</f>
        <v>2860312</v>
      </c>
      <c r="DF275" s="12">
        <f>SUM($AQ275:BZ275)-SUM($EA275:EX275)</f>
        <v>2791312</v>
      </c>
      <c r="DG275" s="12">
        <f>SUM($AQ275:CA275)-SUM($EA275:EY275)</f>
        <v>2722312</v>
      </c>
      <c r="DH275" s="12">
        <f>SUM($AQ275:CB275)-SUM($EA275:EZ275)</f>
        <v>2653312</v>
      </c>
      <c r="DI275" s="12">
        <f>SUM($AQ275:CC275)-SUM($EA275:FA275)</f>
        <v>2584312</v>
      </c>
      <c r="DJ275" s="12">
        <f>SUM($AQ275:CD275)-SUM($EA275:FB275)</f>
        <v>2515312</v>
      </c>
      <c r="DK275" s="12">
        <f>SUM($AQ275:CE275)-SUM($EA275:FC275)</f>
        <v>2446312</v>
      </c>
      <c r="DL275" s="12">
        <f>SUM($AQ275:CF275)-SUM($EA275:FD275)</f>
        <v>2377312</v>
      </c>
      <c r="DM275" s="12">
        <f>SUM($AQ275:CG275)-SUM($EA275:FE275)</f>
        <v>2308312</v>
      </c>
      <c r="DN275" s="12">
        <f>SUM($AQ275:CH275)-SUM($EA275:FF275)</f>
        <v>2239312</v>
      </c>
      <c r="DO275" s="12">
        <f>SUM($AQ275:CI275)-SUM($EA275:FG275)</f>
        <v>2170312</v>
      </c>
      <c r="DP275" s="12">
        <f>SUM($AQ275:CJ275)-SUM($EA275:FH275)</f>
        <v>2101312</v>
      </c>
      <c r="DQ275" s="12">
        <f>SUM($AQ275:CK275)-SUM($EA275:FI275)</f>
        <v>2032312</v>
      </c>
      <c r="DR275" s="12">
        <f>SUM($AQ275:CL275)-SUM($EA275:FJ275)</f>
        <v>1963312</v>
      </c>
      <c r="DS275" s="12">
        <f>SUM($AQ275:CM275)-SUM($EA275:FK275)</f>
        <v>1894312</v>
      </c>
      <c r="DT275" s="12">
        <f>SUM($AQ275:CN275)-SUM($EA275:FL275)</f>
        <v>1825312</v>
      </c>
      <c r="DU275" s="12">
        <f>SUM($AQ275:CO275)-SUM($EA275:FM275)</f>
        <v>1756312</v>
      </c>
      <c r="DV275" s="12">
        <f>SUM($AQ275:CP275)-SUM($EA275:FN275)</f>
        <v>5521712</v>
      </c>
      <c r="DW275" s="12">
        <f>SUM($AQ275:CQ275)-SUM($EA275:FO275)</f>
        <v>9301120</v>
      </c>
      <c r="DX275" s="13"/>
      <c r="DY275" s="13"/>
      <c r="DZ275" s="13"/>
      <c r="EA275" s="12"/>
      <c r="EB275" s="12"/>
      <c r="EC275" s="12"/>
      <c r="ED275" s="12"/>
      <c r="EE275" s="12"/>
      <c r="EF275" s="12"/>
      <c r="EG275" s="12"/>
      <c r="EH275" s="12">
        <f t="array" ref="EH275">SUMPRODUCT(TRANSPOSE(EH$9:EH$34),$K275:$AJ275)</f>
        <v>383211</v>
      </c>
      <c r="EI275" s="12">
        <f t="array" ref="EI275">SUMPRODUCT(TRANSPOSE(EI$9:EI$34),$K275:$AJ275)</f>
        <v>49527</v>
      </c>
      <c r="EJ275" s="12">
        <f t="array" ref="EJ275">SUMPRODUCT(TRANSPOSE(EJ$9:EJ$34),$K275:$AJ275)</f>
        <v>52750</v>
      </c>
      <c r="EK275" s="12">
        <f t="array" ref="EK275">SUMPRODUCT(TRANSPOSE(EK$9:EK$34),$K275:$AJ275)</f>
        <v>55450</v>
      </c>
      <c r="EL275" s="12">
        <f t="array" ref="EL275">SUMPRODUCT(TRANSPOSE(EL$9:EL$34),$K275:$AJ275)</f>
        <v>69750</v>
      </c>
      <c r="EM275" s="12">
        <f t="array" ref="EM275">SUMPRODUCT(TRANSPOSE(EM$9:EM$34),$K275:$AJ275)</f>
        <v>36500</v>
      </c>
      <c r="EN275" s="12">
        <f t="array" ref="EN275">SUMPRODUCT(TRANSPOSE(EN$9:EN$34),$K275:$AJ275)</f>
        <v>68000</v>
      </c>
      <c r="EO275" s="12">
        <f t="array" ref="EO275">SUMPRODUCT(TRANSPOSE(EO$9:EO$34),$K275:$AJ275)</f>
        <v>69000</v>
      </c>
      <c r="EP275" s="12">
        <f t="array" ref="EP275">SUMPRODUCT(TRANSPOSE(EP$9:EP$34),$K275:$AJ275)</f>
        <v>71500</v>
      </c>
      <c r="EQ275" s="12">
        <f t="array" ref="EQ275">SUMPRODUCT(TRANSPOSE(EQ$9:EQ$34),$K275:$AJ275)</f>
        <v>71500</v>
      </c>
      <c r="ER275" s="12">
        <f t="array" ref="ER275">SUMPRODUCT(TRANSPOSE(ER$9:ER$34),$K275:$AJ275)</f>
        <v>71500</v>
      </c>
      <c r="ES275" s="12">
        <f t="array" ref="ES275">SUMPRODUCT(TRANSPOSE(ES$9:ES$34),$K275:$AJ275)</f>
        <v>71500</v>
      </c>
      <c r="ET275" s="12">
        <f t="array" ref="ET275">SUMPRODUCT(TRANSPOSE(ET$9:ET$34),$K275:$AJ275)</f>
        <v>71500</v>
      </c>
      <c r="EU275" s="12">
        <f t="array" ref="EU275">SUMPRODUCT(TRANSPOSE(EU$9:EU$34),$K275:$AJ275)</f>
        <v>71500</v>
      </c>
      <c r="EV275" s="12">
        <f t="array" ref="EV275">SUMPRODUCT(TRANSPOSE(EV$9:EV$34),$K275:$AJ275)</f>
        <v>71500</v>
      </c>
      <c r="EW275" s="12">
        <f t="array" ref="EW275">SUMPRODUCT(TRANSPOSE(EW$9:EW$34),$K275:$AJ275)</f>
        <v>69500</v>
      </c>
      <c r="EX275" s="12">
        <f t="array" ref="EX275">SUMPRODUCT(TRANSPOSE(EX$9:EX$34),$K275:$AJ275)</f>
        <v>69000</v>
      </c>
      <c r="EY275" s="12">
        <f t="array" ref="EY275">SUMPRODUCT(TRANSPOSE(EY$9:EY$34),$K275:$AJ275)</f>
        <v>69000</v>
      </c>
      <c r="EZ275" s="12">
        <f t="array" ref="EZ275">SUMPRODUCT(TRANSPOSE(EZ$9:EZ$34),$K275:$AJ275)</f>
        <v>69000</v>
      </c>
      <c r="FA275" s="12">
        <f t="array" ref="FA275">SUMPRODUCT(TRANSPOSE(FA$9:FA$34),$K275:$AJ275)</f>
        <v>69000</v>
      </c>
      <c r="FB275" s="12">
        <f t="array" ref="FB275">SUMPRODUCT(TRANSPOSE(FB$9:FB$34),$K275:$AJ275)</f>
        <v>69000</v>
      </c>
      <c r="FC275" s="12">
        <f t="array" ref="FC275">SUMPRODUCT(TRANSPOSE(FC$9:FC$34),$K275:$AJ275)</f>
        <v>69000</v>
      </c>
      <c r="FD275" s="12">
        <f t="array" ref="FD275">SUMPRODUCT(TRANSPOSE(FD$9:FD$34),$K275:$AJ275)</f>
        <v>69000</v>
      </c>
      <c r="FE275" s="12">
        <f t="array" ref="FE275">SUMPRODUCT(TRANSPOSE(FE$9:FE$34),$K275:$AJ275)</f>
        <v>69000</v>
      </c>
      <c r="FF275" s="12">
        <f t="array" ref="FF275">SUMPRODUCT(TRANSPOSE(FF$9:FF$34),$K275:$AJ275)</f>
        <v>69000</v>
      </c>
      <c r="FG275" s="12">
        <f t="array" ref="FG275">SUMPRODUCT(TRANSPOSE(FG$9:FG$34),$K275:$AJ275)</f>
        <v>69000</v>
      </c>
      <c r="FH275" s="12">
        <f t="array" ref="FH275">SUMPRODUCT(TRANSPOSE(FH$9:FH$34),$K275:$AJ275)</f>
        <v>69000</v>
      </c>
      <c r="FI275" s="12">
        <f t="array" ref="FI275">SUMPRODUCT(TRANSPOSE(FI$9:FI$34),$K275:$AJ275)</f>
        <v>69000</v>
      </c>
      <c r="FJ275" s="12">
        <f t="array" ref="FJ275">SUMPRODUCT(TRANSPOSE(FJ$9:FJ$34),$K275:$AJ275)</f>
        <v>69000</v>
      </c>
      <c r="FK275" s="12">
        <f t="array" ref="FK275">SUMPRODUCT(TRANSPOSE(FK$9:FK$34),$K275:$AJ275)</f>
        <v>69000</v>
      </c>
      <c r="FL275" s="12">
        <f t="array" ref="FL275">SUMPRODUCT(TRANSPOSE(FL$9:FL$34),$K275:$AJ275)</f>
        <v>69000</v>
      </c>
      <c r="FM275" s="12">
        <f t="array" ref="FM275">SUMPRODUCT(TRANSPOSE(FM$9:FM$34),$K275:$AJ275)</f>
        <v>69000</v>
      </c>
      <c r="FN275" s="12">
        <f t="array" ref="FN275">SUMPRODUCT(TRANSPOSE(FN$9:FN$34),$K275:$AJ275)</f>
        <v>65889</v>
      </c>
      <c r="FO275" s="12">
        <f t="array" ref="FO275">SUMPRODUCT(TRANSPOSE(FO$9:FO$34),$K275:$AJ275)</f>
        <v>2354</v>
      </c>
    </row>
    <row r="276" spans="1:171" ht="14.25" x14ac:dyDescent="0.2">
      <c r="A276" s="13">
        <f t="shared" si="13"/>
        <v>241</v>
      </c>
      <c r="B276" s="13" t="s">
        <v>861</v>
      </c>
      <c r="C276" s="25" t="s">
        <v>862</v>
      </c>
      <c r="D276" s="13" t="s">
        <v>67</v>
      </c>
      <c r="E276" s="13">
        <v>514301316</v>
      </c>
      <c r="F276" s="26" t="s">
        <v>860</v>
      </c>
      <c r="G276" s="13"/>
      <c r="H276" s="13" t="s">
        <v>61</v>
      </c>
      <c r="I276" s="13">
        <v>2</v>
      </c>
      <c r="J276" s="13">
        <v>39</v>
      </c>
      <c r="K276" s="13">
        <v>0</v>
      </c>
      <c r="L276" s="13">
        <v>13</v>
      </c>
      <c r="M276" s="13">
        <v>0</v>
      </c>
      <c r="N276" s="13">
        <v>0</v>
      </c>
      <c r="O276" s="13">
        <v>0</v>
      </c>
      <c r="P276" s="13">
        <v>0</v>
      </c>
      <c r="Q276" s="13">
        <v>13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/>
      <c r="Z276" s="13"/>
      <c r="AA276" s="13">
        <v>0</v>
      </c>
      <c r="AB276" s="13">
        <v>13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f t="shared" si="14"/>
        <v>39</v>
      </c>
      <c r="AL276" s="23">
        <f t="shared" si="12"/>
        <v>920361</v>
      </c>
      <c r="AM276" s="13"/>
      <c r="AN276" s="13" t="s">
        <v>854</v>
      </c>
      <c r="AO276" s="7" t="s">
        <v>855</v>
      </c>
      <c r="AP276" s="38">
        <v>6.0000000000000001E-3</v>
      </c>
      <c r="AQ276" s="12">
        <v>924150</v>
      </c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13"/>
      <c r="CG276" s="13"/>
      <c r="CH276" s="13"/>
      <c r="CI276" s="12"/>
      <c r="CJ276" s="12"/>
      <c r="CK276" s="12"/>
      <c r="CL276" s="12"/>
      <c r="CM276" s="12"/>
      <c r="CN276" s="12"/>
      <c r="CO276" s="12"/>
      <c r="CP276" s="12">
        <f>SUM($AQ276:BJ276)-SUM($EA276:EH276)</f>
        <v>840313</v>
      </c>
      <c r="CQ276" s="12">
        <f>SUM($AQ276:BK276)-SUM($EA276:EI276)</f>
        <v>828678</v>
      </c>
      <c r="CR276" s="12">
        <f>SUM($AQ276:BL276)-SUM($EA276:EJ276)</f>
        <v>815483</v>
      </c>
      <c r="CS276" s="12">
        <f>SUM($AQ276:BM276)-SUM($EA276:EK276)</f>
        <v>802028</v>
      </c>
      <c r="CT276" s="12">
        <f>SUM($AQ276:BN276)-SUM($EA276:EL276)</f>
        <v>788833</v>
      </c>
      <c r="CU276" s="12">
        <f>SUM($AQ276:BO276)-SUM($EA276:EM276)</f>
        <v>788183</v>
      </c>
      <c r="CV276" s="12">
        <f>SUM($AQ276:BP276)-SUM($EA276:EN276)</f>
        <v>775833</v>
      </c>
      <c r="CW276" s="12">
        <f>SUM($AQ276:BQ276)-SUM($EA276:EO276)</f>
        <v>762833</v>
      </c>
      <c r="CX276" s="12">
        <f>SUM($AQ276:BR276)-SUM($EA276:EP276)</f>
        <v>749183</v>
      </c>
      <c r="CY276" s="12">
        <f>SUM($AQ276:BS276)-SUM($EA276:EQ276)</f>
        <v>735533</v>
      </c>
      <c r="CZ276" s="12">
        <f>SUM($AQ276:BT276)-SUM($EA276:ER276)</f>
        <v>721883</v>
      </c>
      <c r="DA276" s="12">
        <f>SUM($AQ276:BU276)-SUM($EA276:ES276)</f>
        <v>708233</v>
      </c>
      <c r="DB276" s="12">
        <f>SUM($AQ276:BV276)-SUM($EA276:ET276)</f>
        <v>694583</v>
      </c>
      <c r="DC276" s="12">
        <f>SUM($AQ276:BW276)-SUM($EA276:EU276)</f>
        <v>680933</v>
      </c>
      <c r="DD276" s="12">
        <f>SUM($AQ276:BX276)-SUM($EA276:EV276)</f>
        <v>667283</v>
      </c>
      <c r="DE276" s="12">
        <f>SUM($AQ276:BY276)-SUM($EA276:EW276)</f>
        <v>654153</v>
      </c>
      <c r="DF276" s="12">
        <f>SUM($AQ276:BZ276)-SUM($EA276:EX276)</f>
        <v>641153</v>
      </c>
      <c r="DG276" s="12">
        <f>SUM($AQ276:CA276)-SUM($EA276:EY276)</f>
        <v>628153</v>
      </c>
      <c r="DH276" s="12">
        <f>SUM($AQ276:CB276)-SUM($EA276:EZ276)</f>
        <v>615153</v>
      </c>
      <c r="DI276" s="12">
        <f>SUM($AQ276:CC276)-SUM($EA276:FA276)</f>
        <v>602153</v>
      </c>
      <c r="DJ276" s="12">
        <f>SUM($AQ276:CD276)-SUM($EA276:FB276)</f>
        <v>589153</v>
      </c>
      <c r="DK276" s="12">
        <f>SUM($AQ276:CE276)-SUM($EA276:FC276)</f>
        <v>576153</v>
      </c>
      <c r="DL276" s="12">
        <f>SUM($AQ276:CF276)-SUM($EA276:FD276)</f>
        <v>563153</v>
      </c>
      <c r="DM276" s="12">
        <f>SUM($AQ276:CG276)-SUM($EA276:FE276)</f>
        <v>550153</v>
      </c>
      <c r="DN276" s="12">
        <f>SUM($AQ276:CH276)-SUM($EA276:FF276)</f>
        <v>537153</v>
      </c>
      <c r="DO276" s="12">
        <f>SUM($AQ276:CI276)-SUM($EA276:FG276)</f>
        <v>524153</v>
      </c>
      <c r="DP276" s="12">
        <f>SUM($AQ276:CJ276)-SUM($EA276:FH276)</f>
        <v>511153</v>
      </c>
      <c r="DQ276" s="12">
        <f>SUM($AQ276:CK276)-SUM($EA276:FI276)</f>
        <v>498153</v>
      </c>
      <c r="DR276" s="12">
        <f>SUM($AQ276:CL276)-SUM($EA276:FJ276)</f>
        <v>485153</v>
      </c>
      <c r="DS276" s="12">
        <f>SUM($AQ276:CM276)-SUM($EA276:FK276)</f>
        <v>472153</v>
      </c>
      <c r="DT276" s="12">
        <f>SUM($AQ276:CN276)-SUM($EA276:FL276)</f>
        <v>459153</v>
      </c>
      <c r="DU276" s="12">
        <f>SUM($AQ276:CO276)-SUM($EA276:FM276)</f>
        <v>446153</v>
      </c>
      <c r="DV276" s="12">
        <f>SUM($AQ276:CP276)-SUM($EA276:FN276)</f>
        <v>1273466</v>
      </c>
      <c r="DW276" s="12">
        <f>SUM($AQ276:CQ276)-SUM($EA276:FO276)</f>
        <v>2101572</v>
      </c>
      <c r="DX276" s="13"/>
      <c r="DY276" s="13"/>
      <c r="DZ276" s="13"/>
      <c r="EA276" s="12"/>
      <c r="EB276" s="12"/>
      <c r="EC276" s="12"/>
      <c r="ED276" s="12"/>
      <c r="EE276" s="12"/>
      <c r="EF276" s="12"/>
      <c r="EG276" s="12"/>
      <c r="EH276" s="12">
        <f t="array" ref="EH276">SUMPRODUCT(TRANSPOSE(EH$9:EH$34),$K276:$AJ276)</f>
        <v>83837</v>
      </c>
      <c r="EI276" s="12">
        <f t="array" ref="EI276">SUMPRODUCT(TRANSPOSE(EI$9:EI$34),$K276:$AJ276)</f>
        <v>11635</v>
      </c>
      <c r="EJ276" s="12">
        <f t="array" ref="EJ276">SUMPRODUCT(TRANSPOSE(EJ$9:EJ$34),$K276:$AJ276)</f>
        <v>13195</v>
      </c>
      <c r="EK276" s="12">
        <f t="array" ref="EK276">SUMPRODUCT(TRANSPOSE(EK$9:EK$34),$K276:$AJ276)</f>
        <v>13455</v>
      </c>
      <c r="EL276" s="12">
        <f t="array" ref="EL276">SUMPRODUCT(TRANSPOSE(EL$9:EL$34),$K276:$AJ276)</f>
        <v>13195</v>
      </c>
      <c r="EM276" s="12">
        <f t="array" ref="EM276">SUMPRODUCT(TRANSPOSE(EM$9:EM$34),$K276:$AJ276)</f>
        <v>650</v>
      </c>
      <c r="EN276" s="12">
        <f t="array" ref="EN276">SUMPRODUCT(TRANSPOSE(EN$9:EN$34),$K276:$AJ276)</f>
        <v>12350</v>
      </c>
      <c r="EO276" s="12">
        <f t="array" ref="EO276">SUMPRODUCT(TRANSPOSE(EO$9:EO$34),$K276:$AJ276)</f>
        <v>13000</v>
      </c>
      <c r="EP276" s="12">
        <f t="array" ref="EP276">SUMPRODUCT(TRANSPOSE(EP$9:EP$34),$K276:$AJ276)</f>
        <v>13650</v>
      </c>
      <c r="EQ276" s="12">
        <f t="array" ref="EQ276">SUMPRODUCT(TRANSPOSE(EQ$9:EQ$34),$K276:$AJ276)</f>
        <v>13650</v>
      </c>
      <c r="ER276" s="12">
        <f t="array" ref="ER276">SUMPRODUCT(TRANSPOSE(ER$9:ER$34),$K276:$AJ276)</f>
        <v>13650</v>
      </c>
      <c r="ES276" s="12">
        <f t="array" ref="ES276">SUMPRODUCT(TRANSPOSE(ES$9:ES$34),$K276:$AJ276)</f>
        <v>13650</v>
      </c>
      <c r="ET276" s="12">
        <f t="array" ref="ET276">SUMPRODUCT(TRANSPOSE(ET$9:ET$34),$K276:$AJ276)</f>
        <v>13650</v>
      </c>
      <c r="EU276" s="12">
        <f t="array" ref="EU276">SUMPRODUCT(TRANSPOSE(EU$9:EU$34),$K276:$AJ276)</f>
        <v>13650</v>
      </c>
      <c r="EV276" s="12">
        <f t="array" ref="EV276">SUMPRODUCT(TRANSPOSE(EV$9:EV$34),$K276:$AJ276)</f>
        <v>13650</v>
      </c>
      <c r="EW276" s="12">
        <f t="array" ref="EW276">SUMPRODUCT(TRANSPOSE(EW$9:EW$34),$K276:$AJ276)</f>
        <v>13130</v>
      </c>
      <c r="EX276" s="12">
        <f t="array" ref="EX276">SUMPRODUCT(TRANSPOSE(EX$9:EX$34),$K276:$AJ276)</f>
        <v>13000</v>
      </c>
      <c r="EY276" s="12">
        <f t="array" ref="EY276">SUMPRODUCT(TRANSPOSE(EY$9:EY$34),$K276:$AJ276)</f>
        <v>13000</v>
      </c>
      <c r="EZ276" s="12">
        <f t="array" ref="EZ276">SUMPRODUCT(TRANSPOSE(EZ$9:EZ$34),$K276:$AJ276)</f>
        <v>13000</v>
      </c>
      <c r="FA276" s="12">
        <f t="array" ref="FA276">SUMPRODUCT(TRANSPOSE(FA$9:FA$34),$K276:$AJ276)</f>
        <v>13000</v>
      </c>
      <c r="FB276" s="12">
        <f t="array" ref="FB276">SUMPRODUCT(TRANSPOSE(FB$9:FB$34),$K276:$AJ276)</f>
        <v>13000</v>
      </c>
      <c r="FC276" s="12">
        <f t="array" ref="FC276">SUMPRODUCT(TRANSPOSE(FC$9:FC$34),$K276:$AJ276)</f>
        <v>13000</v>
      </c>
      <c r="FD276" s="12">
        <f t="array" ref="FD276">SUMPRODUCT(TRANSPOSE(FD$9:FD$34),$K276:$AJ276)</f>
        <v>13000</v>
      </c>
      <c r="FE276" s="12">
        <f t="array" ref="FE276">SUMPRODUCT(TRANSPOSE(FE$9:FE$34),$K276:$AJ276)</f>
        <v>13000</v>
      </c>
      <c r="FF276" s="12">
        <f t="array" ref="FF276">SUMPRODUCT(TRANSPOSE(FF$9:FF$34),$K276:$AJ276)</f>
        <v>13000</v>
      </c>
      <c r="FG276" s="12">
        <f t="array" ref="FG276">SUMPRODUCT(TRANSPOSE(FG$9:FG$34),$K276:$AJ276)</f>
        <v>13000</v>
      </c>
      <c r="FH276" s="12">
        <f t="array" ref="FH276">SUMPRODUCT(TRANSPOSE(FH$9:FH$34),$K276:$AJ276)</f>
        <v>13000</v>
      </c>
      <c r="FI276" s="12">
        <f t="array" ref="FI276">SUMPRODUCT(TRANSPOSE(FI$9:FI$34),$K276:$AJ276)</f>
        <v>13000</v>
      </c>
      <c r="FJ276" s="12">
        <f t="array" ref="FJ276">SUMPRODUCT(TRANSPOSE(FJ$9:FJ$34),$K276:$AJ276)</f>
        <v>13000</v>
      </c>
      <c r="FK276" s="12">
        <f t="array" ref="FK276">SUMPRODUCT(TRANSPOSE(FK$9:FK$34),$K276:$AJ276)</f>
        <v>13000</v>
      </c>
      <c r="FL276" s="12">
        <f t="array" ref="FL276">SUMPRODUCT(TRANSPOSE(FL$9:FL$34),$K276:$AJ276)</f>
        <v>13000</v>
      </c>
      <c r="FM276" s="12">
        <f t="array" ref="FM276">SUMPRODUCT(TRANSPOSE(FM$9:FM$34),$K276:$AJ276)</f>
        <v>13000</v>
      </c>
      <c r="FN276" s="12">
        <f t="array" ref="FN276">SUMPRODUCT(TRANSPOSE(FN$9:FN$34),$K276:$AJ276)</f>
        <v>13000</v>
      </c>
      <c r="FO276" s="12">
        <f t="array" ref="FO276">SUMPRODUCT(TRANSPOSE(FO$9:FO$34),$K276:$AJ276)</f>
        <v>572</v>
      </c>
    </row>
    <row r="277" spans="1:171" ht="14.25" x14ac:dyDescent="0.2">
      <c r="A277" s="13">
        <f t="shared" si="13"/>
        <v>242</v>
      </c>
      <c r="B277" s="13" t="s">
        <v>863</v>
      </c>
      <c r="C277" s="25" t="s">
        <v>864</v>
      </c>
      <c r="D277" s="13" t="s">
        <v>67</v>
      </c>
      <c r="E277" s="13">
        <v>512326521</v>
      </c>
      <c r="F277" s="26" t="s">
        <v>865</v>
      </c>
      <c r="G277" s="13"/>
      <c r="H277" s="13" t="s">
        <v>61</v>
      </c>
      <c r="I277" s="13">
        <v>1</v>
      </c>
      <c r="J277" s="13">
        <v>117</v>
      </c>
      <c r="K277" s="13">
        <v>0</v>
      </c>
      <c r="L277" s="13">
        <v>39</v>
      </c>
      <c r="M277" s="13">
        <v>0</v>
      </c>
      <c r="N277" s="13">
        <v>0</v>
      </c>
      <c r="O277" s="13">
        <v>0</v>
      </c>
      <c r="P277" s="13">
        <v>0</v>
      </c>
      <c r="Q277" s="13">
        <v>39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/>
      <c r="Z277" s="13"/>
      <c r="AA277" s="13">
        <v>0</v>
      </c>
      <c r="AB277" s="13">
        <v>39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f t="shared" si="14"/>
        <v>117</v>
      </c>
      <c r="AL277" s="23">
        <f t="shared" si="12"/>
        <v>2761083</v>
      </c>
      <c r="AM277" s="13"/>
      <c r="AN277" s="13" t="s">
        <v>866</v>
      </c>
      <c r="AO277" s="7" t="s">
        <v>855</v>
      </c>
      <c r="AP277" s="38">
        <v>2.5000000000000001E-2</v>
      </c>
      <c r="AQ277" s="12">
        <v>2764219</v>
      </c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13"/>
      <c r="CG277" s="13"/>
      <c r="CH277" s="13"/>
      <c r="CI277" s="12"/>
      <c r="CJ277" s="12"/>
      <c r="CK277" s="12"/>
      <c r="CL277" s="12"/>
      <c r="CM277" s="12"/>
      <c r="CN277" s="12"/>
      <c r="CO277" s="12"/>
      <c r="CP277" s="12">
        <f>SUM($AQ277:BJ277)-SUM($EA277:EH277)</f>
        <v>2512708</v>
      </c>
      <c r="CQ277" s="12">
        <f>SUM($AQ277:BK277)-SUM($EA277:EI277)</f>
        <v>2477803</v>
      </c>
      <c r="CR277" s="12">
        <f>SUM($AQ277:BL277)-SUM($EA277:EJ277)</f>
        <v>2438218</v>
      </c>
      <c r="CS277" s="12">
        <f>SUM($AQ277:BM277)-SUM($EA277:EK277)</f>
        <v>2397853</v>
      </c>
      <c r="CT277" s="12">
        <f>SUM($AQ277:BN277)-SUM($EA277:EL277)</f>
        <v>2358268</v>
      </c>
      <c r="CU277" s="12">
        <f>SUM($AQ277:BO277)-SUM($EA277:EM277)</f>
        <v>2356318</v>
      </c>
      <c r="CV277" s="12">
        <f>SUM($AQ277:BP277)-SUM($EA277:EN277)</f>
        <v>2319268</v>
      </c>
      <c r="CW277" s="12">
        <f>SUM($AQ277:BQ277)-SUM($EA277:EO277)</f>
        <v>2280268</v>
      </c>
      <c r="CX277" s="12">
        <f>SUM($AQ277:BR277)-SUM($EA277:EP277)</f>
        <v>2239318</v>
      </c>
      <c r="CY277" s="12">
        <f>SUM($AQ277:BS277)-SUM($EA277:EQ277)</f>
        <v>2198368</v>
      </c>
      <c r="CZ277" s="12">
        <f>SUM($AQ277:BT277)-SUM($EA277:ER277)</f>
        <v>2157418</v>
      </c>
      <c r="DA277" s="12">
        <f>SUM($AQ277:BU277)-SUM($EA277:ES277)</f>
        <v>2116468</v>
      </c>
      <c r="DB277" s="12">
        <f>SUM($AQ277:BV277)-SUM($EA277:ET277)</f>
        <v>2075518</v>
      </c>
      <c r="DC277" s="12">
        <f>SUM($AQ277:BW277)-SUM($EA277:EU277)</f>
        <v>2034568</v>
      </c>
      <c r="DD277" s="12">
        <f>SUM($AQ277:BX277)-SUM($EA277:EV277)</f>
        <v>1993618</v>
      </c>
      <c r="DE277" s="12">
        <f>SUM($AQ277:BY277)-SUM($EA277:EW277)</f>
        <v>1954228</v>
      </c>
      <c r="DF277" s="12">
        <f>SUM($AQ277:BZ277)-SUM($EA277:EX277)</f>
        <v>1915228</v>
      </c>
      <c r="DG277" s="12">
        <f>SUM($AQ277:CA277)-SUM($EA277:EY277)</f>
        <v>1876228</v>
      </c>
      <c r="DH277" s="12">
        <f>SUM($AQ277:CB277)-SUM($EA277:EZ277)</f>
        <v>1837228</v>
      </c>
      <c r="DI277" s="12">
        <f>SUM($AQ277:CC277)-SUM($EA277:FA277)</f>
        <v>1798228</v>
      </c>
      <c r="DJ277" s="12">
        <f>SUM($AQ277:CD277)-SUM($EA277:FB277)</f>
        <v>1759228</v>
      </c>
      <c r="DK277" s="12">
        <f>SUM($AQ277:CE277)-SUM($EA277:FC277)</f>
        <v>1720228</v>
      </c>
      <c r="DL277" s="12">
        <f>SUM($AQ277:CF277)-SUM($EA277:FD277)</f>
        <v>1681228</v>
      </c>
      <c r="DM277" s="12">
        <f>SUM($AQ277:CG277)-SUM($EA277:FE277)</f>
        <v>1642228</v>
      </c>
      <c r="DN277" s="12">
        <f>SUM($AQ277:CH277)-SUM($EA277:FF277)</f>
        <v>1603228</v>
      </c>
      <c r="DO277" s="12">
        <f>SUM($AQ277:CI277)-SUM($EA277:FG277)</f>
        <v>1564228</v>
      </c>
      <c r="DP277" s="12">
        <f>SUM($AQ277:CJ277)-SUM($EA277:FH277)</f>
        <v>1525228</v>
      </c>
      <c r="DQ277" s="12">
        <f>SUM($AQ277:CK277)-SUM($EA277:FI277)</f>
        <v>1486228</v>
      </c>
      <c r="DR277" s="12">
        <f>SUM($AQ277:CL277)-SUM($EA277:FJ277)</f>
        <v>1447228</v>
      </c>
      <c r="DS277" s="12">
        <f>SUM($AQ277:CM277)-SUM($EA277:FK277)</f>
        <v>1408228</v>
      </c>
      <c r="DT277" s="12">
        <f>SUM($AQ277:CN277)-SUM($EA277:FL277)</f>
        <v>1369228</v>
      </c>
      <c r="DU277" s="12">
        <f>SUM($AQ277:CO277)-SUM($EA277:FM277)</f>
        <v>1330228</v>
      </c>
      <c r="DV277" s="12">
        <f>SUM($AQ277:CP277)-SUM($EA277:FN277)</f>
        <v>3803936</v>
      </c>
      <c r="DW277" s="12">
        <f>SUM($AQ277:CQ277)-SUM($EA277:FO277)</f>
        <v>6280023</v>
      </c>
      <c r="DX277" s="13"/>
      <c r="DY277" s="13"/>
      <c r="DZ277" s="13"/>
      <c r="EA277" s="12"/>
      <c r="EB277" s="12"/>
      <c r="EC277" s="12"/>
      <c r="ED277" s="12"/>
      <c r="EE277" s="12"/>
      <c r="EF277" s="12"/>
      <c r="EG277" s="12"/>
      <c r="EH277" s="12">
        <f t="array" ref="EH277">SUMPRODUCT(TRANSPOSE(EH$9:EH$34),$K277:$AJ277)</f>
        <v>251511</v>
      </c>
      <c r="EI277" s="12">
        <f t="array" ref="EI277">SUMPRODUCT(TRANSPOSE(EI$9:EI$34),$K277:$AJ277)</f>
        <v>34905</v>
      </c>
      <c r="EJ277" s="12">
        <f t="array" ref="EJ277">SUMPRODUCT(TRANSPOSE(EJ$9:EJ$34),$K277:$AJ277)</f>
        <v>39585</v>
      </c>
      <c r="EK277" s="12">
        <f t="array" ref="EK277">SUMPRODUCT(TRANSPOSE(EK$9:EK$34),$K277:$AJ277)</f>
        <v>40365</v>
      </c>
      <c r="EL277" s="12">
        <f t="array" ref="EL277">SUMPRODUCT(TRANSPOSE(EL$9:EL$34),$K277:$AJ277)</f>
        <v>39585</v>
      </c>
      <c r="EM277" s="12">
        <f t="array" ref="EM277">SUMPRODUCT(TRANSPOSE(EM$9:EM$34),$K277:$AJ277)</f>
        <v>1950</v>
      </c>
      <c r="EN277" s="12">
        <f t="array" ref="EN277">SUMPRODUCT(TRANSPOSE(EN$9:EN$34),$K277:$AJ277)</f>
        <v>37050</v>
      </c>
      <c r="EO277" s="12">
        <f t="array" ref="EO277">SUMPRODUCT(TRANSPOSE(EO$9:EO$34),$K277:$AJ277)</f>
        <v>39000</v>
      </c>
      <c r="EP277" s="12">
        <f t="array" ref="EP277">SUMPRODUCT(TRANSPOSE(EP$9:EP$34),$K277:$AJ277)</f>
        <v>40950</v>
      </c>
      <c r="EQ277" s="12">
        <f t="array" ref="EQ277">SUMPRODUCT(TRANSPOSE(EQ$9:EQ$34),$K277:$AJ277)</f>
        <v>40950</v>
      </c>
      <c r="ER277" s="12">
        <f t="array" ref="ER277">SUMPRODUCT(TRANSPOSE(ER$9:ER$34),$K277:$AJ277)</f>
        <v>40950</v>
      </c>
      <c r="ES277" s="12">
        <f t="array" ref="ES277">SUMPRODUCT(TRANSPOSE(ES$9:ES$34),$K277:$AJ277)</f>
        <v>40950</v>
      </c>
      <c r="ET277" s="12">
        <f t="array" ref="ET277">SUMPRODUCT(TRANSPOSE(ET$9:ET$34),$K277:$AJ277)</f>
        <v>40950</v>
      </c>
      <c r="EU277" s="12">
        <f t="array" ref="EU277">SUMPRODUCT(TRANSPOSE(EU$9:EU$34),$K277:$AJ277)</f>
        <v>40950</v>
      </c>
      <c r="EV277" s="12">
        <f t="array" ref="EV277">SUMPRODUCT(TRANSPOSE(EV$9:EV$34),$K277:$AJ277)</f>
        <v>40950</v>
      </c>
      <c r="EW277" s="12">
        <f t="array" ref="EW277">SUMPRODUCT(TRANSPOSE(EW$9:EW$34),$K277:$AJ277)</f>
        <v>39390</v>
      </c>
      <c r="EX277" s="12">
        <f t="array" ref="EX277">SUMPRODUCT(TRANSPOSE(EX$9:EX$34),$K277:$AJ277)</f>
        <v>39000</v>
      </c>
      <c r="EY277" s="12">
        <f t="array" ref="EY277">SUMPRODUCT(TRANSPOSE(EY$9:EY$34),$K277:$AJ277)</f>
        <v>39000</v>
      </c>
      <c r="EZ277" s="12">
        <f t="array" ref="EZ277">SUMPRODUCT(TRANSPOSE(EZ$9:EZ$34),$K277:$AJ277)</f>
        <v>39000</v>
      </c>
      <c r="FA277" s="12">
        <f t="array" ref="FA277">SUMPRODUCT(TRANSPOSE(FA$9:FA$34),$K277:$AJ277)</f>
        <v>39000</v>
      </c>
      <c r="FB277" s="12">
        <f t="array" ref="FB277">SUMPRODUCT(TRANSPOSE(FB$9:FB$34),$K277:$AJ277)</f>
        <v>39000</v>
      </c>
      <c r="FC277" s="12">
        <f t="array" ref="FC277">SUMPRODUCT(TRANSPOSE(FC$9:FC$34),$K277:$AJ277)</f>
        <v>39000</v>
      </c>
      <c r="FD277" s="12">
        <f t="array" ref="FD277">SUMPRODUCT(TRANSPOSE(FD$9:FD$34),$K277:$AJ277)</f>
        <v>39000</v>
      </c>
      <c r="FE277" s="12">
        <f t="array" ref="FE277">SUMPRODUCT(TRANSPOSE(FE$9:FE$34),$K277:$AJ277)</f>
        <v>39000</v>
      </c>
      <c r="FF277" s="12">
        <f t="array" ref="FF277">SUMPRODUCT(TRANSPOSE(FF$9:FF$34),$K277:$AJ277)</f>
        <v>39000</v>
      </c>
      <c r="FG277" s="12">
        <f t="array" ref="FG277">SUMPRODUCT(TRANSPOSE(FG$9:FG$34),$K277:$AJ277)</f>
        <v>39000</v>
      </c>
      <c r="FH277" s="12">
        <f t="array" ref="FH277">SUMPRODUCT(TRANSPOSE(FH$9:FH$34),$K277:$AJ277)</f>
        <v>39000</v>
      </c>
      <c r="FI277" s="12">
        <f t="array" ref="FI277">SUMPRODUCT(TRANSPOSE(FI$9:FI$34),$K277:$AJ277)</f>
        <v>39000</v>
      </c>
      <c r="FJ277" s="12">
        <f t="array" ref="FJ277">SUMPRODUCT(TRANSPOSE(FJ$9:FJ$34),$K277:$AJ277)</f>
        <v>39000</v>
      </c>
      <c r="FK277" s="12">
        <f t="array" ref="FK277">SUMPRODUCT(TRANSPOSE(FK$9:FK$34),$K277:$AJ277)</f>
        <v>39000</v>
      </c>
      <c r="FL277" s="12">
        <f t="array" ref="FL277">SUMPRODUCT(TRANSPOSE(FL$9:FL$34),$K277:$AJ277)</f>
        <v>39000</v>
      </c>
      <c r="FM277" s="12">
        <f t="array" ref="FM277">SUMPRODUCT(TRANSPOSE(FM$9:FM$34),$K277:$AJ277)</f>
        <v>39000</v>
      </c>
      <c r="FN277" s="12">
        <f t="array" ref="FN277">SUMPRODUCT(TRANSPOSE(FN$9:FN$34),$K277:$AJ277)</f>
        <v>39000</v>
      </c>
      <c r="FO277" s="12">
        <f t="array" ref="FO277">SUMPRODUCT(TRANSPOSE(FO$9:FO$34),$K277:$AJ277)</f>
        <v>1716</v>
      </c>
    </row>
    <row r="278" spans="1:171" ht="14.25" x14ac:dyDescent="0.2">
      <c r="A278" s="13">
        <f t="shared" si="13"/>
        <v>243</v>
      </c>
      <c r="B278" s="13" t="s">
        <v>867</v>
      </c>
      <c r="C278" s="25" t="s">
        <v>868</v>
      </c>
      <c r="D278" s="13" t="s">
        <v>67</v>
      </c>
      <c r="E278" s="13">
        <v>512305368</v>
      </c>
      <c r="F278" s="26" t="s">
        <v>869</v>
      </c>
      <c r="G278" s="13"/>
      <c r="H278" s="13" t="s">
        <v>61</v>
      </c>
      <c r="I278" s="13">
        <v>2</v>
      </c>
      <c r="J278" s="13">
        <v>33</v>
      </c>
      <c r="K278" s="13">
        <v>0</v>
      </c>
      <c r="L278" s="13">
        <v>11</v>
      </c>
      <c r="M278" s="13">
        <v>0</v>
      </c>
      <c r="N278" s="13">
        <v>0</v>
      </c>
      <c r="O278" s="13">
        <v>0</v>
      </c>
      <c r="P278" s="13">
        <v>0</v>
      </c>
      <c r="Q278" s="13">
        <v>11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/>
      <c r="Z278" s="13"/>
      <c r="AA278" s="13">
        <v>0</v>
      </c>
      <c r="AB278" s="13">
        <v>11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f t="shared" si="14"/>
        <v>33</v>
      </c>
      <c r="AL278" s="23">
        <f t="shared" si="12"/>
        <v>778767</v>
      </c>
      <c r="AM278" s="13"/>
      <c r="AN278" s="13" t="s">
        <v>866</v>
      </c>
      <c r="AO278" s="7" t="s">
        <v>855</v>
      </c>
      <c r="AP278" s="38">
        <v>3.1E-2</v>
      </c>
      <c r="AQ278" s="12">
        <v>782000</v>
      </c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13"/>
      <c r="CG278" s="13"/>
      <c r="CH278" s="13"/>
      <c r="CI278" s="12"/>
      <c r="CJ278" s="12"/>
      <c r="CK278" s="12"/>
      <c r="CL278" s="12"/>
      <c r="CM278" s="12"/>
      <c r="CN278" s="12"/>
      <c r="CO278" s="12"/>
      <c r="CP278" s="12">
        <f>SUM($AQ278:BJ278)-SUM($EA278:EH278)</f>
        <v>711061</v>
      </c>
      <c r="CQ278" s="12">
        <f>SUM($AQ278:BK278)-SUM($EA278:EI278)</f>
        <v>701216</v>
      </c>
      <c r="CR278" s="12">
        <f>SUM($AQ278:BL278)-SUM($EA278:EJ278)</f>
        <v>690051</v>
      </c>
      <c r="CS278" s="12">
        <f>SUM($AQ278:BM278)-SUM($EA278:EK278)</f>
        <v>678666</v>
      </c>
      <c r="CT278" s="12">
        <f>SUM($AQ278:BN278)-SUM($EA278:EL278)</f>
        <v>667501</v>
      </c>
      <c r="CU278" s="12">
        <f>SUM($AQ278:BO278)-SUM($EA278:EM278)</f>
        <v>666951</v>
      </c>
      <c r="CV278" s="12">
        <f>SUM($AQ278:BP278)-SUM($EA278:EN278)</f>
        <v>656501</v>
      </c>
      <c r="CW278" s="12">
        <f>SUM($AQ278:BQ278)-SUM($EA278:EO278)</f>
        <v>645501</v>
      </c>
      <c r="CX278" s="12">
        <f>SUM($AQ278:BR278)-SUM($EA278:EP278)</f>
        <v>633951</v>
      </c>
      <c r="CY278" s="12">
        <f>SUM($AQ278:BS278)-SUM($EA278:EQ278)</f>
        <v>622401</v>
      </c>
      <c r="CZ278" s="12">
        <f>SUM($AQ278:BT278)-SUM($EA278:ER278)</f>
        <v>610851</v>
      </c>
      <c r="DA278" s="12">
        <f>SUM($AQ278:BU278)-SUM($EA278:ES278)</f>
        <v>599301</v>
      </c>
      <c r="DB278" s="12">
        <f>SUM($AQ278:BV278)-SUM($EA278:ET278)</f>
        <v>587751</v>
      </c>
      <c r="DC278" s="12">
        <f>SUM($AQ278:BW278)-SUM($EA278:EU278)</f>
        <v>576201</v>
      </c>
      <c r="DD278" s="12">
        <f>SUM($AQ278:BX278)-SUM($EA278:EV278)</f>
        <v>564651</v>
      </c>
      <c r="DE278" s="12">
        <f>SUM($AQ278:BY278)-SUM($EA278:EW278)</f>
        <v>553541</v>
      </c>
      <c r="DF278" s="12">
        <f>SUM($AQ278:BZ278)-SUM($EA278:EX278)</f>
        <v>542541</v>
      </c>
      <c r="DG278" s="12">
        <f>SUM($AQ278:CA278)-SUM($EA278:EY278)</f>
        <v>531541</v>
      </c>
      <c r="DH278" s="12">
        <f>SUM($AQ278:CB278)-SUM($EA278:EZ278)</f>
        <v>520541</v>
      </c>
      <c r="DI278" s="12">
        <f>SUM($AQ278:CC278)-SUM($EA278:FA278)</f>
        <v>509541</v>
      </c>
      <c r="DJ278" s="12">
        <f>SUM($AQ278:CD278)-SUM($EA278:FB278)</f>
        <v>498541</v>
      </c>
      <c r="DK278" s="12">
        <f>SUM($AQ278:CE278)-SUM($EA278:FC278)</f>
        <v>487541</v>
      </c>
      <c r="DL278" s="12">
        <f>SUM($AQ278:CF278)-SUM($EA278:FD278)</f>
        <v>476541</v>
      </c>
      <c r="DM278" s="12">
        <f>SUM($AQ278:CG278)-SUM($EA278:FE278)</f>
        <v>465541</v>
      </c>
      <c r="DN278" s="12">
        <f>SUM($AQ278:CH278)-SUM($EA278:FF278)</f>
        <v>454541</v>
      </c>
      <c r="DO278" s="12">
        <f>SUM($AQ278:CI278)-SUM($EA278:FG278)</f>
        <v>443541</v>
      </c>
      <c r="DP278" s="12">
        <f>SUM($AQ278:CJ278)-SUM($EA278:FH278)</f>
        <v>432541</v>
      </c>
      <c r="DQ278" s="12">
        <f>SUM($AQ278:CK278)-SUM($EA278:FI278)</f>
        <v>421541</v>
      </c>
      <c r="DR278" s="12">
        <f>SUM($AQ278:CL278)-SUM($EA278:FJ278)</f>
        <v>410541</v>
      </c>
      <c r="DS278" s="12">
        <f>SUM($AQ278:CM278)-SUM($EA278:FK278)</f>
        <v>399541</v>
      </c>
      <c r="DT278" s="12">
        <f>SUM($AQ278:CN278)-SUM($EA278:FL278)</f>
        <v>388541</v>
      </c>
      <c r="DU278" s="12">
        <f>SUM($AQ278:CO278)-SUM($EA278:FM278)</f>
        <v>377541</v>
      </c>
      <c r="DV278" s="12">
        <f>SUM($AQ278:CP278)-SUM($EA278:FN278)</f>
        <v>1077602</v>
      </c>
      <c r="DW278" s="12">
        <f>SUM($AQ278:CQ278)-SUM($EA278:FO278)</f>
        <v>1778334</v>
      </c>
      <c r="DX278" s="13"/>
      <c r="DY278" s="13"/>
      <c r="DZ278" s="13"/>
      <c r="EA278" s="12"/>
      <c r="EB278" s="12"/>
      <c r="EC278" s="12"/>
      <c r="ED278" s="12"/>
      <c r="EE278" s="12"/>
      <c r="EF278" s="12"/>
      <c r="EG278" s="12"/>
      <c r="EH278" s="12">
        <f t="array" ref="EH278">SUMPRODUCT(TRANSPOSE(EH$9:EH$34),$K278:$AJ278)</f>
        <v>70939</v>
      </c>
      <c r="EI278" s="12">
        <f t="array" ref="EI278">SUMPRODUCT(TRANSPOSE(EI$9:EI$34),$K278:$AJ278)</f>
        <v>9845</v>
      </c>
      <c r="EJ278" s="12">
        <f t="array" ref="EJ278">SUMPRODUCT(TRANSPOSE(EJ$9:EJ$34),$K278:$AJ278)</f>
        <v>11165</v>
      </c>
      <c r="EK278" s="12">
        <f t="array" ref="EK278">SUMPRODUCT(TRANSPOSE(EK$9:EK$34),$K278:$AJ278)</f>
        <v>11385</v>
      </c>
      <c r="EL278" s="12">
        <f t="array" ref="EL278">SUMPRODUCT(TRANSPOSE(EL$9:EL$34),$K278:$AJ278)</f>
        <v>11165</v>
      </c>
      <c r="EM278" s="12">
        <f t="array" ref="EM278">SUMPRODUCT(TRANSPOSE(EM$9:EM$34),$K278:$AJ278)</f>
        <v>550</v>
      </c>
      <c r="EN278" s="12">
        <f t="array" ref="EN278">SUMPRODUCT(TRANSPOSE(EN$9:EN$34),$K278:$AJ278)</f>
        <v>10450</v>
      </c>
      <c r="EO278" s="12">
        <f t="array" ref="EO278">SUMPRODUCT(TRANSPOSE(EO$9:EO$34),$K278:$AJ278)</f>
        <v>11000</v>
      </c>
      <c r="EP278" s="12">
        <f t="array" ref="EP278">SUMPRODUCT(TRANSPOSE(EP$9:EP$34),$K278:$AJ278)</f>
        <v>11550</v>
      </c>
      <c r="EQ278" s="12">
        <f t="array" ref="EQ278">SUMPRODUCT(TRANSPOSE(EQ$9:EQ$34),$K278:$AJ278)</f>
        <v>11550</v>
      </c>
      <c r="ER278" s="12">
        <f t="array" ref="ER278">SUMPRODUCT(TRANSPOSE(ER$9:ER$34),$K278:$AJ278)</f>
        <v>11550</v>
      </c>
      <c r="ES278" s="12">
        <f t="array" ref="ES278">SUMPRODUCT(TRANSPOSE(ES$9:ES$34),$K278:$AJ278)</f>
        <v>11550</v>
      </c>
      <c r="ET278" s="12">
        <f t="array" ref="ET278">SUMPRODUCT(TRANSPOSE(ET$9:ET$34),$K278:$AJ278)</f>
        <v>11550</v>
      </c>
      <c r="EU278" s="12">
        <f t="array" ref="EU278">SUMPRODUCT(TRANSPOSE(EU$9:EU$34),$K278:$AJ278)</f>
        <v>11550</v>
      </c>
      <c r="EV278" s="12">
        <f t="array" ref="EV278">SUMPRODUCT(TRANSPOSE(EV$9:EV$34),$K278:$AJ278)</f>
        <v>11550</v>
      </c>
      <c r="EW278" s="12">
        <f t="array" ref="EW278">SUMPRODUCT(TRANSPOSE(EW$9:EW$34),$K278:$AJ278)</f>
        <v>11110</v>
      </c>
      <c r="EX278" s="12">
        <f t="array" ref="EX278">SUMPRODUCT(TRANSPOSE(EX$9:EX$34),$K278:$AJ278)</f>
        <v>11000</v>
      </c>
      <c r="EY278" s="12">
        <f t="array" ref="EY278">SUMPRODUCT(TRANSPOSE(EY$9:EY$34),$K278:$AJ278)</f>
        <v>11000</v>
      </c>
      <c r="EZ278" s="12">
        <f t="array" ref="EZ278">SUMPRODUCT(TRANSPOSE(EZ$9:EZ$34),$K278:$AJ278)</f>
        <v>11000</v>
      </c>
      <c r="FA278" s="12">
        <f t="array" ref="FA278">SUMPRODUCT(TRANSPOSE(FA$9:FA$34),$K278:$AJ278)</f>
        <v>11000</v>
      </c>
      <c r="FB278" s="12">
        <f t="array" ref="FB278">SUMPRODUCT(TRANSPOSE(FB$9:FB$34),$K278:$AJ278)</f>
        <v>11000</v>
      </c>
      <c r="FC278" s="12">
        <f t="array" ref="FC278">SUMPRODUCT(TRANSPOSE(FC$9:FC$34),$K278:$AJ278)</f>
        <v>11000</v>
      </c>
      <c r="FD278" s="12">
        <f t="array" ref="FD278">SUMPRODUCT(TRANSPOSE(FD$9:FD$34),$K278:$AJ278)</f>
        <v>11000</v>
      </c>
      <c r="FE278" s="12">
        <f t="array" ref="FE278">SUMPRODUCT(TRANSPOSE(FE$9:FE$34),$K278:$AJ278)</f>
        <v>11000</v>
      </c>
      <c r="FF278" s="12">
        <f t="array" ref="FF278">SUMPRODUCT(TRANSPOSE(FF$9:FF$34),$K278:$AJ278)</f>
        <v>11000</v>
      </c>
      <c r="FG278" s="12">
        <f t="array" ref="FG278">SUMPRODUCT(TRANSPOSE(FG$9:FG$34),$K278:$AJ278)</f>
        <v>11000</v>
      </c>
      <c r="FH278" s="12">
        <f t="array" ref="FH278">SUMPRODUCT(TRANSPOSE(FH$9:FH$34),$K278:$AJ278)</f>
        <v>11000</v>
      </c>
      <c r="FI278" s="12">
        <f t="array" ref="FI278">SUMPRODUCT(TRANSPOSE(FI$9:FI$34),$K278:$AJ278)</f>
        <v>11000</v>
      </c>
      <c r="FJ278" s="12">
        <f t="array" ref="FJ278">SUMPRODUCT(TRANSPOSE(FJ$9:FJ$34),$K278:$AJ278)</f>
        <v>11000</v>
      </c>
      <c r="FK278" s="12">
        <f t="array" ref="FK278">SUMPRODUCT(TRANSPOSE(FK$9:FK$34),$K278:$AJ278)</f>
        <v>11000</v>
      </c>
      <c r="FL278" s="12">
        <f t="array" ref="FL278">SUMPRODUCT(TRANSPOSE(FL$9:FL$34),$K278:$AJ278)</f>
        <v>11000</v>
      </c>
      <c r="FM278" s="12">
        <f t="array" ref="FM278">SUMPRODUCT(TRANSPOSE(FM$9:FM$34),$K278:$AJ278)</f>
        <v>11000</v>
      </c>
      <c r="FN278" s="12">
        <f t="array" ref="FN278">SUMPRODUCT(TRANSPOSE(FN$9:FN$34),$K278:$AJ278)</f>
        <v>11000</v>
      </c>
      <c r="FO278" s="12">
        <f t="array" ref="FO278">SUMPRODUCT(TRANSPOSE(FO$9:FO$34),$K278:$AJ278)</f>
        <v>484</v>
      </c>
    </row>
    <row r="279" spans="1:171" ht="14.25" x14ac:dyDescent="0.2">
      <c r="A279" s="13">
        <f t="shared" si="13"/>
        <v>244</v>
      </c>
      <c r="B279" s="13" t="s">
        <v>870</v>
      </c>
      <c r="C279" s="25" t="s">
        <v>871</v>
      </c>
      <c r="D279" s="13" t="s">
        <v>67</v>
      </c>
      <c r="E279" s="13">
        <v>512308669</v>
      </c>
      <c r="F279" s="26" t="s">
        <v>865</v>
      </c>
      <c r="G279" s="13"/>
      <c r="H279" s="13" t="s">
        <v>61</v>
      </c>
      <c r="I279" s="13">
        <v>2</v>
      </c>
      <c r="J279" s="13">
        <v>40</v>
      </c>
      <c r="K279" s="13">
        <v>0</v>
      </c>
      <c r="L279" s="13">
        <v>10</v>
      </c>
      <c r="M279" s="13">
        <v>2</v>
      </c>
      <c r="N279" s="13">
        <v>0</v>
      </c>
      <c r="O279" s="13">
        <v>0</v>
      </c>
      <c r="P279" s="13">
        <v>0</v>
      </c>
      <c r="Q279" s="13">
        <v>10</v>
      </c>
      <c r="R279" s="13">
        <v>2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2</v>
      </c>
      <c r="Z279" s="13"/>
      <c r="AA279" s="13">
        <v>0</v>
      </c>
      <c r="AB279" s="13">
        <v>14</v>
      </c>
      <c r="AC279" s="13">
        <v>2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f t="shared" si="14"/>
        <v>42</v>
      </c>
      <c r="AL279" s="23">
        <f t="shared" si="12"/>
        <v>852302</v>
      </c>
      <c r="AM279" s="13"/>
      <c r="AN279" s="13" t="s">
        <v>866</v>
      </c>
      <c r="AO279" s="7" t="s">
        <v>855</v>
      </c>
      <c r="AP279" s="38">
        <v>0.03</v>
      </c>
      <c r="AQ279" s="12">
        <v>855500</v>
      </c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13"/>
      <c r="CG279" s="13"/>
      <c r="CH279" s="13"/>
      <c r="CI279" s="12"/>
      <c r="CJ279" s="12"/>
      <c r="CK279" s="12"/>
      <c r="CL279" s="12"/>
      <c r="CM279" s="12"/>
      <c r="CN279" s="12"/>
      <c r="CO279" s="12"/>
      <c r="CP279" s="12">
        <f>SUM($AQ279:BJ279)-SUM($EA279:EH279)</f>
        <v>776844</v>
      </c>
      <c r="CQ279" s="12">
        <f>SUM($AQ279:BK279)-SUM($EA279:EI279)</f>
        <v>767332</v>
      </c>
      <c r="CR279" s="12">
        <f>SUM($AQ279:BL279)-SUM($EA279:EJ279)</f>
        <v>755122</v>
      </c>
      <c r="CS279" s="12">
        <f>SUM($AQ279:BM279)-SUM($EA279:EK279)</f>
        <v>742432</v>
      </c>
      <c r="CT279" s="12">
        <f>SUM($AQ279:BN279)-SUM($EA279:EL279)</f>
        <v>728222</v>
      </c>
      <c r="CU279" s="12">
        <f>SUM($AQ279:BO279)-SUM($EA279:EM279)</f>
        <v>723522</v>
      </c>
      <c r="CV279" s="12">
        <f>SUM($AQ279:BP279)-SUM($EA279:EN279)</f>
        <v>709822</v>
      </c>
      <c r="CW279" s="12">
        <f>SUM($AQ279:BQ279)-SUM($EA279:EO279)</f>
        <v>695822</v>
      </c>
      <c r="CX279" s="12">
        <f>SUM($AQ279:BR279)-SUM($EA279:EP279)</f>
        <v>681122</v>
      </c>
      <c r="CY279" s="12">
        <f>SUM($AQ279:BS279)-SUM($EA279:EQ279)</f>
        <v>666422</v>
      </c>
      <c r="CZ279" s="12">
        <f>SUM($AQ279:BT279)-SUM($EA279:ER279)</f>
        <v>651722</v>
      </c>
      <c r="DA279" s="12">
        <f>SUM($AQ279:BU279)-SUM($EA279:ES279)</f>
        <v>637022</v>
      </c>
      <c r="DB279" s="12">
        <f>SUM($AQ279:BV279)-SUM($EA279:ET279)</f>
        <v>622322</v>
      </c>
      <c r="DC279" s="12">
        <f>SUM($AQ279:BW279)-SUM($EA279:EU279)</f>
        <v>607622</v>
      </c>
      <c r="DD279" s="12">
        <f>SUM($AQ279:BX279)-SUM($EA279:EV279)</f>
        <v>592922</v>
      </c>
      <c r="DE279" s="12">
        <f>SUM($AQ279:BY279)-SUM($EA279:EW279)</f>
        <v>578782</v>
      </c>
      <c r="DF279" s="12">
        <f>SUM($AQ279:BZ279)-SUM($EA279:EX279)</f>
        <v>564782</v>
      </c>
      <c r="DG279" s="12">
        <f>SUM($AQ279:CA279)-SUM($EA279:EY279)</f>
        <v>550782</v>
      </c>
      <c r="DH279" s="12">
        <f>SUM($AQ279:CB279)-SUM($EA279:EZ279)</f>
        <v>536782</v>
      </c>
      <c r="DI279" s="12">
        <f>SUM($AQ279:CC279)-SUM($EA279:FA279)</f>
        <v>522782</v>
      </c>
      <c r="DJ279" s="12">
        <f>SUM($AQ279:CD279)-SUM($EA279:FB279)</f>
        <v>508782</v>
      </c>
      <c r="DK279" s="12">
        <f>SUM($AQ279:CE279)-SUM($EA279:FC279)</f>
        <v>494782</v>
      </c>
      <c r="DL279" s="12">
        <f>SUM($AQ279:CF279)-SUM($EA279:FD279)</f>
        <v>480782</v>
      </c>
      <c r="DM279" s="12">
        <f>SUM($AQ279:CG279)-SUM($EA279:FE279)</f>
        <v>466782</v>
      </c>
      <c r="DN279" s="12">
        <f>SUM($AQ279:CH279)-SUM($EA279:FF279)</f>
        <v>452782</v>
      </c>
      <c r="DO279" s="12">
        <f>SUM($AQ279:CI279)-SUM($EA279:FG279)</f>
        <v>438782</v>
      </c>
      <c r="DP279" s="12">
        <f>SUM($AQ279:CJ279)-SUM($EA279:FH279)</f>
        <v>424782</v>
      </c>
      <c r="DQ279" s="12">
        <f>SUM($AQ279:CK279)-SUM($EA279:FI279)</f>
        <v>410782</v>
      </c>
      <c r="DR279" s="12">
        <f>SUM($AQ279:CL279)-SUM($EA279:FJ279)</f>
        <v>396782</v>
      </c>
      <c r="DS279" s="12">
        <f>SUM($AQ279:CM279)-SUM($EA279:FK279)</f>
        <v>382782</v>
      </c>
      <c r="DT279" s="12">
        <f>SUM($AQ279:CN279)-SUM($EA279:FL279)</f>
        <v>368782</v>
      </c>
      <c r="DU279" s="12">
        <f>SUM($AQ279:CO279)-SUM($EA279:FM279)</f>
        <v>354782</v>
      </c>
      <c r="DV279" s="12">
        <f>SUM($AQ279:CP279)-SUM($EA279:FN279)</f>
        <v>1117992</v>
      </c>
      <c r="DW279" s="12">
        <f>SUM($AQ279:CQ279)-SUM($EA279:FO279)</f>
        <v>1884730</v>
      </c>
      <c r="DX279" s="13"/>
      <c r="DY279" s="13"/>
      <c r="DZ279" s="13"/>
      <c r="EA279" s="12"/>
      <c r="EB279" s="12"/>
      <c r="EC279" s="12"/>
      <c r="ED279" s="12"/>
      <c r="EE279" s="12"/>
      <c r="EF279" s="12"/>
      <c r="EG279" s="12"/>
      <c r="EH279" s="12">
        <f t="array" ref="EH279">SUMPRODUCT(TRANSPOSE(EH$9:EH$34),$K279:$AJ279)</f>
        <v>78656</v>
      </c>
      <c r="EI279" s="12">
        <f t="array" ref="EI279">SUMPRODUCT(TRANSPOSE(EI$9:EI$34),$K279:$AJ279)</f>
        <v>9512</v>
      </c>
      <c r="EJ279" s="12">
        <f t="array" ref="EJ279">SUMPRODUCT(TRANSPOSE(EJ$9:EJ$34),$K279:$AJ279)</f>
        <v>12210</v>
      </c>
      <c r="EK279" s="12">
        <f t="array" ref="EK279">SUMPRODUCT(TRANSPOSE(EK$9:EK$34),$K279:$AJ279)</f>
        <v>12690</v>
      </c>
      <c r="EL279" s="12">
        <f t="array" ref="EL279">SUMPRODUCT(TRANSPOSE(EL$9:EL$34),$K279:$AJ279)</f>
        <v>14210</v>
      </c>
      <c r="EM279" s="12">
        <f t="array" ref="EM279">SUMPRODUCT(TRANSPOSE(EM$9:EM$34),$K279:$AJ279)</f>
        <v>4700</v>
      </c>
      <c r="EN279" s="12">
        <f t="array" ref="EN279">SUMPRODUCT(TRANSPOSE(EN$9:EN$34),$K279:$AJ279)</f>
        <v>13700</v>
      </c>
      <c r="EO279" s="12">
        <f t="array" ref="EO279">SUMPRODUCT(TRANSPOSE(EO$9:EO$34),$K279:$AJ279)</f>
        <v>14000</v>
      </c>
      <c r="EP279" s="12">
        <f t="array" ref="EP279">SUMPRODUCT(TRANSPOSE(EP$9:EP$34),$K279:$AJ279)</f>
        <v>14700</v>
      </c>
      <c r="EQ279" s="12">
        <f t="array" ref="EQ279">SUMPRODUCT(TRANSPOSE(EQ$9:EQ$34),$K279:$AJ279)</f>
        <v>14700</v>
      </c>
      <c r="ER279" s="12">
        <f t="array" ref="ER279">SUMPRODUCT(TRANSPOSE(ER$9:ER$34),$K279:$AJ279)</f>
        <v>14700</v>
      </c>
      <c r="ES279" s="12">
        <f t="array" ref="ES279">SUMPRODUCT(TRANSPOSE(ES$9:ES$34),$K279:$AJ279)</f>
        <v>14700</v>
      </c>
      <c r="ET279" s="12">
        <f t="array" ref="ET279">SUMPRODUCT(TRANSPOSE(ET$9:ET$34),$K279:$AJ279)</f>
        <v>14700</v>
      </c>
      <c r="EU279" s="12">
        <f t="array" ref="EU279">SUMPRODUCT(TRANSPOSE(EU$9:EU$34),$K279:$AJ279)</f>
        <v>14700</v>
      </c>
      <c r="EV279" s="12">
        <f t="array" ref="EV279">SUMPRODUCT(TRANSPOSE(EV$9:EV$34),$K279:$AJ279)</f>
        <v>14700</v>
      </c>
      <c r="EW279" s="12">
        <f t="array" ref="EW279">SUMPRODUCT(TRANSPOSE(EW$9:EW$34),$K279:$AJ279)</f>
        <v>14140</v>
      </c>
      <c r="EX279" s="12">
        <f t="array" ref="EX279">SUMPRODUCT(TRANSPOSE(EX$9:EX$34),$K279:$AJ279)</f>
        <v>14000</v>
      </c>
      <c r="EY279" s="12">
        <f t="array" ref="EY279">SUMPRODUCT(TRANSPOSE(EY$9:EY$34),$K279:$AJ279)</f>
        <v>14000</v>
      </c>
      <c r="EZ279" s="12">
        <f t="array" ref="EZ279">SUMPRODUCT(TRANSPOSE(EZ$9:EZ$34),$K279:$AJ279)</f>
        <v>14000</v>
      </c>
      <c r="FA279" s="12">
        <f t="array" ref="FA279">SUMPRODUCT(TRANSPOSE(FA$9:FA$34),$K279:$AJ279)</f>
        <v>14000</v>
      </c>
      <c r="FB279" s="12">
        <f t="array" ref="FB279">SUMPRODUCT(TRANSPOSE(FB$9:FB$34),$K279:$AJ279)</f>
        <v>14000</v>
      </c>
      <c r="FC279" s="12">
        <f t="array" ref="FC279">SUMPRODUCT(TRANSPOSE(FC$9:FC$34),$K279:$AJ279)</f>
        <v>14000</v>
      </c>
      <c r="FD279" s="12">
        <f t="array" ref="FD279">SUMPRODUCT(TRANSPOSE(FD$9:FD$34),$K279:$AJ279)</f>
        <v>14000</v>
      </c>
      <c r="FE279" s="12">
        <f t="array" ref="FE279">SUMPRODUCT(TRANSPOSE(FE$9:FE$34),$K279:$AJ279)</f>
        <v>14000</v>
      </c>
      <c r="FF279" s="12">
        <f t="array" ref="FF279">SUMPRODUCT(TRANSPOSE(FF$9:FF$34),$K279:$AJ279)</f>
        <v>14000</v>
      </c>
      <c r="FG279" s="12">
        <f t="array" ref="FG279">SUMPRODUCT(TRANSPOSE(FG$9:FG$34),$K279:$AJ279)</f>
        <v>14000</v>
      </c>
      <c r="FH279" s="12">
        <f t="array" ref="FH279">SUMPRODUCT(TRANSPOSE(FH$9:FH$34),$K279:$AJ279)</f>
        <v>14000</v>
      </c>
      <c r="FI279" s="12">
        <f t="array" ref="FI279">SUMPRODUCT(TRANSPOSE(FI$9:FI$34),$K279:$AJ279)</f>
        <v>14000</v>
      </c>
      <c r="FJ279" s="12">
        <f t="array" ref="FJ279">SUMPRODUCT(TRANSPOSE(FJ$9:FJ$34),$K279:$AJ279)</f>
        <v>14000</v>
      </c>
      <c r="FK279" s="12">
        <f t="array" ref="FK279">SUMPRODUCT(TRANSPOSE(FK$9:FK$34),$K279:$AJ279)</f>
        <v>14000</v>
      </c>
      <c r="FL279" s="12">
        <f t="array" ref="FL279">SUMPRODUCT(TRANSPOSE(FL$9:FL$34),$K279:$AJ279)</f>
        <v>14000</v>
      </c>
      <c r="FM279" s="12">
        <f t="array" ref="FM279">SUMPRODUCT(TRANSPOSE(FM$9:FM$34),$K279:$AJ279)</f>
        <v>14000</v>
      </c>
      <c r="FN279" s="12">
        <f t="array" ref="FN279">SUMPRODUCT(TRANSPOSE(FN$9:FN$34),$K279:$AJ279)</f>
        <v>13634</v>
      </c>
      <c r="FO279" s="12">
        <f t="array" ref="FO279">SUMPRODUCT(TRANSPOSE(FO$9:FO$34),$K279:$AJ279)</f>
        <v>594</v>
      </c>
    </row>
    <row r="280" spans="1:171" ht="14.25" x14ac:dyDescent="0.2">
      <c r="A280" s="13">
        <f t="shared" si="13"/>
        <v>245</v>
      </c>
      <c r="B280" s="13" t="s">
        <v>872</v>
      </c>
      <c r="C280" s="25" t="s">
        <v>873</v>
      </c>
      <c r="D280" s="13" t="s">
        <v>67</v>
      </c>
      <c r="E280" s="13">
        <v>512308677</v>
      </c>
      <c r="F280" s="26" t="s">
        <v>865</v>
      </c>
      <c r="G280" s="13"/>
      <c r="H280" s="13" t="s">
        <v>61</v>
      </c>
      <c r="I280" s="13">
        <v>2</v>
      </c>
      <c r="J280" s="13">
        <v>8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4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4</v>
      </c>
      <c r="Z280" s="13"/>
      <c r="AA280" s="13">
        <v>0</v>
      </c>
      <c r="AB280" s="13">
        <v>0</v>
      </c>
      <c r="AC280" s="13">
        <v>4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f t="shared" si="14"/>
        <v>12</v>
      </c>
      <c r="AL280" s="23">
        <f t="shared" si="12"/>
        <v>142660</v>
      </c>
      <c r="AM280" s="13"/>
      <c r="AN280" s="13" t="s">
        <v>866</v>
      </c>
      <c r="AO280" s="7" t="s">
        <v>855</v>
      </c>
      <c r="AP280" s="38">
        <v>2.5499999999999998E-2</v>
      </c>
      <c r="AQ280" s="12">
        <v>147000</v>
      </c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13"/>
      <c r="CG280" s="13"/>
      <c r="CH280" s="13"/>
      <c r="CI280" s="12"/>
      <c r="CJ280" s="12"/>
      <c r="CK280" s="12"/>
      <c r="CL280" s="12"/>
      <c r="CM280" s="12"/>
      <c r="CN280" s="12"/>
      <c r="CO280" s="12"/>
      <c r="CP280" s="12">
        <f>SUM($AQ280:BJ280)-SUM($EA280:EH280)</f>
        <v>134564</v>
      </c>
      <c r="CQ280" s="12">
        <f>SUM($AQ280:BK280)-SUM($EA280:EI280)</f>
        <v>133440</v>
      </c>
      <c r="CR280" s="12">
        <f>SUM($AQ280:BL280)-SUM($EA280:EJ280)</f>
        <v>133440</v>
      </c>
      <c r="CS280" s="12">
        <f>SUM($AQ280:BM280)-SUM($EA280:EK280)</f>
        <v>133040</v>
      </c>
      <c r="CT280" s="12">
        <f>SUM($AQ280:BN280)-SUM($EA280:EL280)</f>
        <v>129040</v>
      </c>
      <c r="CU280" s="12">
        <f>SUM($AQ280:BO280)-SUM($EA280:EM280)</f>
        <v>121040</v>
      </c>
      <c r="CV280" s="12">
        <f>SUM($AQ280:BP280)-SUM($EA280:EN280)</f>
        <v>116640</v>
      </c>
      <c r="CW280" s="12">
        <f>SUM($AQ280:BQ280)-SUM($EA280:EO280)</f>
        <v>112640</v>
      </c>
      <c r="CX280" s="12">
        <f>SUM($AQ280:BR280)-SUM($EA280:EP280)</f>
        <v>108640</v>
      </c>
      <c r="CY280" s="12">
        <f>SUM($AQ280:BS280)-SUM($EA280:EQ280)</f>
        <v>104640</v>
      </c>
      <c r="CZ280" s="12">
        <f>SUM($AQ280:BT280)-SUM($EA280:ER280)</f>
        <v>100640</v>
      </c>
      <c r="DA280" s="12">
        <f>SUM($AQ280:BU280)-SUM($EA280:ES280)</f>
        <v>96640</v>
      </c>
      <c r="DB280" s="12">
        <f>SUM($AQ280:BV280)-SUM($EA280:ET280)</f>
        <v>92640</v>
      </c>
      <c r="DC280" s="12">
        <f>SUM($AQ280:BW280)-SUM($EA280:EU280)</f>
        <v>88640</v>
      </c>
      <c r="DD280" s="12">
        <f>SUM($AQ280:BX280)-SUM($EA280:EV280)</f>
        <v>84640</v>
      </c>
      <c r="DE280" s="12">
        <f>SUM($AQ280:BY280)-SUM($EA280:EW280)</f>
        <v>80640</v>
      </c>
      <c r="DF280" s="12">
        <f>SUM($AQ280:BZ280)-SUM($EA280:EX280)</f>
        <v>76640</v>
      </c>
      <c r="DG280" s="12">
        <f>SUM($AQ280:CA280)-SUM($EA280:EY280)</f>
        <v>72640</v>
      </c>
      <c r="DH280" s="12">
        <f>SUM($AQ280:CB280)-SUM($EA280:EZ280)</f>
        <v>68640</v>
      </c>
      <c r="DI280" s="12">
        <f>SUM($AQ280:CC280)-SUM($EA280:FA280)</f>
        <v>64640</v>
      </c>
      <c r="DJ280" s="12">
        <f>SUM($AQ280:CD280)-SUM($EA280:FB280)</f>
        <v>60640</v>
      </c>
      <c r="DK280" s="12">
        <f>SUM($AQ280:CE280)-SUM($EA280:FC280)</f>
        <v>56640</v>
      </c>
      <c r="DL280" s="12">
        <f>SUM($AQ280:CF280)-SUM($EA280:FD280)</f>
        <v>52640</v>
      </c>
      <c r="DM280" s="12">
        <f>SUM($AQ280:CG280)-SUM($EA280:FE280)</f>
        <v>48640</v>
      </c>
      <c r="DN280" s="12">
        <f>SUM($AQ280:CH280)-SUM($EA280:FF280)</f>
        <v>44640</v>
      </c>
      <c r="DO280" s="12">
        <f>SUM($AQ280:CI280)-SUM($EA280:FG280)</f>
        <v>40640</v>
      </c>
      <c r="DP280" s="12">
        <f>SUM($AQ280:CJ280)-SUM($EA280:FH280)</f>
        <v>36640</v>
      </c>
      <c r="DQ280" s="12">
        <f>SUM($AQ280:CK280)-SUM($EA280:FI280)</f>
        <v>32640</v>
      </c>
      <c r="DR280" s="12">
        <f>SUM($AQ280:CL280)-SUM($EA280:FJ280)</f>
        <v>28640</v>
      </c>
      <c r="DS280" s="12">
        <f>SUM($AQ280:CM280)-SUM($EA280:FK280)</f>
        <v>24640</v>
      </c>
      <c r="DT280" s="12">
        <f>SUM($AQ280:CN280)-SUM($EA280:FL280)</f>
        <v>20640</v>
      </c>
      <c r="DU280" s="12">
        <f>SUM($AQ280:CO280)-SUM($EA280:FM280)</f>
        <v>16640</v>
      </c>
      <c r="DV280" s="12">
        <f>SUM($AQ280:CP280)-SUM($EA280:FN280)</f>
        <v>147936</v>
      </c>
      <c r="DW280" s="12">
        <f>SUM($AQ280:CQ280)-SUM($EA280:FO280)</f>
        <v>281376</v>
      </c>
      <c r="DX280" s="13"/>
      <c r="DY280" s="13"/>
      <c r="DZ280" s="13"/>
      <c r="EA280" s="12"/>
      <c r="EB280" s="12"/>
      <c r="EC280" s="12"/>
      <c r="ED280" s="12"/>
      <c r="EE280" s="12"/>
      <c r="EF280" s="12"/>
      <c r="EG280" s="12"/>
      <c r="EH280" s="12">
        <f t="array" ref="EH280">SUMPRODUCT(TRANSPOSE(EH$9:EH$34),$K280:$AJ280)</f>
        <v>12436</v>
      </c>
      <c r="EI280" s="12">
        <f t="array" ref="EI280">SUMPRODUCT(TRANSPOSE(EI$9:EI$34),$K280:$AJ280)</f>
        <v>1124</v>
      </c>
      <c r="EJ280" s="12">
        <f t="array" ref="EJ280">SUMPRODUCT(TRANSPOSE(EJ$9:EJ$34),$K280:$AJ280)</f>
        <v>0</v>
      </c>
      <c r="EK280" s="12">
        <f t="array" ref="EK280">SUMPRODUCT(TRANSPOSE(EK$9:EK$34),$K280:$AJ280)</f>
        <v>400</v>
      </c>
      <c r="EL280" s="12">
        <f t="array" ref="EL280">SUMPRODUCT(TRANSPOSE(EL$9:EL$34),$K280:$AJ280)</f>
        <v>4000</v>
      </c>
      <c r="EM280" s="12">
        <f t="array" ref="EM280">SUMPRODUCT(TRANSPOSE(EM$9:EM$34),$K280:$AJ280)</f>
        <v>8000</v>
      </c>
      <c r="EN280" s="12">
        <f t="array" ref="EN280">SUMPRODUCT(TRANSPOSE(EN$9:EN$34),$K280:$AJ280)</f>
        <v>4400</v>
      </c>
      <c r="EO280" s="12">
        <f t="array" ref="EO280">SUMPRODUCT(TRANSPOSE(EO$9:EO$34),$K280:$AJ280)</f>
        <v>4000</v>
      </c>
      <c r="EP280" s="12">
        <f t="array" ref="EP280">SUMPRODUCT(TRANSPOSE(EP$9:EP$34),$K280:$AJ280)</f>
        <v>4000</v>
      </c>
      <c r="EQ280" s="12">
        <f t="array" ref="EQ280">SUMPRODUCT(TRANSPOSE(EQ$9:EQ$34),$K280:$AJ280)</f>
        <v>4000</v>
      </c>
      <c r="ER280" s="12">
        <f t="array" ref="ER280">SUMPRODUCT(TRANSPOSE(ER$9:ER$34),$K280:$AJ280)</f>
        <v>4000</v>
      </c>
      <c r="ES280" s="12">
        <f t="array" ref="ES280">SUMPRODUCT(TRANSPOSE(ES$9:ES$34),$K280:$AJ280)</f>
        <v>4000</v>
      </c>
      <c r="ET280" s="12">
        <f t="array" ref="ET280">SUMPRODUCT(TRANSPOSE(ET$9:ET$34),$K280:$AJ280)</f>
        <v>4000</v>
      </c>
      <c r="EU280" s="12">
        <f t="array" ref="EU280">SUMPRODUCT(TRANSPOSE(EU$9:EU$34),$K280:$AJ280)</f>
        <v>4000</v>
      </c>
      <c r="EV280" s="12">
        <f t="array" ref="EV280">SUMPRODUCT(TRANSPOSE(EV$9:EV$34),$K280:$AJ280)</f>
        <v>4000</v>
      </c>
      <c r="EW280" s="12">
        <f t="array" ref="EW280">SUMPRODUCT(TRANSPOSE(EW$9:EW$34),$K280:$AJ280)</f>
        <v>4000</v>
      </c>
      <c r="EX280" s="12">
        <f t="array" ref="EX280">SUMPRODUCT(TRANSPOSE(EX$9:EX$34),$K280:$AJ280)</f>
        <v>4000</v>
      </c>
      <c r="EY280" s="12">
        <f t="array" ref="EY280">SUMPRODUCT(TRANSPOSE(EY$9:EY$34),$K280:$AJ280)</f>
        <v>4000</v>
      </c>
      <c r="EZ280" s="12">
        <f t="array" ref="EZ280">SUMPRODUCT(TRANSPOSE(EZ$9:EZ$34),$K280:$AJ280)</f>
        <v>4000</v>
      </c>
      <c r="FA280" s="12">
        <f t="array" ref="FA280">SUMPRODUCT(TRANSPOSE(FA$9:FA$34),$K280:$AJ280)</f>
        <v>4000</v>
      </c>
      <c r="FB280" s="12">
        <f t="array" ref="FB280">SUMPRODUCT(TRANSPOSE(FB$9:FB$34),$K280:$AJ280)</f>
        <v>4000</v>
      </c>
      <c r="FC280" s="12">
        <f t="array" ref="FC280">SUMPRODUCT(TRANSPOSE(FC$9:FC$34),$K280:$AJ280)</f>
        <v>4000</v>
      </c>
      <c r="FD280" s="12">
        <f t="array" ref="FD280">SUMPRODUCT(TRANSPOSE(FD$9:FD$34),$K280:$AJ280)</f>
        <v>4000</v>
      </c>
      <c r="FE280" s="12">
        <f t="array" ref="FE280">SUMPRODUCT(TRANSPOSE(FE$9:FE$34),$K280:$AJ280)</f>
        <v>4000</v>
      </c>
      <c r="FF280" s="12">
        <f t="array" ref="FF280">SUMPRODUCT(TRANSPOSE(FF$9:FF$34),$K280:$AJ280)</f>
        <v>4000</v>
      </c>
      <c r="FG280" s="12">
        <f t="array" ref="FG280">SUMPRODUCT(TRANSPOSE(FG$9:FG$34),$K280:$AJ280)</f>
        <v>4000</v>
      </c>
      <c r="FH280" s="12">
        <f t="array" ref="FH280">SUMPRODUCT(TRANSPOSE(FH$9:FH$34),$K280:$AJ280)</f>
        <v>4000</v>
      </c>
      <c r="FI280" s="12">
        <f t="array" ref="FI280">SUMPRODUCT(TRANSPOSE(FI$9:FI$34),$K280:$AJ280)</f>
        <v>4000</v>
      </c>
      <c r="FJ280" s="12">
        <f t="array" ref="FJ280">SUMPRODUCT(TRANSPOSE(FJ$9:FJ$34),$K280:$AJ280)</f>
        <v>4000</v>
      </c>
      <c r="FK280" s="12">
        <f t="array" ref="FK280">SUMPRODUCT(TRANSPOSE(FK$9:FK$34),$K280:$AJ280)</f>
        <v>4000</v>
      </c>
      <c r="FL280" s="12">
        <f t="array" ref="FL280">SUMPRODUCT(TRANSPOSE(FL$9:FL$34),$K280:$AJ280)</f>
        <v>4000</v>
      </c>
      <c r="FM280" s="12">
        <f t="array" ref="FM280">SUMPRODUCT(TRANSPOSE(FM$9:FM$34),$K280:$AJ280)</f>
        <v>4000</v>
      </c>
      <c r="FN280" s="12">
        <f t="array" ref="FN280">SUMPRODUCT(TRANSPOSE(FN$9:FN$34),$K280:$AJ280)</f>
        <v>3268</v>
      </c>
      <c r="FO280" s="12">
        <f t="array" ref="FO280">SUMPRODUCT(TRANSPOSE(FO$9:FO$34),$K280:$AJ280)</f>
        <v>0</v>
      </c>
    </row>
    <row r="281" spans="1:171" ht="14.25" x14ac:dyDescent="0.2">
      <c r="A281" s="13">
        <f t="shared" si="13"/>
        <v>246</v>
      </c>
      <c r="B281" s="13" t="s">
        <v>874</v>
      </c>
      <c r="C281" s="25" t="s">
        <v>875</v>
      </c>
      <c r="D281" s="13" t="s">
        <v>67</v>
      </c>
      <c r="E281" s="13">
        <v>512307984</v>
      </c>
      <c r="F281" s="26" t="s">
        <v>869</v>
      </c>
      <c r="G281" s="13"/>
      <c r="H281" s="13" t="s">
        <v>61</v>
      </c>
      <c r="I281" s="13">
        <v>2</v>
      </c>
      <c r="J281" s="13">
        <v>2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1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1</v>
      </c>
      <c r="Z281" s="13"/>
      <c r="AA281" s="13">
        <v>0</v>
      </c>
      <c r="AB281" s="13">
        <v>0</v>
      </c>
      <c r="AC281" s="13">
        <v>1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f t="shared" si="14"/>
        <v>3</v>
      </c>
      <c r="AL281" s="23">
        <f t="shared" si="12"/>
        <v>35665</v>
      </c>
      <c r="AM281" s="13"/>
      <c r="AN281" s="13" t="s">
        <v>866</v>
      </c>
      <c r="AO281" s="7" t="s">
        <v>855</v>
      </c>
      <c r="AP281" s="38">
        <v>3.1E-2</v>
      </c>
      <c r="AQ281" s="12">
        <v>40500</v>
      </c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13"/>
      <c r="CG281" s="13"/>
      <c r="CH281" s="13"/>
      <c r="CI281" s="12"/>
      <c r="CJ281" s="12"/>
      <c r="CK281" s="12"/>
      <c r="CL281" s="12"/>
      <c r="CM281" s="12"/>
      <c r="CN281" s="12"/>
      <c r="CO281" s="12"/>
      <c r="CP281" s="12">
        <f>SUM($AQ281:BJ281)-SUM($EA281:EH281)</f>
        <v>37391</v>
      </c>
      <c r="CQ281" s="12">
        <f>SUM($AQ281:BK281)-SUM($EA281:EI281)</f>
        <v>37110</v>
      </c>
      <c r="CR281" s="12">
        <f>SUM($AQ281:BL281)-SUM($EA281:EJ281)</f>
        <v>37110</v>
      </c>
      <c r="CS281" s="12">
        <f>SUM($AQ281:BM281)-SUM($EA281:EK281)</f>
        <v>37010</v>
      </c>
      <c r="CT281" s="12">
        <f>SUM($AQ281:BN281)-SUM($EA281:EL281)</f>
        <v>36010</v>
      </c>
      <c r="CU281" s="12">
        <f>SUM($AQ281:BO281)-SUM($EA281:EM281)</f>
        <v>34010</v>
      </c>
      <c r="CV281" s="12">
        <f>SUM($AQ281:BP281)-SUM($EA281:EN281)</f>
        <v>32910</v>
      </c>
      <c r="CW281" s="12">
        <f>SUM($AQ281:BQ281)-SUM($EA281:EO281)</f>
        <v>31910</v>
      </c>
      <c r="CX281" s="12">
        <f>SUM($AQ281:BR281)-SUM($EA281:EP281)</f>
        <v>30910</v>
      </c>
      <c r="CY281" s="12">
        <f>SUM($AQ281:BS281)-SUM($EA281:EQ281)</f>
        <v>29910</v>
      </c>
      <c r="CZ281" s="12">
        <f>SUM($AQ281:BT281)-SUM($EA281:ER281)</f>
        <v>28910</v>
      </c>
      <c r="DA281" s="12">
        <f>SUM($AQ281:BU281)-SUM($EA281:ES281)</f>
        <v>27910</v>
      </c>
      <c r="DB281" s="12">
        <f>SUM($AQ281:BV281)-SUM($EA281:ET281)</f>
        <v>26910</v>
      </c>
      <c r="DC281" s="12">
        <f>SUM($AQ281:BW281)-SUM($EA281:EU281)</f>
        <v>25910</v>
      </c>
      <c r="DD281" s="12">
        <f>SUM($AQ281:BX281)-SUM($EA281:EV281)</f>
        <v>24910</v>
      </c>
      <c r="DE281" s="12">
        <f>SUM($AQ281:BY281)-SUM($EA281:EW281)</f>
        <v>23910</v>
      </c>
      <c r="DF281" s="12">
        <f>SUM($AQ281:BZ281)-SUM($EA281:EX281)</f>
        <v>22910</v>
      </c>
      <c r="DG281" s="12">
        <f>SUM($AQ281:CA281)-SUM($EA281:EY281)</f>
        <v>21910</v>
      </c>
      <c r="DH281" s="12">
        <f>SUM($AQ281:CB281)-SUM($EA281:EZ281)</f>
        <v>20910</v>
      </c>
      <c r="DI281" s="12">
        <f>SUM($AQ281:CC281)-SUM($EA281:FA281)</f>
        <v>19910</v>
      </c>
      <c r="DJ281" s="12">
        <f>SUM($AQ281:CD281)-SUM($EA281:FB281)</f>
        <v>18910</v>
      </c>
      <c r="DK281" s="12">
        <f>SUM($AQ281:CE281)-SUM($EA281:FC281)</f>
        <v>17910</v>
      </c>
      <c r="DL281" s="12">
        <f>SUM($AQ281:CF281)-SUM($EA281:FD281)</f>
        <v>16910</v>
      </c>
      <c r="DM281" s="12">
        <f>SUM($AQ281:CG281)-SUM($EA281:FE281)</f>
        <v>15910</v>
      </c>
      <c r="DN281" s="12">
        <f>SUM($AQ281:CH281)-SUM($EA281:FF281)</f>
        <v>14910</v>
      </c>
      <c r="DO281" s="12">
        <f>SUM($AQ281:CI281)-SUM($EA281:FG281)</f>
        <v>13910</v>
      </c>
      <c r="DP281" s="12">
        <f>SUM($AQ281:CJ281)-SUM($EA281:FH281)</f>
        <v>12910</v>
      </c>
      <c r="DQ281" s="12">
        <f>SUM($AQ281:CK281)-SUM($EA281:FI281)</f>
        <v>11910</v>
      </c>
      <c r="DR281" s="12">
        <f>SUM($AQ281:CL281)-SUM($EA281:FJ281)</f>
        <v>10910</v>
      </c>
      <c r="DS281" s="12">
        <f>SUM($AQ281:CM281)-SUM($EA281:FK281)</f>
        <v>9910</v>
      </c>
      <c r="DT281" s="12">
        <f>SUM($AQ281:CN281)-SUM($EA281:FL281)</f>
        <v>8910</v>
      </c>
      <c r="DU281" s="12">
        <f>SUM($AQ281:CO281)-SUM($EA281:FM281)</f>
        <v>7910</v>
      </c>
      <c r="DV281" s="12">
        <f>SUM($AQ281:CP281)-SUM($EA281:FN281)</f>
        <v>44484</v>
      </c>
      <c r="DW281" s="12">
        <f>SUM($AQ281:CQ281)-SUM($EA281:FO281)</f>
        <v>81594</v>
      </c>
      <c r="DX281" s="13"/>
      <c r="DY281" s="13"/>
      <c r="DZ281" s="13"/>
      <c r="EA281" s="12"/>
      <c r="EB281" s="12"/>
      <c r="EC281" s="12"/>
      <c r="ED281" s="12"/>
      <c r="EE281" s="12"/>
      <c r="EF281" s="12"/>
      <c r="EG281" s="12"/>
      <c r="EH281" s="12">
        <f t="array" ref="EH281">SUMPRODUCT(TRANSPOSE(EH$9:EH$34),$K281:$AJ281)</f>
        <v>3109</v>
      </c>
      <c r="EI281" s="12">
        <f t="array" ref="EI281">SUMPRODUCT(TRANSPOSE(EI$9:EI$34),$K281:$AJ281)</f>
        <v>281</v>
      </c>
      <c r="EJ281" s="12">
        <f t="array" ref="EJ281">SUMPRODUCT(TRANSPOSE(EJ$9:EJ$34),$K281:$AJ281)</f>
        <v>0</v>
      </c>
      <c r="EK281" s="12">
        <f t="array" ref="EK281">SUMPRODUCT(TRANSPOSE(EK$9:EK$34),$K281:$AJ281)</f>
        <v>100</v>
      </c>
      <c r="EL281" s="12">
        <f t="array" ref="EL281">SUMPRODUCT(TRANSPOSE(EL$9:EL$34),$K281:$AJ281)</f>
        <v>1000</v>
      </c>
      <c r="EM281" s="12">
        <f t="array" ref="EM281">SUMPRODUCT(TRANSPOSE(EM$9:EM$34),$K281:$AJ281)</f>
        <v>2000</v>
      </c>
      <c r="EN281" s="12">
        <f t="array" ref="EN281">SUMPRODUCT(TRANSPOSE(EN$9:EN$34),$K281:$AJ281)</f>
        <v>1100</v>
      </c>
      <c r="EO281" s="12">
        <f t="array" ref="EO281">SUMPRODUCT(TRANSPOSE(EO$9:EO$34),$K281:$AJ281)</f>
        <v>1000</v>
      </c>
      <c r="EP281" s="12">
        <f t="array" ref="EP281">SUMPRODUCT(TRANSPOSE(EP$9:EP$34),$K281:$AJ281)</f>
        <v>1000</v>
      </c>
      <c r="EQ281" s="12">
        <f t="array" ref="EQ281">SUMPRODUCT(TRANSPOSE(EQ$9:EQ$34),$K281:$AJ281)</f>
        <v>1000</v>
      </c>
      <c r="ER281" s="12">
        <f t="array" ref="ER281">SUMPRODUCT(TRANSPOSE(ER$9:ER$34),$K281:$AJ281)</f>
        <v>1000</v>
      </c>
      <c r="ES281" s="12">
        <f t="array" ref="ES281">SUMPRODUCT(TRANSPOSE(ES$9:ES$34),$K281:$AJ281)</f>
        <v>1000</v>
      </c>
      <c r="ET281" s="12">
        <f t="array" ref="ET281">SUMPRODUCT(TRANSPOSE(ET$9:ET$34),$K281:$AJ281)</f>
        <v>1000</v>
      </c>
      <c r="EU281" s="12">
        <f t="array" ref="EU281">SUMPRODUCT(TRANSPOSE(EU$9:EU$34),$K281:$AJ281)</f>
        <v>1000</v>
      </c>
      <c r="EV281" s="12">
        <f t="array" ref="EV281">SUMPRODUCT(TRANSPOSE(EV$9:EV$34),$K281:$AJ281)</f>
        <v>1000</v>
      </c>
      <c r="EW281" s="12">
        <f t="array" ref="EW281">SUMPRODUCT(TRANSPOSE(EW$9:EW$34),$K281:$AJ281)</f>
        <v>1000</v>
      </c>
      <c r="EX281" s="12">
        <f t="array" ref="EX281">SUMPRODUCT(TRANSPOSE(EX$9:EX$34),$K281:$AJ281)</f>
        <v>1000</v>
      </c>
      <c r="EY281" s="12">
        <f t="array" ref="EY281">SUMPRODUCT(TRANSPOSE(EY$9:EY$34),$K281:$AJ281)</f>
        <v>1000</v>
      </c>
      <c r="EZ281" s="12">
        <f t="array" ref="EZ281">SUMPRODUCT(TRANSPOSE(EZ$9:EZ$34),$K281:$AJ281)</f>
        <v>1000</v>
      </c>
      <c r="FA281" s="12">
        <f t="array" ref="FA281">SUMPRODUCT(TRANSPOSE(FA$9:FA$34),$K281:$AJ281)</f>
        <v>1000</v>
      </c>
      <c r="FB281" s="12">
        <f t="array" ref="FB281">SUMPRODUCT(TRANSPOSE(FB$9:FB$34),$K281:$AJ281)</f>
        <v>1000</v>
      </c>
      <c r="FC281" s="12">
        <f t="array" ref="FC281">SUMPRODUCT(TRANSPOSE(FC$9:FC$34),$K281:$AJ281)</f>
        <v>1000</v>
      </c>
      <c r="FD281" s="12">
        <f t="array" ref="FD281">SUMPRODUCT(TRANSPOSE(FD$9:FD$34),$K281:$AJ281)</f>
        <v>1000</v>
      </c>
      <c r="FE281" s="12">
        <f t="array" ref="FE281">SUMPRODUCT(TRANSPOSE(FE$9:FE$34),$K281:$AJ281)</f>
        <v>1000</v>
      </c>
      <c r="FF281" s="12">
        <f t="array" ref="FF281">SUMPRODUCT(TRANSPOSE(FF$9:FF$34),$K281:$AJ281)</f>
        <v>1000</v>
      </c>
      <c r="FG281" s="12">
        <f t="array" ref="FG281">SUMPRODUCT(TRANSPOSE(FG$9:FG$34),$K281:$AJ281)</f>
        <v>1000</v>
      </c>
      <c r="FH281" s="12">
        <f t="array" ref="FH281">SUMPRODUCT(TRANSPOSE(FH$9:FH$34),$K281:$AJ281)</f>
        <v>1000</v>
      </c>
      <c r="FI281" s="12">
        <f t="array" ref="FI281">SUMPRODUCT(TRANSPOSE(FI$9:FI$34),$K281:$AJ281)</f>
        <v>1000</v>
      </c>
      <c r="FJ281" s="12">
        <f t="array" ref="FJ281">SUMPRODUCT(TRANSPOSE(FJ$9:FJ$34),$K281:$AJ281)</f>
        <v>1000</v>
      </c>
      <c r="FK281" s="12">
        <f t="array" ref="FK281">SUMPRODUCT(TRANSPOSE(FK$9:FK$34),$K281:$AJ281)</f>
        <v>1000</v>
      </c>
      <c r="FL281" s="12">
        <f t="array" ref="FL281">SUMPRODUCT(TRANSPOSE(FL$9:FL$34),$K281:$AJ281)</f>
        <v>1000</v>
      </c>
      <c r="FM281" s="12">
        <f t="array" ref="FM281">SUMPRODUCT(TRANSPOSE(FM$9:FM$34),$K281:$AJ281)</f>
        <v>1000</v>
      </c>
      <c r="FN281" s="12">
        <f t="array" ref="FN281">SUMPRODUCT(TRANSPOSE(FN$9:FN$34),$K281:$AJ281)</f>
        <v>817</v>
      </c>
      <c r="FO281" s="12">
        <f t="array" ref="FO281">SUMPRODUCT(TRANSPOSE(FO$9:FO$34),$K281:$AJ281)</f>
        <v>0</v>
      </c>
    </row>
    <row r="282" spans="1:171" ht="14.25" x14ac:dyDescent="0.2">
      <c r="A282" s="13">
        <f t="shared" si="13"/>
        <v>247</v>
      </c>
      <c r="B282" s="13" t="s">
        <v>876</v>
      </c>
      <c r="C282" s="25" t="s">
        <v>877</v>
      </c>
      <c r="D282" s="13" t="s">
        <v>67</v>
      </c>
      <c r="E282" s="13">
        <v>512317975</v>
      </c>
      <c r="F282" s="26" t="s">
        <v>869</v>
      </c>
      <c r="G282" s="13"/>
      <c r="H282" s="13" t="s">
        <v>61</v>
      </c>
      <c r="I282" s="13">
        <v>2</v>
      </c>
      <c r="J282" s="13">
        <v>20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10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10</v>
      </c>
      <c r="Z282" s="13"/>
      <c r="AA282" s="13">
        <v>0</v>
      </c>
      <c r="AB282" s="13">
        <v>0</v>
      </c>
      <c r="AC282" s="13">
        <v>10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f t="shared" si="14"/>
        <v>30</v>
      </c>
      <c r="AL282" s="23">
        <f t="shared" si="12"/>
        <v>356650</v>
      </c>
      <c r="AM282" s="13"/>
      <c r="AN282" s="13" t="s">
        <v>866</v>
      </c>
      <c r="AO282" s="7" t="s">
        <v>855</v>
      </c>
      <c r="AP282" s="38">
        <v>2.6100000000000002E-2</v>
      </c>
      <c r="AQ282" s="12">
        <v>360000</v>
      </c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13"/>
      <c r="CG282" s="13"/>
      <c r="CH282" s="13"/>
      <c r="CI282" s="12"/>
      <c r="CJ282" s="12"/>
      <c r="CK282" s="12"/>
      <c r="CL282" s="12"/>
      <c r="CM282" s="12"/>
      <c r="CN282" s="12"/>
      <c r="CO282" s="12"/>
      <c r="CP282" s="12">
        <f>SUM($AQ282:BJ282)-SUM($EA282:EH282)</f>
        <v>328910</v>
      </c>
      <c r="CQ282" s="12">
        <f>SUM($AQ282:BK282)-SUM($EA282:EI282)</f>
        <v>326100</v>
      </c>
      <c r="CR282" s="12">
        <f>SUM($AQ282:BL282)-SUM($EA282:EJ282)</f>
        <v>326100</v>
      </c>
      <c r="CS282" s="12">
        <f>SUM($AQ282:BM282)-SUM($EA282:EK282)</f>
        <v>325100</v>
      </c>
      <c r="CT282" s="12">
        <f>SUM($AQ282:BN282)-SUM($EA282:EL282)</f>
        <v>315100</v>
      </c>
      <c r="CU282" s="12">
        <f>SUM($AQ282:BO282)-SUM($EA282:EM282)</f>
        <v>295100</v>
      </c>
      <c r="CV282" s="12">
        <f>SUM($AQ282:BP282)-SUM($EA282:EN282)</f>
        <v>284100</v>
      </c>
      <c r="CW282" s="12">
        <f>SUM($AQ282:BQ282)-SUM($EA282:EO282)</f>
        <v>274100</v>
      </c>
      <c r="CX282" s="12">
        <f>SUM($AQ282:BR282)-SUM($EA282:EP282)</f>
        <v>264100</v>
      </c>
      <c r="CY282" s="12">
        <f>SUM($AQ282:BS282)-SUM($EA282:EQ282)</f>
        <v>254100</v>
      </c>
      <c r="CZ282" s="12">
        <f>SUM($AQ282:BT282)-SUM($EA282:ER282)</f>
        <v>244100</v>
      </c>
      <c r="DA282" s="12">
        <f>SUM($AQ282:BU282)-SUM($EA282:ES282)</f>
        <v>234100</v>
      </c>
      <c r="DB282" s="12">
        <f>SUM($AQ282:BV282)-SUM($EA282:ET282)</f>
        <v>224100</v>
      </c>
      <c r="DC282" s="12">
        <f>SUM($AQ282:BW282)-SUM($EA282:EU282)</f>
        <v>214100</v>
      </c>
      <c r="DD282" s="12">
        <f>SUM($AQ282:BX282)-SUM($EA282:EV282)</f>
        <v>204100</v>
      </c>
      <c r="DE282" s="12">
        <f>SUM($AQ282:BY282)-SUM($EA282:EW282)</f>
        <v>194100</v>
      </c>
      <c r="DF282" s="12">
        <f>SUM($AQ282:BZ282)-SUM($EA282:EX282)</f>
        <v>184100</v>
      </c>
      <c r="DG282" s="12">
        <f>SUM($AQ282:CA282)-SUM($EA282:EY282)</f>
        <v>174100</v>
      </c>
      <c r="DH282" s="12">
        <f>SUM($AQ282:CB282)-SUM($EA282:EZ282)</f>
        <v>164100</v>
      </c>
      <c r="DI282" s="12">
        <f>SUM($AQ282:CC282)-SUM($EA282:FA282)</f>
        <v>154100</v>
      </c>
      <c r="DJ282" s="12">
        <f>SUM($AQ282:CD282)-SUM($EA282:FB282)</f>
        <v>144100</v>
      </c>
      <c r="DK282" s="12">
        <f>SUM($AQ282:CE282)-SUM($EA282:FC282)</f>
        <v>134100</v>
      </c>
      <c r="DL282" s="12">
        <f>SUM($AQ282:CF282)-SUM($EA282:FD282)</f>
        <v>124100</v>
      </c>
      <c r="DM282" s="12">
        <f>SUM($AQ282:CG282)-SUM($EA282:FE282)</f>
        <v>114100</v>
      </c>
      <c r="DN282" s="12">
        <f>SUM($AQ282:CH282)-SUM($EA282:FF282)</f>
        <v>104100</v>
      </c>
      <c r="DO282" s="12">
        <f>SUM($AQ282:CI282)-SUM($EA282:FG282)</f>
        <v>94100</v>
      </c>
      <c r="DP282" s="12">
        <f>SUM($AQ282:CJ282)-SUM($EA282:FH282)</f>
        <v>84100</v>
      </c>
      <c r="DQ282" s="12">
        <f>SUM($AQ282:CK282)-SUM($EA282:FI282)</f>
        <v>74100</v>
      </c>
      <c r="DR282" s="12">
        <f>SUM($AQ282:CL282)-SUM($EA282:FJ282)</f>
        <v>64100</v>
      </c>
      <c r="DS282" s="12">
        <f>SUM($AQ282:CM282)-SUM($EA282:FK282)</f>
        <v>54100</v>
      </c>
      <c r="DT282" s="12">
        <f>SUM($AQ282:CN282)-SUM($EA282:FL282)</f>
        <v>44100</v>
      </c>
      <c r="DU282" s="12">
        <f>SUM($AQ282:CO282)-SUM($EA282:FM282)</f>
        <v>34100</v>
      </c>
      <c r="DV282" s="12">
        <f>SUM($AQ282:CP282)-SUM($EA282:FN282)</f>
        <v>354840</v>
      </c>
      <c r="DW282" s="12">
        <f>SUM($AQ282:CQ282)-SUM($EA282:FO282)</f>
        <v>680940</v>
      </c>
      <c r="DX282" s="13"/>
      <c r="DY282" s="13"/>
      <c r="DZ282" s="13"/>
      <c r="EA282" s="12"/>
      <c r="EB282" s="12"/>
      <c r="EC282" s="12"/>
      <c r="ED282" s="12"/>
      <c r="EE282" s="12"/>
      <c r="EF282" s="12"/>
      <c r="EG282" s="12"/>
      <c r="EH282" s="12">
        <f t="array" ref="EH282">SUMPRODUCT(TRANSPOSE(EH$9:EH$34),$K282:$AJ282)</f>
        <v>31090</v>
      </c>
      <c r="EI282" s="12">
        <f t="array" ref="EI282">SUMPRODUCT(TRANSPOSE(EI$9:EI$34),$K282:$AJ282)</f>
        <v>2810</v>
      </c>
      <c r="EJ282" s="12">
        <f t="array" ref="EJ282">SUMPRODUCT(TRANSPOSE(EJ$9:EJ$34),$K282:$AJ282)</f>
        <v>0</v>
      </c>
      <c r="EK282" s="12">
        <f t="array" ref="EK282">SUMPRODUCT(TRANSPOSE(EK$9:EK$34),$K282:$AJ282)</f>
        <v>1000</v>
      </c>
      <c r="EL282" s="12">
        <f t="array" ref="EL282">SUMPRODUCT(TRANSPOSE(EL$9:EL$34),$K282:$AJ282)</f>
        <v>10000</v>
      </c>
      <c r="EM282" s="12">
        <f t="array" ref="EM282">SUMPRODUCT(TRANSPOSE(EM$9:EM$34),$K282:$AJ282)</f>
        <v>20000</v>
      </c>
      <c r="EN282" s="12">
        <f t="array" ref="EN282">SUMPRODUCT(TRANSPOSE(EN$9:EN$34),$K282:$AJ282)</f>
        <v>11000</v>
      </c>
      <c r="EO282" s="12">
        <f t="array" ref="EO282">SUMPRODUCT(TRANSPOSE(EO$9:EO$34),$K282:$AJ282)</f>
        <v>10000</v>
      </c>
      <c r="EP282" s="12">
        <f t="array" ref="EP282">SUMPRODUCT(TRANSPOSE(EP$9:EP$34),$K282:$AJ282)</f>
        <v>10000</v>
      </c>
      <c r="EQ282" s="12">
        <f t="array" ref="EQ282">SUMPRODUCT(TRANSPOSE(EQ$9:EQ$34),$K282:$AJ282)</f>
        <v>10000</v>
      </c>
      <c r="ER282" s="12">
        <f t="array" ref="ER282">SUMPRODUCT(TRANSPOSE(ER$9:ER$34),$K282:$AJ282)</f>
        <v>10000</v>
      </c>
      <c r="ES282" s="12">
        <f t="array" ref="ES282">SUMPRODUCT(TRANSPOSE(ES$9:ES$34),$K282:$AJ282)</f>
        <v>10000</v>
      </c>
      <c r="ET282" s="12">
        <f t="array" ref="ET282">SUMPRODUCT(TRANSPOSE(ET$9:ET$34),$K282:$AJ282)</f>
        <v>10000</v>
      </c>
      <c r="EU282" s="12">
        <f t="array" ref="EU282">SUMPRODUCT(TRANSPOSE(EU$9:EU$34),$K282:$AJ282)</f>
        <v>10000</v>
      </c>
      <c r="EV282" s="12">
        <f t="array" ref="EV282">SUMPRODUCT(TRANSPOSE(EV$9:EV$34),$K282:$AJ282)</f>
        <v>10000</v>
      </c>
      <c r="EW282" s="12">
        <f t="array" ref="EW282">SUMPRODUCT(TRANSPOSE(EW$9:EW$34),$K282:$AJ282)</f>
        <v>10000</v>
      </c>
      <c r="EX282" s="12">
        <f t="array" ref="EX282">SUMPRODUCT(TRANSPOSE(EX$9:EX$34),$K282:$AJ282)</f>
        <v>10000</v>
      </c>
      <c r="EY282" s="12">
        <f t="array" ref="EY282">SUMPRODUCT(TRANSPOSE(EY$9:EY$34),$K282:$AJ282)</f>
        <v>10000</v>
      </c>
      <c r="EZ282" s="12">
        <f t="array" ref="EZ282">SUMPRODUCT(TRANSPOSE(EZ$9:EZ$34),$K282:$AJ282)</f>
        <v>10000</v>
      </c>
      <c r="FA282" s="12">
        <f t="array" ref="FA282">SUMPRODUCT(TRANSPOSE(FA$9:FA$34),$K282:$AJ282)</f>
        <v>10000</v>
      </c>
      <c r="FB282" s="12">
        <f t="array" ref="FB282">SUMPRODUCT(TRANSPOSE(FB$9:FB$34),$K282:$AJ282)</f>
        <v>10000</v>
      </c>
      <c r="FC282" s="12">
        <f t="array" ref="FC282">SUMPRODUCT(TRANSPOSE(FC$9:FC$34),$K282:$AJ282)</f>
        <v>10000</v>
      </c>
      <c r="FD282" s="12">
        <f t="array" ref="FD282">SUMPRODUCT(TRANSPOSE(FD$9:FD$34),$K282:$AJ282)</f>
        <v>10000</v>
      </c>
      <c r="FE282" s="12">
        <f t="array" ref="FE282">SUMPRODUCT(TRANSPOSE(FE$9:FE$34),$K282:$AJ282)</f>
        <v>10000</v>
      </c>
      <c r="FF282" s="12">
        <f t="array" ref="FF282">SUMPRODUCT(TRANSPOSE(FF$9:FF$34),$K282:$AJ282)</f>
        <v>10000</v>
      </c>
      <c r="FG282" s="12">
        <f t="array" ref="FG282">SUMPRODUCT(TRANSPOSE(FG$9:FG$34),$K282:$AJ282)</f>
        <v>10000</v>
      </c>
      <c r="FH282" s="12">
        <f t="array" ref="FH282">SUMPRODUCT(TRANSPOSE(FH$9:FH$34),$K282:$AJ282)</f>
        <v>10000</v>
      </c>
      <c r="FI282" s="12">
        <f t="array" ref="FI282">SUMPRODUCT(TRANSPOSE(FI$9:FI$34),$K282:$AJ282)</f>
        <v>10000</v>
      </c>
      <c r="FJ282" s="12">
        <f t="array" ref="FJ282">SUMPRODUCT(TRANSPOSE(FJ$9:FJ$34),$K282:$AJ282)</f>
        <v>10000</v>
      </c>
      <c r="FK282" s="12">
        <f t="array" ref="FK282">SUMPRODUCT(TRANSPOSE(FK$9:FK$34),$K282:$AJ282)</f>
        <v>10000</v>
      </c>
      <c r="FL282" s="12">
        <f t="array" ref="FL282">SUMPRODUCT(TRANSPOSE(FL$9:FL$34),$K282:$AJ282)</f>
        <v>10000</v>
      </c>
      <c r="FM282" s="12">
        <f t="array" ref="FM282">SUMPRODUCT(TRANSPOSE(FM$9:FM$34),$K282:$AJ282)</f>
        <v>10000</v>
      </c>
      <c r="FN282" s="12">
        <f t="array" ref="FN282">SUMPRODUCT(TRANSPOSE(FN$9:FN$34),$K282:$AJ282)</f>
        <v>8170</v>
      </c>
      <c r="FO282" s="12">
        <f t="array" ref="FO282">SUMPRODUCT(TRANSPOSE(FO$9:FO$34),$K282:$AJ282)</f>
        <v>0</v>
      </c>
    </row>
    <row r="283" spans="1:171" ht="14.25" x14ac:dyDescent="0.2">
      <c r="A283" s="13">
        <f t="shared" si="13"/>
        <v>248</v>
      </c>
      <c r="B283" s="13" t="s">
        <v>878</v>
      </c>
      <c r="C283" s="25" t="s">
        <v>879</v>
      </c>
      <c r="D283" s="13" t="s">
        <v>67</v>
      </c>
      <c r="E283" s="13">
        <v>512310954</v>
      </c>
      <c r="F283" s="26" t="s">
        <v>865</v>
      </c>
      <c r="G283" s="13"/>
      <c r="H283" s="13" t="s">
        <v>61</v>
      </c>
      <c r="I283" s="13">
        <v>2</v>
      </c>
      <c r="J283" s="13">
        <v>3</v>
      </c>
      <c r="K283" s="13">
        <v>0</v>
      </c>
      <c r="L283" s="13">
        <v>1</v>
      </c>
      <c r="M283" s="13">
        <v>0</v>
      </c>
      <c r="N283" s="13">
        <v>0</v>
      </c>
      <c r="O283" s="13">
        <v>0</v>
      </c>
      <c r="P283" s="13">
        <v>0</v>
      </c>
      <c r="Q283" s="13">
        <v>1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/>
      <c r="Z283" s="13"/>
      <c r="AA283" s="13">
        <v>0</v>
      </c>
      <c r="AB283" s="13">
        <v>1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f t="shared" si="14"/>
        <v>3</v>
      </c>
      <c r="AL283" s="23">
        <f t="shared" si="12"/>
        <v>70797</v>
      </c>
      <c r="AM283" s="13"/>
      <c r="AN283" s="13" t="s">
        <v>866</v>
      </c>
      <c r="AO283" s="7" t="s">
        <v>855</v>
      </c>
      <c r="AP283" s="38">
        <v>2.9499999999999998E-2</v>
      </c>
      <c r="AQ283" s="12">
        <v>76000</v>
      </c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13"/>
      <c r="CG283" s="13"/>
      <c r="CH283" s="13"/>
      <c r="CI283" s="12"/>
      <c r="CJ283" s="12"/>
      <c r="CK283" s="12"/>
      <c r="CL283" s="12"/>
      <c r="CM283" s="12"/>
      <c r="CN283" s="12"/>
      <c r="CO283" s="12"/>
      <c r="CP283" s="12">
        <f>SUM($AQ283:BJ283)-SUM($EA283:EH283)</f>
        <v>69551</v>
      </c>
      <c r="CQ283" s="12">
        <f>SUM($AQ283:BK283)-SUM($EA283:EI283)</f>
        <v>68656</v>
      </c>
      <c r="CR283" s="12">
        <f>SUM($AQ283:BL283)-SUM($EA283:EJ283)</f>
        <v>67641</v>
      </c>
      <c r="CS283" s="12">
        <f>SUM($AQ283:BM283)-SUM($EA283:EK283)</f>
        <v>66606</v>
      </c>
      <c r="CT283" s="12">
        <f>SUM($AQ283:BN283)-SUM($EA283:EL283)</f>
        <v>65591</v>
      </c>
      <c r="CU283" s="12">
        <f>SUM($AQ283:BO283)-SUM($EA283:EM283)</f>
        <v>65541</v>
      </c>
      <c r="CV283" s="12">
        <f>SUM($AQ283:BP283)-SUM($EA283:EN283)</f>
        <v>64591</v>
      </c>
      <c r="CW283" s="12">
        <f>SUM($AQ283:BQ283)-SUM($EA283:EO283)</f>
        <v>63591</v>
      </c>
      <c r="CX283" s="12">
        <f>SUM($AQ283:BR283)-SUM($EA283:EP283)</f>
        <v>62541</v>
      </c>
      <c r="CY283" s="12">
        <f>SUM($AQ283:BS283)-SUM($EA283:EQ283)</f>
        <v>61491</v>
      </c>
      <c r="CZ283" s="12">
        <f>SUM($AQ283:BT283)-SUM($EA283:ER283)</f>
        <v>60441</v>
      </c>
      <c r="DA283" s="12">
        <f>SUM($AQ283:BU283)-SUM($EA283:ES283)</f>
        <v>59391</v>
      </c>
      <c r="DB283" s="12">
        <f>SUM($AQ283:BV283)-SUM($EA283:ET283)</f>
        <v>58341</v>
      </c>
      <c r="DC283" s="12">
        <f>SUM($AQ283:BW283)-SUM($EA283:EU283)</f>
        <v>57291</v>
      </c>
      <c r="DD283" s="12">
        <f>SUM($AQ283:BX283)-SUM($EA283:EV283)</f>
        <v>56241</v>
      </c>
      <c r="DE283" s="12">
        <f>SUM($AQ283:BY283)-SUM($EA283:EW283)</f>
        <v>55231</v>
      </c>
      <c r="DF283" s="12">
        <f>SUM($AQ283:BZ283)-SUM($EA283:EX283)</f>
        <v>54231</v>
      </c>
      <c r="DG283" s="12">
        <f>SUM($AQ283:CA283)-SUM($EA283:EY283)</f>
        <v>53231</v>
      </c>
      <c r="DH283" s="12">
        <f>SUM($AQ283:CB283)-SUM($EA283:EZ283)</f>
        <v>52231</v>
      </c>
      <c r="DI283" s="12">
        <f>SUM($AQ283:CC283)-SUM($EA283:FA283)</f>
        <v>51231</v>
      </c>
      <c r="DJ283" s="12">
        <f>SUM($AQ283:CD283)-SUM($EA283:FB283)</f>
        <v>50231</v>
      </c>
      <c r="DK283" s="12">
        <f>SUM($AQ283:CE283)-SUM($EA283:FC283)</f>
        <v>49231</v>
      </c>
      <c r="DL283" s="12">
        <f>SUM($AQ283:CF283)-SUM($EA283:FD283)</f>
        <v>48231</v>
      </c>
      <c r="DM283" s="12">
        <f>SUM($AQ283:CG283)-SUM($EA283:FE283)</f>
        <v>47231</v>
      </c>
      <c r="DN283" s="12">
        <f>SUM($AQ283:CH283)-SUM($EA283:FF283)</f>
        <v>46231</v>
      </c>
      <c r="DO283" s="12">
        <f>SUM($AQ283:CI283)-SUM($EA283:FG283)</f>
        <v>45231</v>
      </c>
      <c r="DP283" s="12">
        <f>SUM($AQ283:CJ283)-SUM($EA283:FH283)</f>
        <v>44231</v>
      </c>
      <c r="DQ283" s="12">
        <f>SUM($AQ283:CK283)-SUM($EA283:FI283)</f>
        <v>43231</v>
      </c>
      <c r="DR283" s="12">
        <f>SUM($AQ283:CL283)-SUM($EA283:FJ283)</f>
        <v>42231</v>
      </c>
      <c r="DS283" s="12">
        <f>SUM($AQ283:CM283)-SUM($EA283:FK283)</f>
        <v>41231</v>
      </c>
      <c r="DT283" s="12">
        <f>SUM($AQ283:CN283)-SUM($EA283:FL283)</f>
        <v>40231</v>
      </c>
      <c r="DU283" s="12">
        <f>SUM($AQ283:CO283)-SUM($EA283:FM283)</f>
        <v>39231</v>
      </c>
      <c r="DV283" s="12">
        <f>SUM($AQ283:CP283)-SUM($EA283:FN283)</f>
        <v>107782</v>
      </c>
      <c r="DW283" s="12">
        <f>SUM($AQ283:CQ283)-SUM($EA283:FO283)</f>
        <v>176394</v>
      </c>
      <c r="DX283" s="13"/>
      <c r="DY283" s="13"/>
      <c r="DZ283" s="13"/>
      <c r="EA283" s="12"/>
      <c r="EB283" s="12"/>
      <c r="EC283" s="12"/>
      <c r="ED283" s="12"/>
      <c r="EE283" s="12"/>
      <c r="EF283" s="12"/>
      <c r="EG283" s="12"/>
      <c r="EH283" s="12">
        <f t="array" ref="EH283">SUMPRODUCT(TRANSPOSE(EH$9:EH$34),$K283:$AJ283)</f>
        <v>6449</v>
      </c>
      <c r="EI283" s="12">
        <f t="array" ref="EI283">SUMPRODUCT(TRANSPOSE(EI$9:EI$34),$K283:$AJ283)</f>
        <v>895</v>
      </c>
      <c r="EJ283" s="12">
        <f t="array" ref="EJ283">SUMPRODUCT(TRANSPOSE(EJ$9:EJ$34),$K283:$AJ283)</f>
        <v>1015</v>
      </c>
      <c r="EK283" s="12">
        <f t="array" ref="EK283">SUMPRODUCT(TRANSPOSE(EK$9:EK$34),$K283:$AJ283)</f>
        <v>1035</v>
      </c>
      <c r="EL283" s="12">
        <f t="array" ref="EL283">SUMPRODUCT(TRANSPOSE(EL$9:EL$34),$K283:$AJ283)</f>
        <v>1015</v>
      </c>
      <c r="EM283" s="12">
        <f t="array" ref="EM283">SUMPRODUCT(TRANSPOSE(EM$9:EM$34),$K283:$AJ283)</f>
        <v>50</v>
      </c>
      <c r="EN283" s="12">
        <f t="array" ref="EN283">SUMPRODUCT(TRANSPOSE(EN$9:EN$34),$K283:$AJ283)</f>
        <v>950</v>
      </c>
      <c r="EO283" s="12">
        <f t="array" ref="EO283">SUMPRODUCT(TRANSPOSE(EO$9:EO$34),$K283:$AJ283)</f>
        <v>1000</v>
      </c>
      <c r="EP283" s="12">
        <f t="array" ref="EP283">SUMPRODUCT(TRANSPOSE(EP$9:EP$34),$K283:$AJ283)</f>
        <v>1050</v>
      </c>
      <c r="EQ283" s="12">
        <f t="array" ref="EQ283">SUMPRODUCT(TRANSPOSE(EQ$9:EQ$34),$K283:$AJ283)</f>
        <v>1050</v>
      </c>
      <c r="ER283" s="12">
        <f t="array" ref="ER283">SUMPRODUCT(TRANSPOSE(ER$9:ER$34),$K283:$AJ283)</f>
        <v>1050</v>
      </c>
      <c r="ES283" s="12">
        <f t="array" ref="ES283">SUMPRODUCT(TRANSPOSE(ES$9:ES$34),$K283:$AJ283)</f>
        <v>1050</v>
      </c>
      <c r="ET283" s="12">
        <f t="array" ref="ET283">SUMPRODUCT(TRANSPOSE(ET$9:ET$34),$K283:$AJ283)</f>
        <v>1050</v>
      </c>
      <c r="EU283" s="12">
        <f t="array" ref="EU283">SUMPRODUCT(TRANSPOSE(EU$9:EU$34),$K283:$AJ283)</f>
        <v>1050</v>
      </c>
      <c r="EV283" s="12">
        <f t="array" ref="EV283">SUMPRODUCT(TRANSPOSE(EV$9:EV$34),$K283:$AJ283)</f>
        <v>1050</v>
      </c>
      <c r="EW283" s="12">
        <f t="array" ref="EW283">SUMPRODUCT(TRANSPOSE(EW$9:EW$34),$K283:$AJ283)</f>
        <v>1010</v>
      </c>
      <c r="EX283" s="12">
        <f t="array" ref="EX283">SUMPRODUCT(TRANSPOSE(EX$9:EX$34),$K283:$AJ283)</f>
        <v>1000</v>
      </c>
      <c r="EY283" s="12">
        <f t="array" ref="EY283">SUMPRODUCT(TRANSPOSE(EY$9:EY$34),$K283:$AJ283)</f>
        <v>1000</v>
      </c>
      <c r="EZ283" s="12">
        <f t="array" ref="EZ283">SUMPRODUCT(TRANSPOSE(EZ$9:EZ$34),$K283:$AJ283)</f>
        <v>1000</v>
      </c>
      <c r="FA283" s="12">
        <f t="array" ref="FA283">SUMPRODUCT(TRANSPOSE(FA$9:FA$34),$K283:$AJ283)</f>
        <v>1000</v>
      </c>
      <c r="FB283" s="12">
        <f t="array" ref="FB283">SUMPRODUCT(TRANSPOSE(FB$9:FB$34),$K283:$AJ283)</f>
        <v>1000</v>
      </c>
      <c r="FC283" s="12">
        <f t="array" ref="FC283">SUMPRODUCT(TRANSPOSE(FC$9:FC$34),$K283:$AJ283)</f>
        <v>1000</v>
      </c>
      <c r="FD283" s="12">
        <f t="array" ref="FD283">SUMPRODUCT(TRANSPOSE(FD$9:FD$34),$K283:$AJ283)</f>
        <v>1000</v>
      </c>
      <c r="FE283" s="12">
        <f t="array" ref="FE283">SUMPRODUCT(TRANSPOSE(FE$9:FE$34),$K283:$AJ283)</f>
        <v>1000</v>
      </c>
      <c r="FF283" s="12">
        <f t="array" ref="FF283">SUMPRODUCT(TRANSPOSE(FF$9:FF$34),$K283:$AJ283)</f>
        <v>1000</v>
      </c>
      <c r="FG283" s="12">
        <f t="array" ref="FG283">SUMPRODUCT(TRANSPOSE(FG$9:FG$34),$K283:$AJ283)</f>
        <v>1000</v>
      </c>
      <c r="FH283" s="12">
        <f t="array" ref="FH283">SUMPRODUCT(TRANSPOSE(FH$9:FH$34),$K283:$AJ283)</f>
        <v>1000</v>
      </c>
      <c r="FI283" s="12">
        <f t="array" ref="FI283">SUMPRODUCT(TRANSPOSE(FI$9:FI$34),$K283:$AJ283)</f>
        <v>1000</v>
      </c>
      <c r="FJ283" s="12">
        <f t="array" ref="FJ283">SUMPRODUCT(TRANSPOSE(FJ$9:FJ$34),$K283:$AJ283)</f>
        <v>1000</v>
      </c>
      <c r="FK283" s="12">
        <f t="array" ref="FK283">SUMPRODUCT(TRANSPOSE(FK$9:FK$34),$K283:$AJ283)</f>
        <v>1000</v>
      </c>
      <c r="FL283" s="12">
        <f t="array" ref="FL283">SUMPRODUCT(TRANSPOSE(FL$9:FL$34),$K283:$AJ283)</f>
        <v>1000</v>
      </c>
      <c r="FM283" s="12">
        <f t="array" ref="FM283">SUMPRODUCT(TRANSPOSE(FM$9:FM$34),$K283:$AJ283)</f>
        <v>1000</v>
      </c>
      <c r="FN283" s="12">
        <f t="array" ref="FN283">SUMPRODUCT(TRANSPOSE(FN$9:FN$34),$K283:$AJ283)</f>
        <v>1000</v>
      </c>
      <c r="FO283" s="12">
        <f t="array" ref="FO283">SUMPRODUCT(TRANSPOSE(FO$9:FO$34),$K283:$AJ283)</f>
        <v>44</v>
      </c>
    </row>
    <row r="284" spans="1:171" ht="14.25" x14ac:dyDescent="0.2">
      <c r="A284" s="13">
        <f t="shared" si="13"/>
        <v>249</v>
      </c>
      <c r="B284" s="13" t="s">
        <v>880</v>
      </c>
      <c r="C284" s="25" t="s">
        <v>881</v>
      </c>
      <c r="D284" s="13" t="s">
        <v>67</v>
      </c>
      <c r="E284" s="13">
        <v>402019369</v>
      </c>
      <c r="F284" s="26" t="s">
        <v>882</v>
      </c>
      <c r="G284" s="13"/>
      <c r="H284" s="13" t="s">
        <v>61</v>
      </c>
      <c r="I284" s="13">
        <v>2</v>
      </c>
      <c r="J284" s="13">
        <v>3</v>
      </c>
      <c r="K284" s="13">
        <v>0</v>
      </c>
      <c r="L284" s="13">
        <v>0</v>
      </c>
      <c r="M284" s="13">
        <v>0</v>
      </c>
      <c r="N284" s="13">
        <v>0</v>
      </c>
      <c r="O284" s="13">
        <v>1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1</v>
      </c>
      <c r="Y284" s="13"/>
      <c r="Z284" s="13"/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1</v>
      </c>
      <c r="AK284" s="13">
        <f t="shared" si="14"/>
        <v>2</v>
      </c>
      <c r="AL284" s="23">
        <f t="shared" si="12"/>
        <v>70863</v>
      </c>
      <c r="AM284" s="13" t="s">
        <v>731</v>
      </c>
      <c r="AN284" s="13" t="s">
        <v>386</v>
      </c>
      <c r="AO284" s="7" t="s">
        <v>3</v>
      </c>
      <c r="AP284" s="38">
        <v>0.48</v>
      </c>
      <c r="AQ284" s="12">
        <v>99999999</v>
      </c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13"/>
      <c r="CG284" s="13"/>
      <c r="CH284" s="13"/>
      <c r="CI284" s="12"/>
      <c r="CJ284" s="12"/>
      <c r="CK284" s="12"/>
      <c r="CL284" s="12"/>
      <c r="CM284" s="12"/>
      <c r="CN284" s="12"/>
      <c r="CO284" s="12"/>
      <c r="CP284" s="12">
        <f>SUM($AQ284:BJ284)-SUM($EA284:EH284)</f>
        <v>99992936</v>
      </c>
      <c r="CQ284" s="12">
        <f>SUM($AQ284:BK284)-SUM($EA284:EI284)</f>
        <v>99992536</v>
      </c>
      <c r="CR284" s="12">
        <f>SUM($AQ284:BL284)-SUM($EA284:EJ284)</f>
        <v>99991521</v>
      </c>
      <c r="CS284" s="12">
        <f>SUM($AQ284:BM284)-SUM($EA284:EK284)</f>
        <v>99990386</v>
      </c>
      <c r="CT284" s="12">
        <f>SUM($AQ284:BN284)-SUM($EA284:EL284)</f>
        <v>99988371</v>
      </c>
      <c r="CU284" s="12">
        <f>SUM($AQ284:BO284)-SUM($EA284:EM284)</f>
        <v>99986321</v>
      </c>
      <c r="CV284" s="12">
        <f>SUM($AQ284:BP284)-SUM($EA284:EN284)</f>
        <v>99984271</v>
      </c>
      <c r="CW284" s="12">
        <f>SUM($AQ284:BQ284)-SUM($EA284:EO284)</f>
        <v>99982271</v>
      </c>
      <c r="CX284" s="12">
        <f>SUM($AQ284:BR284)-SUM($EA284:EP284)</f>
        <v>99980221</v>
      </c>
      <c r="CY284" s="12">
        <f>SUM($AQ284:BS284)-SUM($EA284:EQ284)</f>
        <v>99978171</v>
      </c>
      <c r="CZ284" s="12">
        <f>SUM($AQ284:BT284)-SUM($EA284:ER284)</f>
        <v>99976121</v>
      </c>
      <c r="DA284" s="12">
        <f>SUM($AQ284:BU284)-SUM($EA284:ES284)</f>
        <v>99974071</v>
      </c>
      <c r="DB284" s="12">
        <f>SUM($AQ284:BV284)-SUM($EA284:ET284)</f>
        <v>99972021</v>
      </c>
      <c r="DC284" s="12">
        <f>SUM($AQ284:BW284)-SUM($EA284:EU284)</f>
        <v>99969971</v>
      </c>
      <c r="DD284" s="12">
        <f>SUM($AQ284:BX284)-SUM($EA284:EV284)</f>
        <v>99967921</v>
      </c>
      <c r="DE284" s="12">
        <f>SUM($AQ284:BY284)-SUM($EA284:EW284)</f>
        <v>99965911</v>
      </c>
      <c r="DF284" s="12">
        <f>SUM($AQ284:BZ284)-SUM($EA284:EX284)</f>
        <v>99963911</v>
      </c>
      <c r="DG284" s="12">
        <f>SUM($AQ284:CA284)-SUM($EA284:EY284)</f>
        <v>99961911</v>
      </c>
      <c r="DH284" s="12">
        <f>SUM($AQ284:CB284)-SUM($EA284:EZ284)</f>
        <v>99959911</v>
      </c>
      <c r="DI284" s="12">
        <f>SUM($AQ284:CC284)-SUM($EA284:FA284)</f>
        <v>99957911</v>
      </c>
      <c r="DJ284" s="12">
        <f>SUM($AQ284:CD284)-SUM($EA284:FB284)</f>
        <v>99955911</v>
      </c>
      <c r="DK284" s="12">
        <f>SUM($AQ284:CE284)-SUM($EA284:FC284)</f>
        <v>99953911</v>
      </c>
      <c r="DL284" s="12">
        <f>SUM($AQ284:CF284)-SUM($EA284:FD284)</f>
        <v>99951911</v>
      </c>
      <c r="DM284" s="12">
        <f>SUM($AQ284:CG284)-SUM($EA284:FE284)</f>
        <v>99949911</v>
      </c>
      <c r="DN284" s="12">
        <f>SUM($AQ284:CH284)-SUM($EA284:FF284)</f>
        <v>99947911</v>
      </c>
      <c r="DO284" s="12">
        <f>SUM($AQ284:CI284)-SUM($EA284:FG284)</f>
        <v>99945911</v>
      </c>
      <c r="DP284" s="12">
        <f>SUM($AQ284:CJ284)-SUM($EA284:FH284)</f>
        <v>99943911</v>
      </c>
      <c r="DQ284" s="12">
        <f>SUM($AQ284:CK284)-SUM($EA284:FI284)</f>
        <v>99941911</v>
      </c>
      <c r="DR284" s="12">
        <f>SUM($AQ284:CL284)-SUM($EA284:FJ284)</f>
        <v>99939911</v>
      </c>
      <c r="DS284" s="12">
        <f>SUM($AQ284:CM284)-SUM($EA284:FK284)</f>
        <v>99937911</v>
      </c>
      <c r="DT284" s="12">
        <f>SUM($AQ284:CN284)-SUM($EA284:FL284)</f>
        <v>99935911</v>
      </c>
      <c r="DU284" s="12">
        <f>SUM($AQ284:CO284)-SUM($EA284:FM284)</f>
        <v>99933911</v>
      </c>
      <c r="DV284" s="12">
        <f>SUM($AQ284:CP284)-SUM($EA284:FN284)</f>
        <v>199925149</v>
      </c>
      <c r="DW284" s="12">
        <f>SUM($AQ284:CQ284)-SUM($EA284:FO284)</f>
        <v>299917608</v>
      </c>
      <c r="DX284" s="13"/>
      <c r="DY284" s="13"/>
      <c r="DZ284" s="13"/>
      <c r="EA284" s="12"/>
      <c r="EB284" s="12"/>
      <c r="EC284" s="12"/>
      <c r="ED284" s="12"/>
      <c r="EE284" s="12"/>
      <c r="EF284" s="12"/>
      <c r="EG284" s="12"/>
      <c r="EH284" s="12">
        <f t="array" ref="EH284">SUMPRODUCT(TRANSPOSE(EH$9:EH$34),$K284:$AJ284)</f>
        <v>7063</v>
      </c>
      <c r="EI284" s="12">
        <f t="array" ref="EI284">SUMPRODUCT(TRANSPOSE(EI$9:EI$34),$K284:$AJ284)</f>
        <v>400</v>
      </c>
      <c r="EJ284" s="12">
        <f t="array" ref="EJ284">SUMPRODUCT(TRANSPOSE(EJ$9:EJ$34),$K284:$AJ284)</f>
        <v>1015</v>
      </c>
      <c r="EK284" s="12">
        <f t="array" ref="EK284">SUMPRODUCT(TRANSPOSE(EK$9:EK$34),$K284:$AJ284)</f>
        <v>1135</v>
      </c>
      <c r="EL284" s="12">
        <f t="array" ref="EL284">SUMPRODUCT(TRANSPOSE(EL$9:EL$34),$K284:$AJ284)</f>
        <v>2015</v>
      </c>
      <c r="EM284" s="12">
        <f t="array" ref="EM284">SUMPRODUCT(TRANSPOSE(EM$9:EM$34),$K284:$AJ284)</f>
        <v>2050</v>
      </c>
      <c r="EN284" s="12">
        <f t="array" ref="EN284">SUMPRODUCT(TRANSPOSE(EN$9:EN$34),$K284:$AJ284)</f>
        <v>2050</v>
      </c>
      <c r="EO284" s="12">
        <f t="array" ref="EO284">SUMPRODUCT(TRANSPOSE(EO$9:EO$34),$K284:$AJ284)</f>
        <v>2000</v>
      </c>
      <c r="EP284" s="12">
        <f t="array" ref="EP284">SUMPRODUCT(TRANSPOSE(EP$9:EP$34),$K284:$AJ284)</f>
        <v>2050</v>
      </c>
      <c r="EQ284" s="12">
        <f t="array" ref="EQ284">SUMPRODUCT(TRANSPOSE(EQ$9:EQ$34),$K284:$AJ284)</f>
        <v>2050</v>
      </c>
      <c r="ER284" s="12">
        <f t="array" ref="ER284">SUMPRODUCT(TRANSPOSE(ER$9:ER$34),$K284:$AJ284)</f>
        <v>2050</v>
      </c>
      <c r="ES284" s="12">
        <f t="array" ref="ES284">SUMPRODUCT(TRANSPOSE(ES$9:ES$34),$K284:$AJ284)</f>
        <v>2050</v>
      </c>
      <c r="ET284" s="12">
        <f t="array" ref="ET284">SUMPRODUCT(TRANSPOSE(ET$9:ET$34),$K284:$AJ284)</f>
        <v>2050</v>
      </c>
      <c r="EU284" s="12">
        <f t="array" ref="EU284">SUMPRODUCT(TRANSPOSE(EU$9:EU$34),$K284:$AJ284)</f>
        <v>2050</v>
      </c>
      <c r="EV284" s="12">
        <f t="array" ref="EV284">SUMPRODUCT(TRANSPOSE(EV$9:EV$34),$K284:$AJ284)</f>
        <v>2050</v>
      </c>
      <c r="EW284" s="12">
        <f t="array" ref="EW284">SUMPRODUCT(TRANSPOSE(EW$9:EW$34),$K284:$AJ284)</f>
        <v>2010</v>
      </c>
      <c r="EX284" s="12">
        <f t="array" ref="EX284">SUMPRODUCT(TRANSPOSE(EX$9:EX$34),$K284:$AJ284)</f>
        <v>2000</v>
      </c>
      <c r="EY284" s="12">
        <f t="array" ref="EY284">SUMPRODUCT(TRANSPOSE(EY$9:EY$34),$K284:$AJ284)</f>
        <v>2000</v>
      </c>
      <c r="EZ284" s="12">
        <f t="array" ref="EZ284">SUMPRODUCT(TRANSPOSE(EZ$9:EZ$34),$K284:$AJ284)</f>
        <v>2000</v>
      </c>
      <c r="FA284" s="12">
        <f t="array" ref="FA284">SUMPRODUCT(TRANSPOSE(FA$9:FA$34),$K284:$AJ284)</f>
        <v>2000</v>
      </c>
      <c r="FB284" s="12">
        <f t="array" ref="FB284">SUMPRODUCT(TRANSPOSE(FB$9:FB$34),$K284:$AJ284)</f>
        <v>2000</v>
      </c>
      <c r="FC284" s="12">
        <f t="array" ref="FC284">SUMPRODUCT(TRANSPOSE(FC$9:FC$34),$K284:$AJ284)</f>
        <v>2000</v>
      </c>
      <c r="FD284" s="12">
        <f t="array" ref="FD284">SUMPRODUCT(TRANSPOSE(FD$9:FD$34),$K284:$AJ284)</f>
        <v>2000</v>
      </c>
      <c r="FE284" s="12">
        <f t="array" ref="FE284">SUMPRODUCT(TRANSPOSE(FE$9:FE$34),$K284:$AJ284)</f>
        <v>2000</v>
      </c>
      <c r="FF284" s="12">
        <f t="array" ref="FF284">SUMPRODUCT(TRANSPOSE(FF$9:FF$34),$K284:$AJ284)</f>
        <v>2000</v>
      </c>
      <c r="FG284" s="12">
        <f t="array" ref="FG284">SUMPRODUCT(TRANSPOSE(FG$9:FG$34),$K284:$AJ284)</f>
        <v>2000</v>
      </c>
      <c r="FH284" s="12">
        <f t="array" ref="FH284">SUMPRODUCT(TRANSPOSE(FH$9:FH$34),$K284:$AJ284)</f>
        <v>2000</v>
      </c>
      <c r="FI284" s="12">
        <f t="array" ref="FI284">SUMPRODUCT(TRANSPOSE(FI$9:FI$34),$K284:$AJ284)</f>
        <v>2000</v>
      </c>
      <c r="FJ284" s="12">
        <f t="array" ref="FJ284">SUMPRODUCT(TRANSPOSE(FJ$9:FJ$34),$K284:$AJ284)</f>
        <v>2000</v>
      </c>
      <c r="FK284" s="12">
        <f t="array" ref="FK284">SUMPRODUCT(TRANSPOSE(FK$9:FK$34),$K284:$AJ284)</f>
        <v>2000</v>
      </c>
      <c r="FL284" s="12">
        <f t="array" ref="FL284">SUMPRODUCT(TRANSPOSE(FL$9:FL$34),$K284:$AJ284)</f>
        <v>2000</v>
      </c>
      <c r="FM284" s="12">
        <f t="array" ref="FM284">SUMPRODUCT(TRANSPOSE(FM$9:FM$34),$K284:$AJ284)</f>
        <v>2000</v>
      </c>
      <c r="FN284" s="12">
        <f t="array" ref="FN284">SUMPRODUCT(TRANSPOSE(FN$9:FN$34),$K284:$AJ284)</f>
        <v>1698</v>
      </c>
      <c r="FO284" s="12">
        <f t="array" ref="FO284">SUMPRODUCT(TRANSPOSE(FO$9:FO$34),$K284:$AJ284)</f>
        <v>77</v>
      </c>
    </row>
    <row r="285" spans="1:171" ht="14.25" x14ac:dyDescent="0.2">
      <c r="A285" s="13">
        <f t="shared" si="13"/>
        <v>250</v>
      </c>
      <c r="B285" s="13" t="s">
        <v>883</v>
      </c>
      <c r="C285" s="25" t="s">
        <v>884</v>
      </c>
      <c r="D285" s="13" t="s">
        <v>67</v>
      </c>
      <c r="E285" s="13">
        <v>513206482</v>
      </c>
      <c r="F285" s="26" t="s">
        <v>885</v>
      </c>
      <c r="G285" s="13"/>
      <c r="H285" s="13" t="s">
        <v>61</v>
      </c>
      <c r="I285" s="13">
        <v>2</v>
      </c>
      <c r="J285" s="13">
        <v>6</v>
      </c>
      <c r="K285" s="13">
        <v>0</v>
      </c>
      <c r="L285" s="13">
        <v>2</v>
      </c>
      <c r="M285" s="13">
        <v>0</v>
      </c>
      <c r="N285" s="13">
        <v>0</v>
      </c>
      <c r="O285" s="13">
        <v>0</v>
      </c>
      <c r="P285" s="13">
        <v>0</v>
      </c>
      <c r="Q285" s="13">
        <v>2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/>
      <c r="Z285" s="13"/>
      <c r="AA285" s="13">
        <v>0</v>
      </c>
      <c r="AB285" s="13">
        <v>2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f t="shared" si="14"/>
        <v>6</v>
      </c>
      <c r="AL285" s="23">
        <f t="shared" si="12"/>
        <v>141594</v>
      </c>
      <c r="AM285" s="13"/>
      <c r="AN285" s="13" t="s">
        <v>854</v>
      </c>
      <c r="AO285" s="7" t="s">
        <v>855</v>
      </c>
      <c r="AP285" s="38">
        <v>0.47899999999999998</v>
      </c>
      <c r="AQ285" s="12">
        <v>142000</v>
      </c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13"/>
      <c r="CG285" s="13"/>
      <c r="CH285" s="13"/>
      <c r="CI285" s="12"/>
      <c r="CJ285" s="12"/>
      <c r="CK285" s="12"/>
      <c r="CL285" s="12"/>
      <c r="CM285" s="12"/>
      <c r="CN285" s="12"/>
      <c r="CO285" s="12"/>
      <c r="CP285" s="12">
        <f>SUM($AQ285:BJ285)-SUM($EA285:EH285)</f>
        <v>129102</v>
      </c>
      <c r="CQ285" s="12">
        <f>SUM($AQ285:BK285)-SUM($EA285:EI285)</f>
        <v>127312</v>
      </c>
      <c r="CR285" s="12">
        <f>SUM($AQ285:BL285)-SUM($EA285:EJ285)</f>
        <v>125282</v>
      </c>
      <c r="CS285" s="12">
        <f>SUM($AQ285:BM285)-SUM($EA285:EK285)</f>
        <v>123212</v>
      </c>
      <c r="CT285" s="12">
        <f>SUM($AQ285:BN285)-SUM($EA285:EL285)</f>
        <v>121182</v>
      </c>
      <c r="CU285" s="12">
        <f>SUM($AQ285:BO285)-SUM($EA285:EM285)</f>
        <v>121082</v>
      </c>
      <c r="CV285" s="12">
        <f>SUM($AQ285:BP285)-SUM($EA285:EN285)</f>
        <v>119182</v>
      </c>
      <c r="CW285" s="12">
        <f>SUM($AQ285:BQ285)-SUM($EA285:EO285)</f>
        <v>117182</v>
      </c>
      <c r="CX285" s="12">
        <f>SUM($AQ285:BR285)-SUM($EA285:EP285)</f>
        <v>115082</v>
      </c>
      <c r="CY285" s="12">
        <f>SUM($AQ285:BS285)-SUM($EA285:EQ285)</f>
        <v>112982</v>
      </c>
      <c r="CZ285" s="12">
        <f>SUM($AQ285:BT285)-SUM($EA285:ER285)</f>
        <v>110882</v>
      </c>
      <c r="DA285" s="12">
        <f>SUM($AQ285:BU285)-SUM($EA285:ES285)</f>
        <v>108782</v>
      </c>
      <c r="DB285" s="12">
        <f>SUM($AQ285:BV285)-SUM($EA285:ET285)</f>
        <v>106682</v>
      </c>
      <c r="DC285" s="12">
        <f>SUM($AQ285:BW285)-SUM($EA285:EU285)</f>
        <v>104582</v>
      </c>
      <c r="DD285" s="12">
        <f>SUM($AQ285:BX285)-SUM($EA285:EV285)</f>
        <v>102482</v>
      </c>
      <c r="DE285" s="12">
        <f>SUM($AQ285:BY285)-SUM($EA285:EW285)</f>
        <v>100462</v>
      </c>
      <c r="DF285" s="12">
        <f>SUM($AQ285:BZ285)-SUM($EA285:EX285)</f>
        <v>98462</v>
      </c>
      <c r="DG285" s="12">
        <f>SUM($AQ285:CA285)-SUM($EA285:EY285)</f>
        <v>96462</v>
      </c>
      <c r="DH285" s="12">
        <f>SUM($AQ285:CB285)-SUM($EA285:EZ285)</f>
        <v>94462</v>
      </c>
      <c r="DI285" s="12">
        <f>SUM($AQ285:CC285)-SUM($EA285:FA285)</f>
        <v>92462</v>
      </c>
      <c r="DJ285" s="12">
        <f>SUM($AQ285:CD285)-SUM($EA285:FB285)</f>
        <v>90462</v>
      </c>
      <c r="DK285" s="12">
        <f>SUM($AQ285:CE285)-SUM($EA285:FC285)</f>
        <v>88462</v>
      </c>
      <c r="DL285" s="12">
        <f>SUM($AQ285:CF285)-SUM($EA285:FD285)</f>
        <v>86462</v>
      </c>
      <c r="DM285" s="12">
        <f>SUM($AQ285:CG285)-SUM($EA285:FE285)</f>
        <v>84462</v>
      </c>
      <c r="DN285" s="12">
        <f>SUM($AQ285:CH285)-SUM($EA285:FF285)</f>
        <v>82462</v>
      </c>
      <c r="DO285" s="12">
        <f>SUM($AQ285:CI285)-SUM($EA285:FG285)</f>
        <v>80462</v>
      </c>
      <c r="DP285" s="12">
        <f>SUM($AQ285:CJ285)-SUM($EA285:FH285)</f>
        <v>78462</v>
      </c>
      <c r="DQ285" s="12">
        <f>SUM($AQ285:CK285)-SUM($EA285:FI285)</f>
        <v>76462</v>
      </c>
      <c r="DR285" s="12">
        <f>SUM($AQ285:CL285)-SUM($EA285:FJ285)</f>
        <v>74462</v>
      </c>
      <c r="DS285" s="12">
        <f>SUM($AQ285:CM285)-SUM($EA285:FK285)</f>
        <v>72462</v>
      </c>
      <c r="DT285" s="12">
        <f>SUM($AQ285:CN285)-SUM($EA285:FL285)</f>
        <v>70462</v>
      </c>
      <c r="DU285" s="12">
        <f>SUM($AQ285:CO285)-SUM($EA285:FM285)</f>
        <v>68462</v>
      </c>
      <c r="DV285" s="12">
        <f>SUM($AQ285:CP285)-SUM($EA285:FN285)</f>
        <v>195564</v>
      </c>
      <c r="DW285" s="12">
        <f>SUM($AQ285:CQ285)-SUM($EA285:FO285)</f>
        <v>322788</v>
      </c>
      <c r="DX285" s="13"/>
      <c r="DY285" s="13"/>
      <c r="DZ285" s="13"/>
      <c r="EA285" s="12"/>
      <c r="EB285" s="12"/>
      <c r="EC285" s="12"/>
      <c r="ED285" s="12"/>
      <c r="EE285" s="12"/>
      <c r="EF285" s="12"/>
      <c r="EG285" s="12"/>
      <c r="EH285" s="12">
        <f t="array" ref="EH285">SUMPRODUCT(TRANSPOSE(EH$9:EH$34),$K285:$AJ285)</f>
        <v>12898</v>
      </c>
      <c r="EI285" s="12">
        <f t="array" ref="EI285">SUMPRODUCT(TRANSPOSE(EI$9:EI$34),$K285:$AJ285)</f>
        <v>1790</v>
      </c>
      <c r="EJ285" s="12">
        <f t="array" ref="EJ285">SUMPRODUCT(TRANSPOSE(EJ$9:EJ$34),$K285:$AJ285)</f>
        <v>2030</v>
      </c>
      <c r="EK285" s="12">
        <f t="array" ref="EK285">SUMPRODUCT(TRANSPOSE(EK$9:EK$34),$K285:$AJ285)</f>
        <v>2070</v>
      </c>
      <c r="EL285" s="12">
        <f t="array" ref="EL285">SUMPRODUCT(TRANSPOSE(EL$9:EL$34),$K285:$AJ285)</f>
        <v>2030</v>
      </c>
      <c r="EM285" s="12">
        <f t="array" ref="EM285">SUMPRODUCT(TRANSPOSE(EM$9:EM$34),$K285:$AJ285)</f>
        <v>100</v>
      </c>
      <c r="EN285" s="12">
        <f t="array" ref="EN285">SUMPRODUCT(TRANSPOSE(EN$9:EN$34),$K285:$AJ285)</f>
        <v>1900</v>
      </c>
      <c r="EO285" s="12">
        <f t="array" ref="EO285">SUMPRODUCT(TRANSPOSE(EO$9:EO$34),$K285:$AJ285)</f>
        <v>2000</v>
      </c>
      <c r="EP285" s="12">
        <f t="array" ref="EP285">SUMPRODUCT(TRANSPOSE(EP$9:EP$34),$K285:$AJ285)</f>
        <v>2100</v>
      </c>
      <c r="EQ285" s="12">
        <f t="array" ref="EQ285">SUMPRODUCT(TRANSPOSE(EQ$9:EQ$34),$K285:$AJ285)</f>
        <v>2100</v>
      </c>
      <c r="ER285" s="12">
        <f t="array" ref="ER285">SUMPRODUCT(TRANSPOSE(ER$9:ER$34),$K285:$AJ285)</f>
        <v>2100</v>
      </c>
      <c r="ES285" s="12">
        <f t="array" ref="ES285">SUMPRODUCT(TRANSPOSE(ES$9:ES$34),$K285:$AJ285)</f>
        <v>2100</v>
      </c>
      <c r="ET285" s="12">
        <f t="array" ref="ET285">SUMPRODUCT(TRANSPOSE(ET$9:ET$34),$K285:$AJ285)</f>
        <v>2100</v>
      </c>
      <c r="EU285" s="12">
        <f t="array" ref="EU285">SUMPRODUCT(TRANSPOSE(EU$9:EU$34),$K285:$AJ285)</f>
        <v>2100</v>
      </c>
      <c r="EV285" s="12">
        <f t="array" ref="EV285">SUMPRODUCT(TRANSPOSE(EV$9:EV$34),$K285:$AJ285)</f>
        <v>2100</v>
      </c>
      <c r="EW285" s="12">
        <f t="array" ref="EW285">SUMPRODUCT(TRANSPOSE(EW$9:EW$34),$K285:$AJ285)</f>
        <v>2020</v>
      </c>
      <c r="EX285" s="12">
        <f t="array" ref="EX285">SUMPRODUCT(TRANSPOSE(EX$9:EX$34),$K285:$AJ285)</f>
        <v>2000</v>
      </c>
      <c r="EY285" s="12">
        <f t="array" ref="EY285">SUMPRODUCT(TRANSPOSE(EY$9:EY$34),$K285:$AJ285)</f>
        <v>2000</v>
      </c>
      <c r="EZ285" s="12">
        <f t="array" ref="EZ285">SUMPRODUCT(TRANSPOSE(EZ$9:EZ$34),$K285:$AJ285)</f>
        <v>2000</v>
      </c>
      <c r="FA285" s="12">
        <f t="array" ref="FA285">SUMPRODUCT(TRANSPOSE(FA$9:FA$34),$K285:$AJ285)</f>
        <v>2000</v>
      </c>
      <c r="FB285" s="12">
        <f t="array" ref="FB285">SUMPRODUCT(TRANSPOSE(FB$9:FB$34),$K285:$AJ285)</f>
        <v>2000</v>
      </c>
      <c r="FC285" s="12">
        <f t="array" ref="FC285">SUMPRODUCT(TRANSPOSE(FC$9:FC$34),$K285:$AJ285)</f>
        <v>2000</v>
      </c>
      <c r="FD285" s="12">
        <f t="array" ref="FD285">SUMPRODUCT(TRANSPOSE(FD$9:FD$34),$K285:$AJ285)</f>
        <v>2000</v>
      </c>
      <c r="FE285" s="12">
        <f t="array" ref="FE285">SUMPRODUCT(TRANSPOSE(FE$9:FE$34),$K285:$AJ285)</f>
        <v>2000</v>
      </c>
      <c r="FF285" s="12">
        <f t="array" ref="FF285">SUMPRODUCT(TRANSPOSE(FF$9:FF$34),$K285:$AJ285)</f>
        <v>2000</v>
      </c>
      <c r="FG285" s="12">
        <f t="array" ref="FG285">SUMPRODUCT(TRANSPOSE(FG$9:FG$34),$K285:$AJ285)</f>
        <v>2000</v>
      </c>
      <c r="FH285" s="12">
        <f t="array" ref="FH285">SUMPRODUCT(TRANSPOSE(FH$9:FH$34),$K285:$AJ285)</f>
        <v>2000</v>
      </c>
      <c r="FI285" s="12">
        <f t="array" ref="FI285">SUMPRODUCT(TRANSPOSE(FI$9:FI$34),$K285:$AJ285)</f>
        <v>2000</v>
      </c>
      <c r="FJ285" s="12">
        <f t="array" ref="FJ285">SUMPRODUCT(TRANSPOSE(FJ$9:FJ$34),$K285:$AJ285)</f>
        <v>2000</v>
      </c>
      <c r="FK285" s="12">
        <f t="array" ref="FK285">SUMPRODUCT(TRANSPOSE(FK$9:FK$34),$K285:$AJ285)</f>
        <v>2000</v>
      </c>
      <c r="FL285" s="12">
        <f t="array" ref="FL285">SUMPRODUCT(TRANSPOSE(FL$9:FL$34),$K285:$AJ285)</f>
        <v>2000</v>
      </c>
      <c r="FM285" s="12">
        <f t="array" ref="FM285">SUMPRODUCT(TRANSPOSE(FM$9:FM$34),$K285:$AJ285)</f>
        <v>2000</v>
      </c>
      <c r="FN285" s="12">
        <f t="array" ref="FN285">SUMPRODUCT(TRANSPOSE(FN$9:FN$34),$K285:$AJ285)</f>
        <v>2000</v>
      </c>
      <c r="FO285" s="12">
        <f t="array" ref="FO285">SUMPRODUCT(TRANSPOSE(FO$9:FO$34),$K285:$AJ285)</f>
        <v>88</v>
      </c>
    </row>
    <row r="286" spans="1:171" ht="14.25" x14ac:dyDescent="0.2">
      <c r="A286" s="13">
        <f t="shared" si="13"/>
        <v>251</v>
      </c>
      <c r="B286" s="13" t="s">
        <v>886</v>
      </c>
      <c r="C286" s="25" t="s">
        <v>887</v>
      </c>
      <c r="D286" s="13" t="s">
        <v>67</v>
      </c>
      <c r="E286" s="13">
        <v>514202720</v>
      </c>
      <c r="F286" s="26" t="s">
        <v>888</v>
      </c>
      <c r="G286" s="13"/>
      <c r="H286" s="13" t="s">
        <v>61</v>
      </c>
      <c r="I286" s="13">
        <v>2</v>
      </c>
      <c r="J286" s="13">
        <v>6</v>
      </c>
      <c r="K286" s="13">
        <v>0</v>
      </c>
      <c r="L286" s="13">
        <v>2</v>
      </c>
      <c r="M286" s="13">
        <v>0</v>
      </c>
      <c r="N286" s="13">
        <v>0</v>
      </c>
      <c r="O286" s="13">
        <v>0</v>
      </c>
      <c r="P286" s="13">
        <v>0</v>
      </c>
      <c r="Q286" s="13">
        <v>2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/>
      <c r="Z286" s="13"/>
      <c r="AA286" s="13">
        <v>0</v>
      </c>
      <c r="AB286" s="13">
        <v>2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f t="shared" si="14"/>
        <v>6</v>
      </c>
      <c r="AL286" s="23">
        <f t="shared" si="12"/>
        <v>141594</v>
      </c>
      <c r="AM286" s="13"/>
      <c r="AN286" s="13" t="s">
        <v>854</v>
      </c>
      <c r="AO286" s="7" t="s">
        <v>855</v>
      </c>
      <c r="AP286" s="38">
        <v>5.7000000000000002E-2</v>
      </c>
      <c r="AQ286" s="12">
        <v>146500</v>
      </c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13"/>
      <c r="CG286" s="13"/>
      <c r="CH286" s="13"/>
      <c r="CI286" s="12"/>
      <c r="CJ286" s="12"/>
      <c r="CK286" s="12"/>
      <c r="CL286" s="12"/>
      <c r="CM286" s="12"/>
      <c r="CN286" s="12"/>
      <c r="CO286" s="12"/>
      <c r="CP286" s="12">
        <f>SUM($AQ286:BJ286)-SUM($EA286:EH286)</f>
        <v>133602</v>
      </c>
      <c r="CQ286" s="12">
        <f>SUM($AQ286:BK286)-SUM($EA286:EI286)</f>
        <v>131812</v>
      </c>
      <c r="CR286" s="12">
        <f>SUM($AQ286:BL286)-SUM($EA286:EJ286)</f>
        <v>129782</v>
      </c>
      <c r="CS286" s="12">
        <f>SUM($AQ286:BM286)-SUM($EA286:EK286)</f>
        <v>127712</v>
      </c>
      <c r="CT286" s="12">
        <f>SUM($AQ286:BN286)-SUM($EA286:EL286)</f>
        <v>125682</v>
      </c>
      <c r="CU286" s="12">
        <f>SUM($AQ286:BO286)-SUM($EA286:EM286)</f>
        <v>125582</v>
      </c>
      <c r="CV286" s="12">
        <f>SUM($AQ286:BP286)-SUM($EA286:EN286)</f>
        <v>123682</v>
      </c>
      <c r="CW286" s="12">
        <f>SUM($AQ286:BQ286)-SUM($EA286:EO286)</f>
        <v>121682</v>
      </c>
      <c r="CX286" s="12">
        <f>SUM($AQ286:BR286)-SUM($EA286:EP286)</f>
        <v>119582</v>
      </c>
      <c r="CY286" s="12">
        <f>SUM($AQ286:BS286)-SUM($EA286:EQ286)</f>
        <v>117482</v>
      </c>
      <c r="CZ286" s="12">
        <f>SUM($AQ286:BT286)-SUM($EA286:ER286)</f>
        <v>115382</v>
      </c>
      <c r="DA286" s="12">
        <f>SUM($AQ286:BU286)-SUM($EA286:ES286)</f>
        <v>113282</v>
      </c>
      <c r="DB286" s="12">
        <f>SUM($AQ286:BV286)-SUM($EA286:ET286)</f>
        <v>111182</v>
      </c>
      <c r="DC286" s="12">
        <f>SUM($AQ286:BW286)-SUM($EA286:EU286)</f>
        <v>109082</v>
      </c>
      <c r="DD286" s="12">
        <f>SUM($AQ286:BX286)-SUM($EA286:EV286)</f>
        <v>106982</v>
      </c>
      <c r="DE286" s="12">
        <f>SUM($AQ286:BY286)-SUM($EA286:EW286)</f>
        <v>104962</v>
      </c>
      <c r="DF286" s="12">
        <f>SUM($AQ286:BZ286)-SUM($EA286:EX286)</f>
        <v>102962</v>
      </c>
      <c r="DG286" s="12">
        <f>SUM($AQ286:CA286)-SUM($EA286:EY286)</f>
        <v>100962</v>
      </c>
      <c r="DH286" s="12">
        <f>SUM($AQ286:CB286)-SUM($EA286:EZ286)</f>
        <v>98962</v>
      </c>
      <c r="DI286" s="12">
        <f>SUM($AQ286:CC286)-SUM($EA286:FA286)</f>
        <v>96962</v>
      </c>
      <c r="DJ286" s="12">
        <f>SUM($AQ286:CD286)-SUM($EA286:FB286)</f>
        <v>94962</v>
      </c>
      <c r="DK286" s="12">
        <f>SUM($AQ286:CE286)-SUM($EA286:FC286)</f>
        <v>92962</v>
      </c>
      <c r="DL286" s="12">
        <f>SUM($AQ286:CF286)-SUM($EA286:FD286)</f>
        <v>90962</v>
      </c>
      <c r="DM286" s="12">
        <f>SUM($AQ286:CG286)-SUM($EA286:FE286)</f>
        <v>88962</v>
      </c>
      <c r="DN286" s="12">
        <f>SUM($AQ286:CH286)-SUM($EA286:FF286)</f>
        <v>86962</v>
      </c>
      <c r="DO286" s="12">
        <f>SUM($AQ286:CI286)-SUM($EA286:FG286)</f>
        <v>84962</v>
      </c>
      <c r="DP286" s="12">
        <f>SUM($AQ286:CJ286)-SUM($EA286:FH286)</f>
        <v>82962</v>
      </c>
      <c r="DQ286" s="12">
        <f>SUM($AQ286:CK286)-SUM($EA286:FI286)</f>
        <v>80962</v>
      </c>
      <c r="DR286" s="12">
        <f>SUM($AQ286:CL286)-SUM($EA286:FJ286)</f>
        <v>78962</v>
      </c>
      <c r="DS286" s="12">
        <f>SUM($AQ286:CM286)-SUM($EA286:FK286)</f>
        <v>76962</v>
      </c>
      <c r="DT286" s="12">
        <f>SUM($AQ286:CN286)-SUM($EA286:FL286)</f>
        <v>74962</v>
      </c>
      <c r="DU286" s="12">
        <f>SUM($AQ286:CO286)-SUM($EA286:FM286)</f>
        <v>72962</v>
      </c>
      <c r="DV286" s="12">
        <f>SUM($AQ286:CP286)-SUM($EA286:FN286)</f>
        <v>204564</v>
      </c>
      <c r="DW286" s="12">
        <f>SUM($AQ286:CQ286)-SUM($EA286:FO286)</f>
        <v>336288</v>
      </c>
      <c r="DX286" s="13"/>
      <c r="DY286" s="13"/>
      <c r="DZ286" s="13"/>
      <c r="EA286" s="12"/>
      <c r="EB286" s="12"/>
      <c r="EC286" s="12"/>
      <c r="ED286" s="12"/>
      <c r="EE286" s="12"/>
      <c r="EF286" s="12"/>
      <c r="EG286" s="12"/>
      <c r="EH286" s="12">
        <f t="array" ref="EH286">SUMPRODUCT(TRANSPOSE(EH$9:EH$34),$K286:$AJ286)</f>
        <v>12898</v>
      </c>
      <c r="EI286" s="12">
        <f t="array" ref="EI286">SUMPRODUCT(TRANSPOSE(EI$9:EI$34),$K286:$AJ286)</f>
        <v>1790</v>
      </c>
      <c r="EJ286" s="12">
        <f t="array" ref="EJ286">SUMPRODUCT(TRANSPOSE(EJ$9:EJ$34),$K286:$AJ286)</f>
        <v>2030</v>
      </c>
      <c r="EK286" s="12">
        <f t="array" ref="EK286">SUMPRODUCT(TRANSPOSE(EK$9:EK$34),$K286:$AJ286)</f>
        <v>2070</v>
      </c>
      <c r="EL286" s="12">
        <f t="array" ref="EL286">SUMPRODUCT(TRANSPOSE(EL$9:EL$34),$K286:$AJ286)</f>
        <v>2030</v>
      </c>
      <c r="EM286" s="12">
        <f t="array" ref="EM286">SUMPRODUCT(TRANSPOSE(EM$9:EM$34),$K286:$AJ286)</f>
        <v>100</v>
      </c>
      <c r="EN286" s="12">
        <f t="array" ref="EN286">SUMPRODUCT(TRANSPOSE(EN$9:EN$34),$K286:$AJ286)</f>
        <v>1900</v>
      </c>
      <c r="EO286" s="12">
        <f t="array" ref="EO286">SUMPRODUCT(TRANSPOSE(EO$9:EO$34),$K286:$AJ286)</f>
        <v>2000</v>
      </c>
      <c r="EP286" s="12">
        <f t="array" ref="EP286">SUMPRODUCT(TRANSPOSE(EP$9:EP$34),$K286:$AJ286)</f>
        <v>2100</v>
      </c>
      <c r="EQ286" s="12">
        <f t="array" ref="EQ286">SUMPRODUCT(TRANSPOSE(EQ$9:EQ$34),$K286:$AJ286)</f>
        <v>2100</v>
      </c>
      <c r="ER286" s="12">
        <f t="array" ref="ER286">SUMPRODUCT(TRANSPOSE(ER$9:ER$34),$K286:$AJ286)</f>
        <v>2100</v>
      </c>
      <c r="ES286" s="12">
        <f t="array" ref="ES286">SUMPRODUCT(TRANSPOSE(ES$9:ES$34),$K286:$AJ286)</f>
        <v>2100</v>
      </c>
      <c r="ET286" s="12">
        <f t="array" ref="ET286">SUMPRODUCT(TRANSPOSE(ET$9:ET$34),$K286:$AJ286)</f>
        <v>2100</v>
      </c>
      <c r="EU286" s="12">
        <f t="array" ref="EU286">SUMPRODUCT(TRANSPOSE(EU$9:EU$34),$K286:$AJ286)</f>
        <v>2100</v>
      </c>
      <c r="EV286" s="12">
        <f t="array" ref="EV286">SUMPRODUCT(TRANSPOSE(EV$9:EV$34),$K286:$AJ286)</f>
        <v>2100</v>
      </c>
      <c r="EW286" s="12">
        <f t="array" ref="EW286">SUMPRODUCT(TRANSPOSE(EW$9:EW$34),$K286:$AJ286)</f>
        <v>2020</v>
      </c>
      <c r="EX286" s="12">
        <f t="array" ref="EX286">SUMPRODUCT(TRANSPOSE(EX$9:EX$34),$K286:$AJ286)</f>
        <v>2000</v>
      </c>
      <c r="EY286" s="12">
        <f t="array" ref="EY286">SUMPRODUCT(TRANSPOSE(EY$9:EY$34),$K286:$AJ286)</f>
        <v>2000</v>
      </c>
      <c r="EZ286" s="12">
        <f t="array" ref="EZ286">SUMPRODUCT(TRANSPOSE(EZ$9:EZ$34),$K286:$AJ286)</f>
        <v>2000</v>
      </c>
      <c r="FA286" s="12">
        <f t="array" ref="FA286">SUMPRODUCT(TRANSPOSE(FA$9:FA$34),$K286:$AJ286)</f>
        <v>2000</v>
      </c>
      <c r="FB286" s="12">
        <f t="array" ref="FB286">SUMPRODUCT(TRANSPOSE(FB$9:FB$34),$K286:$AJ286)</f>
        <v>2000</v>
      </c>
      <c r="FC286" s="12">
        <f t="array" ref="FC286">SUMPRODUCT(TRANSPOSE(FC$9:FC$34),$K286:$AJ286)</f>
        <v>2000</v>
      </c>
      <c r="FD286" s="12">
        <f t="array" ref="FD286">SUMPRODUCT(TRANSPOSE(FD$9:FD$34),$K286:$AJ286)</f>
        <v>2000</v>
      </c>
      <c r="FE286" s="12">
        <f t="array" ref="FE286">SUMPRODUCT(TRANSPOSE(FE$9:FE$34),$K286:$AJ286)</f>
        <v>2000</v>
      </c>
      <c r="FF286" s="12">
        <f t="array" ref="FF286">SUMPRODUCT(TRANSPOSE(FF$9:FF$34),$K286:$AJ286)</f>
        <v>2000</v>
      </c>
      <c r="FG286" s="12">
        <f t="array" ref="FG286">SUMPRODUCT(TRANSPOSE(FG$9:FG$34),$K286:$AJ286)</f>
        <v>2000</v>
      </c>
      <c r="FH286" s="12">
        <f t="array" ref="FH286">SUMPRODUCT(TRANSPOSE(FH$9:FH$34),$K286:$AJ286)</f>
        <v>2000</v>
      </c>
      <c r="FI286" s="12">
        <f t="array" ref="FI286">SUMPRODUCT(TRANSPOSE(FI$9:FI$34),$K286:$AJ286)</f>
        <v>2000</v>
      </c>
      <c r="FJ286" s="12">
        <f t="array" ref="FJ286">SUMPRODUCT(TRANSPOSE(FJ$9:FJ$34),$K286:$AJ286)</f>
        <v>2000</v>
      </c>
      <c r="FK286" s="12">
        <f t="array" ref="FK286">SUMPRODUCT(TRANSPOSE(FK$9:FK$34),$K286:$AJ286)</f>
        <v>2000</v>
      </c>
      <c r="FL286" s="12">
        <f t="array" ref="FL286">SUMPRODUCT(TRANSPOSE(FL$9:FL$34),$K286:$AJ286)</f>
        <v>2000</v>
      </c>
      <c r="FM286" s="12">
        <f t="array" ref="FM286">SUMPRODUCT(TRANSPOSE(FM$9:FM$34),$K286:$AJ286)</f>
        <v>2000</v>
      </c>
      <c r="FN286" s="12">
        <f t="array" ref="FN286">SUMPRODUCT(TRANSPOSE(FN$9:FN$34),$K286:$AJ286)</f>
        <v>2000</v>
      </c>
      <c r="FO286" s="12">
        <f t="array" ref="FO286">SUMPRODUCT(TRANSPOSE(FO$9:FO$34),$K286:$AJ286)</f>
        <v>88</v>
      </c>
    </row>
    <row r="287" spans="1:171" ht="14.25" x14ac:dyDescent="0.2">
      <c r="A287" s="13">
        <f t="shared" si="13"/>
        <v>252</v>
      </c>
      <c r="B287" s="13" t="s">
        <v>889</v>
      </c>
      <c r="C287" s="25" t="s">
        <v>890</v>
      </c>
      <c r="D287" s="13" t="s">
        <v>67</v>
      </c>
      <c r="E287" s="13">
        <v>514203538</v>
      </c>
      <c r="F287" s="26" t="s">
        <v>891</v>
      </c>
      <c r="G287" s="13"/>
      <c r="H287" s="13" t="s">
        <v>61</v>
      </c>
      <c r="I287" s="13">
        <v>2</v>
      </c>
      <c r="J287" s="13">
        <v>25</v>
      </c>
      <c r="K287" s="13">
        <v>0</v>
      </c>
      <c r="L287" s="13">
        <v>2</v>
      </c>
      <c r="M287" s="13">
        <v>5</v>
      </c>
      <c r="N287" s="13">
        <v>0</v>
      </c>
      <c r="O287" s="13">
        <v>0</v>
      </c>
      <c r="P287" s="13">
        <v>0</v>
      </c>
      <c r="Q287" s="13">
        <v>2</v>
      </c>
      <c r="R287" s="13">
        <v>5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5</v>
      </c>
      <c r="Z287" s="13"/>
      <c r="AA287" s="13">
        <v>0</v>
      </c>
      <c r="AB287" s="13">
        <v>6</v>
      </c>
      <c r="AC287" s="13">
        <v>5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f t="shared" si="14"/>
        <v>30</v>
      </c>
      <c r="AL287" s="23">
        <f t="shared" si="12"/>
        <v>498614</v>
      </c>
      <c r="AM287" s="13"/>
      <c r="AN287" s="13" t="s">
        <v>854</v>
      </c>
      <c r="AO287" s="7" t="s">
        <v>855</v>
      </c>
      <c r="AP287" s="38">
        <v>3.7999999999999999E-2</v>
      </c>
      <c r="AQ287" s="12">
        <v>502187</v>
      </c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13"/>
      <c r="CG287" s="13"/>
      <c r="CH287" s="13"/>
      <c r="CI287" s="12"/>
      <c r="CJ287" s="12"/>
      <c r="CK287" s="12"/>
      <c r="CL287" s="12"/>
      <c r="CM287" s="12"/>
      <c r="CN287" s="12"/>
      <c r="CO287" s="12"/>
      <c r="CP287" s="12">
        <f>SUM($AQ287:BJ287)-SUM($EA287:EH287)</f>
        <v>453934</v>
      </c>
      <c r="CQ287" s="12">
        <f>SUM($AQ287:BK287)-SUM($EA287:EI287)</f>
        <v>450739</v>
      </c>
      <c r="CR287" s="12">
        <f>SUM($AQ287:BL287)-SUM($EA287:EJ287)</f>
        <v>443649</v>
      </c>
      <c r="CS287" s="12">
        <f>SUM($AQ287:BM287)-SUM($EA287:EK287)</f>
        <v>435939</v>
      </c>
      <c r="CT287" s="12">
        <f>SUM($AQ287:BN287)-SUM($EA287:EL287)</f>
        <v>423849</v>
      </c>
      <c r="CU287" s="12">
        <f>SUM($AQ287:BO287)-SUM($EA287:EM287)</f>
        <v>413549</v>
      </c>
      <c r="CV287" s="12">
        <f>SUM($AQ287:BP287)-SUM($EA287:EN287)</f>
        <v>401449</v>
      </c>
      <c r="CW287" s="12">
        <f>SUM($AQ287:BQ287)-SUM($EA287:EO287)</f>
        <v>389449</v>
      </c>
      <c r="CX287" s="12">
        <f>SUM($AQ287:BR287)-SUM($EA287:EP287)</f>
        <v>377149</v>
      </c>
      <c r="CY287" s="12">
        <f>SUM($AQ287:BS287)-SUM($EA287:EQ287)</f>
        <v>364849</v>
      </c>
      <c r="CZ287" s="12">
        <f>SUM($AQ287:BT287)-SUM($EA287:ER287)</f>
        <v>352549</v>
      </c>
      <c r="DA287" s="12">
        <f>SUM($AQ287:BU287)-SUM($EA287:ES287)</f>
        <v>340249</v>
      </c>
      <c r="DB287" s="12">
        <f>SUM($AQ287:BV287)-SUM($EA287:ET287)</f>
        <v>327949</v>
      </c>
      <c r="DC287" s="12">
        <f>SUM($AQ287:BW287)-SUM($EA287:EU287)</f>
        <v>315649</v>
      </c>
      <c r="DD287" s="12">
        <f>SUM($AQ287:BX287)-SUM($EA287:EV287)</f>
        <v>303349</v>
      </c>
      <c r="DE287" s="12">
        <f>SUM($AQ287:BY287)-SUM($EA287:EW287)</f>
        <v>291289</v>
      </c>
      <c r="DF287" s="12">
        <f>SUM($AQ287:BZ287)-SUM($EA287:EX287)</f>
        <v>279289</v>
      </c>
      <c r="DG287" s="12">
        <f>SUM($AQ287:CA287)-SUM($EA287:EY287)</f>
        <v>267289</v>
      </c>
      <c r="DH287" s="12">
        <f>SUM($AQ287:CB287)-SUM($EA287:EZ287)</f>
        <v>255289</v>
      </c>
      <c r="DI287" s="12">
        <f>SUM($AQ287:CC287)-SUM($EA287:FA287)</f>
        <v>243289</v>
      </c>
      <c r="DJ287" s="12">
        <f>SUM($AQ287:CD287)-SUM($EA287:FB287)</f>
        <v>231289</v>
      </c>
      <c r="DK287" s="12">
        <f>SUM($AQ287:CE287)-SUM($EA287:FC287)</f>
        <v>219289</v>
      </c>
      <c r="DL287" s="12">
        <f>SUM($AQ287:CF287)-SUM($EA287:FD287)</f>
        <v>207289</v>
      </c>
      <c r="DM287" s="12">
        <f>SUM($AQ287:CG287)-SUM($EA287:FE287)</f>
        <v>195289</v>
      </c>
      <c r="DN287" s="12">
        <f>SUM($AQ287:CH287)-SUM($EA287:FF287)</f>
        <v>183289</v>
      </c>
      <c r="DO287" s="12">
        <f>SUM($AQ287:CI287)-SUM($EA287:FG287)</f>
        <v>171289</v>
      </c>
      <c r="DP287" s="12">
        <f>SUM($AQ287:CJ287)-SUM($EA287:FH287)</f>
        <v>159289</v>
      </c>
      <c r="DQ287" s="12">
        <f>SUM($AQ287:CK287)-SUM($EA287:FI287)</f>
        <v>147289</v>
      </c>
      <c r="DR287" s="12">
        <f>SUM($AQ287:CL287)-SUM($EA287:FJ287)</f>
        <v>135289</v>
      </c>
      <c r="DS287" s="12">
        <f>SUM($AQ287:CM287)-SUM($EA287:FK287)</f>
        <v>123289</v>
      </c>
      <c r="DT287" s="12">
        <f>SUM($AQ287:CN287)-SUM($EA287:FL287)</f>
        <v>111289</v>
      </c>
      <c r="DU287" s="12">
        <f>SUM($AQ287:CO287)-SUM($EA287:FM287)</f>
        <v>99289</v>
      </c>
      <c r="DV287" s="12">
        <f>SUM($AQ287:CP287)-SUM($EA287:FN287)</f>
        <v>542138</v>
      </c>
      <c r="DW287" s="12">
        <f>SUM($AQ287:CQ287)-SUM($EA287:FO287)</f>
        <v>992404</v>
      </c>
      <c r="DX287" s="13"/>
      <c r="DY287" s="13"/>
      <c r="DZ287" s="13"/>
      <c r="EA287" s="12"/>
      <c r="EB287" s="12"/>
      <c r="EC287" s="12"/>
      <c r="ED287" s="12"/>
      <c r="EE287" s="12"/>
      <c r="EF287" s="12"/>
      <c r="EG287" s="12"/>
      <c r="EH287" s="12">
        <f t="array" ref="EH287">SUMPRODUCT(TRANSPOSE(EH$9:EH$34),$K287:$AJ287)</f>
        <v>48253</v>
      </c>
      <c r="EI287" s="12">
        <f t="array" ref="EI287">SUMPRODUCT(TRANSPOSE(EI$9:EI$34),$K287:$AJ287)</f>
        <v>3195</v>
      </c>
      <c r="EJ287" s="12">
        <f t="array" ref="EJ287">SUMPRODUCT(TRANSPOSE(EJ$9:EJ$34),$K287:$AJ287)</f>
        <v>7090</v>
      </c>
      <c r="EK287" s="12">
        <f t="array" ref="EK287">SUMPRODUCT(TRANSPOSE(EK$9:EK$34),$K287:$AJ287)</f>
        <v>7710</v>
      </c>
      <c r="EL287" s="12">
        <f t="array" ref="EL287">SUMPRODUCT(TRANSPOSE(EL$9:EL$34),$K287:$AJ287)</f>
        <v>12090</v>
      </c>
      <c r="EM287" s="12">
        <f t="array" ref="EM287">SUMPRODUCT(TRANSPOSE(EM$9:EM$34),$K287:$AJ287)</f>
        <v>10300</v>
      </c>
      <c r="EN287" s="12">
        <f t="array" ref="EN287">SUMPRODUCT(TRANSPOSE(EN$9:EN$34),$K287:$AJ287)</f>
        <v>12100</v>
      </c>
      <c r="EO287" s="12">
        <f t="array" ref="EO287">SUMPRODUCT(TRANSPOSE(EO$9:EO$34),$K287:$AJ287)</f>
        <v>12000</v>
      </c>
      <c r="EP287" s="12">
        <f t="array" ref="EP287">SUMPRODUCT(TRANSPOSE(EP$9:EP$34),$K287:$AJ287)</f>
        <v>12300</v>
      </c>
      <c r="EQ287" s="12">
        <f t="array" ref="EQ287">SUMPRODUCT(TRANSPOSE(EQ$9:EQ$34),$K287:$AJ287)</f>
        <v>12300</v>
      </c>
      <c r="ER287" s="12">
        <f t="array" ref="ER287">SUMPRODUCT(TRANSPOSE(ER$9:ER$34),$K287:$AJ287)</f>
        <v>12300</v>
      </c>
      <c r="ES287" s="12">
        <f t="array" ref="ES287">SUMPRODUCT(TRANSPOSE(ES$9:ES$34),$K287:$AJ287)</f>
        <v>12300</v>
      </c>
      <c r="ET287" s="12">
        <f t="array" ref="ET287">SUMPRODUCT(TRANSPOSE(ET$9:ET$34),$K287:$AJ287)</f>
        <v>12300</v>
      </c>
      <c r="EU287" s="12">
        <f t="array" ref="EU287">SUMPRODUCT(TRANSPOSE(EU$9:EU$34),$K287:$AJ287)</f>
        <v>12300</v>
      </c>
      <c r="EV287" s="12">
        <f t="array" ref="EV287">SUMPRODUCT(TRANSPOSE(EV$9:EV$34),$K287:$AJ287)</f>
        <v>12300</v>
      </c>
      <c r="EW287" s="12">
        <f t="array" ref="EW287">SUMPRODUCT(TRANSPOSE(EW$9:EW$34),$K287:$AJ287)</f>
        <v>12060</v>
      </c>
      <c r="EX287" s="12">
        <f t="array" ref="EX287">SUMPRODUCT(TRANSPOSE(EX$9:EX$34),$K287:$AJ287)</f>
        <v>12000</v>
      </c>
      <c r="EY287" s="12">
        <f t="array" ref="EY287">SUMPRODUCT(TRANSPOSE(EY$9:EY$34),$K287:$AJ287)</f>
        <v>12000</v>
      </c>
      <c r="EZ287" s="12">
        <f t="array" ref="EZ287">SUMPRODUCT(TRANSPOSE(EZ$9:EZ$34),$K287:$AJ287)</f>
        <v>12000</v>
      </c>
      <c r="FA287" s="12">
        <f t="array" ref="FA287">SUMPRODUCT(TRANSPOSE(FA$9:FA$34),$K287:$AJ287)</f>
        <v>12000</v>
      </c>
      <c r="FB287" s="12">
        <f t="array" ref="FB287">SUMPRODUCT(TRANSPOSE(FB$9:FB$34),$K287:$AJ287)</f>
        <v>12000</v>
      </c>
      <c r="FC287" s="12">
        <f t="array" ref="FC287">SUMPRODUCT(TRANSPOSE(FC$9:FC$34),$K287:$AJ287)</f>
        <v>12000</v>
      </c>
      <c r="FD287" s="12">
        <f t="array" ref="FD287">SUMPRODUCT(TRANSPOSE(FD$9:FD$34),$K287:$AJ287)</f>
        <v>12000</v>
      </c>
      <c r="FE287" s="12">
        <f t="array" ref="FE287">SUMPRODUCT(TRANSPOSE(FE$9:FE$34),$K287:$AJ287)</f>
        <v>12000</v>
      </c>
      <c r="FF287" s="12">
        <f t="array" ref="FF287">SUMPRODUCT(TRANSPOSE(FF$9:FF$34),$K287:$AJ287)</f>
        <v>12000</v>
      </c>
      <c r="FG287" s="12">
        <f t="array" ref="FG287">SUMPRODUCT(TRANSPOSE(FG$9:FG$34),$K287:$AJ287)</f>
        <v>12000</v>
      </c>
      <c r="FH287" s="12">
        <f t="array" ref="FH287">SUMPRODUCT(TRANSPOSE(FH$9:FH$34),$K287:$AJ287)</f>
        <v>12000</v>
      </c>
      <c r="FI287" s="12">
        <f t="array" ref="FI287">SUMPRODUCT(TRANSPOSE(FI$9:FI$34),$K287:$AJ287)</f>
        <v>12000</v>
      </c>
      <c r="FJ287" s="12">
        <f t="array" ref="FJ287">SUMPRODUCT(TRANSPOSE(FJ$9:FJ$34),$K287:$AJ287)</f>
        <v>12000</v>
      </c>
      <c r="FK287" s="12">
        <f t="array" ref="FK287">SUMPRODUCT(TRANSPOSE(FK$9:FK$34),$K287:$AJ287)</f>
        <v>12000</v>
      </c>
      <c r="FL287" s="12">
        <f t="array" ref="FL287">SUMPRODUCT(TRANSPOSE(FL$9:FL$34),$K287:$AJ287)</f>
        <v>12000</v>
      </c>
      <c r="FM287" s="12">
        <f t="array" ref="FM287">SUMPRODUCT(TRANSPOSE(FM$9:FM$34),$K287:$AJ287)</f>
        <v>12000</v>
      </c>
      <c r="FN287" s="12">
        <f t="array" ref="FN287">SUMPRODUCT(TRANSPOSE(FN$9:FN$34),$K287:$AJ287)</f>
        <v>11085</v>
      </c>
      <c r="FO287" s="12">
        <f t="array" ref="FO287">SUMPRODUCT(TRANSPOSE(FO$9:FO$34),$K287:$AJ287)</f>
        <v>473</v>
      </c>
    </row>
    <row r="288" spans="1:171" ht="14.25" x14ac:dyDescent="0.2">
      <c r="A288" s="13">
        <f t="shared" si="13"/>
        <v>253</v>
      </c>
      <c r="B288" s="13" t="s">
        <v>892</v>
      </c>
      <c r="C288" s="25" t="s">
        <v>893</v>
      </c>
      <c r="D288" s="13" t="s">
        <v>67</v>
      </c>
      <c r="E288" s="13">
        <v>514201177</v>
      </c>
      <c r="F288" s="26" t="s">
        <v>894</v>
      </c>
      <c r="G288" s="13"/>
      <c r="H288" s="13" t="s">
        <v>61</v>
      </c>
      <c r="I288" s="13">
        <v>2</v>
      </c>
      <c r="J288" s="13">
        <v>201</v>
      </c>
      <c r="K288" s="13">
        <v>0</v>
      </c>
      <c r="L288" s="13">
        <v>50</v>
      </c>
      <c r="M288" s="13">
        <v>7</v>
      </c>
      <c r="N288" s="13">
        <v>0</v>
      </c>
      <c r="O288" s="13">
        <v>0</v>
      </c>
      <c r="P288" s="13">
        <v>0</v>
      </c>
      <c r="Q288" s="13">
        <v>50</v>
      </c>
      <c r="R288" s="13">
        <v>22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22</v>
      </c>
      <c r="Z288" s="13"/>
      <c r="AA288" s="13">
        <v>0</v>
      </c>
      <c r="AB288" s="13">
        <v>50</v>
      </c>
      <c r="AC288" s="13">
        <v>22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f t="shared" si="14"/>
        <v>223</v>
      </c>
      <c r="AL288" s="23">
        <f t="shared" si="12"/>
        <v>4571097</v>
      </c>
      <c r="AM288" s="13"/>
      <c r="AN288" s="13" t="s">
        <v>854</v>
      </c>
      <c r="AO288" s="7" t="s">
        <v>855</v>
      </c>
      <c r="AP288" s="38">
        <v>7.7000000000000002E-3</v>
      </c>
      <c r="AQ288" s="12">
        <v>4563000</v>
      </c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13"/>
      <c r="CG288" s="13"/>
      <c r="CH288" s="13"/>
      <c r="CI288" s="12"/>
      <c r="CJ288" s="12"/>
      <c r="CK288" s="12"/>
      <c r="CL288" s="12"/>
      <c r="CM288" s="12"/>
      <c r="CN288" s="12"/>
      <c r="CO288" s="12"/>
      <c r="CP288" s="12">
        <f>SUM($AQ288:BJ288)-SUM($EA288:EH288)</f>
        <v>4144474</v>
      </c>
      <c r="CQ288" s="12">
        <f>SUM($AQ288:BK288)-SUM($EA288:EI288)</f>
        <v>4093542</v>
      </c>
      <c r="CR288" s="12">
        <f>SUM($AQ288:BL288)-SUM($EA288:EJ288)</f>
        <v>4035792</v>
      </c>
      <c r="CS288" s="12">
        <f>SUM($AQ288:BM288)-SUM($EA288:EK288)</f>
        <v>3974842</v>
      </c>
      <c r="CT288" s="12">
        <f>SUM($AQ288:BN288)-SUM($EA288:EL288)</f>
        <v>3895092</v>
      </c>
      <c r="CU288" s="12">
        <f>SUM($AQ288:BO288)-SUM($EA288:EM288)</f>
        <v>3848592</v>
      </c>
      <c r="CV288" s="12">
        <f>SUM($AQ288:BP288)-SUM($EA288:EN288)</f>
        <v>3770592</v>
      </c>
      <c r="CW288" s="12">
        <f>SUM($AQ288:BQ288)-SUM($EA288:EO288)</f>
        <v>3691592</v>
      </c>
      <c r="CX288" s="12">
        <f>SUM($AQ288:BR288)-SUM($EA288:EP288)</f>
        <v>3610092</v>
      </c>
      <c r="CY288" s="12">
        <f>SUM($AQ288:BS288)-SUM($EA288:EQ288)</f>
        <v>3528592</v>
      </c>
      <c r="CZ288" s="12">
        <f>SUM($AQ288:BT288)-SUM($EA288:ER288)</f>
        <v>3447092</v>
      </c>
      <c r="DA288" s="12">
        <f>SUM($AQ288:BU288)-SUM($EA288:ES288)</f>
        <v>3365592</v>
      </c>
      <c r="DB288" s="12">
        <f>SUM($AQ288:BV288)-SUM($EA288:ET288)</f>
        <v>3284092</v>
      </c>
      <c r="DC288" s="12">
        <f>SUM($AQ288:BW288)-SUM($EA288:EU288)</f>
        <v>3202592</v>
      </c>
      <c r="DD288" s="12">
        <f>SUM($AQ288:BX288)-SUM($EA288:EV288)</f>
        <v>3121092</v>
      </c>
      <c r="DE288" s="12">
        <f>SUM($AQ288:BY288)-SUM($EA288:EW288)</f>
        <v>3041592</v>
      </c>
      <c r="DF288" s="12">
        <f>SUM($AQ288:BZ288)-SUM($EA288:EX288)</f>
        <v>2962592</v>
      </c>
      <c r="DG288" s="12">
        <f>SUM($AQ288:CA288)-SUM($EA288:EY288)</f>
        <v>2883592</v>
      </c>
      <c r="DH288" s="12">
        <f>SUM($AQ288:CB288)-SUM($EA288:EZ288)</f>
        <v>2804592</v>
      </c>
      <c r="DI288" s="12">
        <f>SUM($AQ288:CC288)-SUM($EA288:FA288)</f>
        <v>2725592</v>
      </c>
      <c r="DJ288" s="12">
        <f>SUM($AQ288:CD288)-SUM($EA288:FB288)</f>
        <v>2646592</v>
      </c>
      <c r="DK288" s="12">
        <f>SUM($AQ288:CE288)-SUM($EA288:FC288)</f>
        <v>2567592</v>
      </c>
      <c r="DL288" s="12">
        <f>SUM($AQ288:CF288)-SUM($EA288:FD288)</f>
        <v>2488592</v>
      </c>
      <c r="DM288" s="12">
        <f>SUM($AQ288:CG288)-SUM($EA288:FE288)</f>
        <v>2409592</v>
      </c>
      <c r="DN288" s="12">
        <f>SUM($AQ288:CH288)-SUM($EA288:FF288)</f>
        <v>2330592</v>
      </c>
      <c r="DO288" s="12">
        <f>SUM($AQ288:CI288)-SUM($EA288:FG288)</f>
        <v>2251592</v>
      </c>
      <c r="DP288" s="12">
        <f>SUM($AQ288:CJ288)-SUM($EA288:FH288)</f>
        <v>2172592</v>
      </c>
      <c r="DQ288" s="12">
        <f>SUM($AQ288:CK288)-SUM($EA288:FI288)</f>
        <v>2093592</v>
      </c>
      <c r="DR288" s="12">
        <f>SUM($AQ288:CL288)-SUM($EA288:FJ288)</f>
        <v>2014592</v>
      </c>
      <c r="DS288" s="12">
        <f>SUM($AQ288:CM288)-SUM($EA288:FK288)</f>
        <v>1935592</v>
      </c>
      <c r="DT288" s="12">
        <f>SUM($AQ288:CN288)-SUM($EA288:FL288)</f>
        <v>1856592</v>
      </c>
      <c r="DU288" s="12">
        <f>SUM($AQ288:CO288)-SUM($EA288:FM288)</f>
        <v>1777592</v>
      </c>
      <c r="DV288" s="12">
        <f>SUM($AQ288:CP288)-SUM($EA288:FN288)</f>
        <v>5847092</v>
      </c>
      <c r="DW288" s="12">
        <f>SUM($AQ288:CQ288)-SUM($EA288:FO288)</f>
        <v>9937895</v>
      </c>
      <c r="DX288" s="13"/>
      <c r="DY288" s="13"/>
      <c r="DZ288" s="13"/>
      <c r="EA288" s="12"/>
      <c r="EB288" s="12"/>
      <c r="EC288" s="12"/>
      <c r="ED288" s="12"/>
      <c r="EE288" s="12"/>
      <c r="EF288" s="12"/>
      <c r="EG288" s="12"/>
      <c r="EH288" s="12">
        <f t="array" ref="EH288">SUMPRODUCT(TRANSPOSE(EH$9:EH$34),$K288:$AJ288)</f>
        <v>418526</v>
      </c>
      <c r="EI288" s="12">
        <f t="array" ref="EI288">SUMPRODUCT(TRANSPOSE(EI$9:EI$34),$K288:$AJ288)</f>
        <v>50932</v>
      </c>
      <c r="EJ288" s="12">
        <f t="array" ref="EJ288">SUMPRODUCT(TRANSPOSE(EJ$9:EJ$34),$K288:$AJ288)</f>
        <v>57750</v>
      </c>
      <c r="EK288" s="12">
        <f t="array" ref="EK288">SUMPRODUCT(TRANSPOSE(EK$9:EK$34),$K288:$AJ288)</f>
        <v>60950</v>
      </c>
      <c r="EL288" s="12">
        <f t="array" ref="EL288">SUMPRODUCT(TRANSPOSE(EL$9:EL$34),$K288:$AJ288)</f>
        <v>79750</v>
      </c>
      <c r="EM288" s="12">
        <f t="array" ref="EM288">SUMPRODUCT(TRANSPOSE(EM$9:EM$34),$K288:$AJ288)</f>
        <v>46500</v>
      </c>
      <c r="EN288" s="12">
        <f t="array" ref="EN288">SUMPRODUCT(TRANSPOSE(EN$9:EN$34),$K288:$AJ288)</f>
        <v>78000</v>
      </c>
      <c r="EO288" s="12">
        <f t="array" ref="EO288">SUMPRODUCT(TRANSPOSE(EO$9:EO$34),$K288:$AJ288)</f>
        <v>79000</v>
      </c>
      <c r="EP288" s="12">
        <f t="array" ref="EP288">SUMPRODUCT(TRANSPOSE(EP$9:EP$34),$K288:$AJ288)</f>
        <v>81500</v>
      </c>
      <c r="EQ288" s="12">
        <f t="array" ref="EQ288">SUMPRODUCT(TRANSPOSE(EQ$9:EQ$34),$K288:$AJ288)</f>
        <v>81500</v>
      </c>
      <c r="ER288" s="12">
        <f t="array" ref="ER288">SUMPRODUCT(TRANSPOSE(ER$9:ER$34),$K288:$AJ288)</f>
        <v>81500</v>
      </c>
      <c r="ES288" s="12">
        <f t="array" ref="ES288">SUMPRODUCT(TRANSPOSE(ES$9:ES$34),$K288:$AJ288)</f>
        <v>81500</v>
      </c>
      <c r="ET288" s="12">
        <f t="array" ref="ET288">SUMPRODUCT(TRANSPOSE(ET$9:ET$34),$K288:$AJ288)</f>
        <v>81500</v>
      </c>
      <c r="EU288" s="12">
        <f t="array" ref="EU288">SUMPRODUCT(TRANSPOSE(EU$9:EU$34),$K288:$AJ288)</f>
        <v>81500</v>
      </c>
      <c r="EV288" s="12">
        <f t="array" ref="EV288">SUMPRODUCT(TRANSPOSE(EV$9:EV$34),$K288:$AJ288)</f>
        <v>81500</v>
      </c>
      <c r="EW288" s="12">
        <f t="array" ref="EW288">SUMPRODUCT(TRANSPOSE(EW$9:EW$34),$K288:$AJ288)</f>
        <v>79500</v>
      </c>
      <c r="EX288" s="12">
        <f t="array" ref="EX288">SUMPRODUCT(TRANSPOSE(EX$9:EX$34),$K288:$AJ288)</f>
        <v>79000</v>
      </c>
      <c r="EY288" s="12">
        <f t="array" ref="EY288">SUMPRODUCT(TRANSPOSE(EY$9:EY$34),$K288:$AJ288)</f>
        <v>79000</v>
      </c>
      <c r="EZ288" s="12">
        <f t="array" ref="EZ288">SUMPRODUCT(TRANSPOSE(EZ$9:EZ$34),$K288:$AJ288)</f>
        <v>79000</v>
      </c>
      <c r="FA288" s="12">
        <f t="array" ref="FA288">SUMPRODUCT(TRANSPOSE(FA$9:FA$34),$K288:$AJ288)</f>
        <v>79000</v>
      </c>
      <c r="FB288" s="12">
        <f t="array" ref="FB288">SUMPRODUCT(TRANSPOSE(FB$9:FB$34),$K288:$AJ288)</f>
        <v>79000</v>
      </c>
      <c r="FC288" s="12">
        <f t="array" ref="FC288">SUMPRODUCT(TRANSPOSE(FC$9:FC$34),$K288:$AJ288)</f>
        <v>79000</v>
      </c>
      <c r="FD288" s="12">
        <f t="array" ref="FD288">SUMPRODUCT(TRANSPOSE(FD$9:FD$34),$K288:$AJ288)</f>
        <v>79000</v>
      </c>
      <c r="FE288" s="12">
        <f t="array" ref="FE288">SUMPRODUCT(TRANSPOSE(FE$9:FE$34),$K288:$AJ288)</f>
        <v>79000</v>
      </c>
      <c r="FF288" s="12">
        <f t="array" ref="FF288">SUMPRODUCT(TRANSPOSE(FF$9:FF$34),$K288:$AJ288)</f>
        <v>79000</v>
      </c>
      <c r="FG288" s="12">
        <f t="array" ref="FG288">SUMPRODUCT(TRANSPOSE(FG$9:FG$34),$K288:$AJ288)</f>
        <v>79000</v>
      </c>
      <c r="FH288" s="12">
        <f t="array" ref="FH288">SUMPRODUCT(TRANSPOSE(FH$9:FH$34),$K288:$AJ288)</f>
        <v>79000</v>
      </c>
      <c r="FI288" s="12">
        <f t="array" ref="FI288">SUMPRODUCT(TRANSPOSE(FI$9:FI$34),$K288:$AJ288)</f>
        <v>79000</v>
      </c>
      <c r="FJ288" s="12">
        <f t="array" ref="FJ288">SUMPRODUCT(TRANSPOSE(FJ$9:FJ$34),$K288:$AJ288)</f>
        <v>79000</v>
      </c>
      <c r="FK288" s="12">
        <f t="array" ref="FK288">SUMPRODUCT(TRANSPOSE(FK$9:FK$34),$K288:$AJ288)</f>
        <v>79000</v>
      </c>
      <c r="FL288" s="12">
        <f t="array" ref="FL288">SUMPRODUCT(TRANSPOSE(FL$9:FL$34),$K288:$AJ288)</f>
        <v>79000</v>
      </c>
      <c r="FM288" s="12">
        <f t="array" ref="FM288">SUMPRODUCT(TRANSPOSE(FM$9:FM$34),$K288:$AJ288)</f>
        <v>79000</v>
      </c>
      <c r="FN288" s="12">
        <f t="array" ref="FN288">SUMPRODUCT(TRANSPOSE(FN$9:FN$34),$K288:$AJ288)</f>
        <v>74974</v>
      </c>
      <c r="FO288" s="12">
        <f t="array" ref="FO288">SUMPRODUCT(TRANSPOSE(FO$9:FO$34),$K288:$AJ288)</f>
        <v>2739</v>
      </c>
    </row>
    <row r="289" spans="1:171" ht="14.25" x14ac:dyDescent="0.2">
      <c r="A289" s="13">
        <f t="shared" si="13"/>
        <v>254</v>
      </c>
      <c r="B289" s="13" t="s">
        <v>895</v>
      </c>
      <c r="C289" s="25" t="s">
        <v>896</v>
      </c>
      <c r="D289" s="13" t="s">
        <v>67</v>
      </c>
      <c r="E289" s="13">
        <v>514200799</v>
      </c>
      <c r="F289" s="26" t="s">
        <v>897</v>
      </c>
      <c r="G289" s="13"/>
      <c r="H289" s="13" t="s">
        <v>61</v>
      </c>
      <c r="I289" s="13">
        <v>2</v>
      </c>
      <c r="J289" s="13">
        <v>39</v>
      </c>
      <c r="K289" s="13">
        <v>0</v>
      </c>
      <c r="L289" s="13">
        <v>13</v>
      </c>
      <c r="M289" s="13">
        <v>0</v>
      </c>
      <c r="N289" s="13">
        <v>0</v>
      </c>
      <c r="O289" s="13">
        <v>0</v>
      </c>
      <c r="P289" s="13">
        <v>0</v>
      </c>
      <c r="Q289" s="13">
        <v>13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/>
      <c r="Z289" s="13"/>
      <c r="AA289" s="13">
        <v>0</v>
      </c>
      <c r="AB289" s="13">
        <v>13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f t="shared" si="14"/>
        <v>39</v>
      </c>
      <c r="AL289" s="23">
        <f t="shared" si="12"/>
        <v>920361</v>
      </c>
      <c r="AM289" s="13"/>
      <c r="AN289" s="13" t="s">
        <v>854</v>
      </c>
      <c r="AO289" s="7" t="s">
        <v>855</v>
      </c>
      <c r="AP289" s="38">
        <v>9.6999999999999986E-3</v>
      </c>
      <c r="AQ289" s="12">
        <v>923073</v>
      </c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13"/>
      <c r="CG289" s="13"/>
      <c r="CH289" s="13"/>
      <c r="CI289" s="12"/>
      <c r="CJ289" s="12"/>
      <c r="CK289" s="12"/>
      <c r="CL289" s="12"/>
      <c r="CM289" s="12"/>
      <c r="CN289" s="12"/>
      <c r="CO289" s="12"/>
      <c r="CP289" s="12">
        <f>SUM($AQ289:BJ289)-SUM($EA289:EH289)</f>
        <v>839236</v>
      </c>
      <c r="CQ289" s="12">
        <f>SUM($AQ289:BK289)-SUM($EA289:EI289)</f>
        <v>827601</v>
      </c>
      <c r="CR289" s="12">
        <f>SUM($AQ289:BL289)-SUM($EA289:EJ289)</f>
        <v>814406</v>
      </c>
      <c r="CS289" s="12">
        <f>SUM($AQ289:BM289)-SUM($EA289:EK289)</f>
        <v>800951</v>
      </c>
      <c r="CT289" s="12">
        <f>SUM($AQ289:BN289)-SUM($EA289:EL289)</f>
        <v>787756</v>
      </c>
      <c r="CU289" s="12">
        <f>SUM($AQ289:BO289)-SUM($EA289:EM289)</f>
        <v>787106</v>
      </c>
      <c r="CV289" s="12">
        <f>SUM($AQ289:BP289)-SUM($EA289:EN289)</f>
        <v>774756</v>
      </c>
      <c r="CW289" s="12">
        <f>SUM($AQ289:BQ289)-SUM($EA289:EO289)</f>
        <v>761756</v>
      </c>
      <c r="CX289" s="12">
        <f>SUM($AQ289:BR289)-SUM($EA289:EP289)</f>
        <v>748106</v>
      </c>
      <c r="CY289" s="12">
        <f>SUM($AQ289:BS289)-SUM($EA289:EQ289)</f>
        <v>734456</v>
      </c>
      <c r="CZ289" s="12">
        <f>SUM($AQ289:BT289)-SUM($EA289:ER289)</f>
        <v>720806</v>
      </c>
      <c r="DA289" s="12">
        <f>SUM($AQ289:BU289)-SUM($EA289:ES289)</f>
        <v>707156</v>
      </c>
      <c r="DB289" s="12">
        <f>SUM($AQ289:BV289)-SUM($EA289:ET289)</f>
        <v>693506</v>
      </c>
      <c r="DC289" s="12">
        <f>SUM($AQ289:BW289)-SUM($EA289:EU289)</f>
        <v>679856</v>
      </c>
      <c r="DD289" s="12">
        <f>SUM($AQ289:BX289)-SUM($EA289:EV289)</f>
        <v>666206</v>
      </c>
      <c r="DE289" s="12">
        <f>SUM($AQ289:BY289)-SUM($EA289:EW289)</f>
        <v>653076</v>
      </c>
      <c r="DF289" s="12">
        <f>SUM($AQ289:BZ289)-SUM($EA289:EX289)</f>
        <v>640076</v>
      </c>
      <c r="DG289" s="12">
        <f>SUM($AQ289:CA289)-SUM($EA289:EY289)</f>
        <v>627076</v>
      </c>
      <c r="DH289" s="12">
        <f>SUM($AQ289:CB289)-SUM($EA289:EZ289)</f>
        <v>614076</v>
      </c>
      <c r="DI289" s="12">
        <f>SUM($AQ289:CC289)-SUM($EA289:FA289)</f>
        <v>601076</v>
      </c>
      <c r="DJ289" s="12">
        <f>SUM($AQ289:CD289)-SUM($EA289:FB289)</f>
        <v>588076</v>
      </c>
      <c r="DK289" s="12">
        <f>SUM($AQ289:CE289)-SUM($EA289:FC289)</f>
        <v>575076</v>
      </c>
      <c r="DL289" s="12">
        <f>SUM($AQ289:CF289)-SUM($EA289:FD289)</f>
        <v>562076</v>
      </c>
      <c r="DM289" s="12">
        <f>SUM($AQ289:CG289)-SUM($EA289:FE289)</f>
        <v>549076</v>
      </c>
      <c r="DN289" s="12">
        <f>SUM($AQ289:CH289)-SUM($EA289:FF289)</f>
        <v>536076</v>
      </c>
      <c r="DO289" s="12">
        <f>SUM($AQ289:CI289)-SUM($EA289:FG289)</f>
        <v>523076</v>
      </c>
      <c r="DP289" s="12">
        <f>SUM($AQ289:CJ289)-SUM($EA289:FH289)</f>
        <v>510076</v>
      </c>
      <c r="DQ289" s="12">
        <f>SUM($AQ289:CK289)-SUM($EA289:FI289)</f>
        <v>497076</v>
      </c>
      <c r="DR289" s="12">
        <f>SUM($AQ289:CL289)-SUM($EA289:FJ289)</f>
        <v>484076</v>
      </c>
      <c r="DS289" s="12">
        <f>SUM($AQ289:CM289)-SUM($EA289:FK289)</f>
        <v>471076</v>
      </c>
      <c r="DT289" s="12">
        <f>SUM($AQ289:CN289)-SUM($EA289:FL289)</f>
        <v>458076</v>
      </c>
      <c r="DU289" s="12">
        <f>SUM($AQ289:CO289)-SUM($EA289:FM289)</f>
        <v>445076</v>
      </c>
      <c r="DV289" s="12">
        <f>SUM($AQ289:CP289)-SUM($EA289:FN289)</f>
        <v>1271312</v>
      </c>
      <c r="DW289" s="12">
        <f>SUM($AQ289:CQ289)-SUM($EA289:FO289)</f>
        <v>2098341</v>
      </c>
      <c r="DX289" s="13"/>
      <c r="DY289" s="13"/>
      <c r="DZ289" s="13"/>
      <c r="EA289" s="12"/>
      <c r="EB289" s="12"/>
      <c r="EC289" s="12"/>
      <c r="ED289" s="12"/>
      <c r="EE289" s="12"/>
      <c r="EF289" s="12"/>
      <c r="EG289" s="12"/>
      <c r="EH289" s="12">
        <f t="array" ref="EH289">SUMPRODUCT(TRANSPOSE(EH$9:EH$34),$K289:$AJ289)</f>
        <v>83837</v>
      </c>
      <c r="EI289" s="12">
        <f t="array" ref="EI289">SUMPRODUCT(TRANSPOSE(EI$9:EI$34),$K289:$AJ289)</f>
        <v>11635</v>
      </c>
      <c r="EJ289" s="12">
        <f t="array" ref="EJ289">SUMPRODUCT(TRANSPOSE(EJ$9:EJ$34),$K289:$AJ289)</f>
        <v>13195</v>
      </c>
      <c r="EK289" s="12">
        <f t="array" ref="EK289">SUMPRODUCT(TRANSPOSE(EK$9:EK$34),$K289:$AJ289)</f>
        <v>13455</v>
      </c>
      <c r="EL289" s="12">
        <f t="array" ref="EL289">SUMPRODUCT(TRANSPOSE(EL$9:EL$34),$K289:$AJ289)</f>
        <v>13195</v>
      </c>
      <c r="EM289" s="12">
        <f t="array" ref="EM289">SUMPRODUCT(TRANSPOSE(EM$9:EM$34),$K289:$AJ289)</f>
        <v>650</v>
      </c>
      <c r="EN289" s="12">
        <f t="array" ref="EN289">SUMPRODUCT(TRANSPOSE(EN$9:EN$34),$K289:$AJ289)</f>
        <v>12350</v>
      </c>
      <c r="EO289" s="12">
        <f t="array" ref="EO289">SUMPRODUCT(TRANSPOSE(EO$9:EO$34),$K289:$AJ289)</f>
        <v>13000</v>
      </c>
      <c r="EP289" s="12">
        <f t="array" ref="EP289">SUMPRODUCT(TRANSPOSE(EP$9:EP$34),$K289:$AJ289)</f>
        <v>13650</v>
      </c>
      <c r="EQ289" s="12">
        <f t="array" ref="EQ289">SUMPRODUCT(TRANSPOSE(EQ$9:EQ$34),$K289:$AJ289)</f>
        <v>13650</v>
      </c>
      <c r="ER289" s="12">
        <f t="array" ref="ER289">SUMPRODUCT(TRANSPOSE(ER$9:ER$34),$K289:$AJ289)</f>
        <v>13650</v>
      </c>
      <c r="ES289" s="12">
        <f t="array" ref="ES289">SUMPRODUCT(TRANSPOSE(ES$9:ES$34),$K289:$AJ289)</f>
        <v>13650</v>
      </c>
      <c r="ET289" s="12">
        <f t="array" ref="ET289">SUMPRODUCT(TRANSPOSE(ET$9:ET$34),$K289:$AJ289)</f>
        <v>13650</v>
      </c>
      <c r="EU289" s="12">
        <f t="array" ref="EU289">SUMPRODUCT(TRANSPOSE(EU$9:EU$34),$K289:$AJ289)</f>
        <v>13650</v>
      </c>
      <c r="EV289" s="12">
        <f t="array" ref="EV289">SUMPRODUCT(TRANSPOSE(EV$9:EV$34),$K289:$AJ289)</f>
        <v>13650</v>
      </c>
      <c r="EW289" s="12">
        <f t="array" ref="EW289">SUMPRODUCT(TRANSPOSE(EW$9:EW$34),$K289:$AJ289)</f>
        <v>13130</v>
      </c>
      <c r="EX289" s="12">
        <f t="array" ref="EX289">SUMPRODUCT(TRANSPOSE(EX$9:EX$34),$K289:$AJ289)</f>
        <v>13000</v>
      </c>
      <c r="EY289" s="12">
        <f t="array" ref="EY289">SUMPRODUCT(TRANSPOSE(EY$9:EY$34),$K289:$AJ289)</f>
        <v>13000</v>
      </c>
      <c r="EZ289" s="12">
        <f t="array" ref="EZ289">SUMPRODUCT(TRANSPOSE(EZ$9:EZ$34),$K289:$AJ289)</f>
        <v>13000</v>
      </c>
      <c r="FA289" s="12">
        <f t="array" ref="FA289">SUMPRODUCT(TRANSPOSE(FA$9:FA$34),$K289:$AJ289)</f>
        <v>13000</v>
      </c>
      <c r="FB289" s="12">
        <f t="array" ref="FB289">SUMPRODUCT(TRANSPOSE(FB$9:FB$34),$K289:$AJ289)</f>
        <v>13000</v>
      </c>
      <c r="FC289" s="12">
        <f t="array" ref="FC289">SUMPRODUCT(TRANSPOSE(FC$9:FC$34),$K289:$AJ289)</f>
        <v>13000</v>
      </c>
      <c r="FD289" s="12">
        <f t="array" ref="FD289">SUMPRODUCT(TRANSPOSE(FD$9:FD$34),$K289:$AJ289)</f>
        <v>13000</v>
      </c>
      <c r="FE289" s="12">
        <f t="array" ref="FE289">SUMPRODUCT(TRANSPOSE(FE$9:FE$34),$K289:$AJ289)</f>
        <v>13000</v>
      </c>
      <c r="FF289" s="12">
        <f t="array" ref="FF289">SUMPRODUCT(TRANSPOSE(FF$9:FF$34),$K289:$AJ289)</f>
        <v>13000</v>
      </c>
      <c r="FG289" s="12">
        <f t="array" ref="FG289">SUMPRODUCT(TRANSPOSE(FG$9:FG$34),$K289:$AJ289)</f>
        <v>13000</v>
      </c>
      <c r="FH289" s="12">
        <f t="array" ref="FH289">SUMPRODUCT(TRANSPOSE(FH$9:FH$34),$K289:$AJ289)</f>
        <v>13000</v>
      </c>
      <c r="FI289" s="12">
        <f t="array" ref="FI289">SUMPRODUCT(TRANSPOSE(FI$9:FI$34),$K289:$AJ289)</f>
        <v>13000</v>
      </c>
      <c r="FJ289" s="12">
        <f t="array" ref="FJ289">SUMPRODUCT(TRANSPOSE(FJ$9:FJ$34),$K289:$AJ289)</f>
        <v>13000</v>
      </c>
      <c r="FK289" s="12">
        <f t="array" ref="FK289">SUMPRODUCT(TRANSPOSE(FK$9:FK$34),$K289:$AJ289)</f>
        <v>13000</v>
      </c>
      <c r="FL289" s="12">
        <f t="array" ref="FL289">SUMPRODUCT(TRANSPOSE(FL$9:FL$34),$K289:$AJ289)</f>
        <v>13000</v>
      </c>
      <c r="FM289" s="12">
        <f t="array" ref="FM289">SUMPRODUCT(TRANSPOSE(FM$9:FM$34),$K289:$AJ289)</f>
        <v>13000</v>
      </c>
      <c r="FN289" s="12">
        <f t="array" ref="FN289">SUMPRODUCT(TRANSPOSE(FN$9:FN$34),$K289:$AJ289)</f>
        <v>13000</v>
      </c>
      <c r="FO289" s="12">
        <f t="array" ref="FO289">SUMPRODUCT(TRANSPOSE(FO$9:FO$34),$K289:$AJ289)</f>
        <v>572</v>
      </c>
    </row>
    <row r="290" spans="1:171" ht="14.25" x14ac:dyDescent="0.2">
      <c r="A290" s="13">
        <f t="shared" si="13"/>
        <v>255</v>
      </c>
      <c r="B290" s="13" t="s">
        <v>898</v>
      </c>
      <c r="C290" s="25" t="s">
        <v>899</v>
      </c>
      <c r="D290" s="13" t="s">
        <v>67</v>
      </c>
      <c r="E290" s="13">
        <v>514200518</v>
      </c>
      <c r="F290" s="26" t="s">
        <v>900</v>
      </c>
      <c r="G290" s="13"/>
      <c r="H290" s="13" t="s">
        <v>61</v>
      </c>
      <c r="I290" s="13">
        <v>2</v>
      </c>
      <c r="J290" s="13">
        <v>2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1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1</v>
      </c>
      <c r="Z290" s="13"/>
      <c r="AA290" s="13">
        <v>0</v>
      </c>
      <c r="AB290" s="13">
        <v>0</v>
      </c>
      <c r="AC290" s="13">
        <v>1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f t="shared" si="14"/>
        <v>3</v>
      </c>
      <c r="AL290" s="23">
        <f t="shared" si="12"/>
        <v>35665</v>
      </c>
      <c r="AM290" s="13"/>
      <c r="AN290" s="13" t="s">
        <v>854</v>
      </c>
      <c r="AO290" s="7" t="s">
        <v>855</v>
      </c>
      <c r="AP290" s="38">
        <v>1.7999999999999999E-2</v>
      </c>
      <c r="AQ290" s="12">
        <v>37453</v>
      </c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13"/>
      <c r="CG290" s="13"/>
      <c r="CH290" s="13"/>
      <c r="CI290" s="12"/>
      <c r="CJ290" s="12"/>
      <c r="CK290" s="12"/>
      <c r="CL290" s="12"/>
      <c r="CM290" s="12"/>
      <c r="CN290" s="12"/>
      <c r="CO290" s="12"/>
      <c r="CP290" s="12">
        <f>SUM($AQ290:BJ290)-SUM($EA290:EH290)</f>
        <v>34344</v>
      </c>
      <c r="CQ290" s="12">
        <f>SUM($AQ290:BK290)-SUM($EA290:EI290)</f>
        <v>34063</v>
      </c>
      <c r="CR290" s="12">
        <f>SUM($AQ290:BL290)-SUM($EA290:EJ290)</f>
        <v>34063</v>
      </c>
      <c r="CS290" s="12">
        <f>SUM($AQ290:BM290)-SUM($EA290:EK290)</f>
        <v>33963</v>
      </c>
      <c r="CT290" s="12">
        <f>SUM($AQ290:BN290)-SUM($EA290:EL290)</f>
        <v>32963</v>
      </c>
      <c r="CU290" s="12">
        <f>SUM($AQ290:BO290)-SUM($EA290:EM290)</f>
        <v>30963</v>
      </c>
      <c r="CV290" s="12">
        <f>SUM($AQ290:BP290)-SUM($EA290:EN290)</f>
        <v>29863</v>
      </c>
      <c r="CW290" s="12">
        <f>SUM($AQ290:BQ290)-SUM($EA290:EO290)</f>
        <v>28863</v>
      </c>
      <c r="CX290" s="12">
        <f>SUM($AQ290:BR290)-SUM($EA290:EP290)</f>
        <v>27863</v>
      </c>
      <c r="CY290" s="12">
        <f>SUM($AQ290:BS290)-SUM($EA290:EQ290)</f>
        <v>26863</v>
      </c>
      <c r="CZ290" s="12">
        <f>SUM($AQ290:BT290)-SUM($EA290:ER290)</f>
        <v>25863</v>
      </c>
      <c r="DA290" s="12">
        <f>SUM($AQ290:BU290)-SUM($EA290:ES290)</f>
        <v>24863</v>
      </c>
      <c r="DB290" s="12">
        <f>SUM($AQ290:BV290)-SUM($EA290:ET290)</f>
        <v>23863</v>
      </c>
      <c r="DC290" s="12">
        <f>SUM($AQ290:BW290)-SUM($EA290:EU290)</f>
        <v>22863</v>
      </c>
      <c r="DD290" s="12">
        <f>SUM($AQ290:BX290)-SUM($EA290:EV290)</f>
        <v>21863</v>
      </c>
      <c r="DE290" s="12">
        <f>SUM($AQ290:BY290)-SUM($EA290:EW290)</f>
        <v>20863</v>
      </c>
      <c r="DF290" s="12">
        <f>SUM($AQ290:BZ290)-SUM($EA290:EX290)</f>
        <v>19863</v>
      </c>
      <c r="DG290" s="12">
        <f>SUM($AQ290:CA290)-SUM($EA290:EY290)</f>
        <v>18863</v>
      </c>
      <c r="DH290" s="12">
        <f>SUM($AQ290:CB290)-SUM($EA290:EZ290)</f>
        <v>17863</v>
      </c>
      <c r="DI290" s="12">
        <f>SUM($AQ290:CC290)-SUM($EA290:FA290)</f>
        <v>16863</v>
      </c>
      <c r="DJ290" s="12">
        <f>SUM($AQ290:CD290)-SUM($EA290:FB290)</f>
        <v>15863</v>
      </c>
      <c r="DK290" s="12">
        <f>SUM($AQ290:CE290)-SUM($EA290:FC290)</f>
        <v>14863</v>
      </c>
      <c r="DL290" s="12">
        <f>SUM($AQ290:CF290)-SUM($EA290:FD290)</f>
        <v>13863</v>
      </c>
      <c r="DM290" s="12">
        <f>SUM($AQ290:CG290)-SUM($EA290:FE290)</f>
        <v>12863</v>
      </c>
      <c r="DN290" s="12">
        <f>SUM($AQ290:CH290)-SUM($EA290:FF290)</f>
        <v>11863</v>
      </c>
      <c r="DO290" s="12">
        <f>SUM($AQ290:CI290)-SUM($EA290:FG290)</f>
        <v>10863</v>
      </c>
      <c r="DP290" s="12">
        <f>SUM($AQ290:CJ290)-SUM($EA290:FH290)</f>
        <v>9863</v>
      </c>
      <c r="DQ290" s="12">
        <f>SUM($AQ290:CK290)-SUM($EA290:FI290)</f>
        <v>8863</v>
      </c>
      <c r="DR290" s="12">
        <f>SUM($AQ290:CL290)-SUM($EA290:FJ290)</f>
        <v>7863</v>
      </c>
      <c r="DS290" s="12">
        <f>SUM($AQ290:CM290)-SUM($EA290:FK290)</f>
        <v>6863</v>
      </c>
      <c r="DT290" s="12">
        <f>SUM($AQ290:CN290)-SUM($EA290:FL290)</f>
        <v>5863</v>
      </c>
      <c r="DU290" s="12">
        <f>SUM($AQ290:CO290)-SUM($EA290:FM290)</f>
        <v>4863</v>
      </c>
      <c r="DV290" s="12">
        <f>SUM($AQ290:CP290)-SUM($EA290:FN290)</f>
        <v>38390</v>
      </c>
      <c r="DW290" s="12">
        <f>SUM($AQ290:CQ290)-SUM($EA290:FO290)</f>
        <v>72453</v>
      </c>
      <c r="DX290" s="13"/>
      <c r="DY290" s="13"/>
      <c r="DZ290" s="13"/>
      <c r="EA290" s="12"/>
      <c r="EB290" s="12"/>
      <c r="EC290" s="12"/>
      <c r="ED290" s="12"/>
      <c r="EE290" s="12"/>
      <c r="EF290" s="12"/>
      <c r="EG290" s="12"/>
      <c r="EH290" s="12">
        <f t="array" ref="EH290">SUMPRODUCT(TRANSPOSE(EH$9:EH$34),$K290:$AJ290)</f>
        <v>3109</v>
      </c>
      <c r="EI290" s="12">
        <f t="array" ref="EI290">SUMPRODUCT(TRANSPOSE(EI$9:EI$34),$K290:$AJ290)</f>
        <v>281</v>
      </c>
      <c r="EJ290" s="12">
        <f t="array" ref="EJ290">SUMPRODUCT(TRANSPOSE(EJ$9:EJ$34),$K290:$AJ290)</f>
        <v>0</v>
      </c>
      <c r="EK290" s="12">
        <f t="array" ref="EK290">SUMPRODUCT(TRANSPOSE(EK$9:EK$34),$K290:$AJ290)</f>
        <v>100</v>
      </c>
      <c r="EL290" s="12">
        <f t="array" ref="EL290">SUMPRODUCT(TRANSPOSE(EL$9:EL$34),$K290:$AJ290)</f>
        <v>1000</v>
      </c>
      <c r="EM290" s="12">
        <f t="array" ref="EM290">SUMPRODUCT(TRANSPOSE(EM$9:EM$34),$K290:$AJ290)</f>
        <v>2000</v>
      </c>
      <c r="EN290" s="12">
        <f t="array" ref="EN290">SUMPRODUCT(TRANSPOSE(EN$9:EN$34),$K290:$AJ290)</f>
        <v>1100</v>
      </c>
      <c r="EO290" s="12">
        <f t="array" ref="EO290">SUMPRODUCT(TRANSPOSE(EO$9:EO$34),$K290:$AJ290)</f>
        <v>1000</v>
      </c>
      <c r="EP290" s="12">
        <f t="array" ref="EP290">SUMPRODUCT(TRANSPOSE(EP$9:EP$34),$K290:$AJ290)</f>
        <v>1000</v>
      </c>
      <c r="EQ290" s="12">
        <f t="array" ref="EQ290">SUMPRODUCT(TRANSPOSE(EQ$9:EQ$34),$K290:$AJ290)</f>
        <v>1000</v>
      </c>
      <c r="ER290" s="12">
        <f t="array" ref="ER290">SUMPRODUCT(TRANSPOSE(ER$9:ER$34),$K290:$AJ290)</f>
        <v>1000</v>
      </c>
      <c r="ES290" s="12">
        <f t="array" ref="ES290">SUMPRODUCT(TRANSPOSE(ES$9:ES$34),$K290:$AJ290)</f>
        <v>1000</v>
      </c>
      <c r="ET290" s="12">
        <f t="array" ref="ET290">SUMPRODUCT(TRANSPOSE(ET$9:ET$34),$K290:$AJ290)</f>
        <v>1000</v>
      </c>
      <c r="EU290" s="12">
        <f t="array" ref="EU290">SUMPRODUCT(TRANSPOSE(EU$9:EU$34),$K290:$AJ290)</f>
        <v>1000</v>
      </c>
      <c r="EV290" s="12">
        <f t="array" ref="EV290">SUMPRODUCT(TRANSPOSE(EV$9:EV$34),$K290:$AJ290)</f>
        <v>1000</v>
      </c>
      <c r="EW290" s="12">
        <f t="array" ref="EW290">SUMPRODUCT(TRANSPOSE(EW$9:EW$34),$K290:$AJ290)</f>
        <v>1000</v>
      </c>
      <c r="EX290" s="12">
        <f t="array" ref="EX290">SUMPRODUCT(TRANSPOSE(EX$9:EX$34),$K290:$AJ290)</f>
        <v>1000</v>
      </c>
      <c r="EY290" s="12">
        <f t="array" ref="EY290">SUMPRODUCT(TRANSPOSE(EY$9:EY$34),$K290:$AJ290)</f>
        <v>1000</v>
      </c>
      <c r="EZ290" s="12">
        <f t="array" ref="EZ290">SUMPRODUCT(TRANSPOSE(EZ$9:EZ$34),$K290:$AJ290)</f>
        <v>1000</v>
      </c>
      <c r="FA290" s="12">
        <f t="array" ref="FA290">SUMPRODUCT(TRANSPOSE(FA$9:FA$34),$K290:$AJ290)</f>
        <v>1000</v>
      </c>
      <c r="FB290" s="12">
        <f t="array" ref="FB290">SUMPRODUCT(TRANSPOSE(FB$9:FB$34),$K290:$AJ290)</f>
        <v>1000</v>
      </c>
      <c r="FC290" s="12">
        <f t="array" ref="FC290">SUMPRODUCT(TRANSPOSE(FC$9:FC$34),$K290:$AJ290)</f>
        <v>1000</v>
      </c>
      <c r="FD290" s="12">
        <f t="array" ref="FD290">SUMPRODUCT(TRANSPOSE(FD$9:FD$34),$K290:$AJ290)</f>
        <v>1000</v>
      </c>
      <c r="FE290" s="12">
        <f t="array" ref="FE290">SUMPRODUCT(TRANSPOSE(FE$9:FE$34),$K290:$AJ290)</f>
        <v>1000</v>
      </c>
      <c r="FF290" s="12">
        <f t="array" ref="FF290">SUMPRODUCT(TRANSPOSE(FF$9:FF$34),$K290:$AJ290)</f>
        <v>1000</v>
      </c>
      <c r="FG290" s="12">
        <f t="array" ref="FG290">SUMPRODUCT(TRANSPOSE(FG$9:FG$34),$K290:$AJ290)</f>
        <v>1000</v>
      </c>
      <c r="FH290" s="12">
        <f t="array" ref="FH290">SUMPRODUCT(TRANSPOSE(FH$9:FH$34),$K290:$AJ290)</f>
        <v>1000</v>
      </c>
      <c r="FI290" s="12">
        <f t="array" ref="FI290">SUMPRODUCT(TRANSPOSE(FI$9:FI$34),$K290:$AJ290)</f>
        <v>1000</v>
      </c>
      <c r="FJ290" s="12">
        <f t="array" ref="FJ290">SUMPRODUCT(TRANSPOSE(FJ$9:FJ$34),$K290:$AJ290)</f>
        <v>1000</v>
      </c>
      <c r="FK290" s="12">
        <f t="array" ref="FK290">SUMPRODUCT(TRANSPOSE(FK$9:FK$34),$K290:$AJ290)</f>
        <v>1000</v>
      </c>
      <c r="FL290" s="12">
        <f t="array" ref="FL290">SUMPRODUCT(TRANSPOSE(FL$9:FL$34),$K290:$AJ290)</f>
        <v>1000</v>
      </c>
      <c r="FM290" s="12">
        <f t="array" ref="FM290">SUMPRODUCT(TRANSPOSE(FM$9:FM$34),$K290:$AJ290)</f>
        <v>1000</v>
      </c>
      <c r="FN290" s="12">
        <f t="array" ref="FN290">SUMPRODUCT(TRANSPOSE(FN$9:FN$34),$K290:$AJ290)</f>
        <v>817</v>
      </c>
      <c r="FO290" s="12">
        <f t="array" ref="FO290">SUMPRODUCT(TRANSPOSE(FO$9:FO$34),$K290:$AJ290)</f>
        <v>0</v>
      </c>
    </row>
    <row r="291" spans="1:171" ht="14.25" x14ac:dyDescent="0.2">
      <c r="A291" s="13">
        <f t="shared" si="13"/>
        <v>256</v>
      </c>
      <c r="B291" s="13" t="s">
        <v>901</v>
      </c>
      <c r="C291" s="25" t="s">
        <v>902</v>
      </c>
      <c r="D291" s="13" t="s">
        <v>67</v>
      </c>
      <c r="E291" s="13">
        <v>521633578</v>
      </c>
      <c r="F291" s="26" t="s">
        <v>903</v>
      </c>
      <c r="G291" s="13"/>
      <c r="H291" s="13" t="s">
        <v>61</v>
      </c>
      <c r="I291" s="13">
        <v>1</v>
      </c>
      <c r="J291" s="13">
        <v>6</v>
      </c>
      <c r="K291" s="13">
        <v>0</v>
      </c>
      <c r="L291" s="13">
        <v>2</v>
      </c>
      <c r="M291" s="13">
        <v>0</v>
      </c>
      <c r="N291" s="13">
        <v>0</v>
      </c>
      <c r="O291" s="13">
        <v>0</v>
      </c>
      <c r="P291" s="13">
        <v>0</v>
      </c>
      <c r="Q291" s="13">
        <v>2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/>
      <c r="Z291" s="13"/>
      <c r="AA291" s="13">
        <v>0</v>
      </c>
      <c r="AB291" s="13">
        <v>2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f t="shared" si="14"/>
        <v>6</v>
      </c>
      <c r="AL291" s="23">
        <f t="shared" si="12"/>
        <v>141594</v>
      </c>
      <c r="AM291" s="13"/>
      <c r="AN291" s="13" t="s">
        <v>854</v>
      </c>
      <c r="AO291" s="7" t="s">
        <v>855</v>
      </c>
      <c r="AP291" s="38">
        <v>2.29E-2</v>
      </c>
      <c r="AQ291" s="12">
        <v>146242</v>
      </c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13"/>
      <c r="CG291" s="13"/>
      <c r="CH291" s="13"/>
      <c r="CI291" s="12"/>
      <c r="CJ291" s="12"/>
      <c r="CK291" s="12"/>
      <c r="CL291" s="12"/>
      <c r="CM291" s="12"/>
      <c r="CN291" s="12"/>
      <c r="CO291" s="12"/>
      <c r="CP291" s="12">
        <f>SUM($AQ291:BJ291)-SUM($EA291:EH291)</f>
        <v>133344</v>
      </c>
      <c r="CQ291" s="12">
        <f>SUM($AQ291:BK291)-SUM($EA291:EI291)</f>
        <v>131554</v>
      </c>
      <c r="CR291" s="12">
        <f>SUM($AQ291:BL291)-SUM($EA291:EJ291)</f>
        <v>129524</v>
      </c>
      <c r="CS291" s="12">
        <f>SUM($AQ291:BM291)-SUM($EA291:EK291)</f>
        <v>127454</v>
      </c>
      <c r="CT291" s="12">
        <f>SUM($AQ291:BN291)-SUM($EA291:EL291)</f>
        <v>125424</v>
      </c>
      <c r="CU291" s="12">
        <f>SUM($AQ291:BO291)-SUM($EA291:EM291)</f>
        <v>125324</v>
      </c>
      <c r="CV291" s="12">
        <f>SUM($AQ291:BP291)-SUM($EA291:EN291)</f>
        <v>123424</v>
      </c>
      <c r="CW291" s="12">
        <f>SUM($AQ291:BQ291)-SUM($EA291:EO291)</f>
        <v>121424</v>
      </c>
      <c r="CX291" s="12">
        <f>SUM($AQ291:BR291)-SUM($EA291:EP291)</f>
        <v>119324</v>
      </c>
      <c r="CY291" s="12">
        <f>SUM($AQ291:BS291)-SUM($EA291:EQ291)</f>
        <v>117224</v>
      </c>
      <c r="CZ291" s="12">
        <f>SUM($AQ291:BT291)-SUM($EA291:ER291)</f>
        <v>115124</v>
      </c>
      <c r="DA291" s="12">
        <f>SUM($AQ291:BU291)-SUM($EA291:ES291)</f>
        <v>113024</v>
      </c>
      <c r="DB291" s="12">
        <f>SUM($AQ291:BV291)-SUM($EA291:ET291)</f>
        <v>110924</v>
      </c>
      <c r="DC291" s="12">
        <f>SUM($AQ291:BW291)-SUM($EA291:EU291)</f>
        <v>108824</v>
      </c>
      <c r="DD291" s="12">
        <f>SUM($AQ291:BX291)-SUM($EA291:EV291)</f>
        <v>106724</v>
      </c>
      <c r="DE291" s="12">
        <f>SUM($AQ291:BY291)-SUM($EA291:EW291)</f>
        <v>104704</v>
      </c>
      <c r="DF291" s="12">
        <f>SUM($AQ291:BZ291)-SUM($EA291:EX291)</f>
        <v>102704</v>
      </c>
      <c r="DG291" s="12">
        <f>SUM($AQ291:CA291)-SUM($EA291:EY291)</f>
        <v>100704</v>
      </c>
      <c r="DH291" s="12">
        <f>SUM($AQ291:CB291)-SUM($EA291:EZ291)</f>
        <v>98704</v>
      </c>
      <c r="DI291" s="12">
        <f>SUM($AQ291:CC291)-SUM($EA291:FA291)</f>
        <v>96704</v>
      </c>
      <c r="DJ291" s="12">
        <f>SUM($AQ291:CD291)-SUM($EA291:FB291)</f>
        <v>94704</v>
      </c>
      <c r="DK291" s="12">
        <f>SUM($AQ291:CE291)-SUM($EA291:FC291)</f>
        <v>92704</v>
      </c>
      <c r="DL291" s="12">
        <f>SUM($AQ291:CF291)-SUM($EA291:FD291)</f>
        <v>90704</v>
      </c>
      <c r="DM291" s="12">
        <f>SUM($AQ291:CG291)-SUM($EA291:FE291)</f>
        <v>88704</v>
      </c>
      <c r="DN291" s="12">
        <f>SUM($AQ291:CH291)-SUM($EA291:FF291)</f>
        <v>86704</v>
      </c>
      <c r="DO291" s="12">
        <f>SUM($AQ291:CI291)-SUM($EA291:FG291)</f>
        <v>84704</v>
      </c>
      <c r="DP291" s="12">
        <f>SUM($AQ291:CJ291)-SUM($EA291:FH291)</f>
        <v>82704</v>
      </c>
      <c r="DQ291" s="12">
        <f>SUM($AQ291:CK291)-SUM($EA291:FI291)</f>
        <v>80704</v>
      </c>
      <c r="DR291" s="12">
        <f>SUM($AQ291:CL291)-SUM($EA291:FJ291)</f>
        <v>78704</v>
      </c>
      <c r="DS291" s="12">
        <f>SUM($AQ291:CM291)-SUM($EA291:FK291)</f>
        <v>76704</v>
      </c>
      <c r="DT291" s="12">
        <f>SUM($AQ291:CN291)-SUM($EA291:FL291)</f>
        <v>74704</v>
      </c>
      <c r="DU291" s="12">
        <f>SUM($AQ291:CO291)-SUM($EA291:FM291)</f>
        <v>72704</v>
      </c>
      <c r="DV291" s="12">
        <f>SUM($AQ291:CP291)-SUM($EA291:FN291)</f>
        <v>204048</v>
      </c>
      <c r="DW291" s="12">
        <f>SUM($AQ291:CQ291)-SUM($EA291:FO291)</f>
        <v>335514</v>
      </c>
      <c r="DX291" s="13"/>
      <c r="DY291" s="13"/>
      <c r="DZ291" s="13"/>
      <c r="EA291" s="12"/>
      <c r="EB291" s="12"/>
      <c r="EC291" s="12"/>
      <c r="ED291" s="12"/>
      <c r="EE291" s="12"/>
      <c r="EF291" s="12"/>
      <c r="EG291" s="12"/>
      <c r="EH291" s="12">
        <f t="array" ref="EH291">SUMPRODUCT(TRANSPOSE(EH$9:EH$34),$K291:$AJ291)</f>
        <v>12898</v>
      </c>
      <c r="EI291" s="12">
        <f t="array" ref="EI291">SUMPRODUCT(TRANSPOSE(EI$9:EI$34),$K291:$AJ291)</f>
        <v>1790</v>
      </c>
      <c r="EJ291" s="12">
        <f t="array" ref="EJ291">SUMPRODUCT(TRANSPOSE(EJ$9:EJ$34),$K291:$AJ291)</f>
        <v>2030</v>
      </c>
      <c r="EK291" s="12">
        <f t="array" ref="EK291">SUMPRODUCT(TRANSPOSE(EK$9:EK$34),$K291:$AJ291)</f>
        <v>2070</v>
      </c>
      <c r="EL291" s="12">
        <f t="array" ref="EL291">SUMPRODUCT(TRANSPOSE(EL$9:EL$34),$K291:$AJ291)</f>
        <v>2030</v>
      </c>
      <c r="EM291" s="12">
        <f t="array" ref="EM291">SUMPRODUCT(TRANSPOSE(EM$9:EM$34),$K291:$AJ291)</f>
        <v>100</v>
      </c>
      <c r="EN291" s="12">
        <f t="array" ref="EN291">SUMPRODUCT(TRANSPOSE(EN$9:EN$34),$K291:$AJ291)</f>
        <v>1900</v>
      </c>
      <c r="EO291" s="12">
        <f t="array" ref="EO291">SUMPRODUCT(TRANSPOSE(EO$9:EO$34),$K291:$AJ291)</f>
        <v>2000</v>
      </c>
      <c r="EP291" s="12">
        <f t="array" ref="EP291">SUMPRODUCT(TRANSPOSE(EP$9:EP$34),$K291:$AJ291)</f>
        <v>2100</v>
      </c>
      <c r="EQ291" s="12">
        <f t="array" ref="EQ291">SUMPRODUCT(TRANSPOSE(EQ$9:EQ$34),$K291:$AJ291)</f>
        <v>2100</v>
      </c>
      <c r="ER291" s="12">
        <f t="array" ref="ER291">SUMPRODUCT(TRANSPOSE(ER$9:ER$34),$K291:$AJ291)</f>
        <v>2100</v>
      </c>
      <c r="ES291" s="12">
        <f t="array" ref="ES291">SUMPRODUCT(TRANSPOSE(ES$9:ES$34),$K291:$AJ291)</f>
        <v>2100</v>
      </c>
      <c r="ET291" s="12">
        <f t="array" ref="ET291">SUMPRODUCT(TRANSPOSE(ET$9:ET$34),$K291:$AJ291)</f>
        <v>2100</v>
      </c>
      <c r="EU291" s="12">
        <f t="array" ref="EU291">SUMPRODUCT(TRANSPOSE(EU$9:EU$34),$K291:$AJ291)</f>
        <v>2100</v>
      </c>
      <c r="EV291" s="12">
        <f t="array" ref="EV291">SUMPRODUCT(TRANSPOSE(EV$9:EV$34),$K291:$AJ291)</f>
        <v>2100</v>
      </c>
      <c r="EW291" s="12">
        <f t="array" ref="EW291">SUMPRODUCT(TRANSPOSE(EW$9:EW$34),$K291:$AJ291)</f>
        <v>2020</v>
      </c>
      <c r="EX291" s="12">
        <f t="array" ref="EX291">SUMPRODUCT(TRANSPOSE(EX$9:EX$34),$K291:$AJ291)</f>
        <v>2000</v>
      </c>
      <c r="EY291" s="12">
        <f t="array" ref="EY291">SUMPRODUCT(TRANSPOSE(EY$9:EY$34),$K291:$AJ291)</f>
        <v>2000</v>
      </c>
      <c r="EZ291" s="12">
        <f t="array" ref="EZ291">SUMPRODUCT(TRANSPOSE(EZ$9:EZ$34),$K291:$AJ291)</f>
        <v>2000</v>
      </c>
      <c r="FA291" s="12">
        <f t="array" ref="FA291">SUMPRODUCT(TRANSPOSE(FA$9:FA$34),$K291:$AJ291)</f>
        <v>2000</v>
      </c>
      <c r="FB291" s="12">
        <f t="array" ref="FB291">SUMPRODUCT(TRANSPOSE(FB$9:FB$34),$K291:$AJ291)</f>
        <v>2000</v>
      </c>
      <c r="FC291" s="12">
        <f t="array" ref="FC291">SUMPRODUCT(TRANSPOSE(FC$9:FC$34),$K291:$AJ291)</f>
        <v>2000</v>
      </c>
      <c r="FD291" s="12">
        <f t="array" ref="FD291">SUMPRODUCT(TRANSPOSE(FD$9:FD$34),$K291:$AJ291)</f>
        <v>2000</v>
      </c>
      <c r="FE291" s="12">
        <f t="array" ref="FE291">SUMPRODUCT(TRANSPOSE(FE$9:FE$34),$K291:$AJ291)</f>
        <v>2000</v>
      </c>
      <c r="FF291" s="12">
        <f t="array" ref="FF291">SUMPRODUCT(TRANSPOSE(FF$9:FF$34),$K291:$AJ291)</f>
        <v>2000</v>
      </c>
      <c r="FG291" s="12">
        <f t="array" ref="FG291">SUMPRODUCT(TRANSPOSE(FG$9:FG$34),$K291:$AJ291)</f>
        <v>2000</v>
      </c>
      <c r="FH291" s="12">
        <f t="array" ref="FH291">SUMPRODUCT(TRANSPOSE(FH$9:FH$34),$K291:$AJ291)</f>
        <v>2000</v>
      </c>
      <c r="FI291" s="12">
        <f t="array" ref="FI291">SUMPRODUCT(TRANSPOSE(FI$9:FI$34),$K291:$AJ291)</f>
        <v>2000</v>
      </c>
      <c r="FJ291" s="12">
        <f t="array" ref="FJ291">SUMPRODUCT(TRANSPOSE(FJ$9:FJ$34),$K291:$AJ291)</f>
        <v>2000</v>
      </c>
      <c r="FK291" s="12">
        <f t="array" ref="FK291">SUMPRODUCT(TRANSPOSE(FK$9:FK$34),$K291:$AJ291)</f>
        <v>2000</v>
      </c>
      <c r="FL291" s="12">
        <f t="array" ref="FL291">SUMPRODUCT(TRANSPOSE(FL$9:FL$34),$K291:$AJ291)</f>
        <v>2000</v>
      </c>
      <c r="FM291" s="12">
        <f t="array" ref="FM291">SUMPRODUCT(TRANSPOSE(FM$9:FM$34),$K291:$AJ291)</f>
        <v>2000</v>
      </c>
      <c r="FN291" s="12">
        <f t="array" ref="FN291">SUMPRODUCT(TRANSPOSE(FN$9:FN$34),$K291:$AJ291)</f>
        <v>2000</v>
      </c>
      <c r="FO291" s="12">
        <f t="array" ref="FO291">SUMPRODUCT(TRANSPOSE(FO$9:FO$34),$K291:$AJ291)</f>
        <v>88</v>
      </c>
    </row>
    <row r="292" spans="1:171" ht="14.25" x14ac:dyDescent="0.2">
      <c r="A292" s="13">
        <f t="shared" si="13"/>
        <v>257</v>
      </c>
      <c r="B292" s="13" t="s">
        <v>904</v>
      </c>
      <c r="C292" s="25" t="s">
        <v>905</v>
      </c>
      <c r="D292" s="13" t="s">
        <v>67</v>
      </c>
      <c r="E292" s="13">
        <v>406318150</v>
      </c>
      <c r="F292" s="26" t="s">
        <v>906</v>
      </c>
      <c r="G292" s="13"/>
      <c r="H292" s="13" t="s">
        <v>61</v>
      </c>
      <c r="I292" s="13">
        <v>2</v>
      </c>
      <c r="J292" s="13">
        <v>12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6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/>
      <c r="Z292" s="13">
        <v>6</v>
      </c>
      <c r="AA292" s="13">
        <v>0</v>
      </c>
      <c r="AB292" s="13">
        <v>0</v>
      </c>
      <c r="AC292" s="13">
        <v>0</v>
      </c>
      <c r="AD292" s="13">
        <v>6</v>
      </c>
      <c r="AE292" s="13">
        <v>6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f t="shared" si="14"/>
        <v>18</v>
      </c>
      <c r="AL292" s="23">
        <f t="shared" ref="AL292:AL335" si="15">SUMPRODUCT(K292:AJ292,$K$31:$AJ$31)</f>
        <v>213990</v>
      </c>
      <c r="AM292" s="13"/>
      <c r="AN292" s="13" t="s">
        <v>907</v>
      </c>
      <c r="AO292" s="7" t="s">
        <v>718</v>
      </c>
      <c r="AP292" s="38">
        <v>1.8700000000000001E-2</v>
      </c>
      <c r="AQ292" s="12">
        <v>214140</v>
      </c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13"/>
      <c r="CG292" s="13"/>
      <c r="CH292" s="13"/>
      <c r="CI292" s="12"/>
      <c r="CJ292" s="12"/>
      <c r="CK292" s="12"/>
      <c r="CL292" s="12"/>
      <c r="CM292" s="12"/>
      <c r="CN292" s="12"/>
      <c r="CO292" s="12"/>
      <c r="CP292" s="12">
        <f>SUM($AQ292:BJ292)-SUM($EA292:EH292)</f>
        <v>195486</v>
      </c>
      <c r="CQ292" s="12">
        <f>SUM($AQ292:BK292)-SUM($EA292:EI292)</f>
        <v>193800</v>
      </c>
      <c r="CR292" s="12">
        <f>SUM($AQ292:BL292)-SUM($EA292:EJ292)</f>
        <v>193710</v>
      </c>
      <c r="CS292" s="12">
        <f>SUM($AQ292:BM292)-SUM($EA292:EK292)</f>
        <v>192900</v>
      </c>
      <c r="CT292" s="12">
        <f>SUM($AQ292:BN292)-SUM($EA292:EL292)</f>
        <v>186810</v>
      </c>
      <c r="CU292" s="12">
        <f>SUM($AQ292:BO292)-SUM($EA292:EM292)</f>
        <v>174510</v>
      </c>
      <c r="CV292" s="12">
        <f>SUM($AQ292:BP292)-SUM($EA292:EN292)</f>
        <v>167610</v>
      </c>
      <c r="CW292" s="12">
        <f>SUM($AQ292:BQ292)-SUM($EA292:EO292)</f>
        <v>161610</v>
      </c>
      <c r="CX292" s="12">
        <f>SUM($AQ292:BR292)-SUM($EA292:EP292)</f>
        <v>155310</v>
      </c>
      <c r="CY292" s="12">
        <f>SUM($AQ292:BS292)-SUM($EA292:EQ292)</f>
        <v>149010</v>
      </c>
      <c r="CZ292" s="12">
        <f>SUM($AQ292:BT292)-SUM($EA292:ER292)</f>
        <v>142710</v>
      </c>
      <c r="DA292" s="12">
        <f>SUM($AQ292:BU292)-SUM($EA292:ES292)</f>
        <v>136410</v>
      </c>
      <c r="DB292" s="12">
        <f>SUM($AQ292:BV292)-SUM($EA292:ET292)</f>
        <v>130110</v>
      </c>
      <c r="DC292" s="12">
        <f>SUM($AQ292:BW292)-SUM($EA292:EU292)</f>
        <v>123810</v>
      </c>
      <c r="DD292" s="12">
        <f>SUM($AQ292:BX292)-SUM($EA292:EV292)</f>
        <v>117510</v>
      </c>
      <c r="DE292" s="12">
        <f>SUM($AQ292:BY292)-SUM($EA292:EW292)</f>
        <v>111252</v>
      </c>
      <c r="DF292" s="12">
        <f>SUM($AQ292:BZ292)-SUM($EA292:EX292)</f>
        <v>105252</v>
      </c>
      <c r="DG292" s="12">
        <f>SUM($AQ292:CA292)-SUM($EA292:EY292)</f>
        <v>99252</v>
      </c>
      <c r="DH292" s="12">
        <f>SUM($AQ292:CB292)-SUM($EA292:EZ292)</f>
        <v>93252</v>
      </c>
      <c r="DI292" s="12">
        <f>SUM($AQ292:CC292)-SUM($EA292:FA292)</f>
        <v>87252</v>
      </c>
      <c r="DJ292" s="12">
        <f>SUM($AQ292:CD292)-SUM($EA292:FB292)</f>
        <v>81252</v>
      </c>
      <c r="DK292" s="12">
        <f>SUM($AQ292:CE292)-SUM($EA292:FC292)</f>
        <v>75252</v>
      </c>
      <c r="DL292" s="12">
        <f>SUM($AQ292:CF292)-SUM($EA292:FD292)</f>
        <v>69252</v>
      </c>
      <c r="DM292" s="12">
        <f>SUM($AQ292:CG292)-SUM($EA292:FE292)</f>
        <v>63252</v>
      </c>
      <c r="DN292" s="12">
        <f>SUM($AQ292:CH292)-SUM($EA292:FF292)</f>
        <v>57252</v>
      </c>
      <c r="DO292" s="12">
        <f>SUM($AQ292:CI292)-SUM($EA292:FG292)</f>
        <v>51252</v>
      </c>
      <c r="DP292" s="12">
        <f>SUM($AQ292:CJ292)-SUM($EA292:FH292)</f>
        <v>45252</v>
      </c>
      <c r="DQ292" s="12">
        <f>SUM($AQ292:CK292)-SUM($EA292:FI292)</f>
        <v>39252</v>
      </c>
      <c r="DR292" s="12">
        <f>SUM($AQ292:CL292)-SUM($EA292:FJ292)</f>
        <v>33252</v>
      </c>
      <c r="DS292" s="12">
        <f>SUM($AQ292:CM292)-SUM($EA292:FK292)</f>
        <v>27252</v>
      </c>
      <c r="DT292" s="12">
        <f>SUM($AQ292:CN292)-SUM($EA292:FL292)</f>
        <v>21252</v>
      </c>
      <c r="DU292" s="12">
        <f>SUM($AQ292:CO292)-SUM($EA292:FM292)</f>
        <v>15252</v>
      </c>
      <c r="DV292" s="12">
        <f>SUM($AQ292:CP292)-SUM($EA292:FN292)</f>
        <v>205836</v>
      </c>
      <c r="DW292" s="12">
        <f>SUM($AQ292:CQ292)-SUM($EA292:FO292)</f>
        <v>399636</v>
      </c>
      <c r="DX292" s="13"/>
      <c r="DY292" s="13"/>
      <c r="DZ292" s="13"/>
      <c r="EA292" s="12"/>
      <c r="EB292" s="12"/>
      <c r="EC292" s="12"/>
      <c r="ED292" s="12"/>
      <c r="EE292" s="12"/>
      <c r="EF292" s="12"/>
      <c r="EG292" s="12"/>
      <c r="EH292" s="12">
        <f t="array" ref="EH292">SUMPRODUCT(TRANSPOSE(EH$9:EH$34),$K292:$AJ292)</f>
        <v>18654</v>
      </c>
      <c r="EI292" s="12">
        <f t="array" ref="EI292">SUMPRODUCT(TRANSPOSE(EI$9:EI$34),$K292:$AJ292)</f>
        <v>1686</v>
      </c>
      <c r="EJ292" s="12">
        <f t="array" ref="EJ292">SUMPRODUCT(TRANSPOSE(EJ$9:EJ$34),$K292:$AJ292)</f>
        <v>90</v>
      </c>
      <c r="EK292" s="12">
        <f t="array" ref="EK292">SUMPRODUCT(TRANSPOSE(EK$9:EK$34),$K292:$AJ292)</f>
        <v>810</v>
      </c>
      <c r="EL292" s="12">
        <f t="array" ref="EL292">SUMPRODUCT(TRANSPOSE(EL$9:EL$34),$K292:$AJ292)</f>
        <v>6090</v>
      </c>
      <c r="EM292" s="12">
        <f t="array" ref="EM292">SUMPRODUCT(TRANSPOSE(EM$9:EM$34),$K292:$AJ292)</f>
        <v>12300</v>
      </c>
      <c r="EN292" s="12">
        <f t="array" ref="EN292">SUMPRODUCT(TRANSPOSE(EN$9:EN$34),$K292:$AJ292)</f>
        <v>6900</v>
      </c>
      <c r="EO292" s="12">
        <f t="array" ref="EO292">SUMPRODUCT(TRANSPOSE(EO$9:EO$34),$K292:$AJ292)</f>
        <v>6000</v>
      </c>
      <c r="EP292" s="12">
        <f t="array" ref="EP292">SUMPRODUCT(TRANSPOSE(EP$9:EP$34),$K292:$AJ292)</f>
        <v>6300</v>
      </c>
      <c r="EQ292" s="12">
        <f t="array" ref="EQ292">SUMPRODUCT(TRANSPOSE(EQ$9:EQ$34),$K292:$AJ292)</f>
        <v>6300</v>
      </c>
      <c r="ER292" s="12">
        <f t="array" ref="ER292">SUMPRODUCT(TRANSPOSE(ER$9:ER$34),$K292:$AJ292)</f>
        <v>6300</v>
      </c>
      <c r="ES292" s="12">
        <f t="array" ref="ES292">SUMPRODUCT(TRANSPOSE(ES$9:ES$34),$K292:$AJ292)</f>
        <v>6300</v>
      </c>
      <c r="ET292" s="12">
        <f t="array" ref="ET292">SUMPRODUCT(TRANSPOSE(ET$9:ET$34),$K292:$AJ292)</f>
        <v>6300</v>
      </c>
      <c r="EU292" s="12">
        <f t="array" ref="EU292">SUMPRODUCT(TRANSPOSE(EU$9:EU$34),$K292:$AJ292)</f>
        <v>6300</v>
      </c>
      <c r="EV292" s="12">
        <f t="array" ref="EV292">SUMPRODUCT(TRANSPOSE(EV$9:EV$34),$K292:$AJ292)</f>
        <v>6300</v>
      </c>
      <c r="EW292" s="12">
        <f t="array" ref="EW292">SUMPRODUCT(TRANSPOSE(EW$9:EW$34),$K292:$AJ292)</f>
        <v>6258</v>
      </c>
      <c r="EX292" s="12">
        <f t="array" ref="EX292">SUMPRODUCT(TRANSPOSE(EX$9:EX$34),$K292:$AJ292)</f>
        <v>6000</v>
      </c>
      <c r="EY292" s="12">
        <f t="array" ref="EY292">SUMPRODUCT(TRANSPOSE(EY$9:EY$34),$K292:$AJ292)</f>
        <v>6000</v>
      </c>
      <c r="EZ292" s="12">
        <f t="array" ref="EZ292">SUMPRODUCT(TRANSPOSE(EZ$9:EZ$34),$K292:$AJ292)</f>
        <v>6000</v>
      </c>
      <c r="FA292" s="12">
        <f t="array" ref="FA292">SUMPRODUCT(TRANSPOSE(FA$9:FA$34),$K292:$AJ292)</f>
        <v>6000</v>
      </c>
      <c r="FB292" s="12">
        <f t="array" ref="FB292">SUMPRODUCT(TRANSPOSE(FB$9:FB$34),$K292:$AJ292)</f>
        <v>6000</v>
      </c>
      <c r="FC292" s="12">
        <f t="array" ref="FC292">SUMPRODUCT(TRANSPOSE(FC$9:FC$34),$K292:$AJ292)</f>
        <v>6000</v>
      </c>
      <c r="FD292" s="12">
        <f t="array" ref="FD292">SUMPRODUCT(TRANSPOSE(FD$9:FD$34),$K292:$AJ292)</f>
        <v>6000</v>
      </c>
      <c r="FE292" s="12">
        <f t="array" ref="FE292">SUMPRODUCT(TRANSPOSE(FE$9:FE$34),$K292:$AJ292)</f>
        <v>6000</v>
      </c>
      <c r="FF292" s="12">
        <f t="array" ref="FF292">SUMPRODUCT(TRANSPOSE(FF$9:FF$34),$K292:$AJ292)</f>
        <v>6000</v>
      </c>
      <c r="FG292" s="12">
        <f t="array" ref="FG292">SUMPRODUCT(TRANSPOSE(FG$9:FG$34),$K292:$AJ292)</f>
        <v>6000</v>
      </c>
      <c r="FH292" s="12">
        <f t="array" ref="FH292">SUMPRODUCT(TRANSPOSE(FH$9:FH$34),$K292:$AJ292)</f>
        <v>6000</v>
      </c>
      <c r="FI292" s="12">
        <f t="array" ref="FI292">SUMPRODUCT(TRANSPOSE(FI$9:FI$34),$K292:$AJ292)</f>
        <v>6000</v>
      </c>
      <c r="FJ292" s="12">
        <f t="array" ref="FJ292">SUMPRODUCT(TRANSPOSE(FJ$9:FJ$34),$K292:$AJ292)</f>
        <v>6000</v>
      </c>
      <c r="FK292" s="12">
        <f t="array" ref="FK292">SUMPRODUCT(TRANSPOSE(FK$9:FK$34),$K292:$AJ292)</f>
        <v>6000</v>
      </c>
      <c r="FL292" s="12">
        <f t="array" ref="FL292">SUMPRODUCT(TRANSPOSE(FL$9:FL$34),$K292:$AJ292)</f>
        <v>6000</v>
      </c>
      <c r="FM292" s="12">
        <f t="array" ref="FM292">SUMPRODUCT(TRANSPOSE(FM$9:FM$34),$K292:$AJ292)</f>
        <v>6000</v>
      </c>
      <c r="FN292" s="12">
        <f t="array" ref="FN292">SUMPRODUCT(TRANSPOSE(FN$9:FN$34),$K292:$AJ292)</f>
        <v>4902</v>
      </c>
      <c r="FO292" s="12">
        <f t="array" ref="FO292">SUMPRODUCT(TRANSPOSE(FO$9:FO$34),$K292:$AJ292)</f>
        <v>0</v>
      </c>
    </row>
    <row r="293" spans="1:171" ht="14.25" x14ac:dyDescent="0.2">
      <c r="A293" s="13">
        <f t="shared" si="13"/>
        <v>258</v>
      </c>
      <c r="B293" s="13" t="s">
        <v>908</v>
      </c>
      <c r="C293" s="25" t="s">
        <v>909</v>
      </c>
      <c r="D293" s="13" t="s">
        <v>401</v>
      </c>
      <c r="E293" s="13">
        <v>407374949</v>
      </c>
      <c r="F293" s="26" t="s">
        <v>910</v>
      </c>
      <c r="G293" s="13"/>
      <c r="H293" s="13" t="s">
        <v>61</v>
      </c>
      <c r="I293" s="13">
        <v>2</v>
      </c>
      <c r="J293" s="13">
        <v>10</v>
      </c>
      <c r="K293" s="13">
        <v>0</v>
      </c>
      <c r="L293" s="13">
        <v>0</v>
      </c>
      <c r="M293" s="13">
        <v>0</v>
      </c>
      <c r="N293" s="13">
        <v>2</v>
      </c>
      <c r="O293" s="13">
        <v>0</v>
      </c>
      <c r="P293" s="13">
        <v>0</v>
      </c>
      <c r="Q293" s="13">
        <v>0</v>
      </c>
      <c r="R293" s="13">
        <v>0</v>
      </c>
      <c r="S293" s="13">
        <v>4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/>
      <c r="Z293" s="13">
        <v>4</v>
      </c>
      <c r="AA293" s="13">
        <v>0</v>
      </c>
      <c r="AB293" s="13">
        <v>0</v>
      </c>
      <c r="AC293" s="13">
        <v>0</v>
      </c>
      <c r="AD293" s="13">
        <v>4</v>
      </c>
      <c r="AE293" s="13">
        <v>4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f t="shared" si="14"/>
        <v>14</v>
      </c>
      <c r="AL293" s="23">
        <f t="shared" si="15"/>
        <v>213122</v>
      </c>
      <c r="AM293" s="13"/>
      <c r="AN293" s="13" t="s">
        <v>907</v>
      </c>
      <c r="AO293" s="7" t="s">
        <v>726</v>
      </c>
      <c r="AP293" s="38">
        <v>2.1000000000000001E-2</v>
      </c>
      <c r="AQ293" s="12">
        <v>213000</v>
      </c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13"/>
      <c r="CG293" s="13"/>
      <c r="CH293" s="13"/>
      <c r="CI293" s="12"/>
      <c r="CJ293" s="12"/>
      <c r="CK293" s="12"/>
      <c r="CL293" s="12"/>
      <c r="CM293" s="12"/>
      <c r="CN293" s="12"/>
      <c r="CO293" s="12"/>
      <c r="CP293" s="12">
        <f>SUM($AQ293:BJ293)-SUM($EA293:EH293)</f>
        <v>192656</v>
      </c>
      <c r="CQ293" s="12">
        <f>SUM($AQ293:BK293)-SUM($EA293:EI293)</f>
        <v>191532</v>
      </c>
      <c r="CR293" s="12">
        <f>SUM($AQ293:BL293)-SUM($EA293:EJ293)</f>
        <v>189472</v>
      </c>
      <c r="CS293" s="12">
        <f>SUM($AQ293:BM293)-SUM($EA293:EK293)</f>
        <v>186932</v>
      </c>
      <c r="CT293" s="12">
        <f>SUM($AQ293:BN293)-SUM($EA293:EL293)</f>
        <v>180872</v>
      </c>
      <c r="CU293" s="12">
        <f>SUM($AQ293:BO293)-SUM($EA293:EM293)</f>
        <v>172672</v>
      </c>
      <c r="CV293" s="12">
        <f>SUM($AQ293:BP293)-SUM($EA293:EN293)</f>
        <v>166272</v>
      </c>
      <c r="CW293" s="12">
        <f>SUM($AQ293:BQ293)-SUM($EA293:EO293)</f>
        <v>160272</v>
      </c>
      <c r="CX293" s="12">
        <f>SUM($AQ293:BR293)-SUM($EA293:EP293)</f>
        <v>154072</v>
      </c>
      <c r="CY293" s="12">
        <f>SUM($AQ293:BS293)-SUM($EA293:EQ293)</f>
        <v>147872</v>
      </c>
      <c r="CZ293" s="12">
        <f>SUM($AQ293:BT293)-SUM($EA293:ER293)</f>
        <v>141672</v>
      </c>
      <c r="DA293" s="12">
        <f>SUM($AQ293:BU293)-SUM($EA293:ES293)</f>
        <v>135472</v>
      </c>
      <c r="DB293" s="12">
        <f>SUM($AQ293:BV293)-SUM($EA293:ET293)</f>
        <v>129272</v>
      </c>
      <c r="DC293" s="12">
        <f>SUM($AQ293:BW293)-SUM($EA293:EU293)</f>
        <v>123072</v>
      </c>
      <c r="DD293" s="12">
        <f>SUM($AQ293:BX293)-SUM($EA293:EV293)</f>
        <v>116872</v>
      </c>
      <c r="DE293" s="12">
        <f>SUM($AQ293:BY293)-SUM($EA293:EW293)</f>
        <v>110700</v>
      </c>
      <c r="DF293" s="12">
        <f>SUM($AQ293:BZ293)-SUM($EA293:EX293)</f>
        <v>104700</v>
      </c>
      <c r="DG293" s="12">
        <f>SUM($AQ293:CA293)-SUM($EA293:EY293)</f>
        <v>98700</v>
      </c>
      <c r="DH293" s="12">
        <f>SUM($AQ293:CB293)-SUM($EA293:EZ293)</f>
        <v>92700</v>
      </c>
      <c r="DI293" s="12">
        <f>SUM($AQ293:CC293)-SUM($EA293:FA293)</f>
        <v>86700</v>
      </c>
      <c r="DJ293" s="12">
        <f>SUM($AQ293:CD293)-SUM($EA293:FB293)</f>
        <v>80700</v>
      </c>
      <c r="DK293" s="12">
        <f>SUM($AQ293:CE293)-SUM($EA293:FC293)</f>
        <v>74700</v>
      </c>
      <c r="DL293" s="12">
        <f>SUM($AQ293:CF293)-SUM($EA293:FD293)</f>
        <v>68700</v>
      </c>
      <c r="DM293" s="12">
        <f>SUM($AQ293:CG293)-SUM($EA293:FE293)</f>
        <v>62700</v>
      </c>
      <c r="DN293" s="12">
        <f>SUM($AQ293:CH293)-SUM($EA293:FF293)</f>
        <v>56700</v>
      </c>
      <c r="DO293" s="12">
        <f>SUM($AQ293:CI293)-SUM($EA293:FG293)</f>
        <v>50700</v>
      </c>
      <c r="DP293" s="12">
        <f>SUM($AQ293:CJ293)-SUM($EA293:FH293)</f>
        <v>44700</v>
      </c>
      <c r="DQ293" s="12">
        <f>SUM($AQ293:CK293)-SUM($EA293:FI293)</f>
        <v>38700</v>
      </c>
      <c r="DR293" s="12">
        <f>SUM($AQ293:CL293)-SUM($EA293:FJ293)</f>
        <v>32700</v>
      </c>
      <c r="DS293" s="12">
        <f>SUM($AQ293:CM293)-SUM($EA293:FK293)</f>
        <v>26700</v>
      </c>
      <c r="DT293" s="12">
        <f>SUM($AQ293:CN293)-SUM($EA293:FL293)</f>
        <v>20700</v>
      </c>
      <c r="DU293" s="12">
        <f>SUM($AQ293:CO293)-SUM($EA293:FM293)</f>
        <v>14700</v>
      </c>
      <c r="DV293" s="12">
        <f>SUM($AQ293:CP293)-SUM($EA293:FN293)</f>
        <v>202088</v>
      </c>
      <c r="DW293" s="12">
        <f>SUM($AQ293:CQ293)-SUM($EA293:FO293)</f>
        <v>393466</v>
      </c>
      <c r="DX293" s="13"/>
      <c r="DY293" s="13"/>
      <c r="DZ293" s="13"/>
      <c r="EA293" s="12"/>
      <c r="EB293" s="12"/>
      <c r="EC293" s="12"/>
      <c r="ED293" s="12"/>
      <c r="EE293" s="12"/>
      <c r="EF293" s="12"/>
      <c r="EG293" s="12"/>
      <c r="EH293" s="12">
        <f t="array" ref="EH293">SUMPRODUCT(TRANSPOSE(EH$9:EH$34),$K293:$AJ293)</f>
        <v>20344</v>
      </c>
      <c r="EI293" s="12">
        <f t="array" ref="EI293">SUMPRODUCT(TRANSPOSE(EI$9:EI$34),$K293:$AJ293)</f>
        <v>1124</v>
      </c>
      <c r="EJ293" s="12">
        <f t="array" ref="EJ293">SUMPRODUCT(TRANSPOSE(EJ$9:EJ$34),$K293:$AJ293)</f>
        <v>2060</v>
      </c>
      <c r="EK293" s="12">
        <f t="array" ref="EK293">SUMPRODUCT(TRANSPOSE(EK$9:EK$34),$K293:$AJ293)</f>
        <v>2540</v>
      </c>
      <c r="EL293" s="12">
        <f t="array" ref="EL293">SUMPRODUCT(TRANSPOSE(EL$9:EL$34),$K293:$AJ293)</f>
        <v>6060</v>
      </c>
      <c r="EM293" s="12">
        <f t="array" ref="EM293">SUMPRODUCT(TRANSPOSE(EM$9:EM$34),$K293:$AJ293)</f>
        <v>8200</v>
      </c>
      <c r="EN293" s="12">
        <f t="array" ref="EN293">SUMPRODUCT(TRANSPOSE(EN$9:EN$34),$K293:$AJ293)</f>
        <v>6400</v>
      </c>
      <c r="EO293" s="12">
        <f t="array" ref="EO293">SUMPRODUCT(TRANSPOSE(EO$9:EO$34),$K293:$AJ293)</f>
        <v>6000</v>
      </c>
      <c r="EP293" s="12">
        <f t="array" ref="EP293">SUMPRODUCT(TRANSPOSE(EP$9:EP$34),$K293:$AJ293)</f>
        <v>6200</v>
      </c>
      <c r="EQ293" s="12">
        <f t="array" ref="EQ293">SUMPRODUCT(TRANSPOSE(EQ$9:EQ$34),$K293:$AJ293)</f>
        <v>6200</v>
      </c>
      <c r="ER293" s="12">
        <f t="array" ref="ER293">SUMPRODUCT(TRANSPOSE(ER$9:ER$34),$K293:$AJ293)</f>
        <v>6200</v>
      </c>
      <c r="ES293" s="12">
        <f t="array" ref="ES293">SUMPRODUCT(TRANSPOSE(ES$9:ES$34),$K293:$AJ293)</f>
        <v>6200</v>
      </c>
      <c r="ET293" s="12">
        <f t="array" ref="ET293">SUMPRODUCT(TRANSPOSE(ET$9:ET$34),$K293:$AJ293)</f>
        <v>6200</v>
      </c>
      <c r="EU293" s="12">
        <f t="array" ref="EU293">SUMPRODUCT(TRANSPOSE(EU$9:EU$34),$K293:$AJ293)</f>
        <v>6200</v>
      </c>
      <c r="EV293" s="12">
        <f t="array" ref="EV293">SUMPRODUCT(TRANSPOSE(EV$9:EV$34),$K293:$AJ293)</f>
        <v>6200</v>
      </c>
      <c r="EW293" s="12">
        <f t="array" ref="EW293">SUMPRODUCT(TRANSPOSE(EW$9:EW$34),$K293:$AJ293)</f>
        <v>6172</v>
      </c>
      <c r="EX293" s="12">
        <f t="array" ref="EX293">SUMPRODUCT(TRANSPOSE(EX$9:EX$34),$K293:$AJ293)</f>
        <v>6000</v>
      </c>
      <c r="EY293" s="12">
        <f t="array" ref="EY293">SUMPRODUCT(TRANSPOSE(EY$9:EY$34),$K293:$AJ293)</f>
        <v>6000</v>
      </c>
      <c r="EZ293" s="12">
        <f t="array" ref="EZ293">SUMPRODUCT(TRANSPOSE(EZ$9:EZ$34),$K293:$AJ293)</f>
        <v>6000</v>
      </c>
      <c r="FA293" s="12">
        <f t="array" ref="FA293">SUMPRODUCT(TRANSPOSE(FA$9:FA$34),$K293:$AJ293)</f>
        <v>6000</v>
      </c>
      <c r="FB293" s="12">
        <f t="array" ref="FB293">SUMPRODUCT(TRANSPOSE(FB$9:FB$34),$K293:$AJ293)</f>
        <v>6000</v>
      </c>
      <c r="FC293" s="12">
        <f t="array" ref="FC293">SUMPRODUCT(TRANSPOSE(FC$9:FC$34),$K293:$AJ293)</f>
        <v>6000</v>
      </c>
      <c r="FD293" s="12">
        <f t="array" ref="FD293">SUMPRODUCT(TRANSPOSE(FD$9:FD$34),$K293:$AJ293)</f>
        <v>6000</v>
      </c>
      <c r="FE293" s="12">
        <f t="array" ref="FE293">SUMPRODUCT(TRANSPOSE(FE$9:FE$34),$K293:$AJ293)</f>
        <v>6000</v>
      </c>
      <c r="FF293" s="12">
        <f t="array" ref="FF293">SUMPRODUCT(TRANSPOSE(FF$9:FF$34),$K293:$AJ293)</f>
        <v>6000</v>
      </c>
      <c r="FG293" s="12">
        <f t="array" ref="FG293">SUMPRODUCT(TRANSPOSE(FG$9:FG$34),$K293:$AJ293)</f>
        <v>6000</v>
      </c>
      <c r="FH293" s="12">
        <f t="array" ref="FH293">SUMPRODUCT(TRANSPOSE(FH$9:FH$34),$K293:$AJ293)</f>
        <v>6000</v>
      </c>
      <c r="FI293" s="12">
        <f t="array" ref="FI293">SUMPRODUCT(TRANSPOSE(FI$9:FI$34),$K293:$AJ293)</f>
        <v>6000</v>
      </c>
      <c r="FJ293" s="12">
        <f t="array" ref="FJ293">SUMPRODUCT(TRANSPOSE(FJ$9:FJ$34),$K293:$AJ293)</f>
        <v>6000</v>
      </c>
      <c r="FK293" s="12">
        <f t="array" ref="FK293">SUMPRODUCT(TRANSPOSE(FK$9:FK$34),$K293:$AJ293)</f>
        <v>6000</v>
      </c>
      <c r="FL293" s="12">
        <f t="array" ref="FL293">SUMPRODUCT(TRANSPOSE(FL$9:FL$34),$K293:$AJ293)</f>
        <v>6000</v>
      </c>
      <c r="FM293" s="12">
        <f t="array" ref="FM293">SUMPRODUCT(TRANSPOSE(FM$9:FM$34),$K293:$AJ293)</f>
        <v>6000</v>
      </c>
      <c r="FN293" s="12">
        <f t="array" ref="FN293">SUMPRODUCT(TRANSPOSE(FN$9:FN$34),$K293:$AJ293)</f>
        <v>5268</v>
      </c>
      <c r="FO293" s="12">
        <f t="array" ref="FO293">SUMPRODUCT(TRANSPOSE(FO$9:FO$34),$K293:$AJ293)</f>
        <v>154</v>
      </c>
    </row>
    <row r="294" spans="1:171" ht="14.25" x14ac:dyDescent="0.2">
      <c r="A294" s="13">
        <f t="shared" ref="A294:A335" si="16">A293+1</f>
        <v>259</v>
      </c>
      <c r="B294" s="13" t="s">
        <v>911</v>
      </c>
      <c r="C294" s="25" t="s">
        <v>912</v>
      </c>
      <c r="D294" s="13" t="s">
        <v>67</v>
      </c>
      <c r="E294" s="13">
        <v>400359927</v>
      </c>
      <c r="F294" s="26" t="s">
        <v>913</v>
      </c>
      <c r="G294" s="13"/>
      <c r="H294" s="13" t="s">
        <v>61</v>
      </c>
      <c r="I294" s="13">
        <v>1</v>
      </c>
      <c r="J294" s="13">
        <v>36</v>
      </c>
      <c r="K294" s="13">
        <v>0</v>
      </c>
      <c r="L294" s="13">
        <v>0</v>
      </c>
      <c r="M294" s="13">
        <v>0</v>
      </c>
      <c r="N294" s="13">
        <v>12</v>
      </c>
      <c r="O294" s="13">
        <v>0</v>
      </c>
      <c r="P294" s="13">
        <v>0</v>
      </c>
      <c r="Q294" s="13">
        <v>0</v>
      </c>
      <c r="R294" s="13">
        <v>0</v>
      </c>
      <c r="S294" s="13">
        <v>12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/>
      <c r="Z294" s="13">
        <v>12</v>
      </c>
      <c r="AA294" s="13">
        <v>0</v>
      </c>
      <c r="AB294" s="13">
        <v>0</v>
      </c>
      <c r="AC294" s="13">
        <v>0</v>
      </c>
      <c r="AD294" s="13">
        <v>12</v>
      </c>
      <c r="AE294" s="13">
        <v>12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f t="shared" si="14"/>
        <v>48</v>
      </c>
      <c r="AL294" s="23">
        <f t="shared" si="15"/>
        <v>850752</v>
      </c>
      <c r="AM294" s="13" t="s">
        <v>2</v>
      </c>
      <c r="AN294" s="13" t="s">
        <v>408</v>
      </c>
      <c r="AO294" s="7" t="s">
        <v>2</v>
      </c>
      <c r="AP294" s="41"/>
      <c r="AQ294" s="12">
        <v>852000</v>
      </c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13"/>
      <c r="CG294" s="13"/>
      <c r="CH294" s="13"/>
      <c r="CI294" s="12"/>
      <c r="CJ294" s="12"/>
      <c r="CK294" s="12"/>
      <c r="CL294" s="12"/>
      <c r="CM294" s="12"/>
      <c r="CN294" s="12"/>
      <c r="CO294" s="12"/>
      <c r="CP294" s="12">
        <f>SUM($AQ294:BJ294)-SUM($EA294:EH294)</f>
        <v>767244</v>
      </c>
      <c r="CQ294" s="12">
        <f>SUM($AQ294:BK294)-SUM($EA294:EI294)</f>
        <v>763872</v>
      </c>
      <c r="CR294" s="12">
        <f>SUM($AQ294:BL294)-SUM($EA294:EJ294)</f>
        <v>751692</v>
      </c>
      <c r="CS294" s="12">
        <f>SUM($AQ294:BM294)-SUM($EA294:EK294)</f>
        <v>738072</v>
      </c>
      <c r="CT294" s="12">
        <f>SUM($AQ294:BN294)-SUM($EA294:EL294)</f>
        <v>713892</v>
      </c>
      <c r="CU294" s="12">
        <f>SUM($AQ294:BO294)-SUM($EA294:EM294)</f>
        <v>689292</v>
      </c>
      <c r="CV294" s="12">
        <f>SUM($AQ294:BP294)-SUM($EA294:EN294)</f>
        <v>664692</v>
      </c>
      <c r="CW294" s="12">
        <f>SUM($AQ294:BQ294)-SUM($EA294:EO294)</f>
        <v>640692</v>
      </c>
      <c r="CX294" s="12">
        <f>SUM($AQ294:BR294)-SUM($EA294:EP294)</f>
        <v>616092</v>
      </c>
      <c r="CY294" s="12">
        <f>SUM($AQ294:BS294)-SUM($EA294:EQ294)</f>
        <v>591492</v>
      </c>
      <c r="CZ294" s="12">
        <f>SUM($AQ294:BT294)-SUM($EA294:ER294)</f>
        <v>566892</v>
      </c>
      <c r="DA294" s="12">
        <f>SUM($AQ294:BU294)-SUM($EA294:ES294)</f>
        <v>542292</v>
      </c>
      <c r="DB294" s="12">
        <f>SUM($AQ294:BV294)-SUM($EA294:ET294)</f>
        <v>517692</v>
      </c>
      <c r="DC294" s="12">
        <f>SUM($AQ294:BW294)-SUM($EA294:EU294)</f>
        <v>493092</v>
      </c>
      <c r="DD294" s="12">
        <f>SUM($AQ294:BX294)-SUM($EA294:EV294)</f>
        <v>468492</v>
      </c>
      <c r="DE294" s="12">
        <f>SUM($AQ294:BY294)-SUM($EA294:EW294)</f>
        <v>443976</v>
      </c>
      <c r="DF294" s="12">
        <f>SUM($AQ294:BZ294)-SUM($EA294:EX294)</f>
        <v>419976</v>
      </c>
      <c r="DG294" s="12">
        <f>SUM($AQ294:CA294)-SUM($EA294:EY294)</f>
        <v>395976</v>
      </c>
      <c r="DH294" s="12">
        <f>SUM($AQ294:CB294)-SUM($EA294:EZ294)</f>
        <v>371976</v>
      </c>
      <c r="DI294" s="12">
        <f>SUM($AQ294:CC294)-SUM($EA294:FA294)</f>
        <v>347976</v>
      </c>
      <c r="DJ294" s="12">
        <f>SUM($AQ294:CD294)-SUM($EA294:FB294)</f>
        <v>323976</v>
      </c>
      <c r="DK294" s="12">
        <f>SUM($AQ294:CE294)-SUM($EA294:FC294)</f>
        <v>299976</v>
      </c>
      <c r="DL294" s="12">
        <f>SUM($AQ294:CF294)-SUM($EA294:FD294)</f>
        <v>275976</v>
      </c>
      <c r="DM294" s="12">
        <f>SUM($AQ294:CG294)-SUM($EA294:FE294)</f>
        <v>251976</v>
      </c>
      <c r="DN294" s="12">
        <f>SUM($AQ294:CH294)-SUM($EA294:FF294)</f>
        <v>227976</v>
      </c>
      <c r="DO294" s="12">
        <f>SUM($AQ294:CI294)-SUM($EA294:FG294)</f>
        <v>203976</v>
      </c>
      <c r="DP294" s="12">
        <f>SUM($AQ294:CJ294)-SUM($EA294:FH294)</f>
        <v>179976</v>
      </c>
      <c r="DQ294" s="12">
        <f>SUM($AQ294:CK294)-SUM($EA294:FI294)</f>
        <v>155976</v>
      </c>
      <c r="DR294" s="12">
        <f>SUM($AQ294:CL294)-SUM($EA294:FJ294)</f>
        <v>131976</v>
      </c>
      <c r="DS294" s="12">
        <f>SUM($AQ294:CM294)-SUM($EA294:FK294)</f>
        <v>107976</v>
      </c>
      <c r="DT294" s="12">
        <f>SUM($AQ294:CN294)-SUM($EA294:FL294)</f>
        <v>83976</v>
      </c>
      <c r="DU294" s="12">
        <f>SUM($AQ294:CO294)-SUM($EA294:FM294)</f>
        <v>59976</v>
      </c>
      <c r="DV294" s="12">
        <f>SUM($AQ294:CP294)-SUM($EA294:FN294)</f>
        <v>805416</v>
      </c>
      <c r="DW294" s="12">
        <f>SUM($AQ294:CQ294)-SUM($EA294:FO294)</f>
        <v>1568364</v>
      </c>
      <c r="DX294" s="13"/>
      <c r="DY294" s="13"/>
      <c r="DZ294" s="13"/>
      <c r="EA294" s="12"/>
      <c r="EB294" s="12"/>
      <c r="EC294" s="12"/>
      <c r="ED294" s="12"/>
      <c r="EE294" s="12"/>
      <c r="EF294" s="12"/>
      <c r="EG294" s="12"/>
      <c r="EH294" s="12">
        <f t="array" ref="EH294">SUMPRODUCT(TRANSPOSE(EH$9:EH$34),$K294:$AJ294)</f>
        <v>84756</v>
      </c>
      <c r="EI294" s="12">
        <f t="array" ref="EI294">SUMPRODUCT(TRANSPOSE(EI$9:EI$34),$K294:$AJ294)</f>
        <v>3372</v>
      </c>
      <c r="EJ294" s="12">
        <f t="array" ref="EJ294">SUMPRODUCT(TRANSPOSE(EJ$9:EJ$34),$K294:$AJ294)</f>
        <v>12180</v>
      </c>
      <c r="EK294" s="12">
        <f t="array" ref="EK294">SUMPRODUCT(TRANSPOSE(EK$9:EK$34),$K294:$AJ294)</f>
        <v>13620</v>
      </c>
      <c r="EL294" s="12">
        <f t="array" ref="EL294">SUMPRODUCT(TRANSPOSE(EL$9:EL$34),$K294:$AJ294)</f>
        <v>24180</v>
      </c>
      <c r="EM294" s="12">
        <f t="array" ref="EM294">SUMPRODUCT(TRANSPOSE(EM$9:EM$34),$K294:$AJ294)</f>
        <v>24600</v>
      </c>
      <c r="EN294" s="12">
        <f t="array" ref="EN294">SUMPRODUCT(TRANSPOSE(EN$9:EN$34),$K294:$AJ294)</f>
        <v>24600</v>
      </c>
      <c r="EO294" s="12">
        <f t="array" ref="EO294">SUMPRODUCT(TRANSPOSE(EO$9:EO$34),$K294:$AJ294)</f>
        <v>24000</v>
      </c>
      <c r="EP294" s="12">
        <f t="array" ref="EP294">SUMPRODUCT(TRANSPOSE(EP$9:EP$34),$K294:$AJ294)</f>
        <v>24600</v>
      </c>
      <c r="EQ294" s="12">
        <f t="array" ref="EQ294">SUMPRODUCT(TRANSPOSE(EQ$9:EQ$34),$K294:$AJ294)</f>
        <v>24600</v>
      </c>
      <c r="ER294" s="12">
        <f t="array" ref="ER294">SUMPRODUCT(TRANSPOSE(ER$9:ER$34),$K294:$AJ294)</f>
        <v>24600</v>
      </c>
      <c r="ES294" s="12">
        <f t="array" ref="ES294">SUMPRODUCT(TRANSPOSE(ES$9:ES$34),$K294:$AJ294)</f>
        <v>24600</v>
      </c>
      <c r="ET294" s="12">
        <f t="array" ref="ET294">SUMPRODUCT(TRANSPOSE(ET$9:ET$34),$K294:$AJ294)</f>
        <v>24600</v>
      </c>
      <c r="EU294" s="12">
        <f t="array" ref="EU294">SUMPRODUCT(TRANSPOSE(EU$9:EU$34),$K294:$AJ294)</f>
        <v>24600</v>
      </c>
      <c r="EV294" s="12">
        <f t="array" ref="EV294">SUMPRODUCT(TRANSPOSE(EV$9:EV$34),$K294:$AJ294)</f>
        <v>24600</v>
      </c>
      <c r="EW294" s="12">
        <f t="array" ref="EW294">SUMPRODUCT(TRANSPOSE(EW$9:EW$34),$K294:$AJ294)</f>
        <v>24516</v>
      </c>
      <c r="EX294" s="12">
        <f t="array" ref="EX294">SUMPRODUCT(TRANSPOSE(EX$9:EX$34),$K294:$AJ294)</f>
        <v>24000</v>
      </c>
      <c r="EY294" s="12">
        <f t="array" ref="EY294">SUMPRODUCT(TRANSPOSE(EY$9:EY$34),$K294:$AJ294)</f>
        <v>24000</v>
      </c>
      <c r="EZ294" s="12">
        <f t="array" ref="EZ294">SUMPRODUCT(TRANSPOSE(EZ$9:EZ$34),$K294:$AJ294)</f>
        <v>24000</v>
      </c>
      <c r="FA294" s="12">
        <f t="array" ref="FA294">SUMPRODUCT(TRANSPOSE(FA$9:FA$34),$K294:$AJ294)</f>
        <v>24000</v>
      </c>
      <c r="FB294" s="12">
        <f t="array" ref="FB294">SUMPRODUCT(TRANSPOSE(FB$9:FB$34),$K294:$AJ294)</f>
        <v>24000</v>
      </c>
      <c r="FC294" s="12">
        <f t="array" ref="FC294">SUMPRODUCT(TRANSPOSE(FC$9:FC$34),$K294:$AJ294)</f>
        <v>24000</v>
      </c>
      <c r="FD294" s="12">
        <f t="array" ref="FD294">SUMPRODUCT(TRANSPOSE(FD$9:FD$34),$K294:$AJ294)</f>
        <v>24000</v>
      </c>
      <c r="FE294" s="12">
        <f t="array" ref="FE294">SUMPRODUCT(TRANSPOSE(FE$9:FE$34),$K294:$AJ294)</f>
        <v>24000</v>
      </c>
      <c r="FF294" s="12">
        <f t="array" ref="FF294">SUMPRODUCT(TRANSPOSE(FF$9:FF$34),$K294:$AJ294)</f>
        <v>24000</v>
      </c>
      <c r="FG294" s="12">
        <f t="array" ref="FG294">SUMPRODUCT(TRANSPOSE(FG$9:FG$34),$K294:$AJ294)</f>
        <v>24000</v>
      </c>
      <c r="FH294" s="12">
        <f t="array" ref="FH294">SUMPRODUCT(TRANSPOSE(FH$9:FH$34),$K294:$AJ294)</f>
        <v>24000</v>
      </c>
      <c r="FI294" s="12">
        <f t="array" ref="FI294">SUMPRODUCT(TRANSPOSE(FI$9:FI$34),$K294:$AJ294)</f>
        <v>24000</v>
      </c>
      <c r="FJ294" s="12">
        <f t="array" ref="FJ294">SUMPRODUCT(TRANSPOSE(FJ$9:FJ$34),$K294:$AJ294)</f>
        <v>24000</v>
      </c>
      <c r="FK294" s="12">
        <f t="array" ref="FK294">SUMPRODUCT(TRANSPOSE(FK$9:FK$34),$K294:$AJ294)</f>
        <v>24000</v>
      </c>
      <c r="FL294" s="12">
        <f t="array" ref="FL294">SUMPRODUCT(TRANSPOSE(FL$9:FL$34),$K294:$AJ294)</f>
        <v>24000</v>
      </c>
      <c r="FM294" s="12">
        <f t="array" ref="FM294">SUMPRODUCT(TRANSPOSE(FM$9:FM$34),$K294:$AJ294)</f>
        <v>24000</v>
      </c>
      <c r="FN294" s="12">
        <f t="array" ref="FN294">SUMPRODUCT(TRANSPOSE(FN$9:FN$34),$K294:$AJ294)</f>
        <v>21804</v>
      </c>
      <c r="FO294" s="12">
        <f t="array" ref="FO294">SUMPRODUCT(TRANSPOSE(FO$9:FO$34),$K294:$AJ294)</f>
        <v>924</v>
      </c>
    </row>
    <row r="295" spans="1:171" ht="14.25" x14ac:dyDescent="0.2">
      <c r="A295" s="13">
        <f t="shared" si="16"/>
        <v>260</v>
      </c>
      <c r="B295" s="13" t="s">
        <v>914</v>
      </c>
      <c r="C295" s="25" t="s">
        <v>915</v>
      </c>
      <c r="D295" s="13" t="s">
        <v>67</v>
      </c>
      <c r="E295" s="13">
        <v>400123225</v>
      </c>
      <c r="F295" s="26" t="s">
        <v>916</v>
      </c>
      <c r="G295" s="13"/>
      <c r="H295" s="13" t="s">
        <v>61</v>
      </c>
      <c r="I295" s="13">
        <v>1</v>
      </c>
      <c r="J295" s="13">
        <v>76</v>
      </c>
      <c r="K295" s="13">
        <v>0</v>
      </c>
      <c r="L295" s="13">
        <v>0</v>
      </c>
      <c r="M295" s="13">
        <v>0</v>
      </c>
      <c r="N295" s="13">
        <v>20</v>
      </c>
      <c r="O295" s="13">
        <v>0</v>
      </c>
      <c r="P295" s="13">
        <v>0</v>
      </c>
      <c r="Q295" s="13">
        <v>0</v>
      </c>
      <c r="R295" s="13">
        <v>0</v>
      </c>
      <c r="S295" s="13">
        <v>28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/>
      <c r="Z295" s="13">
        <v>28</v>
      </c>
      <c r="AA295" s="13">
        <v>0</v>
      </c>
      <c r="AB295" s="13">
        <v>0</v>
      </c>
      <c r="AC295" s="13">
        <v>0</v>
      </c>
      <c r="AD295" s="13">
        <v>28</v>
      </c>
      <c r="AE295" s="13">
        <v>28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f t="shared" ref="AK295:AK331" si="17">SUM(K295:AD295)</f>
        <v>104</v>
      </c>
      <c r="AL295" s="23">
        <f t="shared" si="15"/>
        <v>1703240</v>
      </c>
      <c r="AM295" s="13" t="s">
        <v>2</v>
      </c>
      <c r="AN295" s="13" t="s">
        <v>408</v>
      </c>
      <c r="AO295" s="7" t="s">
        <v>2</v>
      </c>
      <c r="AP295" s="41"/>
      <c r="AQ295" s="12">
        <v>1700000</v>
      </c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13"/>
      <c r="CG295" s="13"/>
      <c r="CH295" s="13"/>
      <c r="CI295" s="12"/>
      <c r="CJ295" s="12"/>
      <c r="CK295" s="12"/>
      <c r="CL295" s="12"/>
      <c r="CM295" s="12"/>
      <c r="CN295" s="12"/>
      <c r="CO295" s="12"/>
      <c r="CP295" s="12">
        <f>SUM($AQ295:BJ295)-SUM($EA295:EH295)</f>
        <v>1533868</v>
      </c>
      <c r="CQ295" s="12">
        <f>SUM($AQ295:BK295)-SUM($EA295:EI295)</f>
        <v>1526000</v>
      </c>
      <c r="CR295" s="12">
        <f>SUM($AQ295:BL295)-SUM($EA295:EJ295)</f>
        <v>1505580</v>
      </c>
      <c r="CS295" s="12">
        <f>SUM($AQ295:BM295)-SUM($EA295:EK295)</f>
        <v>1481800</v>
      </c>
      <c r="CT295" s="12">
        <f>SUM($AQ295:BN295)-SUM($EA295:EL295)</f>
        <v>1433380</v>
      </c>
      <c r="CU295" s="12">
        <f>SUM($AQ295:BO295)-SUM($EA295:EM295)</f>
        <v>1375980</v>
      </c>
      <c r="CV295" s="12">
        <f>SUM($AQ295:BP295)-SUM($EA295:EN295)</f>
        <v>1325780</v>
      </c>
      <c r="CW295" s="12">
        <f>SUM($AQ295:BQ295)-SUM($EA295:EO295)</f>
        <v>1277780</v>
      </c>
      <c r="CX295" s="12">
        <f>SUM($AQ295:BR295)-SUM($EA295:EP295)</f>
        <v>1228380</v>
      </c>
      <c r="CY295" s="12">
        <f>SUM($AQ295:BS295)-SUM($EA295:EQ295)</f>
        <v>1178980</v>
      </c>
      <c r="CZ295" s="12">
        <f>SUM($AQ295:BT295)-SUM($EA295:ER295)</f>
        <v>1129580</v>
      </c>
      <c r="DA295" s="12">
        <f>SUM($AQ295:BU295)-SUM($EA295:ES295)</f>
        <v>1080180</v>
      </c>
      <c r="DB295" s="12">
        <f>SUM($AQ295:BV295)-SUM($EA295:ET295)</f>
        <v>1030780</v>
      </c>
      <c r="DC295" s="12">
        <f>SUM($AQ295:BW295)-SUM($EA295:EU295)</f>
        <v>981380</v>
      </c>
      <c r="DD295" s="12">
        <f>SUM($AQ295:BX295)-SUM($EA295:EV295)</f>
        <v>931980</v>
      </c>
      <c r="DE295" s="12">
        <f>SUM($AQ295:BY295)-SUM($EA295:EW295)</f>
        <v>882776</v>
      </c>
      <c r="DF295" s="12">
        <f>SUM($AQ295:BZ295)-SUM($EA295:EX295)</f>
        <v>834776</v>
      </c>
      <c r="DG295" s="12">
        <f>SUM($AQ295:CA295)-SUM($EA295:EY295)</f>
        <v>786776</v>
      </c>
      <c r="DH295" s="12">
        <f>SUM($AQ295:CB295)-SUM($EA295:EZ295)</f>
        <v>738776</v>
      </c>
      <c r="DI295" s="12">
        <f>SUM($AQ295:CC295)-SUM($EA295:FA295)</f>
        <v>690776</v>
      </c>
      <c r="DJ295" s="12">
        <f>SUM($AQ295:CD295)-SUM($EA295:FB295)</f>
        <v>642776</v>
      </c>
      <c r="DK295" s="12">
        <f>SUM($AQ295:CE295)-SUM($EA295:FC295)</f>
        <v>594776</v>
      </c>
      <c r="DL295" s="12">
        <f>SUM($AQ295:CF295)-SUM($EA295:FD295)</f>
        <v>546776</v>
      </c>
      <c r="DM295" s="12">
        <f>SUM($AQ295:CG295)-SUM($EA295:FE295)</f>
        <v>498776</v>
      </c>
      <c r="DN295" s="12">
        <f>SUM($AQ295:CH295)-SUM($EA295:FF295)</f>
        <v>450776</v>
      </c>
      <c r="DO295" s="12">
        <f>SUM($AQ295:CI295)-SUM($EA295:FG295)</f>
        <v>402776</v>
      </c>
      <c r="DP295" s="12">
        <f>SUM($AQ295:CJ295)-SUM($EA295:FH295)</f>
        <v>354776</v>
      </c>
      <c r="DQ295" s="12">
        <f>SUM($AQ295:CK295)-SUM($EA295:FI295)</f>
        <v>306776</v>
      </c>
      <c r="DR295" s="12">
        <f>SUM($AQ295:CL295)-SUM($EA295:FJ295)</f>
        <v>258776</v>
      </c>
      <c r="DS295" s="12">
        <f>SUM($AQ295:CM295)-SUM($EA295:FK295)</f>
        <v>210776</v>
      </c>
      <c r="DT295" s="12">
        <f>SUM($AQ295:CN295)-SUM($EA295:FL295)</f>
        <v>162776</v>
      </c>
      <c r="DU295" s="12">
        <f>SUM($AQ295:CO295)-SUM($EA295:FM295)</f>
        <v>114776</v>
      </c>
      <c r="DV295" s="12">
        <f>SUM($AQ295:CP295)-SUM($EA295:FN295)</f>
        <v>1605768</v>
      </c>
      <c r="DW295" s="12">
        <f>SUM($AQ295:CQ295)-SUM($EA295:FO295)</f>
        <v>3130228</v>
      </c>
      <c r="DX295" s="13"/>
      <c r="DY295" s="13"/>
      <c r="DZ295" s="13"/>
      <c r="EA295" s="12"/>
      <c r="EB295" s="12"/>
      <c r="EC295" s="12"/>
      <c r="ED295" s="12"/>
      <c r="EE295" s="12"/>
      <c r="EF295" s="12"/>
      <c r="EG295" s="12"/>
      <c r="EH295" s="12">
        <f t="array" ref="EH295">SUMPRODUCT(TRANSPOSE(EH$9:EH$34),$K295:$AJ295)</f>
        <v>166132</v>
      </c>
      <c r="EI295" s="12">
        <f t="array" ref="EI295">SUMPRODUCT(TRANSPOSE(EI$9:EI$34),$K295:$AJ295)</f>
        <v>7868</v>
      </c>
      <c r="EJ295" s="12">
        <f t="array" ref="EJ295">SUMPRODUCT(TRANSPOSE(EJ$9:EJ$34),$K295:$AJ295)</f>
        <v>20420</v>
      </c>
      <c r="EK295" s="12">
        <f t="array" ref="EK295">SUMPRODUCT(TRANSPOSE(EK$9:EK$34),$K295:$AJ295)</f>
        <v>23780</v>
      </c>
      <c r="EL295" s="12">
        <f t="array" ref="EL295">SUMPRODUCT(TRANSPOSE(EL$9:EL$34),$K295:$AJ295)</f>
        <v>48420</v>
      </c>
      <c r="EM295" s="12">
        <f t="array" ref="EM295">SUMPRODUCT(TRANSPOSE(EM$9:EM$34),$K295:$AJ295)</f>
        <v>57400</v>
      </c>
      <c r="EN295" s="12">
        <f t="array" ref="EN295">SUMPRODUCT(TRANSPOSE(EN$9:EN$34),$K295:$AJ295)</f>
        <v>50200</v>
      </c>
      <c r="EO295" s="12">
        <f t="array" ref="EO295">SUMPRODUCT(TRANSPOSE(EO$9:EO$34),$K295:$AJ295)</f>
        <v>48000</v>
      </c>
      <c r="EP295" s="12">
        <f t="array" ref="EP295">SUMPRODUCT(TRANSPOSE(EP$9:EP$34),$K295:$AJ295)</f>
        <v>49400</v>
      </c>
      <c r="EQ295" s="12">
        <f t="array" ref="EQ295">SUMPRODUCT(TRANSPOSE(EQ$9:EQ$34),$K295:$AJ295)</f>
        <v>49400</v>
      </c>
      <c r="ER295" s="12">
        <f t="array" ref="ER295">SUMPRODUCT(TRANSPOSE(ER$9:ER$34),$K295:$AJ295)</f>
        <v>49400</v>
      </c>
      <c r="ES295" s="12">
        <f t="array" ref="ES295">SUMPRODUCT(TRANSPOSE(ES$9:ES$34),$K295:$AJ295)</f>
        <v>49400</v>
      </c>
      <c r="ET295" s="12">
        <f t="array" ref="ET295">SUMPRODUCT(TRANSPOSE(ET$9:ET$34),$K295:$AJ295)</f>
        <v>49400</v>
      </c>
      <c r="EU295" s="12">
        <f t="array" ref="EU295">SUMPRODUCT(TRANSPOSE(EU$9:EU$34),$K295:$AJ295)</f>
        <v>49400</v>
      </c>
      <c r="EV295" s="12">
        <f t="array" ref="EV295">SUMPRODUCT(TRANSPOSE(EV$9:EV$34),$K295:$AJ295)</f>
        <v>49400</v>
      </c>
      <c r="EW295" s="12">
        <f t="array" ref="EW295">SUMPRODUCT(TRANSPOSE(EW$9:EW$34),$K295:$AJ295)</f>
        <v>49204</v>
      </c>
      <c r="EX295" s="12">
        <f t="array" ref="EX295">SUMPRODUCT(TRANSPOSE(EX$9:EX$34),$K295:$AJ295)</f>
        <v>48000</v>
      </c>
      <c r="EY295" s="12">
        <f t="array" ref="EY295">SUMPRODUCT(TRANSPOSE(EY$9:EY$34),$K295:$AJ295)</f>
        <v>48000</v>
      </c>
      <c r="EZ295" s="12">
        <f t="array" ref="EZ295">SUMPRODUCT(TRANSPOSE(EZ$9:EZ$34),$K295:$AJ295)</f>
        <v>48000</v>
      </c>
      <c r="FA295" s="12">
        <f t="array" ref="FA295">SUMPRODUCT(TRANSPOSE(FA$9:FA$34),$K295:$AJ295)</f>
        <v>48000</v>
      </c>
      <c r="FB295" s="12">
        <f t="array" ref="FB295">SUMPRODUCT(TRANSPOSE(FB$9:FB$34),$K295:$AJ295)</f>
        <v>48000</v>
      </c>
      <c r="FC295" s="12">
        <f t="array" ref="FC295">SUMPRODUCT(TRANSPOSE(FC$9:FC$34),$K295:$AJ295)</f>
        <v>48000</v>
      </c>
      <c r="FD295" s="12">
        <f t="array" ref="FD295">SUMPRODUCT(TRANSPOSE(FD$9:FD$34),$K295:$AJ295)</f>
        <v>48000</v>
      </c>
      <c r="FE295" s="12">
        <f t="array" ref="FE295">SUMPRODUCT(TRANSPOSE(FE$9:FE$34),$K295:$AJ295)</f>
        <v>48000</v>
      </c>
      <c r="FF295" s="12">
        <f t="array" ref="FF295">SUMPRODUCT(TRANSPOSE(FF$9:FF$34),$K295:$AJ295)</f>
        <v>48000</v>
      </c>
      <c r="FG295" s="12">
        <f t="array" ref="FG295">SUMPRODUCT(TRANSPOSE(FG$9:FG$34),$K295:$AJ295)</f>
        <v>48000</v>
      </c>
      <c r="FH295" s="12">
        <f t="array" ref="FH295">SUMPRODUCT(TRANSPOSE(FH$9:FH$34),$K295:$AJ295)</f>
        <v>48000</v>
      </c>
      <c r="FI295" s="12">
        <f t="array" ref="FI295">SUMPRODUCT(TRANSPOSE(FI$9:FI$34),$K295:$AJ295)</f>
        <v>48000</v>
      </c>
      <c r="FJ295" s="12">
        <f t="array" ref="FJ295">SUMPRODUCT(TRANSPOSE(FJ$9:FJ$34),$K295:$AJ295)</f>
        <v>48000</v>
      </c>
      <c r="FK295" s="12">
        <f t="array" ref="FK295">SUMPRODUCT(TRANSPOSE(FK$9:FK$34),$K295:$AJ295)</f>
        <v>48000</v>
      </c>
      <c r="FL295" s="12">
        <f t="array" ref="FL295">SUMPRODUCT(TRANSPOSE(FL$9:FL$34),$K295:$AJ295)</f>
        <v>48000</v>
      </c>
      <c r="FM295" s="12">
        <f t="array" ref="FM295">SUMPRODUCT(TRANSPOSE(FM$9:FM$34),$K295:$AJ295)</f>
        <v>48000</v>
      </c>
      <c r="FN295" s="12">
        <f t="array" ref="FN295">SUMPRODUCT(TRANSPOSE(FN$9:FN$34),$K295:$AJ295)</f>
        <v>42876</v>
      </c>
      <c r="FO295" s="12">
        <f t="array" ref="FO295">SUMPRODUCT(TRANSPOSE(FO$9:FO$34),$K295:$AJ295)</f>
        <v>1540</v>
      </c>
    </row>
    <row r="296" spans="1:171" ht="14.25" x14ac:dyDescent="0.2">
      <c r="A296" s="13">
        <f t="shared" si="16"/>
        <v>261</v>
      </c>
      <c r="B296" s="13" t="s">
        <v>917</v>
      </c>
      <c r="C296" s="25" t="s">
        <v>918</v>
      </c>
      <c r="D296" s="13" t="s">
        <v>67</v>
      </c>
      <c r="E296" s="13">
        <v>409017833</v>
      </c>
      <c r="F296" s="26" t="s">
        <v>919</v>
      </c>
      <c r="G296" s="13"/>
      <c r="H296" s="13" t="s">
        <v>61</v>
      </c>
      <c r="I296" s="13">
        <v>1</v>
      </c>
      <c r="J296" s="13">
        <v>81</v>
      </c>
      <c r="K296" s="13">
        <v>0</v>
      </c>
      <c r="L296" s="13">
        <v>0</v>
      </c>
      <c r="M296" s="13">
        <v>0</v>
      </c>
      <c r="N296" s="13">
        <v>22</v>
      </c>
      <c r="O296" s="13">
        <v>1</v>
      </c>
      <c r="P296" s="13">
        <v>0</v>
      </c>
      <c r="Q296" s="13">
        <v>0</v>
      </c>
      <c r="R296" s="13">
        <v>0</v>
      </c>
      <c r="S296" s="13">
        <v>28</v>
      </c>
      <c r="T296" s="13">
        <v>0</v>
      </c>
      <c r="U296" s="13">
        <v>0</v>
      </c>
      <c r="V296" s="13">
        <v>0</v>
      </c>
      <c r="W296" s="13">
        <v>0</v>
      </c>
      <c r="X296" s="13">
        <v>1</v>
      </c>
      <c r="Y296" s="13"/>
      <c r="Z296" s="13">
        <v>28</v>
      </c>
      <c r="AA296" s="13">
        <v>0</v>
      </c>
      <c r="AB296" s="13">
        <v>0</v>
      </c>
      <c r="AC296" s="13">
        <v>0</v>
      </c>
      <c r="AD296" s="13">
        <v>28</v>
      </c>
      <c r="AE296" s="13">
        <v>28</v>
      </c>
      <c r="AF296" s="13">
        <v>0</v>
      </c>
      <c r="AG296" s="13">
        <v>0</v>
      </c>
      <c r="AH296" s="13">
        <v>0</v>
      </c>
      <c r="AI296" s="13">
        <v>0</v>
      </c>
      <c r="AJ296" s="13">
        <v>1</v>
      </c>
      <c r="AK296" s="13">
        <f t="shared" si="17"/>
        <v>108</v>
      </c>
      <c r="AL296" s="23">
        <f t="shared" si="15"/>
        <v>1844565</v>
      </c>
      <c r="AM296" s="13" t="s">
        <v>2</v>
      </c>
      <c r="AN296" s="13" t="s">
        <v>408</v>
      </c>
      <c r="AO296" s="7" t="s">
        <v>2</v>
      </c>
      <c r="AP296" s="41"/>
      <c r="AQ296" s="12">
        <v>1840000</v>
      </c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13"/>
      <c r="CG296" s="13"/>
      <c r="CH296" s="13"/>
      <c r="CI296" s="12"/>
      <c r="CJ296" s="12"/>
      <c r="CK296" s="12"/>
      <c r="CL296" s="12"/>
      <c r="CM296" s="12"/>
      <c r="CN296" s="12"/>
      <c r="CO296" s="12"/>
      <c r="CP296" s="12">
        <f>SUM($AQ296:BJ296)-SUM($EA296:EH296)</f>
        <v>1658897</v>
      </c>
      <c r="CQ296" s="12">
        <f>SUM($AQ296:BK296)-SUM($EA296:EI296)</f>
        <v>1650629</v>
      </c>
      <c r="CR296" s="12">
        <f>SUM($AQ296:BL296)-SUM($EA296:EJ296)</f>
        <v>1627194</v>
      </c>
      <c r="CS296" s="12">
        <f>SUM($AQ296:BM296)-SUM($EA296:EK296)</f>
        <v>1600279</v>
      </c>
      <c r="CT296" s="12">
        <f>SUM($AQ296:BN296)-SUM($EA296:EL296)</f>
        <v>1547844</v>
      </c>
      <c r="CU296" s="12">
        <f>SUM($AQ296:BO296)-SUM($EA296:EM296)</f>
        <v>1488394</v>
      </c>
      <c r="CV296" s="12">
        <f>SUM($AQ296:BP296)-SUM($EA296:EN296)</f>
        <v>1434344</v>
      </c>
      <c r="CW296" s="12">
        <f>SUM($AQ296:BQ296)-SUM($EA296:EO296)</f>
        <v>1382344</v>
      </c>
      <c r="CX296" s="12">
        <f>SUM($AQ296:BR296)-SUM($EA296:EP296)</f>
        <v>1328894</v>
      </c>
      <c r="CY296" s="12">
        <f>SUM($AQ296:BS296)-SUM($EA296:EQ296)</f>
        <v>1275444</v>
      </c>
      <c r="CZ296" s="12">
        <f>SUM($AQ296:BT296)-SUM($EA296:ER296)</f>
        <v>1221994</v>
      </c>
      <c r="DA296" s="12">
        <f>SUM($AQ296:BU296)-SUM($EA296:ES296)</f>
        <v>1168544</v>
      </c>
      <c r="DB296" s="12">
        <f>SUM($AQ296:BV296)-SUM($EA296:ET296)</f>
        <v>1115094</v>
      </c>
      <c r="DC296" s="12">
        <f>SUM($AQ296:BW296)-SUM($EA296:EU296)</f>
        <v>1061644</v>
      </c>
      <c r="DD296" s="12">
        <f>SUM($AQ296:BX296)-SUM($EA296:EV296)</f>
        <v>1008194</v>
      </c>
      <c r="DE296" s="12">
        <f>SUM($AQ296:BY296)-SUM($EA296:EW296)</f>
        <v>954980</v>
      </c>
      <c r="DF296" s="12">
        <f>SUM($AQ296:BZ296)-SUM($EA296:EX296)</f>
        <v>902980</v>
      </c>
      <c r="DG296" s="12">
        <f>SUM($AQ296:CA296)-SUM($EA296:EY296)</f>
        <v>850980</v>
      </c>
      <c r="DH296" s="12">
        <f>SUM($AQ296:CB296)-SUM($EA296:EZ296)</f>
        <v>798980</v>
      </c>
      <c r="DI296" s="12">
        <f>SUM($AQ296:CC296)-SUM($EA296:FA296)</f>
        <v>746980</v>
      </c>
      <c r="DJ296" s="12">
        <f>SUM($AQ296:CD296)-SUM($EA296:FB296)</f>
        <v>694980</v>
      </c>
      <c r="DK296" s="12">
        <f>SUM($AQ296:CE296)-SUM($EA296:FC296)</f>
        <v>642980</v>
      </c>
      <c r="DL296" s="12">
        <f>SUM($AQ296:CF296)-SUM($EA296:FD296)</f>
        <v>590980</v>
      </c>
      <c r="DM296" s="12">
        <f>SUM($AQ296:CG296)-SUM($EA296:FE296)</f>
        <v>538980</v>
      </c>
      <c r="DN296" s="12">
        <f>SUM($AQ296:CH296)-SUM($EA296:FF296)</f>
        <v>486980</v>
      </c>
      <c r="DO296" s="12">
        <f>SUM($AQ296:CI296)-SUM($EA296:FG296)</f>
        <v>434980</v>
      </c>
      <c r="DP296" s="12">
        <f>SUM($AQ296:CJ296)-SUM($EA296:FH296)</f>
        <v>382980</v>
      </c>
      <c r="DQ296" s="12">
        <f>SUM($AQ296:CK296)-SUM($EA296:FI296)</f>
        <v>330980</v>
      </c>
      <c r="DR296" s="12">
        <f>SUM($AQ296:CL296)-SUM($EA296:FJ296)</f>
        <v>278980</v>
      </c>
      <c r="DS296" s="12">
        <f>SUM($AQ296:CM296)-SUM($EA296:FK296)</f>
        <v>226980</v>
      </c>
      <c r="DT296" s="12">
        <f>SUM($AQ296:CN296)-SUM($EA296:FL296)</f>
        <v>174980</v>
      </c>
      <c r="DU296" s="12">
        <f>SUM($AQ296:CO296)-SUM($EA296:FM296)</f>
        <v>122980</v>
      </c>
      <c r="DV296" s="12">
        <f>SUM($AQ296:CP296)-SUM($EA296:FN296)</f>
        <v>1735303</v>
      </c>
      <c r="DW296" s="12">
        <f>SUM($AQ296:CQ296)-SUM($EA296:FO296)</f>
        <v>3384161</v>
      </c>
      <c r="DX296" s="13"/>
      <c r="DY296" s="13"/>
      <c r="DZ296" s="13"/>
      <c r="EA296" s="12"/>
      <c r="EB296" s="12"/>
      <c r="EC296" s="12"/>
      <c r="ED296" s="12"/>
      <c r="EE296" s="12"/>
      <c r="EF296" s="12"/>
      <c r="EG296" s="12"/>
      <c r="EH296" s="12">
        <f t="array" ref="EH296">SUMPRODUCT(TRANSPOSE(EH$9:EH$34),$K296:$AJ296)</f>
        <v>181103</v>
      </c>
      <c r="EI296" s="12">
        <f t="array" ref="EI296">SUMPRODUCT(TRANSPOSE(EI$9:EI$34),$K296:$AJ296)</f>
        <v>8268</v>
      </c>
      <c r="EJ296" s="12">
        <f t="array" ref="EJ296">SUMPRODUCT(TRANSPOSE(EJ$9:EJ$34),$K296:$AJ296)</f>
        <v>23435</v>
      </c>
      <c r="EK296" s="12">
        <f t="array" ref="EK296">SUMPRODUCT(TRANSPOSE(EK$9:EK$34),$K296:$AJ296)</f>
        <v>26915</v>
      </c>
      <c r="EL296" s="12">
        <f t="array" ref="EL296">SUMPRODUCT(TRANSPOSE(EL$9:EL$34),$K296:$AJ296)</f>
        <v>52435</v>
      </c>
      <c r="EM296" s="12">
        <f t="array" ref="EM296">SUMPRODUCT(TRANSPOSE(EM$9:EM$34),$K296:$AJ296)</f>
        <v>59450</v>
      </c>
      <c r="EN296" s="12">
        <f t="array" ref="EN296">SUMPRODUCT(TRANSPOSE(EN$9:EN$34),$K296:$AJ296)</f>
        <v>54050</v>
      </c>
      <c r="EO296" s="12">
        <f t="array" ref="EO296">SUMPRODUCT(TRANSPOSE(EO$9:EO$34),$K296:$AJ296)</f>
        <v>52000</v>
      </c>
      <c r="EP296" s="12">
        <f t="array" ref="EP296">SUMPRODUCT(TRANSPOSE(EP$9:EP$34),$K296:$AJ296)</f>
        <v>53450</v>
      </c>
      <c r="EQ296" s="12">
        <f t="array" ref="EQ296">SUMPRODUCT(TRANSPOSE(EQ$9:EQ$34),$K296:$AJ296)</f>
        <v>53450</v>
      </c>
      <c r="ER296" s="12">
        <f t="array" ref="ER296">SUMPRODUCT(TRANSPOSE(ER$9:ER$34),$K296:$AJ296)</f>
        <v>53450</v>
      </c>
      <c r="ES296" s="12">
        <f t="array" ref="ES296">SUMPRODUCT(TRANSPOSE(ES$9:ES$34),$K296:$AJ296)</f>
        <v>53450</v>
      </c>
      <c r="ET296" s="12">
        <f t="array" ref="ET296">SUMPRODUCT(TRANSPOSE(ET$9:ET$34),$K296:$AJ296)</f>
        <v>53450</v>
      </c>
      <c r="EU296" s="12">
        <f t="array" ref="EU296">SUMPRODUCT(TRANSPOSE(EU$9:EU$34),$K296:$AJ296)</f>
        <v>53450</v>
      </c>
      <c r="EV296" s="12">
        <f t="array" ref="EV296">SUMPRODUCT(TRANSPOSE(EV$9:EV$34),$K296:$AJ296)</f>
        <v>53450</v>
      </c>
      <c r="EW296" s="12">
        <f t="array" ref="EW296">SUMPRODUCT(TRANSPOSE(EW$9:EW$34),$K296:$AJ296)</f>
        <v>53214</v>
      </c>
      <c r="EX296" s="12">
        <f t="array" ref="EX296">SUMPRODUCT(TRANSPOSE(EX$9:EX$34),$K296:$AJ296)</f>
        <v>52000</v>
      </c>
      <c r="EY296" s="12">
        <f t="array" ref="EY296">SUMPRODUCT(TRANSPOSE(EY$9:EY$34),$K296:$AJ296)</f>
        <v>52000</v>
      </c>
      <c r="EZ296" s="12">
        <f t="array" ref="EZ296">SUMPRODUCT(TRANSPOSE(EZ$9:EZ$34),$K296:$AJ296)</f>
        <v>52000</v>
      </c>
      <c r="FA296" s="12">
        <f t="array" ref="FA296">SUMPRODUCT(TRANSPOSE(FA$9:FA$34),$K296:$AJ296)</f>
        <v>52000</v>
      </c>
      <c r="FB296" s="12">
        <f t="array" ref="FB296">SUMPRODUCT(TRANSPOSE(FB$9:FB$34),$K296:$AJ296)</f>
        <v>52000</v>
      </c>
      <c r="FC296" s="12">
        <f t="array" ref="FC296">SUMPRODUCT(TRANSPOSE(FC$9:FC$34),$K296:$AJ296)</f>
        <v>52000</v>
      </c>
      <c r="FD296" s="12">
        <f t="array" ref="FD296">SUMPRODUCT(TRANSPOSE(FD$9:FD$34),$K296:$AJ296)</f>
        <v>52000</v>
      </c>
      <c r="FE296" s="12">
        <f t="array" ref="FE296">SUMPRODUCT(TRANSPOSE(FE$9:FE$34),$K296:$AJ296)</f>
        <v>52000</v>
      </c>
      <c r="FF296" s="12">
        <f t="array" ref="FF296">SUMPRODUCT(TRANSPOSE(FF$9:FF$34),$K296:$AJ296)</f>
        <v>52000</v>
      </c>
      <c r="FG296" s="12">
        <f t="array" ref="FG296">SUMPRODUCT(TRANSPOSE(FG$9:FG$34),$K296:$AJ296)</f>
        <v>52000</v>
      </c>
      <c r="FH296" s="12">
        <f t="array" ref="FH296">SUMPRODUCT(TRANSPOSE(FH$9:FH$34),$K296:$AJ296)</f>
        <v>52000</v>
      </c>
      <c r="FI296" s="12">
        <f t="array" ref="FI296">SUMPRODUCT(TRANSPOSE(FI$9:FI$34),$K296:$AJ296)</f>
        <v>52000</v>
      </c>
      <c r="FJ296" s="12">
        <f t="array" ref="FJ296">SUMPRODUCT(TRANSPOSE(FJ$9:FJ$34),$K296:$AJ296)</f>
        <v>52000</v>
      </c>
      <c r="FK296" s="12">
        <f t="array" ref="FK296">SUMPRODUCT(TRANSPOSE(FK$9:FK$34),$K296:$AJ296)</f>
        <v>52000</v>
      </c>
      <c r="FL296" s="12">
        <f t="array" ref="FL296">SUMPRODUCT(TRANSPOSE(FL$9:FL$34),$K296:$AJ296)</f>
        <v>52000</v>
      </c>
      <c r="FM296" s="12">
        <f t="array" ref="FM296">SUMPRODUCT(TRANSPOSE(FM$9:FM$34),$K296:$AJ296)</f>
        <v>52000</v>
      </c>
      <c r="FN296" s="12">
        <f t="array" ref="FN296">SUMPRODUCT(TRANSPOSE(FN$9:FN$34),$K296:$AJ296)</f>
        <v>46574</v>
      </c>
      <c r="FO296" s="12">
        <f t="array" ref="FO296">SUMPRODUCT(TRANSPOSE(FO$9:FO$34),$K296:$AJ296)</f>
        <v>1771</v>
      </c>
    </row>
    <row r="297" spans="1:171" ht="14.25" x14ac:dyDescent="0.2">
      <c r="A297" s="13">
        <f t="shared" si="16"/>
        <v>262</v>
      </c>
      <c r="B297" s="13" t="s">
        <v>920</v>
      </c>
      <c r="C297" s="25" t="s">
        <v>921</v>
      </c>
      <c r="D297" s="13" t="s">
        <v>67</v>
      </c>
      <c r="E297" s="13">
        <v>409017834</v>
      </c>
      <c r="F297" s="26" t="s">
        <v>922</v>
      </c>
      <c r="G297" s="13"/>
      <c r="H297" s="13" t="s">
        <v>61</v>
      </c>
      <c r="I297" s="13">
        <v>2</v>
      </c>
      <c r="J297" s="13">
        <v>12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6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/>
      <c r="Z297" s="13">
        <v>6</v>
      </c>
      <c r="AA297" s="13">
        <v>0</v>
      </c>
      <c r="AB297" s="13">
        <v>0</v>
      </c>
      <c r="AC297" s="13">
        <v>0</v>
      </c>
      <c r="AD297" s="13">
        <v>6</v>
      </c>
      <c r="AE297" s="13">
        <v>6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f t="shared" si="17"/>
        <v>18</v>
      </c>
      <c r="AL297" s="23">
        <f t="shared" si="15"/>
        <v>213990</v>
      </c>
      <c r="AM297" s="13"/>
      <c r="AN297" s="13" t="s">
        <v>408</v>
      </c>
      <c r="AO297" s="7" t="s">
        <v>409</v>
      </c>
      <c r="AP297" s="41">
        <v>0.32200000000000001</v>
      </c>
      <c r="AQ297" s="12">
        <v>72000</v>
      </c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13"/>
      <c r="CG297" s="13"/>
      <c r="CH297" s="13"/>
      <c r="CI297" s="12"/>
      <c r="CJ297" s="12"/>
      <c r="CK297" s="12"/>
      <c r="CL297" s="12"/>
      <c r="CM297" s="12"/>
      <c r="CN297" s="12"/>
      <c r="CO297" s="12"/>
      <c r="CP297" s="12">
        <f>SUM($AQ297:BJ297)-SUM($EA297:EH297)</f>
        <v>53346</v>
      </c>
      <c r="CQ297" s="12">
        <f>SUM($AQ297:BK297)-SUM($EA297:EI297)</f>
        <v>51660</v>
      </c>
      <c r="CR297" s="12">
        <f>SUM($AQ297:BL297)-SUM($EA297:EJ297)</f>
        <v>51570</v>
      </c>
      <c r="CS297" s="12">
        <f>SUM($AQ297:BM297)-SUM($EA297:EK297)</f>
        <v>50760</v>
      </c>
      <c r="CT297" s="12">
        <f>SUM($AQ297:BN297)-SUM($EA297:EL297)</f>
        <v>44670</v>
      </c>
      <c r="CU297" s="12">
        <f>SUM($AQ297:BO297)-SUM($EA297:EM297)</f>
        <v>32370</v>
      </c>
      <c r="CV297" s="12">
        <f>SUM($AQ297:BP297)-SUM($EA297:EN297)</f>
        <v>25470</v>
      </c>
      <c r="CW297" s="12">
        <f>SUM($AQ297:BQ297)-SUM($EA297:EO297)</f>
        <v>19470</v>
      </c>
      <c r="CX297" s="12">
        <f>SUM($AQ297:BR297)-SUM($EA297:EP297)</f>
        <v>13170</v>
      </c>
      <c r="CY297" s="12">
        <f>SUM($AQ297:BS297)-SUM($EA297:EQ297)</f>
        <v>6870</v>
      </c>
      <c r="CZ297" s="12">
        <f>SUM($AQ297:BT297)-SUM($EA297:ER297)</f>
        <v>570</v>
      </c>
      <c r="DA297" s="12">
        <f>SUM($AQ297:BU297)-SUM($EA297:ES297)</f>
        <v>-5730</v>
      </c>
      <c r="DB297" s="12">
        <f>SUM($AQ297:BV297)-SUM($EA297:ET297)</f>
        <v>-12030</v>
      </c>
      <c r="DC297" s="12">
        <f>SUM($AQ297:BW297)-SUM($EA297:EU297)</f>
        <v>-18330</v>
      </c>
      <c r="DD297" s="12">
        <f>SUM($AQ297:BX297)-SUM($EA297:EV297)</f>
        <v>-24630</v>
      </c>
      <c r="DE297" s="12">
        <f>SUM($AQ297:BY297)-SUM($EA297:EW297)</f>
        <v>-30888</v>
      </c>
      <c r="DF297" s="12">
        <f>SUM($AQ297:BZ297)-SUM($EA297:EX297)</f>
        <v>-36888</v>
      </c>
      <c r="DG297" s="12">
        <f>SUM($AQ297:CA297)-SUM($EA297:EY297)</f>
        <v>-42888</v>
      </c>
      <c r="DH297" s="12">
        <f>SUM($AQ297:CB297)-SUM($EA297:EZ297)</f>
        <v>-48888</v>
      </c>
      <c r="DI297" s="12">
        <f>SUM($AQ297:CC297)-SUM($EA297:FA297)</f>
        <v>-54888</v>
      </c>
      <c r="DJ297" s="12">
        <f>SUM($AQ297:CD297)-SUM($EA297:FB297)</f>
        <v>-60888</v>
      </c>
      <c r="DK297" s="12">
        <f>SUM($AQ297:CE297)-SUM($EA297:FC297)</f>
        <v>-66888</v>
      </c>
      <c r="DL297" s="12">
        <f>SUM($AQ297:CF297)-SUM($EA297:FD297)</f>
        <v>-72888</v>
      </c>
      <c r="DM297" s="12">
        <f>SUM($AQ297:CG297)-SUM($EA297:FE297)</f>
        <v>-78888</v>
      </c>
      <c r="DN297" s="12">
        <f>SUM($AQ297:CH297)-SUM($EA297:FF297)</f>
        <v>-84888</v>
      </c>
      <c r="DO297" s="12">
        <f>SUM($AQ297:CI297)-SUM($EA297:FG297)</f>
        <v>-90888</v>
      </c>
      <c r="DP297" s="12">
        <f>SUM($AQ297:CJ297)-SUM($EA297:FH297)</f>
        <v>-96888</v>
      </c>
      <c r="DQ297" s="12">
        <f>SUM($AQ297:CK297)-SUM($EA297:FI297)</f>
        <v>-102888</v>
      </c>
      <c r="DR297" s="12">
        <f>SUM($AQ297:CL297)-SUM($EA297:FJ297)</f>
        <v>-108888</v>
      </c>
      <c r="DS297" s="12">
        <f>SUM($AQ297:CM297)-SUM($EA297:FK297)</f>
        <v>-114888</v>
      </c>
      <c r="DT297" s="12">
        <f>SUM($AQ297:CN297)-SUM($EA297:FL297)</f>
        <v>-120888</v>
      </c>
      <c r="DU297" s="12">
        <f>SUM($AQ297:CO297)-SUM($EA297:FM297)</f>
        <v>-126888</v>
      </c>
      <c r="DV297" s="12">
        <f>SUM($AQ297:CP297)-SUM($EA297:FN297)</f>
        <v>-78444</v>
      </c>
      <c r="DW297" s="12">
        <f>SUM($AQ297:CQ297)-SUM($EA297:FO297)</f>
        <v>-26784</v>
      </c>
      <c r="DX297" s="13"/>
      <c r="DY297" s="13"/>
      <c r="DZ297" s="13"/>
      <c r="EA297" s="12"/>
      <c r="EB297" s="12"/>
      <c r="EC297" s="12"/>
      <c r="ED297" s="12"/>
      <c r="EE297" s="12"/>
      <c r="EF297" s="12"/>
      <c r="EG297" s="12"/>
      <c r="EH297" s="12">
        <f t="array" ref="EH297">SUMPRODUCT(TRANSPOSE(EH$9:EH$34),$K297:$AJ297)</f>
        <v>18654</v>
      </c>
      <c r="EI297" s="12">
        <f t="array" ref="EI297">SUMPRODUCT(TRANSPOSE(EI$9:EI$34),$K297:$AJ297)</f>
        <v>1686</v>
      </c>
      <c r="EJ297" s="12">
        <f t="array" ref="EJ297">SUMPRODUCT(TRANSPOSE(EJ$9:EJ$34),$K297:$AJ297)</f>
        <v>90</v>
      </c>
      <c r="EK297" s="12">
        <f t="array" ref="EK297">SUMPRODUCT(TRANSPOSE(EK$9:EK$34),$K297:$AJ297)</f>
        <v>810</v>
      </c>
      <c r="EL297" s="12">
        <f t="array" ref="EL297">SUMPRODUCT(TRANSPOSE(EL$9:EL$34),$K297:$AJ297)</f>
        <v>6090</v>
      </c>
      <c r="EM297" s="12">
        <f t="array" ref="EM297">SUMPRODUCT(TRANSPOSE(EM$9:EM$34),$K297:$AJ297)</f>
        <v>12300</v>
      </c>
      <c r="EN297" s="12">
        <f t="array" ref="EN297">SUMPRODUCT(TRANSPOSE(EN$9:EN$34),$K297:$AJ297)</f>
        <v>6900</v>
      </c>
      <c r="EO297" s="12">
        <f t="array" ref="EO297">SUMPRODUCT(TRANSPOSE(EO$9:EO$34),$K297:$AJ297)</f>
        <v>6000</v>
      </c>
      <c r="EP297" s="12">
        <f t="array" ref="EP297">SUMPRODUCT(TRANSPOSE(EP$9:EP$34),$K297:$AJ297)</f>
        <v>6300</v>
      </c>
      <c r="EQ297" s="12">
        <f t="array" ref="EQ297">SUMPRODUCT(TRANSPOSE(EQ$9:EQ$34),$K297:$AJ297)</f>
        <v>6300</v>
      </c>
      <c r="ER297" s="12">
        <f t="array" ref="ER297">SUMPRODUCT(TRANSPOSE(ER$9:ER$34),$K297:$AJ297)</f>
        <v>6300</v>
      </c>
      <c r="ES297" s="12">
        <f t="array" ref="ES297">SUMPRODUCT(TRANSPOSE(ES$9:ES$34),$K297:$AJ297)</f>
        <v>6300</v>
      </c>
      <c r="ET297" s="12">
        <f t="array" ref="ET297">SUMPRODUCT(TRANSPOSE(ET$9:ET$34),$K297:$AJ297)</f>
        <v>6300</v>
      </c>
      <c r="EU297" s="12">
        <f t="array" ref="EU297">SUMPRODUCT(TRANSPOSE(EU$9:EU$34),$K297:$AJ297)</f>
        <v>6300</v>
      </c>
      <c r="EV297" s="12">
        <f t="array" ref="EV297">SUMPRODUCT(TRANSPOSE(EV$9:EV$34),$K297:$AJ297)</f>
        <v>6300</v>
      </c>
      <c r="EW297" s="12">
        <f t="array" ref="EW297">SUMPRODUCT(TRANSPOSE(EW$9:EW$34),$K297:$AJ297)</f>
        <v>6258</v>
      </c>
      <c r="EX297" s="12">
        <f t="array" ref="EX297">SUMPRODUCT(TRANSPOSE(EX$9:EX$34),$K297:$AJ297)</f>
        <v>6000</v>
      </c>
      <c r="EY297" s="12">
        <f t="array" ref="EY297">SUMPRODUCT(TRANSPOSE(EY$9:EY$34),$K297:$AJ297)</f>
        <v>6000</v>
      </c>
      <c r="EZ297" s="12">
        <f t="array" ref="EZ297">SUMPRODUCT(TRANSPOSE(EZ$9:EZ$34),$K297:$AJ297)</f>
        <v>6000</v>
      </c>
      <c r="FA297" s="12">
        <f t="array" ref="FA297">SUMPRODUCT(TRANSPOSE(FA$9:FA$34),$K297:$AJ297)</f>
        <v>6000</v>
      </c>
      <c r="FB297" s="12">
        <f t="array" ref="FB297">SUMPRODUCT(TRANSPOSE(FB$9:FB$34),$K297:$AJ297)</f>
        <v>6000</v>
      </c>
      <c r="FC297" s="12">
        <f t="array" ref="FC297">SUMPRODUCT(TRANSPOSE(FC$9:FC$34),$K297:$AJ297)</f>
        <v>6000</v>
      </c>
      <c r="FD297" s="12">
        <f t="array" ref="FD297">SUMPRODUCT(TRANSPOSE(FD$9:FD$34),$K297:$AJ297)</f>
        <v>6000</v>
      </c>
      <c r="FE297" s="12">
        <f t="array" ref="FE297">SUMPRODUCT(TRANSPOSE(FE$9:FE$34),$K297:$AJ297)</f>
        <v>6000</v>
      </c>
      <c r="FF297" s="12">
        <f t="array" ref="FF297">SUMPRODUCT(TRANSPOSE(FF$9:FF$34),$K297:$AJ297)</f>
        <v>6000</v>
      </c>
      <c r="FG297" s="12">
        <f t="array" ref="FG297">SUMPRODUCT(TRANSPOSE(FG$9:FG$34),$K297:$AJ297)</f>
        <v>6000</v>
      </c>
      <c r="FH297" s="12">
        <f t="array" ref="FH297">SUMPRODUCT(TRANSPOSE(FH$9:FH$34),$K297:$AJ297)</f>
        <v>6000</v>
      </c>
      <c r="FI297" s="12">
        <f t="array" ref="FI297">SUMPRODUCT(TRANSPOSE(FI$9:FI$34),$K297:$AJ297)</f>
        <v>6000</v>
      </c>
      <c r="FJ297" s="12">
        <f t="array" ref="FJ297">SUMPRODUCT(TRANSPOSE(FJ$9:FJ$34),$K297:$AJ297)</f>
        <v>6000</v>
      </c>
      <c r="FK297" s="12">
        <f t="array" ref="FK297">SUMPRODUCT(TRANSPOSE(FK$9:FK$34),$K297:$AJ297)</f>
        <v>6000</v>
      </c>
      <c r="FL297" s="12">
        <f t="array" ref="FL297">SUMPRODUCT(TRANSPOSE(FL$9:FL$34),$K297:$AJ297)</f>
        <v>6000</v>
      </c>
      <c r="FM297" s="12">
        <f t="array" ref="FM297">SUMPRODUCT(TRANSPOSE(FM$9:FM$34),$K297:$AJ297)</f>
        <v>6000</v>
      </c>
      <c r="FN297" s="12">
        <f t="array" ref="FN297">SUMPRODUCT(TRANSPOSE(FN$9:FN$34),$K297:$AJ297)</f>
        <v>4902</v>
      </c>
      <c r="FO297" s="12">
        <f t="array" ref="FO297">SUMPRODUCT(TRANSPOSE(FO$9:FO$34),$K297:$AJ297)</f>
        <v>0</v>
      </c>
    </row>
    <row r="298" spans="1:171" ht="14.25" x14ac:dyDescent="0.2">
      <c r="A298" s="13">
        <f t="shared" si="16"/>
        <v>263</v>
      </c>
      <c r="B298" s="13" t="s">
        <v>923</v>
      </c>
      <c r="C298" s="25" t="s">
        <v>924</v>
      </c>
      <c r="D298" s="13" t="s">
        <v>67</v>
      </c>
      <c r="E298" s="13">
        <v>411188824</v>
      </c>
      <c r="F298" s="26" t="s">
        <v>925</v>
      </c>
      <c r="G298" s="13"/>
      <c r="H298" s="13" t="s">
        <v>61</v>
      </c>
      <c r="I298" s="13">
        <v>2</v>
      </c>
      <c r="J298" s="13">
        <v>6</v>
      </c>
      <c r="K298" s="13">
        <v>0</v>
      </c>
      <c r="L298" s="13">
        <v>0</v>
      </c>
      <c r="M298" s="13">
        <v>0</v>
      </c>
      <c r="N298" s="13">
        <v>0</v>
      </c>
      <c r="O298" s="13">
        <v>2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2</v>
      </c>
      <c r="Y298" s="13"/>
      <c r="Z298" s="13"/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2</v>
      </c>
      <c r="AK298" s="13">
        <f t="shared" si="17"/>
        <v>4</v>
      </c>
      <c r="AL298" s="23">
        <f t="shared" si="15"/>
        <v>141726</v>
      </c>
      <c r="AM298" s="13"/>
      <c r="AN298" s="13" t="s">
        <v>408</v>
      </c>
      <c r="AO298" s="7" t="s">
        <v>409</v>
      </c>
      <c r="AP298" s="41">
        <v>0.98</v>
      </c>
      <c r="AQ298" s="12">
        <v>76000</v>
      </c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13"/>
      <c r="CG298" s="13"/>
      <c r="CH298" s="13"/>
      <c r="CI298" s="12"/>
      <c r="CJ298" s="12"/>
      <c r="CK298" s="12"/>
      <c r="CL298" s="12"/>
      <c r="CM298" s="12"/>
      <c r="CN298" s="12"/>
      <c r="CO298" s="12"/>
      <c r="CP298" s="12">
        <f>SUM($AQ298:BJ298)-SUM($EA298:EH298)</f>
        <v>61874</v>
      </c>
      <c r="CQ298" s="12">
        <f>SUM($AQ298:BK298)-SUM($EA298:EI298)</f>
        <v>61074</v>
      </c>
      <c r="CR298" s="12">
        <f>SUM($AQ298:BL298)-SUM($EA298:EJ298)</f>
        <v>59044</v>
      </c>
      <c r="CS298" s="12">
        <f>SUM($AQ298:BM298)-SUM($EA298:EK298)</f>
        <v>56774</v>
      </c>
      <c r="CT298" s="12">
        <f>SUM($AQ298:BN298)-SUM($EA298:EL298)</f>
        <v>52744</v>
      </c>
      <c r="CU298" s="12">
        <f>SUM($AQ298:BO298)-SUM($EA298:EM298)</f>
        <v>48644</v>
      </c>
      <c r="CV298" s="12">
        <f>SUM($AQ298:BP298)-SUM($EA298:EN298)</f>
        <v>44544</v>
      </c>
      <c r="CW298" s="12">
        <f>SUM($AQ298:BQ298)-SUM($EA298:EO298)</f>
        <v>40544</v>
      </c>
      <c r="CX298" s="12">
        <f>SUM($AQ298:BR298)-SUM($EA298:EP298)</f>
        <v>36444</v>
      </c>
      <c r="CY298" s="12">
        <f>SUM($AQ298:BS298)-SUM($EA298:EQ298)</f>
        <v>32344</v>
      </c>
      <c r="CZ298" s="12">
        <f>SUM($AQ298:BT298)-SUM($EA298:ER298)</f>
        <v>28244</v>
      </c>
      <c r="DA298" s="12">
        <f>SUM($AQ298:BU298)-SUM($EA298:ES298)</f>
        <v>24144</v>
      </c>
      <c r="DB298" s="12">
        <f>SUM($AQ298:BV298)-SUM($EA298:ET298)</f>
        <v>20044</v>
      </c>
      <c r="DC298" s="12">
        <f>SUM($AQ298:BW298)-SUM($EA298:EU298)</f>
        <v>15944</v>
      </c>
      <c r="DD298" s="12">
        <f>SUM($AQ298:BX298)-SUM($EA298:EV298)</f>
        <v>11844</v>
      </c>
      <c r="DE298" s="12">
        <f>SUM($AQ298:BY298)-SUM($EA298:EW298)</f>
        <v>7824</v>
      </c>
      <c r="DF298" s="12">
        <f>SUM($AQ298:BZ298)-SUM($EA298:EX298)</f>
        <v>3824</v>
      </c>
      <c r="DG298" s="12">
        <f>SUM($AQ298:CA298)-SUM($EA298:EY298)</f>
        <v>-176</v>
      </c>
      <c r="DH298" s="12">
        <f>SUM($AQ298:CB298)-SUM($EA298:EZ298)</f>
        <v>-4176</v>
      </c>
      <c r="DI298" s="12">
        <f>SUM($AQ298:CC298)-SUM($EA298:FA298)</f>
        <v>-8176</v>
      </c>
      <c r="DJ298" s="12">
        <f>SUM($AQ298:CD298)-SUM($EA298:FB298)</f>
        <v>-12176</v>
      </c>
      <c r="DK298" s="12">
        <f>SUM($AQ298:CE298)-SUM($EA298:FC298)</f>
        <v>-16176</v>
      </c>
      <c r="DL298" s="12">
        <f>SUM($AQ298:CF298)-SUM($EA298:FD298)</f>
        <v>-20176</v>
      </c>
      <c r="DM298" s="12">
        <f>SUM($AQ298:CG298)-SUM($EA298:FE298)</f>
        <v>-24176</v>
      </c>
      <c r="DN298" s="12">
        <f>SUM($AQ298:CH298)-SUM($EA298:FF298)</f>
        <v>-28176</v>
      </c>
      <c r="DO298" s="12">
        <f>SUM($AQ298:CI298)-SUM($EA298:FG298)</f>
        <v>-32176</v>
      </c>
      <c r="DP298" s="12">
        <f>SUM($AQ298:CJ298)-SUM($EA298:FH298)</f>
        <v>-36176</v>
      </c>
      <c r="DQ298" s="12">
        <f>SUM($AQ298:CK298)-SUM($EA298:FI298)</f>
        <v>-40176</v>
      </c>
      <c r="DR298" s="12">
        <f>SUM($AQ298:CL298)-SUM($EA298:FJ298)</f>
        <v>-44176</v>
      </c>
      <c r="DS298" s="12">
        <f>SUM($AQ298:CM298)-SUM($EA298:FK298)</f>
        <v>-48176</v>
      </c>
      <c r="DT298" s="12">
        <f>SUM($AQ298:CN298)-SUM($EA298:FL298)</f>
        <v>-52176</v>
      </c>
      <c r="DU298" s="12">
        <f>SUM($AQ298:CO298)-SUM($EA298:FM298)</f>
        <v>-56176</v>
      </c>
      <c r="DV298" s="12">
        <f>SUM($AQ298:CP298)-SUM($EA298:FN298)</f>
        <v>2302</v>
      </c>
      <c r="DW298" s="12">
        <f>SUM($AQ298:CQ298)-SUM($EA298:FO298)</f>
        <v>63222</v>
      </c>
      <c r="DX298" s="13"/>
      <c r="DY298" s="13"/>
      <c r="DZ298" s="13"/>
      <c r="EA298" s="12"/>
      <c r="EB298" s="12"/>
      <c r="EC298" s="12"/>
      <c r="ED298" s="12"/>
      <c r="EE298" s="12"/>
      <c r="EF298" s="12"/>
      <c r="EG298" s="12"/>
      <c r="EH298" s="12">
        <f t="array" ref="EH298">SUMPRODUCT(TRANSPOSE(EH$9:EH$34),$K298:$AJ298)</f>
        <v>14126</v>
      </c>
      <c r="EI298" s="12">
        <f t="array" ref="EI298">SUMPRODUCT(TRANSPOSE(EI$9:EI$34),$K298:$AJ298)</f>
        <v>800</v>
      </c>
      <c r="EJ298" s="12">
        <f t="array" ref="EJ298">SUMPRODUCT(TRANSPOSE(EJ$9:EJ$34),$K298:$AJ298)</f>
        <v>2030</v>
      </c>
      <c r="EK298" s="12">
        <f t="array" ref="EK298">SUMPRODUCT(TRANSPOSE(EK$9:EK$34),$K298:$AJ298)</f>
        <v>2270</v>
      </c>
      <c r="EL298" s="12">
        <f t="array" ref="EL298">SUMPRODUCT(TRANSPOSE(EL$9:EL$34),$K298:$AJ298)</f>
        <v>4030</v>
      </c>
      <c r="EM298" s="12">
        <f t="array" ref="EM298">SUMPRODUCT(TRANSPOSE(EM$9:EM$34),$K298:$AJ298)</f>
        <v>4100</v>
      </c>
      <c r="EN298" s="12">
        <f t="array" ref="EN298">SUMPRODUCT(TRANSPOSE(EN$9:EN$34),$K298:$AJ298)</f>
        <v>4100</v>
      </c>
      <c r="EO298" s="12">
        <f t="array" ref="EO298">SUMPRODUCT(TRANSPOSE(EO$9:EO$34),$K298:$AJ298)</f>
        <v>4000</v>
      </c>
      <c r="EP298" s="12">
        <f t="array" ref="EP298">SUMPRODUCT(TRANSPOSE(EP$9:EP$34),$K298:$AJ298)</f>
        <v>4100</v>
      </c>
      <c r="EQ298" s="12">
        <f t="array" ref="EQ298">SUMPRODUCT(TRANSPOSE(EQ$9:EQ$34),$K298:$AJ298)</f>
        <v>4100</v>
      </c>
      <c r="ER298" s="12">
        <f t="array" ref="ER298">SUMPRODUCT(TRANSPOSE(ER$9:ER$34),$K298:$AJ298)</f>
        <v>4100</v>
      </c>
      <c r="ES298" s="12">
        <f t="array" ref="ES298">SUMPRODUCT(TRANSPOSE(ES$9:ES$34),$K298:$AJ298)</f>
        <v>4100</v>
      </c>
      <c r="ET298" s="12">
        <f t="array" ref="ET298">SUMPRODUCT(TRANSPOSE(ET$9:ET$34),$K298:$AJ298)</f>
        <v>4100</v>
      </c>
      <c r="EU298" s="12">
        <f t="array" ref="EU298">SUMPRODUCT(TRANSPOSE(EU$9:EU$34),$K298:$AJ298)</f>
        <v>4100</v>
      </c>
      <c r="EV298" s="12">
        <f t="array" ref="EV298">SUMPRODUCT(TRANSPOSE(EV$9:EV$34),$K298:$AJ298)</f>
        <v>4100</v>
      </c>
      <c r="EW298" s="12">
        <f t="array" ref="EW298">SUMPRODUCT(TRANSPOSE(EW$9:EW$34),$K298:$AJ298)</f>
        <v>4020</v>
      </c>
      <c r="EX298" s="12">
        <f t="array" ref="EX298">SUMPRODUCT(TRANSPOSE(EX$9:EX$34),$K298:$AJ298)</f>
        <v>4000</v>
      </c>
      <c r="EY298" s="12">
        <f t="array" ref="EY298">SUMPRODUCT(TRANSPOSE(EY$9:EY$34),$K298:$AJ298)</f>
        <v>4000</v>
      </c>
      <c r="EZ298" s="12">
        <f t="array" ref="EZ298">SUMPRODUCT(TRANSPOSE(EZ$9:EZ$34),$K298:$AJ298)</f>
        <v>4000</v>
      </c>
      <c r="FA298" s="12">
        <f t="array" ref="FA298">SUMPRODUCT(TRANSPOSE(FA$9:FA$34),$K298:$AJ298)</f>
        <v>4000</v>
      </c>
      <c r="FB298" s="12">
        <f t="array" ref="FB298">SUMPRODUCT(TRANSPOSE(FB$9:FB$34),$K298:$AJ298)</f>
        <v>4000</v>
      </c>
      <c r="FC298" s="12">
        <f t="array" ref="FC298">SUMPRODUCT(TRANSPOSE(FC$9:FC$34),$K298:$AJ298)</f>
        <v>4000</v>
      </c>
      <c r="FD298" s="12">
        <f t="array" ref="FD298">SUMPRODUCT(TRANSPOSE(FD$9:FD$34),$K298:$AJ298)</f>
        <v>4000</v>
      </c>
      <c r="FE298" s="12">
        <f t="array" ref="FE298">SUMPRODUCT(TRANSPOSE(FE$9:FE$34),$K298:$AJ298)</f>
        <v>4000</v>
      </c>
      <c r="FF298" s="12">
        <f t="array" ref="FF298">SUMPRODUCT(TRANSPOSE(FF$9:FF$34),$K298:$AJ298)</f>
        <v>4000</v>
      </c>
      <c r="FG298" s="12">
        <f t="array" ref="FG298">SUMPRODUCT(TRANSPOSE(FG$9:FG$34),$K298:$AJ298)</f>
        <v>4000</v>
      </c>
      <c r="FH298" s="12">
        <f t="array" ref="FH298">SUMPRODUCT(TRANSPOSE(FH$9:FH$34),$K298:$AJ298)</f>
        <v>4000</v>
      </c>
      <c r="FI298" s="12">
        <f t="array" ref="FI298">SUMPRODUCT(TRANSPOSE(FI$9:FI$34),$K298:$AJ298)</f>
        <v>4000</v>
      </c>
      <c r="FJ298" s="12">
        <f t="array" ref="FJ298">SUMPRODUCT(TRANSPOSE(FJ$9:FJ$34),$K298:$AJ298)</f>
        <v>4000</v>
      </c>
      <c r="FK298" s="12">
        <f t="array" ref="FK298">SUMPRODUCT(TRANSPOSE(FK$9:FK$34),$K298:$AJ298)</f>
        <v>4000</v>
      </c>
      <c r="FL298" s="12">
        <f t="array" ref="FL298">SUMPRODUCT(TRANSPOSE(FL$9:FL$34),$K298:$AJ298)</f>
        <v>4000</v>
      </c>
      <c r="FM298" s="12">
        <f t="array" ref="FM298">SUMPRODUCT(TRANSPOSE(FM$9:FM$34),$K298:$AJ298)</f>
        <v>4000</v>
      </c>
      <c r="FN298" s="12">
        <f t="array" ref="FN298">SUMPRODUCT(TRANSPOSE(FN$9:FN$34),$K298:$AJ298)</f>
        <v>3396</v>
      </c>
      <c r="FO298" s="12">
        <f t="array" ref="FO298">SUMPRODUCT(TRANSPOSE(FO$9:FO$34),$K298:$AJ298)</f>
        <v>154</v>
      </c>
    </row>
    <row r="299" spans="1:171" ht="14.25" x14ac:dyDescent="0.2">
      <c r="A299" s="13">
        <f t="shared" si="16"/>
        <v>264</v>
      </c>
      <c r="B299" s="13" t="s">
        <v>926</v>
      </c>
      <c r="C299" s="25" t="s">
        <v>927</v>
      </c>
      <c r="D299" s="13" t="s">
        <v>67</v>
      </c>
      <c r="E299" s="13">
        <v>401354460</v>
      </c>
      <c r="F299" s="26" t="s">
        <v>928</v>
      </c>
      <c r="G299" s="13">
        <v>401424469</v>
      </c>
      <c r="H299" s="13" t="s">
        <v>61</v>
      </c>
      <c r="I299" s="13">
        <v>2</v>
      </c>
      <c r="J299" s="13">
        <v>4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2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/>
      <c r="Z299" s="13">
        <v>2</v>
      </c>
      <c r="AA299" s="13">
        <v>0</v>
      </c>
      <c r="AB299" s="13">
        <v>0</v>
      </c>
      <c r="AC299" s="13">
        <v>0</v>
      </c>
      <c r="AD299" s="13">
        <v>2</v>
      </c>
      <c r="AE299" s="13">
        <v>2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f t="shared" si="17"/>
        <v>6</v>
      </c>
      <c r="AL299" s="23">
        <f t="shared" si="15"/>
        <v>71330</v>
      </c>
      <c r="AM299" s="13"/>
      <c r="AN299" s="13" t="s">
        <v>929</v>
      </c>
      <c r="AO299" s="7" t="s">
        <v>930</v>
      </c>
      <c r="AP299" s="38">
        <v>1.27</v>
      </c>
      <c r="AQ299" s="12">
        <v>73500</v>
      </c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13"/>
      <c r="CG299" s="13"/>
      <c r="CH299" s="13"/>
      <c r="CI299" s="12"/>
      <c r="CJ299" s="12"/>
      <c r="CK299" s="12"/>
      <c r="CL299" s="12"/>
      <c r="CM299" s="12"/>
      <c r="CN299" s="12"/>
      <c r="CO299" s="12"/>
      <c r="CP299" s="12">
        <f>SUM($AQ299:BJ299)-SUM($EA299:EH299)</f>
        <v>67282</v>
      </c>
      <c r="CQ299" s="12">
        <f>SUM($AQ299:BK299)-SUM($EA299:EI299)</f>
        <v>66720</v>
      </c>
      <c r="CR299" s="12">
        <f>SUM($AQ299:BL299)-SUM($EA299:EJ299)</f>
        <v>66690</v>
      </c>
      <c r="CS299" s="12">
        <f>SUM($AQ299:BM299)-SUM($EA299:EK299)</f>
        <v>66420</v>
      </c>
      <c r="CT299" s="12">
        <f>SUM($AQ299:BN299)-SUM($EA299:EL299)</f>
        <v>64390</v>
      </c>
      <c r="CU299" s="12">
        <f>SUM($AQ299:BO299)-SUM($EA299:EM299)</f>
        <v>60290</v>
      </c>
      <c r="CV299" s="12">
        <f>SUM($AQ299:BP299)-SUM($EA299:EN299)</f>
        <v>57990</v>
      </c>
      <c r="CW299" s="12">
        <f>SUM($AQ299:BQ299)-SUM($EA299:EO299)</f>
        <v>55990</v>
      </c>
      <c r="CX299" s="12">
        <f>SUM($AQ299:BR299)-SUM($EA299:EP299)</f>
        <v>53890</v>
      </c>
      <c r="CY299" s="12">
        <f>SUM($AQ299:BS299)-SUM($EA299:EQ299)</f>
        <v>51790</v>
      </c>
      <c r="CZ299" s="12">
        <f>SUM($AQ299:BT299)-SUM($EA299:ER299)</f>
        <v>49690</v>
      </c>
      <c r="DA299" s="12">
        <f>SUM($AQ299:BU299)-SUM($EA299:ES299)</f>
        <v>47590</v>
      </c>
      <c r="DB299" s="12">
        <f>SUM($AQ299:BV299)-SUM($EA299:ET299)</f>
        <v>45490</v>
      </c>
      <c r="DC299" s="12">
        <f>SUM($AQ299:BW299)-SUM($EA299:EU299)</f>
        <v>43390</v>
      </c>
      <c r="DD299" s="12">
        <f>SUM($AQ299:BX299)-SUM($EA299:EV299)</f>
        <v>41290</v>
      </c>
      <c r="DE299" s="12">
        <f>SUM($AQ299:BY299)-SUM($EA299:EW299)</f>
        <v>39204</v>
      </c>
      <c r="DF299" s="12">
        <f>SUM($AQ299:BZ299)-SUM($EA299:EX299)</f>
        <v>37204</v>
      </c>
      <c r="DG299" s="12">
        <f>SUM($AQ299:CA299)-SUM($EA299:EY299)</f>
        <v>35204</v>
      </c>
      <c r="DH299" s="12">
        <f>SUM($AQ299:CB299)-SUM($EA299:EZ299)</f>
        <v>33204</v>
      </c>
      <c r="DI299" s="12">
        <f>SUM($AQ299:CC299)-SUM($EA299:FA299)</f>
        <v>31204</v>
      </c>
      <c r="DJ299" s="12">
        <f>SUM($AQ299:CD299)-SUM($EA299:FB299)</f>
        <v>29204</v>
      </c>
      <c r="DK299" s="12">
        <f>SUM($AQ299:CE299)-SUM($EA299:FC299)</f>
        <v>27204</v>
      </c>
      <c r="DL299" s="12">
        <f>SUM($AQ299:CF299)-SUM($EA299:FD299)</f>
        <v>25204</v>
      </c>
      <c r="DM299" s="12">
        <f>SUM($AQ299:CG299)-SUM($EA299:FE299)</f>
        <v>23204</v>
      </c>
      <c r="DN299" s="12">
        <f>SUM($AQ299:CH299)-SUM($EA299:FF299)</f>
        <v>21204</v>
      </c>
      <c r="DO299" s="12">
        <f>SUM($AQ299:CI299)-SUM($EA299:FG299)</f>
        <v>19204</v>
      </c>
      <c r="DP299" s="12">
        <f>SUM($AQ299:CJ299)-SUM($EA299:FH299)</f>
        <v>17204</v>
      </c>
      <c r="DQ299" s="12">
        <f>SUM($AQ299:CK299)-SUM($EA299:FI299)</f>
        <v>15204</v>
      </c>
      <c r="DR299" s="12">
        <f>SUM($AQ299:CL299)-SUM($EA299:FJ299)</f>
        <v>13204</v>
      </c>
      <c r="DS299" s="12">
        <f>SUM($AQ299:CM299)-SUM($EA299:FK299)</f>
        <v>11204</v>
      </c>
      <c r="DT299" s="12">
        <f>SUM($AQ299:CN299)-SUM($EA299:FL299)</f>
        <v>9204</v>
      </c>
      <c r="DU299" s="12">
        <f>SUM($AQ299:CO299)-SUM($EA299:FM299)</f>
        <v>7204</v>
      </c>
      <c r="DV299" s="12">
        <f>SUM($AQ299:CP299)-SUM($EA299:FN299)</f>
        <v>72852</v>
      </c>
      <c r="DW299" s="12">
        <f>SUM($AQ299:CQ299)-SUM($EA299:FO299)</f>
        <v>139572</v>
      </c>
      <c r="DX299" s="13"/>
      <c r="DY299" s="13"/>
      <c r="DZ299" s="13"/>
      <c r="EA299" s="12"/>
      <c r="EB299" s="12"/>
      <c r="EC299" s="12"/>
      <c r="ED299" s="12"/>
      <c r="EE299" s="12"/>
      <c r="EF299" s="12"/>
      <c r="EG299" s="12"/>
      <c r="EH299" s="12">
        <f t="array" ref="EH299">SUMPRODUCT(TRANSPOSE(EH$9:EH$34),$K299:$AJ299)</f>
        <v>6218</v>
      </c>
      <c r="EI299" s="12">
        <f t="array" ref="EI299">SUMPRODUCT(TRANSPOSE(EI$9:EI$34),$K299:$AJ299)</f>
        <v>562</v>
      </c>
      <c r="EJ299" s="12">
        <f t="array" ref="EJ299">SUMPRODUCT(TRANSPOSE(EJ$9:EJ$34),$K299:$AJ299)</f>
        <v>30</v>
      </c>
      <c r="EK299" s="12">
        <f t="array" ref="EK299">SUMPRODUCT(TRANSPOSE(EK$9:EK$34),$K299:$AJ299)</f>
        <v>270</v>
      </c>
      <c r="EL299" s="12">
        <f t="array" ref="EL299">SUMPRODUCT(TRANSPOSE(EL$9:EL$34),$K299:$AJ299)</f>
        <v>2030</v>
      </c>
      <c r="EM299" s="12">
        <f t="array" ref="EM299">SUMPRODUCT(TRANSPOSE(EM$9:EM$34),$K299:$AJ299)</f>
        <v>4100</v>
      </c>
      <c r="EN299" s="12">
        <f t="array" ref="EN299">SUMPRODUCT(TRANSPOSE(EN$9:EN$34),$K299:$AJ299)</f>
        <v>2300</v>
      </c>
      <c r="EO299" s="12">
        <f t="array" ref="EO299">SUMPRODUCT(TRANSPOSE(EO$9:EO$34),$K299:$AJ299)</f>
        <v>2000</v>
      </c>
      <c r="EP299" s="12">
        <f t="array" ref="EP299">SUMPRODUCT(TRANSPOSE(EP$9:EP$34),$K299:$AJ299)</f>
        <v>2100</v>
      </c>
      <c r="EQ299" s="12">
        <f t="array" ref="EQ299">SUMPRODUCT(TRANSPOSE(EQ$9:EQ$34),$K299:$AJ299)</f>
        <v>2100</v>
      </c>
      <c r="ER299" s="12">
        <f t="array" ref="ER299">SUMPRODUCT(TRANSPOSE(ER$9:ER$34),$K299:$AJ299)</f>
        <v>2100</v>
      </c>
      <c r="ES299" s="12">
        <f t="array" ref="ES299">SUMPRODUCT(TRANSPOSE(ES$9:ES$34),$K299:$AJ299)</f>
        <v>2100</v>
      </c>
      <c r="ET299" s="12">
        <f t="array" ref="ET299">SUMPRODUCT(TRANSPOSE(ET$9:ET$34),$K299:$AJ299)</f>
        <v>2100</v>
      </c>
      <c r="EU299" s="12">
        <f t="array" ref="EU299">SUMPRODUCT(TRANSPOSE(EU$9:EU$34),$K299:$AJ299)</f>
        <v>2100</v>
      </c>
      <c r="EV299" s="12">
        <f t="array" ref="EV299">SUMPRODUCT(TRANSPOSE(EV$9:EV$34),$K299:$AJ299)</f>
        <v>2100</v>
      </c>
      <c r="EW299" s="12">
        <f t="array" ref="EW299">SUMPRODUCT(TRANSPOSE(EW$9:EW$34),$K299:$AJ299)</f>
        <v>2086</v>
      </c>
      <c r="EX299" s="12">
        <f t="array" ref="EX299">SUMPRODUCT(TRANSPOSE(EX$9:EX$34),$K299:$AJ299)</f>
        <v>2000</v>
      </c>
      <c r="EY299" s="12">
        <f t="array" ref="EY299">SUMPRODUCT(TRANSPOSE(EY$9:EY$34),$K299:$AJ299)</f>
        <v>2000</v>
      </c>
      <c r="EZ299" s="12">
        <f t="array" ref="EZ299">SUMPRODUCT(TRANSPOSE(EZ$9:EZ$34),$K299:$AJ299)</f>
        <v>2000</v>
      </c>
      <c r="FA299" s="12">
        <f t="array" ref="FA299">SUMPRODUCT(TRANSPOSE(FA$9:FA$34),$K299:$AJ299)</f>
        <v>2000</v>
      </c>
      <c r="FB299" s="12">
        <f t="array" ref="FB299">SUMPRODUCT(TRANSPOSE(FB$9:FB$34),$K299:$AJ299)</f>
        <v>2000</v>
      </c>
      <c r="FC299" s="12">
        <f t="array" ref="FC299">SUMPRODUCT(TRANSPOSE(FC$9:FC$34),$K299:$AJ299)</f>
        <v>2000</v>
      </c>
      <c r="FD299" s="12">
        <f t="array" ref="FD299">SUMPRODUCT(TRANSPOSE(FD$9:FD$34),$K299:$AJ299)</f>
        <v>2000</v>
      </c>
      <c r="FE299" s="12">
        <f t="array" ref="FE299">SUMPRODUCT(TRANSPOSE(FE$9:FE$34),$K299:$AJ299)</f>
        <v>2000</v>
      </c>
      <c r="FF299" s="12">
        <f t="array" ref="FF299">SUMPRODUCT(TRANSPOSE(FF$9:FF$34),$K299:$AJ299)</f>
        <v>2000</v>
      </c>
      <c r="FG299" s="12">
        <f t="array" ref="FG299">SUMPRODUCT(TRANSPOSE(FG$9:FG$34),$K299:$AJ299)</f>
        <v>2000</v>
      </c>
      <c r="FH299" s="12">
        <f t="array" ref="FH299">SUMPRODUCT(TRANSPOSE(FH$9:FH$34),$K299:$AJ299)</f>
        <v>2000</v>
      </c>
      <c r="FI299" s="12">
        <f t="array" ref="FI299">SUMPRODUCT(TRANSPOSE(FI$9:FI$34),$K299:$AJ299)</f>
        <v>2000</v>
      </c>
      <c r="FJ299" s="12">
        <f t="array" ref="FJ299">SUMPRODUCT(TRANSPOSE(FJ$9:FJ$34),$K299:$AJ299)</f>
        <v>2000</v>
      </c>
      <c r="FK299" s="12">
        <f t="array" ref="FK299">SUMPRODUCT(TRANSPOSE(FK$9:FK$34),$K299:$AJ299)</f>
        <v>2000</v>
      </c>
      <c r="FL299" s="12">
        <f t="array" ref="FL299">SUMPRODUCT(TRANSPOSE(FL$9:FL$34),$K299:$AJ299)</f>
        <v>2000</v>
      </c>
      <c r="FM299" s="12">
        <f t="array" ref="FM299">SUMPRODUCT(TRANSPOSE(FM$9:FM$34),$K299:$AJ299)</f>
        <v>2000</v>
      </c>
      <c r="FN299" s="12">
        <f t="array" ref="FN299">SUMPRODUCT(TRANSPOSE(FN$9:FN$34),$K299:$AJ299)</f>
        <v>1634</v>
      </c>
      <c r="FO299" s="12">
        <f t="array" ref="FO299">SUMPRODUCT(TRANSPOSE(FO$9:FO$34),$K299:$AJ299)</f>
        <v>0</v>
      </c>
    </row>
    <row r="300" spans="1:171" ht="14.25" x14ac:dyDescent="0.2">
      <c r="A300" s="13">
        <f t="shared" si="16"/>
        <v>265</v>
      </c>
      <c r="B300" s="13" t="s">
        <v>931</v>
      </c>
      <c r="C300" s="25" t="s">
        <v>932</v>
      </c>
      <c r="D300" s="13" t="s">
        <v>67</v>
      </c>
      <c r="E300" s="13">
        <v>400157870</v>
      </c>
      <c r="F300" s="26" t="s">
        <v>933</v>
      </c>
      <c r="G300" s="13"/>
      <c r="H300" s="13" t="s">
        <v>61</v>
      </c>
      <c r="I300" s="13">
        <v>2</v>
      </c>
      <c r="J300" s="13">
        <v>8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4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/>
      <c r="Z300" s="13">
        <v>4</v>
      </c>
      <c r="AA300" s="13">
        <v>0</v>
      </c>
      <c r="AB300" s="13">
        <v>0</v>
      </c>
      <c r="AC300" s="13">
        <v>0</v>
      </c>
      <c r="AD300" s="13">
        <v>4</v>
      </c>
      <c r="AE300" s="13">
        <v>4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f t="shared" si="17"/>
        <v>12</v>
      </c>
      <c r="AL300" s="23">
        <f t="shared" si="15"/>
        <v>142660</v>
      </c>
      <c r="AM300" s="13"/>
      <c r="AN300" s="13" t="s">
        <v>847</v>
      </c>
      <c r="AO300" s="7" t="s">
        <v>718</v>
      </c>
      <c r="AP300" s="38">
        <v>0.245</v>
      </c>
      <c r="AQ300" s="12">
        <v>144920</v>
      </c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13"/>
      <c r="CG300" s="13"/>
      <c r="CH300" s="13"/>
      <c r="CI300" s="12"/>
      <c r="CJ300" s="12"/>
      <c r="CK300" s="12"/>
      <c r="CL300" s="12"/>
      <c r="CM300" s="12"/>
      <c r="CN300" s="12"/>
      <c r="CO300" s="12"/>
      <c r="CP300" s="12">
        <f>SUM($AQ300:BJ300)-SUM($EA300:EH300)</f>
        <v>132484</v>
      </c>
      <c r="CQ300" s="12">
        <f>SUM($AQ300:BK300)-SUM($EA300:EI300)</f>
        <v>131360</v>
      </c>
      <c r="CR300" s="12">
        <f>SUM($AQ300:BL300)-SUM($EA300:EJ300)</f>
        <v>131300</v>
      </c>
      <c r="CS300" s="12">
        <f>SUM($AQ300:BM300)-SUM($EA300:EK300)</f>
        <v>130760</v>
      </c>
      <c r="CT300" s="12">
        <f>SUM($AQ300:BN300)-SUM($EA300:EL300)</f>
        <v>126700</v>
      </c>
      <c r="CU300" s="12">
        <f>SUM($AQ300:BO300)-SUM($EA300:EM300)</f>
        <v>118500</v>
      </c>
      <c r="CV300" s="12">
        <f>SUM($AQ300:BP300)-SUM($EA300:EN300)</f>
        <v>113900</v>
      </c>
      <c r="CW300" s="12">
        <f>SUM($AQ300:BQ300)-SUM($EA300:EO300)</f>
        <v>109900</v>
      </c>
      <c r="CX300" s="12">
        <f>SUM($AQ300:BR300)-SUM($EA300:EP300)</f>
        <v>105700</v>
      </c>
      <c r="CY300" s="12">
        <f>SUM($AQ300:BS300)-SUM($EA300:EQ300)</f>
        <v>101500</v>
      </c>
      <c r="CZ300" s="12">
        <f>SUM($AQ300:BT300)-SUM($EA300:ER300)</f>
        <v>97300</v>
      </c>
      <c r="DA300" s="12">
        <f>SUM($AQ300:BU300)-SUM($EA300:ES300)</f>
        <v>93100</v>
      </c>
      <c r="DB300" s="12">
        <f>SUM($AQ300:BV300)-SUM($EA300:ET300)</f>
        <v>88900</v>
      </c>
      <c r="DC300" s="12">
        <f>SUM($AQ300:BW300)-SUM($EA300:EU300)</f>
        <v>84700</v>
      </c>
      <c r="DD300" s="12">
        <f>SUM($AQ300:BX300)-SUM($EA300:EV300)</f>
        <v>80500</v>
      </c>
      <c r="DE300" s="12">
        <f>SUM($AQ300:BY300)-SUM($EA300:EW300)</f>
        <v>76328</v>
      </c>
      <c r="DF300" s="12">
        <f>SUM($AQ300:BZ300)-SUM($EA300:EX300)</f>
        <v>72328</v>
      </c>
      <c r="DG300" s="12">
        <f>SUM($AQ300:CA300)-SUM($EA300:EY300)</f>
        <v>68328</v>
      </c>
      <c r="DH300" s="12">
        <f>SUM($AQ300:CB300)-SUM($EA300:EZ300)</f>
        <v>64328</v>
      </c>
      <c r="DI300" s="12">
        <f>SUM($AQ300:CC300)-SUM($EA300:FA300)</f>
        <v>60328</v>
      </c>
      <c r="DJ300" s="12">
        <f>SUM($AQ300:CD300)-SUM($EA300:FB300)</f>
        <v>56328</v>
      </c>
      <c r="DK300" s="12">
        <f>SUM($AQ300:CE300)-SUM($EA300:FC300)</f>
        <v>52328</v>
      </c>
      <c r="DL300" s="12">
        <f>SUM($AQ300:CF300)-SUM($EA300:FD300)</f>
        <v>48328</v>
      </c>
      <c r="DM300" s="12">
        <f>SUM($AQ300:CG300)-SUM($EA300:FE300)</f>
        <v>44328</v>
      </c>
      <c r="DN300" s="12">
        <f>SUM($AQ300:CH300)-SUM($EA300:FF300)</f>
        <v>40328</v>
      </c>
      <c r="DO300" s="12">
        <f>SUM($AQ300:CI300)-SUM($EA300:FG300)</f>
        <v>36328</v>
      </c>
      <c r="DP300" s="12">
        <f>SUM($AQ300:CJ300)-SUM($EA300:FH300)</f>
        <v>32328</v>
      </c>
      <c r="DQ300" s="12">
        <f>SUM($AQ300:CK300)-SUM($EA300:FI300)</f>
        <v>28328</v>
      </c>
      <c r="DR300" s="12">
        <f>SUM($AQ300:CL300)-SUM($EA300:FJ300)</f>
        <v>24328</v>
      </c>
      <c r="DS300" s="12">
        <f>SUM($AQ300:CM300)-SUM($EA300:FK300)</f>
        <v>20328</v>
      </c>
      <c r="DT300" s="12">
        <f>SUM($AQ300:CN300)-SUM($EA300:FL300)</f>
        <v>16328</v>
      </c>
      <c r="DU300" s="12">
        <f>SUM($AQ300:CO300)-SUM($EA300:FM300)</f>
        <v>12328</v>
      </c>
      <c r="DV300" s="12">
        <f>SUM($AQ300:CP300)-SUM($EA300:FN300)</f>
        <v>141544</v>
      </c>
      <c r="DW300" s="12">
        <f>SUM($AQ300:CQ300)-SUM($EA300:FO300)</f>
        <v>272904</v>
      </c>
      <c r="DX300" s="13"/>
      <c r="DY300" s="13"/>
      <c r="DZ300" s="13"/>
      <c r="EA300" s="12"/>
      <c r="EB300" s="12"/>
      <c r="EC300" s="12"/>
      <c r="ED300" s="12"/>
      <c r="EE300" s="12"/>
      <c r="EF300" s="12"/>
      <c r="EG300" s="12"/>
      <c r="EH300" s="12">
        <f t="array" ref="EH300">SUMPRODUCT(TRANSPOSE(EH$9:EH$34),$K300:$AJ300)</f>
        <v>12436</v>
      </c>
      <c r="EI300" s="12">
        <f t="array" ref="EI300">SUMPRODUCT(TRANSPOSE(EI$9:EI$34),$K300:$AJ300)</f>
        <v>1124</v>
      </c>
      <c r="EJ300" s="12">
        <f t="array" ref="EJ300">SUMPRODUCT(TRANSPOSE(EJ$9:EJ$34),$K300:$AJ300)</f>
        <v>60</v>
      </c>
      <c r="EK300" s="12">
        <f t="array" ref="EK300">SUMPRODUCT(TRANSPOSE(EK$9:EK$34),$K300:$AJ300)</f>
        <v>540</v>
      </c>
      <c r="EL300" s="12">
        <f t="array" ref="EL300">SUMPRODUCT(TRANSPOSE(EL$9:EL$34),$K300:$AJ300)</f>
        <v>4060</v>
      </c>
      <c r="EM300" s="12">
        <f t="array" ref="EM300">SUMPRODUCT(TRANSPOSE(EM$9:EM$34),$K300:$AJ300)</f>
        <v>8200</v>
      </c>
      <c r="EN300" s="12">
        <f t="array" ref="EN300">SUMPRODUCT(TRANSPOSE(EN$9:EN$34),$K300:$AJ300)</f>
        <v>4600</v>
      </c>
      <c r="EO300" s="12">
        <f t="array" ref="EO300">SUMPRODUCT(TRANSPOSE(EO$9:EO$34),$K300:$AJ300)</f>
        <v>4000</v>
      </c>
      <c r="EP300" s="12">
        <f t="array" ref="EP300">SUMPRODUCT(TRANSPOSE(EP$9:EP$34),$K300:$AJ300)</f>
        <v>4200</v>
      </c>
      <c r="EQ300" s="12">
        <f t="array" ref="EQ300">SUMPRODUCT(TRANSPOSE(EQ$9:EQ$34),$K300:$AJ300)</f>
        <v>4200</v>
      </c>
      <c r="ER300" s="12">
        <f t="array" ref="ER300">SUMPRODUCT(TRANSPOSE(ER$9:ER$34),$K300:$AJ300)</f>
        <v>4200</v>
      </c>
      <c r="ES300" s="12">
        <f t="array" ref="ES300">SUMPRODUCT(TRANSPOSE(ES$9:ES$34),$K300:$AJ300)</f>
        <v>4200</v>
      </c>
      <c r="ET300" s="12">
        <f t="array" ref="ET300">SUMPRODUCT(TRANSPOSE(ET$9:ET$34),$K300:$AJ300)</f>
        <v>4200</v>
      </c>
      <c r="EU300" s="12">
        <f t="array" ref="EU300">SUMPRODUCT(TRANSPOSE(EU$9:EU$34),$K300:$AJ300)</f>
        <v>4200</v>
      </c>
      <c r="EV300" s="12">
        <f t="array" ref="EV300">SUMPRODUCT(TRANSPOSE(EV$9:EV$34),$K300:$AJ300)</f>
        <v>4200</v>
      </c>
      <c r="EW300" s="12">
        <f t="array" ref="EW300">SUMPRODUCT(TRANSPOSE(EW$9:EW$34),$K300:$AJ300)</f>
        <v>4172</v>
      </c>
      <c r="EX300" s="12">
        <f t="array" ref="EX300">SUMPRODUCT(TRANSPOSE(EX$9:EX$34),$K300:$AJ300)</f>
        <v>4000</v>
      </c>
      <c r="EY300" s="12">
        <f t="array" ref="EY300">SUMPRODUCT(TRANSPOSE(EY$9:EY$34),$K300:$AJ300)</f>
        <v>4000</v>
      </c>
      <c r="EZ300" s="12">
        <f t="array" ref="EZ300">SUMPRODUCT(TRANSPOSE(EZ$9:EZ$34),$K300:$AJ300)</f>
        <v>4000</v>
      </c>
      <c r="FA300" s="12">
        <f t="array" ref="FA300">SUMPRODUCT(TRANSPOSE(FA$9:FA$34),$K300:$AJ300)</f>
        <v>4000</v>
      </c>
      <c r="FB300" s="12">
        <f t="array" ref="FB300">SUMPRODUCT(TRANSPOSE(FB$9:FB$34),$K300:$AJ300)</f>
        <v>4000</v>
      </c>
      <c r="FC300" s="12">
        <f t="array" ref="FC300">SUMPRODUCT(TRANSPOSE(FC$9:FC$34),$K300:$AJ300)</f>
        <v>4000</v>
      </c>
      <c r="FD300" s="12">
        <f t="array" ref="FD300">SUMPRODUCT(TRANSPOSE(FD$9:FD$34),$K300:$AJ300)</f>
        <v>4000</v>
      </c>
      <c r="FE300" s="12">
        <f t="array" ref="FE300">SUMPRODUCT(TRANSPOSE(FE$9:FE$34),$K300:$AJ300)</f>
        <v>4000</v>
      </c>
      <c r="FF300" s="12">
        <f t="array" ref="FF300">SUMPRODUCT(TRANSPOSE(FF$9:FF$34),$K300:$AJ300)</f>
        <v>4000</v>
      </c>
      <c r="FG300" s="12">
        <f t="array" ref="FG300">SUMPRODUCT(TRANSPOSE(FG$9:FG$34),$K300:$AJ300)</f>
        <v>4000</v>
      </c>
      <c r="FH300" s="12">
        <f t="array" ref="FH300">SUMPRODUCT(TRANSPOSE(FH$9:FH$34),$K300:$AJ300)</f>
        <v>4000</v>
      </c>
      <c r="FI300" s="12">
        <f t="array" ref="FI300">SUMPRODUCT(TRANSPOSE(FI$9:FI$34),$K300:$AJ300)</f>
        <v>4000</v>
      </c>
      <c r="FJ300" s="12">
        <f t="array" ref="FJ300">SUMPRODUCT(TRANSPOSE(FJ$9:FJ$34),$K300:$AJ300)</f>
        <v>4000</v>
      </c>
      <c r="FK300" s="12">
        <f t="array" ref="FK300">SUMPRODUCT(TRANSPOSE(FK$9:FK$34),$K300:$AJ300)</f>
        <v>4000</v>
      </c>
      <c r="FL300" s="12">
        <f t="array" ref="FL300">SUMPRODUCT(TRANSPOSE(FL$9:FL$34),$K300:$AJ300)</f>
        <v>4000</v>
      </c>
      <c r="FM300" s="12">
        <f t="array" ref="FM300">SUMPRODUCT(TRANSPOSE(FM$9:FM$34),$K300:$AJ300)</f>
        <v>4000</v>
      </c>
      <c r="FN300" s="12">
        <f t="array" ref="FN300">SUMPRODUCT(TRANSPOSE(FN$9:FN$34),$K300:$AJ300)</f>
        <v>3268</v>
      </c>
      <c r="FO300" s="12">
        <f t="array" ref="FO300">SUMPRODUCT(TRANSPOSE(FO$9:FO$34),$K300:$AJ300)</f>
        <v>0</v>
      </c>
    </row>
    <row r="301" spans="1:171" ht="14.25" x14ac:dyDescent="0.2">
      <c r="A301" s="13">
        <f t="shared" si="16"/>
        <v>266</v>
      </c>
      <c r="B301" s="13" t="s">
        <v>934</v>
      </c>
      <c r="C301" s="25" t="s">
        <v>935</v>
      </c>
      <c r="D301" s="13" t="s">
        <v>67</v>
      </c>
      <c r="E301" s="13">
        <v>400493373</v>
      </c>
      <c r="F301" s="26" t="s">
        <v>936</v>
      </c>
      <c r="G301" s="13"/>
      <c r="H301" s="13" t="s">
        <v>61</v>
      </c>
      <c r="I301" s="13">
        <v>2</v>
      </c>
      <c r="J301" s="13">
        <v>3</v>
      </c>
      <c r="K301" s="13">
        <v>0</v>
      </c>
      <c r="L301" s="13">
        <v>0</v>
      </c>
      <c r="M301" s="13">
        <v>0</v>
      </c>
      <c r="N301" s="13">
        <v>0</v>
      </c>
      <c r="O301" s="13">
        <v>1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1</v>
      </c>
      <c r="Y301" s="13"/>
      <c r="Z301" s="13"/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1</v>
      </c>
      <c r="AK301" s="13">
        <f t="shared" si="17"/>
        <v>2</v>
      </c>
      <c r="AL301" s="23">
        <f t="shared" si="15"/>
        <v>70863</v>
      </c>
      <c r="AM301" s="13" t="s">
        <v>731</v>
      </c>
      <c r="AN301" s="13" t="s">
        <v>937</v>
      </c>
      <c r="AO301" s="7" t="s">
        <v>3</v>
      </c>
      <c r="AP301" s="38">
        <v>7.1999999999999995E-2</v>
      </c>
      <c r="AQ301" s="12">
        <v>9999999</v>
      </c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13"/>
      <c r="CG301" s="13"/>
      <c r="CH301" s="13"/>
      <c r="CI301" s="12"/>
      <c r="CJ301" s="12"/>
      <c r="CK301" s="12"/>
      <c r="CL301" s="12"/>
      <c r="CM301" s="12"/>
      <c r="CN301" s="12"/>
      <c r="CO301" s="12"/>
      <c r="CP301" s="12">
        <f>SUM($AQ301:BJ301)-SUM($EA301:EH301)</f>
        <v>9992936</v>
      </c>
      <c r="CQ301" s="12">
        <f>SUM($AQ301:BK301)-SUM($EA301:EI301)</f>
        <v>9992536</v>
      </c>
      <c r="CR301" s="12">
        <f>SUM($AQ301:BL301)-SUM($EA301:EJ301)</f>
        <v>9991521</v>
      </c>
      <c r="CS301" s="12">
        <f>SUM($AQ301:BM301)-SUM($EA301:EK301)</f>
        <v>9990386</v>
      </c>
      <c r="CT301" s="12">
        <f>SUM($AQ301:BN301)-SUM($EA301:EL301)</f>
        <v>9988371</v>
      </c>
      <c r="CU301" s="12">
        <f>SUM($AQ301:BO301)-SUM($EA301:EM301)</f>
        <v>9986321</v>
      </c>
      <c r="CV301" s="12">
        <f>SUM($AQ301:BP301)-SUM($EA301:EN301)</f>
        <v>9984271</v>
      </c>
      <c r="CW301" s="12">
        <f>SUM($AQ301:BQ301)-SUM($EA301:EO301)</f>
        <v>9982271</v>
      </c>
      <c r="CX301" s="12">
        <f>SUM($AQ301:BR301)-SUM($EA301:EP301)</f>
        <v>9980221</v>
      </c>
      <c r="CY301" s="12">
        <f>SUM($AQ301:BS301)-SUM($EA301:EQ301)</f>
        <v>9978171</v>
      </c>
      <c r="CZ301" s="12">
        <f>SUM($AQ301:BT301)-SUM($EA301:ER301)</f>
        <v>9976121</v>
      </c>
      <c r="DA301" s="12">
        <f>SUM($AQ301:BU301)-SUM($EA301:ES301)</f>
        <v>9974071</v>
      </c>
      <c r="DB301" s="12">
        <f>SUM($AQ301:BV301)-SUM($EA301:ET301)</f>
        <v>9972021</v>
      </c>
      <c r="DC301" s="12">
        <f>SUM($AQ301:BW301)-SUM($EA301:EU301)</f>
        <v>9969971</v>
      </c>
      <c r="DD301" s="12">
        <f>SUM($AQ301:BX301)-SUM($EA301:EV301)</f>
        <v>9967921</v>
      </c>
      <c r="DE301" s="12">
        <f>SUM($AQ301:BY301)-SUM($EA301:EW301)</f>
        <v>9965911</v>
      </c>
      <c r="DF301" s="12">
        <f>SUM($AQ301:BZ301)-SUM($EA301:EX301)</f>
        <v>9963911</v>
      </c>
      <c r="DG301" s="12">
        <f>SUM($AQ301:CA301)-SUM($EA301:EY301)</f>
        <v>9961911</v>
      </c>
      <c r="DH301" s="12">
        <f>SUM($AQ301:CB301)-SUM($EA301:EZ301)</f>
        <v>9959911</v>
      </c>
      <c r="DI301" s="12">
        <f>SUM($AQ301:CC301)-SUM($EA301:FA301)</f>
        <v>9957911</v>
      </c>
      <c r="DJ301" s="12">
        <f>SUM($AQ301:CD301)-SUM($EA301:FB301)</f>
        <v>9955911</v>
      </c>
      <c r="DK301" s="12">
        <f>SUM($AQ301:CE301)-SUM($EA301:FC301)</f>
        <v>9953911</v>
      </c>
      <c r="DL301" s="12">
        <f>SUM($AQ301:CF301)-SUM($EA301:FD301)</f>
        <v>9951911</v>
      </c>
      <c r="DM301" s="12">
        <f>SUM($AQ301:CG301)-SUM($EA301:FE301)</f>
        <v>9949911</v>
      </c>
      <c r="DN301" s="12">
        <f>SUM($AQ301:CH301)-SUM($EA301:FF301)</f>
        <v>9947911</v>
      </c>
      <c r="DO301" s="12">
        <f>SUM($AQ301:CI301)-SUM($EA301:FG301)</f>
        <v>9945911</v>
      </c>
      <c r="DP301" s="12">
        <f>SUM($AQ301:CJ301)-SUM($EA301:FH301)</f>
        <v>9943911</v>
      </c>
      <c r="DQ301" s="12">
        <f>SUM($AQ301:CK301)-SUM($EA301:FI301)</f>
        <v>9941911</v>
      </c>
      <c r="DR301" s="12">
        <f>SUM($AQ301:CL301)-SUM($EA301:FJ301)</f>
        <v>9939911</v>
      </c>
      <c r="DS301" s="12">
        <f>SUM($AQ301:CM301)-SUM($EA301:FK301)</f>
        <v>9937911</v>
      </c>
      <c r="DT301" s="12">
        <f>SUM($AQ301:CN301)-SUM($EA301:FL301)</f>
        <v>9935911</v>
      </c>
      <c r="DU301" s="12">
        <f>SUM($AQ301:CO301)-SUM($EA301:FM301)</f>
        <v>9933911</v>
      </c>
      <c r="DV301" s="12">
        <f>SUM($AQ301:CP301)-SUM($EA301:FN301)</f>
        <v>19925149</v>
      </c>
      <c r="DW301" s="12">
        <f>SUM($AQ301:CQ301)-SUM($EA301:FO301)</f>
        <v>29917608</v>
      </c>
      <c r="DX301" s="13"/>
      <c r="DY301" s="13"/>
      <c r="DZ301" s="13"/>
      <c r="EA301" s="12"/>
      <c r="EB301" s="12"/>
      <c r="EC301" s="12"/>
      <c r="ED301" s="12"/>
      <c r="EE301" s="12"/>
      <c r="EF301" s="12"/>
      <c r="EG301" s="12"/>
      <c r="EH301" s="12">
        <f t="array" ref="EH301">SUMPRODUCT(TRANSPOSE(EH$9:EH$34),$K301:$AJ301)</f>
        <v>7063</v>
      </c>
      <c r="EI301" s="12">
        <f t="array" ref="EI301">SUMPRODUCT(TRANSPOSE(EI$9:EI$34),$K301:$AJ301)</f>
        <v>400</v>
      </c>
      <c r="EJ301" s="12">
        <f t="array" ref="EJ301">SUMPRODUCT(TRANSPOSE(EJ$9:EJ$34),$K301:$AJ301)</f>
        <v>1015</v>
      </c>
      <c r="EK301" s="12">
        <f t="array" ref="EK301">SUMPRODUCT(TRANSPOSE(EK$9:EK$34),$K301:$AJ301)</f>
        <v>1135</v>
      </c>
      <c r="EL301" s="12">
        <f t="array" ref="EL301">SUMPRODUCT(TRANSPOSE(EL$9:EL$34),$K301:$AJ301)</f>
        <v>2015</v>
      </c>
      <c r="EM301" s="12">
        <f t="array" ref="EM301">SUMPRODUCT(TRANSPOSE(EM$9:EM$34),$K301:$AJ301)</f>
        <v>2050</v>
      </c>
      <c r="EN301" s="12">
        <f t="array" ref="EN301">SUMPRODUCT(TRANSPOSE(EN$9:EN$34),$K301:$AJ301)</f>
        <v>2050</v>
      </c>
      <c r="EO301" s="12">
        <f t="array" ref="EO301">SUMPRODUCT(TRANSPOSE(EO$9:EO$34),$K301:$AJ301)</f>
        <v>2000</v>
      </c>
      <c r="EP301" s="12">
        <f t="array" ref="EP301">SUMPRODUCT(TRANSPOSE(EP$9:EP$34),$K301:$AJ301)</f>
        <v>2050</v>
      </c>
      <c r="EQ301" s="12">
        <f t="array" ref="EQ301">SUMPRODUCT(TRANSPOSE(EQ$9:EQ$34),$K301:$AJ301)</f>
        <v>2050</v>
      </c>
      <c r="ER301" s="12">
        <f t="array" ref="ER301">SUMPRODUCT(TRANSPOSE(ER$9:ER$34),$K301:$AJ301)</f>
        <v>2050</v>
      </c>
      <c r="ES301" s="12">
        <f t="array" ref="ES301">SUMPRODUCT(TRANSPOSE(ES$9:ES$34),$K301:$AJ301)</f>
        <v>2050</v>
      </c>
      <c r="ET301" s="12">
        <f t="array" ref="ET301">SUMPRODUCT(TRANSPOSE(ET$9:ET$34),$K301:$AJ301)</f>
        <v>2050</v>
      </c>
      <c r="EU301" s="12">
        <f t="array" ref="EU301">SUMPRODUCT(TRANSPOSE(EU$9:EU$34),$K301:$AJ301)</f>
        <v>2050</v>
      </c>
      <c r="EV301" s="12">
        <f t="array" ref="EV301">SUMPRODUCT(TRANSPOSE(EV$9:EV$34),$K301:$AJ301)</f>
        <v>2050</v>
      </c>
      <c r="EW301" s="12">
        <f t="array" ref="EW301">SUMPRODUCT(TRANSPOSE(EW$9:EW$34),$K301:$AJ301)</f>
        <v>2010</v>
      </c>
      <c r="EX301" s="12">
        <f t="array" ref="EX301">SUMPRODUCT(TRANSPOSE(EX$9:EX$34),$K301:$AJ301)</f>
        <v>2000</v>
      </c>
      <c r="EY301" s="12">
        <f t="array" ref="EY301">SUMPRODUCT(TRANSPOSE(EY$9:EY$34),$K301:$AJ301)</f>
        <v>2000</v>
      </c>
      <c r="EZ301" s="12">
        <f t="array" ref="EZ301">SUMPRODUCT(TRANSPOSE(EZ$9:EZ$34),$K301:$AJ301)</f>
        <v>2000</v>
      </c>
      <c r="FA301" s="12">
        <f t="array" ref="FA301">SUMPRODUCT(TRANSPOSE(FA$9:FA$34),$K301:$AJ301)</f>
        <v>2000</v>
      </c>
      <c r="FB301" s="12">
        <f t="array" ref="FB301">SUMPRODUCT(TRANSPOSE(FB$9:FB$34),$K301:$AJ301)</f>
        <v>2000</v>
      </c>
      <c r="FC301" s="12">
        <f t="array" ref="FC301">SUMPRODUCT(TRANSPOSE(FC$9:FC$34),$K301:$AJ301)</f>
        <v>2000</v>
      </c>
      <c r="FD301" s="12">
        <f t="array" ref="FD301">SUMPRODUCT(TRANSPOSE(FD$9:FD$34),$K301:$AJ301)</f>
        <v>2000</v>
      </c>
      <c r="FE301" s="12">
        <f t="array" ref="FE301">SUMPRODUCT(TRANSPOSE(FE$9:FE$34),$K301:$AJ301)</f>
        <v>2000</v>
      </c>
      <c r="FF301" s="12">
        <f t="array" ref="FF301">SUMPRODUCT(TRANSPOSE(FF$9:FF$34),$K301:$AJ301)</f>
        <v>2000</v>
      </c>
      <c r="FG301" s="12">
        <f t="array" ref="FG301">SUMPRODUCT(TRANSPOSE(FG$9:FG$34),$K301:$AJ301)</f>
        <v>2000</v>
      </c>
      <c r="FH301" s="12">
        <f t="array" ref="FH301">SUMPRODUCT(TRANSPOSE(FH$9:FH$34),$K301:$AJ301)</f>
        <v>2000</v>
      </c>
      <c r="FI301" s="12">
        <f t="array" ref="FI301">SUMPRODUCT(TRANSPOSE(FI$9:FI$34),$K301:$AJ301)</f>
        <v>2000</v>
      </c>
      <c r="FJ301" s="12">
        <f t="array" ref="FJ301">SUMPRODUCT(TRANSPOSE(FJ$9:FJ$34),$K301:$AJ301)</f>
        <v>2000</v>
      </c>
      <c r="FK301" s="12">
        <f t="array" ref="FK301">SUMPRODUCT(TRANSPOSE(FK$9:FK$34),$K301:$AJ301)</f>
        <v>2000</v>
      </c>
      <c r="FL301" s="12">
        <f t="array" ref="FL301">SUMPRODUCT(TRANSPOSE(FL$9:FL$34),$K301:$AJ301)</f>
        <v>2000</v>
      </c>
      <c r="FM301" s="12">
        <f t="array" ref="FM301">SUMPRODUCT(TRANSPOSE(FM$9:FM$34),$K301:$AJ301)</f>
        <v>2000</v>
      </c>
      <c r="FN301" s="12">
        <f t="array" ref="FN301">SUMPRODUCT(TRANSPOSE(FN$9:FN$34),$K301:$AJ301)</f>
        <v>1698</v>
      </c>
      <c r="FO301" s="12">
        <f t="array" ref="FO301">SUMPRODUCT(TRANSPOSE(FO$9:FO$34),$K301:$AJ301)</f>
        <v>77</v>
      </c>
    </row>
    <row r="302" spans="1:171" ht="14.25" x14ac:dyDescent="0.2">
      <c r="A302" s="13">
        <f t="shared" si="16"/>
        <v>267</v>
      </c>
      <c r="B302" s="13" t="s">
        <v>938</v>
      </c>
      <c r="C302" s="25" t="s">
        <v>939</v>
      </c>
      <c r="D302" s="13" t="s">
        <v>67</v>
      </c>
      <c r="E302" s="13">
        <v>405530594</v>
      </c>
      <c r="F302" s="26" t="s">
        <v>940</v>
      </c>
      <c r="G302" s="13">
        <v>405536567</v>
      </c>
      <c r="H302" s="13" t="s">
        <v>61</v>
      </c>
      <c r="I302" s="13">
        <v>2</v>
      </c>
      <c r="J302" s="13">
        <v>9</v>
      </c>
      <c r="K302" s="13">
        <v>0</v>
      </c>
      <c r="L302" s="13">
        <v>0</v>
      </c>
      <c r="M302" s="13">
        <v>1</v>
      </c>
      <c r="N302" s="13">
        <v>1</v>
      </c>
      <c r="O302" s="13">
        <v>1</v>
      </c>
      <c r="P302" s="13">
        <v>0</v>
      </c>
      <c r="Q302" s="13">
        <v>0</v>
      </c>
      <c r="R302" s="13">
        <v>1</v>
      </c>
      <c r="S302" s="13">
        <v>1</v>
      </c>
      <c r="T302" s="13">
        <v>0</v>
      </c>
      <c r="U302" s="13">
        <v>0</v>
      </c>
      <c r="V302" s="13">
        <v>0</v>
      </c>
      <c r="W302" s="13">
        <v>0</v>
      </c>
      <c r="X302" s="13">
        <v>1</v>
      </c>
      <c r="Y302" s="13">
        <v>1</v>
      </c>
      <c r="Z302" s="13">
        <v>1</v>
      </c>
      <c r="AA302" s="13">
        <v>0</v>
      </c>
      <c r="AB302" s="13">
        <v>0</v>
      </c>
      <c r="AC302" s="13">
        <v>1</v>
      </c>
      <c r="AD302" s="13">
        <v>1</v>
      </c>
      <c r="AE302" s="13">
        <v>1</v>
      </c>
      <c r="AF302" s="13">
        <v>0</v>
      </c>
      <c r="AG302" s="13">
        <v>0</v>
      </c>
      <c r="AH302" s="13">
        <v>0</v>
      </c>
      <c r="AI302" s="13">
        <v>0</v>
      </c>
      <c r="AJ302" s="13">
        <v>1</v>
      </c>
      <c r="AK302" s="13">
        <f t="shared" si="17"/>
        <v>10</v>
      </c>
      <c r="AL302" s="23">
        <f t="shared" si="15"/>
        <v>212655</v>
      </c>
      <c r="AM302" s="13"/>
      <c r="AN302" s="13" t="s">
        <v>941</v>
      </c>
      <c r="AO302" s="7" t="s">
        <v>942</v>
      </c>
      <c r="AP302" s="38">
        <v>0.127968</v>
      </c>
      <c r="AQ302" s="12">
        <v>999999</v>
      </c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13"/>
      <c r="CG302" s="13"/>
      <c r="CH302" s="13"/>
      <c r="CI302" s="12"/>
      <c r="CJ302" s="12"/>
      <c r="CK302" s="12"/>
      <c r="CL302" s="12"/>
      <c r="CM302" s="12"/>
      <c r="CN302" s="12"/>
      <c r="CO302" s="12"/>
      <c r="CP302" s="12">
        <f>SUM($AQ302:BJ302)-SUM($EA302:EH302)</f>
        <v>978810</v>
      </c>
      <c r="CQ302" s="12">
        <f>SUM($AQ302:BK302)-SUM($EA302:EI302)</f>
        <v>977848</v>
      </c>
      <c r="CR302" s="12">
        <f>SUM($AQ302:BL302)-SUM($EA302:EJ302)</f>
        <v>974818</v>
      </c>
      <c r="CS302" s="12">
        <f>SUM($AQ302:BM302)-SUM($EA302:EK302)</f>
        <v>971448</v>
      </c>
      <c r="CT302" s="12">
        <f>SUM($AQ302:BN302)-SUM($EA302:EL302)</f>
        <v>965418</v>
      </c>
      <c r="CU302" s="12">
        <f>SUM($AQ302:BO302)-SUM($EA302:EM302)</f>
        <v>959318</v>
      </c>
      <c r="CV302" s="12">
        <f>SUM($AQ302:BP302)-SUM($EA302:EN302)</f>
        <v>953218</v>
      </c>
      <c r="CW302" s="12">
        <f>SUM($AQ302:BQ302)-SUM($EA302:EO302)</f>
        <v>947218</v>
      </c>
      <c r="CX302" s="12">
        <f>SUM($AQ302:BR302)-SUM($EA302:EP302)</f>
        <v>941118</v>
      </c>
      <c r="CY302" s="12">
        <f>SUM($AQ302:BS302)-SUM($EA302:EQ302)</f>
        <v>935018</v>
      </c>
      <c r="CZ302" s="12">
        <f>SUM($AQ302:BT302)-SUM($EA302:ER302)</f>
        <v>928918</v>
      </c>
      <c r="DA302" s="12">
        <f>SUM($AQ302:BU302)-SUM($EA302:ES302)</f>
        <v>922818</v>
      </c>
      <c r="DB302" s="12">
        <f>SUM($AQ302:BV302)-SUM($EA302:ET302)</f>
        <v>916718</v>
      </c>
      <c r="DC302" s="12">
        <f>SUM($AQ302:BW302)-SUM($EA302:EU302)</f>
        <v>910618</v>
      </c>
      <c r="DD302" s="12">
        <f>SUM($AQ302:BX302)-SUM($EA302:EV302)</f>
        <v>904518</v>
      </c>
      <c r="DE302" s="12">
        <f>SUM($AQ302:BY302)-SUM($EA302:EW302)</f>
        <v>898465</v>
      </c>
      <c r="DF302" s="12">
        <f>SUM($AQ302:BZ302)-SUM($EA302:EX302)</f>
        <v>892465</v>
      </c>
      <c r="DG302" s="12">
        <f>SUM($AQ302:CA302)-SUM($EA302:EY302)</f>
        <v>886465</v>
      </c>
      <c r="DH302" s="12">
        <f>SUM($AQ302:CB302)-SUM($EA302:EZ302)</f>
        <v>880465</v>
      </c>
      <c r="DI302" s="12">
        <f>SUM($AQ302:CC302)-SUM($EA302:FA302)</f>
        <v>874465</v>
      </c>
      <c r="DJ302" s="12">
        <f>SUM($AQ302:CD302)-SUM($EA302:FB302)</f>
        <v>868465</v>
      </c>
      <c r="DK302" s="12">
        <f>SUM($AQ302:CE302)-SUM($EA302:FC302)</f>
        <v>862465</v>
      </c>
      <c r="DL302" s="12">
        <f>SUM($AQ302:CF302)-SUM($EA302:FD302)</f>
        <v>856465</v>
      </c>
      <c r="DM302" s="12">
        <f>SUM($AQ302:CG302)-SUM($EA302:FE302)</f>
        <v>850465</v>
      </c>
      <c r="DN302" s="12">
        <f>SUM($AQ302:CH302)-SUM($EA302:FF302)</f>
        <v>844465</v>
      </c>
      <c r="DO302" s="12">
        <f>SUM($AQ302:CI302)-SUM($EA302:FG302)</f>
        <v>838465</v>
      </c>
      <c r="DP302" s="12">
        <f>SUM($AQ302:CJ302)-SUM($EA302:FH302)</f>
        <v>832465</v>
      </c>
      <c r="DQ302" s="12">
        <f>SUM($AQ302:CK302)-SUM($EA302:FI302)</f>
        <v>826465</v>
      </c>
      <c r="DR302" s="12">
        <f>SUM($AQ302:CL302)-SUM($EA302:FJ302)</f>
        <v>820465</v>
      </c>
      <c r="DS302" s="12">
        <f>SUM($AQ302:CM302)-SUM($EA302:FK302)</f>
        <v>814465</v>
      </c>
      <c r="DT302" s="12">
        <f>SUM($AQ302:CN302)-SUM($EA302:FL302)</f>
        <v>808465</v>
      </c>
      <c r="DU302" s="12">
        <f>SUM($AQ302:CO302)-SUM($EA302:FM302)</f>
        <v>802465</v>
      </c>
      <c r="DV302" s="12">
        <f>SUM($AQ302:CP302)-SUM($EA302:FN302)</f>
        <v>1775943</v>
      </c>
      <c r="DW302" s="12">
        <f>SUM($AQ302:CQ302)-SUM($EA302:FO302)</f>
        <v>2753560</v>
      </c>
      <c r="DX302" s="13"/>
      <c r="DY302" s="13"/>
      <c r="DZ302" s="13"/>
      <c r="EA302" s="12"/>
      <c r="EB302" s="12"/>
      <c r="EC302" s="12"/>
      <c r="ED302" s="12"/>
      <c r="EE302" s="12"/>
      <c r="EF302" s="12"/>
      <c r="EG302" s="12"/>
      <c r="EH302" s="12">
        <f t="array" ref="EH302">SUMPRODUCT(TRANSPOSE(EH$9:EH$34),$K302:$AJ302)</f>
        <v>21189</v>
      </c>
      <c r="EI302" s="12">
        <f t="array" ref="EI302">SUMPRODUCT(TRANSPOSE(EI$9:EI$34),$K302:$AJ302)</f>
        <v>962</v>
      </c>
      <c r="EJ302" s="12">
        <f t="array" ref="EJ302">SUMPRODUCT(TRANSPOSE(EJ$9:EJ$34),$K302:$AJ302)</f>
        <v>3030</v>
      </c>
      <c r="EK302" s="12">
        <f t="array" ref="EK302">SUMPRODUCT(TRANSPOSE(EK$9:EK$34),$K302:$AJ302)</f>
        <v>3370</v>
      </c>
      <c r="EL302" s="12">
        <f t="array" ref="EL302">SUMPRODUCT(TRANSPOSE(EL$9:EL$34),$K302:$AJ302)</f>
        <v>6030</v>
      </c>
      <c r="EM302" s="12">
        <f t="array" ref="EM302">SUMPRODUCT(TRANSPOSE(EM$9:EM$34),$K302:$AJ302)</f>
        <v>6100</v>
      </c>
      <c r="EN302" s="12">
        <f t="array" ref="EN302">SUMPRODUCT(TRANSPOSE(EN$9:EN$34),$K302:$AJ302)</f>
        <v>6100</v>
      </c>
      <c r="EO302" s="12">
        <f t="array" ref="EO302">SUMPRODUCT(TRANSPOSE(EO$9:EO$34),$K302:$AJ302)</f>
        <v>6000</v>
      </c>
      <c r="EP302" s="12">
        <f t="array" ref="EP302">SUMPRODUCT(TRANSPOSE(EP$9:EP$34),$K302:$AJ302)</f>
        <v>6100</v>
      </c>
      <c r="EQ302" s="12">
        <f t="array" ref="EQ302">SUMPRODUCT(TRANSPOSE(EQ$9:EQ$34),$K302:$AJ302)</f>
        <v>6100</v>
      </c>
      <c r="ER302" s="12">
        <f t="array" ref="ER302">SUMPRODUCT(TRANSPOSE(ER$9:ER$34),$K302:$AJ302)</f>
        <v>6100</v>
      </c>
      <c r="ES302" s="12">
        <f t="array" ref="ES302">SUMPRODUCT(TRANSPOSE(ES$9:ES$34),$K302:$AJ302)</f>
        <v>6100</v>
      </c>
      <c r="ET302" s="12">
        <f t="array" ref="ET302">SUMPRODUCT(TRANSPOSE(ET$9:ET$34),$K302:$AJ302)</f>
        <v>6100</v>
      </c>
      <c r="EU302" s="12">
        <f t="array" ref="EU302">SUMPRODUCT(TRANSPOSE(EU$9:EU$34),$K302:$AJ302)</f>
        <v>6100</v>
      </c>
      <c r="EV302" s="12">
        <f t="array" ref="EV302">SUMPRODUCT(TRANSPOSE(EV$9:EV$34),$K302:$AJ302)</f>
        <v>6100</v>
      </c>
      <c r="EW302" s="12">
        <f t="array" ref="EW302">SUMPRODUCT(TRANSPOSE(EW$9:EW$34),$K302:$AJ302)</f>
        <v>6053</v>
      </c>
      <c r="EX302" s="12">
        <f t="array" ref="EX302">SUMPRODUCT(TRANSPOSE(EX$9:EX$34),$K302:$AJ302)</f>
        <v>6000</v>
      </c>
      <c r="EY302" s="12">
        <f t="array" ref="EY302">SUMPRODUCT(TRANSPOSE(EY$9:EY$34),$K302:$AJ302)</f>
        <v>6000</v>
      </c>
      <c r="EZ302" s="12">
        <f t="array" ref="EZ302">SUMPRODUCT(TRANSPOSE(EZ$9:EZ$34),$K302:$AJ302)</f>
        <v>6000</v>
      </c>
      <c r="FA302" s="12">
        <f t="array" ref="FA302">SUMPRODUCT(TRANSPOSE(FA$9:FA$34),$K302:$AJ302)</f>
        <v>6000</v>
      </c>
      <c r="FB302" s="12">
        <f t="array" ref="FB302">SUMPRODUCT(TRANSPOSE(FB$9:FB$34),$K302:$AJ302)</f>
        <v>6000</v>
      </c>
      <c r="FC302" s="12">
        <f t="array" ref="FC302">SUMPRODUCT(TRANSPOSE(FC$9:FC$34),$K302:$AJ302)</f>
        <v>6000</v>
      </c>
      <c r="FD302" s="12">
        <f t="array" ref="FD302">SUMPRODUCT(TRANSPOSE(FD$9:FD$34),$K302:$AJ302)</f>
        <v>6000</v>
      </c>
      <c r="FE302" s="12">
        <f t="array" ref="FE302">SUMPRODUCT(TRANSPOSE(FE$9:FE$34),$K302:$AJ302)</f>
        <v>6000</v>
      </c>
      <c r="FF302" s="12">
        <f t="array" ref="FF302">SUMPRODUCT(TRANSPOSE(FF$9:FF$34),$K302:$AJ302)</f>
        <v>6000</v>
      </c>
      <c r="FG302" s="12">
        <f t="array" ref="FG302">SUMPRODUCT(TRANSPOSE(FG$9:FG$34),$K302:$AJ302)</f>
        <v>6000</v>
      </c>
      <c r="FH302" s="12">
        <f t="array" ref="FH302">SUMPRODUCT(TRANSPOSE(FH$9:FH$34),$K302:$AJ302)</f>
        <v>6000</v>
      </c>
      <c r="FI302" s="12">
        <f t="array" ref="FI302">SUMPRODUCT(TRANSPOSE(FI$9:FI$34),$K302:$AJ302)</f>
        <v>6000</v>
      </c>
      <c r="FJ302" s="12">
        <f t="array" ref="FJ302">SUMPRODUCT(TRANSPOSE(FJ$9:FJ$34),$K302:$AJ302)</f>
        <v>6000</v>
      </c>
      <c r="FK302" s="12">
        <f t="array" ref="FK302">SUMPRODUCT(TRANSPOSE(FK$9:FK$34),$K302:$AJ302)</f>
        <v>6000</v>
      </c>
      <c r="FL302" s="12">
        <f t="array" ref="FL302">SUMPRODUCT(TRANSPOSE(FL$9:FL$34),$K302:$AJ302)</f>
        <v>6000</v>
      </c>
      <c r="FM302" s="12">
        <f t="array" ref="FM302">SUMPRODUCT(TRANSPOSE(FM$9:FM$34),$K302:$AJ302)</f>
        <v>6000</v>
      </c>
      <c r="FN302" s="12">
        <f t="array" ref="FN302">SUMPRODUCT(TRANSPOSE(FN$9:FN$34),$K302:$AJ302)</f>
        <v>5332</v>
      </c>
      <c r="FO302" s="12">
        <f t="array" ref="FO302">SUMPRODUCT(TRANSPOSE(FO$9:FO$34),$K302:$AJ302)</f>
        <v>231</v>
      </c>
    </row>
    <row r="303" spans="1:171" ht="14.25" x14ac:dyDescent="0.2">
      <c r="A303" s="13">
        <f t="shared" si="16"/>
        <v>268</v>
      </c>
      <c r="B303" s="13" t="s">
        <v>943</v>
      </c>
      <c r="C303" s="25" t="s">
        <v>944</v>
      </c>
      <c r="D303" s="13" t="s">
        <v>67</v>
      </c>
      <c r="E303" s="13">
        <v>400567121</v>
      </c>
      <c r="F303" s="26" t="s">
        <v>945</v>
      </c>
      <c r="G303" s="13">
        <v>400856507</v>
      </c>
      <c r="H303" s="13" t="s">
        <v>61</v>
      </c>
      <c r="I303" s="13">
        <v>2</v>
      </c>
      <c r="J303" s="13">
        <v>6</v>
      </c>
      <c r="K303" s="13">
        <v>0</v>
      </c>
      <c r="L303" s="13">
        <v>0</v>
      </c>
      <c r="M303" s="13">
        <v>0</v>
      </c>
      <c r="N303" s="13">
        <v>0</v>
      </c>
      <c r="O303" s="13">
        <v>2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2</v>
      </c>
      <c r="Y303" s="13"/>
      <c r="Z303" s="13"/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2</v>
      </c>
      <c r="AK303" s="13">
        <f t="shared" si="17"/>
        <v>4</v>
      </c>
      <c r="AL303" s="23">
        <f t="shared" si="15"/>
        <v>141726</v>
      </c>
      <c r="AM303" s="13"/>
      <c r="AN303" s="13" t="s">
        <v>360</v>
      </c>
      <c r="AO303" s="7" t="s">
        <v>134</v>
      </c>
      <c r="AP303" s="38">
        <v>2.7192000000000003</v>
      </c>
      <c r="AQ303" s="12">
        <v>28000</v>
      </c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>
        <v>23000</v>
      </c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13"/>
      <c r="CG303" s="13"/>
      <c r="CH303" s="13"/>
      <c r="CI303" s="12"/>
      <c r="CJ303" s="12"/>
      <c r="CK303" s="12"/>
      <c r="CL303" s="12"/>
      <c r="CM303" s="12"/>
      <c r="CN303" s="12"/>
      <c r="CO303" s="12"/>
      <c r="CP303" s="12">
        <f>SUM($AQ303:BJ303)-SUM($EA303:EH303)</f>
        <v>36874</v>
      </c>
      <c r="CQ303" s="12">
        <f>SUM($AQ303:BK303)-SUM($EA303:EI303)</f>
        <v>36074</v>
      </c>
      <c r="CR303" s="12">
        <f>SUM($AQ303:BL303)-SUM($EA303:EJ303)</f>
        <v>34044</v>
      </c>
      <c r="CS303" s="12">
        <f>SUM($AQ303:BM303)-SUM($EA303:EK303)</f>
        <v>31774</v>
      </c>
      <c r="CT303" s="12">
        <f>SUM($AQ303:BN303)-SUM($EA303:EL303)</f>
        <v>27744</v>
      </c>
      <c r="CU303" s="12">
        <f>SUM($AQ303:BO303)-SUM($EA303:EM303)</f>
        <v>23644</v>
      </c>
      <c r="CV303" s="12">
        <f>SUM($AQ303:BP303)-SUM($EA303:EN303)</f>
        <v>19544</v>
      </c>
      <c r="CW303" s="12">
        <f>SUM($AQ303:BQ303)-SUM($EA303:EO303)</f>
        <v>15544</v>
      </c>
      <c r="CX303" s="12">
        <f>SUM($AQ303:BR303)-SUM($EA303:EP303)</f>
        <v>11444</v>
      </c>
      <c r="CY303" s="12">
        <f>SUM($AQ303:BS303)-SUM($EA303:EQ303)</f>
        <v>7344</v>
      </c>
      <c r="CZ303" s="12">
        <f>SUM($AQ303:BT303)-SUM($EA303:ER303)</f>
        <v>3244</v>
      </c>
      <c r="DA303" s="12">
        <f>SUM($AQ303:BU303)-SUM($EA303:ES303)</f>
        <v>-856</v>
      </c>
      <c r="DB303" s="12">
        <f>SUM($AQ303:BV303)-SUM($EA303:ET303)</f>
        <v>-4956</v>
      </c>
      <c r="DC303" s="12">
        <f>SUM($AQ303:BW303)-SUM($EA303:EU303)</f>
        <v>-9056</v>
      </c>
      <c r="DD303" s="12">
        <f>SUM($AQ303:BX303)-SUM($EA303:EV303)</f>
        <v>-13156</v>
      </c>
      <c r="DE303" s="12">
        <f>SUM($AQ303:BY303)-SUM($EA303:EW303)</f>
        <v>-17176</v>
      </c>
      <c r="DF303" s="12">
        <f>SUM($AQ303:BZ303)-SUM($EA303:EX303)</f>
        <v>-21176</v>
      </c>
      <c r="DG303" s="12">
        <f>SUM($AQ303:CA303)-SUM($EA303:EY303)</f>
        <v>-25176</v>
      </c>
      <c r="DH303" s="12">
        <f>SUM($AQ303:CB303)-SUM($EA303:EZ303)</f>
        <v>-29176</v>
      </c>
      <c r="DI303" s="12">
        <f>SUM($AQ303:CC303)-SUM($EA303:FA303)</f>
        <v>-33176</v>
      </c>
      <c r="DJ303" s="12">
        <f>SUM($AQ303:CD303)-SUM($EA303:FB303)</f>
        <v>-37176</v>
      </c>
      <c r="DK303" s="12">
        <f>SUM($AQ303:CE303)-SUM($EA303:FC303)</f>
        <v>-41176</v>
      </c>
      <c r="DL303" s="12">
        <f>SUM($AQ303:CF303)-SUM($EA303:FD303)</f>
        <v>-45176</v>
      </c>
      <c r="DM303" s="12">
        <f>SUM($AQ303:CG303)-SUM($EA303:FE303)</f>
        <v>-49176</v>
      </c>
      <c r="DN303" s="12">
        <f>SUM($AQ303:CH303)-SUM($EA303:FF303)</f>
        <v>-53176</v>
      </c>
      <c r="DO303" s="12">
        <f>SUM($AQ303:CI303)-SUM($EA303:FG303)</f>
        <v>-57176</v>
      </c>
      <c r="DP303" s="12">
        <f>SUM($AQ303:CJ303)-SUM($EA303:FH303)</f>
        <v>-61176</v>
      </c>
      <c r="DQ303" s="12">
        <f>SUM($AQ303:CK303)-SUM($EA303:FI303)</f>
        <v>-65176</v>
      </c>
      <c r="DR303" s="12">
        <f>SUM($AQ303:CL303)-SUM($EA303:FJ303)</f>
        <v>-69176</v>
      </c>
      <c r="DS303" s="12">
        <f>SUM($AQ303:CM303)-SUM($EA303:FK303)</f>
        <v>-73176</v>
      </c>
      <c r="DT303" s="12">
        <f>SUM($AQ303:CN303)-SUM($EA303:FL303)</f>
        <v>-77176</v>
      </c>
      <c r="DU303" s="12">
        <f>SUM($AQ303:CO303)-SUM($EA303:FM303)</f>
        <v>-81176</v>
      </c>
      <c r="DV303" s="12">
        <f>SUM($AQ303:CP303)-SUM($EA303:FN303)</f>
        <v>-47698</v>
      </c>
      <c r="DW303" s="12">
        <f>SUM($AQ303:CQ303)-SUM($EA303:FO303)</f>
        <v>-11778</v>
      </c>
      <c r="DX303" s="13"/>
      <c r="DY303" s="13"/>
      <c r="DZ303" s="13"/>
      <c r="EA303" s="12"/>
      <c r="EB303" s="12"/>
      <c r="EC303" s="12"/>
      <c r="ED303" s="12"/>
      <c r="EE303" s="12"/>
      <c r="EF303" s="12"/>
      <c r="EG303" s="12"/>
      <c r="EH303" s="12">
        <f t="array" ref="EH303">SUMPRODUCT(TRANSPOSE(EH$9:EH$34),$K303:$AJ303)</f>
        <v>14126</v>
      </c>
      <c r="EI303" s="12">
        <f t="array" ref="EI303">SUMPRODUCT(TRANSPOSE(EI$9:EI$34),$K303:$AJ303)</f>
        <v>800</v>
      </c>
      <c r="EJ303" s="12">
        <f t="array" ref="EJ303">SUMPRODUCT(TRANSPOSE(EJ$9:EJ$34),$K303:$AJ303)</f>
        <v>2030</v>
      </c>
      <c r="EK303" s="12">
        <f t="array" ref="EK303">SUMPRODUCT(TRANSPOSE(EK$9:EK$34),$K303:$AJ303)</f>
        <v>2270</v>
      </c>
      <c r="EL303" s="12">
        <f t="array" ref="EL303">SUMPRODUCT(TRANSPOSE(EL$9:EL$34),$K303:$AJ303)</f>
        <v>4030</v>
      </c>
      <c r="EM303" s="12">
        <f t="array" ref="EM303">SUMPRODUCT(TRANSPOSE(EM$9:EM$34),$K303:$AJ303)</f>
        <v>4100</v>
      </c>
      <c r="EN303" s="12">
        <f t="array" ref="EN303">SUMPRODUCT(TRANSPOSE(EN$9:EN$34),$K303:$AJ303)</f>
        <v>4100</v>
      </c>
      <c r="EO303" s="12">
        <f t="array" ref="EO303">SUMPRODUCT(TRANSPOSE(EO$9:EO$34),$K303:$AJ303)</f>
        <v>4000</v>
      </c>
      <c r="EP303" s="12">
        <f t="array" ref="EP303">SUMPRODUCT(TRANSPOSE(EP$9:EP$34),$K303:$AJ303)</f>
        <v>4100</v>
      </c>
      <c r="EQ303" s="12">
        <f t="array" ref="EQ303">SUMPRODUCT(TRANSPOSE(EQ$9:EQ$34),$K303:$AJ303)</f>
        <v>4100</v>
      </c>
      <c r="ER303" s="12">
        <f t="array" ref="ER303">SUMPRODUCT(TRANSPOSE(ER$9:ER$34),$K303:$AJ303)</f>
        <v>4100</v>
      </c>
      <c r="ES303" s="12">
        <f t="array" ref="ES303">SUMPRODUCT(TRANSPOSE(ES$9:ES$34),$K303:$AJ303)</f>
        <v>4100</v>
      </c>
      <c r="ET303" s="12">
        <f t="array" ref="ET303">SUMPRODUCT(TRANSPOSE(ET$9:ET$34),$K303:$AJ303)</f>
        <v>4100</v>
      </c>
      <c r="EU303" s="12">
        <f t="array" ref="EU303">SUMPRODUCT(TRANSPOSE(EU$9:EU$34),$K303:$AJ303)</f>
        <v>4100</v>
      </c>
      <c r="EV303" s="12">
        <f t="array" ref="EV303">SUMPRODUCT(TRANSPOSE(EV$9:EV$34),$K303:$AJ303)</f>
        <v>4100</v>
      </c>
      <c r="EW303" s="12">
        <f t="array" ref="EW303">SUMPRODUCT(TRANSPOSE(EW$9:EW$34),$K303:$AJ303)</f>
        <v>4020</v>
      </c>
      <c r="EX303" s="12">
        <f t="array" ref="EX303">SUMPRODUCT(TRANSPOSE(EX$9:EX$34),$K303:$AJ303)</f>
        <v>4000</v>
      </c>
      <c r="EY303" s="12">
        <f t="array" ref="EY303">SUMPRODUCT(TRANSPOSE(EY$9:EY$34),$K303:$AJ303)</f>
        <v>4000</v>
      </c>
      <c r="EZ303" s="12">
        <f t="array" ref="EZ303">SUMPRODUCT(TRANSPOSE(EZ$9:EZ$34),$K303:$AJ303)</f>
        <v>4000</v>
      </c>
      <c r="FA303" s="12">
        <f t="array" ref="FA303">SUMPRODUCT(TRANSPOSE(FA$9:FA$34),$K303:$AJ303)</f>
        <v>4000</v>
      </c>
      <c r="FB303" s="12">
        <f t="array" ref="FB303">SUMPRODUCT(TRANSPOSE(FB$9:FB$34),$K303:$AJ303)</f>
        <v>4000</v>
      </c>
      <c r="FC303" s="12">
        <f t="array" ref="FC303">SUMPRODUCT(TRANSPOSE(FC$9:FC$34),$K303:$AJ303)</f>
        <v>4000</v>
      </c>
      <c r="FD303" s="12">
        <f t="array" ref="FD303">SUMPRODUCT(TRANSPOSE(FD$9:FD$34),$K303:$AJ303)</f>
        <v>4000</v>
      </c>
      <c r="FE303" s="12">
        <f t="array" ref="FE303">SUMPRODUCT(TRANSPOSE(FE$9:FE$34),$K303:$AJ303)</f>
        <v>4000</v>
      </c>
      <c r="FF303" s="12">
        <f t="array" ref="FF303">SUMPRODUCT(TRANSPOSE(FF$9:FF$34),$K303:$AJ303)</f>
        <v>4000</v>
      </c>
      <c r="FG303" s="12">
        <f t="array" ref="FG303">SUMPRODUCT(TRANSPOSE(FG$9:FG$34),$K303:$AJ303)</f>
        <v>4000</v>
      </c>
      <c r="FH303" s="12">
        <f t="array" ref="FH303">SUMPRODUCT(TRANSPOSE(FH$9:FH$34),$K303:$AJ303)</f>
        <v>4000</v>
      </c>
      <c r="FI303" s="12">
        <f t="array" ref="FI303">SUMPRODUCT(TRANSPOSE(FI$9:FI$34),$K303:$AJ303)</f>
        <v>4000</v>
      </c>
      <c r="FJ303" s="12">
        <f t="array" ref="FJ303">SUMPRODUCT(TRANSPOSE(FJ$9:FJ$34),$K303:$AJ303)</f>
        <v>4000</v>
      </c>
      <c r="FK303" s="12">
        <f t="array" ref="FK303">SUMPRODUCT(TRANSPOSE(FK$9:FK$34),$K303:$AJ303)</f>
        <v>4000</v>
      </c>
      <c r="FL303" s="12">
        <f t="array" ref="FL303">SUMPRODUCT(TRANSPOSE(FL$9:FL$34),$K303:$AJ303)</f>
        <v>4000</v>
      </c>
      <c r="FM303" s="12">
        <f t="array" ref="FM303">SUMPRODUCT(TRANSPOSE(FM$9:FM$34),$K303:$AJ303)</f>
        <v>4000</v>
      </c>
      <c r="FN303" s="12">
        <f t="array" ref="FN303">SUMPRODUCT(TRANSPOSE(FN$9:FN$34),$K303:$AJ303)</f>
        <v>3396</v>
      </c>
      <c r="FO303" s="12">
        <f t="array" ref="FO303">SUMPRODUCT(TRANSPOSE(FO$9:FO$34),$K303:$AJ303)</f>
        <v>154</v>
      </c>
    </row>
    <row r="304" spans="1:171" ht="14.25" x14ac:dyDescent="0.2">
      <c r="A304" s="13">
        <f t="shared" si="16"/>
        <v>269</v>
      </c>
      <c r="B304" s="13" t="s">
        <v>946</v>
      </c>
      <c r="C304" s="25" t="s">
        <v>947</v>
      </c>
      <c r="D304" s="13" t="s">
        <v>67</v>
      </c>
      <c r="E304" s="13">
        <v>732400080</v>
      </c>
      <c r="F304" s="26" t="s">
        <v>948</v>
      </c>
      <c r="G304" s="13"/>
      <c r="H304" s="13" t="s">
        <v>112</v>
      </c>
      <c r="I304" s="13">
        <v>2</v>
      </c>
      <c r="J304" s="13" t="s">
        <v>113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0.05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0.05</v>
      </c>
      <c r="Z304" s="13"/>
      <c r="AA304" s="13">
        <v>0</v>
      </c>
      <c r="AB304" s="13">
        <v>0</v>
      </c>
      <c r="AC304" s="13">
        <v>0.05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f t="shared" si="17"/>
        <v>0.15000000000000002</v>
      </c>
      <c r="AL304" s="23">
        <f t="shared" si="15"/>
        <v>1783.2500000000002</v>
      </c>
      <c r="AM304" s="13"/>
      <c r="AN304" s="13" t="s">
        <v>949</v>
      </c>
      <c r="AO304" s="7" t="s">
        <v>950</v>
      </c>
      <c r="AP304" s="38">
        <v>0.30653333333333332</v>
      </c>
      <c r="AQ304" s="12">
        <v>86</v>
      </c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13"/>
      <c r="CG304" s="13"/>
      <c r="CH304" s="13"/>
      <c r="CI304" s="12"/>
      <c r="CJ304" s="12"/>
      <c r="CK304" s="12"/>
      <c r="CL304" s="12"/>
      <c r="CM304" s="12"/>
      <c r="CN304" s="12"/>
      <c r="CO304" s="12"/>
      <c r="CP304" s="12">
        <f>SUM($AQ304:BJ304)-SUM($EA304:EH304)</f>
        <v>-69.450000000000017</v>
      </c>
      <c r="CQ304" s="12">
        <f>SUM($AQ304:BK304)-SUM($EA304:EI304)</f>
        <v>-83.500000000000028</v>
      </c>
      <c r="CR304" s="12">
        <f>SUM($AQ304:BL304)-SUM($EA304:EJ304)</f>
        <v>-83.500000000000028</v>
      </c>
      <c r="CS304" s="12">
        <f>SUM($AQ304:BM304)-SUM($EA304:EK304)</f>
        <v>-88.500000000000028</v>
      </c>
      <c r="CT304" s="12">
        <f>SUM($AQ304:BN304)-SUM($EA304:EL304)</f>
        <v>-138.50000000000003</v>
      </c>
      <c r="CU304" s="12">
        <f>SUM($AQ304:BO304)-SUM($EA304:EM304)</f>
        <v>-238.5</v>
      </c>
      <c r="CV304" s="12">
        <f>SUM($AQ304:BP304)-SUM($EA304:EN304)</f>
        <v>-293.5</v>
      </c>
      <c r="CW304" s="12">
        <f>SUM($AQ304:BQ304)-SUM($EA304:EO304)</f>
        <v>-343.5</v>
      </c>
      <c r="CX304" s="12">
        <f>SUM($AQ304:BR304)-SUM($EA304:EP304)</f>
        <v>-393.5</v>
      </c>
      <c r="CY304" s="12">
        <f>SUM($AQ304:BS304)-SUM($EA304:EQ304)</f>
        <v>-443.5</v>
      </c>
      <c r="CZ304" s="12">
        <f>SUM($AQ304:BT304)-SUM($EA304:ER304)</f>
        <v>-493.5</v>
      </c>
      <c r="DA304" s="12">
        <f>SUM($AQ304:BU304)-SUM($EA304:ES304)</f>
        <v>-543.5</v>
      </c>
      <c r="DB304" s="12">
        <f>SUM($AQ304:BV304)-SUM($EA304:ET304)</f>
        <v>-593.5</v>
      </c>
      <c r="DC304" s="12">
        <f>SUM($AQ304:BW304)-SUM($EA304:EU304)</f>
        <v>-643.5</v>
      </c>
      <c r="DD304" s="12">
        <f>SUM($AQ304:BX304)-SUM($EA304:EV304)</f>
        <v>-693.5</v>
      </c>
      <c r="DE304" s="12">
        <f>SUM($AQ304:BY304)-SUM($EA304:EW304)</f>
        <v>-743.5</v>
      </c>
      <c r="DF304" s="12">
        <f>SUM($AQ304:BZ304)-SUM($EA304:EX304)</f>
        <v>-793.5</v>
      </c>
      <c r="DG304" s="12">
        <f>SUM($AQ304:CA304)-SUM($EA304:EY304)</f>
        <v>-843.5</v>
      </c>
      <c r="DH304" s="12">
        <f>SUM($AQ304:CB304)-SUM($EA304:EZ304)</f>
        <v>-893.5</v>
      </c>
      <c r="DI304" s="12">
        <f>SUM($AQ304:CC304)-SUM($EA304:FA304)</f>
        <v>-943.5</v>
      </c>
      <c r="DJ304" s="12">
        <f>SUM($AQ304:CD304)-SUM($EA304:FB304)</f>
        <v>-993.5</v>
      </c>
      <c r="DK304" s="12">
        <f>SUM($AQ304:CE304)-SUM($EA304:FC304)</f>
        <v>-1043.5</v>
      </c>
      <c r="DL304" s="12">
        <f>SUM($AQ304:CF304)-SUM($EA304:FD304)</f>
        <v>-1093.5</v>
      </c>
      <c r="DM304" s="12">
        <f>SUM($AQ304:CG304)-SUM($EA304:FE304)</f>
        <v>-1143.5</v>
      </c>
      <c r="DN304" s="12">
        <f>SUM($AQ304:CH304)-SUM($EA304:FF304)</f>
        <v>-1193.5</v>
      </c>
      <c r="DO304" s="12">
        <f>SUM($AQ304:CI304)-SUM($EA304:FG304)</f>
        <v>-1243.5</v>
      </c>
      <c r="DP304" s="12">
        <f>SUM($AQ304:CJ304)-SUM($EA304:FH304)</f>
        <v>-1293.5</v>
      </c>
      <c r="DQ304" s="12">
        <f>SUM($AQ304:CK304)-SUM($EA304:FI304)</f>
        <v>-1343.5</v>
      </c>
      <c r="DR304" s="12">
        <f>SUM($AQ304:CL304)-SUM($EA304:FJ304)</f>
        <v>-1393.5</v>
      </c>
      <c r="DS304" s="12">
        <f>SUM($AQ304:CM304)-SUM($EA304:FK304)</f>
        <v>-1443.5</v>
      </c>
      <c r="DT304" s="12">
        <f>SUM($AQ304:CN304)-SUM($EA304:FL304)</f>
        <v>-1493.5</v>
      </c>
      <c r="DU304" s="12">
        <f>SUM($AQ304:CO304)-SUM($EA304:FM304)</f>
        <v>-1543.5</v>
      </c>
      <c r="DV304" s="12">
        <f>SUM($AQ304:CP304)-SUM($EA304:FN304)</f>
        <v>-1653.8</v>
      </c>
      <c r="DW304" s="12">
        <f>SUM($AQ304:CQ304)-SUM($EA304:FO304)</f>
        <v>-1737.3</v>
      </c>
      <c r="DX304" s="13"/>
      <c r="DY304" s="13"/>
      <c r="DZ304" s="13"/>
      <c r="EA304" s="12"/>
      <c r="EB304" s="12"/>
      <c r="EC304" s="12"/>
      <c r="ED304" s="12"/>
      <c r="EE304" s="12"/>
      <c r="EF304" s="12"/>
      <c r="EG304" s="12"/>
      <c r="EH304" s="12">
        <f t="array" ref="EH304">SUMPRODUCT(TRANSPOSE(EH$9:EH$34),$K304:$AJ304)</f>
        <v>155.45000000000002</v>
      </c>
      <c r="EI304" s="12">
        <f t="array" ref="EI304">SUMPRODUCT(TRANSPOSE(EI$9:EI$34),$K304:$AJ304)</f>
        <v>14.05</v>
      </c>
      <c r="EJ304" s="12">
        <f t="array" ref="EJ304">SUMPRODUCT(TRANSPOSE(EJ$9:EJ$34),$K304:$AJ304)</f>
        <v>0</v>
      </c>
      <c r="EK304" s="12">
        <f t="array" ref="EK304">SUMPRODUCT(TRANSPOSE(EK$9:EK$34),$K304:$AJ304)</f>
        <v>5</v>
      </c>
      <c r="EL304" s="12">
        <f t="array" ref="EL304">SUMPRODUCT(TRANSPOSE(EL$9:EL$34),$K304:$AJ304)</f>
        <v>50</v>
      </c>
      <c r="EM304" s="12">
        <f t="array" ref="EM304">SUMPRODUCT(TRANSPOSE(EM$9:EM$34),$K304:$AJ304)</f>
        <v>100</v>
      </c>
      <c r="EN304" s="12">
        <f t="array" ref="EN304">SUMPRODUCT(TRANSPOSE(EN$9:EN$34),$K304:$AJ304)</f>
        <v>55</v>
      </c>
      <c r="EO304" s="12">
        <f t="array" ref="EO304">SUMPRODUCT(TRANSPOSE(EO$9:EO$34),$K304:$AJ304)</f>
        <v>50</v>
      </c>
      <c r="EP304" s="12">
        <f t="array" ref="EP304">SUMPRODUCT(TRANSPOSE(EP$9:EP$34),$K304:$AJ304)</f>
        <v>50</v>
      </c>
      <c r="EQ304" s="12">
        <f t="array" ref="EQ304">SUMPRODUCT(TRANSPOSE(EQ$9:EQ$34),$K304:$AJ304)</f>
        <v>50</v>
      </c>
      <c r="ER304" s="12">
        <f t="array" ref="ER304">SUMPRODUCT(TRANSPOSE(ER$9:ER$34),$K304:$AJ304)</f>
        <v>50</v>
      </c>
      <c r="ES304" s="12">
        <f t="array" ref="ES304">SUMPRODUCT(TRANSPOSE(ES$9:ES$34),$K304:$AJ304)</f>
        <v>50</v>
      </c>
      <c r="ET304" s="12">
        <f t="array" ref="ET304">SUMPRODUCT(TRANSPOSE(ET$9:ET$34),$K304:$AJ304)</f>
        <v>50</v>
      </c>
      <c r="EU304" s="12">
        <f t="array" ref="EU304">SUMPRODUCT(TRANSPOSE(EU$9:EU$34),$K304:$AJ304)</f>
        <v>50</v>
      </c>
      <c r="EV304" s="12">
        <f t="array" ref="EV304">SUMPRODUCT(TRANSPOSE(EV$9:EV$34),$K304:$AJ304)</f>
        <v>50</v>
      </c>
      <c r="EW304" s="12">
        <f t="array" ref="EW304">SUMPRODUCT(TRANSPOSE(EW$9:EW$34),$K304:$AJ304)</f>
        <v>50</v>
      </c>
      <c r="EX304" s="12">
        <f t="array" ref="EX304">SUMPRODUCT(TRANSPOSE(EX$9:EX$34),$K304:$AJ304)</f>
        <v>50</v>
      </c>
      <c r="EY304" s="12">
        <f t="array" ref="EY304">SUMPRODUCT(TRANSPOSE(EY$9:EY$34),$K304:$AJ304)</f>
        <v>50</v>
      </c>
      <c r="EZ304" s="12">
        <f t="array" ref="EZ304">SUMPRODUCT(TRANSPOSE(EZ$9:EZ$34),$K304:$AJ304)</f>
        <v>50</v>
      </c>
      <c r="FA304" s="12">
        <f t="array" ref="FA304">SUMPRODUCT(TRANSPOSE(FA$9:FA$34),$K304:$AJ304)</f>
        <v>50</v>
      </c>
      <c r="FB304" s="12">
        <f t="array" ref="FB304">SUMPRODUCT(TRANSPOSE(FB$9:FB$34),$K304:$AJ304)</f>
        <v>50</v>
      </c>
      <c r="FC304" s="12">
        <f t="array" ref="FC304">SUMPRODUCT(TRANSPOSE(FC$9:FC$34),$K304:$AJ304)</f>
        <v>50</v>
      </c>
      <c r="FD304" s="12">
        <f t="array" ref="FD304">SUMPRODUCT(TRANSPOSE(FD$9:FD$34),$K304:$AJ304)</f>
        <v>50</v>
      </c>
      <c r="FE304" s="12">
        <f t="array" ref="FE304">SUMPRODUCT(TRANSPOSE(FE$9:FE$34),$K304:$AJ304)</f>
        <v>50</v>
      </c>
      <c r="FF304" s="12">
        <f t="array" ref="FF304">SUMPRODUCT(TRANSPOSE(FF$9:FF$34),$K304:$AJ304)</f>
        <v>50</v>
      </c>
      <c r="FG304" s="12">
        <f t="array" ref="FG304">SUMPRODUCT(TRANSPOSE(FG$9:FG$34),$K304:$AJ304)</f>
        <v>50</v>
      </c>
      <c r="FH304" s="12">
        <f t="array" ref="FH304">SUMPRODUCT(TRANSPOSE(FH$9:FH$34),$K304:$AJ304)</f>
        <v>50</v>
      </c>
      <c r="FI304" s="12">
        <f t="array" ref="FI304">SUMPRODUCT(TRANSPOSE(FI$9:FI$34),$K304:$AJ304)</f>
        <v>50</v>
      </c>
      <c r="FJ304" s="12">
        <f t="array" ref="FJ304">SUMPRODUCT(TRANSPOSE(FJ$9:FJ$34),$K304:$AJ304)</f>
        <v>50</v>
      </c>
      <c r="FK304" s="12">
        <f t="array" ref="FK304">SUMPRODUCT(TRANSPOSE(FK$9:FK$34),$K304:$AJ304)</f>
        <v>50</v>
      </c>
      <c r="FL304" s="12">
        <f t="array" ref="FL304">SUMPRODUCT(TRANSPOSE(FL$9:FL$34),$K304:$AJ304)</f>
        <v>50</v>
      </c>
      <c r="FM304" s="12">
        <f t="array" ref="FM304">SUMPRODUCT(TRANSPOSE(FM$9:FM$34),$K304:$AJ304)</f>
        <v>50</v>
      </c>
      <c r="FN304" s="12">
        <f t="array" ref="FN304">SUMPRODUCT(TRANSPOSE(FN$9:FN$34),$K304:$AJ304)</f>
        <v>40.85</v>
      </c>
      <c r="FO304" s="12">
        <f t="array" ref="FO304">SUMPRODUCT(TRANSPOSE(FO$9:FO$34),$K304:$AJ304)</f>
        <v>0</v>
      </c>
    </row>
    <row r="305" spans="1:171" ht="14.25" x14ac:dyDescent="0.2">
      <c r="A305" s="13">
        <f t="shared" si="16"/>
        <v>270</v>
      </c>
      <c r="B305" s="13" t="s">
        <v>951</v>
      </c>
      <c r="C305" s="25" t="s">
        <v>952</v>
      </c>
      <c r="D305" s="13" t="s">
        <v>67</v>
      </c>
      <c r="E305" s="13">
        <v>732303821</v>
      </c>
      <c r="F305" s="26" t="s">
        <v>953</v>
      </c>
      <c r="G305" s="13"/>
      <c r="H305" s="13" t="s">
        <v>112</v>
      </c>
      <c r="I305" s="13">
        <v>2</v>
      </c>
      <c r="J305" s="13" t="s">
        <v>113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0.05</v>
      </c>
      <c r="X305" s="13">
        <v>0</v>
      </c>
      <c r="Y305" s="13"/>
      <c r="Z305" s="13"/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0.05</v>
      </c>
      <c r="AJ305" s="13">
        <v>0</v>
      </c>
      <c r="AK305" s="13">
        <f t="shared" si="17"/>
        <v>0.05</v>
      </c>
      <c r="AL305" s="23">
        <f t="shared" si="15"/>
        <v>1779.95</v>
      </c>
      <c r="AM305" s="13"/>
      <c r="AN305" s="13" t="s">
        <v>954</v>
      </c>
      <c r="AO305" s="7" t="s">
        <v>950</v>
      </c>
      <c r="AP305" s="38">
        <v>7.0447058823529404E-2</v>
      </c>
      <c r="AQ305" s="12">
        <v>145</v>
      </c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13"/>
      <c r="CG305" s="13"/>
      <c r="CH305" s="13"/>
      <c r="CI305" s="12"/>
      <c r="CJ305" s="12"/>
      <c r="CK305" s="12"/>
      <c r="CL305" s="12"/>
      <c r="CM305" s="12"/>
      <c r="CN305" s="12"/>
      <c r="CO305" s="12"/>
      <c r="CP305" s="12">
        <f>SUM($AQ305:BJ305)-SUM($EA305:EH305)</f>
        <v>90.699999999999989</v>
      </c>
      <c r="CQ305" s="12">
        <f>SUM($AQ305:BK305)-SUM($EA305:EI305)</f>
        <v>-10.450000000000017</v>
      </c>
      <c r="CR305" s="12">
        <f>SUM($AQ305:BL305)-SUM($EA305:EJ305)</f>
        <v>-25.250000000000028</v>
      </c>
      <c r="CS305" s="12">
        <f>SUM($AQ305:BM305)-SUM($EA305:EK305)</f>
        <v>-32.000000000000028</v>
      </c>
      <c r="CT305" s="12">
        <f>SUM($AQ305:BN305)-SUM($EA305:EL305)</f>
        <v>-82.750000000000028</v>
      </c>
      <c r="CU305" s="12">
        <f>SUM($AQ305:BO305)-SUM($EA305:EM305)</f>
        <v>-185.25</v>
      </c>
      <c r="CV305" s="12">
        <f>SUM($AQ305:BP305)-SUM($EA305:EN305)</f>
        <v>-242.75</v>
      </c>
      <c r="CW305" s="12">
        <f>SUM($AQ305:BQ305)-SUM($EA305:EO305)</f>
        <v>-292.75</v>
      </c>
      <c r="CX305" s="12">
        <f>SUM($AQ305:BR305)-SUM($EA305:EP305)</f>
        <v>-345.25</v>
      </c>
      <c r="CY305" s="12">
        <f>SUM($AQ305:BS305)-SUM($EA305:EQ305)</f>
        <v>-397.75</v>
      </c>
      <c r="CZ305" s="12">
        <f>SUM($AQ305:BT305)-SUM($EA305:ER305)</f>
        <v>-450.25</v>
      </c>
      <c r="DA305" s="12">
        <f>SUM($AQ305:BU305)-SUM($EA305:ES305)</f>
        <v>-502.75</v>
      </c>
      <c r="DB305" s="12">
        <f>SUM($AQ305:BV305)-SUM($EA305:ET305)</f>
        <v>-555.25</v>
      </c>
      <c r="DC305" s="12">
        <f>SUM($AQ305:BW305)-SUM($EA305:EU305)</f>
        <v>-607.75</v>
      </c>
      <c r="DD305" s="12">
        <f>SUM($AQ305:BX305)-SUM($EA305:EV305)</f>
        <v>-660.25</v>
      </c>
      <c r="DE305" s="12">
        <f>SUM($AQ305:BY305)-SUM($EA305:EW305)</f>
        <v>-710.75</v>
      </c>
      <c r="DF305" s="12">
        <f>SUM($AQ305:BZ305)-SUM($EA305:EX305)</f>
        <v>-760.75</v>
      </c>
      <c r="DG305" s="12">
        <f>SUM($AQ305:CA305)-SUM($EA305:EY305)</f>
        <v>-810.75</v>
      </c>
      <c r="DH305" s="12">
        <f>SUM($AQ305:CB305)-SUM($EA305:EZ305)</f>
        <v>-860.75</v>
      </c>
      <c r="DI305" s="12">
        <f>SUM($AQ305:CC305)-SUM($EA305:FA305)</f>
        <v>-910.75</v>
      </c>
      <c r="DJ305" s="12">
        <f>SUM($AQ305:CD305)-SUM($EA305:FB305)</f>
        <v>-960.75</v>
      </c>
      <c r="DK305" s="12">
        <f>SUM($AQ305:CE305)-SUM($EA305:FC305)</f>
        <v>-1010.75</v>
      </c>
      <c r="DL305" s="12">
        <f>SUM($AQ305:CF305)-SUM($EA305:FD305)</f>
        <v>-1060.75</v>
      </c>
      <c r="DM305" s="12">
        <f>SUM($AQ305:CG305)-SUM($EA305:FE305)</f>
        <v>-1110.75</v>
      </c>
      <c r="DN305" s="12">
        <f>SUM($AQ305:CH305)-SUM($EA305:FF305)</f>
        <v>-1160.75</v>
      </c>
      <c r="DO305" s="12">
        <f>SUM($AQ305:CI305)-SUM($EA305:FG305)</f>
        <v>-1210.75</v>
      </c>
      <c r="DP305" s="12">
        <f>SUM($AQ305:CJ305)-SUM($EA305:FH305)</f>
        <v>-1260.75</v>
      </c>
      <c r="DQ305" s="12">
        <f>SUM($AQ305:CK305)-SUM($EA305:FI305)</f>
        <v>-1310.75</v>
      </c>
      <c r="DR305" s="12">
        <f>SUM($AQ305:CL305)-SUM($EA305:FJ305)</f>
        <v>-1360.75</v>
      </c>
      <c r="DS305" s="12">
        <f>SUM($AQ305:CM305)-SUM($EA305:FK305)</f>
        <v>-1410.75</v>
      </c>
      <c r="DT305" s="12">
        <f>SUM($AQ305:CN305)-SUM($EA305:FL305)</f>
        <v>-1460.75</v>
      </c>
      <c r="DU305" s="12">
        <f>SUM($AQ305:CO305)-SUM($EA305:FM305)</f>
        <v>-1510.75</v>
      </c>
      <c r="DV305" s="12">
        <f>SUM($AQ305:CP305)-SUM($EA305:FN305)</f>
        <v>-1459.25</v>
      </c>
      <c r="DW305" s="12">
        <f>SUM($AQ305:CQ305)-SUM($EA305:FO305)</f>
        <v>-1469.7</v>
      </c>
      <c r="DX305" s="13"/>
      <c r="DY305" s="13"/>
      <c r="DZ305" s="13"/>
      <c r="EA305" s="12"/>
      <c r="EB305" s="12"/>
      <c r="EC305" s="12"/>
      <c r="ED305" s="12"/>
      <c r="EE305" s="12"/>
      <c r="EF305" s="12"/>
      <c r="EG305" s="12"/>
      <c r="EH305" s="12">
        <f t="array" ref="EH305">SUMPRODUCT(TRANSPOSE(EH$9:EH$34),$K305:$AJ305)</f>
        <v>54.300000000000004</v>
      </c>
      <c r="EI305" s="12">
        <f t="array" ref="EI305">SUMPRODUCT(TRANSPOSE(EI$9:EI$34),$K305:$AJ305)</f>
        <v>101.15</v>
      </c>
      <c r="EJ305" s="12">
        <f t="array" ref="EJ305">SUMPRODUCT(TRANSPOSE(EJ$9:EJ$34),$K305:$AJ305)</f>
        <v>14.8</v>
      </c>
      <c r="EK305" s="12">
        <f t="array" ref="EK305">SUMPRODUCT(TRANSPOSE(EK$9:EK$34),$K305:$AJ305)</f>
        <v>6.75</v>
      </c>
      <c r="EL305" s="12">
        <f t="array" ref="EL305">SUMPRODUCT(TRANSPOSE(EL$9:EL$34),$K305:$AJ305)</f>
        <v>50.75</v>
      </c>
      <c r="EM305" s="12">
        <f t="array" ref="EM305">SUMPRODUCT(TRANSPOSE(EM$9:EM$34),$K305:$AJ305)</f>
        <v>102.5</v>
      </c>
      <c r="EN305" s="12">
        <f t="array" ref="EN305">SUMPRODUCT(TRANSPOSE(EN$9:EN$34),$K305:$AJ305)</f>
        <v>57.5</v>
      </c>
      <c r="EO305" s="12">
        <f t="array" ref="EO305">SUMPRODUCT(TRANSPOSE(EO$9:EO$34),$K305:$AJ305)</f>
        <v>50</v>
      </c>
      <c r="EP305" s="12">
        <f t="array" ref="EP305">SUMPRODUCT(TRANSPOSE(EP$9:EP$34),$K305:$AJ305)</f>
        <v>52.5</v>
      </c>
      <c r="EQ305" s="12">
        <f t="array" ref="EQ305">SUMPRODUCT(TRANSPOSE(EQ$9:EQ$34),$K305:$AJ305)</f>
        <v>52.5</v>
      </c>
      <c r="ER305" s="12">
        <f t="array" ref="ER305">SUMPRODUCT(TRANSPOSE(ER$9:ER$34),$K305:$AJ305)</f>
        <v>52.5</v>
      </c>
      <c r="ES305" s="12">
        <f t="array" ref="ES305">SUMPRODUCT(TRANSPOSE(ES$9:ES$34),$K305:$AJ305)</f>
        <v>52.5</v>
      </c>
      <c r="ET305" s="12">
        <f t="array" ref="ET305">SUMPRODUCT(TRANSPOSE(ET$9:ET$34),$K305:$AJ305)</f>
        <v>52.5</v>
      </c>
      <c r="EU305" s="12">
        <f t="array" ref="EU305">SUMPRODUCT(TRANSPOSE(EU$9:EU$34),$K305:$AJ305)</f>
        <v>52.5</v>
      </c>
      <c r="EV305" s="12">
        <f t="array" ref="EV305">SUMPRODUCT(TRANSPOSE(EV$9:EV$34),$K305:$AJ305)</f>
        <v>52.5</v>
      </c>
      <c r="EW305" s="12">
        <f t="array" ref="EW305">SUMPRODUCT(TRANSPOSE(EW$9:EW$34),$K305:$AJ305)</f>
        <v>50.5</v>
      </c>
      <c r="EX305" s="12">
        <f t="array" ref="EX305">SUMPRODUCT(TRANSPOSE(EX$9:EX$34),$K305:$AJ305)</f>
        <v>50</v>
      </c>
      <c r="EY305" s="12">
        <f t="array" ref="EY305">SUMPRODUCT(TRANSPOSE(EY$9:EY$34),$K305:$AJ305)</f>
        <v>50</v>
      </c>
      <c r="EZ305" s="12">
        <f t="array" ref="EZ305">SUMPRODUCT(TRANSPOSE(EZ$9:EZ$34),$K305:$AJ305)</f>
        <v>50</v>
      </c>
      <c r="FA305" s="12">
        <f t="array" ref="FA305">SUMPRODUCT(TRANSPOSE(FA$9:FA$34),$K305:$AJ305)</f>
        <v>50</v>
      </c>
      <c r="FB305" s="12">
        <f t="array" ref="FB305">SUMPRODUCT(TRANSPOSE(FB$9:FB$34),$K305:$AJ305)</f>
        <v>50</v>
      </c>
      <c r="FC305" s="12">
        <f t="array" ref="FC305">SUMPRODUCT(TRANSPOSE(FC$9:FC$34),$K305:$AJ305)</f>
        <v>50</v>
      </c>
      <c r="FD305" s="12">
        <f t="array" ref="FD305">SUMPRODUCT(TRANSPOSE(FD$9:FD$34),$K305:$AJ305)</f>
        <v>50</v>
      </c>
      <c r="FE305" s="12">
        <f t="array" ref="FE305">SUMPRODUCT(TRANSPOSE(FE$9:FE$34),$K305:$AJ305)</f>
        <v>50</v>
      </c>
      <c r="FF305" s="12">
        <f t="array" ref="FF305">SUMPRODUCT(TRANSPOSE(FF$9:FF$34),$K305:$AJ305)</f>
        <v>50</v>
      </c>
      <c r="FG305" s="12">
        <f t="array" ref="FG305">SUMPRODUCT(TRANSPOSE(FG$9:FG$34),$K305:$AJ305)</f>
        <v>50</v>
      </c>
      <c r="FH305" s="12">
        <f t="array" ref="FH305">SUMPRODUCT(TRANSPOSE(FH$9:FH$34),$K305:$AJ305)</f>
        <v>50</v>
      </c>
      <c r="FI305" s="12">
        <f t="array" ref="FI305">SUMPRODUCT(TRANSPOSE(FI$9:FI$34),$K305:$AJ305)</f>
        <v>50</v>
      </c>
      <c r="FJ305" s="12">
        <f t="array" ref="FJ305">SUMPRODUCT(TRANSPOSE(FJ$9:FJ$34),$K305:$AJ305)</f>
        <v>50</v>
      </c>
      <c r="FK305" s="12">
        <f t="array" ref="FK305">SUMPRODUCT(TRANSPOSE(FK$9:FK$34),$K305:$AJ305)</f>
        <v>50</v>
      </c>
      <c r="FL305" s="12">
        <f t="array" ref="FL305">SUMPRODUCT(TRANSPOSE(FL$9:FL$34),$K305:$AJ305)</f>
        <v>50</v>
      </c>
      <c r="FM305" s="12">
        <f t="array" ref="FM305">SUMPRODUCT(TRANSPOSE(FM$9:FM$34),$K305:$AJ305)</f>
        <v>50</v>
      </c>
      <c r="FN305" s="12">
        <f t="array" ref="FN305">SUMPRODUCT(TRANSPOSE(FN$9:FN$34),$K305:$AJ305)</f>
        <v>39.200000000000003</v>
      </c>
      <c r="FO305" s="12">
        <f t="array" ref="FO305">SUMPRODUCT(TRANSPOSE(FO$9:FO$34),$K305:$AJ305)</f>
        <v>0</v>
      </c>
    </row>
    <row r="306" spans="1:171" ht="14.25" x14ac:dyDescent="0.2">
      <c r="A306" s="13">
        <f t="shared" si="16"/>
        <v>271</v>
      </c>
      <c r="B306" s="13" t="s">
        <v>955</v>
      </c>
      <c r="C306" s="25" t="s">
        <v>956</v>
      </c>
      <c r="D306" s="13" t="s">
        <v>67</v>
      </c>
      <c r="E306" s="13">
        <v>401351649</v>
      </c>
      <c r="F306" s="26" t="s">
        <v>957</v>
      </c>
      <c r="G306" s="13"/>
      <c r="H306" s="13" t="s">
        <v>61</v>
      </c>
      <c r="I306" s="13">
        <v>2</v>
      </c>
      <c r="J306" s="13">
        <v>14</v>
      </c>
      <c r="K306" s="13">
        <v>0</v>
      </c>
      <c r="L306" s="13">
        <v>0</v>
      </c>
      <c r="M306" s="13">
        <v>0</v>
      </c>
      <c r="N306" s="13">
        <v>0</v>
      </c>
      <c r="O306" s="13">
        <v>4</v>
      </c>
      <c r="P306" s="13">
        <v>0</v>
      </c>
      <c r="Q306" s="13">
        <v>0</v>
      </c>
      <c r="R306" s="13">
        <v>0</v>
      </c>
      <c r="S306" s="13">
        <v>1</v>
      </c>
      <c r="T306" s="13">
        <v>0</v>
      </c>
      <c r="U306" s="13">
        <v>0</v>
      </c>
      <c r="V306" s="13">
        <v>0</v>
      </c>
      <c r="W306" s="13">
        <v>0</v>
      </c>
      <c r="X306" s="13">
        <v>4</v>
      </c>
      <c r="Y306" s="13"/>
      <c r="Z306" s="13">
        <v>1</v>
      </c>
      <c r="AA306" s="13">
        <v>0</v>
      </c>
      <c r="AB306" s="13">
        <v>0</v>
      </c>
      <c r="AC306" s="13">
        <v>0</v>
      </c>
      <c r="AD306" s="13">
        <v>1</v>
      </c>
      <c r="AE306" s="13">
        <v>1</v>
      </c>
      <c r="AF306" s="13">
        <v>0</v>
      </c>
      <c r="AG306" s="13">
        <v>0</v>
      </c>
      <c r="AH306" s="13">
        <v>0</v>
      </c>
      <c r="AI306" s="13">
        <v>0</v>
      </c>
      <c r="AJ306" s="13">
        <v>4</v>
      </c>
      <c r="AK306" s="13">
        <f t="shared" si="17"/>
        <v>11</v>
      </c>
      <c r="AL306" s="23">
        <f t="shared" si="15"/>
        <v>319117</v>
      </c>
      <c r="AM306" s="13"/>
      <c r="AN306" s="13" t="s">
        <v>299</v>
      </c>
      <c r="AO306" s="7" t="s">
        <v>300</v>
      </c>
      <c r="AP306" s="38">
        <v>0.3</v>
      </c>
      <c r="AQ306" s="12">
        <v>110000</v>
      </c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13"/>
      <c r="CG306" s="13"/>
      <c r="CH306" s="13"/>
      <c r="CI306" s="12"/>
      <c r="CJ306" s="12"/>
      <c r="CK306" s="12"/>
      <c r="CL306" s="12"/>
      <c r="CM306" s="12"/>
      <c r="CN306" s="12"/>
      <c r="CO306" s="12"/>
      <c r="CP306" s="12">
        <f>SUM($AQ306:BJ306)-SUM($EA306:EH306)</f>
        <v>78639</v>
      </c>
      <c r="CQ306" s="12">
        <f>SUM($AQ306:BK306)-SUM($EA306:EI306)</f>
        <v>76758</v>
      </c>
      <c r="CR306" s="12">
        <f>SUM($AQ306:BL306)-SUM($EA306:EJ306)</f>
        <v>72683</v>
      </c>
      <c r="CS306" s="12">
        <f>SUM($AQ306:BM306)-SUM($EA306:EK306)</f>
        <v>68008</v>
      </c>
      <c r="CT306" s="12">
        <f>SUM($AQ306:BN306)-SUM($EA306:EL306)</f>
        <v>58933</v>
      </c>
      <c r="CU306" s="12">
        <f>SUM($AQ306:BO306)-SUM($EA306:EM306)</f>
        <v>48683</v>
      </c>
      <c r="CV306" s="12">
        <f>SUM($AQ306:BP306)-SUM($EA306:EN306)</f>
        <v>39333</v>
      </c>
      <c r="CW306" s="12">
        <f>SUM($AQ306:BQ306)-SUM($EA306:EO306)</f>
        <v>30333</v>
      </c>
      <c r="CX306" s="12">
        <f>SUM($AQ306:BR306)-SUM($EA306:EP306)</f>
        <v>21083</v>
      </c>
      <c r="CY306" s="12">
        <f>SUM($AQ306:BS306)-SUM($EA306:EQ306)</f>
        <v>11833</v>
      </c>
      <c r="CZ306" s="12">
        <f>SUM($AQ306:BT306)-SUM($EA306:ER306)</f>
        <v>2583</v>
      </c>
      <c r="DA306" s="12">
        <f>SUM($AQ306:BU306)-SUM($EA306:ES306)</f>
        <v>-6667</v>
      </c>
      <c r="DB306" s="12">
        <f>SUM($AQ306:BV306)-SUM($EA306:ET306)</f>
        <v>-15917</v>
      </c>
      <c r="DC306" s="12">
        <f>SUM($AQ306:BW306)-SUM($EA306:EU306)</f>
        <v>-25167</v>
      </c>
      <c r="DD306" s="12">
        <f>SUM($AQ306:BX306)-SUM($EA306:EV306)</f>
        <v>-34417</v>
      </c>
      <c r="DE306" s="12">
        <f>SUM($AQ306:BY306)-SUM($EA306:EW306)</f>
        <v>-43500</v>
      </c>
      <c r="DF306" s="12">
        <f>SUM($AQ306:BZ306)-SUM($EA306:EX306)</f>
        <v>-52500</v>
      </c>
      <c r="DG306" s="12">
        <f>SUM($AQ306:CA306)-SUM($EA306:EY306)</f>
        <v>-61500</v>
      </c>
      <c r="DH306" s="12">
        <f>SUM($AQ306:CB306)-SUM($EA306:EZ306)</f>
        <v>-70500</v>
      </c>
      <c r="DI306" s="12">
        <f>SUM($AQ306:CC306)-SUM($EA306:FA306)</f>
        <v>-79500</v>
      </c>
      <c r="DJ306" s="12">
        <f>SUM($AQ306:CD306)-SUM($EA306:FB306)</f>
        <v>-88500</v>
      </c>
      <c r="DK306" s="12">
        <f>SUM($AQ306:CE306)-SUM($EA306:FC306)</f>
        <v>-97500</v>
      </c>
      <c r="DL306" s="12">
        <f>SUM($AQ306:CF306)-SUM($EA306:FD306)</f>
        <v>-106500</v>
      </c>
      <c r="DM306" s="12">
        <f>SUM($AQ306:CG306)-SUM($EA306:FE306)</f>
        <v>-115500</v>
      </c>
      <c r="DN306" s="12">
        <f>SUM($AQ306:CH306)-SUM($EA306:FF306)</f>
        <v>-124500</v>
      </c>
      <c r="DO306" s="12">
        <f>SUM($AQ306:CI306)-SUM($EA306:FG306)</f>
        <v>-133500</v>
      </c>
      <c r="DP306" s="12">
        <f>SUM($AQ306:CJ306)-SUM($EA306:FH306)</f>
        <v>-142500</v>
      </c>
      <c r="DQ306" s="12">
        <f>SUM($AQ306:CK306)-SUM($EA306:FI306)</f>
        <v>-151500</v>
      </c>
      <c r="DR306" s="12">
        <f>SUM($AQ306:CL306)-SUM($EA306:FJ306)</f>
        <v>-160500</v>
      </c>
      <c r="DS306" s="12">
        <f>SUM($AQ306:CM306)-SUM($EA306:FK306)</f>
        <v>-169500</v>
      </c>
      <c r="DT306" s="12">
        <f>SUM($AQ306:CN306)-SUM($EA306:FL306)</f>
        <v>-178500</v>
      </c>
      <c r="DU306" s="12">
        <f>SUM($AQ306:CO306)-SUM($EA306:FM306)</f>
        <v>-187500</v>
      </c>
      <c r="DV306" s="12">
        <f>SUM($AQ306:CP306)-SUM($EA306:FN306)</f>
        <v>-116470</v>
      </c>
      <c r="DW306" s="12">
        <f>SUM($AQ306:CQ306)-SUM($EA306:FO306)</f>
        <v>-40020</v>
      </c>
      <c r="DX306" s="13"/>
      <c r="DY306" s="13"/>
      <c r="DZ306" s="13"/>
      <c r="EA306" s="12"/>
      <c r="EB306" s="12"/>
      <c r="EC306" s="12"/>
      <c r="ED306" s="12"/>
      <c r="EE306" s="12"/>
      <c r="EF306" s="12"/>
      <c r="EG306" s="12"/>
      <c r="EH306" s="12">
        <f t="array" ref="EH306">SUMPRODUCT(TRANSPOSE(EH$9:EH$34),$K306:$AJ306)</f>
        <v>31361</v>
      </c>
      <c r="EI306" s="12">
        <f t="array" ref="EI306">SUMPRODUCT(TRANSPOSE(EI$9:EI$34),$K306:$AJ306)</f>
        <v>1881</v>
      </c>
      <c r="EJ306" s="12">
        <f t="array" ref="EJ306">SUMPRODUCT(TRANSPOSE(EJ$9:EJ$34),$K306:$AJ306)</f>
        <v>4075</v>
      </c>
      <c r="EK306" s="12">
        <f t="array" ref="EK306">SUMPRODUCT(TRANSPOSE(EK$9:EK$34),$K306:$AJ306)</f>
        <v>4675</v>
      </c>
      <c r="EL306" s="12">
        <f t="array" ref="EL306">SUMPRODUCT(TRANSPOSE(EL$9:EL$34),$K306:$AJ306)</f>
        <v>9075</v>
      </c>
      <c r="EM306" s="12">
        <f t="array" ref="EM306">SUMPRODUCT(TRANSPOSE(EM$9:EM$34),$K306:$AJ306)</f>
        <v>10250</v>
      </c>
      <c r="EN306" s="12">
        <f t="array" ref="EN306">SUMPRODUCT(TRANSPOSE(EN$9:EN$34),$K306:$AJ306)</f>
        <v>9350</v>
      </c>
      <c r="EO306" s="12">
        <f t="array" ref="EO306">SUMPRODUCT(TRANSPOSE(EO$9:EO$34),$K306:$AJ306)</f>
        <v>9000</v>
      </c>
      <c r="EP306" s="12">
        <f t="array" ref="EP306">SUMPRODUCT(TRANSPOSE(EP$9:EP$34),$K306:$AJ306)</f>
        <v>9250</v>
      </c>
      <c r="EQ306" s="12">
        <f t="array" ref="EQ306">SUMPRODUCT(TRANSPOSE(EQ$9:EQ$34),$K306:$AJ306)</f>
        <v>9250</v>
      </c>
      <c r="ER306" s="12">
        <f t="array" ref="ER306">SUMPRODUCT(TRANSPOSE(ER$9:ER$34),$K306:$AJ306)</f>
        <v>9250</v>
      </c>
      <c r="ES306" s="12">
        <f t="array" ref="ES306">SUMPRODUCT(TRANSPOSE(ES$9:ES$34),$K306:$AJ306)</f>
        <v>9250</v>
      </c>
      <c r="ET306" s="12">
        <f t="array" ref="ET306">SUMPRODUCT(TRANSPOSE(ET$9:ET$34),$K306:$AJ306)</f>
        <v>9250</v>
      </c>
      <c r="EU306" s="12">
        <f t="array" ref="EU306">SUMPRODUCT(TRANSPOSE(EU$9:EU$34),$K306:$AJ306)</f>
        <v>9250</v>
      </c>
      <c r="EV306" s="12">
        <f t="array" ref="EV306">SUMPRODUCT(TRANSPOSE(EV$9:EV$34),$K306:$AJ306)</f>
        <v>9250</v>
      </c>
      <c r="EW306" s="12">
        <f t="array" ref="EW306">SUMPRODUCT(TRANSPOSE(EW$9:EW$34),$K306:$AJ306)</f>
        <v>9083</v>
      </c>
      <c r="EX306" s="12">
        <f t="array" ref="EX306">SUMPRODUCT(TRANSPOSE(EX$9:EX$34),$K306:$AJ306)</f>
        <v>9000</v>
      </c>
      <c r="EY306" s="12">
        <f t="array" ref="EY306">SUMPRODUCT(TRANSPOSE(EY$9:EY$34),$K306:$AJ306)</f>
        <v>9000</v>
      </c>
      <c r="EZ306" s="12">
        <f t="array" ref="EZ306">SUMPRODUCT(TRANSPOSE(EZ$9:EZ$34),$K306:$AJ306)</f>
        <v>9000</v>
      </c>
      <c r="FA306" s="12">
        <f t="array" ref="FA306">SUMPRODUCT(TRANSPOSE(FA$9:FA$34),$K306:$AJ306)</f>
        <v>9000</v>
      </c>
      <c r="FB306" s="12">
        <f t="array" ref="FB306">SUMPRODUCT(TRANSPOSE(FB$9:FB$34),$K306:$AJ306)</f>
        <v>9000</v>
      </c>
      <c r="FC306" s="12">
        <f t="array" ref="FC306">SUMPRODUCT(TRANSPOSE(FC$9:FC$34),$K306:$AJ306)</f>
        <v>9000</v>
      </c>
      <c r="FD306" s="12">
        <f t="array" ref="FD306">SUMPRODUCT(TRANSPOSE(FD$9:FD$34),$K306:$AJ306)</f>
        <v>9000</v>
      </c>
      <c r="FE306" s="12">
        <f t="array" ref="FE306">SUMPRODUCT(TRANSPOSE(FE$9:FE$34),$K306:$AJ306)</f>
        <v>9000</v>
      </c>
      <c r="FF306" s="12">
        <f t="array" ref="FF306">SUMPRODUCT(TRANSPOSE(FF$9:FF$34),$K306:$AJ306)</f>
        <v>9000</v>
      </c>
      <c r="FG306" s="12">
        <f t="array" ref="FG306">SUMPRODUCT(TRANSPOSE(FG$9:FG$34),$K306:$AJ306)</f>
        <v>9000</v>
      </c>
      <c r="FH306" s="12">
        <f t="array" ref="FH306">SUMPRODUCT(TRANSPOSE(FH$9:FH$34),$K306:$AJ306)</f>
        <v>9000</v>
      </c>
      <c r="FI306" s="12">
        <f t="array" ref="FI306">SUMPRODUCT(TRANSPOSE(FI$9:FI$34),$K306:$AJ306)</f>
        <v>9000</v>
      </c>
      <c r="FJ306" s="12">
        <f t="array" ref="FJ306">SUMPRODUCT(TRANSPOSE(FJ$9:FJ$34),$K306:$AJ306)</f>
        <v>9000</v>
      </c>
      <c r="FK306" s="12">
        <f t="array" ref="FK306">SUMPRODUCT(TRANSPOSE(FK$9:FK$34),$K306:$AJ306)</f>
        <v>9000</v>
      </c>
      <c r="FL306" s="12">
        <f t="array" ref="FL306">SUMPRODUCT(TRANSPOSE(FL$9:FL$34),$K306:$AJ306)</f>
        <v>9000</v>
      </c>
      <c r="FM306" s="12">
        <f t="array" ref="FM306">SUMPRODUCT(TRANSPOSE(FM$9:FM$34),$K306:$AJ306)</f>
        <v>9000</v>
      </c>
      <c r="FN306" s="12">
        <f t="array" ref="FN306">SUMPRODUCT(TRANSPOSE(FN$9:FN$34),$K306:$AJ306)</f>
        <v>7609</v>
      </c>
      <c r="FO306" s="12">
        <f t="array" ref="FO306">SUMPRODUCT(TRANSPOSE(FO$9:FO$34),$K306:$AJ306)</f>
        <v>308</v>
      </c>
    </row>
    <row r="307" spans="1:171" ht="14.25" x14ac:dyDescent="0.2">
      <c r="A307" s="13">
        <f t="shared" si="16"/>
        <v>272</v>
      </c>
      <c r="B307" s="13" t="s">
        <v>958</v>
      </c>
      <c r="C307" s="25" t="s">
        <v>959</v>
      </c>
      <c r="D307" s="13" t="s">
        <v>67</v>
      </c>
      <c r="E307" s="13">
        <v>409729294</v>
      </c>
      <c r="F307" s="26" t="s">
        <v>960</v>
      </c>
      <c r="G307" s="13"/>
      <c r="H307" s="13" t="s">
        <v>61</v>
      </c>
      <c r="I307" s="13">
        <v>2</v>
      </c>
      <c r="J307" s="13">
        <v>8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4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/>
      <c r="Z307" s="13">
        <v>4</v>
      </c>
      <c r="AA307" s="13">
        <v>0</v>
      </c>
      <c r="AB307" s="13">
        <v>0</v>
      </c>
      <c r="AC307" s="13">
        <v>0</v>
      </c>
      <c r="AD307" s="13">
        <v>4</v>
      </c>
      <c r="AE307" s="13">
        <v>4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f t="shared" si="17"/>
        <v>12</v>
      </c>
      <c r="AL307" s="23">
        <f t="shared" si="15"/>
        <v>142660</v>
      </c>
      <c r="AM307" s="13"/>
      <c r="AN307" s="13" t="s">
        <v>299</v>
      </c>
      <c r="AO307" s="7" t="s">
        <v>300</v>
      </c>
      <c r="AP307" s="38">
        <v>0.55600000000000005</v>
      </c>
      <c r="AQ307" s="12">
        <v>51000</v>
      </c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13"/>
      <c r="CG307" s="13"/>
      <c r="CH307" s="13"/>
      <c r="CI307" s="12"/>
      <c r="CJ307" s="12"/>
      <c r="CK307" s="12"/>
      <c r="CL307" s="12"/>
      <c r="CM307" s="12"/>
      <c r="CN307" s="12"/>
      <c r="CO307" s="12"/>
      <c r="CP307" s="12">
        <f>SUM($AQ307:BJ307)-SUM($EA307:EH307)</f>
        <v>38564</v>
      </c>
      <c r="CQ307" s="12">
        <f>SUM($AQ307:BK307)-SUM($EA307:EI307)</f>
        <v>37440</v>
      </c>
      <c r="CR307" s="12">
        <f>SUM($AQ307:BL307)-SUM($EA307:EJ307)</f>
        <v>37380</v>
      </c>
      <c r="CS307" s="12">
        <f>SUM($AQ307:BM307)-SUM($EA307:EK307)</f>
        <v>36840</v>
      </c>
      <c r="CT307" s="12">
        <f>SUM($AQ307:BN307)-SUM($EA307:EL307)</f>
        <v>32780</v>
      </c>
      <c r="CU307" s="12">
        <f>SUM($AQ307:BO307)-SUM($EA307:EM307)</f>
        <v>24580</v>
      </c>
      <c r="CV307" s="12">
        <f>SUM($AQ307:BP307)-SUM($EA307:EN307)</f>
        <v>19980</v>
      </c>
      <c r="CW307" s="12">
        <f>SUM($AQ307:BQ307)-SUM($EA307:EO307)</f>
        <v>15980</v>
      </c>
      <c r="CX307" s="12">
        <f>SUM($AQ307:BR307)-SUM($EA307:EP307)</f>
        <v>11780</v>
      </c>
      <c r="CY307" s="12">
        <f>SUM($AQ307:BS307)-SUM($EA307:EQ307)</f>
        <v>7580</v>
      </c>
      <c r="CZ307" s="12">
        <f>SUM($AQ307:BT307)-SUM($EA307:ER307)</f>
        <v>3380</v>
      </c>
      <c r="DA307" s="12">
        <f>SUM($AQ307:BU307)-SUM($EA307:ES307)</f>
        <v>-820</v>
      </c>
      <c r="DB307" s="12">
        <f>SUM($AQ307:BV307)-SUM($EA307:ET307)</f>
        <v>-5020</v>
      </c>
      <c r="DC307" s="12">
        <f>SUM($AQ307:BW307)-SUM($EA307:EU307)</f>
        <v>-9220</v>
      </c>
      <c r="DD307" s="12">
        <f>SUM($AQ307:BX307)-SUM($EA307:EV307)</f>
        <v>-13420</v>
      </c>
      <c r="DE307" s="12">
        <f>SUM($AQ307:BY307)-SUM($EA307:EW307)</f>
        <v>-17592</v>
      </c>
      <c r="DF307" s="12">
        <f>SUM($AQ307:BZ307)-SUM($EA307:EX307)</f>
        <v>-21592</v>
      </c>
      <c r="DG307" s="12">
        <f>SUM($AQ307:CA307)-SUM($EA307:EY307)</f>
        <v>-25592</v>
      </c>
      <c r="DH307" s="12">
        <f>SUM($AQ307:CB307)-SUM($EA307:EZ307)</f>
        <v>-29592</v>
      </c>
      <c r="DI307" s="12">
        <f>SUM($AQ307:CC307)-SUM($EA307:FA307)</f>
        <v>-33592</v>
      </c>
      <c r="DJ307" s="12">
        <f>SUM($AQ307:CD307)-SUM($EA307:FB307)</f>
        <v>-37592</v>
      </c>
      <c r="DK307" s="12">
        <f>SUM($AQ307:CE307)-SUM($EA307:FC307)</f>
        <v>-41592</v>
      </c>
      <c r="DL307" s="12">
        <f>SUM($AQ307:CF307)-SUM($EA307:FD307)</f>
        <v>-45592</v>
      </c>
      <c r="DM307" s="12">
        <f>SUM($AQ307:CG307)-SUM($EA307:FE307)</f>
        <v>-49592</v>
      </c>
      <c r="DN307" s="12">
        <f>SUM($AQ307:CH307)-SUM($EA307:FF307)</f>
        <v>-53592</v>
      </c>
      <c r="DO307" s="12">
        <f>SUM($AQ307:CI307)-SUM($EA307:FG307)</f>
        <v>-57592</v>
      </c>
      <c r="DP307" s="12">
        <f>SUM($AQ307:CJ307)-SUM($EA307:FH307)</f>
        <v>-61592</v>
      </c>
      <c r="DQ307" s="12">
        <f>SUM($AQ307:CK307)-SUM($EA307:FI307)</f>
        <v>-65592</v>
      </c>
      <c r="DR307" s="12">
        <f>SUM($AQ307:CL307)-SUM($EA307:FJ307)</f>
        <v>-69592</v>
      </c>
      <c r="DS307" s="12">
        <f>SUM($AQ307:CM307)-SUM($EA307:FK307)</f>
        <v>-73592</v>
      </c>
      <c r="DT307" s="12">
        <f>SUM($AQ307:CN307)-SUM($EA307:FL307)</f>
        <v>-77592</v>
      </c>
      <c r="DU307" s="12">
        <f>SUM($AQ307:CO307)-SUM($EA307:FM307)</f>
        <v>-81592</v>
      </c>
      <c r="DV307" s="12">
        <f>SUM($AQ307:CP307)-SUM($EA307:FN307)</f>
        <v>-46296</v>
      </c>
      <c r="DW307" s="12">
        <f>SUM($AQ307:CQ307)-SUM($EA307:FO307)</f>
        <v>-8856</v>
      </c>
      <c r="DX307" s="13"/>
      <c r="DY307" s="13"/>
      <c r="DZ307" s="13"/>
      <c r="EA307" s="12"/>
      <c r="EB307" s="12"/>
      <c r="EC307" s="12"/>
      <c r="ED307" s="12"/>
      <c r="EE307" s="12"/>
      <c r="EF307" s="12"/>
      <c r="EG307" s="12"/>
      <c r="EH307" s="12">
        <f t="array" ref="EH307">SUMPRODUCT(TRANSPOSE(EH$9:EH$34),$K307:$AJ307)</f>
        <v>12436</v>
      </c>
      <c r="EI307" s="12">
        <f t="array" ref="EI307">SUMPRODUCT(TRANSPOSE(EI$9:EI$34),$K307:$AJ307)</f>
        <v>1124</v>
      </c>
      <c r="EJ307" s="12">
        <f t="array" ref="EJ307">SUMPRODUCT(TRANSPOSE(EJ$9:EJ$34),$K307:$AJ307)</f>
        <v>60</v>
      </c>
      <c r="EK307" s="12">
        <f t="array" ref="EK307">SUMPRODUCT(TRANSPOSE(EK$9:EK$34),$K307:$AJ307)</f>
        <v>540</v>
      </c>
      <c r="EL307" s="12">
        <f t="array" ref="EL307">SUMPRODUCT(TRANSPOSE(EL$9:EL$34),$K307:$AJ307)</f>
        <v>4060</v>
      </c>
      <c r="EM307" s="12">
        <f t="array" ref="EM307">SUMPRODUCT(TRANSPOSE(EM$9:EM$34),$K307:$AJ307)</f>
        <v>8200</v>
      </c>
      <c r="EN307" s="12">
        <f t="array" ref="EN307">SUMPRODUCT(TRANSPOSE(EN$9:EN$34),$K307:$AJ307)</f>
        <v>4600</v>
      </c>
      <c r="EO307" s="12">
        <f t="array" ref="EO307">SUMPRODUCT(TRANSPOSE(EO$9:EO$34),$K307:$AJ307)</f>
        <v>4000</v>
      </c>
      <c r="EP307" s="12">
        <f t="array" ref="EP307">SUMPRODUCT(TRANSPOSE(EP$9:EP$34),$K307:$AJ307)</f>
        <v>4200</v>
      </c>
      <c r="EQ307" s="12">
        <f t="array" ref="EQ307">SUMPRODUCT(TRANSPOSE(EQ$9:EQ$34),$K307:$AJ307)</f>
        <v>4200</v>
      </c>
      <c r="ER307" s="12">
        <f t="array" ref="ER307">SUMPRODUCT(TRANSPOSE(ER$9:ER$34),$K307:$AJ307)</f>
        <v>4200</v>
      </c>
      <c r="ES307" s="12">
        <f t="array" ref="ES307">SUMPRODUCT(TRANSPOSE(ES$9:ES$34),$K307:$AJ307)</f>
        <v>4200</v>
      </c>
      <c r="ET307" s="12">
        <f t="array" ref="ET307">SUMPRODUCT(TRANSPOSE(ET$9:ET$34),$K307:$AJ307)</f>
        <v>4200</v>
      </c>
      <c r="EU307" s="12">
        <f t="array" ref="EU307">SUMPRODUCT(TRANSPOSE(EU$9:EU$34),$K307:$AJ307)</f>
        <v>4200</v>
      </c>
      <c r="EV307" s="12">
        <f t="array" ref="EV307">SUMPRODUCT(TRANSPOSE(EV$9:EV$34),$K307:$AJ307)</f>
        <v>4200</v>
      </c>
      <c r="EW307" s="12">
        <f t="array" ref="EW307">SUMPRODUCT(TRANSPOSE(EW$9:EW$34),$K307:$AJ307)</f>
        <v>4172</v>
      </c>
      <c r="EX307" s="12">
        <f t="array" ref="EX307">SUMPRODUCT(TRANSPOSE(EX$9:EX$34),$K307:$AJ307)</f>
        <v>4000</v>
      </c>
      <c r="EY307" s="12">
        <f t="array" ref="EY307">SUMPRODUCT(TRANSPOSE(EY$9:EY$34),$K307:$AJ307)</f>
        <v>4000</v>
      </c>
      <c r="EZ307" s="12">
        <f t="array" ref="EZ307">SUMPRODUCT(TRANSPOSE(EZ$9:EZ$34),$K307:$AJ307)</f>
        <v>4000</v>
      </c>
      <c r="FA307" s="12">
        <f t="array" ref="FA307">SUMPRODUCT(TRANSPOSE(FA$9:FA$34),$K307:$AJ307)</f>
        <v>4000</v>
      </c>
      <c r="FB307" s="12">
        <f t="array" ref="FB307">SUMPRODUCT(TRANSPOSE(FB$9:FB$34),$K307:$AJ307)</f>
        <v>4000</v>
      </c>
      <c r="FC307" s="12">
        <f t="array" ref="FC307">SUMPRODUCT(TRANSPOSE(FC$9:FC$34),$K307:$AJ307)</f>
        <v>4000</v>
      </c>
      <c r="FD307" s="12">
        <f t="array" ref="FD307">SUMPRODUCT(TRANSPOSE(FD$9:FD$34),$K307:$AJ307)</f>
        <v>4000</v>
      </c>
      <c r="FE307" s="12">
        <f t="array" ref="FE307">SUMPRODUCT(TRANSPOSE(FE$9:FE$34),$K307:$AJ307)</f>
        <v>4000</v>
      </c>
      <c r="FF307" s="12">
        <f t="array" ref="FF307">SUMPRODUCT(TRANSPOSE(FF$9:FF$34),$K307:$AJ307)</f>
        <v>4000</v>
      </c>
      <c r="FG307" s="12">
        <f t="array" ref="FG307">SUMPRODUCT(TRANSPOSE(FG$9:FG$34),$K307:$AJ307)</f>
        <v>4000</v>
      </c>
      <c r="FH307" s="12">
        <f t="array" ref="FH307">SUMPRODUCT(TRANSPOSE(FH$9:FH$34),$K307:$AJ307)</f>
        <v>4000</v>
      </c>
      <c r="FI307" s="12">
        <f t="array" ref="FI307">SUMPRODUCT(TRANSPOSE(FI$9:FI$34),$K307:$AJ307)</f>
        <v>4000</v>
      </c>
      <c r="FJ307" s="12">
        <f t="array" ref="FJ307">SUMPRODUCT(TRANSPOSE(FJ$9:FJ$34),$K307:$AJ307)</f>
        <v>4000</v>
      </c>
      <c r="FK307" s="12">
        <f t="array" ref="FK307">SUMPRODUCT(TRANSPOSE(FK$9:FK$34),$K307:$AJ307)</f>
        <v>4000</v>
      </c>
      <c r="FL307" s="12">
        <f t="array" ref="FL307">SUMPRODUCT(TRANSPOSE(FL$9:FL$34),$K307:$AJ307)</f>
        <v>4000</v>
      </c>
      <c r="FM307" s="12">
        <f t="array" ref="FM307">SUMPRODUCT(TRANSPOSE(FM$9:FM$34),$K307:$AJ307)</f>
        <v>4000</v>
      </c>
      <c r="FN307" s="12">
        <f t="array" ref="FN307">SUMPRODUCT(TRANSPOSE(FN$9:FN$34),$K307:$AJ307)</f>
        <v>3268</v>
      </c>
      <c r="FO307" s="12">
        <f t="array" ref="FO307">SUMPRODUCT(TRANSPOSE(FO$9:FO$34),$K307:$AJ307)</f>
        <v>0</v>
      </c>
    </row>
    <row r="308" spans="1:171" ht="14.25" x14ac:dyDescent="0.2">
      <c r="A308" s="13">
        <f t="shared" si="16"/>
        <v>273</v>
      </c>
      <c r="B308" s="13" t="s">
        <v>961</v>
      </c>
      <c r="C308" s="25" t="s">
        <v>962</v>
      </c>
      <c r="D308" s="13" t="s">
        <v>67</v>
      </c>
      <c r="E308" s="13">
        <v>411011051</v>
      </c>
      <c r="F308" s="26" t="s">
        <v>963</v>
      </c>
      <c r="G308" s="13"/>
      <c r="H308" s="13" t="s">
        <v>61</v>
      </c>
      <c r="I308" s="13">
        <v>2</v>
      </c>
      <c r="J308" s="13">
        <v>4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2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/>
      <c r="Z308" s="13">
        <v>2</v>
      </c>
      <c r="AA308" s="13">
        <v>0</v>
      </c>
      <c r="AB308" s="13">
        <v>0</v>
      </c>
      <c r="AC308" s="13">
        <v>0</v>
      </c>
      <c r="AD308" s="13">
        <v>2</v>
      </c>
      <c r="AE308" s="13">
        <v>2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f t="shared" si="17"/>
        <v>6</v>
      </c>
      <c r="AL308" s="23">
        <f t="shared" si="15"/>
        <v>71330</v>
      </c>
      <c r="AM308" s="27"/>
      <c r="AN308" s="13" t="s">
        <v>299</v>
      </c>
      <c r="AO308" s="7" t="s">
        <v>300</v>
      </c>
      <c r="AP308" s="38">
        <v>0.21099999999999999</v>
      </c>
      <c r="AQ308" s="12">
        <v>39400</v>
      </c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13"/>
      <c r="CG308" s="13"/>
      <c r="CH308" s="13"/>
      <c r="CI308" s="12"/>
      <c r="CJ308" s="12"/>
      <c r="CK308" s="12"/>
      <c r="CL308" s="12"/>
      <c r="CM308" s="12"/>
      <c r="CN308" s="12"/>
      <c r="CO308" s="12"/>
      <c r="CP308" s="12">
        <f>SUM($AQ308:BJ308)-SUM($EA308:EH308)</f>
        <v>33182</v>
      </c>
      <c r="CQ308" s="12">
        <f>SUM($AQ308:BK308)-SUM($EA308:EI308)</f>
        <v>32620</v>
      </c>
      <c r="CR308" s="12">
        <f>SUM($AQ308:BL308)-SUM($EA308:EJ308)</f>
        <v>32590</v>
      </c>
      <c r="CS308" s="12">
        <f>SUM($AQ308:BM308)-SUM($EA308:EK308)</f>
        <v>32320</v>
      </c>
      <c r="CT308" s="12">
        <f>SUM($AQ308:BN308)-SUM($EA308:EL308)</f>
        <v>30290</v>
      </c>
      <c r="CU308" s="12">
        <f>SUM($AQ308:BO308)-SUM($EA308:EM308)</f>
        <v>26190</v>
      </c>
      <c r="CV308" s="12">
        <f>SUM($AQ308:BP308)-SUM($EA308:EN308)</f>
        <v>23890</v>
      </c>
      <c r="CW308" s="12">
        <f>SUM($AQ308:BQ308)-SUM($EA308:EO308)</f>
        <v>21890</v>
      </c>
      <c r="CX308" s="12">
        <f>SUM($AQ308:BR308)-SUM($EA308:EP308)</f>
        <v>19790</v>
      </c>
      <c r="CY308" s="12">
        <f>SUM($AQ308:BS308)-SUM($EA308:EQ308)</f>
        <v>17690</v>
      </c>
      <c r="CZ308" s="12">
        <f>SUM($AQ308:BT308)-SUM($EA308:ER308)</f>
        <v>15590</v>
      </c>
      <c r="DA308" s="12">
        <f>SUM($AQ308:BU308)-SUM($EA308:ES308)</f>
        <v>13490</v>
      </c>
      <c r="DB308" s="12">
        <f>SUM($AQ308:BV308)-SUM($EA308:ET308)</f>
        <v>11390</v>
      </c>
      <c r="DC308" s="12">
        <f>SUM($AQ308:BW308)-SUM($EA308:EU308)</f>
        <v>9290</v>
      </c>
      <c r="DD308" s="12">
        <f>SUM($AQ308:BX308)-SUM($EA308:EV308)</f>
        <v>7190</v>
      </c>
      <c r="DE308" s="12">
        <f>SUM($AQ308:BY308)-SUM($EA308:EW308)</f>
        <v>5104</v>
      </c>
      <c r="DF308" s="12">
        <f>SUM($AQ308:BZ308)-SUM($EA308:EX308)</f>
        <v>3104</v>
      </c>
      <c r="DG308" s="12">
        <f>SUM($AQ308:CA308)-SUM($EA308:EY308)</f>
        <v>1104</v>
      </c>
      <c r="DH308" s="12">
        <f>SUM($AQ308:CB308)-SUM($EA308:EZ308)</f>
        <v>-896</v>
      </c>
      <c r="DI308" s="12">
        <f>SUM($AQ308:CC308)-SUM($EA308:FA308)</f>
        <v>-2896</v>
      </c>
      <c r="DJ308" s="12">
        <f>SUM($AQ308:CD308)-SUM($EA308:FB308)</f>
        <v>-4896</v>
      </c>
      <c r="DK308" s="12">
        <f>SUM($AQ308:CE308)-SUM($EA308:FC308)</f>
        <v>-6896</v>
      </c>
      <c r="DL308" s="12">
        <f>SUM($AQ308:CF308)-SUM($EA308:FD308)</f>
        <v>-8896</v>
      </c>
      <c r="DM308" s="12">
        <f>SUM($AQ308:CG308)-SUM($EA308:FE308)</f>
        <v>-10896</v>
      </c>
      <c r="DN308" s="12">
        <f>SUM($AQ308:CH308)-SUM($EA308:FF308)</f>
        <v>-12896</v>
      </c>
      <c r="DO308" s="12">
        <f>SUM($AQ308:CI308)-SUM($EA308:FG308)</f>
        <v>-14896</v>
      </c>
      <c r="DP308" s="12">
        <f>SUM($AQ308:CJ308)-SUM($EA308:FH308)</f>
        <v>-16896</v>
      </c>
      <c r="DQ308" s="12">
        <f>SUM($AQ308:CK308)-SUM($EA308:FI308)</f>
        <v>-18896</v>
      </c>
      <c r="DR308" s="12">
        <f>SUM($AQ308:CL308)-SUM($EA308:FJ308)</f>
        <v>-20896</v>
      </c>
      <c r="DS308" s="12">
        <f>SUM($AQ308:CM308)-SUM($EA308:FK308)</f>
        <v>-22896</v>
      </c>
      <c r="DT308" s="12">
        <f>SUM($AQ308:CN308)-SUM($EA308:FL308)</f>
        <v>-24896</v>
      </c>
      <c r="DU308" s="12">
        <f>SUM($AQ308:CO308)-SUM($EA308:FM308)</f>
        <v>-26896</v>
      </c>
      <c r="DV308" s="12">
        <f>SUM($AQ308:CP308)-SUM($EA308:FN308)</f>
        <v>4652</v>
      </c>
      <c r="DW308" s="12">
        <f>SUM($AQ308:CQ308)-SUM($EA308:FO308)</f>
        <v>37272</v>
      </c>
      <c r="DX308" s="13"/>
      <c r="DY308" s="13"/>
      <c r="DZ308" s="13"/>
      <c r="EA308" s="12"/>
      <c r="EB308" s="12"/>
      <c r="EC308" s="12"/>
      <c r="ED308" s="12"/>
      <c r="EE308" s="12"/>
      <c r="EF308" s="12"/>
      <c r="EG308" s="12"/>
      <c r="EH308" s="12">
        <f t="array" ref="EH308">SUMPRODUCT(TRANSPOSE(EH$9:EH$34),$K308:$AJ308)</f>
        <v>6218</v>
      </c>
      <c r="EI308" s="12">
        <f t="array" ref="EI308">SUMPRODUCT(TRANSPOSE(EI$9:EI$34),$K308:$AJ308)</f>
        <v>562</v>
      </c>
      <c r="EJ308" s="12">
        <f t="array" ref="EJ308">SUMPRODUCT(TRANSPOSE(EJ$9:EJ$34),$K308:$AJ308)</f>
        <v>30</v>
      </c>
      <c r="EK308" s="12">
        <f t="array" ref="EK308">SUMPRODUCT(TRANSPOSE(EK$9:EK$34),$K308:$AJ308)</f>
        <v>270</v>
      </c>
      <c r="EL308" s="12">
        <f t="array" ref="EL308">SUMPRODUCT(TRANSPOSE(EL$9:EL$34),$K308:$AJ308)</f>
        <v>2030</v>
      </c>
      <c r="EM308" s="12">
        <f t="array" ref="EM308">SUMPRODUCT(TRANSPOSE(EM$9:EM$34),$K308:$AJ308)</f>
        <v>4100</v>
      </c>
      <c r="EN308" s="12">
        <f t="array" ref="EN308">SUMPRODUCT(TRANSPOSE(EN$9:EN$34),$K308:$AJ308)</f>
        <v>2300</v>
      </c>
      <c r="EO308" s="12">
        <f t="array" ref="EO308">SUMPRODUCT(TRANSPOSE(EO$9:EO$34),$K308:$AJ308)</f>
        <v>2000</v>
      </c>
      <c r="EP308" s="12">
        <f t="array" ref="EP308">SUMPRODUCT(TRANSPOSE(EP$9:EP$34),$K308:$AJ308)</f>
        <v>2100</v>
      </c>
      <c r="EQ308" s="12">
        <f t="array" ref="EQ308">SUMPRODUCT(TRANSPOSE(EQ$9:EQ$34),$K308:$AJ308)</f>
        <v>2100</v>
      </c>
      <c r="ER308" s="12">
        <f t="array" ref="ER308">SUMPRODUCT(TRANSPOSE(ER$9:ER$34),$K308:$AJ308)</f>
        <v>2100</v>
      </c>
      <c r="ES308" s="12">
        <f t="array" ref="ES308">SUMPRODUCT(TRANSPOSE(ES$9:ES$34),$K308:$AJ308)</f>
        <v>2100</v>
      </c>
      <c r="ET308" s="12">
        <f t="array" ref="ET308">SUMPRODUCT(TRANSPOSE(ET$9:ET$34),$K308:$AJ308)</f>
        <v>2100</v>
      </c>
      <c r="EU308" s="12">
        <f t="array" ref="EU308">SUMPRODUCT(TRANSPOSE(EU$9:EU$34),$K308:$AJ308)</f>
        <v>2100</v>
      </c>
      <c r="EV308" s="12">
        <f t="array" ref="EV308">SUMPRODUCT(TRANSPOSE(EV$9:EV$34),$K308:$AJ308)</f>
        <v>2100</v>
      </c>
      <c r="EW308" s="12">
        <f t="array" ref="EW308">SUMPRODUCT(TRANSPOSE(EW$9:EW$34),$K308:$AJ308)</f>
        <v>2086</v>
      </c>
      <c r="EX308" s="12">
        <f t="array" ref="EX308">SUMPRODUCT(TRANSPOSE(EX$9:EX$34),$K308:$AJ308)</f>
        <v>2000</v>
      </c>
      <c r="EY308" s="12">
        <f t="array" ref="EY308">SUMPRODUCT(TRANSPOSE(EY$9:EY$34),$K308:$AJ308)</f>
        <v>2000</v>
      </c>
      <c r="EZ308" s="12">
        <f t="array" ref="EZ308">SUMPRODUCT(TRANSPOSE(EZ$9:EZ$34),$K308:$AJ308)</f>
        <v>2000</v>
      </c>
      <c r="FA308" s="12">
        <f t="array" ref="FA308">SUMPRODUCT(TRANSPOSE(FA$9:FA$34),$K308:$AJ308)</f>
        <v>2000</v>
      </c>
      <c r="FB308" s="12">
        <f t="array" ref="FB308">SUMPRODUCT(TRANSPOSE(FB$9:FB$34),$K308:$AJ308)</f>
        <v>2000</v>
      </c>
      <c r="FC308" s="12">
        <f t="array" ref="FC308">SUMPRODUCT(TRANSPOSE(FC$9:FC$34),$K308:$AJ308)</f>
        <v>2000</v>
      </c>
      <c r="FD308" s="12">
        <f t="array" ref="FD308">SUMPRODUCT(TRANSPOSE(FD$9:FD$34),$K308:$AJ308)</f>
        <v>2000</v>
      </c>
      <c r="FE308" s="12">
        <f t="array" ref="FE308">SUMPRODUCT(TRANSPOSE(FE$9:FE$34),$K308:$AJ308)</f>
        <v>2000</v>
      </c>
      <c r="FF308" s="12">
        <f t="array" ref="FF308">SUMPRODUCT(TRANSPOSE(FF$9:FF$34),$K308:$AJ308)</f>
        <v>2000</v>
      </c>
      <c r="FG308" s="12">
        <f t="array" ref="FG308">SUMPRODUCT(TRANSPOSE(FG$9:FG$34),$K308:$AJ308)</f>
        <v>2000</v>
      </c>
      <c r="FH308" s="12">
        <f t="array" ref="FH308">SUMPRODUCT(TRANSPOSE(FH$9:FH$34),$K308:$AJ308)</f>
        <v>2000</v>
      </c>
      <c r="FI308" s="12">
        <f t="array" ref="FI308">SUMPRODUCT(TRANSPOSE(FI$9:FI$34),$K308:$AJ308)</f>
        <v>2000</v>
      </c>
      <c r="FJ308" s="12">
        <f t="array" ref="FJ308">SUMPRODUCT(TRANSPOSE(FJ$9:FJ$34),$K308:$AJ308)</f>
        <v>2000</v>
      </c>
      <c r="FK308" s="12">
        <f t="array" ref="FK308">SUMPRODUCT(TRANSPOSE(FK$9:FK$34),$K308:$AJ308)</f>
        <v>2000</v>
      </c>
      <c r="FL308" s="12">
        <f t="array" ref="FL308">SUMPRODUCT(TRANSPOSE(FL$9:FL$34),$K308:$AJ308)</f>
        <v>2000</v>
      </c>
      <c r="FM308" s="12">
        <f t="array" ref="FM308">SUMPRODUCT(TRANSPOSE(FM$9:FM$34),$K308:$AJ308)</f>
        <v>2000</v>
      </c>
      <c r="FN308" s="12">
        <f t="array" ref="FN308">SUMPRODUCT(TRANSPOSE(FN$9:FN$34),$K308:$AJ308)</f>
        <v>1634</v>
      </c>
      <c r="FO308" s="12">
        <f t="array" ref="FO308">SUMPRODUCT(TRANSPOSE(FO$9:FO$34),$K308:$AJ308)</f>
        <v>0</v>
      </c>
    </row>
    <row r="309" spans="1:171" ht="14.25" x14ac:dyDescent="0.2">
      <c r="A309" s="13">
        <f t="shared" si="16"/>
        <v>274</v>
      </c>
      <c r="B309" s="13" t="s">
        <v>964</v>
      </c>
      <c r="C309" s="25" t="s">
        <v>965</v>
      </c>
      <c r="D309" s="13" t="s">
        <v>67</v>
      </c>
      <c r="E309" s="13">
        <v>401480774</v>
      </c>
      <c r="F309" s="26" t="s">
        <v>966</v>
      </c>
      <c r="G309" s="13" t="s">
        <v>967</v>
      </c>
      <c r="H309" s="13" t="s">
        <v>61</v>
      </c>
      <c r="I309" s="13">
        <v>2</v>
      </c>
      <c r="J309" s="13">
        <v>6</v>
      </c>
      <c r="K309" s="13">
        <v>0</v>
      </c>
      <c r="L309" s="13">
        <v>0</v>
      </c>
      <c r="M309" s="13">
        <v>0</v>
      </c>
      <c r="N309" s="13">
        <v>0</v>
      </c>
      <c r="O309" s="13">
        <v>2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2</v>
      </c>
      <c r="Y309" s="13"/>
      <c r="Z309" s="13"/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2</v>
      </c>
      <c r="AK309" s="13">
        <f t="shared" si="17"/>
        <v>4</v>
      </c>
      <c r="AL309" s="23">
        <f t="shared" si="15"/>
        <v>141726</v>
      </c>
      <c r="AM309" s="13"/>
      <c r="AN309" s="13" t="s">
        <v>299</v>
      </c>
      <c r="AO309" s="7" t="s">
        <v>300</v>
      </c>
      <c r="AP309" s="38">
        <v>0.05</v>
      </c>
      <c r="AQ309" s="12">
        <v>144000</v>
      </c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13"/>
      <c r="CG309" s="13"/>
      <c r="CH309" s="13"/>
      <c r="CI309" s="12"/>
      <c r="CJ309" s="12"/>
      <c r="CK309" s="12"/>
      <c r="CL309" s="12"/>
      <c r="CM309" s="12"/>
      <c r="CN309" s="12"/>
      <c r="CO309" s="12"/>
      <c r="CP309" s="12">
        <f>SUM($AQ309:BJ309)-SUM($EA309:EH309)</f>
        <v>129874</v>
      </c>
      <c r="CQ309" s="12">
        <f>SUM($AQ309:BK309)-SUM($EA309:EI309)</f>
        <v>129074</v>
      </c>
      <c r="CR309" s="12">
        <f>SUM($AQ309:BL309)-SUM($EA309:EJ309)</f>
        <v>127044</v>
      </c>
      <c r="CS309" s="12">
        <f>SUM($AQ309:BM309)-SUM($EA309:EK309)</f>
        <v>124774</v>
      </c>
      <c r="CT309" s="12">
        <f>SUM($AQ309:BN309)-SUM($EA309:EL309)</f>
        <v>120744</v>
      </c>
      <c r="CU309" s="12">
        <f>SUM($AQ309:BO309)-SUM($EA309:EM309)</f>
        <v>116644</v>
      </c>
      <c r="CV309" s="12">
        <f>SUM($AQ309:BP309)-SUM($EA309:EN309)</f>
        <v>112544</v>
      </c>
      <c r="CW309" s="12">
        <f>SUM($AQ309:BQ309)-SUM($EA309:EO309)</f>
        <v>108544</v>
      </c>
      <c r="CX309" s="12">
        <f>SUM($AQ309:BR309)-SUM($EA309:EP309)</f>
        <v>104444</v>
      </c>
      <c r="CY309" s="12">
        <f>SUM($AQ309:BS309)-SUM($EA309:EQ309)</f>
        <v>100344</v>
      </c>
      <c r="CZ309" s="12">
        <f>SUM($AQ309:BT309)-SUM($EA309:ER309)</f>
        <v>96244</v>
      </c>
      <c r="DA309" s="12">
        <f>SUM($AQ309:BU309)-SUM($EA309:ES309)</f>
        <v>92144</v>
      </c>
      <c r="DB309" s="12">
        <f>SUM($AQ309:BV309)-SUM($EA309:ET309)</f>
        <v>88044</v>
      </c>
      <c r="DC309" s="12">
        <f>SUM($AQ309:BW309)-SUM($EA309:EU309)</f>
        <v>83944</v>
      </c>
      <c r="DD309" s="12">
        <f>SUM($AQ309:BX309)-SUM($EA309:EV309)</f>
        <v>79844</v>
      </c>
      <c r="DE309" s="12">
        <f>SUM($AQ309:BY309)-SUM($EA309:EW309)</f>
        <v>75824</v>
      </c>
      <c r="DF309" s="12">
        <f>SUM($AQ309:BZ309)-SUM($EA309:EX309)</f>
        <v>71824</v>
      </c>
      <c r="DG309" s="12">
        <f>SUM($AQ309:CA309)-SUM($EA309:EY309)</f>
        <v>67824</v>
      </c>
      <c r="DH309" s="12">
        <f>SUM($AQ309:CB309)-SUM($EA309:EZ309)</f>
        <v>63824</v>
      </c>
      <c r="DI309" s="12">
        <f>SUM($AQ309:CC309)-SUM($EA309:FA309)</f>
        <v>59824</v>
      </c>
      <c r="DJ309" s="12">
        <f>SUM($AQ309:CD309)-SUM($EA309:FB309)</f>
        <v>55824</v>
      </c>
      <c r="DK309" s="12">
        <f>SUM($AQ309:CE309)-SUM($EA309:FC309)</f>
        <v>51824</v>
      </c>
      <c r="DL309" s="12">
        <f>SUM($AQ309:CF309)-SUM($EA309:FD309)</f>
        <v>47824</v>
      </c>
      <c r="DM309" s="12">
        <f>SUM($AQ309:CG309)-SUM($EA309:FE309)</f>
        <v>43824</v>
      </c>
      <c r="DN309" s="12">
        <f>SUM($AQ309:CH309)-SUM($EA309:FF309)</f>
        <v>39824</v>
      </c>
      <c r="DO309" s="12">
        <f>SUM($AQ309:CI309)-SUM($EA309:FG309)</f>
        <v>35824</v>
      </c>
      <c r="DP309" s="12">
        <f>SUM($AQ309:CJ309)-SUM($EA309:FH309)</f>
        <v>31824</v>
      </c>
      <c r="DQ309" s="12">
        <f>SUM($AQ309:CK309)-SUM($EA309:FI309)</f>
        <v>27824</v>
      </c>
      <c r="DR309" s="12">
        <f>SUM($AQ309:CL309)-SUM($EA309:FJ309)</f>
        <v>23824</v>
      </c>
      <c r="DS309" s="12">
        <f>SUM($AQ309:CM309)-SUM($EA309:FK309)</f>
        <v>19824</v>
      </c>
      <c r="DT309" s="12">
        <f>SUM($AQ309:CN309)-SUM($EA309:FL309)</f>
        <v>15824</v>
      </c>
      <c r="DU309" s="12">
        <f>SUM($AQ309:CO309)-SUM($EA309:FM309)</f>
        <v>11824</v>
      </c>
      <c r="DV309" s="12">
        <f>SUM($AQ309:CP309)-SUM($EA309:FN309)</f>
        <v>138302</v>
      </c>
      <c r="DW309" s="12">
        <f>SUM($AQ309:CQ309)-SUM($EA309:FO309)</f>
        <v>267222</v>
      </c>
      <c r="DX309" s="13"/>
      <c r="DY309" s="13"/>
      <c r="DZ309" s="13"/>
      <c r="EA309" s="12"/>
      <c r="EB309" s="12"/>
      <c r="EC309" s="12"/>
      <c r="ED309" s="12"/>
      <c r="EE309" s="12"/>
      <c r="EF309" s="12"/>
      <c r="EG309" s="12"/>
      <c r="EH309" s="12">
        <f t="array" ref="EH309">SUMPRODUCT(TRANSPOSE(EH$9:EH$34),$K309:$AJ309)</f>
        <v>14126</v>
      </c>
      <c r="EI309" s="12">
        <f t="array" ref="EI309">SUMPRODUCT(TRANSPOSE(EI$9:EI$34),$K309:$AJ309)</f>
        <v>800</v>
      </c>
      <c r="EJ309" s="12">
        <f t="array" ref="EJ309">SUMPRODUCT(TRANSPOSE(EJ$9:EJ$34),$K309:$AJ309)</f>
        <v>2030</v>
      </c>
      <c r="EK309" s="12">
        <f t="array" ref="EK309">SUMPRODUCT(TRANSPOSE(EK$9:EK$34),$K309:$AJ309)</f>
        <v>2270</v>
      </c>
      <c r="EL309" s="12">
        <f t="array" ref="EL309">SUMPRODUCT(TRANSPOSE(EL$9:EL$34),$K309:$AJ309)</f>
        <v>4030</v>
      </c>
      <c r="EM309" s="12">
        <f t="array" ref="EM309">SUMPRODUCT(TRANSPOSE(EM$9:EM$34),$K309:$AJ309)</f>
        <v>4100</v>
      </c>
      <c r="EN309" s="12">
        <f t="array" ref="EN309">SUMPRODUCT(TRANSPOSE(EN$9:EN$34),$K309:$AJ309)</f>
        <v>4100</v>
      </c>
      <c r="EO309" s="12">
        <f t="array" ref="EO309">SUMPRODUCT(TRANSPOSE(EO$9:EO$34),$K309:$AJ309)</f>
        <v>4000</v>
      </c>
      <c r="EP309" s="12">
        <f t="array" ref="EP309">SUMPRODUCT(TRANSPOSE(EP$9:EP$34),$K309:$AJ309)</f>
        <v>4100</v>
      </c>
      <c r="EQ309" s="12">
        <f t="array" ref="EQ309">SUMPRODUCT(TRANSPOSE(EQ$9:EQ$34),$K309:$AJ309)</f>
        <v>4100</v>
      </c>
      <c r="ER309" s="12">
        <f t="array" ref="ER309">SUMPRODUCT(TRANSPOSE(ER$9:ER$34),$K309:$AJ309)</f>
        <v>4100</v>
      </c>
      <c r="ES309" s="12">
        <f t="array" ref="ES309">SUMPRODUCT(TRANSPOSE(ES$9:ES$34),$K309:$AJ309)</f>
        <v>4100</v>
      </c>
      <c r="ET309" s="12">
        <f t="array" ref="ET309">SUMPRODUCT(TRANSPOSE(ET$9:ET$34),$K309:$AJ309)</f>
        <v>4100</v>
      </c>
      <c r="EU309" s="12">
        <f t="array" ref="EU309">SUMPRODUCT(TRANSPOSE(EU$9:EU$34),$K309:$AJ309)</f>
        <v>4100</v>
      </c>
      <c r="EV309" s="12">
        <f t="array" ref="EV309">SUMPRODUCT(TRANSPOSE(EV$9:EV$34),$K309:$AJ309)</f>
        <v>4100</v>
      </c>
      <c r="EW309" s="12">
        <f t="array" ref="EW309">SUMPRODUCT(TRANSPOSE(EW$9:EW$34),$K309:$AJ309)</f>
        <v>4020</v>
      </c>
      <c r="EX309" s="12">
        <f t="array" ref="EX309">SUMPRODUCT(TRANSPOSE(EX$9:EX$34),$K309:$AJ309)</f>
        <v>4000</v>
      </c>
      <c r="EY309" s="12">
        <f t="array" ref="EY309">SUMPRODUCT(TRANSPOSE(EY$9:EY$34),$K309:$AJ309)</f>
        <v>4000</v>
      </c>
      <c r="EZ309" s="12">
        <f t="array" ref="EZ309">SUMPRODUCT(TRANSPOSE(EZ$9:EZ$34),$K309:$AJ309)</f>
        <v>4000</v>
      </c>
      <c r="FA309" s="12">
        <f t="array" ref="FA309">SUMPRODUCT(TRANSPOSE(FA$9:FA$34),$K309:$AJ309)</f>
        <v>4000</v>
      </c>
      <c r="FB309" s="12">
        <f t="array" ref="FB309">SUMPRODUCT(TRANSPOSE(FB$9:FB$34),$K309:$AJ309)</f>
        <v>4000</v>
      </c>
      <c r="FC309" s="12">
        <f t="array" ref="FC309">SUMPRODUCT(TRANSPOSE(FC$9:FC$34),$K309:$AJ309)</f>
        <v>4000</v>
      </c>
      <c r="FD309" s="12">
        <f t="array" ref="FD309">SUMPRODUCT(TRANSPOSE(FD$9:FD$34),$K309:$AJ309)</f>
        <v>4000</v>
      </c>
      <c r="FE309" s="12">
        <f t="array" ref="FE309">SUMPRODUCT(TRANSPOSE(FE$9:FE$34),$K309:$AJ309)</f>
        <v>4000</v>
      </c>
      <c r="FF309" s="12">
        <f t="array" ref="FF309">SUMPRODUCT(TRANSPOSE(FF$9:FF$34),$K309:$AJ309)</f>
        <v>4000</v>
      </c>
      <c r="FG309" s="12">
        <f t="array" ref="FG309">SUMPRODUCT(TRANSPOSE(FG$9:FG$34),$K309:$AJ309)</f>
        <v>4000</v>
      </c>
      <c r="FH309" s="12">
        <f t="array" ref="FH309">SUMPRODUCT(TRANSPOSE(FH$9:FH$34),$K309:$AJ309)</f>
        <v>4000</v>
      </c>
      <c r="FI309" s="12">
        <f t="array" ref="FI309">SUMPRODUCT(TRANSPOSE(FI$9:FI$34),$K309:$AJ309)</f>
        <v>4000</v>
      </c>
      <c r="FJ309" s="12">
        <f t="array" ref="FJ309">SUMPRODUCT(TRANSPOSE(FJ$9:FJ$34),$K309:$AJ309)</f>
        <v>4000</v>
      </c>
      <c r="FK309" s="12">
        <f t="array" ref="FK309">SUMPRODUCT(TRANSPOSE(FK$9:FK$34),$K309:$AJ309)</f>
        <v>4000</v>
      </c>
      <c r="FL309" s="12">
        <f t="array" ref="FL309">SUMPRODUCT(TRANSPOSE(FL$9:FL$34),$K309:$AJ309)</f>
        <v>4000</v>
      </c>
      <c r="FM309" s="12">
        <f t="array" ref="FM309">SUMPRODUCT(TRANSPOSE(FM$9:FM$34),$K309:$AJ309)</f>
        <v>4000</v>
      </c>
      <c r="FN309" s="12">
        <f t="array" ref="FN309">SUMPRODUCT(TRANSPOSE(FN$9:FN$34),$K309:$AJ309)</f>
        <v>3396</v>
      </c>
      <c r="FO309" s="12">
        <f t="array" ref="FO309">SUMPRODUCT(TRANSPOSE(FO$9:FO$34),$K309:$AJ309)</f>
        <v>154</v>
      </c>
    </row>
    <row r="310" spans="1:171" ht="14.25" x14ac:dyDescent="0.2">
      <c r="A310" s="13">
        <f t="shared" si="16"/>
        <v>275</v>
      </c>
      <c r="B310" s="13" t="s">
        <v>968</v>
      </c>
      <c r="C310" s="25" t="s">
        <v>969</v>
      </c>
      <c r="D310" s="13" t="s">
        <v>67</v>
      </c>
      <c r="E310" s="13">
        <v>401533494</v>
      </c>
      <c r="F310" s="26" t="s">
        <v>970</v>
      </c>
      <c r="G310" s="13">
        <v>401534525</v>
      </c>
      <c r="H310" s="13" t="s">
        <v>61</v>
      </c>
      <c r="I310" s="13">
        <v>2</v>
      </c>
      <c r="J310" s="13">
        <v>6</v>
      </c>
      <c r="K310" s="13">
        <v>0</v>
      </c>
      <c r="L310" s="13">
        <v>0</v>
      </c>
      <c r="M310" s="13">
        <v>0</v>
      </c>
      <c r="N310" s="13">
        <v>0</v>
      </c>
      <c r="O310" s="13">
        <v>2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2</v>
      </c>
      <c r="Y310" s="13"/>
      <c r="Z310" s="13"/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2</v>
      </c>
      <c r="AK310" s="13">
        <f t="shared" si="17"/>
        <v>4</v>
      </c>
      <c r="AL310" s="23">
        <f t="shared" si="15"/>
        <v>141726</v>
      </c>
      <c r="AM310" s="13"/>
      <c r="AN310" s="13" t="s">
        <v>299</v>
      </c>
      <c r="AO310" s="7" t="s">
        <v>307</v>
      </c>
      <c r="AP310" s="38">
        <v>4.8000000000000001E-2</v>
      </c>
      <c r="AQ310" s="12">
        <v>144000</v>
      </c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13"/>
      <c r="CG310" s="13"/>
      <c r="CH310" s="13"/>
      <c r="CI310" s="12"/>
      <c r="CJ310" s="12"/>
      <c r="CK310" s="12"/>
      <c r="CL310" s="12"/>
      <c r="CM310" s="12"/>
      <c r="CN310" s="12"/>
      <c r="CO310" s="12"/>
      <c r="CP310" s="12">
        <f>SUM($AQ310:BJ310)-SUM($EA310:EH310)</f>
        <v>129874</v>
      </c>
      <c r="CQ310" s="12">
        <f>SUM($AQ310:BK310)-SUM($EA310:EI310)</f>
        <v>129074</v>
      </c>
      <c r="CR310" s="12">
        <f>SUM($AQ310:BL310)-SUM($EA310:EJ310)</f>
        <v>127044</v>
      </c>
      <c r="CS310" s="12">
        <f>SUM($AQ310:BM310)-SUM($EA310:EK310)</f>
        <v>124774</v>
      </c>
      <c r="CT310" s="12">
        <f>SUM($AQ310:BN310)-SUM($EA310:EL310)</f>
        <v>120744</v>
      </c>
      <c r="CU310" s="12">
        <f>SUM($AQ310:BO310)-SUM($EA310:EM310)</f>
        <v>116644</v>
      </c>
      <c r="CV310" s="12">
        <f>SUM($AQ310:BP310)-SUM($EA310:EN310)</f>
        <v>112544</v>
      </c>
      <c r="CW310" s="12">
        <f>SUM($AQ310:BQ310)-SUM($EA310:EO310)</f>
        <v>108544</v>
      </c>
      <c r="CX310" s="12">
        <f>SUM($AQ310:BR310)-SUM($EA310:EP310)</f>
        <v>104444</v>
      </c>
      <c r="CY310" s="12">
        <f>SUM($AQ310:BS310)-SUM($EA310:EQ310)</f>
        <v>100344</v>
      </c>
      <c r="CZ310" s="12">
        <f>SUM($AQ310:BT310)-SUM($EA310:ER310)</f>
        <v>96244</v>
      </c>
      <c r="DA310" s="12">
        <f>SUM($AQ310:BU310)-SUM($EA310:ES310)</f>
        <v>92144</v>
      </c>
      <c r="DB310" s="12">
        <f>SUM($AQ310:BV310)-SUM($EA310:ET310)</f>
        <v>88044</v>
      </c>
      <c r="DC310" s="12">
        <f>SUM($AQ310:BW310)-SUM($EA310:EU310)</f>
        <v>83944</v>
      </c>
      <c r="DD310" s="12">
        <f>SUM($AQ310:BX310)-SUM($EA310:EV310)</f>
        <v>79844</v>
      </c>
      <c r="DE310" s="12">
        <f>SUM($AQ310:BY310)-SUM($EA310:EW310)</f>
        <v>75824</v>
      </c>
      <c r="DF310" s="12">
        <f>SUM($AQ310:BZ310)-SUM($EA310:EX310)</f>
        <v>71824</v>
      </c>
      <c r="DG310" s="12">
        <f>SUM($AQ310:CA310)-SUM($EA310:EY310)</f>
        <v>67824</v>
      </c>
      <c r="DH310" s="12">
        <f>SUM($AQ310:CB310)-SUM($EA310:EZ310)</f>
        <v>63824</v>
      </c>
      <c r="DI310" s="12">
        <f>SUM($AQ310:CC310)-SUM($EA310:FA310)</f>
        <v>59824</v>
      </c>
      <c r="DJ310" s="12">
        <f>SUM($AQ310:CD310)-SUM($EA310:FB310)</f>
        <v>55824</v>
      </c>
      <c r="DK310" s="12">
        <f>SUM($AQ310:CE310)-SUM($EA310:FC310)</f>
        <v>51824</v>
      </c>
      <c r="DL310" s="12">
        <f>SUM($AQ310:CF310)-SUM($EA310:FD310)</f>
        <v>47824</v>
      </c>
      <c r="DM310" s="12">
        <f>SUM($AQ310:CG310)-SUM($EA310:FE310)</f>
        <v>43824</v>
      </c>
      <c r="DN310" s="12">
        <f>SUM($AQ310:CH310)-SUM($EA310:FF310)</f>
        <v>39824</v>
      </c>
      <c r="DO310" s="12">
        <f>SUM($AQ310:CI310)-SUM($EA310:FG310)</f>
        <v>35824</v>
      </c>
      <c r="DP310" s="12">
        <f>SUM($AQ310:CJ310)-SUM($EA310:FH310)</f>
        <v>31824</v>
      </c>
      <c r="DQ310" s="12">
        <f>SUM($AQ310:CK310)-SUM($EA310:FI310)</f>
        <v>27824</v>
      </c>
      <c r="DR310" s="12">
        <f>SUM($AQ310:CL310)-SUM($EA310:FJ310)</f>
        <v>23824</v>
      </c>
      <c r="DS310" s="12">
        <f>SUM($AQ310:CM310)-SUM($EA310:FK310)</f>
        <v>19824</v>
      </c>
      <c r="DT310" s="12">
        <f>SUM($AQ310:CN310)-SUM($EA310:FL310)</f>
        <v>15824</v>
      </c>
      <c r="DU310" s="12">
        <f>SUM($AQ310:CO310)-SUM($EA310:FM310)</f>
        <v>11824</v>
      </c>
      <c r="DV310" s="12">
        <f>SUM($AQ310:CP310)-SUM($EA310:FN310)</f>
        <v>138302</v>
      </c>
      <c r="DW310" s="12">
        <f>SUM($AQ310:CQ310)-SUM($EA310:FO310)</f>
        <v>267222</v>
      </c>
      <c r="DX310" s="13"/>
      <c r="DY310" s="13"/>
      <c r="DZ310" s="13"/>
      <c r="EA310" s="12"/>
      <c r="EB310" s="12"/>
      <c r="EC310" s="12"/>
      <c r="ED310" s="12"/>
      <c r="EE310" s="12"/>
      <c r="EF310" s="12"/>
      <c r="EG310" s="12"/>
      <c r="EH310" s="12">
        <f t="array" ref="EH310">SUMPRODUCT(TRANSPOSE(EH$9:EH$34),$K310:$AJ310)</f>
        <v>14126</v>
      </c>
      <c r="EI310" s="12">
        <f t="array" ref="EI310">SUMPRODUCT(TRANSPOSE(EI$9:EI$34),$K310:$AJ310)</f>
        <v>800</v>
      </c>
      <c r="EJ310" s="12">
        <f t="array" ref="EJ310">SUMPRODUCT(TRANSPOSE(EJ$9:EJ$34),$K310:$AJ310)</f>
        <v>2030</v>
      </c>
      <c r="EK310" s="12">
        <f t="array" ref="EK310">SUMPRODUCT(TRANSPOSE(EK$9:EK$34),$K310:$AJ310)</f>
        <v>2270</v>
      </c>
      <c r="EL310" s="12">
        <f t="array" ref="EL310">SUMPRODUCT(TRANSPOSE(EL$9:EL$34),$K310:$AJ310)</f>
        <v>4030</v>
      </c>
      <c r="EM310" s="12">
        <f t="array" ref="EM310">SUMPRODUCT(TRANSPOSE(EM$9:EM$34),$K310:$AJ310)</f>
        <v>4100</v>
      </c>
      <c r="EN310" s="12">
        <f t="array" ref="EN310">SUMPRODUCT(TRANSPOSE(EN$9:EN$34),$K310:$AJ310)</f>
        <v>4100</v>
      </c>
      <c r="EO310" s="12">
        <f t="array" ref="EO310">SUMPRODUCT(TRANSPOSE(EO$9:EO$34),$K310:$AJ310)</f>
        <v>4000</v>
      </c>
      <c r="EP310" s="12">
        <f t="array" ref="EP310">SUMPRODUCT(TRANSPOSE(EP$9:EP$34),$K310:$AJ310)</f>
        <v>4100</v>
      </c>
      <c r="EQ310" s="12">
        <f t="array" ref="EQ310">SUMPRODUCT(TRANSPOSE(EQ$9:EQ$34),$K310:$AJ310)</f>
        <v>4100</v>
      </c>
      <c r="ER310" s="12">
        <f t="array" ref="ER310">SUMPRODUCT(TRANSPOSE(ER$9:ER$34),$K310:$AJ310)</f>
        <v>4100</v>
      </c>
      <c r="ES310" s="12">
        <f t="array" ref="ES310">SUMPRODUCT(TRANSPOSE(ES$9:ES$34),$K310:$AJ310)</f>
        <v>4100</v>
      </c>
      <c r="ET310" s="12">
        <f t="array" ref="ET310">SUMPRODUCT(TRANSPOSE(ET$9:ET$34),$K310:$AJ310)</f>
        <v>4100</v>
      </c>
      <c r="EU310" s="12">
        <f t="array" ref="EU310">SUMPRODUCT(TRANSPOSE(EU$9:EU$34),$K310:$AJ310)</f>
        <v>4100</v>
      </c>
      <c r="EV310" s="12">
        <f t="array" ref="EV310">SUMPRODUCT(TRANSPOSE(EV$9:EV$34),$K310:$AJ310)</f>
        <v>4100</v>
      </c>
      <c r="EW310" s="12">
        <f t="array" ref="EW310">SUMPRODUCT(TRANSPOSE(EW$9:EW$34),$K310:$AJ310)</f>
        <v>4020</v>
      </c>
      <c r="EX310" s="12">
        <f t="array" ref="EX310">SUMPRODUCT(TRANSPOSE(EX$9:EX$34),$K310:$AJ310)</f>
        <v>4000</v>
      </c>
      <c r="EY310" s="12">
        <f t="array" ref="EY310">SUMPRODUCT(TRANSPOSE(EY$9:EY$34),$K310:$AJ310)</f>
        <v>4000</v>
      </c>
      <c r="EZ310" s="12">
        <f t="array" ref="EZ310">SUMPRODUCT(TRANSPOSE(EZ$9:EZ$34),$K310:$AJ310)</f>
        <v>4000</v>
      </c>
      <c r="FA310" s="12">
        <f t="array" ref="FA310">SUMPRODUCT(TRANSPOSE(FA$9:FA$34),$K310:$AJ310)</f>
        <v>4000</v>
      </c>
      <c r="FB310" s="12">
        <f t="array" ref="FB310">SUMPRODUCT(TRANSPOSE(FB$9:FB$34),$K310:$AJ310)</f>
        <v>4000</v>
      </c>
      <c r="FC310" s="12">
        <f t="array" ref="FC310">SUMPRODUCT(TRANSPOSE(FC$9:FC$34),$K310:$AJ310)</f>
        <v>4000</v>
      </c>
      <c r="FD310" s="12">
        <f t="array" ref="FD310">SUMPRODUCT(TRANSPOSE(FD$9:FD$34),$K310:$AJ310)</f>
        <v>4000</v>
      </c>
      <c r="FE310" s="12">
        <f t="array" ref="FE310">SUMPRODUCT(TRANSPOSE(FE$9:FE$34),$K310:$AJ310)</f>
        <v>4000</v>
      </c>
      <c r="FF310" s="12">
        <f t="array" ref="FF310">SUMPRODUCT(TRANSPOSE(FF$9:FF$34),$K310:$AJ310)</f>
        <v>4000</v>
      </c>
      <c r="FG310" s="12">
        <f t="array" ref="FG310">SUMPRODUCT(TRANSPOSE(FG$9:FG$34),$K310:$AJ310)</f>
        <v>4000</v>
      </c>
      <c r="FH310" s="12">
        <f t="array" ref="FH310">SUMPRODUCT(TRANSPOSE(FH$9:FH$34),$K310:$AJ310)</f>
        <v>4000</v>
      </c>
      <c r="FI310" s="12">
        <f t="array" ref="FI310">SUMPRODUCT(TRANSPOSE(FI$9:FI$34),$K310:$AJ310)</f>
        <v>4000</v>
      </c>
      <c r="FJ310" s="12">
        <f t="array" ref="FJ310">SUMPRODUCT(TRANSPOSE(FJ$9:FJ$34),$K310:$AJ310)</f>
        <v>4000</v>
      </c>
      <c r="FK310" s="12">
        <f t="array" ref="FK310">SUMPRODUCT(TRANSPOSE(FK$9:FK$34),$K310:$AJ310)</f>
        <v>4000</v>
      </c>
      <c r="FL310" s="12">
        <f t="array" ref="FL310">SUMPRODUCT(TRANSPOSE(FL$9:FL$34),$K310:$AJ310)</f>
        <v>4000</v>
      </c>
      <c r="FM310" s="12">
        <f t="array" ref="FM310">SUMPRODUCT(TRANSPOSE(FM$9:FM$34),$K310:$AJ310)</f>
        <v>4000</v>
      </c>
      <c r="FN310" s="12">
        <f t="array" ref="FN310">SUMPRODUCT(TRANSPOSE(FN$9:FN$34),$K310:$AJ310)</f>
        <v>3396</v>
      </c>
      <c r="FO310" s="12">
        <f t="array" ref="FO310">SUMPRODUCT(TRANSPOSE(FO$9:FO$34),$K310:$AJ310)</f>
        <v>154</v>
      </c>
    </row>
    <row r="311" spans="1:171" ht="14.25" x14ac:dyDescent="0.2">
      <c r="A311" s="13">
        <f t="shared" si="16"/>
        <v>276</v>
      </c>
      <c r="B311" s="13" t="s">
        <v>971</v>
      </c>
      <c r="C311" s="25" t="s">
        <v>972</v>
      </c>
      <c r="D311" s="13" t="s">
        <v>67</v>
      </c>
      <c r="E311" s="13">
        <v>421264840</v>
      </c>
      <c r="F311" s="26" t="s">
        <v>973</v>
      </c>
      <c r="G311" s="13">
        <v>421264894</v>
      </c>
      <c r="H311" s="13" t="s">
        <v>61</v>
      </c>
      <c r="I311" s="13">
        <v>2</v>
      </c>
      <c r="J311" s="13">
        <v>3</v>
      </c>
      <c r="K311" s="13">
        <v>0</v>
      </c>
      <c r="L311" s="13">
        <v>0</v>
      </c>
      <c r="M311" s="13">
        <v>0</v>
      </c>
      <c r="N311" s="13">
        <v>0</v>
      </c>
      <c r="O311" s="13">
        <v>1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1</v>
      </c>
      <c r="Y311" s="13"/>
      <c r="Z311" s="13"/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1</v>
      </c>
      <c r="AK311" s="13">
        <f t="shared" si="17"/>
        <v>2</v>
      </c>
      <c r="AL311" s="23">
        <f t="shared" si="15"/>
        <v>70863</v>
      </c>
      <c r="AM311" s="13"/>
      <c r="AN311" s="13" t="s">
        <v>974</v>
      </c>
      <c r="AO311" s="7" t="s">
        <v>410</v>
      </c>
      <c r="AP311" s="38">
        <v>7.7499999999999999E-2</v>
      </c>
      <c r="AQ311" s="12">
        <v>72000</v>
      </c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13"/>
      <c r="CG311" s="13"/>
      <c r="CH311" s="13"/>
      <c r="CI311" s="12"/>
      <c r="CJ311" s="12"/>
      <c r="CK311" s="12"/>
      <c r="CL311" s="12"/>
      <c r="CM311" s="12"/>
      <c r="CN311" s="12"/>
      <c r="CO311" s="12"/>
      <c r="CP311" s="12">
        <f>SUM($AQ311:BJ311)-SUM($EA311:EH311)</f>
        <v>64937</v>
      </c>
      <c r="CQ311" s="12">
        <f>SUM($AQ311:BK311)-SUM($EA311:EI311)</f>
        <v>64537</v>
      </c>
      <c r="CR311" s="12">
        <f>SUM($AQ311:BL311)-SUM($EA311:EJ311)</f>
        <v>63522</v>
      </c>
      <c r="CS311" s="12">
        <f>SUM($AQ311:BM311)-SUM($EA311:EK311)</f>
        <v>62387</v>
      </c>
      <c r="CT311" s="12">
        <f>SUM($AQ311:BN311)-SUM($EA311:EL311)</f>
        <v>60372</v>
      </c>
      <c r="CU311" s="12">
        <f>SUM($AQ311:BO311)-SUM($EA311:EM311)</f>
        <v>58322</v>
      </c>
      <c r="CV311" s="12">
        <f>SUM($AQ311:BP311)-SUM($EA311:EN311)</f>
        <v>56272</v>
      </c>
      <c r="CW311" s="12">
        <f>SUM($AQ311:BQ311)-SUM($EA311:EO311)</f>
        <v>54272</v>
      </c>
      <c r="CX311" s="12">
        <f>SUM($AQ311:BR311)-SUM($EA311:EP311)</f>
        <v>52222</v>
      </c>
      <c r="CY311" s="12">
        <f>SUM($AQ311:BS311)-SUM($EA311:EQ311)</f>
        <v>50172</v>
      </c>
      <c r="CZ311" s="12">
        <f>SUM($AQ311:BT311)-SUM($EA311:ER311)</f>
        <v>48122</v>
      </c>
      <c r="DA311" s="12">
        <f>SUM($AQ311:BU311)-SUM($EA311:ES311)</f>
        <v>46072</v>
      </c>
      <c r="DB311" s="12">
        <f>SUM($AQ311:BV311)-SUM($EA311:ET311)</f>
        <v>44022</v>
      </c>
      <c r="DC311" s="12">
        <f>SUM($AQ311:BW311)-SUM($EA311:EU311)</f>
        <v>41972</v>
      </c>
      <c r="DD311" s="12">
        <f>SUM($AQ311:BX311)-SUM($EA311:EV311)</f>
        <v>39922</v>
      </c>
      <c r="DE311" s="12">
        <f>SUM($AQ311:BY311)-SUM($EA311:EW311)</f>
        <v>37912</v>
      </c>
      <c r="DF311" s="12">
        <f>SUM($AQ311:BZ311)-SUM($EA311:EX311)</f>
        <v>35912</v>
      </c>
      <c r="DG311" s="12">
        <f>SUM($AQ311:CA311)-SUM($EA311:EY311)</f>
        <v>33912</v>
      </c>
      <c r="DH311" s="12">
        <f>SUM($AQ311:CB311)-SUM($EA311:EZ311)</f>
        <v>31912</v>
      </c>
      <c r="DI311" s="12">
        <f>SUM($AQ311:CC311)-SUM($EA311:FA311)</f>
        <v>29912</v>
      </c>
      <c r="DJ311" s="12">
        <f>SUM($AQ311:CD311)-SUM($EA311:FB311)</f>
        <v>27912</v>
      </c>
      <c r="DK311" s="12">
        <f>SUM($AQ311:CE311)-SUM($EA311:FC311)</f>
        <v>25912</v>
      </c>
      <c r="DL311" s="12">
        <f>SUM($AQ311:CF311)-SUM($EA311:FD311)</f>
        <v>23912</v>
      </c>
      <c r="DM311" s="12">
        <f>SUM($AQ311:CG311)-SUM($EA311:FE311)</f>
        <v>21912</v>
      </c>
      <c r="DN311" s="12">
        <f>SUM($AQ311:CH311)-SUM($EA311:FF311)</f>
        <v>19912</v>
      </c>
      <c r="DO311" s="12">
        <f>SUM($AQ311:CI311)-SUM($EA311:FG311)</f>
        <v>17912</v>
      </c>
      <c r="DP311" s="12">
        <f>SUM($AQ311:CJ311)-SUM($EA311:FH311)</f>
        <v>15912</v>
      </c>
      <c r="DQ311" s="12">
        <f>SUM($AQ311:CK311)-SUM($EA311:FI311)</f>
        <v>13912</v>
      </c>
      <c r="DR311" s="12">
        <f>SUM($AQ311:CL311)-SUM($EA311:FJ311)</f>
        <v>11912</v>
      </c>
      <c r="DS311" s="12">
        <f>SUM($AQ311:CM311)-SUM($EA311:FK311)</f>
        <v>9912</v>
      </c>
      <c r="DT311" s="12">
        <f>SUM($AQ311:CN311)-SUM($EA311:FL311)</f>
        <v>7912</v>
      </c>
      <c r="DU311" s="12">
        <f>SUM($AQ311:CO311)-SUM($EA311:FM311)</f>
        <v>5912</v>
      </c>
      <c r="DV311" s="12">
        <f>SUM($AQ311:CP311)-SUM($EA311:FN311)</f>
        <v>69151</v>
      </c>
      <c r="DW311" s="12">
        <f>SUM($AQ311:CQ311)-SUM($EA311:FO311)</f>
        <v>133611</v>
      </c>
      <c r="DX311" s="13"/>
      <c r="DY311" s="13"/>
      <c r="DZ311" s="13"/>
      <c r="EA311" s="12"/>
      <c r="EB311" s="12"/>
      <c r="EC311" s="12"/>
      <c r="ED311" s="12"/>
      <c r="EE311" s="12"/>
      <c r="EF311" s="12"/>
      <c r="EG311" s="12"/>
      <c r="EH311" s="12">
        <f t="array" ref="EH311">SUMPRODUCT(TRANSPOSE(EH$9:EH$34),$K311:$AJ311)</f>
        <v>7063</v>
      </c>
      <c r="EI311" s="12">
        <f t="array" ref="EI311">SUMPRODUCT(TRANSPOSE(EI$9:EI$34),$K311:$AJ311)</f>
        <v>400</v>
      </c>
      <c r="EJ311" s="12">
        <f t="array" ref="EJ311">SUMPRODUCT(TRANSPOSE(EJ$9:EJ$34),$K311:$AJ311)</f>
        <v>1015</v>
      </c>
      <c r="EK311" s="12">
        <f t="array" ref="EK311">SUMPRODUCT(TRANSPOSE(EK$9:EK$34),$K311:$AJ311)</f>
        <v>1135</v>
      </c>
      <c r="EL311" s="12">
        <f t="array" ref="EL311">SUMPRODUCT(TRANSPOSE(EL$9:EL$34),$K311:$AJ311)</f>
        <v>2015</v>
      </c>
      <c r="EM311" s="12">
        <f t="array" ref="EM311">SUMPRODUCT(TRANSPOSE(EM$9:EM$34),$K311:$AJ311)</f>
        <v>2050</v>
      </c>
      <c r="EN311" s="12">
        <f t="array" ref="EN311">SUMPRODUCT(TRANSPOSE(EN$9:EN$34),$K311:$AJ311)</f>
        <v>2050</v>
      </c>
      <c r="EO311" s="12">
        <f t="array" ref="EO311">SUMPRODUCT(TRANSPOSE(EO$9:EO$34),$K311:$AJ311)</f>
        <v>2000</v>
      </c>
      <c r="EP311" s="12">
        <f t="array" ref="EP311">SUMPRODUCT(TRANSPOSE(EP$9:EP$34),$K311:$AJ311)</f>
        <v>2050</v>
      </c>
      <c r="EQ311" s="12">
        <f t="array" ref="EQ311">SUMPRODUCT(TRANSPOSE(EQ$9:EQ$34),$K311:$AJ311)</f>
        <v>2050</v>
      </c>
      <c r="ER311" s="12">
        <f t="array" ref="ER311">SUMPRODUCT(TRANSPOSE(ER$9:ER$34),$K311:$AJ311)</f>
        <v>2050</v>
      </c>
      <c r="ES311" s="12">
        <f t="array" ref="ES311">SUMPRODUCT(TRANSPOSE(ES$9:ES$34),$K311:$AJ311)</f>
        <v>2050</v>
      </c>
      <c r="ET311" s="12">
        <f t="array" ref="ET311">SUMPRODUCT(TRANSPOSE(ET$9:ET$34),$K311:$AJ311)</f>
        <v>2050</v>
      </c>
      <c r="EU311" s="12">
        <f t="array" ref="EU311">SUMPRODUCT(TRANSPOSE(EU$9:EU$34),$K311:$AJ311)</f>
        <v>2050</v>
      </c>
      <c r="EV311" s="12">
        <f t="array" ref="EV311">SUMPRODUCT(TRANSPOSE(EV$9:EV$34),$K311:$AJ311)</f>
        <v>2050</v>
      </c>
      <c r="EW311" s="12">
        <f t="array" ref="EW311">SUMPRODUCT(TRANSPOSE(EW$9:EW$34),$K311:$AJ311)</f>
        <v>2010</v>
      </c>
      <c r="EX311" s="12">
        <f t="array" ref="EX311">SUMPRODUCT(TRANSPOSE(EX$9:EX$34),$K311:$AJ311)</f>
        <v>2000</v>
      </c>
      <c r="EY311" s="12">
        <f t="array" ref="EY311">SUMPRODUCT(TRANSPOSE(EY$9:EY$34),$K311:$AJ311)</f>
        <v>2000</v>
      </c>
      <c r="EZ311" s="12">
        <f t="array" ref="EZ311">SUMPRODUCT(TRANSPOSE(EZ$9:EZ$34),$K311:$AJ311)</f>
        <v>2000</v>
      </c>
      <c r="FA311" s="12">
        <f t="array" ref="FA311">SUMPRODUCT(TRANSPOSE(FA$9:FA$34),$K311:$AJ311)</f>
        <v>2000</v>
      </c>
      <c r="FB311" s="12">
        <f t="array" ref="FB311">SUMPRODUCT(TRANSPOSE(FB$9:FB$34),$K311:$AJ311)</f>
        <v>2000</v>
      </c>
      <c r="FC311" s="12">
        <f t="array" ref="FC311">SUMPRODUCT(TRANSPOSE(FC$9:FC$34),$K311:$AJ311)</f>
        <v>2000</v>
      </c>
      <c r="FD311" s="12">
        <f t="array" ref="FD311">SUMPRODUCT(TRANSPOSE(FD$9:FD$34),$K311:$AJ311)</f>
        <v>2000</v>
      </c>
      <c r="FE311" s="12">
        <f t="array" ref="FE311">SUMPRODUCT(TRANSPOSE(FE$9:FE$34),$K311:$AJ311)</f>
        <v>2000</v>
      </c>
      <c r="FF311" s="12">
        <f t="array" ref="FF311">SUMPRODUCT(TRANSPOSE(FF$9:FF$34),$K311:$AJ311)</f>
        <v>2000</v>
      </c>
      <c r="FG311" s="12">
        <f t="array" ref="FG311">SUMPRODUCT(TRANSPOSE(FG$9:FG$34),$K311:$AJ311)</f>
        <v>2000</v>
      </c>
      <c r="FH311" s="12">
        <f t="array" ref="FH311">SUMPRODUCT(TRANSPOSE(FH$9:FH$34),$K311:$AJ311)</f>
        <v>2000</v>
      </c>
      <c r="FI311" s="12">
        <f t="array" ref="FI311">SUMPRODUCT(TRANSPOSE(FI$9:FI$34),$K311:$AJ311)</f>
        <v>2000</v>
      </c>
      <c r="FJ311" s="12">
        <f t="array" ref="FJ311">SUMPRODUCT(TRANSPOSE(FJ$9:FJ$34),$K311:$AJ311)</f>
        <v>2000</v>
      </c>
      <c r="FK311" s="12">
        <f t="array" ref="FK311">SUMPRODUCT(TRANSPOSE(FK$9:FK$34),$K311:$AJ311)</f>
        <v>2000</v>
      </c>
      <c r="FL311" s="12">
        <f t="array" ref="FL311">SUMPRODUCT(TRANSPOSE(FL$9:FL$34),$K311:$AJ311)</f>
        <v>2000</v>
      </c>
      <c r="FM311" s="12">
        <f t="array" ref="FM311">SUMPRODUCT(TRANSPOSE(FM$9:FM$34),$K311:$AJ311)</f>
        <v>2000</v>
      </c>
      <c r="FN311" s="12">
        <f t="array" ref="FN311">SUMPRODUCT(TRANSPOSE(FN$9:FN$34),$K311:$AJ311)</f>
        <v>1698</v>
      </c>
      <c r="FO311" s="12">
        <f t="array" ref="FO311">SUMPRODUCT(TRANSPOSE(FO$9:FO$34),$K311:$AJ311)</f>
        <v>77</v>
      </c>
    </row>
    <row r="312" spans="1:171" ht="14.25" x14ac:dyDescent="0.2">
      <c r="A312" s="13">
        <f t="shared" si="16"/>
        <v>277</v>
      </c>
      <c r="B312" s="13" t="s">
        <v>975</v>
      </c>
      <c r="C312" s="25" t="s">
        <v>976</v>
      </c>
      <c r="D312" s="13" t="s">
        <v>67</v>
      </c>
      <c r="E312" s="13">
        <v>401050320</v>
      </c>
      <c r="F312" s="26" t="s">
        <v>977</v>
      </c>
      <c r="G312" s="13"/>
      <c r="H312" s="13" t="s">
        <v>61</v>
      </c>
      <c r="I312" s="13">
        <v>2</v>
      </c>
      <c r="J312" s="13">
        <v>4</v>
      </c>
      <c r="K312" s="13">
        <v>0</v>
      </c>
      <c r="L312" s="13">
        <v>0</v>
      </c>
      <c r="M312" s="13">
        <v>0</v>
      </c>
      <c r="N312" s="13">
        <v>4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/>
      <c r="Z312" s="13"/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f t="shared" ref="AK312:AK330" si="18">SUM(K312:AD312)</f>
        <v>4</v>
      </c>
      <c r="AL312" s="23">
        <f t="shared" si="15"/>
        <v>140924</v>
      </c>
      <c r="AM312" s="13"/>
      <c r="AN312" s="13" t="s">
        <v>978</v>
      </c>
      <c r="AO312" s="7" t="s">
        <v>979</v>
      </c>
      <c r="AP312" s="38">
        <v>0.89</v>
      </c>
      <c r="AQ312" s="12">
        <v>73200</v>
      </c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13"/>
      <c r="CG312" s="13"/>
      <c r="CH312" s="13"/>
      <c r="CI312" s="12"/>
      <c r="CJ312" s="12"/>
      <c r="CK312" s="12"/>
      <c r="CL312" s="12"/>
      <c r="CM312" s="12"/>
      <c r="CN312" s="12"/>
      <c r="CO312" s="12"/>
      <c r="CP312" s="12">
        <f>SUM($AQ312:BJ312)-SUM($EA312:EH312)</f>
        <v>57384</v>
      </c>
      <c r="CQ312" s="12">
        <f>SUM($AQ312:BK312)-SUM($EA312:EI312)</f>
        <v>57384</v>
      </c>
      <c r="CR312" s="12">
        <f>SUM($AQ312:BL312)-SUM($EA312:EJ312)</f>
        <v>53384</v>
      </c>
      <c r="CS312" s="12">
        <f>SUM($AQ312:BM312)-SUM($EA312:EK312)</f>
        <v>49384</v>
      </c>
      <c r="CT312" s="12">
        <f>SUM($AQ312:BN312)-SUM($EA312:EL312)</f>
        <v>45384</v>
      </c>
      <c r="CU312" s="12">
        <f>SUM($AQ312:BO312)-SUM($EA312:EM312)</f>
        <v>45384</v>
      </c>
      <c r="CV312" s="12">
        <f>SUM($AQ312:BP312)-SUM($EA312:EN312)</f>
        <v>41784</v>
      </c>
      <c r="CW312" s="12">
        <f>SUM($AQ312:BQ312)-SUM($EA312:EO312)</f>
        <v>37784</v>
      </c>
      <c r="CX312" s="12">
        <f>SUM($AQ312:BR312)-SUM($EA312:EP312)</f>
        <v>33784</v>
      </c>
      <c r="CY312" s="12">
        <f>SUM($AQ312:BS312)-SUM($EA312:EQ312)</f>
        <v>29784</v>
      </c>
      <c r="CZ312" s="12">
        <f>SUM($AQ312:BT312)-SUM($EA312:ER312)</f>
        <v>25784</v>
      </c>
      <c r="DA312" s="12">
        <f>SUM($AQ312:BU312)-SUM($EA312:ES312)</f>
        <v>21784</v>
      </c>
      <c r="DB312" s="12">
        <f>SUM($AQ312:BV312)-SUM($EA312:ET312)</f>
        <v>17784</v>
      </c>
      <c r="DC312" s="12">
        <f>SUM($AQ312:BW312)-SUM($EA312:EU312)</f>
        <v>13784</v>
      </c>
      <c r="DD312" s="12">
        <f>SUM($AQ312:BX312)-SUM($EA312:EV312)</f>
        <v>9784</v>
      </c>
      <c r="DE312" s="12">
        <f>SUM($AQ312:BY312)-SUM($EA312:EW312)</f>
        <v>5784</v>
      </c>
      <c r="DF312" s="12">
        <f>SUM($AQ312:BZ312)-SUM($EA312:EX312)</f>
        <v>1784</v>
      </c>
      <c r="DG312" s="12">
        <f>SUM($AQ312:CA312)-SUM($EA312:EY312)</f>
        <v>-2216</v>
      </c>
      <c r="DH312" s="12">
        <f>SUM($AQ312:CB312)-SUM($EA312:EZ312)</f>
        <v>-6216</v>
      </c>
      <c r="DI312" s="12">
        <f>SUM($AQ312:CC312)-SUM($EA312:FA312)</f>
        <v>-10216</v>
      </c>
      <c r="DJ312" s="12">
        <f>SUM($AQ312:CD312)-SUM($EA312:FB312)</f>
        <v>-14216</v>
      </c>
      <c r="DK312" s="12">
        <f>SUM($AQ312:CE312)-SUM($EA312:FC312)</f>
        <v>-18216</v>
      </c>
      <c r="DL312" s="12">
        <f>SUM($AQ312:CF312)-SUM($EA312:FD312)</f>
        <v>-22216</v>
      </c>
      <c r="DM312" s="12">
        <f>SUM($AQ312:CG312)-SUM($EA312:FE312)</f>
        <v>-26216</v>
      </c>
      <c r="DN312" s="12">
        <f>SUM($AQ312:CH312)-SUM($EA312:FF312)</f>
        <v>-30216</v>
      </c>
      <c r="DO312" s="12">
        <f>SUM($AQ312:CI312)-SUM($EA312:FG312)</f>
        <v>-34216</v>
      </c>
      <c r="DP312" s="12">
        <f>SUM($AQ312:CJ312)-SUM($EA312:FH312)</f>
        <v>-38216</v>
      </c>
      <c r="DQ312" s="12">
        <f>SUM($AQ312:CK312)-SUM($EA312:FI312)</f>
        <v>-42216</v>
      </c>
      <c r="DR312" s="12">
        <f>SUM($AQ312:CL312)-SUM($EA312:FJ312)</f>
        <v>-46216</v>
      </c>
      <c r="DS312" s="12">
        <f>SUM($AQ312:CM312)-SUM($EA312:FK312)</f>
        <v>-50216</v>
      </c>
      <c r="DT312" s="12">
        <f>SUM($AQ312:CN312)-SUM($EA312:FL312)</f>
        <v>-54216</v>
      </c>
      <c r="DU312" s="12">
        <f>SUM($AQ312:CO312)-SUM($EA312:FM312)</f>
        <v>-58216</v>
      </c>
      <c r="DV312" s="12">
        <f>SUM($AQ312:CP312)-SUM($EA312:FN312)</f>
        <v>-4832</v>
      </c>
      <c r="DW312" s="12">
        <f>SUM($AQ312:CQ312)-SUM($EA312:FO312)</f>
        <v>52244</v>
      </c>
      <c r="DX312" s="13"/>
      <c r="DY312" s="13"/>
      <c r="DZ312" s="13"/>
      <c r="EA312" s="12"/>
      <c r="EB312" s="12"/>
      <c r="EC312" s="12"/>
      <c r="ED312" s="12"/>
      <c r="EE312" s="12"/>
      <c r="EF312" s="12"/>
      <c r="EG312" s="12"/>
      <c r="EH312" s="12">
        <f t="array" ref="EH312">SUMPRODUCT(TRANSPOSE(EH$9:EH$34),$K312:$AJ312)</f>
        <v>15816</v>
      </c>
      <c r="EI312" s="12">
        <f t="array" ref="EI312">SUMPRODUCT(TRANSPOSE(EI$9:EI$34),$K312:$AJ312)</f>
        <v>0</v>
      </c>
      <c r="EJ312" s="12">
        <f t="array" ref="EJ312">SUMPRODUCT(TRANSPOSE(EJ$9:EJ$34),$K312:$AJ312)</f>
        <v>4000</v>
      </c>
      <c r="EK312" s="12">
        <f t="array" ref="EK312">SUMPRODUCT(TRANSPOSE(EK$9:EK$34),$K312:$AJ312)</f>
        <v>4000</v>
      </c>
      <c r="EL312" s="12">
        <f t="array" ref="EL312">SUMPRODUCT(TRANSPOSE(EL$9:EL$34),$K312:$AJ312)</f>
        <v>4000</v>
      </c>
      <c r="EM312" s="12">
        <f t="array" ref="EM312">SUMPRODUCT(TRANSPOSE(EM$9:EM$34),$K312:$AJ312)</f>
        <v>0</v>
      </c>
      <c r="EN312" s="12">
        <f t="array" ref="EN312">SUMPRODUCT(TRANSPOSE(EN$9:EN$34),$K312:$AJ312)</f>
        <v>3600</v>
      </c>
      <c r="EO312" s="12">
        <f t="array" ref="EO312">SUMPRODUCT(TRANSPOSE(EO$9:EO$34),$K312:$AJ312)</f>
        <v>4000</v>
      </c>
      <c r="EP312" s="12">
        <f t="array" ref="EP312">SUMPRODUCT(TRANSPOSE(EP$9:EP$34),$K312:$AJ312)</f>
        <v>4000</v>
      </c>
      <c r="EQ312" s="12">
        <f t="array" ref="EQ312">SUMPRODUCT(TRANSPOSE(EQ$9:EQ$34),$K312:$AJ312)</f>
        <v>4000</v>
      </c>
      <c r="ER312" s="12">
        <f t="array" ref="ER312">SUMPRODUCT(TRANSPOSE(ER$9:ER$34),$K312:$AJ312)</f>
        <v>4000</v>
      </c>
      <c r="ES312" s="12">
        <f t="array" ref="ES312">SUMPRODUCT(TRANSPOSE(ES$9:ES$34),$K312:$AJ312)</f>
        <v>4000</v>
      </c>
      <c r="ET312" s="12">
        <f t="array" ref="ET312">SUMPRODUCT(TRANSPOSE(ET$9:ET$34),$K312:$AJ312)</f>
        <v>4000</v>
      </c>
      <c r="EU312" s="12">
        <f t="array" ref="EU312">SUMPRODUCT(TRANSPOSE(EU$9:EU$34),$K312:$AJ312)</f>
        <v>4000</v>
      </c>
      <c r="EV312" s="12">
        <f t="array" ref="EV312">SUMPRODUCT(TRANSPOSE(EV$9:EV$34),$K312:$AJ312)</f>
        <v>4000</v>
      </c>
      <c r="EW312" s="12">
        <f t="array" ref="EW312">SUMPRODUCT(TRANSPOSE(EW$9:EW$34),$K312:$AJ312)</f>
        <v>4000</v>
      </c>
      <c r="EX312" s="12">
        <f t="array" ref="EX312">SUMPRODUCT(TRANSPOSE(EX$9:EX$34),$K312:$AJ312)</f>
        <v>4000</v>
      </c>
      <c r="EY312" s="12">
        <f t="array" ref="EY312">SUMPRODUCT(TRANSPOSE(EY$9:EY$34),$K312:$AJ312)</f>
        <v>4000</v>
      </c>
      <c r="EZ312" s="12">
        <f t="array" ref="EZ312">SUMPRODUCT(TRANSPOSE(EZ$9:EZ$34),$K312:$AJ312)</f>
        <v>4000</v>
      </c>
      <c r="FA312" s="12">
        <f t="array" ref="FA312">SUMPRODUCT(TRANSPOSE(FA$9:FA$34),$K312:$AJ312)</f>
        <v>4000</v>
      </c>
      <c r="FB312" s="12">
        <f t="array" ref="FB312">SUMPRODUCT(TRANSPOSE(FB$9:FB$34),$K312:$AJ312)</f>
        <v>4000</v>
      </c>
      <c r="FC312" s="12">
        <f t="array" ref="FC312">SUMPRODUCT(TRANSPOSE(FC$9:FC$34),$K312:$AJ312)</f>
        <v>4000</v>
      </c>
      <c r="FD312" s="12">
        <f t="array" ref="FD312">SUMPRODUCT(TRANSPOSE(FD$9:FD$34),$K312:$AJ312)</f>
        <v>4000</v>
      </c>
      <c r="FE312" s="12">
        <f t="array" ref="FE312">SUMPRODUCT(TRANSPOSE(FE$9:FE$34),$K312:$AJ312)</f>
        <v>4000</v>
      </c>
      <c r="FF312" s="12">
        <f t="array" ref="FF312">SUMPRODUCT(TRANSPOSE(FF$9:FF$34),$K312:$AJ312)</f>
        <v>4000</v>
      </c>
      <c r="FG312" s="12">
        <f t="array" ref="FG312">SUMPRODUCT(TRANSPOSE(FG$9:FG$34),$K312:$AJ312)</f>
        <v>4000</v>
      </c>
      <c r="FH312" s="12">
        <f t="array" ref="FH312">SUMPRODUCT(TRANSPOSE(FH$9:FH$34),$K312:$AJ312)</f>
        <v>4000</v>
      </c>
      <c r="FI312" s="12">
        <f t="array" ref="FI312">SUMPRODUCT(TRANSPOSE(FI$9:FI$34),$K312:$AJ312)</f>
        <v>4000</v>
      </c>
      <c r="FJ312" s="12">
        <f t="array" ref="FJ312">SUMPRODUCT(TRANSPOSE(FJ$9:FJ$34),$K312:$AJ312)</f>
        <v>4000</v>
      </c>
      <c r="FK312" s="12">
        <f t="array" ref="FK312">SUMPRODUCT(TRANSPOSE(FK$9:FK$34),$K312:$AJ312)</f>
        <v>4000</v>
      </c>
      <c r="FL312" s="12">
        <f t="array" ref="FL312">SUMPRODUCT(TRANSPOSE(FL$9:FL$34),$K312:$AJ312)</f>
        <v>4000</v>
      </c>
      <c r="FM312" s="12">
        <f t="array" ref="FM312">SUMPRODUCT(TRANSPOSE(FM$9:FM$34),$K312:$AJ312)</f>
        <v>4000</v>
      </c>
      <c r="FN312" s="12">
        <f t="array" ref="FN312">SUMPRODUCT(TRANSPOSE(FN$9:FN$34),$K312:$AJ312)</f>
        <v>4000</v>
      </c>
      <c r="FO312" s="12">
        <f t="array" ref="FO312">SUMPRODUCT(TRANSPOSE(FO$9:FO$34),$K312:$AJ312)</f>
        <v>308</v>
      </c>
    </row>
    <row r="313" spans="1:171" ht="14.25" x14ac:dyDescent="0.2">
      <c r="A313" s="13">
        <f t="shared" si="16"/>
        <v>278</v>
      </c>
      <c r="B313" s="13" t="s">
        <v>980</v>
      </c>
      <c r="C313" s="25" t="s">
        <v>981</v>
      </c>
      <c r="D313" s="13" t="s">
        <v>67</v>
      </c>
      <c r="E313" s="13">
        <v>401693175</v>
      </c>
      <c r="F313" s="26" t="s">
        <v>982</v>
      </c>
      <c r="G313" s="13"/>
      <c r="H313" s="13" t="s">
        <v>61</v>
      </c>
      <c r="I313" s="13">
        <v>2</v>
      </c>
      <c r="J313" s="13">
        <v>6</v>
      </c>
      <c r="K313" s="13">
        <v>0</v>
      </c>
      <c r="L313" s="13">
        <v>0</v>
      </c>
      <c r="M313" s="13">
        <v>0</v>
      </c>
      <c r="N313" s="13">
        <v>2</v>
      </c>
      <c r="O313" s="13">
        <v>0</v>
      </c>
      <c r="P313" s="13">
        <v>0</v>
      </c>
      <c r="Q313" s="13">
        <v>0</v>
      </c>
      <c r="R313" s="13">
        <v>0</v>
      </c>
      <c r="S313" s="13">
        <v>2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/>
      <c r="Z313" s="13">
        <v>2</v>
      </c>
      <c r="AA313" s="13">
        <v>0</v>
      </c>
      <c r="AB313" s="13">
        <v>0</v>
      </c>
      <c r="AC313" s="13">
        <v>0</v>
      </c>
      <c r="AD313" s="13">
        <v>2</v>
      </c>
      <c r="AE313" s="13">
        <v>2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f t="shared" si="18"/>
        <v>8</v>
      </c>
      <c r="AL313" s="23">
        <f t="shared" si="15"/>
        <v>141792</v>
      </c>
      <c r="AM313" s="13"/>
      <c r="AN313" s="13" t="s">
        <v>978</v>
      </c>
      <c r="AO313" s="7" t="s">
        <v>979</v>
      </c>
      <c r="AP313" s="38">
        <v>0.99</v>
      </c>
      <c r="AQ313" s="12">
        <v>73763</v>
      </c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13"/>
      <c r="CG313" s="13"/>
      <c r="CH313" s="13"/>
      <c r="CI313" s="12"/>
      <c r="CJ313" s="12"/>
      <c r="CK313" s="12"/>
      <c r="CL313" s="12"/>
      <c r="CM313" s="12"/>
      <c r="CN313" s="12"/>
      <c r="CO313" s="12"/>
      <c r="CP313" s="12">
        <f>SUM($AQ313:BJ313)-SUM($EA313:EH313)</f>
        <v>59637</v>
      </c>
      <c r="CQ313" s="12">
        <f>SUM($AQ313:BK313)-SUM($EA313:EI313)</f>
        <v>59075</v>
      </c>
      <c r="CR313" s="12">
        <f>SUM($AQ313:BL313)-SUM($EA313:EJ313)</f>
        <v>57045</v>
      </c>
      <c r="CS313" s="12">
        <f>SUM($AQ313:BM313)-SUM($EA313:EK313)</f>
        <v>54775</v>
      </c>
      <c r="CT313" s="12">
        <f>SUM($AQ313:BN313)-SUM($EA313:EL313)</f>
        <v>50745</v>
      </c>
      <c r="CU313" s="12">
        <f>SUM($AQ313:BO313)-SUM($EA313:EM313)</f>
        <v>46645</v>
      </c>
      <c r="CV313" s="12">
        <f>SUM($AQ313:BP313)-SUM($EA313:EN313)</f>
        <v>42545</v>
      </c>
      <c r="CW313" s="12">
        <f>SUM($AQ313:BQ313)-SUM($EA313:EO313)</f>
        <v>38545</v>
      </c>
      <c r="CX313" s="12">
        <f>SUM($AQ313:BR313)-SUM($EA313:EP313)</f>
        <v>34445</v>
      </c>
      <c r="CY313" s="12">
        <f>SUM($AQ313:BS313)-SUM($EA313:EQ313)</f>
        <v>30345</v>
      </c>
      <c r="CZ313" s="12">
        <f>SUM($AQ313:BT313)-SUM($EA313:ER313)</f>
        <v>26245</v>
      </c>
      <c r="DA313" s="12">
        <f>SUM($AQ313:BU313)-SUM($EA313:ES313)</f>
        <v>22145</v>
      </c>
      <c r="DB313" s="12">
        <f>SUM($AQ313:BV313)-SUM($EA313:ET313)</f>
        <v>18045</v>
      </c>
      <c r="DC313" s="12">
        <f>SUM($AQ313:BW313)-SUM($EA313:EU313)</f>
        <v>13945</v>
      </c>
      <c r="DD313" s="12">
        <f>SUM($AQ313:BX313)-SUM($EA313:EV313)</f>
        <v>9845</v>
      </c>
      <c r="DE313" s="12">
        <f>SUM($AQ313:BY313)-SUM($EA313:EW313)</f>
        <v>5759</v>
      </c>
      <c r="DF313" s="12">
        <f>SUM($AQ313:BZ313)-SUM($EA313:EX313)</f>
        <v>1759</v>
      </c>
      <c r="DG313" s="12">
        <f>SUM($AQ313:CA313)-SUM($EA313:EY313)</f>
        <v>-2241</v>
      </c>
      <c r="DH313" s="12">
        <f>SUM($AQ313:CB313)-SUM($EA313:EZ313)</f>
        <v>-6241</v>
      </c>
      <c r="DI313" s="12">
        <f>SUM($AQ313:CC313)-SUM($EA313:FA313)</f>
        <v>-10241</v>
      </c>
      <c r="DJ313" s="12">
        <f>SUM($AQ313:CD313)-SUM($EA313:FB313)</f>
        <v>-14241</v>
      </c>
      <c r="DK313" s="12">
        <f>SUM($AQ313:CE313)-SUM($EA313:FC313)</f>
        <v>-18241</v>
      </c>
      <c r="DL313" s="12">
        <f>SUM($AQ313:CF313)-SUM($EA313:FD313)</f>
        <v>-22241</v>
      </c>
      <c r="DM313" s="12">
        <f>SUM($AQ313:CG313)-SUM($EA313:FE313)</f>
        <v>-26241</v>
      </c>
      <c r="DN313" s="12">
        <f>SUM($AQ313:CH313)-SUM($EA313:FF313)</f>
        <v>-30241</v>
      </c>
      <c r="DO313" s="12">
        <f>SUM($AQ313:CI313)-SUM($EA313:FG313)</f>
        <v>-34241</v>
      </c>
      <c r="DP313" s="12">
        <f>SUM($AQ313:CJ313)-SUM($EA313:FH313)</f>
        <v>-38241</v>
      </c>
      <c r="DQ313" s="12">
        <f>SUM($AQ313:CK313)-SUM($EA313:FI313)</f>
        <v>-42241</v>
      </c>
      <c r="DR313" s="12">
        <f>SUM($AQ313:CL313)-SUM($EA313:FJ313)</f>
        <v>-46241</v>
      </c>
      <c r="DS313" s="12">
        <f>SUM($AQ313:CM313)-SUM($EA313:FK313)</f>
        <v>-50241</v>
      </c>
      <c r="DT313" s="12">
        <f>SUM($AQ313:CN313)-SUM($EA313:FL313)</f>
        <v>-54241</v>
      </c>
      <c r="DU313" s="12">
        <f>SUM($AQ313:CO313)-SUM($EA313:FM313)</f>
        <v>-58241</v>
      </c>
      <c r="DV313" s="12">
        <f>SUM($AQ313:CP313)-SUM($EA313:FN313)</f>
        <v>-2238</v>
      </c>
      <c r="DW313" s="12">
        <f>SUM($AQ313:CQ313)-SUM($EA313:FO313)</f>
        <v>56683</v>
      </c>
      <c r="DX313" s="13"/>
      <c r="DY313" s="13"/>
      <c r="DZ313" s="13"/>
      <c r="EA313" s="12"/>
      <c r="EB313" s="12"/>
      <c r="EC313" s="12"/>
      <c r="ED313" s="12"/>
      <c r="EE313" s="12"/>
      <c r="EF313" s="12"/>
      <c r="EG313" s="12"/>
      <c r="EH313" s="12">
        <f t="array" ref="EH313">SUMPRODUCT(TRANSPOSE(EH$9:EH$34),$K313:$AJ313)</f>
        <v>14126</v>
      </c>
      <c r="EI313" s="12">
        <f t="array" ref="EI313">SUMPRODUCT(TRANSPOSE(EI$9:EI$34),$K313:$AJ313)</f>
        <v>562</v>
      </c>
      <c r="EJ313" s="12">
        <f t="array" ref="EJ313">SUMPRODUCT(TRANSPOSE(EJ$9:EJ$34),$K313:$AJ313)</f>
        <v>2030</v>
      </c>
      <c r="EK313" s="12">
        <f t="array" ref="EK313">SUMPRODUCT(TRANSPOSE(EK$9:EK$34),$K313:$AJ313)</f>
        <v>2270</v>
      </c>
      <c r="EL313" s="12">
        <f t="array" ref="EL313">SUMPRODUCT(TRANSPOSE(EL$9:EL$34),$K313:$AJ313)</f>
        <v>4030</v>
      </c>
      <c r="EM313" s="12">
        <f t="array" ref="EM313">SUMPRODUCT(TRANSPOSE(EM$9:EM$34),$K313:$AJ313)</f>
        <v>4100</v>
      </c>
      <c r="EN313" s="12">
        <f t="array" ref="EN313">SUMPRODUCT(TRANSPOSE(EN$9:EN$34),$K313:$AJ313)</f>
        <v>4100</v>
      </c>
      <c r="EO313" s="12">
        <f t="array" ref="EO313">SUMPRODUCT(TRANSPOSE(EO$9:EO$34),$K313:$AJ313)</f>
        <v>4000</v>
      </c>
      <c r="EP313" s="12">
        <f t="array" ref="EP313">SUMPRODUCT(TRANSPOSE(EP$9:EP$34),$K313:$AJ313)</f>
        <v>4100</v>
      </c>
      <c r="EQ313" s="12">
        <f t="array" ref="EQ313">SUMPRODUCT(TRANSPOSE(EQ$9:EQ$34),$K313:$AJ313)</f>
        <v>4100</v>
      </c>
      <c r="ER313" s="12">
        <f t="array" ref="ER313">SUMPRODUCT(TRANSPOSE(ER$9:ER$34),$K313:$AJ313)</f>
        <v>4100</v>
      </c>
      <c r="ES313" s="12">
        <f t="array" ref="ES313">SUMPRODUCT(TRANSPOSE(ES$9:ES$34),$K313:$AJ313)</f>
        <v>4100</v>
      </c>
      <c r="ET313" s="12">
        <f t="array" ref="ET313">SUMPRODUCT(TRANSPOSE(ET$9:ET$34),$K313:$AJ313)</f>
        <v>4100</v>
      </c>
      <c r="EU313" s="12">
        <f t="array" ref="EU313">SUMPRODUCT(TRANSPOSE(EU$9:EU$34),$K313:$AJ313)</f>
        <v>4100</v>
      </c>
      <c r="EV313" s="12">
        <f t="array" ref="EV313">SUMPRODUCT(TRANSPOSE(EV$9:EV$34),$K313:$AJ313)</f>
        <v>4100</v>
      </c>
      <c r="EW313" s="12">
        <f t="array" ref="EW313">SUMPRODUCT(TRANSPOSE(EW$9:EW$34),$K313:$AJ313)</f>
        <v>4086</v>
      </c>
      <c r="EX313" s="12">
        <f t="array" ref="EX313">SUMPRODUCT(TRANSPOSE(EX$9:EX$34),$K313:$AJ313)</f>
        <v>4000</v>
      </c>
      <c r="EY313" s="12">
        <f t="array" ref="EY313">SUMPRODUCT(TRANSPOSE(EY$9:EY$34),$K313:$AJ313)</f>
        <v>4000</v>
      </c>
      <c r="EZ313" s="12">
        <f t="array" ref="EZ313">SUMPRODUCT(TRANSPOSE(EZ$9:EZ$34),$K313:$AJ313)</f>
        <v>4000</v>
      </c>
      <c r="FA313" s="12">
        <f t="array" ref="FA313">SUMPRODUCT(TRANSPOSE(FA$9:FA$34),$K313:$AJ313)</f>
        <v>4000</v>
      </c>
      <c r="FB313" s="12">
        <f t="array" ref="FB313">SUMPRODUCT(TRANSPOSE(FB$9:FB$34),$K313:$AJ313)</f>
        <v>4000</v>
      </c>
      <c r="FC313" s="12">
        <f t="array" ref="FC313">SUMPRODUCT(TRANSPOSE(FC$9:FC$34),$K313:$AJ313)</f>
        <v>4000</v>
      </c>
      <c r="FD313" s="12">
        <f t="array" ref="FD313">SUMPRODUCT(TRANSPOSE(FD$9:FD$34),$K313:$AJ313)</f>
        <v>4000</v>
      </c>
      <c r="FE313" s="12">
        <f t="array" ref="FE313">SUMPRODUCT(TRANSPOSE(FE$9:FE$34),$K313:$AJ313)</f>
        <v>4000</v>
      </c>
      <c r="FF313" s="12">
        <f t="array" ref="FF313">SUMPRODUCT(TRANSPOSE(FF$9:FF$34),$K313:$AJ313)</f>
        <v>4000</v>
      </c>
      <c r="FG313" s="12">
        <f t="array" ref="FG313">SUMPRODUCT(TRANSPOSE(FG$9:FG$34),$K313:$AJ313)</f>
        <v>4000</v>
      </c>
      <c r="FH313" s="12">
        <f t="array" ref="FH313">SUMPRODUCT(TRANSPOSE(FH$9:FH$34),$K313:$AJ313)</f>
        <v>4000</v>
      </c>
      <c r="FI313" s="12">
        <f t="array" ref="FI313">SUMPRODUCT(TRANSPOSE(FI$9:FI$34),$K313:$AJ313)</f>
        <v>4000</v>
      </c>
      <c r="FJ313" s="12">
        <f t="array" ref="FJ313">SUMPRODUCT(TRANSPOSE(FJ$9:FJ$34),$K313:$AJ313)</f>
        <v>4000</v>
      </c>
      <c r="FK313" s="12">
        <f t="array" ref="FK313">SUMPRODUCT(TRANSPOSE(FK$9:FK$34),$K313:$AJ313)</f>
        <v>4000</v>
      </c>
      <c r="FL313" s="12">
        <f t="array" ref="FL313">SUMPRODUCT(TRANSPOSE(FL$9:FL$34),$K313:$AJ313)</f>
        <v>4000</v>
      </c>
      <c r="FM313" s="12">
        <f t="array" ref="FM313">SUMPRODUCT(TRANSPOSE(FM$9:FM$34),$K313:$AJ313)</f>
        <v>4000</v>
      </c>
      <c r="FN313" s="12">
        <f t="array" ref="FN313">SUMPRODUCT(TRANSPOSE(FN$9:FN$34),$K313:$AJ313)</f>
        <v>3634</v>
      </c>
      <c r="FO313" s="12">
        <f t="array" ref="FO313">SUMPRODUCT(TRANSPOSE(FO$9:FO$34),$K313:$AJ313)</f>
        <v>154</v>
      </c>
    </row>
    <row r="314" spans="1:171" ht="14.25" x14ac:dyDescent="0.2">
      <c r="A314" s="13">
        <f t="shared" si="16"/>
        <v>279</v>
      </c>
      <c r="B314" s="13" t="s">
        <v>983</v>
      </c>
      <c r="C314" s="25" t="s">
        <v>984</v>
      </c>
      <c r="D314" s="13" t="s">
        <v>67</v>
      </c>
      <c r="E314" s="13">
        <v>405584339</v>
      </c>
      <c r="F314" s="26" t="s">
        <v>985</v>
      </c>
      <c r="G314" s="13">
        <v>406483066</v>
      </c>
      <c r="H314" s="13" t="s">
        <v>61</v>
      </c>
      <c r="I314" s="13">
        <v>1</v>
      </c>
      <c r="J314" s="13">
        <v>3</v>
      </c>
      <c r="K314" s="13">
        <v>0</v>
      </c>
      <c r="L314" s="13">
        <v>0</v>
      </c>
      <c r="M314" s="13">
        <v>0</v>
      </c>
      <c r="N314" s="13">
        <v>0</v>
      </c>
      <c r="O314" s="13">
        <v>1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1</v>
      </c>
      <c r="Y314" s="13"/>
      <c r="Z314" s="13"/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1</v>
      </c>
      <c r="AK314" s="13">
        <f t="shared" si="18"/>
        <v>2</v>
      </c>
      <c r="AL314" s="23">
        <f t="shared" si="15"/>
        <v>70863</v>
      </c>
      <c r="AM314" s="13" t="s">
        <v>2</v>
      </c>
      <c r="AN314" s="13" t="s">
        <v>710</v>
      </c>
      <c r="AO314" s="7" t="s">
        <v>2</v>
      </c>
      <c r="AP314" s="41"/>
      <c r="AQ314" s="12">
        <v>75000</v>
      </c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13"/>
      <c r="CG314" s="13"/>
      <c r="CH314" s="13"/>
      <c r="CI314" s="12"/>
      <c r="CJ314" s="12"/>
      <c r="CK314" s="12"/>
      <c r="CL314" s="12"/>
      <c r="CM314" s="12"/>
      <c r="CN314" s="12"/>
      <c r="CO314" s="12"/>
      <c r="CP314" s="12">
        <f>SUM($AQ314:BJ314)-SUM($EA314:EH314)</f>
        <v>67937</v>
      </c>
      <c r="CQ314" s="12">
        <f>SUM($AQ314:BK314)-SUM($EA314:EI314)</f>
        <v>67537</v>
      </c>
      <c r="CR314" s="12">
        <f>SUM($AQ314:BL314)-SUM($EA314:EJ314)</f>
        <v>66522</v>
      </c>
      <c r="CS314" s="12">
        <f>SUM($AQ314:BM314)-SUM($EA314:EK314)</f>
        <v>65387</v>
      </c>
      <c r="CT314" s="12">
        <f>SUM($AQ314:BN314)-SUM($EA314:EL314)</f>
        <v>63372</v>
      </c>
      <c r="CU314" s="12">
        <f>SUM($AQ314:BO314)-SUM($EA314:EM314)</f>
        <v>61322</v>
      </c>
      <c r="CV314" s="12">
        <f>SUM($AQ314:BP314)-SUM($EA314:EN314)</f>
        <v>59272</v>
      </c>
      <c r="CW314" s="12">
        <f>SUM($AQ314:BQ314)-SUM($EA314:EO314)</f>
        <v>57272</v>
      </c>
      <c r="CX314" s="12">
        <f>SUM($AQ314:BR314)-SUM($EA314:EP314)</f>
        <v>55222</v>
      </c>
      <c r="CY314" s="12">
        <f>SUM($AQ314:BS314)-SUM($EA314:EQ314)</f>
        <v>53172</v>
      </c>
      <c r="CZ314" s="12">
        <f>SUM($AQ314:BT314)-SUM($EA314:ER314)</f>
        <v>51122</v>
      </c>
      <c r="DA314" s="12">
        <f>SUM($AQ314:BU314)-SUM($EA314:ES314)</f>
        <v>49072</v>
      </c>
      <c r="DB314" s="12">
        <f>SUM($AQ314:BV314)-SUM($EA314:ET314)</f>
        <v>47022</v>
      </c>
      <c r="DC314" s="12">
        <f>SUM($AQ314:BW314)-SUM($EA314:EU314)</f>
        <v>44972</v>
      </c>
      <c r="DD314" s="12">
        <f>SUM($AQ314:BX314)-SUM($EA314:EV314)</f>
        <v>42922</v>
      </c>
      <c r="DE314" s="12">
        <f>SUM($AQ314:BY314)-SUM($EA314:EW314)</f>
        <v>40912</v>
      </c>
      <c r="DF314" s="12">
        <f>SUM($AQ314:BZ314)-SUM($EA314:EX314)</f>
        <v>38912</v>
      </c>
      <c r="DG314" s="12">
        <f>SUM($AQ314:CA314)-SUM($EA314:EY314)</f>
        <v>36912</v>
      </c>
      <c r="DH314" s="12">
        <f>SUM($AQ314:CB314)-SUM($EA314:EZ314)</f>
        <v>34912</v>
      </c>
      <c r="DI314" s="12">
        <f>SUM($AQ314:CC314)-SUM($EA314:FA314)</f>
        <v>32912</v>
      </c>
      <c r="DJ314" s="12">
        <f>SUM($AQ314:CD314)-SUM($EA314:FB314)</f>
        <v>30912</v>
      </c>
      <c r="DK314" s="12">
        <f>SUM($AQ314:CE314)-SUM($EA314:FC314)</f>
        <v>28912</v>
      </c>
      <c r="DL314" s="12">
        <f>SUM($AQ314:CF314)-SUM($EA314:FD314)</f>
        <v>26912</v>
      </c>
      <c r="DM314" s="12">
        <f>SUM($AQ314:CG314)-SUM($EA314:FE314)</f>
        <v>24912</v>
      </c>
      <c r="DN314" s="12">
        <f>SUM($AQ314:CH314)-SUM($EA314:FF314)</f>
        <v>22912</v>
      </c>
      <c r="DO314" s="12">
        <f>SUM($AQ314:CI314)-SUM($EA314:FG314)</f>
        <v>20912</v>
      </c>
      <c r="DP314" s="12">
        <f>SUM($AQ314:CJ314)-SUM($EA314:FH314)</f>
        <v>18912</v>
      </c>
      <c r="DQ314" s="12">
        <f>SUM($AQ314:CK314)-SUM($EA314:FI314)</f>
        <v>16912</v>
      </c>
      <c r="DR314" s="12">
        <f>SUM($AQ314:CL314)-SUM($EA314:FJ314)</f>
        <v>14912</v>
      </c>
      <c r="DS314" s="12">
        <f>SUM($AQ314:CM314)-SUM($EA314:FK314)</f>
        <v>12912</v>
      </c>
      <c r="DT314" s="12">
        <f>SUM($AQ314:CN314)-SUM($EA314:FL314)</f>
        <v>10912</v>
      </c>
      <c r="DU314" s="12">
        <f>SUM($AQ314:CO314)-SUM($EA314:FM314)</f>
        <v>8912</v>
      </c>
      <c r="DV314" s="12">
        <f>SUM($AQ314:CP314)-SUM($EA314:FN314)</f>
        <v>75151</v>
      </c>
      <c r="DW314" s="12">
        <f>SUM($AQ314:CQ314)-SUM($EA314:FO314)</f>
        <v>142611</v>
      </c>
      <c r="DX314" s="13"/>
      <c r="DY314" s="13"/>
      <c r="DZ314" s="13"/>
      <c r="EA314" s="12"/>
      <c r="EB314" s="12"/>
      <c r="EC314" s="12"/>
      <c r="ED314" s="12"/>
      <c r="EE314" s="12"/>
      <c r="EF314" s="12"/>
      <c r="EG314" s="12"/>
      <c r="EH314" s="12">
        <f t="array" ref="EH314">SUMPRODUCT(TRANSPOSE(EH$9:EH$34),$K314:$AJ314)</f>
        <v>7063</v>
      </c>
      <c r="EI314" s="12">
        <f t="array" ref="EI314">SUMPRODUCT(TRANSPOSE(EI$9:EI$34),$K314:$AJ314)</f>
        <v>400</v>
      </c>
      <c r="EJ314" s="12">
        <f t="array" ref="EJ314">SUMPRODUCT(TRANSPOSE(EJ$9:EJ$34),$K314:$AJ314)</f>
        <v>1015</v>
      </c>
      <c r="EK314" s="12">
        <f t="array" ref="EK314">SUMPRODUCT(TRANSPOSE(EK$9:EK$34),$K314:$AJ314)</f>
        <v>1135</v>
      </c>
      <c r="EL314" s="12">
        <f t="array" ref="EL314">SUMPRODUCT(TRANSPOSE(EL$9:EL$34),$K314:$AJ314)</f>
        <v>2015</v>
      </c>
      <c r="EM314" s="12">
        <f t="array" ref="EM314">SUMPRODUCT(TRANSPOSE(EM$9:EM$34),$K314:$AJ314)</f>
        <v>2050</v>
      </c>
      <c r="EN314" s="12">
        <f t="array" ref="EN314">SUMPRODUCT(TRANSPOSE(EN$9:EN$34),$K314:$AJ314)</f>
        <v>2050</v>
      </c>
      <c r="EO314" s="12">
        <f t="array" ref="EO314">SUMPRODUCT(TRANSPOSE(EO$9:EO$34),$K314:$AJ314)</f>
        <v>2000</v>
      </c>
      <c r="EP314" s="12">
        <f t="array" ref="EP314">SUMPRODUCT(TRANSPOSE(EP$9:EP$34),$K314:$AJ314)</f>
        <v>2050</v>
      </c>
      <c r="EQ314" s="12">
        <f t="array" ref="EQ314">SUMPRODUCT(TRANSPOSE(EQ$9:EQ$34),$K314:$AJ314)</f>
        <v>2050</v>
      </c>
      <c r="ER314" s="12">
        <f t="array" ref="ER314">SUMPRODUCT(TRANSPOSE(ER$9:ER$34),$K314:$AJ314)</f>
        <v>2050</v>
      </c>
      <c r="ES314" s="12">
        <f t="array" ref="ES314">SUMPRODUCT(TRANSPOSE(ES$9:ES$34),$K314:$AJ314)</f>
        <v>2050</v>
      </c>
      <c r="ET314" s="12">
        <f t="array" ref="ET314">SUMPRODUCT(TRANSPOSE(ET$9:ET$34),$K314:$AJ314)</f>
        <v>2050</v>
      </c>
      <c r="EU314" s="12">
        <f t="array" ref="EU314">SUMPRODUCT(TRANSPOSE(EU$9:EU$34),$K314:$AJ314)</f>
        <v>2050</v>
      </c>
      <c r="EV314" s="12">
        <f t="array" ref="EV314">SUMPRODUCT(TRANSPOSE(EV$9:EV$34),$K314:$AJ314)</f>
        <v>2050</v>
      </c>
      <c r="EW314" s="12">
        <f t="array" ref="EW314">SUMPRODUCT(TRANSPOSE(EW$9:EW$34),$K314:$AJ314)</f>
        <v>2010</v>
      </c>
      <c r="EX314" s="12">
        <f t="array" ref="EX314">SUMPRODUCT(TRANSPOSE(EX$9:EX$34),$K314:$AJ314)</f>
        <v>2000</v>
      </c>
      <c r="EY314" s="12">
        <f t="array" ref="EY314">SUMPRODUCT(TRANSPOSE(EY$9:EY$34),$K314:$AJ314)</f>
        <v>2000</v>
      </c>
      <c r="EZ314" s="12">
        <f t="array" ref="EZ314">SUMPRODUCT(TRANSPOSE(EZ$9:EZ$34),$K314:$AJ314)</f>
        <v>2000</v>
      </c>
      <c r="FA314" s="12">
        <f t="array" ref="FA314">SUMPRODUCT(TRANSPOSE(FA$9:FA$34),$K314:$AJ314)</f>
        <v>2000</v>
      </c>
      <c r="FB314" s="12">
        <f t="array" ref="FB314">SUMPRODUCT(TRANSPOSE(FB$9:FB$34),$K314:$AJ314)</f>
        <v>2000</v>
      </c>
      <c r="FC314" s="12">
        <f t="array" ref="FC314">SUMPRODUCT(TRANSPOSE(FC$9:FC$34),$K314:$AJ314)</f>
        <v>2000</v>
      </c>
      <c r="FD314" s="12">
        <f t="array" ref="FD314">SUMPRODUCT(TRANSPOSE(FD$9:FD$34),$K314:$AJ314)</f>
        <v>2000</v>
      </c>
      <c r="FE314" s="12">
        <f t="array" ref="FE314">SUMPRODUCT(TRANSPOSE(FE$9:FE$34),$K314:$AJ314)</f>
        <v>2000</v>
      </c>
      <c r="FF314" s="12">
        <f t="array" ref="FF314">SUMPRODUCT(TRANSPOSE(FF$9:FF$34),$K314:$AJ314)</f>
        <v>2000</v>
      </c>
      <c r="FG314" s="12">
        <f t="array" ref="FG314">SUMPRODUCT(TRANSPOSE(FG$9:FG$34),$K314:$AJ314)</f>
        <v>2000</v>
      </c>
      <c r="FH314" s="12">
        <f t="array" ref="FH314">SUMPRODUCT(TRANSPOSE(FH$9:FH$34),$K314:$AJ314)</f>
        <v>2000</v>
      </c>
      <c r="FI314" s="12">
        <f t="array" ref="FI314">SUMPRODUCT(TRANSPOSE(FI$9:FI$34),$K314:$AJ314)</f>
        <v>2000</v>
      </c>
      <c r="FJ314" s="12">
        <f t="array" ref="FJ314">SUMPRODUCT(TRANSPOSE(FJ$9:FJ$34),$K314:$AJ314)</f>
        <v>2000</v>
      </c>
      <c r="FK314" s="12">
        <f t="array" ref="FK314">SUMPRODUCT(TRANSPOSE(FK$9:FK$34),$K314:$AJ314)</f>
        <v>2000</v>
      </c>
      <c r="FL314" s="12">
        <f t="array" ref="FL314">SUMPRODUCT(TRANSPOSE(FL$9:FL$34),$K314:$AJ314)</f>
        <v>2000</v>
      </c>
      <c r="FM314" s="12">
        <f t="array" ref="FM314">SUMPRODUCT(TRANSPOSE(FM$9:FM$34),$K314:$AJ314)</f>
        <v>2000</v>
      </c>
      <c r="FN314" s="12">
        <f t="array" ref="FN314">SUMPRODUCT(TRANSPOSE(FN$9:FN$34),$K314:$AJ314)</f>
        <v>1698</v>
      </c>
      <c r="FO314" s="12">
        <f t="array" ref="FO314">SUMPRODUCT(TRANSPOSE(FO$9:FO$34),$K314:$AJ314)</f>
        <v>77</v>
      </c>
    </row>
    <row r="315" spans="1:171" ht="14.25" x14ac:dyDescent="0.2">
      <c r="A315" s="13">
        <f t="shared" si="16"/>
        <v>280</v>
      </c>
      <c r="B315" s="13" t="s">
        <v>986</v>
      </c>
      <c r="C315" s="25" t="s">
        <v>987</v>
      </c>
      <c r="D315" s="13" t="s">
        <v>67</v>
      </c>
      <c r="E315" s="13">
        <v>405072786</v>
      </c>
      <c r="F315" s="26" t="s">
        <v>988</v>
      </c>
      <c r="G315" s="13">
        <v>402527757</v>
      </c>
      <c r="H315" s="13" t="s">
        <v>61</v>
      </c>
      <c r="I315" s="13">
        <v>2</v>
      </c>
      <c r="J315" s="13">
        <v>3</v>
      </c>
      <c r="K315" s="13">
        <v>0</v>
      </c>
      <c r="L315" s="13">
        <v>0</v>
      </c>
      <c r="M315" s="13">
        <v>0</v>
      </c>
      <c r="N315" s="13">
        <v>0</v>
      </c>
      <c r="O315" s="13">
        <v>1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1</v>
      </c>
      <c r="Y315" s="13"/>
      <c r="Z315" s="13"/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1</v>
      </c>
      <c r="AK315" s="13">
        <f t="shared" si="18"/>
        <v>2</v>
      </c>
      <c r="AL315" s="23">
        <f t="shared" si="15"/>
        <v>70863</v>
      </c>
      <c r="AM315" s="13" t="s">
        <v>2</v>
      </c>
      <c r="AN315" s="13" t="s">
        <v>710</v>
      </c>
      <c r="AO315" s="7" t="s">
        <v>2</v>
      </c>
      <c r="AP315" s="41"/>
      <c r="AQ315" s="12">
        <v>71400</v>
      </c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13"/>
      <c r="CG315" s="13"/>
      <c r="CH315" s="13"/>
      <c r="CI315" s="12"/>
      <c r="CJ315" s="12"/>
      <c r="CK315" s="12"/>
      <c r="CL315" s="12"/>
      <c r="CM315" s="12"/>
      <c r="CN315" s="12"/>
      <c r="CO315" s="12"/>
      <c r="CP315" s="12">
        <f>SUM($AQ315:BJ315)-SUM($EA315:EH315)</f>
        <v>64337</v>
      </c>
      <c r="CQ315" s="12">
        <f>SUM($AQ315:BK315)-SUM($EA315:EI315)</f>
        <v>63937</v>
      </c>
      <c r="CR315" s="12">
        <f>SUM($AQ315:BL315)-SUM($EA315:EJ315)</f>
        <v>62922</v>
      </c>
      <c r="CS315" s="12">
        <f>SUM($AQ315:BM315)-SUM($EA315:EK315)</f>
        <v>61787</v>
      </c>
      <c r="CT315" s="12">
        <f>SUM($AQ315:BN315)-SUM($EA315:EL315)</f>
        <v>59772</v>
      </c>
      <c r="CU315" s="12">
        <f>SUM($AQ315:BO315)-SUM($EA315:EM315)</f>
        <v>57722</v>
      </c>
      <c r="CV315" s="12">
        <f>SUM($AQ315:BP315)-SUM($EA315:EN315)</f>
        <v>55672</v>
      </c>
      <c r="CW315" s="12">
        <f>SUM($AQ315:BQ315)-SUM($EA315:EO315)</f>
        <v>53672</v>
      </c>
      <c r="CX315" s="12">
        <f>SUM($AQ315:BR315)-SUM($EA315:EP315)</f>
        <v>51622</v>
      </c>
      <c r="CY315" s="12">
        <f>SUM($AQ315:BS315)-SUM($EA315:EQ315)</f>
        <v>49572</v>
      </c>
      <c r="CZ315" s="12">
        <f>SUM($AQ315:BT315)-SUM($EA315:ER315)</f>
        <v>47522</v>
      </c>
      <c r="DA315" s="12">
        <f>SUM($AQ315:BU315)-SUM($EA315:ES315)</f>
        <v>45472</v>
      </c>
      <c r="DB315" s="12">
        <f>SUM($AQ315:BV315)-SUM($EA315:ET315)</f>
        <v>43422</v>
      </c>
      <c r="DC315" s="12">
        <f>SUM($AQ315:BW315)-SUM($EA315:EU315)</f>
        <v>41372</v>
      </c>
      <c r="DD315" s="12">
        <f>SUM($AQ315:BX315)-SUM($EA315:EV315)</f>
        <v>39322</v>
      </c>
      <c r="DE315" s="12">
        <f>SUM($AQ315:BY315)-SUM($EA315:EW315)</f>
        <v>37312</v>
      </c>
      <c r="DF315" s="12">
        <f>SUM($AQ315:BZ315)-SUM($EA315:EX315)</f>
        <v>35312</v>
      </c>
      <c r="DG315" s="12">
        <f>SUM($AQ315:CA315)-SUM($EA315:EY315)</f>
        <v>33312</v>
      </c>
      <c r="DH315" s="12">
        <f>SUM($AQ315:CB315)-SUM($EA315:EZ315)</f>
        <v>31312</v>
      </c>
      <c r="DI315" s="12">
        <f>SUM($AQ315:CC315)-SUM($EA315:FA315)</f>
        <v>29312</v>
      </c>
      <c r="DJ315" s="12">
        <f>SUM($AQ315:CD315)-SUM($EA315:FB315)</f>
        <v>27312</v>
      </c>
      <c r="DK315" s="12">
        <f>SUM($AQ315:CE315)-SUM($EA315:FC315)</f>
        <v>25312</v>
      </c>
      <c r="DL315" s="12">
        <f>SUM($AQ315:CF315)-SUM($EA315:FD315)</f>
        <v>23312</v>
      </c>
      <c r="DM315" s="12">
        <f>SUM($AQ315:CG315)-SUM($EA315:FE315)</f>
        <v>21312</v>
      </c>
      <c r="DN315" s="12">
        <f>SUM($AQ315:CH315)-SUM($EA315:FF315)</f>
        <v>19312</v>
      </c>
      <c r="DO315" s="12">
        <f>SUM($AQ315:CI315)-SUM($EA315:FG315)</f>
        <v>17312</v>
      </c>
      <c r="DP315" s="12">
        <f>SUM($AQ315:CJ315)-SUM($EA315:FH315)</f>
        <v>15312</v>
      </c>
      <c r="DQ315" s="12">
        <f>SUM($AQ315:CK315)-SUM($EA315:FI315)</f>
        <v>13312</v>
      </c>
      <c r="DR315" s="12">
        <f>SUM($AQ315:CL315)-SUM($EA315:FJ315)</f>
        <v>11312</v>
      </c>
      <c r="DS315" s="12">
        <f>SUM($AQ315:CM315)-SUM($EA315:FK315)</f>
        <v>9312</v>
      </c>
      <c r="DT315" s="12">
        <f>SUM($AQ315:CN315)-SUM($EA315:FL315)</f>
        <v>7312</v>
      </c>
      <c r="DU315" s="12">
        <f>SUM($AQ315:CO315)-SUM($EA315:FM315)</f>
        <v>5312</v>
      </c>
      <c r="DV315" s="12">
        <f>SUM($AQ315:CP315)-SUM($EA315:FN315)</f>
        <v>67951</v>
      </c>
      <c r="DW315" s="12">
        <f>SUM($AQ315:CQ315)-SUM($EA315:FO315)</f>
        <v>131811</v>
      </c>
      <c r="DX315" s="13"/>
      <c r="DY315" s="13"/>
      <c r="DZ315" s="13"/>
      <c r="EA315" s="12"/>
      <c r="EB315" s="12"/>
      <c r="EC315" s="12"/>
      <c r="ED315" s="12"/>
      <c r="EE315" s="12"/>
      <c r="EF315" s="12"/>
      <c r="EG315" s="12"/>
      <c r="EH315" s="12">
        <f t="array" ref="EH315">SUMPRODUCT(TRANSPOSE(EH$9:EH$34),$K315:$AJ315)</f>
        <v>7063</v>
      </c>
      <c r="EI315" s="12">
        <f t="array" ref="EI315">SUMPRODUCT(TRANSPOSE(EI$9:EI$34),$K315:$AJ315)</f>
        <v>400</v>
      </c>
      <c r="EJ315" s="12">
        <f t="array" ref="EJ315">SUMPRODUCT(TRANSPOSE(EJ$9:EJ$34),$K315:$AJ315)</f>
        <v>1015</v>
      </c>
      <c r="EK315" s="12">
        <f t="array" ref="EK315">SUMPRODUCT(TRANSPOSE(EK$9:EK$34),$K315:$AJ315)</f>
        <v>1135</v>
      </c>
      <c r="EL315" s="12">
        <f t="array" ref="EL315">SUMPRODUCT(TRANSPOSE(EL$9:EL$34),$K315:$AJ315)</f>
        <v>2015</v>
      </c>
      <c r="EM315" s="12">
        <f t="array" ref="EM315">SUMPRODUCT(TRANSPOSE(EM$9:EM$34),$K315:$AJ315)</f>
        <v>2050</v>
      </c>
      <c r="EN315" s="12">
        <f t="array" ref="EN315">SUMPRODUCT(TRANSPOSE(EN$9:EN$34),$K315:$AJ315)</f>
        <v>2050</v>
      </c>
      <c r="EO315" s="12">
        <f t="array" ref="EO315">SUMPRODUCT(TRANSPOSE(EO$9:EO$34),$K315:$AJ315)</f>
        <v>2000</v>
      </c>
      <c r="EP315" s="12">
        <f t="array" ref="EP315">SUMPRODUCT(TRANSPOSE(EP$9:EP$34),$K315:$AJ315)</f>
        <v>2050</v>
      </c>
      <c r="EQ315" s="12">
        <f t="array" ref="EQ315">SUMPRODUCT(TRANSPOSE(EQ$9:EQ$34),$K315:$AJ315)</f>
        <v>2050</v>
      </c>
      <c r="ER315" s="12">
        <f t="array" ref="ER315">SUMPRODUCT(TRANSPOSE(ER$9:ER$34),$K315:$AJ315)</f>
        <v>2050</v>
      </c>
      <c r="ES315" s="12">
        <f t="array" ref="ES315">SUMPRODUCT(TRANSPOSE(ES$9:ES$34),$K315:$AJ315)</f>
        <v>2050</v>
      </c>
      <c r="ET315" s="12">
        <f t="array" ref="ET315">SUMPRODUCT(TRANSPOSE(ET$9:ET$34),$K315:$AJ315)</f>
        <v>2050</v>
      </c>
      <c r="EU315" s="12">
        <f t="array" ref="EU315">SUMPRODUCT(TRANSPOSE(EU$9:EU$34),$K315:$AJ315)</f>
        <v>2050</v>
      </c>
      <c r="EV315" s="12">
        <f t="array" ref="EV315">SUMPRODUCT(TRANSPOSE(EV$9:EV$34),$K315:$AJ315)</f>
        <v>2050</v>
      </c>
      <c r="EW315" s="12">
        <f t="array" ref="EW315">SUMPRODUCT(TRANSPOSE(EW$9:EW$34),$K315:$AJ315)</f>
        <v>2010</v>
      </c>
      <c r="EX315" s="12">
        <f t="array" ref="EX315">SUMPRODUCT(TRANSPOSE(EX$9:EX$34),$K315:$AJ315)</f>
        <v>2000</v>
      </c>
      <c r="EY315" s="12">
        <f t="array" ref="EY315">SUMPRODUCT(TRANSPOSE(EY$9:EY$34),$K315:$AJ315)</f>
        <v>2000</v>
      </c>
      <c r="EZ315" s="12">
        <f t="array" ref="EZ315">SUMPRODUCT(TRANSPOSE(EZ$9:EZ$34),$K315:$AJ315)</f>
        <v>2000</v>
      </c>
      <c r="FA315" s="12">
        <f t="array" ref="FA315">SUMPRODUCT(TRANSPOSE(FA$9:FA$34),$K315:$AJ315)</f>
        <v>2000</v>
      </c>
      <c r="FB315" s="12">
        <f t="array" ref="FB315">SUMPRODUCT(TRANSPOSE(FB$9:FB$34),$K315:$AJ315)</f>
        <v>2000</v>
      </c>
      <c r="FC315" s="12">
        <f t="array" ref="FC315">SUMPRODUCT(TRANSPOSE(FC$9:FC$34),$K315:$AJ315)</f>
        <v>2000</v>
      </c>
      <c r="FD315" s="12">
        <f t="array" ref="FD315">SUMPRODUCT(TRANSPOSE(FD$9:FD$34),$K315:$AJ315)</f>
        <v>2000</v>
      </c>
      <c r="FE315" s="12">
        <f t="array" ref="FE315">SUMPRODUCT(TRANSPOSE(FE$9:FE$34),$K315:$AJ315)</f>
        <v>2000</v>
      </c>
      <c r="FF315" s="12">
        <f t="array" ref="FF315">SUMPRODUCT(TRANSPOSE(FF$9:FF$34),$K315:$AJ315)</f>
        <v>2000</v>
      </c>
      <c r="FG315" s="12">
        <f t="array" ref="FG315">SUMPRODUCT(TRANSPOSE(FG$9:FG$34),$K315:$AJ315)</f>
        <v>2000</v>
      </c>
      <c r="FH315" s="12">
        <f t="array" ref="FH315">SUMPRODUCT(TRANSPOSE(FH$9:FH$34),$K315:$AJ315)</f>
        <v>2000</v>
      </c>
      <c r="FI315" s="12">
        <f t="array" ref="FI315">SUMPRODUCT(TRANSPOSE(FI$9:FI$34),$K315:$AJ315)</f>
        <v>2000</v>
      </c>
      <c r="FJ315" s="12">
        <f t="array" ref="FJ315">SUMPRODUCT(TRANSPOSE(FJ$9:FJ$34),$K315:$AJ315)</f>
        <v>2000</v>
      </c>
      <c r="FK315" s="12">
        <f t="array" ref="FK315">SUMPRODUCT(TRANSPOSE(FK$9:FK$34),$K315:$AJ315)</f>
        <v>2000</v>
      </c>
      <c r="FL315" s="12">
        <f t="array" ref="FL315">SUMPRODUCT(TRANSPOSE(FL$9:FL$34),$K315:$AJ315)</f>
        <v>2000</v>
      </c>
      <c r="FM315" s="12">
        <f t="array" ref="FM315">SUMPRODUCT(TRANSPOSE(FM$9:FM$34),$K315:$AJ315)</f>
        <v>2000</v>
      </c>
      <c r="FN315" s="12">
        <f t="array" ref="FN315">SUMPRODUCT(TRANSPOSE(FN$9:FN$34),$K315:$AJ315)</f>
        <v>1698</v>
      </c>
      <c r="FO315" s="12">
        <f t="array" ref="FO315">SUMPRODUCT(TRANSPOSE(FO$9:FO$34),$K315:$AJ315)</f>
        <v>77</v>
      </c>
    </row>
    <row r="316" spans="1:171" ht="14.25" x14ac:dyDescent="0.2">
      <c r="A316" s="13">
        <f t="shared" si="16"/>
        <v>281</v>
      </c>
      <c r="B316" s="13" t="s">
        <v>989</v>
      </c>
      <c r="C316" s="25" t="s">
        <v>990</v>
      </c>
      <c r="D316" s="13" t="s">
        <v>67</v>
      </c>
      <c r="E316" s="13">
        <v>400793320</v>
      </c>
      <c r="F316" s="26" t="s">
        <v>991</v>
      </c>
      <c r="G316" s="13"/>
      <c r="H316" s="13" t="s">
        <v>61</v>
      </c>
      <c r="I316" s="13">
        <v>2</v>
      </c>
      <c r="J316" s="13">
        <v>3</v>
      </c>
      <c r="K316" s="13">
        <v>0</v>
      </c>
      <c r="L316" s="13">
        <v>0</v>
      </c>
      <c r="M316" s="13">
        <v>0</v>
      </c>
      <c r="N316" s="13">
        <v>1</v>
      </c>
      <c r="O316" s="13">
        <v>0</v>
      </c>
      <c r="P316" s="13">
        <v>0</v>
      </c>
      <c r="Q316" s="13">
        <v>0</v>
      </c>
      <c r="R316" s="13">
        <v>0</v>
      </c>
      <c r="S316" s="13">
        <v>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/>
      <c r="Z316" s="13">
        <v>1</v>
      </c>
      <c r="AA316" s="13">
        <v>0</v>
      </c>
      <c r="AB316" s="13">
        <v>0</v>
      </c>
      <c r="AC316" s="13">
        <v>0</v>
      </c>
      <c r="AD316" s="13">
        <v>1</v>
      </c>
      <c r="AE316" s="13">
        <v>1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f t="shared" si="18"/>
        <v>4</v>
      </c>
      <c r="AL316" s="23">
        <f t="shared" si="15"/>
        <v>70896</v>
      </c>
      <c r="AM316" s="13"/>
      <c r="AN316" s="13" t="s">
        <v>386</v>
      </c>
      <c r="AO316" s="7" t="s">
        <v>386</v>
      </c>
      <c r="AP316" s="38">
        <v>4.9000000000000004</v>
      </c>
      <c r="AQ316" s="12">
        <v>24376</v>
      </c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>
        <v>2000</v>
      </c>
      <c r="BD316" s="12">
        <v>4000</v>
      </c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13"/>
      <c r="CG316" s="13"/>
      <c r="CH316" s="13"/>
      <c r="CI316" s="12"/>
      <c r="CJ316" s="12"/>
      <c r="CK316" s="12"/>
      <c r="CL316" s="12"/>
      <c r="CM316" s="12"/>
      <c r="CN316" s="12"/>
      <c r="CO316" s="12"/>
      <c r="CP316" s="12">
        <f>SUM($AQ316:BJ316)-SUM($EA316:EH316)</f>
        <v>23313</v>
      </c>
      <c r="CQ316" s="12">
        <f>SUM($AQ316:BK316)-SUM($EA316:EI316)</f>
        <v>23032</v>
      </c>
      <c r="CR316" s="12">
        <f>SUM($AQ316:BL316)-SUM($EA316:EJ316)</f>
        <v>22017</v>
      </c>
      <c r="CS316" s="12">
        <f>SUM($AQ316:BM316)-SUM($EA316:EK316)</f>
        <v>20882</v>
      </c>
      <c r="CT316" s="12">
        <f>SUM($AQ316:BN316)-SUM($EA316:EL316)</f>
        <v>18867</v>
      </c>
      <c r="CU316" s="12">
        <f>SUM($AQ316:BO316)-SUM($EA316:EM316)</f>
        <v>16817</v>
      </c>
      <c r="CV316" s="12">
        <f>SUM($AQ316:BP316)-SUM($EA316:EN316)</f>
        <v>14767</v>
      </c>
      <c r="CW316" s="12">
        <f>SUM($AQ316:BQ316)-SUM($EA316:EO316)</f>
        <v>12767</v>
      </c>
      <c r="CX316" s="12">
        <f>SUM($AQ316:BR316)-SUM($EA316:EP316)</f>
        <v>10717</v>
      </c>
      <c r="CY316" s="12">
        <f>SUM($AQ316:BS316)-SUM($EA316:EQ316)</f>
        <v>8667</v>
      </c>
      <c r="CZ316" s="12">
        <f>SUM($AQ316:BT316)-SUM($EA316:ER316)</f>
        <v>6617</v>
      </c>
      <c r="DA316" s="12">
        <f>SUM($AQ316:BU316)-SUM($EA316:ES316)</f>
        <v>4567</v>
      </c>
      <c r="DB316" s="12">
        <f>SUM($AQ316:BV316)-SUM($EA316:ET316)</f>
        <v>2517</v>
      </c>
      <c r="DC316" s="12">
        <f>SUM($AQ316:BW316)-SUM($EA316:EU316)</f>
        <v>467</v>
      </c>
      <c r="DD316" s="12">
        <f>SUM($AQ316:BX316)-SUM($EA316:EV316)</f>
        <v>-1583</v>
      </c>
      <c r="DE316" s="12">
        <f>SUM($AQ316:BY316)-SUM($EA316:EW316)</f>
        <v>-3626</v>
      </c>
      <c r="DF316" s="12">
        <f>SUM($AQ316:BZ316)-SUM($EA316:EX316)</f>
        <v>-5626</v>
      </c>
      <c r="DG316" s="12">
        <f>SUM($AQ316:CA316)-SUM($EA316:EY316)</f>
        <v>-7626</v>
      </c>
      <c r="DH316" s="12">
        <f>SUM($AQ316:CB316)-SUM($EA316:EZ316)</f>
        <v>-9626</v>
      </c>
      <c r="DI316" s="12">
        <f>SUM($AQ316:CC316)-SUM($EA316:FA316)</f>
        <v>-11626</v>
      </c>
      <c r="DJ316" s="12">
        <f>SUM($AQ316:CD316)-SUM($EA316:FB316)</f>
        <v>-13626</v>
      </c>
      <c r="DK316" s="12">
        <f>SUM($AQ316:CE316)-SUM($EA316:FC316)</f>
        <v>-15626</v>
      </c>
      <c r="DL316" s="12">
        <f>SUM($AQ316:CF316)-SUM($EA316:FD316)</f>
        <v>-17626</v>
      </c>
      <c r="DM316" s="12">
        <f>SUM($AQ316:CG316)-SUM($EA316:FE316)</f>
        <v>-19626</v>
      </c>
      <c r="DN316" s="12">
        <f>SUM($AQ316:CH316)-SUM($EA316:FF316)</f>
        <v>-21626</v>
      </c>
      <c r="DO316" s="12">
        <f>SUM($AQ316:CI316)-SUM($EA316:FG316)</f>
        <v>-23626</v>
      </c>
      <c r="DP316" s="12">
        <f>SUM($AQ316:CJ316)-SUM($EA316:FH316)</f>
        <v>-25626</v>
      </c>
      <c r="DQ316" s="12">
        <f>SUM($AQ316:CK316)-SUM($EA316:FI316)</f>
        <v>-27626</v>
      </c>
      <c r="DR316" s="12">
        <f>SUM($AQ316:CL316)-SUM($EA316:FJ316)</f>
        <v>-29626</v>
      </c>
      <c r="DS316" s="12">
        <f>SUM($AQ316:CM316)-SUM($EA316:FK316)</f>
        <v>-31626</v>
      </c>
      <c r="DT316" s="12">
        <f>SUM($AQ316:CN316)-SUM($EA316:FL316)</f>
        <v>-33626</v>
      </c>
      <c r="DU316" s="12">
        <f>SUM($AQ316:CO316)-SUM($EA316:FM316)</f>
        <v>-35626</v>
      </c>
      <c r="DV316" s="12">
        <f>SUM($AQ316:CP316)-SUM($EA316:FN316)</f>
        <v>-14130</v>
      </c>
      <c r="DW316" s="12">
        <f>SUM($AQ316:CQ316)-SUM($EA316:FO316)</f>
        <v>8825</v>
      </c>
      <c r="DX316" s="13"/>
      <c r="DY316" s="13"/>
      <c r="DZ316" s="13"/>
      <c r="EA316" s="12"/>
      <c r="EB316" s="12"/>
      <c r="EC316" s="12"/>
      <c r="ED316" s="12"/>
      <c r="EE316" s="12"/>
      <c r="EF316" s="12"/>
      <c r="EG316" s="12"/>
      <c r="EH316" s="12">
        <f t="array" ref="EH316">SUMPRODUCT(TRANSPOSE(EH$9:EH$34),$K316:$AJ316)</f>
        <v>7063</v>
      </c>
      <c r="EI316" s="12">
        <f t="array" ref="EI316">SUMPRODUCT(TRANSPOSE(EI$9:EI$34),$K316:$AJ316)</f>
        <v>281</v>
      </c>
      <c r="EJ316" s="12">
        <f t="array" ref="EJ316">SUMPRODUCT(TRANSPOSE(EJ$9:EJ$34),$K316:$AJ316)</f>
        <v>1015</v>
      </c>
      <c r="EK316" s="12">
        <f t="array" ref="EK316">SUMPRODUCT(TRANSPOSE(EK$9:EK$34),$K316:$AJ316)</f>
        <v>1135</v>
      </c>
      <c r="EL316" s="12">
        <f t="array" ref="EL316">SUMPRODUCT(TRANSPOSE(EL$9:EL$34),$K316:$AJ316)</f>
        <v>2015</v>
      </c>
      <c r="EM316" s="12">
        <f t="array" ref="EM316">SUMPRODUCT(TRANSPOSE(EM$9:EM$34),$K316:$AJ316)</f>
        <v>2050</v>
      </c>
      <c r="EN316" s="12">
        <f t="array" ref="EN316">SUMPRODUCT(TRANSPOSE(EN$9:EN$34),$K316:$AJ316)</f>
        <v>2050</v>
      </c>
      <c r="EO316" s="12">
        <f t="array" ref="EO316">SUMPRODUCT(TRANSPOSE(EO$9:EO$34),$K316:$AJ316)</f>
        <v>2000</v>
      </c>
      <c r="EP316" s="12">
        <f t="array" ref="EP316">SUMPRODUCT(TRANSPOSE(EP$9:EP$34),$K316:$AJ316)</f>
        <v>2050</v>
      </c>
      <c r="EQ316" s="12">
        <f t="array" ref="EQ316">SUMPRODUCT(TRANSPOSE(EQ$9:EQ$34),$K316:$AJ316)</f>
        <v>2050</v>
      </c>
      <c r="ER316" s="12">
        <f t="array" ref="ER316">SUMPRODUCT(TRANSPOSE(ER$9:ER$34),$K316:$AJ316)</f>
        <v>2050</v>
      </c>
      <c r="ES316" s="12">
        <f t="array" ref="ES316">SUMPRODUCT(TRANSPOSE(ES$9:ES$34),$K316:$AJ316)</f>
        <v>2050</v>
      </c>
      <c r="ET316" s="12">
        <f t="array" ref="ET316">SUMPRODUCT(TRANSPOSE(ET$9:ET$34),$K316:$AJ316)</f>
        <v>2050</v>
      </c>
      <c r="EU316" s="12">
        <f t="array" ref="EU316">SUMPRODUCT(TRANSPOSE(EU$9:EU$34),$K316:$AJ316)</f>
        <v>2050</v>
      </c>
      <c r="EV316" s="12">
        <f t="array" ref="EV316">SUMPRODUCT(TRANSPOSE(EV$9:EV$34),$K316:$AJ316)</f>
        <v>2050</v>
      </c>
      <c r="EW316" s="12">
        <f t="array" ref="EW316">SUMPRODUCT(TRANSPOSE(EW$9:EW$34),$K316:$AJ316)</f>
        <v>2043</v>
      </c>
      <c r="EX316" s="12">
        <f t="array" ref="EX316">SUMPRODUCT(TRANSPOSE(EX$9:EX$34),$K316:$AJ316)</f>
        <v>2000</v>
      </c>
      <c r="EY316" s="12">
        <f t="array" ref="EY316">SUMPRODUCT(TRANSPOSE(EY$9:EY$34),$K316:$AJ316)</f>
        <v>2000</v>
      </c>
      <c r="EZ316" s="12">
        <f t="array" ref="EZ316">SUMPRODUCT(TRANSPOSE(EZ$9:EZ$34),$K316:$AJ316)</f>
        <v>2000</v>
      </c>
      <c r="FA316" s="12">
        <f t="array" ref="FA316">SUMPRODUCT(TRANSPOSE(FA$9:FA$34),$K316:$AJ316)</f>
        <v>2000</v>
      </c>
      <c r="FB316" s="12">
        <f t="array" ref="FB316">SUMPRODUCT(TRANSPOSE(FB$9:FB$34),$K316:$AJ316)</f>
        <v>2000</v>
      </c>
      <c r="FC316" s="12">
        <f t="array" ref="FC316">SUMPRODUCT(TRANSPOSE(FC$9:FC$34),$K316:$AJ316)</f>
        <v>2000</v>
      </c>
      <c r="FD316" s="12">
        <f t="array" ref="FD316">SUMPRODUCT(TRANSPOSE(FD$9:FD$34),$K316:$AJ316)</f>
        <v>2000</v>
      </c>
      <c r="FE316" s="12">
        <f t="array" ref="FE316">SUMPRODUCT(TRANSPOSE(FE$9:FE$34),$K316:$AJ316)</f>
        <v>2000</v>
      </c>
      <c r="FF316" s="12">
        <f t="array" ref="FF316">SUMPRODUCT(TRANSPOSE(FF$9:FF$34),$K316:$AJ316)</f>
        <v>2000</v>
      </c>
      <c r="FG316" s="12">
        <f t="array" ref="FG316">SUMPRODUCT(TRANSPOSE(FG$9:FG$34),$K316:$AJ316)</f>
        <v>2000</v>
      </c>
      <c r="FH316" s="12">
        <f t="array" ref="FH316">SUMPRODUCT(TRANSPOSE(FH$9:FH$34),$K316:$AJ316)</f>
        <v>2000</v>
      </c>
      <c r="FI316" s="12">
        <f t="array" ref="FI316">SUMPRODUCT(TRANSPOSE(FI$9:FI$34),$K316:$AJ316)</f>
        <v>2000</v>
      </c>
      <c r="FJ316" s="12">
        <f t="array" ref="FJ316">SUMPRODUCT(TRANSPOSE(FJ$9:FJ$34),$K316:$AJ316)</f>
        <v>2000</v>
      </c>
      <c r="FK316" s="12">
        <f t="array" ref="FK316">SUMPRODUCT(TRANSPOSE(FK$9:FK$34),$K316:$AJ316)</f>
        <v>2000</v>
      </c>
      <c r="FL316" s="12">
        <f t="array" ref="FL316">SUMPRODUCT(TRANSPOSE(FL$9:FL$34),$K316:$AJ316)</f>
        <v>2000</v>
      </c>
      <c r="FM316" s="12">
        <f t="array" ref="FM316">SUMPRODUCT(TRANSPOSE(FM$9:FM$34),$K316:$AJ316)</f>
        <v>2000</v>
      </c>
      <c r="FN316" s="12">
        <f t="array" ref="FN316">SUMPRODUCT(TRANSPOSE(FN$9:FN$34),$K316:$AJ316)</f>
        <v>1817</v>
      </c>
      <c r="FO316" s="12">
        <f t="array" ref="FO316">SUMPRODUCT(TRANSPOSE(FO$9:FO$34),$K316:$AJ316)</f>
        <v>77</v>
      </c>
    </row>
    <row r="317" spans="1:171" ht="14.25" x14ac:dyDescent="0.2">
      <c r="A317" s="13">
        <f t="shared" si="16"/>
        <v>282</v>
      </c>
      <c r="B317" s="13" t="s">
        <v>992</v>
      </c>
      <c r="C317" s="25" t="s">
        <v>993</v>
      </c>
      <c r="D317" s="13" t="s">
        <v>401</v>
      </c>
      <c r="E317" s="13">
        <v>732350392</v>
      </c>
      <c r="F317" s="26" t="s">
        <v>994</v>
      </c>
      <c r="G317" s="13"/>
      <c r="H317" s="13" t="s">
        <v>112</v>
      </c>
      <c r="I317" s="13">
        <v>2</v>
      </c>
      <c r="J317" s="13" t="s">
        <v>113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0.05</v>
      </c>
      <c r="X317" s="13">
        <v>0</v>
      </c>
      <c r="Y317" s="13"/>
      <c r="Z317" s="13"/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0.05</v>
      </c>
      <c r="AJ317" s="13">
        <v>0</v>
      </c>
      <c r="AK317" s="13">
        <f t="shared" si="18"/>
        <v>0.05</v>
      </c>
      <c r="AL317" s="23">
        <f t="shared" si="15"/>
        <v>1779.95</v>
      </c>
      <c r="AM317" s="13"/>
      <c r="AN317" s="13" t="s">
        <v>949</v>
      </c>
      <c r="AO317" s="7" t="s">
        <v>950</v>
      </c>
      <c r="AP317" s="38">
        <v>0.1473906633906634</v>
      </c>
      <c r="AQ317" s="12">
        <v>14</v>
      </c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13"/>
      <c r="CG317" s="13"/>
      <c r="CH317" s="13"/>
      <c r="CI317" s="12"/>
      <c r="CJ317" s="12"/>
      <c r="CK317" s="12"/>
      <c r="CL317" s="12"/>
      <c r="CM317" s="12"/>
      <c r="CN317" s="12"/>
      <c r="CO317" s="12"/>
      <c r="CP317" s="12">
        <f>SUM($AQ317:BJ317)-SUM($EA317:EH317)</f>
        <v>-40.300000000000004</v>
      </c>
      <c r="CQ317" s="12">
        <f>SUM($AQ317:BK317)-SUM($EA317:EI317)</f>
        <v>-141.45000000000002</v>
      </c>
      <c r="CR317" s="12">
        <f>SUM($AQ317:BL317)-SUM($EA317:EJ317)</f>
        <v>-156.25000000000003</v>
      </c>
      <c r="CS317" s="12">
        <f>SUM($AQ317:BM317)-SUM($EA317:EK317)</f>
        <v>-163.00000000000003</v>
      </c>
      <c r="CT317" s="12">
        <f>SUM($AQ317:BN317)-SUM($EA317:EL317)</f>
        <v>-213.75000000000003</v>
      </c>
      <c r="CU317" s="12">
        <f>SUM($AQ317:BO317)-SUM($EA317:EM317)</f>
        <v>-316.25</v>
      </c>
      <c r="CV317" s="12">
        <f>SUM($AQ317:BP317)-SUM($EA317:EN317)</f>
        <v>-373.75</v>
      </c>
      <c r="CW317" s="12">
        <f>SUM($AQ317:BQ317)-SUM($EA317:EO317)</f>
        <v>-423.75</v>
      </c>
      <c r="CX317" s="12">
        <f>SUM($AQ317:BR317)-SUM($EA317:EP317)</f>
        <v>-476.25</v>
      </c>
      <c r="CY317" s="12">
        <f>SUM($AQ317:BS317)-SUM($EA317:EQ317)</f>
        <v>-528.75</v>
      </c>
      <c r="CZ317" s="12">
        <f>SUM($AQ317:BT317)-SUM($EA317:ER317)</f>
        <v>-581.25</v>
      </c>
      <c r="DA317" s="12">
        <f>SUM($AQ317:BU317)-SUM($EA317:ES317)</f>
        <v>-633.75</v>
      </c>
      <c r="DB317" s="12">
        <f>SUM($AQ317:BV317)-SUM($EA317:ET317)</f>
        <v>-686.25</v>
      </c>
      <c r="DC317" s="12">
        <f>SUM($AQ317:BW317)-SUM($EA317:EU317)</f>
        <v>-738.75</v>
      </c>
      <c r="DD317" s="12">
        <f>SUM($AQ317:BX317)-SUM($EA317:EV317)</f>
        <v>-791.25</v>
      </c>
      <c r="DE317" s="12">
        <f>SUM($AQ317:BY317)-SUM($EA317:EW317)</f>
        <v>-841.75</v>
      </c>
      <c r="DF317" s="12">
        <f>SUM($AQ317:BZ317)-SUM($EA317:EX317)</f>
        <v>-891.75</v>
      </c>
      <c r="DG317" s="12">
        <f>SUM($AQ317:CA317)-SUM($EA317:EY317)</f>
        <v>-941.75</v>
      </c>
      <c r="DH317" s="12">
        <f>SUM($AQ317:CB317)-SUM($EA317:EZ317)</f>
        <v>-991.75</v>
      </c>
      <c r="DI317" s="12">
        <f>SUM($AQ317:CC317)-SUM($EA317:FA317)</f>
        <v>-1041.75</v>
      </c>
      <c r="DJ317" s="12">
        <f>SUM($AQ317:CD317)-SUM($EA317:FB317)</f>
        <v>-1091.75</v>
      </c>
      <c r="DK317" s="12">
        <f>SUM($AQ317:CE317)-SUM($EA317:FC317)</f>
        <v>-1141.75</v>
      </c>
      <c r="DL317" s="12">
        <f>SUM($AQ317:CF317)-SUM($EA317:FD317)</f>
        <v>-1191.75</v>
      </c>
      <c r="DM317" s="12">
        <f>SUM($AQ317:CG317)-SUM($EA317:FE317)</f>
        <v>-1241.75</v>
      </c>
      <c r="DN317" s="12">
        <f>SUM($AQ317:CH317)-SUM($EA317:FF317)</f>
        <v>-1291.75</v>
      </c>
      <c r="DO317" s="12">
        <f>SUM($AQ317:CI317)-SUM($EA317:FG317)</f>
        <v>-1341.75</v>
      </c>
      <c r="DP317" s="12">
        <f>SUM($AQ317:CJ317)-SUM($EA317:FH317)</f>
        <v>-1391.75</v>
      </c>
      <c r="DQ317" s="12">
        <f>SUM($AQ317:CK317)-SUM($EA317:FI317)</f>
        <v>-1441.75</v>
      </c>
      <c r="DR317" s="12">
        <f>SUM($AQ317:CL317)-SUM($EA317:FJ317)</f>
        <v>-1491.75</v>
      </c>
      <c r="DS317" s="12">
        <f>SUM($AQ317:CM317)-SUM($EA317:FK317)</f>
        <v>-1541.75</v>
      </c>
      <c r="DT317" s="12">
        <f>SUM($AQ317:CN317)-SUM($EA317:FL317)</f>
        <v>-1591.75</v>
      </c>
      <c r="DU317" s="12">
        <f>SUM($AQ317:CO317)-SUM($EA317:FM317)</f>
        <v>-1641.75</v>
      </c>
      <c r="DV317" s="12">
        <f>SUM($AQ317:CP317)-SUM($EA317:FN317)</f>
        <v>-1721.25</v>
      </c>
      <c r="DW317" s="12">
        <f>SUM($AQ317:CQ317)-SUM($EA317:FO317)</f>
        <v>-1862.7</v>
      </c>
      <c r="DX317" s="13"/>
      <c r="DY317" s="13"/>
      <c r="DZ317" s="13"/>
      <c r="EA317" s="12"/>
      <c r="EB317" s="12"/>
      <c r="EC317" s="12"/>
      <c r="ED317" s="12"/>
      <c r="EE317" s="12"/>
      <c r="EF317" s="12"/>
      <c r="EG317" s="12"/>
      <c r="EH317" s="12">
        <f t="array" ref="EH317">SUMPRODUCT(TRANSPOSE(EH$9:EH$34),$K317:$AJ317)</f>
        <v>54.300000000000004</v>
      </c>
      <c r="EI317" s="12">
        <f t="array" ref="EI317">SUMPRODUCT(TRANSPOSE(EI$9:EI$34),$K317:$AJ317)</f>
        <v>101.15</v>
      </c>
      <c r="EJ317" s="12">
        <f t="array" ref="EJ317">SUMPRODUCT(TRANSPOSE(EJ$9:EJ$34),$K317:$AJ317)</f>
        <v>14.8</v>
      </c>
      <c r="EK317" s="12">
        <f t="array" ref="EK317">SUMPRODUCT(TRANSPOSE(EK$9:EK$34),$K317:$AJ317)</f>
        <v>6.75</v>
      </c>
      <c r="EL317" s="12">
        <f t="array" ref="EL317">SUMPRODUCT(TRANSPOSE(EL$9:EL$34),$K317:$AJ317)</f>
        <v>50.75</v>
      </c>
      <c r="EM317" s="12">
        <f t="array" ref="EM317">SUMPRODUCT(TRANSPOSE(EM$9:EM$34),$K317:$AJ317)</f>
        <v>102.5</v>
      </c>
      <c r="EN317" s="12">
        <f t="array" ref="EN317">SUMPRODUCT(TRANSPOSE(EN$9:EN$34),$K317:$AJ317)</f>
        <v>57.5</v>
      </c>
      <c r="EO317" s="12">
        <f t="array" ref="EO317">SUMPRODUCT(TRANSPOSE(EO$9:EO$34),$K317:$AJ317)</f>
        <v>50</v>
      </c>
      <c r="EP317" s="12">
        <f t="array" ref="EP317">SUMPRODUCT(TRANSPOSE(EP$9:EP$34),$K317:$AJ317)</f>
        <v>52.5</v>
      </c>
      <c r="EQ317" s="12">
        <f t="array" ref="EQ317">SUMPRODUCT(TRANSPOSE(EQ$9:EQ$34),$K317:$AJ317)</f>
        <v>52.5</v>
      </c>
      <c r="ER317" s="12">
        <f t="array" ref="ER317">SUMPRODUCT(TRANSPOSE(ER$9:ER$34),$K317:$AJ317)</f>
        <v>52.5</v>
      </c>
      <c r="ES317" s="12">
        <f t="array" ref="ES317">SUMPRODUCT(TRANSPOSE(ES$9:ES$34),$K317:$AJ317)</f>
        <v>52.5</v>
      </c>
      <c r="ET317" s="12">
        <f t="array" ref="ET317">SUMPRODUCT(TRANSPOSE(ET$9:ET$34),$K317:$AJ317)</f>
        <v>52.5</v>
      </c>
      <c r="EU317" s="12">
        <f t="array" ref="EU317">SUMPRODUCT(TRANSPOSE(EU$9:EU$34),$K317:$AJ317)</f>
        <v>52.5</v>
      </c>
      <c r="EV317" s="12">
        <f t="array" ref="EV317">SUMPRODUCT(TRANSPOSE(EV$9:EV$34),$K317:$AJ317)</f>
        <v>52.5</v>
      </c>
      <c r="EW317" s="12">
        <f t="array" ref="EW317">SUMPRODUCT(TRANSPOSE(EW$9:EW$34),$K317:$AJ317)</f>
        <v>50.5</v>
      </c>
      <c r="EX317" s="12">
        <f t="array" ref="EX317">SUMPRODUCT(TRANSPOSE(EX$9:EX$34),$K317:$AJ317)</f>
        <v>50</v>
      </c>
      <c r="EY317" s="12">
        <f t="array" ref="EY317">SUMPRODUCT(TRANSPOSE(EY$9:EY$34),$K317:$AJ317)</f>
        <v>50</v>
      </c>
      <c r="EZ317" s="12">
        <f t="array" ref="EZ317">SUMPRODUCT(TRANSPOSE(EZ$9:EZ$34),$K317:$AJ317)</f>
        <v>50</v>
      </c>
      <c r="FA317" s="12">
        <f t="array" ref="FA317">SUMPRODUCT(TRANSPOSE(FA$9:FA$34),$K317:$AJ317)</f>
        <v>50</v>
      </c>
      <c r="FB317" s="12">
        <f t="array" ref="FB317">SUMPRODUCT(TRANSPOSE(FB$9:FB$34),$K317:$AJ317)</f>
        <v>50</v>
      </c>
      <c r="FC317" s="12">
        <f t="array" ref="FC317">SUMPRODUCT(TRANSPOSE(FC$9:FC$34),$K317:$AJ317)</f>
        <v>50</v>
      </c>
      <c r="FD317" s="12">
        <f t="array" ref="FD317">SUMPRODUCT(TRANSPOSE(FD$9:FD$34),$K317:$AJ317)</f>
        <v>50</v>
      </c>
      <c r="FE317" s="12">
        <f t="array" ref="FE317">SUMPRODUCT(TRANSPOSE(FE$9:FE$34),$K317:$AJ317)</f>
        <v>50</v>
      </c>
      <c r="FF317" s="12">
        <f t="array" ref="FF317">SUMPRODUCT(TRANSPOSE(FF$9:FF$34),$K317:$AJ317)</f>
        <v>50</v>
      </c>
      <c r="FG317" s="12">
        <f t="array" ref="FG317">SUMPRODUCT(TRANSPOSE(FG$9:FG$34),$K317:$AJ317)</f>
        <v>50</v>
      </c>
      <c r="FH317" s="12">
        <f t="array" ref="FH317">SUMPRODUCT(TRANSPOSE(FH$9:FH$34),$K317:$AJ317)</f>
        <v>50</v>
      </c>
      <c r="FI317" s="12">
        <f t="array" ref="FI317">SUMPRODUCT(TRANSPOSE(FI$9:FI$34),$K317:$AJ317)</f>
        <v>50</v>
      </c>
      <c r="FJ317" s="12">
        <f t="array" ref="FJ317">SUMPRODUCT(TRANSPOSE(FJ$9:FJ$34),$K317:$AJ317)</f>
        <v>50</v>
      </c>
      <c r="FK317" s="12">
        <f t="array" ref="FK317">SUMPRODUCT(TRANSPOSE(FK$9:FK$34),$K317:$AJ317)</f>
        <v>50</v>
      </c>
      <c r="FL317" s="12">
        <f t="array" ref="FL317">SUMPRODUCT(TRANSPOSE(FL$9:FL$34),$K317:$AJ317)</f>
        <v>50</v>
      </c>
      <c r="FM317" s="12">
        <f t="array" ref="FM317">SUMPRODUCT(TRANSPOSE(FM$9:FM$34),$K317:$AJ317)</f>
        <v>50</v>
      </c>
      <c r="FN317" s="12">
        <f t="array" ref="FN317">SUMPRODUCT(TRANSPOSE(FN$9:FN$34),$K317:$AJ317)</f>
        <v>39.200000000000003</v>
      </c>
      <c r="FO317" s="12">
        <f t="array" ref="FO317">SUMPRODUCT(TRANSPOSE(FO$9:FO$34),$K317:$AJ317)</f>
        <v>0</v>
      </c>
    </row>
    <row r="318" spans="1:171" ht="46.15" customHeight="1" x14ac:dyDescent="0.2">
      <c r="A318" s="13">
        <f t="shared" si="16"/>
        <v>283</v>
      </c>
      <c r="B318" s="13" t="s">
        <v>995</v>
      </c>
      <c r="C318" s="25" t="s">
        <v>996</v>
      </c>
      <c r="D318" s="13" t="s">
        <v>67</v>
      </c>
      <c r="E318" s="13">
        <v>417531785</v>
      </c>
      <c r="F318" s="26" t="s">
        <v>997</v>
      </c>
      <c r="G318" s="13">
        <v>411160889</v>
      </c>
      <c r="H318" s="13" t="s">
        <v>61</v>
      </c>
      <c r="I318" s="13">
        <v>2</v>
      </c>
      <c r="J318" s="13">
        <v>6</v>
      </c>
      <c r="K318" s="13">
        <v>0</v>
      </c>
      <c r="L318" s="13">
        <v>0</v>
      </c>
      <c r="M318" s="13">
        <v>0</v>
      </c>
      <c r="N318" s="13">
        <v>0</v>
      </c>
      <c r="O318" s="13">
        <v>2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2</v>
      </c>
      <c r="Y318" s="13"/>
      <c r="Z318" s="13"/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2</v>
      </c>
      <c r="AK318" s="13">
        <f t="shared" si="18"/>
        <v>4</v>
      </c>
      <c r="AL318" s="23">
        <f t="shared" si="15"/>
        <v>141726</v>
      </c>
      <c r="AM318" s="13"/>
      <c r="AN318" s="13" t="s">
        <v>299</v>
      </c>
      <c r="AO318" s="7" t="s">
        <v>300</v>
      </c>
      <c r="AP318" s="38">
        <v>0.16900000000000001</v>
      </c>
      <c r="AQ318" s="12">
        <v>38700</v>
      </c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>
        <v>36000</v>
      </c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13"/>
      <c r="CG318" s="13"/>
      <c r="CH318" s="13"/>
      <c r="CI318" s="12"/>
      <c r="CJ318" s="12"/>
      <c r="CK318" s="12"/>
      <c r="CL318" s="12"/>
      <c r="CM318" s="12"/>
      <c r="CN318" s="12"/>
      <c r="CO318" s="12"/>
      <c r="CP318" s="12">
        <f>SUM($AQ318:BJ318)-SUM($EA318:EH318)</f>
        <v>60574</v>
      </c>
      <c r="CQ318" s="12">
        <f>SUM($AQ318:BK318)-SUM($EA318:EI318)</f>
        <v>59774</v>
      </c>
      <c r="CR318" s="12">
        <f>SUM($AQ318:BL318)-SUM($EA318:EJ318)</f>
        <v>57744</v>
      </c>
      <c r="CS318" s="12">
        <f>SUM($AQ318:BM318)-SUM($EA318:EK318)</f>
        <v>55474</v>
      </c>
      <c r="CT318" s="12">
        <f>SUM($AQ318:BN318)-SUM($EA318:EL318)</f>
        <v>51444</v>
      </c>
      <c r="CU318" s="12">
        <f>SUM($AQ318:BO318)-SUM($EA318:EM318)</f>
        <v>47344</v>
      </c>
      <c r="CV318" s="12">
        <f>SUM($AQ318:BP318)-SUM($EA318:EN318)</f>
        <v>43244</v>
      </c>
      <c r="CW318" s="12">
        <f>SUM($AQ318:BQ318)-SUM($EA318:EO318)</f>
        <v>39244</v>
      </c>
      <c r="CX318" s="12">
        <f>SUM($AQ318:BR318)-SUM($EA318:EP318)</f>
        <v>35144</v>
      </c>
      <c r="CY318" s="12">
        <f>SUM($AQ318:BS318)-SUM($EA318:EQ318)</f>
        <v>31044</v>
      </c>
      <c r="CZ318" s="12">
        <f>SUM($AQ318:BT318)-SUM($EA318:ER318)</f>
        <v>26944</v>
      </c>
      <c r="DA318" s="12">
        <f>SUM($AQ318:BU318)-SUM($EA318:ES318)</f>
        <v>22844</v>
      </c>
      <c r="DB318" s="12">
        <f>SUM($AQ318:BV318)-SUM($EA318:ET318)</f>
        <v>18744</v>
      </c>
      <c r="DC318" s="12">
        <f>SUM($AQ318:BW318)-SUM($EA318:EU318)</f>
        <v>14644</v>
      </c>
      <c r="DD318" s="12">
        <f>SUM($AQ318:BX318)-SUM($EA318:EV318)</f>
        <v>10544</v>
      </c>
      <c r="DE318" s="12">
        <f>SUM($AQ318:BY318)-SUM($EA318:EW318)</f>
        <v>6524</v>
      </c>
      <c r="DF318" s="12">
        <f>SUM($AQ318:BZ318)-SUM($EA318:EX318)</f>
        <v>2524</v>
      </c>
      <c r="DG318" s="12">
        <f>SUM($AQ318:CA318)-SUM($EA318:EY318)</f>
        <v>-1476</v>
      </c>
      <c r="DH318" s="12">
        <f>SUM($AQ318:CB318)-SUM($EA318:EZ318)</f>
        <v>-5476</v>
      </c>
      <c r="DI318" s="12">
        <f>SUM($AQ318:CC318)-SUM($EA318:FA318)</f>
        <v>-9476</v>
      </c>
      <c r="DJ318" s="12">
        <f>SUM($AQ318:CD318)-SUM($EA318:FB318)</f>
        <v>-13476</v>
      </c>
      <c r="DK318" s="12">
        <f>SUM($AQ318:CE318)-SUM($EA318:FC318)</f>
        <v>-17476</v>
      </c>
      <c r="DL318" s="12">
        <f>SUM($AQ318:CF318)-SUM($EA318:FD318)</f>
        <v>-21476</v>
      </c>
      <c r="DM318" s="12">
        <f>SUM($AQ318:CG318)-SUM($EA318:FE318)</f>
        <v>-25476</v>
      </c>
      <c r="DN318" s="12">
        <f>SUM($AQ318:CH318)-SUM($EA318:FF318)</f>
        <v>-29476</v>
      </c>
      <c r="DO318" s="12">
        <f>SUM($AQ318:CI318)-SUM($EA318:FG318)</f>
        <v>-33476</v>
      </c>
      <c r="DP318" s="12">
        <f>SUM($AQ318:CJ318)-SUM($EA318:FH318)</f>
        <v>-37476</v>
      </c>
      <c r="DQ318" s="12">
        <f>SUM($AQ318:CK318)-SUM($EA318:FI318)</f>
        <v>-41476</v>
      </c>
      <c r="DR318" s="12">
        <f>SUM($AQ318:CL318)-SUM($EA318:FJ318)</f>
        <v>-45476</v>
      </c>
      <c r="DS318" s="12">
        <f>SUM($AQ318:CM318)-SUM($EA318:FK318)</f>
        <v>-49476</v>
      </c>
      <c r="DT318" s="12">
        <f>SUM($AQ318:CN318)-SUM($EA318:FL318)</f>
        <v>-53476</v>
      </c>
      <c r="DU318" s="12">
        <f>SUM($AQ318:CO318)-SUM($EA318:FM318)</f>
        <v>-57476</v>
      </c>
      <c r="DV318" s="12">
        <f>SUM($AQ318:CP318)-SUM($EA318:FN318)</f>
        <v>-298</v>
      </c>
      <c r="DW318" s="12">
        <f>SUM($AQ318:CQ318)-SUM($EA318:FO318)</f>
        <v>59322</v>
      </c>
      <c r="DX318" s="13"/>
      <c r="DY318" s="13"/>
      <c r="DZ318" s="13"/>
      <c r="EA318" s="12"/>
      <c r="EB318" s="12"/>
      <c r="EC318" s="12"/>
      <c r="ED318" s="12"/>
      <c r="EE318" s="12"/>
      <c r="EF318" s="12"/>
      <c r="EG318" s="12"/>
      <c r="EH318" s="12">
        <f t="array" ref="EH318">SUMPRODUCT(TRANSPOSE(EH$9:EH$34),$K318:$AJ318)</f>
        <v>14126</v>
      </c>
      <c r="EI318" s="12">
        <f t="array" ref="EI318">SUMPRODUCT(TRANSPOSE(EI$9:EI$34),$K318:$AJ318)</f>
        <v>800</v>
      </c>
      <c r="EJ318" s="12">
        <f t="array" ref="EJ318">SUMPRODUCT(TRANSPOSE(EJ$9:EJ$34),$K318:$AJ318)</f>
        <v>2030</v>
      </c>
      <c r="EK318" s="12">
        <f t="array" ref="EK318">SUMPRODUCT(TRANSPOSE(EK$9:EK$34),$K318:$AJ318)</f>
        <v>2270</v>
      </c>
      <c r="EL318" s="12">
        <f t="array" ref="EL318">SUMPRODUCT(TRANSPOSE(EL$9:EL$34),$K318:$AJ318)</f>
        <v>4030</v>
      </c>
      <c r="EM318" s="12">
        <f t="array" ref="EM318">SUMPRODUCT(TRANSPOSE(EM$9:EM$34),$K318:$AJ318)</f>
        <v>4100</v>
      </c>
      <c r="EN318" s="12">
        <f t="array" ref="EN318">SUMPRODUCT(TRANSPOSE(EN$9:EN$34),$K318:$AJ318)</f>
        <v>4100</v>
      </c>
      <c r="EO318" s="12">
        <f t="array" ref="EO318">SUMPRODUCT(TRANSPOSE(EO$9:EO$34),$K318:$AJ318)</f>
        <v>4000</v>
      </c>
      <c r="EP318" s="12">
        <f t="array" ref="EP318">SUMPRODUCT(TRANSPOSE(EP$9:EP$34),$K318:$AJ318)</f>
        <v>4100</v>
      </c>
      <c r="EQ318" s="12">
        <f t="array" ref="EQ318">SUMPRODUCT(TRANSPOSE(EQ$9:EQ$34),$K318:$AJ318)</f>
        <v>4100</v>
      </c>
      <c r="ER318" s="12">
        <f t="array" ref="ER318">SUMPRODUCT(TRANSPOSE(ER$9:ER$34),$K318:$AJ318)</f>
        <v>4100</v>
      </c>
      <c r="ES318" s="12">
        <f t="array" ref="ES318">SUMPRODUCT(TRANSPOSE(ES$9:ES$34),$K318:$AJ318)</f>
        <v>4100</v>
      </c>
      <c r="ET318" s="12">
        <f t="array" ref="ET318">SUMPRODUCT(TRANSPOSE(ET$9:ET$34),$K318:$AJ318)</f>
        <v>4100</v>
      </c>
      <c r="EU318" s="12">
        <f t="array" ref="EU318">SUMPRODUCT(TRANSPOSE(EU$9:EU$34),$K318:$AJ318)</f>
        <v>4100</v>
      </c>
      <c r="EV318" s="12">
        <f t="array" ref="EV318">SUMPRODUCT(TRANSPOSE(EV$9:EV$34),$K318:$AJ318)</f>
        <v>4100</v>
      </c>
      <c r="EW318" s="12">
        <f t="array" ref="EW318">SUMPRODUCT(TRANSPOSE(EW$9:EW$34),$K318:$AJ318)</f>
        <v>4020</v>
      </c>
      <c r="EX318" s="12">
        <f t="array" ref="EX318">SUMPRODUCT(TRANSPOSE(EX$9:EX$34),$K318:$AJ318)</f>
        <v>4000</v>
      </c>
      <c r="EY318" s="12">
        <f t="array" ref="EY318">SUMPRODUCT(TRANSPOSE(EY$9:EY$34),$K318:$AJ318)</f>
        <v>4000</v>
      </c>
      <c r="EZ318" s="12">
        <f t="array" ref="EZ318">SUMPRODUCT(TRANSPOSE(EZ$9:EZ$34),$K318:$AJ318)</f>
        <v>4000</v>
      </c>
      <c r="FA318" s="12">
        <f t="array" ref="FA318">SUMPRODUCT(TRANSPOSE(FA$9:FA$34),$K318:$AJ318)</f>
        <v>4000</v>
      </c>
      <c r="FB318" s="12">
        <f t="array" ref="FB318">SUMPRODUCT(TRANSPOSE(FB$9:FB$34),$K318:$AJ318)</f>
        <v>4000</v>
      </c>
      <c r="FC318" s="12">
        <f t="array" ref="FC318">SUMPRODUCT(TRANSPOSE(FC$9:FC$34),$K318:$AJ318)</f>
        <v>4000</v>
      </c>
      <c r="FD318" s="12">
        <f t="array" ref="FD318">SUMPRODUCT(TRANSPOSE(FD$9:FD$34),$K318:$AJ318)</f>
        <v>4000</v>
      </c>
      <c r="FE318" s="12">
        <f t="array" ref="FE318">SUMPRODUCT(TRANSPOSE(FE$9:FE$34),$K318:$AJ318)</f>
        <v>4000</v>
      </c>
      <c r="FF318" s="12">
        <f t="array" ref="FF318">SUMPRODUCT(TRANSPOSE(FF$9:FF$34),$K318:$AJ318)</f>
        <v>4000</v>
      </c>
      <c r="FG318" s="12">
        <f t="array" ref="FG318">SUMPRODUCT(TRANSPOSE(FG$9:FG$34),$K318:$AJ318)</f>
        <v>4000</v>
      </c>
      <c r="FH318" s="12">
        <f t="array" ref="FH318">SUMPRODUCT(TRANSPOSE(FH$9:FH$34),$K318:$AJ318)</f>
        <v>4000</v>
      </c>
      <c r="FI318" s="12">
        <f t="array" ref="FI318">SUMPRODUCT(TRANSPOSE(FI$9:FI$34),$K318:$AJ318)</f>
        <v>4000</v>
      </c>
      <c r="FJ318" s="12">
        <f t="array" ref="FJ318">SUMPRODUCT(TRANSPOSE(FJ$9:FJ$34),$K318:$AJ318)</f>
        <v>4000</v>
      </c>
      <c r="FK318" s="12">
        <f t="array" ref="FK318">SUMPRODUCT(TRANSPOSE(FK$9:FK$34),$K318:$AJ318)</f>
        <v>4000</v>
      </c>
      <c r="FL318" s="12">
        <f t="array" ref="FL318">SUMPRODUCT(TRANSPOSE(FL$9:FL$34),$K318:$AJ318)</f>
        <v>4000</v>
      </c>
      <c r="FM318" s="12">
        <f t="array" ref="FM318">SUMPRODUCT(TRANSPOSE(FM$9:FM$34),$K318:$AJ318)</f>
        <v>4000</v>
      </c>
      <c r="FN318" s="12">
        <f t="array" ref="FN318">SUMPRODUCT(TRANSPOSE(FN$9:FN$34),$K318:$AJ318)</f>
        <v>3396</v>
      </c>
      <c r="FO318" s="12">
        <f t="array" ref="FO318">SUMPRODUCT(TRANSPOSE(FO$9:FO$34),$K318:$AJ318)</f>
        <v>154</v>
      </c>
    </row>
    <row r="319" spans="1:171" ht="14.25" x14ac:dyDescent="0.2">
      <c r="A319" s="13">
        <f t="shared" si="16"/>
        <v>284</v>
      </c>
      <c r="B319" s="13" t="s">
        <v>998</v>
      </c>
      <c r="C319" s="43" t="s">
        <v>999</v>
      </c>
      <c r="D319" s="13" t="s">
        <v>67</v>
      </c>
      <c r="E319" s="13">
        <v>411346444</v>
      </c>
      <c r="F319" s="26" t="s">
        <v>1000</v>
      </c>
      <c r="G319" s="13"/>
      <c r="H319" s="13" t="s">
        <v>61</v>
      </c>
      <c r="I319" s="13">
        <v>1</v>
      </c>
      <c r="J319" s="13">
        <v>2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1</v>
      </c>
      <c r="W319" s="13">
        <v>0</v>
      </c>
      <c r="X319" s="13">
        <v>0</v>
      </c>
      <c r="Y319" s="13"/>
      <c r="Z319" s="13"/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1</v>
      </c>
      <c r="AI319" s="13">
        <v>0</v>
      </c>
      <c r="AJ319" s="13">
        <v>0</v>
      </c>
      <c r="AK319" s="13">
        <f t="shared" si="18"/>
        <v>1</v>
      </c>
      <c r="AL319" s="23">
        <f t="shared" si="15"/>
        <v>35665</v>
      </c>
      <c r="AM319" s="13"/>
      <c r="AN319" s="13" t="s">
        <v>1001</v>
      </c>
      <c r="AO319" s="7" t="s">
        <v>1002</v>
      </c>
      <c r="AP319" s="41">
        <v>280</v>
      </c>
      <c r="AQ319" s="12">
        <v>7140</v>
      </c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>
        <v>1020</v>
      </c>
      <c r="BH319" s="12">
        <v>1020</v>
      </c>
      <c r="BI319" s="12">
        <v>1020</v>
      </c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13"/>
      <c r="CG319" s="13"/>
      <c r="CH319" s="13"/>
      <c r="CI319" s="12"/>
      <c r="CJ319" s="12"/>
      <c r="CK319" s="12"/>
      <c r="CL319" s="12"/>
      <c r="CM319" s="12"/>
      <c r="CN319" s="12"/>
      <c r="CO319" s="12"/>
      <c r="CP319" s="12">
        <f>SUM($AQ319:BJ319)-SUM($EA319:EH319)</f>
        <v>7101</v>
      </c>
      <c r="CQ319" s="12">
        <f>SUM($AQ319:BK319)-SUM($EA319:EI319)</f>
        <v>6820</v>
      </c>
      <c r="CR319" s="12">
        <f>SUM($AQ319:BL319)-SUM($EA319:EJ319)</f>
        <v>6805</v>
      </c>
      <c r="CS319" s="12">
        <f>SUM($AQ319:BM319)-SUM($EA319:EK319)</f>
        <v>6770</v>
      </c>
      <c r="CT319" s="12">
        <f>SUM($AQ319:BN319)-SUM($EA319:EL319)</f>
        <v>6755</v>
      </c>
      <c r="CU319" s="12">
        <f>SUM($AQ319:BO319)-SUM($EA319:EM319)</f>
        <v>6705</v>
      </c>
      <c r="CV319" s="12">
        <f>SUM($AQ319:BP319)-SUM($EA319:EN319)</f>
        <v>6655</v>
      </c>
      <c r="CW319" s="12">
        <f>SUM($AQ319:BQ319)-SUM($EA319:EO319)</f>
        <v>6655</v>
      </c>
      <c r="CX319" s="12">
        <f>SUM($AQ319:BR319)-SUM($EA319:EP319)</f>
        <v>6605</v>
      </c>
      <c r="CY319" s="12">
        <f>SUM($AQ319:BS319)-SUM($EA319:EQ319)</f>
        <v>6555</v>
      </c>
      <c r="CZ319" s="12">
        <f>SUM($AQ319:BT319)-SUM($EA319:ER319)</f>
        <v>6505</v>
      </c>
      <c r="DA319" s="12">
        <f>SUM($AQ319:BU319)-SUM($EA319:ES319)</f>
        <v>6455</v>
      </c>
      <c r="DB319" s="12">
        <f>SUM($AQ319:BV319)-SUM($EA319:ET319)</f>
        <v>6405</v>
      </c>
      <c r="DC319" s="12">
        <f>SUM($AQ319:BW319)-SUM($EA319:EU319)</f>
        <v>6355</v>
      </c>
      <c r="DD319" s="12">
        <f>SUM($AQ319:BX319)-SUM($EA319:EV319)</f>
        <v>6305</v>
      </c>
      <c r="DE319" s="12">
        <f>SUM($AQ319:BY319)-SUM($EA319:EW319)</f>
        <v>6262</v>
      </c>
      <c r="DF319" s="12">
        <f>SUM($AQ319:BZ319)-SUM($EA319:EX319)</f>
        <v>6262</v>
      </c>
      <c r="DG319" s="12">
        <f>SUM($AQ319:CA319)-SUM($EA319:EY319)</f>
        <v>6262</v>
      </c>
      <c r="DH319" s="12">
        <f>SUM($AQ319:CB319)-SUM($EA319:EZ319)</f>
        <v>6262</v>
      </c>
      <c r="DI319" s="12">
        <f>SUM($AQ319:CC319)-SUM($EA319:FA319)</f>
        <v>6262</v>
      </c>
      <c r="DJ319" s="12">
        <f>SUM($AQ319:CD319)-SUM($EA319:FB319)</f>
        <v>6262</v>
      </c>
      <c r="DK319" s="12">
        <f>SUM($AQ319:CE319)-SUM($EA319:FC319)</f>
        <v>6262</v>
      </c>
      <c r="DL319" s="12">
        <f>SUM($AQ319:CF319)-SUM($EA319:FD319)</f>
        <v>6262</v>
      </c>
      <c r="DM319" s="12">
        <f>SUM($AQ319:CG319)-SUM($EA319:FE319)</f>
        <v>6262</v>
      </c>
      <c r="DN319" s="12">
        <f>SUM($AQ319:CH319)-SUM($EA319:FF319)</f>
        <v>6262</v>
      </c>
      <c r="DO319" s="12">
        <f>SUM($AQ319:CI319)-SUM($EA319:FG319)</f>
        <v>6262</v>
      </c>
      <c r="DP319" s="12">
        <f>SUM($AQ319:CJ319)-SUM($EA319:FH319)</f>
        <v>6262</v>
      </c>
      <c r="DQ319" s="12">
        <f>SUM($AQ319:CK319)-SUM($EA319:FI319)</f>
        <v>6262</v>
      </c>
      <c r="DR319" s="12">
        <f>SUM($AQ319:CL319)-SUM($EA319:FJ319)</f>
        <v>6262</v>
      </c>
      <c r="DS319" s="12">
        <f>SUM($AQ319:CM319)-SUM($EA319:FK319)</f>
        <v>6262</v>
      </c>
      <c r="DT319" s="12">
        <f>SUM($AQ319:CN319)-SUM($EA319:FL319)</f>
        <v>6262</v>
      </c>
      <c r="DU319" s="12">
        <f>SUM($AQ319:CO319)-SUM($EA319:FM319)</f>
        <v>6262</v>
      </c>
      <c r="DV319" s="12">
        <f>SUM($AQ319:CP319)-SUM($EA319:FN319)</f>
        <v>13363</v>
      </c>
      <c r="DW319" s="12">
        <f>SUM($AQ319:CQ319)-SUM($EA319:FO319)</f>
        <v>20183</v>
      </c>
      <c r="DX319" s="13"/>
      <c r="DY319" s="13"/>
      <c r="DZ319" s="13"/>
      <c r="EA319" s="12"/>
      <c r="EB319" s="12"/>
      <c r="EC319" s="12"/>
      <c r="ED319" s="12"/>
      <c r="EE319" s="12"/>
      <c r="EF319" s="12"/>
      <c r="EG319" s="12"/>
      <c r="EH319" s="12">
        <f t="array" ref="EH319">SUMPRODUCT(TRANSPOSE(EH$9:EH$34),$K319:$AJ319)</f>
        <v>3099</v>
      </c>
      <c r="EI319" s="12">
        <f t="array" ref="EI319">SUMPRODUCT(TRANSPOSE(EI$9:EI$34),$K319:$AJ319)</f>
        <v>281</v>
      </c>
      <c r="EJ319" s="12">
        <f t="array" ref="EJ319">SUMPRODUCT(TRANSPOSE(EJ$9:EJ$34),$K319:$AJ319)</f>
        <v>15</v>
      </c>
      <c r="EK319" s="12">
        <f t="array" ref="EK319">SUMPRODUCT(TRANSPOSE(EK$9:EK$34),$K319:$AJ319)</f>
        <v>35</v>
      </c>
      <c r="EL319" s="12">
        <f t="array" ref="EL319">SUMPRODUCT(TRANSPOSE(EL$9:EL$34),$K319:$AJ319)</f>
        <v>15</v>
      </c>
      <c r="EM319" s="12">
        <f t="array" ref="EM319">SUMPRODUCT(TRANSPOSE(EM$9:EM$34),$K319:$AJ319)</f>
        <v>50</v>
      </c>
      <c r="EN319" s="12">
        <f t="array" ref="EN319">SUMPRODUCT(TRANSPOSE(EN$9:EN$34),$K319:$AJ319)</f>
        <v>50</v>
      </c>
      <c r="EO319" s="12">
        <f t="array" ref="EO319">SUMPRODUCT(TRANSPOSE(EO$9:EO$34),$K319:$AJ319)</f>
        <v>0</v>
      </c>
      <c r="EP319" s="12">
        <f t="array" ref="EP319">SUMPRODUCT(TRANSPOSE(EP$9:EP$34),$K319:$AJ319)</f>
        <v>50</v>
      </c>
      <c r="EQ319" s="12">
        <f t="array" ref="EQ319">SUMPRODUCT(TRANSPOSE(EQ$9:EQ$34),$K319:$AJ319)</f>
        <v>50</v>
      </c>
      <c r="ER319" s="12">
        <f t="array" ref="ER319">SUMPRODUCT(TRANSPOSE(ER$9:ER$34),$K319:$AJ319)</f>
        <v>50</v>
      </c>
      <c r="ES319" s="12">
        <f t="array" ref="ES319">SUMPRODUCT(TRANSPOSE(ES$9:ES$34),$K319:$AJ319)</f>
        <v>50</v>
      </c>
      <c r="ET319" s="12">
        <f t="array" ref="ET319">SUMPRODUCT(TRANSPOSE(ET$9:ET$34),$K319:$AJ319)</f>
        <v>50</v>
      </c>
      <c r="EU319" s="12">
        <f t="array" ref="EU319">SUMPRODUCT(TRANSPOSE(EU$9:EU$34),$K319:$AJ319)</f>
        <v>50</v>
      </c>
      <c r="EV319" s="12">
        <f t="array" ref="EV319">SUMPRODUCT(TRANSPOSE(EV$9:EV$34),$K319:$AJ319)</f>
        <v>50</v>
      </c>
      <c r="EW319" s="12">
        <f t="array" ref="EW319">SUMPRODUCT(TRANSPOSE(EW$9:EW$34),$K319:$AJ319)</f>
        <v>43</v>
      </c>
      <c r="EX319" s="12">
        <f t="array" ref="EX319">SUMPRODUCT(TRANSPOSE(EX$9:EX$34),$K319:$AJ319)</f>
        <v>0</v>
      </c>
      <c r="EY319" s="12">
        <f t="array" ref="EY319">SUMPRODUCT(TRANSPOSE(EY$9:EY$34),$K319:$AJ319)</f>
        <v>0</v>
      </c>
      <c r="EZ319" s="12">
        <f t="array" ref="EZ319">SUMPRODUCT(TRANSPOSE(EZ$9:EZ$34),$K319:$AJ319)</f>
        <v>0</v>
      </c>
      <c r="FA319" s="12">
        <f t="array" ref="FA319">SUMPRODUCT(TRANSPOSE(FA$9:FA$34),$K319:$AJ319)</f>
        <v>0</v>
      </c>
      <c r="FB319" s="12">
        <f t="array" ref="FB319">SUMPRODUCT(TRANSPOSE(FB$9:FB$34),$K319:$AJ319)</f>
        <v>0</v>
      </c>
      <c r="FC319" s="12">
        <f t="array" ref="FC319">SUMPRODUCT(TRANSPOSE(FC$9:FC$34),$K319:$AJ319)</f>
        <v>0</v>
      </c>
      <c r="FD319" s="12">
        <f t="array" ref="FD319">SUMPRODUCT(TRANSPOSE(FD$9:FD$34),$K319:$AJ319)</f>
        <v>0</v>
      </c>
      <c r="FE319" s="12">
        <f t="array" ref="FE319">SUMPRODUCT(TRANSPOSE(FE$9:FE$34),$K319:$AJ319)</f>
        <v>0</v>
      </c>
      <c r="FF319" s="12">
        <f t="array" ref="FF319">SUMPRODUCT(TRANSPOSE(FF$9:FF$34),$K319:$AJ319)</f>
        <v>0</v>
      </c>
      <c r="FG319" s="12">
        <f t="array" ref="FG319">SUMPRODUCT(TRANSPOSE(FG$9:FG$34),$K319:$AJ319)</f>
        <v>0</v>
      </c>
      <c r="FH319" s="12">
        <f t="array" ref="FH319">SUMPRODUCT(TRANSPOSE(FH$9:FH$34),$K319:$AJ319)</f>
        <v>0</v>
      </c>
      <c r="FI319" s="12">
        <f t="array" ref="FI319">SUMPRODUCT(TRANSPOSE(FI$9:FI$34),$K319:$AJ319)</f>
        <v>0</v>
      </c>
      <c r="FJ319" s="12">
        <f t="array" ref="FJ319">SUMPRODUCT(TRANSPOSE(FJ$9:FJ$34),$K319:$AJ319)</f>
        <v>0</v>
      </c>
      <c r="FK319" s="12">
        <f t="array" ref="FK319">SUMPRODUCT(TRANSPOSE(FK$9:FK$34),$K319:$AJ319)</f>
        <v>0</v>
      </c>
      <c r="FL319" s="12">
        <f t="array" ref="FL319">SUMPRODUCT(TRANSPOSE(FL$9:FL$34),$K319:$AJ319)</f>
        <v>0</v>
      </c>
      <c r="FM319" s="12">
        <f t="array" ref="FM319">SUMPRODUCT(TRANSPOSE(FM$9:FM$34),$K319:$AJ319)</f>
        <v>0</v>
      </c>
      <c r="FN319" s="12">
        <f t="array" ref="FN319">SUMPRODUCT(TRANSPOSE(FN$9:FN$34),$K319:$AJ319)</f>
        <v>0</v>
      </c>
      <c r="FO319" s="12">
        <f t="array" ref="FO319">SUMPRODUCT(TRANSPOSE(FO$9:FO$34),$K319:$AJ319)</f>
        <v>0</v>
      </c>
    </row>
    <row r="320" spans="1:171" ht="14.25" x14ac:dyDescent="0.2">
      <c r="A320" s="13">
        <f t="shared" si="16"/>
        <v>285</v>
      </c>
      <c r="B320" s="13" t="s">
        <v>1003</v>
      </c>
      <c r="C320" s="25" t="s">
        <v>1004</v>
      </c>
      <c r="D320" s="13" t="s">
        <v>67</v>
      </c>
      <c r="E320" s="13">
        <v>401461708</v>
      </c>
      <c r="F320" s="26" t="s">
        <v>1005</v>
      </c>
      <c r="G320" s="13">
        <v>405816828</v>
      </c>
      <c r="H320" s="13" t="s">
        <v>61</v>
      </c>
      <c r="I320" s="13">
        <v>2</v>
      </c>
      <c r="J320" s="13">
        <v>6</v>
      </c>
      <c r="K320" s="13">
        <v>0</v>
      </c>
      <c r="L320" s="13">
        <v>0</v>
      </c>
      <c r="M320" s="13">
        <v>0</v>
      </c>
      <c r="N320" s="13">
        <v>0</v>
      </c>
      <c r="O320" s="13">
        <v>2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2</v>
      </c>
      <c r="Y320" s="13"/>
      <c r="Z320" s="13"/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2</v>
      </c>
      <c r="AK320" s="13">
        <f t="shared" si="18"/>
        <v>4</v>
      </c>
      <c r="AL320" s="23">
        <f t="shared" si="15"/>
        <v>141726</v>
      </c>
      <c r="AM320" s="13" t="s">
        <v>2</v>
      </c>
      <c r="AN320" s="13" t="s">
        <v>710</v>
      </c>
      <c r="AO320" s="7" t="s">
        <v>2</v>
      </c>
      <c r="AP320" s="41"/>
      <c r="AQ320" s="12">
        <v>141500</v>
      </c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13"/>
      <c r="CG320" s="13"/>
      <c r="CH320" s="13"/>
      <c r="CI320" s="12"/>
      <c r="CJ320" s="12"/>
      <c r="CK320" s="12"/>
      <c r="CL320" s="12"/>
      <c r="CM320" s="12"/>
      <c r="CN320" s="12"/>
      <c r="CO320" s="12"/>
      <c r="CP320" s="12">
        <f>SUM($AQ320:BJ320)-SUM($EA320:EH320)</f>
        <v>127374</v>
      </c>
      <c r="CQ320" s="12">
        <f>SUM($AQ320:BK320)-SUM($EA320:EI320)</f>
        <v>126574</v>
      </c>
      <c r="CR320" s="12">
        <f>SUM($AQ320:BL320)-SUM($EA320:EJ320)</f>
        <v>124544</v>
      </c>
      <c r="CS320" s="12">
        <f>SUM($AQ320:BM320)-SUM($EA320:EK320)</f>
        <v>122274</v>
      </c>
      <c r="CT320" s="12">
        <f>SUM($AQ320:BN320)-SUM($EA320:EL320)</f>
        <v>118244</v>
      </c>
      <c r="CU320" s="12">
        <f>SUM($AQ320:BO320)-SUM($EA320:EM320)</f>
        <v>114144</v>
      </c>
      <c r="CV320" s="12">
        <f>SUM($AQ320:BP320)-SUM($EA320:EN320)</f>
        <v>110044</v>
      </c>
      <c r="CW320" s="12">
        <f>SUM($AQ320:BQ320)-SUM($EA320:EO320)</f>
        <v>106044</v>
      </c>
      <c r="CX320" s="12">
        <f>SUM($AQ320:BR320)-SUM($EA320:EP320)</f>
        <v>101944</v>
      </c>
      <c r="CY320" s="12">
        <f>SUM($AQ320:BS320)-SUM($EA320:EQ320)</f>
        <v>97844</v>
      </c>
      <c r="CZ320" s="12">
        <f>SUM($AQ320:BT320)-SUM($EA320:ER320)</f>
        <v>93744</v>
      </c>
      <c r="DA320" s="12">
        <f>SUM($AQ320:BU320)-SUM($EA320:ES320)</f>
        <v>89644</v>
      </c>
      <c r="DB320" s="12">
        <f>SUM($AQ320:BV320)-SUM($EA320:ET320)</f>
        <v>85544</v>
      </c>
      <c r="DC320" s="12">
        <f>SUM($AQ320:BW320)-SUM($EA320:EU320)</f>
        <v>81444</v>
      </c>
      <c r="DD320" s="12">
        <f>SUM($AQ320:BX320)-SUM($EA320:EV320)</f>
        <v>77344</v>
      </c>
      <c r="DE320" s="12">
        <f>SUM($AQ320:BY320)-SUM($EA320:EW320)</f>
        <v>73324</v>
      </c>
      <c r="DF320" s="12">
        <f>SUM($AQ320:BZ320)-SUM($EA320:EX320)</f>
        <v>69324</v>
      </c>
      <c r="DG320" s="12">
        <f>SUM($AQ320:CA320)-SUM($EA320:EY320)</f>
        <v>65324</v>
      </c>
      <c r="DH320" s="12">
        <f>SUM($AQ320:CB320)-SUM($EA320:EZ320)</f>
        <v>61324</v>
      </c>
      <c r="DI320" s="12">
        <f>SUM($AQ320:CC320)-SUM($EA320:FA320)</f>
        <v>57324</v>
      </c>
      <c r="DJ320" s="12">
        <f>SUM($AQ320:CD320)-SUM($EA320:FB320)</f>
        <v>53324</v>
      </c>
      <c r="DK320" s="12">
        <f>SUM($AQ320:CE320)-SUM($EA320:FC320)</f>
        <v>49324</v>
      </c>
      <c r="DL320" s="12">
        <f>SUM($AQ320:CF320)-SUM($EA320:FD320)</f>
        <v>45324</v>
      </c>
      <c r="DM320" s="12">
        <f>SUM($AQ320:CG320)-SUM($EA320:FE320)</f>
        <v>41324</v>
      </c>
      <c r="DN320" s="12">
        <f>SUM($AQ320:CH320)-SUM($EA320:FF320)</f>
        <v>37324</v>
      </c>
      <c r="DO320" s="12">
        <f>SUM($AQ320:CI320)-SUM($EA320:FG320)</f>
        <v>33324</v>
      </c>
      <c r="DP320" s="12">
        <f>SUM($AQ320:CJ320)-SUM($EA320:FH320)</f>
        <v>29324</v>
      </c>
      <c r="DQ320" s="12">
        <f>SUM($AQ320:CK320)-SUM($EA320:FI320)</f>
        <v>25324</v>
      </c>
      <c r="DR320" s="12">
        <f>SUM($AQ320:CL320)-SUM($EA320:FJ320)</f>
        <v>21324</v>
      </c>
      <c r="DS320" s="12">
        <f>SUM($AQ320:CM320)-SUM($EA320:FK320)</f>
        <v>17324</v>
      </c>
      <c r="DT320" s="12">
        <f>SUM($AQ320:CN320)-SUM($EA320:FL320)</f>
        <v>13324</v>
      </c>
      <c r="DU320" s="12">
        <f>SUM($AQ320:CO320)-SUM($EA320:FM320)</f>
        <v>9324</v>
      </c>
      <c r="DV320" s="12">
        <f>SUM($AQ320:CP320)-SUM($EA320:FN320)</f>
        <v>133302</v>
      </c>
      <c r="DW320" s="12">
        <f>SUM($AQ320:CQ320)-SUM($EA320:FO320)</f>
        <v>259722</v>
      </c>
      <c r="DX320" s="13"/>
      <c r="DY320" s="13"/>
      <c r="DZ320" s="13"/>
      <c r="EA320" s="12"/>
      <c r="EB320" s="12"/>
      <c r="EC320" s="12"/>
      <c r="ED320" s="12"/>
      <c r="EE320" s="12"/>
      <c r="EF320" s="12"/>
      <c r="EG320" s="12"/>
      <c r="EH320" s="12">
        <f t="array" ref="EH320">SUMPRODUCT(TRANSPOSE(EH$9:EH$34),$K320:$AJ320)</f>
        <v>14126</v>
      </c>
      <c r="EI320" s="12">
        <f t="array" ref="EI320">SUMPRODUCT(TRANSPOSE(EI$9:EI$34),$K320:$AJ320)</f>
        <v>800</v>
      </c>
      <c r="EJ320" s="12">
        <f t="array" ref="EJ320">SUMPRODUCT(TRANSPOSE(EJ$9:EJ$34),$K320:$AJ320)</f>
        <v>2030</v>
      </c>
      <c r="EK320" s="12">
        <f t="array" ref="EK320">SUMPRODUCT(TRANSPOSE(EK$9:EK$34),$K320:$AJ320)</f>
        <v>2270</v>
      </c>
      <c r="EL320" s="12">
        <f t="array" ref="EL320">SUMPRODUCT(TRANSPOSE(EL$9:EL$34),$K320:$AJ320)</f>
        <v>4030</v>
      </c>
      <c r="EM320" s="12">
        <f t="array" ref="EM320">SUMPRODUCT(TRANSPOSE(EM$9:EM$34),$K320:$AJ320)</f>
        <v>4100</v>
      </c>
      <c r="EN320" s="12">
        <f t="array" ref="EN320">SUMPRODUCT(TRANSPOSE(EN$9:EN$34),$K320:$AJ320)</f>
        <v>4100</v>
      </c>
      <c r="EO320" s="12">
        <f t="array" ref="EO320">SUMPRODUCT(TRANSPOSE(EO$9:EO$34),$K320:$AJ320)</f>
        <v>4000</v>
      </c>
      <c r="EP320" s="12">
        <f t="array" ref="EP320">SUMPRODUCT(TRANSPOSE(EP$9:EP$34),$K320:$AJ320)</f>
        <v>4100</v>
      </c>
      <c r="EQ320" s="12">
        <f t="array" ref="EQ320">SUMPRODUCT(TRANSPOSE(EQ$9:EQ$34),$K320:$AJ320)</f>
        <v>4100</v>
      </c>
      <c r="ER320" s="12">
        <f t="array" ref="ER320">SUMPRODUCT(TRANSPOSE(ER$9:ER$34),$K320:$AJ320)</f>
        <v>4100</v>
      </c>
      <c r="ES320" s="12">
        <f t="array" ref="ES320">SUMPRODUCT(TRANSPOSE(ES$9:ES$34),$K320:$AJ320)</f>
        <v>4100</v>
      </c>
      <c r="ET320" s="12">
        <f t="array" ref="ET320">SUMPRODUCT(TRANSPOSE(ET$9:ET$34),$K320:$AJ320)</f>
        <v>4100</v>
      </c>
      <c r="EU320" s="12">
        <f t="array" ref="EU320">SUMPRODUCT(TRANSPOSE(EU$9:EU$34),$K320:$AJ320)</f>
        <v>4100</v>
      </c>
      <c r="EV320" s="12">
        <f t="array" ref="EV320">SUMPRODUCT(TRANSPOSE(EV$9:EV$34),$K320:$AJ320)</f>
        <v>4100</v>
      </c>
      <c r="EW320" s="12">
        <f t="array" ref="EW320">SUMPRODUCT(TRANSPOSE(EW$9:EW$34),$K320:$AJ320)</f>
        <v>4020</v>
      </c>
      <c r="EX320" s="12">
        <f t="array" ref="EX320">SUMPRODUCT(TRANSPOSE(EX$9:EX$34),$K320:$AJ320)</f>
        <v>4000</v>
      </c>
      <c r="EY320" s="12">
        <f t="array" ref="EY320">SUMPRODUCT(TRANSPOSE(EY$9:EY$34),$K320:$AJ320)</f>
        <v>4000</v>
      </c>
      <c r="EZ320" s="12">
        <f t="array" ref="EZ320">SUMPRODUCT(TRANSPOSE(EZ$9:EZ$34),$K320:$AJ320)</f>
        <v>4000</v>
      </c>
      <c r="FA320" s="12">
        <f t="array" ref="FA320">SUMPRODUCT(TRANSPOSE(FA$9:FA$34),$K320:$AJ320)</f>
        <v>4000</v>
      </c>
      <c r="FB320" s="12">
        <f t="array" ref="FB320">SUMPRODUCT(TRANSPOSE(FB$9:FB$34),$K320:$AJ320)</f>
        <v>4000</v>
      </c>
      <c r="FC320" s="12">
        <f t="array" ref="FC320">SUMPRODUCT(TRANSPOSE(FC$9:FC$34),$K320:$AJ320)</f>
        <v>4000</v>
      </c>
      <c r="FD320" s="12">
        <f t="array" ref="FD320">SUMPRODUCT(TRANSPOSE(FD$9:FD$34),$K320:$AJ320)</f>
        <v>4000</v>
      </c>
      <c r="FE320" s="12">
        <f t="array" ref="FE320">SUMPRODUCT(TRANSPOSE(FE$9:FE$34),$K320:$AJ320)</f>
        <v>4000</v>
      </c>
      <c r="FF320" s="12">
        <f t="array" ref="FF320">SUMPRODUCT(TRANSPOSE(FF$9:FF$34),$K320:$AJ320)</f>
        <v>4000</v>
      </c>
      <c r="FG320" s="12">
        <f t="array" ref="FG320">SUMPRODUCT(TRANSPOSE(FG$9:FG$34),$K320:$AJ320)</f>
        <v>4000</v>
      </c>
      <c r="FH320" s="12">
        <f t="array" ref="FH320">SUMPRODUCT(TRANSPOSE(FH$9:FH$34),$K320:$AJ320)</f>
        <v>4000</v>
      </c>
      <c r="FI320" s="12">
        <f t="array" ref="FI320">SUMPRODUCT(TRANSPOSE(FI$9:FI$34),$K320:$AJ320)</f>
        <v>4000</v>
      </c>
      <c r="FJ320" s="12">
        <f t="array" ref="FJ320">SUMPRODUCT(TRANSPOSE(FJ$9:FJ$34),$K320:$AJ320)</f>
        <v>4000</v>
      </c>
      <c r="FK320" s="12">
        <f t="array" ref="FK320">SUMPRODUCT(TRANSPOSE(FK$9:FK$34),$K320:$AJ320)</f>
        <v>4000</v>
      </c>
      <c r="FL320" s="12">
        <f t="array" ref="FL320">SUMPRODUCT(TRANSPOSE(FL$9:FL$34),$K320:$AJ320)</f>
        <v>4000</v>
      </c>
      <c r="FM320" s="12">
        <f t="array" ref="FM320">SUMPRODUCT(TRANSPOSE(FM$9:FM$34),$K320:$AJ320)</f>
        <v>4000</v>
      </c>
      <c r="FN320" s="12">
        <f t="array" ref="FN320">SUMPRODUCT(TRANSPOSE(FN$9:FN$34),$K320:$AJ320)</f>
        <v>3396</v>
      </c>
      <c r="FO320" s="12">
        <f t="array" ref="FO320">SUMPRODUCT(TRANSPOSE(FO$9:FO$34),$K320:$AJ320)</f>
        <v>154</v>
      </c>
    </row>
    <row r="321" spans="1:171" ht="14.25" x14ac:dyDescent="0.2">
      <c r="A321" s="13">
        <f t="shared" si="16"/>
        <v>286</v>
      </c>
      <c r="B321" s="13" t="s">
        <v>1006</v>
      </c>
      <c r="C321" s="25" t="s">
        <v>1007</v>
      </c>
      <c r="D321" s="13" t="s">
        <v>67</v>
      </c>
      <c r="E321" s="13">
        <v>406564380</v>
      </c>
      <c r="F321" s="26" t="s">
        <v>1008</v>
      </c>
      <c r="G321" s="13">
        <v>406565026</v>
      </c>
      <c r="H321" s="13" t="s">
        <v>61</v>
      </c>
      <c r="I321" s="13">
        <v>2</v>
      </c>
      <c r="J321" s="13">
        <v>3</v>
      </c>
      <c r="K321" s="13">
        <v>0</v>
      </c>
      <c r="L321" s="13">
        <v>0</v>
      </c>
      <c r="M321" s="13">
        <v>0</v>
      </c>
      <c r="N321" s="13">
        <v>0</v>
      </c>
      <c r="O321" s="13">
        <v>1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1</v>
      </c>
      <c r="Y321" s="13"/>
      <c r="Z321" s="13"/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1</v>
      </c>
      <c r="AK321" s="13">
        <f t="shared" si="18"/>
        <v>2</v>
      </c>
      <c r="AL321" s="23">
        <f t="shared" si="15"/>
        <v>70863</v>
      </c>
      <c r="AM321" s="13" t="s">
        <v>2</v>
      </c>
      <c r="AN321" s="13" t="s">
        <v>710</v>
      </c>
      <c r="AO321" s="7" t="s">
        <v>2</v>
      </c>
      <c r="AP321" s="41"/>
      <c r="AQ321" s="12">
        <v>71171</v>
      </c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13"/>
      <c r="CG321" s="13"/>
      <c r="CH321" s="13"/>
      <c r="CI321" s="12"/>
      <c r="CJ321" s="12"/>
      <c r="CK321" s="12"/>
      <c r="CL321" s="12"/>
      <c r="CM321" s="12"/>
      <c r="CN321" s="12"/>
      <c r="CO321" s="12"/>
      <c r="CP321" s="12">
        <f>SUM($AQ321:BJ321)-SUM($EA321:EH321)</f>
        <v>64108</v>
      </c>
      <c r="CQ321" s="12">
        <f>SUM($AQ321:BK321)-SUM($EA321:EI321)</f>
        <v>63708</v>
      </c>
      <c r="CR321" s="12">
        <f>SUM($AQ321:BL321)-SUM($EA321:EJ321)</f>
        <v>62693</v>
      </c>
      <c r="CS321" s="12">
        <f>SUM($AQ321:BM321)-SUM($EA321:EK321)</f>
        <v>61558</v>
      </c>
      <c r="CT321" s="12">
        <f>SUM($AQ321:BN321)-SUM($EA321:EL321)</f>
        <v>59543</v>
      </c>
      <c r="CU321" s="12">
        <f>SUM($AQ321:BO321)-SUM($EA321:EM321)</f>
        <v>57493</v>
      </c>
      <c r="CV321" s="12">
        <f>SUM($AQ321:BP321)-SUM($EA321:EN321)</f>
        <v>55443</v>
      </c>
      <c r="CW321" s="12">
        <f>SUM($AQ321:BQ321)-SUM($EA321:EO321)</f>
        <v>53443</v>
      </c>
      <c r="CX321" s="12">
        <f>SUM($AQ321:BR321)-SUM($EA321:EP321)</f>
        <v>51393</v>
      </c>
      <c r="CY321" s="12">
        <f>SUM($AQ321:BS321)-SUM($EA321:EQ321)</f>
        <v>49343</v>
      </c>
      <c r="CZ321" s="12">
        <f>SUM($AQ321:BT321)-SUM($EA321:ER321)</f>
        <v>47293</v>
      </c>
      <c r="DA321" s="12">
        <f>SUM($AQ321:BU321)-SUM($EA321:ES321)</f>
        <v>45243</v>
      </c>
      <c r="DB321" s="12">
        <f>SUM($AQ321:BV321)-SUM($EA321:ET321)</f>
        <v>43193</v>
      </c>
      <c r="DC321" s="12">
        <f>SUM($AQ321:BW321)-SUM($EA321:EU321)</f>
        <v>41143</v>
      </c>
      <c r="DD321" s="12">
        <f>SUM($AQ321:BX321)-SUM($EA321:EV321)</f>
        <v>39093</v>
      </c>
      <c r="DE321" s="12">
        <f>SUM($AQ321:BY321)-SUM($EA321:EW321)</f>
        <v>37083</v>
      </c>
      <c r="DF321" s="12">
        <f>SUM($AQ321:BZ321)-SUM($EA321:EX321)</f>
        <v>35083</v>
      </c>
      <c r="DG321" s="12">
        <f>SUM($AQ321:CA321)-SUM($EA321:EY321)</f>
        <v>33083</v>
      </c>
      <c r="DH321" s="12">
        <f>SUM($AQ321:CB321)-SUM($EA321:EZ321)</f>
        <v>31083</v>
      </c>
      <c r="DI321" s="12">
        <f>SUM($AQ321:CC321)-SUM($EA321:FA321)</f>
        <v>29083</v>
      </c>
      <c r="DJ321" s="12">
        <f>SUM($AQ321:CD321)-SUM($EA321:FB321)</f>
        <v>27083</v>
      </c>
      <c r="DK321" s="12">
        <f>SUM($AQ321:CE321)-SUM($EA321:FC321)</f>
        <v>25083</v>
      </c>
      <c r="DL321" s="12">
        <f>SUM($AQ321:CF321)-SUM($EA321:FD321)</f>
        <v>23083</v>
      </c>
      <c r="DM321" s="12">
        <f>SUM($AQ321:CG321)-SUM($EA321:FE321)</f>
        <v>21083</v>
      </c>
      <c r="DN321" s="12">
        <f>SUM($AQ321:CH321)-SUM($EA321:FF321)</f>
        <v>19083</v>
      </c>
      <c r="DO321" s="12">
        <f>SUM($AQ321:CI321)-SUM($EA321:FG321)</f>
        <v>17083</v>
      </c>
      <c r="DP321" s="12">
        <f>SUM($AQ321:CJ321)-SUM($EA321:FH321)</f>
        <v>15083</v>
      </c>
      <c r="DQ321" s="12">
        <f>SUM($AQ321:CK321)-SUM($EA321:FI321)</f>
        <v>13083</v>
      </c>
      <c r="DR321" s="12">
        <f>SUM($AQ321:CL321)-SUM($EA321:FJ321)</f>
        <v>11083</v>
      </c>
      <c r="DS321" s="12">
        <f>SUM($AQ321:CM321)-SUM($EA321:FK321)</f>
        <v>9083</v>
      </c>
      <c r="DT321" s="12">
        <f>SUM($AQ321:CN321)-SUM($EA321:FL321)</f>
        <v>7083</v>
      </c>
      <c r="DU321" s="12">
        <f>SUM($AQ321:CO321)-SUM($EA321:FM321)</f>
        <v>5083</v>
      </c>
      <c r="DV321" s="12">
        <f>SUM($AQ321:CP321)-SUM($EA321:FN321)</f>
        <v>67493</v>
      </c>
      <c r="DW321" s="12">
        <f>SUM($AQ321:CQ321)-SUM($EA321:FO321)</f>
        <v>131124</v>
      </c>
      <c r="DX321" s="13"/>
      <c r="DY321" s="13"/>
      <c r="DZ321" s="13"/>
      <c r="EA321" s="12"/>
      <c r="EB321" s="12"/>
      <c r="EC321" s="12"/>
      <c r="ED321" s="12"/>
      <c r="EE321" s="12"/>
      <c r="EF321" s="12"/>
      <c r="EG321" s="12"/>
      <c r="EH321" s="12">
        <f t="array" ref="EH321">SUMPRODUCT(TRANSPOSE(EH$9:EH$34),$K321:$AJ321)</f>
        <v>7063</v>
      </c>
      <c r="EI321" s="12">
        <f t="array" ref="EI321">SUMPRODUCT(TRANSPOSE(EI$9:EI$34),$K321:$AJ321)</f>
        <v>400</v>
      </c>
      <c r="EJ321" s="12">
        <f t="array" ref="EJ321">SUMPRODUCT(TRANSPOSE(EJ$9:EJ$34),$K321:$AJ321)</f>
        <v>1015</v>
      </c>
      <c r="EK321" s="12">
        <f t="array" ref="EK321">SUMPRODUCT(TRANSPOSE(EK$9:EK$34),$K321:$AJ321)</f>
        <v>1135</v>
      </c>
      <c r="EL321" s="12">
        <f t="array" ref="EL321">SUMPRODUCT(TRANSPOSE(EL$9:EL$34),$K321:$AJ321)</f>
        <v>2015</v>
      </c>
      <c r="EM321" s="12">
        <f t="array" ref="EM321">SUMPRODUCT(TRANSPOSE(EM$9:EM$34),$K321:$AJ321)</f>
        <v>2050</v>
      </c>
      <c r="EN321" s="12">
        <f t="array" ref="EN321">SUMPRODUCT(TRANSPOSE(EN$9:EN$34),$K321:$AJ321)</f>
        <v>2050</v>
      </c>
      <c r="EO321" s="12">
        <f t="array" ref="EO321">SUMPRODUCT(TRANSPOSE(EO$9:EO$34),$K321:$AJ321)</f>
        <v>2000</v>
      </c>
      <c r="EP321" s="12">
        <f t="array" ref="EP321">SUMPRODUCT(TRANSPOSE(EP$9:EP$34),$K321:$AJ321)</f>
        <v>2050</v>
      </c>
      <c r="EQ321" s="12">
        <f t="array" ref="EQ321">SUMPRODUCT(TRANSPOSE(EQ$9:EQ$34),$K321:$AJ321)</f>
        <v>2050</v>
      </c>
      <c r="ER321" s="12">
        <f t="array" ref="ER321">SUMPRODUCT(TRANSPOSE(ER$9:ER$34),$K321:$AJ321)</f>
        <v>2050</v>
      </c>
      <c r="ES321" s="12">
        <f t="array" ref="ES321">SUMPRODUCT(TRANSPOSE(ES$9:ES$34),$K321:$AJ321)</f>
        <v>2050</v>
      </c>
      <c r="ET321" s="12">
        <f t="array" ref="ET321">SUMPRODUCT(TRANSPOSE(ET$9:ET$34),$K321:$AJ321)</f>
        <v>2050</v>
      </c>
      <c r="EU321" s="12">
        <f t="array" ref="EU321">SUMPRODUCT(TRANSPOSE(EU$9:EU$34),$K321:$AJ321)</f>
        <v>2050</v>
      </c>
      <c r="EV321" s="12">
        <f t="array" ref="EV321">SUMPRODUCT(TRANSPOSE(EV$9:EV$34),$K321:$AJ321)</f>
        <v>2050</v>
      </c>
      <c r="EW321" s="12">
        <f t="array" ref="EW321">SUMPRODUCT(TRANSPOSE(EW$9:EW$34),$K321:$AJ321)</f>
        <v>2010</v>
      </c>
      <c r="EX321" s="12">
        <f t="array" ref="EX321">SUMPRODUCT(TRANSPOSE(EX$9:EX$34),$K321:$AJ321)</f>
        <v>2000</v>
      </c>
      <c r="EY321" s="12">
        <f t="array" ref="EY321">SUMPRODUCT(TRANSPOSE(EY$9:EY$34),$K321:$AJ321)</f>
        <v>2000</v>
      </c>
      <c r="EZ321" s="12">
        <f t="array" ref="EZ321">SUMPRODUCT(TRANSPOSE(EZ$9:EZ$34),$K321:$AJ321)</f>
        <v>2000</v>
      </c>
      <c r="FA321" s="12">
        <f t="array" ref="FA321">SUMPRODUCT(TRANSPOSE(FA$9:FA$34),$K321:$AJ321)</f>
        <v>2000</v>
      </c>
      <c r="FB321" s="12">
        <f t="array" ref="FB321">SUMPRODUCT(TRANSPOSE(FB$9:FB$34),$K321:$AJ321)</f>
        <v>2000</v>
      </c>
      <c r="FC321" s="12">
        <f t="array" ref="FC321">SUMPRODUCT(TRANSPOSE(FC$9:FC$34),$K321:$AJ321)</f>
        <v>2000</v>
      </c>
      <c r="FD321" s="12">
        <f t="array" ref="FD321">SUMPRODUCT(TRANSPOSE(FD$9:FD$34),$K321:$AJ321)</f>
        <v>2000</v>
      </c>
      <c r="FE321" s="12">
        <f t="array" ref="FE321">SUMPRODUCT(TRANSPOSE(FE$9:FE$34),$K321:$AJ321)</f>
        <v>2000</v>
      </c>
      <c r="FF321" s="12">
        <f t="array" ref="FF321">SUMPRODUCT(TRANSPOSE(FF$9:FF$34),$K321:$AJ321)</f>
        <v>2000</v>
      </c>
      <c r="FG321" s="12">
        <f t="array" ref="FG321">SUMPRODUCT(TRANSPOSE(FG$9:FG$34),$K321:$AJ321)</f>
        <v>2000</v>
      </c>
      <c r="FH321" s="12">
        <f t="array" ref="FH321">SUMPRODUCT(TRANSPOSE(FH$9:FH$34),$K321:$AJ321)</f>
        <v>2000</v>
      </c>
      <c r="FI321" s="12">
        <f t="array" ref="FI321">SUMPRODUCT(TRANSPOSE(FI$9:FI$34),$K321:$AJ321)</f>
        <v>2000</v>
      </c>
      <c r="FJ321" s="12">
        <f t="array" ref="FJ321">SUMPRODUCT(TRANSPOSE(FJ$9:FJ$34),$K321:$AJ321)</f>
        <v>2000</v>
      </c>
      <c r="FK321" s="12">
        <f t="array" ref="FK321">SUMPRODUCT(TRANSPOSE(FK$9:FK$34),$K321:$AJ321)</f>
        <v>2000</v>
      </c>
      <c r="FL321" s="12">
        <f t="array" ref="FL321">SUMPRODUCT(TRANSPOSE(FL$9:FL$34),$K321:$AJ321)</f>
        <v>2000</v>
      </c>
      <c r="FM321" s="12">
        <f t="array" ref="FM321">SUMPRODUCT(TRANSPOSE(FM$9:FM$34),$K321:$AJ321)</f>
        <v>2000</v>
      </c>
      <c r="FN321" s="12">
        <f t="array" ref="FN321">SUMPRODUCT(TRANSPOSE(FN$9:FN$34),$K321:$AJ321)</f>
        <v>1698</v>
      </c>
      <c r="FO321" s="12">
        <f t="array" ref="FO321">SUMPRODUCT(TRANSPOSE(FO$9:FO$34),$K321:$AJ321)</f>
        <v>77</v>
      </c>
    </row>
    <row r="322" spans="1:171" ht="14.25" x14ac:dyDescent="0.2">
      <c r="A322" s="13">
        <f t="shared" si="16"/>
        <v>287</v>
      </c>
      <c r="B322" s="13" t="s">
        <v>1009</v>
      </c>
      <c r="C322" s="25" t="s">
        <v>1010</v>
      </c>
      <c r="D322" s="13" t="s">
        <v>67</v>
      </c>
      <c r="E322" s="13">
        <v>421575553</v>
      </c>
      <c r="F322" s="26" t="s">
        <v>1011</v>
      </c>
      <c r="G322" s="13"/>
      <c r="H322" s="13" t="s">
        <v>61</v>
      </c>
      <c r="I322" s="13">
        <v>2</v>
      </c>
      <c r="J322" s="13">
        <v>6</v>
      </c>
      <c r="K322" s="13">
        <v>0</v>
      </c>
      <c r="L322" s="13">
        <v>0</v>
      </c>
      <c r="M322" s="13">
        <v>0</v>
      </c>
      <c r="N322" s="13">
        <v>2</v>
      </c>
      <c r="O322" s="13">
        <v>0</v>
      </c>
      <c r="P322" s="13">
        <v>0</v>
      </c>
      <c r="Q322" s="13">
        <v>0</v>
      </c>
      <c r="R322" s="13">
        <v>0</v>
      </c>
      <c r="S322" s="13">
        <v>2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/>
      <c r="Z322" s="13">
        <v>2</v>
      </c>
      <c r="AA322" s="13">
        <v>0</v>
      </c>
      <c r="AB322" s="13">
        <v>0</v>
      </c>
      <c r="AC322" s="13">
        <v>0</v>
      </c>
      <c r="AD322" s="13">
        <v>2</v>
      </c>
      <c r="AE322" s="13">
        <v>2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f t="shared" si="18"/>
        <v>8</v>
      </c>
      <c r="AL322" s="23">
        <f t="shared" si="15"/>
        <v>141792</v>
      </c>
      <c r="AM322" s="13"/>
      <c r="AN322" s="13" t="s">
        <v>1012</v>
      </c>
      <c r="AO322" s="7" t="s">
        <v>1013</v>
      </c>
      <c r="AP322" s="38">
        <v>1.1499999999999999</v>
      </c>
      <c r="AQ322" s="12">
        <v>90000</v>
      </c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13"/>
      <c r="CG322" s="13"/>
      <c r="CH322" s="13"/>
      <c r="CI322" s="12"/>
      <c r="CJ322" s="12"/>
      <c r="CK322" s="12"/>
      <c r="CL322" s="12"/>
      <c r="CM322" s="12"/>
      <c r="CN322" s="12"/>
      <c r="CO322" s="12"/>
      <c r="CP322" s="12">
        <f>SUM($AQ322:BJ322)-SUM($EA322:EH322)</f>
        <v>75874</v>
      </c>
      <c r="CQ322" s="12">
        <f>SUM($AQ322:BK322)-SUM($EA322:EI322)</f>
        <v>75312</v>
      </c>
      <c r="CR322" s="12">
        <f>SUM($AQ322:BL322)-SUM($EA322:EJ322)</f>
        <v>73282</v>
      </c>
      <c r="CS322" s="12">
        <f>SUM($AQ322:BM322)-SUM($EA322:EK322)</f>
        <v>71012</v>
      </c>
      <c r="CT322" s="12">
        <f>SUM($AQ322:BN322)-SUM($EA322:EL322)</f>
        <v>66982</v>
      </c>
      <c r="CU322" s="12">
        <f>SUM($AQ322:BO322)-SUM($EA322:EM322)</f>
        <v>62882</v>
      </c>
      <c r="CV322" s="12">
        <f>SUM($AQ322:BP322)-SUM($EA322:EN322)</f>
        <v>58782</v>
      </c>
      <c r="CW322" s="12">
        <f>SUM($AQ322:BQ322)-SUM($EA322:EO322)</f>
        <v>54782</v>
      </c>
      <c r="CX322" s="12">
        <f>SUM($AQ322:BR322)-SUM($EA322:EP322)</f>
        <v>50682</v>
      </c>
      <c r="CY322" s="12">
        <f>SUM($AQ322:BS322)-SUM($EA322:EQ322)</f>
        <v>46582</v>
      </c>
      <c r="CZ322" s="12">
        <f>SUM($AQ322:BT322)-SUM($EA322:ER322)</f>
        <v>42482</v>
      </c>
      <c r="DA322" s="12">
        <f>SUM($AQ322:BU322)-SUM($EA322:ES322)</f>
        <v>38382</v>
      </c>
      <c r="DB322" s="12">
        <f>SUM($AQ322:BV322)-SUM($EA322:ET322)</f>
        <v>34282</v>
      </c>
      <c r="DC322" s="12">
        <f>SUM($AQ322:BW322)-SUM($EA322:EU322)</f>
        <v>30182</v>
      </c>
      <c r="DD322" s="12">
        <f>SUM($AQ322:BX322)-SUM($EA322:EV322)</f>
        <v>26082</v>
      </c>
      <c r="DE322" s="12">
        <f>SUM($AQ322:BY322)-SUM($EA322:EW322)</f>
        <v>21996</v>
      </c>
      <c r="DF322" s="12">
        <f>SUM($AQ322:BZ322)-SUM($EA322:EX322)</f>
        <v>17996</v>
      </c>
      <c r="DG322" s="12">
        <f>SUM($AQ322:CA322)-SUM($EA322:EY322)</f>
        <v>13996</v>
      </c>
      <c r="DH322" s="12">
        <f>SUM($AQ322:CB322)-SUM($EA322:EZ322)</f>
        <v>9996</v>
      </c>
      <c r="DI322" s="12">
        <f>SUM($AQ322:CC322)-SUM($EA322:FA322)</f>
        <v>5996</v>
      </c>
      <c r="DJ322" s="12">
        <f>SUM($AQ322:CD322)-SUM($EA322:FB322)</f>
        <v>1996</v>
      </c>
      <c r="DK322" s="12">
        <f>SUM($AQ322:CE322)-SUM($EA322:FC322)</f>
        <v>-2004</v>
      </c>
      <c r="DL322" s="12">
        <f>SUM($AQ322:CF322)-SUM($EA322:FD322)</f>
        <v>-6004</v>
      </c>
      <c r="DM322" s="12">
        <f>SUM($AQ322:CG322)-SUM($EA322:FE322)</f>
        <v>-10004</v>
      </c>
      <c r="DN322" s="12">
        <f>SUM($AQ322:CH322)-SUM($EA322:FF322)</f>
        <v>-14004</v>
      </c>
      <c r="DO322" s="12">
        <f>SUM($AQ322:CI322)-SUM($EA322:FG322)</f>
        <v>-18004</v>
      </c>
      <c r="DP322" s="12">
        <f>SUM($AQ322:CJ322)-SUM($EA322:FH322)</f>
        <v>-22004</v>
      </c>
      <c r="DQ322" s="12">
        <f>SUM($AQ322:CK322)-SUM($EA322:FI322)</f>
        <v>-26004</v>
      </c>
      <c r="DR322" s="12">
        <f>SUM($AQ322:CL322)-SUM($EA322:FJ322)</f>
        <v>-30004</v>
      </c>
      <c r="DS322" s="12">
        <f>SUM($AQ322:CM322)-SUM($EA322:FK322)</f>
        <v>-34004</v>
      </c>
      <c r="DT322" s="12">
        <f>SUM($AQ322:CN322)-SUM($EA322:FL322)</f>
        <v>-38004</v>
      </c>
      <c r="DU322" s="12">
        <f>SUM($AQ322:CO322)-SUM($EA322:FM322)</f>
        <v>-42004</v>
      </c>
      <c r="DV322" s="12">
        <f>SUM($AQ322:CP322)-SUM($EA322:FN322)</f>
        <v>30236</v>
      </c>
      <c r="DW322" s="12">
        <f>SUM($AQ322:CQ322)-SUM($EA322:FO322)</f>
        <v>105394</v>
      </c>
      <c r="DX322" s="13"/>
      <c r="DY322" s="13"/>
      <c r="DZ322" s="13"/>
      <c r="EA322" s="12"/>
      <c r="EB322" s="12"/>
      <c r="EC322" s="12"/>
      <c r="ED322" s="12"/>
      <c r="EE322" s="12"/>
      <c r="EF322" s="12"/>
      <c r="EG322" s="12"/>
      <c r="EH322" s="12">
        <f t="array" ref="EH322">SUMPRODUCT(TRANSPOSE(EH$9:EH$34),$K322:$AJ322)</f>
        <v>14126</v>
      </c>
      <c r="EI322" s="12">
        <f t="array" ref="EI322">SUMPRODUCT(TRANSPOSE(EI$9:EI$34),$K322:$AJ322)</f>
        <v>562</v>
      </c>
      <c r="EJ322" s="12">
        <f t="array" ref="EJ322">SUMPRODUCT(TRANSPOSE(EJ$9:EJ$34),$K322:$AJ322)</f>
        <v>2030</v>
      </c>
      <c r="EK322" s="12">
        <f t="array" ref="EK322">SUMPRODUCT(TRANSPOSE(EK$9:EK$34),$K322:$AJ322)</f>
        <v>2270</v>
      </c>
      <c r="EL322" s="12">
        <f t="array" ref="EL322">SUMPRODUCT(TRANSPOSE(EL$9:EL$34),$K322:$AJ322)</f>
        <v>4030</v>
      </c>
      <c r="EM322" s="12">
        <f t="array" ref="EM322">SUMPRODUCT(TRANSPOSE(EM$9:EM$34),$K322:$AJ322)</f>
        <v>4100</v>
      </c>
      <c r="EN322" s="12">
        <f t="array" ref="EN322">SUMPRODUCT(TRANSPOSE(EN$9:EN$34),$K322:$AJ322)</f>
        <v>4100</v>
      </c>
      <c r="EO322" s="12">
        <f t="array" ref="EO322">SUMPRODUCT(TRANSPOSE(EO$9:EO$34),$K322:$AJ322)</f>
        <v>4000</v>
      </c>
      <c r="EP322" s="12">
        <f t="array" ref="EP322">SUMPRODUCT(TRANSPOSE(EP$9:EP$34),$K322:$AJ322)</f>
        <v>4100</v>
      </c>
      <c r="EQ322" s="12">
        <f t="array" ref="EQ322">SUMPRODUCT(TRANSPOSE(EQ$9:EQ$34),$K322:$AJ322)</f>
        <v>4100</v>
      </c>
      <c r="ER322" s="12">
        <f t="array" ref="ER322">SUMPRODUCT(TRANSPOSE(ER$9:ER$34),$K322:$AJ322)</f>
        <v>4100</v>
      </c>
      <c r="ES322" s="12">
        <f t="array" ref="ES322">SUMPRODUCT(TRANSPOSE(ES$9:ES$34),$K322:$AJ322)</f>
        <v>4100</v>
      </c>
      <c r="ET322" s="12">
        <f t="array" ref="ET322">SUMPRODUCT(TRANSPOSE(ET$9:ET$34),$K322:$AJ322)</f>
        <v>4100</v>
      </c>
      <c r="EU322" s="12">
        <f t="array" ref="EU322">SUMPRODUCT(TRANSPOSE(EU$9:EU$34),$K322:$AJ322)</f>
        <v>4100</v>
      </c>
      <c r="EV322" s="12">
        <f t="array" ref="EV322">SUMPRODUCT(TRANSPOSE(EV$9:EV$34),$K322:$AJ322)</f>
        <v>4100</v>
      </c>
      <c r="EW322" s="12">
        <f t="array" ref="EW322">SUMPRODUCT(TRANSPOSE(EW$9:EW$34),$K322:$AJ322)</f>
        <v>4086</v>
      </c>
      <c r="EX322" s="12">
        <f t="array" ref="EX322">SUMPRODUCT(TRANSPOSE(EX$9:EX$34),$K322:$AJ322)</f>
        <v>4000</v>
      </c>
      <c r="EY322" s="12">
        <f t="array" ref="EY322">SUMPRODUCT(TRANSPOSE(EY$9:EY$34),$K322:$AJ322)</f>
        <v>4000</v>
      </c>
      <c r="EZ322" s="12">
        <f t="array" ref="EZ322">SUMPRODUCT(TRANSPOSE(EZ$9:EZ$34),$K322:$AJ322)</f>
        <v>4000</v>
      </c>
      <c r="FA322" s="12">
        <f t="array" ref="FA322">SUMPRODUCT(TRANSPOSE(FA$9:FA$34),$K322:$AJ322)</f>
        <v>4000</v>
      </c>
      <c r="FB322" s="12">
        <f t="array" ref="FB322">SUMPRODUCT(TRANSPOSE(FB$9:FB$34),$K322:$AJ322)</f>
        <v>4000</v>
      </c>
      <c r="FC322" s="12">
        <f t="array" ref="FC322">SUMPRODUCT(TRANSPOSE(FC$9:FC$34),$K322:$AJ322)</f>
        <v>4000</v>
      </c>
      <c r="FD322" s="12">
        <f t="array" ref="FD322">SUMPRODUCT(TRANSPOSE(FD$9:FD$34),$K322:$AJ322)</f>
        <v>4000</v>
      </c>
      <c r="FE322" s="12">
        <f t="array" ref="FE322">SUMPRODUCT(TRANSPOSE(FE$9:FE$34),$K322:$AJ322)</f>
        <v>4000</v>
      </c>
      <c r="FF322" s="12">
        <f t="array" ref="FF322">SUMPRODUCT(TRANSPOSE(FF$9:FF$34),$K322:$AJ322)</f>
        <v>4000</v>
      </c>
      <c r="FG322" s="12">
        <f t="array" ref="FG322">SUMPRODUCT(TRANSPOSE(FG$9:FG$34),$K322:$AJ322)</f>
        <v>4000</v>
      </c>
      <c r="FH322" s="12">
        <f t="array" ref="FH322">SUMPRODUCT(TRANSPOSE(FH$9:FH$34),$K322:$AJ322)</f>
        <v>4000</v>
      </c>
      <c r="FI322" s="12">
        <f t="array" ref="FI322">SUMPRODUCT(TRANSPOSE(FI$9:FI$34),$K322:$AJ322)</f>
        <v>4000</v>
      </c>
      <c r="FJ322" s="12">
        <f t="array" ref="FJ322">SUMPRODUCT(TRANSPOSE(FJ$9:FJ$34),$K322:$AJ322)</f>
        <v>4000</v>
      </c>
      <c r="FK322" s="12">
        <f t="array" ref="FK322">SUMPRODUCT(TRANSPOSE(FK$9:FK$34),$K322:$AJ322)</f>
        <v>4000</v>
      </c>
      <c r="FL322" s="12">
        <f t="array" ref="FL322">SUMPRODUCT(TRANSPOSE(FL$9:FL$34),$K322:$AJ322)</f>
        <v>4000</v>
      </c>
      <c r="FM322" s="12">
        <f t="array" ref="FM322">SUMPRODUCT(TRANSPOSE(FM$9:FM$34),$K322:$AJ322)</f>
        <v>4000</v>
      </c>
      <c r="FN322" s="12">
        <f t="array" ref="FN322">SUMPRODUCT(TRANSPOSE(FN$9:FN$34),$K322:$AJ322)</f>
        <v>3634</v>
      </c>
      <c r="FO322" s="12">
        <f t="array" ref="FO322">SUMPRODUCT(TRANSPOSE(FO$9:FO$34),$K322:$AJ322)</f>
        <v>154</v>
      </c>
    </row>
    <row r="323" spans="1:171" ht="14.25" x14ac:dyDescent="0.2">
      <c r="A323" s="13">
        <f t="shared" si="16"/>
        <v>288</v>
      </c>
      <c r="B323" s="13" t="s">
        <v>1014</v>
      </c>
      <c r="C323" s="25" t="s">
        <v>1015</v>
      </c>
      <c r="D323" s="13" t="s">
        <v>67</v>
      </c>
      <c r="E323" s="13" t="s">
        <v>1016</v>
      </c>
      <c r="F323" s="26" t="s">
        <v>1017</v>
      </c>
      <c r="G323" s="13"/>
      <c r="H323" s="13" t="s">
        <v>61</v>
      </c>
      <c r="I323" s="13">
        <v>2</v>
      </c>
      <c r="J323" s="13">
        <v>2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2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/>
      <c r="Z323" s="13"/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f t="shared" si="18"/>
        <v>2</v>
      </c>
      <c r="AL323" s="23">
        <f t="shared" si="15"/>
        <v>6760</v>
      </c>
      <c r="AM323" s="13"/>
      <c r="AN323" s="13" t="s">
        <v>978</v>
      </c>
      <c r="AO323" s="7" t="s">
        <v>979</v>
      </c>
      <c r="AP323" s="38">
        <v>2.68</v>
      </c>
      <c r="AQ323" s="12">
        <v>36600</v>
      </c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13"/>
      <c r="CG323" s="13"/>
      <c r="CH323" s="13"/>
      <c r="CI323" s="12"/>
      <c r="CJ323" s="12"/>
      <c r="CK323" s="12"/>
      <c r="CL323" s="12"/>
      <c r="CM323" s="12"/>
      <c r="CN323" s="12"/>
      <c r="CO323" s="12"/>
      <c r="CP323" s="12">
        <f>SUM($AQ323:BJ323)-SUM($EA323:EH323)</f>
        <v>30402</v>
      </c>
      <c r="CQ323" s="12">
        <f>SUM($AQ323:BK323)-SUM($EA323:EI323)</f>
        <v>29840</v>
      </c>
      <c r="CR323" s="12">
        <f>SUM($AQ323:BL323)-SUM($EA323:EJ323)</f>
        <v>29840</v>
      </c>
      <c r="CS323" s="12">
        <f>SUM($AQ323:BM323)-SUM($EA323:EK323)</f>
        <v>29840</v>
      </c>
      <c r="CT323" s="12">
        <f>SUM($AQ323:BN323)-SUM($EA323:EL323)</f>
        <v>29840</v>
      </c>
      <c r="CU323" s="12">
        <f>SUM($AQ323:BO323)-SUM($EA323:EM323)</f>
        <v>29840</v>
      </c>
      <c r="CV323" s="12">
        <f>SUM($AQ323:BP323)-SUM($EA323:EN323)</f>
        <v>29840</v>
      </c>
      <c r="CW323" s="12">
        <f>SUM($AQ323:BQ323)-SUM($EA323:EO323)</f>
        <v>29840</v>
      </c>
      <c r="CX323" s="12">
        <f>SUM($AQ323:BR323)-SUM($EA323:EP323)</f>
        <v>29840</v>
      </c>
      <c r="CY323" s="12">
        <f>SUM($AQ323:BS323)-SUM($EA323:EQ323)</f>
        <v>29840</v>
      </c>
      <c r="CZ323" s="12">
        <f>SUM($AQ323:BT323)-SUM($EA323:ER323)</f>
        <v>29840</v>
      </c>
      <c r="DA323" s="12">
        <f>SUM($AQ323:BU323)-SUM($EA323:ES323)</f>
        <v>29840</v>
      </c>
      <c r="DB323" s="12">
        <f>SUM($AQ323:BV323)-SUM($EA323:ET323)</f>
        <v>29840</v>
      </c>
      <c r="DC323" s="12">
        <f>SUM($AQ323:BW323)-SUM($EA323:EU323)</f>
        <v>29840</v>
      </c>
      <c r="DD323" s="12">
        <f>SUM($AQ323:BX323)-SUM($EA323:EV323)</f>
        <v>29840</v>
      </c>
      <c r="DE323" s="12">
        <f>SUM($AQ323:BY323)-SUM($EA323:EW323)</f>
        <v>29840</v>
      </c>
      <c r="DF323" s="12">
        <f>SUM($AQ323:BZ323)-SUM($EA323:EX323)</f>
        <v>29840</v>
      </c>
      <c r="DG323" s="12">
        <f>SUM($AQ323:CA323)-SUM($EA323:EY323)</f>
        <v>29840</v>
      </c>
      <c r="DH323" s="12">
        <f>SUM($AQ323:CB323)-SUM($EA323:EZ323)</f>
        <v>29840</v>
      </c>
      <c r="DI323" s="12">
        <f>SUM($AQ323:CC323)-SUM($EA323:FA323)</f>
        <v>29840</v>
      </c>
      <c r="DJ323" s="12">
        <f>SUM($AQ323:CD323)-SUM($EA323:FB323)</f>
        <v>29840</v>
      </c>
      <c r="DK323" s="12">
        <f>SUM($AQ323:CE323)-SUM($EA323:FC323)</f>
        <v>29840</v>
      </c>
      <c r="DL323" s="12">
        <f>SUM($AQ323:CF323)-SUM($EA323:FD323)</f>
        <v>29840</v>
      </c>
      <c r="DM323" s="12">
        <f>SUM($AQ323:CG323)-SUM($EA323:FE323)</f>
        <v>29840</v>
      </c>
      <c r="DN323" s="12">
        <f>SUM($AQ323:CH323)-SUM($EA323:FF323)</f>
        <v>29840</v>
      </c>
      <c r="DO323" s="12">
        <f>SUM($AQ323:CI323)-SUM($EA323:FG323)</f>
        <v>29840</v>
      </c>
      <c r="DP323" s="12">
        <f>SUM($AQ323:CJ323)-SUM($EA323:FH323)</f>
        <v>29840</v>
      </c>
      <c r="DQ323" s="12">
        <f>SUM($AQ323:CK323)-SUM($EA323:FI323)</f>
        <v>29840</v>
      </c>
      <c r="DR323" s="12">
        <f>SUM($AQ323:CL323)-SUM($EA323:FJ323)</f>
        <v>29840</v>
      </c>
      <c r="DS323" s="12">
        <f>SUM($AQ323:CM323)-SUM($EA323:FK323)</f>
        <v>29840</v>
      </c>
      <c r="DT323" s="12">
        <f>SUM($AQ323:CN323)-SUM($EA323:FL323)</f>
        <v>29840</v>
      </c>
      <c r="DU323" s="12">
        <f>SUM($AQ323:CO323)-SUM($EA323:FM323)</f>
        <v>29840</v>
      </c>
      <c r="DV323" s="12">
        <f>SUM($AQ323:CP323)-SUM($EA323:FN323)</f>
        <v>60242</v>
      </c>
      <c r="DW323" s="12">
        <f>SUM($AQ323:CQ323)-SUM($EA323:FO323)</f>
        <v>90082</v>
      </c>
      <c r="DX323" s="13"/>
      <c r="DY323" s="13"/>
      <c r="DZ323" s="13"/>
      <c r="EA323" s="12"/>
      <c r="EB323" s="12"/>
      <c r="EC323" s="12"/>
      <c r="ED323" s="12"/>
      <c r="EE323" s="12"/>
      <c r="EF323" s="12"/>
      <c r="EG323" s="12"/>
      <c r="EH323" s="12">
        <f t="array" ref="EH323">SUMPRODUCT(TRANSPOSE(EH$9:EH$34),$K323:$AJ323)</f>
        <v>6198</v>
      </c>
      <c r="EI323" s="12">
        <f t="array" ref="EI323">SUMPRODUCT(TRANSPOSE(EI$9:EI$34),$K323:$AJ323)</f>
        <v>562</v>
      </c>
      <c r="EJ323" s="12">
        <f t="array" ref="EJ323">SUMPRODUCT(TRANSPOSE(EJ$9:EJ$34),$K323:$AJ323)</f>
        <v>0</v>
      </c>
      <c r="EK323" s="12">
        <f t="array" ref="EK323">SUMPRODUCT(TRANSPOSE(EK$9:EK$34),$K323:$AJ323)</f>
        <v>0</v>
      </c>
      <c r="EL323" s="12">
        <f t="array" ref="EL323">SUMPRODUCT(TRANSPOSE(EL$9:EL$34),$K323:$AJ323)</f>
        <v>0</v>
      </c>
      <c r="EM323" s="12">
        <f t="array" ref="EM323">SUMPRODUCT(TRANSPOSE(EM$9:EM$34),$K323:$AJ323)</f>
        <v>0</v>
      </c>
      <c r="EN323" s="12">
        <f t="array" ref="EN323">SUMPRODUCT(TRANSPOSE(EN$9:EN$34),$K323:$AJ323)</f>
        <v>0</v>
      </c>
      <c r="EO323" s="12">
        <f t="array" ref="EO323">SUMPRODUCT(TRANSPOSE(EO$9:EO$34),$K323:$AJ323)</f>
        <v>0</v>
      </c>
      <c r="EP323" s="12">
        <f t="array" ref="EP323">SUMPRODUCT(TRANSPOSE(EP$9:EP$34),$K323:$AJ323)</f>
        <v>0</v>
      </c>
      <c r="EQ323" s="12">
        <f t="array" ref="EQ323">SUMPRODUCT(TRANSPOSE(EQ$9:EQ$34),$K323:$AJ323)</f>
        <v>0</v>
      </c>
      <c r="ER323" s="12">
        <f t="array" ref="ER323">SUMPRODUCT(TRANSPOSE(ER$9:ER$34),$K323:$AJ323)</f>
        <v>0</v>
      </c>
      <c r="ES323" s="12">
        <f t="array" ref="ES323">SUMPRODUCT(TRANSPOSE(ES$9:ES$34),$K323:$AJ323)</f>
        <v>0</v>
      </c>
      <c r="ET323" s="12">
        <f t="array" ref="ET323">SUMPRODUCT(TRANSPOSE(ET$9:ET$34),$K323:$AJ323)</f>
        <v>0</v>
      </c>
      <c r="EU323" s="12">
        <f t="array" ref="EU323">SUMPRODUCT(TRANSPOSE(EU$9:EU$34),$K323:$AJ323)</f>
        <v>0</v>
      </c>
      <c r="EV323" s="12">
        <f t="array" ref="EV323">SUMPRODUCT(TRANSPOSE(EV$9:EV$34),$K323:$AJ323)</f>
        <v>0</v>
      </c>
      <c r="EW323" s="12">
        <f t="array" ref="EW323">SUMPRODUCT(TRANSPOSE(EW$9:EW$34),$K323:$AJ323)</f>
        <v>0</v>
      </c>
      <c r="EX323" s="12">
        <f t="array" ref="EX323">SUMPRODUCT(TRANSPOSE(EX$9:EX$34),$K323:$AJ323)</f>
        <v>0</v>
      </c>
      <c r="EY323" s="12">
        <f t="array" ref="EY323">SUMPRODUCT(TRANSPOSE(EY$9:EY$34),$K323:$AJ323)</f>
        <v>0</v>
      </c>
      <c r="EZ323" s="12">
        <f t="array" ref="EZ323">SUMPRODUCT(TRANSPOSE(EZ$9:EZ$34),$K323:$AJ323)</f>
        <v>0</v>
      </c>
      <c r="FA323" s="12">
        <f t="array" ref="FA323">SUMPRODUCT(TRANSPOSE(FA$9:FA$34),$K323:$AJ323)</f>
        <v>0</v>
      </c>
      <c r="FB323" s="12">
        <f t="array" ref="FB323">SUMPRODUCT(TRANSPOSE(FB$9:FB$34),$K323:$AJ323)</f>
        <v>0</v>
      </c>
      <c r="FC323" s="12">
        <f t="array" ref="FC323">SUMPRODUCT(TRANSPOSE(FC$9:FC$34),$K323:$AJ323)</f>
        <v>0</v>
      </c>
      <c r="FD323" s="12">
        <f t="array" ref="FD323">SUMPRODUCT(TRANSPOSE(FD$9:FD$34),$K323:$AJ323)</f>
        <v>0</v>
      </c>
      <c r="FE323" s="12">
        <f t="array" ref="FE323">SUMPRODUCT(TRANSPOSE(FE$9:FE$34),$K323:$AJ323)</f>
        <v>0</v>
      </c>
      <c r="FF323" s="12">
        <f t="array" ref="FF323">SUMPRODUCT(TRANSPOSE(FF$9:FF$34),$K323:$AJ323)</f>
        <v>0</v>
      </c>
      <c r="FG323" s="12">
        <f t="array" ref="FG323">SUMPRODUCT(TRANSPOSE(FG$9:FG$34),$K323:$AJ323)</f>
        <v>0</v>
      </c>
      <c r="FH323" s="12">
        <f t="array" ref="FH323">SUMPRODUCT(TRANSPOSE(FH$9:FH$34),$K323:$AJ323)</f>
        <v>0</v>
      </c>
      <c r="FI323" s="12">
        <f t="array" ref="FI323">SUMPRODUCT(TRANSPOSE(FI$9:FI$34),$K323:$AJ323)</f>
        <v>0</v>
      </c>
      <c r="FJ323" s="12">
        <f t="array" ref="FJ323">SUMPRODUCT(TRANSPOSE(FJ$9:FJ$34),$K323:$AJ323)</f>
        <v>0</v>
      </c>
      <c r="FK323" s="12">
        <f t="array" ref="FK323">SUMPRODUCT(TRANSPOSE(FK$9:FK$34),$K323:$AJ323)</f>
        <v>0</v>
      </c>
      <c r="FL323" s="12">
        <f t="array" ref="FL323">SUMPRODUCT(TRANSPOSE(FL$9:FL$34),$K323:$AJ323)</f>
        <v>0</v>
      </c>
      <c r="FM323" s="12">
        <f t="array" ref="FM323">SUMPRODUCT(TRANSPOSE(FM$9:FM$34),$K323:$AJ323)</f>
        <v>0</v>
      </c>
      <c r="FN323" s="12">
        <f t="array" ref="FN323">SUMPRODUCT(TRANSPOSE(FN$9:FN$34),$K323:$AJ323)</f>
        <v>0</v>
      </c>
      <c r="FO323" s="12">
        <f t="array" ref="FO323">SUMPRODUCT(TRANSPOSE(FO$9:FO$34),$K323:$AJ323)</f>
        <v>0</v>
      </c>
    </row>
    <row r="324" spans="1:171" ht="14.25" x14ac:dyDescent="0.2">
      <c r="A324" s="13">
        <f t="shared" si="16"/>
        <v>289</v>
      </c>
      <c r="B324" s="29" t="s">
        <v>1018</v>
      </c>
      <c r="C324" s="25" t="s">
        <v>1019</v>
      </c>
      <c r="D324" s="13" t="s">
        <v>67</v>
      </c>
      <c r="E324" s="13" t="s">
        <v>1020</v>
      </c>
      <c r="F324" s="26" t="s">
        <v>1021</v>
      </c>
      <c r="G324" s="13"/>
      <c r="H324" s="13" t="s">
        <v>61</v>
      </c>
      <c r="I324" s="13">
        <v>1</v>
      </c>
      <c r="J324" s="13">
        <v>2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/>
      <c r="Z324" s="13">
        <v>2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f t="shared" si="18"/>
        <v>2</v>
      </c>
      <c r="AL324" s="23">
        <f t="shared" si="15"/>
        <v>63234</v>
      </c>
      <c r="AM324" s="13"/>
      <c r="AN324" s="13" t="s">
        <v>978</v>
      </c>
      <c r="AO324" s="7" t="s">
        <v>1085</v>
      </c>
      <c r="AP324" s="38">
        <v>2.68</v>
      </c>
      <c r="AQ324" s="12">
        <v>1600</v>
      </c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>
        <v>6000</v>
      </c>
      <c r="BC324" s="12"/>
      <c r="BD324" s="12">
        <v>6500</v>
      </c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13"/>
      <c r="CG324" s="13"/>
      <c r="CH324" s="13"/>
      <c r="CI324" s="12"/>
      <c r="CJ324" s="12"/>
      <c r="CK324" s="12"/>
      <c r="CL324" s="12"/>
      <c r="CM324" s="12"/>
      <c r="CN324" s="12"/>
      <c r="CO324" s="12"/>
      <c r="CP324" s="12">
        <f>SUM($AQ324:BJ324)-SUM($EA324:EH324)</f>
        <v>14100</v>
      </c>
      <c r="CQ324" s="12">
        <f>SUM($AQ324:BK324)-SUM($EA324:EI324)</f>
        <v>14100</v>
      </c>
      <c r="CR324" s="12">
        <f>SUM($AQ324:BL324)-SUM($EA324:EJ324)</f>
        <v>14100</v>
      </c>
      <c r="CS324" s="12">
        <f>SUM($AQ324:BM324)-SUM($EA324:EK324)</f>
        <v>13900</v>
      </c>
      <c r="CT324" s="12">
        <f>SUM($AQ324:BN324)-SUM($EA324:EL324)</f>
        <v>11900</v>
      </c>
      <c r="CU324" s="12">
        <f>SUM($AQ324:BO324)-SUM($EA324:EM324)</f>
        <v>7900</v>
      </c>
      <c r="CV324" s="12">
        <f>SUM($AQ324:BP324)-SUM($EA324:EN324)</f>
        <v>5700</v>
      </c>
      <c r="CW324" s="12">
        <f>SUM($AQ324:BQ324)-SUM($EA324:EO324)</f>
        <v>3700</v>
      </c>
      <c r="CX324" s="12">
        <f>SUM($AQ324:BR324)-SUM($EA324:EP324)</f>
        <v>1700</v>
      </c>
      <c r="CY324" s="12">
        <f>SUM($AQ324:BS324)-SUM($EA324:EQ324)</f>
        <v>-300</v>
      </c>
      <c r="CZ324" s="12">
        <f>SUM($AQ324:BT324)-SUM($EA324:ER324)</f>
        <v>-2300</v>
      </c>
      <c r="DA324" s="12">
        <f>SUM($AQ324:BU324)-SUM($EA324:ES324)</f>
        <v>-4300</v>
      </c>
      <c r="DB324" s="12">
        <f>SUM($AQ324:BV324)-SUM($EA324:ET324)</f>
        <v>-6300</v>
      </c>
      <c r="DC324" s="12">
        <f>SUM($AQ324:BW324)-SUM($EA324:EU324)</f>
        <v>-8300</v>
      </c>
      <c r="DD324" s="12">
        <f>SUM($AQ324:BX324)-SUM($EA324:EV324)</f>
        <v>-10300</v>
      </c>
      <c r="DE324" s="12">
        <f>SUM($AQ324:BY324)-SUM($EA324:EW324)</f>
        <v>-12300</v>
      </c>
      <c r="DF324" s="12">
        <f>SUM($AQ324:BZ324)-SUM($EA324:EX324)</f>
        <v>-14300</v>
      </c>
      <c r="DG324" s="12">
        <f>SUM($AQ324:CA324)-SUM($EA324:EY324)</f>
        <v>-16300</v>
      </c>
      <c r="DH324" s="12">
        <f>SUM($AQ324:CB324)-SUM($EA324:EZ324)</f>
        <v>-18300</v>
      </c>
      <c r="DI324" s="12">
        <f>SUM($AQ324:CC324)-SUM($EA324:FA324)</f>
        <v>-20300</v>
      </c>
      <c r="DJ324" s="12">
        <f>SUM($AQ324:CD324)-SUM($EA324:FB324)</f>
        <v>-22300</v>
      </c>
      <c r="DK324" s="12">
        <f>SUM($AQ324:CE324)-SUM($EA324:FC324)</f>
        <v>-24300</v>
      </c>
      <c r="DL324" s="12">
        <f>SUM($AQ324:CF324)-SUM($EA324:FD324)</f>
        <v>-26300</v>
      </c>
      <c r="DM324" s="12">
        <f>SUM($AQ324:CG324)-SUM($EA324:FE324)</f>
        <v>-28300</v>
      </c>
      <c r="DN324" s="12">
        <f>SUM($AQ324:CH324)-SUM($EA324:FF324)</f>
        <v>-30300</v>
      </c>
      <c r="DO324" s="12">
        <f>SUM($AQ324:CI324)-SUM($EA324:FG324)</f>
        <v>-32300</v>
      </c>
      <c r="DP324" s="12">
        <f>SUM($AQ324:CJ324)-SUM($EA324:FH324)</f>
        <v>-34300</v>
      </c>
      <c r="DQ324" s="12">
        <f>SUM($AQ324:CK324)-SUM($EA324:FI324)</f>
        <v>-36300</v>
      </c>
      <c r="DR324" s="12">
        <f>SUM($AQ324:CL324)-SUM($EA324:FJ324)</f>
        <v>-38300</v>
      </c>
      <c r="DS324" s="12">
        <f>SUM($AQ324:CM324)-SUM($EA324:FK324)</f>
        <v>-40300</v>
      </c>
      <c r="DT324" s="12">
        <f>SUM($AQ324:CN324)-SUM($EA324:FL324)</f>
        <v>-42300</v>
      </c>
      <c r="DU324" s="12">
        <f>SUM($AQ324:CO324)-SUM($EA324:FM324)</f>
        <v>-44300</v>
      </c>
      <c r="DV324" s="12">
        <f>SUM($AQ324:CP324)-SUM($EA324:FN324)</f>
        <v>-31834</v>
      </c>
      <c r="DW324" s="12">
        <f>SUM($AQ324:CQ324)-SUM($EA324:FO324)</f>
        <v>-17734</v>
      </c>
      <c r="DX324" s="13"/>
      <c r="DY324" s="13"/>
      <c r="DZ324" s="13"/>
      <c r="EA324" s="12"/>
      <c r="EB324" s="12"/>
      <c r="EC324" s="12"/>
      <c r="ED324" s="12"/>
      <c r="EE324" s="12"/>
      <c r="EF324" s="12"/>
      <c r="EG324" s="12"/>
      <c r="EH324" s="12">
        <f t="array" ref="EH324">SUMPRODUCT(TRANSPOSE(EH$9:EH$34),$K324:$AJ324)</f>
        <v>0</v>
      </c>
      <c r="EI324" s="12">
        <f t="array" ref="EI324">SUMPRODUCT(TRANSPOSE(EI$9:EI$34),$K324:$AJ324)</f>
        <v>0</v>
      </c>
      <c r="EJ324" s="12">
        <f t="array" ref="EJ324">SUMPRODUCT(TRANSPOSE(EJ$9:EJ$34),$K324:$AJ324)</f>
        <v>0</v>
      </c>
      <c r="EK324" s="12">
        <f t="array" ref="EK324">SUMPRODUCT(TRANSPOSE(EK$9:EK$34),$K324:$AJ324)</f>
        <v>200</v>
      </c>
      <c r="EL324" s="12">
        <f t="array" ref="EL324">SUMPRODUCT(TRANSPOSE(EL$9:EL$34),$K324:$AJ324)</f>
        <v>2000</v>
      </c>
      <c r="EM324" s="12">
        <f t="array" ref="EM324">SUMPRODUCT(TRANSPOSE(EM$9:EM$34),$K324:$AJ324)</f>
        <v>4000</v>
      </c>
      <c r="EN324" s="12">
        <f t="array" ref="EN324">SUMPRODUCT(TRANSPOSE(EN$9:EN$34),$K324:$AJ324)</f>
        <v>2200</v>
      </c>
      <c r="EO324" s="12">
        <f t="array" ref="EO324">SUMPRODUCT(TRANSPOSE(EO$9:EO$34),$K324:$AJ324)</f>
        <v>2000</v>
      </c>
      <c r="EP324" s="12">
        <f t="array" ref="EP324">SUMPRODUCT(TRANSPOSE(EP$9:EP$34),$K324:$AJ324)</f>
        <v>2000</v>
      </c>
      <c r="EQ324" s="12">
        <f t="array" ref="EQ324">SUMPRODUCT(TRANSPOSE(EQ$9:EQ$34),$K324:$AJ324)</f>
        <v>2000</v>
      </c>
      <c r="ER324" s="12">
        <f t="array" ref="ER324">SUMPRODUCT(TRANSPOSE(ER$9:ER$34),$K324:$AJ324)</f>
        <v>2000</v>
      </c>
      <c r="ES324" s="12">
        <f t="array" ref="ES324">SUMPRODUCT(TRANSPOSE(ES$9:ES$34),$K324:$AJ324)</f>
        <v>2000</v>
      </c>
      <c r="ET324" s="12">
        <f t="array" ref="ET324">SUMPRODUCT(TRANSPOSE(ET$9:ET$34),$K324:$AJ324)</f>
        <v>2000</v>
      </c>
      <c r="EU324" s="12">
        <f t="array" ref="EU324">SUMPRODUCT(TRANSPOSE(EU$9:EU$34),$K324:$AJ324)</f>
        <v>2000</v>
      </c>
      <c r="EV324" s="12">
        <f t="array" ref="EV324">SUMPRODUCT(TRANSPOSE(EV$9:EV$34),$K324:$AJ324)</f>
        <v>2000</v>
      </c>
      <c r="EW324" s="12">
        <f t="array" ref="EW324">SUMPRODUCT(TRANSPOSE(EW$9:EW$34),$K324:$AJ324)</f>
        <v>2000</v>
      </c>
      <c r="EX324" s="12">
        <f t="array" ref="EX324">SUMPRODUCT(TRANSPOSE(EX$9:EX$34),$K324:$AJ324)</f>
        <v>2000</v>
      </c>
      <c r="EY324" s="12">
        <f t="array" ref="EY324">SUMPRODUCT(TRANSPOSE(EY$9:EY$34),$K324:$AJ324)</f>
        <v>2000</v>
      </c>
      <c r="EZ324" s="12">
        <f t="array" ref="EZ324">SUMPRODUCT(TRANSPOSE(EZ$9:EZ$34),$K324:$AJ324)</f>
        <v>2000</v>
      </c>
      <c r="FA324" s="12">
        <f t="array" ref="FA324">SUMPRODUCT(TRANSPOSE(FA$9:FA$34),$K324:$AJ324)</f>
        <v>2000</v>
      </c>
      <c r="FB324" s="12">
        <f t="array" ref="FB324">SUMPRODUCT(TRANSPOSE(FB$9:FB$34),$K324:$AJ324)</f>
        <v>2000</v>
      </c>
      <c r="FC324" s="12">
        <f t="array" ref="FC324">SUMPRODUCT(TRANSPOSE(FC$9:FC$34),$K324:$AJ324)</f>
        <v>2000</v>
      </c>
      <c r="FD324" s="12">
        <f t="array" ref="FD324">SUMPRODUCT(TRANSPOSE(FD$9:FD$34),$K324:$AJ324)</f>
        <v>2000</v>
      </c>
      <c r="FE324" s="12">
        <f t="array" ref="FE324">SUMPRODUCT(TRANSPOSE(FE$9:FE$34),$K324:$AJ324)</f>
        <v>2000</v>
      </c>
      <c r="FF324" s="12">
        <f t="array" ref="FF324">SUMPRODUCT(TRANSPOSE(FF$9:FF$34),$K324:$AJ324)</f>
        <v>2000</v>
      </c>
      <c r="FG324" s="12">
        <f t="array" ref="FG324">SUMPRODUCT(TRANSPOSE(FG$9:FG$34),$K324:$AJ324)</f>
        <v>2000</v>
      </c>
      <c r="FH324" s="12">
        <f t="array" ref="FH324">SUMPRODUCT(TRANSPOSE(FH$9:FH$34),$K324:$AJ324)</f>
        <v>2000</v>
      </c>
      <c r="FI324" s="12">
        <f t="array" ref="FI324">SUMPRODUCT(TRANSPOSE(FI$9:FI$34),$K324:$AJ324)</f>
        <v>2000</v>
      </c>
      <c r="FJ324" s="12">
        <f t="array" ref="FJ324">SUMPRODUCT(TRANSPOSE(FJ$9:FJ$34),$K324:$AJ324)</f>
        <v>2000</v>
      </c>
      <c r="FK324" s="12">
        <f t="array" ref="FK324">SUMPRODUCT(TRANSPOSE(FK$9:FK$34),$K324:$AJ324)</f>
        <v>2000</v>
      </c>
      <c r="FL324" s="12">
        <f t="array" ref="FL324">SUMPRODUCT(TRANSPOSE(FL$9:FL$34),$K324:$AJ324)</f>
        <v>2000</v>
      </c>
      <c r="FM324" s="12">
        <f t="array" ref="FM324">SUMPRODUCT(TRANSPOSE(FM$9:FM$34),$K324:$AJ324)</f>
        <v>2000</v>
      </c>
      <c r="FN324" s="12">
        <f t="array" ref="FN324">SUMPRODUCT(TRANSPOSE(FN$9:FN$34),$K324:$AJ324)</f>
        <v>1634</v>
      </c>
      <c r="FO324" s="12">
        <f t="array" ref="FO324">SUMPRODUCT(TRANSPOSE(FO$9:FO$34),$K324:$AJ324)</f>
        <v>0</v>
      </c>
    </row>
    <row r="325" spans="1:171" ht="14.25" x14ac:dyDescent="0.2">
      <c r="A325" s="13">
        <f t="shared" si="16"/>
        <v>290</v>
      </c>
      <c r="B325" s="13" t="s">
        <v>1022</v>
      </c>
      <c r="C325" s="25" t="s">
        <v>1023</v>
      </c>
      <c r="D325" s="13" t="s">
        <v>401</v>
      </c>
      <c r="E325" s="13" t="s">
        <v>1024</v>
      </c>
      <c r="F325" s="26" t="s">
        <v>1025</v>
      </c>
      <c r="G325" s="13"/>
      <c r="H325" s="13" t="s">
        <v>61</v>
      </c>
      <c r="I325" s="13">
        <v>2</v>
      </c>
      <c r="J325" s="13">
        <v>2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/>
      <c r="Z325" s="13"/>
      <c r="AA325" s="13">
        <v>0</v>
      </c>
      <c r="AB325" s="13">
        <v>0</v>
      </c>
      <c r="AC325" s="13">
        <v>0</v>
      </c>
      <c r="AD325" s="13">
        <v>2</v>
      </c>
      <c r="AE325" s="13">
        <v>2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f t="shared" si="18"/>
        <v>2</v>
      </c>
      <c r="AL325" s="23">
        <f t="shared" si="15"/>
        <v>1336</v>
      </c>
      <c r="AM325" s="13"/>
      <c r="AN325" s="13" t="s">
        <v>978</v>
      </c>
      <c r="AO325" s="7" t="s">
        <v>979</v>
      </c>
      <c r="AP325" s="38">
        <v>4.22</v>
      </c>
      <c r="AQ325" s="12">
        <v>2100</v>
      </c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13"/>
      <c r="CG325" s="13"/>
      <c r="CH325" s="13"/>
      <c r="CI325" s="12"/>
      <c r="CJ325" s="12"/>
      <c r="CK325" s="12"/>
      <c r="CL325" s="12"/>
      <c r="CM325" s="12"/>
      <c r="CN325" s="12"/>
      <c r="CO325" s="12"/>
      <c r="CP325" s="12">
        <f>SUM($AQ325:BJ325)-SUM($EA325:EH325)</f>
        <v>2080</v>
      </c>
      <c r="CQ325" s="12">
        <f>SUM($AQ325:BK325)-SUM($EA325:EI325)</f>
        <v>2080</v>
      </c>
      <c r="CR325" s="12">
        <f>SUM($AQ325:BL325)-SUM($EA325:EJ325)</f>
        <v>2050</v>
      </c>
      <c r="CS325" s="12">
        <f>SUM($AQ325:BM325)-SUM($EA325:EK325)</f>
        <v>1980</v>
      </c>
      <c r="CT325" s="12">
        <f>SUM($AQ325:BN325)-SUM($EA325:EL325)</f>
        <v>1950</v>
      </c>
      <c r="CU325" s="12">
        <f>SUM($AQ325:BO325)-SUM($EA325:EM325)</f>
        <v>1850</v>
      </c>
      <c r="CV325" s="12">
        <f>SUM($AQ325:BP325)-SUM($EA325:EN325)</f>
        <v>1750</v>
      </c>
      <c r="CW325" s="12">
        <f>SUM($AQ325:BQ325)-SUM($EA325:EO325)</f>
        <v>1750</v>
      </c>
      <c r="CX325" s="12">
        <f>SUM($AQ325:BR325)-SUM($EA325:EP325)</f>
        <v>1650</v>
      </c>
      <c r="CY325" s="12">
        <f>SUM($AQ325:BS325)-SUM($EA325:EQ325)</f>
        <v>1550</v>
      </c>
      <c r="CZ325" s="12">
        <f>SUM($AQ325:BT325)-SUM($EA325:ER325)</f>
        <v>1450</v>
      </c>
      <c r="DA325" s="12">
        <f>SUM($AQ325:BU325)-SUM($EA325:ES325)</f>
        <v>1350</v>
      </c>
      <c r="DB325" s="12">
        <f>SUM($AQ325:BV325)-SUM($EA325:ET325)</f>
        <v>1250</v>
      </c>
      <c r="DC325" s="12">
        <f>SUM($AQ325:BW325)-SUM($EA325:EU325)</f>
        <v>1150</v>
      </c>
      <c r="DD325" s="12">
        <f>SUM($AQ325:BX325)-SUM($EA325:EV325)</f>
        <v>1050</v>
      </c>
      <c r="DE325" s="12">
        <f>SUM($AQ325:BY325)-SUM($EA325:EW325)</f>
        <v>964</v>
      </c>
      <c r="DF325" s="12">
        <f>SUM($AQ325:BZ325)-SUM($EA325:EX325)</f>
        <v>964</v>
      </c>
      <c r="DG325" s="12">
        <f>SUM($AQ325:CA325)-SUM($EA325:EY325)</f>
        <v>964</v>
      </c>
      <c r="DH325" s="12">
        <f>SUM($AQ325:CB325)-SUM($EA325:EZ325)</f>
        <v>964</v>
      </c>
      <c r="DI325" s="12">
        <f>SUM($AQ325:CC325)-SUM($EA325:FA325)</f>
        <v>964</v>
      </c>
      <c r="DJ325" s="12">
        <f>SUM($AQ325:CD325)-SUM($EA325:FB325)</f>
        <v>964</v>
      </c>
      <c r="DK325" s="12">
        <f>SUM($AQ325:CE325)-SUM($EA325:FC325)</f>
        <v>964</v>
      </c>
      <c r="DL325" s="12">
        <f>SUM($AQ325:CF325)-SUM($EA325:FD325)</f>
        <v>964</v>
      </c>
      <c r="DM325" s="12">
        <f>SUM($AQ325:CG325)-SUM($EA325:FE325)</f>
        <v>964</v>
      </c>
      <c r="DN325" s="12">
        <f>SUM($AQ325:CH325)-SUM($EA325:FF325)</f>
        <v>964</v>
      </c>
      <c r="DO325" s="12">
        <f>SUM($AQ325:CI325)-SUM($EA325:FG325)</f>
        <v>964</v>
      </c>
      <c r="DP325" s="12">
        <f>SUM($AQ325:CJ325)-SUM($EA325:FH325)</f>
        <v>964</v>
      </c>
      <c r="DQ325" s="12">
        <f>SUM($AQ325:CK325)-SUM($EA325:FI325)</f>
        <v>964</v>
      </c>
      <c r="DR325" s="12">
        <f>SUM($AQ325:CL325)-SUM($EA325:FJ325)</f>
        <v>964</v>
      </c>
      <c r="DS325" s="12">
        <f>SUM($AQ325:CM325)-SUM($EA325:FK325)</f>
        <v>964</v>
      </c>
      <c r="DT325" s="12">
        <f>SUM($AQ325:CN325)-SUM($EA325:FL325)</f>
        <v>964</v>
      </c>
      <c r="DU325" s="12">
        <f>SUM($AQ325:CO325)-SUM($EA325:FM325)</f>
        <v>964</v>
      </c>
      <c r="DV325" s="12">
        <f>SUM($AQ325:CP325)-SUM($EA325:FN325)</f>
        <v>3044</v>
      </c>
      <c r="DW325" s="12">
        <f>SUM($AQ325:CQ325)-SUM($EA325:FO325)</f>
        <v>5124</v>
      </c>
      <c r="DX325" s="13"/>
      <c r="DY325" s="13"/>
      <c r="DZ325" s="13"/>
      <c r="EA325" s="12"/>
      <c r="EB325" s="12"/>
      <c r="EC325" s="12"/>
      <c r="ED325" s="12"/>
      <c r="EE325" s="12"/>
      <c r="EF325" s="12"/>
      <c r="EG325" s="12"/>
      <c r="EH325" s="12">
        <f t="array" ref="EH325">SUMPRODUCT(TRANSPOSE(EH$9:EH$34),$K325:$AJ325)</f>
        <v>20</v>
      </c>
      <c r="EI325" s="12">
        <f t="array" ref="EI325">SUMPRODUCT(TRANSPOSE(EI$9:EI$34),$K325:$AJ325)</f>
        <v>0</v>
      </c>
      <c r="EJ325" s="12">
        <f t="array" ref="EJ325">SUMPRODUCT(TRANSPOSE(EJ$9:EJ$34),$K325:$AJ325)</f>
        <v>30</v>
      </c>
      <c r="EK325" s="12">
        <f t="array" ref="EK325">SUMPRODUCT(TRANSPOSE(EK$9:EK$34),$K325:$AJ325)</f>
        <v>70</v>
      </c>
      <c r="EL325" s="12">
        <f t="array" ref="EL325">SUMPRODUCT(TRANSPOSE(EL$9:EL$34),$K325:$AJ325)</f>
        <v>30</v>
      </c>
      <c r="EM325" s="12">
        <f t="array" ref="EM325">SUMPRODUCT(TRANSPOSE(EM$9:EM$34),$K325:$AJ325)</f>
        <v>100</v>
      </c>
      <c r="EN325" s="12">
        <f t="array" ref="EN325">SUMPRODUCT(TRANSPOSE(EN$9:EN$34),$K325:$AJ325)</f>
        <v>100</v>
      </c>
      <c r="EO325" s="12">
        <f t="array" ref="EO325">SUMPRODUCT(TRANSPOSE(EO$9:EO$34),$K325:$AJ325)</f>
        <v>0</v>
      </c>
      <c r="EP325" s="12">
        <f t="array" ref="EP325">SUMPRODUCT(TRANSPOSE(EP$9:EP$34),$K325:$AJ325)</f>
        <v>100</v>
      </c>
      <c r="EQ325" s="12">
        <f t="array" ref="EQ325">SUMPRODUCT(TRANSPOSE(EQ$9:EQ$34),$K325:$AJ325)</f>
        <v>100</v>
      </c>
      <c r="ER325" s="12">
        <f t="array" ref="ER325">SUMPRODUCT(TRANSPOSE(ER$9:ER$34),$K325:$AJ325)</f>
        <v>100</v>
      </c>
      <c r="ES325" s="12">
        <f t="array" ref="ES325">SUMPRODUCT(TRANSPOSE(ES$9:ES$34),$K325:$AJ325)</f>
        <v>100</v>
      </c>
      <c r="ET325" s="12">
        <f t="array" ref="ET325">SUMPRODUCT(TRANSPOSE(ET$9:ET$34),$K325:$AJ325)</f>
        <v>100</v>
      </c>
      <c r="EU325" s="12">
        <f t="array" ref="EU325">SUMPRODUCT(TRANSPOSE(EU$9:EU$34),$K325:$AJ325)</f>
        <v>100</v>
      </c>
      <c r="EV325" s="12">
        <f t="array" ref="EV325">SUMPRODUCT(TRANSPOSE(EV$9:EV$34),$K325:$AJ325)</f>
        <v>100</v>
      </c>
      <c r="EW325" s="12">
        <f t="array" ref="EW325">SUMPRODUCT(TRANSPOSE(EW$9:EW$34),$K325:$AJ325)</f>
        <v>86</v>
      </c>
      <c r="EX325" s="12">
        <f t="array" ref="EX325">SUMPRODUCT(TRANSPOSE(EX$9:EX$34),$K325:$AJ325)</f>
        <v>0</v>
      </c>
      <c r="EY325" s="12">
        <f t="array" ref="EY325">SUMPRODUCT(TRANSPOSE(EY$9:EY$34),$K325:$AJ325)</f>
        <v>0</v>
      </c>
      <c r="EZ325" s="12">
        <f t="array" ref="EZ325">SUMPRODUCT(TRANSPOSE(EZ$9:EZ$34),$K325:$AJ325)</f>
        <v>0</v>
      </c>
      <c r="FA325" s="12">
        <f t="array" ref="FA325">SUMPRODUCT(TRANSPOSE(FA$9:FA$34),$K325:$AJ325)</f>
        <v>0</v>
      </c>
      <c r="FB325" s="12">
        <f t="array" ref="FB325">SUMPRODUCT(TRANSPOSE(FB$9:FB$34),$K325:$AJ325)</f>
        <v>0</v>
      </c>
      <c r="FC325" s="12">
        <f t="array" ref="FC325">SUMPRODUCT(TRANSPOSE(FC$9:FC$34),$K325:$AJ325)</f>
        <v>0</v>
      </c>
      <c r="FD325" s="12">
        <f t="array" ref="FD325">SUMPRODUCT(TRANSPOSE(FD$9:FD$34),$K325:$AJ325)</f>
        <v>0</v>
      </c>
      <c r="FE325" s="12">
        <f t="array" ref="FE325">SUMPRODUCT(TRANSPOSE(FE$9:FE$34),$K325:$AJ325)</f>
        <v>0</v>
      </c>
      <c r="FF325" s="12">
        <f t="array" ref="FF325">SUMPRODUCT(TRANSPOSE(FF$9:FF$34),$K325:$AJ325)</f>
        <v>0</v>
      </c>
      <c r="FG325" s="12">
        <f t="array" ref="FG325">SUMPRODUCT(TRANSPOSE(FG$9:FG$34),$K325:$AJ325)</f>
        <v>0</v>
      </c>
      <c r="FH325" s="12">
        <f t="array" ref="FH325">SUMPRODUCT(TRANSPOSE(FH$9:FH$34),$K325:$AJ325)</f>
        <v>0</v>
      </c>
      <c r="FI325" s="12">
        <f t="array" ref="FI325">SUMPRODUCT(TRANSPOSE(FI$9:FI$34),$K325:$AJ325)</f>
        <v>0</v>
      </c>
      <c r="FJ325" s="12">
        <f t="array" ref="FJ325">SUMPRODUCT(TRANSPOSE(FJ$9:FJ$34),$K325:$AJ325)</f>
        <v>0</v>
      </c>
      <c r="FK325" s="12">
        <f t="array" ref="FK325">SUMPRODUCT(TRANSPOSE(FK$9:FK$34),$K325:$AJ325)</f>
        <v>0</v>
      </c>
      <c r="FL325" s="12">
        <f t="array" ref="FL325">SUMPRODUCT(TRANSPOSE(FL$9:FL$34),$K325:$AJ325)</f>
        <v>0</v>
      </c>
      <c r="FM325" s="12">
        <f t="array" ref="FM325">SUMPRODUCT(TRANSPOSE(FM$9:FM$34),$K325:$AJ325)</f>
        <v>0</v>
      </c>
      <c r="FN325" s="12">
        <f t="array" ref="FN325">SUMPRODUCT(TRANSPOSE(FN$9:FN$34),$K325:$AJ325)</f>
        <v>0</v>
      </c>
      <c r="FO325" s="12">
        <f t="array" ref="FO325">SUMPRODUCT(TRANSPOSE(FO$9:FO$34),$K325:$AJ325)</f>
        <v>0</v>
      </c>
    </row>
    <row r="326" spans="1:171" ht="14.25" x14ac:dyDescent="0.2">
      <c r="A326" s="13">
        <f t="shared" si="16"/>
        <v>291</v>
      </c>
      <c r="B326" s="13" t="s">
        <v>1026</v>
      </c>
      <c r="C326" s="25" t="s">
        <v>1027</v>
      </c>
      <c r="D326" s="13" t="s">
        <v>67</v>
      </c>
      <c r="E326" s="13" t="s">
        <v>1028</v>
      </c>
      <c r="F326" s="26" t="s">
        <v>1029</v>
      </c>
      <c r="G326" s="13"/>
      <c r="H326" s="13" t="s">
        <v>61</v>
      </c>
      <c r="I326" s="13">
        <v>1</v>
      </c>
      <c r="J326" s="13">
        <v>2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/>
      <c r="Z326" s="13"/>
      <c r="AA326" s="13">
        <v>0</v>
      </c>
      <c r="AB326" s="13">
        <v>0</v>
      </c>
      <c r="AC326" s="13">
        <v>0</v>
      </c>
      <c r="AD326" s="13">
        <v>2</v>
      </c>
      <c r="AE326" s="13"/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f t="shared" si="18"/>
        <v>2</v>
      </c>
      <c r="AL326" s="23">
        <f t="shared" si="15"/>
        <v>20</v>
      </c>
      <c r="AM326" s="13"/>
      <c r="AN326" s="13" t="s">
        <v>978</v>
      </c>
      <c r="AO326" s="7" t="s">
        <v>979</v>
      </c>
      <c r="AP326" s="38">
        <v>7.45</v>
      </c>
      <c r="AQ326" s="12">
        <v>1649</v>
      </c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13"/>
      <c r="CG326" s="13"/>
      <c r="CH326" s="13"/>
      <c r="CI326" s="12"/>
      <c r="CJ326" s="12"/>
      <c r="CK326" s="12"/>
      <c r="CL326" s="12"/>
      <c r="CM326" s="12"/>
      <c r="CN326" s="12"/>
      <c r="CO326" s="12"/>
      <c r="CP326" s="12">
        <f>SUM($AQ326:BJ326)-SUM($EA326:EH326)</f>
        <v>1629</v>
      </c>
      <c r="CQ326" s="12">
        <f>SUM($AQ326:BK326)-SUM($EA326:EI326)</f>
        <v>1629</v>
      </c>
      <c r="CR326" s="12">
        <f>SUM($AQ326:BL326)-SUM($EA326:EJ326)</f>
        <v>1629</v>
      </c>
      <c r="CS326" s="12">
        <f>SUM($AQ326:BM326)-SUM($EA326:EK326)</f>
        <v>1629</v>
      </c>
      <c r="CT326" s="12">
        <f>SUM($AQ326:BN326)-SUM($EA326:EL326)</f>
        <v>1629</v>
      </c>
      <c r="CU326" s="12">
        <f>SUM($AQ326:BO326)-SUM($EA326:EM326)</f>
        <v>1629</v>
      </c>
      <c r="CV326" s="12">
        <f>SUM($AQ326:BP326)-SUM($EA326:EN326)</f>
        <v>1629</v>
      </c>
      <c r="CW326" s="12">
        <f>SUM($AQ326:BQ326)-SUM($EA326:EO326)</f>
        <v>1629</v>
      </c>
      <c r="CX326" s="12">
        <f>SUM($AQ326:BR326)-SUM($EA326:EP326)</f>
        <v>1629</v>
      </c>
      <c r="CY326" s="12">
        <f>SUM($AQ326:BS326)-SUM($EA326:EQ326)</f>
        <v>1629</v>
      </c>
      <c r="CZ326" s="12">
        <f>SUM($AQ326:BT326)-SUM($EA326:ER326)</f>
        <v>1629</v>
      </c>
      <c r="DA326" s="12">
        <f>SUM($AQ326:BU326)-SUM($EA326:ES326)</f>
        <v>1629</v>
      </c>
      <c r="DB326" s="12">
        <f>SUM($AQ326:BV326)-SUM($EA326:ET326)</f>
        <v>1629</v>
      </c>
      <c r="DC326" s="12">
        <f>SUM($AQ326:BW326)-SUM($EA326:EU326)</f>
        <v>1629</v>
      </c>
      <c r="DD326" s="12">
        <f>SUM($AQ326:BX326)-SUM($EA326:EV326)</f>
        <v>1629</v>
      </c>
      <c r="DE326" s="12">
        <f>SUM($AQ326:BY326)-SUM($EA326:EW326)</f>
        <v>1629</v>
      </c>
      <c r="DF326" s="12">
        <f>SUM($AQ326:BZ326)-SUM($EA326:EX326)</f>
        <v>1629</v>
      </c>
      <c r="DG326" s="12">
        <f>SUM($AQ326:CA326)-SUM($EA326:EY326)</f>
        <v>1629</v>
      </c>
      <c r="DH326" s="12">
        <f>SUM($AQ326:CB326)-SUM($EA326:EZ326)</f>
        <v>1629</v>
      </c>
      <c r="DI326" s="12">
        <f>SUM($AQ326:CC326)-SUM($EA326:FA326)</f>
        <v>1629</v>
      </c>
      <c r="DJ326" s="12">
        <f>SUM($AQ326:CD326)-SUM($EA326:FB326)</f>
        <v>1629</v>
      </c>
      <c r="DK326" s="12">
        <f>SUM($AQ326:CE326)-SUM($EA326:FC326)</f>
        <v>1629</v>
      </c>
      <c r="DL326" s="12">
        <f>SUM($AQ326:CF326)-SUM($EA326:FD326)</f>
        <v>1629</v>
      </c>
      <c r="DM326" s="12">
        <f>SUM($AQ326:CG326)-SUM($EA326:FE326)</f>
        <v>1629</v>
      </c>
      <c r="DN326" s="12">
        <f>SUM($AQ326:CH326)-SUM($EA326:FF326)</f>
        <v>1629</v>
      </c>
      <c r="DO326" s="12">
        <f>SUM($AQ326:CI326)-SUM($EA326:FG326)</f>
        <v>1629</v>
      </c>
      <c r="DP326" s="12">
        <f>SUM($AQ326:CJ326)-SUM($EA326:FH326)</f>
        <v>1629</v>
      </c>
      <c r="DQ326" s="12">
        <f>SUM($AQ326:CK326)-SUM($EA326:FI326)</f>
        <v>1629</v>
      </c>
      <c r="DR326" s="12">
        <f>SUM($AQ326:CL326)-SUM($EA326:FJ326)</f>
        <v>1629</v>
      </c>
      <c r="DS326" s="12">
        <f>SUM($AQ326:CM326)-SUM($EA326:FK326)</f>
        <v>1629</v>
      </c>
      <c r="DT326" s="12">
        <f>SUM($AQ326:CN326)-SUM($EA326:FL326)</f>
        <v>1629</v>
      </c>
      <c r="DU326" s="12">
        <f>SUM($AQ326:CO326)-SUM($EA326:FM326)</f>
        <v>1629</v>
      </c>
      <c r="DV326" s="12">
        <f>SUM($AQ326:CP326)-SUM($EA326:FN326)</f>
        <v>3258</v>
      </c>
      <c r="DW326" s="12">
        <f>SUM($AQ326:CQ326)-SUM($EA326:FO326)</f>
        <v>4887</v>
      </c>
      <c r="DX326" s="13"/>
      <c r="DY326" s="13"/>
      <c r="DZ326" s="13"/>
      <c r="EA326" s="12"/>
      <c r="EB326" s="12"/>
      <c r="EC326" s="12"/>
      <c r="ED326" s="12"/>
      <c r="EE326" s="12"/>
      <c r="EF326" s="12"/>
      <c r="EG326" s="12"/>
      <c r="EH326" s="12">
        <f t="array" ref="EH326">SUMPRODUCT(TRANSPOSE(EH$9:EH$34),$K326:$AJ326)</f>
        <v>20</v>
      </c>
      <c r="EI326" s="12">
        <f t="array" ref="EI326">SUMPRODUCT(TRANSPOSE(EI$9:EI$34),$K326:$AJ326)</f>
        <v>0</v>
      </c>
      <c r="EJ326" s="12">
        <f t="array" ref="EJ326">SUMPRODUCT(TRANSPOSE(EJ$9:EJ$34),$K326:$AJ326)</f>
        <v>0</v>
      </c>
      <c r="EK326" s="12">
        <f t="array" ref="EK326">SUMPRODUCT(TRANSPOSE(EK$9:EK$34),$K326:$AJ326)</f>
        <v>0</v>
      </c>
      <c r="EL326" s="12">
        <f t="array" ref="EL326">SUMPRODUCT(TRANSPOSE(EL$9:EL$34),$K326:$AJ326)</f>
        <v>0</v>
      </c>
      <c r="EM326" s="12">
        <f t="array" ref="EM326">SUMPRODUCT(TRANSPOSE(EM$9:EM$34),$K326:$AJ326)</f>
        <v>0</v>
      </c>
      <c r="EN326" s="12">
        <f t="array" ref="EN326">SUMPRODUCT(TRANSPOSE(EN$9:EN$34),$K326:$AJ326)</f>
        <v>0</v>
      </c>
      <c r="EO326" s="12">
        <f t="array" ref="EO326">SUMPRODUCT(TRANSPOSE(EO$9:EO$34),$K326:$AJ326)</f>
        <v>0</v>
      </c>
      <c r="EP326" s="12">
        <f t="array" ref="EP326">SUMPRODUCT(TRANSPOSE(EP$9:EP$34),$K326:$AJ326)</f>
        <v>0</v>
      </c>
      <c r="EQ326" s="12">
        <f t="array" ref="EQ326">SUMPRODUCT(TRANSPOSE(EQ$9:EQ$34),$K326:$AJ326)</f>
        <v>0</v>
      </c>
      <c r="ER326" s="12">
        <f t="array" ref="ER326">SUMPRODUCT(TRANSPOSE(ER$9:ER$34),$K326:$AJ326)</f>
        <v>0</v>
      </c>
      <c r="ES326" s="12">
        <f t="array" ref="ES326">SUMPRODUCT(TRANSPOSE(ES$9:ES$34),$K326:$AJ326)</f>
        <v>0</v>
      </c>
      <c r="ET326" s="12">
        <f t="array" ref="ET326">SUMPRODUCT(TRANSPOSE(ET$9:ET$34),$K326:$AJ326)</f>
        <v>0</v>
      </c>
      <c r="EU326" s="12">
        <f t="array" ref="EU326">SUMPRODUCT(TRANSPOSE(EU$9:EU$34),$K326:$AJ326)</f>
        <v>0</v>
      </c>
      <c r="EV326" s="12">
        <f t="array" ref="EV326">SUMPRODUCT(TRANSPOSE(EV$9:EV$34),$K326:$AJ326)</f>
        <v>0</v>
      </c>
      <c r="EW326" s="12">
        <f t="array" ref="EW326">SUMPRODUCT(TRANSPOSE(EW$9:EW$34),$K326:$AJ326)</f>
        <v>0</v>
      </c>
      <c r="EX326" s="12">
        <f t="array" ref="EX326">SUMPRODUCT(TRANSPOSE(EX$9:EX$34),$K326:$AJ326)</f>
        <v>0</v>
      </c>
      <c r="EY326" s="12">
        <f t="array" ref="EY326">SUMPRODUCT(TRANSPOSE(EY$9:EY$34),$K326:$AJ326)</f>
        <v>0</v>
      </c>
      <c r="EZ326" s="12">
        <f t="array" ref="EZ326">SUMPRODUCT(TRANSPOSE(EZ$9:EZ$34),$K326:$AJ326)</f>
        <v>0</v>
      </c>
      <c r="FA326" s="12">
        <f t="array" ref="FA326">SUMPRODUCT(TRANSPOSE(FA$9:FA$34),$K326:$AJ326)</f>
        <v>0</v>
      </c>
      <c r="FB326" s="12">
        <f t="array" ref="FB326">SUMPRODUCT(TRANSPOSE(FB$9:FB$34),$K326:$AJ326)</f>
        <v>0</v>
      </c>
      <c r="FC326" s="12">
        <f t="array" ref="FC326">SUMPRODUCT(TRANSPOSE(FC$9:FC$34),$K326:$AJ326)</f>
        <v>0</v>
      </c>
      <c r="FD326" s="12">
        <f t="array" ref="FD326">SUMPRODUCT(TRANSPOSE(FD$9:FD$34),$K326:$AJ326)</f>
        <v>0</v>
      </c>
      <c r="FE326" s="12">
        <f t="array" ref="FE326">SUMPRODUCT(TRANSPOSE(FE$9:FE$34),$K326:$AJ326)</f>
        <v>0</v>
      </c>
      <c r="FF326" s="12">
        <f t="array" ref="FF326">SUMPRODUCT(TRANSPOSE(FF$9:FF$34),$K326:$AJ326)</f>
        <v>0</v>
      </c>
      <c r="FG326" s="12">
        <f t="array" ref="FG326">SUMPRODUCT(TRANSPOSE(FG$9:FG$34),$K326:$AJ326)</f>
        <v>0</v>
      </c>
      <c r="FH326" s="12">
        <f t="array" ref="FH326">SUMPRODUCT(TRANSPOSE(FH$9:FH$34),$K326:$AJ326)</f>
        <v>0</v>
      </c>
      <c r="FI326" s="12">
        <f t="array" ref="FI326">SUMPRODUCT(TRANSPOSE(FI$9:FI$34),$K326:$AJ326)</f>
        <v>0</v>
      </c>
      <c r="FJ326" s="12">
        <f t="array" ref="FJ326">SUMPRODUCT(TRANSPOSE(FJ$9:FJ$34),$K326:$AJ326)</f>
        <v>0</v>
      </c>
      <c r="FK326" s="12">
        <f t="array" ref="FK326">SUMPRODUCT(TRANSPOSE(FK$9:FK$34),$K326:$AJ326)</f>
        <v>0</v>
      </c>
      <c r="FL326" s="12">
        <f t="array" ref="FL326">SUMPRODUCT(TRANSPOSE(FL$9:FL$34),$K326:$AJ326)</f>
        <v>0</v>
      </c>
      <c r="FM326" s="12">
        <f t="array" ref="FM326">SUMPRODUCT(TRANSPOSE(FM$9:FM$34),$K326:$AJ326)</f>
        <v>0</v>
      </c>
      <c r="FN326" s="12">
        <f t="array" ref="FN326">SUMPRODUCT(TRANSPOSE(FN$9:FN$34),$K326:$AJ326)</f>
        <v>0</v>
      </c>
      <c r="FO326" s="12">
        <f t="array" ref="FO326">SUMPRODUCT(TRANSPOSE(FO$9:FO$34),$K326:$AJ326)</f>
        <v>0</v>
      </c>
    </row>
    <row r="327" spans="1:171" ht="14.25" x14ac:dyDescent="0.2">
      <c r="A327" s="13">
        <f t="shared" si="16"/>
        <v>292</v>
      </c>
      <c r="B327" s="13" t="s">
        <v>1030</v>
      </c>
      <c r="C327" s="25" t="s">
        <v>1031</v>
      </c>
      <c r="D327" s="13" t="s">
        <v>67</v>
      </c>
      <c r="E327" s="13">
        <v>400048227</v>
      </c>
      <c r="F327" s="26" t="s">
        <v>1032</v>
      </c>
      <c r="G327" s="13"/>
      <c r="H327" s="13" t="s">
        <v>61</v>
      </c>
      <c r="I327" s="13">
        <v>2</v>
      </c>
      <c r="J327" s="13">
        <v>12</v>
      </c>
      <c r="K327" s="13">
        <v>0</v>
      </c>
      <c r="L327" s="13">
        <v>0</v>
      </c>
      <c r="M327" s="13">
        <v>0</v>
      </c>
      <c r="N327" s="42">
        <v>3</v>
      </c>
      <c r="O327" s="13">
        <v>0</v>
      </c>
      <c r="P327" s="13">
        <v>0</v>
      </c>
      <c r="Q327" s="13">
        <v>0</v>
      </c>
      <c r="R327" s="13">
        <v>0</v>
      </c>
      <c r="S327" s="13">
        <v>4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/>
      <c r="Z327" s="13">
        <v>4</v>
      </c>
      <c r="AA327" s="13">
        <v>0</v>
      </c>
      <c r="AB327" s="13">
        <v>0</v>
      </c>
      <c r="AC327" s="13">
        <v>0</v>
      </c>
      <c r="AD327" s="13">
        <v>4</v>
      </c>
      <c r="AE327" s="13">
        <v>4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f t="shared" si="18"/>
        <v>15</v>
      </c>
      <c r="AL327" s="23">
        <f t="shared" si="15"/>
        <v>248353</v>
      </c>
      <c r="AM327" s="13"/>
      <c r="AN327" s="13" t="s">
        <v>978</v>
      </c>
      <c r="AO327" s="7" t="s">
        <v>979</v>
      </c>
      <c r="AP327" s="38">
        <v>1.8</v>
      </c>
      <c r="AQ327" s="12">
        <v>125599</v>
      </c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13"/>
      <c r="CG327" s="13"/>
      <c r="CH327" s="13"/>
      <c r="CI327" s="12"/>
      <c r="CJ327" s="12"/>
      <c r="CK327" s="12"/>
      <c r="CL327" s="12"/>
      <c r="CM327" s="12"/>
      <c r="CN327" s="12"/>
      <c r="CO327" s="12"/>
      <c r="CP327" s="12">
        <f>SUM($AQ327:BJ327)-SUM($EA327:EH327)</f>
        <v>101301</v>
      </c>
      <c r="CQ327" s="12">
        <f>SUM($AQ327:BK327)-SUM($EA327:EI327)</f>
        <v>100177</v>
      </c>
      <c r="CR327" s="12">
        <f>SUM($AQ327:BL327)-SUM($EA327:EJ327)</f>
        <v>97117</v>
      </c>
      <c r="CS327" s="12">
        <f>SUM($AQ327:BM327)-SUM($EA327:EK327)</f>
        <v>93577</v>
      </c>
      <c r="CT327" s="12">
        <f>SUM($AQ327:BN327)-SUM($EA327:EL327)</f>
        <v>86517</v>
      </c>
      <c r="CU327" s="12">
        <f>SUM($AQ327:BO327)-SUM($EA327:EM327)</f>
        <v>78317</v>
      </c>
      <c r="CV327" s="12">
        <f>SUM($AQ327:BP327)-SUM($EA327:EN327)</f>
        <v>71017</v>
      </c>
      <c r="CW327" s="12">
        <f>SUM($AQ327:BQ327)-SUM($EA327:EO327)</f>
        <v>64017</v>
      </c>
      <c r="CX327" s="12">
        <f>SUM($AQ327:BR327)-SUM($EA327:EP327)</f>
        <v>56817</v>
      </c>
      <c r="CY327" s="12">
        <f>SUM($AQ327:BS327)-SUM($EA327:EQ327)</f>
        <v>49617</v>
      </c>
      <c r="CZ327" s="12">
        <f>SUM($AQ327:BT327)-SUM($EA327:ER327)</f>
        <v>42417</v>
      </c>
      <c r="DA327" s="12">
        <f>SUM($AQ327:BU327)-SUM($EA327:ES327)</f>
        <v>35217</v>
      </c>
      <c r="DB327" s="12">
        <f>SUM($AQ327:BV327)-SUM($EA327:ET327)</f>
        <v>28017</v>
      </c>
      <c r="DC327" s="12">
        <f>SUM($AQ327:BW327)-SUM($EA327:EU327)</f>
        <v>20817</v>
      </c>
      <c r="DD327" s="12">
        <f>SUM($AQ327:BX327)-SUM($EA327:EV327)</f>
        <v>13617</v>
      </c>
      <c r="DE327" s="12">
        <f>SUM($AQ327:BY327)-SUM($EA327:EW327)</f>
        <v>6445</v>
      </c>
      <c r="DF327" s="12">
        <f>SUM($AQ327:BZ327)-SUM($EA327:EX327)</f>
        <v>-555</v>
      </c>
      <c r="DG327" s="12">
        <f>SUM($AQ327:CA327)-SUM($EA327:EY327)</f>
        <v>-7555</v>
      </c>
      <c r="DH327" s="12">
        <f>SUM($AQ327:CB327)-SUM($EA327:EZ327)</f>
        <v>-14555</v>
      </c>
      <c r="DI327" s="12">
        <f>SUM($AQ327:CC327)-SUM($EA327:FA327)</f>
        <v>-21555</v>
      </c>
      <c r="DJ327" s="12">
        <f>SUM($AQ327:CD327)-SUM($EA327:FB327)</f>
        <v>-28555</v>
      </c>
      <c r="DK327" s="12">
        <f>SUM($AQ327:CE327)-SUM($EA327:FC327)</f>
        <v>-35555</v>
      </c>
      <c r="DL327" s="12">
        <f>SUM($AQ327:CF327)-SUM($EA327:FD327)</f>
        <v>-42555</v>
      </c>
      <c r="DM327" s="12">
        <f>SUM($AQ327:CG327)-SUM($EA327:FE327)</f>
        <v>-49555</v>
      </c>
      <c r="DN327" s="12">
        <f>SUM($AQ327:CH327)-SUM($EA327:FF327)</f>
        <v>-56555</v>
      </c>
      <c r="DO327" s="12">
        <f>SUM($AQ327:CI327)-SUM($EA327:FG327)</f>
        <v>-63555</v>
      </c>
      <c r="DP327" s="12">
        <f>SUM($AQ327:CJ327)-SUM($EA327:FH327)</f>
        <v>-70555</v>
      </c>
      <c r="DQ327" s="12">
        <f>SUM($AQ327:CK327)-SUM($EA327:FI327)</f>
        <v>-77555</v>
      </c>
      <c r="DR327" s="12">
        <f>SUM($AQ327:CL327)-SUM($EA327:FJ327)</f>
        <v>-84555</v>
      </c>
      <c r="DS327" s="12">
        <f>SUM($AQ327:CM327)-SUM($EA327:FK327)</f>
        <v>-91555</v>
      </c>
      <c r="DT327" s="12">
        <f>SUM($AQ327:CN327)-SUM($EA327:FL327)</f>
        <v>-98555</v>
      </c>
      <c r="DU327" s="12">
        <f>SUM($AQ327:CO327)-SUM($EA327:FM327)</f>
        <v>-105555</v>
      </c>
      <c r="DV327" s="12">
        <f>SUM($AQ327:CP327)-SUM($EA327:FN327)</f>
        <v>-10522</v>
      </c>
      <c r="DW327" s="12">
        <f>SUM($AQ327:CQ327)-SUM($EA327:FO327)</f>
        <v>89424</v>
      </c>
      <c r="DX327" s="13"/>
      <c r="DY327" s="13"/>
      <c r="DZ327" s="13"/>
      <c r="EA327" s="12"/>
      <c r="EB327" s="12"/>
      <c r="EC327" s="12"/>
      <c r="ED327" s="12"/>
      <c r="EE327" s="12"/>
      <c r="EF327" s="12"/>
      <c r="EG327" s="12"/>
      <c r="EH327" s="12">
        <f t="array" ref="EH327">SUMPRODUCT(TRANSPOSE(EH$9:EH$34),$K327:$AJ327)</f>
        <v>24298</v>
      </c>
      <c r="EI327" s="12">
        <f t="array" ref="EI327">SUMPRODUCT(TRANSPOSE(EI$9:EI$34),$K327:$AJ327)</f>
        <v>1124</v>
      </c>
      <c r="EJ327" s="12">
        <f t="array" ref="EJ327">SUMPRODUCT(TRANSPOSE(EJ$9:EJ$34),$K327:$AJ327)</f>
        <v>3060</v>
      </c>
      <c r="EK327" s="12">
        <f t="array" ref="EK327">SUMPRODUCT(TRANSPOSE(EK$9:EK$34),$K327:$AJ327)</f>
        <v>3540</v>
      </c>
      <c r="EL327" s="12">
        <f t="array" ref="EL327">SUMPRODUCT(TRANSPOSE(EL$9:EL$34),$K327:$AJ327)</f>
        <v>7060</v>
      </c>
      <c r="EM327" s="12">
        <f t="array" ref="EM327">SUMPRODUCT(TRANSPOSE(EM$9:EM$34),$K327:$AJ327)</f>
        <v>8200</v>
      </c>
      <c r="EN327" s="12">
        <f t="array" ref="EN327">SUMPRODUCT(TRANSPOSE(EN$9:EN$34),$K327:$AJ327)</f>
        <v>7300</v>
      </c>
      <c r="EO327" s="12">
        <f t="array" ref="EO327">SUMPRODUCT(TRANSPOSE(EO$9:EO$34),$K327:$AJ327)</f>
        <v>7000</v>
      </c>
      <c r="EP327" s="12">
        <f t="array" ref="EP327">SUMPRODUCT(TRANSPOSE(EP$9:EP$34),$K327:$AJ327)</f>
        <v>7200</v>
      </c>
      <c r="EQ327" s="12">
        <f t="array" ref="EQ327">SUMPRODUCT(TRANSPOSE(EQ$9:EQ$34),$K327:$AJ327)</f>
        <v>7200</v>
      </c>
      <c r="ER327" s="12">
        <f t="array" ref="ER327">SUMPRODUCT(TRANSPOSE(ER$9:ER$34),$K327:$AJ327)</f>
        <v>7200</v>
      </c>
      <c r="ES327" s="12">
        <f t="array" ref="ES327">SUMPRODUCT(TRANSPOSE(ES$9:ES$34),$K327:$AJ327)</f>
        <v>7200</v>
      </c>
      <c r="ET327" s="12">
        <f t="array" ref="ET327">SUMPRODUCT(TRANSPOSE(ET$9:ET$34),$K327:$AJ327)</f>
        <v>7200</v>
      </c>
      <c r="EU327" s="12">
        <f t="array" ref="EU327">SUMPRODUCT(TRANSPOSE(EU$9:EU$34),$K327:$AJ327)</f>
        <v>7200</v>
      </c>
      <c r="EV327" s="12">
        <f t="array" ref="EV327">SUMPRODUCT(TRANSPOSE(EV$9:EV$34),$K327:$AJ327)</f>
        <v>7200</v>
      </c>
      <c r="EW327" s="12">
        <f t="array" ref="EW327">SUMPRODUCT(TRANSPOSE(EW$9:EW$34),$K327:$AJ327)</f>
        <v>7172</v>
      </c>
      <c r="EX327" s="12">
        <f t="array" ref="EX327">SUMPRODUCT(TRANSPOSE(EX$9:EX$34),$K327:$AJ327)</f>
        <v>7000</v>
      </c>
      <c r="EY327" s="12">
        <f t="array" ref="EY327">SUMPRODUCT(TRANSPOSE(EY$9:EY$34),$K327:$AJ327)</f>
        <v>7000</v>
      </c>
      <c r="EZ327" s="12">
        <f t="array" ref="EZ327">SUMPRODUCT(TRANSPOSE(EZ$9:EZ$34),$K327:$AJ327)</f>
        <v>7000</v>
      </c>
      <c r="FA327" s="12">
        <f t="array" ref="FA327">SUMPRODUCT(TRANSPOSE(FA$9:FA$34),$K327:$AJ327)</f>
        <v>7000</v>
      </c>
      <c r="FB327" s="12">
        <f t="array" ref="FB327">SUMPRODUCT(TRANSPOSE(FB$9:FB$34),$K327:$AJ327)</f>
        <v>7000</v>
      </c>
      <c r="FC327" s="12">
        <f t="array" ref="FC327">SUMPRODUCT(TRANSPOSE(FC$9:FC$34),$K327:$AJ327)</f>
        <v>7000</v>
      </c>
      <c r="FD327" s="12">
        <f t="array" ref="FD327">SUMPRODUCT(TRANSPOSE(FD$9:FD$34),$K327:$AJ327)</f>
        <v>7000</v>
      </c>
      <c r="FE327" s="12">
        <f t="array" ref="FE327">SUMPRODUCT(TRANSPOSE(FE$9:FE$34),$K327:$AJ327)</f>
        <v>7000</v>
      </c>
      <c r="FF327" s="12">
        <f t="array" ref="FF327">SUMPRODUCT(TRANSPOSE(FF$9:FF$34),$K327:$AJ327)</f>
        <v>7000</v>
      </c>
      <c r="FG327" s="12">
        <f t="array" ref="FG327">SUMPRODUCT(TRANSPOSE(FG$9:FG$34),$K327:$AJ327)</f>
        <v>7000</v>
      </c>
      <c r="FH327" s="12">
        <f t="array" ref="FH327">SUMPRODUCT(TRANSPOSE(FH$9:FH$34),$K327:$AJ327)</f>
        <v>7000</v>
      </c>
      <c r="FI327" s="12">
        <f t="array" ref="FI327">SUMPRODUCT(TRANSPOSE(FI$9:FI$34),$K327:$AJ327)</f>
        <v>7000</v>
      </c>
      <c r="FJ327" s="12">
        <f t="array" ref="FJ327">SUMPRODUCT(TRANSPOSE(FJ$9:FJ$34),$K327:$AJ327)</f>
        <v>7000</v>
      </c>
      <c r="FK327" s="12">
        <f t="array" ref="FK327">SUMPRODUCT(TRANSPOSE(FK$9:FK$34),$K327:$AJ327)</f>
        <v>7000</v>
      </c>
      <c r="FL327" s="12">
        <f t="array" ref="FL327">SUMPRODUCT(TRANSPOSE(FL$9:FL$34),$K327:$AJ327)</f>
        <v>7000</v>
      </c>
      <c r="FM327" s="12">
        <f t="array" ref="FM327">SUMPRODUCT(TRANSPOSE(FM$9:FM$34),$K327:$AJ327)</f>
        <v>7000</v>
      </c>
      <c r="FN327" s="12">
        <f t="array" ref="FN327">SUMPRODUCT(TRANSPOSE(FN$9:FN$34),$K327:$AJ327)</f>
        <v>6268</v>
      </c>
      <c r="FO327" s="12">
        <f t="array" ref="FO327">SUMPRODUCT(TRANSPOSE(FO$9:FO$34),$K327:$AJ327)</f>
        <v>231</v>
      </c>
    </row>
    <row r="328" spans="1:171" ht="14.25" x14ac:dyDescent="0.2">
      <c r="A328" s="13">
        <f t="shared" si="16"/>
        <v>293</v>
      </c>
      <c r="B328" s="13" t="s">
        <v>1033</v>
      </c>
      <c r="C328" s="25" t="s">
        <v>1034</v>
      </c>
      <c r="D328" s="13" t="s">
        <v>401</v>
      </c>
      <c r="E328" s="13" t="s">
        <v>1035</v>
      </c>
      <c r="F328" s="26" t="s">
        <v>1036</v>
      </c>
      <c r="G328" s="13"/>
      <c r="H328" s="13" t="s">
        <v>61</v>
      </c>
      <c r="I328" s="13">
        <v>2</v>
      </c>
      <c r="J328" s="13">
        <v>6</v>
      </c>
      <c r="K328" s="13">
        <v>0</v>
      </c>
      <c r="L328" s="13">
        <v>0</v>
      </c>
      <c r="M328" s="13">
        <v>0</v>
      </c>
      <c r="N328" s="42">
        <v>1</v>
      </c>
      <c r="O328" s="13">
        <v>0</v>
      </c>
      <c r="P328" s="13">
        <v>0</v>
      </c>
      <c r="Q328" s="13">
        <v>0</v>
      </c>
      <c r="R328" s="13">
        <v>0</v>
      </c>
      <c r="S328" s="13">
        <v>2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/>
      <c r="Z328" s="13">
        <v>2</v>
      </c>
      <c r="AA328" s="13">
        <v>0</v>
      </c>
      <c r="AB328" s="13">
        <v>0</v>
      </c>
      <c r="AC328" s="13">
        <v>0</v>
      </c>
      <c r="AD328" s="13">
        <v>2</v>
      </c>
      <c r="AE328" s="13">
        <v>2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f t="shared" si="18"/>
        <v>7</v>
      </c>
      <c r="AL328" s="23">
        <f t="shared" si="15"/>
        <v>106561</v>
      </c>
      <c r="AM328" s="13"/>
      <c r="AN328" s="13" t="s">
        <v>978</v>
      </c>
      <c r="AO328" s="7" t="s">
        <v>979</v>
      </c>
      <c r="AP328" s="38">
        <v>1.8</v>
      </c>
      <c r="AQ328" s="12">
        <v>74800</v>
      </c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13"/>
      <c r="CG328" s="13"/>
      <c r="CH328" s="13"/>
      <c r="CI328" s="12"/>
      <c r="CJ328" s="12"/>
      <c r="CK328" s="12"/>
      <c r="CL328" s="12"/>
      <c r="CM328" s="12"/>
      <c r="CN328" s="12"/>
      <c r="CO328" s="12"/>
      <c r="CP328" s="12">
        <f>SUM($AQ328:BJ328)-SUM($EA328:EH328)</f>
        <v>64628</v>
      </c>
      <c r="CQ328" s="12">
        <f>SUM($AQ328:BK328)-SUM($EA328:EI328)</f>
        <v>64066</v>
      </c>
      <c r="CR328" s="12">
        <f>SUM($AQ328:BL328)-SUM($EA328:EJ328)</f>
        <v>63036</v>
      </c>
      <c r="CS328" s="12">
        <f>SUM($AQ328:BM328)-SUM($EA328:EK328)</f>
        <v>61766</v>
      </c>
      <c r="CT328" s="12">
        <f>SUM($AQ328:BN328)-SUM($EA328:EL328)</f>
        <v>58736</v>
      </c>
      <c r="CU328" s="12">
        <f>SUM($AQ328:BO328)-SUM($EA328:EM328)</f>
        <v>54636</v>
      </c>
      <c r="CV328" s="12">
        <f>SUM($AQ328:BP328)-SUM($EA328:EN328)</f>
        <v>51436</v>
      </c>
      <c r="CW328" s="12">
        <f>SUM($AQ328:BQ328)-SUM($EA328:EO328)</f>
        <v>48436</v>
      </c>
      <c r="CX328" s="12">
        <f>SUM($AQ328:BR328)-SUM($EA328:EP328)</f>
        <v>45336</v>
      </c>
      <c r="CY328" s="12">
        <f>SUM($AQ328:BS328)-SUM($EA328:EQ328)</f>
        <v>42236</v>
      </c>
      <c r="CZ328" s="12">
        <f>SUM($AQ328:BT328)-SUM($EA328:ER328)</f>
        <v>39136</v>
      </c>
      <c r="DA328" s="12">
        <f>SUM($AQ328:BU328)-SUM($EA328:ES328)</f>
        <v>36036</v>
      </c>
      <c r="DB328" s="12">
        <f>SUM($AQ328:BV328)-SUM($EA328:ET328)</f>
        <v>32936</v>
      </c>
      <c r="DC328" s="12">
        <f>SUM($AQ328:BW328)-SUM($EA328:EU328)</f>
        <v>29836</v>
      </c>
      <c r="DD328" s="12">
        <f>SUM($AQ328:BX328)-SUM($EA328:EV328)</f>
        <v>26736</v>
      </c>
      <c r="DE328" s="12">
        <f>SUM($AQ328:BY328)-SUM($EA328:EW328)</f>
        <v>23650</v>
      </c>
      <c r="DF328" s="12">
        <f>SUM($AQ328:BZ328)-SUM($EA328:EX328)</f>
        <v>20650</v>
      </c>
      <c r="DG328" s="12">
        <f>SUM($AQ328:CA328)-SUM($EA328:EY328)</f>
        <v>17650</v>
      </c>
      <c r="DH328" s="12">
        <f>SUM($AQ328:CB328)-SUM($EA328:EZ328)</f>
        <v>14650</v>
      </c>
      <c r="DI328" s="12">
        <f>SUM($AQ328:CC328)-SUM($EA328:FA328)</f>
        <v>11650</v>
      </c>
      <c r="DJ328" s="12">
        <f>SUM($AQ328:CD328)-SUM($EA328:FB328)</f>
        <v>8650</v>
      </c>
      <c r="DK328" s="12">
        <f>SUM($AQ328:CE328)-SUM($EA328:FC328)</f>
        <v>5650</v>
      </c>
      <c r="DL328" s="12">
        <f>SUM($AQ328:CF328)-SUM($EA328:FD328)</f>
        <v>2650</v>
      </c>
      <c r="DM328" s="12">
        <f>SUM($AQ328:CG328)-SUM($EA328:FE328)</f>
        <v>-350</v>
      </c>
      <c r="DN328" s="12">
        <f>SUM($AQ328:CH328)-SUM($EA328:FF328)</f>
        <v>-3350</v>
      </c>
      <c r="DO328" s="12">
        <f>SUM($AQ328:CI328)-SUM($EA328:FG328)</f>
        <v>-6350</v>
      </c>
      <c r="DP328" s="12">
        <f>SUM($AQ328:CJ328)-SUM($EA328:FH328)</f>
        <v>-9350</v>
      </c>
      <c r="DQ328" s="12">
        <f>SUM($AQ328:CK328)-SUM($EA328:FI328)</f>
        <v>-12350</v>
      </c>
      <c r="DR328" s="12">
        <f>SUM($AQ328:CL328)-SUM($EA328:FJ328)</f>
        <v>-15350</v>
      </c>
      <c r="DS328" s="12">
        <f>SUM($AQ328:CM328)-SUM($EA328:FK328)</f>
        <v>-18350</v>
      </c>
      <c r="DT328" s="12">
        <f>SUM($AQ328:CN328)-SUM($EA328:FL328)</f>
        <v>-21350</v>
      </c>
      <c r="DU328" s="12">
        <f>SUM($AQ328:CO328)-SUM($EA328:FM328)</f>
        <v>-24350</v>
      </c>
      <c r="DV328" s="12">
        <f>SUM($AQ328:CP328)-SUM($EA328:FN328)</f>
        <v>37644</v>
      </c>
      <c r="DW328" s="12">
        <f>SUM($AQ328:CQ328)-SUM($EA328:FO328)</f>
        <v>101633</v>
      </c>
      <c r="DX328" s="13"/>
      <c r="DY328" s="13"/>
      <c r="DZ328" s="13"/>
      <c r="EA328" s="12"/>
      <c r="EB328" s="12"/>
      <c r="EC328" s="12"/>
      <c r="ED328" s="12"/>
      <c r="EE328" s="12"/>
      <c r="EF328" s="12"/>
      <c r="EG328" s="12"/>
      <c r="EH328" s="12">
        <f t="array" ref="EH328">SUMPRODUCT(TRANSPOSE(EH$9:EH$34),$K328:$AJ328)</f>
        <v>10172</v>
      </c>
      <c r="EI328" s="12">
        <f t="array" ref="EI328">SUMPRODUCT(TRANSPOSE(EI$9:EI$34),$K328:$AJ328)</f>
        <v>562</v>
      </c>
      <c r="EJ328" s="12">
        <f t="array" ref="EJ328">SUMPRODUCT(TRANSPOSE(EJ$9:EJ$34),$K328:$AJ328)</f>
        <v>1030</v>
      </c>
      <c r="EK328" s="12">
        <f t="array" ref="EK328">SUMPRODUCT(TRANSPOSE(EK$9:EK$34),$K328:$AJ328)</f>
        <v>1270</v>
      </c>
      <c r="EL328" s="12">
        <f t="array" ref="EL328">SUMPRODUCT(TRANSPOSE(EL$9:EL$34),$K328:$AJ328)</f>
        <v>3030</v>
      </c>
      <c r="EM328" s="12">
        <f t="array" ref="EM328">SUMPRODUCT(TRANSPOSE(EM$9:EM$34),$K328:$AJ328)</f>
        <v>4100</v>
      </c>
      <c r="EN328" s="12">
        <f t="array" ref="EN328">SUMPRODUCT(TRANSPOSE(EN$9:EN$34),$K328:$AJ328)</f>
        <v>3200</v>
      </c>
      <c r="EO328" s="12">
        <f t="array" ref="EO328">SUMPRODUCT(TRANSPOSE(EO$9:EO$34),$K328:$AJ328)</f>
        <v>3000</v>
      </c>
      <c r="EP328" s="12">
        <f t="array" ref="EP328">SUMPRODUCT(TRANSPOSE(EP$9:EP$34),$K328:$AJ328)</f>
        <v>3100</v>
      </c>
      <c r="EQ328" s="12">
        <f t="array" ref="EQ328">SUMPRODUCT(TRANSPOSE(EQ$9:EQ$34),$K328:$AJ328)</f>
        <v>3100</v>
      </c>
      <c r="ER328" s="12">
        <f t="array" ref="ER328">SUMPRODUCT(TRANSPOSE(ER$9:ER$34),$K328:$AJ328)</f>
        <v>3100</v>
      </c>
      <c r="ES328" s="12">
        <f t="array" ref="ES328">SUMPRODUCT(TRANSPOSE(ES$9:ES$34),$K328:$AJ328)</f>
        <v>3100</v>
      </c>
      <c r="ET328" s="12">
        <f t="array" ref="ET328">SUMPRODUCT(TRANSPOSE(ET$9:ET$34),$K328:$AJ328)</f>
        <v>3100</v>
      </c>
      <c r="EU328" s="12">
        <f t="array" ref="EU328">SUMPRODUCT(TRANSPOSE(EU$9:EU$34),$K328:$AJ328)</f>
        <v>3100</v>
      </c>
      <c r="EV328" s="12">
        <f t="array" ref="EV328">SUMPRODUCT(TRANSPOSE(EV$9:EV$34),$K328:$AJ328)</f>
        <v>3100</v>
      </c>
      <c r="EW328" s="12">
        <f t="array" ref="EW328">SUMPRODUCT(TRANSPOSE(EW$9:EW$34),$K328:$AJ328)</f>
        <v>3086</v>
      </c>
      <c r="EX328" s="12">
        <f t="array" ref="EX328">SUMPRODUCT(TRANSPOSE(EX$9:EX$34),$K328:$AJ328)</f>
        <v>3000</v>
      </c>
      <c r="EY328" s="12">
        <f t="array" ref="EY328">SUMPRODUCT(TRANSPOSE(EY$9:EY$34),$K328:$AJ328)</f>
        <v>3000</v>
      </c>
      <c r="EZ328" s="12">
        <f t="array" ref="EZ328">SUMPRODUCT(TRANSPOSE(EZ$9:EZ$34),$K328:$AJ328)</f>
        <v>3000</v>
      </c>
      <c r="FA328" s="12">
        <f t="array" ref="FA328">SUMPRODUCT(TRANSPOSE(FA$9:FA$34),$K328:$AJ328)</f>
        <v>3000</v>
      </c>
      <c r="FB328" s="12">
        <f t="array" ref="FB328">SUMPRODUCT(TRANSPOSE(FB$9:FB$34),$K328:$AJ328)</f>
        <v>3000</v>
      </c>
      <c r="FC328" s="12">
        <f t="array" ref="FC328">SUMPRODUCT(TRANSPOSE(FC$9:FC$34),$K328:$AJ328)</f>
        <v>3000</v>
      </c>
      <c r="FD328" s="12">
        <f t="array" ref="FD328">SUMPRODUCT(TRANSPOSE(FD$9:FD$34),$K328:$AJ328)</f>
        <v>3000</v>
      </c>
      <c r="FE328" s="12">
        <f t="array" ref="FE328">SUMPRODUCT(TRANSPOSE(FE$9:FE$34),$K328:$AJ328)</f>
        <v>3000</v>
      </c>
      <c r="FF328" s="12">
        <f t="array" ref="FF328">SUMPRODUCT(TRANSPOSE(FF$9:FF$34),$K328:$AJ328)</f>
        <v>3000</v>
      </c>
      <c r="FG328" s="12">
        <f t="array" ref="FG328">SUMPRODUCT(TRANSPOSE(FG$9:FG$34),$K328:$AJ328)</f>
        <v>3000</v>
      </c>
      <c r="FH328" s="12">
        <f t="array" ref="FH328">SUMPRODUCT(TRANSPOSE(FH$9:FH$34),$K328:$AJ328)</f>
        <v>3000</v>
      </c>
      <c r="FI328" s="12">
        <f t="array" ref="FI328">SUMPRODUCT(TRANSPOSE(FI$9:FI$34),$K328:$AJ328)</f>
        <v>3000</v>
      </c>
      <c r="FJ328" s="12">
        <f t="array" ref="FJ328">SUMPRODUCT(TRANSPOSE(FJ$9:FJ$34),$K328:$AJ328)</f>
        <v>3000</v>
      </c>
      <c r="FK328" s="12">
        <f t="array" ref="FK328">SUMPRODUCT(TRANSPOSE(FK$9:FK$34),$K328:$AJ328)</f>
        <v>3000</v>
      </c>
      <c r="FL328" s="12">
        <f t="array" ref="FL328">SUMPRODUCT(TRANSPOSE(FL$9:FL$34),$K328:$AJ328)</f>
        <v>3000</v>
      </c>
      <c r="FM328" s="12">
        <f t="array" ref="FM328">SUMPRODUCT(TRANSPOSE(FM$9:FM$34),$K328:$AJ328)</f>
        <v>3000</v>
      </c>
      <c r="FN328" s="12">
        <f t="array" ref="FN328">SUMPRODUCT(TRANSPOSE(FN$9:FN$34),$K328:$AJ328)</f>
        <v>2634</v>
      </c>
      <c r="FO328" s="12">
        <f t="array" ref="FO328">SUMPRODUCT(TRANSPOSE(FO$9:FO$34),$K328:$AJ328)</f>
        <v>77</v>
      </c>
    </row>
    <row r="329" spans="1:171" ht="14.25" x14ac:dyDescent="0.2">
      <c r="A329" s="13">
        <f t="shared" si="16"/>
        <v>294</v>
      </c>
      <c r="B329" s="29" t="s">
        <v>1037</v>
      </c>
      <c r="C329" s="25" t="s">
        <v>1038</v>
      </c>
      <c r="D329" s="13" t="s">
        <v>401</v>
      </c>
      <c r="E329" s="13" t="s">
        <v>1039</v>
      </c>
      <c r="F329" s="26" t="s">
        <v>1040</v>
      </c>
      <c r="G329" s="13"/>
      <c r="H329" s="13" t="s">
        <v>61</v>
      </c>
      <c r="I329" s="13">
        <v>2</v>
      </c>
      <c r="J329" s="13">
        <v>6</v>
      </c>
      <c r="K329" s="13">
        <v>0</v>
      </c>
      <c r="L329" s="13">
        <v>0</v>
      </c>
      <c r="M329" s="13">
        <v>0</v>
      </c>
      <c r="N329" s="42">
        <v>4</v>
      </c>
      <c r="O329" s="13">
        <v>0</v>
      </c>
      <c r="P329" s="13">
        <v>0</v>
      </c>
      <c r="Q329" s="13">
        <v>0</v>
      </c>
      <c r="R329" s="13">
        <v>0</v>
      </c>
      <c r="S329" s="42">
        <v>4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/>
      <c r="Z329" s="13">
        <v>4</v>
      </c>
      <c r="AA329" s="13">
        <v>0</v>
      </c>
      <c r="AB329" s="13">
        <v>0</v>
      </c>
      <c r="AC329" s="13">
        <v>0</v>
      </c>
      <c r="AD329" s="13">
        <v>2</v>
      </c>
      <c r="AE329" s="13">
        <v>2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f t="shared" si="18"/>
        <v>14</v>
      </c>
      <c r="AL329" s="23">
        <f t="shared" si="15"/>
        <v>282248</v>
      </c>
      <c r="AM329" s="13"/>
      <c r="AN329" s="13" t="s">
        <v>978</v>
      </c>
      <c r="AO329" s="7" t="s">
        <v>1085</v>
      </c>
      <c r="AP329" s="38">
        <v>1.8</v>
      </c>
      <c r="AQ329" s="12">
        <v>74800</v>
      </c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>
        <v>5397</v>
      </c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13"/>
      <c r="CG329" s="13"/>
      <c r="CH329" s="13"/>
      <c r="CI329" s="12"/>
      <c r="CJ329" s="12"/>
      <c r="CK329" s="12"/>
      <c r="CL329" s="12"/>
      <c r="CM329" s="12"/>
      <c r="CN329" s="12"/>
      <c r="CO329" s="12"/>
      <c r="CP329" s="12">
        <f>SUM($AQ329:BJ329)-SUM($EA329:EH329)</f>
        <v>51965</v>
      </c>
      <c r="CQ329" s="12">
        <f>SUM($AQ329:BK329)-SUM($EA329:EI329)</f>
        <v>50841</v>
      </c>
      <c r="CR329" s="12">
        <f>SUM($AQ329:BL329)-SUM($EA329:EJ329)</f>
        <v>46811</v>
      </c>
      <c r="CS329" s="12">
        <f>SUM($AQ329:BM329)-SUM($EA329:EK329)</f>
        <v>42341</v>
      </c>
      <c r="CT329" s="12">
        <f>SUM($AQ329:BN329)-SUM($EA329:EL329)</f>
        <v>34311</v>
      </c>
      <c r="CU329" s="12">
        <f>SUM($AQ329:BO329)-SUM($EA329:EM329)</f>
        <v>26211</v>
      </c>
      <c r="CV329" s="12">
        <f>SUM($AQ329:BP329)-SUM($EA329:EN329)</f>
        <v>18111</v>
      </c>
      <c r="CW329" s="12">
        <f>SUM($AQ329:BQ329)-SUM($EA329:EO329)</f>
        <v>10111</v>
      </c>
      <c r="CX329" s="12">
        <f>SUM($AQ329:BR329)-SUM($EA329:EP329)</f>
        <v>2011</v>
      </c>
      <c r="CY329" s="12">
        <f>SUM($AQ329:BS329)-SUM($EA329:EQ329)</f>
        <v>-6089</v>
      </c>
      <c r="CZ329" s="12">
        <f>SUM($AQ329:BT329)-SUM($EA329:ER329)</f>
        <v>-14189</v>
      </c>
      <c r="DA329" s="12">
        <f>SUM($AQ329:BU329)-SUM($EA329:ES329)</f>
        <v>-22289</v>
      </c>
      <c r="DB329" s="12">
        <f>SUM($AQ329:BV329)-SUM($EA329:ET329)</f>
        <v>-30389</v>
      </c>
      <c r="DC329" s="12">
        <f>SUM($AQ329:BW329)-SUM($EA329:EU329)</f>
        <v>-38489</v>
      </c>
      <c r="DD329" s="12">
        <f>SUM($AQ329:BX329)-SUM($EA329:EV329)</f>
        <v>-46589</v>
      </c>
      <c r="DE329" s="12">
        <f>SUM($AQ329:BY329)-SUM($EA329:EW329)</f>
        <v>-54675</v>
      </c>
      <c r="DF329" s="12">
        <f>SUM($AQ329:BZ329)-SUM($EA329:EX329)</f>
        <v>-62675</v>
      </c>
      <c r="DG329" s="12">
        <f>SUM($AQ329:CA329)-SUM($EA329:EY329)</f>
        <v>-70675</v>
      </c>
      <c r="DH329" s="12">
        <f>SUM($AQ329:CB329)-SUM($EA329:EZ329)</f>
        <v>-78675</v>
      </c>
      <c r="DI329" s="12">
        <f>SUM($AQ329:CC329)-SUM($EA329:FA329)</f>
        <v>-86675</v>
      </c>
      <c r="DJ329" s="12">
        <f>SUM($AQ329:CD329)-SUM($EA329:FB329)</f>
        <v>-94675</v>
      </c>
      <c r="DK329" s="12">
        <f>SUM($AQ329:CE329)-SUM($EA329:FC329)</f>
        <v>-102675</v>
      </c>
      <c r="DL329" s="12">
        <f>SUM($AQ329:CF329)-SUM($EA329:FD329)</f>
        <v>-110675</v>
      </c>
      <c r="DM329" s="12">
        <f>SUM($AQ329:CG329)-SUM($EA329:FE329)</f>
        <v>-118675</v>
      </c>
      <c r="DN329" s="12">
        <f>SUM($AQ329:CH329)-SUM($EA329:FF329)</f>
        <v>-126675</v>
      </c>
      <c r="DO329" s="12">
        <f>SUM($AQ329:CI329)-SUM($EA329:FG329)</f>
        <v>-134675</v>
      </c>
      <c r="DP329" s="12">
        <f>SUM($AQ329:CJ329)-SUM($EA329:FH329)</f>
        <v>-142675</v>
      </c>
      <c r="DQ329" s="12">
        <f>SUM($AQ329:CK329)-SUM($EA329:FI329)</f>
        <v>-150675</v>
      </c>
      <c r="DR329" s="12">
        <f>SUM($AQ329:CL329)-SUM($EA329:FJ329)</f>
        <v>-158675</v>
      </c>
      <c r="DS329" s="12">
        <f>SUM($AQ329:CM329)-SUM($EA329:FK329)</f>
        <v>-166675</v>
      </c>
      <c r="DT329" s="12">
        <f>SUM($AQ329:CN329)-SUM($EA329:FL329)</f>
        <v>-174675</v>
      </c>
      <c r="DU329" s="12">
        <f>SUM($AQ329:CO329)-SUM($EA329:FM329)</f>
        <v>-182675</v>
      </c>
      <c r="DV329" s="12">
        <f>SUM($AQ329:CP329)-SUM($EA329:FN329)</f>
        <v>-137978</v>
      </c>
      <c r="DW329" s="12">
        <f>SUM($AQ329:CQ329)-SUM($EA329:FO329)</f>
        <v>-87445</v>
      </c>
      <c r="DX329" s="13"/>
      <c r="DY329" s="13"/>
      <c r="DZ329" s="13"/>
      <c r="EA329" s="12"/>
      <c r="EB329" s="12"/>
      <c r="EC329" s="12"/>
      <c r="ED329" s="12"/>
      <c r="EE329" s="12"/>
      <c r="EF329" s="12"/>
      <c r="EG329" s="12"/>
      <c r="EH329" s="12">
        <f t="array" ref="EH329">SUMPRODUCT(TRANSPOSE(EH$9:EH$34),$K329:$AJ329)</f>
        <v>28232</v>
      </c>
      <c r="EI329" s="12">
        <f t="array" ref="EI329">SUMPRODUCT(TRANSPOSE(EI$9:EI$34),$K329:$AJ329)</f>
        <v>1124</v>
      </c>
      <c r="EJ329" s="12">
        <f t="array" ref="EJ329">SUMPRODUCT(TRANSPOSE(EJ$9:EJ$34),$K329:$AJ329)</f>
        <v>4030</v>
      </c>
      <c r="EK329" s="12">
        <f t="array" ref="EK329">SUMPRODUCT(TRANSPOSE(EK$9:EK$34),$K329:$AJ329)</f>
        <v>4470</v>
      </c>
      <c r="EL329" s="12">
        <f t="array" ref="EL329">SUMPRODUCT(TRANSPOSE(EL$9:EL$34),$K329:$AJ329)</f>
        <v>8030</v>
      </c>
      <c r="EM329" s="12">
        <f t="array" ref="EM329">SUMPRODUCT(TRANSPOSE(EM$9:EM$34),$K329:$AJ329)</f>
        <v>8100</v>
      </c>
      <c r="EN329" s="12">
        <f t="array" ref="EN329">SUMPRODUCT(TRANSPOSE(EN$9:EN$34),$K329:$AJ329)</f>
        <v>8100</v>
      </c>
      <c r="EO329" s="12">
        <f t="array" ref="EO329">SUMPRODUCT(TRANSPOSE(EO$9:EO$34),$K329:$AJ329)</f>
        <v>8000</v>
      </c>
      <c r="EP329" s="12">
        <f t="array" ref="EP329">SUMPRODUCT(TRANSPOSE(EP$9:EP$34),$K329:$AJ329)</f>
        <v>8100</v>
      </c>
      <c r="EQ329" s="12">
        <f t="array" ref="EQ329">SUMPRODUCT(TRANSPOSE(EQ$9:EQ$34),$K329:$AJ329)</f>
        <v>8100</v>
      </c>
      <c r="ER329" s="12">
        <f t="array" ref="ER329">SUMPRODUCT(TRANSPOSE(ER$9:ER$34),$K329:$AJ329)</f>
        <v>8100</v>
      </c>
      <c r="ES329" s="12">
        <f t="array" ref="ES329">SUMPRODUCT(TRANSPOSE(ES$9:ES$34),$K329:$AJ329)</f>
        <v>8100</v>
      </c>
      <c r="ET329" s="12">
        <f t="array" ref="ET329">SUMPRODUCT(TRANSPOSE(ET$9:ET$34),$K329:$AJ329)</f>
        <v>8100</v>
      </c>
      <c r="EU329" s="12">
        <f t="array" ref="EU329">SUMPRODUCT(TRANSPOSE(EU$9:EU$34),$K329:$AJ329)</f>
        <v>8100</v>
      </c>
      <c r="EV329" s="12">
        <f t="array" ref="EV329">SUMPRODUCT(TRANSPOSE(EV$9:EV$34),$K329:$AJ329)</f>
        <v>8100</v>
      </c>
      <c r="EW329" s="12">
        <f t="array" ref="EW329">SUMPRODUCT(TRANSPOSE(EW$9:EW$34),$K329:$AJ329)</f>
        <v>8086</v>
      </c>
      <c r="EX329" s="12">
        <f t="array" ref="EX329">SUMPRODUCT(TRANSPOSE(EX$9:EX$34),$K329:$AJ329)</f>
        <v>8000</v>
      </c>
      <c r="EY329" s="12">
        <f t="array" ref="EY329">SUMPRODUCT(TRANSPOSE(EY$9:EY$34),$K329:$AJ329)</f>
        <v>8000</v>
      </c>
      <c r="EZ329" s="12">
        <f t="array" ref="EZ329">SUMPRODUCT(TRANSPOSE(EZ$9:EZ$34),$K329:$AJ329)</f>
        <v>8000</v>
      </c>
      <c r="FA329" s="12">
        <f t="array" ref="FA329">SUMPRODUCT(TRANSPOSE(FA$9:FA$34),$K329:$AJ329)</f>
        <v>8000</v>
      </c>
      <c r="FB329" s="12">
        <f t="array" ref="FB329">SUMPRODUCT(TRANSPOSE(FB$9:FB$34),$K329:$AJ329)</f>
        <v>8000</v>
      </c>
      <c r="FC329" s="12">
        <f t="array" ref="FC329">SUMPRODUCT(TRANSPOSE(FC$9:FC$34),$K329:$AJ329)</f>
        <v>8000</v>
      </c>
      <c r="FD329" s="12">
        <f t="array" ref="FD329">SUMPRODUCT(TRANSPOSE(FD$9:FD$34),$K329:$AJ329)</f>
        <v>8000</v>
      </c>
      <c r="FE329" s="12">
        <f t="array" ref="FE329">SUMPRODUCT(TRANSPOSE(FE$9:FE$34),$K329:$AJ329)</f>
        <v>8000</v>
      </c>
      <c r="FF329" s="12">
        <f t="array" ref="FF329">SUMPRODUCT(TRANSPOSE(FF$9:FF$34),$K329:$AJ329)</f>
        <v>8000</v>
      </c>
      <c r="FG329" s="12">
        <f t="array" ref="FG329">SUMPRODUCT(TRANSPOSE(FG$9:FG$34),$K329:$AJ329)</f>
        <v>8000</v>
      </c>
      <c r="FH329" s="12">
        <f t="array" ref="FH329">SUMPRODUCT(TRANSPOSE(FH$9:FH$34),$K329:$AJ329)</f>
        <v>8000</v>
      </c>
      <c r="FI329" s="12">
        <f t="array" ref="FI329">SUMPRODUCT(TRANSPOSE(FI$9:FI$34),$K329:$AJ329)</f>
        <v>8000</v>
      </c>
      <c r="FJ329" s="12">
        <f t="array" ref="FJ329">SUMPRODUCT(TRANSPOSE(FJ$9:FJ$34),$K329:$AJ329)</f>
        <v>8000</v>
      </c>
      <c r="FK329" s="12">
        <f t="array" ref="FK329">SUMPRODUCT(TRANSPOSE(FK$9:FK$34),$K329:$AJ329)</f>
        <v>8000</v>
      </c>
      <c r="FL329" s="12">
        <f t="array" ref="FL329">SUMPRODUCT(TRANSPOSE(FL$9:FL$34),$K329:$AJ329)</f>
        <v>8000</v>
      </c>
      <c r="FM329" s="12">
        <f t="array" ref="FM329">SUMPRODUCT(TRANSPOSE(FM$9:FM$34),$K329:$AJ329)</f>
        <v>8000</v>
      </c>
      <c r="FN329" s="12">
        <f t="array" ref="FN329">SUMPRODUCT(TRANSPOSE(FN$9:FN$34),$K329:$AJ329)</f>
        <v>7268</v>
      </c>
      <c r="FO329" s="12">
        <f t="array" ref="FO329">SUMPRODUCT(TRANSPOSE(FO$9:FO$34),$K329:$AJ329)</f>
        <v>308</v>
      </c>
    </row>
    <row r="330" spans="1:171" ht="14.25" x14ac:dyDescent="0.2">
      <c r="A330" s="13">
        <f t="shared" si="16"/>
        <v>295</v>
      </c>
      <c r="B330" s="13" t="s">
        <v>1041</v>
      </c>
      <c r="C330" s="25" t="s">
        <v>1042</v>
      </c>
      <c r="D330" s="13" t="s">
        <v>401</v>
      </c>
      <c r="E330" s="13" t="s">
        <v>1043</v>
      </c>
      <c r="F330" s="26" t="s">
        <v>1044</v>
      </c>
      <c r="G330" s="13"/>
      <c r="H330" s="13" t="s">
        <v>61</v>
      </c>
      <c r="I330" s="13">
        <v>2</v>
      </c>
      <c r="J330" s="13">
        <v>6</v>
      </c>
      <c r="K330" s="13">
        <v>0</v>
      </c>
      <c r="L330" s="13">
        <v>0</v>
      </c>
      <c r="M330" s="13">
        <v>0</v>
      </c>
      <c r="N330" s="13">
        <v>2</v>
      </c>
      <c r="O330" s="13">
        <v>0</v>
      </c>
      <c r="P330" s="13">
        <v>0</v>
      </c>
      <c r="Q330" s="13">
        <v>0</v>
      </c>
      <c r="R330" s="13">
        <v>0</v>
      </c>
      <c r="S330" s="13">
        <v>2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/>
      <c r="Z330" s="13">
        <v>2</v>
      </c>
      <c r="AA330" s="13">
        <v>0</v>
      </c>
      <c r="AB330" s="13">
        <v>0</v>
      </c>
      <c r="AC330" s="13">
        <v>0</v>
      </c>
      <c r="AD330" s="13">
        <v>2</v>
      </c>
      <c r="AE330" s="13">
        <v>2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f t="shared" si="18"/>
        <v>8</v>
      </c>
      <c r="AL330" s="23">
        <f t="shared" si="15"/>
        <v>141792</v>
      </c>
      <c r="AM330" s="13"/>
      <c r="AN330" s="13" t="s">
        <v>978</v>
      </c>
      <c r="AO330" s="7" t="s">
        <v>979</v>
      </c>
      <c r="AP330" s="38">
        <v>1.8</v>
      </c>
      <c r="AQ330" s="12">
        <v>74800</v>
      </c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13"/>
      <c r="CG330" s="13"/>
      <c r="CH330" s="13"/>
      <c r="CI330" s="12"/>
      <c r="CJ330" s="12"/>
      <c r="CK330" s="12"/>
      <c r="CL330" s="12"/>
      <c r="CM330" s="12"/>
      <c r="CN330" s="12"/>
      <c r="CO330" s="12"/>
      <c r="CP330" s="12">
        <f>SUM($AQ330:BJ330)-SUM($EA330:EH330)</f>
        <v>60674</v>
      </c>
      <c r="CQ330" s="12">
        <f>SUM($AQ330:BK330)-SUM($EA330:EI330)</f>
        <v>60112</v>
      </c>
      <c r="CR330" s="12">
        <f>SUM($AQ330:BL330)-SUM($EA330:EJ330)</f>
        <v>58082</v>
      </c>
      <c r="CS330" s="12">
        <f>SUM($AQ330:BM330)-SUM($EA330:EK330)</f>
        <v>55812</v>
      </c>
      <c r="CT330" s="12">
        <f>SUM($AQ330:BN330)-SUM($EA330:EL330)</f>
        <v>51782</v>
      </c>
      <c r="CU330" s="12">
        <f>SUM($AQ330:BO330)-SUM($EA330:EM330)</f>
        <v>47682</v>
      </c>
      <c r="CV330" s="12">
        <f>SUM($AQ330:BP330)-SUM($EA330:EN330)</f>
        <v>43582</v>
      </c>
      <c r="CW330" s="12">
        <f>SUM($AQ330:BQ330)-SUM($EA330:EO330)</f>
        <v>39582</v>
      </c>
      <c r="CX330" s="12">
        <f>SUM($AQ330:BR330)-SUM($EA330:EP330)</f>
        <v>35482</v>
      </c>
      <c r="CY330" s="12">
        <f>SUM($AQ330:BS330)-SUM($EA330:EQ330)</f>
        <v>31382</v>
      </c>
      <c r="CZ330" s="12">
        <f>SUM($AQ330:BT330)-SUM($EA330:ER330)</f>
        <v>27282</v>
      </c>
      <c r="DA330" s="12">
        <f>SUM($AQ330:BU330)-SUM($EA330:ES330)</f>
        <v>23182</v>
      </c>
      <c r="DB330" s="12">
        <f>SUM($AQ330:BV330)-SUM($EA330:ET330)</f>
        <v>19082</v>
      </c>
      <c r="DC330" s="12">
        <f>SUM($AQ330:BW330)-SUM($EA330:EU330)</f>
        <v>14982</v>
      </c>
      <c r="DD330" s="12">
        <f>SUM($AQ330:BX330)-SUM($EA330:EV330)</f>
        <v>10882</v>
      </c>
      <c r="DE330" s="12">
        <f>SUM($AQ330:BY330)-SUM($EA330:EW330)</f>
        <v>6796</v>
      </c>
      <c r="DF330" s="12">
        <f>SUM($AQ330:BZ330)-SUM($EA330:EX330)</f>
        <v>2796</v>
      </c>
      <c r="DG330" s="12">
        <f>SUM($AQ330:CA330)-SUM($EA330:EY330)</f>
        <v>-1204</v>
      </c>
      <c r="DH330" s="12">
        <f>SUM($AQ330:CB330)-SUM($EA330:EZ330)</f>
        <v>-5204</v>
      </c>
      <c r="DI330" s="12">
        <f>SUM($AQ330:CC330)-SUM($EA330:FA330)</f>
        <v>-9204</v>
      </c>
      <c r="DJ330" s="12">
        <f>SUM($AQ330:CD330)-SUM($EA330:FB330)</f>
        <v>-13204</v>
      </c>
      <c r="DK330" s="12">
        <f>SUM($AQ330:CE330)-SUM($EA330:FC330)</f>
        <v>-17204</v>
      </c>
      <c r="DL330" s="12">
        <f>SUM($AQ330:CF330)-SUM($EA330:FD330)</f>
        <v>-21204</v>
      </c>
      <c r="DM330" s="12">
        <f>SUM($AQ330:CG330)-SUM($EA330:FE330)</f>
        <v>-25204</v>
      </c>
      <c r="DN330" s="12">
        <f>SUM($AQ330:CH330)-SUM($EA330:FF330)</f>
        <v>-29204</v>
      </c>
      <c r="DO330" s="12">
        <f>SUM($AQ330:CI330)-SUM($EA330:FG330)</f>
        <v>-33204</v>
      </c>
      <c r="DP330" s="12">
        <f>SUM($AQ330:CJ330)-SUM($EA330:FH330)</f>
        <v>-37204</v>
      </c>
      <c r="DQ330" s="12">
        <f>SUM($AQ330:CK330)-SUM($EA330:FI330)</f>
        <v>-41204</v>
      </c>
      <c r="DR330" s="12">
        <f>SUM($AQ330:CL330)-SUM($EA330:FJ330)</f>
        <v>-45204</v>
      </c>
      <c r="DS330" s="12">
        <f>SUM($AQ330:CM330)-SUM($EA330:FK330)</f>
        <v>-49204</v>
      </c>
      <c r="DT330" s="12">
        <f>SUM($AQ330:CN330)-SUM($EA330:FL330)</f>
        <v>-53204</v>
      </c>
      <c r="DU330" s="12">
        <f>SUM($AQ330:CO330)-SUM($EA330:FM330)</f>
        <v>-57204</v>
      </c>
      <c r="DV330" s="12">
        <f>SUM($AQ330:CP330)-SUM($EA330:FN330)</f>
        <v>-164</v>
      </c>
      <c r="DW330" s="12">
        <f>SUM($AQ330:CQ330)-SUM($EA330:FO330)</f>
        <v>59794</v>
      </c>
      <c r="DX330" s="13"/>
      <c r="DY330" s="13"/>
      <c r="DZ330" s="13"/>
      <c r="EA330" s="12"/>
      <c r="EB330" s="12"/>
      <c r="EC330" s="12"/>
      <c r="ED330" s="12"/>
      <c r="EE330" s="12"/>
      <c r="EF330" s="12"/>
      <c r="EG330" s="12"/>
      <c r="EH330" s="12">
        <f t="array" ref="EH330">SUMPRODUCT(TRANSPOSE(EH$9:EH$34),$K330:$AJ330)</f>
        <v>14126</v>
      </c>
      <c r="EI330" s="12">
        <f t="array" ref="EI330">SUMPRODUCT(TRANSPOSE(EI$9:EI$34),$K330:$AJ330)</f>
        <v>562</v>
      </c>
      <c r="EJ330" s="12">
        <f t="array" ref="EJ330">SUMPRODUCT(TRANSPOSE(EJ$9:EJ$34),$K330:$AJ330)</f>
        <v>2030</v>
      </c>
      <c r="EK330" s="12">
        <f t="array" ref="EK330">SUMPRODUCT(TRANSPOSE(EK$9:EK$34),$K330:$AJ330)</f>
        <v>2270</v>
      </c>
      <c r="EL330" s="12">
        <f t="array" ref="EL330">SUMPRODUCT(TRANSPOSE(EL$9:EL$34),$K330:$AJ330)</f>
        <v>4030</v>
      </c>
      <c r="EM330" s="12">
        <f t="array" ref="EM330">SUMPRODUCT(TRANSPOSE(EM$9:EM$34),$K330:$AJ330)</f>
        <v>4100</v>
      </c>
      <c r="EN330" s="12">
        <f t="array" ref="EN330">SUMPRODUCT(TRANSPOSE(EN$9:EN$34),$K330:$AJ330)</f>
        <v>4100</v>
      </c>
      <c r="EO330" s="12">
        <f t="array" ref="EO330">SUMPRODUCT(TRANSPOSE(EO$9:EO$34),$K330:$AJ330)</f>
        <v>4000</v>
      </c>
      <c r="EP330" s="12">
        <f t="array" ref="EP330">SUMPRODUCT(TRANSPOSE(EP$9:EP$34),$K330:$AJ330)</f>
        <v>4100</v>
      </c>
      <c r="EQ330" s="12">
        <f t="array" ref="EQ330">SUMPRODUCT(TRANSPOSE(EQ$9:EQ$34),$K330:$AJ330)</f>
        <v>4100</v>
      </c>
      <c r="ER330" s="12">
        <f t="array" ref="ER330">SUMPRODUCT(TRANSPOSE(ER$9:ER$34),$K330:$AJ330)</f>
        <v>4100</v>
      </c>
      <c r="ES330" s="12">
        <f t="array" ref="ES330">SUMPRODUCT(TRANSPOSE(ES$9:ES$34),$K330:$AJ330)</f>
        <v>4100</v>
      </c>
      <c r="ET330" s="12">
        <f t="array" ref="ET330">SUMPRODUCT(TRANSPOSE(ET$9:ET$34),$K330:$AJ330)</f>
        <v>4100</v>
      </c>
      <c r="EU330" s="12">
        <f t="array" ref="EU330">SUMPRODUCT(TRANSPOSE(EU$9:EU$34),$K330:$AJ330)</f>
        <v>4100</v>
      </c>
      <c r="EV330" s="12">
        <f t="array" ref="EV330">SUMPRODUCT(TRANSPOSE(EV$9:EV$34),$K330:$AJ330)</f>
        <v>4100</v>
      </c>
      <c r="EW330" s="12">
        <f t="array" ref="EW330">SUMPRODUCT(TRANSPOSE(EW$9:EW$34),$K330:$AJ330)</f>
        <v>4086</v>
      </c>
      <c r="EX330" s="12">
        <f t="array" ref="EX330">SUMPRODUCT(TRANSPOSE(EX$9:EX$34),$K330:$AJ330)</f>
        <v>4000</v>
      </c>
      <c r="EY330" s="12">
        <f t="array" ref="EY330">SUMPRODUCT(TRANSPOSE(EY$9:EY$34),$K330:$AJ330)</f>
        <v>4000</v>
      </c>
      <c r="EZ330" s="12">
        <f t="array" ref="EZ330">SUMPRODUCT(TRANSPOSE(EZ$9:EZ$34),$K330:$AJ330)</f>
        <v>4000</v>
      </c>
      <c r="FA330" s="12">
        <f t="array" ref="FA330">SUMPRODUCT(TRANSPOSE(FA$9:FA$34),$K330:$AJ330)</f>
        <v>4000</v>
      </c>
      <c r="FB330" s="12">
        <f t="array" ref="FB330">SUMPRODUCT(TRANSPOSE(FB$9:FB$34),$K330:$AJ330)</f>
        <v>4000</v>
      </c>
      <c r="FC330" s="12">
        <f t="array" ref="FC330">SUMPRODUCT(TRANSPOSE(FC$9:FC$34),$K330:$AJ330)</f>
        <v>4000</v>
      </c>
      <c r="FD330" s="12">
        <f t="array" ref="FD330">SUMPRODUCT(TRANSPOSE(FD$9:FD$34),$K330:$AJ330)</f>
        <v>4000</v>
      </c>
      <c r="FE330" s="12">
        <f t="array" ref="FE330">SUMPRODUCT(TRANSPOSE(FE$9:FE$34),$K330:$AJ330)</f>
        <v>4000</v>
      </c>
      <c r="FF330" s="12">
        <f t="array" ref="FF330">SUMPRODUCT(TRANSPOSE(FF$9:FF$34),$K330:$AJ330)</f>
        <v>4000</v>
      </c>
      <c r="FG330" s="12">
        <f t="array" ref="FG330">SUMPRODUCT(TRANSPOSE(FG$9:FG$34),$K330:$AJ330)</f>
        <v>4000</v>
      </c>
      <c r="FH330" s="12">
        <f t="array" ref="FH330">SUMPRODUCT(TRANSPOSE(FH$9:FH$34),$K330:$AJ330)</f>
        <v>4000</v>
      </c>
      <c r="FI330" s="12">
        <f t="array" ref="FI330">SUMPRODUCT(TRANSPOSE(FI$9:FI$34),$K330:$AJ330)</f>
        <v>4000</v>
      </c>
      <c r="FJ330" s="12">
        <f t="array" ref="FJ330">SUMPRODUCT(TRANSPOSE(FJ$9:FJ$34),$K330:$AJ330)</f>
        <v>4000</v>
      </c>
      <c r="FK330" s="12">
        <f t="array" ref="FK330">SUMPRODUCT(TRANSPOSE(FK$9:FK$34),$K330:$AJ330)</f>
        <v>4000</v>
      </c>
      <c r="FL330" s="12">
        <f t="array" ref="FL330">SUMPRODUCT(TRANSPOSE(FL$9:FL$34),$K330:$AJ330)</f>
        <v>4000</v>
      </c>
      <c r="FM330" s="12">
        <f t="array" ref="FM330">SUMPRODUCT(TRANSPOSE(FM$9:FM$34),$K330:$AJ330)</f>
        <v>4000</v>
      </c>
      <c r="FN330" s="12">
        <f t="array" ref="FN330">SUMPRODUCT(TRANSPOSE(FN$9:FN$34),$K330:$AJ330)</f>
        <v>3634</v>
      </c>
      <c r="FO330" s="12">
        <f t="array" ref="FO330">SUMPRODUCT(TRANSPOSE(FO$9:FO$34),$K330:$AJ330)</f>
        <v>154</v>
      </c>
    </row>
    <row r="331" spans="1:171" ht="14.25" x14ac:dyDescent="0.2">
      <c r="A331" s="14">
        <f t="shared" si="16"/>
        <v>296</v>
      </c>
      <c r="B331" s="14" t="s">
        <v>1045</v>
      </c>
      <c r="C331" s="32" t="s">
        <v>1046</v>
      </c>
      <c r="D331" s="14" t="s">
        <v>67</v>
      </c>
      <c r="E331" s="14">
        <v>421658517</v>
      </c>
      <c r="F331" s="33" t="s">
        <v>1047</v>
      </c>
      <c r="G331" s="14"/>
      <c r="H331" s="14" t="s">
        <v>61</v>
      </c>
      <c r="I331" s="14">
        <v>2</v>
      </c>
      <c r="J331" s="14">
        <v>4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2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64"/>
      <c r="Z331" s="13">
        <v>2</v>
      </c>
      <c r="AA331" s="14">
        <v>0</v>
      </c>
      <c r="AB331" s="14">
        <v>0</v>
      </c>
      <c r="AC331" s="14">
        <v>0</v>
      </c>
      <c r="AD331" s="14">
        <v>2</v>
      </c>
      <c r="AE331" s="14">
        <v>2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f t="shared" si="17"/>
        <v>6</v>
      </c>
      <c r="AL331" s="23">
        <f t="shared" si="15"/>
        <v>71330</v>
      </c>
      <c r="AM331" s="14"/>
      <c r="AN331" s="14" t="s">
        <v>1048</v>
      </c>
      <c r="AO331" s="20" t="s">
        <v>521</v>
      </c>
      <c r="AP331" s="39">
        <v>0.13882352941176471</v>
      </c>
      <c r="AQ331" s="12">
        <v>72400</v>
      </c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14"/>
      <c r="CG331" s="14"/>
      <c r="CH331" s="14"/>
      <c r="CI331" s="12"/>
      <c r="CJ331" s="12"/>
      <c r="CK331" s="12"/>
      <c r="CL331" s="12"/>
      <c r="CM331" s="12"/>
      <c r="CN331" s="12"/>
      <c r="CO331" s="12"/>
      <c r="CP331" s="12">
        <f>SUM($AQ331:BJ331)-SUM($EA331:EH331)</f>
        <v>66182</v>
      </c>
      <c r="CQ331" s="12">
        <f>SUM($AQ331:BK331)-SUM($EA331:EI331)</f>
        <v>65620</v>
      </c>
      <c r="CR331" s="12">
        <f>SUM($AQ331:BL331)-SUM($EA331:EJ331)</f>
        <v>65590</v>
      </c>
      <c r="CS331" s="12">
        <f>SUM($AQ331:BM331)-SUM($EA331:EK331)</f>
        <v>65320</v>
      </c>
      <c r="CT331" s="12">
        <f>SUM($AQ331:BN331)-SUM($EA331:EL331)</f>
        <v>63290</v>
      </c>
      <c r="CU331" s="12">
        <f>SUM($AQ331:BO331)-SUM($EA331:EM331)</f>
        <v>59190</v>
      </c>
      <c r="CV331" s="12">
        <f>SUM($AQ331:BP331)-SUM($EA331:EN331)</f>
        <v>56890</v>
      </c>
      <c r="CW331" s="12">
        <f>SUM($AQ331:BQ331)-SUM($EA331:EO331)</f>
        <v>54890</v>
      </c>
      <c r="CX331" s="12">
        <f>SUM($AQ331:BR331)-SUM($EA331:EP331)</f>
        <v>52790</v>
      </c>
      <c r="CY331" s="12">
        <f>SUM($AQ331:BS331)-SUM($EA331:EQ331)</f>
        <v>50690</v>
      </c>
      <c r="CZ331" s="12">
        <f>SUM($AQ331:BT331)-SUM($EA331:ER331)</f>
        <v>48590</v>
      </c>
      <c r="DA331" s="12">
        <f>SUM($AQ331:BU331)-SUM($EA331:ES331)</f>
        <v>46490</v>
      </c>
      <c r="DB331" s="12">
        <f>SUM($AQ331:BV331)-SUM($EA331:ET331)</f>
        <v>44390</v>
      </c>
      <c r="DC331" s="12">
        <f>SUM($AQ331:BW331)-SUM($EA331:EU331)</f>
        <v>42290</v>
      </c>
      <c r="DD331" s="12">
        <f>SUM($AQ331:BX331)-SUM($EA331:EV331)</f>
        <v>40190</v>
      </c>
      <c r="DE331" s="12">
        <f>SUM($AQ331:BY331)-SUM($EA331:EW331)</f>
        <v>38104</v>
      </c>
      <c r="DF331" s="12">
        <f>SUM($AQ331:BZ331)-SUM($EA331:EX331)</f>
        <v>36104</v>
      </c>
      <c r="DG331" s="12">
        <f>SUM($AQ331:CA331)-SUM($EA331:EY331)</f>
        <v>34104</v>
      </c>
      <c r="DH331" s="12">
        <f>SUM($AQ331:CB331)-SUM($EA331:EZ331)</f>
        <v>32104</v>
      </c>
      <c r="DI331" s="12">
        <f>SUM($AQ331:CC331)-SUM($EA331:FA331)</f>
        <v>30104</v>
      </c>
      <c r="DJ331" s="12">
        <f>SUM($AQ331:CD331)-SUM($EA331:FB331)</f>
        <v>28104</v>
      </c>
      <c r="DK331" s="12">
        <f>SUM($AQ331:CE331)-SUM($EA331:FC331)</f>
        <v>26104</v>
      </c>
      <c r="DL331" s="12">
        <f>SUM($AQ331:CF331)-SUM($EA331:FD331)</f>
        <v>24104</v>
      </c>
      <c r="DM331" s="12">
        <f>SUM($AQ331:CG331)-SUM($EA331:FE331)</f>
        <v>22104</v>
      </c>
      <c r="DN331" s="12">
        <f>SUM($AQ331:CH331)-SUM($EA331:FF331)</f>
        <v>20104</v>
      </c>
      <c r="DO331" s="12">
        <f>SUM($AQ331:CI331)-SUM($EA331:FG331)</f>
        <v>18104</v>
      </c>
      <c r="DP331" s="12">
        <f>SUM($AQ331:CJ331)-SUM($EA331:FH331)</f>
        <v>16104</v>
      </c>
      <c r="DQ331" s="12">
        <f>SUM($AQ331:CK331)-SUM($EA331:FI331)</f>
        <v>14104</v>
      </c>
      <c r="DR331" s="12">
        <f>SUM($AQ331:CL331)-SUM($EA331:FJ331)</f>
        <v>12104</v>
      </c>
      <c r="DS331" s="12">
        <f>SUM($AQ331:CM331)-SUM($EA331:FK331)</f>
        <v>10104</v>
      </c>
      <c r="DT331" s="12">
        <f>SUM($AQ331:CN331)-SUM($EA331:FL331)</f>
        <v>8104</v>
      </c>
      <c r="DU331" s="12">
        <f>SUM($AQ331:CO331)-SUM($EA331:FM331)</f>
        <v>6104</v>
      </c>
      <c r="DV331" s="12">
        <f>SUM($AQ331:CP331)-SUM($EA331:FN331)</f>
        <v>70652</v>
      </c>
      <c r="DW331" s="12">
        <f>SUM($AQ331:CQ331)-SUM($EA331:FO331)</f>
        <v>136272</v>
      </c>
      <c r="DX331" s="14"/>
      <c r="DY331" s="14"/>
      <c r="DZ331" s="14"/>
      <c r="EA331" s="12"/>
      <c r="EB331" s="12"/>
      <c r="EC331" s="12"/>
      <c r="ED331" s="12"/>
      <c r="EE331" s="12"/>
      <c r="EF331" s="12"/>
      <c r="EG331" s="12"/>
      <c r="EH331" s="12">
        <f t="array" ref="EH331">SUMPRODUCT(TRANSPOSE(EH$9:EH$34),$K331:$AJ331)</f>
        <v>6218</v>
      </c>
      <c r="EI331" s="12">
        <f t="array" ref="EI331">SUMPRODUCT(TRANSPOSE(EI$9:EI$34),$K331:$AJ331)</f>
        <v>562</v>
      </c>
      <c r="EJ331" s="12">
        <f t="array" ref="EJ331">SUMPRODUCT(TRANSPOSE(EJ$9:EJ$34),$K331:$AJ331)</f>
        <v>30</v>
      </c>
      <c r="EK331" s="12">
        <f t="array" ref="EK331">SUMPRODUCT(TRANSPOSE(EK$9:EK$34),$K331:$AJ331)</f>
        <v>270</v>
      </c>
      <c r="EL331" s="12">
        <f t="array" ref="EL331">SUMPRODUCT(TRANSPOSE(EL$9:EL$34),$K331:$AJ331)</f>
        <v>2030</v>
      </c>
      <c r="EM331" s="12">
        <f t="array" ref="EM331">SUMPRODUCT(TRANSPOSE(EM$9:EM$34),$K331:$AJ331)</f>
        <v>4100</v>
      </c>
      <c r="EN331" s="12">
        <f t="array" ref="EN331">SUMPRODUCT(TRANSPOSE(EN$9:EN$34),$K331:$AJ331)</f>
        <v>2300</v>
      </c>
      <c r="EO331" s="12">
        <f t="array" ref="EO331">SUMPRODUCT(TRANSPOSE(EO$9:EO$34),$K331:$AJ331)</f>
        <v>2000</v>
      </c>
      <c r="EP331" s="12">
        <f t="array" ref="EP331">SUMPRODUCT(TRANSPOSE(EP$9:EP$34),$K331:$AJ331)</f>
        <v>2100</v>
      </c>
      <c r="EQ331" s="12">
        <f t="array" ref="EQ331">SUMPRODUCT(TRANSPOSE(EQ$9:EQ$34),$K331:$AJ331)</f>
        <v>2100</v>
      </c>
      <c r="ER331" s="12">
        <f t="array" ref="ER331">SUMPRODUCT(TRANSPOSE(ER$9:ER$34),$K331:$AJ331)</f>
        <v>2100</v>
      </c>
      <c r="ES331" s="12">
        <f t="array" ref="ES331">SUMPRODUCT(TRANSPOSE(ES$9:ES$34),$K331:$AJ331)</f>
        <v>2100</v>
      </c>
      <c r="ET331" s="12">
        <f t="array" ref="ET331">SUMPRODUCT(TRANSPOSE(ET$9:ET$34),$K331:$AJ331)</f>
        <v>2100</v>
      </c>
      <c r="EU331" s="12">
        <f t="array" ref="EU331">SUMPRODUCT(TRANSPOSE(EU$9:EU$34),$K331:$AJ331)</f>
        <v>2100</v>
      </c>
      <c r="EV331" s="12">
        <f t="array" ref="EV331">SUMPRODUCT(TRANSPOSE(EV$9:EV$34),$K331:$AJ331)</f>
        <v>2100</v>
      </c>
      <c r="EW331" s="12">
        <f t="array" ref="EW331">SUMPRODUCT(TRANSPOSE(EW$9:EW$34),$K331:$AJ331)</f>
        <v>2086</v>
      </c>
      <c r="EX331" s="12">
        <f t="array" ref="EX331">SUMPRODUCT(TRANSPOSE(EX$9:EX$34),$K331:$AJ331)</f>
        <v>2000</v>
      </c>
      <c r="EY331" s="12">
        <f t="array" ref="EY331">SUMPRODUCT(TRANSPOSE(EY$9:EY$34),$K331:$AJ331)</f>
        <v>2000</v>
      </c>
      <c r="EZ331" s="12">
        <f t="array" ref="EZ331">SUMPRODUCT(TRANSPOSE(EZ$9:EZ$34),$K331:$AJ331)</f>
        <v>2000</v>
      </c>
      <c r="FA331" s="12">
        <f t="array" ref="FA331">SUMPRODUCT(TRANSPOSE(FA$9:FA$34),$K331:$AJ331)</f>
        <v>2000</v>
      </c>
      <c r="FB331" s="12">
        <f t="array" ref="FB331">SUMPRODUCT(TRANSPOSE(FB$9:FB$34),$K331:$AJ331)</f>
        <v>2000</v>
      </c>
      <c r="FC331" s="12">
        <f t="array" ref="FC331">SUMPRODUCT(TRANSPOSE(FC$9:FC$34),$K331:$AJ331)</f>
        <v>2000</v>
      </c>
      <c r="FD331" s="12">
        <f t="array" ref="FD331">SUMPRODUCT(TRANSPOSE(FD$9:FD$34),$K331:$AJ331)</f>
        <v>2000</v>
      </c>
      <c r="FE331" s="12">
        <f t="array" ref="FE331">SUMPRODUCT(TRANSPOSE(FE$9:FE$34),$K331:$AJ331)</f>
        <v>2000</v>
      </c>
      <c r="FF331" s="12">
        <f t="array" ref="FF331">SUMPRODUCT(TRANSPOSE(FF$9:FF$34),$K331:$AJ331)</f>
        <v>2000</v>
      </c>
      <c r="FG331" s="12">
        <f t="array" ref="FG331">SUMPRODUCT(TRANSPOSE(FG$9:FG$34),$K331:$AJ331)</f>
        <v>2000</v>
      </c>
      <c r="FH331" s="12">
        <f t="array" ref="FH331">SUMPRODUCT(TRANSPOSE(FH$9:FH$34),$K331:$AJ331)</f>
        <v>2000</v>
      </c>
      <c r="FI331" s="12">
        <f t="array" ref="FI331">SUMPRODUCT(TRANSPOSE(FI$9:FI$34),$K331:$AJ331)</f>
        <v>2000</v>
      </c>
      <c r="FJ331" s="12">
        <f t="array" ref="FJ331">SUMPRODUCT(TRANSPOSE(FJ$9:FJ$34),$K331:$AJ331)</f>
        <v>2000</v>
      </c>
      <c r="FK331" s="12">
        <f t="array" ref="FK331">SUMPRODUCT(TRANSPOSE(FK$9:FK$34),$K331:$AJ331)</f>
        <v>2000</v>
      </c>
      <c r="FL331" s="12">
        <f t="array" ref="FL331">SUMPRODUCT(TRANSPOSE(FL$9:FL$34),$K331:$AJ331)</f>
        <v>2000</v>
      </c>
      <c r="FM331" s="12">
        <f t="array" ref="FM331">SUMPRODUCT(TRANSPOSE(FM$9:FM$34),$K331:$AJ331)</f>
        <v>2000</v>
      </c>
      <c r="FN331" s="12">
        <f t="array" ref="FN331">SUMPRODUCT(TRANSPOSE(FN$9:FN$34),$K331:$AJ331)</f>
        <v>1634</v>
      </c>
      <c r="FO331" s="12">
        <f t="array" ref="FO331">SUMPRODUCT(TRANSPOSE(FO$9:FO$34),$K331:$AJ331)</f>
        <v>0</v>
      </c>
    </row>
    <row r="332" spans="1:171" ht="14.25" x14ac:dyDescent="0.2">
      <c r="A332" s="14">
        <f t="shared" si="16"/>
        <v>297</v>
      </c>
      <c r="B332" s="29" t="s">
        <v>1068</v>
      </c>
      <c r="C332" s="32" t="s">
        <v>1063</v>
      </c>
      <c r="D332" s="14" t="s">
        <v>401</v>
      </c>
      <c r="E332" s="14" t="s">
        <v>1064</v>
      </c>
      <c r="F332" s="33" t="s">
        <v>1065</v>
      </c>
      <c r="G332" s="14"/>
      <c r="H332" s="14" t="s">
        <v>61</v>
      </c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64"/>
      <c r="Z332" s="13">
        <v>2</v>
      </c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23">
        <f t="shared" si="15"/>
        <v>63234</v>
      </c>
      <c r="AM332" s="14"/>
      <c r="AN332" s="14"/>
      <c r="AO332" s="20" t="s">
        <v>1085</v>
      </c>
      <c r="AP332" s="39"/>
      <c r="AQ332" s="12">
        <v>0</v>
      </c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>
        <v>7000</v>
      </c>
      <c r="BC332" s="12"/>
      <c r="BD332" s="12">
        <v>6500</v>
      </c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14"/>
      <c r="CG332" s="14"/>
      <c r="CH332" s="14"/>
      <c r="CI332" s="12"/>
      <c r="CJ332" s="12"/>
      <c r="CK332" s="12"/>
      <c r="CL332" s="12"/>
      <c r="CM332" s="12"/>
      <c r="CN332" s="12"/>
      <c r="CO332" s="12"/>
      <c r="CP332" s="12">
        <f>SUM($AQ332:BJ332)-SUM($EA332:EH332)</f>
        <v>13500</v>
      </c>
      <c r="CQ332" s="12">
        <f>SUM($AQ332:BK332)-SUM($EA332:EI332)</f>
        <v>13500</v>
      </c>
      <c r="CR332" s="12">
        <f>SUM($AQ332:BL332)-SUM($EA332:EJ332)</f>
        <v>13500</v>
      </c>
      <c r="CS332" s="12">
        <f>SUM($AQ332:BM332)-SUM($EA332:EK332)</f>
        <v>13300</v>
      </c>
      <c r="CT332" s="12">
        <f>SUM($AQ332:BN332)-SUM($EA332:EL332)</f>
        <v>11300</v>
      </c>
      <c r="CU332" s="12">
        <f>SUM($AQ332:BO332)-SUM($EA332:EM332)</f>
        <v>7300</v>
      </c>
      <c r="CV332" s="12">
        <f>SUM($AQ332:BP332)-SUM($EA332:EN332)</f>
        <v>5100</v>
      </c>
      <c r="CW332" s="12">
        <f>SUM($AQ332:BQ332)-SUM($EA332:EO332)</f>
        <v>3100</v>
      </c>
      <c r="CX332" s="12">
        <f>SUM($AQ332:BR332)-SUM($EA332:EP332)</f>
        <v>1100</v>
      </c>
      <c r="CY332" s="12">
        <f>SUM($AQ332:BS332)-SUM($EA332:EQ332)</f>
        <v>-900</v>
      </c>
      <c r="CZ332" s="12">
        <f>SUM($AQ332:BT332)-SUM($EA332:ER332)</f>
        <v>-2900</v>
      </c>
      <c r="DA332" s="12">
        <f>SUM($AQ332:BU332)-SUM($EA332:ES332)</f>
        <v>-4900</v>
      </c>
      <c r="DB332" s="12">
        <f>SUM($AQ332:BV332)-SUM($EA332:ET332)</f>
        <v>-6900</v>
      </c>
      <c r="DC332" s="12">
        <f>SUM($AQ332:BW332)-SUM($EA332:EU332)</f>
        <v>-8900</v>
      </c>
      <c r="DD332" s="12">
        <f>SUM($AQ332:BX332)-SUM($EA332:EV332)</f>
        <v>-10900</v>
      </c>
      <c r="DE332" s="12">
        <f>SUM($AQ332:BY332)-SUM($EA332:EW332)</f>
        <v>-12900</v>
      </c>
      <c r="DF332" s="12">
        <f>SUM($AQ332:BZ332)-SUM($EA332:EX332)</f>
        <v>-14900</v>
      </c>
      <c r="DG332" s="12">
        <f>SUM($AQ332:CA332)-SUM($EA332:EY332)</f>
        <v>-16900</v>
      </c>
      <c r="DH332" s="12">
        <f>SUM($AQ332:CB332)-SUM($EA332:EZ332)</f>
        <v>-18900</v>
      </c>
      <c r="DI332" s="12">
        <f>SUM($AQ332:CC332)-SUM($EA332:FA332)</f>
        <v>-20900</v>
      </c>
      <c r="DJ332" s="12">
        <f>SUM($AQ332:CD332)-SUM($EA332:FB332)</f>
        <v>-22900</v>
      </c>
      <c r="DK332" s="12">
        <f>SUM($AQ332:CE332)-SUM($EA332:FC332)</f>
        <v>-24900</v>
      </c>
      <c r="DL332" s="12">
        <f>SUM($AQ332:CF332)-SUM($EA332:FD332)</f>
        <v>-26900</v>
      </c>
      <c r="DM332" s="12">
        <f>SUM($AQ332:CG332)-SUM($EA332:FE332)</f>
        <v>-28900</v>
      </c>
      <c r="DN332" s="12">
        <f>SUM($AQ332:CH332)-SUM($EA332:FF332)</f>
        <v>-30900</v>
      </c>
      <c r="DO332" s="12">
        <f>SUM($AQ332:CI332)-SUM($EA332:FG332)</f>
        <v>-32900</v>
      </c>
      <c r="DP332" s="12">
        <f>SUM($AQ332:CJ332)-SUM($EA332:FH332)</f>
        <v>-34900</v>
      </c>
      <c r="DQ332" s="12">
        <f>SUM($AQ332:CK332)-SUM($EA332:FI332)</f>
        <v>-36900</v>
      </c>
      <c r="DR332" s="12">
        <f>SUM($AQ332:CL332)-SUM($EA332:FJ332)</f>
        <v>-38900</v>
      </c>
      <c r="DS332" s="12">
        <f>SUM($AQ332:CM332)-SUM($EA332:FK332)</f>
        <v>-40900</v>
      </c>
      <c r="DT332" s="12">
        <f>SUM($AQ332:CN332)-SUM($EA332:FL332)</f>
        <v>-42900</v>
      </c>
      <c r="DU332" s="12">
        <f>SUM($AQ332:CO332)-SUM($EA332:FM332)</f>
        <v>-44900</v>
      </c>
      <c r="DV332" s="12">
        <f>SUM($AQ332:CP332)-SUM($EA332:FN332)</f>
        <v>-33034</v>
      </c>
      <c r="DW332" s="12">
        <f>SUM($AQ332:CQ332)-SUM($EA332:FO332)</f>
        <v>-19534</v>
      </c>
      <c r="DX332" s="14"/>
      <c r="DY332" s="14"/>
      <c r="DZ332" s="14"/>
      <c r="EA332" s="12"/>
      <c r="EB332" s="12"/>
      <c r="EC332" s="12"/>
      <c r="ED332" s="12"/>
      <c r="EE332" s="12"/>
      <c r="EF332" s="12"/>
      <c r="EG332" s="12"/>
      <c r="EH332" s="12">
        <f t="array" ref="EH332">SUMPRODUCT(TRANSPOSE(EH$9:EH$34),$K332:$AJ332)</f>
        <v>0</v>
      </c>
      <c r="EI332" s="12">
        <f t="array" ref="EI332">SUMPRODUCT(TRANSPOSE(EI$9:EI$34),$K332:$AJ332)</f>
        <v>0</v>
      </c>
      <c r="EJ332" s="12">
        <f t="array" ref="EJ332">SUMPRODUCT(TRANSPOSE(EJ$9:EJ$34),$K332:$AJ332)</f>
        <v>0</v>
      </c>
      <c r="EK332" s="12">
        <f t="array" ref="EK332">SUMPRODUCT(TRANSPOSE(EK$9:EK$34),$K332:$AJ332)</f>
        <v>200</v>
      </c>
      <c r="EL332" s="12">
        <f t="array" ref="EL332">SUMPRODUCT(TRANSPOSE(EL$9:EL$34),$K332:$AJ332)</f>
        <v>2000</v>
      </c>
      <c r="EM332" s="12">
        <f t="array" ref="EM332">SUMPRODUCT(TRANSPOSE(EM$9:EM$34),$K332:$AJ332)</f>
        <v>4000</v>
      </c>
      <c r="EN332" s="12">
        <f t="array" ref="EN332">SUMPRODUCT(TRANSPOSE(EN$9:EN$34),$K332:$AJ332)</f>
        <v>2200</v>
      </c>
      <c r="EO332" s="12">
        <f t="array" ref="EO332">SUMPRODUCT(TRANSPOSE(EO$9:EO$34),$K332:$AJ332)</f>
        <v>2000</v>
      </c>
      <c r="EP332" s="12">
        <f t="array" ref="EP332">SUMPRODUCT(TRANSPOSE(EP$9:EP$34),$K332:$AJ332)</f>
        <v>2000</v>
      </c>
      <c r="EQ332" s="12">
        <f t="array" ref="EQ332">SUMPRODUCT(TRANSPOSE(EQ$9:EQ$34),$K332:$AJ332)</f>
        <v>2000</v>
      </c>
      <c r="ER332" s="12">
        <f t="array" ref="ER332">SUMPRODUCT(TRANSPOSE(ER$9:ER$34),$K332:$AJ332)</f>
        <v>2000</v>
      </c>
      <c r="ES332" s="12">
        <f t="array" ref="ES332">SUMPRODUCT(TRANSPOSE(ES$9:ES$34),$K332:$AJ332)</f>
        <v>2000</v>
      </c>
      <c r="ET332" s="12">
        <f t="array" ref="ET332">SUMPRODUCT(TRANSPOSE(ET$9:ET$34),$K332:$AJ332)</f>
        <v>2000</v>
      </c>
      <c r="EU332" s="12">
        <f t="array" ref="EU332">SUMPRODUCT(TRANSPOSE(EU$9:EU$34),$K332:$AJ332)</f>
        <v>2000</v>
      </c>
      <c r="EV332" s="12">
        <f t="array" ref="EV332">SUMPRODUCT(TRANSPOSE(EV$9:EV$34),$K332:$AJ332)</f>
        <v>2000</v>
      </c>
      <c r="EW332" s="12">
        <f t="array" ref="EW332">SUMPRODUCT(TRANSPOSE(EW$9:EW$34),$K332:$AJ332)</f>
        <v>2000</v>
      </c>
      <c r="EX332" s="12">
        <f t="array" ref="EX332">SUMPRODUCT(TRANSPOSE(EX$9:EX$34),$K332:$AJ332)</f>
        <v>2000</v>
      </c>
      <c r="EY332" s="12">
        <f t="array" ref="EY332">SUMPRODUCT(TRANSPOSE(EY$9:EY$34),$K332:$AJ332)</f>
        <v>2000</v>
      </c>
      <c r="EZ332" s="12">
        <f t="array" ref="EZ332">SUMPRODUCT(TRANSPOSE(EZ$9:EZ$34),$K332:$AJ332)</f>
        <v>2000</v>
      </c>
      <c r="FA332" s="12">
        <f t="array" ref="FA332">SUMPRODUCT(TRANSPOSE(FA$9:FA$34),$K332:$AJ332)</f>
        <v>2000</v>
      </c>
      <c r="FB332" s="12">
        <f t="array" ref="FB332">SUMPRODUCT(TRANSPOSE(FB$9:FB$34),$K332:$AJ332)</f>
        <v>2000</v>
      </c>
      <c r="FC332" s="12">
        <f t="array" ref="FC332">SUMPRODUCT(TRANSPOSE(FC$9:FC$34),$K332:$AJ332)</f>
        <v>2000</v>
      </c>
      <c r="FD332" s="12">
        <f t="array" ref="FD332">SUMPRODUCT(TRANSPOSE(FD$9:FD$34),$K332:$AJ332)</f>
        <v>2000</v>
      </c>
      <c r="FE332" s="12">
        <f t="array" ref="FE332">SUMPRODUCT(TRANSPOSE(FE$9:FE$34),$K332:$AJ332)</f>
        <v>2000</v>
      </c>
      <c r="FF332" s="12">
        <f t="array" ref="FF332">SUMPRODUCT(TRANSPOSE(FF$9:FF$34),$K332:$AJ332)</f>
        <v>2000</v>
      </c>
      <c r="FG332" s="12">
        <f t="array" ref="FG332">SUMPRODUCT(TRANSPOSE(FG$9:FG$34),$K332:$AJ332)</f>
        <v>2000</v>
      </c>
      <c r="FH332" s="12">
        <f t="array" ref="FH332">SUMPRODUCT(TRANSPOSE(FH$9:FH$34),$K332:$AJ332)</f>
        <v>2000</v>
      </c>
      <c r="FI332" s="12">
        <f t="array" ref="FI332">SUMPRODUCT(TRANSPOSE(FI$9:FI$34),$K332:$AJ332)</f>
        <v>2000</v>
      </c>
      <c r="FJ332" s="12">
        <f t="array" ref="FJ332">SUMPRODUCT(TRANSPOSE(FJ$9:FJ$34),$K332:$AJ332)</f>
        <v>2000</v>
      </c>
      <c r="FK332" s="12">
        <f t="array" ref="FK332">SUMPRODUCT(TRANSPOSE(FK$9:FK$34),$K332:$AJ332)</f>
        <v>2000</v>
      </c>
      <c r="FL332" s="12">
        <f t="array" ref="FL332">SUMPRODUCT(TRANSPOSE(FL$9:FL$34),$K332:$AJ332)</f>
        <v>2000</v>
      </c>
      <c r="FM332" s="12">
        <f t="array" ref="FM332">SUMPRODUCT(TRANSPOSE(FM$9:FM$34),$K332:$AJ332)</f>
        <v>2000</v>
      </c>
      <c r="FN332" s="12">
        <f t="array" ref="FN332">SUMPRODUCT(TRANSPOSE(FN$9:FN$34),$K332:$AJ332)</f>
        <v>1634</v>
      </c>
      <c r="FO332" s="12">
        <f t="array" ref="FO332">SUMPRODUCT(TRANSPOSE(FO$9:FO$34),$K332:$AJ332)</f>
        <v>0</v>
      </c>
    </row>
    <row r="333" spans="1:171" ht="14.25" x14ac:dyDescent="0.2">
      <c r="A333" s="14">
        <f t="shared" si="16"/>
        <v>298</v>
      </c>
      <c r="B333" s="29" t="s">
        <v>1073</v>
      </c>
      <c r="C333" s="32" t="s">
        <v>1076</v>
      </c>
      <c r="D333" s="14" t="s">
        <v>1079</v>
      </c>
      <c r="E333" s="14" t="s">
        <v>1078</v>
      </c>
      <c r="F333" s="33" t="s">
        <v>1077</v>
      </c>
      <c r="G333" s="14"/>
      <c r="H333" s="14" t="s">
        <v>61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64"/>
      <c r="Z333" s="13"/>
      <c r="AA333" s="14"/>
      <c r="AB333" s="14"/>
      <c r="AC333" s="14"/>
      <c r="AD333" s="14"/>
      <c r="AE333" s="14">
        <v>2</v>
      </c>
      <c r="AF333" s="14"/>
      <c r="AG333" s="14"/>
      <c r="AH333" s="14"/>
      <c r="AI333" s="14"/>
      <c r="AJ333" s="14"/>
      <c r="AK333" s="14"/>
      <c r="AL333" s="23">
        <f t="shared" si="15"/>
        <v>1316</v>
      </c>
      <c r="AM333" s="14"/>
      <c r="AN333" s="14"/>
      <c r="AO333" s="20" t="s">
        <v>1084</v>
      </c>
      <c r="AP333" s="39"/>
      <c r="AQ333" s="12">
        <v>2000</v>
      </c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14"/>
      <c r="CG333" s="14"/>
      <c r="CH333" s="14"/>
      <c r="CI333" s="12"/>
      <c r="CJ333" s="12"/>
      <c r="CK333" s="12"/>
      <c r="CL333" s="12"/>
      <c r="CM333" s="12"/>
      <c r="CN333" s="12"/>
      <c r="CO333" s="12"/>
      <c r="CP333" s="12">
        <f>SUM($AQ333:BJ333)-SUM($EA333:EH333)</f>
        <v>2000</v>
      </c>
      <c r="CQ333" s="12">
        <f>SUM($AQ333:BK333)-SUM($EA333:EI333)</f>
        <v>2000</v>
      </c>
      <c r="CR333" s="12">
        <f>SUM($AQ333:BL333)-SUM($EA333:EJ333)</f>
        <v>1970</v>
      </c>
      <c r="CS333" s="12">
        <f>SUM($AQ333:BM333)-SUM($EA333:EK333)</f>
        <v>1900</v>
      </c>
      <c r="CT333" s="12">
        <f>SUM($AQ333:BN333)-SUM($EA333:EL333)</f>
        <v>1870</v>
      </c>
      <c r="CU333" s="12">
        <f>SUM($AQ333:BO333)-SUM($EA333:EM333)</f>
        <v>1770</v>
      </c>
      <c r="CV333" s="12">
        <f>SUM($AQ333:BP333)-SUM($EA333:EN333)</f>
        <v>1670</v>
      </c>
      <c r="CW333" s="12">
        <f>SUM($AQ333:BQ333)-SUM($EA333:EO333)</f>
        <v>1670</v>
      </c>
      <c r="CX333" s="12">
        <f>SUM($AQ333:BR333)-SUM($EA333:EP333)</f>
        <v>1570</v>
      </c>
      <c r="CY333" s="12">
        <f>SUM($AQ333:BS333)-SUM($EA333:EQ333)</f>
        <v>1470</v>
      </c>
      <c r="CZ333" s="12">
        <f>SUM($AQ333:BT333)-SUM($EA333:ER333)</f>
        <v>1370</v>
      </c>
      <c r="DA333" s="12">
        <f>SUM($AQ333:BU333)-SUM($EA333:ES333)</f>
        <v>1270</v>
      </c>
      <c r="DB333" s="12">
        <f>SUM($AQ333:BV333)-SUM($EA333:ET333)</f>
        <v>1170</v>
      </c>
      <c r="DC333" s="12">
        <f>SUM($AQ333:BW333)-SUM($EA333:EU333)</f>
        <v>1070</v>
      </c>
      <c r="DD333" s="12">
        <f>SUM($AQ333:BX333)-SUM($EA333:EV333)</f>
        <v>970</v>
      </c>
      <c r="DE333" s="12">
        <f>SUM($AQ333:BY333)-SUM($EA333:EW333)</f>
        <v>884</v>
      </c>
      <c r="DF333" s="12">
        <f>SUM($AQ333:BZ333)-SUM($EA333:EX333)</f>
        <v>884</v>
      </c>
      <c r="DG333" s="12">
        <f>SUM($AQ333:CA333)-SUM($EA333:EY333)</f>
        <v>884</v>
      </c>
      <c r="DH333" s="12">
        <f>SUM($AQ333:CB333)-SUM($EA333:EZ333)</f>
        <v>884</v>
      </c>
      <c r="DI333" s="12">
        <f>SUM($AQ333:CC333)-SUM($EA333:FA333)</f>
        <v>884</v>
      </c>
      <c r="DJ333" s="12">
        <f>SUM($AQ333:CD333)-SUM($EA333:FB333)</f>
        <v>884</v>
      </c>
      <c r="DK333" s="12">
        <f>SUM($AQ333:CE333)-SUM($EA333:FC333)</f>
        <v>884</v>
      </c>
      <c r="DL333" s="12">
        <f>SUM($AQ333:CF333)-SUM($EA333:FD333)</f>
        <v>884</v>
      </c>
      <c r="DM333" s="12">
        <f>SUM($AQ333:CG333)-SUM($EA333:FE333)</f>
        <v>884</v>
      </c>
      <c r="DN333" s="12">
        <f>SUM($AQ333:CH333)-SUM($EA333:FF333)</f>
        <v>884</v>
      </c>
      <c r="DO333" s="12">
        <f>SUM($AQ333:CI333)-SUM($EA333:FG333)</f>
        <v>884</v>
      </c>
      <c r="DP333" s="12">
        <f>SUM($AQ333:CJ333)-SUM($EA333:FH333)</f>
        <v>884</v>
      </c>
      <c r="DQ333" s="12">
        <f>SUM($AQ333:CK333)-SUM($EA333:FI333)</f>
        <v>884</v>
      </c>
      <c r="DR333" s="12">
        <f>SUM($AQ333:CL333)-SUM($EA333:FJ333)</f>
        <v>884</v>
      </c>
      <c r="DS333" s="12">
        <f>SUM($AQ333:CM333)-SUM($EA333:FK333)</f>
        <v>884</v>
      </c>
      <c r="DT333" s="12">
        <f>SUM($AQ333:CN333)-SUM($EA333:FL333)</f>
        <v>884</v>
      </c>
      <c r="DU333" s="12">
        <f>SUM($AQ333:CO333)-SUM($EA333:FM333)</f>
        <v>884</v>
      </c>
      <c r="DV333" s="12">
        <f>SUM($AQ333:CP333)-SUM($EA333:FN333)</f>
        <v>2884</v>
      </c>
      <c r="DW333" s="12">
        <f>SUM($AQ333:CQ333)-SUM($EA333:FO333)</f>
        <v>4884</v>
      </c>
      <c r="DX333" s="14"/>
      <c r="DY333" s="14"/>
      <c r="DZ333" s="14"/>
      <c r="EA333" s="12"/>
      <c r="EB333" s="12"/>
      <c r="EC333" s="12"/>
      <c r="ED333" s="12"/>
      <c r="EE333" s="12"/>
      <c r="EF333" s="12"/>
      <c r="EG333" s="12"/>
      <c r="EH333" s="12">
        <f t="array" ref="EH333">SUMPRODUCT(TRANSPOSE(EH$9:EH$34),$K333:$AJ333)</f>
        <v>0</v>
      </c>
      <c r="EI333" s="12">
        <f t="array" ref="EI333">SUMPRODUCT(TRANSPOSE(EI$9:EI$34),$K333:$AJ333)</f>
        <v>0</v>
      </c>
      <c r="EJ333" s="12">
        <f t="array" ref="EJ333">SUMPRODUCT(TRANSPOSE(EJ$9:EJ$34),$K333:$AJ333)</f>
        <v>30</v>
      </c>
      <c r="EK333" s="12">
        <f t="array" ref="EK333">SUMPRODUCT(TRANSPOSE(EK$9:EK$34),$K333:$AJ333)</f>
        <v>70</v>
      </c>
      <c r="EL333" s="12">
        <f t="array" ref="EL333">SUMPRODUCT(TRANSPOSE(EL$9:EL$34),$K333:$AJ333)</f>
        <v>30</v>
      </c>
      <c r="EM333" s="12">
        <f t="array" ref="EM333">SUMPRODUCT(TRANSPOSE(EM$9:EM$34),$K333:$AJ333)</f>
        <v>100</v>
      </c>
      <c r="EN333" s="12">
        <f t="array" ref="EN333">SUMPRODUCT(TRANSPOSE(EN$9:EN$34),$K333:$AJ333)</f>
        <v>100</v>
      </c>
      <c r="EO333" s="12">
        <f t="array" ref="EO333">SUMPRODUCT(TRANSPOSE(EO$9:EO$34),$K333:$AJ333)</f>
        <v>0</v>
      </c>
      <c r="EP333" s="12">
        <f t="array" ref="EP333">SUMPRODUCT(TRANSPOSE(EP$9:EP$34),$K333:$AJ333)</f>
        <v>100</v>
      </c>
      <c r="EQ333" s="12">
        <f t="array" ref="EQ333">SUMPRODUCT(TRANSPOSE(EQ$9:EQ$34),$K333:$AJ333)</f>
        <v>100</v>
      </c>
      <c r="ER333" s="12">
        <f t="array" ref="ER333">SUMPRODUCT(TRANSPOSE(ER$9:ER$34),$K333:$AJ333)</f>
        <v>100</v>
      </c>
      <c r="ES333" s="12">
        <f t="array" ref="ES333">SUMPRODUCT(TRANSPOSE(ES$9:ES$34),$K333:$AJ333)</f>
        <v>100</v>
      </c>
      <c r="ET333" s="12">
        <f t="array" ref="ET333">SUMPRODUCT(TRANSPOSE(ET$9:ET$34),$K333:$AJ333)</f>
        <v>100</v>
      </c>
      <c r="EU333" s="12">
        <f t="array" ref="EU333">SUMPRODUCT(TRANSPOSE(EU$9:EU$34),$K333:$AJ333)</f>
        <v>100</v>
      </c>
      <c r="EV333" s="12">
        <f t="array" ref="EV333">SUMPRODUCT(TRANSPOSE(EV$9:EV$34),$K333:$AJ333)</f>
        <v>100</v>
      </c>
      <c r="EW333" s="12">
        <f t="array" ref="EW333">SUMPRODUCT(TRANSPOSE(EW$9:EW$34),$K333:$AJ333)</f>
        <v>86</v>
      </c>
      <c r="EX333" s="12">
        <f t="array" ref="EX333">SUMPRODUCT(TRANSPOSE(EX$9:EX$34),$K333:$AJ333)</f>
        <v>0</v>
      </c>
      <c r="EY333" s="12">
        <f t="array" ref="EY333">SUMPRODUCT(TRANSPOSE(EY$9:EY$34),$K333:$AJ333)</f>
        <v>0</v>
      </c>
      <c r="EZ333" s="12">
        <f t="array" ref="EZ333">SUMPRODUCT(TRANSPOSE(EZ$9:EZ$34),$K333:$AJ333)</f>
        <v>0</v>
      </c>
      <c r="FA333" s="12">
        <f t="array" ref="FA333">SUMPRODUCT(TRANSPOSE(FA$9:FA$34),$K333:$AJ333)</f>
        <v>0</v>
      </c>
      <c r="FB333" s="12">
        <f t="array" ref="FB333">SUMPRODUCT(TRANSPOSE(FB$9:FB$34),$K333:$AJ333)</f>
        <v>0</v>
      </c>
      <c r="FC333" s="12">
        <f t="array" ref="FC333">SUMPRODUCT(TRANSPOSE(FC$9:FC$34),$K333:$AJ333)</f>
        <v>0</v>
      </c>
      <c r="FD333" s="12">
        <f t="array" ref="FD333">SUMPRODUCT(TRANSPOSE(FD$9:FD$34),$K333:$AJ333)</f>
        <v>0</v>
      </c>
      <c r="FE333" s="12">
        <f t="array" ref="FE333">SUMPRODUCT(TRANSPOSE(FE$9:FE$34),$K333:$AJ333)</f>
        <v>0</v>
      </c>
      <c r="FF333" s="12">
        <f t="array" ref="FF333">SUMPRODUCT(TRANSPOSE(FF$9:FF$34),$K333:$AJ333)</f>
        <v>0</v>
      </c>
      <c r="FG333" s="12">
        <f t="array" ref="FG333">SUMPRODUCT(TRANSPOSE(FG$9:FG$34),$K333:$AJ333)</f>
        <v>0</v>
      </c>
      <c r="FH333" s="12">
        <f t="array" ref="FH333">SUMPRODUCT(TRANSPOSE(FH$9:FH$34),$K333:$AJ333)</f>
        <v>0</v>
      </c>
      <c r="FI333" s="12">
        <f t="array" ref="FI333">SUMPRODUCT(TRANSPOSE(FI$9:FI$34),$K333:$AJ333)</f>
        <v>0</v>
      </c>
      <c r="FJ333" s="12">
        <f t="array" ref="FJ333">SUMPRODUCT(TRANSPOSE(FJ$9:FJ$34),$K333:$AJ333)</f>
        <v>0</v>
      </c>
      <c r="FK333" s="12">
        <f t="array" ref="FK333">SUMPRODUCT(TRANSPOSE(FK$9:FK$34),$K333:$AJ333)</f>
        <v>0</v>
      </c>
      <c r="FL333" s="12">
        <f t="array" ref="FL333">SUMPRODUCT(TRANSPOSE(FL$9:FL$34),$K333:$AJ333)</f>
        <v>0</v>
      </c>
      <c r="FM333" s="12">
        <f t="array" ref="FM333">SUMPRODUCT(TRANSPOSE(FM$9:FM$34),$K333:$AJ333)</f>
        <v>0</v>
      </c>
      <c r="FN333" s="12">
        <f t="array" ref="FN333">SUMPRODUCT(TRANSPOSE(FN$9:FN$34),$K333:$AJ333)</f>
        <v>0</v>
      </c>
      <c r="FO333" s="12">
        <f t="array" ref="FO333">SUMPRODUCT(TRANSPOSE(FO$9:FO$34),$K333:$AJ333)</f>
        <v>0</v>
      </c>
    </row>
    <row r="334" spans="1:171" ht="14.25" x14ac:dyDescent="0.2">
      <c r="A334" s="14">
        <f t="shared" si="16"/>
        <v>299</v>
      </c>
      <c r="B334" s="29" t="s">
        <v>1074</v>
      </c>
      <c r="C334" s="32" t="s">
        <v>1066</v>
      </c>
      <c r="D334" s="14" t="s">
        <v>1079</v>
      </c>
      <c r="E334" s="14" t="s">
        <v>1080</v>
      </c>
      <c r="F334" s="33" t="s">
        <v>1081</v>
      </c>
      <c r="G334" s="14"/>
      <c r="H334" s="14" t="s">
        <v>61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64"/>
      <c r="Z334" s="13"/>
      <c r="AA334" s="14"/>
      <c r="AB334" s="14"/>
      <c r="AC334" s="14"/>
      <c r="AD334" s="14"/>
      <c r="AE334" s="14">
        <v>2</v>
      </c>
      <c r="AF334" s="14"/>
      <c r="AG334" s="14"/>
      <c r="AH334" s="14"/>
      <c r="AI334" s="14"/>
      <c r="AJ334" s="14"/>
      <c r="AK334" s="14"/>
      <c r="AL334" s="23">
        <f t="shared" si="15"/>
        <v>1316</v>
      </c>
      <c r="AM334" s="14"/>
      <c r="AN334" s="14"/>
      <c r="AO334" s="20" t="s">
        <v>1085</v>
      </c>
      <c r="AP334" s="39"/>
      <c r="AQ334" s="12">
        <v>0</v>
      </c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>
        <v>1270</v>
      </c>
      <c r="BC334" s="12"/>
      <c r="BD334" s="12">
        <v>500</v>
      </c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14"/>
      <c r="CG334" s="14"/>
      <c r="CH334" s="14"/>
      <c r="CI334" s="12"/>
      <c r="CJ334" s="12"/>
      <c r="CK334" s="12"/>
      <c r="CL334" s="12"/>
      <c r="CM334" s="12"/>
      <c r="CN334" s="12"/>
      <c r="CO334" s="12"/>
      <c r="CP334" s="12">
        <f>SUM($AQ334:BJ334)-SUM($EA334:EH334)</f>
        <v>1770</v>
      </c>
      <c r="CQ334" s="12">
        <f>SUM($AQ334:BK334)-SUM($EA334:EI334)</f>
        <v>1770</v>
      </c>
      <c r="CR334" s="12">
        <f>SUM($AQ334:BL334)-SUM($EA334:EJ334)</f>
        <v>1740</v>
      </c>
      <c r="CS334" s="12">
        <f>SUM($AQ334:BM334)-SUM($EA334:EK334)</f>
        <v>1670</v>
      </c>
      <c r="CT334" s="12">
        <f>SUM($AQ334:BN334)-SUM($EA334:EL334)</f>
        <v>1640</v>
      </c>
      <c r="CU334" s="12">
        <f>SUM($AQ334:BO334)-SUM($EA334:EM334)</f>
        <v>1540</v>
      </c>
      <c r="CV334" s="12">
        <f>SUM($AQ334:BP334)-SUM($EA334:EN334)</f>
        <v>1440</v>
      </c>
      <c r="CW334" s="12">
        <f>SUM($AQ334:BQ334)-SUM($EA334:EO334)</f>
        <v>1440</v>
      </c>
      <c r="CX334" s="12">
        <f>SUM($AQ334:BR334)-SUM($EA334:EP334)</f>
        <v>1340</v>
      </c>
      <c r="CY334" s="12">
        <f>SUM($AQ334:BS334)-SUM($EA334:EQ334)</f>
        <v>1240</v>
      </c>
      <c r="CZ334" s="12">
        <f>SUM($AQ334:BT334)-SUM($EA334:ER334)</f>
        <v>1140</v>
      </c>
      <c r="DA334" s="12">
        <f>SUM($AQ334:BU334)-SUM($EA334:ES334)</f>
        <v>1040</v>
      </c>
      <c r="DB334" s="12">
        <f>SUM($AQ334:BV334)-SUM($EA334:ET334)</f>
        <v>940</v>
      </c>
      <c r="DC334" s="12">
        <f>SUM($AQ334:BW334)-SUM($EA334:EU334)</f>
        <v>840</v>
      </c>
      <c r="DD334" s="12">
        <f>SUM($AQ334:BX334)-SUM($EA334:EV334)</f>
        <v>740</v>
      </c>
      <c r="DE334" s="12">
        <f>SUM($AQ334:BY334)-SUM($EA334:EW334)</f>
        <v>654</v>
      </c>
      <c r="DF334" s="12">
        <f>SUM($AQ334:BZ334)-SUM($EA334:EX334)</f>
        <v>654</v>
      </c>
      <c r="DG334" s="12">
        <f>SUM($AQ334:CA334)-SUM($EA334:EY334)</f>
        <v>654</v>
      </c>
      <c r="DH334" s="12">
        <f>SUM($AQ334:CB334)-SUM($EA334:EZ334)</f>
        <v>654</v>
      </c>
      <c r="DI334" s="12">
        <f>SUM($AQ334:CC334)-SUM($EA334:FA334)</f>
        <v>654</v>
      </c>
      <c r="DJ334" s="12">
        <f>SUM($AQ334:CD334)-SUM($EA334:FB334)</f>
        <v>654</v>
      </c>
      <c r="DK334" s="12">
        <f>SUM($AQ334:CE334)-SUM($EA334:FC334)</f>
        <v>654</v>
      </c>
      <c r="DL334" s="12">
        <f>SUM($AQ334:CF334)-SUM($EA334:FD334)</f>
        <v>654</v>
      </c>
      <c r="DM334" s="12">
        <f>SUM($AQ334:CG334)-SUM($EA334:FE334)</f>
        <v>654</v>
      </c>
      <c r="DN334" s="12">
        <f>SUM($AQ334:CH334)-SUM($EA334:FF334)</f>
        <v>654</v>
      </c>
      <c r="DO334" s="12">
        <f>SUM($AQ334:CI334)-SUM($EA334:FG334)</f>
        <v>654</v>
      </c>
      <c r="DP334" s="12">
        <f>SUM($AQ334:CJ334)-SUM($EA334:FH334)</f>
        <v>654</v>
      </c>
      <c r="DQ334" s="12">
        <f>SUM($AQ334:CK334)-SUM($EA334:FI334)</f>
        <v>654</v>
      </c>
      <c r="DR334" s="12">
        <f>SUM($AQ334:CL334)-SUM($EA334:FJ334)</f>
        <v>654</v>
      </c>
      <c r="DS334" s="12">
        <f>SUM($AQ334:CM334)-SUM($EA334:FK334)</f>
        <v>654</v>
      </c>
      <c r="DT334" s="12">
        <f>SUM($AQ334:CN334)-SUM($EA334:FL334)</f>
        <v>654</v>
      </c>
      <c r="DU334" s="12">
        <f>SUM($AQ334:CO334)-SUM($EA334:FM334)</f>
        <v>654</v>
      </c>
      <c r="DV334" s="12">
        <f>SUM($AQ334:CP334)-SUM($EA334:FN334)</f>
        <v>2424</v>
      </c>
      <c r="DW334" s="12">
        <f>SUM($AQ334:CQ334)-SUM($EA334:FO334)</f>
        <v>4194</v>
      </c>
      <c r="DX334" s="14"/>
      <c r="DY334" s="14"/>
      <c r="DZ334" s="14"/>
      <c r="EA334" s="12"/>
      <c r="EB334" s="12"/>
      <c r="EC334" s="12"/>
      <c r="ED334" s="12"/>
      <c r="EE334" s="12"/>
      <c r="EF334" s="12"/>
      <c r="EG334" s="12"/>
      <c r="EH334" s="12">
        <f t="array" ref="EH334">SUMPRODUCT(TRANSPOSE(EH$9:EH$34),$K334:$AJ334)</f>
        <v>0</v>
      </c>
      <c r="EI334" s="12">
        <f t="array" ref="EI334">SUMPRODUCT(TRANSPOSE(EI$9:EI$34),$K334:$AJ334)</f>
        <v>0</v>
      </c>
      <c r="EJ334" s="12">
        <f t="array" ref="EJ334">SUMPRODUCT(TRANSPOSE(EJ$9:EJ$34),$K334:$AJ334)</f>
        <v>30</v>
      </c>
      <c r="EK334" s="12">
        <f t="array" ref="EK334">SUMPRODUCT(TRANSPOSE(EK$9:EK$34),$K334:$AJ334)</f>
        <v>70</v>
      </c>
      <c r="EL334" s="12">
        <f t="array" ref="EL334">SUMPRODUCT(TRANSPOSE(EL$9:EL$34),$K334:$AJ334)</f>
        <v>30</v>
      </c>
      <c r="EM334" s="12">
        <f t="array" ref="EM334">SUMPRODUCT(TRANSPOSE(EM$9:EM$34),$K334:$AJ334)</f>
        <v>100</v>
      </c>
      <c r="EN334" s="12">
        <f t="array" ref="EN334">SUMPRODUCT(TRANSPOSE(EN$9:EN$34),$K334:$AJ334)</f>
        <v>100</v>
      </c>
      <c r="EO334" s="12">
        <f t="array" ref="EO334">SUMPRODUCT(TRANSPOSE(EO$9:EO$34),$K334:$AJ334)</f>
        <v>0</v>
      </c>
      <c r="EP334" s="12">
        <f t="array" ref="EP334">SUMPRODUCT(TRANSPOSE(EP$9:EP$34),$K334:$AJ334)</f>
        <v>100</v>
      </c>
      <c r="EQ334" s="12">
        <f t="array" ref="EQ334">SUMPRODUCT(TRANSPOSE(EQ$9:EQ$34),$K334:$AJ334)</f>
        <v>100</v>
      </c>
      <c r="ER334" s="12">
        <f t="array" ref="ER334">SUMPRODUCT(TRANSPOSE(ER$9:ER$34),$K334:$AJ334)</f>
        <v>100</v>
      </c>
      <c r="ES334" s="12">
        <f t="array" ref="ES334">SUMPRODUCT(TRANSPOSE(ES$9:ES$34),$K334:$AJ334)</f>
        <v>100</v>
      </c>
      <c r="ET334" s="12">
        <f t="array" ref="ET334">SUMPRODUCT(TRANSPOSE(ET$9:ET$34),$K334:$AJ334)</f>
        <v>100</v>
      </c>
      <c r="EU334" s="12">
        <f t="array" ref="EU334">SUMPRODUCT(TRANSPOSE(EU$9:EU$34),$K334:$AJ334)</f>
        <v>100</v>
      </c>
      <c r="EV334" s="12">
        <f t="array" ref="EV334">SUMPRODUCT(TRANSPOSE(EV$9:EV$34),$K334:$AJ334)</f>
        <v>100</v>
      </c>
      <c r="EW334" s="12">
        <f t="array" ref="EW334">SUMPRODUCT(TRANSPOSE(EW$9:EW$34),$K334:$AJ334)</f>
        <v>86</v>
      </c>
      <c r="EX334" s="12">
        <f t="array" ref="EX334">SUMPRODUCT(TRANSPOSE(EX$9:EX$34),$K334:$AJ334)</f>
        <v>0</v>
      </c>
      <c r="EY334" s="12">
        <f t="array" ref="EY334">SUMPRODUCT(TRANSPOSE(EY$9:EY$34),$K334:$AJ334)</f>
        <v>0</v>
      </c>
      <c r="EZ334" s="12">
        <f t="array" ref="EZ334">SUMPRODUCT(TRANSPOSE(EZ$9:EZ$34),$K334:$AJ334)</f>
        <v>0</v>
      </c>
      <c r="FA334" s="12">
        <f t="array" ref="FA334">SUMPRODUCT(TRANSPOSE(FA$9:FA$34),$K334:$AJ334)</f>
        <v>0</v>
      </c>
      <c r="FB334" s="12">
        <f t="array" ref="FB334">SUMPRODUCT(TRANSPOSE(FB$9:FB$34),$K334:$AJ334)</f>
        <v>0</v>
      </c>
      <c r="FC334" s="12">
        <f t="array" ref="FC334">SUMPRODUCT(TRANSPOSE(FC$9:FC$34),$K334:$AJ334)</f>
        <v>0</v>
      </c>
      <c r="FD334" s="12">
        <f t="array" ref="FD334">SUMPRODUCT(TRANSPOSE(FD$9:FD$34),$K334:$AJ334)</f>
        <v>0</v>
      </c>
      <c r="FE334" s="12">
        <f t="array" ref="FE334">SUMPRODUCT(TRANSPOSE(FE$9:FE$34),$K334:$AJ334)</f>
        <v>0</v>
      </c>
      <c r="FF334" s="12">
        <f t="array" ref="FF334">SUMPRODUCT(TRANSPOSE(FF$9:FF$34),$K334:$AJ334)</f>
        <v>0</v>
      </c>
      <c r="FG334" s="12">
        <f t="array" ref="FG334">SUMPRODUCT(TRANSPOSE(FG$9:FG$34),$K334:$AJ334)</f>
        <v>0</v>
      </c>
      <c r="FH334" s="12">
        <f t="array" ref="FH334">SUMPRODUCT(TRANSPOSE(FH$9:FH$34),$K334:$AJ334)</f>
        <v>0</v>
      </c>
      <c r="FI334" s="12">
        <f t="array" ref="FI334">SUMPRODUCT(TRANSPOSE(FI$9:FI$34),$K334:$AJ334)</f>
        <v>0</v>
      </c>
      <c r="FJ334" s="12">
        <f t="array" ref="FJ334">SUMPRODUCT(TRANSPOSE(FJ$9:FJ$34),$K334:$AJ334)</f>
        <v>0</v>
      </c>
      <c r="FK334" s="12">
        <f t="array" ref="FK334">SUMPRODUCT(TRANSPOSE(FK$9:FK$34),$K334:$AJ334)</f>
        <v>0</v>
      </c>
      <c r="FL334" s="12">
        <f t="array" ref="FL334">SUMPRODUCT(TRANSPOSE(FL$9:FL$34),$K334:$AJ334)</f>
        <v>0</v>
      </c>
      <c r="FM334" s="12">
        <f t="array" ref="FM334">SUMPRODUCT(TRANSPOSE(FM$9:FM$34),$K334:$AJ334)</f>
        <v>0</v>
      </c>
      <c r="FN334" s="12">
        <f t="array" ref="FN334">SUMPRODUCT(TRANSPOSE(FN$9:FN$34),$K334:$AJ334)</f>
        <v>0</v>
      </c>
      <c r="FO334" s="12">
        <f t="array" ref="FO334">SUMPRODUCT(TRANSPOSE(FO$9:FO$34),$K334:$AJ334)</f>
        <v>0</v>
      </c>
    </row>
    <row r="335" spans="1:171" ht="14.25" x14ac:dyDescent="0.2">
      <c r="A335" s="14">
        <f t="shared" si="16"/>
        <v>300</v>
      </c>
      <c r="B335" s="29" t="s">
        <v>1075</v>
      </c>
      <c r="C335" s="32" t="s">
        <v>1067</v>
      </c>
      <c r="D335" s="14" t="s">
        <v>1079</v>
      </c>
      <c r="E335" s="14" t="s">
        <v>1082</v>
      </c>
      <c r="F335" s="33" t="s">
        <v>1083</v>
      </c>
      <c r="G335" s="14"/>
      <c r="H335" s="14" t="s">
        <v>61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64"/>
      <c r="Z335" s="13"/>
      <c r="AA335" s="14"/>
      <c r="AB335" s="14"/>
      <c r="AC335" s="14"/>
      <c r="AD335" s="14"/>
      <c r="AE335" s="14">
        <v>2</v>
      </c>
      <c r="AF335" s="14"/>
      <c r="AG335" s="14"/>
      <c r="AH335" s="14"/>
      <c r="AI335" s="14"/>
      <c r="AJ335" s="14"/>
      <c r="AK335" s="14"/>
      <c r="AL335" s="23">
        <f t="shared" si="15"/>
        <v>1316</v>
      </c>
      <c r="AM335" s="14"/>
      <c r="AN335" s="14"/>
      <c r="AO335" s="20" t="s">
        <v>1085</v>
      </c>
      <c r="AP335" s="39"/>
      <c r="AQ335" s="12">
        <v>0</v>
      </c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>
        <v>1270</v>
      </c>
      <c r="BC335" s="12"/>
      <c r="BD335" s="12">
        <v>500</v>
      </c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14"/>
      <c r="CG335" s="14"/>
      <c r="CH335" s="14"/>
      <c r="CI335" s="12"/>
      <c r="CJ335" s="12"/>
      <c r="CK335" s="12"/>
      <c r="CL335" s="12"/>
      <c r="CM335" s="12"/>
      <c r="CN335" s="12"/>
      <c r="CO335" s="12"/>
      <c r="CP335" s="12">
        <f>SUM($AQ335:BJ335)-SUM($EA335:EH335)</f>
        <v>1770</v>
      </c>
      <c r="CQ335" s="12">
        <f>SUM($AQ335:BK335)-SUM($EA335:EI335)</f>
        <v>1770</v>
      </c>
      <c r="CR335" s="12">
        <f>SUM($AQ335:BL335)-SUM($EA335:EJ335)</f>
        <v>1740</v>
      </c>
      <c r="CS335" s="12">
        <f>SUM($AQ335:BM335)-SUM($EA335:EK335)</f>
        <v>1670</v>
      </c>
      <c r="CT335" s="12">
        <f>SUM($AQ335:BN335)-SUM($EA335:EL335)</f>
        <v>1640</v>
      </c>
      <c r="CU335" s="12">
        <f>SUM($AQ335:BO335)-SUM($EA335:EM335)</f>
        <v>1540</v>
      </c>
      <c r="CV335" s="12">
        <f>SUM($AQ335:BP335)-SUM($EA335:EN335)</f>
        <v>1440</v>
      </c>
      <c r="CW335" s="12">
        <f>SUM($AQ335:BQ335)-SUM($EA335:EO335)</f>
        <v>1440</v>
      </c>
      <c r="CX335" s="12">
        <f>SUM($AQ335:BR335)-SUM($EA335:EP335)</f>
        <v>1340</v>
      </c>
      <c r="CY335" s="12">
        <f>SUM($AQ335:BS335)-SUM($EA335:EQ335)</f>
        <v>1240</v>
      </c>
      <c r="CZ335" s="12">
        <f>SUM($AQ335:BT335)-SUM($EA335:ER335)</f>
        <v>1140</v>
      </c>
      <c r="DA335" s="12">
        <f>SUM($AQ335:BU335)-SUM($EA335:ES335)</f>
        <v>1040</v>
      </c>
      <c r="DB335" s="12">
        <f>SUM($AQ335:BV335)-SUM($EA335:ET335)</f>
        <v>940</v>
      </c>
      <c r="DC335" s="12">
        <f>SUM($AQ335:BW335)-SUM($EA335:EU335)</f>
        <v>840</v>
      </c>
      <c r="DD335" s="12">
        <f>SUM($AQ335:BX335)-SUM($EA335:EV335)</f>
        <v>740</v>
      </c>
      <c r="DE335" s="12">
        <f>SUM($AQ335:BY335)-SUM($EA335:EW335)</f>
        <v>654</v>
      </c>
      <c r="DF335" s="12">
        <f>SUM($AQ335:BZ335)-SUM($EA335:EX335)</f>
        <v>654</v>
      </c>
      <c r="DG335" s="12">
        <f>SUM($AQ335:CA335)-SUM($EA335:EY335)</f>
        <v>654</v>
      </c>
      <c r="DH335" s="12">
        <f>SUM($AQ335:CB335)-SUM($EA335:EZ335)</f>
        <v>654</v>
      </c>
      <c r="DI335" s="12">
        <f>SUM($AQ335:CC335)-SUM($EA335:FA335)</f>
        <v>654</v>
      </c>
      <c r="DJ335" s="12">
        <f>SUM($AQ335:CD335)-SUM($EA335:FB335)</f>
        <v>654</v>
      </c>
      <c r="DK335" s="12">
        <f>SUM($AQ335:CE335)-SUM($EA335:FC335)</f>
        <v>654</v>
      </c>
      <c r="DL335" s="12">
        <f>SUM($AQ335:CF335)-SUM($EA335:FD335)</f>
        <v>654</v>
      </c>
      <c r="DM335" s="12">
        <f>SUM($AQ335:CG335)-SUM($EA335:FE335)</f>
        <v>654</v>
      </c>
      <c r="DN335" s="12">
        <f>SUM($AQ335:CH335)-SUM($EA335:FF335)</f>
        <v>654</v>
      </c>
      <c r="DO335" s="12">
        <f>SUM($AQ335:CI335)-SUM($EA335:FG335)</f>
        <v>654</v>
      </c>
      <c r="DP335" s="12">
        <f>SUM($AQ335:CJ335)-SUM($EA335:FH335)</f>
        <v>654</v>
      </c>
      <c r="DQ335" s="12">
        <f>SUM($AQ335:CK335)-SUM($EA335:FI335)</f>
        <v>654</v>
      </c>
      <c r="DR335" s="12">
        <f>SUM($AQ335:CL335)-SUM($EA335:FJ335)</f>
        <v>654</v>
      </c>
      <c r="DS335" s="12">
        <f>SUM($AQ335:CM335)-SUM($EA335:FK335)</f>
        <v>654</v>
      </c>
      <c r="DT335" s="12">
        <f>SUM($AQ335:CN335)-SUM($EA335:FL335)</f>
        <v>654</v>
      </c>
      <c r="DU335" s="12">
        <f>SUM($AQ335:CO335)-SUM($EA335:FM335)</f>
        <v>654</v>
      </c>
      <c r="DV335" s="12">
        <f>SUM($AQ335:CP335)-SUM($EA335:FN335)</f>
        <v>2424</v>
      </c>
      <c r="DW335" s="12">
        <f>SUM($AQ335:CQ335)-SUM($EA335:FO335)</f>
        <v>4194</v>
      </c>
      <c r="DX335" s="14"/>
      <c r="DY335" s="14"/>
      <c r="DZ335" s="14"/>
      <c r="EA335" s="12"/>
      <c r="EB335" s="12"/>
      <c r="EC335" s="12"/>
      <c r="ED335" s="12"/>
      <c r="EE335" s="12"/>
      <c r="EF335" s="12"/>
      <c r="EG335" s="12"/>
      <c r="EH335" s="12">
        <f t="array" ref="EH335">SUMPRODUCT(TRANSPOSE(EH$9:EH$34),$K335:$AJ335)</f>
        <v>0</v>
      </c>
      <c r="EI335" s="12">
        <f t="array" ref="EI335">SUMPRODUCT(TRANSPOSE(EI$9:EI$34),$K335:$AJ335)</f>
        <v>0</v>
      </c>
      <c r="EJ335" s="12">
        <f t="array" ref="EJ335">SUMPRODUCT(TRANSPOSE(EJ$9:EJ$34),$K335:$AJ335)</f>
        <v>30</v>
      </c>
      <c r="EK335" s="12">
        <f t="array" ref="EK335">SUMPRODUCT(TRANSPOSE(EK$9:EK$34),$K335:$AJ335)</f>
        <v>70</v>
      </c>
      <c r="EL335" s="12">
        <f t="array" ref="EL335">SUMPRODUCT(TRANSPOSE(EL$9:EL$34),$K335:$AJ335)</f>
        <v>30</v>
      </c>
      <c r="EM335" s="12">
        <f t="array" ref="EM335">SUMPRODUCT(TRANSPOSE(EM$9:EM$34),$K335:$AJ335)</f>
        <v>100</v>
      </c>
      <c r="EN335" s="12">
        <f t="array" ref="EN335">SUMPRODUCT(TRANSPOSE(EN$9:EN$34),$K335:$AJ335)</f>
        <v>100</v>
      </c>
      <c r="EO335" s="12">
        <f t="array" ref="EO335">SUMPRODUCT(TRANSPOSE(EO$9:EO$34),$K335:$AJ335)</f>
        <v>0</v>
      </c>
      <c r="EP335" s="12">
        <f t="array" ref="EP335">SUMPRODUCT(TRANSPOSE(EP$9:EP$34),$K335:$AJ335)</f>
        <v>100</v>
      </c>
      <c r="EQ335" s="12">
        <f t="array" ref="EQ335">SUMPRODUCT(TRANSPOSE(EQ$9:EQ$34),$K335:$AJ335)</f>
        <v>100</v>
      </c>
      <c r="ER335" s="12">
        <f t="array" ref="ER335">SUMPRODUCT(TRANSPOSE(ER$9:ER$34),$K335:$AJ335)</f>
        <v>100</v>
      </c>
      <c r="ES335" s="12">
        <f t="array" ref="ES335">SUMPRODUCT(TRANSPOSE(ES$9:ES$34),$K335:$AJ335)</f>
        <v>100</v>
      </c>
      <c r="ET335" s="12">
        <f t="array" ref="ET335">SUMPRODUCT(TRANSPOSE(ET$9:ET$34),$K335:$AJ335)</f>
        <v>100</v>
      </c>
      <c r="EU335" s="12">
        <f t="array" ref="EU335">SUMPRODUCT(TRANSPOSE(EU$9:EU$34),$K335:$AJ335)</f>
        <v>100</v>
      </c>
      <c r="EV335" s="12">
        <f t="array" ref="EV335">SUMPRODUCT(TRANSPOSE(EV$9:EV$34),$K335:$AJ335)</f>
        <v>100</v>
      </c>
      <c r="EW335" s="12">
        <f t="array" ref="EW335">SUMPRODUCT(TRANSPOSE(EW$9:EW$34),$K335:$AJ335)</f>
        <v>86</v>
      </c>
      <c r="EX335" s="12">
        <f t="array" ref="EX335">SUMPRODUCT(TRANSPOSE(EX$9:EX$34),$K335:$AJ335)</f>
        <v>0</v>
      </c>
      <c r="EY335" s="12">
        <f t="array" ref="EY335">SUMPRODUCT(TRANSPOSE(EY$9:EY$34),$K335:$AJ335)</f>
        <v>0</v>
      </c>
      <c r="EZ335" s="12">
        <f t="array" ref="EZ335">SUMPRODUCT(TRANSPOSE(EZ$9:EZ$34),$K335:$AJ335)</f>
        <v>0</v>
      </c>
      <c r="FA335" s="12">
        <f t="array" ref="FA335">SUMPRODUCT(TRANSPOSE(FA$9:FA$34),$K335:$AJ335)</f>
        <v>0</v>
      </c>
      <c r="FB335" s="12">
        <f t="array" ref="FB335">SUMPRODUCT(TRANSPOSE(FB$9:FB$34),$K335:$AJ335)</f>
        <v>0</v>
      </c>
      <c r="FC335" s="12">
        <f t="array" ref="FC335">SUMPRODUCT(TRANSPOSE(FC$9:FC$34),$K335:$AJ335)</f>
        <v>0</v>
      </c>
      <c r="FD335" s="12">
        <f t="array" ref="FD335">SUMPRODUCT(TRANSPOSE(FD$9:FD$34),$K335:$AJ335)</f>
        <v>0</v>
      </c>
      <c r="FE335" s="12">
        <f t="array" ref="FE335">SUMPRODUCT(TRANSPOSE(FE$9:FE$34),$K335:$AJ335)</f>
        <v>0</v>
      </c>
      <c r="FF335" s="12">
        <f t="array" ref="FF335">SUMPRODUCT(TRANSPOSE(FF$9:FF$34),$K335:$AJ335)</f>
        <v>0</v>
      </c>
      <c r="FG335" s="12">
        <f t="array" ref="FG335">SUMPRODUCT(TRANSPOSE(FG$9:FG$34),$K335:$AJ335)</f>
        <v>0</v>
      </c>
      <c r="FH335" s="12">
        <f t="array" ref="FH335">SUMPRODUCT(TRANSPOSE(FH$9:FH$34),$K335:$AJ335)</f>
        <v>0</v>
      </c>
      <c r="FI335" s="12">
        <f t="array" ref="FI335">SUMPRODUCT(TRANSPOSE(FI$9:FI$34),$K335:$AJ335)</f>
        <v>0</v>
      </c>
      <c r="FJ335" s="12">
        <f t="array" ref="FJ335">SUMPRODUCT(TRANSPOSE(FJ$9:FJ$34),$K335:$AJ335)</f>
        <v>0</v>
      </c>
      <c r="FK335" s="12">
        <f t="array" ref="FK335">SUMPRODUCT(TRANSPOSE(FK$9:FK$34),$K335:$AJ335)</f>
        <v>0</v>
      </c>
      <c r="FL335" s="12">
        <f t="array" ref="FL335">SUMPRODUCT(TRANSPOSE(FL$9:FL$34),$K335:$AJ335)</f>
        <v>0</v>
      </c>
      <c r="FM335" s="12">
        <f t="array" ref="FM335">SUMPRODUCT(TRANSPOSE(FM$9:FM$34),$K335:$AJ335)</f>
        <v>0</v>
      </c>
      <c r="FN335" s="12">
        <f t="array" ref="FN335">SUMPRODUCT(TRANSPOSE(FN$9:FN$34),$K335:$AJ335)</f>
        <v>0</v>
      </c>
      <c r="FO335" s="12">
        <f t="array" ref="FO335">SUMPRODUCT(TRANSPOSE(FO$9:FO$34),$K335:$AJ335)</f>
        <v>0</v>
      </c>
    </row>
    <row r="336" spans="1:171" ht="14.25" x14ac:dyDescent="0.2">
      <c r="A336" s="70"/>
      <c r="B336" s="72"/>
      <c r="D336" s="70"/>
      <c r="E336" s="70"/>
      <c r="F336" s="87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88"/>
      <c r="AM336" s="70"/>
      <c r="AN336" s="70"/>
      <c r="AO336" s="89"/>
      <c r="AP336" s="71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0"/>
      <c r="CE336" s="70"/>
      <c r="CF336" s="70"/>
      <c r="CG336" s="70"/>
      <c r="CH336" s="70"/>
      <c r="CI336" s="70"/>
      <c r="CJ336" s="70"/>
      <c r="CK336" s="70"/>
      <c r="CL336" s="70"/>
      <c r="CM336" s="70"/>
      <c r="CN336" s="70"/>
      <c r="CO336" s="70"/>
      <c r="CP336" s="70"/>
      <c r="CQ336" s="70"/>
      <c r="CR336" s="70"/>
      <c r="CS336" s="70"/>
      <c r="CT336" s="70"/>
      <c r="CU336" s="70"/>
      <c r="CV336" s="70"/>
      <c r="CW336" s="70"/>
      <c r="CX336" s="70"/>
      <c r="CY336" s="70"/>
      <c r="CZ336" s="70"/>
      <c r="DA336" s="70"/>
      <c r="DB336" s="70"/>
      <c r="DC336" s="70"/>
      <c r="DD336" s="70"/>
      <c r="DE336" s="70"/>
      <c r="DF336" s="70"/>
      <c r="DG336" s="70"/>
      <c r="DH336" s="70"/>
      <c r="DI336" s="70"/>
      <c r="DJ336" s="70"/>
      <c r="DK336" s="70"/>
      <c r="DL336" s="70"/>
      <c r="DM336" s="70"/>
      <c r="DN336" s="70"/>
      <c r="DO336" s="70"/>
      <c r="DP336" s="70"/>
      <c r="DQ336" s="70"/>
      <c r="DR336" s="70"/>
      <c r="DS336" s="70"/>
      <c r="DT336" s="70"/>
      <c r="DU336" s="70"/>
      <c r="DV336" s="70"/>
      <c r="DW336" s="70"/>
      <c r="DX336" s="70"/>
      <c r="DY336" s="70"/>
      <c r="DZ336" s="70"/>
      <c r="EA336" s="70"/>
      <c r="EB336" s="70"/>
      <c r="EC336" s="70"/>
      <c r="ED336" s="70"/>
      <c r="EE336" s="70"/>
      <c r="EF336" s="70"/>
      <c r="EG336" s="70"/>
      <c r="EH336" s="70"/>
      <c r="EI336" s="70"/>
      <c r="EJ336" s="70"/>
      <c r="EK336" s="70"/>
      <c r="EL336" s="70"/>
      <c r="EM336" s="70"/>
      <c r="EN336" s="70"/>
      <c r="EO336" s="70"/>
      <c r="EP336" s="70"/>
      <c r="EQ336" s="70"/>
      <c r="ER336" s="70"/>
      <c r="ES336" s="70"/>
      <c r="ET336" s="70"/>
      <c r="EU336" s="70"/>
      <c r="EV336" s="70"/>
      <c r="EW336" s="70"/>
      <c r="EX336" s="70"/>
      <c r="EY336" s="70"/>
      <c r="EZ336" s="70"/>
      <c r="FA336" s="70"/>
      <c r="FB336" s="70"/>
      <c r="FC336" s="70"/>
      <c r="FD336" s="70"/>
      <c r="FE336" s="70"/>
      <c r="FF336" s="70"/>
      <c r="FG336" s="70"/>
      <c r="FH336" s="70"/>
      <c r="FI336" s="70"/>
      <c r="FJ336" s="70"/>
      <c r="FK336" s="70"/>
      <c r="FL336" s="70"/>
      <c r="FM336" s="70"/>
      <c r="FN336" s="70"/>
      <c r="FO336" s="70"/>
    </row>
    <row r="337" spans="1:171" ht="14.25" x14ac:dyDescent="0.2">
      <c r="A337" s="70"/>
      <c r="B337" s="72"/>
      <c r="D337" s="70"/>
      <c r="E337" s="70"/>
      <c r="F337" s="87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88"/>
      <c r="AM337" s="70"/>
      <c r="AN337" s="70"/>
      <c r="AO337" s="89"/>
      <c r="AP337" s="71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  <c r="CB337" s="70"/>
      <c r="CC337" s="70"/>
      <c r="CD337" s="70"/>
      <c r="CE337" s="70"/>
      <c r="CF337" s="70"/>
      <c r="CG337" s="70"/>
      <c r="CH337" s="70"/>
      <c r="CI337" s="70"/>
      <c r="CJ337" s="70"/>
      <c r="CK337" s="70"/>
      <c r="CL337" s="70"/>
      <c r="CM337" s="70"/>
      <c r="CN337" s="70"/>
      <c r="CO337" s="70"/>
      <c r="CP337" s="70"/>
      <c r="CQ337" s="70"/>
      <c r="CR337" s="70"/>
      <c r="CS337" s="70"/>
      <c r="CT337" s="70"/>
      <c r="CU337" s="70"/>
      <c r="CV337" s="70"/>
      <c r="CW337" s="70"/>
      <c r="CX337" s="70"/>
      <c r="CY337" s="70"/>
      <c r="CZ337" s="70"/>
      <c r="DA337" s="70"/>
      <c r="DB337" s="70"/>
      <c r="DC337" s="70"/>
      <c r="DD337" s="70"/>
      <c r="DE337" s="70"/>
      <c r="DF337" s="70"/>
      <c r="DG337" s="70"/>
      <c r="DH337" s="70"/>
      <c r="DI337" s="70"/>
      <c r="DJ337" s="70"/>
      <c r="DK337" s="70"/>
      <c r="DL337" s="70"/>
      <c r="DM337" s="70"/>
      <c r="DN337" s="70"/>
      <c r="DO337" s="70"/>
      <c r="DP337" s="70"/>
      <c r="DQ337" s="70"/>
      <c r="DR337" s="70"/>
      <c r="DS337" s="70"/>
      <c r="DT337" s="70"/>
      <c r="DU337" s="70"/>
      <c r="DV337" s="70"/>
      <c r="DW337" s="70"/>
      <c r="DX337" s="70"/>
      <c r="DY337" s="70"/>
      <c r="DZ337" s="70"/>
      <c r="EA337" s="70"/>
      <c r="EB337" s="70"/>
      <c r="EC337" s="70"/>
      <c r="ED337" s="70"/>
      <c r="EE337" s="70"/>
      <c r="EF337" s="70"/>
      <c r="EG337" s="70"/>
      <c r="EH337" s="70"/>
      <c r="EI337" s="70"/>
      <c r="EJ337" s="70"/>
      <c r="EK337" s="70"/>
      <c r="EL337" s="70"/>
      <c r="EM337" s="70"/>
      <c r="EN337" s="70"/>
      <c r="EO337" s="70"/>
      <c r="EP337" s="70"/>
      <c r="EQ337" s="70"/>
      <c r="ER337" s="70"/>
      <c r="ES337" s="70"/>
      <c r="ET337" s="70"/>
      <c r="EU337" s="70"/>
      <c r="EV337" s="70"/>
      <c r="EW337" s="70"/>
      <c r="EX337" s="70"/>
      <c r="EY337" s="70"/>
      <c r="EZ337" s="70"/>
      <c r="FA337" s="70"/>
      <c r="FB337" s="70"/>
      <c r="FC337" s="70"/>
      <c r="FD337" s="70"/>
      <c r="FE337" s="70"/>
      <c r="FF337" s="70"/>
      <c r="FG337" s="70"/>
      <c r="FH337" s="70"/>
      <c r="FI337" s="70"/>
      <c r="FJ337" s="70"/>
      <c r="FK337" s="70"/>
      <c r="FL337" s="70"/>
      <c r="FM337" s="70"/>
      <c r="FN337" s="70"/>
      <c r="FO337" s="70"/>
    </row>
    <row r="338" spans="1:171" ht="18.75" thickBot="1" x14ac:dyDescent="0.3">
      <c r="K338" s="82" t="e">
        <f ca="1">SUMPRODUCT(#REF!,SUBTOTAL(9,OFFSET(K36:K331,ROW(K36:K331)-MIN(ROW(K36:K331)),0,1)))</f>
        <v>#REF!</v>
      </c>
      <c r="L338" s="82" t="e">
        <f ca="1">SUMPRODUCT(#REF!,SUBTOTAL(9,OFFSET(L36:L331,ROW(L36:L331)-MIN(ROW(L36:L331)),0,1)))</f>
        <v>#REF!</v>
      </c>
      <c r="M338" s="82" t="e">
        <f ca="1">SUMPRODUCT(#REF!,SUBTOTAL(9,OFFSET(M36:M331,ROW(M36:M331)-MIN(ROW(M36:M331)),0,1)))</f>
        <v>#REF!</v>
      </c>
      <c r="N338" s="82" t="e">
        <f ca="1">SUMPRODUCT(#REF!,SUBTOTAL(9,OFFSET(N36:N331,ROW(N36:N331)-MIN(ROW(N36:N331)),0,1)))</f>
        <v>#REF!</v>
      </c>
      <c r="O338" s="82" t="e">
        <f ca="1">SUMPRODUCT(#REF!,SUBTOTAL(9,OFFSET(O36:O331,ROW(O36:O331)-MIN(ROW(O36:O331)),0,1)))</f>
        <v>#REF!</v>
      </c>
      <c r="P338" s="82" t="e">
        <f ca="1">SUMPRODUCT(#REF!,SUBTOTAL(9,OFFSET(P36:P331,ROW(P36:P331)-MIN(ROW(P36:P331)),0,1)))</f>
        <v>#REF!</v>
      </c>
      <c r="Q338" s="82" t="e">
        <f ca="1">SUMPRODUCT(#REF!,SUBTOTAL(9,OFFSET(Q36:Q331,ROW(Q36:Q331)-MIN(ROW(Q36:Q331)),0,1)))</f>
        <v>#REF!</v>
      </c>
      <c r="R338" s="82" t="e">
        <f ca="1">SUMPRODUCT(#REF!,SUBTOTAL(9,OFFSET(R36:R331,ROW(R36:R331)-MIN(ROW(R36:R331)),0,1)))</f>
        <v>#REF!</v>
      </c>
      <c r="S338" s="82" t="e">
        <f ca="1">SUMPRODUCT(#REF!,SUBTOTAL(9,OFFSET(S36:S331,ROW(S36:S331)-MIN(ROW(S36:S331)),0,1)))</f>
        <v>#REF!</v>
      </c>
      <c r="T338" s="82" t="e">
        <f ca="1">SUMPRODUCT(#REF!,SUBTOTAL(9,OFFSET(T36:T331,ROW(T36:T331)-MIN(ROW(T36:T331)),0,1)))</f>
        <v>#REF!</v>
      </c>
      <c r="U338" s="82" t="e">
        <f ca="1">SUMPRODUCT(#REF!,SUBTOTAL(9,OFFSET(U36:U331,ROW(U36:U331)-MIN(ROW(U36:U331)),0,1)))</f>
        <v>#REF!</v>
      </c>
      <c r="V338" s="82" t="e">
        <f ca="1">SUMPRODUCT(#REF!,SUBTOTAL(9,OFFSET(V36:V331,ROW(V36:V331)-MIN(ROW(V36:V331)),0,1)))</f>
        <v>#REF!</v>
      </c>
      <c r="W338" s="82" t="e">
        <f ca="1">SUMPRODUCT(#REF!,SUBTOTAL(9,OFFSET(W36:W331,ROW(W36:W331)-MIN(ROW(W36:W331)),0,1)))</f>
        <v>#REF!</v>
      </c>
      <c r="X338" s="82" t="e">
        <f ca="1">SUMPRODUCT(#REF!,SUBTOTAL(9,OFFSET(X36:X331,ROW(X36:X331)-MIN(ROW(X36:X331)),0,1)))</f>
        <v>#REF!</v>
      </c>
      <c r="Y338" s="82"/>
      <c r="Z338" s="82"/>
      <c r="AA338" s="82" t="e">
        <f ca="1">SUMPRODUCT(#REF!,SUBTOTAL(9,OFFSET(AA36:AA331,ROW(AA36:AA331)-MIN(ROW(AA36:AA331)),0,1)))</f>
        <v>#REF!</v>
      </c>
      <c r="AB338" s="82" t="e">
        <f ca="1">SUMPRODUCT(#REF!,SUBTOTAL(9,OFFSET(AB36:AB331,ROW(AB36:AB331)-MIN(ROW(AB36:AB331)),0,1)))</f>
        <v>#REF!</v>
      </c>
      <c r="AC338" s="82" t="e">
        <f ca="1">SUMPRODUCT(#REF!,SUBTOTAL(9,OFFSET(AC36:AC331,ROW(AC36:AC331)-MIN(ROW(AC36:AC331)),0,1)))</f>
        <v>#REF!</v>
      </c>
      <c r="AD338" s="82" t="e">
        <f ca="1">SUMPRODUCT(#REF!,SUBTOTAL(9,OFFSET(AD36:AD331,ROW(AD36:AD331)-MIN(ROW(AD36:AD331)),0,1)))</f>
        <v>#REF!</v>
      </c>
      <c r="AE338" s="82" t="e">
        <f ca="1">SUMPRODUCT(#REF!,SUBTOTAL(9,OFFSET(AE36:AE331,ROW(AE36:AE331)-MIN(ROW(AE36:AE331)),0,1)))</f>
        <v>#REF!</v>
      </c>
      <c r="AF338" s="82" t="e">
        <f ca="1">SUMPRODUCT(#REF!,SUBTOTAL(9,OFFSET(AF36:AF331,ROW(AF36:AF331)-MIN(ROW(AF36:AF331)),0,1)))</f>
        <v>#REF!</v>
      </c>
      <c r="AG338" s="82" t="e">
        <f ca="1">SUMPRODUCT(#REF!,SUBTOTAL(9,OFFSET(AG36:AG331,ROW(AG36:AG331)-MIN(ROW(AG36:AG331)),0,1)))</f>
        <v>#REF!</v>
      </c>
      <c r="AH338" s="82" t="e">
        <f ca="1">SUMPRODUCT(#REF!,SUBTOTAL(9,OFFSET(AH36:AH331,ROW(AH36:AH331)-MIN(ROW(AH36:AH331)),0,1)))</f>
        <v>#REF!</v>
      </c>
      <c r="AI338" s="82" t="e">
        <f ca="1">SUMPRODUCT(#REF!,SUBTOTAL(9,OFFSET(AI36:AI331,ROW(AI36:AI331)-MIN(ROW(AI36:AI331)),0,1)))</f>
        <v>#REF!</v>
      </c>
      <c r="AJ338" s="82" t="e">
        <f ca="1">SUMPRODUCT(#REF!,SUBTOTAL(9,OFFSET(AJ36:AJ331,ROW(AJ36:AJ331)-MIN(ROW(AJ36:AJ331)),0,1)))</f>
        <v>#REF!</v>
      </c>
      <c r="AK338" s="82"/>
      <c r="AL338" s="82"/>
      <c r="AP338" s="83"/>
    </row>
    <row r="339" spans="1:171" ht="64.5" thickBot="1" x14ac:dyDescent="0.25">
      <c r="K339" s="1" t="str">
        <f t="shared" ref="K339:X339" si="19">VLOOKUP(K341,$C$36:$F$331,4,)</f>
        <v>DRM F/ASSY</v>
      </c>
      <c r="L339" s="1" t="str">
        <f t="shared" si="19"/>
        <v>DRM ASSY</v>
      </c>
      <c r="M339" s="1" t="str">
        <f t="shared" si="19"/>
        <v>DRM PS ASSY RX</v>
      </c>
      <c r="N339" s="1" t="str">
        <f t="shared" si="19"/>
        <v>DRM RX ASSY</v>
      </c>
      <c r="O339" s="1" t="str">
        <f t="shared" si="19"/>
        <v>PC ASSY DRM CONTROLER NG 400</v>
      </c>
      <c r="P339" s="1" t="str">
        <f t="shared" si="19"/>
        <v>DTRM F/ASSY</v>
      </c>
      <c r="Q339" s="1" t="str">
        <f t="shared" si="19"/>
        <v>DTRM F/ASSY</v>
      </c>
      <c r="R339" s="1" t="str">
        <f t="shared" si="19"/>
        <v>DTRM POWER AMP ASSY</v>
      </c>
      <c r="S339" s="1" t="str">
        <f t="shared" si="19"/>
        <v>DTRM PC ASSY PA CR</v>
      </c>
      <c r="T339" s="1" t="str">
        <f t="shared" si="19"/>
        <v>CAPASITORS CALIBRATION KIT</v>
      </c>
      <c r="U339" s="1" t="str">
        <f t="shared" si="19"/>
        <v>BEND OF TRANSISTOR</v>
      </c>
      <c r="V339" s="1" t="str">
        <f t="shared" si="19"/>
        <v>EV CAP WITH BRACKET</v>
      </c>
      <c r="W339" s="1" t="str">
        <f t="shared" si="19"/>
        <v>INSIDE COVER ASSY</v>
      </c>
      <c r="X339" s="1" t="str">
        <f t="shared" si="19"/>
        <v>PC ASSY CONTROLLER 400</v>
      </c>
      <c r="Y339" s="1"/>
      <c r="Z339" s="1"/>
      <c r="AA339" s="1" t="str">
        <f t="shared" ref="AA339:AJ339" si="20">VLOOKUP(AA341,$C$36:$F$331,4,)</f>
        <v>D.A.D. F/ASSY</v>
      </c>
      <c r="AB339" s="1" t="str">
        <f t="shared" si="20"/>
        <v>D.A.D. ASSY</v>
      </c>
      <c r="AC339" s="1" t="str">
        <f t="shared" si="20"/>
        <v>D.A.D. POWER AMP ASSY</v>
      </c>
      <c r="AD339" s="1" t="str">
        <f t="shared" si="20"/>
        <v>D.A.D. PC ASSY PA CR</v>
      </c>
      <c r="AE339" s="1" t="str">
        <f t="shared" ref="AE339" si="21">VLOOKUP(AE341,$C$36:$F$331,4,)</f>
        <v>D.A.D. PC ASSY PA CR</v>
      </c>
      <c r="AF339" s="1" t="str">
        <f t="shared" si="20"/>
        <v>CAPASITORS CALIBRATION KIT</v>
      </c>
      <c r="AG339" s="1" t="str">
        <f t="shared" si="20"/>
        <v>BEND OF TRANSISTOR</v>
      </c>
      <c r="AH339" s="1" t="str">
        <f t="shared" si="20"/>
        <v>EV CAP WITH BRACKET</v>
      </c>
      <c r="AI339" s="1" t="str">
        <f t="shared" si="20"/>
        <v>INSIDE COVER ASSY</v>
      </c>
      <c r="AJ339" s="1" t="str">
        <f t="shared" si="20"/>
        <v>PC ASSY CONTROLLER 400</v>
      </c>
      <c r="AK339" s="84"/>
      <c r="AL339" s="84"/>
      <c r="AP339" s="83"/>
    </row>
    <row r="340" spans="1:171" ht="13.5" thickBot="1" x14ac:dyDescent="0.25">
      <c r="K340" s="1" t="e">
        <f>VLOOKUP(K341,#REF!,2,)</f>
        <v>#REF!</v>
      </c>
      <c r="L340" s="1" t="e">
        <f>VLOOKUP(L341,#REF!,2,)</f>
        <v>#REF!</v>
      </c>
      <c r="M340" s="1" t="e">
        <f>VLOOKUP(M341,#REF!,2,)</f>
        <v>#REF!</v>
      </c>
      <c r="N340" s="1" t="e">
        <f>VLOOKUP(N341,#REF!,2,)</f>
        <v>#REF!</v>
      </c>
      <c r="O340" s="1" t="e">
        <f>VLOOKUP(O341,#REF!,2,)</f>
        <v>#REF!</v>
      </c>
      <c r="P340" s="1" t="e">
        <f>VLOOKUP(P341,#REF!,2,)</f>
        <v>#REF!</v>
      </c>
      <c r="Q340" s="1" t="e">
        <f>VLOOKUP(Q341,#REF!,2,)</f>
        <v>#REF!</v>
      </c>
      <c r="R340" s="1" t="e">
        <f>VLOOKUP(R341,#REF!,2,)</f>
        <v>#REF!</v>
      </c>
      <c r="S340" s="1" t="e">
        <f>VLOOKUP(S341,#REF!,2,)</f>
        <v>#REF!</v>
      </c>
      <c r="T340" s="1" t="e">
        <f>VLOOKUP(T341,#REF!,2,)</f>
        <v>#REF!</v>
      </c>
      <c r="U340" s="1" t="e">
        <f>VLOOKUP(U341,#REF!,2,)</f>
        <v>#REF!</v>
      </c>
      <c r="V340" s="1" t="e">
        <f>VLOOKUP(V341,#REF!,2,)</f>
        <v>#REF!</v>
      </c>
      <c r="W340" s="1" t="e">
        <f>VLOOKUP(W341,#REF!,2,)</f>
        <v>#REF!</v>
      </c>
      <c r="X340" s="1" t="e">
        <f>VLOOKUP(X341,#REF!,2,)</f>
        <v>#REF!</v>
      </c>
      <c r="Y340" s="1"/>
      <c r="Z340" s="1"/>
      <c r="AA340" s="1" t="e">
        <f>VLOOKUP(AA341,#REF!,2,)</f>
        <v>#REF!</v>
      </c>
      <c r="AB340" s="1" t="e">
        <f>VLOOKUP(AB341,#REF!,2,)</f>
        <v>#REF!</v>
      </c>
      <c r="AC340" s="1" t="e">
        <f>VLOOKUP(AC341,#REF!,2,)</f>
        <v>#REF!</v>
      </c>
      <c r="AD340" s="1" t="e">
        <f>VLOOKUP(AD341,#REF!,2,)</f>
        <v>#REF!</v>
      </c>
      <c r="AE340" s="1" t="e">
        <f>VLOOKUP(AE341,#REF!,2,)</f>
        <v>#REF!</v>
      </c>
      <c r="AF340" s="1" t="e">
        <f>VLOOKUP(AF341,#REF!,2,)</f>
        <v>#REF!</v>
      </c>
      <c r="AG340" s="1" t="e">
        <f>VLOOKUP(AG341,#REF!,2,)</f>
        <v>#REF!</v>
      </c>
      <c r="AH340" s="1" t="e">
        <f>VLOOKUP(AH341,#REF!,2,)</f>
        <v>#REF!</v>
      </c>
      <c r="AI340" s="1" t="e">
        <f>VLOOKUP(AI341,#REF!,2,)</f>
        <v>#REF!</v>
      </c>
      <c r="AJ340" s="1" t="e">
        <f>VLOOKUP(AJ341,#REF!,2,)</f>
        <v>#REF!</v>
      </c>
      <c r="AK340" s="84"/>
      <c r="AL340" s="84"/>
      <c r="AP340" s="83"/>
    </row>
    <row r="341" spans="1:171" ht="26.25" thickBot="1" x14ac:dyDescent="0.25">
      <c r="K341" s="1" t="s">
        <v>36</v>
      </c>
      <c r="L341" s="1" t="s">
        <v>37</v>
      </c>
      <c r="M341" s="1" t="s">
        <v>38</v>
      </c>
      <c r="N341" s="1" t="s">
        <v>39</v>
      </c>
      <c r="O341" s="1" t="s">
        <v>40</v>
      </c>
      <c r="P341" s="1" t="s">
        <v>41</v>
      </c>
      <c r="Q341" s="1" t="s">
        <v>42</v>
      </c>
      <c r="R341" s="1" t="s">
        <v>43</v>
      </c>
      <c r="S341" s="1" t="s">
        <v>44</v>
      </c>
      <c r="T341" s="1" t="s">
        <v>45</v>
      </c>
      <c r="U341" s="1" t="s">
        <v>46</v>
      </c>
      <c r="V341" s="1" t="s">
        <v>47</v>
      </c>
      <c r="W341" s="1" t="s">
        <v>48</v>
      </c>
      <c r="X341" s="1" t="s">
        <v>49</v>
      </c>
      <c r="Y341" s="1"/>
      <c r="Z341" s="1"/>
      <c r="AA341" s="1" t="s">
        <v>50</v>
      </c>
      <c r="AB341" s="1" t="s">
        <v>51</v>
      </c>
      <c r="AC341" s="1" t="s">
        <v>52</v>
      </c>
      <c r="AD341" s="1" t="s">
        <v>53</v>
      </c>
      <c r="AE341" s="1" t="s">
        <v>53</v>
      </c>
      <c r="AF341" s="1" t="s">
        <v>45</v>
      </c>
      <c r="AG341" s="1" t="s">
        <v>46</v>
      </c>
      <c r="AH341" s="1" t="s">
        <v>47</v>
      </c>
      <c r="AI341" s="1" t="s">
        <v>48</v>
      </c>
      <c r="AJ341" s="1" t="s">
        <v>49</v>
      </c>
      <c r="AK341" s="84"/>
      <c r="AL341" s="84"/>
      <c r="AP341" s="83"/>
    </row>
    <row r="343" spans="1:171" x14ac:dyDescent="0.2">
      <c r="AL343" s="86"/>
    </row>
  </sheetData>
  <autoFilter ref="A35:DW346" xr:uid="{00000000-0009-0000-0000-000002000000}"/>
  <mergeCells count="3">
    <mergeCell ref="CI4:DW8"/>
    <mergeCell ref="AR29:CE34"/>
    <mergeCell ref="EA4:FO8"/>
  </mergeCells>
  <conditionalFormatting sqref="CI36:DW337">
    <cfRule type="cellIs" dxfId="3" priority="12" stopIfTrue="1" operator="lessThan">
      <formula>0</formula>
    </cfRule>
    <cfRule type="cellIs" dxfId="2" priority="13" stopIfTrue="1" operator="greaterThanOrEqual">
      <formula>0</formula>
    </cfRule>
  </conditionalFormatting>
  <conditionalFormatting sqref="EA36:FO337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pageMargins left="0.75" right="0.75" top="1" bottom="1" header="0.5" footer="0.5"/>
  <pageSetup paperSize="9" fitToWidth="0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8C504AA7F77478497718D4070D644" ma:contentTypeVersion="12" ma:contentTypeDescription="Create a new document." ma:contentTypeScope="" ma:versionID="5f6d29a6e73f711883d459d7143ee12a">
  <xsd:schema xmlns:xsd="http://www.w3.org/2001/XMLSchema" xmlns:xs="http://www.w3.org/2001/XMLSchema" xmlns:p="http://schemas.microsoft.com/office/2006/metadata/properties" xmlns:ns2="ca43d8be-6803-4817-8958-a7bc4afc9835" xmlns:ns3="95f20607-3301-4a54-ae4b-a397312cae4c" targetNamespace="http://schemas.microsoft.com/office/2006/metadata/properties" ma:root="true" ma:fieldsID="8d37f2c076d8dbb7bdaffa21bc562e1e" ns2:_="" ns3:_="">
    <xsd:import namespace="ca43d8be-6803-4817-8958-a7bc4afc9835"/>
    <xsd:import namespace="95f20607-3301-4a54-ae4b-a397312cae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3d8be-6803-4817-8958-a7bc4afc9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d35568-e9fe-4d39-8b19-79417c31f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20607-3301-4a54-ae4b-a397312cae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c996b7-99f2-4187-b7f9-494deace8621}" ma:internalName="TaxCatchAll" ma:showField="CatchAllData" ma:web="95f20607-3301-4a54-ae4b-a397312cae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43d8be-6803-4817-8958-a7bc4afc9835">
      <Terms xmlns="http://schemas.microsoft.com/office/infopath/2007/PartnerControls"/>
    </lcf76f155ced4ddcb4097134ff3c332f>
    <TaxCatchAll xmlns="95f20607-3301-4a54-ae4b-a397312cae4c" xsi:nil="true"/>
  </documentManagement>
</p:properties>
</file>

<file path=customXml/itemProps1.xml><?xml version="1.0" encoding="utf-8"?>
<ds:datastoreItem xmlns:ds="http://schemas.openxmlformats.org/officeDocument/2006/customXml" ds:itemID="{1B7041CA-7643-4002-9551-CE6711ABBC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9784A4-DEFC-481D-902B-E88FE8583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3d8be-6803-4817-8958-a7bc4afc9835"/>
    <ds:schemaRef ds:uri="95f20607-3301-4a54-ae4b-a397312cae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973B1-C80B-4934-B8C8-6F378CFCB10A}">
  <ds:schemaRefs>
    <ds:schemaRef ds:uri="http://schemas.openxmlformats.org/package/2006/metadata/core-properties"/>
    <ds:schemaRef ds:uri="http://schemas.microsoft.com/office/infopath/2007/PartnerControls"/>
    <ds:schemaRef ds:uri="95f20607-3301-4a54-ae4b-a397312cae4c"/>
    <ds:schemaRef ds:uri="ca43d8be-6803-4817-8958-a7bc4afc9835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avl 18.08.24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Elyaho Sagi ELT 75591</dc:creator>
  <cp:keywords/>
  <dc:description/>
  <cp:lastModifiedBy>IMOE001</cp:lastModifiedBy>
  <dcterms:created xsi:type="dcterms:W3CDTF">2024-08-19T08:07:58Z</dcterms:created>
  <dcterms:modified xsi:type="dcterms:W3CDTF">2026-08-07T21:27:32Z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0x01010005C8C504AA7F77478497718D4070D644</vt:lpwstr>
  </property>
  <property fmtid="{D5CDD505-2E9C-101B-9397-08002B2CF9AE}" pid="3" name="MediaServiceImageTags">
    <vt:lpwstr/>
  </property>
</Properties>
</file>