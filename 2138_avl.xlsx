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C:\Users\oram1003\Desktop\OFFSET BTP\"/>
    </mc:Choice>
  </mc:AlternateContent>
  <xr:revisionPtr revIDLastSave="0" documentId="8_{B8EAACC0-6EEB-4053-BF09-E04C98D0121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Sheet1!$A$10:$CV$209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J212" i="1" l="1"/>
  <c r="BJ12" i="1" l="1" a="1"/>
  <c r="BJ12" i="1" s="1"/>
  <c r="BK12" i="1" a="1"/>
  <c r="BK12" i="1" s="1"/>
  <c r="BL12" i="1" a="1"/>
  <c r="BL12" i="1" s="1"/>
  <c r="BM12" i="1" a="1"/>
  <c r="BM12" i="1" s="1"/>
  <c r="BN12" i="1" a="1"/>
  <c r="BN12" i="1" s="1"/>
  <c r="BJ13" i="1" a="1"/>
  <c r="BJ13" i="1" s="1"/>
  <c r="BK13" i="1" a="1"/>
  <c r="BK13" i="1" s="1"/>
  <c r="BL13" i="1" a="1"/>
  <c r="BL13" i="1" s="1"/>
  <c r="BM13" i="1" a="1"/>
  <c r="BM13" i="1" s="1"/>
  <c r="BN13" i="1" a="1"/>
  <c r="BN13" i="1" s="1"/>
  <c r="BJ14" i="1" a="1"/>
  <c r="BJ14" i="1" s="1"/>
  <c r="BK14" i="1" a="1"/>
  <c r="BK14" i="1" s="1"/>
  <c r="BL14" i="1" a="1"/>
  <c r="BL14" i="1" s="1"/>
  <c r="BM14" i="1" a="1"/>
  <c r="BM14" i="1" s="1"/>
  <c r="BN14" i="1" a="1"/>
  <c r="BN14" i="1" s="1"/>
  <c r="BJ15" i="1" a="1"/>
  <c r="BJ15" i="1" s="1"/>
  <c r="BK15" i="1" a="1"/>
  <c r="BK15" i="1" s="1"/>
  <c r="BL15" i="1" a="1"/>
  <c r="BL15" i="1" s="1"/>
  <c r="BM15" i="1" a="1"/>
  <c r="BM15" i="1" s="1"/>
  <c r="BN15" i="1" a="1"/>
  <c r="BN15" i="1" s="1"/>
  <c r="BJ16" i="1" a="1"/>
  <c r="BJ16" i="1" s="1"/>
  <c r="BK16" i="1" a="1"/>
  <c r="BK16" i="1" s="1"/>
  <c r="BL16" i="1" a="1"/>
  <c r="BL16" i="1" s="1"/>
  <c r="BM16" i="1" a="1"/>
  <c r="BM16" i="1" s="1"/>
  <c r="BN16" i="1" a="1"/>
  <c r="BN16" i="1" s="1"/>
  <c r="BJ17" i="1" a="1"/>
  <c r="BJ17" i="1" s="1"/>
  <c r="BK17" i="1" a="1"/>
  <c r="BK17" i="1" s="1"/>
  <c r="BL17" i="1" a="1"/>
  <c r="BL17" i="1" s="1"/>
  <c r="BM17" i="1" a="1"/>
  <c r="BM17" i="1" s="1"/>
  <c r="BN17" i="1" a="1"/>
  <c r="BN17" i="1" s="1"/>
  <c r="BJ18" i="1" a="1"/>
  <c r="BJ18" i="1" s="1"/>
  <c r="BK18" i="1" a="1"/>
  <c r="BK18" i="1" s="1"/>
  <c r="BL18" i="1" a="1"/>
  <c r="BL18" i="1" s="1"/>
  <c r="BM18" i="1" a="1"/>
  <c r="BM18" i="1" s="1"/>
  <c r="BN18" i="1" a="1"/>
  <c r="BN18" i="1" s="1"/>
  <c r="BJ19" i="1" a="1"/>
  <c r="BJ19" i="1" s="1"/>
  <c r="BK19" i="1" a="1"/>
  <c r="BK19" i="1" s="1"/>
  <c r="BL19" i="1" a="1"/>
  <c r="BL19" i="1" s="1"/>
  <c r="BM19" i="1" a="1"/>
  <c r="BM19" i="1" s="1"/>
  <c r="BN19" i="1" a="1"/>
  <c r="BN19" i="1" s="1"/>
  <c r="BJ20" i="1" a="1"/>
  <c r="BJ20" i="1" s="1"/>
  <c r="BK20" i="1" a="1"/>
  <c r="BK20" i="1" s="1"/>
  <c r="BL20" i="1" a="1"/>
  <c r="BL20" i="1" s="1"/>
  <c r="BM20" i="1" a="1"/>
  <c r="BM20" i="1" s="1"/>
  <c r="BN20" i="1" a="1"/>
  <c r="BN20" i="1" s="1"/>
  <c r="BJ21" i="1" a="1"/>
  <c r="BJ21" i="1" s="1"/>
  <c r="BK21" i="1" a="1"/>
  <c r="BK21" i="1" s="1"/>
  <c r="BL21" i="1" a="1"/>
  <c r="BL21" i="1" s="1"/>
  <c r="BM21" i="1" a="1"/>
  <c r="BM21" i="1" s="1"/>
  <c r="BN21" i="1" a="1"/>
  <c r="BN21" i="1" s="1"/>
  <c r="BJ22" i="1" a="1"/>
  <c r="BJ22" i="1" s="1"/>
  <c r="BK22" i="1" a="1"/>
  <c r="BK22" i="1" s="1"/>
  <c r="BL22" i="1" a="1"/>
  <c r="BL22" i="1" s="1"/>
  <c r="BM22" i="1" a="1"/>
  <c r="BM22" i="1" s="1"/>
  <c r="BN22" i="1" a="1"/>
  <c r="BN22" i="1" s="1"/>
  <c r="BJ23" i="1" a="1"/>
  <c r="BJ23" i="1" s="1"/>
  <c r="BK23" i="1" a="1"/>
  <c r="BK23" i="1" s="1"/>
  <c r="BL23" i="1" a="1"/>
  <c r="BL23" i="1" s="1"/>
  <c r="BM23" i="1" a="1"/>
  <c r="BM23" i="1" s="1"/>
  <c r="BN23" i="1" a="1"/>
  <c r="BN23" i="1" s="1"/>
  <c r="BJ24" i="1" a="1"/>
  <c r="BJ24" i="1" s="1"/>
  <c r="BK24" i="1" a="1"/>
  <c r="BK24" i="1" s="1"/>
  <c r="BL24" i="1" a="1"/>
  <c r="BL24" i="1" s="1"/>
  <c r="BM24" i="1" a="1"/>
  <c r="BM24" i="1" s="1"/>
  <c r="BN24" i="1" a="1"/>
  <c r="BN24" i="1" s="1"/>
  <c r="BJ25" i="1" a="1"/>
  <c r="BJ25" i="1" s="1"/>
  <c r="BK25" i="1" a="1"/>
  <c r="BK25" i="1" s="1"/>
  <c r="BL25" i="1" a="1"/>
  <c r="BL25" i="1" s="1"/>
  <c r="BM25" i="1" a="1"/>
  <c r="BM25" i="1" s="1"/>
  <c r="BN25" i="1" a="1"/>
  <c r="BN25" i="1" s="1"/>
  <c r="BJ26" i="1" a="1"/>
  <c r="BJ26" i="1" s="1"/>
  <c r="BK26" i="1" a="1"/>
  <c r="BK26" i="1" s="1"/>
  <c r="BL26" i="1" a="1"/>
  <c r="BL26" i="1" s="1"/>
  <c r="BM26" i="1" a="1"/>
  <c r="BM26" i="1" s="1"/>
  <c r="BN26" i="1" a="1"/>
  <c r="BN26" i="1" s="1"/>
  <c r="BJ27" i="1" a="1"/>
  <c r="BJ27" i="1" s="1"/>
  <c r="BK27" i="1" a="1"/>
  <c r="BK27" i="1" s="1"/>
  <c r="BL27" i="1" a="1"/>
  <c r="BL27" i="1" s="1"/>
  <c r="BM27" i="1" a="1"/>
  <c r="BM27" i="1" s="1"/>
  <c r="BN27" i="1" a="1"/>
  <c r="BN27" i="1" s="1"/>
  <c r="BJ28" i="1" a="1"/>
  <c r="BJ28" i="1" s="1"/>
  <c r="BK28" i="1" a="1"/>
  <c r="BK28" i="1" s="1"/>
  <c r="BL28" i="1" a="1"/>
  <c r="BL28" i="1" s="1"/>
  <c r="BM28" i="1" a="1"/>
  <c r="BM28" i="1" s="1"/>
  <c r="BN28" i="1" a="1"/>
  <c r="BN28" i="1" s="1"/>
  <c r="BJ29" i="1" a="1"/>
  <c r="BJ29" i="1" s="1"/>
  <c r="BK29" i="1" a="1"/>
  <c r="BK29" i="1" s="1"/>
  <c r="BL29" i="1" a="1"/>
  <c r="BL29" i="1" s="1"/>
  <c r="BM29" i="1" a="1"/>
  <c r="BM29" i="1" s="1"/>
  <c r="BN29" i="1" a="1"/>
  <c r="BN29" i="1" s="1"/>
  <c r="BJ30" i="1" a="1"/>
  <c r="BJ30" i="1" s="1"/>
  <c r="BK30" i="1" a="1"/>
  <c r="BK30" i="1" s="1"/>
  <c r="BL30" i="1" a="1"/>
  <c r="BL30" i="1" s="1"/>
  <c r="BM30" i="1" a="1"/>
  <c r="BM30" i="1" s="1"/>
  <c r="BN30" i="1" a="1"/>
  <c r="BN30" i="1" s="1"/>
  <c r="BJ31" i="1" a="1"/>
  <c r="BJ31" i="1" s="1"/>
  <c r="BK31" i="1" a="1"/>
  <c r="BK31" i="1" s="1"/>
  <c r="BL31" i="1" a="1"/>
  <c r="BL31" i="1" s="1"/>
  <c r="BM31" i="1" a="1"/>
  <c r="BM31" i="1" s="1"/>
  <c r="BN31" i="1" a="1"/>
  <c r="BN31" i="1" s="1"/>
  <c r="BJ32" i="1" a="1"/>
  <c r="BJ32" i="1" s="1"/>
  <c r="BK32" i="1" a="1"/>
  <c r="BK32" i="1" s="1"/>
  <c r="BL32" i="1" a="1"/>
  <c r="BL32" i="1" s="1"/>
  <c r="BM32" i="1" a="1"/>
  <c r="BM32" i="1" s="1"/>
  <c r="BN32" i="1" a="1"/>
  <c r="BN32" i="1" s="1"/>
  <c r="BJ33" i="1" a="1"/>
  <c r="BJ33" i="1" s="1"/>
  <c r="BK33" i="1" a="1"/>
  <c r="BK33" i="1" s="1"/>
  <c r="BL33" i="1" a="1"/>
  <c r="BL33" i="1" s="1"/>
  <c r="BM33" i="1" a="1"/>
  <c r="BM33" i="1" s="1"/>
  <c r="BN33" i="1" a="1"/>
  <c r="BN33" i="1" s="1"/>
  <c r="BJ34" i="1" a="1"/>
  <c r="BJ34" i="1" s="1"/>
  <c r="BK34" i="1" a="1"/>
  <c r="BK34" i="1" s="1"/>
  <c r="BL34" i="1" a="1"/>
  <c r="BL34" i="1" s="1"/>
  <c r="BM34" i="1" a="1"/>
  <c r="BM34" i="1" s="1"/>
  <c r="BN34" i="1" a="1"/>
  <c r="BN34" i="1" s="1"/>
  <c r="BJ35" i="1" a="1"/>
  <c r="BJ35" i="1" s="1"/>
  <c r="BK35" i="1" a="1"/>
  <c r="BK35" i="1" s="1"/>
  <c r="BL35" i="1" a="1"/>
  <c r="BL35" i="1" s="1"/>
  <c r="BM35" i="1" a="1"/>
  <c r="BM35" i="1" s="1"/>
  <c r="BN35" i="1" a="1"/>
  <c r="BN35" i="1" s="1"/>
  <c r="BJ36" i="1" a="1"/>
  <c r="BJ36" i="1" s="1"/>
  <c r="BK36" i="1" a="1"/>
  <c r="BK36" i="1" s="1"/>
  <c r="BL36" i="1" a="1"/>
  <c r="BL36" i="1" s="1"/>
  <c r="BM36" i="1" a="1"/>
  <c r="BM36" i="1" s="1"/>
  <c r="BN36" i="1" a="1"/>
  <c r="BN36" i="1" s="1"/>
  <c r="BJ37" i="1" a="1"/>
  <c r="BJ37" i="1" s="1"/>
  <c r="BK37" i="1" a="1"/>
  <c r="BK37" i="1" s="1"/>
  <c r="BL37" i="1" a="1"/>
  <c r="BL37" i="1" s="1"/>
  <c r="BM37" i="1" a="1"/>
  <c r="BM37" i="1" s="1"/>
  <c r="BN37" i="1" a="1"/>
  <c r="BN37" i="1" s="1"/>
  <c r="BJ38" i="1" a="1"/>
  <c r="BJ38" i="1" s="1"/>
  <c r="BK38" i="1" a="1"/>
  <c r="BK38" i="1" s="1"/>
  <c r="BL38" i="1" a="1"/>
  <c r="BL38" i="1" s="1"/>
  <c r="BM38" i="1" a="1"/>
  <c r="BM38" i="1" s="1"/>
  <c r="BN38" i="1" a="1"/>
  <c r="BN38" i="1" s="1"/>
  <c r="BJ39" i="1" a="1"/>
  <c r="BJ39" i="1" s="1"/>
  <c r="BK39" i="1" a="1"/>
  <c r="BK39" i="1" s="1"/>
  <c r="BL39" i="1" a="1"/>
  <c r="BL39" i="1" s="1"/>
  <c r="BM39" i="1" a="1"/>
  <c r="BM39" i="1" s="1"/>
  <c r="BN39" i="1" a="1"/>
  <c r="BN39" i="1" s="1"/>
  <c r="BJ40" i="1" a="1"/>
  <c r="BJ40" i="1" s="1"/>
  <c r="BK40" i="1" a="1"/>
  <c r="BK40" i="1" s="1"/>
  <c r="BL40" i="1" a="1"/>
  <c r="BL40" i="1" s="1"/>
  <c r="BM40" i="1" a="1"/>
  <c r="BM40" i="1" s="1"/>
  <c r="BN40" i="1" a="1"/>
  <c r="BN40" i="1" s="1"/>
  <c r="BJ41" i="1" a="1"/>
  <c r="BJ41" i="1" s="1"/>
  <c r="BK41" i="1" a="1"/>
  <c r="BK41" i="1" s="1"/>
  <c r="BL41" i="1" a="1"/>
  <c r="BL41" i="1" s="1"/>
  <c r="BM41" i="1" a="1"/>
  <c r="BM41" i="1" s="1"/>
  <c r="BN41" i="1" a="1"/>
  <c r="BN41" i="1" s="1"/>
  <c r="BJ42" i="1" a="1"/>
  <c r="BJ42" i="1" s="1"/>
  <c r="BK42" i="1" a="1"/>
  <c r="BK42" i="1" s="1"/>
  <c r="BL42" i="1" a="1"/>
  <c r="BL42" i="1" s="1"/>
  <c r="BM42" i="1" a="1"/>
  <c r="BM42" i="1" s="1"/>
  <c r="BN42" i="1" a="1"/>
  <c r="BN42" i="1" s="1"/>
  <c r="BJ43" i="1" a="1"/>
  <c r="BJ43" i="1" s="1"/>
  <c r="BK43" i="1" a="1"/>
  <c r="BK43" i="1" s="1"/>
  <c r="BL43" i="1" a="1"/>
  <c r="BL43" i="1" s="1"/>
  <c r="BM43" i="1" a="1"/>
  <c r="BM43" i="1" s="1"/>
  <c r="BN43" i="1" a="1"/>
  <c r="BN43" i="1" s="1"/>
  <c r="BJ44" i="1" a="1"/>
  <c r="BJ44" i="1" s="1"/>
  <c r="BK44" i="1" a="1"/>
  <c r="BK44" i="1" s="1"/>
  <c r="BL44" i="1" a="1"/>
  <c r="BL44" i="1" s="1"/>
  <c r="BM44" i="1" a="1"/>
  <c r="BM44" i="1" s="1"/>
  <c r="BN44" i="1" a="1"/>
  <c r="BN44" i="1" s="1"/>
  <c r="BJ45" i="1" a="1"/>
  <c r="BJ45" i="1" s="1"/>
  <c r="BK45" i="1" a="1"/>
  <c r="BK45" i="1" s="1"/>
  <c r="BL45" i="1" a="1"/>
  <c r="BL45" i="1" s="1"/>
  <c r="BM45" i="1" a="1"/>
  <c r="BM45" i="1" s="1"/>
  <c r="BN45" i="1" a="1"/>
  <c r="BN45" i="1" s="1"/>
  <c r="BJ46" i="1" a="1"/>
  <c r="BJ46" i="1" s="1"/>
  <c r="BK46" i="1" a="1"/>
  <c r="BK46" i="1" s="1"/>
  <c r="BL46" i="1" a="1"/>
  <c r="BL46" i="1" s="1"/>
  <c r="BM46" i="1" a="1"/>
  <c r="BM46" i="1" s="1"/>
  <c r="BN46" i="1" a="1"/>
  <c r="BN46" i="1" s="1"/>
  <c r="BJ47" i="1" a="1"/>
  <c r="BJ47" i="1" s="1"/>
  <c r="BK47" i="1" a="1"/>
  <c r="BK47" i="1" s="1"/>
  <c r="BL47" i="1" a="1"/>
  <c r="BL47" i="1" s="1"/>
  <c r="BM47" i="1" a="1"/>
  <c r="BM47" i="1" s="1"/>
  <c r="BN47" i="1" a="1"/>
  <c r="BN47" i="1" s="1"/>
  <c r="BJ48" i="1" a="1"/>
  <c r="BJ48" i="1" s="1"/>
  <c r="BK48" i="1" a="1"/>
  <c r="BK48" i="1" s="1"/>
  <c r="BL48" i="1" a="1"/>
  <c r="BL48" i="1" s="1"/>
  <c r="BM48" i="1" a="1"/>
  <c r="BM48" i="1" s="1"/>
  <c r="BN48" i="1" a="1"/>
  <c r="BN48" i="1" s="1"/>
  <c r="BJ49" i="1" a="1"/>
  <c r="BJ49" i="1" s="1"/>
  <c r="BK49" i="1" a="1"/>
  <c r="BK49" i="1" s="1"/>
  <c r="BL49" i="1" a="1"/>
  <c r="BL49" i="1" s="1"/>
  <c r="BM49" i="1" a="1"/>
  <c r="BM49" i="1" s="1"/>
  <c r="BN49" i="1" a="1"/>
  <c r="BN49" i="1" s="1"/>
  <c r="BJ50" i="1" a="1"/>
  <c r="BJ50" i="1" s="1"/>
  <c r="BK50" i="1" a="1"/>
  <c r="BK50" i="1" s="1"/>
  <c r="BL50" i="1" a="1"/>
  <c r="BL50" i="1" s="1"/>
  <c r="BM50" i="1" a="1"/>
  <c r="BM50" i="1" s="1"/>
  <c r="BN50" i="1" a="1"/>
  <c r="BN50" i="1" s="1"/>
  <c r="BJ51" i="1" a="1"/>
  <c r="BJ51" i="1" s="1"/>
  <c r="BK51" i="1" a="1"/>
  <c r="BK51" i="1" s="1"/>
  <c r="BL51" i="1" a="1"/>
  <c r="BL51" i="1" s="1"/>
  <c r="BM51" i="1" a="1"/>
  <c r="BM51" i="1" s="1"/>
  <c r="BN51" i="1" a="1"/>
  <c r="BN51" i="1" s="1"/>
  <c r="BJ52" i="1" a="1"/>
  <c r="BJ52" i="1" s="1"/>
  <c r="BK52" i="1" a="1"/>
  <c r="BK52" i="1" s="1"/>
  <c r="BL52" i="1" a="1"/>
  <c r="BL52" i="1" s="1"/>
  <c r="BM52" i="1" a="1"/>
  <c r="BM52" i="1" s="1"/>
  <c r="BN52" i="1" a="1"/>
  <c r="BN52" i="1" s="1"/>
  <c r="BJ53" i="1" a="1"/>
  <c r="BJ53" i="1" s="1"/>
  <c r="BK53" i="1" a="1"/>
  <c r="BK53" i="1" s="1"/>
  <c r="BL53" i="1" a="1"/>
  <c r="BL53" i="1" s="1"/>
  <c r="BM53" i="1" a="1"/>
  <c r="BM53" i="1" s="1"/>
  <c r="BN53" i="1" a="1"/>
  <c r="BN53" i="1" s="1"/>
  <c r="BJ54" i="1" a="1"/>
  <c r="BJ54" i="1" s="1"/>
  <c r="BK54" i="1" a="1"/>
  <c r="BK54" i="1" s="1"/>
  <c r="BL54" i="1" a="1"/>
  <c r="BL54" i="1" s="1"/>
  <c r="BM54" i="1" a="1"/>
  <c r="BM54" i="1" s="1"/>
  <c r="BN54" i="1" a="1"/>
  <c r="BN54" i="1" s="1"/>
  <c r="BJ55" i="1" a="1"/>
  <c r="BJ55" i="1" s="1"/>
  <c r="BK55" i="1" a="1"/>
  <c r="BK55" i="1" s="1"/>
  <c r="BL55" i="1" a="1"/>
  <c r="BL55" i="1" s="1"/>
  <c r="BM55" i="1" a="1"/>
  <c r="BM55" i="1" s="1"/>
  <c r="BN55" i="1" a="1"/>
  <c r="BN55" i="1" s="1"/>
  <c r="BJ56" i="1" a="1"/>
  <c r="BJ56" i="1" s="1"/>
  <c r="BK56" i="1" a="1"/>
  <c r="BK56" i="1" s="1"/>
  <c r="BL56" i="1" a="1"/>
  <c r="BL56" i="1" s="1"/>
  <c r="BM56" i="1" a="1"/>
  <c r="BM56" i="1" s="1"/>
  <c r="BN56" i="1" a="1"/>
  <c r="BN56" i="1" s="1"/>
  <c r="BJ57" i="1" a="1"/>
  <c r="BJ57" i="1" s="1"/>
  <c r="BK57" i="1" a="1"/>
  <c r="BK57" i="1" s="1"/>
  <c r="BL57" i="1" a="1"/>
  <c r="BL57" i="1" s="1"/>
  <c r="BM57" i="1" a="1"/>
  <c r="BM57" i="1" s="1"/>
  <c r="BN57" i="1" a="1"/>
  <c r="BN57" i="1" s="1"/>
  <c r="BJ58" i="1" a="1"/>
  <c r="BJ58" i="1" s="1"/>
  <c r="BK58" i="1" a="1"/>
  <c r="BK58" i="1" s="1"/>
  <c r="BL58" i="1" a="1"/>
  <c r="BL58" i="1" s="1"/>
  <c r="BM58" i="1" a="1"/>
  <c r="BM58" i="1" s="1"/>
  <c r="BN58" i="1" a="1"/>
  <c r="BN58" i="1" s="1"/>
  <c r="BJ59" i="1" a="1"/>
  <c r="BJ59" i="1" s="1"/>
  <c r="BK59" i="1" a="1"/>
  <c r="BK59" i="1" s="1"/>
  <c r="BL59" i="1" a="1"/>
  <c r="BL59" i="1" s="1"/>
  <c r="BM59" i="1" a="1"/>
  <c r="BM59" i="1" s="1"/>
  <c r="BN59" i="1" a="1"/>
  <c r="BN59" i="1" s="1"/>
  <c r="BJ60" i="1" a="1"/>
  <c r="BJ60" i="1" s="1"/>
  <c r="BK60" i="1" a="1"/>
  <c r="BK60" i="1" s="1"/>
  <c r="BL60" i="1" a="1"/>
  <c r="BL60" i="1" s="1"/>
  <c r="BM60" i="1" a="1"/>
  <c r="BM60" i="1" s="1"/>
  <c r="BN60" i="1" a="1"/>
  <c r="BN60" i="1" s="1"/>
  <c r="BJ61" i="1" a="1"/>
  <c r="BJ61" i="1" s="1"/>
  <c r="BK61" i="1" a="1"/>
  <c r="BK61" i="1" s="1"/>
  <c r="BL61" i="1" a="1"/>
  <c r="BL61" i="1" s="1"/>
  <c r="BM61" i="1" a="1"/>
  <c r="BM61" i="1" s="1"/>
  <c r="BN61" i="1" a="1"/>
  <c r="BN61" i="1" s="1"/>
  <c r="BJ62" i="1" a="1"/>
  <c r="BJ62" i="1" s="1"/>
  <c r="BK62" i="1" a="1"/>
  <c r="BK62" i="1" s="1"/>
  <c r="BL62" i="1" a="1"/>
  <c r="BL62" i="1" s="1"/>
  <c r="BM62" i="1" a="1"/>
  <c r="BM62" i="1" s="1"/>
  <c r="BN62" i="1" a="1"/>
  <c r="BN62" i="1" s="1"/>
  <c r="BJ63" i="1" a="1"/>
  <c r="BJ63" i="1" s="1"/>
  <c r="BK63" i="1" a="1"/>
  <c r="BK63" i="1" s="1"/>
  <c r="BL63" i="1" a="1"/>
  <c r="BL63" i="1" s="1"/>
  <c r="BM63" i="1" a="1"/>
  <c r="BM63" i="1" s="1"/>
  <c r="BN63" i="1" a="1"/>
  <c r="BN63" i="1" s="1"/>
  <c r="BJ64" i="1" a="1"/>
  <c r="BJ64" i="1" s="1"/>
  <c r="BK64" i="1" a="1"/>
  <c r="BK64" i="1" s="1"/>
  <c r="BL64" i="1" a="1"/>
  <c r="BL64" i="1" s="1"/>
  <c r="BM64" i="1" a="1"/>
  <c r="BM64" i="1" s="1"/>
  <c r="BN64" i="1" a="1"/>
  <c r="BN64" i="1" s="1"/>
  <c r="BJ65" i="1" a="1"/>
  <c r="BJ65" i="1" s="1"/>
  <c r="BK65" i="1" a="1"/>
  <c r="BK65" i="1" s="1"/>
  <c r="BL65" i="1" a="1"/>
  <c r="BL65" i="1" s="1"/>
  <c r="BM65" i="1" a="1"/>
  <c r="BM65" i="1" s="1"/>
  <c r="BN65" i="1" a="1"/>
  <c r="BN65" i="1" s="1"/>
  <c r="BJ66" i="1" a="1"/>
  <c r="BJ66" i="1" s="1"/>
  <c r="BK66" i="1" a="1"/>
  <c r="BK66" i="1" s="1"/>
  <c r="BL66" i="1" a="1"/>
  <c r="BL66" i="1" s="1"/>
  <c r="BM66" i="1" a="1"/>
  <c r="BM66" i="1" s="1"/>
  <c r="BN66" i="1" a="1"/>
  <c r="BN66" i="1" s="1"/>
  <c r="BJ67" i="1" a="1"/>
  <c r="BJ67" i="1" s="1"/>
  <c r="BK67" i="1" a="1"/>
  <c r="BK67" i="1" s="1"/>
  <c r="BL67" i="1" a="1"/>
  <c r="BL67" i="1" s="1"/>
  <c r="BM67" i="1" a="1"/>
  <c r="BM67" i="1" s="1"/>
  <c r="BN67" i="1" a="1"/>
  <c r="BN67" i="1" s="1"/>
  <c r="BJ68" i="1" a="1"/>
  <c r="BJ68" i="1" s="1"/>
  <c r="BK68" i="1" a="1"/>
  <c r="BK68" i="1" s="1"/>
  <c r="BL68" i="1" a="1"/>
  <c r="BL68" i="1" s="1"/>
  <c r="BM68" i="1" a="1"/>
  <c r="BM68" i="1" s="1"/>
  <c r="BN68" i="1" a="1"/>
  <c r="BN68" i="1" s="1"/>
  <c r="BJ69" i="1" a="1"/>
  <c r="BJ69" i="1" s="1"/>
  <c r="BK69" i="1" a="1"/>
  <c r="BK69" i="1" s="1"/>
  <c r="BL69" i="1" a="1"/>
  <c r="BL69" i="1" s="1"/>
  <c r="BM69" i="1" a="1"/>
  <c r="BM69" i="1" s="1"/>
  <c r="BN69" i="1" a="1"/>
  <c r="BN69" i="1" s="1"/>
  <c r="BJ70" i="1" a="1"/>
  <c r="BJ70" i="1" s="1"/>
  <c r="BK70" i="1" a="1"/>
  <c r="BK70" i="1" s="1"/>
  <c r="BL70" i="1" a="1"/>
  <c r="BL70" i="1" s="1"/>
  <c r="BM70" i="1" a="1"/>
  <c r="BM70" i="1" s="1"/>
  <c r="BN70" i="1" a="1"/>
  <c r="BN70" i="1" s="1"/>
  <c r="BJ71" i="1" a="1"/>
  <c r="BJ71" i="1" s="1"/>
  <c r="BK71" i="1" a="1"/>
  <c r="BK71" i="1" s="1"/>
  <c r="BL71" i="1" a="1"/>
  <c r="BL71" i="1" s="1"/>
  <c r="BM71" i="1" a="1"/>
  <c r="BM71" i="1" s="1"/>
  <c r="BN71" i="1" a="1"/>
  <c r="BN71" i="1" s="1"/>
  <c r="BJ72" i="1" a="1"/>
  <c r="BJ72" i="1" s="1"/>
  <c r="BK72" i="1" a="1"/>
  <c r="BK72" i="1" s="1"/>
  <c r="BL72" i="1" a="1"/>
  <c r="BL72" i="1" s="1"/>
  <c r="BM72" i="1" a="1"/>
  <c r="BM72" i="1" s="1"/>
  <c r="BN72" i="1" a="1"/>
  <c r="BN72" i="1" s="1"/>
  <c r="BJ73" i="1" a="1"/>
  <c r="BJ73" i="1" s="1"/>
  <c r="BK73" i="1" a="1"/>
  <c r="BK73" i="1" s="1"/>
  <c r="BL73" i="1" a="1"/>
  <c r="BL73" i="1" s="1"/>
  <c r="BM73" i="1" a="1"/>
  <c r="BM73" i="1" s="1"/>
  <c r="BN73" i="1" a="1"/>
  <c r="BN73" i="1" s="1"/>
  <c r="BJ74" i="1" a="1"/>
  <c r="BJ74" i="1" s="1"/>
  <c r="BK74" i="1" a="1"/>
  <c r="BK74" i="1" s="1"/>
  <c r="BL74" i="1" a="1"/>
  <c r="BL74" i="1" s="1"/>
  <c r="BM74" i="1" a="1"/>
  <c r="BM74" i="1" s="1"/>
  <c r="BN74" i="1" a="1"/>
  <c r="BN74" i="1" s="1"/>
  <c r="BJ75" i="1" a="1"/>
  <c r="BJ75" i="1" s="1"/>
  <c r="BK75" i="1" a="1"/>
  <c r="BK75" i="1" s="1"/>
  <c r="BL75" i="1" a="1"/>
  <c r="BL75" i="1" s="1"/>
  <c r="BM75" i="1" a="1"/>
  <c r="BM75" i="1" s="1"/>
  <c r="BN75" i="1" a="1"/>
  <c r="BN75" i="1" s="1"/>
  <c r="BJ76" i="1" a="1"/>
  <c r="BJ76" i="1" s="1"/>
  <c r="BK76" i="1" a="1"/>
  <c r="BK76" i="1" s="1"/>
  <c r="BL76" i="1" a="1"/>
  <c r="BL76" i="1" s="1"/>
  <c r="BM76" i="1" a="1"/>
  <c r="BM76" i="1" s="1"/>
  <c r="BN76" i="1" a="1"/>
  <c r="BN76" i="1" s="1"/>
  <c r="BJ77" i="1" a="1"/>
  <c r="BJ77" i="1" s="1"/>
  <c r="BK77" i="1" a="1"/>
  <c r="BK77" i="1" s="1"/>
  <c r="BL77" i="1" a="1"/>
  <c r="BL77" i="1" s="1"/>
  <c r="BM77" i="1" a="1"/>
  <c r="BM77" i="1" s="1"/>
  <c r="BN77" i="1" a="1"/>
  <c r="BN77" i="1" s="1"/>
  <c r="BJ78" i="1" a="1"/>
  <c r="BJ78" i="1" s="1"/>
  <c r="BK78" i="1" a="1"/>
  <c r="BK78" i="1" s="1"/>
  <c r="BL78" i="1" a="1"/>
  <c r="BL78" i="1" s="1"/>
  <c r="BM78" i="1" a="1"/>
  <c r="BM78" i="1" s="1"/>
  <c r="BN78" i="1" a="1"/>
  <c r="BN78" i="1" s="1"/>
  <c r="BJ79" i="1" a="1"/>
  <c r="BJ79" i="1" s="1"/>
  <c r="BK79" i="1" a="1"/>
  <c r="BK79" i="1" s="1"/>
  <c r="BL79" i="1" a="1"/>
  <c r="BL79" i="1" s="1"/>
  <c r="BM79" i="1" a="1"/>
  <c r="BM79" i="1" s="1"/>
  <c r="BN79" i="1" a="1"/>
  <c r="BN79" i="1" s="1"/>
  <c r="BJ80" i="1" a="1"/>
  <c r="BJ80" i="1" s="1"/>
  <c r="BK80" i="1" a="1"/>
  <c r="BK80" i="1" s="1"/>
  <c r="BL80" i="1" a="1"/>
  <c r="BL80" i="1" s="1"/>
  <c r="BM80" i="1" a="1"/>
  <c r="BM80" i="1" s="1"/>
  <c r="BN80" i="1" a="1"/>
  <c r="BN80" i="1" s="1"/>
  <c r="BJ81" i="1" a="1"/>
  <c r="BJ81" i="1" s="1"/>
  <c r="BK81" i="1" a="1"/>
  <c r="BK81" i="1" s="1"/>
  <c r="BL81" i="1" a="1"/>
  <c r="BL81" i="1" s="1"/>
  <c r="BM81" i="1" a="1"/>
  <c r="BM81" i="1" s="1"/>
  <c r="BN81" i="1" a="1"/>
  <c r="BN81" i="1" s="1"/>
  <c r="BJ82" i="1" a="1"/>
  <c r="BJ82" i="1" s="1"/>
  <c r="BK82" i="1" a="1"/>
  <c r="BK82" i="1" s="1"/>
  <c r="BL82" i="1" a="1"/>
  <c r="BL82" i="1" s="1"/>
  <c r="BM82" i="1" a="1"/>
  <c r="BM82" i="1" s="1"/>
  <c r="BN82" i="1" a="1"/>
  <c r="BN82" i="1" s="1"/>
  <c r="BJ83" i="1" a="1"/>
  <c r="BJ83" i="1" s="1"/>
  <c r="BK83" i="1" a="1"/>
  <c r="BK83" i="1" s="1"/>
  <c r="BL83" i="1" a="1"/>
  <c r="BL83" i="1" s="1"/>
  <c r="BM83" i="1" a="1"/>
  <c r="BM83" i="1" s="1"/>
  <c r="BN83" i="1" a="1"/>
  <c r="BN83" i="1" s="1"/>
  <c r="BJ84" i="1" a="1"/>
  <c r="BJ84" i="1" s="1"/>
  <c r="BK84" i="1" a="1"/>
  <c r="BK84" i="1" s="1"/>
  <c r="BL84" i="1" a="1"/>
  <c r="BL84" i="1" s="1"/>
  <c r="BM84" i="1" a="1"/>
  <c r="BM84" i="1" s="1"/>
  <c r="BN84" i="1" a="1"/>
  <c r="BN84" i="1" s="1"/>
  <c r="BJ85" i="1" a="1"/>
  <c r="BJ85" i="1" s="1"/>
  <c r="BK85" i="1" a="1"/>
  <c r="BK85" i="1" s="1"/>
  <c r="BL85" i="1" a="1"/>
  <c r="BL85" i="1" s="1"/>
  <c r="BM85" i="1" a="1"/>
  <c r="BM85" i="1" s="1"/>
  <c r="BN85" i="1" a="1"/>
  <c r="BN85" i="1" s="1"/>
  <c r="BJ86" i="1" a="1"/>
  <c r="BJ86" i="1" s="1"/>
  <c r="BK86" i="1" a="1"/>
  <c r="BK86" i="1" s="1"/>
  <c r="BL86" i="1" a="1"/>
  <c r="BL86" i="1" s="1"/>
  <c r="BM86" i="1" a="1"/>
  <c r="BM86" i="1" s="1"/>
  <c r="BN86" i="1" a="1"/>
  <c r="BN86" i="1" s="1"/>
  <c r="BJ87" i="1" a="1"/>
  <c r="BJ87" i="1" s="1"/>
  <c r="BK87" i="1" a="1"/>
  <c r="BK87" i="1" s="1"/>
  <c r="BL87" i="1" a="1"/>
  <c r="BL87" i="1" s="1"/>
  <c r="BM87" i="1" a="1"/>
  <c r="BM87" i="1" s="1"/>
  <c r="BN87" i="1" a="1"/>
  <c r="BN87" i="1" s="1"/>
  <c r="BJ88" i="1" a="1"/>
  <c r="BJ88" i="1" s="1"/>
  <c r="BK88" i="1" a="1"/>
  <c r="BK88" i="1" s="1"/>
  <c r="BL88" i="1" a="1"/>
  <c r="BL88" i="1" s="1"/>
  <c r="BM88" i="1" a="1"/>
  <c r="BM88" i="1" s="1"/>
  <c r="BN88" i="1" a="1"/>
  <c r="BN88" i="1" s="1"/>
  <c r="BJ89" i="1" a="1"/>
  <c r="BJ89" i="1" s="1"/>
  <c r="BK89" i="1" a="1"/>
  <c r="BK89" i="1" s="1"/>
  <c r="BL89" i="1" a="1"/>
  <c r="BL89" i="1" s="1"/>
  <c r="BM89" i="1" a="1"/>
  <c r="BM89" i="1" s="1"/>
  <c r="BN89" i="1" a="1"/>
  <c r="BN89" i="1" s="1"/>
  <c r="BJ90" i="1" a="1"/>
  <c r="BJ90" i="1" s="1"/>
  <c r="BK90" i="1" a="1"/>
  <c r="BK90" i="1" s="1"/>
  <c r="BL90" i="1" a="1"/>
  <c r="BL90" i="1" s="1"/>
  <c r="BM90" i="1" a="1"/>
  <c r="BM90" i="1" s="1"/>
  <c r="BN90" i="1" a="1"/>
  <c r="BN90" i="1" s="1"/>
  <c r="BJ91" i="1" a="1"/>
  <c r="BJ91" i="1" s="1"/>
  <c r="BK91" i="1" a="1"/>
  <c r="BK91" i="1" s="1"/>
  <c r="BL91" i="1" a="1"/>
  <c r="BL91" i="1" s="1"/>
  <c r="BM91" i="1" a="1"/>
  <c r="BM91" i="1" s="1"/>
  <c r="BN91" i="1" a="1"/>
  <c r="BN91" i="1" s="1"/>
  <c r="BJ92" i="1" a="1"/>
  <c r="BJ92" i="1" s="1"/>
  <c r="BK92" i="1" a="1"/>
  <c r="BK92" i="1" s="1"/>
  <c r="BL92" i="1" a="1"/>
  <c r="BL92" i="1" s="1"/>
  <c r="BM92" i="1" a="1"/>
  <c r="BM92" i="1" s="1"/>
  <c r="BN92" i="1" a="1"/>
  <c r="BN92" i="1" s="1"/>
  <c r="BJ93" i="1" a="1"/>
  <c r="BJ93" i="1" s="1"/>
  <c r="BK93" i="1" a="1"/>
  <c r="BK93" i="1" s="1"/>
  <c r="BL93" i="1" a="1"/>
  <c r="BL93" i="1" s="1"/>
  <c r="BM93" i="1" a="1"/>
  <c r="BM93" i="1" s="1"/>
  <c r="BN93" i="1" a="1"/>
  <c r="BN93" i="1" s="1"/>
  <c r="BJ94" i="1" a="1"/>
  <c r="BJ94" i="1" s="1"/>
  <c r="BK94" i="1" a="1"/>
  <c r="BK94" i="1" s="1"/>
  <c r="BL94" i="1" a="1"/>
  <c r="BL94" i="1" s="1"/>
  <c r="BM94" i="1" a="1"/>
  <c r="BM94" i="1" s="1"/>
  <c r="BN94" i="1" a="1"/>
  <c r="BN94" i="1" s="1"/>
  <c r="BJ95" i="1" a="1"/>
  <c r="BJ95" i="1" s="1"/>
  <c r="BK95" i="1" a="1"/>
  <c r="BK95" i="1" s="1"/>
  <c r="BL95" i="1" a="1"/>
  <c r="BL95" i="1" s="1"/>
  <c r="BM95" i="1" a="1"/>
  <c r="BM95" i="1" s="1"/>
  <c r="BN95" i="1" a="1"/>
  <c r="BN95" i="1" s="1"/>
  <c r="BJ96" i="1" a="1"/>
  <c r="BJ96" i="1" s="1"/>
  <c r="BK96" i="1" a="1"/>
  <c r="BK96" i="1" s="1"/>
  <c r="BL96" i="1" a="1"/>
  <c r="BL96" i="1" s="1"/>
  <c r="BM96" i="1" a="1"/>
  <c r="BM96" i="1" s="1"/>
  <c r="BN96" i="1" a="1"/>
  <c r="BN96" i="1" s="1"/>
  <c r="BJ97" i="1" a="1"/>
  <c r="BJ97" i="1" s="1"/>
  <c r="BK97" i="1" a="1"/>
  <c r="BK97" i="1" s="1"/>
  <c r="BL97" i="1" a="1"/>
  <c r="BL97" i="1" s="1"/>
  <c r="BM97" i="1" a="1"/>
  <c r="BM97" i="1" s="1"/>
  <c r="BN97" i="1" a="1"/>
  <c r="BN97" i="1" s="1"/>
  <c r="BJ98" i="1" a="1"/>
  <c r="BJ98" i="1" s="1"/>
  <c r="BK98" i="1" a="1"/>
  <c r="BK98" i="1" s="1"/>
  <c r="BL98" i="1" a="1"/>
  <c r="BL98" i="1" s="1"/>
  <c r="BM98" i="1" a="1"/>
  <c r="BM98" i="1" s="1"/>
  <c r="BN98" i="1" a="1"/>
  <c r="BN98" i="1" s="1"/>
  <c r="BJ99" i="1" a="1"/>
  <c r="BJ99" i="1" s="1"/>
  <c r="BK99" i="1" a="1"/>
  <c r="BK99" i="1" s="1"/>
  <c r="BL99" i="1" a="1"/>
  <c r="BL99" i="1" s="1"/>
  <c r="BM99" i="1" a="1"/>
  <c r="BM99" i="1" s="1"/>
  <c r="BN99" i="1" a="1"/>
  <c r="BN99" i="1" s="1"/>
  <c r="BJ100" i="1" a="1"/>
  <c r="BJ100" i="1" s="1"/>
  <c r="BK100" i="1" a="1"/>
  <c r="BK100" i="1" s="1"/>
  <c r="BL100" i="1" a="1"/>
  <c r="BL100" i="1" s="1"/>
  <c r="BM100" i="1" a="1"/>
  <c r="BM100" i="1" s="1"/>
  <c r="BN100" i="1" a="1"/>
  <c r="BN100" i="1" s="1"/>
  <c r="BJ101" i="1" a="1"/>
  <c r="BJ101" i="1" s="1"/>
  <c r="BK101" i="1" a="1"/>
  <c r="BK101" i="1" s="1"/>
  <c r="BL101" i="1" a="1"/>
  <c r="BL101" i="1" s="1"/>
  <c r="BM101" i="1" a="1"/>
  <c r="BM101" i="1" s="1"/>
  <c r="BN101" i="1" a="1"/>
  <c r="BN101" i="1" s="1"/>
  <c r="BJ102" i="1" a="1"/>
  <c r="BJ102" i="1" s="1"/>
  <c r="BK102" i="1" a="1"/>
  <c r="BK102" i="1" s="1"/>
  <c r="BL102" i="1" a="1"/>
  <c r="BL102" i="1" s="1"/>
  <c r="BM102" i="1" a="1"/>
  <c r="BM102" i="1" s="1"/>
  <c r="BN102" i="1" a="1"/>
  <c r="BN102" i="1" s="1"/>
  <c r="BJ103" i="1" a="1"/>
  <c r="BJ103" i="1" s="1"/>
  <c r="BK103" i="1" a="1"/>
  <c r="BK103" i="1" s="1"/>
  <c r="BL103" i="1" a="1"/>
  <c r="BL103" i="1" s="1"/>
  <c r="BM103" i="1" a="1"/>
  <c r="BM103" i="1" s="1"/>
  <c r="BN103" i="1" a="1"/>
  <c r="BN103" i="1" s="1"/>
  <c r="BJ104" i="1" a="1"/>
  <c r="BJ104" i="1" s="1"/>
  <c r="BK104" i="1" a="1"/>
  <c r="BK104" i="1" s="1"/>
  <c r="BL104" i="1" a="1"/>
  <c r="BL104" i="1" s="1"/>
  <c r="BM104" i="1" a="1"/>
  <c r="BM104" i="1" s="1"/>
  <c r="BN104" i="1" a="1"/>
  <c r="BN104" i="1" s="1"/>
  <c r="BJ105" i="1" a="1"/>
  <c r="BJ105" i="1" s="1"/>
  <c r="BK105" i="1" a="1"/>
  <c r="BK105" i="1" s="1"/>
  <c r="BL105" i="1" a="1"/>
  <c r="BL105" i="1" s="1"/>
  <c r="BM105" i="1" a="1"/>
  <c r="BM105" i="1" s="1"/>
  <c r="BN105" i="1" a="1"/>
  <c r="BN105" i="1" s="1"/>
  <c r="BJ106" i="1" a="1"/>
  <c r="BJ106" i="1" s="1"/>
  <c r="BK106" i="1" a="1"/>
  <c r="BK106" i="1" s="1"/>
  <c r="BL106" i="1" a="1"/>
  <c r="BL106" i="1" s="1"/>
  <c r="BM106" i="1" a="1"/>
  <c r="BM106" i="1" s="1"/>
  <c r="BN106" i="1" a="1"/>
  <c r="BN106" i="1" s="1"/>
  <c r="BJ107" i="1" a="1"/>
  <c r="BJ107" i="1" s="1"/>
  <c r="BK107" i="1" a="1"/>
  <c r="BK107" i="1" s="1"/>
  <c r="BL107" i="1" a="1"/>
  <c r="BL107" i="1" s="1"/>
  <c r="BM107" i="1" a="1"/>
  <c r="BM107" i="1" s="1"/>
  <c r="BN107" i="1" a="1"/>
  <c r="BN107" i="1" s="1"/>
  <c r="BJ108" i="1" a="1"/>
  <c r="BJ108" i="1" s="1"/>
  <c r="BK108" i="1" a="1"/>
  <c r="BK108" i="1" s="1"/>
  <c r="BL108" i="1" a="1"/>
  <c r="BL108" i="1" s="1"/>
  <c r="BM108" i="1" a="1"/>
  <c r="BM108" i="1" s="1"/>
  <c r="BN108" i="1" a="1"/>
  <c r="BN108" i="1" s="1"/>
  <c r="BJ109" i="1" a="1"/>
  <c r="BJ109" i="1" s="1"/>
  <c r="BK109" i="1" a="1"/>
  <c r="BK109" i="1" s="1"/>
  <c r="BL109" i="1" a="1"/>
  <c r="BL109" i="1" s="1"/>
  <c r="BM109" i="1" a="1"/>
  <c r="BM109" i="1" s="1"/>
  <c r="BN109" i="1" a="1"/>
  <c r="BN109" i="1" s="1"/>
  <c r="BJ110" i="1" a="1"/>
  <c r="BJ110" i="1" s="1"/>
  <c r="BK110" i="1" a="1"/>
  <c r="BK110" i="1" s="1"/>
  <c r="BL110" i="1" a="1"/>
  <c r="BL110" i="1" s="1"/>
  <c r="BM110" i="1" a="1"/>
  <c r="BM110" i="1" s="1"/>
  <c r="BN110" i="1" a="1"/>
  <c r="BN110" i="1" s="1"/>
  <c r="BJ111" i="1" a="1"/>
  <c r="BJ111" i="1" s="1"/>
  <c r="BK111" i="1" a="1"/>
  <c r="BK111" i="1" s="1"/>
  <c r="BL111" i="1" a="1"/>
  <c r="BL111" i="1" s="1"/>
  <c r="BM111" i="1" a="1"/>
  <c r="BM111" i="1" s="1"/>
  <c r="BN111" i="1" a="1"/>
  <c r="BN111" i="1" s="1"/>
  <c r="BJ112" i="1" a="1"/>
  <c r="BJ112" i="1" s="1"/>
  <c r="BK112" i="1" a="1"/>
  <c r="BK112" i="1" s="1"/>
  <c r="BL112" i="1" a="1"/>
  <c r="BL112" i="1" s="1"/>
  <c r="BM112" i="1" a="1"/>
  <c r="BM112" i="1" s="1"/>
  <c r="BN112" i="1" a="1"/>
  <c r="BN112" i="1" s="1"/>
  <c r="BJ113" i="1" a="1"/>
  <c r="BJ113" i="1" s="1"/>
  <c r="BK113" i="1" a="1"/>
  <c r="BK113" i="1" s="1"/>
  <c r="BL113" i="1" a="1"/>
  <c r="BL113" i="1" s="1"/>
  <c r="BM113" i="1" a="1"/>
  <c r="BM113" i="1" s="1"/>
  <c r="BN113" i="1" a="1"/>
  <c r="BN113" i="1" s="1"/>
  <c r="BJ114" i="1" a="1"/>
  <c r="BJ114" i="1" s="1"/>
  <c r="BK114" i="1" a="1"/>
  <c r="BK114" i="1" s="1"/>
  <c r="BL114" i="1" a="1"/>
  <c r="BL114" i="1" s="1"/>
  <c r="BM114" i="1" a="1"/>
  <c r="BM114" i="1" s="1"/>
  <c r="BN114" i="1" a="1"/>
  <c r="BN114" i="1" s="1"/>
  <c r="BJ115" i="1" a="1"/>
  <c r="BJ115" i="1" s="1"/>
  <c r="BK115" i="1" a="1"/>
  <c r="BK115" i="1" s="1"/>
  <c r="BL115" i="1" a="1"/>
  <c r="BL115" i="1" s="1"/>
  <c r="BM115" i="1" a="1"/>
  <c r="BM115" i="1" s="1"/>
  <c r="BN115" i="1" a="1"/>
  <c r="BN115" i="1" s="1"/>
  <c r="BJ116" i="1" a="1"/>
  <c r="BJ116" i="1" s="1"/>
  <c r="BK116" i="1" a="1"/>
  <c r="BK116" i="1" s="1"/>
  <c r="BL116" i="1" a="1"/>
  <c r="BL116" i="1" s="1"/>
  <c r="BM116" i="1" a="1"/>
  <c r="BM116" i="1" s="1"/>
  <c r="BN116" i="1" a="1"/>
  <c r="BN116" i="1" s="1"/>
  <c r="BJ117" i="1" a="1"/>
  <c r="BJ117" i="1" s="1"/>
  <c r="BK117" i="1" a="1"/>
  <c r="BK117" i="1" s="1"/>
  <c r="BL117" i="1" a="1"/>
  <c r="BL117" i="1" s="1"/>
  <c r="BM117" i="1" a="1"/>
  <c r="BM117" i="1" s="1"/>
  <c r="BN117" i="1" a="1"/>
  <c r="BN117" i="1" s="1"/>
  <c r="BJ118" i="1" a="1"/>
  <c r="BJ118" i="1" s="1"/>
  <c r="BK118" i="1" a="1"/>
  <c r="BK118" i="1" s="1"/>
  <c r="BL118" i="1" a="1"/>
  <c r="BL118" i="1" s="1"/>
  <c r="BM118" i="1" a="1"/>
  <c r="BM118" i="1" s="1"/>
  <c r="BN118" i="1" a="1"/>
  <c r="BN118" i="1" s="1"/>
  <c r="BJ119" i="1" a="1"/>
  <c r="BJ119" i="1" s="1"/>
  <c r="BK119" i="1" a="1"/>
  <c r="BK119" i="1" s="1"/>
  <c r="BL119" i="1" a="1"/>
  <c r="BL119" i="1" s="1"/>
  <c r="BM119" i="1" a="1"/>
  <c r="BM119" i="1" s="1"/>
  <c r="BN119" i="1" a="1"/>
  <c r="BN119" i="1" s="1"/>
  <c r="BJ120" i="1" a="1"/>
  <c r="BJ120" i="1" s="1"/>
  <c r="BK120" i="1" a="1"/>
  <c r="BK120" i="1" s="1"/>
  <c r="BL120" i="1" a="1"/>
  <c r="BL120" i="1" s="1"/>
  <c r="BM120" i="1" a="1"/>
  <c r="BM120" i="1" s="1"/>
  <c r="BN120" i="1" a="1"/>
  <c r="BN120" i="1" s="1"/>
  <c r="BJ121" i="1" a="1"/>
  <c r="BJ121" i="1" s="1"/>
  <c r="BK121" i="1" a="1"/>
  <c r="BK121" i="1" s="1"/>
  <c r="BL121" i="1" a="1"/>
  <c r="BL121" i="1" s="1"/>
  <c r="BM121" i="1" a="1"/>
  <c r="BM121" i="1" s="1"/>
  <c r="BN121" i="1" a="1"/>
  <c r="BN121" i="1" s="1"/>
  <c r="BJ122" i="1" a="1"/>
  <c r="BJ122" i="1" s="1"/>
  <c r="BK122" i="1" a="1"/>
  <c r="BK122" i="1" s="1"/>
  <c r="BL122" i="1" a="1"/>
  <c r="BL122" i="1" s="1"/>
  <c r="BM122" i="1" a="1"/>
  <c r="BM122" i="1" s="1"/>
  <c r="BN122" i="1" a="1"/>
  <c r="BN122" i="1" s="1"/>
  <c r="BJ123" i="1" a="1"/>
  <c r="BJ123" i="1" s="1"/>
  <c r="BK123" i="1" a="1"/>
  <c r="BK123" i="1" s="1"/>
  <c r="BL123" i="1" a="1"/>
  <c r="BL123" i="1" s="1"/>
  <c r="BM123" i="1" a="1"/>
  <c r="BM123" i="1" s="1"/>
  <c r="BN123" i="1" a="1"/>
  <c r="BN123" i="1" s="1"/>
  <c r="BJ124" i="1" a="1"/>
  <c r="BJ124" i="1" s="1"/>
  <c r="BK124" i="1" a="1"/>
  <c r="BK124" i="1" s="1"/>
  <c r="BL124" i="1" a="1"/>
  <c r="BL124" i="1" s="1"/>
  <c r="BM124" i="1" a="1"/>
  <c r="BM124" i="1" s="1"/>
  <c r="BN124" i="1" a="1"/>
  <c r="BN124" i="1" s="1"/>
  <c r="BJ125" i="1" a="1"/>
  <c r="BJ125" i="1" s="1"/>
  <c r="BK125" i="1" a="1"/>
  <c r="BK125" i="1" s="1"/>
  <c r="BL125" i="1" a="1"/>
  <c r="BL125" i="1" s="1"/>
  <c r="BM125" i="1" a="1"/>
  <c r="BM125" i="1" s="1"/>
  <c r="BN125" i="1" a="1"/>
  <c r="BN125" i="1" s="1"/>
  <c r="BJ126" i="1" a="1"/>
  <c r="BJ126" i="1" s="1"/>
  <c r="BK126" i="1" a="1"/>
  <c r="BK126" i="1" s="1"/>
  <c r="BL126" i="1" a="1"/>
  <c r="BL126" i="1" s="1"/>
  <c r="BM126" i="1" a="1"/>
  <c r="BM126" i="1" s="1"/>
  <c r="BN126" i="1" a="1"/>
  <c r="BN126" i="1" s="1"/>
  <c r="BJ127" i="1" a="1"/>
  <c r="BJ127" i="1" s="1"/>
  <c r="BK127" i="1" a="1"/>
  <c r="BK127" i="1" s="1"/>
  <c r="BL127" i="1" a="1"/>
  <c r="BL127" i="1" s="1"/>
  <c r="BM127" i="1" a="1"/>
  <c r="BM127" i="1" s="1"/>
  <c r="BN127" i="1" a="1"/>
  <c r="BN127" i="1" s="1"/>
  <c r="BJ128" i="1" a="1"/>
  <c r="BJ128" i="1" s="1"/>
  <c r="BK128" i="1" a="1"/>
  <c r="BK128" i="1" s="1"/>
  <c r="BL128" i="1" a="1"/>
  <c r="BL128" i="1" s="1"/>
  <c r="BM128" i="1" a="1"/>
  <c r="BM128" i="1" s="1"/>
  <c r="BN128" i="1" a="1"/>
  <c r="BN128" i="1" s="1"/>
  <c r="BJ129" i="1" a="1"/>
  <c r="BJ129" i="1" s="1"/>
  <c r="BK129" i="1" a="1"/>
  <c r="BK129" i="1" s="1"/>
  <c r="BL129" i="1" a="1"/>
  <c r="BL129" i="1" s="1"/>
  <c r="BM129" i="1" a="1"/>
  <c r="BM129" i="1" s="1"/>
  <c r="BN129" i="1" a="1"/>
  <c r="BN129" i="1" s="1"/>
  <c r="BJ130" i="1" a="1"/>
  <c r="BJ130" i="1" s="1"/>
  <c r="BK130" i="1" a="1"/>
  <c r="BK130" i="1" s="1"/>
  <c r="BL130" i="1" a="1"/>
  <c r="BL130" i="1" s="1"/>
  <c r="BM130" i="1" a="1"/>
  <c r="BM130" i="1" s="1"/>
  <c r="BN130" i="1" a="1"/>
  <c r="BN130" i="1" s="1"/>
  <c r="BJ131" i="1" a="1"/>
  <c r="BJ131" i="1" s="1"/>
  <c r="BK131" i="1" a="1"/>
  <c r="BK131" i="1" s="1"/>
  <c r="BL131" i="1" a="1"/>
  <c r="BL131" i="1" s="1"/>
  <c r="BM131" i="1" a="1"/>
  <c r="BM131" i="1" s="1"/>
  <c r="BN131" i="1" a="1"/>
  <c r="BN131" i="1" s="1"/>
  <c r="BJ132" i="1" a="1"/>
  <c r="BJ132" i="1" s="1"/>
  <c r="BK132" i="1" a="1"/>
  <c r="BK132" i="1" s="1"/>
  <c r="BL132" i="1" a="1"/>
  <c r="BL132" i="1" s="1"/>
  <c r="BM132" i="1" a="1"/>
  <c r="BM132" i="1" s="1"/>
  <c r="BN132" i="1" a="1"/>
  <c r="BN132" i="1" s="1"/>
  <c r="BJ133" i="1" a="1"/>
  <c r="BJ133" i="1" s="1"/>
  <c r="BK133" i="1" a="1"/>
  <c r="BK133" i="1" s="1"/>
  <c r="BL133" i="1" a="1"/>
  <c r="BL133" i="1" s="1"/>
  <c r="BM133" i="1" a="1"/>
  <c r="BM133" i="1" s="1"/>
  <c r="BN133" i="1" a="1"/>
  <c r="BN133" i="1" s="1"/>
  <c r="BJ134" i="1" a="1"/>
  <c r="BJ134" i="1" s="1"/>
  <c r="BK134" i="1" a="1"/>
  <c r="BK134" i="1" s="1"/>
  <c r="BL134" i="1" a="1"/>
  <c r="BL134" i="1" s="1"/>
  <c r="BM134" i="1" a="1"/>
  <c r="BM134" i="1" s="1"/>
  <c r="BN134" i="1" a="1"/>
  <c r="BN134" i="1" s="1"/>
  <c r="BJ135" i="1" a="1"/>
  <c r="BJ135" i="1" s="1"/>
  <c r="BK135" i="1" a="1"/>
  <c r="BK135" i="1" s="1"/>
  <c r="BL135" i="1" a="1"/>
  <c r="BL135" i="1" s="1"/>
  <c r="BM135" i="1" a="1"/>
  <c r="BM135" i="1" s="1"/>
  <c r="BN135" i="1" a="1"/>
  <c r="BN135" i="1" s="1"/>
  <c r="BJ136" i="1" a="1"/>
  <c r="BJ136" i="1" s="1"/>
  <c r="BK136" i="1" a="1"/>
  <c r="BK136" i="1" s="1"/>
  <c r="BL136" i="1" a="1"/>
  <c r="BL136" i="1" s="1"/>
  <c r="BM136" i="1" a="1"/>
  <c r="BM136" i="1" s="1"/>
  <c r="BN136" i="1" a="1"/>
  <c r="BN136" i="1" s="1"/>
  <c r="BJ137" i="1" a="1"/>
  <c r="BJ137" i="1" s="1"/>
  <c r="BK137" i="1" a="1"/>
  <c r="BK137" i="1" s="1"/>
  <c r="BL137" i="1" a="1"/>
  <c r="BL137" i="1" s="1"/>
  <c r="BM137" i="1" a="1"/>
  <c r="BM137" i="1" s="1"/>
  <c r="BN137" i="1" a="1"/>
  <c r="BN137" i="1" s="1"/>
  <c r="BJ138" i="1" a="1"/>
  <c r="BJ138" i="1" s="1"/>
  <c r="BK138" i="1" a="1"/>
  <c r="BK138" i="1" s="1"/>
  <c r="BL138" i="1" a="1"/>
  <c r="BL138" i="1" s="1"/>
  <c r="BM138" i="1" a="1"/>
  <c r="BM138" i="1" s="1"/>
  <c r="BN138" i="1" a="1"/>
  <c r="BN138" i="1" s="1"/>
  <c r="BJ139" i="1" a="1"/>
  <c r="BJ139" i="1" s="1"/>
  <c r="BK139" i="1" a="1"/>
  <c r="BK139" i="1" s="1"/>
  <c r="BL139" i="1" a="1"/>
  <c r="BL139" i="1" s="1"/>
  <c r="BM139" i="1" a="1"/>
  <c r="BM139" i="1" s="1"/>
  <c r="BN139" i="1" a="1"/>
  <c r="BN139" i="1" s="1"/>
  <c r="BJ140" i="1" a="1"/>
  <c r="BJ140" i="1" s="1"/>
  <c r="BK140" i="1" a="1"/>
  <c r="BK140" i="1" s="1"/>
  <c r="BL140" i="1" a="1"/>
  <c r="BL140" i="1" s="1"/>
  <c r="BM140" i="1" a="1"/>
  <c r="BM140" i="1" s="1"/>
  <c r="BN140" i="1" a="1"/>
  <c r="BN140" i="1" s="1"/>
  <c r="BJ141" i="1" a="1"/>
  <c r="BJ141" i="1" s="1"/>
  <c r="BK141" i="1" a="1"/>
  <c r="BK141" i="1" s="1"/>
  <c r="BL141" i="1" a="1"/>
  <c r="BL141" i="1" s="1"/>
  <c r="BM141" i="1" a="1"/>
  <c r="BM141" i="1" s="1"/>
  <c r="BN141" i="1" a="1"/>
  <c r="BN141" i="1" s="1"/>
  <c r="BJ142" i="1" a="1"/>
  <c r="BJ142" i="1" s="1"/>
  <c r="BK142" i="1" a="1"/>
  <c r="BK142" i="1" s="1"/>
  <c r="BL142" i="1" a="1"/>
  <c r="BL142" i="1" s="1"/>
  <c r="BM142" i="1" a="1"/>
  <c r="BM142" i="1" s="1"/>
  <c r="BN142" i="1" a="1"/>
  <c r="BN142" i="1" s="1"/>
  <c r="BJ143" i="1" a="1"/>
  <c r="BJ143" i="1" s="1"/>
  <c r="BK143" i="1" a="1"/>
  <c r="BK143" i="1" s="1"/>
  <c r="BL143" i="1" a="1"/>
  <c r="BL143" i="1" s="1"/>
  <c r="BM143" i="1" a="1"/>
  <c r="BM143" i="1" s="1"/>
  <c r="BN143" i="1" a="1"/>
  <c r="BN143" i="1" s="1"/>
  <c r="BJ144" i="1" a="1"/>
  <c r="BJ144" i="1" s="1"/>
  <c r="BK144" i="1" a="1"/>
  <c r="BK144" i="1" s="1"/>
  <c r="BL144" i="1" a="1"/>
  <c r="BL144" i="1" s="1"/>
  <c r="BM144" i="1" a="1"/>
  <c r="BM144" i="1" s="1"/>
  <c r="BN144" i="1" a="1"/>
  <c r="BN144" i="1" s="1"/>
  <c r="BJ145" i="1" a="1"/>
  <c r="BJ145" i="1" s="1"/>
  <c r="BK145" i="1" a="1"/>
  <c r="BK145" i="1" s="1"/>
  <c r="BL145" i="1" a="1"/>
  <c r="BL145" i="1" s="1"/>
  <c r="BM145" i="1" a="1"/>
  <c r="BM145" i="1" s="1"/>
  <c r="BN145" i="1" a="1"/>
  <c r="BN145" i="1" s="1"/>
  <c r="BJ146" i="1" a="1"/>
  <c r="BJ146" i="1" s="1"/>
  <c r="BK146" i="1" a="1"/>
  <c r="BK146" i="1" s="1"/>
  <c r="BL146" i="1" a="1"/>
  <c r="BL146" i="1" s="1"/>
  <c r="BM146" i="1" a="1"/>
  <c r="BM146" i="1" s="1"/>
  <c r="BN146" i="1" a="1"/>
  <c r="BN146" i="1" s="1"/>
  <c r="BJ147" i="1" a="1"/>
  <c r="BJ147" i="1" s="1"/>
  <c r="BK147" i="1" a="1"/>
  <c r="BK147" i="1" s="1"/>
  <c r="BL147" i="1" a="1"/>
  <c r="BL147" i="1" s="1"/>
  <c r="BM147" i="1" a="1"/>
  <c r="BM147" i="1" s="1"/>
  <c r="BN147" i="1" a="1"/>
  <c r="BN147" i="1" s="1"/>
  <c r="BJ148" i="1" a="1"/>
  <c r="BJ148" i="1" s="1"/>
  <c r="BK148" i="1" a="1"/>
  <c r="BK148" i="1" s="1"/>
  <c r="BL148" i="1" a="1"/>
  <c r="BL148" i="1" s="1"/>
  <c r="BM148" i="1" a="1"/>
  <c r="BM148" i="1" s="1"/>
  <c r="BN148" i="1" a="1"/>
  <c r="BN148" i="1" s="1"/>
  <c r="BJ149" i="1" a="1"/>
  <c r="BJ149" i="1" s="1"/>
  <c r="BK149" i="1" a="1"/>
  <c r="BK149" i="1" s="1"/>
  <c r="BL149" i="1" a="1"/>
  <c r="BL149" i="1" s="1"/>
  <c r="BM149" i="1" a="1"/>
  <c r="BM149" i="1" s="1"/>
  <c r="BN149" i="1" a="1"/>
  <c r="BN149" i="1" s="1"/>
  <c r="BJ150" i="1" a="1"/>
  <c r="BJ150" i="1" s="1"/>
  <c r="BK150" i="1" a="1"/>
  <c r="BK150" i="1" s="1"/>
  <c r="BL150" i="1" a="1"/>
  <c r="BL150" i="1" s="1"/>
  <c r="BM150" i="1" a="1"/>
  <c r="BM150" i="1" s="1"/>
  <c r="BN150" i="1" a="1"/>
  <c r="BN150" i="1" s="1"/>
  <c r="BJ151" i="1" a="1"/>
  <c r="BJ151" i="1" s="1"/>
  <c r="BK151" i="1" a="1"/>
  <c r="BK151" i="1" s="1"/>
  <c r="BL151" i="1" a="1"/>
  <c r="BL151" i="1" s="1"/>
  <c r="BM151" i="1" a="1"/>
  <c r="BM151" i="1" s="1"/>
  <c r="BN151" i="1" a="1"/>
  <c r="BN151" i="1" s="1"/>
  <c r="BJ152" i="1" a="1"/>
  <c r="BJ152" i="1" s="1"/>
  <c r="BK152" i="1" a="1"/>
  <c r="BK152" i="1" s="1"/>
  <c r="BL152" i="1" a="1"/>
  <c r="BL152" i="1" s="1"/>
  <c r="BM152" i="1" a="1"/>
  <c r="BM152" i="1" s="1"/>
  <c r="BN152" i="1" a="1"/>
  <c r="BN152" i="1" s="1"/>
  <c r="BJ153" i="1" a="1"/>
  <c r="BJ153" i="1" s="1"/>
  <c r="BK153" i="1" a="1"/>
  <c r="BK153" i="1" s="1"/>
  <c r="BL153" i="1" a="1"/>
  <c r="BL153" i="1" s="1"/>
  <c r="BM153" i="1" a="1"/>
  <c r="BM153" i="1" s="1"/>
  <c r="BN153" i="1" a="1"/>
  <c r="BN153" i="1" s="1"/>
  <c r="BJ154" i="1" a="1"/>
  <c r="BJ154" i="1" s="1"/>
  <c r="BK154" i="1" a="1"/>
  <c r="BK154" i="1" s="1"/>
  <c r="BL154" i="1" a="1"/>
  <c r="BL154" i="1" s="1"/>
  <c r="BM154" i="1" a="1"/>
  <c r="BM154" i="1" s="1"/>
  <c r="BN154" i="1" a="1"/>
  <c r="BN154" i="1" s="1"/>
  <c r="BJ155" i="1" a="1"/>
  <c r="BJ155" i="1" s="1"/>
  <c r="BK155" i="1" a="1"/>
  <c r="BK155" i="1" s="1"/>
  <c r="BL155" i="1" a="1"/>
  <c r="BL155" i="1" s="1"/>
  <c r="BM155" i="1" a="1"/>
  <c r="BM155" i="1" s="1"/>
  <c r="BN155" i="1" a="1"/>
  <c r="BN155" i="1" s="1"/>
  <c r="BJ156" i="1" a="1"/>
  <c r="BJ156" i="1" s="1"/>
  <c r="BK156" i="1" a="1"/>
  <c r="BK156" i="1" s="1"/>
  <c r="BL156" i="1" a="1"/>
  <c r="BL156" i="1" s="1"/>
  <c r="BM156" i="1" a="1"/>
  <c r="BM156" i="1" s="1"/>
  <c r="BN156" i="1" a="1"/>
  <c r="BN156" i="1" s="1"/>
  <c r="BJ157" i="1" a="1"/>
  <c r="BJ157" i="1" s="1"/>
  <c r="BK157" i="1" a="1"/>
  <c r="BK157" i="1" s="1"/>
  <c r="BL157" i="1" a="1"/>
  <c r="BL157" i="1" s="1"/>
  <c r="BM157" i="1" a="1"/>
  <c r="BM157" i="1" s="1"/>
  <c r="BN157" i="1" a="1"/>
  <c r="BN157" i="1" s="1"/>
  <c r="BJ158" i="1" a="1"/>
  <c r="BJ158" i="1" s="1"/>
  <c r="BK158" i="1" a="1"/>
  <c r="BK158" i="1" s="1"/>
  <c r="BL158" i="1" a="1"/>
  <c r="BL158" i="1" s="1"/>
  <c r="BM158" i="1" a="1"/>
  <c r="BM158" i="1" s="1"/>
  <c r="BN158" i="1" a="1"/>
  <c r="BN158" i="1" s="1"/>
  <c r="BJ159" i="1" a="1"/>
  <c r="BJ159" i="1" s="1"/>
  <c r="BK159" i="1" a="1"/>
  <c r="BK159" i="1" s="1"/>
  <c r="BL159" i="1" a="1"/>
  <c r="BL159" i="1" s="1"/>
  <c r="BM159" i="1" a="1"/>
  <c r="BM159" i="1" s="1"/>
  <c r="BN159" i="1" a="1"/>
  <c r="BN159" i="1" s="1"/>
  <c r="BJ160" i="1" a="1"/>
  <c r="BJ160" i="1" s="1"/>
  <c r="BK160" i="1" a="1"/>
  <c r="BK160" i="1" s="1"/>
  <c r="BL160" i="1" a="1"/>
  <c r="BL160" i="1" s="1"/>
  <c r="BM160" i="1" a="1"/>
  <c r="BM160" i="1" s="1"/>
  <c r="BN160" i="1" a="1"/>
  <c r="BN160" i="1" s="1"/>
  <c r="BJ161" i="1" a="1"/>
  <c r="BJ161" i="1" s="1"/>
  <c r="BK161" i="1" a="1"/>
  <c r="BK161" i="1" s="1"/>
  <c r="BL161" i="1" a="1"/>
  <c r="BL161" i="1" s="1"/>
  <c r="BM161" i="1" a="1"/>
  <c r="BM161" i="1" s="1"/>
  <c r="BN161" i="1" a="1"/>
  <c r="BN161" i="1" s="1"/>
  <c r="BJ162" i="1" a="1"/>
  <c r="BJ162" i="1" s="1"/>
  <c r="BK162" i="1" a="1"/>
  <c r="BK162" i="1" s="1"/>
  <c r="BL162" i="1" a="1"/>
  <c r="BL162" i="1" s="1"/>
  <c r="BM162" i="1" a="1"/>
  <c r="BM162" i="1" s="1"/>
  <c r="BN162" i="1" a="1"/>
  <c r="BN162" i="1" s="1"/>
  <c r="BJ163" i="1" a="1"/>
  <c r="BJ163" i="1" s="1"/>
  <c r="BK163" i="1" a="1"/>
  <c r="BK163" i="1" s="1"/>
  <c r="BL163" i="1" a="1"/>
  <c r="BL163" i="1" s="1"/>
  <c r="BM163" i="1" a="1"/>
  <c r="BM163" i="1" s="1"/>
  <c r="BN163" i="1" a="1"/>
  <c r="BN163" i="1" s="1"/>
  <c r="BJ164" i="1" a="1"/>
  <c r="BJ164" i="1" s="1"/>
  <c r="BK164" i="1" a="1"/>
  <c r="BK164" i="1" s="1"/>
  <c r="BL164" i="1" a="1"/>
  <c r="BL164" i="1" s="1"/>
  <c r="BM164" i="1" a="1"/>
  <c r="BM164" i="1" s="1"/>
  <c r="BN164" i="1" a="1"/>
  <c r="BN164" i="1" s="1"/>
  <c r="BJ165" i="1" a="1"/>
  <c r="BJ165" i="1" s="1"/>
  <c r="BK165" i="1" a="1"/>
  <c r="BK165" i="1" s="1"/>
  <c r="BL165" i="1" a="1"/>
  <c r="BL165" i="1" s="1"/>
  <c r="BM165" i="1" a="1"/>
  <c r="BM165" i="1" s="1"/>
  <c r="BN165" i="1" a="1"/>
  <c r="BN165" i="1" s="1"/>
  <c r="BJ166" i="1" a="1"/>
  <c r="BJ166" i="1" s="1"/>
  <c r="BK166" i="1" a="1"/>
  <c r="BK166" i="1" s="1"/>
  <c r="BL166" i="1" a="1"/>
  <c r="BL166" i="1" s="1"/>
  <c r="BM166" i="1" a="1"/>
  <c r="BM166" i="1" s="1"/>
  <c r="BN166" i="1" a="1"/>
  <c r="BN166" i="1" s="1"/>
  <c r="BJ167" i="1" a="1"/>
  <c r="BJ167" i="1" s="1"/>
  <c r="BK167" i="1" a="1"/>
  <c r="BK167" i="1" s="1"/>
  <c r="BL167" i="1" a="1"/>
  <c r="BL167" i="1" s="1"/>
  <c r="BM167" i="1" a="1"/>
  <c r="BM167" i="1" s="1"/>
  <c r="BN167" i="1" a="1"/>
  <c r="BN167" i="1" s="1"/>
  <c r="BJ168" i="1" a="1"/>
  <c r="BJ168" i="1" s="1"/>
  <c r="BK168" i="1" a="1"/>
  <c r="BK168" i="1" s="1"/>
  <c r="BL168" i="1" a="1"/>
  <c r="BL168" i="1" s="1"/>
  <c r="BM168" i="1" a="1"/>
  <c r="BM168" i="1" s="1"/>
  <c r="BN168" i="1" a="1"/>
  <c r="BN168" i="1" s="1"/>
  <c r="BJ169" i="1" a="1"/>
  <c r="BJ169" i="1" s="1"/>
  <c r="BK169" i="1" a="1"/>
  <c r="BK169" i="1" s="1"/>
  <c r="BL169" i="1" a="1"/>
  <c r="BL169" i="1" s="1"/>
  <c r="BM169" i="1" a="1"/>
  <c r="BM169" i="1" s="1"/>
  <c r="BN169" i="1" a="1"/>
  <c r="BN169" i="1" s="1"/>
  <c r="BJ170" i="1" a="1"/>
  <c r="BJ170" i="1" s="1"/>
  <c r="BK170" i="1" a="1"/>
  <c r="BK170" i="1" s="1"/>
  <c r="BL170" i="1" a="1"/>
  <c r="BL170" i="1" s="1"/>
  <c r="BM170" i="1" a="1"/>
  <c r="BM170" i="1" s="1"/>
  <c r="BN170" i="1" a="1"/>
  <c r="BN170" i="1" s="1"/>
  <c r="BJ171" i="1" a="1"/>
  <c r="BJ171" i="1" s="1"/>
  <c r="BK171" i="1" a="1"/>
  <c r="BK171" i="1" s="1"/>
  <c r="BL171" i="1" a="1"/>
  <c r="BL171" i="1" s="1"/>
  <c r="BM171" i="1" a="1"/>
  <c r="BM171" i="1" s="1"/>
  <c r="BN171" i="1" a="1"/>
  <c r="BN171" i="1" s="1"/>
  <c r="BJ172" i="1" a="1"/>
  <c r="BJ172" i="1" s="1"/>
  <c r="BK172" i="1" a="1"/>
  <c r="BK172" i="1" s="1"/>
  <c r="BL172" i="1" a="1"/>
  <c r="BL172" i="1" s="1"/>
  <c r="BM172" i="1" a="1"/>
  <c r="BM172" i="1" s="1"/>
  <c r="BN172" i="1" a="1"/>
  <c r="BN172" i="1" s="1"/>
  <c r="BJ173" i="1" a="1"/>
  <c r="BJ173" i="1" s="1"/>
  <c r="BK173" i="1" a="1"/>
  <c r="BK173" i="1" s="1"/>
  <c r="BL173" i="1" a="1"/>
  <c r="BL173" i="1" s="1"/>
  <c r="BM173" i="1" a="1"/>
  <c r="BM173" i="1" s="1"/>
  <c r="BN173" i="1" a="1"/>
  <c r="BN173" i="1" s="1"/>
  <c r="BJ174" i="1" a="1"/>
  <c r="BJ174" i="1" s="1"/>
  <c r="BK174" i="1" a="1"/>
  <c r="BK174" i="1" s="1"/>
  <c r="BL174" i="1" a="1"/>
  <c r="BL174" i="1" s="1"/>
  <c r="BM174" i="1" a="1"/>
  <c r="BM174" i="1" s="1"/>
  <c r="BN174" i="1" a="1"/>
  <c r="BN174" i="1" s="1"/>
  <c r="BJ175" i="1" a="1"/>
  <c r="BJ175" i="1" s="1"/>
  <c r="BK175" i="1" a="1"/>
  <c r="BK175" i="1" s="1"/>
  <c r="BL175" i="1" a="1"/>
  <c r="BL175" i="1" s="1"/>
  <c r="BM175" i="1" a="1"/>
  <c r="BM175" i="1" s="1"/>
  <c r="BN175" i="1" a="1"/>
  <c r="BN175" i="1" s="1"/>
  <c r="BJ176" i="1" a="1"/>
  <c r="BJ176" i="1" s="1"/>
  <c r="BK176" i="1" a="1"/>
  <c r="BK176" i="1" s="1"/>
  <c r="BL176" i="1" a="1"/>
  <c r="BL176" i="1" s="1"/>
  <c r="BM176" i="1" a="1"/>
  <c r="BM176" i="1" s="1"/>
  <c r="BN176" i="1" a="1"/>
  <c r="BN176" i="1" s="1"/>
  <c r="BJ177" i="1" a="1"/>
  <c r="BJ177" i="1" s="1"/>
  <c r="BK177" i="1" a="1"/>
  <c r="BK177" i="1" s="1"/>
  <c r="BL177" i="1" a="1"/>
  <c r="BL177" i="1" s="1"/>
  <c r="BM177" i="1" a="1"/>
  <c r="BM177" i="1" s="1"/>
  <c r="BN177" i="1" a="1"/>
  <c r="BN177" i="1" s="1"/>
  <c r="BJ178" i="1" a="1"/>
  <c r="BJ178" i="1" s="1"/>
  <c r="BK178" i="1" a="1"/>
  <c r="BK178" i="1" s="1"/>
  <c r="BL178" i="1" a="1"/>
  <c r="BL178" i="1" s="1"/>
  <c r="BM178" i="1" a="1"/>
  <c r="BM178" i="1" s="1"/>
  <c r="BN178" i="1" a="1"/>
  <c r="BN178" i="1" s="1"/>
  <c r="BJ179" i="1" a="1"/>
  <c r="BJ179" i="1" s="1"/>
  <c r="BK179" i="1" a="1"/>
  <c r="BK179" i="1" s="1"/>
  <c r="BL179" i="1" a="1"/>
  <c r="BL179" i="1" s="1"/>
  <c r="BM179" i="1" a="1"/>
  <c r="BM179" i="1" s="1"/>
  <c r="BN179" i="1" a="1"/>
  <c r="BN179" i="1" s="1"/>
  <c r="BJ180" i="1" a="1"/>
  <c r="BJ180" i="1" s="1"/>
  <c r="BK180" i="1" a="1"/>
  <c r="BK180" i="1" s="1"/>
  <c r="BL180" i="1" a="1"/>
  <c r="BL180" i="1" s="1"/>
  <c r="BM180" i="1" a="1"/>
  <c r="BM180" i="1" s="1"/>
  <c r="BN180" i="1" a="1"/>
  <c r="BN180" i="1" s="1"/>
  <c r="BJ181" i="1" a="1"/>
  <c r="BJ181" i="1" s="1"/>
  <c r="BK181" i="1" a="1"/>
  <c r="BK181" i="1" s="1"/>
  <c r="BL181" i="1" a="1"/>
  <c r="BL181" i="1" s="1"/>
  <c r="BM181" i="1" a="1"/>
  <c r="BM181" i="1" s="1"/>
  <c r="BN181" i="1" a="1"/>
  <c r="BN181" i="1" s="1"/>
  <c r="BJ182" i="1" a="1"/>
  <c r="BJ182" i="1" s="1"/>
  <c r="BK182" i="1" a="1"/>
  <c r="BK182" i="1" s="1"/>
  <c r="BL182" i="1" a="1"/>
  <c r="BL182" i="1" s="1"/>
  <c r="BM182" i="1" a="1"/>
  <c r="BM182" i="1" s="1"/>
  <c r="BN182" i="1" a="1"/>
  <c r="BN182" i="1" s="1"/>
  <c r="BJ183" i="1" a="1"/>
  <c r="BJ183" i="1" s="1"/>
  <c r="BK183" i="1" a="1"/>
  <c r="BK183" i="1" s="1"/>
  <c r="BL183" i="1" a="1"/>
  <c r="BL183" i="1" s="1"/>
  <c r="BM183" i="1" a="1"/>
  <c r="BM183" i="1" s="1"/>
  <c r="BN183" i="1" a="1"/>
  <c r="BN183" i="1" s="1"/>
  <c r="BJ184" i="1" a="1"/>
  <c r="BJ184" i="1" s="1"/>
  <c r="BK184" i="1" a="1"/>
  <c r="BK184" i="1" s="1"/>
  <c r="BL184" i="1" a="1"/>
  <c r="BL184" i="1" s="1"/>
  <c r="BM184" i="1" a="1"/>
  <c r="BM184" i="1" s="1"/>
  <c r="BN184" i="1" a="1"/>
  <c r="BN184" i="1" s="1"/>
  <c r="BJ185" i="1" a="1"/>
  <c r="BJ185" i="1" s="1"/>
  <c r="BK185" i="1" a="1"/>
  <c r="BK185" i="1" s="1"/>
  <c r="BL185" i="1" a="1"/>
  <c r="BL185" i="1" s="1"/>
  <c r="BM185" i="1" a="1"/>
  <c r="BM185" i="1" s="1"/>
  <c r="BN185" i="1" a="1"/>
  <c r="BN185" i="1" s="1"/>
  <c r="BJ186" i="1" a="1"/>
  <c r="BJ186" i="1" s="1"/>
  <c r="BK186" i="1" a="1"/>
  <c r="BK186" i="1" s="1"/>
  <c r="BL186" i="1" a="1"/>
  <c r="BL186" i="1" s="1"/>
  <c r="BM186" i="1" a="1"/>
  <c r="BM186" i="1" s="1"/>
  <c r="BN186" i="1" a="1"/>
  <c r="BN186" i="1" s="1"/>
  <c r="BJ187" i="1" a="1"/>
  <c r="BJ187" i="1" s="1"/>
  <c r="BK187" i="1" a="1"/>
  <c r="BK187" i="1" s="1"/>
  <c r="BL187" i="1" a="1"/>
  <c r="BL187" i="1" s="1"/>
  <c r="BM187" i="1" a="1"/>
  <c r="BM187" i="1" s="1"/>
  <c r="BN187" i="1" a="1"/>
  <c r="BN187" i="1" s="1"/>
  <c r="BJ188" i="1" a="1"/>
  <c r="BJ188" i="1" s="1"/>
  <c r="BK188" i="1" a="1"/>
  <c r="BK188" i="1" s="1"/>
  <c r="BL188" i="1" a="1"/>
  <c r="BL188" i="1" s="1"/>
  <c r="BM188" i="1" a="1"/>
  <c r="BM188" i="1" s="1"/>
  <c r="BN188" i="1" a="1"/>
  <c r="BN188" i="1" s="1"/>
  <c r="BJ189" i="1" a="1"/>
  <c r="BJ189" i="1" s="1"/>
  <c r="BK189" i="1" a="1"/>
  <c r="BK189" i="1" s="1"/>
  <c r="BL189" i="1" a="1"/>
  <c r="BL189" i="1" s="1"/>
  <c r="BM189" i="1" a="1"/>
  <c r="BM189" i="1" s="1"/>
  <c r="BN189" i="1" a="1"/>
  <c r="BN189" i="1" s="1"/>
  <c r="BJ190" i="1" a="1"/>
  <c r="BJ190" i="1" s="1"/>
  <c r="BK190" i="1" a="1"/>
  <c r="BK190" i="1" s="1"/>
  <c r="BL190" i="1" a="1"/>
  <c r="BL190" i="1" s="1"/>
  <c r="BM190" i="1" a="1"/>
  <c r="BM190" i="1" s="1"/>
  <c r="BN190" i="1" a="1"/>
  <c r="BN190" i="1" s="1"/>
  <c r="BJ191" i="1" a="1"/>
  <c r="BJ191" i="1" s="1"/>
  <c r="BK191" i="1" a="1"/>
  <c r="BK191" i="1" s="1"/>
  <c r="BL191" i="1" a="1"/>
  <c r="BL191" i="1" s="1"/>
  <c r="BM191" i="1" a="1"/>
  <c r="BM191" i="1" s="1"/>
  <c r="BN191" i="1" a="1"/>
  <c r="BN191" i="1" s="1"/>
  <c r="BJ192" i="1" a="1"/>
  <c r="BJ192" i="1" s="1"/>
  <c r="BK192" i="1" a="1"/>
  <c r="BK192" i="1" s="1"/>
  <c r="BL192" i="1" a="1"/>
  <c r="BL192" i="1" s="1"/>
  <c r="BM192" i="1" a="1"/>
  <c r="BM192" i="1" s="1"/>
  <c r="BN192" i="1" a="1"/>
  <c r="BN192" i="1" s="1"/>
  <c r="BJ193" i="1" a="1"/>
  <c r="BJ193" i="1" s="1"/>
  <c r="BK193" i="1" a="1"/>
  <c r="BK193" i="1" s="1"/>
  <c r="BL193" i="1" a="1"/>
  <c r="BL193" i="1" s="1"/>
  <c r="BM193" i="1" a="1"/>
  <c r="BM193" i="1" s="1"/>
  <c r="BN193" i="1" a="1"/>
  <c r="BN193" i="1" s="1"/>
  <c r="BJ194" i="1" a="1"/>
  <c r="BJ194" i="1" s="1"/>
  <c r="BK194" i="1" a="1"/>
  <c r="BK194" i="1" s="1"/>
  <c r="BL194" i="1" a="1"/>
  <c r="BL194" i="1" s="1"/>
  <c r="BM194" i="1" a="1"/>
  <c r="BM194" i="1" s="1"/>
  <c r="BN194" i="1" a="1"/>
  <c r="BN194" i="1" s="1"/>
  <c r="BJ195" i="1" a="1"/>
  <c r="BJ195" i="1" s="1"/>
  <c r="BK195" i="1" a="1"/>
  <c r="BK195" i="1" s="1"/>
  <c r="BL195" i="1" a="1"/>
  <c r="BL195" i="1" s="1"/>
  <c r="BM195" i="1" a="1"/>
  <c r="BM195" i="1" s="1"/>
  <c r="BN195" i="1" a="1"/>
  <c r="BN195" i="1" s="1"/>
  <c r="BJ196" i="1" a="1"/>
  <c r="BJ196" i="1" s="1"/>
  <c r="BK196" i="1" a="1"/>
  <c r="BK196" i="1" s="1"/>
  <c r="BL196" i="1" a="1"/>
  <c r="BL196" i="1" s="1"/>
  <c r="BM196" i="1" a="1"/>
  <c r="BM196" i="1" s="1"/>
  <c r="BN196" i="1" a="1"/>
  <c r="BN196" i="1" s="1"/>
  <c r="BJ197" i="1" a="1"/>
  <c r="BJ197" i="1" s="1"/>
  <c r="BK197" i="1" a="1"/>
  <c r="BK197" i="1" s="1"/>
  <c r="BL197" i="1" a="1"/>
  <c r="BL197" i="1" s="1"/>
  <c r="BM197" i="1" a="1"/>
  <c r="BM197" i="1" s="1"/>
  <c r="BN197" i="1" a="1"/>
  <c r="BN197" i="1" s="1"/>
  <c r="BJ198" i="1" a="1"/>
  <c r="BJ198" i="1" s="1"/>
  <c r="BK198" i="1" a="1"/>
  <c r="BK198" i="1" s="1"/>
  <c r="BL198" i="1" a="1"/>
  <c r="BL198" i="1" s="1"/>
  <c r="BM198" i="1" a="1"/>
  <c r="BM198" i="1" s="1"/>
  <c r="BN198" i="1" a="1"/>
  <c r="BN198" i="1" s="1"/>
  <c r="BJ199" i="1" a="1"/>
  <c r="BJ199" i="1" s="1"/>
  <c r="BK199" i="1" a="1"/>
  <c r="BK199" i="1" s="1"/>
  <c r="BL199" i="1" a="1"/>
  <c r="BL199" i="1" s="1"/>
  <c r="BM199" i="1" a="1"/>
  <c r="BM199" i="1" s="1"/>
  <c r="BN199" i="1" a="1"/>
  <c r="BN199" i="1" s="1"/>
  <c r="BJ200" i="1" a="1"/>
  <c r="BJ200" i="1" s="1"/>
  <c r="BK200" i="1" a="1"/>
  <c r="BK200" i="1" s="1"/>
  <c r="BL200" i="1" a="1"/>
  <c r="BL200" i="1" s="1"/>
  <c r="BM200" i="1" a="1"/>
  <c r="BM200" i="1" s="1"/>
  <c r="BN200" i="1" a="1"/>
  <c r="BN200" i="1" s="1"/>
  <c r="BJ201" i="1" a="1"/>
  <c r="BJ201" i="1" s="1"/>
  <c r="BK201" i="1" a="1"/>
  <c r="BK201" i="1" s="1"/>
  <c r="BL201" i="1" a="1"/>
  <c r="BL201" i="1" s="1"/>
  <c r="BM201" i="1" a="1"/>
  <c r="BM201" i="1" s="1"/>
  <c r="BN201" i="1" a="1"/>
  <c r="BN201" i="1" s="1"/>
  <c r="BJ202" i="1" a="1"/>
  <c r="BJ202" i="1" s="1"/>
  <c r="BK202" i="1" a="1"/>
  <c r="BK202" i="1" s="1"/>
  <c r="BL202" i="1" a="1"/>
  <c r="BL202" i="1" s="1"/>
  <c r="BM202" i="1" a="1"/>
  <c r="BM202" i="1" s="1"/>
  <c r="BN202" i="1" a="1"/>
  <c r="BN202" i="1" s="1"/>
  <c r="BJ203" i="1" a="1"/>
  <c r="BJ203" i="1" s="1"/>
  <c r="BK203" i="1" a="1"/>
  <c r="BK203" i="1" s="1"/>
  <c r="BL203" i="1" a="1"/>
  <c r="BL203" i="1" s="1"/>
  <c r="BM203" i="1" a="1"/>
  <c r="BM203" i="1" s="1"/>
  <c r="BN203" i="1" a="1"/>
  <c r="BN203" i="1" s="1"/>
  <c r="BJ204" i="1" a="1"/>
  <c r="BJ204" i="1" s="1"/>
  <c r="BK204" i="1" a="1"/>
  <c r="BK204" i="1" s="1"/>
  <c r="BL204" i="1" a="1"/>
  <c r="BL204" i="1" s="1"/>
  <c r="BM204" i="1" a="1"/>
  <c r="BM204" i="1" s="1"/>
  <c r="BN204" i="1" a="1"/>
  <c r="BN204" i="1" s="1"/>
  <c r="BJ205" i="1" a="1"/>
  <c r="BJ205" i="1" s="1"/>
  <c r="BK205" i="1" a="1"/>
  <c r="BK205" i="1" s="1"/>
  <c r="BL205" i="1" a="1"/>
  <c r="BL205" i="1" s="1"/>
  <c r="BM205" i="1" a="1"/>
  <c r="BM205" i="1" s="1"/>
  <c r="BN205" i="1" a="1"/>
  <c r="BN205" i="1" s="1"/>
  <c r="BK11" i="1" a="1"/>
  <c r="BK11" i="1" s="1"/>
  <c r="BL11" i="1" a="1"/>
  <c r="BL11" i="1" s="1"/>
  <c r="BM11" i="1" a="1"/>
  <c r="BM11" i="1" s="1"/>
  <c r="BN11" i="1" a="1"/>
  <c r="BN11" i="1" s="1"/>
  <c r="BI12" i="1" a="1"/>
  <c r="BI12" i="1" s="1"/>
  <c r="BI13" i="1" a="1"/>
  <c r="BI13" i="1" s="1"/>
  <c r="BI14" i="1" a="1"/>
  <c r="BI14" i="1" s="1"/>
  <c r="BI15" i="1" a="1"/>
  <c r="BI15" i="1" s="1"/>
  <c r="BI16" i="1" a="1"/>
  <c r="BI16" i="1" s="1"/>
  <c r="BI17" i="1" a="1"/>
  <c r="BI17" i="1" s="1"/>
  <c r="BI18" i="1" a="1"/>
  <c r="BI18" i="1" s="1"/>
  <c r="BI19" i="1" a="1"/>
  <c r="BI19" i="1" s="1"/>
  <c r="BI20" i="1" a="1"/>
  <c r="BI20" i="1" s="1"/>
  <c r="BI21" i="1" a="1"/>
  <c r="BI21" i="1" s="1"/>
  <c r="BI22" i="1" a="1"/>
  <c r="BI22" i="1" s="1"/>
  <c r="BI23" i="1" a="1"/>
  <c r="BI23" i="1" s="1"/>
  <c r="BI24" i="1" a="1"/>
  <c r="BI24" i="1" s="1"/>
  <c r="BI25" i="1" a="1"/>
  <c r="BI25" i="1" s="1"/>
  <c r="BI26" i="1" a="1"/>
  <c r="BI26" i="1" s="1"/>
  <c r="BI27" i="1" a="1"/>
  <c r="BI27" i="1" s="1"/>
  <c r="BI28" i="1" a="1"/>
  <c r="BI28" i="1" s="1"/>
  <c r="BI29" i="1" a="1"/>
  <c r="BI29" i="1" s="1"/>
  <c r="BI30" i="1" a="1"/>
  <c r="BI30" i="1" s="1"/>
  <c r="BI31" i="1" a="1"/>
  <c r="BI31" i="1" s="1"/>
  <c r="BI32" i="1" a="1"/>
  <c r="BI32" i="1" s="1"/>
  <c r="BI33" i="1" a="1"/>
  <c r="BI33" i="1" s="1"/>
  <c r="BI34" i="1" a="1"/>
  <c r="BI34" i="1" s="1"/>
  <c r="BI35" i="1" a="1"/>
  <c r="BI35" i="1" s="1"/>
  <c r="BI36" i="1" a="1"/>
  <c r="BI36" i="1" s="1"/>
  <c r="BI37" i="1" a="1"/>
  <c r="BI37" i="1" s="1"/>
  <c r="BI38" i="1" a="1"/>
  <c r="BI38" i="1" s="1"/>
  <c r="BI39" i="1" a="1"/>
  <c r="BI39" i="1" s="1"/>
  <c r="BI40" i="1" a="1"/>
  <c r="BI40" i="1" s="1"/>
  <c r="BI41" i="1" a="1"/>
  <c r="BI41" i="1" s="1"/>
  <c r="BI42" i="1" a="1"/>
  <c r="BI42" i="1" s="1"/>
  <c r="BI43" i="1" a="1"/>
  <c r="BI43" i="1" s="1"/>
  <c r="BI44" i="1" a="1"/>
  <c r="BI44" i="1" s="1"/>
  <c r="BI45" i="1" a="1"/>
  <c r="BI45" i="1" s="1"/>
  <c r="BI46" i="1" a="1"/>
  <c r="BI46" i="1" s="1"/>
  <c r="BI47" i="1" a="1"/>
  <c r="BI47" i="1" s="1"/>
  <c r="BI48" i="1" a="1"/>
  <c r="BI48" i="1" s="1"/>
  <c r="BI49" i="1" a="1"/>
  <c r="BI49" i="1" s="1"/>
  <c r="BI50" i="1" a="1"/>
  <c r="BI50" i="1" s="1"/>
  <c r="BI51" i="1" a="1"/>
  <c r="BI51" i="1" s="1"/>
  <c r="BI52" i="1" a="1"/>
  <c r="BI52" i="1" s="1"/>
  <c r="BI53" i="1" a="1"/>
  <c r="BI53" i="1" s="1"/>
  <c r="BI54" i="1" a="1"/>
  <c r="BI54" i="1" s="1"/>
  <c r="BI55" i="1" a="1"/>
  <c r="BI55" i="1" s="1"/>
  <c r="BI56" i="1" a="1"/>
  <c r="BI56" i="1" s="1"/>
  <c r="BI57" i="1" a="1"/>
  <c r="BI57" i="1" s="1"/>
  <c r="BI58" i="1" a="1"/>
  <c r="BI58" i="1" s="1"/>
  <c r="BI59" i="1" a="1"/>
  <c r="BI59" i="1" s="1"/>
  <c r="BI60" i="1" a="1"/>
  <c r="BI60" i="1" s="1"/>
  <c r="BI61" i="1" a="1"/>
  <c r="BI61" i="1" s="1"/>
  <c r="BI62" i="1" a="1"/>
  <c r="BI62" i="1" s="1"/>
  <c r="BI63" i="1" a="1"/>
  <c r="BI63" i="1" s="1"/>
  <c r="BI64" i="1" a="1"/>
  <c r="BI64" i="1" s="1"/>
  <c r="BI65" i="1" a="1"/>
  <c r="BI65" i="1" s="1"/>
  <c r="BI66" i="1" a="1"/>
  <c r="BI66" i="1" s="1"/>
  <c r="BI67" i="1" a="1"/>
  <c r="BI67" i="1" s="1"/>
  <c r="BI68" i="1" a="1"/>
  <c r="BI68" i="1" s="1"/>
  <c r="BI69" i="1" a="1"/>
  <c r="BI69" i="1" s="1"/>
  <c r="BI70" i="1" a="1"/>
  <c r="BI70" i="1" s="1"/>
  <c r="BI71" i="1" a="1"/>
  <c r="BI71" i="1" s="1"/>
  <c r="BI72" i="1" a="1"/>
  <c r="BI72" i="1" s="1"/>
  <c r="BI73" i="1" a="1"/>
  <c r="BI73" i="1" s="1"/>
  <c r="BI74" i="1" a="1"/>
  <c r="BI74" i="1" s="1"/>
  <c r="BI75" i="1" a="1"/>
  <c r="BI75" i="1" s="1"/>
  <c r="BI76" i="1" a="1"/>
  <c r="BI76" i="1" s="1"/>
  <c r="BI77" i="1" a="1"/>
  <c r="BI77" i="1" s="1"/>
  <c r="BI78" i="1" a="1"/>
  <c r="BI78" i="1" s="1"/>
  <c r="BI79" i="1" a="1"/>
  <c r="BI79" i="1" s="1"/>
  <c r="BI80" i="1" a="1"/>
  <c r="BI80" i="1" s="1"/>
  <c r="BI81" i="1" a="1"/>
  <c r="BI81" i="1" s="1"/>
  <c r="BI82" i="1" a="1"/>
  <c r="BI82" i="1" s="1"/>
  <c r="BI83" i="1" a="1"/>
  <c r="BI83" i="1" s="1"/>
  <c r="BI84" i="1" a="1"/>
  <c r="BI84" i="1" s="1"/>
  <c r="BI85" i="1" a="1"/>
  <c r="BI85" i="1" s="1"/>
  <c r="BI86" i="1" a="1"/>
  <c r="BI86" i="1" s="1"/>
  <c r="BI87" i="1" a="1"/>
  <c r="BI87" i="1" s="1"/>
  <c r="BI88" i="1" a="1"/>
  <c r="BI88" i="1" s="1"/>
  <c r="BI89" i="1" a="1"/>
  <c r="BI89" i="1" s="1"/>
  <c r="BI90" i="1" a="1"/>
  <c r="BI90" i="1" s="1"/>
  <c r="BI91" i="1" a="1"/>
  <c r="BI91" i="1" s="1"/>
  <c r="BI92" i="1" a="1"/>
  <c r="BI92" i="1" s="1"/>
  <c r="BI93" i="1" a="1"/>
  <c r="BI93" i="1" s="1"/>
  <c r="BI94" i="1" a="1"/>
  <c r="BI94" i="1" s="1"/>
  <c r="BI95" i="1" a="1"/>
  <c r="BI95" i="1" s="1"/>
  <c r="BI96" i="1" a="1"/>
  <c r="BI96" i="1" s="1"/>
  <c r="BI97" i="1" a="1"/>
  <c r="BI97" i="1" s="1"/>
  <c r="BI98" i="1" a="1"/>
  <c r="BI98" i="1" s="1"/>
  <c r="BI99" i="1" a="1"/>
  <c r="BI99" i="1" s="1"/>
  <c r="BI100" i="1" a="1"/>
  <c r="BI100" i="1" s="1"/>
  <c r="BI101" i="1" a="1"/>
  <c r="BI101" i="1" s="1"/>
  <c r="BI102" i="1" a="1"/>
  <c r="BI102" i="1" s="1"/>
  <c r="BI103" i="1" a="1"/>
  <c r="BI103" i="1" s="1"/>
  <c r="BI104" i="1" a="1"/>
  <c r="BI104" i="1" s="1"/>
  <c r="BI105" i="1" a="1"/>
  <c r="BI105" i="1" s="1"/>
  <c r="BI106" i="1" a="1"/>
  <c r="BI106" i="1" s="1"/>
  <c r="BI107" i="1" a="1"/>
  <c r="BI107" i="1" s="1"/>
  <c r="BI108" i="1" a="1"/>
  <c r="BI108" i="1" s="1"/>
  <c r="BI109" i="1" a="1"/>
  <c r="BI109" i="1" s="1"/>
  <c r="BI110" i="1" a="1"/>
  <c r="BI110" i="1" s="1"/>
  <c r="BI111" i="1" a="1"/>
  <c r="BI111" i="1" s="1"/>
  <c r="BI112" i="1" a="1"/>
  <c r="BI112" i="1" s="1"/>
  <c r="BI113" i="1" a="1"/>
  <c r="BI113" i="1" s="1"/>
  <c r="BI114" i="1" a="1"/>
  <c r="BI114" i="1" s="1"/>
  <c r="BI115" i="1" a="1"/>
  <c r="BI115" i="1" s="1"/>
  <c r="BI116" i="1" a="1"/>
  <c r="BI116" i="1" s="1"/>
  <c r="BI117" i="1" a="1"/>
  <c r="BI117" i="1" s="1"/>
  <c r="BI118" i="1" a="1"/>
  <c r="BI118" i="1" s="1"/>
  <c r="BI119" i="1" a="1"/>
  <c r="BI119" i="1" s="1"/>
  <c r="BI120" i="1" a="1"/>
  <c r="BI120" i="1" s="1"/>
  <c r="BI121" i="1" a="1"/>
  <c r="BI121" i="1" s="1"/>
  <c r="BI122" i="1" a="1"/>
  <c r="BI122" i="1" s="1"/>
  <c r="BI123" i="1" a="1"/>
  <c r="BI123" i="1" s="1"/>
  <c r="BI124" i="1" a="1"/>
  <c r="BI124" i="1" s="1"/>
  <c r="BI125" i="1" a="1"/>
  <c r="BI125" i="1" s="1"/>
  <c r="BI126" i="1" a="1"/>
  <c r="BI126" i="1" s="1"/>
  <c r="BI127" i="1" a="1"/>
  <c r="BI127" i="1" s="1"/>
  <c r="BI128" i="1" a="1"/>
  <c r="BI128" i="1" s="1"/>
  <c r="BI129" i="1" a="1"/>
  <c r="BI129" i="1" s="1"/>
  <c r="BI130" i="1" a="1"/>
  <c r="BI130" i="1" s="1"/>
  <c r="BI131" i="1" a="1"/>
  <c r="BI131" i="1" s="1"/>
  <c r="BI132" i="1" a="1"/>
  <c r="BI132" i="1" s="1"/>
  <c r="BI133" i="1" a="1"/>
  <c r="BI133" i="1" s="1"/>
  <c r="BI134" i="1" a="1"/>
  <c r="BI134" i="1" s="1"/>
  <c r="BI135" i="1" a="1"/>
  <c r="BI135" i="1" s="1"/>
  <c r="BI136" i="1" a="1"/>
  <c r="BI136" i="1" s="1"/>
  <c r="BI137" i="1" a="1"/>
  <c r="BI137" i="1" s="1"/>
  <c r="BI138" i="1" a="1"/>
  <c r="BI138" i="1" s="1"/>
  <c r="BI139" i="1" a="1"/>
  <c r="BI139" i="1" s="1"/>
  <c r="BI140" i="1" a="1"/>
  <c r="BI140" i="1" s="1"/>
  <c r="BI141" i="1" a="1"/>
  <c r="BI141" i="1" s="1"/>
  <c r="BI142" i="1" a="1"/>
  <c r="BI142" i="1" s="1"/>
  <c r="BI143" i="1" a="1"/>
  <c r="BI143" i="1" s="1"/>
  <c r="BI144" i="1" a="1"/>
  <c r="BI144" i="1" s="1"/>
  <c r="BI145" i="1" a="1"/>
  <c r="BI145" i="1" s="1"/>
  <c r="BI146" i="1" a="1"/>
  <c r="BI146" i="1" s="1"/>
  <c r="BI147" i="1" a="1"/>
  <c r="BI147" i="1" s="1"/>
  <c r="BI148" i="1" a="1"/>
  <c r="BI148" i="1" s="1"/>
  <c r="BI149" i="1" a="1"/>
  <c r="BI149" i="1" s="1"/>
  <c r="BI150" i="1" a="1"/>
  <c r="BI150" i="1" s="1"/>
  <c r="BI151" i="1" a="1"/>
  <c r="BI151" i="1" s="1"/>
  <c r="BI152" i="1" a="1"/>
  <c r="BI152" i="1" s="1"/>
  <c r="BI153" i="1" a="1"/>
  <c r="BI153" i="1" s="1"/>
  <c r="BI154" i="1" a="1"/>
  <c r="BI154" i="1" s="1"/>
  <c r="BI155" i="1" a="1"/>
  <c r="BI155" i="1" s="1"/>
  <c r="BI156" i="1" a="1"/>
  <c r="BI156" i="1" s="1"/>
  <c r="BI157" i="1" a="1"/>
  <c r="BI157" i="1" s="1"/>
  <c r="BI158" i="1" a="1"/>
  <c r="BI158" i="1" s="1"/>
  <c r="BI159" i="1" a="1"/>
  <c r="BI159" i="1" s="1"/>
  <c r="BI160" i="1" a="1"/>
  <c r="BI160" i="1" s="1"/>
  <c r="BI161" i="1" a="1"/>
  <c r="BI161" i="1" s="1"/>
  <c r="BI162" i="1" a="1"/>
  <c r="BI162" i="1" s="1"/>
  <c r="BI163" i="1" a="1"/>
  <c r="BI163" i="1" s="1"/>
  <c r="BI164" i="1" a="1"/>
  <c r="BI164" i="1" s="1"/>
  <c r="BI165" i="1" a="1"/>
  <c r="BI165" i="1" s="1"/>
  <c r="BI166" i="1" a="1"/>
  <c r="BI166" i="1" s="1"/>
  <c r="BI167" i="1" a="1"/>
  <c r="BI167" i="1" s="1"/>
  <c r="BI168" i="1" a="1"/>
  <c r="BI168" i="1" s="1"/>
  <c r="BI169" i="1" a="1"/>
  <c r="BI169" i="1" s="1"/>
  <c r="BI170" i="1" a="1"/>
  <c r="BI170" i="1" s="1"/>
  <c r="BI171" i="1" a="1"/>
  <c r="BI171" i="1" s="1"/>
  <c r="BI172" i="1" a="1"/>
  <c r="BI172" i="1" s="1"/>
  <c r="BI173" i="1" a="1"/>
  <c r="BI173" i="1" s="1"/>
  <c r="BI174" i="1" a="1"/>
  <c r="BI174" i="1" s="1"/>
  <c r="BI175" i="1" a="1"/>
  <c r="BI175" i="1" s="1"/>
  <c r="BI176" i="1" a="1"/>
  <c r="BI176" i="1" s="1"/>
  <c r="BI177" i="1" a="1"/>
  <c r="BI177" i="1" s="1"/>
  <c r="BI178" i="1" a="1"/>
  <c r="BI178" i="1" s="1"/>
  <c r="BI179" i="1" a="1"/>
  <c r="BI179" i="1" s="1"/>
  <c r="BI180" i="1" a="1"/>
  <c r="BI180" i="1" s="1"/>
  <c r="BI181" i="1" a="1"/>
  <c r="BI181" i="1" s="1"/>
  <c r="BI182" i="1" a="1"/>
  <c r="BI182" i="1" s="1"/>
  <c r="BI183" i="1" a="1"/>
  <c r="BI183" i="1" s="1"/>
  <c r="BI184" i="1" a="1"/>
  <c r="BI184" i="1" s="1"/>
  <c r="BI185" i="1" a="1"/>
  <c r="BI185" i="1" s="1"/>
  <c r="BI186" i="1" a="1"/>
  <c r="BI186" i="1" s="1"/>
  <c r="BI187" i="1" a="1"/>
  <c r="BI187" i="1" s="1"/>
  <c r="BI188" i="1" a="1"/>
  <c r="BI188" i="1" s="1"/>
  <c r="BI189" i="1" a="1"/>
  <c r="BI189" i="1" s="1"/>
  <c r="BI190" i="1" a="1"/>
  <c r="BI190" i="1" s="1"/>
  <c r="BI191" i="1" a="1"/>
  <c r="BI191" i="1" s="1"/>
  <c r="BI192" i="1" a="1"/>
  <c r="BI192" i="1" s="1"/>
  <c r="BI193" i="1" a="1"/>
  <c r="BI193" i="1" s="1"/>
  <c r="BI194" i="1" a="1"/>
  <c r="BI194" i="1" s="1"/>
  <c r="BI195" i="1" a="1"/>
  <c r="BI195" i="1" s="1"/>
  <c r="BI196" i="1" a="1"/>
  <c r="BI196" i="1" s="1"/>
  <c r="BI197" i="1" a="1"/>
  <c r="BI197" i="1" s="1"/>
  <c r="BI198" i="1" a="1"/>
  <c r="BI198" i="1" s="1"/>
  <c r="BI199" i="1" a="1"/>
  <c r="BI199" i="1" s="1"/>
  <c r="BI200" i="1" a="1"/>
  <c r="BI200" i="1" s="1"/>
  <c r="BI201" i="1" a="1"/>
  <c r="BI201" i="1" s="1"/>
  <c r="BI202" i="1" a="1"/>
  <c r="BI202" i="1" s="1"/>
  <c r="BI203" i="1" a="1"/>
  <c r="BI203" i="1" s="1"/>
  <c r="BI204" i="1" a="1"/>
  <c r="BI204" i="1" s="1"/>
  <c r="BI205" i="1" a="1"/>
  <c r="BI205" i="1" s="1"/>
  <c r="BI11" i="1" a="1"/>
  <c r="BI11" i="1" s="1"/>
  <c r="S3" i="1"/>
  <c r="BJ11" i="1" a="1"/>
  <c r="BJ11" i="1" s="1"/>
  <c r="AZ189" i="1" l="1"/>
  <c r="AZ133" i="1"/>
  <c r="AZ125" i="1"/>
  <c r="AZ109" i="1"/>
  <c r="AZ101" i="1"/>
  <c r="AZ93" i="1"/>
  <c r="AZ180" i="1"/>
  <c r="BA180" i="1"/>
  <c r="AZ203" i="1"/>
  <c r="AZ199" i="1"/>
  <c r="BA202" i="1"/>
  <c r="AZ174" i="1"/>
  <c r="AZ186" i="1"/>
  <c r="AZ166" i="1"/>
  <c r="BB205" i="1"/>
  <c r="BB201" i="1"/>
  <c r="BA197" i="1"/>
  <c r="BA193" i="1"/>
  <c r="BA149" i="1"/>
  <c r="AZ79" i="1"/>
  <c r="AZ63" i="1"/>
  <c r="AZ158" i="1"/>
  <c r="BA168" i="1"/>
  <c r="BA192" i="1"/>
  <c r="AZ126" i="1"/>
  <c r="AZ118" i="1"/>
  <c r="AZ110" i="1"/>
  <c r="AZ106" i="1"/>
  <c r="AZ82" i="1"/>
  <c r="BA66" i="1"/>
  <c r="BD55" i="1"/>
  <c r="BB21" i="1"/>
  <c r="BA204" i="1"/>
  <c r="BB176" i="1"/>
  <c r="BA141" i="1"/>
  <c r="BA117" i="1"/>
  <c r="BA85" i="1"/>
  <c r="BB69" i="1"/>
  <c r="BA50" i="1"/>
  <c r="BC147" i="1"/>
  <c r="BC139" i="1"/>
  <c r="BC131" i="1"/>
  <c r="BC123" i="1"/>
  <c r="BC115" i="1"/>
  <c r="BD102" i="1"/>
  <c r="BD94" i="1"/>
  <c r="BD86" i="1"/>
  <c r="BC183" i="1"/>
  <c r="BB100" i="1"/>
  <c r="BB92" i="1"/>
  <c r="BB84" i="1"/>
  <c r="BC72" i="1"/>
  <c r="BA30" i="1"/>
  <c r="BC171" i="1"/>
  <c r="BC155" i="1"/>
  <c r="BA120" i="1"/>
  <c r="BB96" i="1"/>
  <c r="BA88" i="1"/>
  <c r="BB80" i="1"/>
  <c r="BC68" i="1"/>
  <c r="BA133" i="1"/>
  <c r="BA93" i="1"/>
  <c r="AZ85" i="1"/>
  <c r="BB168" i="1"/>
  <c r="BA160" i="1"/>
  <c r="BA104" i="1"/>
  <c r="BC204" i="1"/>
  <c r="BC200" i="1"/>
  <c r="BD178" i="1"/>
  <c r="BC167" i="1"/>
  <c r="BC159" i="1"/>
  <c r="BC151" i="1"/>
  <c r="BC143" i="1"/>
  <c r="BC135" i="1"/>
  <c r="BC127" i="1"/>
  <c r="BC119" i="1"/>
  <c r="BC111" i="1"/>
  <c r="BB99" i="1"/>
  <c r="BC95" i="1"/>
  <c r="BC87" i="1"/>
  <c r="BB83" i="1"/>
  <c r="BD75" i="1"/>
  <c r="BD23" i="1"/>
  <c r="BB147" i="1"/>
  <c r="BB139" i="1"/>
  <c r="BB131" i="1"/>
  <c r="BB123" i="1"/>
  <c r="BB115" i="1"/>
  <c r="BD105" i="1"/>
  <c r="BD97" i="1"/>
  <c r="BD89" i="1"/>
  <c r="BD81" i="1"/>
  <c r="BA18" i="1"/>
  <c r="BA201" i="1"/>
  <c r="BB192" i="1"/>
  <c r="AZ178" i="1"/>
  <c r="BA125" i="1"/>
  <c r="BA101" i="1"/>
  <c r="BB136" i="1"/>
  <c r="BC191" i="1"/>
  <c r="BD146" i="1"/>
  <c r="BD106" i="1"/>
  <c r="BD98" i="1"/>
  <c r="BD90" i="1"/>
  <c r="BD82" i="1"/>
  <c r="BC203" i="1"/>
  <c r="BB199" i="1"/>
  <c r="BB195" i="1"/>
  <c r="BD182" i="1"/>
  <c r="BC179" i="1"/>
  <c r="BD174" i="1"/>
  <c r="BA165" i="1"/>
  <c r="BB37" i="1"/>
  <c r="BC36" i="1"/>
  <c r="BA205" i="1"/>
  <c r="BB200" i="1"/>
  <c r="AZ90" i="1"/>
  <c r="BA144" i="1"/>
  <c r="BA128" i="1"/>
  <c r="BB112" i="1"/>
  <c r="BB188" i="1"/>
  <c r="BA177" i="1"/>
  <c r="BD154" i="1"/>
  <c r="BD138" i="1"/>
  <c r="BD130" i="1"/>
  <c r="BD194" i="1"/>
  <c r="BB184" i="1"/>
  <c r="BA169" i="1"/>
  <c r="AZ149" i="1"/>
  <c r="BD185" i="1"/>
  <c r="BC182" i="1"/>
  <c r="BC174" i="1"/>
  <c r="BA157" i="1"/>
  <c r="BB204" i="1"/>
  <c r="BA200" i="1"/>
  <c r="BA189" i="1"/>
  <c r="BA109" i="1"/>
  <c r="AZ98" i="1"/>
  <c r="BB46" i="1"/>
  <c r="BC46" i="1"/>
  <c r="AZ46" i="1"/>
  <c r="BD46" i="1"/>
  <c r="BA46" i="1"/>
  <c r="BB171" i="1"/>
  <c r="BB163" i="1"/>
  <c r="BB152" i="1"/>
  <c r="BD43" i="1"/>
  <c r="AZ107" i="1"/>
  <c r="BD107" i="1"/>
  <c r="BA107" i="1"/>
  <c r="BB107" i="1"/>
  <c r="BC107" i="1"/>
  <c r="BA34" i="1"/>
  <c r="BC163" i="1"/>
  <c r="BB181" i="1"/>
  <c r="BC181" i="1"/>
  <c r="BD181" i="1"/>
  <c r="AZ181" i="1"/>
  <c r="BA181" i="1"/>
  <c r="BB11" i="1"/>
  <c r="AZ11" i="1"/>
  <c r="BC11" i="1"/>
  <c r="BD11" i="1"/>
  <c r="BA11" i="1"/>
  <c r="BB14" i="1"/>
  <c r="BC14" i="1"/>
  <c r="AZ14" i="1"/>
  <c r="BD14" i="1"/>
  <c r="BA14" i="1"/>
  <c r="BA198" i="1"/>
  <c r="BB198" i="1"/>
  <c r="BA190" i="1"/>
  <c r="BB190" i="1"/>
  <c r="BA170" i="1"/>
  <c r="BB170" i="1"/>
  <c r="BA162" i="1"/>
  <c r="BB162" i="1"/>
  <c r="BA150" i="1"/>
  <c r="BB150" i="1"/>
  <c r="BA142" i="1"/>
  <c r="BB142" i="1"/>
  <c r="BA134" i="1"/>
  <c r="BB134" i="1"/>
  <c r="BA122" i="1"/>
  <c r="BB122" i="1"/>
  <c r="BA114" i="1"/>
  <c r="BB114" i="1"/>
  <c r="AZ103" i="1"/>
  <c r="BD103" i="1"/>
  <c r="BA103" i="1"/>
  <c r="AZ91" i="1"/>
  <c r="BD91" i="1"/>
  <c r="BA91" i="1"/>
  <c r="BA71" i="1"/>
  <c r="BB71" i="1"/>
  <c r="BC71" i="1"/>
  <c r="AZ71" i="1"/>
  <c r="AZ60" i="1"/>
  <c r="BD60" i="1"/>
  <c r="BA60" i="1"/>
  <c r="BB60" i="1"/>
  <c r="BC60" i="1"/>
  <c r="BC53" i="1"/>
  <c r="AZ53" i="1"/>
  <c r="BD53" i="1"/>
  <c r="BA53" i="1"/>
  <c r="BB42" i="1"/>
  <c r="BC42" i="1"/>
  <c r="AZ42" i="1"/>
  <c r="BD42" i="1"/>
  <c r="BA42" i="1"/>
  <c r="BB38" i="1"/>
  <c r="BC38" i="1"/>
  <c r="AZ38" i="1"/>
  <c r="BD38" i="1"/>
  <c r="BA38" i="1"/>
  <c r="BA31" i="1"/>
  <c r="BB31" i="1"/>
  <c r="BC31" i="1"/>
  <c r="BD31" i="1"/>
  <c r="AZ24" i="1"/>
  <c r="BD24" i="1"/>
  <c r="BA24" i="1"/>
  <c r="BB24" i="1"/>
  <c r="BD202" i="1"/>
  <c r="BD198" i="1"/>
  <c r="BC195" i="1"/>
  <c r="BB160" i="1"/>
  <c r="AZ154" i="1"/>
  <c r="BD150" i="1"/>
  <c r="BB144" i="1"/>
  <c r="AZ138" i="1"/>
  <c r="BD134" i="1"/>
  <c r="BB128" i="1"/>
  <c r="AZ122" i="1"/>
  <c r="BD118" i="1"/>
  <c r="AZ114" i="1"/>
  <c r="BD110" i="1"/>
  <c r="BB104" i="1"/>
  <c r="BC91" i="1"/>
  <c r="BB88" i="1"/>
  <c r="BB197" i="1"/>
  <c r="BC197" i="1"/>
  <c r="BA186" i="1"/>
  <c r="BB186" i="1"/>
  <c r="BC180" i="1"/>
  <c r="BD180" i="1"/>
  <c r="BB165" i="1"/>
  <c r="BC165" i="1"/>
  <c r="BB161" i="1"/>
  <c r="BC161" i="1"/>
  <c r="BB153" i="1"/>
  <c r="BC153" i="1"/>
  <c r="BB145" i="1"/>
  <c r="BC145" i="1"/>
  <c r="BB137" i="1"/>
  <c r="BC137" i="1"/>
  <c r="BB129" i="1"/>
  <c r="BC129" i="1"/>
  <c r="BB121" i="1"/>
  <c r="BC121" i="1"/>
  <c r="BB113" i="1"/>
  <c r="BC113" i="1"/>
  <c r="BA102" i="1"/>
  <c r="BB102" i="1"/>
  <c r="BA94" i="1"/>
  <c r="BB94" i="1"/>
  <c r="BA86" i="1"/>
  <c r="BB86" i="1"/>
  <c r="BB78" i="1"/>
  <c r="BC78" i="1"/>
  <c r="AZ78" i="1"/>
  <c r="BD78" i="1"/>
  <c r="BB70" i="1"/>
  <c r="BC70" i="1"/>
  <c r="AZ70" i="1"/>
  <c r="BD70" i="1"/>
  <c r="BA70" i="1"/>
  <c r="BA59" i="1"/>
  <c r="BB59" i="1"/>
  <c r="BC59" i="1"/>
  <c r="AZ52" i="1"/>
  <c r="BD52" i="1"/>
  <c r="BA52" i="1"/>
  <c r="BB52" i="1"/>
  <c r="BC45" i="1"/>
  <c r="AZ45" i="1"/>
  <c r="BD45" i="1"/>
  <c r="BA45" i="1"/>
  <c r="BB45" i="1"/>
  <c r="BA27" i="1"/>
  <c r="BB27" i="1"/>
  <c r="BC27" i="1"/>
  <c r="AZ20" i="1"/>
  <c r="BD20" i="1"/>
  <c r="BA20" i="1"/>
  <c r="BB20" i="1"/>
  <c r="BC13" i="1"/>
  <c r="AZ13" i="1"/>
  <c r="BD13" i="1"/>
  <c r="BA13" i="1"/>
  <c r="BB13" i="1"/>
  <c r="AZ205" i="1"/>
  <c r="BB203" i="1"/>
  <c r="BD201" i="1"/>
  <c r="BC198" i="1"/>
  <c r="BB179" i="1"/>
  <c r="AZ165" i="1"/>
  <c r="BD161" i="1"/>
  <c r="BC158" i="1"/>
  <c r="BB155" i="1"/>
  <c r="BA152" i="1"/>
  <c r="BD145" i="1"/>
  <c r="BC142" i="1"/>
  <c r="BA136" i="1"/>
  <c r="BD129" i="1"/>
  <c r="BC126" i="1"/>
  <c r="BD121" i="1"/>
  <c r="BC118" i="1"/>
  <c r="BA112" i="1"/>
  <c r="BC102" i="1"/>
  <c r="BA96" i="1"/>
  <c r="BB91" i="1"/>
  <c r="BC86" i="1"/>
  <c r="BA80" i="1"/>
  <c r="AZ43" i="1"/>
  <c r="BC196" i="1"/>
  <c r="AZ196" i="1"/>
  <c r="BD196" i="1"/>
  <c r="BC192" i="1"/>
  <c r="AZ192" i="1"/>
  <c r="BD192" i="1"/>
  <c r="BB185" i="1"/>
  <c r="BC185" i="1"/>
  <c r="BA182" i="1"/>
  <c r="BB182" i="1"/>
  <c r="AZ179" i="1"/>
  <c r="BD179" i="1"/>
  <c r="BA179" i="1"/>
  <c r="AZ175" i="1"/>
  <c r="BD175" i="1"/>
  <c r="BA175" i="1"/>
  <c r="BC172" i="1"/>
  <c r="AZ172" i="1"/>
  <c r="BD172" i="1"/>
  <c r="BC168" i="1"/>
  <c r="AZ168" i="1"/>
  <c r="BD168" i="1"/>
  <c r="BC164" i="1"/>
  <c r="AZ164" i="1"/>
  <c r="BD164" i="1"/>
  <c r="BC160" i="1"/>
  <c r="AZ160" i="1"/>
  <c r="BD160" i="1"/>
  <c r="BC156" i="1"/>
  <c r="AZ156" i="1"/>
  <c r="BD156" i="1"/>
  <c r="BC152" i="1"/>
  <c r="AZ152" i="1"/>
  <c r="BD152" i="1"/>
  <c r="BC148" i="1"/>
  <c r="AZ148" i="1"/>
  <c r="BD148" i="1"/>
  <c r="BC144" i="1"/>
  <c r="AZ144" i="1"/>
  <c r="BD144" i="1"/>
  <c r="BC140" i="1"/>
  <c r="AZ140" i="1"/>
  <c r="BD140" i="1"/>
  <c r="BC136" i="1"/>
  <c r="AZ136" i="1"/>
  <c r="BD136" i="1"/>
  <c r="BC132" i="1"/>
  <c r="AZ132" i="1"/>
  <c r="BD132" i="1"/>
  <c r="BC128" i="1"/>
  <c r="AZ128" i="1"/>
  <c r="BD128" i="1"/>
  <c r="BC124" i="1"/>
  <c r="AZ124" i="1"/>
  <c r="BD124" i="1"/>
  <c r="BC120" i="1"/>
  <c r="AZ120" i="1"/>
  <c r="BD120" i="1"/>
  <c r="BC116" i="1"/>
  <c r="AZ116" i="1"/>
  <c r="BD116" i="1"/>
  <c r="BC112" i="1"/>
  <c r="AZ112" i="1"/>
  <c r="BD112" i="1"/>
  <c r="BC108" i="1"/>
  <c r="AZ108" i="1"/>
  <c r="BD108" i="1"/>
  <c r="BB105" i="1"/>
  <c r="BC105" i="1"/>
  <c r="BB101" i="1"/>
  <c r="BC101" i="1"/>
  <c r="BB97" i="1"/>
  <c r="BC97" i="1"/>
  <c r="BB93" i="1"/>
  <c r="BC93" i="1"/>
  <c r="BB89" i="1"/>
  <c r="BC89" i="1"/>
  <c r="BB85" i="1"/>
  <c r="BC85" i="1"/>
  <c r="BB81" i="1"/>
  <c r="BC81" i="1"/>
  <c r="BC77" i="1"/>
  <c r="AZ77" i="1"/>
  <c r="BD77" i="1"/>
  <c r="BA77" i="1"/>
  <c r="BB77" i="1"/>
  <c r="BC73" i="1"/>
  <c r="AZ73" i="1"/>
  <c r="BD73" i="1"/>
  <c r="BA73" i="1"/>
  <c r="BB73" i="1"/>
  <c r="BC69" i="1"/>
  <c r="AZ69" i="1"/>
  <c r="BD69" i="1"/>
  <c r="BA69" i="1"/>
  <c r="BC65" i="1"/>
  <c r="AZ65" i="1"/>
  <c r="BD65" i="1"/>
  <c r="BA65" i="1"/>
  <c r="BB58" i="1"/>
  <c r="BC58" i="1"/>
  <c r="AZ58" i="1"/>
  <c r="BD58" i="1"/>
  <c r="BA58" i="1"/>
  <c r="BB54" i="1"/>
  <c r="BC54" i="1"/>
  <c r="AZ54" i="1"/>
  <c r="BD54" i="1"/>
  <c r="BA54" i="1"/>
  <c r="BA51" i="1"/>
  <c r="BB51" i="1"/>
  <c r="BC51" i="1"/>
  <c r="AZ51" i="1"/>
  <c r="BD51" i="1"/>
  <c r="BA47" i="1"/>
  <c r="BB47" i="1"/>
  <c r="BC47" i="1"/>
  <c r="BD47" i="1"/>
  <c r="AZ44" i="1"/>
  <c r="BD44" i="1"/>
  <c r="BA44" i="1"/>
  <c r="BB44" i="1"/>
  <c r="BC44" i="1"/>
  <c r="AZ40" i="1"/>
  <c r="BD40" i="1"/>
  <c r="BA40" i="1"/>
  <c r="BB40" i="1"/>
  <c r="BC37" i="1"/>
  <c r="AZ37" i="1"/>
  <c r="BD37" i="1"/>
  <c r="BA37" i="1"/>
  <c r="BC33" i="1"/>
  <c r="AZ33" i="1"/>
  <c r="BD33" i="1"/>
  <c r="BA33" i="1"/>
  <c r="BB26" i="1"/>
  <c r="BC26" i="1"/>
  <c r="AZ26" i="1"/>
  <c r="BD26" i="1"/>
  <c r="BA26" i="1"/>
  <c r="BB22" i="1"/>
  <c r="BC22" i="1"/>
  <c r="AZ22" i="1"/>
  <c r="BD22" i="1"/>
  <c r="BA22" i="1"/>
  <c r="BA19" i="1"/>
  <c r="BB19" i="1"/>
  <c r="BC19" i="1"/>
  <c r="AZ19" i="1"/>
  <c r="BD19" i="1"/>
  <c r="BA15" i="1"/>
  <c r="BB15" i="1"/>
  <c r="BC15" i="1"/>
  <c r="BD15" i="1"/>
  <c r="AZ12" i="1"/>
  <c r="BD12" i="1"/>
  <c r="BA12" i="1"/>
  <c r="BB12" i="1"/>
  <c r="BC12" i="1"/>
  <c r="BC205" i="1"/>
  <c r="BD204" i="1"/>
  <c r="AZ204" i="1"/>
  <c r="BA203" i="1"/>
  <c r="BB202" i="1"/>
  <c r="BC201" i="1"/>
  <c r="BD200" i="1"/>
  <c r="AZ200" i="1"/>
  <c r="BA199" i="1"/>
  <c r="AZ198" i="1"/>
  <c r="BB196" i="1"/>
  <c r="AZ190" i="1"/>
  <c r="BD186" i="1"/>
  <c r="BA185" i="1"/>
  <c r="AZ182" i="1"/>
  <c r="BB180" i="1"/>
  <c r="BC175" i="1"/>
  <c r="BB172" i="1"/>
  <c r="BD170" i="1"/>
  <c r="BB164" i="1"/>
  <c r="BD162" i="1"/>
  <c r="BA161" i="1"/>
  <c r="BB156" i="1"/>
  <c r="BA153" i="1"/>
  <c r="AZ150" i="1"/>
  <c r="BB148" i="1"/>
  <c r="BA145" i="1"/>
  <c r="AZ142" i="1"/>
  <c r="BB140" i="1"/>
  <c r="BA137" i="1"/>
  <c r="AZ134" i="1"/>
  <c r="BB132" i="1"/>
  <c r="BA129" i="1"/>
  <c r="BB124" i="1"/>
  <c r="BD122" i="1"/>
  <c r="BA121" i="1"/>
  <c r="BB116" i="1"/>
  <c r="BD114" i="1"/>
  <c r="BA113" i="1"/>
  <c r="BB108" i="1"/>
  <c r="BA105" i="1"/>
  <c r="BC103" i="1"/>
  <c r="AZ102" i="1"/>
  <c r="BA97" i="1"/>
  <c r="AZ94" i="1"/>
  <c r="BA89" i="1"/>
  <c r="AZ86" i="1"/>
  <c r="BA81" i="1"/>
  <c r="BD59" i="1"/>
  <c r="BB53" i="1"/>
  <c r="AZ47" i="1"/>
  <c r="BC40" i="1"/>
  <c r="BD27" i="1"/>
  <c r="AZ15" i="1"/>
  <c r="BA194" i="1"/>
  <c r="BB194" i="1"/>
  <c r="AZ187" i="1"/>
  <c r="BD187" i="1"/>
  <c r="BA187" i="1"/>
  <c r="BC184" i="1"/>
  <c r="AZ184" i="1"/>
  <c r="BD184" i="1"/>
  <c r="BB177" i="1"/>
  <c r="BC177" i="1"/>
  <c r="BB173" i="1"/>
  <c r="BC173" i="1"/>
  <c r="BA166" i="1"/>
  <c r="BB166" i="1"/>
  <c r="BA158" i="1"/>
  <c r="BB158" i="1"/>
  <c r="BA154" i="1"/>
  <c r="BB154" i="1"/>
  <c r="BA146" i="1"/>
  <c r="BB146" i="1"/>
  <c r="BA138" i="1"/>
  <c r="BB138" i="1"/>
  <c r="BA130" i="1"/>
  <c r="BB130" i="1"/>
  <c r="BA126" i="1"/>
  <c r="BB126" i="1"/>
  <c r="BA118" i="1"/>
  <c r="BB118" i="1"/>
  <c r="BA110" i="1"/>
  <c r="BB110" i="1"/>
  <c r="AZ99" i="1"/>
  <c r="BD99" i="1"/>
  <c r="BA99" i="1"/>
  <c r="AZ95" i="1"/>
  <c r="BD95" i="1"/>
  <c r="BA95" i="1"/>
  <c r="AZ87" i="1"/>
  <c r="BD87" i="1"/>
  <c r="BA87" i="1"/>
  <c r="AZ83" i="1"/>
  <c r="BD83" i="1"/>
  <c r="BA83" i="1"/>
  <c r="BA79" i="1"/>
  <c r="BB79" i="1"/>
  <c r="BC79" i="1"/>
  <c r="BD79" i="1"/>
  <c r="BA75" i="1"/>
  <c r="BB75" i="1"/>
  <c r="BC75" i="1"/>
  <c r="BA67" i="1"/>
  <c r="BB67" i="1"/>
  <c r="BC67" i="1"/>
  <c r="AZ67" i="1"/>
  <c r="BD67" i="1"/>
  <c r="BA63" i="1"/>
  <c r="BB63" i="1"/>
  <c r="BC63" i="1"/>
  <c r="BD63" i="1"/>
  <c r="AZ56" i="1"/>
  <c r="BD56" i="1"/>
  <c r="BA56" i="1"/>
  <c r="BB56" i="1"/>
  <c r="BC49" i="1"/>
  <c r="AZ49" i="1"/>
  <c r="BD49" i="1"/>
  <c r="BA49" i="1"/>
  <c r="BA35" i="1"/>
  <c r="BB35" i="1"/>
  <c r="BC35" i="1"/>
  <c r="AZ35" i="1"/>
  <c r="BD35" i="1"/>
  <c r="AZ28" i="1"/>
  <c r="BD28" i="1"/>
  <c r="BA28" i="1"/>
  <c r="BB28" i="1"/>
  <c r="BC28" i="1"/>
  <c r="BC21" i="1"/>
  <c r="AZ21" i="1"/>
  <c r="BD21" i="1"/>
  <c r="BA21" i="1"/>
  <c r="BC17" i="1"/>
  <c r="AZ17" i="1"/>
  <c r="BD17" i="1"/>
  <c r="BA17" i="1"/>
  <c r="AZ202" i="1"/>
  <c r="BC199" i="1"/>
  <c r="AZ194" i="1"/>
  <c r="BD190" i="1"/>
  <c r="BC187" i="1"/>
  <c r="BA173" i="1"/>
  <c r="AZ170" i="1"/>
  <c r="BD166" i="1"/>
  <c r="AZ162" i="1"/>
  <c r="BD158" i="1"/>
  <c r="AZ146" i="1"/>
  <c r="BD142" i="1"/>
  <c r="AZ130" i="1"/>
  <c r="BD126" i="1"/>
  <c r="BB120" i="1"/>
  <c r="BC99" i="1"/>
  <c r="BC83" i="1"/>
  <c r="BC56" i="1"/>
  <c r="AZ31" i="1"/>
  <c r="BC24" i="1"/>
  <c r="BB193" i="1"/>
  <c r="BC193" i="1"/>
  <c r="BB189" i="1"/>
  <c r="BC189" i="1"/>
  <c r="AZ183" i="1"/>
  <c r="BD183" i="1"/>
  <c r="BA183" i="1"/>
  <c r="BC176" i="1"/>
  <c r="AZ176" i="1"/>
  <c r="BD176" i="1"/>
  <c r="BB169" i="1"/>
  <c r="BC169" i="1"/>
  <c r="BB157" i="1"/>
  <c r="BC157" i="1"/>
  <c r="BB149" i="1"/>
  <c r="BC149" i="1"/>
  <c r="BB141" i="1"/>
  <c r="BC141" i="1"/>
  <c r="BB133" i="1"/>
  <c r="BC133" i="1"/>
  <c r="BB125" i="1"/>
  <c r="BC125" i="1"/>
  <c r="BB117" i="1"/>
  <c r="BC117" i="1"/>
  <c r="BB109" i="1"/>
  <c r="BC109" i="1"/>
  <c r="BA106" i="1"/>
  <c r="BB106" i="1"/>
  <c r="BA98" i="1"/>
  <c r="BB98" i="1"/>
  <c r="BA90" i="1"/>
  <c r="BB90" i="1"/>
  <c r="BA82" i="1"/>
  <c r="BB82" i="1"/>
  <c r="BB74" i="1"/>
  <c r="BC74" i="1"/>
  <c r="AZ74" i="1"/>
  <c r="BD74" i="1"/>
  <c r="BA74" i="1"/>
  <c r="BB66" i="1"/>
  <c r="BC66" i="1"/>
  <c r="AZ66" i="1"/>
  <c r="BD66" i="1"/>
  <c r="BB62" i="1"/>
  <c r="BC62" i="1"/>
  <c r="AZ62" i="1"/>
  <c r="BD62" i="1"/>
  <c r="BA55" i="1"/>
  <c r="BB55" i="1"/>
  <c r="BC55" i="1"/>
  <c r="AZ55" i="1"/>
  <c r="AZ48" i="1"/>
  <c r="BD48" i="1"/>
  <c r="BA48" i="1"/>
  <c r="BB48" i="1"/>
  <c r="BC48" i="1"/>
  <c r="BC41" i="1"/>
  <c r="AZ41" i="1"/>
  <c r="BD41" i="1"/>
  <c r="BA41" i="1"/>
  <c r="BB41" i="1"/>
  <c r="BB34" i="1"/>
  <c r="BC34" i="1"/>
  <c r="AZ34" i="1"/>
  <c r="BD34" i="1"/>
  <c r="BB30" i="1"/>
  <c r="BC30" i="1"/>
  <c r="AZ30" i="1"/>
  <c r="BD30" i="1"/>
  <c r="BA23" i="1"/>
  <c r="BB23" i="1"/>
  <c r="BC23" i="1"/>
  <c r="AZ23" i="1"/>
  <c r="AZ16" i="1"/>
  <c r="BD16" i="1"/>
  <c r="BA16" i="1"/>
  <c r="BB16" i="1"/>
  <c r="BC16" i="1"/>
  <c r="BD205" i="1"/>
  <c r="BC202" i="1"/>
  <c r="AZ201" i="1"/>
  <c r="AZ197" i="1"/>
  <c r="BD193" i="1"/>
  <c r="BC190" i="1"/>
  <c r="BB187" i="1"/>
  <c r="BA184" i="1"/>
  <c r="BD177" i="1"/>
  <c r="BA176" i="1"/>
  <c r="AZ173" i="1"/>
  <c r="BD169" i="1"/>
  <c r="BC166" i="1"/>
  <c r="AZ157" i="1"/>
  <c r="BD153" i="1"/>
  <c r="BC150" i="1"/>
  <c r="AZ141" i="1"/>
  <c r="BD137" i="1"/>
  <c r="BC134" i="1"/>
  <c r="AZ117" i="1"/>
  <c r="BD113" i="1"/>
  <c r="BC110" i="1"/>
  <c r="BC94" i="1"/>
  <c r="AZ75" i="1"/>
  <c r="BA62" i="1"/>
  <c r="BB49" i="1"/>
  <c r="BB17" i="1"/>
  <c r="AZ195" i="1"/>
  <c r="BD195" i="1"/>
  <c r="BA195" i="1"/>
  <c r="AZ191" i="1"/>
  <c r="BD191" i="1"/>
  <c r="BA191" i="1"/>
  <c r="BC188" i="1"/>
  <c r="AZ188" i="1"/>
  <c r="BD188" i="1"/>
  <c r="BA178" i="1"/>
  <c r="BB178" i="1"/>
  <c r="BA174" i="1"/>
  <c r="BB174" i="1"/>
  <c r="AZ171" i="1"/>
  <c r="BD171" i="1"/>
  <c r="BA171" i="1"/>
  <c r="AZ167" i="1"/>
  <c r="BD167" i="1"/>
  <c r="BA167" i="1"/>
  <c r="AZ163" i="1"/>
  <c r="BD163" i="1"/>
  <c r="BA163" i="1"/>
  <c r="AZ159" i="1"/>
  <c r="BD159" i="1"/>
  <c r="BA159" i="1"/>
  <c r="AZ155" i="1"/>
  <c r="BD155" i="1"/>
  <c r="BA155" i="1"/>
  <c r="AZ151" i="1"/>
  <c r="BD151" i="1"/>
  <c r="BA151" i="1"/>
  <c r="AZ147" i="1"/>
  <c r="BD147" i="1"/>
  <c r="BA147" i="1"/>
  <c r="AZ143" i="1"/>
  <c r="BD143" i="1"/>
  <c r="BA143" i="1"/>
  <c r="AZ139" i="1"/>
  <c r="BD139" i="1"/>
  <c r="BA139" i="1"/>
  <c r="AZ135" i="1"/>
  <c r="BD135" i="1"/>
  <c r="BA135" i="1"/>
  <c r="AZ131" i="1"/>
  <c r="BD131" i="1"/>
  <c r="BA131" i="1"/>
  <c r="AZ127" i="1"/>
  <c r="BD127" i="1"/>
  <c r="BA127" i="1"/>
  <c r="AZ123" i="1"/>
  <c r="BD123" i="1"/>
  <c r="BA123" i="1"/>
  <c r="AZ119" i="1"/>
  <c r="BD119" i="1"/>
  <c r="BA119" i="1"/>
  <c r="AZ115" i="1"/>
  <c r="BD115" i="1"/>
  <c r="BA115" i="1"/>
  <c r="AZ111" i="1"/>
  <c r="BD111" i="1"/>
  <c r="BA111" i="1"/>
  <c r="BC104" i="1"/>
  <c r="AZ104" i="1"/>
  <c r="BD104" i="1"/>
  <c r="BC100" i="1"/>
  <c r="AZ100" i="1"/>
  <c r="BD100" i="1"/>
  <c r="BC96" i="1"/>
  <c r="AZ96" i="1"/>
  <c r="BD96" i="1"/>
  <c r="BC92" i="1"/>
  <c r="AZ92" i="1"/>
  <c r="BD92" i="1"/>
  <c r="BC88" i="1"/>
  <c r="AZ88" i="1"/>
  <c r="BD88" i="1"/>
  <c r="BC84" i="1"/>
  <c r="AZ84" i="1"/>
  <c r="BD84" i="1"/>
  <c r="BC80" i="1"/>
  <c r="AZ80" i="1"/>
  <c r="BD80" i="1"/>
  <c r="AZ76" i="1"/>
  <c r="BD76" i="1"/>
  <c r="BA76" i="1"/>
  <c r="BB76" i="1"/>
  <c r="BC76" i="1"/>
  <c r="AZ72" i="1"/>
  <c r="BD72" i="1"/>
  <c r="BA72" i="1"/>
  <c r="BB72" i="1"/>
  <c r="AZ68" i="1"/>
  <c r="BD68" i="1"/>
  <c r="BA68" i="1"/>
  <c r="BB68" i="1"/>
  <c r="AZ64" i="1"/>
  <c r="BD64" i="1"/>
  <c r="BA64" i="1"/>
  <c r="BB64" i="1"/>
  <c r="BC64" i="1"/>
  <c r="BC61" i="1"/>
  <c r="AZ61" i="1"/>
  <c r="BD61" i="1"/>
  <c r="BA61" i="1"/>
  <c r="BB61" i="1"/>
  <c r="BC57" i="1"/>
  <c r="AZ57" i="1"/>
  <c r="BD57" i="1"/>
  <c r="BA57" i="1"/>
  <c r="BB57" i="1"/>
  <c r="BB50" i="1"/>
  <c r="BC50" i="1"/>
  <c r="AZ50" i="1"/>
  <c r="BD50" i="1"/>
  <c r="BA43" i="1"/>
  <c r="BB43" i="1"/>
  <c r="BC43" i="1"/>
  <c r="BA39" i="1"/>
  <c r="BB39" i="1"/>
  <c r="BC39" i="1"/>
  <c r="AZ39" i="1"/>
  <c r="AZ36" i="1"/>
  <c r="BD36" i="1"/>
  <c r="BA36" i="1"/>
  <c r="BB36" i="1"/>
  <c r="AZ32" i="1"/>
  <c r="BD32" i="1"/>
  <c r="BA32" i="1"/>
  <c r="BB32" i="1"/>
  <c r="BC32" i="1"/>
  <c r="BC29" i="1"/>
  <c r="AZ29" i="1"/>
  <c r="BD29" i="1"/>
  <c r="BA29" i="1"/>
  <c r="BB29" i="1"/>
  <c r="BC25" i="1"/>
  <c r="AZ25" i="1"/>
  <c r="BD25" i="1"/>
  <c r="BA25" i="1"/>
  <c r="BB25" i="1"/>
  <c r="BB18" i="1"/>
  <c r="BC18" i="1"/>
  <c r="AZ18" i="1"/>
  <c r="BD18" i="1"/>
  <c r="BD203" i="1"/>
  <c r="BD199" i="1"/>
  <c r="BD197" i="1"/>
  <c r="BA196" i="1"/>
  <c r="BC194" i="1"/>
  <c r="AZ193" i="1"/>
  <c r="BB191" i="1"/>
  <c r="BD189" i="1"/>
  <c r="BA188" i="1"/>
  <c r="BC186" i="1"/>
  <c r="AZ185" i="1"/>
  <c r="BB183" i="1"/>
  <c r="BC178" i="1"/>
  <c r="AZ177" i="1"/>
  <c r="BB175" i="1"/>
  <c r="BD173" i="1"/>
  <c r="BA172" i="1"/>
  <c r="BC170" i="1"/>
  <c r="AZ169" i="1"/>
  <c r="BB167" i="1"/>
  <c r="BD165" i="1"/>
  <c r="BA164" i="1"/>
  <c r="BC162" i="1"/>
  <c r="AZ161" i="1"/>
  <c r="BB159" i="1"/>
  <c r="BD157" i="1"/>
  <c r="BA156" i="1"/>
  <c r="BC154" i="1"/>
  <c r="AZ153" i="1"/>
  <c r="BB151" i="1"/>
  <c r="BD149" i="1"/>
  <c r="BA148" i="1"/>
  <c r="BC146" i="1"/>
  <c r="AZ145" i="1"/>
  <c r="BB143" i="1"/>
  <c r="BD141" i="1"/>
  <c r="BA140" i="1"/>
  <c r="BC138" i="1"/>
  <c r="AZ137" i="1"/>
  <c r="BB135" i="1"/>
  <c r="BD133" i="1"/>
  <c r="BA132" i="1"/>
  <c r="BC130" i="1"/>
  <c r="AZ129" i="1"/>
  <c r="BB127" i="1"/>
  <c r="BD125" i="1"/>
  <c r="BA124" i="1"/>
  <c r="BC122" i="1"/>
  <c r="AZ121" i="1"/>
  <c r="BB119" i="1"/>
  <c r="BD117" i="1"/>
  <c r="BA116" i="1"/>
  <c r="BC114" i="1"/>
  <c r="AZ113" i="1"/>
  <c r="BB111" i="1"/>
  <c r="BD109" i="1"/>
  <c r="BA108" i="1"/>
  <c r="BC106" i="1"/>
  <c r="AZ105" i="1"/>
  <c r="BB103" i="1"/>
  <c r="BD101" i="1"/>
  <c r="BA100" i="1"/>
  <c r="BC98" i="1"/>
  <c r="AZ97" i="1"/>
  <c r="BB95" i="1"/>
  <c r="BD93" i="1"/>
  <c r="BA92" i="1"/>
  <c r="BC90" i="1"/>
  <c r="AZ89" i="1"/>
  <c r="BB87" i="1"/>
  <c r="BD85" i="1"/>
  <c r="BA84" i="1"/>
  <c r="BC82" i="1"/>
  <c r="AZ81" i="1"/>
  <c r="BA78" i="1"/>
  <c r="BD71" i="1"/>
  <c r="BB65" i="1"/>
  <c r="AZ59" i="1"/>
  <c r="BC52" i="1"/>
  <c r="BD39" i="1"/>
  <c r="BB33" i="1"/>
  <c r="AZ27" i="1"/>
  <c r="BC20" i="1"/>
</calcChain>
</file>

<file path=xl/sharedStrings.xml><?xml version="1.0" encoding="utf-8"?>
<sst xmlns="http://schemas.openxmlformats.org/spreadsheetml/2006/main" count="4148" uniqueCount="1108">
  <si>
    <t>PROJECT PLAN</t>
  </si>
  <si>
    <t>DEMAN</t>
  </si>
  <si>
    <t>TRG</t>
  </si>
  <si>
    <t>1096P695-001</t>
  </si>
  <si>
    <t>F/ASSY TRG</t>
  </si>
  <si>
    <t>1096P696-001</t>
  </si>
  <si>
    <t>Qty needs to slip</t>
  </si>
  <si>
    <t>6930M300-001</t>
  </si>
  <si>
    <t>1096J600-001</t>
  </si>
  <si>
    <t>1096J620-001</t>
  </si>
  <si>
    <t>1093J671-001</t>
  </si>
  <si>
    <t>MODULE F/ASSY - TRG</t>
  </si>
  <si>
    <t>ETA</t>
  </si>
  <si>
    <t>MODULE F/ASSY TRG</t>
  </si>
  <si>
    <t>RF PC ASSY</t>
  </si>
  <si>
    <t>PC ASSY ANT CTRL</t>
  </si>
  <si>
    <t>#</t>
  </si>
  <si>
    <t>Internal PN</t>
  </si>
  <si>
    <t>PN_ID</t>
  </si>
  <si>
    <t>REV</t>
  </si>
  <si>
    <t>FFF</t>
  </si>
  <si>
    <t>CATALOG</t>
  </si>
  <si>
    <t>DESCRIPTION</t>
  </si>
  <si>
    <t>UOM</t>
  </si>
  <si>
    <t>SUG_MLAI</t>
  </si>
  <si>
    <t>ORIG_QTY</t>
  </si>
  <si>
    <t>SUM</t>
  </si>
  <si>
    <t>QTY</t>
  </si>
  <si>
    <t>MPQ</t>
  </si>
  <si>
    <t>TOTAL QTY</t>
  </si>
  <si>
    <t>ספק</t>
  </si>
  <si>
    <t>ITEM_TYPE</t>
  </si>
  <si>
    <t>PRICE</t>
  </si>
  <si>
    <t>TOTAL PRICE</t>
  </si>
  <si>
    <t>CURRENCY</t>
  </si>
  <si>
    <t>SUPPLIER</t>
  </si>
  <si>
    <t>CONTACT</t>
  </si>
  <si>
    <t>MAIL</t>
  </si>
  <si>
    <t>PHONE</t>
  </si>
  <si>
    <t>MOQ</t>
  </si>
  <si>
    <t>יחידת מידה</t>
  </si>
  <si>
    <t>TOTAL</t>
  </si>
  <si>
    <t>Total Qty Required</t>
  </si>
  <si>
    <t>Toal ordered qty</t>
  </si>
  <si>
    <t>Balance to order</t>
  </si>
  <si>
    <t>STOCK</t>
  </si>
  <si>
    <t>DESC</t>
  </si>
  <si>
    <t>LEVEL</t>
  </si>
  <si>
    <t>PN</t>
  </si>
  <si>
    <t>CIWS SUPPLIER</t>
  </si>
  <si>
    <t>NOTES</t>
  </si>
  <si>
    <t>ELTA Reply (04-11-2025)</t>
  </si>
  <si>
    <t>ELTA Reply</t>
  </si>
  <si>
    <t>Clarifications</t>
  </si>
  <si>
    <t>Clarification</t>
  </si>
  <si>
    <t>Supplier new price</t>
  </si>
  <si>
    <t>Remarks</t>
  </si>
  <si>
    <t xml:space="preserve">Remarks </t>
  </si>
  <si>
    <t>Update as on 08-Jul-26</t>
  </si>
  <si>
    <t>Starlight PN (08-07-2026)</t>
  </si>
  <si>
    <t>Supplier</t>
  </si>
  <si>
    <t>MPN</t>
  </si>
  <si>
    <t>MAKE</t>
  </si>
  <si>
    <t>CUR</t>
  </si>
  <si>
    <t>CCR</t>
  </si>
  <si>
    <t>PO Qty</t>
  </si>
  <si>
    <t>Amount</t>
  </si>
  <si>
    <t xml:space="preserve">PO Number </t>
  </si>
  <si>
    <t xml:space="preserve">PO date </t>
  </si>
  <si>
    <t>PI</t>
  </si>
  <si>
    <t>DD</t>
  </si>
  <si>
    <t>ETD</t>
  </si>
  <si>
    <t>Remarks 29-05-2026</t>
  </si>
  <si>
    <t>EL01-003034</t>
  </si>
  <si>
    <t>B01</t>
  </si>
  <si>
    <t>EA</t>
  </si>
  <si>
    <t>assy</t>
  </si>
  <si>
    <t>ASSY</t>
  </si>
  <si>
    <t>Assy</t>
  </si>
  <si>
    <t>EL01-003035</t>
  </si>
  <si>
    <t>0603CS-18NXGLW</t>
  </si>
  <si>
    <t>BUY1</t>
  </si>
  <si>
    <t>‎401502522‏</t>
  </si>
  <si>
    <t>CHIP INDUCTOR 18NH 2% T&amp;R</t>
  </si>
  <si>
    <t>COILCRAFT INC.</t>
  </si>
  <si>
    <t>USD</t>
  </si>
  <si>
    <t>ARROW RAPAC</t>
  </si>
  <si>
    <t>ALON SAGIV</t>
  </si>
  <si>
    <t>Alon.Sagiv@arrow.com</t>
  </si>
  <si>
    <t>03-9203447</t>
  </si>
  <si>
    <t>Elta Approved to place order to Elina for PN: 0603CS-18NXGRW</t>
  </si>
  <si>
    <t>No Support to india</t>
  </si>
  <si>
    <t>Ordered</t>
  </si>
  <si>
    <t>Coilcraft</t>
  </si>
  <si>
    <t>PO2526U11297</t>
  </si>
  <si>
    <t>Done</t>
  </si>
  <si>
    <t>Received</t>
  </si>
  <si>
    <t>supplier requesting to  approve the part without W at end</t>
  </si>
  <si>
    <t>EL01-000824</t>
  </si>
  <si>
    <t>1093H504-001</t>
  </si>
  <si>
    <t>-</t>
  </si>
  <si>
    <t>D00758469</t>
  </si>
  <si>
    <t>SPECIFICATION FOR  MULTI LAYAR BAND PASS FILTER 3050-3500 MHZ</t>
  </si>
  <si>
    <t>ASCOTECH</t>
  </si>
  <si>
    <t>DORON WEIZMAN</t>
  </si>
  <si>
    <t>doronw@asco.co.il</t>
  </si>
  <si>
    <t>972-3-6496891</t>
  </si>
  <si>
    <t>PO2526U10665</t>
  </si>
  <si>
    <t>Intransit</t>
  </si>
  <si>
    <t>12 weeks</t>
  </si>
  <si>
    <t>EL01-003036</t>
  </si>
  <si>
    <t>EL01-003037</t>
  </si>
  <si>
    <t>1093N187-001</t>
  </si>
  <si>
    <t>A</t>
  </si>
  <si>
    <t>D00678740</t>
  </si>
  <si>
    <t>BRACKET</t>
  </si>
  <si>
    <t>Please confirm the source</t>
  </si>
  <si>
    <t>ANDERY MACHINING</t>
  </si>
  <si>
    <t>PO2526U10898</t>
  </si>
  <si>
    <t>Yes</t>
  </si>
  <si>
    <t>EL01-003038</t>
  </si>
  <si>
    <t>1093R473-001</t>
  </si>
  <si>
    <t>C</t>
  </si>
  <si>
    <t>D00948341</t>
  </si>
  <si>
    <t>BRAKET</t>
  </si>
  <si>
    <t>Rev changed from B to C</t>
  </si>
  <si>
    <t xml:space="preserve">Wave Mechanics </t>
  </si>
  <si>
    <t>PO2526U10937</t>
  </si>
  <si>
    <t>EL01-003039</t>
  </si>
  <si>
    <t>1096G787-001</t>
  </si>
  <si>
    <t>THERMAL PAD 5X5X1MM</t>
  </si>
  <si>
    <t>PRONAT</t>
  </si>
  <si>
    <t>SHANI</t>
  </si>
  <si>
    <t>shanih@pronat.co.il</t>
  </si>
  <si>
    <t>04-6286804</t>
  </si>
  <si>
    <t>ELTA confirmed the Rev "-"</t>
  </si>
  <si>
    <t>ELTA to confirm the Revision</t>
  </si>
  <si>
    <t>PO2526U10672</t>
  </si>
  <si>
    <t>EL01-003040</t>
  </si>
  <si>
    <t>B</t>
  </si>
  <si>
    <t>EL01-003096</t>
  </si>
  <si>
    <t>1096J609-001</t>
  </si>
  <si>
    <t>NAMEPLATE</t>
  </si>
  <si>
    <t>ACKERMAN</t>
  </si>
  <si>
    <t>Orit</t>
  </si>
  <si>
    <t>orit@ackerman-printing.com</t>
  </si>
  <si>
    <t xml:space="preserve">972-4-8222088 </t>
  </si>
  <si>
    <t>Elta approved the price $2.6 (19-11-2025)</t>
  </si>
  <si>
    <t>Require Serial Number and price confirmation</t>
  </si>
  <si>
    <t>Require Serial Number confirmation</t>
  </si>
  <si>
    <t>ELTA Spec</t>
  </si>
  <si>
    <t>PO2526U10660</t>
  </si>
  <si>
    <t>EL01-003042</t>
  </si>
  <si>
    <t>1096J610-001</t>
  </si>
  <si>
    <t>BODY MACHINING</t>
  </si>
  <si>
    <t>HAHARAT</t>
  </si>
  <si>
    <t xml:space="preserve">Ilan </t>
  </si>
  <si>
    <t>Ilanv@haharat.com</t>
  </si>
  <si>
    <t>Require new price approval</t>
  </si>
  <si>
    <t>Need source to place order</t>
  </si>
  <si>
    <t>EL01-003043</t>
  </si>
  <si>
    <t>1096J611-001</t>
  </si>
  <si>
    <t>CONN. BRACKET</t>
  </si>
  <si>
    <t>Har Tov MACHINING</t>
  </si>
  <si>
    <t xml:space="preserve">Harel Assi </t>
  </si>
  <si>
    <t>assi@har-tov.com</t>
  </si>
  <si>
    <t>03-6814874</t>
  </si>
  <si>
    <t>Customer suggested to cancel the PO to Har-tov awaiting to receive the another supplier from NIV sir</t>
  </si>
  <si>
    <t>EL01-003044</t>
  </si>
  <si>
    <t>1096J612-001</t>
  </si>
  <si>
    <t>SPACER</t>
  </si>
  <si>
    <t>OR DIUK</t>
  </si>
  <si>
    <t>Arie</t>
  </si>
  <si>
    <t>or.diuk83@gmail.com</t>
  </si>
  <si>
    <t>ELTA will provide the source</t>
  </si>
  <si>
    <t>Supplier contact details received on 05-11-2025</t>
  </si>
  <si>
    <t>Requested Supplier contact details</t>
  </si>
  <si>
    <t xml:space="preserve">Ordered </t>
  </si>
  <si>
    <t xml:space="preserve">PO2526U10681 </t>
  </si>
  <si>
    <t>EL01-003045</t>
  </si>
  <si>
    <t>1096J613-001</t>
  </si>
  <si>
    <t>RF COVER</t>
  </si>
  <si>
    <t>Need support from ELTA to expedite</t>
  </si>
  <si>
    <t>EL01-003046</t>
  </si>
  <si>
    <t>1096J614-001</t>
  </si>
  <si>
    <t>GUIDE PIN</t>
  </si>
  <si>
    <t>EL01-003047</t>
  </si>
  <si>
    <t>1096J615-001</t>
  </si>
  <si>
    <t>STAND</t>
  </si>
  <si>
    <t>SAL TECHNOLOGIES</t>
  </si>
  <si>
    <t xml:space="preserve">GAL </t>
  </si>
  <si>
    <t>gal@sal-tec.co.il</t>
  </si>
  <si>
    <t>Revision clarification</t>
  </si>
  <si>
    <t>PO2526U10680</t>
  </si>
  <si>
    <t>EL01-003048</t>
  </si>
  <si>
    <t>1096J616-001</t>
  </si>
  <si>
    <t>MODULE COVER</t>
  </si>
  <si>
    <t>MEITAL B.L PRECISION MACHINING</t>
  </si>
  <si>
    <t>Neta Dreslar</t>
  </si>
  <si>
    <t>neta@meitaltd.com</t>
  </si>
  <si>
    <t>MPN changed from:1096J616-001 to:1096J616-002 and also rev changed from Rev A to Rev -</t>
  </si>
  <si>
    <t>EL01-003049</t>
  </si>
  <si>
    <t>1096J617-001</t>
  </si>
  <si>
    <t>CAPTIVE SCREW 10-32</t>
  </si>
  <si>
    <t>NICK LTD</t>
  </si>
  <si>
    <t>DAN KLOVSKY</t>
  </si>
  <si>
    <t>mail@nik.co.il</t>
  </si>
  <si>
    <t>03-9221145</t>
  </si>
  <si>
    <t>NIK LTD</t>
  </si>
  <si>
    <t>PO2526U10677</t>
  </si>
  <si>
    <t>EL01-003050</t>
  </si>
  <si>
    <t>1096J618-001</t>
  </si>
  <si>
    <t>HANDLE</t>
  </si>
  <si>
    <t>EL01-003051</t>
  </si>
  <si>
    <t>1096J619-001</t>
  </si>
  <si>
    <t>P.S HOUSING</t>
  </si>
  <si>
    <t>EL01-003052</t>
  </si>
  <si>
    <t>EL01-003053</t>
  </si>
  <si>
    <t>1096J621-001</t>
  </si>
  <si>
    <t>O-RING</t>
  </si>
  <si>
    <t>FAI $120</t>
  </si>
  <si>
    <t>EL01-003054</t>
  </si>
  <si>
    <t>1096J622-001</t>
  </si>
  <si>
    <t>PC BLANK MASTER DWG. DTC-001 Z1</t>
  </si>
  <si>
    <t>Partial qty ordered by elta to sanmina
21nos will be supplied by elta as BFE</t>
  </si>
  <si>
    <t>Under process for shipment from ELTA for 21 nos</t>
  </si>
  <si>
    <t>Ordered/BFE</t>
  </si>
  <si>
    <t>Chin Poon/Elta-Sanmina</t>
  </si>
  <si>
    <t>Chin Poon</t>
  </si>
  <si>
    <t>PO2526U11178</t>
  </si>
  <si>
    <t>EL01-003055</t>
  </si>
  <si>
    <t>1096J625-001</t>
  </si>
  <si>
    <t>Yet to pick up</t>
  </si>
  <si>
    <t>EL01-003056</t>
  </si>
  <si>
    <t>1096J648-001</t>
  </si>
  <si>
    <t>RF HARNESS</t>
  </si>
  <si>
    <t>AVDOR</t>
  </si>
  <si>
    <t>GILAD DANIEL</t>
  </si>
  <si>
    <t>gilad@avdor.com</t>
  </si>
  <si>
    <t xml:space="preserve">972 3 9420100 </t>
  </si>
  <si>
    <t>Requested NCNR, Update the price to 410 EUR</t>
  </si>
  <si>
    <t>Requesting NCNR</t>
  </si>
  <si>
    <t>NCNR APPROVED by Niv sir on 3-12-25</t>
  </si>
  <si>
    <t>EUR</t>
  </si>
  <si>
    <t xml:space="preserve">PO2526U10666 </t>
  </si>
  <si>
    <t>EL01-001319</t>
  </si>
  <si>
    <t>1096J649-001</t>
  </si>
  <si>
    <t>DC HARNESS</t>
  </si>
  <si>
    <t xml:space="preserve">DCX </t>
  </si>
  <si>
    <t>419.88$ each Price approval received from Niv sir on 9-12-25</t>
  </si>
  <si>
    <t>Please provide drawing and confirm the price</t>
  </si>
  <si>
    <t>EL01-003057</t>
  </si>
  <si>
    <t>145-A03S/1JJ</t>
  </si>
  <si>
    <t>CONN RF ADAPTER SMA(F)/SMP(M),FD,FLANGE</t>
  </si>
  <si>
    <t>HUANG LIANG TECHNOLOGIES CO.,LTD.</t>
  </si>
  <si>
    <t>ADA KHAITOV</t>
  </si>
  <si>
    <t>ada@starlight.co.il</t>
  </si>
  <si>
    <t>NON</t>
  </si>
  <si>
    <t>New Price approved on 3-12-25</t>
  </si>
  <si>
    <t>Require New Price approval</t>
  </si>
  <si>
    <t>$19.35</t>
  </si>
  <si>
    <t>PO2526U10670</t>
  </si>
  <si>
    <t>EL01-003058</t>
  </si>
  <si>
    <t>6930M230-001</t>
  </si>
  <si>
    <t>TRG COVER</t>
  </si>
  <si>
    <t>M.BARZILAI</t>
  </si>
  <si>
    <t>Inbal Hoster</t>
  </si>
  <si>
    <t>info@mbarzilay.co.il</t>
  </si>
  <si>
    <t>Supplier confirmed not able to accept the PO</t>
  </si>
  <si>
    <t xml:space="preserve">PO2526U10937 </t>
  </si>
  <si>
    <t>EL01-003059</t>
  </si>
  <si>
    <t>6930M310-001</t>
  </si>
  <si>
    <t>HANGER</t>
  </si>
  <si>
    <t>EL01-003060</t>
  </si>
  <si>
    <t>C0402C189C5GAL7867</t>
  </si>
  <si>
    <t>‎412771254‏</t>
  </si>
  <si>
    <t>CHIP CAP 1.8PF +-0.25PF 50V C0G T&amp;R</t>
  </si>
  <si>
    <t>KEMET ELECTRONICS S A</t>
  </si>
  <si>
    <t>PO2526U10648</t>
  </si>
  <si>
    <t>EL01-003061</t>
  </si>
  <si>
    <t>C0603C105K3RACTU</t>
  </si>
  <si>
    <t>‎401502386‏</t>
  </si>
  <si>
    <t>CHIP CAP 1UF 10% 25V X7R T&amp;R</t>
  </si>
  <si>
    <t>supplier requesting to approve part C0603C105K3RAC7867</t>
  </si>
  <si>
    <t>EL01-002249</t>
  </si>
  <si>
    <t>C0805C475K4RAC7025</t>
  </si>
  <si>
    <t>‎401502404‏</t>
  </si>
  <si>
    <t>CHIP CAP 4.7UF 10% 16V X7R T&amp;R</t>
  </si>
  <si>
    <t>CIDEV GROUP LTD</t>
  </si>
  <si>
    <t>supplier requesting to check part C0805C475K4RAC7800</t>
  </si>
  <si>
    <t>EL01-003062</t>
  </si>
  <si>
    <t>CRCW04021K91FKTD</t>
  </si>
  <si>
    <t>‎403174871‏</t>
  </si>
  <si>
    <t>CHIP RESIS 1.91KOHM 1% .063W T&amp;R</t>
  </si>
  <si>
    <t>VISHAY RESISTIVE SYSTEMS</t>
  </si>
  <si>
    <t>ECOMAL ISRAEL</t>
  </si>
  <si>
    <t>POLINA RASHKOVSKY</t>
  </si>
  <si>
    <t>Polina.Rashkovsky@ecomal.com</t>
  </si>
  <si>
    <t>PO2526U10662</t>
  </si>
  <si>
    <t>Ordered MPN: CRCW04021K91FKED</t>
  </si>
  <si>
    <t>EL01-003063</t>
  </si>
  <si>
    <t>CRCW080524R3FKEA</t>
  </si>
  <si>
    <t>‎FFF003806‏</t>
  </si>
  <si>
    <t>CHIP RESIS 24.3 OHM 1^ .125W T&amp;R</t>
  </si>
  <si>
    <t>Y/N</t>
  </si>
  <si>
    <t>EL01-003064</t>
  </si>
  <si>
    <t>CSD16403Q5A</t>
  </si>
  <si>
    <t>POWER MOSFET N-CHANNEL NEXFET 25V T&amp;R</t>
  </si>
  <si>
    <t>TEXAS INSTRUMENTS INC</t>
  </si>
  <si>
    <t>EL01-003065</t>
  </si>
  <si>
    <t>GRM1555C1H102GA01D</t>
  </si>
  <si>
    <t>CHIP CAP 1000PF 2% 50V CERAMIC T&amp;R</t>
  </si>
  <si>
    <t>MURATA MANUFACTURING CO. LTD</t>
  </si>
  <si>
    <t>EL01-003066</t>
  </si>
  <si>
    <t>JCM2900T3400LM0-ASC</t>
  </si>
  <si>
    <t>CIRCULATOR RF 2.9G-3.4GHZ CW SMT</t>
  </si>
  <si>
    <t>JQL  ELECTRONICS</t>
  </si>
  <si>
    <t>EL01-003067</t>
  </si>
  <si>
    <t>JCM2900T3400LM0C-ASC</t>
  </si>
  <si>
    <t>CIRCULATOR 2.9-3.4GHZ  CCW SMT D=7MM</t>
  </si>
  <si>
    <t>EL01-003068</t>
  </si>
  <si>
    <t>JCM3100T3500PT5-ASC</t>
  </si>
  <si>
    <t>CIRCULATOR 3.1-3.5GHZ CW SMT</t>
  </si>
  <si>
    <t>EL01-003069</t>
  </si>
  <si>
    <t>JCM3100T3500PT5C-ASC</t>
  </si>
  <si>
    <t>CIRCULATOR 3.1-3.5GHZ CCW SMT</t>
  </si>
  <si>
    <t>EL01-003070</t>
  </si>
  <si>
    <t>JIM2900T3400LM0-ASC</t>
  </si>
  <si>
    <t>ISOLATOR RF 2.9G-3.4GHZ CW SMT</t>
  </si>
  <si>
    <t>EL01-003071</t>
  </si>
  <si>
    <t>JIM2900T3400LM0C-ASC</t>
  </si>
  <si>
    <t>ISOLATOR RF 2.9-3.4GHZ CCW 70W D=7MM SMT</t>
  </si>
  <si>
    <t>EL01-003072</t>
  </si>
  <si>
    <t>LTB-2520-3G3H6-A2-AS</t>
  </si>
  <si>
    <t>FILTER BAND PASS 3.05-3.5GHZ MLC 2520</t>
  </si>
  <si>
    <t>MAG.LAYERS SCIENTIFIC TECHNIC</t>
  </si>
  <si>
    <t>EL01-003073</t>
  </si>
  <si>
    <t>MM8930-2620RJ4</t>
  </si>
  <si>
    <t>CONN RF 0.8MM PROBE TEST POINT 1.6X1.6</t>
  </si>
  <si>
    <t>Elta Approved to place order to mouser</t>
  </si>
  <si>
    <t>Date Code</t>
  </si>
  <si>
    <t>MOUSER</t>
  </si>
  <si>
    <t>PO2526-10483</t>
  </si>
  <si>
    <t>supplier requesting to check part</t>
  </si>
  <si>
    <t>EL01-003074</t>
  </si>
  <si>
    <t>MS16995-21</t>
  </si>
  <si>
    <t>SCREW,CAP HEAD,HEX SOCKET RECESS,FULL SH</t>
  </si>
  <si>
    <t>NAS/NASM NATIONAL AEROSPACE STD</t>
  </si>
  <si>
    <t>HARDWARE SPECIALTY</t>
  </si>
  <si>
    <t>clo@clo.co.il</t>
  </si>
  <si>
    <t>1-718-361-9393</t>
  </si>
  <si>
    <t>PO2526U10668</t>
  </si>
  <si>
    <t>EL01-003075</t>
  </si>
  <si>
    <t>MS3213-5</t>
  </si>
  <si>
    <t>SCREW,MACHINE,PAN HEAD,CRUCIFORM RECESS</t>
  </si>
  <si>
    <t>BERMIL LTD</t>
  </si>
  <si>
    <t>ZAMIR@BARMIL.CO.IL</t>
  </si>
  <si>
    <t>ZAMIR</t>
  </si>
  <si>
    <t>03-9240196</t>
  </si>
  <si>
    <t>ELTA confirmed to release PO to Kaytech</t>
  </si>
  <si>
    <t>KAYTECH</t>
  </si>
  <si>
    <t xml:space="preserve">PO2526U10661 </t>
  </si>
  <si>
    <t>EL01-001750</t>
  </si>
  <si>
    <t>NC7SZ08M5X</t>
  </si>
  <si>
    <t>‎400525702‏</t>
  </si>
  <si>
    <t>N57140642</t>
  </si>
  <si>
    <t>IC 2-IN AND GATE TAPE&amp;REEL</t>
  </si>
  <si>
    <t>FAIRCHILD SEMICONDUCTOR</t>
  </si>
  <si>
    <t>Arrow Rapac Ltd</t>
  </si>
  <si>
    <t>EL01-003076</t>
  </si>
  <si>
    <t>SEAM30-06.5S-10-1-A-K-TR</t>
  </si>
  <si>
    <t>CONN RECT SEAM OPEN PIN FIELD ARRAY,</t>
  </si>
  <si>
    <t>SAMTEC</t>
  </si>
  <si>
    <t>YIFAT</t>
  </si>
  <si>
    <t>yifat.leberman@samtec.com</t>
  </si>
  <si>
    <t>PO2526U10673</t>
  </si>
  <si>
    <t>EL01-003077</t>
  </si>
  <si>
    <t>SMMBT2222ALT1G</t>
  </si>
  <si>
    <t>‎400481611‏</t>
  </si>
  <si>
    <t>TRANSISTOR NPN T&amp;R</t>
  </si>
  <si>
    <t>ON SEMICONDUCTOR</t>
  </si>
  <si>
    <t>3000 pcs spq / moq</t>
  </si>
  <si>
    <t>EL01-003032</t>
  </si>
  <si>
    <t>TS0510W3S</t>
  </si>
  <si>
    <t>BUY2</t>
  </si>
  <si>
    <t>N80414709</t>
  </si>
  <si>
    <t>ATTENUATOR DC-15GHZ 10DB .1WATT 50 O</t>
  </si>
  <si>
    <t>SMITHS INTERCONNECT AMERICAS,</t>
  </si>
  <si>
    <t>RFMW</t>
  </si>
  <si>
    <t>ISRAEL WERTHEIMER</t>
  </si>
  <si>
    <t>ISRAELW@RFMW.COM</t>
  </si>
  <si>
    <t>Price $4.89</t>
  </si>
  <si>
    <t>AP7560-10 Qty:100nos Price: $5.25</t>
  </si>
  <si>
    <t>RFMW/Starlight</t>
  </si>
  <si>
    <t>TS0510W3S/AP7560-10</t>
  </si>
  <si>
    <t>PO2526U10643</t>
  </si>
  <si>
    <t>Required price approval of $4.89</t>
  </si>
  <si>
    <t>EL01-001813</t>
  </si>
  <si>
    <t>0440.500WR</t>
  </si>
  <si>
    <t>FUSE SLOW BLOW  0.5A/63V,SMT,REEL PACK</t>
  </si>
  <si>
    <t>LITTELFUSE INC</t>
  </si>
  <si>
    <t>RABYTE PTE LTD</t>
  </si>
  <si>
    <t>PO2526U10655</t>
  </si>
  <si>
    <t>Rabyte Technologies LLP</t>
  </si>
  <si>
    <t>EL01-001814</t>
  </si>
  <si>
    <t>0440001.WR</t>
  </si>
  <si>
    <t>FUSE CERAMIC SMT 1A 50V T&amp;R</t>
  </si>
  <si>
    <t>EL01-001815</t>
  </si>
  <si>
    <t>0466002.NRHF</t>
  </si>
  <si>
    <t>FUSE VERY FAST-ACTING</t>
  </si>
  <si>
    <t xml:space="preserve"> Littelfuse</t>
  </si>
  <si>
    <t>Require Approval for SPQ:5K, MOQ:10K</t>
  </si>
  <si>
    <t>EL01-001874</t>
  </si>
  <si>
    <t>100RC37SCBRP1</t>
  </si>
  <si>
    <t>‎FFF005141‏</t>
  </si>
  <si>
    <t>N64403777</t>
  </si>
  <si>
    <t>RECT RECP R/A 37 SKT DIP SOLDER</t>
  </si>
  <si>
    <t>AMPHENOL CANADA CORP.</t>
  </si>
  <si>
    <t>AMPHENOL CANADA</t>
  </si>
  <si>
    <t>PO2526U10645</t>
  </si>
  <si>
    <t>AMPHENOL Canada</t>
  </si>
  <si>
    <t>EL01-000445</t>
  </si>
  <si>
    <t>LOCTITE 222-50CC</t>
  </si>
  <si>
    <t>‎FFF016923‏</t>
  </si>
  <si>
    <t>SEALING LOCKING ANAEROBIC COMPOUND, SING</t>
  </si>
  <si>
    <t>AR</t>
  </si>
  <si>
    <t>A/R</t>
  </si>
  <si>
    <t>HENKEL CORPORATION AEROSPACE GROUP</t>
  </si>
  <si>
    <t>BOEING</t>
  </si>
  <si>
    <t>ELDAD</t>
  </si>
  <si>
    <t>ELDADT@BLUEGEN</t>
  </si>
  <si>
    <t>Production consumable</t>
  </si>
  <si>
    <t>Bodo Moeller Chemie India Pvt Ltd</t>
  </si>
  <si>
    <t>Momentive</t>
  </si>
  <si>
    <t>INR</t>
  </si>
  <si>
    <t>PO2627U10757</t>
  </si>
  <si>
    <t>Consumables</t>
  </si>
  <si>
    <t>EL01-001891</t>
  </si>
  <si>
    <t>1093L847-001</t>
  </si>
  <si>
    <t>POWER FILTER ASSY</t>
  </si>
  <si>
    <t>BFE</t>
  </si>
  <si>
    <t>ELTA will update the shipment status</t>
  </si>
  <si>
    <t>EL01-000523</t>
  </si>
  <si>
    <t>THT-1-724-10</t>
  </si>
  <si>
    <t>‎401026794‏</t>
  </si>
  <si>
    <t>LABEL,PRINTABLE,INDUSTRIAL POLYIMIDE,HIG</t>
  </si>
  <si>
    <t>BRADY W.H. INDUSTRIAL PRODUCTS DIV.</t>
  </si>
  <si>
    <t>MICHAEL LEYOLKIN</t>
  </si>
  <si>
    <t>michael@avdor.com</t>
  </si>
  <si>
    <t>074-7155011</t>
  </si>
  <si>
    <t>Production Consumables</t>
  </si>
  <si>
    <t>EL01-003078</t>
  </si>
  <si>
    <t>1096H333-003</t>
  </si>
  <si>
    <t>POWER SUPPLY</t>
  </si>
  <si>
    <t>EL01-001917</t>
  </si>
  <si>
    <t>1097A510-001</t>
  </si>
  <si>
    <t>F/ASSY PACKAGED 60W GAN MMIC W</t>
  </si>
  <si>
    <t>Elbatech</t>
  </si>
  <si>
    <t>EL01-001918</t>
  </si>
  <si>
    <t>1097R490-001</t>
  </si>
  <si>
    <t>SDPS MMIC F/A NR</t>
  </si>
  <si>
    <t>Elipse RFIC</t>
  </si>
  <si>
    <t>EL01-001919</t>
  </si>
  <si>
    <t>1097R520-001</t>
  </si>
  <si>
    <t>S CORE CHIP F/A NR</t>
  </si>
  <si>
    <t>Avnet ASIC</t>
  </si>
  <si>
    <t>EL01-001967</t>
  </si>
  <si>
    <t>10S519-S60N3</t>
  </si>
  <si>
    <t>‎415712344‏</t>
  </si>
  <si>
    <t>CONN,RF,ADAPTER,RPC-SP PLUG/SMP PLUG,50</t>
  </si>
  <si>
    <t>ROSENBERGER</t>
  </si>
  <si>
    <t>AYELET</t>
  </si>
  <si>
    <t>ayelet_v@mti-group.co.il</t>
  </si>
  <si>
    <t>03-9008900</t>
  </si>
  <si>
    <t xml:space="preserve">Approved </t>
  </si>
  <si>
    <t>Require new price in EUR 3.17 &amp; MOQ approval MOQ: 7100</t>
  </si>
  <si>
    <t>Require new price in EUR 3.17 &amp; MOQ approval</t>
  </si>
  <si>
    <t>MTI</t>
  </si>
  <si>
    <t>PO2526U10671</t>
  </si>
  <si>
    <t>EL01-000320</t>
  </si>
  <si>
    <t>19K101-K00L5</t>
  </si>
  <si>
    <t>‎400072364‏</t>
  </si>
  <si>
    <t>CONN RF ADAPTOR SMP JACK STRA/JACK STRA,</t>
  </si>
  <si>
    <t>ROSENBERGER MICROWAVE CORP</t>
  </si>
  <si>
    <t>Require new price in EUR 2.32 &amp; MOQ approval MOQ 8000</t>
  </si>
  <si>
    <t>Require new price in EUR 2.32 &amp; MOQ approval</t>
  </si>
  <si>
    <t>EL01-001968</t>
  </si>
  <si>
    <t>19K119-K40L5</t>
  </si>
  <si>
    <t>‎415712317‏</t>
  </si>
  <si>
    <t>CONN RF ADAPTER SMP(F)/SMP(F) L=10.0MM</t>
  </si>
  <si>
    <t>Require new price in EUR 2.36 &amp; MOQ approval MOQ 900</t>
  </si>
  <si>
    <t>Require new price in EUR 2.36 &amp; MOQ approval</t>
  </si>
  <si>
    <t>EL01-003079</t>
  </si>
  <si>
    <t>19S14J-400L5</t>
  </si>
  <si>
    <t>CONN RF SMP STR PLUG PCB,50OHMS,DC TO 26</t>
  </si>
  <si>
    <t>Qty: 8000 @ EUR 4.1</t>
  </si>
  <si>
    <t>EL01-001752</t>
  </si>
  <si>
    <t>221T34F24</t>
  </si>
  <si>
    <t>N64469976</t>
  </si>
  <si>
    <t>CONN RECT MISC PCB, 34 PIN SMD, 2-ROWS,</t>
  </si>
  <si>
    <t>NICOMATIC</t>
  </si>
  <si>
    <t>Customer suggested to Buy from MOUSER - 504 PCS - Price $12.93  
Require New Price approval</t>
  </si>
  <si>
    <t>PO2627U10130</t>
  </si>
  <si>
    <t>Nicomatic</t>
  </si>
  <si>
    <t>EL01-001772</t>
  </si>
  <si>
    <t>293D106X9010A2TE3</t>
  </si>
  <si>
    <t>‎400341542‏</t>
  </si>
  <si>
    <t>CHIP CAP 10UF 10^ 10V TANTAL T&amp;R</t>
  </si>
  <si>
    <t>VISHAY SPRAGUE</t>
  </si>
  <si>
    <t>Ecomal</t>
  </si>
  <si>
    <t>EL01-000828</t>
  </si>
  <si>
    <t>597D227X0020R2T</t>
  </si>
  <si>
    <t>CHIP CAP 220UF 20% 20V TANTALUM T&amp;R</t>
  </si>
  <si>
    <t>EL01-001890</t>
  </si>
  <si>
    <t>1093J365-002</t>
  </si>
  <si>
    <t>SHIM 2.0MM</t>
  </si>
  <si>
    <t>CHEMOGRAFH</t>
  </si>
  <si>
    <t>PO2526U10667</t>
  </si>
  <si>
    <t>Chemograf</t>
  </si>
  <si>
    <t>EL01-001893</t>
  </si>
  <si>
    <t>1093R492-006</t>
  </si>
  <si>
    <t>PC BLANK MASTER DWG. FLY-25 Z6</t>
  </si>
  <si>
    <t>elta spec</t>
  </si>
  <si>
    <t>MICROPACK</t>
  </si>
  <si>
    <t xml:space="preserve">PO2526U10649 </t>
  </si>
  <si>
    <t>Micropack</t>
  </si>
  <si>
    <t>EL01-001820</t>
  </si>
  <si>
    <t>AD7814ARMZ</t>
  </si>
  <si>
    <t>‎405816866‏</t>
  </si>
  <si>
    <t>IC INTFACE  10-BIT DIGITAL TEMPERATU</t>
  </si>
  <si>
    <t>ANALOG DEVICES</t>
  </si>
  <si>
    <t>Yael Chaki</t>
  </si>
  <si>
    <t>yael.chaki@analog.com</t>
  </si>
  <si>
    <t>ELTA confirmed to release the PO to Elbatech (19-11-2025)</t>
  </si>
  <si>
    <t>Please confirm if the part is BFE</t>
  </si>
  <si>
    <t>ELBATECH</t>
  </si>
  <si>
    <t>PO2526U10647</t>
  </si>
  <si>
    <t>EL01-001830</t>
  </si>
  <si>
    <t>AT25DF321A-SH-B</t>
  </si>
  <si>
    <t>‎411321378‏</t>
  </si>
  <si>
    <t>IC MEMORY FLASH SERIAL 32-MEGABIT</t>
  </si>
  <si>
    <t>RENESAS ELECTRONICS</t>
  </si>
  <si>
    <t>CHEN LIS</t>
  </si>
  <si>
    <t>chen@mouser-israel.com</t>
  </si>
  <si>
    <t>Elta confirmed to supply this part as BFE ( confimed on 23-12-2025)</t>
  </si>
  <si>
    <t>Restricted to order on mouser, Please advice</t>
  </si>
  <si>
    <t>Mouser</t>
  </si>
  <si>
    <t>EL01-001839</t>
  </si>
  <si>
    <t>74ACT04SCX</t>
  </si>
  <si>
    <t>‎401554073‏</t>
  </si>
  <si>
    <t>IC HEX INVERTER T&amp;R</t>
  </si>
  <si>
    <t>EL01-001774</t>
  </si>
  <si>
    <t>74LVXC3245MTCX</t>
  </si>
  <si>
    <t>IC 8-BIT TRANSCEIVER T&amp;R</t>
  </si>
  <si>
    <t>EL01-003080</t>
  </si>
  <si>
    <t>BLM15AX121SN1D</t>
  </si>
  <si>
    <t>CHIP FERRITE BEAD EMI FILTER 120-OHM T&amp;R</t>
  </si>
  <si>
    <t>STG</t>
  </si>
  <si>
    <t>Sigal Shitrit</t>
  </si>
  <si>
    <t>sigal@stggroup.co.il</t>
  </si>
  <si>
    <t>PO2526U10663</t>
  </si>
  <si>
    <t>EL01-001860</t>
  </si>
  <si>
    <t>C0402C100C5GAC7867</t>
  </si>
  <si>
    <t>‎400326573‏</t>
  </si>
  <si>
    <t>CHIP CAP 10PF +-0.25PF 50V C0G T&amp;R</t>
  </si>
  <si>
    <t>NISKO</t>
  </si>
  <si>
    <t>Avi Taub</t>
  </si>
  <si>
    <t>avi@nisko.co.il</t>
  </si>
  <si>
    <t xml:space="preserve">PO2526U10652 </t>
  </si>
  <si>
    <t>Nisko</t>
  </si>
  <si>
    <t>EL01-001862</t>
  </si>
  <si>
    <t>C0402C102K5RAC7867</t>
  </si>
  <si>
    <t>‎400326577‏</t>
  </si>
  <si>
    <t>CHIP CAP 1000PF 10% 50VOLT X7R T&amp;R</t>
  </si>
  <si>
    <t>Require New price and MOQ approval</t>
  </si>
  <si>
    <t>Require New price and MOQ approval MOQ 70000</t>
  </si>
  <si>
    <t>Avnet Asia</t>
  </si>
  <si>
    <t>New price and MOQ approval approved by Niv sir through mail on 30-11-2025</t>
  </si>
  <si>
    <t>EL01-001863</t>
  </si>
  <si>
    <t>C0402C103K3RAC7867</t>
  </si>
  <si>
    <t>‎400326580‏</t>
  </si>
  <si>
    <t>CHIP CAP 0.01UF 10^ 25V X7R T&amp;R</t>
  </si>
  <si>
    <t>EL01-001864</t>
  </si>
  <si>
    <t>C0402C103K5RALTU</t>
  </si>
  <si>
    <t>‎400856302‏</t>
  </si>
  <si>
    <t>CHIP CAP 0.01UF 10% 50V X7R T&amp;R</t>
  </si>
  <si>
    <t>EL01-001865</t>
  </si>
  <si>
    <t>C0603C104K5RAC7867</t>
  </si>
  <si>
    <t>‎400481229‏</t>
  </si>
  <si>
    <t>CHIP CAP 0.1UF 10% 50V X7R T&amp;R</t>
  </si>
  <si>
    <t>EL01-001721</t>
  </si>
  <si>
    <t>C4532X5R1A476M280KA</t>
  </si>
  <si>
    <t>CHIP CAP 47UF 20^ 10V X5R T&amp;R</t>
  </si>
  <si>
    <t>TDK ELECTRONICS CO. LTD.</t>
  </si>
  <si>
    <t>EL01-001717</t>
  </si>
  <si>
    <t>CL05B104KP5NNNC</t>
  </si>
  <si>
    <t>‎400481181‏</t>
  </si>
  <si>
    <t>CHIP CAP 0.1UF 10% 10V X7R T&amp;R</t>
  </si>
  <si>
    <t>SAMSUNG</t>
  </si>
  <si>
    <t>EL01-001808</t>
  </si>
  <si>
    <t>CL05C010BB5NNNC</t>
  </si>
  <si>
    <t>‎400481196‏</t>
  </si>
  <si>
    <t>CHIP CAP 1PF +-0.25PF 50V C0G T&amp;R</t>
  </si>
  <si>
    <t>EL01-001775</t>
  </si>
  <si>
    <t>CRCW040210K0FKED</t>
  </si>
  <si>
    <t>‎FFF004487‏</t>
  </si>
  <si>
    <t>CHIP RESIS 10 KOHM 1%  T&amp;R</t>
  </si>
  <si>
    <t>VISHAY EUROPE SALE GMBH</t>
  </si>
  <si>
    <t>EL01-003081</t>
  </si>
  <si>
    <t>CRCW0402115RFKED</t>
  </si>
  <si>
    <t>‎408386915‏</t>
  </si>
  <si>
    <t>CHIP RESIS 115 OHM 1^ .063W T&amp;R</t>
  </si>
  <si>
    <t>EL01-003082</t>
  </si>
  <si>
    <t>CRCW0402130RFKED</t>
  </si>
  <si>
    <t>‎400275342‏</t>
  </si>
  <si>
    <t>CHIP RESIS 130 OHM 1% .063W T&amp;R</t>
  </si>
  <si>
    <t>EL01-003083</t>
  </si>
  <si>
    <t>CRCW040218R2FKED</t>
  </si>
  <si>
    <t>‎403175051‏</t>
  </si>
  <si>
    <t>CHIP RESIS 18.2 OHM 1^ .063W T&amp;R</t>
  </si>
  <si>
    <t>EL01-001776</t>
  </si>
  <si>
    <t>CRCW04021K00FKED</t>
  </si>
  <si>
    <t>‎FFF004408‏</t>
  </si>
  <si>
    <t>CHIP RESIS 1 KOHM 1% T&amp;R</t>
  </si>
  <si>
    <t>EL01-001777</t>
  </si>
  <si>
    <t>CRCW04021M00FKED</t>
  </si>
  <si>
    <t>‎FFF004477‏</t>
  </si>
  <si>
    <t>CHIP RESIS 1MOHM 1% .063W T&amp;R</t>
  </si>
  <si>
    <t>EL01-001840</t>
  </si>
  <si>
    <t>CRCW0402243RFKED</t>
  </si>
  <si>
    <t>‎400275502‏</t>
  </si>
  <si>
    <t>CHIP RESIS 243 OHM 1% .063W T&amp;R</t>
  </si>
  <si>
    <t>EL01-001842</t>
  </si>
  <si>
    <t>CRCW040230R1FKED</t>
  </si>
  <si>
    <t>‎400275523‏</t>
  </si>
  <si>
    <t>CHIP RESIS 30.1 OHM 1% .063W T&amp;R</t>
  </si>
  <si>
    <t>EL01-003084</t>
  </si>
  <si>
    <t>CRCW040247K5FKED</t>
  </si>
  <si>
    <t>‎400275593‏</t>
  </si>
  <si>
    <t>CHIP RESIS 47.5KOHM 1^ .063W T&amp;R</t>
  </si>
  <si>
    <t>EL01-003085</t>
  </si>
  <si>
    <t>CRCW040249R9FKED</t>
  </si>
  <si>
    <t>‎400275755‏</t>
  </si>
  <si>
    <t>CHIP RESIS 49.9 OHM 1% PB-FREE T&amp;R</t>
  </si>
  <si>
    <t>EL01-003086</t>
  </si>
  <si>
    <t>CRCW040268R1FKED</t>
  </si>
  <si>
    <t>‎401502495‏</t>
  </si>
  <si>
    <t>CHIP RESIS 68.1 OHM 1^ .063W T&amp;R</t>
  </si>
  <si>
    <t>EL01-002198</t>
  </si>
  <si>
    <t>CRCW040280K6FKED</t>
  </si>
  <si>
    <t>‎421343539‏</t>
  </si>
  <si>
    <t>CHIP RESIS 80.6KOHM 1^ .063W T&amp;R</t>
  </si>
  <si>
    <t>Vishay</t>
  </si>
  <si>
    <t>EL01-000494</t>
  </si>
  <si>
    <t>CRCW06030000Z0EA</t>
  </si>
  <si>
    <t>‎FFF004838‏</t>
  </si>
  <si>
    <t>CHIP JUMPER 1.55X0.85MM T&amp;R</t>
  </si>
  <si>
    <t>EL01-001778</t>
  </si>
  <si>
    <t>CRCW0603100KFKEA</t>
  </si>
  <si>
    <t>‎FFF004188‏</t>
  </si>
  <si>
    <t>CHIP RESIS 100KOHM 1% .1W T&amp;R</t>
  </si>
  <si>
    <t>EL01-001779</t>
  </si>
  <si>
    <t>CRCW0603100RFKEA</t>
  </si>
  <si>
    <t>‎FFF004251‏</t>
  </si>
  <si>
    <t>CHIP RESIS 100 OHM 1% .1W T&amp;R</t>
  </si>
  <si>
    <t>EL01-001780</t>
  </si>
  <si>
    <t>CRCW060310K0FKEA</t>
  </si>
  <si>
    <t>‎FFF003821‏</t>
  </si>
  <si>
    <t>CHIP RESIS 10KOHM 1% .1W T&amp;R</t>
  </si>
  <si>
    <t>EL01-001843</t>
  </si>
  <si>
    <t>CRCW0603110KFKTA</t>
  </si>
  <si>
    <t>‎FFF003893‏</t>
  </si>
  <si>
    <t>CHIP RESIS 110KOHM 1% .1W T&amp;R</t>
  </si>
  <si>
    <t>EL01-001844</t>
  </si>
  <si>
    <t>CRCW0603150RFKEA</t>
  </si>
  <si>
    <t>‎FFF004268‏</t>
  </si>
  <si>
    <t>CHIP RESIS 150 OHM 1% .1W T&amp;R</t>
  </si>
  <si>
    <t>Require New price approval</t>
  </si>
  <si>
    <t>EL01-001781</t>
  </si>
  <si>
    <t>CRCW06031K00FKEA</t>
  </si>
  <si>
    <t>‎FFF004310‏</t>
  </si>
  <si>
    <t>CHIP RESIS 1KOHM 1% .1W T&amp;R</t>
  </si>
  <si>
    <t>EL01-001782</t>
  </si>
  <si>
    <t>CRCW06031K33FKEA</t>
  </si>
  <si>
    <t>‎FFF003896‏</t>
  </si>
  <si>
    <t>CHIP RESIS 1.33KOHM 1% .1W T&amp;R</t>
  </si>
  <si>
    <t>EL01-003087</t>
  </si>
  <si>
    <t>CRCW06031K62FKEA</t>
  </si>
  <si>
    <t>‎FFF004149‏</t>
  </si>
  <si>
    <t>CHIP RESIS 1.62KOHM 1% .1W T&amp;R</t>
  </si>
  <si>
    <t>EL01-001783</t>
  </si>
  <si>
    <t>CRCW0603221RFKEA</t>
  </si>
  <si>
    <t>‎FFF004245‏</t>
  </si>
  <si>
    <t>CHIP RESIS 221 OHM 1% .1W T&amp;R</t>
  </si>
  <si>
    <t>EL01-001784</t>
  </si>
  <si>
    <t>CRCW060324R9FKEA</t>
  </si>
  <si>
    <t>‎FFF003829‏</t>
  </si>
  <si>
    <t>CHIP RESIS 24.9 OHM 1% .1W T&amp;R</t>
  </si>
  <si>
    <t>EL01-001845</t>
  </si>
  <si>
    <t>CRCW0603301RFKEA</t>
  </si>
  <si>
    <t>‎FFF004098‏</t>
  </si>
  <si>
    <t>CHIP RESIS 301 OHM 1% .1W T&amp;R</t>
  </si>
  <si>
    <t>EL01-001785</t>
  </si>
  <si>
    <t>CRCW060349R9FKEA</t>
  </si>
  <si>
    <t>‎FFF003946‏</t>
  </si>
  <si>
    <t>CHIP RESIS 49.9 OHM 1% .1W T&amp;R</t>
  </si>
  <si>
    <t>Ordered MPN is CRCW0603562KFKEA</t>
  </si>
  <si>
    <t>EL01-001846</t>
  </si>
  <si>
    <t>CRCW0603562KFKTA</t>
  </si>
  <si>
    <t>‎FFF003977‏</t>
  </si>
  <si>
    <t>CHIP RESIS 562KOHM 1^ .1W T&amp;R</t>
  </si>
  <si>
    <t>Ordered MPN is CRCW0603825KFKEA</t>
  </si>
  <si>
    <t>EL01-001847</t>
  </si>
  <si>
    <t>CRCW0603825KFKTA</t>
  </si>
  <si>
    <t>‎FFF004101‏</t>
  </si>
  <si>
    <t>CHIP RESIS 825KOHM 1% .1W T&amp;R</t>
  </si>
  <si>
    <t>CRCW0603825KFKEA</t>
  </si>
  <si>
    <t>EL01-001788</t>
  </si>
  <si>
    <t>CRCW060382R5FKEA</t>
  </si>
  <si>
    <t>‎FFF004227‏</t>
  </si>
  <si>
    <t>CHIP RESIS 82.5 OHM 1% .1W T&amp;R</t>
  </si>
  <si>
    <t>EL01-000499</t>
  </si>
  <si>
    <t>D38999/33W15N</t>
  </si>
  <si>
    <t>N71211759</t>
  </si>
  <si>
    <t>CONN CIRC DUST CAP RECPT 15-SHL ALUMINUM</t>
  </si>
  <si>
    <t>QPL</t>
  </si>
  <si>
    <t>AIR ELECTRO</t>
  </si>
  <si>
    <t>Air Electro</t>
  </si>
  <si>
    <t>PO2526U10644</t>
  </si>
  <si>
    <t>Air Electro, Inc.</t>
  </si>
  <si>
    <t>EL01-001475</t>
  </si>
  <si>
    <t>D38999/33W19N</t>
  </si>
  <si>
    <t>N71216329</t>
  </si>
  <si>
    <t>CONN CIRC DUST CAP F/RECP 19-SHL OLI</t>
  </si>
  <si>
    <t>174 no's will be shiiped on 16-12-25 remaing 46 no's on 3-1-2026</t>
  </si>
  <si>
    <t>EL01-000353</t>
  </si>
  <si>
    <t>D38999/33W21N</t>
  </si>
  <si>
    <t>N71309488</t>
  </si>
  <si>
    <t>CONN CIRC DUST CAP RECPT 21-SHL ALUMINUM</t>
  </si>
  <si>
    <t>EL01-001866</t>
  </si>
  <si>
    <t>C0603C560G5GACTU</t>
  </si>
  <si>
    <t>‎400326598‏</t>
  </si>
  <si>
    <t>CHIP CAP 56PF 2% 50V C0G T&amp;R</t>
  </si>
  <si>
    <t>EL01-001748</t>
  </si>
  <si>
    <t>EP2C70F896I8</t>
  </si>
  <si>
    <t>IC CYCLONE II FPGA</t>
  </si>
  <si>
    <t>Intel Prgrammable SolutionsGroup(AL</t>
  </si>
  <si>
    <t>Shlomi Bigi</t>
  </si>
  <si>
    <t>shlomi.bigi@easx.co.il</t>
  </si>
  <si>
    <t>Eatronics advice to send the PO to Elbatech please confirm</t>
  </si>
  <si>
    <t>EL01-001749</t>
  </si>
  <si>
    <t>EPCQ64ASI16N</t>
  </si>
  <si>
    <t>IC QUAD-SERIAL CONFIGURATION DEVICE</t>
  </si>
  <si>
    <t>INTEL CORP</t>
  </si>
  <si>
    <t>under payment</t>
  </si>
  <si>
    <t>EL01-001868</t>
  </si>
  <si>
    <t>C1210C106K5RACTU</t>
  </si>
  <si>
    <t>‎403175049‏</t>
  </si>
  <si>
    <t>CHIP CAP 10UF 10^ 50V X7R T&amp;R</t>
  </si>
  <si>
    <t>WTM</t>
  </si>
  <si>
    <t>CL32B106KBJNNWE</t>
  </si>
  <si>
    <t>24P0032</t>
  </si>
  <si>
    <t>EL01-001768</t>
  </si>
  <si>
    <t>DS26C31TMX/NOPB</t>
  </si>
  <si>
    <t>‎400510855‏</t>
  </si>
  <si>
    <t>IC QUAD DIFF LINE DRIVER T&amp;R LEAD-FREE</t>
  </si>
  <si>
    <t>Anat Eylon</t>
  </si>
  <si>
    <t>Anat@elbatech.co.il</t>
  </si>
  <si>
    <t>EL01-001851</t>
  </si>
  <si>
    <t>FDN339AN</t>
  </si>
  <si>
    <t>MOSFET N-CH. 2.5V</t>
  </si>
  <si>
    <t>EL01-001852</t>
  </si>
  <si>
    <t>HCPL-063L-500E</t>
  </si>
  <si>
    <t>‎400481547‏</t>
  </si>
  <si>
    <t>OPTOCOUPLER T&amp;R</t>
  </si>
  <si>
    <t>BROADCOM LIMITED</t>
  </si>
  <si>
    <t>EBV Elektronik Israel</t>
  </si>
  <si>
    <t>Mona.davidovich@ebv.com</t>
  </si>
  <si>
    <t>Supplier requesting for NCNR</t>
  </si>
  <si>
    <t>NCNR APPROVED by Niv Sir on 3-12-25
Supplier requesting for NCNR</t>
  </si>
  <si>
    <t>EBV</t>
  </si>
  <si>
    <t>PO2526U10646</t>
  </si>
  <si>
    <t>EL01-001821</t>
  </si>
  <si>
    <t>HMC284AMS8GETR</t>
  </si>
  <si>
    <t>‎421960159‏</t>
  </si>
  <si>
    <t>SPDT ; NON-REFLECTIVE SWITCH ; DC-3.5GHZ</t>
  </si>
  <si>
    <t>EL01-003088</t>
  </si>
  <si>
    <t>HMC327MS8GE</t>
  </si>
  <si>
    <t>MMIC GAAS POWER AMPLIFIER 1/2W 3-4GHZ</t>
  </si>
  <si>
    <t>NCNR APPROVED by Niv Sir on 3-12-25
New Price 10.08$</t>
  </si>
  <si>
    <t>EL01-001822</t>
  </si>
  <si>
    <t>HMC536MS8GE</t>
  </si>
  <si>
    <t>IC MMIC GAAS SWITCH DC-6.0GHZ T&amp;R</t>
  </si>
  <si>
    <t>New Price 2.09$ SPQ 157</t>
  </si>
  <si>
    <t>PO2425U10438</t>
  </si>
  <si>
    <t>Supplier requesting for NCNR
moq is 157</t>
  </si>
  <si>
    <t>EL01-001853</t>
  </si>
  <si>
    <t>HSMG-C680</t>
  </si>
  <si>
    <t>RIGHT ANGLE SMT CHIP LED GREEN</t>
  </si>
  <si>
    <t>Supplier requesting for NCNR &amp; Part COO: China please provide approval</t>
  </si>
  <si>
    <t>NCNR APPROVED + COO approved by Niv sir on 03-12-2025
Supplier requesting for NCNR &amp; Part COO: China please provide approval</t>
  </si>
  <si>
    <t>EL01-001854</t>
  </si>
  <si>
    <t>HSMS-C680</t>
  </si>
  <si>
    <t>RIGHT ANGLE SMT CHIP RED LED</t>
  </si>
  <si>
    <t>NCNR APPROVED by Niv Sir on 03-12-2025
Supplier requesting for NCNR</t>
  </si>
  <si>
    <t>EL01-001855</t>
  </si>
  <si>
    <t>HSSR-7110#300</t>
  </si>
  <si>
    <t>N56337397</t>
  </si>
  <si>
    <t>OPTOELECT  OPTOCOUPLER POWER MOSFET,</t>
  </si>
  <si>
    <t>NCNR APPROVED by Niv sir on 03-12-2025
Supplier requesting for NCNR</t>
  </si>
  <si>
    <t>EL01-001816</t>
  </si>
  <si>
    <t>GRM155R71H331KA01D</t>
  </si>
  <si>
    <t>‎400481203‏</t>
  </si>
  <si>
    <t>CHIP CAP 330PF 10^ 50V X7R T&amp;R</t>
  </si>
  <si>
    <t>EL01-001823</t>
  </si>
  <si>
    <t>LT1964IDD#TRPBF</t>
  </si>
  <si>
    <t>IC NEGATIVE REGULATOR T&amp;R</t>
  </si>
  <si>
    <t>EL01-001824</t>
  </si>
  <si>
    <t>LTC2908IDDB-A1#TRMPBF</t>
  </si>
  <si>
    <t>‎419398857‏</t>
  </si>
  <si>
    <t>IC SIX INPUT SUPPLY MONITOR</t>
  </si>
  <si>
    <t xml:space="preserve">New Price 3.4$ </t>
  </si>
  <si>
    <t>EL01-001825</t>
  </si>
  <si>
    <t>LTC4444HMS8E-5#TRPBF</t>
  </si>
  <si>
    <t>IC N-CHANNEL MOSFET DRIVER T&amp;R</t>
  </si>
  <si>
    <t>EL01-001826</t>
  </si>
  <si>
    <t>LTM8027IV#PBF</t>
  </si>
  <si>
    <t>IC DC/DC UMODULE 4A 60V</t>
  </si>
  <si>
    <t>EL01-001766</t>
  </si>
  <si>
    <t>M80-5S22005M7</t>
  </si>
  <si>
    <t>CONN RECT,HEADER, 20 POS, PCB SMT,3A</t>
  </si>
  <si>
    <t>HARWIN PIC</t>
  </si>
  <si>
    <t>SHIRTECH</t>
  </si>
  <si>
    <t>liza@shirtech.co.il</t>
  </si>
  <si>
    <t>ELTA approved the SPQ and PPV (19-11-2025)</t>
  </si>
  <si>
    <t>Require Approval for SPQ:8pcs</t>
  </si>
  <si>
    <t>GBP</t>
  </si>
  <si>
    <t>PO2526U10659</t>
  </si>
  <si>
    <t>Shirtech</t>
  </si>
  <si>
    <t>EL01-001827</t>
  </si>
  <si>
    <t>MAX8557ETE+T</t>
  </si>
  <si>
    <t>‎405390580‏</t>
  </si>
  <si>
    <t>IC VOLTAGE REGULATOR ADJ. 4A T&amp;R</t>
  </si>
  <si>
    <t>MAXIM INTEGRATED PRODUCTS, INC</t>
  </si>
  <si>
    <t>24P0070</t>
  </si>
  <si>
    <t>Can you place the order under RNSE ? ONLY THEY HAVE SPECIAL PRICE FROM ADI
Supplier is requesting the quote reference but this is an repeat order</t>
  </si>
  <si>
    <t>EL01-003089</t>
  </si>
  <si>
    <t>GRM188Z71A106KA73D</t>
  </si>
  <si>
    <t>CHIP CAP 10UF 10V X7R T&amp;R</t>
  </si>
  <si>
    <t>EL01-001979</t>
  </si>
  <si>
    <t>MI0603J601R-10</t>
  </si>
  <si>
    <t>‎400650087‏</t>
  </si>
  <si>
    <t>EMI FERRITE CHIP BEAD</t>
  </si>
  <si>
    <t>LAIRD TECHNOLOGIES SRO</t>
  </si>
  <si>
    <t>PO2526U10628</t>
  </si>
  <si>
    <t>EL01-001856</t>
  </si>
  <si>
    <t>MC74ACT04DR2G</t>
  </si>
  <si>
    <t>‎409377480‏</t>
  </si>
  <si>
    <t>Buy from MOUSER - 2500 PCS - Price 0.123 - add it to PPV</t>
  </si>
  <si>
    <t>MOQ 7500 pcs</t>
  </si>
  <si>
    <t xml:space="preserve">ARROW RAPAC </t>
  </si>
  <si>
    <t>PO2425U10461</t>
  </si>
  <si>
    <t>EL01-001793</t>
  </si>
  <si>
    <t>MM3Z3V3T1G</t>
  </si>
  <si>
    <t>‎400856622‏</t>
  </si>
  <si>
    <t>DIODE ZENER 3.3V 0.200W LEAD FREE T&amp;R</t>
  </si>
  <si>
    <t>EL01-001723</t>
  </si>
  <si>
    <t>MMBD4148-7-F</t>
  </si>
  <si>
    <t>‎424101102‏</t>
  </si>
  <si>
    <t>DIODE.RECT 75V 0.6A 0.35W 4NS</t>
  </si>
  <si>
    <t>DIODES INC.</t>
  </si>
  <si>
    <t>Arrow RAPAC</t>
  </si>
  <si>
    <t>EL01-001794</t>
  </si>
  <si>
    <t>MM3Z5V1T1G</t>
  </si>
  <si>
    <t>‎400856511‏</t>
  </si>
  <si>
    <t>DIODE  ZENER 5.1V T&amp;R LEAD-FREE</t>
  </si>
  <si>
    <t>EL01-000366</t>
  </si>
  <si>
    <t>MS16995-10</t>
  </si>
  <si>
    <t>‎413820549‏</t>
  </si>
  <si>
    <t>Adam Chayun</t>
  </si>
  <si>
    <t>adam@kaytech.com</t>
  </si>
  <si>
    <t>PO2526U10661</t>
  </si>
  <si>
    <t>Kaytech</t>
  </si>
  <si>
    <t>EL01-001727</t>
  </si>
  <si>
    <t>MS16995-17</t>
  </si>
  <si>
    <t>‎413820553‏</t>
  </si>
  <si>
    <t>EL01-001728</t>
  </si>
  <si>
    <t>MS16995-18</t>
  </si>
  <si>
    <t>‎413820555‏</t>
  </si>
  <si>
    <t>EL01-003090</t>
  </si>
  <si>
    <t>MS24693-C2</t>
  </si>
  <si>
    <t>‎401411658‏</t>
  </si>
  <si>
    <t>SCREW,MACHINE,100 DEG. FLUSH HEAD,CRUCIF</t>
  </si>
  <si>
    <t>EL01-000370</t>
  </si>
  <si>
    <t>MS3213-22</t>
  </si>
  <si>
    <t>EL01-000373</t>
  </si>
  <si>
    <t>MS35338-134</t>
  </si>
  <si>
    <t>WASHER,LOCK,HELICAL SPRING,REGULAR (MEDI</t>
  </si>
  <si>
    <t>EL01-000021</t>
  </si>
  <si>
    <t>MS35338-135</t>
  </si>
  <si>
    <t>EL01-000022</t>
  </si>
  <si>
    <t>MS35338-136</t>
  </si>
  <si>
    <t>WASHER LOCK HELICAL SPRING REGULAR (MEDI</t>
  </si>
  <si>
    <t>Require New Price  &amp; MOQ approval</t>
  </si>
  <si>
    <t>EL01-003091</t>
  </si>
  <si>
    <t>MS35338-136B</t>
  </si>
  <si>
    <t>‎400047218‏</t>
  </si>
  <si>
    <t>EL01-000378</t>
  </si>
  <si>
    <t>MS51957-13</t>
  </si>
  <si>
    <t>MS MILITARY STANDARDS</t>
  </si>
  <si>
    <t>EL01-000024</t>
  </si>
  <si>
    <t>MS51957-14</t>
  </si>
  <si>
    <t>‎421407745‏</t>
  </si>
  <si>
    <t>SCREW MACHINE PAN HEAD CRUCIFORM RECESS</t>
  </si>
  <si>
    <t>EL01-001732</t>
  </si>
  <si>
    <t>MS51957-141</t>
  </si>
  <si>
    <t>EL01-000380</t>
  </si>
  <si>
    <t>MS51957-15</t>
  </si>
  <si>
    <t>EL01-000382</t>
  </si>
  <si>
    <t>MS51957-19</t>
  </si>
  <si>
    <t>EL01-000385</t>
  </si>
  <si>
    <t>MS51957-26</t>
  </si>
  <si>
    <t>EL01-000392</t>
  </si>
  <si>
    <t>MS51957-9</t>
  </si>
  <si>
    <t>EL01-001073</t>
  </si>
  <si>
    <t>N2510-5002-RB</t>
  </si>
  <si>
    <t>‎400992077‏</t>
  </si>
  <si>
    <t>CONN RECT HEADER R/A 10 PIN DIP SOLDER</t>
  </si>
  <si>
    <t>3M ELECTRONIC PRODUCTS DIVISION</t>
  </si>
  <si>
    <t>RAY Q</t>
  </si>
  <si>
    <t>Limor</t>
  </si>
  <si>
    <t>lrefael@tti.ray-q.com</t>
  </si>
  <si>
    <t>PO2526U10656</t>
  </si>
  <si>
    <t>RAY-Q</t>
  </si>
  <si>
    <t>EL01-000515</t>
  </si>
  <si>
    <t>MS35338-138</t>
  </si>
  <si>
    <t>‎400329172‏</t>
  </si>
  <si>
    <t>EL01-003092</t>
  </si>
  <si>
    <t>NAS1352C02-4</t>
  </si>
  <si>
    <t>‎401436173‏</t>
  </si>
  <si>
    <t>EL01-003093</t>
  </si>
  <si>
    <t>NAS1676C2</t>
  </si>
  <si>
    <t>WASHER,SPRING LOCK,HELICAL,HI-COLLAR,#2</t>
  </si>
  <si>
    <t>EL01-001739</t>
  </si>
  <si>
    <t>NAS1676C4</t>
  </si>
  <si>
    <t>WASHER,SPRING LOCK,HELICAL,HI-COLLAR,#4</t>
  </si>
  <si>
    <t>EL01-001740</t>
  </si>
  <si>
    <t>NAS1676C6</t>
  </si>
  <si>
    <t>WASHER,SPRING LOCK,HELICAL,HI-COLLAR,#6</t>
  </si>
  <si>
    <t>EL01-000520</t>
  </si>
  <si>
    <t>NAS620C10</t>
  </si>
  <si>
    <t>WASHER,FLAT,PLAIN,REDUCED OD, 10 SIZE,.0</t>
  </si>
  <si>
    <t>EL01-000397</t>
  </si>
  <si>
    <t>NAS620C2</t>
  </si>
  <si>
    <t>WASHER,FLAT,PLAIN,REDUCED OD, 2 SIZE,.01</t>
  </si>
  <si>
    <t>EL01-000027</t>
  </si>
  <si>
    <t>NAS620C4</t>
  </si>
  <si>
    <t>WASHER,FLAT,PLAIN,REDUCED OD, 4 SIZE,.03</t>
  </si>
  <si>
    <t>EL01-000028</t>
  </si>
  <si>
    <t>NAS620C6</t>
  </si>
  <si>
    <t>WASHER,FLAT,PLAIN,REDUCED OD, 6 SIZE,.03</t>
  </si>
  <si>
    <t>EL01-001742</t>
  </si>
  <si>
    <t>NAS671C2</t>
  </si>
  <si>
    <t>NUT,HEX,PLAIN,NON-LOCKING,THIN,INCH SERI</t>
  </si>
  <si>
    <t>EL01-001858</t>
  </si>
  <si>
    <t>NC7ST04P5X</t>
  </si>
  <si>
    <t>‎407383885‏</t>
  </si>
  <si>
    <t>IC HST INVERTER  T&amp;R</t>
  </si>
  <si>
    <t>EL01-003094</t>
  </si>
  <si>
    <t>NFM31KC104R2A3L</t>
  </si>
  <si>
    <t>CHIP EMIFIL 0.1UF 100V T&amp;R</t>
  </si>
  <si>
    <t>EL01-001719</t>
  </si>
  <si>
    <t>PSOT05C-LF-T7</t>
  </si>
  <si>
    <t>DIODE TRANSIENT VOL. SUPPR  5.0V T&amp;R</t>
  </si>
  <si>
    <t>PRO TEK DEVICES</t>
  </si>
  <si>
    <t>SEAMAX ENGINEERING</t>
  </si>
  <si>
    <t>PO2526U10657</t>
  </si>
  <si>
    <t>Seamax</t>
  </si>
  <si>
    <t>EL01-001751</t>
  </si>
  <si>
    <t>SCN-2-35+</t>
  </si>
  <si>
    <t>CHIP POWER SPLITTER 2-WAY 2.825-3.7GHZ</t>
  </si>
  <si>
    <t>MINI-CIRCUITS LABORATORY</t>
  </si>
  <si>
    <t>ORTAL</t>
  </si>
  <si>
    <t>ORTAL@MINICIRCUITS.COM</t>
  </si>
  <si>
    <t>Require EUS</t>
  </si>
  <si>
    <t xml:space="preserve">PO2526U10650 </t>
  </si>
  <si>
    <t>MCDI</t>
  </si>
  <si>
    <t>EL01-002199</t>
  </si>
  <si>
    <t>NRVBM2H100T3G</t>
  </si>
  <si>
    <t>SCHOTTKY RECTIFIER 2.0A 100V T&amp;R</t>
  </si>
  <si>
    <t>Onsemi</t>
  </si>
  <si>
    <t>EL01-000853</t>
  </si>
  <si>
    <t>SI7252DP-T1-GE3</t>
  </si>
  <si>
    <t>MOSFET DUAL N-CHANNEL  100V T&amp;R</t>
  </si>
  <si>
    <t>VISHAY - SILICONIX</t>
  </si>
  <si>
    <t>New Price 0.81 $</t>
  </si>
  <si>
    <t>EL01-002200</t>
  </si>
  <si>
    <t>SMBJ28A-E3/52</t>
  </si>
  <si>
    <t>‎400626927‏</t>
  </si>
  <si>
    <t>TRANSIENT SUPRESSOR 28V 600W TAPE&amp;RE</t>
  </si>
  <si>
    <t>VISHAY SEMICONDUCTORS GMBH</t>
  </si>
  <si>
    <t>EL01-003095</t>
  </si>
  <si>
    <t>SMBJ3V3-E3/52</t>
  </si>
  <si>
    <t>TRANSIENT VOLTAGE SUPPRESSOR 3.3V T&amp;R</t>
  </si>
  <si>
    <t>EL01-001859</t>
  </si>
  <si>
    <t>SMBJ5.0AE3/52</t>
  </si>
  <si>
    <t>‎FFF002027‏</t>
  </si>
  <si>
    <t>DIODE TRANSIENT SUPRESSOR 5V T&amp;R</t>
  </si>
  <si>
    <t>EL01-001758</t>
  </si>
  <si>
    <t>SEAF30-06.5S-10-1-A-K-TR</t>
  </si>
  <si>
    <t>CONN RECT SEAF OPEN PIN FIELD ARRAY,</t>
  </si>
  <si>
    <t>Israel</t>
  </si>
  <si>
    <t xml:space="preserve">israelcs@samtec.com&gt; </t>
  </si>
  <si>
    <t>EL01-002836</t>
  </si>
  <si>
    <t>T543O686M040ATE035</t>
  </si>
  <si>
    <t>CAP TANT POLYMER 68UF 40V 20% SMT 7360</t>
  </si>
  <si>
    <t>KEMET INTERNATIONAL LTD</t>
  </si>
  <si>
    <t>AVI Taub</t>
  </si>
  <si>
    <t>EL01-001724</t>
  </si>
  <si>
    <t>TACR106K010RTA</t>
  </si>
  <si>
    <t>N62146105</t>
  </si>
  <si>
    <t>CHIP CAP 10UF 10% 10VOLT 2X1.35MM TA</t>
  </si>
  <si>
    <t>AVX</t>
  </si>
  <si>
    <t xml:space="preserve">Pheonix </t>
  </si>
  <si>
    <t>Tanya Libenzon</t>
  </si>
  <si>
    <t>Tanyal@phnx.co.il</t>
  </si>
  <si>
    <t xml:space="preserve">PO2526U10653 </t>
  </si>
  <si>
    <t>Phoenix</t>
  </si>
  <si>
    <t>EL01-001981</t>
  </si>
  <si>
    <t>1096U900-001</t>
  </si>
  <si>
    <t>F/A S-BAND 200W Limiter</t>
  </si>
  <si>
    <t>EL01-001769</t>
  </si>
  <si>
    <t>SN74LVTH16244ADGGR</t>
  </si>
  <si>
    <t>‎403581722‏</t>
  </si>
  <si>
    <t>IC 16-BIT BUFFER/LINE DRIVER T&amp;R</t>
  </si>
  <si>
    <t>EL01-001829</t>
  </si>
  <si>
    <t>TQP369184</t>
  </si>
  <si>
    <t>AMPLIFIER RF DC-6GHZ 20.3DB GAIN SOT-363</t>
  </si>
  <si>
    <t>QORVO US, INC</t>
  </si>
  <si>
    <t>Shuli</t>
  </si>
  <si>
    <t>Shuli.Ronin@Qorvo.com</t>
  </si>
  <si>
    <t>Require New price approval and Qorvo standard terms acceptance confirmation email sent please check and advice</t>
  </si>
  <si>
    <t xml:space="preserve">PO2526U10654 </t>
  </si>
  <si>
    <t>Qorvo</t>
  </si>
  <si>
    <t>EL01-002253</t>
  </si>
  <si>
    <t>TS0301W3</t>
  </si>
  <si>
    <t>N80407885</t>
  </si>
  <si>
    <t>ATTENUATOR DC-15GHZ 1DB 2WATT 50 OHM</t>
  </si>
  <si>
    <t>Israelw@rfmw.com</t>
  </si>
  <si>
    <t>640 Elta stock</t>
  </si>
  <si>
    <t>AP145122-01</t>
  </si>
  <si>
    <t>EL01-003033</t>
  </si>
  <si>
    <t>TS0500S</t>
  </si>
  <si>
    <t>CHIP ATT. DC-18GHZ 0DB 0.1W 50-OHM</t>
  </si>
  <si>
    <t>AP7560-00 Qty:100nos Price: $5.25</t>
  </si>
  <si>
    <t>TS0500S/AP7560-00</t>
  </si>
  <si>
    <t>EL01-002421</t>
  </si>
  <si>
    <t>TS0503W3S</t>
  </si>
  <si>
    <t>N80413149</t>
  </si>
  <si>
    <t>ATTENUATOR DC-15GHZ 3DB .1WATT 50 OH</t>
  </si>
  <si>
    <t>660 Elta stock</t>
  </si>
  <si>
    <t>AP7560-03 Qty:1155nos Price: $3.9</t>
  </si>
  <si>
    <t>TS0503W3S/AP7560-03</t>
  </si>
  <si>
    <t>Newly added</t>
  </si>
  <si>
    <t>EL01-003408</t>
  </si>
  <si>
    <t>1096P691-001</t>
  </si>
  <si>
    <t>SIDE HANDLE</t>
  </si>
  <si>
    <t>Need Price and source details</t>
  </si>
  <si>
    <t>ASSY N/A</t>
  </si>
  <si>
    <t>EL01-003369</t>
  </si>
  <si>
    <t>1096P699-001</t>
  </si>
  <si>
    <t>Ackerman</t>
  </si>
  <si>
    <t>PO2627U10129</t>
  </si>
  <si>
    <t>EL01-001729</t>
  </si>
  <si>
    <t>MS16995-19</t>
  </si>
  <si>
    <t>‎413820556‏</t>
  </si>
  <si>
    <t>Ideal Fasteners</t>
  </si>
  <si>
    <t>PO2627U10268</t>
  </si>
  <si>
    <t>Awaiting for PI</t>
  </si>
  <si>
    <t>EL01-003370</t>
  </si>
  <si>
    <t>MS51021-23</t>
  </si>
  <si>
    <t>SCREW,SET,HEADLESS,HEX SOCKET RECESS,CUP</t>
  </si>
  <si>
    <t>SESCO</t>
  </si>
  <si>
    <t>PO2627U10131</t>
  </si>
  <si>
    <t>EL01-003371</t>
  </si>
  <si>
    <t>A-A-52080-E-5 BLACK</t>
  </si>
  <si>
    <t>LACING TAPES,NYLON TAPE FOR LACING &amp; TYI</t>
  </si>
  <si>
    <t>AEROSPHERES, INC</t>
  </si>
  <si>
    <t>PO2627U10132</t>
  </si>
  <si>
    <t>EL01-003412</t>
  </si>
  <si>
    <t>A10-218</t>
  </si>
  <si>
    <t>CABLE ASSY,CAP END,CABLE 3X7,.032IN DIA</t>
  </si>
  <si>
    <t>DMC tools</t>
  </si>
  <si>
    <t>PO2627U10405</t>
  </si>
  <si>
    <t>EL01-001726</t>
  </si>
  <si>
    <t>MS16995-16</t>
  </si>
  <si>
    <t>‎413820552‏</t>
  </si>
  <si>
    <t>B &amp; B Specialties, Inc</t>
  </si>
  <si>
    <t>EL01-003403</t>
  </si>
  <si>
    <t>MS24585-1085</t>
  </si>
  <si>
    <t>SPRING,COMPRESSION,HELICAL,RIGHT HAND,SQ</t>
  </si>
  <si>
    <t>HARDWARE SPECIALTY COMPANY, INC.</t>
  </si>
  <si>
    <t>LEE SPRING</t>
  </si>
  <si>
    <t>EL01-003399</t>
  </si>
  <si>
    <t>NAS1352C04-4</t>
  </si>
  <si>
    <t>‎413820568‏</t>
  </si>
  <si>
    <t xml:space="preserve">Ideal Fasteners </t>
  </si>
  <si>
    <t>PO2627U10210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</si>
</sst>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:mm:ss"/>
    <numFmt numFmtId="165" formatCode="mm/yyyy"/>
  </numFmts>
  <fonts count="1">
    <font>
      <sz val="11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21" fontId="0" fillId="0" borderId="0" xfId="0" applyNumberFormat="1"/>
    <xf numFmtId="0" fontId="0" fillId="2" borderId="0" xfId="0" applyFill="1"/>
    <xf numFmtId="165" fontId="0" fillId="2" borderId="0" xfId="0" applyNumberFormat="1" applyFill="1"/>
    <xf numFmtId="165" fontId="0" fillId="3" borderId="0" xfId="0" applyNumberFormat="1" applyFill="1"/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V214"/>
  <sheetViews>
    <sheetView tabSelected="1" topLeftCell="AV1" workbookViewId="0">
      <selection activeCell="BB16" sqref="BB16"/>
    </sheetView>
  </sheetViews>
  <sheetFormatPr defaultRowHeight="14.25"/>
  <cols>
    <col min="40" max="40" width="16.75" bestFit="1" customWidth="1"/>
    <col min="45" max="45" width="13" bestFit="1" customWidth="1"/>
    <col min="49" max="49" width="13" bestFit="1" customWidth="1"/>
  </cols>
  <sheetData>
    <row r="1" spans="1:100">
      <c r="AX1" s="7" t="s">
        <v>0</v>
      </c>
      <c r="AY1" s="7"/>
      <c r="AZ1" s="7"/>
      <c r="BA1" s="7"/>
      <c r="BB1" s="7"/>
      <c r="BC1" s="7"/>
      <c r="BD1" s="7"/>
      <c r="BH1" s="7" t="s">
        <v>1</v>
      </c>
      <c r="BI1" s="7"/>
      <c r="BJ1" s="7"/>
      <c r="BK1" s="7"/>
      <c r="BL1" s="7"/>
      <c r="BM1" s="7"/>
      <c r="BN1" s="7"/>
    </row>
    <row r="2" spans="1:100">
      <c r="AX2" s="7"/>
      <c r="AY2" s="7"/>
      <c r="AZ2" s="7"/>
      <c r="BA2" s="7"/>
      <c r="BB2" s="7"/>
      <c r="BC2" s="7"/>
      <c r="BD2" s="7"/>
      <c r="BH2" s="7"/>
      <c r="BI2" s="7"/>
      <c r="BJ2" s="7"/>
      <c r="BK2" s="7"/>
      <c r="BL2" s="7"/>
      <c r="BM2" s="7"/>
      <c r="BN2" s="7"/>
    </row>
    <row r="3" spans="1:100">
      <c r="S3">
        <f>64*220</f>
        <v>14080</v>
      </c>
      <c r="AX3" s="7"/>
      <c r="AY3" s="7"/>
      <c r="AZ3" s="7"/>
      <c r="BA3" s="7"/>
      <c r="BB3" s="7"/>
      <c r="BC3" s="7"/>
      <c r="BD3" s="7"/>
      <c r="BH3" s="7"/>
      <c r="BI3" s="7"/>
      <c r="BJ3" s="7"/>
      <c r="BK3" s="7"/>
      <c r="BL3" s="7"/>
      <c r="BM3" s="7"/>
      <c r="BN3" s="7"/>
    </row>
    <row r="4" spans="1:100">
      <c r="AU4" t="s">
        <v>2</v>
      </c>
      <c r="AV4">
        <v>0</v>
      </c>
      <c r="AW4" t="s">
        <v>3</v>
      </c>
      <c r="AZ4">
        <v>0</v>
      </c>
      <c r="BA4">
        <v>0</v>
      </c>
      <c r="BE4" t="s">
        <v>2</v>
      </c>
      <c r="BF4">
        <v>0</v>
      </c>
      <c r="BG4" t="s">
        <v>3</v>
      </c>
      <c r="BJ4">
        <v>0</v>
      </c>
      <c r="BK4">
        <v>0</v>
      </c>
    </row>
    <row r="5" spans="1:100">
      <c r="AU5" t="s">
        <v>4</v>
      </c>
      <c r="AV5">
        <v>1</v>
      </c>
      <c r="AW5" t="s">
        <v>5</v>
      </c>
      <c r="AZ5">
        <v>0</v>
      </c>
      <c r="BA5">
        <v>0</v>
      </c>
      <c r="BE5" t="s">
        <v>4</v>
      </c>
      <c r="BF5">
        <v>1</v>
      </c>
      <c r="BG5" t="s">
        <v>5</v>
      </c>
      <c r="BJ5">
        <v>0</v>
      </c>
      <c r="BK5">
        <v>0</v>
      </c>
    </row>
    <row r="6" spans="1:100">
      <c r="A6">
        <v>22</v>
      </c>
      <c r="C6" t="s">
        <v>6</v>
      </c>
      <c r="K6" t="s">
        <v>3</v>
      </c>
      <c r="L6" t="s">
        <v>5</v>
      </c>
      <c r="M6" t="s">
        <v>7</v>
      </c>
      <c r="N6" t="s">
        <v>8</v>
      </c>
      <c r="O6" t="s">
        <v>9</v>
      </c>
      <c r="P6" t="s">
        <v>10</v>
      </c>
      <c r="AU6" t="s">
        <v>11</v>
      </c>
      <c r="AV6">
        <v>0</v>
      </c>
      <c r="AW6" t="s">
        <v>7</v>
      </c>
      <c r="AZ6">
        <v>20</v>
      </c>
      <c r="BA6">
        <v>60</v>
      </c>
      <c r="BE6" t="s">
        <v>11</v>
      </c>
      <c r="BF6">
        <v>0</v>
      </c>
      <c r="BG6" t="s">
        <v>7</v>
      </c>
      <c r="BJ6">
        <v>20</v>
      </c>
      <c r="BK6">
        <v>60</v>
      </c>
    </row>
    <row r="7" spans="1:100">
      <c r="A7">
        <v>1</v>
      </c>
      <c r="C7">
        <v>1749</v>
      </c>
      <c r="K7">
        <v>80</v>
      </c>
      <c r="L7">
        <v>80</v>
      </c>
      <c r="M7">
        <v>140</v>
      </c>
      <c r="N7">
        <v>140</v>
      </c>
      <c r="O7">
        <v>220</v>
      </c>
      <c r="P7">
        <v>220</v>
      </c>
      <c r="AN7" s="6" t="s">
        <v>12</v>
      </c>
      <c r="AO7" s="6"/>
      <c r="AP7" s="6"/>
      <c r="AQ7" s="6"/>
      <c r="AR7" s="6"/>
      <c r="AS7" s="6"/>
      <c r="AT7" s="6"/>
      <c r="AU7" t="s">
        <v>13</v>
      </c>
      <c r="AV7">
        <v>1</v>
      </c>
      <c r="AW7" t="s">
        <v>8</v>
      </c>
      <c r="AZ7">
        <v>20</v>
      </c>
      <c r="BA7">
        <v>60</v>
      </c>
      <c r="BE7" t="s">
        <v>13</v>
      </c>
      <c r="BF7">
        <v>1</v>
      </c>
      <c r="BG7" t="s">
        <v>8</v>
      </c>
      <c r="BJ7">
        <v>20</v>
      </c>
      <c r="BK7">
        <v>60</v>
      </c>
    </row>
    <row r="8" spans="1:100">
      <c r="K8" t="s">
        <v>2</v>
      </c>
      <c r="L8" t="s">
        <v>4</v>
      </c>
      <c r="M8" t="s">
        <v>11</v>
      </c>
      <c r="N8" t="s">
        <v>13</v>
      </c>
      <c r="O8" t="s">
        <v>14</v>
      </c>
      <c r="P8" t="s">
        <v>15</v>
      </c>
      <c r="AN8" s="6"/>
      <c r="AO8" s="6"/>
      <c r="AP8" s="6"/>
      <c r="AQ8" s="6"/>
      <c r="AR8" s="6"/>
      <c r="AS8" s="6"/>
      <c r="AT8" s="6"/>
      <c r="AU8" t="s">
        <v>14</v>
      </c>
      <c r="AV8">
        <v>2</v>
      </c>
      <c r="AW8" t="s">
        <v>9</v>
      </c>
      <c r="AZ8">
        <v>20</v>
      </c>
      <c r="BA8">
        <v>60</v>
      </c>
      <c r="BE8" t="s">
        <v>14</v>
      </c>
      <c r="BF8">
        <v>2</v>
      </c>
      <c r="BG8" t="s">
        <v>9</v>
      </c>
      <c r="BJ8">
        <v>20</v>
      </c>
      <c r="BK8">
        <v>60</v>
      </c>
    </row>
    <row r="9" spans="1:100">
      <c r="K9">
        <v>0</v>
      </c>
      <c r="L9">
        <v>1</v>
      </c>
      <c r="M9">
        <v>0</v>
      </c>
      <c r="N9">
        <v>1</v>
      </c>
      <c r="O9">
        <v>2</v>
      </c>
      <c r="P9">
        <v>2</v>
      </c>
      <c r="AN9" s="6"/>
      <c r="AO9" s="6"/>
      <c r="AP9" s="6"/>
      <c r="AQ9" s="6"/>
      <c r="AR9" s="6"/>
      <c r="AS9" s="6"/>
      <c r="AT9" s="6"/>
      <c r="AU9" t="s">
        <v>15</v>
      </c>
      <c r="AV9">
        <v>2</v>
      </c>
      <c r="AW9" t="s">
        <v>10</v>
      </c>
      <c r="AZ9">
        <v>20</v>
      </c>
      <c r="BA9">
        <v>60</v>
      </c>
      <c r="BE9" t="s">
        <v>15</v>
      </c>
      <c r="BF9">
        <v>2</v>
      </c>
      <c r="BG9" t="s">
        <v>10</v>
      </c>
      <c r="BJ9">
        <v>20</v>
      </c>
      <c r="BK9">
        <v>60</v>
      </c>
    </row>
    <row r="10" spans="1:100">
      <c r="A10" t="s">
        <v>16</v>
      </c>
      <c r="B10" t="s">
        <v>17</v>
      </c>
      <c r="C10" t="s">
        <v>18</v>
      </c>
      <c r="D10" t="s">
        <v>19</v>
      </c>
      <c r="E10" t="s">
        <v>20</v>
      </c>
      <c r="F10" t="s">
        <v>21</v>
      </c>
      <c r="G10" t="s">
        <v>22</v>
      </c>
      <c r="H10" t="s">
        <v>23</v>
      </c>
      <c r="I10" t="s">
        <v>24</v>
      </c>
      <c r="J10" t="s">
        <v>25</v>
      </c>
      <c r="K10" t="s">
        <v>3</v>
      </c>
      <c r="L10" t="s">
        <v>5</v>
      </c>
      <c r="M10" t="s">
        <v>7</v>
      </c>
      <c r="N10" t="s">
        <v>8</v>
      </c>
      <c r="O10" t="s">
        <v>9</v>
      </c>
      <c r="P10" t="s">
        <v>10</v>
      </c>
      <c r="Q10" t="s">
        <v>26</v>
      </c>
      <c r="R10" t="s">
        <v>27</v>
      </c>
      <c r="S10" t="s">
        <v>28</v>
      </c>
      <c r="T10" t="s">
        <v>29</v>
      </c>
      <c r="U10" s="3" t="s">
        <v>30</v>
      </c>
      <c r="V10" t="s">
        <v>31</v>
      </c>
      <c r="W10" s="3" t="s">
        <v>32</v>
      </c>
      <c r="X10" t="s">
        <v>33</v>
      </c>
      <c r="Y10" t="s">
        <v>34</v>
      </c>
      <c r="Z10" t="s">
        <v>35</v>
      </c>
      <c r="AA10" t="s">
        <v>36</v>
      </c>
      <c r="AB10" t="s">
        <v>37</v>
      </c>
      <c r="AC10" t="s">
        <v>38</v>
      </c>
      <c r="AD10" t="s">
        <v>39</v>
      </c>
      <c r="AE10" t="s">
        <v>28</v>
      </c>
      <c r="AF10" t="s">
        <v>40</v>
      </c>
      <c r="AG10" t="s">
        <v>41</v>
      </c>
      <c r="AH10" t="s">
        <v>33</v>
      </c>
      <c r="AI10" t="s">
        <v>42</v>
      </c>
      <c r="AJ10" t="s">
        <v>43</v>
      </c>
      <c r="AK10" t="s">
        <v>44</v>
      </c>
      <c r="AM10" s="3" t="s">
        <v>45</v>
      </c>
      <c r="AN10" s="4">
        <v>45809</v>
      </c>
      <c r="AO10" s="4">
        <v>46204</v>
      </c>
      <c r="AP10" s="4">
        <v>46235</v>
      </c>
      <c r="AQ10" s="4">
        <v>46266</v>
      </c>
      <c r="AR10" s="4">
        <v>46296</v>
      </c>
      <c r="AS10" s="4">
        <v>46327</v>
      </c>
      <c r="AT10" s="4">
        <v>46357</v>
      </c>
      <c r="AU10" s="5" t="s">
        <v>46</v>
      </c>
      <c r="AV10" s="5" t="s">
        <v>47</v>
      </c>
      <c r="AW10" s="5" t="s">
        <v>48</v>
      </c>
      <c r="AX10" s="5">
        <v>45809</v>
      </c>
      <c r="AY10" s="5">
        <v>46204</v>
      </c>
      <c r="AZ10" s="5">
        <v>46235</v>
      </c>
      <c r="BA10" s="5">
        <v>46266</v>
      </c>
      <c r="BB10" s="5">
        <v>46296</v>
      </c>
      <c r="BC10" s="5">
        <v>46327</v>
      </c>
      <c r="BD10" s="5">
        <v>46357</v>
      </c>
      <c r="BE10" s="5" t="s">
        <v>46</v>
      </c>
      <c r="BF10" s="5" t="s">
        <v>47</v>
      </c>
      <c r="BG10" s="5" t="s">
        <v>48</v>
      </c>
      <c r="BH10" s="5">
        <v>45809</v>
      </c>
      <c r="BI10" s="5">
        <v>46204</v>
      </c>
      <c r="BJ10" s="5">
        <v>46235</v>
      </c>
      <c r="BK10" s="5">
        <v>46266</v>
      </c>
      <c r="BL10" s="5">
        <v>46296</v>
      </c>
      <c r="BM10" s="5">
        <v>46327</v>
      </c>
      <c r="BN10" s="5">
        <v>46357</v>
      </c>
      <c r="BO10" t="s">
        <v>49</v>
      </c>
      <c r="BP10" t="s">
        <v>50</v>
      </c>
      <c r="BQ10" t="s">
        <v>51</v>
      </c>
      <c r="BR10" t="s">
        <v>52</v>
      </c>
      <c r="BS10" t="s">
        <v>53</v>
      </c>
      <c r="BT10" t="s">
        <v>54</v>
      </c>
      <c r="BU10" t="s">
        <v>55</v>
      </c>
      <c r="BV10" t="s">
        <v>56</v>
      </c>
      <c r="BW10" t="s">
        <v>57</v>
      </c>
      <c r="BX10" t="s">
        <v>56</v>
      </c>
      <c r="BY10" t="s">
        <v>58</v>
      </c>
      <c r="BZ10" t="s">
        <v>59</v>
      </c>
      <c r="CA10" t="s">
        <v>56</v>
      </c>
      <c r="CB10" t="s">
        <v>60</v>
      </c>
      <c r="CC10" t="s">
        <v>61</v>
      </c>
      <c r="CD10" t="s">
        <v>62</v>
      </c>
      <c r="CE10" t="s">
        <v>63</v>
      </c>
      <c r="CF10" t="s">
        <v>64</v>
      </c>
      <c r="CG10" t="s">
        <v>65</v>
      </c>
      <c r="CH10" t="s">
        <v>66</v>
      </c>
      <c r="CI10" t="s">
        <v>67</v>
      </c>
      <c r="CJ10" t="s">
        <v>68</v>
      </c>
      <c r="CK10" t="s">
        <v>69</v>
      </c>
      <c r="CL10" t="s">
        <v>70</v>
      </c>
      <c r="CM10" t="s">
        <v>71</v>
      </c>
      <c r="CN10" t="s">
        <v>12</v>
      </c>
      <c r="CS10" t="s">
        <v>54</v>
      </c>
      <c r="CT10" t="s">
        <v>55</v>
      </c>
      <c r="CU10" t="s">
        <v>56</v>
      </c>
      <c r="CV10" t="s">
        <v>72</v>
      </c>
    </row>
    <row r="11" spans="1:100">
      <c r="A11">
        <v>1</v>
      </c>
      <c r="B11" t="s">
        <v>73</v>
      </c>
      <c r="C11" t="s">
        <v>7</v>
      </c>
      <c r="D11" t="s">
        <v>74</v>
      </c>
      <c r="F11">
        <v>408526888</v>
      </c>
      <c r="G11" t="s">
        <v>11</v>
      </c>
      <c r="H11" t="s">
        <v>75</v>
      </c>
      <c r="I11">
        <v>1</v>
      </c>
      <c r="J11">
        <v>1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  <c r="Q11">
        <v>1</v>
      </c>
      <c r="R11">
        <v>140</v>
      </c>
      <c r="S11">
        <v>1</v>
      </c>
      <c r="T11">
        <v>140</v>
      </c>
      <c r="U11" t="s">
        <v>76</v>
      </c>
      <c r="V11" t="s">
        <v>77</v>
      </c>
      <c r="W11">
        <v>0</v>
      </c>
      <c r="X11" t="s">
        <v>76</v>
      </c>
      <c r="AG11">
        <v>0</v>
      </c>
      <c r="AH11">
        <v>0</v>
      </c>
      <c r="AI11">
        <v>140</v>
      </c>
      <c r="AJ11">
        <v>0</v>
      </c>
      <c r="AK11">
        <v>140</v>
      </c>
      <c r="AL11">
        <v>140</v>
      </c>
      <c r="AM11">
        <v>0</v>
      </c>
      <c r="AZ11">
        <f>SUM($AM11,$AN11:AO11)-SUM($BH11:BJ11)</f>
        <v>-20</v>
      </c>
      <c r="BA11">
        <f>SUM($AM11,$AN11:AP11)-SUM($BH11:BK11)</f>
        <v>-80</v>
      </c>
      <c r="BB11">
        <f>SUM($AM11,$AN11:AQ11)-SUM($BH11:BL11)</f>
        <v>-80</v>
      </c>
      <c r="BC11">
        <f>SUM($AM11,$AN11:AR11)-SUM($BH11:BM11)</f>
        <v>-80</v>
      </c>
      <c r="BD11">
        <f>SUM($AM11,$AN11:AS11)-SUM($BH11:BN11)</f>
        <v>-80</v>
      </c>
      <c r="BI11">
        <f t="array" ref="BI11">SUMPRODUCT(TRANSPOSE(BI$4:BI$9),$K11:$P11)</f>
        <v>0</v>
      </c>
      <c r="BJ11">
        <f t="array" ref="BJ11">SUMPRODUCT(TRANSPOSE(BJ$4:BJ$9),$K11:$P11)</f>
        <v>20</v>
      </c>
      <c r="BK11">
        <f t="array" ref="BK11">SUMPRODUCT(TRANSPOSE(BK$4:BK$9),$K11:$P11)</f>
        <v>60</v>
      </c>
      <c r="BL11">
        <f t="array" ref="BL11">SUMPRODUCT(TRANSPOSE(BL$4:BL$9),$K11:$P11)</f>
        <v>0</v>
      </c>
      <c r="BM11">
        <f t="array" ref="BM11">SUMPRODUCT(TRANSPOSE(BM$4:BM$9),$K11:$P11)</f>
        <v>0</v>
      </c>
      <c r="BN11">
        <f t="array" ref="BN11">SUMPRODUCT(TRANSPOSE(BN$4:BN$9),$K11:$P11)</f>
        <v>0</v>
      </c>
      <c r="CA11" t="s">
        <v>78</v>
      </c>
      <c r="CH11">
        <v>0</v>
      </c>
    </row>
    <row r="12" spans="1:100">
      <c r="A12">
        <v>5</v>
      </c>
      <c r="B12" t="s">
        <v>79</v>
      </c>
      <c r="C12" t="s">
        <v>80</v>
      </c>
      <c r="D12" t="s">
        <v>81</v>
      </c>
      <c r="E12" t="s">
        <v>82</v>
      </c>
      <c r="F12">
        <v>400224895</v>
      </c>
      <c r="G12" t="s">
        <v>83</v>
      </c>
      <c r="H12" t="s">
        <v>75</v>
      </c>
      <c r="I12">
        <v>2</v>
      </c>
      <c r="J12">
        <v>64</v>
      </c>
      <c r="K12">
        <v>0</v>
      </c>
      <c r="L12">
        <v>0</v>
      </c>
      <c r="M12">
        <v>0</v>
      </c>
      <c r="N12">
        <v>0</v>
      </c>
      <c r="O12">
        <v>64</v>
      </c>
      <c r="P12">
        <v>0</v>
      </c>
      <c r="Q12">
        <v>64</v>
      </c>
      <c r="R12">
        <v>14080</v>
      </c>
      <c r="S12">
        <v>2000</v>
      </c>
      <c r="T12">
        <v>16000</v>
      </c>
      <c r="U12" t="s">
        <v>84</v>
      </c>
      <c r="W12">
        <v>0.08</v>
      </c>
      <c r="X12">
        <v>1280</v>
      </c>
      <c r="Y12" t="s">
        <v>85</v>
      </c>
      <c r="Z12" t="s">
        <v>86</v>
      </c>
      <c r="AA12" t="s">
        <v>87</v>
      </c>
      <c r="AB12" t="s">
        <v>88</v>
      </c>
      <c r="AC12" t="s">
        <v>89</v>
      </c>
      <c r="AD12">
        <v>20000</v>
      </c>
      <c r="AG12">
        <v>0.16</v>
      </c>
      <c r="AH12">
        <v>1280</v>
      </c>
      <c r="AI12">
        <v>14080</v>
      </c>
      <c r="AJ12">
        <v>16000</v>
      </c>
      <c r="AK12">
        <v>0</v>
      </c>
      <c r="AL12">
        <v>-1920</v>
      </c>
      <c r="AM12">
        <v>16000</v>
      </c>
      <c r="AZ12">
        <f>SUM($AM12,$AN12:AO12)-SUM($BH12:BJ12)</f>
        <v>14720</v>
      </c>
      <c r="BA12">
        <f>SUM($AM12,$AN12:AP12)-SUM($BH12:BK12)</f>
        <v>10880</v>
      </c>
      <c r="BB12">
        <f>SUM($AM12,$AN12:AQ12)-SUM($BH12:BL12)</f>
        <v>10880</v>
      </c>
      <c r="BC12">
        <f>SUM($AM12,$AN12:AR12)-SUM($BH12:BM12)</f>
        <v>10880</v>
      </c>
      <c r="BD12">
        <f>SUM($AM12,$AN12:AS12)-SUM($BH12:BN12)</f>
        <v>10880</v>
      </c>
      <c r="BI12">
        <f t="array" ref="BI12">SUMPRODUCT(TRANSPOSE(BI$4:BI$9),$K12:$P12)</f>
        <v>0</v>
      </c>
      <c r="BJ12">
        <f t="array" ref="BJ12">SUMPRODUCT(TRANSPOSE(BJ$4:BJ$9),$K12:$P12)</f>
        <v>1280</v>
      </c>
      <c r="BK12">
        <f t="array" ref="BK12">SUMPRODUCT(TRANSPOSE(BK$4:BK$9),$K12:$P12)</f>
        <v>3840</v>
      </c>
      <c r="BL12">
        <f t="array" ref="BL12">SUMPRODUCT(TRANSPOSE(BL$4:BL$9),$K12:$P12)</f>
        <v>0</v>
      </c>
      <c r="BM12">
        <f t="array" ref="BM12">SUMPRODUCT(TRANSPOSE(BM$4:BM$9),$K12:$P12)</f>
        <v>0</v>
      </c>
      <c r="BN12">
        <f t="array" ref="BN12">SUMPRODUCT(TRANSPOSE(BN$4:BN$9),$K12:$P12)</f>
        <v>0</v>
      </c>
      <c r="BR12" t="s">
        <v>90</v>
      </c>
      <c r="BW12" t="s">
        <v>91</v>
      </c>
      <c r="CA12" t="s">
        <v>92</v>
      </c>
      <c r="CB12" t="s">
        <v>93</v>
      </c>
      <c r="CC12" t="s">
        <v>80</v>
      </c>
      <c r="CD12" t="s">
        <v>84</v>
      </c>
      <c r="CE12" t="s">
        <v>85</v>
      </c>
      <c r="CF12">
        <v>1</v>
      </c>
      <c r="CG12">
        <v>16000</v>
      </c>
      <c r="CH12">
        <v>1248</v>
      </c>
      <c r="CI12" t="s">
        <v>94</v>
      </c>
      <c r="CJ12" s="1">
        <v>46078</v>
      </c>
      <c r="CK12" t="s">
        <v>95</v>
      </c>
      <c r="CN12" t="s">
        <v>96</v>
      </c>
      <c r="CU12" t="s">
        <v>97</v>
      </c>
    </row>
    <row r="13" spans="1:100">
      <c r="A13">
        <v>7</v>
      </c>
      <c r="B13" t="s">
        <v>98</v>
      </c>
      <c r="C13" t="s">
        <v>99</v>
      </c>
      <c r="D13" t="s">
        <v>100</v>
      </c>
      <c r="F13" t="s">
        <v>101</v>
      </c>
      <c r="G13" t="s">
        <v>102</v>
      </c>
      <c r="H13" t="s">
        <v>75</v>
      </c>
      <c r="I13">
        <v>1</v>
      </c>
      <c r="J13">
        <v>66</v>
      </c>
      <c r="K13">
        <v>0</v>
      </c>
      <c r="L13">
        <v>0</v>
      </c>
      <c r="M13">
        <v>0</v>
      </c>
      <c r="N13">
        <v>0</v>
      </c>
      <c r="O13">
        <v>66</v>
      </c>
      <c r="P13">
        <v>0</v>
      </c>
      <c r="Q13">
        <v>66</v>
      </c>
      <c r="R13">
        <v>14520</v>
      </c>
      <c r="S13">
        <v>3000</v>
      </c>
      <c r="T13">
        <v>15000</v>
      </c>
      <c r="U13" t="s">
        <v>103</v>
      </c>
      <c r="W13">
        <v>3.15</v>
      </c>
      <c r="X13">
        <v>47250</v>
      </c>
      <c r="Y13" t="s">
        <v>85</v>
      </c>
      <c r="Z13" t="s">
        <v>103</v>
      </c>
      <c r="AA13" t="s">
        <v>104</v>
      </c>
      <c r="AB13" t="s">
        <v>105</v>
      </c>
      <c r="AC13" t="s">
        <v>106</v>
      </c>
      <c r="AG13">
        <v>3.15</v>
      </c>
      <c r="AH13">
        <v>47250</v>
      </c>
      <c r="AI13">
        <v>14520</v>
      </c>
      <c r="AJ13">
        <v>15000</v>
      </c>
      <c r="AK13">
        <v>0</v>
      </c>
      <c r="AL13">
        <v>8520</v>
      </c>
      <c r="AM13">
        <v>6000</v>
      </c>
      <c r="AZ13">
        <f>SUM($AM13,$AN13:AO13)-SUM($BH13:BJ13)</f>
        <v>4680</v>
      </c>
      <c r="BA13">
        <f>SUM($AM13,$AN13:AP13)-SUM($BH13:BK13)</f>
        <v>720</v>
      </c>
      <c r="BB13">
        <f>SUM($AM13,$AN13:AQ13)-SUM($BH13:BL13)</f>
        <v>720</v>
      </c>
      <c r="BC13">
        <f>SUM($AM13,$AN13:AR13)-SUM($BH13:BM13)</f>
        <v>720</v>
      </c>
      <c r="BD13">
        <f>SUM($AM13,$AN13:AS13)-SUM($BH13:BN13)</f>
        <v>720</v>
      </c>
      <c r="BI13">
        <f t="array" ref="BI13">SUMPRODUCT(TRANSPOSE(BI$4:BI$9),$K13:$P13)</f>
        <v>0</v>
      </c>
      <c r="BJ13">
        <f t="array" ref="BJ13">SUMPRODUCT(TRANSPOSE(BJ$4:BJ$9),$K13:$P13)</f>
        <v>1320</v>
      </c>
      <c r="BK13">
        <f t="array" ref="BK13">SUMPRODUCT(TRANSPOSE(BK$4:BK$9),$K13:$P13)</f>
        <v>3960</v>
      </c>
      <c r="BL13">
        <f t="array" ref="BL13">SUMPRODUCT(TRANSPOSE(BL$4:BL$9),$K13:$P13)</f>
        <v>0</v>
      </c>
      <c r="BM13">
        <f t="array" ref="BM13">SUMPRODUCT(TRANSPOSE(BM$4:BM$9),$K13:$P13)</f>
        <v>0</v>
      </c>
      <c r="BN13">
        <f t="array" ref="BN13">SUMPRODUCT(TRANSPOSE(BN$4:BN$9),$K13:$P13)</f>
        <v>0</v>
      </c>
      <c r="CA13" t="s">
        <v>92</v>
      </c>
      <c r="CB13" t="s">
        <v>103</v>
      </c>
      <c r="CC13" t="s">
        <v>99</v>
      </c>
      <c r="CE13" t="s">
        <v>85</v>
      </c>
      <c r="CF13">
        <v>1</v>
      </c>
      <c r="CG13">
        <v>15000</v>
      </c>
      <c r="CH13">
        <v>47250</v>
      </c>
      <c r="CI13" t="s">
        <v>107</v>
      </c>
      <c r="CJ13" s="1">
        <v>45961</v>
      </c>
      <c r="CK13" t="s">
        <v>95</v>
      </c>
      <c r="CN13" t="s">
        <v>108</v>
      </c>
      <c r="CO13" t="s">
        <v>109</v>
      </c>
    </row>
    <row r="14" spans="1:100">
      <c r="A14">
        <v>9</v>
      </c>
      <c r="B14" t="s">
        <v>110</v>
      </c>
      <c r="C14" t="s">
        <v>10</v>
      </c>
      <c r="D14">
        <v>-1</v>
      </c>
      <c r="F14">
        <v>408167562</v>
      </c>
      <c r="G14" t="s">
        <v>15</v>
      </c>
      <c r="H14" t="s">
        <v>75</v>
      </c>
      <c r="I14">
        <v>1</v>
      </c>
      <c r="J14">
        <v>1</v>
      </c>
      <c r="K14">
        <v>0</v>
      </c>
      <c r="L14">
        <v>1</v>
      </c>
      <c r="M14">
        <v>0</v>
      </c>
      <c r="N14">
        <v>1</v>
      </c>
      <c r="O14">
        <v>0</v>
      </c>
      <c r="P14">
        <v>0</v>
      </c>
      <c r="Q14">
        <v>2</v>
      </c>
      <c r="R14">
        <v>220</v>
      </c>
      <c r="S14">
        <v>1</v>
      </c>
      <c r="T14">
        <v>220</v>
      </c>
      <c r="U14" t="s">
        <v>76</v>
      </c>
      <c r="V14" t="s">
        <v>77</v>
      </c>
      <c r="W14">
        <v>0</v>
      </c>
      <c r="X14" t="s">
        <v>76</v>
      </c>
      <c r="AG14">
        <v>0</v>
      </c>
      <c r="AH14">
        <v>0</v>
      </c>
      <c r="AI14">
        <v>220</v>
      </c>
      <c r="AJ14">
        <v>0</v>
      </c>
      <c r="AK14">
        <v>220</v>
      </c>
      <c r="AL14">
        <v>220</v>
      </c>
      <c r="AM14">
        <v>0</v>
      </c>
      <c r="AZ14">
        <f>SUM($AM14,$AN14:AO14)-SUM($BH14:BJ14)</f>
        <v>-20</v>
      </c>
      <c r="BA14">
        <f>SUM($AM14,$AN14:AP14)-SUM($BH14:BK14)</f>
        <v>-80</v>
      </c>
      <c r="BB14">
        <f>SUM($AM14,$AN14:AQ14)-SUM($BH14:BL14)</f>
        <v>-80</v>
      </c>
      <c r="BC14">
        <f>SUM($AM14,$AN14:AR14)-SUM($BH14:BM14)</f>
        <v>-80</v>
      </c>
      <c r="BD14">
        <f>SUM($AM14,$AN14:AS14)-SUM($BH14:BN14)</f>
        <v>-80</v>
      </c>
      <c r="BI14">
        <f t="array" ref="BI14">SUMPRODUCT(TRANSPOSE(BI$4:BI$9),$K14:$P14)</f>
        <v>0</v>
      </c>
      <c r="BJ14">
        <f t="array" ref="BJ14">SUMPRODUCT(TRANSPOSE(BJ$4:BJ$9),$K14:$P14)</f>
        <v>20</v>
      </c>
      <c r="BK14">
        <f t="array" ref="BK14">SUMPRODUCT(TRANSPOSE(BK$4:BK$9),$K14:$P14)</f>
        <v>60</v>
      </c>
      <c r="BL14">
        <f t="array" ref="BL14">SUMPRODUCT(TRANSPOSE(BL$4:BL$9),$K14:$P14)</f>
        <v>0</v>
      </c>
      <c r="BM14">
        <f t="array" ref="BM14">SUMPRODUCT(TRANSPOSE(BM$4:BM$9),$K14:$P14)</f>
        <v>0</v>
      </c>
      <c r="BN14">
        <f t="array" ref="BN14">SUMPRODUCT(TRANSPOSE(BN$4:BN$9),$K14:$P14)</f>
        <v>0</v>
      </c>
      <c r="CA14" t="s">
        <v>78</v>
      </c>
      <c r="CH14">
        <v>0</v>
      </c>
    </row>
    <row r="15" spans="1:100">
      <c r="A15">
        <v>17</v>
      </c>
      <c r="B15" t="s">
        <v>111</v>
      </c>
      <c r="C15" t="s">
        <v>112</v>
      </c>
      <c r="D15" t="s">
        <v>113</v>
      </c>
      <c r="F15" t="s">
        <v>114</v>
      </c>
      <c r="G15" t="s">
        <v>115</v>
      </c>
      <c r="H15" t="s">
        <v>75</v>
      </c>
      <c r="I15">
        <v>1</v>
      </c>
      <c r="J15">
        <v>6</v>
      </c>
      <c r="K15">
        <v>0</v>
      </c>
      <c r="L15">
        <v>6</v>
      </c>
      <c r="M15">
        <v>0</v>
      </c>
      <c r="N15">
        <v>6</v>
      </c>
      <c r="O15">
        <v>0</v>
      </c>
      <c r="P15">
        <v>0</v>
      </c>
      <c r="Q15">
        <v>12</v>
      </c>
      <c r="R15">
        <v>1320</v>
      </c>
      <c r="S15">
        <v>1</v>
      </c>
      <c r="T15">
        <v>1320</v>
      </c>
      <c r="U15">
        <v>0</v>
      </c>
      <c r="X15">
        <v>0</v>
      </c>
      <c r="AG15">
        <v>0</v>
      </c>
      <c r="AH15">
        <v>0</v>
      </c>
      <c r="AI15">
        <v>1320</v>
      </c>
      <c r="AJ15">
        <v>1320</v>
      </c>
      <c r="AK15">
        <v>0</v>
      </c>
      <c r="AL15">
        <v>0</v>
      </c>
      <c r="AM15">
        <v>1320</v>
      </c>
      <c r="AZ15">
        <f>SUM($AM15,$AN15:AO15)-SUM($BH15:BJ15)</f>
        <v>1200</v>
      </c>
      <c r="BA15">
        <f>SUM($AM15,$AN15:AP15)-SUM($BH15:BK15)</f>
        <v>840</v>
      </c>
      <c r="BB15">
        <f>SUM($AM15,$AN15:AQ15)-SUM($BH15:BL15)</f>
        <v>840</v>
      </c>
      <c r="BC15">
        <f>SUM($AM15,$AN15:AR15)-SUM($BH15:BM15)</f>
        <v>840</v>
      </c>
      <c r="BD15">
        <f>SUM($AM15,$AN15:AS15)-SUM($BH15:BN15)</f>
        <v>840</v>
      </c>
      <c r="BI15">
        <f t="array" ref="BI15">SUMPRODUCT(TRANSPOSE(BI$4:BI$9),$K15:$P15)</f>
        <v>0</v>
      </c>
      <c r="BJ15">
        <f t="array" ref="BJ15">SUMPRODUCT(TRANSPOSE(BJ$4:BJ$9),$K15:$P15)</f>
        <v>120</v>
      </c>
      <c r="BK15">
        <f t="array" ref="BK15">SUMPRODUCT(TRANSPOSE(BK$4:BK$9),$K15:$P15)</f>
        <v>360</v>
      </c>
      <c r="BL15">
        <f t="array" ref="BL15">SUMPRODUCT(TRANSPOSE(BL$4:BL$9),$K15:$P15)</f>
        <v>0</v>
      </c>
      <c r="BM15">
        <f t="array" ref="BM15">SUMPRODUCT(TRANSPOSE(BM$4:BM$9),$K15:$P15)</f>
        <v>0</v>
      </c>
      <c r="BN15">
        <f t="array" ref="BN15">SUMPRODUCT(TRANSPOSE(BN$4:BN$9),$K15:$P15)</f>
        <v>0</v>
      </c>
      <c r="BS15" t="s">
        <v>116</v>
      </c>
      <c r="BW15" t="s">
        <v>116</v>
      </c>
      <c r="CA15" t="s">
        <v>92</v>
      </c>
      <c r="CB15" t="s">
        <v>117</v>
      </c>
      <c r="CC15" t="s">
        <v>112</v>
      </c>
      <c r="CD15" t="s">
        <v>117</v>
      </c>
      <c r="CE15" t="s">
        <v>85</v>
      </c>
      <c r="CF15">
        <v>1</v>
      </c>
      <c r="CG15">
        <v>1320</v>
      </c>
      <c r="CH15">
        <v>5411.9999999999991</v>
      </c>
      <c r="CI15" t="s">
        <v>118</v>
      </c>
      <c r="CJ15" s="1">
        <v>45964</v>
      </c>
      <c r="CK15" t="s">
        <v>95</v>
      </c>
      <c r="CL15" t="s">
        <v>119</v>
      </c>
      <c r="CN15" t="s">
        <v>96</v>
      </c>
    </row>
    <row r="16" spans="1:100">
      <c r="A16">
        <v>18</v>
      </c>
      <c r="B16" t="s">
        <v>120</v>
      </c>
      <c r="C16" t="s">
        <v>121</v>
      </c>
      <c r="D16" t="s">
        <v>122</v>
      </c>
      <c r="F16" t="s">
        <v>123</v>
      </c>
      <c r="G16" t="s">
        <v>124</v>
      </c>
      <c r="H16" t="s">
        <v>75</v>
      </c>
      <c r="I16">
        <v>1</v>
      </c>
      <c r="J16">
        <v>2</v>
      </c>
      <c r="K16">
        <v>0</v>
      </c>
      <c r="L16">
        <v>2</v>
      </c>
      <c r="M16">
        <v>0</v>
      </c>
      <c r="N16">
        <v>2</v>
      </c>
      <c r="O16">
        <v>0</v>
      </c>
      <c r="P16">
        <v>0</v>
      </c>
      <c r="Q16">
        <v>4</v>
      </c>
      <c r="R16">
        <v>440</v>
      </c>
      <c r="S16">
        <v>1</v>
      </c>
      <c r="T16">
        <v>440</v>
      </c>
      <c r="U16">
        <v>0</v>
      </c>
      <c r="X16">
        <v>0</v>
      </c>
      <c r="AG16">
        <v>0</v>
      </c>
      <c r="AH16">
        <v>0</v>
      </c>
      <c r="AI16">
        <v>440</v>
      </c>
      <c r="AJ16">
        <v>440</v>
      </c>
      <c r="AK16">
        <v>0</v>
      </c>
      <c r="AL16">
        <v>280</v>
      </c>
      <c r="AM16">
        <v>160</v>
      </c>
      <c r="AZ16">
        <f>SUM($AM16,$AN16:AO16)-SUM($BH16:BJ16)</f>
        <v>120</v>
      </c>
      <c r="BA16">
        <f>SUM($AM16,$AN16:AP16)-SUM($BH16:BK16)</f>
        <v>0</v>
      </c>
      <c r="BB16">
        <f>SUM($AM16,$AN16:AQ16)-SUM($BH16:BL16)</f>
        <v>0</v>
      </c>
      <c r="BC16">
        <f>SUM($AM16,$AN16:AR16)-SUM($BH16:BM16)</f>
        <v>0</v>
      </c>
      <c r="BD16">
        <f>SUM($AM16,$AN16:AS16)-SUM($BH16:BN16)</f>
        <v>0</v>
      </c>
      <c r="BI16">
        <f t="array" ref="BI16">SUMPRODUCT(TRANSPOSE(BI$4:BI$9),$K16:$P16)</f>
        <v>0</v>
      </c>
      <c r="BJ16">
        <f t="array" ref="BJ16">SUMPRODUCT(TRANSPOSE(BJ$4:BJ$9),$K16:$P16)</f>
        <v>40</v>
      </c>
      <c r="BK16">
        <f t="array" ref="BK16">SUMPRODUCT(TRANSPOSE(BK$4:BK$9),$K16:$P16)</f>
        <v>120</v>
      </c>
      <c r="BL16">
        <f t="array" ref="BL16">SUMPRODUCT(TRANSPOSE(BL$4:BL$9),$K16:$P16)</f>
        <v>0</v>
      </c>
      <c r="BM16">
        <f t="array" ref="BM16">SUMPRODUCT(TRANSPOSE(BM$4:BM$9),$K16:$P16)</f>
        <v>0</v>
      </c>
      <c r="BN16">
        <f t="array" ref="BN16">SUMPRODUCT(TRANSPOSE(BN$4:BN$9),$K16:$P16)</f>
        <v>0</v>
      </c>
      <c r="BS16" t="s">
        <v>116</v>
      </c>
      <c r="BW16" t="s">
        <v>116</v>
      </c>
      <c r="BX16" t="s">
        <v>125</v>
      </c>
      <c r="CA16" t="s">
        <v>92</v>
      </c>
      <c r="CB16" t="s">
        <v>126</v>
      </c>
      <c r="CC16" t="s">
        <v>121</v>
      </c>
      <c r="CD16" t="s">
        <v>126</v>
      </c>
      <c r="CE16" t="s">
        <v>85</v>
      </c>
      <c r="CF16">
        <v>1</v>
      </c>
      <c r="CG16">
        <v>440</v>
      </c>
      <c r="CH16">
        <v>10560</v>
      </c>
      <c r="CI16" t="s">
        <v>127</v>
      </c>
      <c r="CJ16" s="1">
        <v>46028</v>
      </c>
      <c r="CN16" t="s">
        <v>96</v>
      </c>
    </row>
    <row r="17" spans="1:98">
      <c r="A17">
        <v>21</v>
      </c>
      <c r="B17" t="s">
        <v>128</v>
      </c>
      <c r="C17" t="s">
        <v>129</v>
      </c>
      <c r="D17" t="s">
        <v>100</v>
      </c>
      <c r="F17">
        <v>406795767</v>
      </c>
      <c r="G17" t="s">
        <v>130</v>
      </c>
      <c r="H17" t="s">
        <v>75</v>
      </c>
      <c r="I17">
        <v>1</v>
      </c>
      <c r="J17">
        <v>32</v>
      </c>
      <c r="K17">
        <v>0</v>
      </c>
      <c r="L17">
        <v>32</v>
      </c>
      <c r="M17">
        <v>0</v>
      </c>
      <c r="N17">
        <v>32</v>
      </c>
      <c r="O17">
        <v>0</v>
      </c>
      <c r="P17">
        <v>0</v>
      </c>
      <c r="Q17">
        <v>64</v>
      </c>
      <c r="R17">
        <v>7040</v>
      </c>
      <c r="S17">
        <v>1</v>
      </c>
      <c r="T17">
        <v>7040</v>
      </c>
      <c r="U17" t="s">
        <v>131</v>
      </c>
      <c r="W17">
        <v>5.45</v>
      </c>
      <c r="X17">
        <v>38368</v>
      </c>
      <c r="Y17" t="s">
        <v>85</v>
      </c>
      <c r="Z17" t="s">
        <v>131</v>
      </c>
      <c r="AA17" t="s">
        <v>132</v>
      </c>
      <c r="AB17" t="s">
        <v>133</v>
      </c>
      <c r="AC17" t="s">
        <v>134</v>
      </c>
      <c r="AG17">
        <v>5.45</v>
      </c>
      <c r="AH17">
        <v>38368</v>
      </c>
      <c r="AI17">
        <v>7040</v>
      </c>
      <c r="AJ17">
        <v>7040</v>
      </c>
      <c r="AK17">
        <v>0</v>
      </c>
      <c r="AL17">
        <v>3840</v>
      </c>
      <c r="AM17">
        <v>3200</v>
      </c>
      <c r="AZ17">
        <f>SUM($AM17,$AN17:AO17)-SUM($BH17:BJ17)</f>
        <v>2560</v>
      </c>
      <c r="BA17">
        <f>SUM($AM17,$AN17:AP17)-SUM($BH17:BK17)</f>
        <v>640</v>
      </c>
      <c r="BB17">
        <f>SUM($AM17,$AN17:AQ17)-SUM($BH17:BL17)</f>
        <v>640</v>
      </c>
      <c r="BC17">
        <f>SUM($AM17,$AN17:AR17)-SUM($BH17:BM17)</f>
        <v>640</v>
      </c>
      <c r="BD17">
        <f>SUM($AM17,$AN17:AS17)-SUM($BH17:BN17)</f>
        <v>640</v>
      </c>
      <c r="BI17">
        <f t="array" ref="BI17">SUMPRODUCT(TRANSPOSE(BI$4:BI$9),$K17:$P17)</f>
        <v>0</v>
      </c>
      <c r="BJ17">
        <f t="array" ref="BJ17">SUMPRODUCT(TRANSPOSE(BJ$4:BJ$9),$K17:$P17)</f>
        <v>640</v>
      </c>
      <c r="BK17">
        <f t="array" ref="BK17">SUMPRODUCT(TRANSPOSE(BK$4:BK$9),$K17:$P17)</f>
        <v>1920</v>
      </c>
      <c r="BL17">
        <f t="array" ref="BL17">SUMPRODUCT(TRANSPOSE(BL$4:BL$9),$K17:$P17)</f>
        <v>0</v>
      </c>
      <c r="BM17">
        <f t="array" ref="BM17">SUMPRODUCT(TRANSPOSE(BM$4:BM$9),$K17:$P17)</f>
        <v>0</v>
      </c>
      <c r="BN17">
        <f t="array" ref="BN17">SUMPRODUCT(TRANSPOSE(BN$4:BN$9),$K17:$P17)</f>
        <v>0</v>
      </c>
      <c r="BQ17" t="s">
        <v>135</v>
      </c>
      <c r="BS17" t="s">
        <v>136</v>
      </c>
      <c r="CA17" t="s">
        <v>92</v>
      </c>
      <c r="CB17" t="s">
        <v>131</v>
      </c>
      <c r="CC17" t="s">
        <v>129</v>
      </c>
      <c r="CD17" t="s">
        <v>131</v>
      </c>
      <c r="CE17" t="s">
        <v>85</v>
      </c>
      <c r="CF17">
        <v>1</v>
      </c>
      <c r="CG17">
        <v>7040</v>
      </c>
      <c r="CH17">
        <v>38368</v>
      </c>
      <c r="CI17" t="s">
        <v>137</v>
      </c>
      <c r="CJ17" s="1">
        <v>45961</v>
      </c>
      <c r="CK17" t="s">
        <v>95</v>
      </c>
      <c r="CN17" t="s">
        <v>108</v>
      </c>
    </row>
    <row r="18" spans="1:98">
      <c r="A18">
        <v>23</v>
      </c>
      <c r="B18" t="s">
        <v>138</v>
      </c>
      <c r="C18" t="s">
        <v>8</v>
      </c>
      <c r="D18" t="s">
        <v>139</v>
      </c>
      <c r="F18">
        <v>407204730</v>
      </c>
      <c r="G18" t="s">
        <v>13</v>
      </c>
      <c r="H18" t="s">
        <v>75</v>
      </c>
      <c r="I18">
        <v>1</v>
      </c>
      <c r="J18">
        <v>1</v>
      </c>
      <c r="K18">
        <v>0</v>
      </c>
      <c r="L18">
        <v>0</v>
      </c>
      <c r="M18">
        <v>1</v>
      </c>
      <c r="N18">
        <v>0</v>
      </c>
      <c r="O18">
        <v>0</v>
      </c>
      <c r="P18">
        <v>0</v>
      </c>
      <c r="Q18">
        <v>1</v>
      </c>
      <c r="R18">
        <v>140</v>
      </c>
      <c r="S18">
        <v>1</v>
      </c>
      <c r="T18">
        <v>140</v>
      </c>
      <c r="U18" t="s">
        <v>76</v>
      </c>
      <c r="V18" t="s">
        <v>77</v>
      </c>
      <c r="W18">
        <v>0</v>
      </c>
      <c r="X18" t="s">
        <v>76</v>
      </c>
      <c r="AG18">
        <v>0</v>
      </c>
      <c r="AH18">
        <v>0</v>
      </c>
      <c r="AI18">
        <v>140</v>
      </c>
      <c r="AJ18">
        <v>0</v>
      </c>
      <c r="AK18">
        <v>140</v>
      </c>
      <c r="AL18">
        <v>140</v>
      </c>
      <c r="AM18">
        <v>0</v>
      </c>
      <c r="AZ18">
        <f>SUM($AM18,$AN18:AO18)-SUM($BH18:BJ18)</f>
        <v>-20</v>
      </c>
      <c r="BA18">
        <f>SUM($AM18,$AN18:AP18)-SUM($BH18:BK18)</f>
        <v>-80</v>
      </c>
      <c r="BB18">
        <f>SUM($AM18,$AN18:AQ18)-SUM($BH18:BL18)</f>
        <v>-80</v>
      </c>
      <c r="BC18">
        <f>SUM($AM18,$AN18:AR18)-SUM($BH18:BM18)</f>
        <v>-80</v>
      </c>
      <c r="BD18">
        <f>SUM($AM18,$AN18:AS18)-SUM($BH18:BN18)</f>
        <v>-80</v>
      </c>
      <c r="BI18">
        <f t="array" ref="BI18">SUMPRODUCT(TRANSPOSE(BI$4:BI$9),$K18:$P18)</f>
        <v>0</v>
      </c>
      <c r="BJ18">
        <f t="array" ref="BJ18">SUMPRODUCT(TRANSPOSE(BJ$4:BJ$9),$K18:$P18)</f>
        <v>20</v>
      </c>
      <c r="BK18">
        <f t="array" ref="BK18">SUMPRODUCT(TRANSPOSE(BK$4:BK$9),$K18:$P18)</f>
        <v>60</v>
      </c>
      <c r="BL18">
        <f t="array" ref="BL18">SUMPRODUCT(TRANSPOSE(BL$4:BL$9),$K18:$P18)</f>
        <v>0</v>
      </c>
      <c r="BM18">
        <f t="array" ref="BM18">SUMPRODUCT(TRANSPOSE(BM$4:BM$9),$K18:$P18)</f>
        <v>0</v>
      </c>
      <c r="BN18">
        <f t="array" ref="BN18">SUMPRODUCT(TRANSPOSE(BN$4:BN$9),$K18:$P18)</f>
        <v>0</v>
      </c>
      <c r="CA18" t="s">
        <v>78</v>
      </c>
      <c r="CH18">
        <v>0</v>
      </c>
    </row>
    <row r="19" spans="1:98">
      <c r="A19">
        <v>24</v>
      </c>
      <c r="B19" t="s">
        <v>140</v>
      </c>
      <c r="C19" t="s">
        <v>141</v>
      </c>
      <c r="D19" t="s">
        <v>100</v>
      </c>
      <c r="F19">
        <v>407212891</v>
      </c>
      <c r="G19" t="s">
        <v>142</v>
      </c>
      <c r="H19" t="s">
        <v>75</v>
      </c>
      <c r="I19">
        <v>1</v>
      </c>
      <c r="J19">
        <v>1</v>
      </c>
      <c r="K19">
        <v>0</v>
      </c>
      <c r="L19">
        <v>0</v>
      </c>
      <c r="M19">
        <v>1</v>
      </c>
      <c r="N19">
        <v>0</v>
      </c>
      <c r="O19">
        <v>0</v>
      </c>
      <c r="P19">
        <v>0</v>
      </c>
      <c r="Q19">
        <v>1</v>
      </c>
      <c r="R19">
        <v>140</v>
      </c>
      <c r="S19">
        <v>1</v>
      </c>
      <c r="T19">
        <v>140</v>
      </c>
      <c r="U19" t="s">
        <v>143</v>
      </c>
      <c r="W19">
        <v>2.5</v>
      </c>
      <c r="X19">
        <v>350</v>
      </c>
      <c r="Y19" t="s">
        <v>85</v>
      </c>
      <c r="Z19" t="s">
        <v>143</v>
      </c>
      <c r="AA19" t="s">
        <v>144</v>
      </c>
      <c r="AB19" t="s">
        <v>145</v>
      </c>
      <c r="AC19" t="s">
        <v>146</v>
      </c>
      <c r="AG19">
        <v>2.5</v>
      </c>
      <c r="AH19">
        <v>550</v>
      </c>
      <c r="AI19">
        <v>140</v>
      </c>
      <c r="AJ19">
        <v>220</v>
      </c>
      <c r="AK19">
        <v>0</v>
      </c>
      <c r="AL19">
        <v>-80</v>
      </c>
      <c r="AM19">
        <v>220</v>
      </c>
      <c r="AZ19">
        <f>SUM($AM19,$AN19:AO19)-SUM($BH19:BJ19)</f>
        <v>200</v>
      </c>
      <c r="BA19">
        <f>SUM($AM19,$AN19:AP19)-SUM($BH19:BK19)</f>
        <v>140</v>
      </c>
      <c r="BB19">
        <f>SUM($AM19,$AN19:AQ19)-SUM($BH19:BL19)</f>
        <v>140</v>
      </c>
      <c r="BC19">
        <f>SUM($AM19,$AN19:AR19)-SUM($BH19:BM19)</f>
        <v>140</v>
      </c>
      <c r="BD19">
        <f>SUM($AM19,$AN19:AS19)-SUM($BH19:BN19)</f>
        <v>140</v>
      </c>
      <c r="BI19">
        <f t="array" ref="BI19">SUMPRODUCT(TRANSPOSE(BI$4:BI$9),$K19:$P19)</f>
        <v>0</v>
      </c>
      <c r="BJ19">
        <f t="array" ref="BJ19">SUMPRODUCT(TRANSPOSE(BJ$4:BJ$9),$K19:$P19)</f>
        <v>20</v>
      </c>
      <c r="BK19">
        <f t="array" ref="BK19">SUMPRODUCT(TRANSPOSE(BK$4:BK$9),$K19:$P19)</f>
        <v>60</v>
      </c>
      <c r="BL19">
        <f t="array" ref="BL19">SUMPRODUCT(TRANSPOSE(BL$4:BL$9),$K19:$P19)</f>
        <v>0</v>
      </c>
      <c r="BM19">
        <f t="array" ref="BM19">SUMPRODUCT(TRANSPOSE(BM$4:BM$9),$K19:$P19)</f>
        <v>0</v>
      </c>
      <c r="BN19">
        <f t="array" ref="BN19">SUMPRODUCT(TRANSPOSE(BN$4:BN$9),$K19:$P19)</f>
        <v>0</v>
      </c>
      <c r="BR19" t="s">
        <v>147</v>
      </c>
      <c r="BS19" t="s">
        <v>148</v>
      </c>
      <c r="BT19" t="s">
        <v>149</v>
      </c>
      <c r="BW19" t="s">
        <v>148</v>
      </c>
      <c r="CA19" t="s">
        <v>92</v>
      </c>
      <c r="CB19" t="s">
        <v>143</v>
      </c>
      <c r="CC19" t="s">
        <v>141</v>
      </c>
      <c r="CD19" t="s">
        <v>150</v>
      </c>
      <c r="CE19" t="s">
        <v>85</v>
      </c>
      <c r="CF19">
        <v>1</v>
      </c>
      <c r="CG19">
        <v>220</v>
      </c>
      <c r="CH19">
        <v>572</v>
      </c>
      <c r="CI19" t="s">
        <v>151</v>
      </c>
      <c r="CJ19" s="1">
        <v>45961</v>
      </c>
      <c r="CK19" t="s">
        <v>95</v>
      </c>
      <c r="CL19" t="s">
        <v>119</v>
      </c>
      <c r="CN19" t="s">
        <v>96</v>
      </c>
      <c r="CS19" t="s">
        <v>149</v>
      </c>
    </row>
    <row r="20" spans="1:98">
      <c r="A20">
        <v>25</v>
      </c>
      <c r="B20" t="s">
        <v>152</v>
      </c>
      <c r="C20" t="s">
        <v>153</v>
      </c>
      <c r="D20" t="s">
        <v>139</v>
      </c>
      <c r="F20">
        <v>408311102</v>
      </c>
      <c r="G20" t="s">
        <v>154</v>
      </c>
      <c r="H20" t="s">
        <v>75</v>
      </c>
      <c r="I20">
        <v>1</v>
      </c>
      <c r="J20">
        <v>1</v>
      </c>
      <c r="K20">
        <v>0</v>
      </c>
      <c r="L20">
        <v>1</v>
      </c>
      <c r="M20">
        <v>0</v>
      </c>
      <c r="N20">
        <v>1</v>
      </c>
      <c r="O20">
        <v>0</v>
      </c>
      <c r="P20">
        <v>0</v>
      </c>
      <c r="Q20">
        <v>2</v>
      </c>
      <c r="R20">
        <v>220</v>
      </c>
      <c r="S20">
        <v>1</v>
      </c>
      <c r="T20">
        <v>220</v>
      </c>
      <c r="U20" t="s">
        <v>155</v>
      </c>
      <c r="W20">
        <v>557</v>
      </c>
      <c r="X20">
        <v>122540</v>
      </c>
      <c r="Y20" t="s">
        <v>85</v>
      </c>
      <c r="Z20" t="s">
        <v>155</v>
      </c>
      <c r="AA20" t="s">
        <v>156</v>
      </c>
      <c r="AB20" t="s">
        <v>157</v>
      </c>
      <c r="AG20">
        <v>557</v>
      </c>
      <c r="AH20">
        <v>122540</v>
      </c>
      <c r="AI20">
        <v>220</v>
      </c>
      <c r="AJ20">
        <v>220</v>
      </c>
      <c r="AK20">
        <v>0</v>
      </c>
      <c r="AL20">
        <v>220</v>
      </c>
      <c r="AM20">
        <v>0</v>
      </c>
      <c r="AZ20">
        <f>SUM($AM20,$AN20:AO20)-SUM($BH20:BJ20)</f>
        <v>-20</v>
      </c>
      <c r="BA20">
        <f>SUM($AM20,$AN20:AP20)-SUM($BH20:BK20)</f>
        <v>-80</v>
      </c>
      <c r="BB20">
        <f>SUM($AM20,$AN20:AQ20)-SUM($BH20:BL20)</f>
        <v>-80</v>
      </c>
      <c r="BC20">
        <f>SUM($AM20,$AN20:AR20)-SUM($BH20:BM20)</f>
        <v>-80</v>
      </c>
      <c r="BD20">
        <f>SUM($AM20,$AN20:AS20)-SUM($BH20:BN20)</f>
        <v>-80</v>
      </c>
      <c r="BI20">
        <f t="array" ref="BI20">SUMPRODUCT(TRANSPOSE(BI$4:BI$9),$K20:$P20)</f>
        <v>0</v>
      </c>
      <c r="BJ20">
        <f t="array" ref="BJ20">SUMPRODUCT(TRANSPOSE(BJ$4:BJ$9),$K20:$P20)</f>
        <v>20</v>
      </c>
      <c r="BK20">
        <f t="array" ref="BK20">SUMPRODUCT(TRANSPOSE(BK$4:BK$9),$K20:$P20)</f>
        <v>60</v>
      </c>
      <c r="BL20">
        <f t="array" ref="BL20">SUMPRODUCT(TRANSPOSE(BL$4:BL$9),$K20:$P20)</f>
        <v>0</v>
      </c>
      <c r="BM20">
        <f t="array" ref="BM20">SUMPRODUCT(TRANSPOSE(BM$4:BM$9),$K20:$P20)</f>
        <v>0</v>
      </c>
      <c r="BN20">
        <f t="array" ref="BN20">SUMPRODUCT(TRANSPOSE(BN$4:BN$9),$K20:$P20)</f>
        <v>0</v>
      </c>
      <c r="BS20" t="s">
        <v>158</v>
      </c>
      <c r="BU20">
        <v>595</v>
      </c>
      <c r="BW20" t="s">
        <v>159</v>
      </c>
      <c r="CA20" t="s">
        <v>92</v>
      </c>
      <c r="CB20" t="s">
        <v>126</v>
      </c>
      <c r="CC20" t="s">
        <v>153</v>
      </c>
      <c r="CD20" t="s">
        <v>150</v>
      </c>
      <c r="CE20" t="s">
        <v>85</v>
      </c>
      <c r="CF20">
        <v>1</v>
      </c>
      <c r="CG20">
        <v>220</v>
      </c>
      <c r="CH20">
        <v>77000</v>
      </c>
      <c r="CI20" t="s">
        <v>127</v>
      </c>
      <c r="CJ20" s="1">
        <v>46028</v>
      </c>
      <c r="CM20" s="1">
        <v>46234</v>
      </c>
      <c r="CN20" s="1">
        <v>46244</v>
      </c>
      <c r="CT20">
        <v>595</v>
      </c>
    </row>
    <row r="21" spans="1:98">
      <c r="A21">
        <v>26</v>
      </c>
      <c r="B21" t="s">
        <v>160</v>
      </c>
      <c r="C21" t="s">
        <v>161</v>
      </c>
      <c r="D21" t="s">
        <v>100</v>
      </c>
      <c r="F21">
        <v>408311106</v>
      </c>
      <c r="G21" t="s">
        <v>162</v>
      </c>
      <c r="H21" t="s">
        <v>75</v>
      </c>
      <c r="I21">
        <v>1</v>
      </c>
      <c r="J21">
        <v>1</v>
      </c>
      <c r="K21">
        <v>0</v>
      </c>
      <c r="L21">
        <v>1</v>
      </c>
      <c r="M21">
        <v>0</v>
      </c>
      <c r="N21">
        <v>1</v>
      </c>
      <c r="O21">
        <v>0</v>
      </c>
      <c r="P21">
        <v>0</v>
      </c>
      <c r="Q21">
        <v>2</v>
      </c>
      <c r="R21">
        <v>220</v>
      </c>
      <c r="S21">
        <v>1</v>
      </c>
      <c r="T21">
        <v>220</v>
      </c>
      <c r="U21" t="s">
        <v>163</v>
      </c>
      <c r="W21">
        <v>85</v>
      </c>
      <c r="X21">
        <v>18700</v>
      </c>
      <c r="Y21" t="s">
        <v>85</v>
      </c>
      <c r="Z21" t="s">
        <v>163</v>
      </c>
      <c r="AA21" t="s">
        <v>164</v>
      </c>
      <c r="AB21" t="s">
        <v>165</v>
      </c>
      <c r="AC21" t="s">
        <v>166</v>
      </c>
      <c r="AG21">
        <v>85</v>
      </c>
      <c r="AH21">
        <v>18700</v>
      </c>
      <c r="AI21">
        <v>220</v>
      </c>
      <c r="AJ21">
        <v>220</v>
      </c>
      <c r="AK21">
        <v>0</v>
      </c>
      <c r="AL21">
        <v>80</v>
      </c>
      <c r="AM21">
        <v>140</v>
      </c>
      <c r="AZ21">
        <f>SUM($AM21,$AN21:AO21)-SUM($BH21:BJ21)</f>
        <v>120</v>
      </c>
      <c r="BA21">
        <f>SUM($AM21,$AN21:AP21)-SUM($BH21:BK21)</f>
        <v>60</v>
      </c>
      <c r="BB21">
        <f>SUM($AM21,$AN21:AQ21)-SUM($BH21:BL21)</f>
        <v>60</v>
      </c>
      <c r="BC21">
        <f>SUM($AM21,$AN21:AR21)-SUM($BH21:BM21)</f>
        <v>60</v>
      </c>
      <c r="BD21">
        <f>SUM($AM21,$AN21:AS21)-SUM($BH21:BN21)</f>
        <v>60</v>
      </c>
      <c r="BI21">
        <f t="array" ref="BI21">SUMPRODUCT(TRANSPOSE(BI$4:BI$9),$K21:$P21)</f>
        <v>0</v>
      </c>
      <c r="BJ21">
        <f t="array" ref="BJ21">SUMPRODUCT(TRANSPOSE(BJ$4:BJ$9),$K21:$P21)</f>
        <v>20</v>
      </c>
      <c r="BK21">
        <f t="array" ref="BK21">SUMPRODUCT(TRANSPOSE(BK$4:BK$9),$K21:$P21)</f>
        <v>60</v>
      </c>
      <c r="BL21">
        <f t="array" ref="BL21">SUMPRODUCT(TRANSPOSE(BL$4:BL$9),$K21:$P21)</f>
        <v>0</v>
      </c>
      <c r="BM21">
        <f t="array" ref="BM21">SUMPRODUCT(TRANSPOSE(BM$4:BM$9),$K21:$P21)</f>
        <v>0</v>
      </c>
      <c r="BN21">
        <f t="array" ref="BN21">SUMPRODUCT(TRANSPOSE(BN$4:BN$9),$K21:$P21)</f>
        <v>0</v>
      </c>
      <c r="BW21" t="s">
        <v>159</v>
      </c>
      <c r="CA21" t="s">
        <v>92</v>
      </c>
      <c r="CB21" t="s">
        <v>126</v>
      </c>
      <c r="CC21" t="s">
        <v>161</v>
      </c>
      <c r="CD21" t="s">
        <v>150</v>
      </c>
      <c r="CE21" t="s">
        <v>85</v>
      </c>
      <c r="CF21">
        <v>1</v>
      </c>
      <c r="CG21">
        <v>220</v>
      </c>
      <c r="CH21">
        <v>9680</v>
      </c>
      <c r="CI21" t="s">
        <v>127</v>
      </c>
      <c r="CJ21" s="1">
        <v>46028</v>
      </c>
      <c r="CM21" t="e">
        <v>#N/A</v>
      </c>
      <c r="CN21" t="s">
        <v>96</v>
      </c>
      <c r="CS21" t="s">
        <v>167</v>
      </c>
    </row>
    <row r="22" spans="1:98">
      <c r="A22">
        <v>27</v>
      </c>
      <c r="B22" t="s">
        <v>168</v>
      </c>
      <c r="C22" t="s">
        <v>169</v>
      </c>
      <c r="D22" t="s">
        <v>100</v>
      </c>
      <c r="F22">
        <v>408311105</v>
      </c>
      <c r="G22" t="s">
        <v>170</v>
      </c>
      <c r="H22" t="s">
        <v>75</v>
      </c>
      <c r="I22">
        <v>1</v>
      </c>
      <c r="J22">
        <v>4</v>
      </c>
      <c r="K22">
        <v>0</v>
      </c>
      <c r="L22">
        <v>4</v>
      </c>
      <c r="M22">
        <v>0</v>
      </c>
      <c r="N22">
        <v>4</v>
      </c>
      <c r="O22">
        <v>0</v>
      </c>
      <c r="P22">
        <v>0</v>
      </c>
      <c r="Q22">
        <v>8</v>
      </c>
      <c r="R22">
        <v>880</v>
      </c>
      <c r="S22">
        <v>1</v>
      </c>
      <c r="T22">
        <v>880</v>
      </c>
      <c r="U22" t="s">
        <v>171</v>
      </c>
      <c r="W22">
        <v>10.85</v>
      </c>
      <c r="X22">
        <v>9548</v>
      </c>
      <c r="Y22" t="s">
        <v>85</v>
      </c>
      <c r="Z22" t="s">
        <v>171</v>
      </c>
      <c r="AA22" t="s">
        <v>172</v>
      </c>
      <c r="AB22" t="s">
        <v>173</v>
      </c>
      <c r="AG22">
        <v>10.85</v>
      </c>
      <c r="AH22">
        <v>9548</v>
      </c>
      <c r="AI22">
        <v>880</v>
      </c>
      <c r="AJ22">
        <v>880</v>
      </c>
      <c r="AK22">
        <v>0</v>
      </c>
      <c r="AL22">
        <v>0</v>
      </c>
      <c r="AM22">
        <v>880</v>
      </c>
      <c r="AZ22">
        <f>SUM($AM22,$AN22:AO22)-SUM($BH22:BJ22)</f>
        <v>800</v>
      </c>
      <c r="BA22">
        <f>SUM($AM22,$AN22:AP22)-SUM($BH22:BK22)</f>
        <v>560</v>
      </c>
      <c r="BB22">
        <f>SUM($AM22,$AN22:AQ22)-SUM($BH22:BL22)</f>
        <v>560</v>
      </c>
      <c r="BC22">
        <f>SUM($AM22,$AN22:AR22)-SUM($BH22:BM22)</f>
        <v>560</v>
      </c>
      <c r="BD22">
        <f>SUM($AM22,$AN22:AS22)-SUM($BH22:BN22)</f>
        <v>560</v>
      </c>
      <c r="BI22">
        <f t="array" ref="BI22">SUMPRODUCT(TRANSPOSE(BI$4:BI$9),$K22:$P22)</f>
        <v>0</v>
      </c>
      <c r="BJ22">
        <f t="array" ref="BJ22">SUMPRODUCT(TRANSPOSE(BJ$4:BJ$9),$K22:$P22)</f>
        <v>80</v>
      </c>
      <c r="BK22">
        <f t="array" ref="BK22">SUMPRODUCT(TRANSPOSE(BK$4:BK$9),$K22:$P22)</f>
        <v>240</v>
      </c>
      <c r="BL22">
        <f t="array" ref="BL22">SUMPRODUCT(TRANSPOSE(BL$4:BL$9),$K22:$P22)</f>
        <v>0</v>
      </c>
      <c r="BM22">
        <f t="array" ref="BM22">SUMPRODUCT(TRANSPOSE(BM$4:BM$9),$K22:$P22)</f>
        <v>0</v>
      </c>
      <c r="BN22">
        <f t="array" ref="BN22">SUMPRODUCT(TRANSPOSE(BN$4:BN$9),$K22:$P22)</f>
        <v>0</v>
      </c>
      <c r="BQ22" t="s">
        <v>174</v>
      </c>
      <c r="BR22" t="s">
        <v>175</v>
      </c>
      <c r="BS22" t="s">
        <v>176</v>
      </c>
      <c r="CA22" t="s">
        <v>177</v>
      </c>
      <c r="CB22" t="s">
        <v>171</v>
      </c>
      <c r="CC22" t="s">
        <v>169</v>
      </c>
      <c r="CD22" t="s">
        <v>150</v>
      </c>
      <c r="CE22" t="s">
        <v>85</v>
      </c>
      <c r="CF22">
        <v>1</v>
      </c>
      <c r="CG22">
        <v>880</v>
      </c>
      <c r="CH22">
        <v>9548</v>
      </c>
      <c r="CI22" t="s">
        <v>178</v>
      </c>
      <c r="CJ22" s="1">
        <v>45966</v>
      </c>
      <c r="CK22" t="s">
        <v>95</v>
      </c>
      <c r="CL22" t="s">
        <v>119</v>
      </c>
      <c r="CN22" t="s">
        <v>96</v>
      </c>
    </row>
    <row r="23" spans="1:98">
      <c r="A23">
        <v>28</v>
      </c>
      <c r="B23" t="s">
        <v>179</v>
      </c>
      <c r="C23" t="s">
        <v>180</v>
      </c>
      <c r="D23" t="s">
        <v>100</v>
      </c>
      <c r="F23">
        <v>408311104</v>
      </c>
      <c r="G23" t="s">
        <v>181</v>
      </c>
      <c r="H23" t="s">
        <v>75</v>
      </c>
      <c r="I23">
        <v>1</v>
      </c>
      <c r="J23">
        <v>1</v>
      </c>
      <c r="K23">
        <v>0</v>
      </c>
      <c r="L23">
        <v>1</v>
      </c>
      <c r="M23">
        <v>0</v>
      </c>
      <c r="N23">
        <v>1</v>
      </c>
      <c r="O23">
        <v>0</v>
      </c>
      <c r="P23">
        <v>0</v>
      </c>
      <c r="Q23">
        <v>2</v>
      </c>
      <c r="R23">
        <v>220</v>
      </c>
      <c r="S23">
        <v>1</v>
      </c>
      <c r="T23">
        <v>220</v>
      </c>
      <c r="U23">
        <v>0</v>
      </c>
      <c r="X23">
        <v>0</v>
      </c>
      <c r="AG23">
        <v>0</v>
      </c>
      <c r="AH23">
        <v>0</v>
      </c>
      <c r="AI23">
        <v>220</v>
      </c>
      <c r="AJ23">
        <v>220</v>
      </c>
      <c r="AK23">
        <v>0</v>
      </c>
      <c r="AL23">
        <v>210</v>
      </c>
      <c r="AM23">
        <v>10</v>
      </c>
      <c r="AZ23">
        <f>SUM($AM23,$AN23:AO23)-SUM($BH23:BJ23)</f>
        <v>-10</v>
      </c>
      <c r="BA23">
        <f>SUM($AM23,$AN23:AP23)-SUM($BH23:BK23)</f>
        <v>-70</v>
      </c>
      <c r="BB23">
        <f>SUM($AM23,$AN23:AQ23)-SUM($BH23:BL23)</f>
        <v>-70</v>
      </c>
      <c r="BC23">
        <f>SUM($AM23,$AN23:AR23)-SUM($BH23:BM23)</f>
        <v>-70</v>
      </c>
      <c r="BD23">
        <f>SUM($AM23,$AN23:AS23)-SUM($BH23:BN23)</f>
        <v>-70</v>
      </c>
      <c r="BI23">
        <f t="array" ref="BI23">SUMPRODUCT(TRANSPOSE(BI$4:BI$9),$K23:$P23)</f>
        <v>0</v>
      </c>
      <c r="BJ23">
        <f t="array" ref="BJ23">SUMPRODUCT(TRANSPOSE(BJ$4:BJ$9),$K23:$P23)</f>
        <v>20</v>
      </c>
      <c r="BK23">
        <f t="array" ref="BK23">SUMPRODUCT(TRANSPOSE(BK$4:BK$9),$K23:$P23)</f>
        <v>60</v>
      </c>
      <c r="BL23">
        <f t="array" ref="BL23">SUMPRODUCT(TRANSPOSE(BL$4:BL$9),$K23:$P23)</f>
        <v>0</v>
      </c>
      <c r="BM23">
        <f t="array" ref="BM23">SUMPRODUCT(TRANSPOSE(BM$4:BM$9),$K23:$P23)</f>
        <v>0</v>
      </c>
      <c r="BN23">
        <f t="array" ref="BN23">SUMPRODUCT(TRANSPOSE(BN$4:BN$9),$K23:$P23)</f>
        <v>0</v>
      </c>
      <c r="BS23" t="s">
        <v>116</v>
      </c>
      <c r="BW23" t="s">
        <v>116</v>
      </c>
      <c r="BY23" t="s">
        <v>182</v>
      </c>
      <c r="CA23" t="s">
        <v>92</v>
      </c>
      <c r="CB23" t="s">
        <v>126</v>
      </c>
      <c r="CC23" t="s">
        <v>180</v>
      </c>
      <c r="CD23" t="s">
        <v>126</v>
      </c>
      <c r="CE23" t="s">
        <v>85</v>
      </c>
      <c r="CF23">
        <v>1</v>
      </c>
      <c r="CG23">
        <v>220</v>
      </c>
      <c r="CH23">
        <v>44440</v>
      </c>
      <c r="CI23" t="s">
        <v>127</v>
      </c>
      <c r="CJ23" s="1">
        <v>46028</v>
      </c>
      <c r="CM23" s="1">
        <v>46259</v>
      </c>
      <c r="CN23" s="1">
        <v>46269</v>
      </c>
    </row>
    <row r="24" spans="1:98">
      <c r="A24">
        <v>29</v>
      </c>
      <c r="B24" t="s">
        <v>183</v>
      </c>
      <c r="C24" t="s">
        <v>184</v>
      </c>
      <c r="D24" t="s">
        <v>100</v>
      </c>
      <c r="F24">
        <v>408311103</v>
      </c>
      <c r="G24" t="s">
        <v>185</v>
      </c>
      <c r="H24" t="s">
        <v>75</v>
      </c>
      <c r="I24">
        <v>1</v>
      </c>
      <c r="J24">
        <v>2</v>
      </c>
      <c r="K24">
        <v>0</v>
      </c>
      <c r="L24">
        <v>2</v>
      </c>
      <c r="M24">
        <v>0</v>
      </c>
      <c r="N24">
        <v>2</v>
      </c>
      <c r="O24">
        <v>0</v>
      </c>
      <c r="P24">
        <v>0</v>
      </c>
      <c r="Q24">
        <v>4</v>
      </c>
      <c r="R24">
        <v>440</v>
      </c>
      <c r="S24">
        <v>1</v>
      </c>
      <c r="T24">
        <v>440</v>
      </c>
      <c r="U24">
        <v>0</v>
      </c>
      <c r="X24">
        <v>0</v>
      </c>
      <c r="AG24">
        <v>0</v>
      </c>
      <c r="AH24">
        <v>0</v>
      </c>
      <c r="AI24">
        <v>440</v>
      </c>
      <c r="AJ24">
        <v>440</v>
      </c>
      <c r="AK24">
        <v>0</v>
      </c>
      <c r="AL24">
        <v>0</v>
      </c>
      <c r="AM24">
        <v>440</v>
      </c>
      <c r="AZ24">
        <f>SUM($AM24,$AN24:AO24)-SUM($BH24:BJ24)</f>
        <v>400</v>
      </c>
      <c r="BA24">
        <f>SUM($AM24,$AN24:AP24)-SUM($BH24:BK24)</f>
        <v>280</v>
      </c>
      <c r="BB24">
        <f>SUM($AM24,$AN24:AQ24)-SUM($BH24:BL24)</f>
        <v>280</v>
      </c>
      <c r="BC24">
        <f>SUM($AM24,$AN24:AR24)-SUM($BH24:BM24)</f>
        <v>280</v>
      </c>
      <c r="BD24">
        <f>SUM($AM24,$AN24:AS24)-SUM($BH24:BN24)</f>
        <v>280</v>
      </c>
      <c r="BI24">
        <f t="array" ref="BI24">SUMPRODUCT(TRANSPOSE(BI$4:BI$9),$K24:$P24)</f>
        <v>0</v>
      </c>
      <c r="BJ24">
        <f t="array" ref="BJ24">SUMPRODUCT(TRANSPOSE(BJ$4:BJ$9),$K24:$P24)</f>
        <v>40</v>
      </c>
      <c r="BK24">
        <f t="array" ref="BK24">SUMPRODUCT(TRANSPOSE(BK$4:BK$9),$K24:$P24)</f>
        <v>120</v>
      </c>
      <c r="BL24">
        <f t="array" ref="BL24">SUMPRODUCT(TRANSPOSE(BL$4:BL$9),$K24:$P24)</f>
        <v>0</v>
      </c>
      <c r="BM24">
        <f t="array" ref="BM24">SUMPRODUCT(TRANSPOSE(BM$4:BM$9),$K24:$P24)</f>
        <v>0</v>
      </c>
      <c r="BN24">
        <f t="array" ref="BN24">SUMPRODUCT(TRANSPOSE(BN$4:BN$9),$K24:$P24)</f>
        <v>0</v>
      </c>
      <c r="BS24" t="s">
        <v>116</v>
      </c>
      <c r="BW24" t="s">
        <v>116</v>
      </c>
      <c r="CA24" t="s">
        <v>92</v>
      </c>
      <c r="CB24" t="s">
        <v>117</v>
      </c>
      <c r="CC24" t="s">
        <v>184</v>
      </c>
      <c r="CD24" t="s">
        <v>117</v>
      </c>
      <c r="CE24" t="s">
        <v>85</v>
      </c>
      <c r="CF24">
        <v>1</v>
      </c>
      <c r="CG24">
        <v>440</v>
      </c>
      <c r="CH24">
        <v>3036</v>
      </c>
      <c r="CI24" t="s">
        <v>118</v>
      </c>
      <c r="CJ24" s="1">
        <v>45964</v>
      </c>
      <c r="CK24" t="s">
        <v>95</v>
      </c>
      <c r="CL24" t="s">
        <v>119</v>
      </c>
      <c r="CN24" t="s">
        <v>96</v>
      </c>
    </row>
    <row r="25" spans="1:98">
      <c r="A25">
        <v>30</v>
      </c>
      <c r="B25" t="s">
        <v>186</v>
      </c>
      <c r="C25" t="s">
        <v>187</v>
      </c>
      <c r="D25" t="s">
        <v>113</v>
      </c>
      <c r="F25">
        <v>408311110</v>
      </c>
      <c r="G25" t="s">
        <v>188</v>
      </c>
      <c r="H25" t="s">
        <v>75</v>
      </c>
      <c r="I25">
        <v>1</v>
      </c>
      <c r="J25">
        <v>1</v>
      </c>
      <c r="K25">
        <v>0</v>
      </c>
      <c r="L25">
        <v>1</v>
      </c>
      <c r="M25">
        <v>0</v>
      </c>
      <c r="N25">
        <v>1</v>
      </c>
      <c r="O25">
        <v>0</v>
      </c>
      <c r="P25">
        <v>0</v>
      </c>
      <c r="Q25">
        <v>2</v>
      </c>
      <c r="R25">
        <v>220</v>
      </c>
      <c r="S25">
        <v>1</v>
      </c>
      <c r="T25">
        <v>220</v>
      </c>
      <c r="U25" t="s">
        <v>189</v>
      </c>
      <c r="W25">
        <v>118</v>
      </c>
      <c r="X25">
        <v>25960</v>
      </c>
      <c r="Y25" t="s">
        <v>85</v>
      </c>
      <c r="Z25" t="s">
        <v>189</v>
      </c>
      <c r="AA25" t="s">
        <v>190</v>
      </c>
      <c r="AB25" t="s">
        <v>191</v>
      </c>
      <c r="AG25">
        <v>118</v>
      </c>
      <c r="AH25">
        <v>25960</v>
      </c>
      <c r="AI25">
        <v>220</v>
      </c>
      <c r="AJ25">
        <v>220</v>
      </c>
      <c r="AK25">
        <v>0</v>
      </c>
      <c r="AL25">
        <v>0</v>
      </c>
      <c r="AM25">
        <v>220</v>
      </c>
      <c r="AZ25">
        <f>SUM($AM25,$AN25:AO25)-SUM($BH25:BJ25)</f>
        <v>200</v>
      </c>
      <c r="BA25">
        <f>SUM($AM25,$AN25:AP25)-SUM($BH25:BK25)</f>
        <v>140</v>
      </c>
      <c r="BB25">
        <f>SUM($AM25,$AN25:AQ25)-SUM($BH25:BL25)</f>
        <v>140</v>
      </c>
      <c r="BC25">
        <f>SUM($AM25,$AN25:AR25)-SUM($BH25:BM25)</f>
        <v>140</v>
      </c>
      <c r="BD25">
        <f>SUM($AM25,$AN25:AS25)-SUM($BH25:BN25)</f>
        <v>140</v>
      </c>
      <c r="BI25">
        <f t="array" ref="BI25">SUMPRODUCT(TRANSPOSE(BI$4:BI$9),$K25:$P25)</f>
        <v>0</v>
      </c>
      <c r="BJ25">
        <f t="array" ref="BJ25">SUMPRODUCT(TRANSPOSE(BJ$4:BJ$9),$K25:$P25)</f>
        <v>20</v>
      </c>
      <c r="BK25">
        <f t="array" ref="BK25">SUMPRODUCT(TRANSPOSE(BK$4:BK$9),$K25:$P25)</f>
        <v>60</v>
      </c>
      <c r="BL25">
        <f t="array" ref="BL25">SUMPRODUCT(TRANSPOSE(BL$4:BL$9),$K25:$P25)</f>
        <v>0</v>
      </c>
      <c r="BM25">
        <f t="array" ref="BM25">SUMPRODUCT(TRANSPOSE(BM$4:BM$9),$K25:$P25)</f>
        <v>0</v>
      </c>
      <c r="BN25">
        <f t="array" ref="BN25">SUMPRODUCT(TRANSPOSE(BN$4:BN$9),$K25:$P25)</f>
        <v>0</v>
      </c>
      <c r="BS25" t="s">
        <v>192</v>
      </c>
      <c r="BT25" t="s">
        <v>192</v>
      </c>
      <c r="BW25" t="s">
        <v>192</v>
      </c>
      <c r="CA25" t="s">
        <v>92</v>
      </c>
      <c r="CB25" t="s">
        <v>189</v>
      </c>
      <c r="CC25" t="s">
        <v>187</v>
      </c>
      <c r="CD25" t="s">
        <v>150</v>
      </c>
      <c r="CE25" t="s">
        <v>85</v>
      </c>
      <c r="CF25">
        <v>1</v>
      </c>
      <c r="CG25">
        <v>220</v>
      </c>
      <c r="CH25">
        <v>25960</v>
      </c>
      <c r="CI25" t="s">
        <v>193</v>
      </c>
      <c r="CJ25" s="1">
        <v>45964</v>
      </c>
      <c r="CL25" t="s">
        <v>119</v>
      </c>
      <c r="CN25" t="s">
        <v>96</v>
      </c>
      <c r="CO25" s="1">
        <v>46042</v>
      </c>
      <c r="CP25" s="1">
        <v>46052</v>
      </c>
      <c r="CS25" t="s">
        <v>192</v>
      </c>
    </row>
    <row r="26" spans="1:98">
      <c r="A26">
        <v>31</v>
      </c>
      <c r="B26" t="s">
        <v>194</v>
      </c>
      <c r="C26" t="s">
        <v>195</v>
      </c>
      <c r="D26" t="s">
        <v>100</v>
      </c>
      <c r="F26">
        <v>408311109</v>
      </c>
      <c r="G26" t="s">
        <v>196</v>
      </c>
      <c r="H26" t="s">
        <v>75</v>
      </c>
      <c r="I26">
        <v>1</v>
      </c>
      <c r="J26">
        <v>1</v>
      </c>
      <c r="K26">
        <v>0</v>
      </c>
      <c r="L26">
        <v>1</v>
      </c>
      <c r="M26">
        <v>0</v>
      </c>
      <c r="N26">
        <v>1</v>
      </c>
      <c r="O26">
        <v>0</v>
      </c>
      <c r="P26">
        <v>0</v>
      </c>
      <c r="Q26">
        <v>2</v>
      </c>
      <c r="R26">
        <v>220</v>
      </c>
      <c r="S26">
        <v>1</v>
      </c>
      <c r="T26">
        <v>220</v>
      </c>
      <c r="U26" t="s">
        <v>197</v>
      </c>
      <c r="W26">
        <v>709</v>
      </c>
      <c r="X26">
        <v>155980</v>
      </c>
      <c r="Y26" t="s">
        <v>85</v>
      </c>
      <c r="Z26" t="s">
        <v>197</v>
      </c>
      <c r="AA26" t="s">
        <v>198</v>
      </c>
      <c r="AB26" t="s">
        <v>199</v>
      </c>
      <c r="AG26">
        <v>709</v>
      </c>
      <c r="AH26">
        <v>155980</v>
      </c>
      <c r="AI26">
        <v>220</v>
      </c>
      <c r="AJ26">
        <v>220</v>
      </c>
      <c r="AK26">
        <v>0</v>
      </c>
      <c r="AL26">
        <v>220</v>
      </c>
      <c r="AM26">
        <v>0</v>
      </c>
      <c r="AZ26">
        <f>SUM($AM26,$AN26:AO26)-SUM($BH26:BJ26)</f>
        <v>-20</v>
      </c>
      <c r="BA26">
        <f>SUM($AM26,$AN26:AP26)-SUM($BH26:BK26)</f>
        <v>-80</v>
      </c>
      <c r="BB26">
        <f>SUM($AM26,$AN26:AQ26)-SUM($BH26:BL26)</f>
        <v>-80</v>
      </c>
      <c r="BC26">
        <f>SUM($AM26,$AN26:AR26)-SUM($BH26:BM26)</f>
        <v>-80</v>
      </c>
      <c r="BD26">
        <f>SUM($AM26,$AN26:AS26)-SUM($BH26:BN26)</f>
        <v>-80</v>
      </c>
      <c r="BI26">
        <f t="array" ref="BI26">SUMPRODUCT(TRANSPOSE(BI$4:BI$9),$K26:$P26)</f>
        <v>0</v>
      </c>
      <c r="BJ26">
        <f t="array" ref="BJ26">SUMPRODUCT(TRANSPOSE(BJ$4:BJ$9),$K26:$P26)</f>
        <v>20</v>
      </c>
      <c r="BK26">
        <f t="array" ref="BK26">SUMPRODUCT(TRANSPOSE(BK$4:BK$9),$K26:$P26)</f>
        <v>60</v>
      </c>
      <c r="BL26">
        <f t="array" ref="BL26">SUMPRODUCT(TRANSPOSE(BL$4:BL$9),$K26:$P26)</f>
        <v>0</v>
      </c>
      <c r="BM26">
        <f t="array" ref="BM26">SUMPRODUCT(TRANSPOSE(BM$4:BM$9),$K26:$P26)</f>
        <v>0</v>
      </c>
      <c r="BN26">
        <f t="array" ref="BN26">SUMPRODUCT(TRANSPOSE(BN$4:BN$9),$K26:$P26)</f>
        <v>0</v>
      </c>
      <c r="BT26" t="s">
        <v>192</v>
      </c>
      <c r="BX26" t="s">
        <v>200</v>
      </c>
      <c r="CA26" t="s">
        <v>177</v>
      </c>
      <c r="CB26" t="s">
        <v>126</v>
      </c>
      <c r="CC26" t="s">
        <v>195</v>
      </c>
      <c r="CD26" t="s">
        <v>150</v>
      </c>
      <c r="CE26" t="s">
        <v>85</v>
      </c>
      <c r="CF26">
        <v>1</v>
      </c>
      <c r="CG26">
        <v>220</v>
      </c>
      <c r="CH26">
        <v>92620</v>
      </c>
      <c r="CI26" t="s">
        <v>127</v>
      </c>
      <c r="CJ26" s="1">
        <v>46028</v>
      </c>
      <c r="CM26" s="1">
        <v>46259</v>
      </c>
      <c r="CN26" s="1">
        <v>46269</v>
      </c>
      <c r="CS26" t="s">
        <v>192</v>
      </c>
    </row>
    <row r="27" spans="1:98">
      <c r="A27">
        <v>32</v>
      </c>
      <c r="B27" t="s">
        <v>201</v>
      </c>
      <c r="C27" t="s">
        <v>202</v>
      </c>
      <c r="D27" t="s">
        <v>100</v>
      </c>
      <c r="F27">
        <v>408311108</v>
      </c>
      <c r="G27" t="s">
        <v>203</v>
      </c>
      <c r="H27" t="s">
        <v>75</v>
      </c>
      <c r="I27">
        <v>1</v>
      </c>
      <c r="J27">
        <v>12</v>
      </c>
      <c r="K27">
        <v>0</v>
      </c>
      <c r="L27">
        <v>12</v>
      </c>
      <c r="M27">
        <v>0</v>
      </c>
      <c r="N27">
        <v>12</v>
      </c>
      <c r="O27">
        <v>0</v>
      </c>
      <c r="P27">
        <v>0</v>
      </c>
      <c r="Q27">
        <v>24</v>
      </c>
      <c r="R27">
        <v>2640</v>
      </c>
      <c r="S27">
        <v>1</v>
      </c>
      <c r="T27">
        <v>2640</v>
      </c>
      <c r="U27" t="s">
        <v>204</v>
      </c>
      <c r="W27">
        <v>6.5</v>
      </c>
      <c r="X27">
        <v>17160</v>
      </c>
      <c r="Y27" t="s">
        <v>85</v>
      </c>
      <c r="Z27" t="s">
        <v>204</v>
      </c>
      <c r="AA27" t="s">
        <v>205</v>
      </c>
      <c r="AB27" t="s">
        <v>206</v>
      </c>
      <c r="AC27" t="s">
        <v>207</v>
      </c>
      <c r="AG27">
        <v>7.6</v>
      </c>
      <c r="AH27">
        <v>20064</v>
      </c>
      <c r="AI27">
        <v>2640</v>
      </c>
      <c r="AJ27">
        <v>2640</v>
      </c>
      <c r="AK27">
        <v>0</v>
      </c>
      <c r="AL27">
        <v>0</v>
      </c>
      <c r="AM27">
        <v>2640</v>
      </c>
      <c r="AZ27">
        <f>SUM($AM27,$AN27:AO27)-SUM($BH27:BJ27)</f>
        <v>2400</v>
      </c>
      <c r="BA27">
        <f>SUM($AM27,$AN27:AP27)-SUM($BH27:BK27)</f>
        <v>1680</v>
      </c>
      <c r="BB27">
        <f>SUM($AM27,$AN27:AQ27)-SUM($BH27:BL27)</f>
        <v>1680</v>
      </c>
      <c r="BC27">
        <f>SUM($AM27,$AN27:AR27)-SUM($BH27:BM27)</f>
        <v>1680</v>
      </c>
      <c r="BD27">
        <f>SUM($AM27,$AN27:AS27)-SUM($BH27:BN27)</f>
        <v>1680</v>
      </c>
      <c r="BI27">
        <f t="array" ref="BI27">SUMPRODUCT(TRANSPOSE(BI$4:BI$9),$K27:$P27)</f>
        <v>0</v>
      </c>
      <c r="BJ27">
        <f t="array" ref="BJ27">SUMPRODUCT(TRANSPOSE(BJ$4:BJ$9),$K27:$P27)</f>
        <v>240</v>
      </c>
      <c r="BK27">
        <f t="array" ref="BK27">SUMPRODUCT(TRANSPOSE(BK$4:BK$9),$K27:$P27)</f>
        <v>720</v>
      </c>
      <c r="BL27">
        <f t="array" ref="BL27">SUMPRODUCT(TRANSPOSE(BL$4:BL$9),$K27:$P27)</f>
        <v>0</v>
      </c>
      <c r="BM27">
        <f t="array" ref="BM27">SUMPRODUCT(TRANSPOSE(BM$4:BM$9),$K27:$P27)</f>
        <v>0</v>
      </c>
      <c r="BN27">
        <f t="array" ref="BN27">SUMPRODUCT(TRANSPOSE(BN$4:BN$9),$K27:$P27)</f>
        <v>0</v>
      </c>
      <c r="CA27" t="s">
        <v>177</v>
      </c>
      <c r="CB27" t="s">
        <v>208</v>
      </c>
      <c r="CC27" t="s">
        <v>202</v>
      </c>
      <c r="CD27" t="s">
        <v>150</v>
      </c>
      <c r="CE27" t="s">
        <v>85</v>
      </c>
      <c r="CF27">
        <v>1</v>
      </c>
      <c r="CG27">
        <v>2640</v>
      </c>
      <c r="CH27">
        <v>17160</v>
      </c>
      <c r="CI27" t="s">
        <v>209</v>
      </c>
      <c r="CJ27" s="1">
        <v>45964</v>
      </c>
      <c r="CL27" t="s">
        <v>119</v>
      </c>
      <c r="CN27" t="s">
        <v>96</v>
      </c>
    </row>
    <row r="28" spans="1:98">
      <c r="A28">
        <v>33</v>
      </c>
      <c r="B28" t="s">
        <v>210</v>
      </c>
      <c r="C28" t="s">
        <v>211</v>
      </c>
      <c r="D28" t="s">
        <v>100</v>
      </c>
      <c r="F28">
        <v>408311107</v>
      </c>
      <c r="G28" t="s">
        <v>212</v>
      </c>
      <c r="H28" t="s">
        <v>75</v>
      </c>
      <c r="I28">
        <v>1</v>
      </c>
      <c r="J28">
        <v>2</v>
      </c>
      <c r="K28">
        <v>1</v>
      </c>
      <c r="L28">
        <v>0</v>
      </c>
      <c r="M28">
        <v>0</v>
      </c>
      <c r="N28">
        <v>2</v>
      </c>
      <c r="O28">
        <v>0</v>
      </c>
      <c r="P28">
        <v>0</v>
      </c>
      <c r="Q28">
        <v>3</v>
      </c>
      <c r="R28">
        <v>360</v>
      </c>
      <c r="S28">
        <v>1</v>
      </c>
      <c r="T28">
        <v>360</v>
      </c>
      <c r="U28">
        <v>0</v>
      </c>
      <c r="X28">
        <v>0</v>
      </c>
      <c r="AG28">
        <v>0</v>
      </c>
      <c r="AH28">
        <v>0</v>
      </c>
      <c r="AI28">
        <v>360</v>
      </c>
      <c r="AJ28">
        <v>440</v>
      </c>
      <c r="AK28">
        <v>0</v>
      </c>
      <c r="AL28">
        <v>200</v>
      </c>
      <c r="AM28">
        <v>160</v>
      </c>
      <c r="AZ28">
        <f>SUM($AM28,$AN28:AO28)-SUM($BH28:BJ28)</f>
        <v>120</v>
      </c>
      <c r="BA28">
        <f>SUM($AM28,$AN28:AP28)-SUM($BH28:BK28)</f>
        <v>0</v>
      </c>
      <c r="BB28">
        <f>SUM($AM28,$AN28:AQ28)-SUM($BH28:BL28)</f>
        <v>0</v>
      </c>
      <c r="BC28">
        <f>SUM($AM28,$AN28:AR28)-SUM($BH28:BM28)</f>
        <v>0</v>
      </c>
      <c r="BD28">
        <f>SUM($AM28,$AN28:AS28)-SUM($BH28:BN28)</f>
        <v>0</v>
      </c>
      <c r="BI28">
        <f t="array" ref="BI28">SUMPRODUCT(TRANSPOSE(BI$4:BI$9),$K28:$P28)</f>
        <v>0</v>
      </c>
      <c r="BJ28">
        <f t="array" ref="BJ28">SUMPRODUCT(TRANSPOSE(BJ$4:BJ$9),$K28:$P28)</f>
        <v>40</v>
      </c>
      <c r="BK28">
        <f t="array" ref="BK28">SUMPRODUCT(TRANSPOSE(BK$4:BK$9),$K28:$P28)</f>
        <v>120</v>
      </c>
      <c r="BL28">
        <f t="array" ref="BL28">SUMPRODUCT(TRANSPOSE(BL$4:BL$9),$K28:$P28)</f>
        <v>0</v>
      </c>
      <c r="BM28">
        <f t="array" ref="BM28">SUMPRODUCT(TRANSPOSE(BM$4:BM$9),$K28:$P28)</f>
        <v>0</v>
      </c>
      <c r="BN28">
        <f t="array" ref="BN28">SUMPRODUCT(TRANSPOSE(BN$4:BN$9),$K28:$P28)</f>
        <v>0</v>
      </c>
      <c r="BS28" t="s">
        <v>116</v>
      </c>
      <c r="BW28" t="s">
        <v>116</v>
      </c>
      <c r="CA28" t="s">
        <v>177</v>
      </c>
      <c r="CB28" t="s">
        <v>126</v>
      </c>
      <c r="CC28" t="s">
        <v>211</v>
      </c>
      <c r="CD28" t="s">
        <v>126</v>
      </c>
      <c r="CE28" t="s">
        <v>85</v>
      </c>
      <c r="CF28">
        <v>1</v>
      </c>
      <c r="CG28">
        <v>440</v>
      </c>
      <c r="CH28">
        <v>21560</v>
      </c>
      <c r="CI28" t="s">
        <v>127</v>
      </c>
      <c r="CJ28" s="1">
        <v>46028</v>
      </c>
      <c r="CN28" t="s">
        <v>96</v>
      </c>
    </row>
    <row r="29" spans="1:98">
      <c r="A29">
        <v>34</v>
      </c>
      <c r="B29" t="s">
        <v>213</v>
      </c>
      <c r="C29" t="s">
        <v>214</v>
      </c>
      <c r="D29" t="s">
        <v>100</v>
      </c>
      <c r="F29">
        <v>408311111</v>
      </c>
      <c r="G29" t="s">
        <v>215</v>
      </c>
      <c r="H29" t="s">
        <v>75</v>
      </c>
      <c r="I29">
        <v>1</v>
      </c>
      <c r="J29">
        <v>1</v>
      </c>
      <c r="K29">
        <v>0</v>
      </c>
      <c r="L29">
        <v>1</v>
      </c>
      <c r="M29">
        <v>0</v>
      </c>
      <c r="N29">
        <v>1</v>
      </c>
      <c r="O29">
        <v>0</v>
      </c>
      <c r="P29">
        <v>0</v>
      </c>
      <c r="Q29">
        <v>2</v>
      </c>
      <c r="R29">
        <v>220</v>
      </c>
      <c r="S29">
        <v>1</v>
      </c>
      <c r="T29">
        <v>220</v>
      </c>
      <c r="U29">
        <v>0</v>
      </c>
      <c r="X29">
        <v>0</v>
      </c>
      <c r="AG29">
        <v>0</v>
      </c>
      <c r="AH29">
        <v>0</v>
      </c>
      <c r="AI29">
        <v>220</v>
      </c>
      <c r="AJ29">
        <v>220</v>
      </c>
      <c r="AK29">
        <v>0</v>
      </c>
      <c r="AL29">
        <v>140</v>
      </c>
      <c r="AM29">
        <v>80</v>
      </c>
      <c r="AZ29">
        <f>SUM($AM29,$AN29:AO29)-SUM($BH29:BJ29)</f>
        <v>60</v>
      </c>
      <c r="BA29">
        <f>SUM($AM29,$AN29:AP29)-SUM($BH29:BK29)</f>
        <v>0</v>
      </c>
      <c r="BB29">
        <f>SUM($AM29,$AN29:AQ29)-SUM($BH29:BL29)</f>
        <v>0</v>
      </c>
      <c r="BC29">
        <f>SUM($AM29,$AN29:AR29)-SUM($BH29:BM29)</f>
        <v>0</v>
      </c>
      <c r="BD29">
        <f>SUM($AM29,$AN29:AS29)-SUM($BH29:BN29)</f>
        <v>0</v>
      </c>
      <c r="BI29">
        <f t="array" ref="BI29">SUMPRODUCT(TRANSPOSE(BI$4:BI$9),$K29:$P29)</f>
        <v>0</v>
      </c>
      <c r="BJ29">
        <f t="array" ref="BJ29">SUMPRODUCT(TRANSPOSE(BJ$4:BJ$9),$K29:$P29)</f>
        <v>20</v>
      </c>
      <c r="BK29">
        <f t="array" ref="BK29">SUMPRODUCT(TRANSPOSE(BK$4:BK$9),$K29:$P29)</f>
        <v>60</v>
      </c>
      <c r="BL29">
        <f t="array" ref="BL29">SUMPRODUCT(TRANSPOSE(BL$4:BL$9),$K29:$P29)</f>
        <v>0</v>
      </c>
      <c r="BM29">
        <f t="array" ref="BM29">SUMPRODUCT(TRANSPOSE(BM$4:BM$9),$K29:$P29)</f>
        <v>0</v>
      </c>
      <c r="BN29">
        <f t="array" ref="BN29">SUMPRODUCT(TRANSPOSE(BN$4:BN$9),$K29:$P29)</f>
        <v>0</v>
      </c>
      <c r="BS29" t="s">
        <v>116</v>
      </c>
      <c r="BW29" t="s">
        <v>116</v>
      </c>
      <c r="CA29" t="s">
        <v>92</v>
      </c>
      <c r="CB29" t="s">
        <v>126</v>
      </c>
      <c r="CC29" t="s">
        <v>214</v>
      </c>
      <c r="CD29" t="s">
        <v>126</v>
      </c>
      <c r="CE29" t="s">
        <v>85</v>
      </c>
      <c r="CF29">
        <v>1</v>
      </c>
      <c r="CG29">
        <v>220</v>
      </c>
      <c r="CH29">
        <v>15400</v>
      </c>
      <c r="CI29" t="s">
        <v>127</v>
      </c>
      <c r="CJ29" s="1">
        <v>46028</v>
      </c>
      <c r="CN29" t="s">
        <v>96</v>
      </c>
    </row>
    <row r="30" spans="1:98">
      <c r="A30">
        <v>35</v>
      </c>
      <c r="B30" t="s">
        <v>216</v>
      </c>
      <c r="C30" t="s">
        <v>9</v>
      </c>
      <c r="D30" t="s">
        <v>122</v>
      </c>
      <c r="F30">
        <v>407199654</v>
      </c>
      <c r="G30" t="s">
        <v>14</v>
      </c>
      <c r="H30" t="s">
        <v>75</v>
      </c>
      <c r="I30">
        <v>1</v>
      </c>
      <c r="J30">
        <v>1</v>
      </c>
      <c r="K30">
        <v>0</v>
      </c>
      <c r="L30">
        <v>1</v>
      </c>
      <c r="M30">
        <v>0</v>
      </c>
      <c r="N30">
        <v>1</v>
      </c>
      <c r="O30">
        <v>0</v>
      </c>
      <c r="P30">
        <v>0</v>
      </c>
      <c r="Q30">
        <v>2</v>
      </c>
      <c r="R30">
        <v>220</v>
      </c>
      <c r="S30">
        <v>1</v>
      </c>
      <c r="T30">
        <v>220</v>
      </c>
      <c r="U30" t="s">
        <v>76</v>
      </c>
      <c r="V30" t="s">
        <v>77</v>
      </c>
      <c r="W30">
        <v>0</v>
      </c>
      <c r="X30" t="s">
        <v>76</v>
      </c>
      <c r="AG30">
        <v>0</v>
      </c>
      <c r="AH30">
        <v>0</v>
      </c>
      <c r="AI30">
        <v>220</v>
      </c>
      <c r="AJ30">
        <v>0</v>
      </c>
      <c r="AK30">
        <v>220</v>
      </c>
      <c r="AL30">
        <v>220</v>
      </c>
      <c r="AM30">
        <v>0</v>
      </c>
      <c r="AZ30">
        <f>SUM($AM30,$AN30:AO30)-SUM($BH30:BJ30)</f>
        <v>-20</v>
      </c>
      <c r="BA30">
        <f>SUM($AM30,$AN30:AP30)-SUM($BH30:BK30)</f>
        <v>-80</v>
      </c>
      <c r="BB30">
        <f>SUM($AM30,$AN30:AQ30)-SUM($BH30:BL30)</f>
        <v>-80</v>
      </c>
      <c r="BC30">
        <f>SUM($AM30,$AN30:AR30)-SUM($BH30:BM30)</f>
        <v>-80</v>
      </c>
      <c r="BD30">
        <f>SUM($AM30,$AN30:AS30)-SUM($BH30:BN30)</f>
        <v>-80</v>
      </c>
      <c r="BI30">
        <f t="array" ref="BI30">SUMPRODUCT(TRANSPOSE(BI$4:BI$9),$K30:$P30)</f>
        <v>0</v>
      </c>
      <c r="BJ30">
        <f t="array" ref="BJ30">SUMPRODUCT(TRANSPOSE(BJ$4:BJ$9),$K30:$P30)</f>
        <v>20</v>
      </c>
      <c r="BK30">
        <f t="array" ref="BK30">SUMPRODUCT(TRANSPOSE(BK$4:BK$9),$K30:$P30)</f>
        <v>60</v>
      </c>
      <c r="BL30">
        <f t="array" ref="BL30">SUMPRODUCT(TRANSPOSE(BL$4:BL$9),$K30:$P30)</f>
        <v>0</v>
      </c>
      <c r="BM30">
        <f t="array" ref="BM30">SUMPRODUCT(TRANSPOSE(BM$4:BM$9),$K30:$P30)</f>
        <v>0</v>
      </c>
      <c r="BN30">
        <f t="array" ref="BN30">SUMPRODUCT(TRANSPOSE(BN$4:BN$9),$K30:$P30)</f>
        <v>0</v>
      </c>
      <c r="CA30" t="s">
        <v>78</v>
      </c>
      <c r="CH30">
        <v>0</v>
      </c>
    </row>
    <row r="31" spans="1:98">
      <c r="A31">
        <v>36</v>
      </c>
      <c r="B31" t="s">
        <v>217</v>
      </c>
      <c r="C31" t="s">
        <v>218</v>
      </c>
      <c r="D31" t="s">
        <v>113</v>
      </c>
      <c r="F31">
        <v>411267409</v>
      </c>
      <c r="G31" t="s">
        <v>219</v>
      </c>
      <c r="H31" t="s">
        <v>75</v>
      </c>
      <c r="I31">
        <v>1</v>
      </c>
      <c r="J31">
        <v>1</v>
      </c>
      <c r="K31">
        <v>0</v>
      </c>
      <c r="L31">
        <v>1</v>
      </c>
      <c r="M31">
        <v>0</v>
      </c>
      <c r="N31">
        <v>1</v>
      </c>
      <c r="O31">
        <v>0</v>
      </c>
      <c r="P31">
        <v>0</v>
      </c>
      <c r="Q31">
        <v>2</v>
      </c>
      <c r="R31">
        <v>220</v>
      </c>
      <c r="S31">
        <v>1</v>
      </c>
      <c r="T31">
        <v>220</v>
      </c>
      <c r="U31" t="s">
        <v>131</v>
      </c>
      <c r="W31">
        <v>14.5</v>
      </c>
      <c r="X31">
        <v>3190</v>
      </c>
      <c r="Y31" t="s">
        <v>85</v>
      </c>
      <c r="Z31" t="s">
        <v>131</v>
      </c>
      <c r="AA31" t="s">
        <v>132</v>
      </c>
      <c r="AB31" t="s">
        <v>133</v>
      </c>
      <c r="AC31" t="s">
        <v>134</v>
      </c>
      <c r="AG31">
        <v>14.5</v>
      </c>
      <c r="AH31">
        <v>3190</v>
      </c>
      <c r="AI31">
        <v>220</v>
      </c>
      <c r="AJ31">
        <v>220</v>
      </c>
      <c r="AK31">
        <v>0</v>
      </c>
      <c r="AL31">
        <v>140</v>
      </c>
      <c r="AM31">
        <v>80</v>
      </c>
      <c r="AZ31">
        <f>SUM($AM31,$AN31:AO31)-SUM($BH31:BJ31)</f>
        <v>60</v>
      </c>
      <c r="BA31">
        <f>SUM($AM31,$AN31:AP31)-SUM($BH31:BK31)</f>
        <v>0</v>
      </c>
      <c r="BB31">
        <f>SUM($AM31,$AN31:AQ31)-SUM($BH31:BL31)</f>
        <v>0</v>
      </c>
      <c r="BC31">
        <f>SUM($AM31,$AN31:AR31)-SUM($BH31:BM31)</f>
        <v>0</v>
      </c>
      <c r="BD31">
        <f>SUM($AM31,$AN31:AS31)-SUM($BH31:BN31)</f>
        <v>0</v>
      </c>
      <c r="BI31">
        <f t="array" ref="BI31">SUMPRODUCT(TRANSPOSE(BI$4:BI$9),$K31:$P31)</f>
        <v>0</v>
      </c>
      <c r="BJ31">
        <f t="array" ref="BJ31">SUMPRODUCT(TRANSPOSE(BJ$4:BJ$9),$K31:$P31)</f>
        <v>20</v>
      </c>
      <c r="BK31">
        <f t="array" ref="BK31">SUMPRODUCT(TRANSPOSE(BK$4:BK$9),$K31:$P31)</f>
        <v>60</v>
      </c>
      <c r="BL31">
        <f t="array" ref="BL31">SUMPRODUCT(TRANSPOSE(BL$4:BL$9),$K31:$P31)</f>
        <v>0</v>
      </c>
      <c r="BM31">
        <f t="array" ref="BM31">SUMPRODUCT(TRANSPOSE(BM$4:BM$9),$K31:$P31)</f>
        <v>0</v>
      </c>
      <c r="BN31">
        <f t="array" ref="BN31">SUMPRODUCT(TRANSPOSE(BN$4:BN$9),$K31:$P31)</f>
        <v>0</v>
      </c>
      <c r="BS31" t="s">
        <v>220</v>
      </c>
      <c r="CA31" t="s">
        <v>92</v>
      </c>
      <c r="CB31" t="s">
        <v>131</v>
      </c>
      <c r="CC31" t="s">
        <v>218</v>
      </c>
      <c r="CD31" t="s">
        <v>131</v>
      </c>
      <c r="CE31" t="s">
        <v>85</v>
      </c>
      <c r="CF31">
        <v>1</v>
      </c>
      <c r="CG31">
        <v>220</v>
      </c>
      <c r="CH31">
        <v>3190</v>
      </c>
      <c r="CI31" t="s">
        <v>137</v>
      </c>
      <c r="CJ31" s="1">
        <v>45961</v>
      </c>
      <c r="CK31" t="s">
        <v>95</v>
      </c>
      <c r="CN31" t="s">
        <v>108</v>
      </c>
    </row>
    <row r="32" spans="1:98">
      <c r="A32">
        <v>37</v>
      </c>
      <c r="B32" t="s">
        <v>221</v>
      </c>
      <c r="C32" t="s">
        <v>222</v>
      </c>
      <c r="D32" t="s">
        <v>100</v>
      </c>
      <c r="F32">
        <v>408203683</v>
      </c>
      <c r="G32" t="s">
        <v>223</v>
      </c>
      <c r="H32" t="s">
        <v>75</v>
      </c>
      <c r="I32">
        <v>1</v>
      </c>
      <c r="J32">
        <v>1</v>
      </c>
      <c r="K32">
        <v>0</v>
      </c>
      <c r="L32">
        <v>0</v>
      </c>
      <c r="M32">
        <v>0</v>
      </c>
      <c r="N32">
        <v>0</v>
      </c>
      <c r="O32">
        <v>1</v>
      </c>
      <c r="P32">
        <v>0</v>
      </c>
      <c r="Q32">
        <v>1</v>
      </c>
      <c r="R32">
        <v>220</v>
      </c>
      <c r="S32">
        <v>1</v>
      </c>
      <c r="T32">
        <v>220</v>
      </c>
      <c r="U32">
        <v>0</v>
      </c>
      <c r="X32">
        <v>0</v>
      </c>
      <c r="AG32">
        <v>0</v>
      </c>
      <c r="AH32">
        <v>0</v>
      </c>
      <c r="AI32">
        <v>220</v>
      </c>
      <c r="AJ32">
        <v>125</v>
      </c>
      <c r="AK32">
        <v>95</v>
      </c>
      <c r="AL32">
        <v>140</v>
      </c>
      <c r="AM32">
        <v>80</v>
      </c>
      <c r="AZ32">
        <f>SUM($AM32,$AN32:AO32)-SUM($BH32:BJ32)</f>
        <v>60</v>
      </c>
      <c r="BA32">
        <f>SUM($AM32,$AN32:AP32)-SUM($BH32:BK32)</f>
        <v>0</v>
      </c>
      <c r="BB32">
        <f>SUM($AM32,$AN32:AQ32)-SUM($BH32:BL32)</f>
        <v>0</v>
      </c>
      <c r="BC32">
        <f>SUM($AM32,$AN32:AR32)-SUM($BH32:BM32)</f>
        <v>0</v>
      </c>
      <c r="BD32">
        <f>SUM($AM32,$AN32:AS32)-SUM($BH32:BN32)</f>
        <v>0</v>
      </c>
      <c r="BI32">
        <f t="array" ref="BI32">SUMPRODUCT(TRANSPOSE(BI$4:BI$9),$K32:$P32)</f>
        <v>0</v>
      </c>
      <c r="BJ32">
        <f t="array" ref="BJ32">SUMPRODUCT(TRANSPOSE(BJ$4:BJ$9),$K32:$P32)</f>
        <v>20</v>
      </c>
      <c r="BK32">
        <f t="array" ref="BK32">SUMPRODUCT(TRANSPOSE(BK$4:BK$9),$K32:$P32)</f>
        <v>60</v>
      </c>
      <c r="BL32">
        <f t="array" ref="BL32">SUMPRODUCT(TRANSPOSE(BL$4:BL$9),$K32:$P32)</f>
        <v>0</v>
      </c>
      <c r="BM32">
        <f t="array" ref="BM32">SUMPRODUCT(TRANSPOSE(BM$4:BM$9),$K32:$P32)</f>
        <v>0</v>
      </c>
      <c r="BN32">
        <f t="array" ref="BN32">SUMPRODUCT(TRANSPOSE(BN$4:BN$9),$K32:$P32)</f>
        <v>0</v>
      </c>
      <c r="BS32" t="s">
        <v>116</v>
      </c>
      <c r="BW32" t="s">
        <v>116</v>
      </c>
      <c r="BX32" t="s">
        <v>224</v>
      </c>
      <c r="BY32" t="s">
        <v>225</v>
      </c>
      <c r="CA32" t="s">
        <v>226</v>
      </c>
      <c r="CB32" t="s">
        <v>227</v>
      </c>
      <c r="CC32" t="s">
        <v>222</v>
      </c>
      <c r="CD32" t="s">
        <v>228</v>
      </c>
      <c r="CE32" t="s">
        <v>85</v>
      </c>
      <c r="CF32">
        <v>1</v>
      </c>
      <c r="CG32">
        <v>125</v>
      </c>
      <c r="CH32">
        <v>78375</v>
      </c>
      <c r="CI32" t="s">
        <v>229</v>
      </c>
      <c r="CJ32" s="1">
        <v>46065</v>
      </c>
      <c r="CK32" t="s">
        <v>119</v>
      </c>
      <c r="CN32" t="s">
        <v>108</v>
      </c>
    </row>
    <row r="33" spans="1:99">
      <c r="A33">
        <v>38</v>
      </c>
      <c r="B33" t="s">
        <v>230</v>
      </c>
      <c r="C33" t="s">
        <v>231</v>
      </c>
      <c r="D33" t="s">
        <v>113</v>
      </c>
      <c r="F33">
        <v>411272323</v>
      </c>
      <c r="G33" t="s">
        <v>219</v>
      </c>
      <c r="H33" t="s">
        <v>75</v>
      </c>
      <c r="I33">
        <v>1</v>
      </c>
      <c r="J33">
        <v>1</v>
      </c>
      <c r="K33">
        <v>0</v>
      </c>
      <c r="L33">
        <v>1</v>
      </c>
      <c r="M33">
        <v>0</v>
      </c>
      <c r="N33">
        <v>1</v>
      </c>
      <c r="O33">
        <v>0</v>
      </c>
      <c r="P33">
        <v>0</v>
      </c>
      <c r="Q33">
        <v>2</v>
      </c>
      <c r="R33">
        <v>220</v>
      </c>
      <c r="S33">
        <v>1</v>
      </c>
      <c r="T33">
        <v>220</v>
      </c>
      <c r="U33">
        <v>0</v>
      </c>
      <c r="X33">
        <v>0</v>
      </c>
      <c r="AG33">
        <v>0</v>
      </c>
      <c r="AH33">
        <v>0</v>
      </c>
      <c r="AI33">
        <v>220</v>
      </c>
      <c r="AJ33">
        <v>220</v>
      </c>
      <c r="AK33">
        <v>0</v>
      </c>
      <c r="AL33">
        <v>140</v>
      </c>
      <c r="AM33">
        <v>80</v>
      </c>
      <c r="AZ33">
        <f>SUM($AM33,$AN33:AO33)-SUM($BH33:BJ33)</f>
        <v>60</v>
      </c>
      <c r="BA33">
        <f>SUM($AM33,$AN33:AP33)-SUM($BH33:BK33)</f>
        <v>0</v>
      </c>
      <c r="BB33">
        <f>SUM($AM33,$AN33:AQ33)-SUM($BH33:BL33)</f>
        <v>0</v>
      </c>
      <c r="BC33">
        <f>SUM($AM33,$AN33:AR33)-SUM($BH33:BM33)</f>
        <v>0</v>
      </c>
      <c r="BD33">
        <f>SUM($AM33,$AN33:AS33)-SUM($BH33:BN33)</f>
        <v>0</v>
      </c>
      <c r="BI33">
        <f t="array" ref="BI33">SUMPRODUCT(TRANSPOSE(BI$4:BI$9),$K33:$P33)</f>
        <v>0</v>
      </c>
      <c r="BJ33">
        <f t="array" ref="BJ33">SUMPRODUCT(TRANSPOSE(BJ$4:BJ$9),$K33:$P33)</f>
        <v>20</v>
      </c>
      <c r="BK33">
        <f t="array" ref="BK33">SUMPRODUCT(TRANSPOSE(BK$4:BK$9),$K33:$P33)</f>
        <v>60</v>
      </c>
      <c r="BL33">
        <f t="array" ref="BL33">SUMPRODUCT(TRANSPOSE(BL$4:BL$9),$K33:$P33)</f>
        <v>0</v>
      </c>
      <c r="BM33">
        <f t="array" ref="BM33">SUMPRODUCT(TRANSPOSE(BM$4:BM$9),$K33:$P33)</f>
        <v>0</v>
      </c>
      <c r="BN33">
        <f t="array" ref="BN33">SUMPRODUCT(TRANSPOSE(BN$4:BN$9),$K33:$P33)</f>
        <v>0</v>
      </c>
      <c r="BS33" t="s">
        <v>116</v>
      </c>
      <c r="BW33" t="s">
        <v>116</v>
      </c>
      <c r="CA33" t="s">
        <v>92</v>
      </c>
      <c r="CB33" t="s">
        <v>131</v>
      </c>
      <c r="CC33" t="s">
        <v>231</v>
      </c>
      <c r="CD33" t="s">
        <v>131</v>
      </c>
      <c r="CE33" t="s">
        <v>85</v>
      </c>
      <c r="CF33">
        <v>1</v>
      </c>
      <c r="CG33">
        <v>220</v>
      </c>
      <c r="CH33">
        <v>3190</v>
      </c>
      <c r="CI33" t="s">
        <v>137</v>
      </c>
      <c r="CJ33" s="1">
        <v>45961</v>
      </c>
      <c r="CK33" t="s">
        <v>95</v>
      </c>
      <c r="CN33" t="s">
        <v>232</v>
      </c>
    </row>
    <row r="34" spans="1:99">
      <c r="A34">
        <v>39</v>
      </c>
      <c r="B34" t="s">
        <v>233</v>
      </c>
      <c r="C34" t="s">
        <v>234</v>
      </c>
      <c r="D34" t="s">
        <v>113</v>
      </c>
      <c r="F34">
        <v>410212667</v>
      </c>
      <c r="G34" t="s">
        <v>235</v>
      </c>
      <c r="H34" t="s">
        <v>75</v>
      </c>
      <c r="I34">
        <v>1</v>
      </c>
      <c r="J34">
        <v>1</v>
      </c>
      <c r="K34">
        <v>0</v>
      </c>
      <c r="L34">
        <v>1</v>
      </c>
      <c r="M34">
        <v>0</v>
      </c>
      <c r="N34">
        <v>1</v>
      </c>
      <c r="O34">
        <v>0</v>
      </c>
      <c r="P34">
        <v>0</v>
      </c>
      <c r="Q34">
        <v>2</v>
      </c>
      <c r="R34">
        <v>220</v>
      </c>
      <c r="S34">
        <v>1</v>
      </c>
      <c r="T34">
        <v>220</v>
      </c>
      <c r="U34" t="s">
        <v>236</v>
      </c>
      <c r="W34">
        <v>475.6</v>
      </c>
      <c r="X34">
        <v>104632</v>
      </c>
      <c r="Y34" t="s">
        <v>85</v>
      </c>
      <c r="Z34" t="s">
        <v>236</v>
      </c>
      <c r="AA34" t="s">
        <v>237</v>
      </c>
      <c r="AB34" t="s">
        <v>238</v>
      </c>
      <c r="AC34" t="s">
        <v>239</v>
      </c>
      <c r="AG34">
        <v>475.6</v>
      </c>
      <c r="AH34">
        <v>104632</v>
      </c>
      <c r="AI34">
        <v>220</v>
      </c>
      <c r="AJ34">
        <v>220</v>
      </c>
      <c r="AK34">
        <v>0</v>
      </c>
      <c r="AL34">
        <v>200</v>
      </c>
      <c r="AM34">
        <v>20</v>
      </c>
      <c r="AP34">
        <v>80</v>
      </c>
      <c r="AZ34">
        <f>SUM($AM34,$AN34:AO34)-SUM($BH34:BJ34)</f>
        <v>0</v>
      </c>
      <c r="BA34">
        <f>SUM($AM34,$AN34:AP34)-SUM($BH34:BK34)</f>
        <v>20</v>
      </c>
      <c r="BB34">
        <f>SUM($AM34,$AN34:AQ34)-SUM($BH34:BL34)</f>
        <v>20</v>
      </c>
      <c r="BC34">
        <f>SUM($AM34,$AN34:AR34)-SUM($BH34:BM34)</f>
        <v>20</v>
      </c>
      <c r="BD34">
        <f>SUM($AM34,$AN34:AS34)-SUM($BH34:BN34)</f>
        <v>20</v>
      </c>
      <c r="BI34">
        <f t="array" ref="BI34">SUMPRODUCT(TRANSPOSE(BI$4:BI$9),$K34:$P34)</f>
        <v>0</v>
      </c>
      <c r="BJ34">
        <f t="array" ref="BJ34">SUMPRODUCT(TRANSPOSE(BJ$4:BJ$9),$K34:$P34)</f>
        <v>20</v>
      </c>
      <c r="BK34">
        <f t="array" ref="BK34">SUMPRODUCT(TRANSPOSE(BK$4:BK$9),$K34:$P34)</f>
        <v>60</v>
      </c>
      <c r="BL34">
        <f t="array" ref="BL34">SUMPRODUCT(TRANSPOSE(BL$4:BL$9),$K34:$P34)</f>
        <v>0</v>
      </c>
      <c r="BM34">
        <f t="array" ref="BM34">SUMPRODUCT(TRANSPOSE(BM$4:BM$9),$K34:$P34)</f>
        <v>0</v>
      </c>
      <c r="BN34">
        <f t="array" ref="BN34">SUMPRODUCT(TRANSPOSE(BN$4:BN$9),$K34:$P34)</f>
        <v>0</v>
      </c>
      <c r="BS34" t="s">
        <v>240</v>
      </c>
      <c r="BT34" t="s">
        <v>241</v>
      </c>
      <c r="BW34" t="s">
        <v>242</v>
      </c>
      <c r="CA34" t="s">
        <v>92</v>
      </c>
      <c r="CB34" t="s">
        <v>236</v>
      </c>
      <c r="CC34" t="s">
        <v>234</v>
      </c>
      <c r="CE34" t="s">
        <v>243</v>
      </c>
      <c r="CF34">
        <v>1</v>
      </c>
      <c r="CG34">
        <v>220</v>
      </c>
      <c r="CH34">
        <v>90200</v>
      </c>
      <c r="CI34" t="s">
        <v>244</v>
      </c>
      <c r="CJ34" s="1">
        <v>45961</v>
      </c>
      <c r="CK34" t="s">
        <v>95</v>
      </c>
      <c r="CM34" s="1">
        <v>46252</v>
      </c>
      <c r="CN34" t="s">
        <v>108</v>
      </c>
      <c r="CS34" t="s">
        <v>241</v>
      </c>
    </row>
    <row r="35" spans="1:99">
      <c r="A35">
        <v>40</v>
      </c>
      <c r="B35" t="s">
        <v>245</v>
      </c>
      <c r="C35" t="s">
        <v>246</v>
      </c>
      <c r="D35" t="s">
        <v>122</v>
      </c>
      <c r="F35">
        <v>409877704</v>
      </c>
      <c r="G35" t="s">
        <v>247</v>
      </c>
      <c r="H35" t="s">
        <v>75</v>
      </c>
      <c r="I35">
        <v>1</v>
      </c>
      <c r="J35">
        <v>1</v>
      </c>
      <c r="K35">
        <v>0</v>
      </c>
      <c r="L35">
        <v>1</v>
      </c>
      <c r="M35">
        <v>0</v>
      </c>
      <c r="N35">
        <v>1</v>
      </c>
      <c r="O35">
        <v>0</v>
      </c>
      <c r="P35">
        <v>0</v>
      </c>
      <c r="Q35">
        <v>2</v>
      </c>
      <c r="R35">
        <v>220</v>
      </c>
      <c r="S35">
        <v>1</v>
      </c>
      <c r="T35">
        <v>220</v>
      </c>
      <c r="U35" t="s">
        <v>248</v>
      </c>
      <c r="W35">
        <v>0.1</v>
      </c>
      <c r="X35">
        <v>22</v>
      </c>
      <c r="Y35" t="s">
        <v>85</v>
      </c>
      <c r="Z35" t="s">
        <v>248</v>
      </c>
      <c r="AG35">
        <v>0.1</v>
      </c>
      <c r="AH35">
        <v>22</v>
      </c>
      <c r="AI35">
        <v>220</v>
      </c>
      <c r="AJ35">
        <v>0</v>
      </c>
      <c r="AK35">
        <v>220</v>
      </c>
      <c r="AL35">
        <v>220</v>
      </c>
      <c r="AM35">
        <v>0</v>
      </c>
      <c r="AO35">
        <v>200</v>
      </c>
      <c r="AQ35">
        <v>60</v>
      </c>
      <c r="AZ35">
        <f>SUM($AM35,$AN35:AO35)-SUM($BH35:BJ35)</f>
        <v>180</v>
      </c>
      <c r="BA35">
        <f>SUM($AM35,$AN35:AP35)-SUM($BH35:BK35)</f>
        <v>120</v>
      </c>
      <c r="BB35">
        <f>SUM($AM35,$AN35:AQ35)-SUM($BH35:BL35)</f>
        <v>180</v>
      </c>
      <c r="BC35">
        <f>SUM($AM35,$AN35:AR35)-SUM($BH35:BM35)</f>
        <v>180</v>
      </c>
      <c r="BD35">
        <f>SUM($AM35,$AN35:AS35)-SUM($BH35:BN35)</f>
        <v>180</v>
      </c>
      <c r="BI35">
        <f t="array" ref="BI35">SUMPRODUCT(TRANSPOSE(BI$4:BI$9),$K35:$P35)</f>
        <v>0</v>
      </c>
      <c r="BJ35">
        <f t="array" ref="BJ35">SUMPRODUCT(TRANSPOSE(BJ$4:BJ$9),$K35:$P35)</f>
        <v>20</v>
      </c>
      <c r="BK35">
        <f t="array" ref="BK35">SUMPRODUCT(TRANSPOSE(BK$4:BK$9),$K35:$P35)</f>
        <v>60</v>
      </c>
      <c r="BL35">
        <f t="array" ref="BL35">SUMPRODUCT(TRANSPOSE(BL$4:BL$9),$K35:$P35)</f>
        <v>0</v>
      </c>
      <c r="BM35">
        <f t="array" ref="BM35">SUMPRODUCT(TRANSPOSE(BM$4:BM$9),$K35:$P35)</f>
        <v>0</v>
      </c>
      <c r="BN35">
        <f t="array" ref="BN35">SUMPRODUCT(TRANSPOSE(BN$4:BN$9),$K35:$P35)</f>
        <v>0</v>
      </c>
      <c r="BR35" t="s">
        <v>249</v>
      </c>
      <c r="BS35" t="s">
        <v>250</v>
      </c>
      <c r="BT35" t="s">
        <v>250</v>
      </c>
      <c r="BW35" t="s">
        <v>250</v>
      </c>
      <c r="CA35" t="s">
        <v>92</v>
      </c>
      <c r="CB35" t="s">
        <v>248</v>
      </c>
      <c r="CC35" t="s">
        <v>246</v>
      </c>
      <c r="CD35">
        <v>0</v>
      </c>
      <c r="CE35" t="s">
        <v>85</v>
      </c>
      <c r="CF35">
        <v>1</v>
      </c>
      <c r="CG35">
        <v>220</v>
      </c>
      <c r="CH35">
        <v>22</v>
      </c>
      <c r="CL35" t="s">
        <v>119</v>
      </c>
      <c r="CS35" t="s">
        <v>250</v>
      </c>
    </row>
    <row r="36" spans="1:99">
      <c r="A36">
        <v>50</v>
      </c>
      <c r="B36" t="s">
        <v>251</v>
      </c>
      <c r="C36" t="s">
        <v>252</v>
      </c>
      <c r="D36" t="s">
        <v>81</v>
      </c>
      <c r="F36">
        <v>411625807</v>
      </c>
      <c r="G36" t="s">
        <v>253</v>
      </c>
      <c r="H36" t="s">
        <v>75</v>
      </c>
      <c r="I36">
        <v>1</v>
      </c>
      <c r="J36">
        <v>4</v>
      </c>
      <c r="K36">
        <v>0</v>
      </c>
      <c r="L36">
        <v>4</v>
      </c>
      <c r="M36">
        <v>0</v>
      </c>
      <c r="N36">
        <v>4</v>
      </c>
      <c r="O36">
        <v>0</v>
      </c>
      <c r="P36">
        <v>0</v>
      </c>
      <c r="Q36">
        <v>8</v>
      </c>
      <c r="R36">
        <v>880</v>
      </c>
      <c r="S36">
        <v>1</v>
      </c>
      <c r="T36">
        <v>880</v>
      </c>
      <c r="U36" t="s">
        <v>254</v>
      </c>
      <c r="W36">
        <v>17.920000000000002</v>
      </c>
      <c r="X36">
        <v>15769.6</v>
      </c>
      <c r="Y36" t="s">
        <v>85</v>
      </c>
      <c r="Z36" t="s">
        <v>254</v>
      </c>
      <c r="AA36" t="s">
        <v>255</v>
      </c>
      <c r="AB36" t="s">
        <v>256</v>
      </c>
      <c r="AC36">
        <v>544514177</v>
      </c>
      <c r="AD36" t="s">
        <v>257</v>
      </c>
      <c r="AG36">
        <v>17.920000000000002</v>
      </c>
      <c r="AH36">
        <v>15769.6</v>
      </c>
      <c r="AI36">
        <v>880</v>
      </c>
      <c r="AJ36">
        <v>880</v>
      </c>
      <c r="AK36">
        <v>0</v>
      </c>
      <c r="AL36">
        <v>0</v>
      </c>
      <c r="AM36">
        <v>880</v>
      </c>
      <c r="AZ36">
        <f>SUM($AM36,$AN36:AO36)-SUM($BH36:BJ36)</f>
        <v>800</v>
      </c>
      <c r="BA36">
        <f>SUM($AM36,$AN36:AP36)-SUM($BH36:BK36)</f>
        <v>560</v>
      </c>
      <c r="BB36">
        <f>SUM($AM36,$AN36:AQ36)-SUM($BH36:BL36)</f>
        <v>560</v>
      </c>
      <c r="BC36">
        <f>SUM($AM36,$AN36:AR36)-SUM($BH36:BM36)</f>
        <v>560</v>
      </c>
      <c r="BD36">
        <f>SUM($AM36,$AN36:AS36)-SUM($BH36:BN36)</f>
        <v>560</v>
      </c>
      <c r="BI36">
        <f t="array" ref="BI36">SUMPRODUCT(TRANSPOSE(BI$4:BI$9),$K36:$P36)</f>
        <v>0</v>
      </c>
      <c r="BJ36">
        <f t="array" ref="BJ36">SUMPRODUCT(TRANSPOSE(BJ$4:BJ$9),$K36:$P36)</f>
        <v>80</v>
      </c>
      <c r="BK36">
        <f t="array" ref="BK36">SUMPRODUCT(TRANSPOSE(BK$4:BK$9),$K36:$P36)</f>
        <v>240</v>
      </c>
      <c r="BL36">
        <f t="array" ref="BL36">SUMPRODUCT(TRANSPOSE(BL$4:BL$9),$K36:$P36)</f>
        <v>0</v>
      </c>
      <c r="BM36">
        <f t="array" ref="BM36">SUMPRODUCT(TRANSPOSE(BM$4:BM$9),$K36:$P36)</f>
        <v>0</v>
      </c>
      <c r="BN36">
        <f t="array" ref="BN36">SUMPRODUCT(TRANSPOSE(BN$4:BN$9),$K36:$P36)</f>
        <v>0</v>
      </c>
      <c r="BR36" t="s">
        <v>258</v>
      </c>
      <c r="BS36" t="s">
        <v>259</v>
      </c>
      <c r="BU36" t="s">
        <v>260</v>
      </c>
      <c r="BW36" t="s">
        <v>259</v>
      </c>
      <c r="CA36" t="s">
        <v>92</v>
      </c>
      <c r="CB36" t="s">
        <v>254</v>
      </c>
      <c r="CC36" t="s">
        <v>252</v>
      </c>
      <c r="CD36" t="s">
        <v>254</v>
      </c>
      <c r="CE36" t="s">
        <v>85</v>
      </c>
      <c r="CF36">
        <v>1</v>
      </c>
      <c r="CG36">
        <v>880</v>
      </c>
      <c r="CH36">
        <v>17028</v>
      </c>
      <c r="CI36" t="s">
        <v>261</v>
      </c>
      <c r="CJ36" s="1">
        <v>45961</v>
      </c>
      <c r="CK36" t="s">
        <v>95</v>
      </c>
      <c r="CN36" t="s">
        <v>96</v>
      </c>
    </row>
    <row r="37" spans="1:99">
      <c r="A37">
        <v>64</v>
      </c>
      <c r="B37" t="s">
        <v>262</v>
      </c>
      <c r="C37" t="s">
        <v>263</v>
      </c>
      <c r="D37" t="s">
        <v>100</v>
      </c>
      <c r="F37">
        <v>408418775</v>
      </c>
      <c r="G37" t="s">
        <v>264</v>
      </c>
      <c r="H37" t="s">
        <v>75</v>
      </c>
      <c r="I37">
        <v>1</v>
      </c>
      <c r="J37">
        <v>1</v>
      </c>
      <c r="K37">
        <v>0</v>
      </c>
      <c r="L37">
        <v>0</v>
      </c>
      <c r="M37">
        <v>1</v>
      </c>
      <c r="N37">
        <v>0</v>
      </c>
      <c r="O37">
        <v>0</v>
      </c>
      <c r="P37">
        <v>0</v>
      </c>
      <c r="Q37">
        <v>1</v>
      </c>
      <c r="R37">
        <v>140</v>
      </c>
      <c r="S37">
        <v>1</v>
      </c>
      <c r="T37">
        <v>140</v>
      </c>
      <c r="U37" t="s">
        <v>265</v>
      </c>
      <c r="W37">
        <v>65</v>
      </c>
      <c r="X37">
        <v>9100</v>
      </c>
      <c r="Y37" t="s">
        <v>85</v>
      </c>
      <c r="Z37" t="s">
        <v>265</v>
      </c>
      <c r="AA37" t="s">
        <v>266</v>
      </c>
      <c r="AB37" t="s">
        <v>267</v>
      </c>
      <c r="AG37">
        <v>65</v>
      </c>
      <c r="AH37">
        <v>14300</v>
      </c>
      <c r="AI37">
        <v>140</v>
      </c>
      <c r="AJ37">
        <v>220</v>
      </c>
      <c r="AK37">
        <v>0</v>
      </c>
      <c r="AL37">
        <v>93</v>
      </c>
      <c r="AM37">
        <v>47</v>
      </c>
      <c r="AP37">
        <v>35</v>
      </c>
      <c r="AZ37">
        <f>SUM($AM37,$AN37:AO37)-SUM($BH37:BJ37)</f>
        <v>27</v>
      </c>
      <c r="BA37">
        <f>SUM($AM37,$AN37:AP37)-SUM($BH37:BK37)</f>
        <v>2</v>
      </c>
      <c r="BB37">
        <f>SUM($AM37,$AN37:AQ37)-SUM($BH37:BL37)</f>
        <v>2</v>
      </c>
      <c r="BC37">
        <f>SUM($AM37,$AN37:AR37)-SUM($BH37:BM37)</f>
        <v>2</v>
      </c>
      <c r="BD37">
        <f>SUM($AM37,$AN37:AS37)-SUM($BH37:BN37)</f>
        <v>2</v>
      </c>
      <c r="BI37">
        <f t="array" ref="BI37">SUMPRODUCT(TRANSPOSE(BI$4:BI$9),$K37:$P37)</f>
        <v>0</v>
      </c>
      <c r="BJ37">
        <f t="array" ref="BJ37">SUMPRODUCT(TRANSPOSE(BJ$4:BJ$9),$K37:$P37)</f>
        <v>20</v>
      </c>
      <c r="BK37">
        <f t="array" ref="BK37">SUMPRODUCT(TRANSPOSE(BK$4:BK$9),$K37:$P37)</f>
        <v>60</v>
      </c>
      <c r="BL37">
        <f t="array" ref="BL37">SUMPRODUCT(TRANSPOSE(BL$4:BL$9),$K37:$P37)</f>
        <v>0</v>
      </c>
      <c r="BM37">
        <f t="array" ref="BM37">SUMPRODUCT(TRANSPOSE(BM$4:BM$9),$K37:$P37)</f>
        <v>0</v>
      </c>
      <c r="BN37">
        <f t="array" ref="BN37">SUMPRODUCT(TRANSPOSE(BN$4:BN$9),$K37:$P37)</f>
        <v>0</v>
      </c>
      <c r="BS37" t="s">
        <v>268</v>
      </c>
      <c r="BW37" t="s">
        <v>159</v>
      </c>
      <c r="CA37" t="s">
        <v>92</v>
      </c>
      <c r="CB37" t="s">
        <v>126</v>
      </c>
      <c r="CC37" t="s">
        <v>263</v>
      </c>
      <c r="CD37" t="s">
        <v>150</v>
      </c>
      <c r="CE37" t="s">
        <v>85</v>
      </c>
      <c r="CF37">
        <v>1</v>
      </c>
      <c r="CG37">
        <v>220</v>
      </c>
      <c r="CH37">
        <v>18106</v>
      </c>
      <c r="CI37" t="s">
        <v>269</v>
      </c>
      <c r="CJ37" s="1">
        <v>45964</v>
      </c>
      <c r="CM37" s="1">
        <v>46246</v>
      </c>
      <c r="CN37" t="s">
        <v>96</v>
      </c>
    </row>
    <row r="38" spans="1:99">
      <c r="A38">
        <v>65</v>
      </c>
      <c r="B38" t="s">
        <v>270</v>
      </c>
      <c r="C38" t="s">
        <v>271</v>
      </c>
      <c r="D38" t="s">
        <v>100</v>
      </c>
      <c r="F38">
        <v>411232487</v>
      </c>
      <c r="G38" t="s">
        <v>272</v>
      </c>
      <c r="H38" t="s">
        <v>75</v>
      </c>
      <c r="I38">
        <v>1</v>
      </c>
      <c r="J38">
        <v>2</v>
      </c>
      <c r="K38">
        <v>0</v>
      </c>
      <c r="L38">
        <v>0</v>
      </c>
      <c r="M38">
        <v>0</v>
      </c>
      <c r="N38">
        <v>2</v>
      </c>
      <c r="O38">
        <v>0</v>
      </c>
      <c r="P38">
        <v>0</v>
      </c>
      <c r="Q38">
        <v>2</v>
      </c>
      <c r="R38">
        <v>280</v>
      </c>
      <c r="S38">
        <v>1</v>
      </c>
      <c r="T38">
        <v>280</v>
      </c>
      <c r="U38" t="s">
        <v>189</v>
      </c>
      <c r="W38">
        <v>125</v>
      </c>
      <c r="X38">
        <v>35000</v>
      </c>
      <c r="Y38" t="s">
        <v>85</v>
      </c>
      <c r="Z38" t="s">
        <v>189</v>
      </c>
      <c r="AA38" t="s">
        <v>190</v>
      </c>
      <c r="AB38" t="s">
        <v>191</v>
      </c>
      <c r="AC38">
        <v>502674465</v>
      </c>
      <c r="AG38">
        <v>125</v>
      </c>
      <c r="AH38">
        <v>55000</v>
      </c>
      <c r="AI38">
        <v>280</v>
      </c>
      <c r="AJ38">
        <v>440</v>
      </c>
      <c r="AK38">
        <v>0</v>
      </c>
      <c r="AL38">
        <v>-159</v>
      </c>
      <c r="AM38">
        <v>439</v>
      </c>
      <c r="AZ38">
        <f>SUM($AM38,$AN38:AO38)-SUM($BH38:BJ38)</f>
        <v>399</v>
      </c>
      <c r="BA38">
        <f>SUM($AM38,$AN38:AP38)-SUM($BH38:BK38)</f>
        <v>279</v>
      </c>
      <c r="BB38">
        <f>SUM($AM38,$AN38:AQ38)-SUM($BH38:BL38)</f>
        <v>279</v>
      </c>
      <c r="BC38">
        <f>SUM($AM38,$AN38:AR38)-SUM($BH38:BM38)</f>
        <v>279</v>
      </c>
      <c r="BD38">
        <f>SUM($AM38,$AN38:AS38)-SUM($BH38:BN38)</f>
        <v>279</v>
      </c>
      <c r="BI38">
        <f t="array" ref="BI38">SUMPRODUCT(TRANSPOSE(BI$4:BI$9),$K38:$P38)</f>
        <v>0</v>
      </c>
      <c r="BJ38">
        <f t="array" ref="BJ38">SUMPRODUCT(TRANSPOSE(BJ$4:BJ$9),$K38:$P38)</f>
        <v>40</v>
      </c>
      <c r="BK38">
        <f t="array" ref="BK38">SUMPRODUCT(TRANSPOSE(BK$4:BK$9),$K38:$P38)</f>
        <v>120</v>
      </c>
      <c r="BL38">
        <f t="array" ref="BL38">SUMPRODUCT(TRANSPOSE(BL$4:BL$9),$K38:$P38)</f>
        <v>0</v>
      </c>
      <c r="BM38">
        <f t="array" ref="BM38">SUMPRODUCT(TRANSPOSE(BM$4:BM$9),$K38:$P38)</f>
        <v>0</v>
      </c>
      <c r="BN38">
        <f t="array" ref="BN38">SUMPRODUCT(TRANSPOSE(BN$4:BN$9),$K38:$P38)</f>
        <v>0</v>
      </c>
      <c r="BS38" t="s">
        <v>192</v>
      </c>
      <c r="BT38" t="s">
        <v>192</v>
      </c>
      <c r="BW38" t="s">
        <v>192</v>
      </c>
      <c r="CA38" t="s">
        <v>92</v>
      </c>
      <c r="CB38" t="s">
        <v>189</v>
      </c>
      <c r="CC38" t="s">
        <v>271</v>
      </c>
      <c r="CD38" t="s">
        <v>150</v>
      </c>
      <c r="CE38" t="s">
        <v>85</v>
      </c>
      <c r="CF38">
        <v>1</v>
      </c>
      <c r="CG38">
        <v>440</v>
      </c>
      <c r="CH38">
        <v>55000</v>
      </c>
      <c r="CI38" t="s">
        <v>193</v>
      </c>
      <c r="CJ38" s="1">
        <v>45964</v>
      </c>
      <c r="CL38" t="s">
        <v>119</v>
      </c>
      <c r="CN38" t="s">
        <v>96</v>
      </c>
      <c r="CO38" s="1">
        <v>46042</v>
      </c>
      <c r="CP38" s="1">
        <v>46052</v>
      </c>
      <c r="CS38" t="s">
        <v>192</v>
      </c>
    </row>
    <row r="39" spans="1:99">
      <c r="A39">
        <v>76</v>
      </c>
      <c r="B39" t="s">
        <v>273</v>
      </c>
      <c r="C39" t="s">
        <v>274</v>
      </c>
      <c r="D39" t="s">
        <v>81</v>
      </c>
      <c r="E39" t="s">
        <v>275</v>
      </c>
      <c r="F39">
        <v>401033290</v>
      </c>
      <c r="G39" t="s">
        <v>276</v>
      </c>
      <c r="H39" t="s">
        <v>75</v>
      </c>
      <c r="I39">
        <v>2</v>
      </c>
      <c r="J39">
        <v>32</v>
      </c>
      <c r="K39">
        <v>0</v>
      </c>
      <c r="L39">
        <v>0</v>
      </c>
      <c r="M39">
        <v>0</v>
      </c>
      <c r="N39">
        <v>0</v>
      </c>
      <c r="O39">
        <v>32</v>
      </c>
      <c r="P39">
        <v>0</v>
      </c>
      <c r="Q39">
        <v>32</v>
      </c>
      <c r="R39">
        <v>7040</v>
      </c>
      <c r="S39">
        <v>10000</v>
      </c>
      <c r="T39">
        <v>10000</v>
      </c>
      <c r="U39" t="s">
        <v>277</v>
      </c>
      <c r="W39">
        <v>0.53200000000000003</v>
      </c>
      <c r="X39">
        <v>5320</v>
      </c>
      <c r="Y39" t="s">
        <v>85</v>
      </c>
      <c r="Z39" t="s">
        <v>86</v>
      </c>
      <c r="AA39" t="s">
        <v>87</v>
      </c>
      <c r="AB39" t="s">
        <v>88</v>
      </c>
      <c r="AC39" t="s">
        <v>89</v>
      </c>
      <c r="AD39">
        <v>10000</v>
      </c>
      <c r="AG39">
        <v>1.0640000000000001</v>
      </c>
      <c r="AH39">
        <v>5320</v>
      </c>
      <c r="AI39">
        <v>7040</v>
      </c>
      <c r="AJ39">
        <v>10000</v>
      </c>
      <c r="AK39">
        <v>0</v>
      </c>
      <c r="AL39">
        <v>-2960</v>
      </c>
      <c r="AM39">
        <v>10000</v>
      </c>
      <c r="AZ39">
        <f>SUM($AM39,$AN39:AO39)-SUM($BH39:BJ39)</f>
        <v>9360</v>
      </c>
      <c r="BA39">
        <f>SUM($AM39,$AN39:AP39)-SUM($BH39:BK39)</f>
        <v>7440</v>
      </c>
      <c r="BB39">
        <f>SUM($AM39,$AN39:AQ39)-SUM($BH39:BL39)</f>
        <v>7440</v>
      </c>
      <c r="BC39">
        <f>SUM($AM39,$AN39:AR39)-SUM($BH39:BM39)</f>
        <v>7440</v>
      </c>
      <c r="BD39">
        <f>SUM($AM39,$AN39:AS39)-SUM($BH39:BN39)</f>
        <v>7440</v>
      </c>
      <c r="BI39">
        <f t="array" ref="BI39">SUMPRODUCT(TRANSPOSE(BI$4:BI$9),$K39:$P39)</f>
        <v>0</v>
      </c>
      <c r="BJ39">
        <f t="array" ref="BJ39">SUMPRODUCT(TRANSPOSE(BJ$4:BJ$9),$K39:$P39)</f>
        <v>640</v>
      </c>
      <c r="BK39">
        <f t="array" ref="BK39">SUMPRODUCT(TRANSPOSE(BK$4:BK$9),$K39:$P39)</f>
        <v>1920</v>
      </c>
      <c r="BL39">
        <f t="array" ref="BL39">SUMPRODUCT(TRANSPOSE(BL$4:BL$9),$K39:$P39)</f>
        <v>0</v>
      </c>
      <c r="BM39">
        <f t="array" ref="BM39">SUMPRODUCT(TRANSPOSE(BM$4:BM$9),$K39:$P39)</f>
        <v>0</v>
      </c>
      <c r="BN39">
        <f t="array" ref="BN39">SUMPRODUCT(TRANSPOSE(BN$4:BN$9),$K39:$P39)</f>
        <v>0</v>
      </c>
      <c r="CA39" t="s">
        <v>92</v>
      </c>
      <c r="CB39" t="s">
        <v>86</v>
      </c>
      <c r="CC39" t="s">
        <v>274</v>
      </c>
      <c r="CD39" t="s">
        <v>277</v>
      </c>
      <c r="CE39" t="s">
        <v>85</v>
      </c>
      <c r="CF39">
        <v>1</v>
      </c>
      <c r="CG39">
        <v>10000</v>
      </c>
      <c r="CH39">
        <v>5320</v>
      </c>
      <c r="CI39" t="s">
        <v>278</v>
      </c>
      <c r="CJ39" s="1">
        <v>45961</v>
      </c>
      <c r="CL39" t="s">
        <v>119</v>
      </c>
      <c r="CN39" t="s">
        <v>96</v>
      </c>
    </row>
    <row r="40" spans="1:99">
      <c r="A40">
        <v>78</v>
      </c>
      <c r="B40" t="s">
        <v>279</v>
      </c>
      <c r="C40" t="s">
        <v>280</v>
      </c>
      <c r="D40" t="s">
        <v>81</v>
      </c>
      <c r="E40" t="s">
        <v>281</v>
      </c>
      <c r="F40">
        <v>401504556</v>
      </c>
      <c r="G40" t="s">
        <v>282</v>
      </c>
      <c r="H40" t="s">
        <v>75</v>
      </c>
      <c r="I40">
        <v>2</v>
      </c>
      <c r="J40">
        <v>32</v>
      </c>
      <c r="K40">
        <v>0</v>
      </c>
      <c r="L40">
        <v>0</v>
      </c>
      <c r="M40">
        <v>0</v>
      </c>
      <c r="N40">
        <v>0</v>
      </c>
      <c r="O40">
        <v>32</v>
      </c>
      <c r="P40">
        <v>0</v>
      </c>
      <c r="Q40">
        <v>32</v>
      </c>
      <c r="R40">
        <v>7040</v>
      </c>
      <c r="S40">
        <v>4000</v>
      </c>
      <c r="T40">
        <v>8000</v>
      </c>
      <c r="U40" t="s">
        <v>277</v>
      </c>
      <c r="W40">
        <v>0.38500000000000001</v>
      </c>
      <c r="X40">
        <v>3080</v>
      </c>
      <c r="Y40" t="s">
        <v>85</v>
      </c>
      <c r="Z40" t="s">
        <v>86</v>
      </c>
      <c r="AA40" t="s">
        <v>87</v>
      </c>
      <c r="AB40" t="s">
        <v>88</v>
      </c>
      <c r="AC40" t="s">
        <v>89</v>
      </c>
      <c r="AD40">
        <v>8000</v>
      </c>
      <c r="AG40">
        <v>0.77</v>
      </c>
      <c r="AH40">
        <v>3080</v>
      </c>
      <c r="AI40">
        <v>7040</v>
      </c>
      <c r="AJ40">
        <v>8000</v>
      </c>
      <c r="AK40">
        <v>0</v>
      </c>
      <c r="AL40">
        <v>-960</v>
      </c>
      <c r="AM40">
        <v>8000</v>
      </c>
      <c r="AZ40">
        <f>SUM($AM40,$AN40:AO40)-SUM($BH40:BJ40)</f>
        <v>7360</v>
      </c>
      <c r="BA40">
        <f>SUM($AM40,$AN40:AP40)-SUM($BH40:BK40)</f>
        <v>5440</v>
      </c>
      <c r="BB40">
        <f>SUM($AM40,$AN40:AQ40)-SUM($BH40:BL40)</f>
        <v>5440</v>
      </c>
      <c r="BC40">
        <f>SUM($AM40,$AN40:AR40)-SUM($BH40:BM40)</f>
        <v>5440</v>
      </c>
      <c r="BD40">
        <f>SUM($AM40,$AN40:AS40)-SUM($BH40:BN40)</f>
        <v>5440</v>
      </c>
      <c r="BI40">
        <f t="array" ref="BI40">SUMPRODUCT(TRANSPOSE(BI$4:BI$9),$K40:$P40)</f>
        <v>0</v>
      </c>
      <c r="BJ40">
        <f t="array" ref="BJ40">SUMPRODUCT(TRANSPOSE(BJ$4:BJ$9),$K40:$P40)</f>
        <v>640</v>
      </c>
      <c r="BK40">
        <f t="array" ref="BK40">SUMPRODUCT(TRANSPOSE(BK$4:BK$9),$K40:$P40)</f>
        <v>1920</v>
      </c>
      <c r="BL40">
        <f t="array" ref="BL40">SUMPRODUCT(TRANSPOSE(BL$4:BL$9),$K40:$P40)</f>
        <v>0</v>
      </c>
      <c r="BM40">
        <f t="array" ref="BM40">SUMPRODUCT(TRANSPOSE(BM$4:BM$9),$K40:$P40)</f>
        <v>0</v>
      </c>
      <c r="BN40">
        <f t="array" ref="BN40">SUMPRODUCT(TRANSPOSE(BN$4:BN$9),$K40:$P40)</f>
        <v>0</v>
      </c>
      <c r="CA40" t="s">
        <v>177</v>
      </c>
      <c r="CB40" t="s">
        <v>86</v>
      </c>
      <c r="CC40" t="s">
        <v>280</v>
      </c>
      <c r="CD40" t="s">
        <v>277</v>
      </c>
      <c r="CE40" t="s">
        <v>85</v>
      </c>
      <c r="CF40">
        <v>1</v>
      </c>
      <c r="CG40">
        <v>8000</v>
      </c>
      <c r="CH40">
        <v>3080</v>
      </c>
      <c r="CI40" t="s">
        <v>278</v>
      </c>
      <c r="CJ40" s="1">
        <v>45961</v>
      </c>
      <c r="CL40" t="s">
        <v>119</v>
      </c>
      <c r="CN40" t="s">
        <v>96</v>
      </c>
      <c r="CU40" t="s">
        <v>283</v>
      </c>
    </row>
    <row r="41" spans="1:99">
      <c r="A41">
        <v>80</v>
      </c>
      <c r="B41" t="s">
        <v>284</v>
      </c>
      <c r="C41" t="s">
        <v>285</v>
      </c>
      <c r="D41" t="s">
        <v>81</v>
      </c>
      <c r="E41" t="s">
        <v>286</v>
      </c>
      <c r="F41">
        <v>401554938</v>
      </c>
      <c r="G41" t="s">
        <v>287</v>
      </c>
      <c r="H41" t="s">
        <v>75</v>
      </c>
      <c r="I41">
        <v>2</v>
      </c>
      <c r="J41">
        <v>32</v>
      </c>
      <c r="K41">
        <v>0</v>
      </c>
      <c r="L41">
        <v>0</v>
      </c>
      <c r="M41">
        <v>0</v>
      </c>
      <c r="N41">
        <v>0</v>
      </c>
      <c r="O41">
        <v>32</v>
      </c>
      <c r="P41">
        <v>0</v>
      </c>
      <c r="Q41">
        <v>32</v>
      </c>
      <c r="R41">
        <v>7040</v>
      </c>
      <c r="S41">
        <v>2500</v>
      </c>
      <c r="T41">
        <v>7500</v>
      </c>
      <c r="U41" t="s">
        <v>277</v>
      </c>
      <c r="W41">
        <v>3.5700000000000003E-2</v>
      </c>
      <c r="X41">
        <v>267.75</v>
      </c>
      <c r="Y41" t="s">
        <v>85</v>
      </c>
      <c r="Z41" t="s">
        <v>86</v>
      </c>
      <c r="AA41" t="s">
        <v>87</v>
      </c>
      <c r="AB41" t="s">
        <v>88</v>
      </c>
      <c r="AC41" t="s">
        <v>89</v>
      </c>
      <c r="AD41">
        <v>7500</v>
      </c>
      <c r="AG41">
        <v>7.1400000000000005E-2</v>
      </c>
      <c r="AH41">
        <v>267.75</v>
      </c>
      <c r="AI41">
        <v>7040</v>
      </c>
      <c r="AJ41">
        <v>7500</v>
      </c>
      <c r="AK41">
        <v>0</v>
      </c>
      <c r="AL41">
        <v>-460</v>
      </c>
      <c r="AM41">
        <v>7500</v>
      </c>
      <c r="AZ41">
        <f>SUM($AM41,$AN41:AO41)-SUM($BH41:BJ41)</f>
        <v>6860</v>
      </c>
      <c r="BA41">
        <f>SUM($AM41,$AN41:AP41)-SUM($BH41:BK41)</f>
        <v>4940</v>
      </c>
      <c r="BB41">
        <f>SUM($AM41,$AN41:AQ41)-SUM($BH41:BL41)</f>
        <v>4940</v>
      </c>
      <c r="BC41">
        <f>SUM($AM41,$AN41:AR41)-SUM($BH41:BM41)</f>
        <v>4940</v>
      </c>
      <c r="BD41">
        <f>SUM($AM41,$AN41:AS41)-SUM($BH41:BN41)</f>
        <v>4940</v>
      </c>
      <c r="BI41">
        <f t="array" ref="BI41">SUMPRODUCT(TRANSPOSE(BI$4:BI$9),$K41:$P41)</f>
        <v>0</v>
      </c>
      <c r="BJ41">
        <f t="array" ref="BJ41">SUMPRODUCT(TRANSPOSE(BJ$4:BJ$9),$K41:$P41)</f>
        <v>640</v>
      </c>
      <c r="BK41">
        <f t="array" ref="BK41">SUMPRODUCT(TRANSPOSE(BK$4:BK$9),$K41:$P41)</f>
        <v>1920</v>
      </c>
      <c r="BL41">
        <f t="array" ref="BL41">SUMPRODUCT(TRANSPOSE(BL$4:BL$9),$K41:$P41)</f>
        <v>0</v>
      </c>
      <c r="BM41">
        <f t="array" ref="BM41">SUMPRODUCT(TRANSPOSE(BM$4:BM$9),$K41:$P41)</f>
        <v>0</v>
      </c>
      <c r="BN41">
        <f t="array" ref="BN41">SUMPRODUCT(TRANSPOSE(BN$4:BN$9),$K41:$P41)</f>
        <v>0</v>
      </c>
      <c r="CA41" t="s">
        <v>177</v>
      </c>
      <c r="CB41" t="s">
        <v>86</v>
      </c>
      <c r="CC41" t="s">
        <v>285</v>
      </c>
      <c r="CD41" t="s">
        <v>277</v>
      </c>
      <c r="CE41" t="s">
        <v>85</v>
      </c>
      <c r="CF41">
        <v>1</v>
      </c>
      <c r="CG41">
        <v>7500</v>
      </c>
      <c r="CH41">
        <v>267.75</v>
      </c>
      <c r="CI41" t="s">
        <v>278</v>
      </c>
      <c r="CJ41" s="1">
        <v>45961</v>
      </c>
      <c r="CL41" t="s">
        <v>119</v>
      </c>
      <c r="CN41" t="s">
        <v>96</v>
      </c>
      <c r="CO41" t="s">
        <v>288</v>
      </c>
      <c r="CP41">
        <v>1.7999999999999999E-2</v>
      </c>
      <c r="CQ41">
        <v>320000</v>
      </c>
      <c r="CR41" t="b">
        <v>0</v>
      </c>
      <c r="CU41" t="s">
        <v>289</v>
      </c>
    </row>
    <row r="42" spans="1:99">
      <c r="A42">
        <v>90</v>
      </c>
      <c r="B42" t="s">
        <v>290</v>
      </c>
      <c r="C42" t="s">
        <v>291</v>
      </c>
      <c r="D42" t="s">
        <v>81</v>
      </c>
      <c r="E42" t="s">
        <v>292</v>
      </c>
      <c r="F42">
        <v>401033672</v>
      </c>
      <c r="G42" t="s">
        <v>293</v>
      </c>
      <c r="H42" t="s">
        <v>75</v>
      </c>
      <c r="I42">
        <v>2</v>
      </c>
      <c r="J42">
        <v>38</v>
      </c>
      <c r="K42">
        <v>0</v>
      </c>
      <c r="L42">
        <v>0</v>
      </c>
      <c r="M42">
        <v>0</v>
      </c>
      <c r="N42">
        <v>0</v>
      </c>
      <c r="O42">
        <v>38</v>
      </c>
      <c r="P42">
        <v>0</v>
      </c>
      <c r="Q42">
        <v>38</v>
      </c>
      <c r="R42">
        <v>8360</v>
      </c>
      <c r="S42">
        <v>10000</v>
      </c>
      <c r="T42">
        <v>10000</v>
      </c>
      <c r="U42" t="s">
        <v>294</v>
      </c>
      <c r="W42">
        <v>4.0000000000000001E-3</v>
      </c>
      <c r="X42">
        <v>40</v>
      </c>
      <c r="Y42" t="s">
        <v>85</v>
      </c>
      <c r="Z42" t="s">
        <v>295</v>
      </c>
      <c r="AA42" t="s">
        <v>296</v>
      </c>
      <c r="AB42" t="s">
        <v>297</v>
      </c>
      <c r="AG42">
        <v>8.0000000000000002E-3</v>
      </c>
      <c r="AH42">
        <v>40</v>
      </c>
      <c r="AI42">
        <v>8360</v>
      </c>
      <c r="AJ42">
        <v>10000</v>
      </c>
      <c r="AK42">
        <v>0</v>
      </c>
      <c r="AL42">
        <v>-1640</v>
      </c>
      <c r="AM42">
        <v>10000</v>
      </c>
      <c r="AZ42">
        <f>SUM($AM42,$AN42:AO42)-SUM($BH42:BJ42)</f>
        <v>9240</v>
      </c>
      <c r="BA42">
        <f>SUM($AM42,$AN42:AP42)-SUM($BH42:BK42)</f>
        <v>6960</v>
      </c>
      <c r="BB42">
        <f>SUM($AM42,$AN42:AQ42)-SUM($BH42:BL42)</f>
        <v>6960</v>
      </c>
      <c r="BC42">
        <f>SUM($AM42,$AN42:AR42)-SUM($BH42:BM42)</f>
        <v>6960</v>
      </c>
      <c r="BD42">
        <f>SUM($AM42,$AN42:AS42)-SUM($BH42:BN42)</f>
        <v>6960</v>
      </c>
      <c r="BI42">
        <f t="array" ref="BI42">SUMPRODUCT(TRANSPOSE(BI$4:BI$9),$K42:$P42)</f>
        <v>0</v>
      </c>
      <c r="BJ42">
        <f t="array" ref="BJ42">SUMPRODUCT(TRANSPOSE(BJ$4:BJ$9),$K42:$P42)</f>
        <v>760</v>
      </c>
      <c r="BK42">
        <f t="array" ref="BK42">SUMPRODUCT(TRANSPOSE(BK$4:BK$9),$K42:$P42)</f>
        <v>2280</v>
      </c>
      <c r="BL42">
        <f t="array" ref="BL42">SUMPRODUCT(TRANSPOSE(BL$4:BL$9),$K42:$P42)</f>
        <v>0</v>
      </c>
      <c r="BM42">
        <f t="array" ref="BM42">SUMPRODUCT(TRANSPOSE(BM$4:BM$9),$K42:$P42)</f>
        <v>0</v>
      </c>
      <c r="BN42">
        <f t="array" ref="BN42">SUMPRODUCT(TRANSPOSE(BN$4:BN$9),$K42:$P42)</f>
        <v>0</v>
      </c>
      <c r="BO42" t="s">
        <v>294</v>
      </c>
      <c r="CA42" t="s">
        <v>92</v>
      </c>
      <c r="CB42" t="s">
        <v>295</v>
      </c>
      <c r="CC42" t="s">
        <v>291</v>
      </c>
      <c r="CD42" t="s">
        <v>294</v>
      </c>
      <c r="CE42" t="s">
        <v>85</v>
      </c>
      <c r="CF42">
        <v>1</v>
      </c>
      <c r="CG42">
        <v>10000</v>
      </c>
      <c r="CH42">
        <v>40</v>
      </c>
      <c r="CI42" t="s">
        <v>298</v>
      </c>
      <c r="CJ42" s="1">
        <v>45961</v>
      </c>
      <c r="CK42" t="s">
        <v>95</v>
      </c>
      <c r="CL42" t="s">
        <v>119</v>
      </c>
      <c r="CN42" t="s">
        <v>96</v>
      </c>
      <c r="CU42" t="s">
        <v>299</v>
      </c>
    </row>
    <row r="43" spans="1:99">
      <c r="A43">
        <v>114</v>
      </c>
      <c r="B43" t="s">
        <v>300</v>
      </c>
      <c r="C43" t="s">
        <v>301</v>
      </c>
      <c r="D43" t="s">
        <v>81</v>
      </c>
      <c r="E43" t="s">
        <v>302</v>
      </c>
      <c r="F43">
        <v>408368990</v>
      </c>
      <c r="G43" t="s">
        <v>303</v>
      </c>
      <c r="H43" t="s">
        <v>75</v>
      </c>
      <c r="I43">
        <v>2</v>
      </c>
      <c r="J43">
        <v>32</v>
      </c>
      <c r="K43">
        <v>0</v>
      </c>
      <c r="L43">
        <v>0</v>
      </c>
      <c r="M43">
        <v>0</v>
      </c>
      <c r="N43">
        <v>0</v>
      </c>
      <c r="O43">
        <v>32</v>
      </c>
      <c r="P43">
        <v>0</v>
      </c>
      <c r="Q43">
        <v>32</v>
      </c>
      <c r="R43">
        <v>7040</v>
      </c>
      <c r="S43">
        <v>5000</v>
      </c>
      <c r="T43">
        <v>10000</v>
      </c>
      <c r="U43" t="s">
        <v>294</v>
      </c>
      <c r="W43">
        <v>4.0000000000000001E-3</v>
      </c>
      <c r="X43">
        <v>40</v>
      </c>
      <c r="Y43" t="s">
        <v>85</v>
      </c>
      <c r="Z43" t="s">
        <v>295</v>
      </c>
      <c r="AA43" t="s">
        <v>296</v>
      </c>
      <c r="AB43" t="s">
        <v>297</v>
      </c>
      <c r="AG43">
        <v>8.0000000000000002E-3</v>
      </c>
      <c r="AH43">
        <v>40</v>
      </c>
      <c r="AI43">
        <v>7040</v>
      </c>
      <c r="AJ43">
        <v>10000</v>
      </c>
      <c r="AK43">
        <v>0</v>
      </c>
      <c r="AL43">
        <v>-2960</v>
      </c>
      <c r="AM43">
        <v>10000</v>
      </c>
      <c r="AZ43">
        <f>SUM($AM43,$AN43:AO43)-SUM($BH43:BJ43)</f>
        <v>9360</v>
      </c>
      <c r="BA43">
        <f>SUM($AM43,$AN43:AP43)-SUM($BH43:BK43)</f>
        <v>7440</v>
      </c>
      <c r="BB43">
        <f>SUM($AM43,$AN43:AQ43)-SUM($BH43:BL43)</f>
        <v>7440</v>
      </c>
      <c r="BC43">
        <f>SUM($AM43,$AN43:AR43)-SUM($BH43:BM43)</f>
        <v>7440</v>
      </c>
      <c r="BD43">
        <f>SUM($AM43,$AN43:AS43)-SUM($BH43:BN43)</f>
        <v>7440</v>
      </c>
      <c r="BI43">
        <f t="array" ref="BI43">SUMPRODUCT(TRANSPOSE(BI$4:BI$9),$K43:$P43)</f>
        <v>0</v>
      </c>
      <c r="BJ43">
        <f t="array" ref="BJ43">SUMPRODUCT(TRANSPOSE(BJ$4:BJ$9),$K43:$P43)</f>
        <v>640</v>
      </c>
      <c r="BK43">
        <f t="array" ref="BK43">SUMPRODUCT(TRANSPOSE(BK$4:BK$9),$K43:$P43)</f>
        <v>1920</v>
      </c>
      <c r="BL43">
        <f t="array" ref="BL43">SUMPRODUCT(TRANSPOSE(BL$4:BL$9),$K43:$P43)</f>
        <v>0</v>
      </c>
      <c r="BM43">
        <f t="array" ref="BM43">SUMPRODUCT(TRANSPOSE(BM$4:BM$9),$K43:$P43)</f>
        <v>0</v>
      </c>
      <c r="BN43">
        <f t="array" ref="BN43">SUMPRODUCT(TRANSPOSE(BN$4:BN$9),$K43:$P43)</f>
        <v>0</v>
      </c>
      <c r="BO43" t="s">
        <v>294</v>
      </c>
      <c r="CA43" t="s">
        <v>92</v>
      </c>
      <c r="CB43" t="s">
        <v>295</v>
      </c>
      <c r="CC43" t="s">
        <v>301</v>
      </c>
      <c r="CD43" t="s">
        <v>294</v>
      </c>
      <c r="CE43" t="s">
        <v>85</v>
      </c>
      <c r="CF43">
        <v>1</v>
      </c>
      <c r="CG43">
        <v>10000</v>
      </c>
      <c r="CH43">
        <v>40</v>
      </c>
      <c r="CI43" t="s">
        <v>298</v>
      </c>
      <c r="CJ43" s="1">
        <v>45961</v>
      </c>
      <c r="CK43" t="s">
        <v>304</v>
      </c>
      <c r="CL43" t="s">
        <v>119</v>
      </c>
      <c r="CN43" t="s">
        <v>96</v>
      </c>
    </row>
    <row r="44" spans="1:99">
      <c r="A44">
        <v>115</v>
      </c>
      <c r="B44" t="s">
        <v>305</v>
      </c>
      <c r="C44" t="s">
        <v>306</v>
      </c>
      <c r="D44" t="s">
        <v>81</v>
      </c>
      <c r="F44">
        <v>402515079</v>
      </c>
      <c r="G44" t="s">
        <v>307</v>
      </c>
      <c r="H44" t="s">
        <v>75</v>
      </c>
      <c r="I44">
        <v>1</v>
      </c>
      <c r="J44">
        <v>1</v>
      </c>
      <c r="K44">
        <v>0</v>
      </c>
      <c r="L44">
        <v>0</v>
      </c>
      <c r="M44">
        <v>0</v>
      </c>
      <c r="N44">
        <v>0</v>
      </c>
      <c r="O44">
        <v>1</v>
      </c>
      <c r="P44">
        <v>0</v>
      </c>
      <c r="Q44">
        <v>1</v>
      </c>
      <c r="R44">
        <v>220</v>
      </c>
      <c r="S44">
        <v>2500</v>
      </c>
      <c r="T44">
        <v>2500</v>
      </c>
      <c r="U44" t="s">
        <v>308</v>
      </c>
      <c r="W44">
        <v>0.63029999999999997</v>
      </c>
      <c r="X44">
        <v>1575.75</v>
      </c>
      <c r="Y44" t="s">
        <v>85</v>
      </c>
      <c r="Z44" t="s">
        <v>86</v>
      </c>
      <c r="AA44" t="s">
        <v>87</v>
      </c>
      <c r="AB44" t="s">
        <v>88</v>
      </c>
      <c r="AC44" t="s">
        <v>89</v>
      </c>
      <c r="AD44">
        <v>2500</v>
      </c>
      <c r="AG44">
        <v>0.63029999999999997</v>
      </c>
      <c r="AH44">
        <v>1575.75</v>
      </c>
      <c r="AI44">
        <v>220</v>
      </c>
      <c r="AJ44">
        <v>2500</v>
      </c>
      <c r="AK44">
        <v>0</v>
      </c>
      <c r="AL44">
        <v>-2280</v>
      </c>
      <c r="AM44">
        <v>2500</v>
      </c>
      <c r="AZ44">
        <f>SUM($AM44,$AN44:AO44)-SUM($BH44:BJ44)</f>
        <v>2480</v>
      </c>
      <c r="BA44">
        <f>SUM($AM44,$AN44:AP44)-SUM($BH44:BK44)</f>
        <v>2420</v>
      </c>
      <c r="BB44">
        <f>SUM($AM44,$AN44:AQ44)-SUM($BH44:BL44)</f>
        <v>2420</v>
      </c>
      <c r="BC44">
        <f>SUM($AM44,$AN44:AR44)-SUM($BH44:BM44)</f>
        <v>2420</v>
      </c>
      <c r="BD44">
        <f>SUM($AM44,$AN44:AS44)-SUM($BH44:BN44)</f>
        <v>2420</v>
      </c>
      <c r="BI44">
        <f t="array" ref="BI44">SUMPRODUCT(TRANSPOSE(BI$4:BI$9),$K44:$P44)</f>
        <v>0</v>
      </c>
      <c r="BJ44">
        <f t="array" ref="BJ44">SUMPRODUCT(TRANSPOSE(BJ$4:BJ$9),$K44:$P44)</f>
        <v>20</v>
      </c>
      <c r="BK44">
        <f t="array" ref="BK44">SUMPRODUCT(TRANSPOSE(BK$4:BK$9),$K44:$P44)</f>
        <v>60</v>
      </c>
      <c r="BL44">
        <f t="array" ref="BL44">SUMPRODUCT(TRANSPOSE(BL$4:BL$9),$K44:$P44)</f>
        <v>0</v>
      </c>
      <c r="BM44">
        <f t="array" ref="BM44">SUMPRODUCT(TRANSPOSE(BM$4:BM$9),$K44:$P44)</f>
        <v>0</v>
      </c>
      <c r="BN44">
        <f t="array" ref="BN44">SUMPRODUCT(TRANSPOSE(BN$4:BN$9),$K44:$P44)</f>
        <v>0</v>
      </c>
      <c r="CA44" t="s">
        <v>177</v>
      </c>
      <c r="CB44" t="s">
        <v>86</v>
      </c>
      <c r="CC44" t="s">
        <v>306</v>
      </c>
      <c r="CD44" t="s">
        <v>308</v>
      </c>
      <c r="CE44" t="s">
        <v>85</v>
      </c>
      <c r="CF44">
        <v>1</v>
      </c>
      <c r="CG44">
        <v>2500</v>
      </c>
      <c r="CH44">
        <v>1575.75</v>
      </c>
      <c r="CI44" t="s">
        <v>278</v>
      </c>
      <c r="CJ44" s="1">
        <v>45961</v>
      </c>
      <c r="CL44" t="s">
        <v>119</v>
      </c>
      <c r="CN44" t="s">
        <v>96</v>
      </c>
    </row>
    <row r="45" spans="1:99">
      <c r="A45">
        <v>130</v>
      </c>
      <c r="B45" t="s">
        <v>309</v>
      </c>
      <c r="C45" t="s">
        <v>310</v>
      </c>
      <c r="D45" t="s">
        <v>81</v>
      </c>
      <c r="F45">
        <v>402020940</v>
      </c>
      <c r="G45" t="s">
        <v>311</v>
      </c>
      <c r="H45" t="s">
        <v>75</v>
      </c>
      <c r="I45">
        <v>2</v>
      </c>
      <c r="J45">
        <v>507</v>
      </c>
      <c r="K45">
        <v>0</v>
      </c>
      <c r="L45">
        <v>0</v>
      </c>
      <c r="M45">
        <v>0</v>
      </c>
      <c r="N45">
        <v>0</v>
      </c>
      <c r="O45">
        <v>507</v>
      </c>
      <c r="P45">
        <v>0</v>
      </c>
      <c r="Q45">
        <v>507</v>
      </c>
      <c r="R45">
        <v>111540</v>
      </c>
      <c r="S45">
        <v>10000</v>
      </c>
      <c r="T45">
        <v>120000</v>
      </c>
      <c r="U45" t="s">
        <v>312</v>
      </c>
      <c r="W45">
        <v>5.3899999999999998E-3</v>
      </c>
      <c r="X45">
        <v>646.79999999999995</v>
      </c>
      <c r="Y45" t="s">
        <v>85</v>
      </c>
      <c r="Z45" t="s">
        <v>86</v>
      </c>
      <c r="AA45" t="s">
        <v>87</v>
      </c>
      <c r="AB45" t="s">
        <v>88</v>
      </c>
      <c r="AC45" t="s">
        <v>89</v>
      </c>
      <c r="AD45">
        <v>120000</v>
      </c>
      <c r="AG45">
        <v>1.078E-2</v>
      </c>
      <c r="AH45">
        <v>646.79999999999995</v>
      </c>
      <c r="AI45">
        <v>111540</v>
      </c>
      <c r="AJ45">
        <v>120000</v>
      </c>
      <c r="AK45">
        <v>0</v>
      </c>
      <c r="AL45">
        <v>-8460</v>
      </c>
      <c r="AM45">
        <v>120000</v>
      </c>
      <c r="AZ45">
        <f>SUM($AM45,$AN45:AO45)-SUM($BH45:BJ45)</f>
        <v>109860</v>
      </c>
      <c r="BA45">
        <f>SUM($AM45,$AN45:AP45)-SUM($BH45:BK45)</f>
        <v>79440</v>
      </c>
      <c r="BB45">
        <f>SUM($AM45,$AN45:AQ45)-SUM($BH45:BL45)</f>
        <v>79440</v>
      </c>
      <c r="BC45">
        <f>SUM($AM45,$AN45:AR45)-SUM($BH45:BM45)</f>
        <v>79440</v>
      </c>
      <c r="BD45">
        <f>SUM($AM45,$AN45:AS45)-SUM($BH45:BN45)</f>
        <v>79440</v>
      </c>
      <c r="BI45">
        <f t="array" ref="BI45">SUMPRODUCT(TRANSPOSE(BI$4:BI$9),$K45:$P45)</f>
        <v>0</v>
      </c>
      <c r="BJ45">
        <f t="array" ref="BJ45">SUMPRODUCT(TRANSPOSE(BJ$4:BJ$9),$K45:$P45)</f>
        <v>10140</v>
      </c>
      <c r="BK45">
        <f t="array" ref="BK45">SUMPRODUCT(TRANSPOSE(BK$4:BK$9),$K45:$P45)</f>
        <v>30420</v>
      </c>
      <c r="BL45">
        <f t="array" ref="BL45">SUMPRODUCT(TRANSPOSE(BL$4:BL$9),$K45:$P45)</f>
        <v>0</v>
      </c>
      <c r="BM45">
        <f t="array" ref="BM45">SUMPRODUCT(TRANSPOSE(BM$4:BM$9),$K45:$P45)</f>
        <v>0</v>
      </c>
      <c r="BN45">
        <f t="array" ref="BN45">SUMPRODUCT(TRANSPOSE(BN$4:BN$9),$K45:$P45)</f>
        <v>0</v>
      </c>
      <c r="CA45" t="s">
        <v>177</v>
      </c>
      <c r="CB45" t="s">
        <v>86</v>
      </c>
      <c r="CC45" t="s">
        <v>310</v>
      </c>
      <c r="CD45" t="s">
        <v>312</v>
      </c>
      <c r="CE45" t="s">
        <v>85</v>
      </c>
      <c r="CF45">
        <v>1</v>
      </c>
      <c r="CG45">
        <v>120000</v>
      </c>
      <c r="CH45">
        <v>646.79999999999995</v>
      </c>
      <c r="CI45" t="s">
        <v>278</v>
      </c>
      <c r="CJ45" s="1">
        <v>45961</v>
      </c>
      <c r="CL45" t="s">
        <v>119</v>
      </c>
      <c r="CN45" t="s">
        <v>96</v>
      </c>
    </row>
    <row r="46" spans="1:99">
      <c r="A46">
        <v>142</v>
      </c>
      <c r="B46" t="s">
        <v>313</v>
      </c>
      <c r="C46" t="s">
        <v>314</v>
      </c>
      <c r="D46" t="s">
        <v>81</v>
      </c>
      <c r="F46">
        <v>407935991</v>
      </c>
      <c r="G46" t="s">
        <v>315</v>
      </c>
      <c r="H46" t="s">
        <v>75</v>
      </c>
      <c r="I46">
        <v>1</v>
      </c>
      <c r="J46">
        <v>1</v>
      </c>
      <c r="K46">
        <v>0</v>
      </c>
      <c r="L46">
        <v>0</v>
      </c>
      <c r="M46">
        <v>0</v>
      </c>
      <c r="N46">
        <v>0</v>
      </c>
      <c r="O46">
        <v>1</v>
      </c>
      <c r="P46">
        <v>0</v>
      </c>
      <c r="Q46">
        <v>1</v>
      </c>
      <c r="R46">
        <v>220</v>
      </c>
      <c r="S46">
        <v>1</v>
      </c>
      <c r="T46">
        <v>220</v>
      </c>
      <c r="U46" t="s">
        <v>316</v>
      </c>
      <c r="W46">
        <v>23.5</v>
      </c>
      <c r="X46">
        <v>5170</v>
      </c>
      <c r="Y46" t="s">
        <v>85</v>
      </c>
      <c r="Z46" t="s">
        <v>103</v>
      </c>
      <c r="AA46" t="s">
        <v>104</v>
      </c>
      <c r="AB46" t="s">
        <v>105</v>
      </c>
      <c r="AC46" t="s">
        <v>106</v>
      </c>
      <c r="AG46">
        <v>23.5</v>
      </c>
      <c r="AH46">
        <v>5170</v>
      </c>
      <c r="AI46">
        <v>220</v>
      </c>
      <c r="AJ46">
        <v>220</v>
      </c>
      <c r="AK46">
        <v>0</v>
      </c>
      <c r="AL46">
        <v>0</v>
      </c>
      <c r="AM46">
        <v>220</v>
      </c>
      <c r="AZ46">
        <f>SUM($AM46,$AN46:AO46)-SUM($BH46:BJ46)</f>
        <v>200</v>
      </c>
      <c r="BA46">
        <f>SUM($AM46,$AN46:AP46)-SUM($BH46:BK46)</f>
        <v>140</v>
      </c>
      <c r="BB46">
        <f>SUM($AM46,$AN46:AQ46)-SUM($BH46:BL46)</f>
        <v>140</v>
      </c>
      <c r="BC46">
        <f>SUM($AM46,$AN46:AR46)-SUM($BH46:BM46)</f>
        <v>140</v>
      </c>
      <c r="BD46">
        <f>SUM($AM46,$AN46:AS46)-SUM($BH46:BN46)</f>
        <v>140</v>
      </c>
      <c r="BI46">
        <f t="array" ref="BI46">SUMPRODUCT(TRANSPOSE(BI$4:BI$9),$K46:$P46)</f>
        <v>0</v>
      </c>
      <c r="BJ46">
        <f t="array" ref="BJ46">SUMPRODUCT(TRANSPOSE(BJ$4:BJ$9),$K46:$P46)</f>
        <v>20</v>
      </c>
      <c r="BK46">
        <f t="array" ref="BK46">SUMPRODUCT(TRANSPOSE(BK$4:BK$9),$K46:$P46)</f>
        <v>60</v>
      </c>
      <c r="BL46">
        <f t="array" ref="BL46">SUMPRODUCT(TRANSPOSE(BL$4:BL$9),$K46:$P46)</f>
        <v>0</v>
      </c>
      <c r="BM46">
        <f t="array" ref="BM46">SUMPRODUCT(TRANSPOSE(BM$4:BM$9),$K46:$P46)</f>
        <v>0</v>
      </c>
      <c r="BN46">
        <f t="array" ref="BN46">SUMPRODUCT(TRANSPOSE(BN$4:BN$9),$K46:$P46)</f>
        <v>0</v>
      </c>
      <c r="CA46" t="s">
        <v>92</v>
      </c>
      <c r="CB46" t="s">
        <v>103</v>
      </c>
      <c r="CC46" t="s">
        <v>314</v>
      </c>
      <c r="CD46" t="s">
        <v>316</v>
      </c>
      <c r="CE46" t="s">
        <v>85</v>
      </c>
      <c r="CF46">
        <v>1</v>
      </c>
      <c r="CG46">
        <v>220</v>
      </c>
      <c r="CH46">
        <v>5170</v>
      </c>
      <c r="CI46" t="s">
        <v>107</v>
      </c>
      <c r="CJ46" s="1">
        <v>45961</v>
      </c>
      <c r="CK46" t="s">
        <v>95</v>
      </c>
      <c r="CN46" t="s">
        <v>108</v>
      </c>
      <c r="CO46" t="s">
        <v>109</v>
      </c>
    </row>
    <row r="47" spans="1:99">
      <c r="A47">
        <v>143</v>
      </c>
      <c r="B47" t="s">
        <v>317</v>
      </c>
      <c r="C47" t="s">
        <v>318</v>
      </c>
      <c r="D47" t="s">
        <v>81</v>
      </c>
      <c r="F47">
        <v>407997804</v>
      </c>
      <c r="G47" t="s">
        <v>319</v>
      </c>
      <c r="H47" t="s">
        <v>75</v>
      </c>
      <c r="I47">
        <v>1</v>
      </c>
      <c r="J47">
        <v>8</v>
      </c>
      <c r="K47">
        <v>0</v>
      </c>
      <c r="L47">
        <v>0</v>
      </c>
      <c r="M47">
        <v>0</v>
      </c>
      <c r="N47">
        <v>0</v>
      </c>
      <c r="O47">
        <v>8</v>
      </c>
      <c r="P47">
        <v>0</v>
      </c>
      <c r="Q47">
        <v>8</v>
      </c>
      <c r="R47">
        <v>1760</v>
      </c>
      <c r="S47">
        <v>1</v>
      </c>
      <c r="T47">
        <v>1760</v>
      </c>
      <c r="U47" t="s">
        <v>316</v>
      </c>
      <c r="W47">
        <v>23.5</v>
      </c>
      <c r="X47">
        <v>41360</v>
      </c>
      <c r="Y47" t="s">
        <v>85</v>
      </c>
      <c r="Z47" t="s">
        <v>103</v>
      </c>
      <c r="AA47" t="s">
        <v>104</v>
      </c>
      <c r="AB47" t="s">
        <v>105</v>
      </c>
      <c r="AC47" t="s">
        <v>106</v>
      </c>
      <c r="AG47">
        <v>23.5</v>
      </c>
      <c r="AH47">
        <v>41360</v>
      </c>
      <c r="AI47">
        <v>1760</v>
      </c>
      <c r="AJ47">
        <v>1760</v>
      </c>
      <c r="AK47">
        <v>0</v>
      </c>
      <c r="AL47">
        <v>1120</v>
      </c>
      <c r="AM47">
        <v>640</v>
      </c>
      <c r="AZ47">
        <f>SUM($AM47,$AN47:AO47)-SUM($BH47:BJ47)</f>
        <v>480</v>
      </c>
      <c r="BA47">
        <f>SUM($AM47,$AN47:AP47)-SUM($BH47:BK47)</f>
        <v>0</v>
      </c>
      <c r="BB47">
        <f>SUM($AM47,$AN47:AQ47)-SUM($BH47:BL47)</f>
        <v>0</v>
      </c>
      <c r="BC47">
        <f>SUM($AM47,$AN47:AR47)-SUM($BH47:BM47)</f>
        <v>0</v>
      </c>
      <c r="BD47">
        <f>SUM($AM47,$AN47:AS47)-SUM($BH47:BN47)</f>
        <v>0</v>
      </c>
      <c r="BI47">
        <f t="array" ref="BI47">SUMPRODUCT(TRANSPOSE(BI$4:BI$9),$K47:$P47)</f>
        <v>0</v>
      </c>
      <c r="BJ47">
        <f t="array" ref="BJ47">SUMPRODUCT(TRANSPOSE(BJ$4:BJ$9),$K47:$P47)</f>
        <v>160</v>
      </c>
      <c r="BK47">
        <f t="array" ref="BK47">SUMPRODUCT(TRANSPOSE(BK$4:BK$9),$K47:$P47)</f>
        <v>480</v>
      </c>
      <c r="BL47">
        <f t="array" ref="BL47">SUMPRODUCT(TRANSPOSE(BL$4:BL$9),$K47:$P47)</f>
        <v>0</v>
      </c>
      <c r="BM47">
        <f t="array" ref="BM47">SUMPRODUCT(TRANSPOSE(BM$4:BM$9),$K47:$P47)</f>
        <v>0</v>
      </c>
      <c r="BN47">
        <f t="array" ref="BN47">SUMPRODUCT(TRANSPOSE(BN$4:BN$9),$K47:$P47)</f>
        <v>0</v>
      </c>
      <c r="CA47" t="s">
        <v>92</v>
      </c>
      <c r="CB47" t="s">
        <v>103</v>
      </c>
      <c r="CC47" t="s">
        <v>318</v>
      </c>
      <c r="CD47" t="s">
        <v>316</v>
      </c>
      <c r="CE47" t="s">
        <v>85</v>
      </c>
      <c r="CF47">
        <v>1</v>
      </c>
      <c r="CG47">
        <v>1760</v>
      </c>
      <c r="CH47">
        <v>41360</v>
      </c>
      <c r="CI47" t="s">
        <v>107</v>
      </c>
      <c r="CJ47" s="1">
        <v>45961</v>
      </c>
      <c r="CK47" t="s">
        <v>95</v>
      </c>
      <c r="CN47" t="s">
        <v>108</v>
      </c>
      <c r="CO47" t="s">
        <v>109</v>
      </c>
    </row>
    <row r="48" spans="1:99">
      <c r="A48">
        <v>144</v>
      </c>
      <c r="B48" t="s">
        <v>320</v>
      </c>
      <c r="C48" t="s">
        <v>321</v>
      </c>
      <c r="D48" t="s">
        <v>81</v>
      </c>
      <c r="F48">
        <v>407223681</v>
      </c>
      <c r="G48" t="s">
        <v>322</v>
      </c>
      <c r="H48" t="s">
        <v>75</v>
      </c>
      <c r="I48">
        <v>1</v>
      </c>
      <c r="J48">
        <v>16</v>
      </c>
      <c r="K48">
        <v>0</v>
      </c>
      <c r="L48">
        <v>0</v>
      </c>
      <c r="M48">
        <v>0</v>
      </c>
      <c r="N48">
        <v>0</v>
      </c>
      <c r="O48">
        <v>16</v>
      </c>
      <c r="P48">
        <v>0</v>
      </c>
      <c r="Q48">
        <v>16</v>
      </c>
      <c r="R48">
        <v>3520</v>
      </c>
      <c r="S48">
        <v>1</v>
      </c>
      <c r="T48">
        <v>3520</v>
      </c>
      <c r="U48" t="s">
        <v>316</v>
      </c>
      <c r="W48">
        <v>22.95</v>
      </c>
      <c r="X48">
        <v>80784</v>
      </c>
      <c r="Y48" t="s">
        <v>85</v>
      </c>
      <c r="Z48" t="s">
        <v>103</v>
      </c>
      <c r="AA48" t="s">
        <v>104</v>
      </c>
      <c r="AB48" t="s">
        <v>105</v>
      </c>
      <c r="AC48" t="s">
        <v>106</v>
      </c>
      <c r="AG48">
        <v>22.95</v>
      </c>
      <c r="AH48">
        <v>80784</v>
      </c>
      <c r="AI48">
        <v>3520</v>
      </c>
      <c r="AJ48">
        <v>3520</v>
      </c>
      <c r="AK48">
        <v>0</v>
      </c>
      <c r="AL48">
        <v>2240</v>
      </c>
      <c r="AM48">
        <v>1280</v>
      </c>
      <c r="AZ48">
        <f>SUM($AM48,$AN48:AO48)-SUM($BH48:BJ48)</f>
        <v>960</v>
      </c>
      <c r="BA48">
        <f>SUM($AM48,$AN48:AP48)-SUM($BH48:BK48)</f>
        <v>0</v>
      </c>
      <c r="BB48">
        <f>SUM($AM48,$AN48:AQ48)-SUM($BH48:BL48)</f>
        <v>0</v>
      </c>
      <c r="BC48">
        <f>SUM($AM48,$AN48:AR48)-SUM($BH48:BM48)</f>
        <v>0</v>
      </c>
      <c r="BD48">
        <f>SUM($AM48,$AN48:AS48)-SUM($BH48:BN48)</f>
        <v>0</v>
      </c>
      <c r="BI48">
        <f t="array" ref="BI48">SUMPRODUCT(TRANSPOSE(BI$4:BI$9),$K48:$P48)</f>
        <v>0</v>
      </c>
      <c r="BJ48">
        <f t="array" ref="BJ48">SUMPRODUCT(TRANSPOSE(BJ$4:BJ$9),$K48:$P48)</f>
        <v>320</v>
      </c>
      <c r="BK48">
        <f t="array" ref="BK48">SUMPRODUCT(TRANSPOSE(BK$4:BK$9),$K48:$P48)</f>
        <v>960</v>
      </c>
      <c r="BL48">
        <f t="array" ref="BL48">SUMPRODUCT(TRANSPOSE(BL$4:BL$9),$K48:$P48)</f>
        <v>0</v>
      </c>
      <c r="BM48">
        <f t="array" ref="BM48">SUMPRODUCT(TRANSPOSE(BM$4:BM$9),$K48:$P48)</f>
        <v>0</v>
      </c>
      <c r="BN48">
        <f t="array" ref="BN48">SUMPRODUCT(TRANSPOSE(BN$4:BN$9),$K48:$P48)</f>
        <v>0</v>
      </c>
      <c r="CA48" t="s">
        <v>92</v>
      </c>
      <c r="CB48" t="s">
        <v>103</v>
      </c>
      <c r="CC48" t="s">
        <v>321</v>
      </c>
      <c r="CD48" t="s">
        <v>316</v>
      </c>
      <c r="CE48" t="s">
        <v>85</v>
      </c>
      <c r="CF48">
        <v>1</v>
      </c>
      <c r="CG48">
        <v>3520</v>
      </c>
      <c r="CH48">
        <v>80784</v>
      </c>
      <c r="CI48" t="s">
        <v>107</v>
      </c>
      <c r="CJ48" s="1">
        <v>45961</v>
      </c>
      <c r="CK48" t="s">
        <v>95</v>
      </c>
      <c r="CN48" t="s">
        <v>108</v>
      </c>
      <c r="CO48" t="s">
        <v>109</v>
      </c>
    </row>
    <row r="49" spans="1:100">
      <c r="A49">
        <v>145</v>
      </c>
      <c r="B49" t="s">
        <v>323</v>
      </c>
      <c r="C49" t="s">
        <v>324</v>
      </c>
      <c r="D49" t="s">
        <v>81</v>
      </c>
      <c r="F49">
        <v>407223680</v>
      </c>
      <c r="G49" t="s">
        <v>325</v>
      </c>
      <c r="H49" t="s">
        <v>75</v>
      </c>
      <c r="I49">
        <v>1</v>
      </c>
      <c r="J49">
        <v>8</v>
      </c>
      <c r="K49">
        <v>0</v>
      </c>
      <c r="L49">
        <v>0</v>
      </c>
      <c r="M49">
        <v>0</v>
      </c>
      <c r="N49">
        <v>0</v>
      </c>
      <c r="O49">
        <v>8</v>
      </c>
      <c r="P49">
        <v>0</v>
      </c>
      <c r="Q49">
        <v>8</v>
      </c>
      <c r="R49">
        <v>1760</v>
      </c>
      <c r="S49">
        <v>1</v>
      </c>
      <c r="T49">
        <v>1760</v>
      </c>
      <c r="U49" t="s">
        <v>316</v>
      </c>
      <c r="W49">
        <v>22.95</v>
      </c>
      <c r="X49">
        <v>40392</v>
      </c>
      <c r="Y49" t="s">
        <v>85</v>
      </c>
      <c r="Z49" t="s">
        <v>103</v>
      </c>
      <c r="AA49" t="s">
        <v>104</v>
      </c>
      <c r="AB49" t="s">
        <v>105</v>
      </c>
      <c r="AC49" t="s">
        <v>106</v>
      </c>
      <c r="AG49">
        <v>22.95</v>
      </c>
      <c r="AH49">
        <v>40392</v>
      </c>
      <c r="AI49">
        <v>1760</v>
      </c>
      <c r="AJ49">
        <v>1760</v>
      </c>
      <c r="AK49">
        <v>0</v>
      </c>
      <c r="AL49">
        <v>1120</v>
      </c>
      <c r="AM49">
        <v>640</v>
      </c>
      <c r="AZ49">
        <f>SUM($AM49,$AN49:AO49)-SUM($BH49:BJ49)</f>
        <v>480</v>
      </c>
      <c r="BA49">
        <f>SUM($AM49,$AN49:AP49)-SUM($BH49:BK49)</f>
        <v>0</v>
      </c>
      <c r="BB49">
        <f>SUM($AM49,$AN49:AQ49)-SUM($BH49:BL49)</f>
        <v>0</v>
      </c>
      <c r="BC49">
        <f>SUM($AM49,$AN49:AR49)-SUM($BH49:BM49)</f>
        <v>0</v>
      </c>
      <c r="BD49">
        <f>SUM($AM49,$AN49:AS49)-SUM($BH49:BN49)</f>
        <v>0</v>
      </c>
      <c r="BI49">
        <f t="array" ref="BI49">SUMPRODUCT(TRANSPOSE(BI$4:BI$9),$K49:$P49)</f>
        <v>0</v>
      </c>
      <c r="BJ49">
        <f t="array" ref="BJ49">SUMPRODUCT(TRANSPOSE(BJ$4:BJ$9),$K49:$P49)</f>
        <v>160</v>
      </c>
      <c r="BK49">
        <f t="array" ref="BK49">SUMPRODUCT(TRANSPOSE(BK$4:BK$9),$K49:$P49)</f>
        <v>480</v>
      </c>
      <c r="BL49">
        <f t="array" ref="BL49">SUMPRODUCT(TRANSPOSE(BL$4:BL$9),$K49:$P49)</f>
        <v>0</v>
      </c>
      <c r="BM49">
        <f t="array" ref="BM49">SUMPRODUCT(TRANSPOSE(BM$4:BM$9),$K49:$P49)</f>
        <v>0</v>
      </c>
      <c r="BN49">
        <f t="array" ref="BN49">SUMPRODUCT(TRANSPOSE(BN$4:BN$9),$K49:$P49)</f>
        <v>0</v>
      </c>
      <c r="CA49" t="s">
        <v>92</v>
      </c>
      <c r="CB49" t="s">
        <v>103</v>
      </c>
      <c r="CC49" t="s">
        <v>324</v>
      </c>
      <c r="CD49" t="s">
        <v>316</v>
      </c>
      <c r="CE49" t="s">
        <v>85</v>
      </c>
      <c r="CF49">
        <v>1</v>
      </c>
      <c r="CG49">
        <v>1760</v>
      </c>
      <c r="CH49">
        <v>40392</v>
      </c>
      <c r="CI49" t="s">
        <v>107</v>
      </c>
      <c r="CJ49" s="1">
        <v>45961</v>
      </c>
      <c r="CK49" t="s">
        <v>95</v>
      </c>
      <c r="CN49" t="s">
        <v>108</v>
      </c>
      <c r="CO49" t="s">
        <v>109</v>
      </c>
    </row>
    <row r="50" spans="1:100">
      <c r="A50">
        <v>146</v>
      </c>
      <c r="B50" t="s">
        <v>326</v>
      </c>
      <c r="C50" t="s">
        <v>327</v>
      </c>
      <c r="D50" t="s">
        <v>81</v>
      </c>
      <c r="F50">
        <v>407935989</v>
      </c>
      <c r="G50" t="s">
        <v>328</v>
      </c>
      <c r="H50" t="s">
        <v>75</v>
      </c>
      <c r="I50">
        <v>1</v>
      </c>
      <c r="J50">
        <v>28</v>
      </c>
      <c r="K50">
        <v>0</v>
      </c>
      <c r="L50">
        <v>0</v>
      </c>
      <c r="M50">
        <v>0</v>
      </c>
      <c r="N50">
        <v>0</v>
      </c>
      <c r="O50">
        <v>28</v>
      </c>
      <c r="P50">
        <v>0</v>
      </c>
      <c r="Q50">
        <v>28</v>
      </c>
      <c r="R50">
        <v>6160</v>
      </c>
      <c r="S50">
        <v>1</v>
      </c>
      <c r="T50">
        <v>6160</v>
      </c>
      <c r="U50" t="s">
        <v>316</v>
      </c>
      <c r="W50">
        <v>22.95</v>
      </c>
      <c r="X50">
        <v>141372</v>
      </c>
      <c r="Y50" t="s">
        <v>85</v>
      </c>
      <c r="Z50" t="s">
        <v>103</v>
      </c>
      <c r="AA50" t="s">
        <v>104</v>
      </c>
      <c r="AB50" t="s">
        <v>105</v>
      </c>
      <c r="AC50" t="s">
        <v>106</v>
      </c>
      <c r="AG50">
        <v>22.95</v>
      </c>
      <c r="AH50">
        <v>141372</v>
      </c>
      <c r="AI50">
        <v>6160</v>
      </c>
      <c r="AJ50">
        <v>6160</v>
      </c>
      <c r="AK50">
        <v>0</v>
      </c>
      <c r="AL50">
        <v>3920</v>
      </c>
      <c r="AM50">
        <v>2240</v>
      </c>
      <c r="AZ50">
        <f>SUM($AM50,$AN50:AO50)-SUM($BH50:BJ50)</f>
        <v>1680</v>
      </c>
      <c r="BA50">
        <f>SUM($AM50,$AN50:AP50)-SUM($BH50:BK50)</f>
        <v>0</v>
      </c>
      <c r="BB50">
        <f>SUM($AM50,$AN50:AQ50)-SUM($BH50:BL50)</f>
        <v>0</v>
      </c>
      <c r="BC50">
        <f>SUM($AM50,$AN50:AR50)-SUM($BH50:BM50)</f>
        <v>0</v>
      </c>
      <c r="BD50">
        <f>SUM($AM50,$AN50:AS50)-SUM($BH50:BN50)</f>
        <v>0</v>
      </c>
      <c r="BI50">
        <f t="array" ref="BI50">SUMPRODUCT(TRANSPOSE(BI$4:BI$9),$K50:$P50)</f>
        <v>0</v>
      </c>
      <c r="BJ50">
        <f t="array" ref="BJ50">SUMPRODUCT(TRANSPOSE(BJ$4:BJ$9),$K50:$P50)</f>
        <v>560</v>
      </c>
      <c r="BK50">
        <f t="array" ref="BK50">SUMPRODUCT(TRANSPOSE(BK$4:BK$9),$K50:$P50)</f>
        <v>1680</v>
      </c>
      <c r="BL50">
        <f t="array" ref="BL50">SUMPRODUCT(TRANSPOSE(BL$4:BL$9),$K50:$P50)</f>
        <v>0</v>
      </c>
      <c r="BM50">
        <f t="array" ref="BM50">SUMPRODUCT(TRANSPOSE(BM$4:BM$9),$K50:$P50)</f>
        <v>0</v>
      </c>
      <c r="BN50">
        <f t="array" ref="BN50">SUMPRODUCT(TRANSPOSE(BN$4:BN$9),$K50:$P50)</f>
        <v>0</v>
      </c>
      <c r="CA50" t="s">
        <v>92</v>
      </c>
      <c r="CB50" t="s">
        <v>103</v>
      </c>
      <c r="CC50" t="s">
        <v>327</v>
      </c>
      <c r="CD50" t="s">
        <v>316</v>
      </c>
      <c r="CE50" t="s">
        <v>85</v>
      </c>
      <c r="CF50">
        <v>1</v>
      </c>
      <c r="CG50">
        <v>6160</v>
      </c>
      <c r="CH50">
        <v>141372</v>
      </c>
      <c r="CI50" t="s">
        <v>107</v>
      </c>
      <c r="CJ50" s="1">
        <v>45961</v>
      </c>
      <c r="CK50" t="s">
        <v>95</v>
      </c>
      <c r="CN50" t="s">
        <v>108</v>
      </c>
      <c r="CO50" t="s">
        <v>109</v>
      </c>
    </row>
    <row r="51" spans="1:100">
      <c r="A51">
        <v>147</v>
      </c>
      <c r="B51" t="s">
        <v>329</v>
      </c>
      <c r="C51" t="s">
        <v>330</v>
      </c>
      <c r="D51" t="s">
        <v>81</v>
      </c>
      <c r="F51">
        <v>408024664</v>
      </c>
      <c r="G51" t="s">
        <v>331</v>
      </c>
      <c r="H51" t="s">
        <v>75</v>
      </c>
      <c r="I51">
        <v>1</v>
      </c>
      <c r="J51">
        <v>4</v>
      </c>
      <c r="K51">
        <v>0</v>
      </c>
      <c r="L51">
        <v>0</v>
      </c>
      <c r="M51">
        <v>0</v>
      </c>
      <c r="N51">
        <v>0</v>
      </c>
      <c r="O51">
        <v>4</v>
      </c>
      <c r="P51">
        <v>0</v>
      </c>
      <c r="Q51">
        <v>4</v>
      </c>
      <c r="R51">
        <v>880</v>
      </c>
      <c r="S51">
        <v>1</v>
      </c>
      <c r="T51">
        <v>880</v>
      </c>
      <c r="U51" t="s">
        <v>316</v>
      </c>
      <c r="W51">
        <v>23.5</v>
      </c>
      <c r="X51">
        <v>20680</v>
      </c>
      <c r="Y51" t="s">
        <v>85</v>
      </c>
      <c r="Z51" t="s">
        <v>103</v>
      </c>
      <c r="AA51" t="s">
        <v>104</v>
      </c>
      <c r="AB51" t="s">
        <v>105</v>
      </c>
      <c r="AC51" t="s">
        <v>106</v>
      </c>
      <c r="AG51">
        <v>23.5</v>
      </c>
      <c r="AH51">
        <v>20680</v>
      </c>
      <c r="AI51">
        <v>880</v>
      </c>
      <c r="AJ51">
        <v>880</v>
      </c>
      <c r="AK51">
        <v>0</v>
      </c>
      <c r="AL51">
        <v>560</v>
      </c>
      <c r="AM51">
        <v>320</v>
      </c>
      <c r="AZ51">
        <f>SUM($AM51,$AN51:AO51)-SUM($BH51:BJ51)</f>
        <v>240</v>
      </c>
      <c r="BA51">
        <f>SUM($AM51,$AN51:AP51)-SUM($BH51:BK51)</f>
        <v>0</v>
      </c>
      <c r="BB51">
        <f>SUM($AM51,$AN51:AQ51)-SUM($BH51:BL51)</f>
        <v>0</v>
      </c>
      <c r="BC51">
        <f>SUM($AM51,$AN51:AR51)-SUM($BH51:BM51)</f>
        <v>0</v>
      </c>
      <c r="BD51">
        <f>SUM($AM51,$AN51:AS51)-SUM($BH51:BN51)</f>
        <v>0</v>
      </c>
      <c r="BI51">
        <f t="array" ref="BI51">SUMPRODUCT(TRANSPOSE(BI$4:BI$9),$K51:$P51)</f>
        <v>0</v>
      </c>
      <c r="BJ51">
        <f t="array" ref="BJ51">SUMPRODUCT(TRANSPOSE(BJ$4:BJ$9),$K51:$P51)</f>
        <v>80</v>
      </c>
      <c r="BK51">
        <f t="array" ref="BK51">SUMPRODUCT(TRANSPOSE(BK$4:BK$9),$K51:$P51)</f>
        <v>240</v>
      </c>
      <c r="BL51">
        <f t="array" ref="BL51">SUMPRODUCT(TRANSPOSE(BL$4:BL$9),$K51:$P51)</f>
        <v>0</v>
      </c>
      <c r="BM51">
        <f t="array" ref="BM51">SUMPRODUCT(TRANSPOSE(BM$4:BM$9),$K51:$P51)</f>
        <v>0</v>
      </c>
      <c r="BN51">
        <f t="array" ref="BN51">SUMPRODUCT(TRANSPOSE(BN$4:BN$9),$K51:$P51)</f>
        <v>0</v>
      </c>
      <c r="CA51" t="s">
        <v>92</v>
      </c>
      <c r="CB51" t="s">
        <v>103</v>
      </c>
      <c r="CC51" t="s">
        <v>330</v>
      </c>
      <c r="CD51" t="s">
        <v>316</v>
      </c>
      <c r="CE51" t="s">
        <v>85</v>
      </c>
      <c r="CF51">
        <v>1</v>
      </c>
      <c r="CG51">
        <v>880</v>
      </c>
      <c r="CH51">
        <v>20680</v>
      </c>
      <c r="CI51" t="s">
        <v>107</v>
      </c>
      <c r="CJ51" s="1">
        <v>45961</v>
      </c>
      <c r="CK51" t="s">
        <v>95</v>
      </c>
      <c r="CN51" t="s">
        <v>108</v>
      </c>
      <c r="CO51" t="s">
        <v>109</v>
      </c>
    </row>
    <row r="52" spans="1:100">
      <c r="A52">
        <v>150</v>
      </c>
      <c r="B52" t="s">
        <v>332</v>
      </c>
      <c r="C52" t="s">
        <v>333</v>
      </c>
      <c r="D52" t="s">
        <v>81</v>
      </c>
      <c r="F52">
        <v>416429743</v>
      </c>
      <c r="G52" t="s">
        <v>334</v>
      </c>
      <c r="H52" t="s">
        <v>75</v>
      </c>
      <c r="I52">
        <v>2</v>
      </c>
      <c r="J52">
        <v>32</v>
      </c>
      <c r="K52">
        <v>0</v>
      </c>
      <c r="L52">
        <v>0</v>
      </c>
      <c r="M52">
        <v>0</v>
      </c>
      <c r="N52">
        <v>0</v>
      </c>
      <c r="O52">
        <v>32</v>
      </c>
      <c r="P52">
        <v>0</v>
      </c>
      <c r="Q52">
        <v>32</v>
      </c>
      <c r="R52">
        <v>7040</v>
      </c>
      <c r="S52">
        <v>170</v>
      </c>
      <c r="T52">
        <v>7140</v>
      </c>
      <c r="U52" t="s">
        <v>335</v>
      </c>
      <c r="W52">
        <v>4.95</v>
      </c>
      <c r="X52">
        <v>35343</v>
      </c>
      <c r="Y52" t="s">
        <v>85</v>
      </c>
      <c r="Z52" t="s">
        <v>103</v>
      </c>
      <c r="AA52" t="s">
        <v>104</v>
      </c>
      <c r="AB52" t="s">
        <v>105</v>
      </c>
      <c r="AC52" t="s">
        <v>106</v>
      </c>
      <c r="AG52">
        <v>9.9</v>
      </c>
      <c r="AH52">
        <v>35343</v>
      </c>
      <c r="AI52">
        <v>7040</v>
      </c>
      <c r="AJ52">
        <v>7140</v>
      </c>
      <c r="AK52">
        <v>0</v>
      </c>
      <c r="AL52">
        <v>4040</v>
      </c>
      <c r="AM52">
        <v>3000</v>
      </c>
      <c r="AZ52">
        <f>SUM($AM52,$AN52:AO52)-SUM($BH52:BJ52)</f>
        <v>2360</v>
      </c>
      <c r="BA52">
        <f>SUM($AM52,$AN52:AP52)-SUM($BH52:BK52)</f>
        <v>440</v>
      </c>
      <c r="BB52">
        <f>SUM($AM52,$AN52:AQ52)-SUM($BH52:BL52)</f>
        <v>440</v>
      </c>
      <c r="BC52">
        <f>SUM($AM52,$AN52:AR52)-SUM($BH52:BM52)</f>
        <v>440</v>
      </c>
      <c r="BD52">
        <f>SUM($AM52,$AN52:AS52)-SUM($BH52:BN52)</f>
        <v>440</v>
      </c>
      <c r="BI52">
        <f t="array" ref="BI52">SUMPRODUCT(TRANSPOSE(BI$4:BI$9),$K52:$P52)</f>
        <v>0</v>
      </c>
      <c r="BJ52">
        <f t="array" ref="BJ52">SUMPRODUCT(TRANSPOSE(BJ$4:BJ$9),$K52:$P52)</f>
        <v>640</v>
      </c>
      <c r="BK52">
        <f t="array" ref="BK52">SUMPRODUCT(TRANSPOSE(BK$4:BK$9),$K52:$P52)</f>
        <v>1920</v>
      </c>
      <c r="BL52">
        <f t="array" ref="BL52">SUMPRODUCT(TRANSPOSE(BL$4:BL$9),$K52:$P52)</f>
        <v>0</v>
      </c>
      <c r="BM52">
        <f t="array" ref="BM52">SUMPRODUCT(TRANSPOSE(BM$4:BM$9),$K52:$P52)</f>
        <v>0</v>
      </c>
      <c r="BN52">
        <f t="array" ref="BN52">SUMPRODUCT(TRANSPOSE(BN$4:BN$9),$K52:$P52)</f>
        <v>0</v>
      </c>
      <c r="CA52" t="s">
        <v>92</v>
      </c>
      <c r="CB52" t="s">
        <v>103</v>
      </c>
      <c r="CC52" t="s">
        <v>333</v>
      </c>
      <c r="CD52" t="s">
        <v>335</v>
      </c>
      <c r="CE52" t="s">
        <v>85</v>
      </c>
      <c r="CF52">
        <v>1</v>
      </c>
      <c r="CG52">
        <v>7140</v>
      </c>
      <c r="CH52">
        <v>35343</v>
      </c>
      <c r="CI52" t="s">
        <v>107</v>
      </c>
      <c r="CJ52" s="1">
        <v>45961</v>
      </c>
      <c r="CK52" t="s">
        <v>95</v>
      </c>
      <c r="CN52" t="s">
        <v>108</v>
      </c>
      <c r="CO52" t="s">
        <v>109</v>
      </c>
    </row>
    <row r="53" spans="1:100">
      <c r="A53">
        <v>168</v>
      </c>
      <c r="B53" t="s">
        <v>336</v>
      </c>
      <c r="C53" t="s">
        <v>337</v>
      </c>
      <c r="D53" t="s">
        <v>81</v>
      </c>
      <c r="F53">
        <v>406571972</v>
      </c>
      <c r="G53" t="s">
        <v>338</v>
      </c>
      <c r="H53" t="s">
        <v>75</v>
      </c>
      <c r="I53">
        <v>1</v>
      </c>
      <c r="J53">
        <v>99</v>
      </c>
      <c r="K53">
        <v>0</v>
      </c>
      <c r="L53">
        <v>0</v>
      </c>
      <c r="M53">
        <v>0</v>
      </c>
      <c r="N53">
        <v>0</v>
      </c>
      <c r="O53">
        <v>99</v>
      </c>
      <c r="P53">
        <v>0</v>
      </c>
      <c r="Q53">
        <v>99</v>
      </c>
      <c r="R53">
        <v>21780</v>
      </c>
      <c r="S53">
        <v>4000</v>
      </c>
      <c r="T53">
        <v>24000</v>
      </c>
      <c r="U53" t="s">
        <v>312</v>
      </c>
      <c r="W53">
        <v>0.09</v>
      </c>
      <c r="X53">
        <v>2160</v>
      </c>
      <c r="Y53" t="s">
        <v>85</v>
      </c>
      <c r="Z53" t="s">
        <v>86</v>
      </c>
      <c r="AA53" t="s">
        <v>87</v>
      </c>
      <c r="AB53" t="s">
        <v>88</v>
      </c>
      <c r="AC53" t="s">
        <v>89</v>
      </c>
      <c r="AD53">
        <v>24000</v>
      </c>
      <c r="AG53">
        <v>0.09</v>
      </c>
      <c r="AH53">
        <v>2160</v>
      </c>
      <c r="AI53">
        <v>21780</v>
      </c>
      <c r="AJ53">
        <v>24000</v>
      </c>
      <c r="AK53">
        <v>0</v>
      </c>
      <c r="AL53">
        <v>-2220</v>
      </c>
      <c r="AM53">
        <v>24000</v>
      </c>
      <c r="AZ53">
        <f>SUM($AM53,$AN53:AO53)-SUM($BH53:BJ53)</f>
        <v>22020</v>
      </c>
      <c r="BA53">
        <f>SUM($AM53,$AN53:AP53)-SUM($BH53:BK53)</f>
        <v>16080</v>
      </c>
      <c r="BB53">
        <f>SUM($AM53,$AN53:AQ53)-SUM($BH53:BL53)</f>
        <v>16080</v>
      </c>
      <c r="BC53">
        <f>SUM($AM53,$AN53:AR53)-SUM($BH53:BM53)</f>
        <v>16080</v>
      </c>
      <c r="BD53">
        <f>SUM($AM53,$AN53:AS53)-SUM($BH53:BN53)</f>
        <v>16080</v>
      </c>
      <c r="BI53">
        <f t="array" ref="BI53">SUMPRODUCT(TRANSPOSE(BI$4:BI$9),$K53:$P53)</f>
        <v>0</v>
      </c>
      <c r="BJ53">
        <f t="array" ref="BJ53">SUMPRODUCT(TRANSPOSE(BJ$4:BJ$9),$K53:$P53)</f>
        <v>1980</v>
      </c>
      <c r="BK53">
        <f t="array" ref="BK53">SUMPRODUCT(TRANSPOSE(BK$4:BK$9),$K53:$P53)</f>
        <v>5940</v>
      </c>
      <c r="BL53">
        <f t="array" ref="BL53">SUMPRODUCT(TRANSPOSE(BL$4:BL$9),$K53:$P53)</f>
        <v>0</v>
      </c>
      <c r="BM53">
        <f t="array" ref="BM53">SUMPRODUCT(TRANSPOSE(BM$4:BM$9),$K53:$P53)</f>
        <v>0</v>
      </c>
      <c r="BN53">
        <f t="array" ref="BN53">SUMPRODUCT(TRANSPOSE(BN$4:BN$9),$K53:$P53)</f>
        <v>0</v>
      </c>
      <c r="BR53" t="s">
        <v>339</v>
      </c>
      <c r="BW53" t="s">
        <v>340</v>
      </c>
      <c r="CA53" t="s">
        <v>92</v>
      </c>
      <c r="CB53" t="s">
        <v>341</v>
      </c>
      <c r="CC53" t="s">
        <v>337</v>
      </c>
      <c r="CD53" t="s">
        <v>312</v>
      </c>
      <c r="CE53" t="s">
        <v>85</v>
      </c>
      <c r="CF53">
        <v>1</v>
      </c>
      <c r="CG53">
        <v>24000</v>
      </c>
      <c r="CH53">
        <v>3120</v>
      </c>
      <c r="CI53" t="s">
        <v>342</v>
      </c>
      <c r="CJ53" s="1">
        <v>46034</v>
      </c>
      <c r="CN53" t="s">
        <v>96</v>
      </c>
      <c r="CU53" t="s">
        <v>343</v>
      </c>
    </row>
    <row r="54" spans="1:100">
      <c r="A54">
        <v>173</v>
      </c>
      <c r="B54" t="s">
        <v>344</v>
      </c>
      <c r="C54" t="s">
        <v>345</v>
      </c>
      <c r="D54" t="s">
        <v>81</v>
      </c>
      <c r="F54">
        <v>400631198</v>
      </c>
      <c r="G54" t="s">
        <v>346</v>
      </c>
      <c r="H54" t="s">
        <v>75</v>
      </c>
      <c r="I54">
        <v>2</v>
      </c>
      <c r="J54">
        <v>4</v>
      </c>
      <c r="K54">
        <v>2</v>
      </c>
      <c r="L54">
        <v>0</v>
      </c>
      <c r="M54">
        <v>0</v>
      </c>
      <c r="N54">
        <v>4</v>
      </c>
      <c r="O54">
        <v>0</v>
      </c>
      <c r="P54">
        <v>0</v>
      </c>
      <c r="Q54">
        <v>6</v>
      </c>
      <c r="R54">
        <v>720</v>
      </c>
      <c r="S54">
        <v>1</v>
      </c>
      <c r="T54">
        <v>720</v>
      </c>
      <c r="U54" t="s">
        <v>347</v>
      </c>
      <c r="W54">
        <v>2.46</v>
      </c>
      <c r="X54">
        <v>1771.2</v>
      </c>
      <c r="Y54" t="s">
        <v>85</v>
      </c>
      <c r="Z54" t="s">
        <v>348</v>
      </c>
      <c r="AA54" t="s">
        <v>349</v>
      </c>
      <c r="AC54" t="s">
        <v>350</v>
      </c>
      <c r="AG54">
        <v>4.92</v>
      </c>
      <c r="AH54">
        <v>2164.8000000000002</v>
      </c>
      <c r="AI54">
        <v>720</v>
      </c>
      <c r="AJ54">
        <v>880</v>
      </c>
      <c r="AK54">
        <v>0</v>
      </c>
      <c r="AL54">
        <v>-160</v>
      </c>
      <c r="AM54">
        <v>880</v>
      </c>
      <c r="AZ54">
        <f>SUM($AM54,$AN54:AO54)-SUM($BH54:BJ54)</f>
        <v>800</v>
      </c>
      <c r="BA54">
        <f>SUM($AM54,$AN54:AP54)-SUM($BH54:BK54)</f>
        <v>560</v>
      </c>
      <c r="BB54">
        <f>SUM($AM54,$AN54:AQ54)-SUM($BH54:BL54)</f>
        <v>560</v>
      </c>
      <c r="BC54">
        <f>SUM($AM54,$AN54:AR54)-SUM($BH54:BM54)</f>
        <v>560</v>
      </c>
      <c r="BD54">
        <f>SUM($AM54,$AN54:AS54)-SUM($BH54:BN54)</f>
        <v>560</v>
      </c>
      <c r="BI54">
        <f t="array" ref="BI54">SUMPRODUCT(TRANSPOSE(BI$4:BI$9),$K54:$P54)</f>
        <v>0</v>
      </c>
      <c r="BJ54">
        <f t="array" ref="BJ54">SUMPRODUCT(TRANSPOSE(BJ$4:BJ$9),$K54:$P54)</f>
        <v>80</v>
      </c>
      <c r="BK54">
        <f t="array" ref="BK54">SUMPRODUCT(TRANSPOSE(BK$4:BK$9),$K54:$P54)</f>
        <v>240</v>
      </c>
      <c r="BL54">
        <f t="array" ref="BL54">SUMPRODUCT(TRANSPOSE(BL$4:BL$9),$K54:$P54)</f>
        <v>0</v>
      </c>
      <c r="BM54">
        <f t="array" ref="BM54">SUMPRODUCT(TRANSPOSE(BM$4:BM$9),$K54:$P54)</f>
        <v>0</v>
      </c>
      <c r="BN54">
        <f t="array" ref="BN54">SUMPRODUCT(TRANSPOSE(BN$4:BN$9),$K54:$P54)</f>
        <v>0</v>
      </c>
      <c r="CA54" t="s">
        <v>177</v>
      </c>
      <c r="CB54" t="s">
        <v>348</v>
      </c>
      <c r="CC54" t="s">
        <v>345</v>
      </c>
      <c r="CD54" t="s">
        <v>347</v>
      </c>
      <c r="CE54" t="s">
        <v>85</v>
      </c>
      <c r="CF54">
        <v>1</v>
      </c>
      <c r="CG54">
        <v>880</v>
      </c>
      <c r="CH54">
        <v>2164.8000000000002</v>
      </c>
      <c r="CI54" t="s">
        <v>351</v>
      </c>
      <c r="CJ54" s="1">
        <v>45961</v>
      </c>
      <c r="CK54" t="s">
        <v>95</v>
      </c>
      <c r="CL54" t="s">
        <v>119</v>
      </c>
      <c r="CN54" t="s">
        <v>96</v>
      </c>
    </row>
    <row r="55" spans="1:100">
      <c r="A55">
        <v>178</v>
      </c>
      <c r="B55" t="s">
        <v>352</v>
      </c>
      <c r="C55" t="s">
        <v>353</v>
      </c>
      <c r="D55" t="s">
        <v>81</v>
      </c>
      <c r="F55">
        <v>401458969</v>
      </c>
      <c r="G55" t="s">
        <v>354</v>
      </c>
      <c r="H55" t="s">
        <v>75</v>
      </c>
      <c r="I55">
        <v>1</v>
      </c>
      <c r="J55">
        <v>7</v>
      </c>
      <c r="K55">
        <v>0</v>
      </c>
      <c r="L55">
        <v>7</v>
      </c>
      <c r="M55">
        <v>0</v>
      </c>
      <c r="N55">
        <v>7</v>
      </c>
      <c r="O55">
        <v>0</v>
      </c>
      <c r="P55">
        <v>0</v>
      </c>
      <c r="Q55">
        <v>14</v>
      </c>
      <c r="R55">
        <v>1540</v>
      </c>
      <c r="S55">
        <v>1</v>
      </c>
      <c r="T55">
        <v>1540</v>
      </c>
      <c r="U55" t="s">
        <v>347</v>
      </c>
      <c r="W55">
        <v>1.37</v>
      </c>
      <c r="X55">
        <v>2109.8000000000002</v>
      </c>
      <c r="Y55" t="s">
        <v>85</v>
      </c>
      <c r="Z55" t="s">
        <v>355</v>
      </c>
      <c r="AA55" t="s">
        <v>356</v>
      </c>
      <c r="AB55" t="s">
        <v>357</v>
      </c>
      <c r="AC55" t="s">
        <v>358</v>
      </c>
      <c r="AG55">
        <v>1.37</v>
      </c>
      <c r="AH55">
        <v>2109.8000000000002</v>
      </c>
      <c r="AI55">
        <v>1540</v>
      </c>
      <c r="AJ55">
        <v>1540</v>
      </c>
      <c r="AK55">
        <v>0</v>
      </c>
      <c r="AL55">
        <v>0</v>
      </c>
      <c r="AM55">
        <v>1540</v>
      </c>
      <c r="AZ55">
        <f>SUM($AM55,$AN55:AO55)-SUM($BH55:BJ55)</f>
        <v>1400</v>
      </c>
      <c r="BA55">
        <f>SUM($AM55,$AN55:AP55)-SUM($BH55:BK55)</f>
        <v>980</v>
      </c>
      <c r="BB55">
        <f>SUM($AM55,$AN55:AQ55)-SUM($BH55:BL55)</f>
        <v>980</v>
      </c>
      <c r="BC55">
        <f>SUM($AM55,$AN55:AR55)-SUM($BH55:BM55)</f>
        <v>980</v>
      </c>
      <c r="BD55">
        <f>SUM($AM55,$AN55:AS55)-SUM($BH55:BN55)</f>
        <v>980</v>
      </c>
      <c r="BI55">
        <f t="array" ref="BI55">SUMPRODUCT(TRANSPOSE(BI$4:BI$9),$K55:$P55)</f>
        <v>0</v>
      </c>
      <c r="BJ55">
        <f t="array" ref="BJ55">SUMPRODUCT(TRANSPOSE(BJ$4:BJ$9),$K55:$P55)</f>
        <v>140</v>
      </c>
      <c r="BK55">
        <f t="array" ref="BK55">SUMPRODUCT(TRANSPOSE(BK$4:BK$9),$K55:$P55)</f>
        <v>420</v>
      </c>
      <c r="BL55">
        <f t="array" ref="BL55">SUMPRODUCT(TRANSPOSE(BL$4:BL$9),$K55:$P55)</f>
        <v>0</v>
      </c>
      <c r="BM55">
        <f t="array" ref="BM55">SUMPRODUCT(TRANSPOSE(BM$4:BM$9),$K55:$P55)</f>
        <v>0</v>
      </c>
      <c r="BN55">
        <f t="array" ref="BN55">SUMPRODUCT(TRANSPOSE(BN$4:BN$9),$K55:$P55)</f>
        <v>0</v>
      </c>
      <c r="BQ55" t="s">
        <v>359</v>
      </c>
      <c r="CA55" t="s">
        <v>177</v>
      </c>
      <c r="CB55" t="s">
        <v>360</v>
      </c>
      <c r="CC55" t="s">
        <v>353</v>
      </c>
      <c r="CD55" t="s">
        <v>347</v>
      </c>
      <c r="CE55" t="s">
        <v>85</v>
      </c>
      <c r="CF55">
        <v>1</v>
      </c>
      <c r="CG55">
        <v>1540</v>
      </c>
      <c r="CH55">
        <v>600.6</v>
      </c>
      <c r="CI55" t="s">
        <v>361</v>
      </c>
      <c r="CJ55" s="1">
        <v>45961</v>
      </c>
      <c r="CK55" t="s">
        <v>95</v>
      </c>
      <c r="CL55" t="s">
        <v>119</v>
      </c>
      <c r="CN55" t="s">
        <v>96</v>
      </c>
    </row>
    <row r="56" spans="1:100">
      <c r="A56">
        <v>203</v>
      </c>
      <c r="B56" t="s">
        <v>362</v>
      </c>
      <c r="C56" t="s">
        <v>363</v>
      </c>
      <c r="D56" t="s">
        <v>81</v>
      </c>
      <c r="E56" t="s">
        <v>364</v>
      </c>
      <c r="F56" t="s">
        <v>365</v>
      </c>
      <c r="G56" t="s">
        <v>366</v>
      </c>
      <c r="H56" t="s">
        <v>75</v>
      </c>
      <c r="I56">
        <v>2</v>
      </c>
      <c r="J56">
        <v>32</v>
      </c>
      <c r="K56">
        <v>0</v>
      </c>
      <c r="L56">
        <v>0</v>
      </c>
      <c r="M56">
        <v>0</v>
      </c>
      <c r="N56">
        <v>0</v>
      </c>
      <c r="O56">
        <v>32</v>
      </c>
      <c r="P56">
        <v>0</v>
      </c>
      <c r="Q56">
        <v>32</v>
      </c>
      <c r="R56">
        <v>7040</v>
      </c>
      <c r="S56">
        <v>3000</v>
      </c>
      <c r="T56">
        <v>9000</v>
      </c>
      <c r="U56" t="s">
        <v>367</v>
      </c>
      <c r="W56">
        <v>0.04</v>
      </c>
      <c r="X56">
        <v>360</v>
      </c>
      <c r="Y56" t="s">
        <v>85</v>
      </c>
      <c r="Z56" t="s">
        <v>86</v>
      </c>
      <c r="AA56" t="s">
        <v>87</v>
      </c>
      <c r="AB56" t="s">
        <v>88</v>
      </c>
      <c r="AC56" t="s">
        <v>89</v>
      </c>
      <c r="AD56">
        <v>3000</v>
      </c>
      <c r="AG56">
        <v>0.08</v>
      </c>
      <c r="AH56">
        <v>360</v>
      </c>
      <c r="AI56">
        <v>7040</v>
      </c>
      <c r="AJ56">
        <v>9000</v>
      </c>
      <c r="AK56">
        <v>0</v>
      </c>
      <c r="AL56">
        <v>-1960</v>
      </c>
      <c r="AM56">
        <v>9000</v>
      </c>
      <c r="AZ56">
        <f>SUM($AM56,$AN56:AO56)-SUM($BH56:BJ56)</f>
        <v>8360</v>
      </c>
      <c r="BA56">
        <f>SUM($AM56,$AN56:AP56)-SUM($BH56:BK56)</f>
        <v>6440</v>
      </c>
      <c r="BB56">
        <f>SUM($AM56,$AN56:AQ56)-SUM($BH56:BL56)</f>
        <v>6440</v>
      </c>
      <c r="BC56">
        <f>SUM($AM56,$AN56:AR56)-SUM($BH56:BM56)</f>
        <v>6440</v>
      </c>
      <c r="BD56">
        <f>SUM($AM56,$AN56:AS56)-SUM($BH56:BN56)</f>
        <v>6440</v>
      </c>
      <c r="BI56">
        <f t="array" ref="BI56">SUMPRODUCT(TRANSPOSE(BI$4:BI$9),$K56:$P56)</f>
        <v>0</v>
      </c>
      <c r="BJ56">
        <f t="array" ref="BJ56">SUMPRODUCT(TRANSPOSE(BJ$4:BJ$9),$K56:$P56)</f>
        <v>640</v>
      </c>
      <c r="BK56">
        <f t="array" ref="BK56">SUMPRODUCT(TRANSPOSE(BK$4:BK$9),$K56:$P56)</f>
        <v>1920</v>
      </c>
      <c r="BL56">
        <f t="array" ref="BL56">SUMPRODUCT(TRANSPOSE(BL$4:BL$9),$K56:$P56)</f>
        <v>0</v>
      </c>
      <c r="BM56">
        <f t="array" ref="BM56">SUMPRODUCT(TRANSPOSE(BM$4:BM$9),$K56:$P56)</f>
        <v>0</v>
      </c>
      <c r="BN56">
        <f t="array" ref="BN56">SUMPRODUCT(TRANSPOSE(BN$4:BN$9),$K56:$P56)</f>
        <v>0</v>
      </c>
      <c r="CA56" t="s">
        <v>177</v>
      </c>
      <c r="CB56" t="s">
        <v>86</v>
      </c>
      <c r="CC56" t="s">
        <v>363</v>
      </c>
      <c r="CD56" t="s">
        <v>367</v>
      </c>
      <c r="CE56" t="s">
        <v>85</v>
      </c>
      <c r="CF56">
        <v>1</v>
      </c>
      <c r="CG56">
        <v>9000</v>
      </c>
      <c r="CH56">
        <v>360</v>
      </c>
      <c r="CI56" t="s">
        <v>278</v>
      </c>
      <c r="CJ56" s="1">
        <v>45961</v>
      </c>
      <c r="CL56" t="s">
        <v>119</v>
      </c>
      <c r="CN56" t="s">
        <v>96</v>
      </c>
      <c r="CO56" t="s">
        <v>368</v>
      </c>
      <c r="CP56">
        <v>4.0320000000000002E-2</v>
      </c>
      <c r="CQ56">
        <v>39000</v>
      </c>
      <c r="CR56" t="b">
        <v>0</v>
      </c>
    </row>
    <row r="57" spans="1:100">
      <c r="A57">
        <v>225</v>
      </c>
      <c r="B57" t="s">
        <v>369</v>
      </c>
      <c r="C57" t="s">
        <v>370</v>
      </c>
      <c r="D57" t="s">
        <v>81</v>
      </c>
      <c r="F57">
        <v>400236684</v>
      </c>
      <c r="G57" t="s">
        <v>371</v>
      </c>
      <c r="H57" t="s">
        <v>75</v>
      </c>
      <c r="I57">
        <v>1</v>
      </c>
      <c r="J57">
        <v>2</v>
      </c>
      <c r="K57">
        <v>0</v>
      </c>
      <c r="L57">
        <v>0</v>
      </c>
      <c r="M57">
        <v>0</v>
      </c>
      <c r="N57">
        <v>0</v>
      </c>
      <c r="O57">
        <v>0</v>
      </c>
      <c r="P57">
        <v>2</v>
      </c>
      <c r="Q57">
        <v>2</v>
      </c>
      <c r="R57">
        <v>440</v>
      </c>
      <c r="S57">
        <v>125</v>
      </c>
      <c r="T57">
        <v>500</v>
      </c>
      <c r="U57" t="s">
        <v>372</v>
      </c>
      <c r="W57">
        <v>25.66</v>
      </c>
      <c r="X57">
        <v>12830</v>
      </c>
      <c r="Y57" t="s">
        <v>85</v>
      </c>
      <c r="Z57" t="s">
        <v>372</v>
      </c>
      <c r="AA57" t="s">
        <v>373</v>
      </c>
      <c r="AB57" t="s">
        <v>374</v>
      </c>
      <c r="AG57">
        <v>25.66</v>
      </c>
      <c r="AH57">
        <v>12830</v>
      </c>
      <c r="AI57">
        <v>440</v>
      </c>
      <c r="AJ57">
        <v>500</v>
      </c>
      <c r="AK57">
        <v>0</v>
      </c>
      <c r="AL57">
        <v>-60</v>
      </c>
      <c r="AM57">
        <v>500</v>
      </c>
      <c r="AZ57">
        <f>SUM($AM57,$AN57:AO57)-SUM($BH57:BJ57)</f>
        <v>460</v>
      </c>
      <c r="BA57">
        <f>SUM($AM57,$AN57:AP57)-SUM($BH57:BK57)</f>
        <v>340</v>
      </c>
      <c r="BB57">
        <f>SUM($AM57,$AN57:AQ57)-SUM($BH57:BL57)</f>
        <v>340</v>
      </c>
      <c r="BC57">
        <f>SUM($AM57,$AN57:AR57)-SUM($BH57:BM57)</f>
        <v>340</v>
      </c>
      <c r="BD57">
        <f>SUM($AM57,$AN57:AS57)-SUM($BH57:BN57)</f>
        <v>340</v>
      </c>
      <c r="BI57">
        <f t="array" ref="BI57">SUMPRODUCT(TRANSPOSE(BI$4:BI$9),$K57:$P57)</f>
        <v>0</v>
      </c>
      <c r="BJ57">
        <f t="array" ref="BJ57">SUMPRODUCT(TRANSPOSE(BJ$4:BJ$9),$K57:$P57)</f>
        <v>40</v>
      </c>
      <c r="BK57">
        <f t="array" ref="BK57">SUMPRODUCT(TRANSPOSE(BK$4:BK$9),$K57:$P57)</f>
        <v>120</v>
      </c>
      <c r="BL57">
        <f t="array" ref="BL57">SUMPRODUCT(TRANSPOSE(BL$4:BL$9),$K57:$P57)</f>
        <v>0</v>
      </c>
      <c r="BM57">
        <f t="array" ref="BM57">SUMPRODUCT(TRANSPOSE(BM$4:BM$9),$K57:$P57)</f>
        <v>0</v>
      </c>
      <c r="BN57">
        <f t="array" ref="BN57">SUMPRODUCT(TRANSPOSE(BN$4:BN$9),$K57:$P57)</f>
        <v>0</v>
      </c>
      <c r="CA57" t="s">
        <v>177</v>
      </c>
      <c r="CB57" t="s">
        <v>372</v>
      </c>
      <c r="CC57" t="s">
        <v>370</v>
      </c>
      <c r="CD57" t="s">
        <v>372</v>
      </c>
      <c r="CE57" t="s">
        <v>85</v>
      </c>
      <c r="CF57">
        <v>1</v>
      </c>
      <c r="CG57">
        <v>500</v>
      </c>
      <c r="CH57">
        <v>12830</v>
      </c>
      <c r="CI57" t="s">
        <v>375</v>
      </c>
      <c r="CJ57" s="1">
        <v>45961</v>
      </c>
      <c r="CL57" t="s">
        <v>119</v>
      </c>
      <c r="CN57" t="s">
        <v>96</v>
      </c>
    </row>
    <row r="58" spans="1:100">
      <c r="A58">
        <v>230</v>
      </c>
      <c r="B58" t="s">
        <v>376</v>
      </c>
      <c r="C58" t="s">
        <v>377</v>
      </c>
      <c r="D58" t="s">
        <v>81</v>
      </c>
      <c r="E58" t="s">
        <v>378</v>
      </c>
      <c r="F58">
        <v>413256946</v>
      </c>
      <c r="G58" t="s">
        <v>379</v>
      </c>
      <c r="H58" t="s">
        <v>75</v>
      </c>
      <c r="I58">
        <v>2</v>
      </c>
      <c r="J58">
        <v>8</v>
      </c>
      <c r="K58">
        <v>0</v>
      </c>
      <c r="L58">
        <v>0</v>
      </c>
      <c r="M58">
        <v>0</v>
      </c>
      <c r="N58">
        <v>0</v>
      </c>
      <c r="O58">
        <v>8</v>
      </c>
      <c r="P58">
        <v>0</v>
      </c>
      <c r="Q58">
        <v>8</v>
      </c>
      <c r="R58">
        <v>1760</v>
      </c>
      <c r="S58">
        <v>1</v>
      </c>
      <c r="T58">
        <v>1760</v>
      </c>
      <c r="U58" t="s">
        <v>380</v>
      </c>
      <c r="W58">
        <v>0.4</v>
      </c>
      <c r="X58">
        <v>704</v>
      </c>
      <c r="Y58" t="s">
        <v>85</v>
      </c>
      <c r="Z58" t="s">
        <v>86</v>
      </c>
      <c r="AA58" t="s">
        <v>87</v>
      </c>
      <c r="AB58" t="s">
        <v>88</v>
      </c>
      <c r="AC58" t="s">
        <v>89</v>
      </c>
      <c r="AD58">
        <v>3000</v>
      </c>
      <c r="AG58">
        <v>0.8</v>
      </c>
      <c r="AH58">
        <v>704</v>
      </c>
      <c r="AI58">
        <v>1760</v>
      </c>
      <c r="AJ58">
        <v>3000</v>
      </c>
      <c r="AK58">
        <v>0</v>
      </c>
      <c r="AL58">
        <v>-1240</v>
      </c>
      <c r="AM58">
        <v>3000</v>
      </c>
      <c r="AZ58">
        <f>SUM($AM58,$AN58:AO58)-SUM($BH58:BJ58)</f>
        <v>2840</v>
      </c>
      <c r="BA58">
        <f>SUM($AM58,$AN58:AP58)-SUM($BH58:BK58)</f>
        <v>2360</v>
      </c>
      <c r="BB58">
        <f>SUM($AM58,$AN58:AQ58)-SUM($BH58:BL58)</f>
        <v>2360</v>
      </c>
      <c r="BC58">
        <f>SUM($AM58,$AN58:AR58)-SUM($BH58:BM58)</f>
        <v>2360</v>
      </c>
      <c r="BD58">
        <f>SUM($AM58,$AN58:AS58)-SUM($BH58:BN58)</f>
        <v>2360</v>
      </c>
      <c r="BI58">
        <f t="array" ref="BI58">SUMPRODUCT(TRANSPOSE(BI$4:BI$9),$K58:$P58)</f>
        <v>0</v>
      </c>
      <c r="BJ58">
        <f t="array" ref="BJ58">SUMPRODUCT(TRANSPOSE(BJ$4:BJ$9),$K58:$P58)</f>
        <v>160</v>
      </c>
      <c r="BK58">
        <f t="array" ref="BK58">SUMPRODUCT(TRANSPOSE(BK$4:BK$9),$K58:$P58)</f>
        <v>480</v>
      </c>
      <c r="BL58">
        <f t="array" ref="BL58">SUMPRODUCT(TRANSPOSE(BL$4:BL$9),$K58:$P58)</f>
        <v>0</v>
      </c>
      <c r="BM58">
        <f t="array" ref="BM58">SUMPRODUCT(TRANSPOSE(BM$4:BM$9),$K58:$P58)</f>
        <v>0</v>
      </c>
      <c r="BN58">
        <f t="array" ref="BN58">SUMPRODUCT(TRANSPOSE(BN$4:BN$9),$K58:$P58)</f>
        <v>0</v>
      </c>
      <c r="BW58" t="s">
        <v>381</v>
      </c>
      <c r="CA58" t="s">
        <v>92</v>
      </c>
      <c r="CB58" t="s">
        <v>86</v>
      </c>
      <c r="CC58" t="s">
        <v>377</v>
      </c>
      <c r="CD58" t="s">
        <v>380</v>
      </c>
      <c r="CE58" t="s">
        <v>85</v>
      </c>
      <c r="CF58">
        <v>1</v>
      </c>
      <c r="CG58">
        <v>3000</v>
      </c>
      <c r="CH58">
        <v>1200</v>
      </c>
      <c r="CI58" t="s">
        <v>278</v>
      </c>
      <c r="CJ58" s="1">
        <v>45961</v>
      </c>
      <c r="CL58" t="s">
        <v>119</v>
      </c>
      <c r="CN58" t="s">
        <v>96</v>
      </c>
      <c r="CU58" t="s">
        <v>381</v>
      </c>
    </row>
    <row r="59" spans="1:100">
      <c r="A59">
        <v>243</v>
      </c>
      <c r="B59" t="s">
        <v>382</v>
      </c>
      <c r="C59" t="s">
        <v>383</v>
      </c>
      <c r="D59" t="s">
        <v>384</v>
      </c>
      <c r="F59" t="s">
        <v>385</v>
      </c>
      <c r="G59" t="s">
        <v>386</v>
      </c>
      <c r="H59" t="s">
        <v>75</v>
      </c>
      <c r="I59">
        <v>1</v>
      </c>
      <c r="J59">
        <v>1</v>
      </c>
      <c r="K59">
        <v>0</v>
      </c>
      <c r="L59">
        <v>0</v>
      </c>
      <c r="M59">
        <v>0</v>
      </c>
      <c r="N59">
        <v>0</v>
      </c>
      <c r="O59">
        <v>1</v>
      </c>
      <c r="P59">
        <v>0</v>
      </c>
      <c r="Q59">
        <v>1</v>
      </c>
      <c r="R59">
        <v>220</v>
      </c>
      <c r="S59">
        <v>250</v>
      </c>
      <c r="T59">
        <v>250</v>
      </c>
      <c r="U59" t="s">
        <v>387</v>
      </c>
      <c r="W59">
        <v>9.74</v>
      </c>
      <c r="X59">
        <v>2435</v>
      </c>
      <c r="Y59" t="s">
        <v>85</v>
      </c>
      <c r="Z59" t="s">
        <v>388</v>
      </c>
      <c r="AA59" t="s">
        <v>389</v>
      </c>
      <c r="AB59" t="s">
        <v>390</v>
      </c>
      <c r="AC59">
        <v>544436943</v>
      </c>
      <c r="AD59">
        <v>250</v>
      </c>
      <c r="AG59">
        <v>9.74</v>
      </c>
      <c r="AH59">
        <v>2435</v>
      </c>
      <c r="AI59">
        <v>220</v>
      </c>
      <c r="AJ59">
        <v>320</v>
      </c>
      <c r="AK59">
        <v>0</v>
      </c>
      <c r="AL59">
        <v>120</v>
      </c>
      <c r="AM59">
        <v>100</v>
      </c>
      <c r="AP59">
        <v>250</v>
      </c>
      <c r="AZ59">
        <f>SUM($AM59,$AN59:AO59)-SUM($BH59:BJ59)</f>
        <v>80</v>
      </c>
      <c r="BA59">
        <f>SUM($AM59,$AN59:AP59)-SUM($BH59:BK59)</f>
        <v>270</v>
      </c>
      <c r="BB59">
        <f>SUM($AM59,$AN59:AQ59)-SUM($BH59:BL59)</f>
        <v>270</v>
      </c>
      <c r="BC59">
        <f>SUM($AM59,$AN59:AR59)-SUM($BH59:BM59)</f>
        <v>270</v>
      </c>
      <c r="BD59">
        <f>SUM($AM59,$AN59:AS59)-SUM($BH59:BN59)</f>
        <v>270</v>
      </c>
      <c r="BI59">
        <f t="array" ref="BI59">SUMPRODUCT(TRANSPOSE(BI$4:BI$9),$K59:$P59)</f>
        <v>0</v>
      </c>
      <c r="BJ59">
        <f t="array" ref="BJ59">SUMPRODUCT(TRANSPOSE(BJ$4:BJ$9),$K59:$P59)</f>
        <v>20</v>
      </c>
      <c r="BK59">
        <f t="array" ref="BK59">SUMPRODUCT(TRANSPOSE(BK$4:BK$9),$K59:$P59)</f>
        <v>60</v>
      </c>
      <c r="BL59">
        <f t="array" ref="BL59">SUMPRODUCT(TRANSPOSE(BL$4:BL$9),$K59:$P59)</f>
        <v>0</v>
      </c>
      <c r="BM59">
        <f t="array" ref="BM59">SUMPRODUCT(TRANSPOSE(BM$4:BM$9),$K59:$P59)</f>
        <v>0</v>
      </c>
      <c r="BN59">
        <f t="array" ref="BN59">SUMPRODUCT(TRANSPOSE(BN$4:BN$9),$K59:$P59)</f>
        <v>0</v>
      </c>
      <c r="BS59" t="s">
        <v>391</v>
      </c>
      <c r="BY59" t="s">
        <v>182</v>
      </c>
      <c r="BZ59" t="s">
        <v>392</v>
      </c>
      <c r="CA59" t="s">
        <v>92</v>
      </c>
      <c r="CB59" t="s">
        <v>393</v>
      </c>
      <c r="CC59" t="s">
        <v>394</v>
      </c>
      <c r="CD59" t="s">
        <v>387</v>
      </c>
      <c r="CE59" t="s">
        <v>85</v>
      </c>
      <c r="CF59">
        <v>1</v>
      </c>
      <c r="CG59">
        <v>250</v>
      </c>
      <c r="CH59">
        <v>1222.5</v>
      </c>
      <c r="CI59" t="s">
        <v>395</v>
      </c>
      <c r="CJ59" s="1">
        <v>45961</v>
      </c>
      <c r="CK59" t="s">
        <v>95</v>
      </c>
      <c r="CN59" t="s">
        <v>232</v>
      </c>
      <c r="CU59" t="s">
        <v>396</v>
      </c>
      <c r="CV59" s="1">
        <v>46224</v>
      </c>
    </row>
    <row r="60" spans="1:100">
      <c r="A60">
        <v>2</v>
      </c>
      <c r="B60" t="s">
        <v>397</v>
      </c>
      <c r="C60" t="s">
        <v>398</v>
      </c>
      <c r="D60" t="s">
        <v>81</v>
      </c>
      <c r="F60">
        <v>417380164</v>
      </c>
      <c r="G60" t="s">
        <v>399</v>
      </c>
      <c r="H60" t="s">
        <v>75</v>
      </c>
      <c r="I60">
        <v>2</v>
      </c>
      <c r="J60">
        <v>66</v>
      </c>
      <c r="K60">
        <v>0</v>
      </c>
      <c r="L60">
        <v>0</v>
      </c>
      <c r="M60">
        <v>0</v>
      </c>
      <c r="N60">
        <v>0</v>
      </c>
      <c r="O60">
        <v>66</v>
      </c>
      <c r="P60">
        <v>0</v>
      </c>
      <c r="Q60">
        <v>66</v>
      </c>
      <c r="R60">
        <v>14520</v>
      </c>
      <c r="S60">
        <v>3000</v>
      </c>
      <c r="T60">
        <v>15000</v>
      </c>
      <c r="U60" t="s">
        <v>400</v>
      </c>
      <c r="W60">
        <v>0.111</v>
      </c>
      <c r="X60">
        <v>1665</v>
      </c>
      <c r="Y60" t="s">
        <v>85</v>
      </c>
      <c r="Z60" t="s">
        <v>401</v>
      </c>
      <c r="AG60">
        <v>0.222</v>
      </c>
      <c r="AH60">
        <v>1665</v>
      </c>
      <c r="AI60">
        <v>14520</v>
      </c>
      <c r="AJ60">
        <v>15000</v>
      </c>
      <c r="AK60">
        <v>0</v>
      </c>
      <c r="AL60">
        <v>-480</v>
      </c>
      <c r="AM60">
        <v>15000</v>
      </c>
      <c r="AZ60">
        <f>SUM($AM60,$AN60:AO60)-SUM($BH60:BJ60)</f>
        <v>13680</v>
      </c>
      <c r="BA60">
        <f>SUM($AM60,$AN60:AP60)-SUM($BH60:BK60)</f>
        <v>9720</v>
      </c>
      <c r="BB60">
        <f>SUM($AM60,$AN60:AQ60)-SUM($BH60:BL60)</f>
        <v>9720</v>
      </c>
      <c r="BC60">
        <f>SUM($AM60,$AN60:AR60)-SUM($BH60:BM60)</f>
        <v>9720</v>
      </c>
      <c r="BD60">
        <f>SUM($AM60,$AN60:AS60)-SUM($BH60:BN60)</f>
        <v>9720</v>
      </c>
      <c r="BI60">
        <f t="array" ref="BI60">SUMPRODUCT(TRANSPOSE(BI$4:BI$9),$K60:$P60)</f>
        <v>0</v>
      </c>
      <c r="BJ60">
        <f t="array" ref="BJ60">SUMPRODUCT(TRANSPOSE(BJ$4:BJ$9),$K60:$P60)</f>
        <v>1320</v>
      </c>
      <c r="BK60">
        <f t="array" ref="BK60">SUMPRODUCT(TRANSPOSE(BK$4:BK$9),$K60:$P60)</f>
        <v>3960</v>
      </c>
      <c r="BL60">
        <f t="array" ref="BL60">SUMPRODUCT(TRANSPOSE(BL$4:BL$9),$K60:$P60)</f>
        <v>0</v>
      </c>
      <c r="BM60">
        <f t="array" ref="BM60">SUMPRODUCT(TRANSPOSE(BM$4:BM$9),$K60:$P60)</f>
        <v>0</v>
      </c>
      <c r="BN60">
        <f t="array" ref="BN60">SUMPRODUCT(TRANSPOSE(BN$4:BN$9),$K60:$P60)</f>
        <v>0</v>
      </c>
      <c r="BO60" t="s">
        <v>400</v>
      </c>
      <c r="CA60" t="s">
        <v>177</v>
      </c>
      <c r="CB60" t="s">
        <v>401</v>
      </c>
      <c r="CC60" t="s">
        <v>398</v>
      </c>
      <c r="CD60" t="s">
        <v>400</v>
      </c>
      <c r="CE60" t="s">
        <v>85</v>
      </c>
      <c r="CF60">
        <v>1</v>
      </c>
      <c r="CG60">
        <v>15000</v>
      </c>
      <c r="CH60">
        <v>1650</v>
      </c>
      <c r="CI60" t="s">
        <v>402</v>
      </c>
      <c r="CJ60" s="1">
        <v>45961</v>
      </c>
      <c r="CL60" t="s">
        <v>119</v>
      </c>
      <c r="CN60" t="s">
        <v>96</v>
      </c>
      <c r="CO60" t="s">
        <v>403</v>
      </c>
      <c r="CP60">
        <v>0.111</v>
      </c>
      <c r="CQ60">
        <v>36000</v>
      </c>
      <c r="CR60" t="b">
        <v>0</v>
      </c>
    </row>
    <row r="61" spans="1:100">
      <c r="A61">
        <v>3</v>
      </c>
      <c r="B61" t="s">
        <v>404</v>
      </c>
      <c r="C61" t="s">
        <v>405</v>
      </c>
      <c r="D61" t="s">
        <v>81</v>
      </c>
      <c r="F61">
        <v>409331536</v>
      </c>
      <c r="G61" t="s">
        <v>406</v>
      </c>
      <c r="H61" t="s">
        <v>75</v>
      </c>
      <c r="I61">
        <v>2</v>
      </c>
      <c r="J61">
        <v>65</v>
      </c>
      <c r="K61">
        <v>0</v>
      </c>
      <c r="L61">
        <v>0</v>
      </c>
      <c r="M61">
        <v>0</v>
      </c>
      <c r="N61">
        <v>0</v>
      </c>
      <c r="O61">
        <v>65</v>
      </c>
      <c r="P61">
        <v>0</v>
      </c>
      <c r="Q61">
        <v>65</v>
      </c>
      <c r="R61">
        <v>14300</v>
      </c>
      <c r="S61">
        <v>3000</v>
      </c>
      <c r="T61">
        <v>15000</v>
      </c>
      <c r="U61" t="s">
        <v>400</v>
      </c>
      <c r="W61">
        <v>0.111</v>
      </c>
      <c r="X61">
        <v>1665</v>
      </c>
      <c r="Y61" t="s">
        <v>85</v>
      </c>
      <c r="Z61" t="s">
        <v>401</v>
      </c>
      <c r="AG61">
        <v>0.222</v>
      </c>
      <c r="AH61">
        <v>1665</v>
      </c>
      <c r="AI61">
        <v>14300</v>
      </c>
      <c r="AJ61">
        <v>15000</v>
      </c>
      <c r="AK61">
        <v>0</v>
      </c>
      <c r="AL61">
        <v>-700</v>
      </c>
      <c r="AM61">
        <v>15000</v>
      </c>
      <c r="AZ61">
        <f>SUM($AM61,$AN61:AO61)-SUM($BH61:BJ61)</f>
        <v>13700</v>
      </c>
      <c r="BA61">
        <f>SUM($AM61,$AN61:AP61)-SUM($BH61:BK61)</f>
        <v>9800</v>
      </c>
      <c r="BB61">
        <f>SUM($AM61,$AN61:AQ61)-SUM($BH61:BL61)</f>
        <v>9800</v>
      </c>
      <c r="BC61">
        <f>SUM($AM61,$AN61:AR61)-SUM($BH61:BM61)</f>
        <v>9800</v>
      </c>
      <c r="BD61">
        <f>SUM($AM61,$AN61:AS61)-SUM($BH61:BN61)</f>
        <v>9800</v>
      </c>
      <c r="BI61">
        <f t="array" ref="BI61">SUMPRODUCT(TRANSPOSE(BI$4:BI$9),$K61:$P61)</f>
        <v>0</v>
      </c>
      <c r="BJ61">
        <f t="array" ref="BJ61">SUMPRODUCT(TRANSPOSE(BJ$4:BJ$9),$K61:$P61)</f>
        <v>1300</v>
      </c>
      <c r="BK61">
        <f t="array" ref="BK61">SUMPRODUCT(TRANSPOSE(BK$4:BK$9),$K61:$P61)</f>
        <v>3900</v>
      </c>
      <c r="BL61">
        <f t="array" ref="BL61">SUMPRODUCT(TRANSPOSE(BL$4:BL$9),$K61:$P61)</f>
        <v>0</v>
      </c>
      <c r="BM61">
        <f t="array" ref="BM61">SUMPRODUCT(TRANSPOSE(BM$4:BM$9),$K61:$P61)</f>
        <v>0</v>
      </c>
      <c r="BN61">
        <f t="array" ref="BN61">SUMPRODUCT(TRANSPOSE(BN$4:BN$9),$K61:$P61)</f>
        <v>0</v>
      </c>
      <c r="BO61" t="s">
        <v>400</v>
      </c>
      <c r="CA61" t="s">
        <v>177</v>
      </c>
      <c r="CB61" t="s">
        <v>401</v>
      </c>
      <c r="CC61" t="s">
        <v>405</v>
      </c>
      <c r="CD61" t="s">
        <v>400</v>
      </c>
      <c r="CE61" t="s">
        <v>85</v>
      </c>
      <c r="CF61">
        <v>1</v>
      </c>
      <c r="CG61">
        <v>15000</v>
      </c>
      <c r="CH61">
        <v>1650</v>
      </c>
      <c r="CI61" t="s">
        <v>402</v>
      </c>
      <c r="CJ61" s="1">
        <v>45961</v>
      </c>
      <c r="CL61" t="s">
        <v>119</v>
      </c>
      <c r="CN61" t="s">
        <v>96</v>
      </c>
      <c r="CO61" t="s">
        <v>403</v>
      </c>
      <c r="CP61">
        <v>0.111</v>
      </c>
      <c r="CQ61">
        <v>39000</v>
      </c>
      <c r="CR61" t="b">
        <v>0</v>
      </c>
    </row>
    <row r="62" spans="1:100">
      <c r="A62">
        <v>4</v>
      </c>
      <c r="B62" t="s">
        <v>407</v>
      </c>
      <c r="C62" t="s">
        <v>408</v>
      </c>
      <c r="D62" t="s">
        <v>81</v>
      </c>
      <c r="F62">
        <v>403129345</v>
      </c>
      <c r="G62" t="s">
        <v>409</v>
      </c>
      <c r="H62" t="s">
        <v>75</v>
      </c>
      <c r="I62">
        <v>2</v>
      </c>
      <c r="J62">
        <v>32</v>
      </c>
      <c r="K62">
        <v>0</v>
      </c>
      <c r="L62">
        <v>0</v>
      </c>
      <c r="M62">
        <v>0</v>
      </c>
      <c r="N62">
        <v>0</v>
      </c>
      <c r="O62">
        <v>32</v>
      </c>
      <c r="P62">
        <v>0</v>
      </c>
      <c r="Q62">
        <v>32</v>
      </c>
      <c r="R62">
        <v>7040</v>
      </c>
      <c r="S62">
        <v>500</v>
      </c>
      <c r="T62">
        <v>7500</v>
      </c>
      <c r="U62" t="s">
        <v>400</v>
      </c>
      <c r="W62">
        <v>6.7000000000000004E-2</v>
      </c>
      <c r="X62">
        <v>502.50000000000011</v>
      </c>
      <c r="Y62" t="s">
        <v>85</v>
      </c>
      <c r="Z62" t="s">
        <v>401</v>
      </c>
      <c r="AG62">
        <v>0.13400000000000001</v>
      </c>
      <c r="AH62">
        <v>502.50000000000011</v>
      </c>
      <c r="AI62">
        <v>7040</v>
      </c>
      <c r="AJ62">
        <v>10000</v>
      </c>
      <c r="AK62">
        <v>0</v>
      </c>
      <c r="AL62">
        <v>-2960</v>
      </c>
      <c r="AM62">
        <v>10000</v>
      </c>
      <c r="AZ62">
        <f>SUM($AM62,$AN62:AO62)-SUM($BH62:BJ62)</f>
        <v>9360</v>
      </c>
      <c r="BA62">
        <f>SUM($AM62,$AN62:AP62)-SUM($BH62:BK62)</f>
        <v>7440</v>
      </c>
      <c r="BB62">
        <f>SUM($AM62,$AN62:AQ62)-SUM($BH62:BL62)</f>
        <v>7440</v>
      </c>
      <c r="BC62">
        <f>SUM($AM62,$AN62:AR62)-SUM($BH62:BM62)</f>
        <v>7440</v>
      </c>
      <c r="BD62">
        <f>SUM($AM62,$AN62:AS62)-SUM($BH62:BN62)</f>
        <v>7440</v>
      </c>
      <c r="BI62">
        <f t="array" ref="BI62">SUMPRODUCT(TRANSPOSE(BI$4:BI$9),$K62:$P62)</f>
        <v>0</v>
      </c>
      <c r="BJ62">
        <f t="array" ref="BJ62">SUMPRODUCT(TRANSPOSE(BJ$4:BJ$9),$K62:$P62)</f>
        <v>640</v>
      </c>
      <c r="BK62">
        <f t="array" ref="BK62">SUMPRODUCT(TRANSPOSE(BK$4:BK$9),$K62:$P62)</f>
        <v>1920</v>
      </c>
      <c r="BL62">
        <f t="array" ref="BL62">SUMPRODUCT(TRANSPOSE(BL$4:BL$9),$K62:$P62)</f>
        <v>0</v>
      </c>
      <c r="BM62">
        <f t="array" ref="BM62">SUMPRODUCT(TRANSPOSE(BM$4:BM$9),$K62:$P62)</f>
        <v>0</v>
      </c>
      <c r="BN62">
        <f t="array" ref="BN62">SUMPRODUCT(TRANSPOSE(BN$4:BN$9),$K62:$P62)</f>
        <v>0</v>
      </c>
      <c r="BO62" t="s">
        <v>410</v>
      </c>
      <c r="BS62" t="s">
        <v>411</v>
      </c>
      <c r="BV62" t="s">
        <v>411</v>
      </c>
      <c r="BW62" t="s">
        <v>411</v>
      </c>
      <c r="CA62" t="s">
        <v>177</v>
      </c>
      <c r="CB62" t="s">
        <v>401</v>
      </c>
      <c r="CC62" t="s">
        <v>408</v>
      </c>
      <c r="CD62" t="s">
        <v>400</v>
      </c>
      <c r="CE62" t="s">
        <v>85</v>
      </c>
      <c r="CF62">
        <v>1</v>
      </c>
      <c r="CG62">
        <v>10000</v>
      </c>
      <c r="CH62">
        <v>700.00000000000011</v>
      </c>
      <c r="CI62" t="s">
        <v>402</v>
      </c>
      <c r="CJ62" s="1">
        <v>45961</v>
      </c>
      <c r="CL62" t="s">
        <v>119</v>
      </c>
      <c r="CN62" t="s">
        <v>96</v>
      </c>
      <c r="CO62" t="s">
        <v>403</v>
      </c>
      <c r="CP62">
        <v>6.7000000000000004E-2</v>
      </c>
      <c r="CQ62">
        <v>40000</v>
      </c>
      <c r="CR62" t="b">
        <v>0</v>
      </c>
      <c r="CU62" t="s">
        <v>411</v>
      </c>
    </row>
    <row r="63" spans="1:100">
      <c r="A63">
        <v>6</v>
      </c>
      <c r="B63" t="s">
        <v>412</v>
      </c>
      <c r="C63" t="s">
        <v>413</v>
      </c>
      <c r="D63" t="s">
        <v>81</v>
      </c>
      <c r="E63" t="s">
        <v>414</v>
      </c>
      <c r="F63" t="s">
        <v>415</v>
      </c>
      <c r="G63" t="s">
        <v>416</v>
      </c>
      <c r="H63" t="s">
        <v>75</v>
      </c>
      <c r="I63">
        <v>2</v>
      </c>
      <c r="J63">
        <v>1</v>
      </c>
      <c r="K63">
        <v>0</v>
      </c>
      <c r="L63">
        <v>0</v>
      </c>
      <c r="M63">
        <v>0</v>
      </c>
      <c r="N63">
        <v>0</v>
      </c>
      <c r="O63">
        <v>0</v>
      </c>
      <c r="P63">
        <v>1</v>
      </c>
      <c r="Q63">
        <v>1</v>
      </c>
      <c r="R63">
        <v>220</v>
      </c>
      <c r="S63">
        <v>1</v>
      </c>
      <c r="T63">
        <v>220</v>
      </c>
      <c r="U63" t="s">
        <v>417</v>
      </c>
      <c r="W63">
        <v>61.59</v>
      </c>
      <c r="X63">
        <v>13549.8</v>
      </c>
      <c r="Y63" t="s">
        <v>85</v>
      </c>
      <c r="Z63" t="s">
        <v>418</v>
      </c>
      <c r="AG63">
        <v>123.18</v>
      </c>
      <c r="AH63">
        <v>13549.8</v>
      </c>
      <c r="AI63">
        <v>220</v>
      </c>
      <c r="AJ63">
        <v>220</v>
      </c>
      <c r="AK63">
        <v>0</v>
      </c>
      <c r="AL63">
        <v>0</v>
      </c>
      <c r="AM63">
        <v>220</v>
      </c>
      <c r="AZ63">
        <f>SUM($AM63,$AN63:AO63)-SUM($BH63:BJ63)</f>
        <v>200</v>
      </c>
      <c r="BA63">
        <f>SUM($AM63,$AN63:AP63)-SUM($BH63:BK63)</f>
        <v>140</v>
      </c>
      <c r="BB63">
        <f>SUM($AM63,$AN63:AQ63)-SUM($BH63:BL63)</f>
        <v>140</v>
      </c>
      <c r="BC63">
        <f>SUM($AM63,$AN63:AR63)-SUM($BH63:BM63)</f>
        <v>140</v>
      </c>
      <c r="BD63">
        <f>SUM($AM63,$AN63:AS63)-SUM($BH63:BN63)</f>
        <v>140</v>
      </c>
      <c r="BI63">
        <f t="array" ref="BI63">SUMPRODUCT(TRANSPOSE(BI$4:BI$9),$K63:$P63)</f>
        <v>0</v>
      </c>
      <c r="BJ63">
        <f t="array" ref="BJ63">SUMPRODUCT(TRANSPOSE(BJ$4:BJ$9),$K63:$P63)</f>
        <v>20</v>
      </c>
      <c r="BK63">
        <f t="array" ref="BK63">SUMPRODUCT(TRANSPOSE(BK$4:BK$9),$K63:$P63)</f>
        <v>60</v>
      </c>
      <c r="BL63">
        <f t="array" ref="BL63">SUMPRODUCT(TRANSPOSE(BL$4:BL$9),$K63:$P63)</f>
        <v>0</v>
      </c>
      <c r="BM63">
        <f t="array" ref="BM63">SUMPRODUCT(TRANSPOSE(BM$4:BM$9),$K63:$P63)</f>
        <v>0</v>
      </c>
      <c r="BN63">
        <f t="array" ref="BN63">SUMPRODUCT(TRANSPOSE(BN$4:BN$9),$K63:$P63)</f>
        <v>0</v>
      </c>
      <c r="BO63" t="s">
        <v>417</v>
      </c>
      <c r="BS63" t="s">
        <v>259</v>
      </c>
      <c r="BU63">
        <v>86.83</v>
      </c>
      <c r="CA63" t="s">
        <v>177</v>
      </c>
      <c r="CB63" t="s">
        <v>418</v>
      </c>
      <c r="CC63" t="s">
        <v>413</v>
      </c>
      <c r="CD63" t="s">
        <v>417</v>
      </c>
      <c r="CE63" t="s">
        <v>85</v>
      </c>
      <c r="CF63">
        <v>1</v>
      </c>
      <c r="CG63">
        <v>220</v>
      </c>
      <c r="CH63">
        <v>19102.599999999999</v>
      </c>
      <c r="CI63" t="s">
        <v>419</v>
      </c>
      <c r="CJ63" s="1">
        <v>45961</v>
      </c>
      <c r="CL63" t="s">
        <v>119</v>
      </c>
      <c r="CN63" t="s">
        <v>96</v>
      </c>
      <c r="CO63" t="s">
        <v>420</v>
      </c>
      <c r="CP63">
        <v>61.59</v>
      </c>
      <c r="CQ63">
        <v>1067</v>
      </c>
      <c r="CR63" t="b">
        <v>0</v>
      </c>
      <c r="CT63">
        <v>86.83</v>
      </c>
    </row>
    <row r="64" spans="1:100">
      <c r="A64">
        <v>148</v>
      </c>
      <c r="B64" t="s">
        <v>421</v>
      </c>
      <c r="C64" t="s">
        <v>422</v>
      </c>
      <c r="D64" t="s">
        <v>384</v>
      </c>
      <c r="E64" t="s">
        <v>423</v>
      </c>
      <c r="F64">
        <v>732684436</v>
      </c>
      <c r="G64" t="s">
        <v>424</v>
      </c>
      <c r="H64" t="s">
        <v>425</v>
      </c>
      <c r="I64">
        <v>2</v>
      </c>
      <c r="J64" t="s">
        <v>426</v>
      </c>
      <c r="K64">
        <v>0.05</v>
      </c>
      <c r="L64">
        <v>0.05</v>
      </c>
      <c r="M64">
        <v>0</v>
      </c>
      <c r="N64">
        <v>0.05</v>
      </c>
      <c r="O64">
        <v>0</v>
      </c>
      <c r="P64">
        <v>0.05</v>
      </c>
      <c r="Q64">
        <v>0.2</v>
      </c>
      <c r="R64">
        <v>26</v>
      </c>
      <c r="S64">
        <v>1</v>
      </c>
      <c r="T64">
        <v>26</v>
      </c>
      <c r="U64" t="s">
        <v>427</v>
      </c>
      <c r="W64">
        <v>52.37</v>
      </c>
      <c r="X64">
        <v>1361.62</v>
      </c>
      <c r="Y64" t="s">
        <v>85</v>
      </c>
      <c r="Z64" t="s">
        <v>428</v>
      </c>
      <c r="AA64" t="s">
        <v>429</v>
      </c>
      <c r="AB64" t="s">
        <v>430</v>
      </c>
      <c r="AC64">
        <v>506427193</v>
      </c>
      <c r="AG64">
        <v>104.74</v>
      </c>
      <c r="AH64">
        <v>1152.1400000000001</v>
      </c>
      <c r="AI64">
        <v>26</v>
      </c>
      <c r="AJ64">
        <v>5</v>
      </c>
      <c r="AK64">
        <v>21</v>
      </c>
      <c r="AL64">
        <v>26</v>
      </c>
      <c r="AM64">
        <v>0</v>
      </c>
      <c r="AZ64">
        <f>SUM($AM64,$AN64:AO64)-SUM($BH64:BJ64)</f>
        <v>-2</v>
      </c>
      <c r="BA64">
        <f>SUM($AM64,$AN64:AP64)-SUM($BH64:BK64)</f>
        <v>-8</v>
      </c>
      <c r="BB64">
        <f>SUM($AM64,$AN64:AQ64)-SUM($BH64:BL64)</f>
        <v>-8</v>
      </c>
      <c r="BC64">
        <f>SUM($AM64,$AN64:AR64)-SUM($BH64:BM64)</f>
        <v>-8</v>
      </c>
      <c r="BD64">
        <f>SUM($AM64,$AN64:AS64)-SUM($BH64:BN64)</f>
        <v>-8</v>
      </c>
      <c r="BI64">
        <f t="array" ref="BI64">SUMPRODUCT(TRANSPOSE(BI$4:BI$9),$K64:$P64)</f>
        <v>0</v>
      </c>
      <c r="BJ64">
        <f t="array" ref="BJ64">SUMPRODUCT(TRANSPOSE(BJ$4:BJ$9),$K64:$P64)</f>
        <v>2</v>
      </c>
      <c r="BK64">
        <f t="array" ref="BK64">SUMPRODUCT(TRANSPOSE(BK$4:BK$9),$K64:$P64)</f>
        <v>6</v>
      </c>
      <c r="BL64">
        <f t="array" ref="BL64">SUMPRODUCT(TRANSPOSE(BL$4:BL$9),$K64:$P64)</f>
        <v>0</v>
      </c>
      <c r="BM64">
        <f t="array" ref="BM64">SUMPRODUCT(TRANSPOSE(BM$4:BM$9),$K64:$P64)</f>
        <v>0</v>
      </c>
      <c r="BN64">
        <f t="array" ref="BN64">SUMPRODUCT(TRANSPOSE(BN$4:BN$9),$K64:$P64)</f>
        <v>0</v>
      </c>
      <c r="CA64" t="s">
        <v>431</v>
      </c>
      <c r="CB64" t="s">
        <v>432</v>
      </c>
      <c r="CC64" t="s">
        <v>422</v>
      </c>
      <c r="CD64" t="s">
        <v>433</v>
      </c>
      <c r="CE64" t="s">
        <v>434</v>
      </c>
      <c r="CF64">
        <v>1.2E-2</v>
      </c>
      <c r="CG64">
        <v>5</v>
      </c>
      <c r="CH64">
        <v>40.44</v>
      </c>
      <c r="CI64" t="s">
        <v>435</v>
      </c>
      <c r="CJ64" s="1">
        <v>46233</v>
      </c>
      <c r="CO64" t="s">
        <v>436</v>
      </c>
      <c r="CP64">
        <v>0.18</v>
      </c>
      <c r="CQ64">
        <v>0</v>
      </c>
      <c r="CR64" t="b">
        <v>0</v>
      </c>
    </row>
    <row r="65" spans="1:99">
      <c r="A65">
        <v>14</v>
      </c>
      <c r="B65" t="s">
        <v>437</v>
      </c>
      <c r="C65" t="s">
        <v>438</v>
      </c>
      <c r="D65" t="s">
        <v>139</v>
      </c>
      <c r="F65">
        <v>417493560</v>
      </c>
      <c r="G65" t="s">
        <v>439</v>
      </c>
      <c r="H65" t="s">
        <v>75</v>
      </c>
      <c r="I65">
        <v>1</v>
      </c>
      <c r="J65">
        <v>1</v>
      </c>
      <c r="K65">
        <v>0</v>
      </c>
      <c r="L65">
        <v>1</v>
      </c>
      <c r="M65">
        <v>0</v>
      </c>
      <c r="N65">
        <v>1</v>
      </c>
      <c r="O65">
        <v>0</v>
      </c>
      <c r="P65">
        <v>0</v>
      </c>
      <c r="Q65">
        <v>2</v>
      </c>
      <c r="R65">
        <v>220</v>
      </c>
      <c r="S65">
        <v>1</v>
      </c>
      <c r="T65">
        <v>220</v>
      </c>
      <c r="U65" t="s">
        <v>440</v>
      </c>
      <c r="W65" t="s">
        <v>440</v>
      </c>
      <c r="X65" t="e">
        <v>#VALUE!</v>
      </c>
      <c r="Y65" t="s">
        <v>440</v>
      </c>
      <c r="Z65" t="s">
        <v>440</v>
      </c>
      <c r="AA65" t="s">
        <v>440</v>
      </c>
      <c r="AG65">
        <v>0</v>
      </c>
      <c r="AH65" t="e">
        <v>#VALUE!</v>
      </c>
      <c r="AI65">
        <v>220</v>
      </c>
      <c r="AJ65">
        <v>0</v>
      </c>
      <c r="AK65">
        <v>220</v>
      </c>
      <c r="AL65">
        <v>140</v>
      </c>
      <c r="AM65">
        <v>80</v>
      </c>
      <c r="AZ65">
        <f>SUM($AM65,$AN65:AO65)-SUM($BH65:BJ65)</f>
        <v>60</v>
      </c>
      <c r="BA65">
        <f>SUM($AM65,$AN65:AP65)-SUM($BH65:BK65)</f>
        <v>0</v>
      </c>
      <c r="BB65">
        <f>SUM($AM65,$AN65:AQ65)-SUM($BH65:BL65)</f>
        <v>0</v>
      </c>
      <c r="BC65">
        <f>SUM($AM65,$AN65:AR65)-SUM($BH65:BM65)</f>
        <v>0</v>
      </c>
      <c r="BD65">
        <f>SUM($AM65,$AN65:AS65)-SUM($BH65:BN65)</f>
        <v>0</v>
      </c>
      <c r="BI65">
        <f t="array" ref="BI65">SUMPRODUCT(TRANSPOSE(BI$4:BI$9),$K65:$P65)</f>
        <v>0</v>
      </c>
      <c r="BJ65">
        <f t="array" ref="BJ65">SUMPRODUCT(TRANSPOSE(BJ$4:BJ$9),$K65:$P65)</f>
        <v>20</v>
      </c>
      <c r="BK65">
        <f t="array" ref="BK65">SUMPRODUCT(TRANSPOSE(BK$4:BK$9),$K65:$P65)</f>
        <v>60</v>
      </c>
      <c r="BL65">
        <f t="array" ref="BL65">SUMPRODUCT(TRANSPOSE(BL$4:BL$9),$K65:$P65)</f>
        <v>0</v>
      </c>
      <c r="BM65">
        <f t="array" ref="BM65">SUMPRODUCT(TRANSPOSE(BM$4:BM$9),$K65:$P65)</f>
        <v>0</v>
      </c>
      <c r="BN65">
        <f t="array" ref="BN65">SUMPRODUCT(TRANSPOSE(BN$4:BN$9),$K65:$P65)</f>
        <v>0</v>
      </c>
      <c r="BO65" t="s">
        <v>440</v>
      </c>
      <c r="BY65" t="s">
        <v>441</v>
      </c>
      <c r="CA65" t="s">
        <v>440</v>
      </c>
      <c r="CB65" t="s">
        <v>440</v>
      </c>
      <c r="CH65">
        <v>0</v>
      </c>
      <c r="CO65" t="s">
        <v>440</v>
      </c>
      <c r="CP65">
        <v>0</v>
      </c>
      <c r="CQ65">
        <v>160</v>
      </c>
      <c r="CR65" t="b">
        <v>1</v>
      </c>
    </row>
    <row r="66" spans="1:99">
      <c r="A66">
        <v>236</v>
      </c>
      <c r="B66" t="s">
        <v>442</v>
      </c>
      <c r="C66" t="s">
        <v>443</v>
      </c>
      <c r="D66" t="s">
        <v>81</v>
      </c>
      <c r="E66" t="s">
        <v>444</v>
      </c>
      <c r="F66">
        <v>410928732</v>
      </c>
      <c r="G66" t="s">
        <v>445</v>
      </c>
      <c r="H66" t="s">
        <v>75</v>
      </c>
      <c r="I66">
        <v>2</v>
      </c>
      <c r="J66">
        <v>2</v>
      </c>
      <c r="K66">
        <v>0</v>
      </c>
      <c r="L66">
        <v>0</v>
      </c>
      <c r="M66">
        <v>0</v>
      </c>
      <c r="N66">
        <v>0</v>
      </c>
      <c r="O66">
        <v>1</v>
      </c>
      <c r="P66">
        <v>1</v>
      </c>
      <c r="Q66">
        <v>2</v>
      </c>
      <c r="R66">
        <v>440</v>
      </c>
      <c r="S66">
        <v>1</v>
      </c>
      <c r="T66">
        <v>440</v>
      </c>
      <c r="U66" t="s">
        <v>446</v>
      </c>
      <c r="W66">
        <v>7.4999999999999997E-2</v>
      </c>
      <c r="X66">
        <v>33</v>
      </c>
      <c r="Y66" t="s">
        <v>85</v>
      </c>
      <c r="Z66" t="s">
        <v>236</v>
      </c>
      <c r="AA66" t="s">
        <v>447</v>
      </c>
      <c r="AB66" t="s">
        <v>448</v>
      </c>
      <c r="AC66" t="s">
        <v>449</v>
      </c>
      <c r="AD66">
        <v>10000</v>
      </c>
      <c r="AG66">
        <v>0.15</v>
      </c>
      <c r="AH66">
        <v>33</v>
      </c>
      <c r="AI66">
        <v>440</v>
      </c>
      <c r="AJ66">
        <v>0</v>
      </c>
      <c r="AK66">
        <v>440</v>
      </c>
      <c r="AL66">
        <v>440</v>
      </c>
      <c r="AM66">
        <v>0</v>
      </c>
      <c r="AZ66">
        <f>SUM($AM66,$AN66:AO66)-SUM($BH66:BJ66)</f>
        <v>-40</v>
      </c>
      <c r="BA66">
        <f>SUM($AM66,$AN66:AP66)-SUM($BH66:BK66)</f>
        <v>-160</v>
      </c>
      <c r="BB66">
        <f>SUM($AM66,$AN66:AQ66)-SUM($BH66:BL66)</f>
        <v>-160</v>
      </c>
      <c r="BC66">
        <f>SUM($AM66,$AN66:AR66)-SUM($BH66:BM66)</f>
        <v>-160</v>
      </c>
      <c r="BD66">
        <f>SUM($AM66,$AN66:AS66)-SUM($BH66:BN66)</f>
        <v>-160</v>
      </c>
      <c r="BI66">
        <f t="array" ref="BI66">SUMPRODUCT(TRANSPOSE(BI$4:BI$9),$K66:$P66)</f>
        <v>0</v>
      </c>
      <c r="BJ66">
        <f t="array" ref="BJ66">SUMPRODUCT(TRANSPOSE(BJ$4:BJ$9),$K66:$P66)</f>
        <v>40</v>
      </c>
      <c r="BK66">
        <f t="array" ref="BK66">SUMPRODUCT(TRANSPOSE(BK$4:BK$9),$K66:$P66)</f>
        <v>120</v>
      </c>
      <c r="BL66">
        <f t="array" ref="BL66">SUMPRODUCT(TRANSPOSE(BL$4:BL$9),$K66:$P66)</f>
        <v>0</v>
      </c>
      <c r="BM66">
        <f t="array" ref="BM66">SUMPRODUCT(TRANSPOSE(BM$4:BM$9),$K66:$P66)</f>
        <v>0</v>
      </c>
      <c r="BN66">
        <f t="array" ref="BN66">SUMPRODUCT(TRANSPOSE(BN$4:BN$9),$K66:$P66)</f>
        <v>0</v>
      </c>
      <c r="CA66" t="s">
        <v>431</v>
      </c>
      <c r="CH66">
        <v>0</v>
      </c>
      <c r="CO66" t="s">
        <v>450</v>
      </c>
      <c r="CP66">
        <v>0</v>
      </c>
      <c r="CQ66">
        <v>0</v>
      </c>
      <c r="CR66" t="b">
        <v>1</v>
      </c>
    </row>
    <row r="67" spans="1:99">
      <c r="A67">
        <v>22</v>
      </c>
      <c r="B67" t="s">
        <v>451</v>
      </c>
      <c r="C67" t="s">
        <v>452</v>
      </c>
      <c r="D67" t="s">
        <v>100</v>
      </c>
      <c r="F67">
        <v>413783598</v>
      </c>
      <c r="G67" t="s">
        <v>453</v>
      </c>
      <c r="H67" t="s">
        <v>75</v>
      </c>
      <c r="I67">
        <v>1</v>
      </c>
      <c r="J67">
        <v>1</v>
      </c>
      <c r="K67">
        <v>0</v>
      </c>
      <c r="L67">
        <v>1</v>
      </c>
      <c r="M67">
        <v>0</v>
      </c>
      <c r="N67">
        <v>1</v>
      </c>
      <c r="O67">
        <v>0</v>
      </c>
      <c r="P67">
        <v>0</v>
      </c>
      <c r="Q67">
        <v>2</v>
      </c>
      <c r="R67">
        <v>220</v>
      </c>
      <c r="S67">
        <v>1</v>
      </c>
      <c r="T67">
        <v>220</v>
      </c>
      <c r="U67" t="s">
        <v>440</v>
      </c>
      <c r="W67" t="s">
        <v>440</v>
      </c>
      <c r="X67" t="s">
        <v>440</v>
      </c>
      <c r="Y67" t="s">
        <v>440</v>
      </c>
      <c r="Z67" t="s">
        <v>440</v>
      </c>
      <c r="AA67" t="s">
        <v>440</v>
      </c>
      <c r="AG67">
        <v>0</v>
      </c>
      <c r="AH67" t="e">
        <v>#VALUE!</v>
      </c>
      <c r="AI67">
        <v>220</v>
      </c>
      <c r="AJ67">
        <v>0</v>
      </c>
      <c r="AK67">
        <v>220</v>
      </c>
      <c r="AL67">
        <v>140</v>
      </c>
      <c r="AM67">
        <v>80</v>
      </c>
      <c r="AZ67">
        <f>SUM($AM67,$AN67:AO67)-SUM($BH67:BJ67)</f>
        <v>60</v>
      </c>
      <c r="BA67">
        <f>SUM($AM67,$AN67:AP67)-SUM($BH67:BK67)</f>
        <v>0</v>
      </c>
      <c r="BB67">
        <f>SUM($AM67,$AN67:AQ67)-SUM($BH67:BL67)</f>
        <v>0</v>
      </c>
      <c r="BC67">
        <f>SUM($AM67,$AN67:AR67)-SUM($BH67:BM67)</f>
        <v>0</v>
      </c>
      <c r="BD67">
        <f>SUM($AM67,$AN67:AS67)-SUM($BH67:BN67)</f>
        <v>0</v>
      </c>
      <c r="BI67">
        <f t="array" ref="BI67">SUMPRODUCT(TRANSPOSE(BI$4:BI$9),$K67:$P67)</f>
        <v>0</v>
      </c>
      <c r="BJ67">
        <f t="array" ref="BJ67">SUMPRODUCT(TRANSPOSE(BJ$4:BJ$9),$K67:$P67)</f>
        <v>20</v>
      </c>
      <c r="BK67">
        <f t="array" ref="BK67">SUMPRODUCT(TRANSPOSE(BK$4:BK$9),$K67:$P67)</f>
        <v>60</v>
      </c>
      <c r="BL67">
        <f t="array" ref="BL67">SUMPRODUCT(TRANSPOSE(BL$4:BL$9),$K67:$P67)</f>
        <v>0</v>
      </c>
      <c r="BM67">
        <f t="array" ref="BM67">SUMPRODUCT(TRANSPOSE(BM$4:BM$9),$K67:$P67)</f>
        <v>0</v>
      </c>
      <c r="BN67">
        <f t="array" ref="BN67">SUMPRODUCT(TRANSPOSE(BN$4:BN$9),$K67:$P67)</f>
        <v>0</v>
      </c>
      <c r="BO67" t="s">
        <v>440</v>
      </c>
      <c r="BY67" t="s">
        <v>441</v>
      </c>
      <c r="CA67" t="s">
        <v>440</v>
      </c>
      <c r="CB67" t="s">
        <v>440</v>
      </c>
      <c r="CH67">
        <v>0</v>
      </c>
    </row>
    <row r="68" spans="1:99">
      <c r="A68">
        <v>41</v>
      </c>
      <c r="B68" t="s">
        <v>454</v>
      </c>
      <c r="C68" t="s">
        <v>455</v>
      </c>
      <c r="D68" t="s">
        <v>113</v>
      </c>
      <c r="F68">
        <v>414202236</v>
      </c>
      <c r="G68" t="s">
        <v>456</v>
      </c>
      <c r="H68" t="s">
        <v>75</v>
      </c>
      <c r="I68">
        <v>1</v>
      </c>
      <c r="J68">
        <v>32</v>
      </c>
      <c r="K68">
        <v>0</v>
      </c>
      <c r="L68">
        <v>0</v>
      </c>
      <c r="M68">
        <v>0</v>
      </c>
      <c r="N68">
        <v>0</v>
      </c>
      <c r="O68">
        <v>32</v>
      </c>
      <c r="P68">
        <v>0</v>
      </c>
      <c r="Q68">
        <v>32</v>
      </c>
      <c r="R68">
        <v>7040</v>
      </c>
      <c r="S68">
        <v>1</v>
      </c>
      <c r="T68">
        <v>7040</v>
      </c>
      <c r="U68" t="s">
        <v>440</v>
      </c>
      <c r="W68" t="s">
        <v>440</v>
      </c>
      <c r="X68" t="s">
        <v>440</v>
      </c>
      <c r="Y68" t="s">
        <v>440</v>
      </c>
      <c r="Z68" t="s">
        <v>440</v>
      </c>
      <c r="AA68" t="s">
        <v>440</v>
      </c>
      <c r="AG68" t="e">
        <v>#VALUE!</v>
      </c>
      <c r="AH68" t="e">
        <v>#VALUE!</v>
      </c>
      <c r="AI68">
        <v>7040</v>
      </c>
      <c r="AJ68">
        <v>0</v>
      </c>
      <c r="AK68">
        <v>7040</v>
      </c>
      <c r="AL68">
        <v>4480</v>
      </c>
      <c r="AM68">
        <v>2560</v>
      </c>
      <c r="AZ68">
        <f>SUM($AM68,$AN68:AO68)-SUM($BH68:BJ68)</f>
        <v>1920</v>
      </c>
      <c r="BA68">
        <f>SUM($AM68,$AN68:AP68)-SUM($BH68:BK68)</f>
        <v>0</v>
      </c>
      <c r="BB68">
        <f>SUM($AM68,$AN68:AQ68)-SUM($BH68:BL68)</f>
        <v>0</v>
      </c>
      <c r="BC68">
        <f>SUM($AM68,$AN68:AR68)-SUM($BH68:BM68)</f>
        <v>0</v>
      </c>
      <c r="BD68">
        <f>SUM($AM68,$AN68:AS68)-SUM($BH68:BN68)</f>
        <v>0</v>
      </c>
      <c r="BI68">
        <f t="array" ref="BI68">SUMPRODUCT(TRANSPOSE(BI$4:BI$9),$K68:$P68)</f>
        <v>0</v>
      </c>
      <c r="BJ68">
        <f t="array" ref="BJ68">SUMPRODUCT(TRANSPOSE(BJ$4:BJ$9),$K68:$P68)</f>
        <v>640</v>
      </c>
      <c r="BK68">
        <f t="array" ref="BK68">SUMPRODUCT(TRANSPOSE(BK$4:BK$9),$K68:$P68)</f>
        <v>1920</v>
      </c>
      <c r="BL68">
        <f t="array" ref="BL68">SUMPRODUCT(TRANSPOSE(BL$4:BL$9),$K68:$P68)</f>
        <v>0</v>
      </c>
      <c r="BM68">
        <f t="array" ref="BM68">SUMPRODUCT(TRANSPOSE(BM$4:BM$9),$K68:$P68)</f>
        <v>0</v>
      </c>
      <c r="BN68">
        <f t="array" ref="BN68">SUMPRODUCT(TRANSPOSE(BN$4:BN$9),$K68:$P68)</f>
        <v>0</v>
      </c>
      <c r="BO68" t="s">
        <v>150</v>
      </c>
      <c r="BY68" t="s">
        <v>441</v>
      </c>
      <c r="CA68" t="s">
        <v>440</v>
      </c>
      <c r="CB68" t="s">
        <v>440</v>
      </c>
      <c r="CH68">
        <v>0</v>
      </c>
      <c r="CO68" t="s">
        <v>457</v>
      </c>
      <c r="CP68">
        <v>299</v>
      </c>
      <c r="CQ68">
        <v>18326</v>
      </c>
      <c r="CR68" t="b">
        <v>0</v>
      </c>
    </row>
    <row r="69" spans="1:99">
      <c r="A69">
        <v>43</v>
      </c>
      <c r="B69" t="s">
        <v>458</v>
      </c>
      <c r="C69" t="s">
        <v>459</v>
      </c>
      <c r="D69" t="s">
        <v>100</v>
      </c>
      <c r="F69">
        <v>411422280</v>
      </c>
      <c r="G69" t="s">
        <v>460</v>
      </c>
      <c r="H69" t="s">
        <v>75</v>
      </c>
      <c r="I69">
        <v>1</v>
      </c>
      <c r="J69">
        <v>34</v>
      </c>
      <c r="K69">
        <v>0</v>
      </c>
      <c r="L69">
        <v>0</v>
      </c>
      <c r="M69">
        <v>0</v>
      </c>
      <c r="N69">
        <v>0</v>
      </c>
      <c r="O69">
        <v>34</v>
      </c>
      <c r="P69">
        <v>0</v>
      </c>
      <c r="Q69">
        <v>34</v>
      </c>
      <c r="R69">
        <v>7480</v>
      </c>
      <c r="S69">
        <v>1</v>
      </c>
      <c r="T69">
        <v>7480</v>
      </c>
      <c r="U69" t="s">
        <v>440</v>
      </c>
      <c r="W69" t="s">
        <v>440</v>
      </c>
      <c r="X69" t="s">
        <v>440</v>
      </c>
      <c r="Y69" t="s">
        <v>440</v>
      </c>
      <c r="Z69" t="s">
        <v>440</v>
      </c>
      <c r="AA69" t="s">
        <v>440</v>
      </c>
      <c r="AG69" t="e">
        <v>#VALUE!</v>
      </c>
      <c r="AH69" t="e">
        <v>#VALUE!</v>
      </c>
      <c r="AI69">
        <v>7480</v>
      </c>
      <c r="AJ69">
        <v>0</v>
      </c>
      <c r="AK69">
        <v>7480</v>
      </c>
      <c r="AL69">
        <v>5068</v>
      </c>
      <c r="AM69">
        <v>2412</v>
      </c>
      <c r="AZ69">
        <f>SUM($AM69,$AN69:AO69)-SUM($BH69:BJ69)</f>
        <v>1732</v>
      </c>
      <c r="BA69">
        <f>SUM($AM69,$AN69:AP69)-SUM($BH69:BK69)</f>
        <v>-308</v>
      </c>
      <c r="BB69">
        <f>SUM($AM69,$AN69:AQ69)-SUM($BH69:BL69)</f>
        <v>-308</v>
      </c>
      <c r="BC69">
        <f>SUM($AM69,$AN69:AR69)-SUM($BH69:BM69)</f>
        <v>-308</v>
      </c>
      <c r="BD69">
        <f>SUM($AM69,$AN69:AS69)-SUM($BH69:BN69)</f>
        <v>-308</v>
      </c>
      <c r="BI69">
        <f t="array" ref="BI69">SUMPRODUCT(TRANSPOSE(BI$4:BI$9),$K69:$P69)</f>
        <v>0</v>
      </c>
      <c r="BJ69">
        <f t="array" ref="BJ69">SUMPRODUCT(TRANSPOSE(BJ$4:BJ$9),$K69:$P69)</f>
        <v>680</v>
      </c>
      <c r="BK69">
        <f t="array" ref="BK69">SUMPRODUCT(TRANSPOSE(BK$4:BK$9),$K69:$P69)</f>
        <v>2040</v>
      </c>
      <c r="BL69">
        <f t="array" ref="BL69">SUMPRODUCT(TRANSPOSE(BL$4:BL$9),$K69:$P69)</f>
        <v>0</v>
      </c>
      <c r="BM69">
        <f t="array" ref="BM69">SUMPRODUCT(TRANSPOSE(BM$4:BM$9),$K69:$P69)</f>
        <v>0</v>
      </c>
      <c r="BN69">
        <f t="array" ref="BN69">SUMPRODUCT(TRANSPOSE(BN$4:BN$9),$K69:$P69)</f>
        <v>0</v>
      </c>
      <c r="BO69" t="s">
        <v>150</v>
      </c>
      <c r="BY69" t="s">
        <v>441</v>
      </c>
      <c r="CA69" t="s">
        <v>440</v>
      </c>
      <c r="CB69" t="s">
        <v>440</v>
      </c>
      <c r="CH69">
        <v>0</v>
      </c>
      <c r="CO69" t="s">
        <v>461</v>
      </c>
      <c r="CP69">
        <v>160</v>
      </c>
      <c r="CQ69">
        <v>38912</v>
      </c>
      <c r="CR69" t="b">
        <v>0</v>
      </c>
    </row>
    <row r="70" spans="1:99">
      <c r="A70">
        <v>44</v>
      </c>
      <c r="B70" t="s">
        <v>462</v>
      </c>
      <c r="C70" t="s">
        <v>463</v>
      </c>
      <c r="D70" t="s">
        <v>100</v>
      </c>
      <c r="F70">
        <v>412501958</v>
      </c>
      <c r="G70" t="s">
        <v>464</v>
      </c>
      <c r="H70" t="s">
        <v>75</v>
      </c>
      <c r="I70">
        <v>1</v>
      </c>
      <c r="J70">
        <v>33</v>
      </c>
      <c r="K70">
        <v>0</v>
      </c>
      <c r="L70">
        <v>0</v>
      </c>
      <c r="M70">
        <v>0</v>
      </c>
      <c r="N70">
        <v>0</v>
      </c>
      <c r="O70">
        <v>33</v>
      </c>
      <c r="P70">
        <v>0</v>
      </c>
      <c r="Q70">
        <v>33</v>
      </c>
      <c r="R70">
        <v>7260</v>
      </c>
      <c r="S70">
        <v>1</v>
      </c>
      <c r="T70">
        <v>7260</v>
      </c>
      <c r="U70" t="s">
        <v>440</v>
      </c>
      <c r="W70" t="s">
        <v>440</v>
      </c>
      <c r="X70" t="s">
        <v>440</v>
      </c>
      <c r="Y70" t="s">
        <v>440</v>
      </c>
      <c r="Z70" t="s">
        <v>440</v>
      </c>
      <c r="AA70" t="s">
        <v>440</v>
      </c>
      <c r="AG70" t="e">
        <v>#VALUE!</v>
      </c>
      <c r="AH70" t="e">
        <v>#VALUE!</v>
      </c>
      <c r="AI70">
        <v>7260</v>
      </c>
      <c r="AJ70">
        <v>0</v>
      </c>
      <c r="AK70">
        <v>7260</v>
      </c>
      <c r="AL70">
        <v>4540</v>
      </c>
      <c r="AM70">
        <v>2720</v>
      </c>
      <c r="AZ70">
        <f>SUM($AM70,$AN70:AO70)-SUM($BH70:BJ70)</f>
        <v>2060</v>
      </c>
      <c r="BA70">
        <f>SUM($AM70,$AN70:AP70)-SUM($BH70:BK70)</f>
        <v>80</v>
      </c>
      <c r="BB70">
        <f>SUM($AM70,$AN70:AQ70)-SUM($BH70:BL70)</f>
        <v>80</v>
      </c>
      <c r="BC70">
        <f>SUM($AM70,$AN70:AR70)-SUM($BH70:BM70)</f>
        <v>80</v>
      </c>
      <c r="BD70">
        <f>SUM($AM70,$AN70:AS70)-SUM($BH70:BN70)</f>
        <v>80</v>
      </c>
      <c r="BI70">
        <f t="array" ref="BI70">SUMPRODUCT(TRANSPOSE(BI$4:BI$9),$K70:$P70)</f>
        <v>0</v>
      </c>
      <c r="BJ70">
        <f t="array" ref="BJ70">SUMPRODUCT(TRANSPOSE(BJ$4:BJ$9),$K70:$P70)</f>
        <v>660</v>
      </c>
      <c r="BK70">
        <f t="array" ref="BK70">SUMPRODUCT(TRANSPOSE(BK$4:BK$9),$K70:$P70)</f>
        <v>1980</v>
      </c>
      <c r="BL70">
        <f t="array" ref="BL70">SUMPRODUCT(TRANSPOSE(BL$4:BL$9),$K70:$P70)</f>
        <v>0</v>
      </c>
      <c r="BM70">
        <f t="array" ref="BM70">SUMPRODUCT(TRANSPOSE(BM$4:BM$9),$K70:$P70)</f>
        <v>0</v>
      </c>
      <c r="BN70">
        <f t="array" ref="BN70">SUMPRODUCT(TRANSPOSE(BN$4:BN$9),$K70:$P70)</f>
        <v>0</v>
      </c>
      <c r="BO70" t="s">
        <v>150</v>
      </c>
      <c r="BY70" t="s">
        <v>441</v>
      </c>
      <c r="CA70" t="s">
        <v>440</v>
      </c>
      <c r="CB70" t="s">
        <v>440</v>
      </c>
      <c r="CH70">
        <v>0</v>
      </c>
      <c r="CO70" t="s">
        <v>465</v>
      </c>
      <c r="CP70">
        <v>170</v>
      </c>
      <c r="CQ70">
        <v>37345</v>
      </c>
      <c r="CR70" t="b">
        <v>0</v>
      </c>
    </row>
    <row r="71" spans="1:99">
      <c r="A71">
        <v>48</v>
      </c>
      <c r="B71" t="s">
        <v>466</v>
      </c>
      <c r="C71" t="s">
        <v>467</v>
      </c>
      <c r="D71" t="s">
        <v>81</v>
      </c>
      <c r="E71" t="s">
        <v>468</v>
      </c>
      <c r="F71">
        <v>404179667</v>
      </c>
      <c r="G71" t="s">
        <v>469</v>
      </c>
      <c r="H71" t="s">
        <v>75</v>
      </c>
      <c r="I71">
        <v>2</v>
      </c>
      <c r="J71">
        <v>32</v>
      </c>
      <c r="K71">
        <v>0</v>
      </c>
      <c r="L71">
        <v>32</v>
      </c>
      <c r="M71">
        <v>0</v>
      </c>
      <c r="N71">
        <v>32</v>
      </c>
      <c r="O71">
        <v>0</v>
      </c>
      <c r="P71">
        <v>0</v>
      </c>
      <c r="Q71">
        <v>64</v>
      </c>
      <c r="R71">
        <v>7040</v>
      </c>
      <c r="S71">
        <v>1</v>
      </c>
      <c r="T71">
        <v>7040</v>
      </c>
      <c r="U71" t="s">
        <v>470</v>
      </c>
      <c r="W71">
        <v>3.46</v>
      </c>
      <c r="X71">
        <v>24358.400000000001</v>
      </c>
      <c r="Y71" t="s">
        <v>85</v>
      </c>
      <c r="Z71" t="s">
        <v>470</v>
      </c>
      <c r="AA71" t="s">
        <v>471</v>
      </c>
      <c r="AB71" t="s">
        <v>472</v>
      </c>
      <c r="AC71" t="s">
        <v>473</v>
      </c>
      <c r="AG71">
        <v>6.92</v>
      </c>
      <c r="AH71">
        <v>24358.400000000001</v>
      </c>
      <c r="AI71">
        <v>7040</v>
      </c>
      <c r="AJ71">
        <v>7100</v>
      </c>
      <c r="AK71">
        <v>0</v>
      </c>
      <c r="AL71">
        <v>-60</v>
      </c>
      <c r="AM71">
        <v>7100</v>
      </c>
      <c r="AZ71">
        <f>SUM($AM71,$AN71:AO71)-SUM($BH71:BJ71)</f>
        <v>6460</v>
      </c>
      <c r="BA71">
        <f>SUM($AM71,$AN71:AP71)-SUM($BH71:BK71)</f>
        <v>4540</v>
      </c>
      <c r="BB71">
        <f>SUM($AM71,$AN71:AQ71)-SUM($BH71:BL71)</f>
        <v>4540</v>
      </c>
      <c r="BC71">
        <f>SUM($AM71,$AN71:AR71)-SUM($BH71:BM71)</f>
        <v>4540</v>
      </c>
      <c r="BD71">
        <f>SUM($AM71,$AN71:AS71)-SUM($BH71:BN71)</f>
        <v>4540</v>
      </c>
      <c r="BI71">
        <f t="array" ref="BI71">SUMPRODUCT(TRANSPOSE(BI$4:BI$9),$K71:$P71)</f>
        <v>0</v>
      </c>
      <c r="BJ71">
        <f t="array" ref="BJ71">SUMPRODUCT(TRANSPOSE(BJ$4:BJ$9),$K71:$P71)</f>
        <v>640</v>
      </c>
      <c r="BK71">
        <f t="array" ref="BK71">SUMPRODUCT(TRANSPOSE(BK$4:BK$9),$K71:$P71)</f>
        <v>1920</v>
      </c>
      <c r="BL71">
        <f t="array" ref="BL71">SUMPRODUCT(TRANSPOSE(BL$4:BL$9),$K71:$P71)</f>
        <v>0</v>
      </c>
      <c r="BM71">
        <f t="array" ref="BM71">SUMPRODUCT(TRANSPOSE(BM$4:BM$9),$K71:$P71)</f>
        <v>0</v>
      </c>
      <c r="BN71">
        <f t="array" ref="BN71">SUMPRODUCT(TRANSPOSE(BN$4:BN$9),$K71:$P71)</f>
        <v>0</v>
      </c>
      <c r="BO71" t="s">
        <v>470</v>
      </c>
      <c r="BR71" t="s">
        <v>474</v>
      </c>
      <c r="BS71" t="s">
        <v>475</v>
      </c>
      <c r="BU71">
        <v>3.6772</v>
      </c>
      <c r="BV71" t="s">
        <v>476</v>
      </c>
      <c r="BW71" t="s">
        <v>476</v>
      </c>
      <c r="CA71" t="s">
        <v>177</v>
      </c>
      <c r="CB71" t="s">
        <v>477</v>
      </c>
      <c r="CC71" t="s">
        <v>467</v>
      </c>
      <c r="CD71" t="s">
        <v>470</v>
      </c>
      <c r="CE71" t="s">
        <v>243</v>
      </c>
      <c r="CF71">
        <v>1</v>
      </c>
      <c r="CG71">
        <v>7100</v>
      </c>
      <c r="CH71">
        <v>22507</v>
      </c>
      <c r="CI71" t="s">
        <v>478</v>
      </c>
      <c r="CJ71" s="1">
        <v>45961</v>
      </c>
      <c r="CK71" t="s">
        <v>95</v>
      </c>
      <c r="CL71" t="s">
        <v>119</v>
      </c>
      <c r="CN71" t="s">
        <v>96</v>
      </c>
      <c r="CO71" t="s">
        <v>477</v>
      </c>
      <c r="CP71">
        <v>3.2928000000000002</v>
      </c>
      <c r="CQ71">
        <v>37400</v>
      </c>
      <c r="CR71" t="b">
        <v>0</v>
      </c>
      <c r="CT71">
        <v>3.6772</v>
      </c>
      <c r="CU71" t="s">
        <v>476</v>
      </c>
    </row>
    <row r="72" spans="1:99">
      <c r="A72">
        <v>51</v>
      </c>
      <c r="B72" t="s">
        <v>479</v>
      </c>
      <c r="C72" t="s">
        <v>480</v>
      </c>
      <c r="D72" t="s">
        <v>81</v>
      </c>
      <c r="E72" t="s">
        <v>481</v>
      </c>
      <c r="F72">
        <v>400542420</v>
      </c>
      <c r="G72" t="s">
        <v>482</v>
      </c>
      <c r="H72" t="s">
        <v>75</v>
      </c>
      <c r="I72">
        <v>2</v>
      </c>
      <c r="J72">
        <v>36</v>
      </c>
      <c r="K72">
        <v>0</v>
      </c>
      <c r="L72">
        <v>32</v>
      </c>
      <c r="M72">
        <v>0</v>
      </c>
      <c r="N72">
        <v>36</v>
      </c>
      <c r="O72">
        <v>0</v>
      </c>
      <c r="P72">
        <v>0</v>
      </c>
      <c r="Q72">
        <v>68</v>
      </c>
      <c r="R72">
        <v>7600</v>
      </c>
      <c r="S72">
        <v>1</v>
      </c>
      <c r="T72">
        <v>7600</v>
      </c>
      <c r="U72" t="s">
        <v>483</v>
      </c>
      <c r="W72">
        <v>2.5499999999999998</v>
      </c>
      <c r="X72">
        <v>19380</v>
      </c>
      <c r="Y72" t="s">
        <v>85</v>
      </c>
      <c r="Z72" t="s">
        <v>470</v>
      </c>
      <c r="AA72" t="s">
        <v>471</v>
      </c>
      <c r="AB72" t="s">
        <v>472</v>
      </c>
      <c r="AC72" t="s">
        <v>473</v>
      </c>
      <c r="AG72">
        <v>5.0999999999999996</v>
      </c>
      <c r="AH72">
        <v>20196</v>
      </c>
      <c r="AI72">
        <v>7600</v>
      </c>
      <c r="AJ72">
        <v>8000</v>
      </c>
      <c r="AK72">
        <v>0</v>
      </c>
      <c r="AL72">
        <v>-371</v>
      </c>
      <c r="AM72">
        <v>7971</v>
      </c>
      <c r="AZ72">
        <f>SUM($AM72,$AN72:AO72)-SUM($BH72:BJ72)</f>
        <v>7251</v>
      </c>
      <c r="BA72">
        <f>SUM($AM72,$AN72:AP72)-SUM($BH72:BK72)</f>
        <v>5091</v>
      </c>
      <c r="BB72">
        <f>SUM($AM72,$AN72:AQ72)-SUM($BH72:BL72)</f>
        <v>5091</v>
      </c>
      <c r="BC72">
        <f>SUM($AM72,$AN72:AR72)-SUM($BH72:BM72)</f>
        <v>5091</v>
      </c>
      <c r="BD72">
        <f>SUM($AM72,$AN72:AS72)-SUM($BH72:BN72)</f>
        <v>5091</v>
      </c>
      <c r="BI72">
        <f t="array" ref="BI72">SUMPRODUCT(TRANSPOSE(BI$4:BI$9),$K72:$P72)</f>
        <v>0</v>
      </c>
      <c r="BJ72">
        <f t="array" ref="BJ72">SUMPRODUCT(TRANSPOSE(BJ$4:BJ$9),$K72:$P72)</f>
        <v>720</v>
      </c>
      <c r="BK72">
        <f t="array" ref="BK72">SUMPRODUCT(TRANSPOSE(BK$4:BK$9),$K72:$P72)</f>
        <v>2160</v>
      </c>
      <c r="BL72">
        <f t="array" ref="BL72">SUMPRODUCT(TRANSPOSE(BL$4:BL$9),$K72:$P72)</f>
        <v>0</v>
      </c>
      <c r="BM72">
        <f t="array" ref="BM72">SUMPRODUCT(TRANSPOSE(BM$4:BM$9),$K72:$P72)</f>
        <v>0</v>
      </c>
      <c r="BN72">
        <f t="array" ref="BN72">SUMPRODUCT(TRANSPOSE(BN$4:BN$9),$K72:$P72)</f>
        <v>0</v>
      </c>
      <c r="BO72" t="s">
        <v>483</v>
      </c>
      <c r="BS72" t="s">
        <v>484</v>
      </c>
      <c r="BU72">
        <v>2.6911999999999998</v>
      </c>
      <c r="BV72" t="s">
        <v>485</v>
      </c>
      <c r="BW72" t="s">
        <v>485</v>
      </c>
      <c r="CA72" t="s">
        <v>177</v>
      </c>
      <c r="CB72" t="s">
        <v>477</v>
      </c>
      <c r="CC72" t="s">
        <v>480</v>
      </c>
      <c r="CD72" t="s">
        <v>483</v>
      </c>
      <c r="CE72" t="s">
        <v>243</v>
      </c>
      <c r="CF72">
        <v>1</v>
      </c>
      <c r="CG72">
        <v>8000</v>
      </c>
      <c r="CH72">
        <v>18560</v>
      </c>
      <c r="CI72" t="s">
        <v>478</v>
      </c>
      <c r="CJ72" s="1">
        <v>45961</v>
      </c>
      <c r="CK72" t="s">
        <v>95</v>
      </c>
      <c r="CL72" t="s">
        <v>119</v>
      </c>
      <c r="CN72" t="s">
        <v>96</v>
      </c>
      <c r="CO72" t="s">
        <v>477</v>
      </c>
      <c r="CP72">
        <v>2.4304000000000001</v>
      </c>
      <c r="CQ72">
        <v>3900</v>
      </c>
      <c r="CR72" t="b">
        <v>0</v>
      </c>
      <c r="CT72">
        <v>2.6911999999999998</v>
      </c>
      <c r="CU72" t="s">
        <v>485</v>
      </c>
    </row>
    <row r="73" spans="1:99">
      <c r="A73">
        <v>52</v>
      </c>
      <c r="B73" t="s">
        <v>486</v>
      </c>
      <c r="C73" t="s">
        <v>487</v>
      </c>
      <c r="D73" t="s">
        <v>81</v>
      </c>
      <c r="E73" t="s">
        <v>488</v>
      </c>
      <c r="F73">
        <v>405928222</v>
      </c>
      <c r="G73" t="s">
        <v>489</v>
      </c>
      <c r="H73" t="s">
        <v>75</v>
      </c>
      <c r="I73">
        <v>2</v>
      </c>
      <c r="J73">
        <v>4</v>
      </c>
      <c r="K73">
        <v>0</v>
      </c>
      <c r="L73">
        <v>4</v>
      </c>
      <c r="M73">
        <v>0</v>
      </c>
      <c r="N73">
        <v>4</v>
      </c>
      <c r="O73">
        <v>0</v>
      </c>
      <c r="P73">
        <v>0</v>
      </c>
      <c r="Q73">
        <v>8</v>
      </c>
      <c r="R73">
        <v>880</v>
      </c>
      <c r="S73">
        <v>1</v>
      </c>
      <c r="T73">
        <v>880</v>
      </c>
      <c r="U73" t="s">
        <v>470</v>
      </c>
      <c r="W73">
        <v>2.57</v>
      </c>
      <c r="X73">
        <v>2261.6</v>
      </c>
      <c r="Y73" t="s">
        <v>85</v>
      </c>
      <c r="Z73" t="s">
        <v>470</v>
      </c>
      <c r="AA73" t="s">
        <v>471</v>
      </c>
      <c r="AB73" t="s">
        <v>472</v>
      </c>
      <c r="AC73" t="s">
        <v>473</v>
      </c>
      <c r="AG73">
        <v>5.14</v>
      </c>
      <c r="AH73">
        <v>2261.6</v>
      </c>
      <c r="AI73">
        <v>880</v>
      </c>
      <c r="AJ73">
        <v>900</v>
      </c>
      <c r="AK73">
        <v>0</v>
      </c>
      <c r="AL73">
        <v>-20</v>
      </c>
      <c r="AM73">
        <v>900</v>
      </c>
      <c r="AZ73">
        <f>SUM($AM73,$AN73:AO73)-SUM($BH73:BJ73)</f>
        <v>820</v>
      </c>
      <c r="BA73">
        <f>SUM($AM73,$AN73:AP73)-SUM($BH73:BK73)</f>
        <v>580</v>
      </c>
      <c r="BB73">
        <f>SUM($AM73,$AN73:AQ73)-SUM($BH73:BL73)</f>
        <v>580</v>
      </c>
      <c r="BC73">
        <f>SUM($AM73,$AN73:AR73)-SUM($BH73:BM73)</f>
        <v>580</v>
      </c>
      <c r="BD73">
        <f>SUM($AM73,$AN73:AS73)-SUM($BH73:BN73)</f>
        <v>580</v>
      </c>
      <c r="BI73">
        <f t="array" ref="BI73">SUMPRODUCT(TRANSPOSE(BI$4:BI$9),$K73:$P73)</f>
        <v>0</v>
      </c>
      <c r="BJ73">
        <f t="array" ref="BJ73">SUMPRODUCT(TRANSPOSE(BJ$4:BJ$9),$K73:$P73)</f>
        <v>80</v>
      </c>
      <c r="BK73">
        <f t="array" ref="BK73">SUMPRODUCT(TRANSPOSE(BK$4:BK$9),$K73:$P73)</f>
        <v>240</v>
      </c>
      <c r="BL73">
        <f t="array" ref="BL73">SUMPRODUCT(TRANSPOSE(BL$4:BL$9),$K73:$P73)</f>
        <v>0</v>
      </c>
      <c r="BM73">
        <f t="array" ref="BM73">SUMPRODUCT(TRANSPOSE(BM$4:BM$9),$K73:$P73)</f>
        <v>0</v>
      </c>
      <c r="BN73">
        <f t="array" ref="BN73">SUMPRODUCT(TRANSPOSE(BN$4:BN$9),$K73:$P73)</f>
        <v>0</v>
      </c>
      <c r="BO73" t="s">
        <v>470</v>
      </c>
      <c r="BS73" t="s">
        <v>490</v>
      </c>
      <c r="BU73">
        <v>2.7376</v>
      </c>
      <c r="BV73" t="s">
        <v>491</v>
      </c>
      <c r="BW73" t="s">
        <v>491</v>
      </c>
      <c r="CA73" t="s">
        <v>177</v>
      </c>
      <c r="CB73" t="s">
        <v>477</v>
      </c>
      <c r="CC73" t="s">
        <v>487</v>
      </c>
      <c r="CD73" t="s">
        <v>470</v>
      </c>
      <c r="CE73" t="s">
        <v>243</v>
      </c>
      <c r="CF73">
        <v>1</v>
      </c>
      <c r="CG73">
        <v>900</v>
      </c>
      <c r="CH73">
        <v>2124</v>
      </c>
      <c r="CI73" t="s">
        <v>478</v>
      </c>
      <c r="CJ73" s="1">
        <v>45961</v>
      </c>
      <c r="CK73" t="s">
        <v>95</v>
      </c>
      <c r="CL73" t="s">
        <v>119</v>
      </c>
      <c r="CN73" t="s">
        <v>96</v>
      </c>
      <c r="CO73" t="s">
        <v>477</v>
      </c>
      <c r="CP73">
        <v>2.4527999999999999</v>
      </c>
      <c r="CQ73">
        <v>37400</v>
      </c>
      <c r="CR73" t="b">
        <v>0</v>
      </c>
      <c r="CT73">
        <v>2.7376</v>
      </c>
      <c r="CU73" t="s">
        <v>491</v>
      </c>
    </row>
    <row r="74" spans="1:99">
      <c r="A74">
        <v>53</v>
      </c>
      <c r="B74" t="s">
        <v>492</v>
      </c>
      <c r="C74" t="s">
        <v>493</v>
      </c>
      <c r="D74" t="s">
        <v>81</v>
      </c>
      <c r="F74">
        <v>404492188</v>
      </c>
      <c r="G74" t="s">
        <v>494</v>
      </c>
      <c r="H74" t="s">
        <v>75</v>
      </c>
      <c r="I74">
        <v>2</v>
      </c>
      <c r="J74">
        <v>36</v>
      </c>
      <c r="K74">
        <v>0</v>
      </c>
      <c r="L74">
        <v>0</v>
      </c>
      <c r="M74">
        <v>0</v>
      </c>
      <c r="N74">
        <v>0</v>
      </c>
      <c r="O74">
        <v>36</v>
      </c>
      <c r="P74">
        <v>0</v>
      </c>
      <c r="Q74">
        <v>36</v>
      </c>
      <c r="R74">
        <v>7920</v>
      </c>
      <c r="S74">
        <v>100</v>
      </c>
      <c r="T74">
        <v>8000</v>
      </c>
      <c r="U74" t="s">
        <v>470</v>
      </c>
      <c r="W74">
        <v>4.79</v>
      </c>
      <c r="X74">
        <v>38320</v>
      </c>
      <c r="Y74" t="s">
        <v>85</v>
      </c>
      <c r="Z74" t="s">
        <v>470</v>
      </c>
      <c r="AA74" t="s">
        <v>471</v>
      </c>
      <c r="AB74" t="s">
        <v>472</v>
      </c>
      <c r="AC74" t="s">
        <v>473</v>
      </c>
      <c r="AG74">
        <v>9.58</v>
      </c>
      <c r="AH74">
        <v>38320</v>
      </c>
      <c r="AI74">
        <v>7920</v>
      </c>
      <c r="AJ74">
        <v>8000</v>
      </c>
      <c r="AK74">
        <v>0</v>
      </c>
      <c r="AL74">
        <v>3922</v>
      </c>
      <c r="AM74">
        <v>3998</v>
      </c>
      <c r="AZ74">
        <f>SUM($AM74,$AN74:AO74)-SUM($BH74:BJ74)</f>
        <v>3278</v>
      </c>
      <c r="BA74">
        <f>SUM($AM74,$AN74:AP74)-SUM($BH74:BK74)</f>
        <v>1118</v>
      </c>
      <c r="BB74">
        <f>SUM($AM74,$AN74:AQ74)-SUM($BH74:BL74)</f>
        <v>1118</v>
      </c>
      <c r="BC74">
        <f>SUM($AM74,$AN74:AR74)-SUM($BH74:BM74)</f>
        <v>1118</v>
      </c>
      <c r="BD74">
        <f>SUM($AM74,$AN74:AS74)-SUM($BH74:BN74)</f>
        <v>1118</v>
      </c>
      <c r="BI74">
        <f t="array" ref="BI74">SUMPRODUCT(TRANSPOSE(BI$4:BI$9),$K74:$P74)</f>
        <v>0</v>
      </c>
      <c r="BJ74">
        <f t="array" ref="BJ74">SUMPRODUCT(TRANSPOSE(BJ$4:BJ$9),$K74:$P74)</f>
        <v>720</v>
      </c>
      <c r="BK74">
        <f t="array" ref="BK74">SUMPRODUCT(TRANSPOSE(BK$4:BK$9),$K74:$P74)</f>
        <v>2160</v>
      </c>
      <c r="BL74">
        <f t="array" ref="BL74">SUMPRODUCT(TRANSPOSE(BL$4:BL$9),$K74:$P74)</f>
        <v>0</v>
      </c>
      <c r="BM74">
        <f t="array" ref="BM74">SUMPRODUCT(TRANSPOSE(BM$4:BM$9),$K74:$P74)</f>
        <v>0</v>
      </c>
      <c r="BN74">
        <f t="array" ref="BN74">SUMPRODUCT(TRANSPOSE(BN$4:BN$9),$K74:$P74)</f>
        <v>0</v>
      </c>
      <c r="BO74" t="s">
        <v>470</v>
      </c>
      <c r="BS74" t="s">
        <v>495</v>
      </c>
      <c r="CA74" t="s">
        <v>177</v>
      </c>
      <c r="CB74" t="s">
        <v>477</v>
      </c>
      <c r="CC74" t="s">
        <v>493</v>
      </c>
      <c r="CD74" t="s">
        <v>470</v>
      </c>
      <c r="CE74" t="s">
        <v>243</v>
      </c>
      <c r="CF74">
        <v>1</v>
      </c>
      <c r="CG74">
        <v>8000</v>
      </c>
      <c r="CH74">
        <v>32800</v>
      </c>
      <c r="CI74" t="s">
        <v>478</v>
      </c>
      <c r="CJ74" s="1">
        <v>45961</v>
      </c>
      <c r="CK74" t="s">
        <v>95</v>
      </c>
      <c r="CL74" t="s">
        <v>119</v>
      </c>
      <c r="CN74" t="s">
        <v>96</v>
      </c>
    </row>
    <row r="75" spans="1:99">
      <c r="A75">
        <v>54</v>
      </c>
      <c r="B75" t="s">
        <v>496</v>
      </c>
      <c r="C75" t="s">
        <v>497</v>
      </c>
      <c r="D75" t="s">
        <v>81</v>
      </c>
      <c r="F75" t="s">
        <v>498</v>
      </c>
      <c r="G75" t="s">
        <v>499</v>
      </c>
      <c r="H75" t="s">
        <v>75</v>
      </c>
      <c r="I75">
        <v>1</v>
      </c>
      <c r="J75">
        <v>1</v>
      </c>
      <c r="K75">
        <v>0</v>
      </c>
      <c r="L75">
        <v>0</v>
      </c>
      <c r="M75">
        <v>0</v>
      </c>
      <c r="N75">
        <v>0</v>
      </c>
      <c r="O75">
        <v>1</v>
      </c>
      <c r="P75">
        <v>0</v>
      </c>
      <c r="Q75">
        <v>1</v>
      </c>
      <c r="R75">
        <v>220</v>
      </c>
      <c r="S75">
        <v>1</v>
      </c>
      <c r="T75">
        <v>220</v>
      </c>
      <c r="U75" t="s">
        <v>500</v>
      </c>
      <c r="W75">
        <v>23.34</v>
      </c>
      <c r="X75">
        <v>5134.8</v>
      </c>
      <c r="Y75" t="s">
        <v>85</v>
      </c>
      <c r="Z75" t="s">
        <v>500</v>
      </c>
      <c r="AA75" t="s">
        <v>500</v>
      </c>
      <c r="AG75">
        <v>23.34</v>
      </c>
      <c r="AH75">
        <v>5134.8</v>
      </c>
      <c r="AI75">
        <v>220</v>
      </c>
      <c r="AJ75">
        <v>220</v>
      </c>
      <c r="AK75">
        <v>0</v>
      </c>
      <c r="AL75">
        <v>0</v>
      </c>
      <c r="AM75">
        <v>220</v>
      </c>
      <c r="AZ75">
        <f>SUM($AM75,$AN75:AO75)-SUM($BH75:BJ75)</f>
        <v>200</v>
      </c>
      <c r="BA75">
        <f>SUM($AM75,$AN75:AP75)-SUM($BH75:BK75)</f>
        <v>140</v>
      </c>
      <c r="BB75">
        <f>SUM($AM75,$AN75:AQ75)-SUM($BH75:BL75)</f>
        <v>140</v>
      </c>
      <c r="BC75">
        <f>SUM($AM75,$AN75:AR75)-SUM($BH75:BM75)</f>
        <v>140</v>
      </c>
      <c r="BD75">
        <f>SUM($AM75,$AN75:AS75)-SUM($BH75:BN75)</f>
        <v>140</v>
      </c>
      <c r="BI75">
        <f t="array" ref="BI75">SUMPRODUCT(TRANSPOSE(BI$4:BI$9),$K75:$P75)</f>
        <v>0</v>
      </c>
      <c r="BJ75">
        <f t="array" ref="BJ75">SUMPRODUCT(TRANSPOSE(BJ$4:BJ$9),$K75:$P75)</f>
        <v>20</v>
      </c>
      <c r="BK75">
        <f t="array" ref="BK75">SUMPRODUCT(TRANSPOSE(BK$4:BK$9),$K75:$P75)</f>
        <v>60</v>
      </c>
      <c r="BL75">
        <f t="array" ref="BL75">SUMPRODUCT(TRANSPOSE(BL$4:BL$9),$K75:$P75)</f>
        <v>0</v>
      </c>
      <c r="BM75">
        <f t="array" ref="BM75">SUMPRODUCT(TRANSPOSE(BM$4:BM$9),$K75:$P75)</f>
        <v>0</v>
      </c>
      <c r="BN75">
        <f t="array" ref="BN75">SUMPRODUCT(TRANSPOSE(BN$4:BN$9),$K75:$P75)</f>
        <v>0</v>
      </c>
      <c r="BO75" t="s">
        <v>500</v>
      </c>
      <c r="BS75" t="s">
        <v>259</v>
      </c>
      <c r="BU75">
        <v>43.5</v>
      </c>
      <c r="BV75" t="s">
        <v>501</v>
      </c>
      <c r="BW75" t="s">
        <v>259</v>
      </c>
      <c r="CA75" t="s">
        <v>92</v>
      </c>
      <c r="CB75" t="s">
        <v>500</v>
      </c>
      <c r="CC75" t="s">
        <v>497</v>
      </c>
      <c r="CD75" t="s">
        <v>500</v>
      </c>
      <c r="CE75" t="s">
        <v>434</v>
      </c>
      <c r="CF75">
        <v>0.12</v>
      </c>
      <c r="CG75">
        <v>220</v>
      </c>
      <c r="CH75">
        <v>830060</v>
      </c>
      <c r="CI75" t="s">
        <v>502</v>
      </c>
      <c r="CJ75" s="1">
        <v>46136</v>
      </c>
      <c r="CK75" t="s">
        <v>95</v>
      </c>
      <c r="CN75" t="s">
        <v>96</v>
      </c>
      <c r="CO75" t="s">
        <v>503</v>
      </c>
      <c r="CP75">
        <v>24</v>
      </c>
      <c r="CQ75">
        <v>1070</v>
      </c>
      <c r="CR75" t="b">
        <v>0</v>
      </c>
      <c r="CT75">
        <v>43.5</v>
      </c>
      <c r="CU75" t="s">
        <v>259</v>
      </c>
    </row>
    <row r="76" spans="1:99">
      <c r="A76">
        <v>56</v>
      </c>
      <c r="B76" t="s">
        <v>504</v>
      </c>
      <c r="C76" t="s">
        <v>505</v>
      </c>
      <c r="D76" t="s">
        <v>81</v>
      </c>
      <c r="E76" t="s">
        <v>506</v>
      </c>
      <c r="F76">
        <v>417983176</v>
      </c>
      <c r="G76" t="s">
        <v>507</v>
      </c>
      <c r="H76" t="s">
        <v>75</v>
      </c>
      <c r="I76">
        <v>2</v>
      </c>
      <c r="J76">
        <v>2</v>
      </c>
      <c r="K76">
        <v>0</v>
      </c>
      <c r="L76">
        <v>0</v>
      </c>
      <c r="M76">
        <v>0</v>
      </c>
      <c r="N76">
        <v>0</v>
      </c>
      <c r="O76">
        <v>0</v>
      </c>
      <c r="P76">
        <v>2</v>
      </c>
      <c r="Q76">
        <v>2</v>
      </c>
      <c r="R76">
        <v>440</v>
      </c>
      <c r="S76">
        <v>2000</v>
      </c>
      <c r="T76">
        <v>2000</v>
      </c>
      <c r="U76" t="s">
        <v>508</v>
      </c>
      <c r="W76">
        <v>6.5000000000000002E-2</v>
      </c>
      <c r="X76">
        <v>130</v>
      </c>
      <c r="Y76" t="s">
        <v>85</v>
      </c>
      <c r="Z76" t="s">
        <v>86</v>
      </c>
      <c r="AA76" t="s">
        <v>87</v>
      </c>
      <c r="AB76" t="s">
        <v>88</v>
      </c>
      <c r="AC76" t="s">
        <v>89</v>
      </c>
      <c r="AG76">
        <v>0.1</v>
      </c>
      <c r="AH76">
        <v>100</v>
      </c>
      <c r="AI76">
        <v>440</v>
      </c>
      <c r="AJ76">
        <v>2000</v>
      </c>
      <c r="AK76">
        <v>0</v>
      </c>
      <c r="AL76">
        <v>-1560</v>
      </c>
      <c r="AM76">
        <v>2000</v>
      </c>
      <c r="AZ76">
        <f>SUM($AM76,$AN76:AO76)-SUM($BH76:BJ76)</f>
        <v>1960</v>
      </c>
      <c r="BA76">
        <f>SUM($AM76,$AN76:AP76)-SUM($BH76:BK76)</f>
        <v>1840</v>
      </c>
      <c r="BB76">
        <f>SUM($AM76,$AN76:AQ76)-SUM($BH76:BL76)</f>
        <v>1840</v>
      </c>
      <c r="BC76">
        <f>SUM($AM76,$AN76:AR76)-SUM($BH76:BM76)</f>
        <v>1840</v>
      </c>
      <c r="BD76">
        <f>SUM($AM76,$AN76:AS76)-SUM($BH76:BN76)</f>
        <v>1840</v>
      </c>
      <c r="BI76">
        <f t="array" ref="BI76">SUMPRODUCT(TRANSPOSE(BI$4:BI$9),$K76:$P76)</f>
        <v>0</v>
      </c>
      <c r="BJ76">
        <f t="array" ref="BJ76">SUMPRODUCT(TRANSPOSE(BJ$4:BJ$9),$K76:$P76)</f>
        <v>40</v>
      </c>
      <c r="BK76">
        <f t="array" ref="BK76">SUMPRODUCT(TRANSPOSE(BK$4:BK$9),$K76:$P76)</f>
        <v>120</v>
      </c>
      <c r="BL76">
        <f t="array" ref="BL76">SUMPRODUCT(TRANSPOSE(BL$4:BL$9),$K76:$P76)</f>
        <v>0</v>
      </c>
      <c r="BM76">
        <f t="array" ref="BM76">SUMPRODUCT(TRANSPOSE(BM$4:BM$9),$K76:$P76)</f>
        <v>0</v>
      </c>
      <c r="BN76">
        <f t="array" ref="BN76">SUMPRODUCT(TRANSPOSE(BN$4:BN$9),$K76:$P76)</f>
        <v>0</v>
      </c>
      <c r="BO76" t="s">
        <v>150</v>
      </c>
      <c r="CA76" t="s">
        <v>92</v>
      </c>
      <c r="CB76" t="s">
        <v>295</v>
      </c>
      <c r="CC76" t="s">
        <v>505</v>
      </c>
      <c r="CD76" t="s">
        <v>508</v>
      </c>
      <c r="CE76" t="s">
        <v>85</v>
      </c>
      <c r="CF76">
        <v>1</v>
      </c>
      <c r="CG76">
        <v>2000</v>
      </c>
      <c r="CH76">
        <v>110</v>
      </c>
      <c r="CI76" t="s">
        <v>298</v>
      </c>
      <c r="CJ76" s="1">
        <v>45961</v>
      </c>
      <c r="CK76" t="s">
        <v>304</v>
      </c>
      <c r="CL76" t="s">
        <v>119</v>
      </c>
      <c r="CN76" t="s">
        <v>96</v>
      </c>
      <c r="CO76" t="s">
        <v>509</v>
      </c>
      <c r="CP76">
        <v>5.5E-2</v>
      </c>
      <c r="CQ76">
        <v>4000</v>
      </c>
      <c r="CR76" t="b">
        <v>1</v>
      </c>
    </row>
    <row r="77" spans="1:99">
      <c r="A77">
        <v>63</v>
      </c>
      <c r="B77" t="s">
        <v>510</v>
      </c>
      <c r="C77" t="s">
        <v>511</v>
      </c>
      <c r="D77" t="s">
        <v>81</v>
      </c>
      <c r="F77">
        <v>400339908</v>
      </c>
      <c r="G77" t="s">
        <v>512</v>
      </c>
      <c r="H77" t="s">
        <v>75</v>
      </c>
      <c r="I77">
        <v>2</v>
      </c>
      <c r="J77">
        <v>1</v>
      </c>
      <c r="K77">
        <v>0</v>
      </c>
      <c r="L77">
        <v>0</v>
      </c>
      <c r="M77">
        <v>0</v>
      </c>
      <c r="N77">
        <v>0</v>
      </c>
      <c r="O77">
        <v>1</v>
      </c>
      <c r="P77">
        <v>0</v>
      </c>
      <c r="Q77">
        <v>1</v>
      </c>
      <c r="R77">
        <v>220</v>
      </c>
      <c r="S77">
        <v>300</v>
      </c>
      <c r="T77">
        <v>300</v>
      </c>
      <c r="U77" t="s">
        <v>508</v>
      </c>
      <c r="W77">
        <v>5.42</v>
      </c>
      <c r="X77">
        <v>1626</v>
      </c>
      <c r="Y77" t="s">
        <v>85</v>
      </c>
      <c r="Z77" t="s">
        <v>86</v>
      </c>
      <c r="AA77" t="s">
        <v>87</v>
      </c>
      <c r="AB77" t="s">
        <v>88</v>
      </c>
      <c r="AC77" t="s">
        <v>89</v>
      </c>
      <c r="AG77">
        <v>8.5</v>
      </c>
      <c r="AH77">
        <v>1275</v>
      </c>
      <c r="AI77">
        <v>220</v>
      </c>
      <c r="AJ77">
        <v>300</v>
      </c>
      <c r="AK77">
        <v>0</v>
      </c>
      <c r="AL77">
        <v>-80</v>
      </c>
      <c r="AM77">
        <v>300</v>
      </c>
      <c r="AZ77">
        <f>SUM($AM77,$AN77:AO77)-SUM($BH77:BJ77)</f>
        <v>280</v>
      </c>
      <c r="BA77">
        <f>SUM($AM77,$AN77:AP77)-SUM($BH77:BK77)</f>
        <v>220</v>
      </c>
      <c r="BB77">
        <f>SUM($AM77,$AN77:AQ77)-SUM($BH77:BL77)</f>
        <v>220</v>
      </c>
      <c r="BC77">
        <f>SUM($AM77,$AN77:AR77)-SUM($BH77:BM77)</f>
        <v>220</v>
      </c>
      <c r="BD77">
        <f>SUM($AM77,$AN77:AS77)-SUM($BH77:BN77)</f>
        <v>220</v>
      </c>
      <c r="BI77">
        <f t="array" ref="BI77">SUMPRODUCT(TRANSPOSE(BI$4:BI$9),$K77:$P77)</f>
        <v>0</v>
      </c>
      <c r="BJ77">
        <f t="array" ref="BJ77">SUMPRODUCT(TRANSPOSE(BJ$4:BJ$9),$K77:$P77)</f>
        <v>20</v>
      </c>
      <c r="BK77">
        <f t="array" ref="BK77">SUMPRODUCT(TRANSPOSE(BK$4:BK$9),$K77:$P77)</f>
        <v>60</v>
      </c>
      <c r="BL77">
        <f t="array" ref="BL77">SUMPRODUCT(TRANSPOSE(BL$4:BL$9),$K77:$P77)</f>
        <v>0</v>
      </c>
      <c r="BM77">
        <f t="array" ref="BM77">SUMPRODUCT(TRANSPOSE(BM$4:BM$9),$K77:$P77)</f>
        <v>0</v>
      </c>
      <c r="BN77">
        <f t="array" ref="BN77">SUMPRODUCT(TRANSPOSE(BN$4:BN$9),$K77:$P77)</f>
        <v>0</v>
      </c>
      <c r="BO77" t="s">
        <v>508</v>
      </c>
      <c r="CA77" t="s">
        <v>92</v>
      </c>
      <c r="CB77" t="s">
        <v>295</v>
      </c>
      <c r="CC77" t="s">
        <v>511</v>
      </c>
      <c r="CD77" t="s">
        <v>508</v>
      </c>
      <c r="CE77" t="s">
        <v>85</v>
      </c>
      <c r="CF77">
        <v>1</v>
      </c>
      <c r="CG77">
        <v>300</v>
      </c>
      <c r="CH77">
        <v>1275</v>
      </c>
      <c r="CI77" t="s">
        <v>298</v>
      </c>
      <c r="CJ77" s="1">
        <v>45961</v>
      </c>
      <c r="CL77" t="s">
        <v>119</v>
      </c>
      <c r="CN77" t="s">
        <v>96</v>
      </c>
      <c r="CO77" t="s">
        <v>509</v>
      </c>
      <c r="CP77">
        <v>4.25</v>
      </c>
      <c r="CQ77">
        <v>1200</v>
      </c>
      <c r="CR77" t="b">
        <v>1</v>
      </c>
    </row>
    <row r="78" spans="1:99">
      <c r="A78">
        <v>8</v>
      </c>
      <c r="B78" t="s">
        <v>513</v>
      </c>
      <c r="C78" t="s">
        <v>514</v>
      </c>
      <c r="D78" t="s">
        <v>113</v>
      </c>
      <c r="F78">
        <v>404488392</v>
      </c>
      <c r="G78" t="s">
        <v>515</v>
      </c>
      <c r="H78" t="s">
        <v>425</v>
      </c>
      <c r="I78">
        <v>2</v>
      </c>
      <c r="J78" t="s">
        <v>426</v>
      </c>
      <c r="K78">
        <v>0</v>
      </c>
      <c r="L78">
        <v>0</v>
      </c>
      <c r="M78">
        <v>0</v>
      </c>
      <c r="N78">
        <v>0</v>
      </c>
      <c r="O78">
        <v>0.05</v>
      </c>
      <c r="P78">
        <v>0</v>
      </c>
      <c r="Q78">
        <v>0.05</v>
      </c>
      <c r="R78">
        <v>11</v>
      </c>
      <c r="S78">
        <v>1</v>
      </c>
      <c r="T78">
        <v>11</v>
      </c>
      <c r="U78" t="s">
        <v>516</v>
      </c>
      <c r="W78">
        <v>32</v>
      </c>
      <c r="X78">
        <v>352</v>
      </c>
      <c r="Y78" t="s">
        <v>85</v>
      </c>
      <c r="Z78" t="s">
        <v>516</v>
      </c>
      <c r="AA78" t="s">
        <v>516</v>
      </c>
      <c r="AG78">
        <v>64</v>
      </c>
      <c r="AH78">
        <v>352</v>
      </c>
      <c r="AI78">
        <v>11</v>
      </c>
      <c r="AJ78">
        <v>11</v>
      </c>
      <c r="AK78">
        <v>0</v>
      </c>
      <c r="AL78">
        <v>0</v>
      </c>
      <c r="AM78">
        <v>11</v>
      </c>
      <c r="AZ78">
        <f>SUM($AM78,$AN78:AO78)-SUM($BH78:BJ78)</f>
        <v>10</v>
      </c>
      <c r="BA78">
        <f>SUM($AM78,$AN78:AP78)-SUM($BH78:BK78)</f>
        <v>7</v>
      </c>
      <c r="BB78">
        <f>SUM($AM78,$AN78:AQ78)-SUM($BH78:BL78)</f>
        <v>7</v>
      </c>
      <c r="BC78">
        <f>SUM($AM78,$AN78:AR78)-SUM($BH78:BM78)</f>
        <v>7</v>
      </c>
      <c r="BD78">
        <f>SUM($AM78,$AN78:AS78)-SUM($BH78:BN78)</f>
        <v>7</v>
      </c>
      <c r="BI78">
        <f t="array" ref="BI78">SUMPRODUCT(TRANSPOSE(BI$4:BI$9),$K78:$P78)</f>
        <v>0</v>
      </c>
      <c r="BJ78">
        <f t="array" ref="BJ78">SUMPRODUCT(TRANSPOSE(BJ$4:BJ$9),$K78:$P78)</f>
        <v>1</v>
      </c>
      <c r="BK78">
        <f t="array" ref="BK78">SUMPRODUCT(TRANSPOSE(BK$4:BK$9),$K78:$P78)</f>
        <v>3</v>
      </c>
      <c r="BL78">
        <f t="array" ref="BL78">SUMPRODUCT(TRANSPOSE(BL$4:BL$9),$K78:$P78)</f>
        <v>0</v>
      </c>
      <c r="BM78">
        <f t="array" ref="BM78">SUMPRODUCT(TRANSPOSE(BM$4:BM$9),$K78:$P78)</f>
        <v>0</v>
      </c>
      <c r="BN78">
        <f t="array" ref="BN78">SUMPRODUCT(TRANSPOSE(BN$4:BN$9),$K78:$P78)</f>
        <v>0</v>
      </c>
      <c r="BO78" t="s">
        <v>516</v>
      </c>
      <c r="BY78" t="s">
        <v>441</v>
      </c>
      <c r="CA78" t="s">
        <v>440</v>
      </c>
      <c r="CB78" t="s">
        <v>440</v>
      </c>
      <c r="CC78" t="s">
        <v>514</v>
      </c>
      <c r="CE78" t="s">
        <v>85</v>
      </c>
      <c r="CF78">
        <v>1</v>
      </c>
      <c r="CG78">
        <v>11</v>
      </c>
      <c r="CH78">
        <v>352</v>
      </c>
      <c r="CI78" t="s">
        <v>517</v>
      </c>
      <c r="CJ78" s="1">
        <v>45961</v>
      </c>
      <c r="CL78" t="s">
        <v>119</v>
      </c>
      <c r="CM78" t="e">
        <v>#N/A</v>
      </c>
      <c r="CN78" t="e">
        <v>#N/A</v>
      </c>
      <c r="CO78" t="s">
        <v>518</v>
      </c>
      <c r="CP78">
        <v>32</v>
      </c>
      <c r="CQ78">
        <v>13</v>
      </c>
      <c r="CR78" t="b">
        <v>1</v>
      </c>
    </row>
    <row r="79" spans="1:99">
      <c r="A79">
        <v>19</v>
      </c>
      <c r="B79" t="s">
        <v>519</v>
      </c>
      <c r="C79" t="s">
        <v>520</v>
      </c>
      <c r="D79" t="s">
        <v>113</v>
      </c>
      <c r="F79">
        <v>401661121</v>
      </c>
      <c r="G79" t="s">
        <v>521</v>
      </c>
      <c r="H79" t="s">
        <v>75</v>
      </c>
      <c r="I79">
        <v>1</v>
      </c>
      <c r="J79">
        <v>1</v>
      </c>
      <c r="K79">
        <v>0</v>
      </c>
      <c r="L79">
        <v>0</v>
      </c>
      <c r="M79">
        <v>0</v>
      </c>
      <c r="N79">
        <v>0</v>
      </c>
      <c r="O79">
        <v>0</v>
      </c>
      <c r="P79">
        <v>1</v>
      </c>
      <c r="Q79">
        <v>1</v>
      </c>
      <c r="R79">
        <v>220</v>
      </c>
      <c r="S79">
        <v>1</v>
      </c>
      <c r="T79">
        <v>220</v>
      </c>
      <c r="U79" t="s">
        <v>522</v>
      </c>
      <c r="W79">
        <v>70</v>
      </c>
      <c r="X79">
        <v>15400</v>
      </c>
      <c r="Y79" t="s">
        <v>85</v>
      </c>
      <c r="Z79" t="s">
        <v>523</v>
      </c>
      <c r="AG79">
        <v>70</v>
      </c>
      <c r="AH79">
        <v>15400</v>
      </c>
      <c r="AI79">
        <v>220</v>
      </c>
      <c r="AJ79">
        <v>220</v>
      </c>
      <c r="AK79">
        <v>0</v>
      </c>
      <c r="AL79">
        <v>0</v>
      </c>
      <c r="AM79">
        <v>220</v>
      </c>
      <c r="AZ79">
        <f>SUM($AM79,$AN79:AO79)-SUM($BH79:BJ79)</f>
        <v>200</v>
      </c>
      <c r="BA79">
        <f>SUM($AM79,$AN79:AP79)-SUM($BH79:BK79)</f>
        <v>140</v>
      </c>
      <c r="BB79">
        <f>SUM($AM79,$AN79:AQ79)-SUM($BH79:BL79)</f>
        <v>140</v>
      </c>
      <c r="BC79">
        <f>SUM($AM79,$AN79:AR79)-SUM($BH79:BM79)</f>
        <v>140</v>
      </c>
      <c r="BD79">
        <f>SUM($AM79,$AN79:AS79)-SUM($BH79:BN79)</f>
        <v>140</v>
      </c>
      <c r="BI79">
        <f t="array" ref="BI79">SUMPRODUCT(TRANSPOSE(BI$4:BI$9),$K79:$P79)</f>
        <v>0</v>
      </c>
      <c r="BJ79">
        <f t="array" ref="BJ79">SUMPRODUCT(TRANSPOSE(BJ$4:BJ$9),$K79:$P79)</f>
        <v>20</v>
      </c>
      <c r="BK79">
        <f t="array" ref="BK79">SUMPRODUCT(TRANSPOSE(BK$4:BK$9),$K79:$P79)</f>
        <v>60</v>
      </c>
      <c r="BL79">
        <f t="array" ref="BL79">SUMPRODUCT(TRANSPOSE(BL$4:BL$9),$K79:$P79)</f>
        <v>0</v>
      </c>
      <c r="BM79">
        <f t="array" ref="BM79">SUMPRODUCT(TRANSPOSE(BM$4:BM$9),$K79:$P79)</f>
        <v>0</v>
      </c>
      <c r="BN79">
        <f t="array" ref="BN79">SUMPRODUCT(TRANSPOSE(BN$4:BN$9),$K79:$P79)</f>
        <v>0</v>
      </c>
      <c r="BO79" t="s">
        <v>150</v>
      </c>
      <c r="CA79" t="s">
        <v>177</v>
      </c>
      <c r="CB79" t="s">
        <v>523</v>
      </c>
      <c r="CC79" t="s">
        <v>520</v>
      </c>
      <c r="CD79" t="s">
        <v>522</v>
      </c>
      <c r="CE79" t="s">
        <v>85</v>
      </c>
      <c r="CF79">
        <v>1</v>
      </c>
      <c r="CG79">
        <v>220</v>
      </c>
      <c r="CH79">
        <v>15400</v>
      </c>
      <c r="CI79" t="s">
        <v>524</v>
      </c>
      <c r="CJ79" s="1">
        <v>45961</v>
      </c>
      <c r="CL79" t="s">
        <v>119</v>
      </c>
      <c r="CN79" t="s">
        <v>96</v>
      </c>
      <c r="CO79" t="s">
        <v>525</v>
      </c>
      <c r="CP79">
        <v>70</v>
      </c>
      <c r="CQ79">
        <v>1067</v>
      </c>
      <c r="CR79" t="b">
        <v>1</v>
      </c>
    </row>
    <row r="80" spans="1:99">
      <c r="A80">
        <v>69</v>
      </c>
      <c r="B80" t="s">
        <v>526</v>
      </c>
      <c r="C80" t="s">
        <v>527</v>
      </c>
      <c r="D80" t="s">
        <v>81</v>
      </c>
      <c r="E80" t="s">
        <v>528</v>
      </c>
      <c r="F80">
        <v>401387650</v>
      </c>
      <c r="G80" t="s">
        <v>529</v>
      </c>
      <c r="H80" t="s">
        <v>75</v>
      </c>
      <c r="I80">
        <v>2</v>
      </c>
      <c r="J80">
        <v>2</v>
      </c>
      <c r="K80">
        <v>0</v>
      </c>
      <c r="L80">
        <v>0</v>
      </c>
      <c r="M80">
        <v>0</v>
      </c>
      <c r="N80">
        <v>0</v>
      </c>
      <c r="O80">
        <v>1</v>
      </c>
      <c r="P80">
        <v>1</v>
      </c>
      <c r="Q80">
        <v>2</v>
      </c>
      <c r="R80">
        <v>440</v>
      </c>
      <c r="S80">
        <v>50</v>
      </c>
      <c r="T80">
        <v>450</v>
      </c>
      <c r="U80" t="s">
        <v>530</v>
      </c>
      <c r="W80">
        <v>1.6171</v>
      </c>
      <c r="X80">
        <v>727.69499999999994</v>
      </c>
      <c r="Y80" t="s">
        <v>85</v>
      </c>
      <c r="Z80" t="s">
        <v>530</v>
      </c>
      <c r="AA80" t="s">
        <v>531</v>
      </c>
      <c r="AB80" t="s">
        <v>532</v>
      </c>
      <c r="AG80">
        <v>3.2342</v>
      </c>
      <c r="AH80">
        <v>727.69499999999994</v>
      </c>
      <c r="AI80">
        <v>440</v>
      </c>
      <c r="AJ80">
        <v>450</v>
      </c>
      <c r="AK80">
        <v>0</v>
      </c>
      <c r="AL80">
        <v>-10</v>
      </c>
      <c r="AM80">
        <v>450</v>
      </c>
      <c r="AZ80">
        <f>SUM($AM80,$AN80:AO80)-SUM($BH80:BJ80)</f>
        <v>410</v>
      </c>
      <c r="BA80">
        <f>SUM($AM80,$AN80:AP80)-SUM($BH80:BK80)</f>
        <v>290</v>
      </c>
      <c r="BB80">
        <f>SUM($AM80,$AN80:AQ80)-SUM($BH80:BL80)</f>
        <v>290</v>
      </c>
      <c r="BC80">
        <f>SUM($AM80,$AN80:AR80)-SUM($BH80:BM80)</f>
        <v>290</v>
      </c>
      <c r="BD80">
        <f>SUM($AM80,$AN80:AS80)-SUM($BH80:BN80)</f>
        <v>290</v>
      </c>
      <c r="BI80">
        <f t="array" ref="BI80">SUMPRODUCT(TRANSPOSE(BI$4:BI$9),$K80:$P80)</f>
        <v>0</v>
      </c>
      <c r="BJ80">
        <f t="array" ref="BJ80">SUMPRODUCT(TRANSPOSE(BJ$4:BJ$9),$K80:$P80)</f>
        <v>40</v>
      </c>
      <c r="BK80">
        <f t="array" ref="BK80">SUMPRODUCT(TRANSPOSE(BK$4:BK$9),$K80:$P80)</f>
        <v>120</v>
      </c>
      <c r="BL80">
        <f t="array" ref="BL80">SUMPRODUCT(TRANSPOSE(BL$4:BL$9),$K80:$P80)</f>
        <v>0</v>
      </c>
      <c r="BM80">
        <f t="array" ref="BM80">SUMPRODUCT(TRANSPOSE(BM$4:BM$9),$K80:$P80)</f>
        <v>0</v>
      </c>
      <c r="BN80">
        <f t="array" ref="BN80">SUMPRODUCT(TRANSPOSE(BN$4:BN$9),$K80:$P80)</f>
        <v>0</v>
      </c>
      <c r="BO80" t="s">
        <v>530</v>
      </c>
      <c r="BR80" t="s">
        <v>533</v>
      </c>
      <c r="BS80" t="s">
        <v>534</v>
      </c>
      <c r="CA80" t="s">
        <v>92</v>
      </c>
      <c r="CB80" t="s">
        <v>535</v>
      </c>
      <c r="CC80" t="s">
        <v>527</v>
      </c>
      <c r="CD80" t="s">
        <v>530</v>
      </c>
      <c r="CE80" t="s">
        <v>85</v>
      </c>
      <c r="CF80">
        <v>1</v>
      </c>
      <c r="CG80">
        <v>450</v>
      </c>
      <c r="CH80">
        <v>727.69499999999994</v>
      </c>
      <c r="CI80" t="s">
        <v>536</v>
      </c>
      <c r="CJ80" s="1">
        <v>45961</v>
      </c>
      <c r="CK80" t="s">
        <v>95</v>
      </c>
      <c r="CL80" t="s">
        <v>119</v>
      </c>
      <c r="CN80" t="s">
        <v>96</v>
      </c>
      <c r="CO80" t="s">
        <v>457</v>
      </c>
      <c r="CP80">
        <v>1.6171</v>
      </c>
      <c r="CQ80">
        <v>1100</v>
      </c>
      <c r="CR80" t="b">
        <v>1</v>
      </c>
    </row>
    <row r="81" spans="1:99">
      <c r="A81">
        <v>70</v>
      </c>
      <c r="B81" t="s">
        <v>537</v>
      </c>
      <c r="C81" t="s">
        <v>538</v>
      </c>
      <c r="D81" t="s">
        <v>81</v>
      </c>
      <c r="E81" t="s">
        <v>539</v>
      </c>
      <c r="F81">
        <v>401018376</v>
      </c>
      <c r="G81" t="s">
        <v>540</v>
      </c>
      <c r="H81" t="s">
        <v>75</v>
      </c>
      <c r="I81">
        <v>2</v>
      </c>
      <c r="J81">
        <v>1</v>
      </c>
      <c r="K81">
        <v>0</v>
      </c>
      <c r="L81">
        <v>0</v>
      </c>
      <c r="M81">
        <v>0</v>
      </c>
      <c r="N81">
        <v>0</v>
      </c>
      <c r="O81">
        <v>0</v>
      </c>
      <c r="P81">
        <v>1</v>
      </c>
      <c r="Q81">
        <v>1</v>
      </c>
      <c r="R81">
        <v>220</v>
      </c>
      <c r="S81">
        <v>90</v>
      </c>
      <c r="T81">
        <v>270</v>
      </c>
      <c r="U81" t="s">
        <v>541</v>
      </c>
      <c r="W81">
        <v>1.96</v>
      </c>
      <c r="X81">
        <v>529.20000000000005</v>
      </c>
      <c r="Y81" t="s">
        <v>85</v>
      </c>
      <c r="Z81" t="s">
        <v>341</v>
      </c>
      <c r="AA81" t="s">
        <v>542</v>
      </c>
      <c r="AB81" t="s">
        <v>543</v>
      </c>
      <c r="AG81">
        <v>3.92</v>
      </c>
      <c r="AH81">
        <v>529.20000000000005</v>
      </c>
      <c r="AI81">
        <v>220</v>
      </c>
      <c r="AJ81">
        <v>0</v>
      </c>
      <c r="AK81">
        <v>220</v>
      </c>
      <c r="AL81">
        <v>140</v>
      </c>
      <c r="AM81">
        <v>80</v>
      </c>
      <c r="AZ81">
        <f>SUM($AM81,$AN81:AO81)-SUM($BH81:BJ81)</f>
        <v>60</v>
      </c>
      <c r="BA81">
        <f>SUM($AM81,$AN81:AP81)-SUM($BH81:BK81)</f>
        <v>0</v>
      </c>
      <c r="BB81">
        <f>SUM($AM81,$AN81:AQ81)-SUM($BH81:BL81)</f>
        <v>0</v>
      </c>
      <c r="BC81">
        <f>SUM($AM81,$AN81:AR81)-SUM($BH81:BM81)</f>
        <v>0</v>
      </c>
      <c r="BD81">
        <f>SUM($AM81,$AN81:AS81)-SUM($BH81:BN81)</f>
        <v>0</v>
      </c>
      <c r="BI81">
        <f t="array" ref="BI81">SUMPRODUCT(TRANSPOSE(BI$4:BI$9),$K81:$P81)</f>
        <v>0</v>
      </c>
      <c r="BJ81">
        <f t="array" ref="BJ81">SUMPRODUCT(TRANSPOSE(BJ$4:BJ$9),$K81:$P81)</f>
        <v>20</v>
      </c>
      <c r="BK81">
        <f t="array" ref="BK81">SUMPRODUCT(TRANSPOSE(BK$4:BK$9),$K81:$P81)</f>
        <v>60</v>
      </c>
      <c r="BL81">
        <f t="array" ref="BL81">SUMPRODUCT(TRANSPOSE(BL$4:BL$9),$K81:$P81)</f>
        <v>0</v>
      </c>
      <c r="BM81">
        <f t="array" ref="BM81">SUMPRODUCT(TRANSPOSE(BM$4:BM$9),$K81:$P81)</f>
        <v>0</v>
      </c>
      <c r="BN81">
        <f t="array" ref="BN81">SUMPRODUCT(TRANSPOSE(BN$4:BN$9),$K81:$P81)</f>
        <v>0</v>
      </c>
      <c r="BO81" t="s">
        <v>541</v>
      </c>
      <c r="BR81" t="s">
        <v>544</v>
      </c>
      <c r="BS81" t="s">
        <v>545</v>
      </c>
      <c r="BT81" t="s">
        <v>545</v>
      </c>
      <c r="BW81" t="s">
        <v>545</v>
      </c>
      <c r="BY81" t="s">
        <v>441</v>
      </c>
      <c r="CA81" t="s">
        <v>440</v>
      </c>
      <c r="CB81" t="s">
        <v>440</v>
      </c>
      <c r="CC81" t="s">
        <v>538</v>
      </c>
      <c r="CD81" t="s">
        <v>541</v>
      </c>
      <c r="CE81" t="s">
        <v>85</v>
      </c>
      <c r="CF81">
        <v>1</v>
      </c>
      <c r="CG81">
        <v>270</v>
      </c>
      <c r="CH81">
        <v>529.20000000000005</v>
      </c>
      <c r="CO81" t="s">
        <v>546</v>
      </c>
      <c r="CP81">
        <v>1.96</v>
      </c>
      <c r="CQ81">
        <v>1080</v>
      </c>
      <c r="CR81" t="b">
        <v>1</v>
      </c>
      <c r="CS81" t="s">
        <v>545</v>
      </c>
    </row>
    <row r="82" spans="1:99">
      <c r="A82">
        <v>66</v>
      </c>
      <c r="B82" t="s">
        <v>547</v>
      </c>
      <c r="C82" t="s">
        <v>548</v>
      </c>
      <c r="D82" t="s">
        <v>81</v>
      </c>
      <c r="E82" t="s">
        <v>549</v>
      </c>
      <c r="F82">
        <v>400252132</v>
      </c>
      <c r="G82" t="s">
        <v>550</v>
      </c>
      <c r="H82" t="s">
        <v>75</v>
      </c>
      <c r="I82">
        <v>2</v>
      </c>
      <c r="J82">
        <v>24</v>
      </c>
      <c r="K82">
        <v>0</v>
      </c>
      <c r="L82">
        <v>0</v>
      </c>
      <c r="M82">
        <v>0</v>
      </c>
      <c r="N82">
        <v>0</v>
      </c>
      <c r="O82">
        <v>0</v>
      </c>
      <c r="P82">
        <v>24</v>
      </c>
      <c r="Q82">
        <v>24</v>
      </c>
      <c r="R82">
        <v>5280</v>
      </c>
      <c r="S82">
        <v>2500</v>
      </c>
      <c r="T82">
        <v>7500</v>
      </c>
      <c r="U82" t="s">
        <v>367</v>
      </c>
      <c r="W82">
        <v>0.16</v>
      </c>
      <c r="X82">
        <v>1200</v>
      </c>
      <c r="Y82" t="s">
        <v>85</v>
      </c>
      <c r="Z82" t="s">
        <v>86</v>
      </c>
      <c r="AA82" t="s">
        <v>87</v>
      </c>
      <c r="AB82" t="s">
        <v>88</v>
      </c>
      <c r="AC82" t="s">
        <v>89</v>
      </c>
      <c r="AG82">
        <v>0.32</v>
      </c>
      <c r="AH82">
        <v>1200</v>
      </c>
      <c r="AI82">
        <v>5280</v>
      </c>
      <c r="AJ82">
        <v>7500</v>
      </c>
      <c r="AK82">
        <v>0</v>
      </c>
      <c r="AL82">
        <v>-2220</v>
      </c>
      <c r="AM82">
        <v>7500</v>
      </c>
      <c r="AZ82">
        <f>SUM($AM82,$AN82:AO82)-SUM($BH82:BJ82)</f>
        <v>7020</v>
      </c>
      <c r="BA82">
        <f>SUM($AM82,$AN82:AP82)-SUM($BH82:BK82)</f>
        <v>5580</v>
      </c>
      <c r="BB82">
        <f>SUM($AM82,$AN82:AQ82)-SUM($BH82:BL82)</f>
        <v>5580</v>
      </c>
      <c r="BC82">
        <f>SUM($AM82,$AN82:AR82)-SUM($BH82:BM82)</f>
        <v>5580</v>
      </c>
      <c r="BD82">
        <f>SUM($AM82,$AN82:AS82)-SUM($BH82:BN82)</f>
        <v>5580</v>
      </c>
      <c r="BI82">
        <f t="array" ref="BI82">SUMPRODUCT(TRANSPOSE(BI$4:BI$9),$K82:$P82)</f>
        <v>0</v>
      </c>
      <c r="BJ82">
        <f t="array" ref="BJ82">SUMPRODUCT(TRANSPOSE(BJ$4:BJ$9),$K82:$P82)</f>
        <v>480</v>
      </c>
      <c r="BK82">
        <f t="array" ref="BK82">SUMPRODUCT(TRANSPOSE(BK$4:BK$9),$K82:$P82)</f>
        <v>1440</v>
      </c>
      <c r="BL82">
        <f t="array" ref="BL82">SUMPRODUCT(TRANSPOSE(BL$4:BL$9),$K82:$P82)</f>
        <v>0</v>
      </c>
      <c r="BM82">
        <f t="array" ref="BM82">SUMPRODUCT(TRANSPOSE(BM$4:BM$9),$K82:$P82)</f>
        <v>0</v>
      </c>
      <c r="BN82">
        <f t="array" ref="BN82">SUMPRODUCT(TRANSPOSE(BN$4:BN$9),$K82:$P82)</f>
        <v>0</v>
      </c>
      <c r="BO82" t="s">
        <v>367</v>
      </c>
      <c r="CA82" t="s">
        <v>92</v>
      </c>
      <c r="CB82" t="s">
        <v>86</v>
      </c>
      <c r="CC82" t="s">
        <v>548</v>
      </c>
      <c r="CD82" t="s">
        <v>367</v>
      </c>
      <c r="CE82" t="s">
        <v>85</v>
      </c>
      <c r="CF82">
        <v>1</v>
      </c>
      <c r="CG82">
        <v>7500</v>
      </c>
      <c r="CH82">
        <v>1200</v>
      </c>
      <c r="CI82" t="s">
        <v>278</v>
      </c>
      <c r="CJ82" s="1">
        <v>45961</v>
      </c>
      <c r="CL82" t="s">
        <v>119</v>
      </c>
      <c r="CN82" t="s">
        <v>96</v>
      </c>
      <c r="CO82" t="s">
        <v>368</v>
      </c>
      <c r="CP82">
        <v>0.15679999999999999</v>
      </c>
      <c r="CQ82">
        <v>27500</v>
      </c>
      <c r="CR82" t="b">
        <v>0</v>
      </c>
    </row>
    <row r="83" spans="1:99">
      <c r="A83">
        <v>67</v>
      </c>
      <c r="B83" t="s">
        <v>551</v>
      </c>
      <c r="C83" t="s">
        <v>552</v>
      </c>
      <c r="D83" t="s">
        <v>81</v>
      </c>
      <c r="F83">
        <v>400124756</v>
      </c>
      <c r="G83" t="s">
        <v>553</v>
      </c>
      <c r="H83" t="s">
        <v>75</v>
      </c>
      <c r="I83">
        <v>2</v>
      </c>
      <c r="J83">
        <v>5</v>
      </c>
      <c r="K83">
        <v>0</v>
      </c>
      <c r="L83">
        <v>0</v>
      </c>
      <c r="M83">
        <v>0</v>
      </c>
      <c r="N83">
        <v>0</v>
      </c>
      <c r="O83">
        <v>0</v>
      </c>
      <c r="P83">
        <v>5</v>
      </c>
      <c r="Q83">
        <v>5</v>
      </c>
      <c r="R83">
        <v>1100</v>
      </c>
      <c r="S83">
        <v>2500</v>
      </c>
      <c r="T83">
        <v>2500</v>
      </c>
      <c r="U83" t="s">
        <v>367</v>
      </c>
      <c r="W83">
        <v>0.38300000000000001</v>
      </c>
      <c r="X83">
        <v>957.5</v>
      </c>
      <c r="Y83" t="s">
        <v>85</v>
      </c>
      <c r="Z83" t="s">
        <v>86</v>
      </c>
      <c r="AA83" t="s">
        <v>87</v>
      </c>
      <c r="AB83" t="s">
        <v>88</v>
      </c>
      <c r="AC83" t="s">
        <v>89</v>
      </c>
      <c r="AG83">
        <v>0.76600000000000001</v>
      </c>
      <c r="AH83">
        <v>957.5</v>
      </c>
      <c r="AI83">
        <v>1100</v>
      </c>
      <c r="AJ83">
        <v>2500</v>
      </c>
      <c r="AK83">
        <v>0</v>
      </c>
      <c r="AL83">
        <v>-1400</v>
      </c>
      <c r="AM83">
        <v>2500</v>
      </c>
      <c r="AZ83">
        <f>SUM($AM83,$AN83:AO83)-SUM($BH83:BJ83)</f>
        <v>2400</v>
      </c>
      <c r="BA83">
        <f>SUM($AM83,$AN83:AP83)-SUM($BH83:BK83)</f>
        <v>2100</v>
      </c>
      <c r="BB83">
        <f>SUM($AM83,$AN83:AQ83)-SUM($BH83:BL83)</f>
        <v>2100</v>
      </c>
      <c r="BC83">
        <f>SUM($AM83,$AN83:AR83)-SUM($BH83:BM83)</f>
        <v>2100</v>
      </c>
      <c r="BD83">
        <f>SUM($AM83,$AN83:AS83)-SUM($BH83:BN83)</f>
        <v>2100</v>
      </c>
      <c r="BI83">
        <f t="array" ref="BI83">SUMPRODUCT(TRANSPOSE(BI$4:BI$9),$K83:$P83)</f>
        <v>0</v>
      </c>
      <c r="BJ83">
        <f t="array" ref="BJ83">SUMPRODUCT(TRANSPOSE(BJ$4:BJ$9),$K83:$P83)</f>
        <v>100</v>
      </c>
      <c r="BK83">
        <f t="array" ref="BK83">SUMPRODUCT(TRANSPOSE(BK$4:BK$9),$K83:$P83)</f>
        <v>300</v>
      </c>
      <c r="BL83">
        <f t="array" ref="BL83">SUMPRODUCT(TRANSPOSE(BL$4:BL$9),$K83:$P83)</f>
        <v>0</v>
      </c>
      <c r="BM83">
        <f t="array" ref="BM83">SUMPRODUCT(TRANSPOSE(BM$4:BM$9),$K83:$P83)</f>
        <v>0</v>
      </c>
      <c r="BN83">
        <f t="array" ref="BN83">SUMPRODUCT(TRANSPOSE(BN$4:BN$9),$K83:$P83)</f>
        <v>0</v>
      </c>
      <c r="BO83" t="s">
        <v>367</v>
      </c>
      <c r="CA83" t="s">
        <v>177</v>
      </c>
      <c r="CB83" t="s">
        <v>86</v>
      </c>
      <c r="CC83" t="s">
        <v>552</v>
      </c>
      <c r="CD83" t="s">
        <v>367</v>
      </c>
      <c r="CE83" t="s">
        <v>85</v>
      </c>
      <c r="CF83">
        <v>1</v>
      </c>
      <c r="CG83">
        <v>2500</v>
      </c>
      <c r="CH83">
        <v>957.5</v>
      </c>
      <c r="CI83" t="s">
        <v>278</v>
      </c>
      <c r="CJ83" s="1">
        <v>45961</v>
      </c>
      <c r="CL83" t="s">
        <v>119</v>
      </c>
      <c r="CN83" t="s">
        <v>96</v>
      </c>
      <c r="CO83" t="s">
        <v>368</v>
      </c>
      <c r="CP83">
        <v>0.38300000000000001</v>
      </c>
      <c r="CQ83">
        <v>7500</v>
      </c>
      <c r="CR83" t="b">
        <v>1</v>
      </c>
    </row>
    <row r="84" spans="1:99">
      <c r="A84">
        <v>71</v>
      </c>
      <c r="B84" t="s">
        <v>554</v>
      </c>
      <c r="C84" t="s">
        <v>555</v>
      </c>
      <c r="D84" t="s">
        <v>81</v>
      </c>
      <c r="F84">
        <v>401060537</v>
      </c>
      <c r="G84" t="s">
        <v>556</v>
      </c>
      <c r="H84" t="s">
        <v>75</v>
      </c>
      <c r="I84">
        <v>2</v>
      </c>
      <c r="J84">
        <v>166</v>
      </c>
      <c r="K84">
        <v>0</v>
      </c>
      <c r="L84">
        <v>0</v>
      </c>
      <c r="M84">
        <v>0</v>
      </c>
      <c r="N84">
        <v>0</v>
      </c>
      <c r="O84">
        <v>166</v>
      </c>
      <c r="P84">
        <v>0</v>
      </c>
      <c r="Q84">
        <v>166</v>
      </c>
      <c r="R84">
        <v>36520</v>
      </c>
      <c r="S84">
        <v>10000</v>
      </c>
      <c r="T84">
        <v>40000</v>
      </c>
      <c r="U84" t="s">
        <v>312</v>
      </c>
      <c r="W84">
        <v>0.46200000000000002</v>
      </c>
      <c r="X84">
        <v>18480</v>
      </c>
      <c r="Y84" t="s">
        <v>85</v>
      </c>
      <c r="Z84" t="s">
        <v>557</v>
      </c>
      <c r="AA84" t="s">
        <v>558</v>
      </c>
      <c r="AB84" t="s">
        <v>559</v>
      </c>
      <c r="AG84">
        <v>0.92400000000000004</v>
      </c>
      <c r="AH84">
        <v>18480</v>
      </c>
      <c r="AI84">
        <v>36520</v>
      </c>
      <c r="AJ84">
        <v>40000</v>
      </c>
      <c r="AK84">
        <v>0</v>
      </c>
      <c r="AL84">
        <v>-3480</v>
      </c>
      <c r="AM84">
        <v>40000</v>
      </c>
      <c r="AZ84">
        <f>SUM($AM84,$AN84:AO84)-SUM($BH84:BJ84)</f>
        <v>36680</v>
      </c>
      <c r="BA84">
        <f>SUM($AM84,$AN84:AP84)-SUM($BH84:BK84)</f>
        <v>26720</v>
      </c>
      <c r="BB84">
        <f>SUM($AM84,$AN84:AQ84)-SUM($BH84:BL84)</f>
        <v>26720</v>
      </c>
      <c r="BC84">
        <f>SUM($AM84,$AN84:AR84)-SUM($BH84:BM84)</f>
        <v>26720</v>
      </c>
      <c r="BD84">
        <f>SUM($AM84,$AN84:AS84)-SUM($BH84:BN84)</f>
        <v>26720</v>
      </c>
      <c r="BI84">
        <f t="array" ref="BI84">SUMPRODUCT(TRANSPOSE(BI$4:BI$9),$K84:$P84)</f>
        <v>0</v>
      </c>
      <c r="BJ84">
        <f t="array" ref="BJ84">SUMPRODUCT(TRANSPOSE(BJ$4:BJ$9),$K84:$P84)</f>
        <v>3320</v>
      </c>
      <c r="BK84">
        <f t="array" ref="BK84">SUMPRODUCT(TRANSPOSE(BK$4:BK$9),$K84:$P84)</f>
        <v>9960</v>
      </c>
      <c r="BL84">
        <f t="array" ref="BL84">SUMPRODUCT(TRANSPOSE(BL$4:BL$9),$K84:$P84)</f>
        <v>0</v>
      </c>
      <c r="BM84">
        <f t="array" ref="BM84">SUMPRODUCT(TRANSPOSE(BM$4:BM$9),$K84:$P84)</f>
        <v>0</v>
      </c>
      <c r="BN84">
        <f t="array" ref="BN84">SUMPRODUCT(TRANSPOSE(BN$4:BN$9),$K84:$P84)</f>
        <v>0</v>
      </c>
      <c r="CA84" t="s">
        <v>177</v>
      </c>
      <c r="CB84" t="s">
        <v>557</v>
      </c>
      <c r="CC84" t="s">
        <v>555</v>
      </c>
      <c r="CD84" t="s">
        <v>312</v>
      </c>
      <c r="CE84" t="s">
        <v>85</v>
      </c>
      <c r="CF84">
        <v>1</v>
      </c>
      <c r="CG84">
        <v>40000</v>
      </c>
      <c r="CH84">
        <v>18480</v>
      </c>
      <c r="CI84" t="s">
        <v>560</v>
      </c>
      <c r="CJ84" s="1">
        <v>45961</v>
      </c>
      <c r="CL84" t="s">
        <v>119</v>
      </c>
      <c r="CN84" t="s">
        <v>96</v>
      </c>
    </row>
    <row r="85" spans="1:99">
      <c r="A85">
        <v>72</v>
      </c>
      <c r="B85" t="s">
        <v>561</v>
      </c>
      <c r="C85" t="s">
        <v>562</v>
      </c>
      <c r="D85" t="s">
        <v>81</v>
      </c>
      <c r="E85" t="s">
        <v>563</v>
      </c>
      <c r="F85">
        <v>401172747</v>
      </c>
      <c r="G85" t="s">
        <v>564</v>
      </c>
      <c r="H85" t="s">
        <v>75</v>
      </c>
      <c r="I85">
        <v>2</v>
      </c>
      <c r="J85">
        <v>211</v>
      </c>
      <c r="K85">
        <v>0</v>
      </c>
      <c r="L85">
        <v>0</v>
      </c>
      <c r="M85">
        <v>0</v>
      </c>
      <c r="N85">
        <v>0</v>
      </c>
      <c r="O85">
        <v>211</v>
      </c>
      <c r="P85">
        <v>0</v>
      </c>
      <c r="Q85">
        <v>211</v>
      </c>
      <c r="R85">
        <v>46420</v>
      </c>
      <c r="S85">
        <v>10000</v>
      </c>
      <c r="T85">
        <v>50000</v>
      </c>
      <c r="U85" t="s">
        <v>277</v>
      </c>
      <c r="W85">
        <v>1.6500000000000001E-2</v>
      </c>
      <c r="X85">
        <v>825</v>
      </c>
      <c r="Y85" t="s">
        <v>85</v>
      </c>
      <c r="Z85" t="s">
        <v>565</v>
      </c>
      <c r="AA85" t="s">
        <v>566</v>
      </c>
      <c r="AB85" t="s">
        <v>567</v>
      </c>
      <c r="AG85">
        <v>3.3000000000000002E-2</v>
      </c>
      <c r="AH85">
        <v>825</v>
      </c>
      <c r="AI85">
        <v>46420</v>
      </c>
      <c r="AJ85">
        <v>50000</v>
      </c>
      <c r="AK85">
        <v>0</v>
      </c>
      <c r="AL85">
        <v>-3580</v>
      </c>
      <c r="AM85">
        <v>50000</v>
      </c>
      <c r="AZ85">
        <f>SUM($AM85,$AN85:AO85)-SUM($BH85:BJ85)</f>
        <v>45780</v>
      </c>
      <c r="BA85">
        <f>SUM($AM85,$AN85:AP85)-SUM($BH85:BK85)</f>
        <v>33120</v>
      </c>
      <c r="BB85">
        <f>SUM($AM85,$AN85:AQ85)-SUM($BH85:BL85)</f>
        <v>33120</v>
      </c>
      <c r="BC85">
        <f>SUM($AM85,$AN85:AR85)-SUM($BH85:BM85)</f>
        <v>33120</v>
      </c>
      <c r="BD85">
        <f>SUM($AM85,$AN85:AS85)-SUM($BH85:BN85)</f>
        <v>33120</v>
      </c>
      <c r="BI85">
        <f t="array" ref="BI85">SUMPRODUCT(TRANSPOSE(BI$4:BI$9),$K85:$P85)</f>
        <v>0</v>
      </c>
      <c r="BJ85">
        <f t="array" ref="BJ85">SUMPRODUCT(TRANSPOSE(BJ$4:BJ$9),$K85:$P85)</f>
        <v>4220</v>
      </c>
      <c r="BK85">
        <f t="array" ref="BK85">SUMPRODUCT(TRANSPOSE(BK$4:BK$9),$K85:$P85)</f>
        <v>12660</v>
      </c>
      <c r="BL85">
        <f t="array" ref="BL85">SUMPRODUCT(TRANSPOSE(BL$4:BL$9),$K85:$P85)</f>
        <v>0</v>
      </c>
      <c r="BM85">
        <f t="array" ref="BM85">SUMPRODUCT(TRANSPOSE(BM$4:BM$9),$K85:$P85)</f>
        <v>0</v>
      </c>
      <c r="BN85">
        <f t="array" ref="BN85">SUMPRODUCT(TRANSPOSE(BN$4:BN$9),$K85:$P85)</f>
        <v>0</v>
      </c>
      <c r="BO85" t="s">
        <v>277</v>
      </c>
      <c r="CA85" t="s">
        <v>177</v>
      </c>
      <c r="CB85" t="s">
        <v>565</v>
      </c>
      <c r="CC85" t="s">
        <v>562</v>
      </c>
      <c r="CD85" t="s">
        <v>277</v>
      </c>
      <c r="CE85" t="s">
        <v>85</v>
      </c>
      <c r="CF85">
        <v>1</v>
      </c>
      <c r="CG85">
        <v>50000</v>
      </c>
      <c r="CH85">
        <v>825</v>
      </c>
      <c r="CI85" t="s">
        <v>568</v>
      </c>
      <c r="CJ85" s="1">
        <v>45961</v>
      </c>
      <c r="CL85" t="s">
        <v>119</v>
      </c>
      <c r="CN85" t="s">
        <v>96</v>
      </c>
      <c r="CO85" t="s">
        <v>569</v>
      </c>
      <c r="CP85">
        <v>1.6500000000000001E-2</v>
      </c>
      <c r="CQ85">
        <v>690000</v>
      </c>
      <c r="CR85" t="b">
        <v>1</v>
      </c>
    </row>
    <row r="86" spans="1:99">
      <c r="A86">
        <v>73</v>
      </c>
      <c r="B86" t="s">
        <v>570</v>
      </c>
      <c r="C86" t="s">
        <v>571</v>
      </c>
      <c r="D86" t="s">
        <v>81</v>
      </c>
      <c r="E86" t="s">
        <v>572</v>
      </c>
      <c r="F86">
        <v>400984937</v>
      </c>
      <c r="G86" t="s">
        <v>573</v>
      </c>
      <c r="H86" t="s">
        <v>75</v>
      </c>
      <c r="I86">
        <v>2</v>
      </c>
      <c r="J86">
        <v>4</v>
      </c>
      <c r="K86">
        <v>0</v>
      </c>
      <c r="L86">
        <v>0</v>
      </c>
      <c r="M86">
        <v>0</v>
      </c>
      <c r="N86">
        <v>0</v>
      </c>
      <c r="O86">
        <v>0</v>
      </c>
      <c r="P86">
        <v>4</v>
      </c>
      <c r="Q86">
        <v>4</v>
      </c>
      <c r="R86">
        <v>880</v>
      </c>
      <c r="S86">
        <v>10000</v>
      </c>
      <c r="T86">
        <v>10000</v>
      </c>
      <c r="U86" t="s">
        <v>277</v>
      </c>
      <c r="W86">
        <v>1.8E-3</v>
      </c>
      <c r="X86">
        <v>18</v>
      </c>
      <c r="Y86" t="s">
        <v>85</v>
      </c>
      <c r="Z86" t="s">
        <v>565</v>
      </c>
      <c r="AA86" t="s">
        <v>566</v>
      </c>
      <c r="AB86" t="s">
        <v>567</v>
      </c>
      <c r="AG86">
        <v>3.5999999999999999E-3</v>
      </c>
      <c r="AH86">
        <v>18</v>
      </c>
      <c r="AI86">
        <v>880</v>
      </c>
      <c r="AJ86">
        <v>70000</v>
      </c>
      <c r="AK86">
        <v>0</v>
      </c>
      <c r="AL86">
        <v>-69120</v>
      </c>
      <c r="AM86">
        <v>70000</v>
      </c>
      <c r="AZ86">
        <f>SUM($AM86,$AN86:AO86)-SUM($BH86:BJ86)</f>
        <v>69920</v>
      </c>
      <c r="BA86">
        <f>SUM($AM86,$AN86:AP86)-SUM($BH86:BK86)</f>
        <v>69680</v>
      </c>
      <c r="BB86">
        <f>SUM($AM86,$AN86:AQ86)-SUM($BH86:BL86)</f>
        <v>69680</v>
      </c>
      <c r="BC86">
        <f>SUM($AM86,$AN86:AR86)-SUM($BH86:BM86)</f>
        <v>69680</v>
      </c>
      <c r="BD86">
        <f>SUM($AM86,$AN86:AS86)-SUM($BH86:BN86)</f>
        <v>69680</v>
      </c>
      <c r="BI86">
        <f t="array" ref="BI86">SUMPRODUCT(TRANSPOSE(BI$4:BI$9),$K86:$P86)</f>
        <v>0</v>
      </c>
      <c r="BJ86">
        <f t="array" ref="BJ86">SUMPRODUCT(TRANSPOSE(BJ$4:BJ$9),$K86:$P86)</f>
        <v>80</v>
      </c>
      <c r="BK86">
        <f t="array" ref="BK86">SUMPRODUCT(TRANSPOSE(BK$4:BK$9),$K86:$P86)</f>
        <v>240</v>
      </c>
      <c r="BL86">
        <f t="array" ref="BL86">SUMPRODUCT(TRANSPOSE(BL$4:BL$9),$K86:$P86)</f>
        <v>0</v>
      </c>
      <c r="BM86">
        <f t="array" ref="BM86">SUMPRODUCT(TRANSPOSE(BM$4:BM$9),$K86:$P86)</f>
        <v>0</v>
      </c>
      <c r="BN86">
        <f t="array" ref="BN86">SUMPRODUCT(TRANSPOSE(BN$4:BN$9),$K86:$P86)</f>
        <v>0</v>
      </c>
      <c r="BO86" t="s">
        <v>277</v>
      </c>
      <c r="BS86" t="s">
        <v>574</v>
      </c>
      <c r="BU86">
        <v>3.0000000000000001E-3</v>
      </c>
      <c r="BV86" t="s">
        <v>575</v>
      </c>
      <c r="BW86" t="s">
        <v>574</v>
      </c>
      <c r="CA86" t="s">
        <v>177</v>
      </c>
      <c r="CB86" t="s">
        <v>565</v>
      </c>
      <c r="CC86" t="s">
        <v>571</v>
      </c>
      <c r="CD86" t="s">
        <v>277</v>
      </c>
      <c r="CE86" t="s">
        <v>85</v>
      </c>
      <c r="CF86">
        <v>1</v>
      </c>
      <c r="CG86">
        <v>70000</v>
      </c>
      <c r="CH86">
        <v>210</v>
      </c>
      <c r="CI86" t="s">
        <v>568</v>
      </c>
      <c r="CJ86" s="1">
        <v>45961</v>
      </c>
      <c r="CL86" t="s">
        <v>119</v>
      </c>
      <c r="CN86" t="s">
        <v>96</v>
      </c>
      <c r="CO86" t="s">
        <v>576</v>
      </c>
      <c r="CP86">
        <v>1.8E-3</v>
      </c>
      <c r="CQ86">
        <v>380000</v>
      </c>
      <c r="CR86" t="b">
        <v>0</v>
      </c>
      <c r="CT86">
        <v>3.0000000000000001E-3</v>
      </c>
      <c r="CU86" t="s">
        <v>577</v>
      </c>
    </row>
    <row r="87" spans="1:99">
      <c r="A87">
        <v>74</v>
      </c>
      <c r="B87" t="s">
        <v>578</v>
      </c>
      <c r="C87" t="s">
        <v>579</v>
      </c>
      <c r="D87" t="s">
        <v>81</v>
      </c>
      <c r="E87" t="s">
        <v>580</v>
      </c>
      <c r="F87">
        <v>401246012</v>
      </c>
      <c r="G87" t="s">
        <v>581</v>
      </c>
      <c r="H87" t="s">
        <v>75</v>
      </c>
      <c r="I87">
        <v>2</v>
      </c>
      <c r="J87">
        <v>99</v>
      </c>
      <c r="K87">
        <v>0</v>
      </c>
      <c r="L87">
        <v>0</v>
      </c>
      <c r="M87">
        <v>0</v>
      </c>
      <c r="N87">
        <v>0</v>
      </c>
      <c r="O87">
        <v>0</v>
      </c>
      <c r="P87">
        <v>99</v>
      </c>
      <c r="Q87">
        <v>99</v>
      </c>
      <c r="R87">
        <v>21780</v>
      </c>
      <c r="S87">
        <v>10000</v>
      </c>
      <c r="T87">
        <v>30000</v>
      </c>
      <c r="U87" t="s">
        <v>277</v>
      </c>
      <c r="W87">
        <v>1.8E-3</v>
      </c>
      <c r="X87">
        <v>54</v>
      </c>
      <c r="Y87" t="s">
        <v>85</v>
      </c>
      <c r="Z87" t="s">
        <v>565</v>
      </c>
      <c r="AA87" t="s">
        <v>566</v>
      </c>
      <c r="AB87" t="s">
        <v>567</v>
      </c>
      <c r="AG87">
        <v>3.5999999999999999E-3</v>
      </c>
      <c r="AH87">
        <v>54</v>
      </c>
      <c r="AI87">
        <v>21780</v>
      </c>
      <c r="AJ87">
        <v>70000</v>
      </c>
      <c r="AK87">
        <v>0</v>
      </c>
      <c r="AL87">
        <v>-48220</v>
      </c>
      <c r="AM87">
        <v>70000</v>
      </c>
      <c r="AZ87">
        <f>SUM($AM87,$AN87:AO87)-SUM($BH87:BJ87)</f>
        <v>68020</v>
      </c>
      <c r="BA87">
        <f>SUM($AM87,$AN87:AP87)-SUM($BH87:BK87)</f>
        <v>62080</v>
      </c>
      <c r="BB87">
        <f>SUM($AM87,$AN87:AQ87)-SUM($BH87:BL87)</f>
        <v>62080</v>
      </c>
      <c r="BC87">
        <f>SUM($AM87,$AN87:AR87)-SUM($BH87:BM87)</f>
        <v>62080</v>
      </c>
      <c r="BD87">
        <f>SUM($AM87,$AN87:AS87)-SUM($BH87:BN87)</f>
        <v>62080</v>
      </c>
      <c r="BI87">
        <f t="array" ref="BI87">SUMPRODUCT(TRANSPOSE(BI$4:BI$9),$K87:$P87)</f>
        <v>0</v>
      </c>
      <c r="BJ87">
        <f t="array" ref="BJ87">SUMPRODUCT(TRANSPOSE(BJ$4:BJ$9),$K87:$P87)</f>
        <v>1980</v>
      </c>
      <c r="BK87">
        <f t="array" ref="BK87">SUMPRODUCT(TRANSPOSE(BK$4:BK$9),$K87:$P87)</f>
        <v>5940</v>
      </c>
      <c r="BL87">
        <f t="array" ref="BL87">SUMPRODUCT(TRANSPOSE(BL$4:BL$9),$K87:$P87)</f>
        <v>0</v>
      </c>
      <c r="BM87">
        <f t="array" ref="BM87">SUMPRODUCT(TRANSPOSE(BM$4:BM$9),$K87:$P87)</f>
        <v>0</v>
      </c>
      <c r="BN87">
        <f t="array" ref="BN87">SUMPRODUCT(TRANSPOSE(BN$4:BN$9),$K87:$P87)</f>
        <v>0</v>
      </c>
      <c r="BO87" t="s">
        <v>277</v>
      </c>
      <c r="BS87" t="s">
        <v>574</v>
      </c>
      <c r="BU87">
        <v>2.2000000000000001E-3</v>
      </c>
      <c r="BV87" t="s">
        <v>575</v>
      </c>
      <c r="BW87" t="s">
        <v>574</v>
      </c>
      <c r="CA87" t="s">
        <v>177</v>
      </c>
      <c r="CB87" t="s">
        <v>565</v>
      </c>
      <c r="CC87" t="s">
        <v>579</v>
      </c>
      <c r="CD87" t="s">
        <v>277</v>
      </c>
      <c r="CE87" t="s">
        <v>85</v>
      </c>
      <c r="CF87">
        <v>1</v>
      </c>
      <c r="CG87">
        <v>70000</v>
      </c>
      <c r="CH87">
        <v>154</v>
      </c>
      <c r="CI87" t="s">
        <v>568</v>
      </c>
      <c r="CJ87" s="1">
        <v>45961</v>
      </c>
      <c r="CL87" t="s">
        <v>119</v>
      </c>
      <c r="CN87" t="s">
        <v>96</v>
      </c>
      <c r="CO87" t="s">
        <v>576</v>
      </c>
      <c r="CP87">
        <v>1.8E-3</v>
      </c>
      <c r="CQ87">
        <v>120000</v>
      </c>
      <c r="CR87" t="b">
        <v>0</v>
      </c>
      <c r="CT87">
        <v>2.2000000000000001E-3</v>
      </c>
      <c r="CU87" t="s">
        <v>577</v>
      </c>
    </row>
    <row r="88" spans="1:99">
      <c r="A88">
        <v>75</v>
      </c>
      <c r="B88" t="s">
        <v>582</v>
      </c>
      <c r="C88" t="s">
        <v>583</v>
      </c>
      <c r="D88" t="s">
        <v>81</v>
      </c>
      <c r="E88" t="s">
        <v>584</v>
      </c>
      <c r="F88">
        <v>400584360</v>
      </c>
      <c r="G88" t="s">
        <v>585</v>
      </c>
      <c r="H88" t="s">
        <v>75</v>
      </c>
      <c r="I88">
        <v>2</v>
      </c>
      <c r="J88">
        <v>38</v>
      </c>
      <c r="K88">
        <v>0</v>
      </c>
      <c r="L88">
        <v>0</v>
      </c>
      <c r="M88">
        <v>0</v>
      </c>
      <c r="N88">
        <v>0</v>
      </c>
      <c r="O88">
        <v>38</v>
      </c>
      <c r="P88">
        <v>0</v>
      </c>
      <c r="Q88">
        <v>38</v>
      </c>
      <c r="R88">
        <v>8360</v>
      </c>
      <c r="S88">
        <v>10000</v>
      </c>
      <c r="T88">
        <v>10000</v>
      </c>
      <c r="U88" t="s">
        <v>277</v>
      </c>
      <c r="W88">
        <v>3.0000000000000001E-3</v>
      </c>
      <c r="X88">
        <v>30</v>
      </c>
      <c r="Y88" t="s">
        <v>85</v>
      </c>
      <c r="Z88" t="s">
        <v>565</v>
      </c>
      <c r="AA88" t="s">
        <v>566</v>
      </c>
      <c r="AB88" t="s">
        <v>567</v>
      </c>
      <c r="AG88">
        <v>6.0000000000000001E-3</v>
      </c>
      <c r="AH88">
        <v>30</v>
      </c>
      <c r="AI88">
        <v>8360</v>
      </c>
      <c r="AJ88">
        <v>10000</v>
      </c>
      <c r="AK88">
        <v>0</v>
      </c>
      <c r="AL88">
        <v>-1640</v>
      </c>
      <c r="AM88">
        <v>10000</v>
      </c>
      <c r="AZ88">
        <f>SUM($AM88,$AN88:AO88)-SUM($BH88:BJ88)</f>
        <v>9240</v>
      </c>
      <c r="BA88">
        <f>SUM($AM88,$AN88:AP88)-SUM($BH88:BK88)</f>
        <v>6960</v>
      </c>
      <c r="BB88">
        <f>SUM($AM88,$AN88:AQ88)-SUM($BH88:BL88)</f>
        <v>6960</v>
      </c>
      <c r="BC88">
        <f>SUM($AM88,$AN88:AR88)-SUM($BH88:BM88)</f>
        <v>6960</v>
      </c>
      <c r="BD88">
        <f>SUM($AM88,$AN88:AS88)-SUM($BH88:BN88)</f>
        <v>6960</v>
      </c>
      <c r="BI88">
        <f t="array" ref="BI88">SUMPRODUCT(TRANSPOSE(BI$4:BI$9),$K88:$P88)</f>
        <v>0</v>
      </c>
      <c r="BJ88">
        <f t="array" ref="BJ88">SUMPRODUCT(TRANSPOSE(BJ$4:BJ$9),$K88:$P88)</f>
        <v>760</v>
      </c>
      <c r="BK88">
        <f t="array" ref="BK88">SUMPRODUCT(TRANSPOSE(BK$4:BK$9),$K88:$P88)</f>
        <v>2280</v>
      </c>
      <c r="BL88">
        <f t="array" ref="BL88">SUMPRODUCT(TRANSPOSE(BL$4:BL$9),$K88:$P88)</f>
        <v>0</v>
      </c>
      <c r="BM88">
        <f t="array" ref="BM88">SUMPRODUCT(TRANSPOSE(BM$4:BM$9),$K88:$P88)</f>
        <v>0</v>
      </c>
      <c r="BN88">
        <f t="array" ref="BN88">SUMPRODUCT(TRANSPOSE(BN$4:BN$9),$K88:$P88)</f>
        <v>0</v>
      </c>
      <c r="BO88" t="s">
        <v>277</v>
      </c>
      <c r="BS88" t="s">
        <v>574</v>
      </c>
      <c r="BU88">
        <v>3.4000000000000002E-2</v>
      </c>
      <c r="BV88" t="s">
        <v>574</v>
      </c>
      <c r="BW88" t="s">
        <v>574</v>
      </c>
      <c r="CA88" t="s">
        <v>177</v>
      </c>
      <c r="CB88" t="s">
        <v>565</v>
      </c>
      <c r="CC88" t="s">
        <v>583</v>
      </c>
      <c r="CD88" t="s">
        <v>277</v>
      </c>
      <c r="CE88" t="s">
        <v>85</v>
      </c>
      <c r="CF88">
        <v>1</v>
      </c>
      <c r="CG88">
        <v>10000</v>
      </c>
      <c r="CH88">
        <v>340</v>
      </c>
      <c r="CI88" t="s">
        <v>568</v>
      </c>
      <c r="CJ88" s="1">
        <v>45961</v>
      </c>
      <c r="CL88" t="s">
        <v>119</v>
      </c>
      <c r="CN88" t="s">
        <v>96</v>
      </c>
      <c r="CO88" t="s">
        <v>546</v>
      </c>
      <c r="CP88">
        <v>3.0000000000000001E-3</v>
      </c>
      <c r="CQ88">
        <v>60000</v>
      </c>
      <c r="CR88" t="b">
        <v>0</v>
      </c>
      <c r="CT88">
        <v>3.4000000000000002E-2</v>
      </c>
      <c r="CU88" t="s">
        <v>577</v>
      </c>
    </row>
    <row r="89" spans="1:99">
      <c r="A89">
        <v>77</v>
      </c>
      <c r="B89" t="s">
        <v>586</v>
      </c>
      <c r="C89" t="s">
        <v>587</v>
      </c>
      <c r="D89" t="s">
        <v>81</v>
      </c>
      <c r="E89" t="s">
        <v>588</v>
      </c>
      <c r="F89">
        <v>400713754</v>
      </c>
      <c r="G89" t="s">
        <v>589</v>
      </c>
      <c r="H89" t="s">
        <v>75</v>
      </c>
      <c r="I89">
        <v>2</v>
      </c>
      <c r="J89">
        <v>32</v>
      </c>
      <c r="K89">
        <v>0</v>
      </c>
      <c r="L89">
        <v>0</v>
      </c>
      <c r="M89">
        <v>0</v>
      </c>
      <c r="N89">
        <v>0</v>
      </c>
      <c r="O89">
        <v>32</v>
      </c>
      <c r="P89">
        <v>0</v>
      </c>
      <c r="Q89">
        <v>32</v>
      </c>
      <c r="R89">
        <v>7040</v>
      </c>
      <c r="S89">
        <v>4000</v>
      </c>
      <c r="T89">
        <v>8000</v>
      </c>
      <c r="U89" t="s">
        <v>277</v>
      </c>
      <c r="W89">
        <v>3.0000000000000001E-3</v>
      </c>
      <c r="X89">
        <v>24</v>
      </c>
      <c r="Y89" t="s">
        <v>85</v>
      </c>
      <c r="Z89" t="s">
        <v>565</v>
      </c>
      <c r="AA89" t="s">
        <v>566</v>
      </c>
      <c r="AB89" t="s">
        <v>567</v>
      </c>
      <c r="AG89">
        <v>6.0000000000000001E-3</v>
      </c>
      <c r="AH89">
        <v>24</v>
      </c>
      <c r="AI89">
        <v>7040</v>
      </c>
      <c r="AJ89">
        <v>12000</v>
      </c>
      <c r="AK89">
        <v>0</v>
      </c>
      <c r="AL89">
        <v>-4960</v>
      </c>
      <c r="AM89">
        <v>12000</v>
      </c>
      <c r="AZ89">
        <f>SUM($AM89,$AN89:AO89)-SUM($BH89:BJ89)</f>
        <v>11360</v>
      </c>
      <c r="BA89">
        <f>SUM($AM89,$AN89:AP89)-SUM($BH89:BK89)</f>
        <v>9440</v>
      </c>
      <c r="BB89">
        <f>SUM($AM89,$AN89:AQ89)-SUM($BH89:BL89)</f>
        <v>9440</v>
      </c>
      <c r="BC89">
        <f>SUM($AM89,$AN89:AR89)-SUM($BH89:BM89)</f>
        <v>9440</v>
      </c>
      <c r="BD89">
        <f>SUM($AM89,$AN89:AS89)-SUM($BH89:BN89)</f>
        <v>9440</v>
      </c>
      <c r="BI89">
        <f t="array" ref="BI89">SUMPRODUCT(TRANSPOSE(BI$4:BI$9),$K89:$P89)</f>
        <v>0</v>
      </c>
      <c r="BJ89">
        <f t="array" ref="BJ89">SUMPRODUCT(TRANSPOSE(BJ$4:BJ$9),$K89:$P89)</f>
        <v>640</v>
      </c>
      <c r="BK89">
        <f t="array" ref="BK89">SUMPRODUCT(TRANSPOSE(BK$4:BK$9),$K89:$P89)</f>
        <v>1920</v>
      </c>
      <c r="BL89">
        <f t="array" ref="BL89">SUMPRODUCT(TRANSPOSE(BL$4:BL$9),$K89:$P89)</f>
        <v>0</v>
      </c>
      <c r="BM89">
        <f t="array" ref="BM89">SUMPRODUCT(TRANSPOSE(BM$4:BM$9),$K89:$P89)</f>
        <v>0</v>
      </c>
      <c r="BN89">
        <f t="array" ref="BN89">SUMPRODUCT(TRANSPOSE(BN$4:BN$9),$K89:$P89)</f>
        <v>0</v>
      </c>
      <c r="BO89" t="s">
        <v>277</v>
      </c>
      <c r="BS89" t="s">
        <v>574</v>
      </c>
      <c r="BU89">
        <v>1.35E-2</v>
      </c>
      <c r="BV89" t="s">
        <v>574</v>
      </c>
      <c r="BW89" t="s">
        <v>574</v>
      </c>
      <c r="CA89" t="s">
        <v>177</v>
      </c>
      <c r="CB89" t="s">
        <v>565</v>
      </c>
      <c r="CC89" t="s">
        <v>587</v>
      </c>
      <c r="CD89" t="s">
        <v>277</v>
      </c>
      <c r="CE89" t="s">
        <v>85</v>
      </c>
      <c r="CF89">
        <v>1</v>
      </c>
      <c r="CG89">
        <v>12000</v>
      </c>
      <c r="CH89">
        <v>162</v>
      </c>
      <c r="CI89" t="s">
        <v>568</v>
      </c>
      <c r="CJ89" s="1">
        <v>45961</v>
      </c>
      <c r="CL89" t="s">
        <v>119</v>
      </c>
      <c r="CN89" t="s">
        <v>96</v>
      </c>
      <c r="CO89" t="s">
        <v>576</v>
      </c>
      <c r="CP89">
        <v>3.0000000000000001E-3</v>
      </c>
      <c r="CQ89">
        <v>76000</v>
      </c>
      <c r="CR89" t="b">
        <v>0</v>
      </c>
      <c r="CT89">
        <v>1.35E-2</v>
      </c>
      <c r="CU89" t="s">
        <v>577</v>
      </c>
    </row>
    <row r="90" spans="1:99">
      <c r="A90">
        <v>82</v>
      </c>
      <c r="B90" t="s">
        <v>590</v>
      </c>
      <c r="C90" t="s">
        <v>591</v>
      </c>
      <c r="D90" t="s">
        <v>81</v>
      </c>
      <c r="F90">
        <v>416653035</v>
      </c>
      <c r="G90" t="s">
        <v>592</v>
      </c>
      <c r="H90" t="s">
        <v>75</v>
      </c>
      <c r="I90">
        <v>1</v>
      </c>
      <c r="J90">
        <v>2</v>
      </c>
      <c r="K90">
        <v>0</v>
      </c>
      <c r="L90">
        <v>0</v>
      </c>
      <c r="M90">
        <v>0</v>
      </c>
      <c r="N90">
        <v>0</v>
      </c>
      <c r="O90">
        <v>0</v>
      </c>
      <c r="P90">
        <v>2</v>
      </c>
      <c r="Q90">
        <v>2</v>
      </c>
      <c r="R90">
        <v>440</v>
      </c>
      <c r="S90">
        <v>500</v>
      </c>
      <c r="T90">
        <v>500</v>
      </c>
      <c r="U90" t="s">
        <v>593</v>
      </c>
      <c r="W90">
        <v>0.47</v>
      </c>
      <c r="X90">
        <v>235</v>
      </c>
      <c r="Y90" t="s">
        <v>85</v>
      </c>
      <c r="Z90" t="s">
        <v>86</v>
      </c>
      <c r="AA90" t="s">
        <v>87</v>
      </c>
      <c r="AB90" t="s">
        <v>88</v>
      </c>
      <c r="AC90" t="s">
        <v>89</v>
      </c>
      <c r="AG90">
        <v>0.47</v>
      </c>
      <c r="AH90">
        <v>235</v>
      </c>
      <c r="AI90">
        <v>440</v>
      </c>
      <c r="AJ90">
        <v>500</v>
      </c>
      <c r="AK90">
        <v>0</v>
      </c>
      <c r="AL90">
        <v>-60</v>
      </c>
      <c r="AM90">
        <v>500</v>
      </c>
      <c r="AZ90">
        <f>SUM($AM90,$AN90:AO90)-SUM($BH90:BJ90)</f>
        <v>460</v>
      </c>
      <c r="BA90">
        <f>SUM($AM90,$AN90:AP90)-SUM($BH90:BK90)</f>
        <v>340</v>
      </c>
      <c r="BB90">
        <f>SUM($AM90,$AN90:AQ90)-SUM($BH90:BL90)</f>
        <v>340</v>
      </c>
      <c r="BC90">
        <f>SUM($AM90,$AN90:AR90)-SUM($BH90:BM90)</f>
        <v>340</v>
      </c>
      <c r="BD90">
        <f>SUM($AM90,$AN90:AS90)-SUM($BH90:BN90)</f>
        <v>340</v>
      </c>
      <c r="BI90">
        <f t="array" ref="BI90">SUMPRODUCT(TRANSPOSE(BI$4:BI$9),$K90:$P90)</f>
        <v>0</v>
      </c>
      <c r="BJ90">
        <f t="array" ref="BJ90">SUMPRODUCT(TRANSPOSE(BJ$4:BJ$9),$K90:$P90)</f>
        <v>40</v>
      </c>
      <c r="BK90">
        <f t="array" ref="BK90">SUMPRODUCT(TRANSPOSE(BK$4:BK$9),$K90:$P90)</f>
        <v>120</v>
      </c>
      <c r="BL90">
        <f t="array" ref="BL90">SUMPRODUCT(TRANSPOSE(BL$4:BL$9),$K90:$P90)</f>
        <v>0</v>
      </c>
      <c r="BM90">
        <f t="array" ref="BM90">SUMPRODUCT(TRANSPOSE(BM$4:BM$9),$K90:$P90)</f>
        <v>0</v>
      </c>
      <c r="BN90">
        <f t="array" ref="BN90">SUMPRODUCT(TRANSPOSE(BN$4:BN$9),$K90:$P90)</f>
        <v>0</v>
      </c>
      <c r="BO90" t="s">
        <v>593</v>
      </c>
      <c r="CA90" t="s">
        <v>177</v>
      </c>
      <c r="CB90" t="s">
        <v>86</v>
      </c>
      <c r="CC90" t="s">
        <v>591</v>
      </c>
      <c r="CD90" t="s">
        <v>593</v>
      </c>
      <c r="CE90" t="s">
        <v>85</v>
      </c>
      <c r="CF90">
        <v>1</v>
      </c>
      <c r="CG90">
        <v>500</v>
      </c>
      <c r="CH90">
        <v>235</v>
      </c>
      <c r="CI90" t="s">
        <v>278</v>
      </c>
      <c r="CJ90" s="1">
        <v>45961</v>
      </c>
      <c r="CL90" t="s">
        <v>119</v>
      </c>
      <c r="CN90" t="s">
        <v>96</v>
      </c>
      <c r="CO90" t="s">
        <v>368</v>
      </c>
      <c r="CP90">
        <v>0.44688000000000011</v>
      </c>
      <c r="CQ90">
        <v>2500</v>
      </c>
      <c r="CR90" t="b">
        <v>0</v>
      </c>
    </row>
    <row r="91" spans="1:99">
      <c r="A91">
        <v>83</v>
      </c>
      <c r="B91" t="s">
        <v>594</v>
      </c>
      <c r="C91" t="s">
        <v>595</v>
      </c>
      <c r="D91" t="s">
        <v>81</v>
      </c>
      <c r="E91" t="s">
        <v>596</v>
      </c>
      <c r="F91">
        <v>417983106</v>
      </c>
      <c r="G91" t="s">
        <v>597</v>
      </c>
      <c r="H91" t="s">
        <v>75</v>
      </c>
      <c r="I91">
        <v>2</v>
      </c>
      <c r="J91">
        <v>186</v>
      </c>
      <c r="K91">
        <v>0</v>
      </c>
      <c r="L91">
        <v>0</v>
      </c>
      <c r="M91">
        <v>0</v>
      </c>
      <c r="N91">
        <v>0</v>
      </c>
      <c r="O91">
        <v>0</v>
      </c>
      <c r="P91">
        <v>186</v>
      </c>
      <c r="Q91">
        <v>186</v>
      </c>
      <c r="R91">
        <v>40920</v>
      </c>
      <c r="S91">
        <v>10000</v>
      </c>
      <c r="T91">
        <v>50000</v>
      </c>
      <c r="U91" t="s">
        <v>598</v>
      </c>
      <c r="W91">
        <v>2.5000000000000001E-3</v>
      </c>
      <c r="X91">
        <v>125</v>
      </c>
      <c r="Y91" t="s">
        <v>85</v>
      </c>
      <c r="Z91" t="s">
        <v>598</v>
      </c>
      <c r="AA91" t="s">
        <v>87</v>
      </c>
      <c r="AB91" t="s">
        <v>88</v>
      </c>
      <c r="AG91">
        <v>5.0000000000000001E-3</v>
      </c>
      <c r="AH91">
        <v>125</v>
      </c>
      <c r="AI91">
        <v>40920</v>
      </c>
      <c r="AJ91">
        <v>50000</v>
      </c>
      <c r="AK91">
        <v>0</v>
      </c>
      <c r="AL91">
        <v>-9080</v>
      </c>
      <c r="AM91">
        <v>50000</v>
      </c>
      <c r="AZ91">
        <f>SUM($AM91,$AN91:AO91)-SUM($BH91:BJ91)</f>
        <v>46280</v>
      </c>
      <c r="BA91">
        <f>SUM($AM91,$AN91:AP91)-SUM($BH91:BK91)</f>
        <v>35120</v>
      </c>
      <c r="BB91">
        <f>SUM($AM91,$AN91:AQ91)-SUM($BH91:BL91)</f>
        <v>35120</v>
      </c>
      <c r="BC91">
        <f>SUM($AM91,$AN91:AR91)-SUM($BH91:BM91)</f>
        <v>35120</v>
      </c>
      <c r="BD91">
        <f>SUM($AM91,$AN91:AS91)-SUM($BH91:BN91)</f>
        <v>35120</v>
      </c>
      <c r="BI91">
        <f t="array" ref="BI91">SUMPRODUCT(TRANSPOSE(BI$4:BI$9),$K91:$P91)</f>
        <v>0</v>
      </c>
      <c r="BJ91">
        <f t="array" ref="BJ91">SUMPRODUCT(TRANSPOSE(BJ$4:BJ$9),$K91:$P91)</f>
        <v>3720</v>
      </c>
      <c r="BK91">
        <f t="array" ref="BK91">SUMPRODUCT(TRANSPOSE(BK$4:BK$9),$K91:$P91)</f>
        <v>11160</v>
      </c>
      <c r="BL91">
        <f t="array" ref="BL91">SUMPRODUCT(TRANSPOSE(BL$4:BL$9),$K91:$P91)</f>
        <v>0</v>
      </c>
      <c r="BM91">
        <f t="array" ref="BM91">SUMPRODUCT(TRANSPOSE(BM$4:BM$9),$K91:$P91)</f>
        <v>0</v>
      </c>
      <c r="BN91">
        <f t="array" ref="BN91">SUMPRODUCT(TRANSPOSE(BN$4:BN$9),$K91:$P91)</f>
        <v>0</v>
      </c>
      <c r="BO91" t="s">
        <v>598</v>
      </c>
      <c r="CA91" t="s">
        <v>177</v>
      </c>
      <c r="CB91" t="s">
        <v>86</v>
      </c>
      <c r="CC91" t="s">
        <v>595</v>
      </c>
      <c r="CD91" t="s">
        <v>598</v>
      </c>
      <c r="CE91" t="s">
        <v>85</v>
      </c>
      <c r="CF91">
        <v>1</v>
      </c>
      <c r="CG91">
        <v>50000</v>
      </c>
      <c r="CH91">
        <v>125</v>
      </c>
      <c r="CI91" t="s">
        <v>278</v>
      </c>
      <c r="CJ91" s="1">
        <v>45961</v>
      </c>
      <c r="CL91" t="s">
        <v>119</v>
      </c>
      <c r="CN91" t="s">
        <v>96</v>
      </c>
      <c r="CO91" t="s">
        <v>288</v>
      </c>
      <c r="CP91">
        <v>2.5000000000000001E-3</v>
      </c>
      <c r="CQ91">
        <v>200000</v>
      </c>
      <c r="CR91" t="b">
        <v>1</v>
      </c>
    </row>
    <row r="92" spans="1:99">
      <c r="A92">
        <v>84</v>
      </c>
      <c r="B92" t="s">
        <v>599</v>
      </c>
      <c r="C92" t="s">
        <v>600</v>
      </c>
      <c r="D92" t="s">
        <v>81</v>
      </c>
      <c r="E92" t="s">
        <v>601</v>
      </c>
      <c r="F92">
        <v>417983107</v>
      </c>
      <c r="G92" t="s">
        <v>602</v>
      </c>
      <c r="H92" t="s">
        <v>75</v>
      </c>
      <c r="I92">
        <v>2</v>
      </c>
      <c r="J92">
        <v>32</v>
      </c>
      <c r="K92">
        <v>0</v>
      </c>
      <c r="L92">
        <v>0</v>
      </c>
      <c r="M92">
        <v>0</v>
      </c>
      <c r="N92">
        <v>0</v>
      </c>
      <c r="O92">
        <v>32</v>
      </c>
      <c r="P92">
        <v>0</v>
      </c>
      <c r="Q92">
        <v>32</v>
      </c>
      <c r="R92">
        <v>7040</v>
      </c>
      <c r="S92">
        <v>10000</v>
      </c>
      <c r="T92">
        <v>10000</v>
      </c>
      <c r="U92" t="s">
        <v>598</v>
      </c>
      <c r="W92">
        <v>2.6862000000000001E-3</v>
      </c>
      <c r="X92">
        <v>26.861999999999998</v>
      </c>
      <c r="Y92" t="s">
        <v>85</v>
      </c>
      <c r="Z92" t="s">
        <v>598</v>
      </c>
      <c r="AA92" t="s">
        <v>87</v>
      </c>
      <c r="AB92" t="s">
        <v>88</v>
      </c>
      <c r="AG92">
        <v>5.3724000000000003E-3</v>
      </c>
      <c r="AH92">
        <v>26.861999999999998</v>
      </c>
      <c r="AI92">
        <v>7040</v>
      </c>
      <c r="AJ92">
        <v>10000</v>
      </c>
      <c r="AK92">
        <v>0</v>
      </c>
      <c r="AL92">
        <v>-2960</v>
      </c>
      <c r="AM92">
        <v>10000</v>
      </c>
      <c r="AZ92">
        <f>SUM($AM92,$AN92:AO92)-SUM($BH92:BJ92)</f>
        <v>9360</v>
      </c>
      <c r="BA92">
        <f>SUM($AM92,$AN92:AP92)-SUM($BH92:BK92)</f>
        <v>7440</v>
      </c>
      <c r="BB92">
        <f>SUM($AM92,$AN92:AQ92)-SUM($BH92:BL92)</f>
        <v>7440</v>
      </c>
      <c r="BC92">
        <f>SUM($AM92,$AN92:AR92)-SUM($BH92:BM92)</f>
        <v>7440</v>
      </c>
      <c r="BD92">
        <f>SUM($AM92,$AN92:AS92)-SUM($BH92:BN92)</f>
        <v>7440</v>
      </c>
      <c r="BI92">
        <f t="array" ref="BI92">SUMPRODUCT(TRANSPOSE(BI$4:BI$9),$K92:$P92)</f>
        <v>0</v>
      </c>
      <c r="BJ92">
        <f t="array" ref="BJ92">SUMPRODUCT(TRANSPOSE(BJ$4:BJ$9),$K92:$P92)</f>
        <v>640</v>
      </c>
      <c r="BK92">
        <f t="array" ref="BK92">SUMPRODUCT(TRANSPOSE(BK$4:BK$9),$K92:$P92)</f>
        <v>1920</v>
      </c>
      <c r="BL92">
        <f t="array" ref="BL92">SUMPRODUCT(TRANSPOSE(BL$4:BL$9),$K92:$P92)</f>
        <v>0</v>
      </c>
      <c r="BM92">
        <f t="array" ref="BM92">SUMPRODUCT(TRANSPOSE(BM$4:BM$9),$K92:$P92)</f>
        <v>0</v>
      </c>
      <c r="BN92">
        <f t="array" ref="BN92">SUMPRODUCT(TRANSPOSE(BN$4:BN$9),$K92:$P92)</f>
        <v>0</v>
      </c>
      <c r="BO92" t="s">
        <v>598</v>
      </c>
      <c r="CA92" t="s">
        <v>177</v>
      </c>
      <c r="CB92" t="s">
        <v>86</v>
      </c>
      <c r="CC92" t="s">
        <v>600</v>
      </c>
      <c r="CD92" t="s">
        <v>598</v>
      </c>
      <c r="CE92" t="s">
        <v>85</v>
      </c>
      <c r="CF92">
        <v>1</v>
      </c>
      <c r="CG92">
        <v>10000</v>
      </c>
      <c r="CH92">
        <v>26.861999999999998</v>
      </c>
      <c r="CI92" t="s">
        <v>278</v>
      </c>
      <c r="CJ92" s="1">
        <v>45961</v>
      </c>
      <c r="CL92" t="s">
        <v>119</v>
      </c>
      <c r="CN92" t="s">
        <v>96</v>
      </c>
      <c r="CO92" t="s">
        <v>368</v>
      </c>
      <c r="CP92">
        <v>2.6862000000000001E-3</v>
      </c>
      <c r="CQ92">
        <v>10000</v>
      </c>
      <c r="CR92" t="b">
        <v>1</v>
      </c>
    </row>
    <row r="93" spans="1:99">
      <c r="A93">
        <v>85</v>
      </c>
      <c r="B93" t="s">
        <v>603</v>
      </c>
      <c r="C93" t="s">
        <v>604</v>
      </c>
      <c r="D93" t="s">
        <v>81</v>
      </c>
      <c r="E93" t="s">
        <v>605</v>
      </c>
      <c r="F93">
        <v>400656755</v>
      </c>
      <c r="G93" t="s">
        <v>606</v>
      </c>
      <c r="H93" t="s">
        <v>75</v>
      </c>
      <c r="I93">
        <v>2</v>
      </c>
      <c r="J93">
        <v>8</v>
      </c>
      <c r="K93">
        <v>0</v>
      </c>
      <c r="L93">
        <v>0</v>
      </c>
      <c r="M93">
        <v>0</v>
      </c>
      <c r="N93">
        <v>0</v>
      </c>
      <c r="O93">
        <v>8</v>
      </c>
      <c r="P93">
        <v>0</v>
      </c>
      <c r="Q93">
        <v>8</v>
      </c>
      <c r="R93">
        <v>1760</v>
      </c>
      <c r="S93">
        <v>10000</v>
      </c>
      <c r="T93">
        <v>10000</v>
      </c>
      <c r="U93" t="s">
        <v>607</v>
      </c>
      <c r="W93">
        <v>4.0000000000000001E-3</v>
      </c>
      <c r="X93">
        <v>40</v>
      </c>
      <c r="Y93" t="s">
        <v>85</v>
      </c>
      <c r="Z93" t="s">
        <v>295</v>
      </c>
      <c r="AA93" t="s">
        <v>296</v>
      </c>
      <c r="AB93" t="s">
        <v>297</v>
      </c>
      <c r="AG93">
        <v>8.0000000000000002E-3</v>
      </c>
      <c r="AH93">
        <v>40</v>
      </c>
      <c r="AI93">
        <v>1760</v>
      </c>
      <c r="AJ93">
        <v>10000</v>
      </c>
      <c r="AK93">
        <v>0</v>
      </c>
      <c r="AL93">
        <v>-8240</v>
      </c>
      <c r="AM93">
        <v>10000</v>
      </c>
      <c r="AZ93">
        <f>SUM($AM93,$AN93:AO93)-SUM($BH93:BJ93)</f>
        <v>9840</v>
      </c>
      <c r="BA93">
        <f>SUM($AM93,$AN93:AP93)-SUM($BH93:BK93)</f>
        <v>9360</v>
      </c>
      <c r="BB93">
        <f>SUM($AM93,$AN93:AQ93)-SUM($BH93:BL93)</f>
        <v>9360</v>
      </c>
      <c r="BC93">
        <f>SUM($AM93,$AN93:AR93)-SUM($BH93:BM93)</f>
        <v>9360</v>
      </c>
      <c r="BD93">
        <f>SUM($AM93,$AN93:AS93)-SUM($BH93:BN93)</f>
        <v>9360</v>
      </c>
      <c r="BI93">
        <f t="array" ref="BI93">SUMPRODUCT(TRANSPOSE(BI$4:BI$9),$K93:$P93)</f>
        <v>0</v>
      </c>
      <c r="BJ93">
        <f t="array" ref="BJ93">SUMPRODUCT(TRANSPOSE(BJ$4:BJ$9),$K93:$P93)</f>
        <v>160</v>
      </c>
      <c r="BK93">
        <f t="array" ref="BK93">SUMPRODUCT(TRANSPOSE(BK$4:BK$9),$K93:$P93)</f>
        <v>480</v>
      </c>
      <c r="BL93">
        <f t="array" ref="BL93">SUMPRODUCT(TRANSPOSE(BL$4:BL$9),$K93:$P93)</f>
        <v>0</v>
      </c>
      <c r="BM93">
        <f t="array" ref="BM93">SUMPRODUCT(TRANSPOSE(BM$4:BM$9),$K93:$P93)</f>
        <v>0</v>
      </c>
      <c r="BN93">
        <f t="array" ref="BN93">SUMPRODUCT(TRANSPOSE(BN$4:BN$9),$K93:$P93)</f>
        <v>0</v>
      </c>
      <c r="BO93" t="s">
        <v>607</v>
      </c>
      <c r="CA93" t="s">
        <v>92</v>
      </c>
      <c r="CB93" t="s">
        <v>295</v>
      </c>
      <c r="CC93" t="s">
        <v>604</v>
      </c>
      <c r="CD93" t="s">
        <v>607</v>
      </c>
      <c r="CE93" t="s">
        <v>85</v>
      </c>
      <c r="CF93">
        <v>1</v>
      </c>
      <c r="CG93">
        <v>10000</v>
      </c>
      <c r="CH93">
        <v>40</v>
      </c>
      <c r="CI93" t="s">
        <v>298</v>
      </c>
      <c r="CJ93" s="1">
        <v>45961</v>
      </c>
      <c r="CK93" t="s">
        <v>304</v>
      </c>
      <c r="CL93" t="s">
        <v>119</v>
      </c>
      <c r="CN93" t="s">
        <v>96</v>
      </c>
      <c r="CO93" t="s">
        <v>509</v>
      </c>
      <c r="CP93">
        <v>4.0000000000000001E-3</v>
      </c>
      <c r="CQ93">
        <v>40000</v>
      </c>
      <c r="CR93" t="b">
        <v>1</v>
      </c>
    </row>
    <row r="94" spans="1:99">
      <c r="A94">
        <v>86</v>
      </c>
      <c r="B94" t="s">
        <v>608</v>
      </c>
      <c r="C94" t="s">
        <v>609</v>
      </c>
      <c r="D94" t="s">
        <v>81</v>
      </c>
      <c r="E94" t="s">
        <v>610</v>
      </c>
      <c r="F94">
        <v>408368698</v>
      </c>
      <c r="G94" t="s">
        <v>611</v>
      </c>
      <c r="H94" t="s">
        <v>75</v>
      </c>
      <c r="I94">
        <v>2</v>
      </c>
      <c r="J94">
        <v>6</v>
      </c>
      <c r="K94">
        <v>0</v>
      </c>
      <c r="L94">
        <v>0</v>
      </c>
      <c r="M94">
        <v>0</v>
      </c>
      <c r="N94">
        <v>0</v>
      </c>
      <c r="O94">
        <v>6</v>
      </c>
      <c r="P94">
        <v>0</v>
      </c>
      <c r="Q94">
        <v>6</v>
      </c>
      <c r="R94">
        <v>1320</v>
      </c>
      <c r="S94">
        <v>10000</v>
      </c>
      <c r="T94">
        <v>10000</v>
      </c>
      <c r="U94" t="s">
        <v>294</v>
      </c>
      <c r="W94">
        <v>4.0000000000000001E-3</v>
      </c>
      <c r="X94">
        <v>40</v>
      </c>
      <c r="Y94" t="s">
        <v>85</v>
      </c>
      <c r="Z94" t="s">
        <v>295</v>
      </c>
      <c r="AA94" t="s">
        <v>296</v>
      </c>
      <c r="AB94" t="s">
        <v>297</v>
      </c>
      <c r="AG94">
        <v>8.0000000000000002E-3</v>
      </c>
      <c r="AH94">
        <v>40</v>
      </c>
      <c r="AI94">
        <v>1320</v>
      </c>
      <c r="AJ94">
        <v>10000</v>
      </c>
      <c r="AK94">
        <v>0</v>
      </c>
      <c r="AL94">
        <v>-8680</v>
      </c>
      <c r="AM94">
        <v>10000</v>
      </c>
      <c r="AZ94">
        <f>SUM($AM94,$AN94:AO94)-SUM($BH94:BJ94)</f>
        <v>9880</v>
      </c>
      <c r="BA94">
        <f>SUM($AM94,$AN94:AP94)-SUM($BH94:BK94)</f>
        <v>9520</v>
      </c>
      <c r="BB94">
        <f>SUM($AM94,$AN94:AQ94)-SUM($BH94:BL94)</f>
        <v>9520</v>
      </c>
      <c r="BC94">
        <f>SUM($AM94,$AN94:AR94)-SUM($BH94:BM94)</f>
        <v>9520</v>
      </c>
      <c r="BD94">
        <f>SUM($AM94,$AN94:AS94)-SUM($BH94:BN94)</f>
        <v>9520</v>
      </c>
      <c r="BI94">
        <f t="array" ref="BI94">SUMPRODUCT(TRANSPOSE(BI$4:BI$9),$K94:$P94)</f>
        <v>0</v>
      </c>
      <c r="BJ94">
        <f t="array" ref="BJ94">SUMPRODUCT(TRANSPOSE(BJ$4:BJ$9),$K94:$P94)</f>
        <v>120</v>
      </c>
      <c r="BK94">
        <f t="array" ref="BK94">SUMPRODUCT(TRANSPOSE(BK$4:BK$9),$K94:$P94)</f>
        <v>360</v>
      </c>
      <c r="BL94">
        <f t="array" ref="BL94">SUMPRODUCT(TRANSPOSE(BL$4:BL$9),$K94:$P94)</f>
        <v>0</v>
      </c>
      <c r="BM94">
        <f t="array" ref="BM94">SUMPRODUCT(TRANSPOSE(BM$4:BM$9),$K94:$P94)</f>
        <v>0</v>
      </c>
      <c r="BN94">
        <f t="array" ref="BN94">SUMPRODUCT(TRANSPOSE(BN$4:BN$9),$K94:$P94)</f>
        <v>0</v>
      </c>
      <c r="BO94" t="s">
        <v>294</v>
      </c>
      <c r="CA94" t="s">
        <v>92</v>
      </c>
      <c r="CB94" t="s">
        <v>295</v>
      </c>
      <c r="CC94" t="s">
        <v>609</v>
      </c>
      <c r="CD94" t="s">
        <v>294</v>
      </c>
      <c r="CE94" t="s">
        <v>85</v>
      </c>
      <c r="CF94">
        <v>1</v>
      </c>
      <c r="CG94">
        <v>10000</v>
      </c>
      <c r="CH94">
        <v>40</v>
      </c>
      <c r="CI94" t="s">
        <v>298</v>
      </c>
      <c r="CJ94" s="1">
        <v>45961</v>
      </c>
      <c r="CL94" t="s">
        <v>119</v>
      </c>
      <c r="CN94" t="s">
        <v>96</v>
      </c>
    </row>
    <row r="95" spans="1:99">
      <c r="A95">
        <v>87</v>
      </c>
      <c r="B95" t="s">
        <v>612</v>
      </c>
      <c r="C95" t="s">
        <v>613</v>
      </c>
      <c r="D95" t="s">
        <v>81</v>
      </c>
      <c r="E95" t="s">
        <v>614</v>
      </c>
      <c r="F95">
        <v>401553982</v>
      </c>
      <c r="G95" t="s">
        <v>615</v>
      </c>
      <c r="H95" t="s">
        <v>75</v>
      </c>
      <c r="I95">
        <v>2</v>
      </c>
      <c r="J95">
        <v>32</v>
      </c>
      <c r="K95">
        <v>0</v>
      </c>
      <c r="L95">
        <v>0</v>
      </c>
      <c r="M95">
        <v>0</v>
      </c>
      <c r="N95">
        <v>0</v>
      </c>
      <c r="O95">
        <v>32</v>
      </c>
      <c r="P95">
        <v>0</v>
      </c>
      <c r="Q95">
        <v>32</v>
      </c>
      <c r="R95">
        <v>7040</v>
      </c>
      <c r="S95">
        <v>10000</v>
      </c>
      <c r="T95">
        <v>10000</v>
      </c>
      <c r="U95" t="s">
        <v>294</v>
      </c>
      <c r="W95">
        <v>4.0000000000000001E-3</v>
      </c>
      <c r="X95">
        <v>40</v>
      </c>
      <c r="Y95" t="s">
        <v>85</v>
      </c>
      <c r="Z95" t="s">
        <v>295</v>
      </c>
      <c r="AA95" t="s">
        <v>296</v>
      </c>
      <c r="AB95" t="s">
        <v>297</v>
      </c>
      <c r="AG95">
        <v>8.0000000000000002E-3</v>
      </c>
      <c r="AH95">
        <v>40</v>
      </c>
      <c r="AI95">
        <v>7040</v>
      </c>
      <c r="AJ95">
        <v>10000</v>
      </c>
      <c r="AK95">
        <v>0</v>
      </c>
      <c r="AL95">
        <v>-2960</v>
      </c>
      <c r="AM95">
        <v>10000</v>
      </c>
      <c r="AZ95">
        <f>SUM($AM95,$AN95:AO95)-SUM($BH95:BJ95)</f>
        <v>9360</v>
      </c>
      <c r="BA95">
        <f>SUM($AM95,$AN95:AP95)-SUM($BH95:BK95)</f>
        <v>7440</v>
      </c>
      <c r="BB95">
        <f>SUM($AM95,$AN95:AQ95)-SUM($BH95:BL95)</f>
        <v>7440</v>
      </c>
      <c r="BC95">
        <f>SUM($AM95,$AN95:AR95)-SUM($BH95:BM95)</f>
        <v>7440</v>
      </c>
      <c r="BD95">
        <f>SUM($AM95,$AN95:AS95)-SUM($BH95:BN95)</f>
        <v>7440</v>
      </c>
      <c r="BI95">
        <f t="array" ref="BI95">SUMPRODUCT(TRANSPOSE(BI$4:BI$9),$K95:$P95)</f>
        <v>0</v>
      </c>
      <c r="BJ95">
        <f t="array" ref="BJ95">SUMPRODUCT(TRANSPOSE(BJ$4:BJ$9),$K95:$P95)</f>
        <v>640</v>
      </c>
      <c r="BK95">
        <f t="array" ref="BK95">SUMPRODUCT(TRANSPOSE(BK$4:BK$9),$K95:$P95)</f>
        <v>1920</v>
      </c>
      <c r="BL95">
        <f t="array" ref="BL95">SUMPRODUCT(TRANSPOSE(BL$4:BL$9),$K95:$P95)</f>
        <v>0</v>
      </c>
      <c r="BM95">
        <f t="array" ref="BM95">SUMPRODUCT(TRANSPOSE(BM$4:BM$9),$K95:$P95)</f>
        <v>0</v>
      </c>
      <c r="BN95">
        <f t="array" ref="BN95">SUMPRODUCT(TRANSPOSE(BN$4:BN$9),$K95:$P95)</f>
        <v>0</v>
      </c>
      <c r="BO95" t="s">
        <v>294</v>
      </c>
      <c r="CA95" t="s">
        <v>92</v>
      </c>
      <c r="CB95" t="s">
        <v>295</v>
      </c>
      <c r="CC95" t="s">
        <v>613</v>
      </c>
      <c r="CD95" t="s">
        <v>294</v>
      </c>
      <c r="CE95" t="s">
        <v>85</v>
      </c>
      <c r="CF95">
        <v>1</v>
      </c>
      <c r="CG95">
        <v>10000</v>
      </c>
      <c r="CH95">
        <v>40</v>
      </c>
      <c r="CI95" t="s">
        <v>298</v>
      </c>
      <c r="CJ95" s="1">
        <v>45961</v>
      </c>
      <c r="CK95" t="s">
        <v>304</v>
      </c>
      <c r="CL95" t="s">
        <v>119</v>
      </c>
      <c r="CN95" t="s">
        <v>96</v>
      </c>
    </row>
    <row r="96" spans="1:99">
      <c r="A96">
        <v>88</v>
      </c>
      <c r="B96" t="s">
        <v>616</v>
      </c>
      <c r="C96" t="s">
        <v>617</v>
      </c>
      <c r="D96" t="s">
        <v>81</v>
      </c>
      <c r="E96" t="s">
        <v>618</v>
      </c>
      <c r="F96">
        <v>402118347</v>
      </c>
      <c r="G96" t="s">
        <v>619</v>
      </c>
      <c r="H96" t="s">
        <v>75</v>
      </c>
      <c r="I96">
        <v>2</v>
      </c>
      <c r="J96">
        <v>25</v>
      </c>
      <c r="K96">
        <v>0</v>
      </c>
      <c r="L96">
        <v>0</v>
      </c>
      <c r="M96">
        <v>0</v>
      </c>
      <c r="N96">
        <v>0</v>
      </c>
      <c r="O96">
        <v>25</v>
      </c>
      <c r="P96">
        <v>0</v>
      </c>
      <c r="Q96">
        <v>25</v>
      </c>
      <c r="R96">
        <v>5500</v>
      </c>
      <c r="S96">
        <v>10000</v>
      </c>
      <c r="T96">
        <v>10000</v>
      </c>
      <c r="U96" t="s">
        <v>294</v>
      </c>
      <c r="W96">
        <v>4.0000000000000001E-3</v>
      </c>
      <c r="X96">
        <v>40</v>
      </c>
      <c r="Y96" t="s">
        <v>85</v>
      </c>
      <c r="Z96" t="s">
        <v>295</v>
      </c>
      <c r="AA96" t="s">
        <v>296</v>
      </c>
      <c r="AB96" t="s">
        <v>297</v>
      </c>
      <c r="AG96">
        <v>8.0000000000000002E-3</v>
      </c>
      <c r="AH96">
        <v>40</v>
      </c>
      <c r="AI96">
        <v>5500</v>
      </c>
      <c r="AJ96">
        <v>10000</v>
      </c>
      <c r="AK96">
        <v>0</v>
      </c>
      <c r="AL96">
        <v>-4500</v>
      </c>
      <c r="AM96">
        <v>10000</v>
      </c>
      <c r="AZ96">
        <f>SUM($AM96,$AN96:AO96)-SUM($BH96:BJ96)</f>
        <v>9500</v>
      </c>
      <c r="BA96">
        <f>SUM($AM96,$AN96:AP96)-SUM($BH96:BK96)</f>
        <v>8000</v>
      </c>
      <c r="BB96">
        <f>SUM($AM96,$AN96:AQ96)-SUM($BH96:BL96)</f>
        <v>8000</v>
      </c>
      <c r="BC96">
        <f>SUM($AM96,$AN96:AR96)-SUM($BH96:BM96)</f>
        <v>8000</v>
      </c>
      <c r="BD96">
        <f>SUM($AM96,$AN96:AS96)-SUM($BH96:BN96)</f>
        <v>8000</v>
      </c>
      <c r="BI96">
        <f t="array" ref="BI96">SUMPRODUCT(TRANSPOSE(BI$4:BI$9),$K96:$P96)</f>
        <v>0</v>
      </c>
      <c r="BJ96">
        <f t="array" ref="BJ96">SUMPRODUCT(TRANSPOSE(BJ$4:BJ$9),$K96:$P96)</f>
        <v>500</v>
      </c>
      <c r="BK96">
        <f t="array" ref="BK96">SUMPRODUCT(TRANSPOSE(BK$4:BK$9),$K96:$P96)</f>
        <v>1500</v>
      </c>
      <c r="BL96">
        <f t="array" ref="BL96">SUMPRODUCT(TRANSPOSE(BL$4:BL$9),$K96:$P96)</f>
        <v>0</v>
      </c>
      <c r="BM96">
        <f t="array" ref="BM96">SUMPRODUCT(TRANSPOSE(BM$4:BM$9),$K96:$P96)</f>
        <v>0</v>
      </c>
      <c r="BN96">
        <f t="array" ref="BN96">SUMPRODUCT(TRANSPOSE(BN$4:BN$9),$K96:$P96)</f>
        <v>0</v>
      </c>
      <c r="BO96" t="s">
        <v>294</v>
      </c>
      <c r="CA96" t="s">
        <v>92</v>
      </c>
      <c r="CB96" t="s">
        <v>295</v>
      </c>
      <c r="CC96" t="s">
        <v>617</v>
      </c>
      <c r="CD96" t="s">
        <v>294</v>
      </c>
      <c r="CE96" t="s">
        <v>85</v>
      </c>
      <c r="CF96">
        <v>1</v>
      </c>
      <c r="CG96">
        <v>10000</v>
      </c>
      <c r="CH96">
        <v>40</v>
      </c>
      <c r="CI96" t="s">
        <v>298</v>
      </c>
      <c r="CJ96" s="1">
        <v>45961</v>
      </c>
      <c r="CL96" t="s">
        <v>119</v>
      </c>
      <c r="CN96" t="s">
        <v>96</v>
      </c>
    </row>
    <row r="97" spans="1:98">
      <c r="A97">
        <v>89</v>
      </c>
      <c r="B97" t="s">
        <v>620</v>
      </c>
      <c r="C97" t="s">
        <v>621</v>
      </c>
      <c r="D97" t="s">
        <v>81</v>
      </c>
      <c r="E97" t="s">
        <v>622</v>
      </c>
      <c r="F97">
        <v>400656760</v>
      </c>
      <c r="G97" t="s">
        <v>623</v>
      </c>
      <c r="H97" t="s">
        <v>75</v>
      </c>
      <c r="I97">
        <v>2</v>
      </c>
      <c r="J97">
        <v>6</v>
      </c>
      <c r="K97">
        <v>0</v>
      </c>
      <c r="L97">
        <v>0</v>
      </c>
      <c r="M97">
        <v>0</v>
      </c>
      <c r="N97">
        <v>0</v>
      </c>
      <c r="O97">
        <v>6</v>
      </c>
      <c r="P97">
        <v>0</v>
      </c>
      <c r="Q97">
        <v>6</v>
      </c>
      <c r="R97">
        <v>1320</v>
      </c>
      <c r="S97">
        <v>10000</v>
      </c>
      <c r="T97">
        <v>10000</v>
      </c>
      <c r="U97" t="s">
        <v>294</v>
      </c>
      <c r="W97">
        <v>4.0000000000000001E-3</v>
      </c>
      <c r="X97">
        <v>40</v>
      </c>
      <c r="Y97" t="s">
        <v>85</v>
      </c>
      <c r="Z97" t="s">
        <v>295</v>
      </c>
      <c r="AA97" t="s">
        <v>296</v>
      </c>
      <c r="AB97" t="s">
        <v>297</v>
      </c>
      <c r="AG97">
        <v>8.0000000000000002E-3</v>
      </c>
      <c r="AH97">
        <v>40</v>
      </c>
      <c r="AI97">
        <v>1320</v>
      </c>
      <c r="AJ97">
        <v>10000</v>
      </c>
      <c r="AK97">
        <v>0</v>
      </c>
      <c r="AL97">
        <v>-8680</v>
      </c>
      <c r="AM97">
        <v>10000</v>
      </c>
      <c r="AZ97">
        <f>SUM($AM97,$AN97:AO97)-SUM($BH97:BJ97)</f>
        <v>9880</v>
      </c>
      <c r="BA97">
        <f>SUM($AM97,$AN97:AP97)-SUM($BH97:BK97)</f>
        <v>9520</v>
      </c>
      <c r="BB97">
        <f>SUM($AM97,$AN97:AQ97)-SUM($BH97:BL97)</f>
        <v>9520</v>
      </c>
      <c r="BC97">
        <f>SUM($AM97,$AN97:AR97)-SUM($BH97:BM97)</f>
        <v>9520</v>
      </c>
      <c r="BD97">
        <f>SUM($AM97,$AN97:AS97)-SUM($BH97:BN97)</f>
        <v>9520</v>
      </c>
      <c r="BI97">
        <f t="array" ref="BI97">SUMPRODUCT(TRANSPOSE(BI$4:BI$9),$K97:$P97)</f>
        <v>0</v>
      </c>
      <c r="BJ97">
        <f t="array" ref="BJ97">SUMPRODUCT(TRANSPOSE(BJ$4:BJ$9),$K97:$P97)</f>
        <v>120</v>
      </c>
      <c r="BK97">
        <f t="array" ref="BK97">SUMPRODUCT(TRANSPOSE(BK$4:BK$9),$K97:$P97)</f>
        <v>360</v>
      </c>
      <c r="BL97">
        <f t="array" ref="BL97">SUMPRODUCT(TRANSPOSE(BL$4:BL$9),$K97:$P97)</f>
        <v>0</v>
      </c>
      <c r="BM97">
        <f t="array" ref="BM97">SUMPRODUCT(TRANSPOSE(BM$4:BM$9),$K97:$P97)</f>
        <v>0</v>
      </c>
      <c r="BN97">
        <f t="array" ref="BN97">SUMPRODUCT(TRANSPOSE(BN$4:BN$9),$K97:$P97)</f>
        <v>0</v>
      </c>
      <c r="BO97" t="s">
        <v>294</v>
      </c>
      <c r="CA97" t="s">
        <v>92</v>
      </c>
      <c r="CB97" t="s">
        <v>295</v>
      </c>
      <c r="CC97" t="s">
        <v>621</v>
      </c>
      <c r="CD97" t="s">
        <v>294</v>
      </c>
      <c r="CE97" t="s">
        <v>85</v>
      </c>
      <c r="CF97">
        <v>1</v>
      </c>
      <c r="CG97">
        <v>10000</v>
      </c>
      <c r="CH97">
        <v>40</v>
      </c>
      <c r="CI97" t="s">
        <v>298</v>
      </c>
      <c r="CJ97" s="1">
        <v>45961</v>
      </c>
      <c r="CK97" t="s">
        <v>304</v>
      </c>
      <c r="CL97" t="s">
        <v>119</v>
      </c>
      <c r="CN97" t="s">
        <v>96</v>
      </c>
      <c r="CO97" t="s">
        <v>509</v>
      </c>
      <c r="CP97">
        <v>4.0000000000000001E-3</v>
      </c>
      <c r="CQ97">
        <v>90000</v>
      </c>
      <c r="CR97" t="b">
        <v>1</v>
      </c>
    </row>
    <row r="98" spans="1:98">
      <c r="A98">
        <v>91</v>
      </c>
      <c r="B98" t="s">
        <v>624</v>
      </c>
      <c r="C98" t="s">
        <v>625</v>
      </c>
      <c r="D98" t="s">
        <v>81</v>
      </c>
      <c r="E98" t="s">
        <v>626</v>
      </c>
      <c r="F98">
        <v>401239839</v>
      </c>
      <c r="G98" t="s">
        <v>627</v>
      </c>
      <c r="H98" t="s">
        <v>75</v>
      </c>
      <c r="I98">
        <v>2</v>
      </c>
      <c r="J98">
        <v>1</v>
      </c>
      <c r="K98">
        <v>0</v>
      </c>
      <c r="L98">
        <v>0</v>
      </c>
      <c r="M98">
        <v>0</v>
      </c>
      <c r="N98">
        <v>0</v>
      </c>
      <c r="O98">
        <v>1</v>
      </c>
      <c r="P98">
        <v>0</v>
      </c>
      <c r="Q98">
        <v>1</v>
      </c>
      <c r="R98">
        <v>220</v>
      </c>
      <c r="S98">
        <v>10000</v>
      </c>
      <c r="T98">
        <v>10000</v>
      </c>
      <c r="U98" t="s">
        <v>294</v>
      </c>
      <c r="W98">
        <v>4.0000000000000001E-3</v>
      </c>
      <c r="X98">
        <v>40</v>
      </c>
      <c r="Y98" t="s">
        <v>85</v>
      </c>
      <c r="Z98" t="s">
        <v>295</v>
      </c>
      <c r="AA98" t="s">
        <v>296</v>
      </c>
      <c r="AB98" t="s">
        <v>297</v>
      </c>
      <c r="AG98">
        <v>8.0000000000000002E-3</v>
      </c>
      <c r="AH98">
        <v>40</v>
      </c>
      <c r="AI98">
        <v>220</v>
      </c>
      <c r="AJ98">
        <v>10000</v>
      </c>
      <c r="AK98">
        <v>0</v>
      </c>
      <c r="AL98">
        <v>-9780</v>
      </c>
      <c r="AM98">
        <v>10000</v>
      </c>
      <c r="AZ98">
        <f>SUM($AM98,$AN98:AO98)-SUM($BH98:BJ98)</f>
        <v>9980</v>
      </c>
      <c r="BA98">
        <f>SUM($AM98,$AN98:AP98)-SUM($BH98:BK98)</f>
        <v>9920</v>
      </c>
      <c r="BB98">
        <f>SUM($AM98,$AN98:AQ98)-SUM($BH98:BL98)</f>
        <v>9920</v>
      </c>
      <c r="BC98">
        <f>SUM($AM98,$AN98:AR98)-SUM($BH98:BM98)</f>
        <v>9920</v>
      </c>
      <c r="BD98">
        <f>SUM($AM98,$AN98:AS98)-SUM($BH98:BN98)</f>
        <v>9920</v>
      </c>
      <c r="BI98">
        <f t="array" ref="BI98">SUMPRODUCT(TRANSPOSE(BI$4:BI$9),$K98:$P98)</f>
        <v>0</v>
      </c>
      <c r="BJ98">
        <f t="array" ref="BJ98">SUMPRODUCT(TRANSPOSE(BJ$4:BJ$9),$K98:$P98)</f>
        <v>20</v>
      </c>
      <c r="BK98">
        <f t="array" ref="BK98">SUMPRODUCT(TRANSPOSE(BK$4:BK$9),$K98:$P98)</f>
        <v>60</v>
      </c>
      <c r="BL98">
        <f t="array" ref="BL98">SUMPRODUCT(TRANSPOSE(BL$4:BL$9),$K98:$P98)</f>
        <v>0</v>
      </c>
      <c r="BM98">
        <f t="array" ref="BM98">SUMPRODUCT(TRANSPOSE(BM$4:BM$9),$K98:$P98)</f>
        <v>0</v>
      </c>
      <c r="BN98">
        <f t="array" ref="BN98">SUMPRODUCT(TRANSPOSE(BN$4:BN$9),$K98:$P98)</f>
        <v>0</v>
      </c>
      <c r="BO98" t="s">
        <v>294</v>
      </c>
      <c r="CA98" t="s">
        <v>92</v>
      </c>
      <c r="CB98" t="s">
        <v>295</v>
      </c>
      <c r="CC98" t="s">
        <v>625</v>
      </c>
      <c r="CD98" t="s">
        <v>294</v>
      </c>
      <c r="CE98" t="s">
        <v>85</v>
      </c>
      <c r="CF98">
        <v>1</v>
      </c>
      <c r="CG98">
        <v>10000</v>
      </c>
      <c r="CH98">
        <v>40</v>
      </c>
      <c r="CI98" t="s">
        <v>298</v>
      </c>
      <c r="CJ98" s="1">
        <v>45961</v>
      </c>
      <c r="CK98" t="s">
        <v>304</v>
      </c>
      <c r="CL98" t="s">
        <v>119</v>
      </c>
      <c r="CN98" t="s">
        <v>96</v>
      </c>
      <c r="CO98" t="s">
        <v>509</v>
      </c>
      <c r="CP98">
        <v>4.0000000000000001E-3</v>
      </c>
      <c r="CQ98">
        <v>10000</v>
      </c>
      <c r="CR98" t="b">
        <v>1</v>
      </c>
    </row>
    <row r="99" spans="1:98">
      <c r="A99">
        <v>92</v>
      </c>
      <c r="B99" t="s">
        <v>628</v>
      </c>
      <c r="C99" t="s">
        <v>629</v>
      </c>
      <c r="D99" t="s">
        <v>81</v>
      </c>
      <c r="E99" t="s">
        <v>630</v>
      </c>
      <c r="F99">
        <v>401481543</v>
      </c>
      <c r="G99" t="s">
        <v>631</v>
      </c>
      <c r="H99" t="s">
        <v>75</v>
      </c>
      <c r="I99">
        <v>2</v>
      </c>
      <c r="J99">
        <v>32</v>
      </c>
      <c r="K99">
        <v>0</v>
      </c>
      <c r="L99">
        <v>0</v>
      </c>
      <c r="M99">
        <v>0</v>
      </c>
      <c r="N99">
        <v>0</v>
      </c>
      <c r="O99">
        <v>32</v>
      </c>
      <c r="P99">
        <v>0</v>
      </c>
      <c r="Q99">
        <v>32</v>
      </c>
      <c r="R99">
        <v>7040</v>
      </c>
      <c r="S99">
        <v>10000</v>
      </c>
      <c r="T99">
        <v>10000</v>
      </c>
      <c r="U99" t="s">
        <v>294</v>
      </c>
      <c r="W99">
        <v>4.0000000000000001E-3</v>
      </c>
      <c r="X99">
        <v>40</v>
      </c>
      <c r="Y99" t="s">
        <v>85</v>
      </c>
      <c r="Z99" t="s">
        <v>295</v>
      </c>
      <c r="AA99" t="s">
        <v>296</v>
      </c>
      <c r="AB99" t="s">
        <v>297</v>
      </c>
      <c r="AG99">
        <v>8.0000000000000002E-3</v>
      </c>
      <c r="AH99">
        <v>40</v>
      </c>
      <c r="AI99">
        <v>7040</v>
      </c>
      <c r="AJ99">
        <v>10000</v>
      </c>
      <c r="AK99">
        <v>0</v>
      </c>
      <c r="AL99">
        <v>-2960</v>
      </c>
      <c r="AM99">
        <v>10000</v>
      </c>
      <c r="AZ99">
        <f>SUM($AM99,$AN99:AO99)-SUM($BH99:BJ99)</f>
        <v>9360</v>
      </c>
      <c r="BA99">
        <f>SUM($AM99,$AN99:AP99)-SUM($BH99:BK99)</f>
        <v>7440</v>
      </c>
      <c r="BB99">
        <f>SUM($AM99,$AN99:AQ99)-SUM($BH99:BL99)</f>
        <v>7440</v>
      </c>
      <c r="BC99">
        <f>SUM($AM99,$AN99:AR99)-SUM($BH99:BM99)</f>
        <v>7440</v>
      </c>
      <c r="BD99">
        <f>SUM($AM99,$AN99:AS99)-SUM($BH99:BN99)</f>
        <v>7440</v>
      </c>
      <c r="BI99">
        <f t="array" ref="BI99">SUMPRODUCT(TRANSPOSE(BI$4:BI$9),$K99:$P99)</f>
        <v>0</v>
      </c>
      <c r="BJ99">
        <f t="array" ref="BJ99">SUMPRODUCT(TRANSPOSE(BJ$4:BJ$9),$K99:$P99)</f>
        <v>640</v>
      </c>
      <c r="BK99">
        <f t="array" ref="BK99">SUMPRODUCT(TRANSPOSE(BK$4:BK$9),$K99:$P99)</f>
        <v>1920</v>
      </c>
      <c r="BL99">
        <f t="array" ref="BL99">SUMPRODUCT(TRANSPOSE(BL$4:BL$9),$K99:$P99)</f>
        <v>0</v>
      </c>
      <c r="BM99">
        <f t="array" ref="BM99">SUMPRODUCT(TRANSPOSE(BM$4:BM$9),$K99:$P99)</f>
        <v>0</v>
      </c>
      <c r="BN99">
        <f t="array" ref="BN99">SUMPRODUCT(TRANSPOSE(BN$4:BN$9),$K99:$P99)</f>
        <v>0</v>
      </c>
      <c r="BO99" t="s">
        <v>294</v>
      </c>
      <c r="CA99" t="s">
        <v>92</v>
      </c>
      <c r="CB99" t="s">
        <v>295</v>
      </c>
      <c r="CC99" t="s">
        <v>629</v>
      </c>
      <c r="CD99" t="s">
        <v>294</v>
      </c>
      <c r="CE99" t="s">
        <v>85</v>
      </c>
      <c r="CF99">
        <v>1</v>
      </c>
      <c r="CG99">
        <v>10000</v>
      </c>
      <c r="CH99">
        <v>40</v>
      </c>
      <c r="CI99" t="s">
        <v>298</v>
      </c>
      <c r="CJ99" s="1">
        <v>45961</v>
      </c>
      <c r="CK99" t="s">
        <v>304</v>
      </c>
      <c r="CL99" t="s">
        <v>119</v>
      </c>
      <c r="CN99" t="s">
        <v>96</v>
      </c>
      <c r="CO99" t="s">
        <v>509</v>
      </c>
      <c r="CP99">
        <v>4.0000000000000001E-3</v>
      </c>
      <c r="CQ99">
        <v>80000</v>
      </c>
      <c r="CR99" t="b">
        <v>1</v>
      </c>
    </row>
    <row r="100" spans="1:98">
      <c r="A100">
        <v>93</v>
      </c>
      <c r="B100" t="s">
        <v>632</v>
      </c>
      <c r="C100" t="s">
        <v>633</v>
      </c>
      <c r="D100" t="s">
        <v>81</v>
      </c>
      <c r="E100" t="s">
        <v>634</v>
      </c>
      <c r="F100">
        <v>401053359</v>
      </c>
      <c r="G100" t="s">
        <v>635</v>
      </c>
      <c r="H100" t="s">
        <v>75</v>
      </c>
      <c r="I100">
        <v>2</v>
      </c>
      <c r="J100">
        <v>10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10</v>
      </c>
      <c r="Q100">
        <v>10</v>
      </c>
      <c r="R100">
        <v>2200</v>
      </c>
      <c r="S100">
        <v>10000</v>
      </c>
      <c r="T100">
        <v>10000</v>
      </c>
      <c r="U100" t="s">
        <v>294</v>
      </c>
      <c r="W100">
        <v>4.0000000000000001E-3</v>
      </c>
      <c r="X100">
        <v>40</v>
      </c>
      <c r="Y100" t="s">
        <v>85</v>
      </c>
      <c r="Z100" t="s">
        <v>295</v>
      </c>
      <c r="AA100" t="s">
        <v>296</v>
      </c>
      <c r="AB100" t="s">
        <v>297</v>
      </c>
      <c r="AG100">
        <v>8.0000000000000002E-3</v>
      </c>
      <c r="AH100">
        <v>40</v>
      </c>
      <c r="AI100">
        <v>2200</v>
      </c>
      <c r="AJ100">
        <v>10000</v>
      </c>
      <c r="AK100">
        <v>0</v>
      </c>
      <c r="AL100">
        <v>-7800</v>
      </c>
      <c r="AM100">
        <v>10000</v>
      </c>
      <c r="AZ100">
        <f>SUM($AM100,$AN100:AO100)-SUM($BH100:BJ100)</f>
        <v>9800</v>
      </c>
      <c r="BA100">
        <f>SUM($AM100,$AN100:AP100)-SUM($BH100:BK100)</f>
        <v>9200</v>
      </c>
      <c r="BB100">
        <f>SUM($AM100,$AN100:AQ100)-SUM($BH100:BL100)</f>
        <v>9200</v>
      </c>
      <c r="BC100">
        <f>SUM($AM100,$AN100:AR100)-SUM($BH100:BM100)</f>
        <v>9200</v>
      </c>
      <c r="BD100">
        <f>SUM($AM100,$AN100:AS100)-SUM($BH100:BN100)</f>
        <v>9200</v>
      </c>
      <c r="BI100">
        <f t="array" ref="BI100">SUMPRODUCT(TRANSPOSE(BI$4:BI$9),$K100:$P100)</f>
        <v>0</v>
      </c>
      <c r="BJ100">
        <f t="array" ref="BJ100">SUMPRODUCT(TRANSPOSE(BJ$4:BJ$9),$K100:$P100)</f>
        <v>200</v>
      </c>
      <c r="BK100">
        <f t="array" ref="BK100">SUMPRODUCT(TRANSPOSE(BK$4:BK$9),$K100:$P100)</f>
        <v>600</v>
      </c>
      <c r="BL100">
        <f t="array" ref="BL100">SUMPRODUCT(TRANSPOSE(BL$4:BL$9),$K100:$P100)</f>
        <v>0</v>
      </c>
      <c r="BM100">
        <f t="array" ref="BM100">SUMPRODUCT(TRANSPOSE(BM$4:BM$9),$K100:$P100)</f>
        <v>0</v>
      </c>
      <c r="BN100">
        <f t="array" ref="BN100">SUMPRODUCT(TRANSPOSE(BN$4:BN$9),$K100:$P100)</f>
        <v>0</v>
      </c>
      <c r="BO100" t="s">
        <v>294</v>
      </c>
      <c r="CA100" t="s">
        <v>92</v>
      </c>
      <c r="CB100" t="s">
        <v>295</v>
      </c>
      <c r="CC100" t="s">
        <v>633</v>
      </c>
      <c r="CD100" t="s">
        <v>294</v>
      </c>
      <c r="CE100" t="s">
        <v>85</v>
      </c>
      <c r="CF100">
        <v>1</v>
      </c>
      <c r="CG100">
        <v>10000</v>
      </c>
      <c r="CH100">
        <v>40</v>
      </c>
      <c r="CI100" t="s">
        <v>298</v>
      </c>
      <c r="CJ100" s="1">
        <v>45961</v>
      </c>
      <c r="CK100" t="s">
        <v>304</v>
      </c>
      <c r="CL100" t="s">
        <v>119</v>
      </c>
      <c r="CN100" t="s">
        <v>96</v>
      </c>
      <c r="CO100" t="s">
        <v>509</v>
      </c>
      <c r="CP100">
        <v>4.0000000000000001E-3</v>
      </c>
      <c r="CQ100">
        <v>90000</v>
      </c>
      <c r="CR100" t="b">
        <v>1</v>
      </c>
    </row>
    <row r="101" spans="1:98">
      <c r="A101">
        <v>94</v>
      </c>
      <c r="B101" t="s">
        <v>636</v>
      </c>
      <c r="C101" t="s">
        <v>637</v>
      </c>
      <c r="D101" t="s">
        <v>81</v>
      </c>
      <c r="E101" t="s">
        <v>638</v>
      </c>
      <c r="F101">
        <v>402794863</v>
      </c>
      <c r="G101" t="s">
        <v>639</v>
      </c>
      <c r="H101" t="s">
        <v>75</v>
      </c>
      <c r="I101">
        <v>2</v>
      </c>
      <c r="J101">
        <v>1</v>
      </c>
      <c r="K101">
        <v>0</v>
      </c>
      <c r="L101">
        <v>0</v>
      </c>
      <c r="M101">
        <v>0</v>
      </c>
      <c r="N101">
        <v>0</v>
      </c>
      <c r="O101">
        <v>1</v>
      </c>
      <c r="P101">
        <v>0</v>
      </c>
      <c r="Q101">
        <v>1</v>
      </c>
      <c r="R101">
        <v>220</v>
      </c>
      <c r="S101">
        <v>10000</v>
      </c>
      <c r="T101">
        <v>10000</v>
      </c>
      <c r="U101" t="s">
        <v>294</v>
      </c>
      <c r="W101">
        <v>4.0000000000000001E-3</v>
      </c>
      <c r="X101">
        <v>40</v>
      </c>
      <c r="Y101" t="s">
        <v>85</v>
      </c>
      <c r="Z101" t="s">
        <v>295</v>
      </c>
      <c r="AA101" t="s">
        <v>296</v>
      </c>
      <c r="AB101" t="s">
        <v>297</v>
      </c>
      <c r="AG101">
        <v>8.0000000000000002E-3</v>
      </c>
      <c r="AH101">
        <v>40</v>
      </c>
      <c r="AI101">
        <v>220</v>
      </c>
      <c r="AJ101">
        <v>10000</v>
      </c>
      <c r="AK101">
        <v>0</v>
      </c>
      <c r="AL101">
        <v>-9780</v>
      </c>
      <c r="AM101">
        <v>10000</v>
      </c>
      <c r="AZ101">
        <f>SUM($AM101,$AN101:AO101)-SUM($BH101:BJ101)</f>
        <v>9980</v>
      </c>
      <c r="BA101">
        <f>SUM($AM101,$AN101:AP101)-SUM($BH101:BK101)</f>
        <v>9920</v>
      </c>
      <c r="BB101">
        <f>SUM($AM101,$AN101:AQ101)-SUM($BH101:BL101)</f>
        <v>9920</v>
      </c>
      <c r="BC101">
        <f>SUM($AM101,$AN101:AR101)-SUM($BH101:BM101)</f>
        <v>9920</v>
      </c>
      <c r="BD101">
        <f>SUM($AM101,$AN101:AS101)-SUM($BH101:BN101)</f>
        <v>9920</v>
      </c>
      <c r="BI101">
        <f t="array" ref="BI101">SUMPRODUCT(TRANSPOSE(BI$4:BI$9),$K101:$P101)</f>
        <v>0</v>
      </c>
      <c r="BJ101">
        <f t="array" ref="BJ101">SUMPRODUCT(TRANSPOSE(BJ$4:BJ$9),$K101:$P101)</f>
        <v>20</v>
      </c>
      <c r="BK101">
        <f t="array" ref="BK101">SUMPRODUCT(TRANSPOSE(BK$4:BK$9),$K101:$P101)</f>
        <v>60</v>
      </c>
      <c r="BL101">
        <f t="array" ref="BL101">SUMPRODUCT(TRANSPOSE(BL$4:BL$9),$K101:$P101)</f>
        <v>0</v>
      </c>
      <c r="BM101">
        <f t="array" ref="BM101">SUMPRODUCT(TRANSPOSE(BM$4:BM$9),$K101:$P101)</f>
        <v>0</v>
      </c>
      <c r="BN101">
        <f t="array" ref="BN101">SUMPRODUCT(TRANSPOSE(BN$4:BN$9),$K101:$P101)</f>
        <v>0</v>
      </c>
      <c r="BO101" t="s">
        <v>294</v>
      </c>
      <c r="CA101" t="s">
        <v>92</v>
      </c>
      <c r="CB101" t="s">
        <v>295</v>
      </c>
      <c r="CC101" t="s">
        <v>637</v>
      </c>
      <c r="CD101" t="s">
        <v>294</v>
      </c>
      <c r="CE101" t="s">
        <v>85</v>
      </c>
      <c r="CF101">
        <v>1</v>
      </c>
      <c r="CG101">
        <v>10000</v>
      </c>
      <c r="CH101">
        <v>40</v>
      </c>
      <c r="CI101" t="s">
        <v>298</v>
      </c>
      <c r="CJ101" s="1">
        <v>45961</v>
      </c>
      <c r="CK101" t="s">
        <v>304</v>
      </c>
      <c r="CL101" t="s">
        <v>119</v>
      </c>
      <c r="CN101" t="s">
        <v>96</v>
      </c>
    </row>
    <row r="102" spans="1:98">
      <c r="A102">
        <v>95</v>
      </c>
      <c r="B102" t="s">
        <v>640</v>
      </c>
      <c r="C102" t="s">
        <v>641</v>
      </c>
      <c r="D102" t="s">
        <v>81</v>
      </c>
      <c r="E102" t="s">
        <v>642</v>
      </c>
      <c r="F102">
        <v>400658330</v>
      </c>
      <c r="G102" t="s">
        <v>643</v>
      </c>
      <c r="H102" t="s">
        <v>75</v>
      </c>
      <c r="I102">
        <v>2</v>
      </c>
      <c r="J102">
        <v>8</v>
      </c>
      <c r="K102">
        <v>0</v>
      </c>
      <c r="L102">
        <v>0</v>
      </c>
      <c r="M102">
        <v>0</v>
      </c>
      <c r="N102">
        <v>0</v>
      </c>
      <c r="O102">
        <v>8</v>
      </c>
      <c r="P102">
        <v>0</v>
      </c>
      <c r="Q102">
        <v>8</v>
      </c>
      <c r="R102">
        <v>1760</v>
      </c>
      <c r="S102">
        <v>10000</v>
      </c>
      <c r="T102">
        <v>10000</v>
      </c>
      <c r="U102" t="s">
        <v>294</v>
      </c>
      <c r="W102">
        <v>4.0000000000000001E-3</v>
      </c>
      <c r="X102">
        <v>40</v>
      </c>
      <c r="Y102" t="s">
        <v>85</v>
      </c>
      <c r="Z102" t="s">
        <v>295</v>
      </c>
      <c r="AA102" t="s">
        <v>296</v>
      </c>
      <c r="AB102" t="s">
        <v>297</v>
      </c>
      <c r="AG102">
        <v>8.0000000000000002E-3</v>
      </c>
      <c r="AH102">
        <v>40</v>
      </c>
      <c r="AI102">
        <v>1760</v>
      </c>
      <c r="AJ102">
        <v>10000</v>
      </c>
      <c r="AK102">
        <v>0</v>
      </c>
      <c r="AL102">
        <v>-8240</v>
      </c>
      <c r="AM102">
        <v>10000</v>
      </c>
      <c r="AZ102">
        <f>SUM($AM102,$AN102:AO102)-SUM($BH102:BJ102)</f>
        <v>9840</v>
      </c>
      <c r="BA102">
        <f>SUM($AM102,$AN102:AP102)-SUM($BH102:BK102)</f>
        <v>9360</v>
      </c>
      <c r="BB102">
        <f>SUM($AM102,$AN102:AQ102)-SUM($BH102:BL102)</f>
        <v>9360</v>
      </c>
      <c r="BC102">
        <f>SUM($AM102,$AN102:AR102)-SUM($BH102:BM102)</f>
        <v>9360</v>
      </c>
      <c r="BD102">
        <f>SUM($AM102,$AN102:AS102)-SUM($BH102:BN102)</f>
        <v>9360</v>
      </c>
      <c r="BI102">
        <f t="array" ref="BI102">SUMPRODUCT(TRANSPOSE(BI$4:BI$9),$K102:$P102)</f>
        <v>0</v>
      </c>
      <c r="BJ102">
        <f t="array" ref="BJ102">SUMPRODUCT(TRANSPOSE(BJ$4:BJ$9),$K102:$P102)</f>
        <v>160</v>
      </c>
      <c r="BK102">
        <f t="array" ref="BK102">SUMPRODUCT(TRANSPOSE(BK$4:BK$9),$K102:$P102)</f>
        <v>480</v>
      </c>
      <c r="BL102">
        <f t="array" ref="BL102">SUMPRODUCT(TRANSPOSE(BL$4:BL$9),$K102:$P102)</f>
        <v>0</v>
      </c>
      <c r="BM102">
        <f t="array" ref="BM102">SUMPRODUCT(TRANSPOSE(BM$4:BM$9),$K102:$P102)</f>
        <v>0</v>
      </c>
      <c r="BN102">
        <f t="array" ref="BN102">SUMPRODUCT(TRANSPOSE(BN$4:BN$9),$K102:$P102)</f>
        <v>0</v>
      </c>
      <c r="BO102" t="s">
        <v>294</v>
      </c>
      <c r="CA102" t="s">
        <v>92</v>
      </c>
      <c r="CB102" t="s">
        <v>295</v>
      </c>
      <c r="CC102" t="s">
        <v>641</v>
      </c>
      <c r="CD102" t="s">
        <v>294</v>
      </c>
      <c r="CE102" t="s">
        <v>85</v>
      </c>
      <c r="CF102">
        <v>1</v>
      </c>
      <c r="CG102">
        <v>10000</v>
      </c>
      <c r="CH102">
        <v>40</v>
      </c>
      <c r="CI102" t="s">
        <v>298</v>
      </c>
      <c r="CJ102" s="1">
        <v>45961</v>
      </c>
      <c r="CK102" t="s">
        <v>304</v>
      </c>
      <c r="CL102" t="s">
        <v>119</v>
      </c>
      <c r="CN102" t="s">
        <v>96</v>
      </c>
    </row>
    <row r="103" spans="1:98">
      <c r="A103">
        <v>96</v>
      </c>
      <c r="B103" t="s">
        <v>644</v>
      </c>
      <c r="C103" t="s">
        <v>645</v>
      </c>
      <c r="D103" t="s">
        <v>81</v>
      </c>
      <c r="E103" t="s">
        <v>646</v>
      </c>
      <c r="F103">
        <v>401554152</v>
      </c>
      <c r="G103" t="s">
        <v>647</v>
      </c>
      <c r="H103" t="s">
        <v>75</v>
      </c>
      <c r="I103">
        <v>2</v>
      </c>
      <c r="J103">
        <v>6</v>
      </c>
      <c r="K103">
        <v>0</v>
      </c>
      <c r="L103">
        <v>0</v>
      </c>
      <c r="M103">
        <v>0</v>
      </c>
      <c r="N103">
        <v>0</v>
      </c>
      <c r="O103">
        <v>6</v>
      </c>
      <c r="P103">
        <v>0</v>
      </c>
      <c r="Q103">
        <v>6</v>
      </c>
      <c r="R103">
        <v>1320</v>
      </c>
      <c r="S103">
        <v>10000</v>
      </c>
      <c r="T103">
        <v>10000</v>
      </c>
      <c r="U103" t="s">
        <v>294</v>
      </c>
      <c r="W103">
        <v>4.0000000000000001E-3</v>
      </c>
      <c r="X103">
        <v>40</v>
      </c>
      <c r="Y103" t="s">
        <v>85</v>
      </c>
      <c r="Z103" t="s">
        <v>295</v>
      </c>
      <c r="AA103" t="s">
        <v>296</v>
      </c>
      <c r="AB103" t="s">
        <v>297</v>
      </c>
      <c r="AG103">
        <v>8.0000000000000002E-3</v>
      </c>
      <c r="AH103">
        <v>40</v>
      </c>
      <c r="AI103">
        <v>1320</v>
      </c>
      <c r="AJ103">
        <v>10000</v>
      </c>
      <c r="AK103">
        <v>0</v>
      </c>
      <c r="AL103">
        <v>-8680</v>
      </c>
      <c r="AM103">
        <v>10000</v>
      </c>
      <c r="AZ103">
        <f>SUM($AM103,$AN103:AO103)-SUM($BH103:BJ103)</f>
        <v>9880</v>
      </c>
      <c r="BA103">
        <f>SUM($AM103,$AN103:AP103)-SUM($BH103:BK103)</f>
        <v>9520</v>
      </c>
      <c r="BB103">
        <f>SUM($AM103,$AN103:AQ103)-SUM($BH103:BL103)</f>
        <v>9520</v>
      </c>
      <c r="BC103">
        <f>SUM($AM103,$AN103:AR103)-SUM($BH103:BM103)</f>
        <v>9520</v>
      </c>
      <c r="BD103">
        <f>SUM($AM103,$AN103:AS103)-SUM($BH103:BN103)</f>
        <v>9520</v>
      </c>
      <c r="BI103">
        <f t="array" ref="BI103">SUMPRODUCT(TRANSPOSE(BI$4:BI$9),$K103:$P103)</f>
        <v>0</v>
      </c>
      <c r="BJ103">
        <f t="array" ref="BJ103">SUMPRODUCT(TRANSPOSE(BJ$4:BJ$9),$K103:$P103)</f>
        <v>120</v>
      </c>
      <c r="BK103">
        <f t="array" ref="BK103">SUMPRODUCT(TRANSPOSE(BK$4:BK$9),$K103:$P103)</f>
        <v>360</v>
      </c>
      <c r="BL103">
        <f t="array" ref="BL103">SUMPRODUCT(TRANSPOSE(BL$4:BL$9),$K103:$P103)</f>
        <v>0</v>
      </c>
      <c r="BM103">
        <f t="array" ref="BM103">SUMPRODUCT(TRANSPOSE(BM$4:BM$9),$K103:$P103)</f>
        <v>0</v>
      </c>
      <c r="BN103">
        <f t="array" ref="BN103">SUMPRODUCT(TRANSPOSE(BN$4:BN$9),$K103:$P103)</f>
        <v>0</v>
      </c>
      <c r="BO103" t="s">
        <v>294</v>
      </c>
      <c r="CA103" t="s">
        <v>92</v>
      </c>
      <c r="CB103" t="s">
        <v>295</v>
      </c>
      <c r="CC103" t="s">
        <v>645</v>
      </c>
      <c r="CD103" t="s">
        <v>294</v>
      </c>
      <c r="CE103" t="s">
        <v>85</v>
      </c>
      <c r="CF103">
        <v>1</v>
      </c>
      <c r="CG103">
        <v>10000</v>
      </c>
      <c r="CH103">
        <v>40</v>
      </c>
      <c r="CI103" t="s">
        <v>298</v>
      </c>
      <c r="CJ103" s="1">
        <v>45961</v>
      </c>
      <c r="CK103" t="s">
        <v>304</v>
      </c>
      <c r="CL103" t="s">
        <v>119</v>
      </c>
      <c r="CN103" t="s">
        <v>96</v>
      </c>
    </row>
    <row r="104" spans="1:98">
      <c r="A104">
        <v>97</v>
      </c>
      <c r="B104" t="s">
        <v>648</v>
      </c>
      <c r="C104" t="s">
        <v>649</v>
      </c>
      <c r="D104" t="s">
        <v>81</v>
      </c>
      <c r="E104" t="s">
        <v>650</v>
      </c>
      <c r="F104">
        <v>421343534</v>
      </c>
      <c r="G104" t="s">
        <v>651</v>
      </c>
      <c r="H104" t="s">
        <v>75</v>
      </c>
      <c r="I104">
        <v>2</v>
      </c>
      <c r="J104">
        <v>1</v>
      </c>
      <c r="K104">
        <v>0</v>
      </c>
      <c r="L104">
        <v>0</v>
      </c>
      <c r="M104">
        <v>0</v>
      </c>
      <c r="N104">
        <v>0</v>
      </c>
      <c r="O104">
        <v>1</v>
      </c>
      <c r="P104">
        <v>0</v>
      </c>
      <c r="Q104">
        <v>1</v>
      </c>
      <c r="R104">
        <v>220</v>
      </c>
      <c r="S104">
        <v>10000</v>
      </c>
      <c r="T104">
        <v>10000</v>
      </c>
      <c r="U104" t="s">
        <v>294</v>
      </c>
      <c r="W104">
        <v>8.0000000000000002E-3</v>
      </c>
      <c r="X104">
        <v>80</v>
      </c>
      <c r="Y104" t="s">
        <v>85</v>
      </c>
      <c r="Z104" t="s">
        <v>295</v>
      </c>
      <c r="AA104" t="s">
        <v>296</v>
      </c>
      <c r="AB104" t="s">
        <v>297</v>
      </c>
      <c r="AG104">
        <v>1.6E-2</v>
      </c>
      <c r="AH104">
        <v>80</v>
      </c>
      <c r="AI104">
        <v>220</v>
      </c>
      <c r="AJ104">
        <v>10000</v>
      </c>
      <c r="AK104">
        <v>0</v>
      </c>
      <c r="AL104">
        <v>-9780</v>
      </c>
      <c r="AM104">
        <v>10000</v>
      </c>
      <c r="AZ104">
        <f>SUM($AM104,$AN104:AO104)-SUM($BH104:BJ104)</f>
        <v>9980</v>
      </c>
      <c r="BA104">
        <f>SUM($AM104,$AN104:AP104)-SUM($BH104:BK104)</f>
        <v>9920</v>
      </c>
      <c r="BB104">
        <f>SUM($AM104,$AN104:AQ104)-SUM($BH104:BL104)</f>
        <v>9920</v>
      </c>
      <c r="BC104">
        <f>SUM($AM104,$AN104:AR104)-SUM($BH104:BM104)</f>
        <v>9920</v>
      </c>
      <c r="BD104">
        <f>SUM($AM104,$AN104:AS104)-SUM($BH104:BN104)</f>
        <v>9920</v>
      </c>
      <c r="BI104">
        <f t="array" ref="BI104">SUMPRODUCT(TRANSPOSE(BI$4:BI$9),$K104:$P104)</f>
        <v>0</v>
      </c>
      <c r="BJ104">
        <f t="array" ref="BJ104">SUMPRODUCT(TRANSPOSE(BJ$4:BJ$9),$K104:$P104)</f>
        <v>20</v>
      </c>
      <c r="BK104">
        <f t="array" ref="BK104">SUMPRODUCT(TRANSPOSE(BK$4:BK$9),$K104:$P104)</f>
        <v>60</v>
      </c>
      <c r="BL104">
        <f t="array" ref="BL104">SUMPRODUCT(TRANSPOSE(BL$4:BL$9),$K104:$P104)</f>
        <v>0</v>
      </c>
      <c r="BM104">
        <f t="array" ref="BM104">SUMPRODUCT(TRANSPOSE(BM$4:BM$9),$K104:$P104)</f>
        <v>0</v>
      </c>
      <c r="BN104">
        <f t="array" ref="BN104">SUMPRODUCT(TRANSPOSE(BN$4:BN$9),$K104:$P104)</f>
        <v>0</v>
      </c>
      <c r="BO104" t="s">
        <v>652</v>
      </c>
      <c r="CA104" t="s">
        <v>92</v>
      </c>
      <c r="CB104" t="s">
        <v>295</v>
      </c>
      <c r="CC104" t="s">
        <v>649</v>
      </c>
      <c r="CD104" t="s">
        <v>294</v>
      </c>
      <c r="CE104" t="s">
        <v>85</v>
      </c>
      <c r="CF104">
        <v>1</v>
      </c>
      <c r="CG104">
        <v>10000</v>
      </c>
      <c r="CH104">
        <v>80</v>
      </c>
      <c r="CI104" t="s">
        <v>298</v>
      </c>
      <c r="CJ104" s="1">
        <v>45961</v>
      </c>
      <c r="CK104" t="s">
        <v>304</v>
      </c>
      <c r="CL104" t="s">
        <v>119</v>
      </c>
      <c r="CN104" t="s">
        <v>96</v>
      </c>
      <c r="CO104" t="s">
        <v>546</v>
      </c>
      <c r="CP104">
        <v>8.0000000000000002E-3</v>
      </c>
      <c r="CQ104">
        <v>1000</v>
      </c>
      <c r="CR104" t="b">
        <v>1</v>
      </c>
    </row>
    <row r="105" spans="1:98">
      <c r="A105">
        <v>98</v>
      </c>
      <c r="B105" t="s">
        <v>653</v>
      </c>
      <c r="C105" t="s">
        <v>654</v>
      </c>
      <c r="D105" t="s">
        <v>81</v>
      </c>
      <c r="E105" t="s">
        <v>655</v>
      </c>
      <c r="F105">
        <v>400679613</v>
      </c>
      <c r="G105" t="s">
        <v>656</v>
      </c>
      <c r="H105" t="s">
        <v>75</v>
      </c>
      <c r="I105">
        <v>2</v>
      </c>
      <c r="J105">
        <v>8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8</v>
      </c>
      <c r="Q105">
        <v>8</v>
      </c>
      <c r="R105">
        <v>1760</v>
      </c>
      <c r="S105">
        <v>5000</v>
      </c>
      <c r="T105">
        <v>5000</v>
      </c>
      <c r="U105" t="s">
        <v>294</v>
      </c>
      <c r="W105">
        <v>4.0000000000000001E-3</v>
      </c>
      <c r="X105">
        <v>20</v>
      </c>
      <c r="Y105" t="s">
        <v>85</v>
      </c>
      <c r="Z105" t="s">
        <v>295</v>
      </c>
      <c r="AA105" t="s">
        <v>296</v>
      </c>
      <c r="AB105" t="s">
        <v>297</v>
      </c>
      <c r="AG105">
        <v>8.0000000000000002E-3</v>
      </c>
      <c r="AH105">
        <v>20</v>
      </c>
      <c r="AI105">
        <v>1760</v>
      </c>
      <c r="AJ105">
        <v>5000</v>
      </c>
      <c r="AK105">
        <v>0</v>
      </c>
      <c r="AL105">
        <v>-3240</v>
      </c>
      <c r="AM105">
        <v>5000</v>
      </c>
      <c r="AZ105">
        <f>SUM($AM105,$AN105:AO105)-SUM($BH105:BJ105)</f>
        <v>4840</v>
      </c>
      <c r="BA105">
        <f>SUM($AM105,$AN105:AP105)-SUM($BH105:BK105)</f>
        <v>4360</v>
      </c>
      <c r="BB105">
        <f>SUM($AM105,$AN105:AQ105)-SUM($BH105:BL105)</f>
        <v>4360</v>
      </c>
      <c r="BC105">
        <f>SUM($AM105,$AN105:AR105)-SUM($BH105:BM105)</f>
        <v>4360</v>
      </c>
      <c r="BD105">
        <f>SUM($AM105,$AN105:AS105)-SUM($BH105:BN105)</f>
        <v>4360</v>
      </c>
      <c r="BI105">
        <f t="array" ref="BI105">SUMPRODUCT(TRANSPOSE(BI$4:BI$9),$K105:$P105)</f>
        <v>0</v>
      </c>
      <c r="BJ105">
        <f t="array" ref="BJ105">SUMPRODUCT(TRANSPOSE(BJ$4:BJ$9),$K105:$P105)</f>
        <v>160</v>
      </c>
      <c r="BK105">
        <f t="array" ref="BK105">SUMPRODUCT(TRANSPOSE(BK$4:BK$9),$K105:$P105)</f>
        <v>480</v>
      </c>
      <c r="BL105">
        <f t="array" ref="BL105">SUMPRODUCT(TRANSPOSE(BL$4:BL$9),$K105:$P105)</f>
        <v>0</v>
      </c>
      <c r="BM105">
        <f t="array" ref="BM105">SUMPRODUCT(TRANSPOSE(BM$4:BM$9),$K105:$P105)</f>
        <v>0</v>
      </c>
      <c r="BN105">
        <f t="array" ref="BN105">SUMPRODUCT(TRANSPOSE(BN$4:BN$9),$K105:$P105)</f>
        <v>0</v>
      </c>
      <c r="BO105" t="s">
        <v>294</v>
      </c>
      <c r="CA105" t="s">
        <v>92</v>
      </c>
      <c r="CB105" t="s">
        <v>295</v>
      </c>
      <c r="CC105" t="s">
        <v>654</v>
      </c>
      <c r="CD105" t="s">
        <v>294</v>
      </c>
      <c r="CE105" t="s">
        <v>85</v>
      </c>
      <c r="CF105">
        <v>1</v>
      </c>
      <c r="CG105">
        <v>5000</v>
      </c>
      <c r="CH105">
        <v>20</v>
      </c>
      <c r="CI105" t="s">
        <v>298</v>
      </c>
      <c r="CJ105" s="1">
        <v>45961</v>
      </c>
      <c r="CK105" t="s">
        <v>304</v>
      </c>
      <c r="CL105" t="s">
        <v>119</v>
      </c>
      <c r="CN105" t="s">
        <v>96</v>
      </c>
      <c r="CO105" t="s">
        <v>509</v>
      </c>
      <c r="CP105">
        <v>4.0000000000000001E-3</v>
      </c>
      <c r="CQ105">
        <v>85000</v>
      </c>
      <c r="CR105" t="b">
        <v>1</v>
      </c>
    </row>
    <row r="106" spans="1:98">
      <c r="A106">
        <v>99</v>
      </c>
      <c r="B106" t="s">
        <v>657</v>
      </c>
      <c r="C106" t="s">
        <v>658</v>
      </c>
      <c r="D106" t="s">
        <v>81</v>
      </c>
      <c r="E106" t="s">
        <v>659</v>
      </c>
      <c r="F106">
        <v>400693196</v>
      </c>
      <c r="G106" t="s">
        <v>660</v>
      </c>
      <c r="H106" t="s">
        <v>75</v>
      </c>
      <c r="I106">
        <v>2</v>
      </c>
      <c r="J106">
        <v>1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1</v>
      </c>
      <c r="Q106">
        <v>1</v>
      </c>
      <c r="R106">
        <v>220</v>
      </c>
      <c r="S106">
        <v>5000</v>
      </c>
      <c r="T106">
        <v>5000</v>
      </c>
      <c r="U106" t="s">
        <v>294</v>
      </c>
      <c r="W106">
        <v>4.0000000000000001E-3</v>
      </c>
      <c r="X106">
        <v>20</v>
      </c>
      <c r="Y106" t="s">
        <v>85</v>
      </c>
      <c r="Z106" t="s">
        <v>295</v>
      </c>
      <c r="AA106" t="s">
        <v>296</v>
      </c>
      <c r="AB106" t="s">
        <v>297</v>
      </c>
      <c r="AG106">
        <v>8.0000000000000002E-3</v>
      </c>
      <c r="AH106">
        <v>20</v>
      </c>
      <c r="AI106">
        <v>220</v>
      </c>
      <c r="AJ106">
        <v>5000</v>
      </c>
      <c r="AK106">
        <v>0</v>
      </c>
      <c r="AL106">
        <v>-4780</v>
      </c>
      <c r="AM106">
        <v>5000</v>
      </c>
      <c r="AZ106">
        <f>SUM($AM106,$AN106:AO106)-SUM($BH106:BJ106)</f>
        <v>4980</v>
      </c>
      <c r="BA106">
        <f>SUM($AM106,$AN106:AP106)-SUM($BH106:BK106)</f>
        <v>4920</v>
      </c>
      <c r="BB106">
        <f>SUM($AM106,$AN106:AQ106)-SUM($BH106:BL106)</f>
        <v>4920</v>
      </c>
      <c r="BC106">
        <f>SUM($AM106,$AN106:AR106)-SUM($BH106:BM106)</f>
        <v>4920</v>
      </c>
      <c r="BD106">
        <f>SUM($AM106,$AN106:AS106)-SUM($BH106:BN106)</f>
        <v>4920</v>
      </c>
      <c r="BI106">
        <f t="array" ref="BI106">SUMPRODUCT(TRANSPOSE(BI$4:BI$9),$K106:$P106)</f>
        <v>0</v>
      </c>
      <c r="BJ106">
        <f t="array" ref="BJ106">SUMPRODUCT(TRANSPOSE(BJ$4:BJ$9),$K106:$P106)</f>
        <v>20</v>
      </c>
      <c r="BK106">
        <f t="array" ref="BK106">SUMPRODUCT(TRANSPOSE(BK$4:BK$9),$K106:$P106)</f>
        <v>60</v>
      </c>
      <c r="BL106">
        <f t="array" ref="BL106">SUMPRODUCT(TRANSPOSE(BL$4:BL$9),$K106:$P106)</f>
        <v>0</v>
      </c>
      <c r="BM106">
        <f t="array" ref="BM106">SUMPRODUCT(TRANSPOSE(BM$4:BM$9),$K106:$P106)</f>
        <v>0</v>
      </c>
      <c r="BN106">
        <f t="array" ref="BN106">SUMPRODUCT(TRANSPOSE(BN$4:BN$9),$K106:$P106)</f>
        <v>0</v>
      </c>
      <c r="BO106" t="s">
        <v>294</v>
      </c>
      <c r="CA106" t="s">
        <v>92</v>
      </c>
      <c r="CB106" t="s">
        <v>295</v>
      </c>
      <c r="CC106" t="s">
        <v>658</v>
      </c>
      <c r="CD106" t="s">
        <v>294</v>
      </c>
      <c r="CE106" t="s">
        <v>85</v>
      </c>
      <c r="CF106">
        <v>1</v>
      </c>
      <c r="CG106">
        <v>5000</v>
      </c>
      <c r="CH106">
        <v>20</v>
      </c>
      <c r="CI106" t="s">
        <v>298</v>
      </c>
      <c r="CJ106" s="1">
        <v>45961</v>
      </c>
      <c r="CK106" t="s">
        <v>304</v>
      </c>
      <c r="CL106" t="s">
        <v>119</v>
      </c>
      <c r="CN106" t="s">
        <v>96</v>
      </c>
      <c r="CO106" t="s">
        <v>509</v>
      </c>
      <c r="CP106">
        <v>4.0000000000000001E-3</v>
      </c>
      <c r="CQ106">
        <v>10000</v>
      </c>
      <c r="CR106" t="b">
        <v>1</v>
      </c>
    </row>
    <row r="107" spans="1:98">
      <c r="A107">
        <v>100</v>
      </c>
      <c r="B107" t="s">
        <v>661</v>
      </c>
      <c r="C107" t="s">
        <v>662</v>
      </c>
      <c r="D107" t="s">
        <v>81</v>
      </c>
      <c r="E107" t="s">
        <v>663</v>
      </c>
      <c r="F107">
        <v>400693201</v>
      </c>
      <c r="G107" t="s">
        <v>664</v>
      </c>
      <c r="H107" t="s">
        <v>75</v>
      </c>
      <c r="I107">
        <v>2</v>
      </c>
      <c r="J107">
        <v>54</v>
      </c>
      <c r="K107">
        <v>0</v>
      </c>
      <c r="L107">
        <v>0</v>
      </c>
      <c r="M107">
        <v>0</v>
      </c>
      <c r="N107">
        <v>0</v>
      </c>
      <c r="O107">
        <v>43</v>
      </c>
      <c r="P107">
        <v>11</v>
      </c>
      <c r="Q107">
        <v>54</v>
      </c>
      <c r="R107">
        <v>11880</v>
      </c>
      <c r="S107">
        <v>5000</v>
      </c>
      <c r="T107">
        <v>15000</v>
      </c>
      <c r="U107" t="s">
        <v>294</v>
      </c>
      <c r="W107">
        <v>4.0000000000000001E-3</v>
      </c>
      <c r="X107">
        <v>60</v>
      </c>
      <c r="Y107" t="s">
        <v>85</v>
      </c>
      <c r="Z107" t="s">
        <v>295</v>
      </c>
      <c r="AA107" t="s">
        <v>296</v>
      </c>
      <c r="AB107" t="s">
        <v>297</v>
      </c>
      <c r="AG107">
        <v>8.0000000000000002E-3</v>
      </c>
      <c r="AH107">
        <v>60</v>
      </c>
      <c r="AI107">
        <v>11880</v>
      </c>
      <c r="AJ107">
        <v>15000</v>
      </c>
      <c r="AK107">
        <v>0</v>
      </c>
      <c r="AL107">
        <v>-3120</v>
      </c>
      <c r="AM107">
        <v>15000</v>
      </c>
      <c r="AZ107">
        <f>SUM($AM107,$AN107:AO107)-SUM($BH107:BJ107)</f>
        <v>13920</v>
      </c>
      <c r="BA107">
        <f>SUM($AM107,$AN107:AP107)-SUM($BH107:BK107)</f>
        <v>10680</v>
      </c>
      <c r="BB107">
        <f>SUM($AM107,$AN107:AQ107)-SUM($BH107:BL107)</f>
        <v>10680</v>
      </c>
      <c r="BC107">
        <f>SUM($AM107,$AN107:AR107)-SUM($BH107:BM107)</f>
        <v>10680</v>
      </c>
      <c r="BD107">
        <f>SUM($AM107,$AN107:AS107)-SUM($BH107:BN107)</f>
        <v>10680</v>
      </c>
      <c r="BI107">
        <f t="array" ref="BI107">SUMPRODUCT(TRANSPOSE(BI$4:BI$9),$K107:$P107)</f>
        <v>0</v>
      </c>
      <c r="BJ107">
        <f t="array" ref="BJ107">SUMPRODUCT(TRANSPOSE(BJ$4:BJ$9),$K107:$P107)</f>
        <v>1080</v>
      </c>
      <c r="BK107">
        <f t="array" ref="BK107">SUMPRODUCT(TRANSPOSE(BK$4:BK$9),$K107:$P107)</f>
        <v>3240</v>
      </c>
      <c r="BL107">
        <f t="array" ref="BL107">SUMPRODUCT(TRANSPOSE(BL$4:BL$9),$K107:$P107)</f>
        <v>0</v>
      </c>
      <c r="BM107">
        <f t="array" ref="BM107">SUMPRODUCT(TRANSPOSE(BM$4:BM$9),$K107:$P107)</f>
        <v>0</v>
      </c>
      <c r="BN107">
        <f t="array" ref="BN107">SUMPRODUCT(TRANSPOSE(BN$4:BN$9),$K107:$P107)</f>
        <v>0</v>
      </c>
      <c r="BO107" t="s">
        <v>294</v>
      </c>
      <c r="CA107" t="s">
        <v>92</v>
      </c>
      <c r="CB107" t="s">
        <v>295</v>
      </c>
      <c r="CC107" t="s">
        <v>662</v>
      </c>
      <c r="CD107" t="s">
        <v>294</v>
      </c>
      <c r="CE107" t="s">
        <v>85</v>
      </c>
      <c r="CF107">
        <v>1</v>
      </c>
      <c r="CG107">
        <v>15000</v>
      </c>
      <c r="CH107">
        <v>60</v>
      </c>
      <c r="CI107" t="s">
        <v>298</v>
      </c>
      <c r="CJ107" s="1">
        <v>45961</v>
      </c>
      <c r="CK107" t="s">
        <v>304</v>
      </c>
      <c r="CL107" t="s">
        <v>119</v>
      </c>
      <c r="CN107" t="s">
        <v>96</v>
      </c>
      <c r="CO107" t="s">
        <v>509</v>
      </c>
      <c r="CP107">
        <v>4.0000000000000001E-3</v>
      </c>
      <c r="CQ107">
        <v>60000</v>
      </c>
      <c r="CR107" t="b">
        <v>1</v>
      </c>
    </row>
    <row r="108" spans="1:98">
      <c r="A108">
        <v>101</v>
      </c>
      <c r="B108" t="s">
        <v>665</v>
      </c>
      <c r="C108" t="s">
        <v>666</v>
      </c>
      <c r="D108" t="s">
        <v>81</v>
      </c>
      <c r="E108" t="s">
        <v>667</v>
      </c>
      <c r="F108">
        <v>401053474</v>
      </c>
      <c r="G108" t="s">
        <v>668</v>
      </c>
      <c r="H108" t="s">
        <v>75</v>
      </c>
      <c r="I108">
        <v>2</v>
      </c>
      <c r="J108">
        <v>8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8</v>
      </c>
      <c r="Q108">
        <v>8</v>
      </c>
      <c r="R108">
        <v>1760</v>
      </c>
      <c r="S108">
        <v>5000</v>
      </c>
      <c r="T108">
        <v>5000</v>
      </c>
      <c r="U108" t="s">
        <v>294</v>
      </c>
      <c r="W108">
        <v>4.0000000000000001E-3</v>
      </c>
      <c r="X108">
        <v>20</v>
      </c>
      <c r="Y108" t="s">
        <v>85</v>
      </c>
      <c r="Z108" t="s">
        <v>295</v>
      </c>
      <c r="AA108" t="s">
        <v>296</v>
      </c>
      <c r="AB108" t="s">
        <v>297</v>
      </c>
      <c r="AG108">
        <v>8.0000000000000002E-3</v>
      </c>
      <c r="AH108">
        <v>20</v>
      </c>
      <c r="AI108">
        <v>1760</v>
      </c>
      <c r="AJ108">
        <v>5000</v>
      </c>
      <c r="AK108">
        <v>0</v>
      </c>
      <c r="AL108">
        <v>-3240</v>
      </c>
      <c r="AM108">
        <v>5000</v>
      </c>
      <c r="AZ108">
        <f>SUM($AM108,$AN108:AO108)-SUM($BH108:BJ108)</f>
        <v>4840</v>
      </c>
      <c r="BA108">
        <f>SUM($AM108,$AN108:AP108)-SUM($BH108:BK108)</f>
        <v>4360</v>
      </c>
      <c r="BB108">
        <f>SUM($AM108,$AN108:AQ108)-SUM($BH108:BL108)</f>
        <v>4360</v>
      </c>
      <c r="BC108">
        <f>SUM($AM108,$AN108:AR108)-SUM($BH108:BM108)</f>
        <v>4360</v>
      </c>
      <c r="BD108">
        <f>SUM($AM108,$AN108:AS108)-SUM($BH108:BN108)</f>
        <v>4360</v>
      </c>
      <c r="BI108">
        <f t="array" ref="BI108">SUMPRODUCT(TRANSPOSE(BI$4:BI$9),$K108:$P108)</f>
        <v>0</v>
      </c>
      <c r="BJ108">
        <f t="array" ref="BJ108">SUMPRODUCT(TRANSPOSE(BJ$4:BJ$9),$K108:$P108)</f>
        <v>160</v>
      </c>
      <c r="BK108">
        <f t="array" ref="BK108">SUMPRODUCT(TRANSPOSE(BK$4:BK$9),$K108:$P108)</f>
        <v>480</v>
      </c>
      <c r="BL108">
        <f t="array" ref="BL108">SUMPRODUCT(TRANSPOSE(BL$4:BL$9),$K108:$P108)</f>
        <v>0</v>
      </c>
      <c r="BM108">
        <f t="array" ref="BM108">SUMPRODUCT(TRANSPOSE(BM$4:BM$9),$K108:$P108)</f>
        <v>0</v>
      </c>
      <c r="BN108">
        <f t="array" ref="BN108">SUMPRODUCT(TRANSPOSE(BN$4:BN$9),$K108:$P108)</f>
        <v>0</v>
      </c>
      <c r="BO108" t="s">
        <v>294</v>
      </c>
      <c r="CA108" t="s">
        <v>92</v>
      </c>
      <c r="CB108" t="s">
        <v>295</v>
      </c>
      <c r="CC108" t="s">
        <v>666</v>
      </c>
      <c r="CD108" t="s">
        <v>294</v>
      </c>
      <c r="CE108" t="s">
        <v>85</v>
      </c>
      <c r="CF108">
        <v>1</v>
      </c>
      <c r="CG108">
        <v>5000</v>
      </c>
      <c r="CH108">
        <v>20</v>
      </c>
      <c r="CI108" t="s">
        <v>298</v>
      </c>
      <c r="CJ108" s="1">
        <v>45961</v>
      </c>
      <c r="CK108" t="s">
        <v>304</v>
      </c>
      <c r="CL108" t="s">
        <v>119</v>
      </c>
      <c r="CN108" t="s">
        <v>96</v>
      </c>
      <c r="CO108" t="s">
        <v>509</v>
      </c>
      <c r="CP108">
        <v>4.0000000000000001E-3</v>
      </c>
      <c r="CQ108">
        <v>10000</v>
      </c>
      <c r="CR108" t="b">
        <v>1</v>
      </c>
    </row>
    <row r="109" spans="1:98">
      <c r="A109">
        <v>102</v>
      </c>
      <c r="B109" t="s">
        <v>669</v>
      </c>
      <c r="C109" t="s">
        <v>670</v>
      </c>
      <c r="D109" t="s">
        <v>81</v>
      </c>
      <c r="E109" t="s">
        <v>671</v>
      </c>
      <c r="F109">
        <v>400271772</v>
      </c>
      <c r="G109" t="s">
        <v>672</v>
      </c>
      <c r="H109" t="s">
        <v>75</v>
      </c>
      <c r="I109">
        <v>2</v>
      </c>
      <c r="J109">
        <v>1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1</v>
      </c>
      <c r="Q109">
        <v>1</v>
      </c>
      <c r="R109">
        <v>220</v>
      </c>
      <c r="S109">
        <v>5000</v>
      </c>
      <c r="T109">
        <v>5000</v>
      </c>
      <c r="U109" t="s">
        <v>294</v>
      </c>
      <c r="W109">
        <v>4.0000000000000001E-3</v>
      </c>
      <c r="X109">
        <v>20</v>
      </c>
      <c r="Y109" t="s">
        <v>85</v>
      </c>
      <c r="Z109" t="s">
        <v>295</v>
      </c>
      <c r="AA109" t="s">
        <v>296</v>
      </c>
      <c r="AB109" t="s">
        <v>297</v>
      </c>
      <c r="AG109">
        <v>8.0000000000000002E-3</v>
      </c>
      <c r="AH109">
        <v>20</v>
      </c>
      <c r="AI109">
        <v>220</v>
      </c>
      <c r="AJ109">
        <v>5000</v>
      </c>
      <c r="AK109">
        <v>0</v>
      </c>
      <c r="AL109">
        <v>-4780</v>
      </c>
      <c r="AM109">
        <v>5000</v>
      </c>
      <c r="AZ109">
        <f>SUM($AM109,$AN109:AO109)-SUM($BH109:BJ109)</f>
        <v>4980</v>
      </c>
      <c r="BA109">
        <f>SUM($AM109,$AN109:AP109)-SUM($BH109:BK109)</f>
        <v>4920</v>
      </c>
      <c r="BB109">
        <f>SUM($AM109,$AN109:AQ109)-SUM($BH109:BL109)</f>
        <v>4920</v>
      </c>
      <c r="BC109">
        <f>SUM($AM109,$AN109:AR109)-SUM($BH109:BM109)</f>
        <v>4920</v>
      </c>
      <c r="BD109">
        <f>SUM($AM109,$AN109:AS109)-SUM($BH109:BN109)</f>
        <v>4920</v>
      </c>
      <c r="BI109">
        <f t="array" ref="BI109">SUMPRODUCT(TRANSPOSE(BI$4:BI$9),$K109:$P109)</f>
        <v>0</v>
      </c>
      <c r="BJ109">
        <f t="array" ref="BJ109">SUMPRODUCT(TRANSPOSE(BJ$4:BJ$9),$K109:$P109)</f>
        <v>20</v>
      </c>
      <c r="BK109">
        <f t="array" ref="BK109">SUMPRODUCT(TRANSPOSE(BK$4:BK$9),$K109:$P109)</f>
        <v>60</v>
      </c>
      <c r="BL109">
        <f t="array" ref="BL109">SUMPRODUCT(TRANSPOSE(BL$4:BL$9),$K109:$P109)</f>
        <v>0</v>
      </c>
      <c r="BM109">
        <f t="array" ref="BM109">SUMPRODUCT(TRANSPOSE(BM$4:BM$9),$K109:$P109)</f>
        <v>0</v>
      </c>
      <c r="BN109">
        <f t="array" ref="BN109">SUMPRODUCT(TRANSPOSE(BN$4:BN$9),$K109:$P109)</f>
        <v>0</v>
      </c>
      <c r="BO109" t="s">
        <v>294</v>
      </c>
      <c r="CA109" t="s">
        <v>92</v>
      </c>
      <c r="CB109" t="s">
        <v>295</v>
      </c>
      <c r="CC109" t="s">
        <v>670</v>
      </c>
      <c r="CD109" t="s">
        <v>294</v>
      </c>
      <c r="CE109" t="s">
        <v>85</v>
      </c>
      <c r="CF109">
        <v>1</v>
      </c>
      <c r="CG109">
        <v>5000</v>
      </c>
      <c r="CH109">
        <v>20</v>
      </c>
      <c r="CI109" t="s">
        <v>298</v>
      </c>
      <c r="CJ109" s="1">
        <v>45961</v>
      </c>
      <c r="CK109" t="s">
        <v>304</v>
      </c>
      <c r="CL109" t="s">
        <v>119</v>
      </c>
      <c r="CN109" t="s">
        <v>96</v>
      </c>
      <c r="CO109" t="s">
        <v>509</v>
      </c>
      <c r="CP109">
        <v>4.0000000000000001E-3</v>
      </c>
      <c r="CQ109">
        <v>10000</v>
      </c>
      <c r="CR109" t="b">
        <v>1</v>
      </c>
    </row>
    <row r="110" spans="1:98">
      <c r="A110">
        <v>103</v>
      </c>
      <c r="B110" t="s">
        <v>673</v>
      </c>
      <c r="C110" t="s">
        <v>674</v>
      </c>
      <c r="D110" t="s">
        <v>81</v>
      </c>
      <c r="E110" t="s">
        <v>675</v>
      </c>
      <c r="F110">
        <v>400693203</v>
      </c>
      <c r="G110" t="s">
        <v>676</v>
      </c>
      <c r="H110" t="s">
        <v>75</v>
      </c>
      <c r="I110">
        <v>2</v>
      </c>
      <c r="J110">
        <v>2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2</v>
      </c>
      <c r="Q110">
        <v>2</v>
      </c>
      <c r="R110">
        <v>440</v>
      </c>
      <c r="S110">
        <v>5000</v>
      </c>
      <c r="T110">
        <v>5000</v>
      </c>
      <c r="U110" t="s">
        <v>294</v>
      </c>
      <c r="W110">
        <v>1.5096E-3</v>
      </c>
      <c r="X110">
        <v>10</v>
      </c>
      <c r="Y110" t="s">
        <v>85</v>
      </c>
      <c r="Z110" t="s">
        <v>295</v>
      </c>
      <c r="AA110" t="s">
        <v>296</v>
      </c>
      <c r="AB110" t="s">
        <v>297</v>
      </c>
      <c r="AG110">
        <v>3.019200000000001E-3</v>
      </c>
      <c r="AH110">
        <v>7.5480000000000009</v>
      </c>
      <c r="AI110">
        <v>440</v>
      </c>
      <c r="AJ110">
        <v>5000</v>
      </c>
      <c r="AK110">
        <v>0</v>
      </c>
      <c r="AL110">
        <v>-4560</v>
      </c>
      <c r="AM110">
        <v>5000</v>
      </c>
      <c r="AZ110">
        <f>SUM($AM110,$AN110:AO110)-SUM($BH110:BJ110)</f>
        <v>4960</v>
      </c>
      <c r="BA110">
        <f>SUM($AM110,$AN110:AP110)-SUM($BH110:BK110)</f>
        <v>4840</v>
      </c>
      <c r="BB110">
        <f>SUM($AM110,$AN110:AQ110)-SUM($BH110:BL110)</f>
        <v>4840</v>
      </c>
      <c r="BC110">
        <f>SUM($AM110,$AN110:AR110)-SUM($BH110:BM110)</f>
        <v>4840</v>
      </c>
      <c r="BD110">
        <f>SUM($AM110,$AN110:AS110)-SUM($BH110:BN110)</f>
        <v>4840</v>
      </c>
      <c r="BI110">
        <f t="array" ref="BI110">SUMPRODUCT(TRANSPOSE(BI$4:BI$9),$K110:$P110)</f>
        <v>0</v>
      </c>
      <c r="BJ110">
        <f t="array" ref="BJ110">SUMPRODUCT(TRANSPOSE(BJ$4:BJ$9),$K110:$P110)</f>
        <v>40</v>
      </c>
      <c r="BK110">
        <f t="array" ref="BK110">SUMPRODUCT(TRANSPOSE(BK$4:BK$9),$K110:$P110)</f>
        <v>120</v>
      </c>
      <c r="BL110">
        <f t="array" ref="BL110">SUMPRODUCT(TRANSPOSE(BL$4:BL$9),$K110:$P110)</f>
        <v>0</v>
      </c>
      <c r="BM110">
        <f t="array" ref="BM110">SUMPRODUCT(TRANSPOSE(BM$4:BM$9),$K110:$P110)</f>
        <v>0</v>
      </c>
      <c r="BN110">
        <f t="array" ref="BN110">SUMPRODUCT(TRANSPOSE(BN$4:BN$9),$K110:$P110)</f>
        <v>0</v>
      </c>
      <c r="BO110" t="s">
        <v>294</v>
      </c>
      <c r="BS110" t="s">
        <v>677</v>
      </c>
      <c r="BU110">
        <v>5.0000000000000001E-3</v>
      </c>
      <c r="CA110" t="s">
        <v>92</v>
      </c>
      <c r="CB110" t="s">
        <v>295</v>
      </c>
      <c r="CC110" t="s">
        <v>674</v>
      </c>
      <c r="CD110" t="s">
        <v>294</v>
      </c>
      <c r="CE110" t="s">
        <v>85</v>
      </c>
      <c r="CF110">
        <v>1</v>
      </c>
      <c r="CG110">
        <v>5000</v>
      </c>
      <c r="CH110">
        <v>7.5480000000000009</v>
      </c>
      <c r="CI110" t="s">
        <v>298</v>
      </c>
      <c r="CJ110" s="1">
        <v>45961</v>
      </c>
      <c r="CK110" t="s">
        <v>304</v>
      </c>
      <c r="CL110" t="s">
        <v>119</v>
      </c>
      <c r="CN110" t="s">
        <v>96</v>
      </c>
      <c r="CO110" t="s">
        <v>368</v>
      </c>
      <c r="CP110">
        <v>1.5096E-3</v>
      </c>
      <c r="CQ110">
        <v>5000</v>
      </c>
      <c r="CR110" t="b">
        <v>1</v>
      </c>
      <c r="CT110">
        <v>5.0000000000000001E-3</v>
      </c>
    </row>
    <row r="111" spans="1:98">
      <c r="A111">
        <v>104</v>
      </c>
      <c r="B111" t="s">
        <v>678</v>
      </c>
      <c r="C111" t="s">
        <v>679</v>
      </c>
      <c r="D111" t="s">
        <v>81</v>
      </c>
      <c r="E111" t="s">
        <v>680</v>
      </c>
      <c r="F111">
        <v>400931576</v>
      </c>
      <c r="G111" t="s">
        <v>681</v>
      </c>
      <c r="H111" t="s">
        <v>75</v>
      </c>
      <c r="I111">
        <v>2</v>
      </c>
      <c r="J111">
        <v>24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24</v>
      </c>
      <c r="Q111">
        <v>24</v>
      </c>
      <c r="R111">
        <v>5280</v>
      </c>
      <c r="S111">
        <v>5000</v>
      </c>
      <c r="T111">
        <v>10000</v>
      </c>
      <c r="U111" t="s">
        <v>294</v>
      </c>
      <c r="W111">
        <v>4.0000000000000001E-3</v>
      </c>
      <c r="X111">
        <v>40</v>
      </c>
      <c r="Y111" t="s">
        <v>85</v>
      </c>
      <c r="Z111" t="s">
        <v>295</v>
      </c>
      <c r="AA111" t="s">
        <v>296</v>
      </c>
      <c r="AB111" t="s">
        <v>297</v>
      </c>
      <c r="AG111">
        <v>8.0000000000000002E-3</v>
      </c>
      <c r="AH111">
        <v>40</v>
      </c>
      <c r="AI111">
        <v>5280</v>
      </c>
      <c r="AJ111">
        <v>10000</v>
      </c>
      <c r="AK111">
        <v>0</v>
      </c>
      <c r="AL111">
        <v>-4720</v>
      </c>
      <c r="AM111">
        <v>10000</v>
      </c>
      <c r="AZ111">
        <f>SUM($AM111,$AN111:AO111)-SUM($BH111:BJ111)</f>
        <v>9520</v>
      </c>
      <c r="BA111">
        <f>SUM($AM111,$AN111:AP111)-SUM($BH111:BK111)</f>
        <v>8080</v>
      </c>
      <c r="BB111">
        <f>SUM($AM111,$AN111:AQ111)-SUM($BH111:BL111)</f>
        <v>8080</v>
      </c>
      <c r="BC111">
        <f>SUM($AM111,$AN111:AR111)-SUM($BH111:BM111)</f>
        <v>8080</v>
      </c>
      <c r="BD111">
        <f>SUM($AM111,$AN111:AS111)-SUM($BH111:BN111)</f>
        <v>8080</v>
      </c>
      <c r="BI111">
        <f t="array" ref="BI111">SUMPRODUCT(TRANSPOSE(BI$4:BI$9),$K111:$P111)</f>
        <v>0</v>
      </c>
      <c r="BJ111">
        <f t="array" ref="BJ111">SUMPRODUCT(TRANSPOSE(BJ$4:BJ$9),$K111:$P111)</f>
        <v>480</v>
      </c>
      <c r="BK111">
        <f t="array" ref="BK111">SUMPRODUCT(TRANSPOSE(BK$4:BK$9),$K111:$P111)</f>
        <v>1440</v>
      </c>
      <c r="BL111">
        <f t="array" ref="BL111">SUMPRODUCT(TRANSPOSE(BL$4:BL$9),$K111:$P111)</f>
        <v>0</v>
      </c>
      <c r="BM111">
        <f t="array" ref="BM111">SUMPRODUCT(TRANSPOSE(BM$4:BM$9),$K111:$P111)</f>
        <v>0</v>
      </c>
      <c r="BN111">
        <f t="array" ref="BN111">SUMPRODUCT(TRANSPOSE(BN$4:BN$9),$K111:$P111)</f>
        <v>0</v>
      </c>
      <c r="BO111" t="s">
        <v>294</v>
      </c>
      <c r="CA111" t="s">
        <v>92</v>
      </c>
      <c r="CB111" t="s">
        <v>295</v>
      </c>
      <c r="CC111" t="s">
        <v>679</v>
      </c>
      <c r="CD111" t="s">
        <v>294</v>
      </c>
      <c r="CE111" t="s">
        <v>85</v>
      </c>
      <c r="CF111">
        <v>1</v>
      </c>
      <c r="CG111">
        <v>10000</v>
      </c>
      <c r="CH111">
        <v>40</v>
      </c>
      <c r="CI111" t="s">
        <v>298</v>
      </c>
      <c r="CJ111" s="1">
        <v>45961</v>
      </c>
      <c r="CK111" t="s">
        <v>304</v>
      </c>
      <c r="CL111" t="s">
        <v>119</v>
      </c>
      <c r="CN111" t="s">
        <v>96</v>
      </c>
      <c r="CO111" t="s">
        <v>509</v>
      </c>
      <c r="CP111">
        <v>4.0000000000000001E-3</v>
      </c>
      <c r="CQ111">
        <v>30000</v>
      </c>
      <c r="CR111" t="b">
        <v>1</v>
      </c>
    </row>
    <row r="112" spans="1:98">
      <c r="A112">
        <v>105</v>
      </c>
      <c r="B112" t="s">
        <v>682</v>
      </c>
      <c r="C112" t="s">
        <v>683</v>
      </c>
      <c r="D112" t="s">
        <v>81</v>
      </c>
      <c r="E112" t="s">
        <v>684</v>
      </c>
      <c r="F112">
        <v>403690601</v>
      </c>
      <c r="G112" t="s">
        <v>685</v>
      </c>
      <c r="H112" t="s">
        <v>75</v>
      </c>
      <c r="I112">
        <v>2</v>
      </c>
      <c r="J112">
        <v>3</v>
      </c>
      <c r="K112">
        <v>0</v>
      </c>
      <c r="L112">
        <v>0</v>
      </c>
      <c r="M112">
        <v>0</v>
      </c>
      <c r="N112">
        <v>0</v>
      </c>
      <c r="O112">
        <v>2</v>
      </c>
      <c r="P112">
        <v>1</v>
      </c>
      <c r="Q112">
        <v>3</v>
      </c>
      <c r="R112">
        <v>660</v>
      </c>
      <c r="S112">
        <v>5000</v>
      </c>
      <c r="T112">
        <v>5000</v>
      </c>
      <c r="U112" t="s">
        <v>294</v>
      </c>
      <c r="W112">
        <v>4.0000000000000001E-3</v>
      </c>
      <c r="X112">
        <v>20</v>
      </c>
      <c r="Y112" t="s">
        <v>85</v>
      </c>
      <c r="Z112" t="s">
        <v>295</v>
      </c>
      <c r="AA112" t="s">
        <v>296</v>
      </c>
      <c r="AB112" t="s">
        <v>297</v>
      </c>
      <c r="AG112">
        <v>8.0000000000000002E-3</v>
      </c>
      <c r="AH112">
        <v>20</v>
      </c>
      <c r="AI112">
        <v>660</v>
      </c>
      <c r="AJ112">
        <v>5000</v>
      </c>
      <c r="AK112">
        <v>0</v>
      </c>
      <c r="AL112">
        <v>-4340</v>
      </c>
      <c r="AM112">
        <v>5000</v>
      </c>
      <c r="AZ112">
        <f>SUM($AM112,$AN112:AO112)-SUM($BH112:BJ112)</f>
        <v>4940</v>
      </c>
      <c r="BA112">
        <f>SUM($AM112,$AN112:AP112)-SUM($BH112:BK112)</f>
        <v>4760</v>
      </c>
      <c r="BB112">
        <f>SUM($AM112,$AN112:AQ112)-SUM($BH112:BL112)</f>
        <v>4760</v>
      </c>
      <c r="BC112">
        <f>SUM($AM112,$AN112:AR112)-SUM($BH112:BM112)</f>
        <v>4760</v>
      </c>
      <c r="BD112">
        <f>SUM($AM112,$AN112:AS112)-SUM($BH112:BN112)</f>
        <v>4760</v>
      </c>
      <c r="BI112">
        <f t="array" ref="BI112">SUMPRODUCT(TRANSPOSE(BI$4:BI$9),$K112:$P112)</f>
        <v>0</v>
      </c>
      <c r="BJ112">
        <f t="array" ref="BJ112">SUMPRODUCT(TRANSPOSE(BJ$4:BJ$9),$K112:$P112)</f>
        <v>60</v>
      </c>
      <c r="BK112">
        <f t="array" ref="BK112">SUMPRODUCT(TRANSPOSE(BK$4:BK$9),$K112:$P112)</f>
        <v>180</v>
      </c>
      <c r="BL112">
        <f t="array" ref="BL112">SUMPRODUCT(TRANSPOSE(BL$4:BL$9),$K112:$P112)</f>
        <v>0</v>
      </c>
      <c r="BM112">
        <f t="array" ref="BM112">SUMPRODUCT(TRANSPOSE(BM$4:BM$9),$K112:$P112)</f>
        <v>0</v>
      </c>
      <c r="BN112">
        <f t="array" ref="BN112">SUMPRODUCT(TRANSPOSE(BN$4:BN$9),$K112:$P112)</f>
        <v>0</v>
      </c>
      <c r="BO112" t="s">
        <v>294</v>
      </c>
      <c r="CA112" t="s">
        <v>92</v>
      </c>
      <c r="CB112" t="s">
        <v>295</v>
      </c>
      <c r="CC112" t="s">
        <v>683</v>
      </c>
      <c r="CD112" t="s">
        <v>294</v>
      </c>
      <c r="CE112" t="s">
        <v>85</v>
      </c>
      <c r="CF112">
        <v>1</v>
      </c>
      <c r="CG112">
        <v>5000</v>
      </c>
      <c r="CH112">
        <v>20</v>
      </c>
      <c r="CI112" t="s">
        <v>298</v>
      </c>
      <c r="CJ112" s="1">
        <v>45961</v>
      </c>
      <c r="CK112" t="s">
        <v>304</v>
      </c>
      <c r="CL112" t="s">
        <v>119</v>
      </c>
      <c r="CN112" t="s">
        <v>96</v>
      </c>
      <c r="CO112" t="s">
        <v>509</v>
      </c>
      <c r="CP112">
        <v>4.0000000000000001E-3</v>
      </c>
      <c r="CQ112">
        <v>10000</v>
      </c>
      <c r="CR112" t="b">
        <v>1</v>
      </c>
    </row>
    <row r="113" spans="1:100">
      <c r="A113">
        <v>106</v>
      </c>
      <c r="B113" t="s">
        <v>686</v>
      </c>
      <c r="C113" t="s">
        <v>687</v>
      </c>
      <c r="D113" t="s">
        <v>81</v>
      </c>
      <c r="E113" t="s">
        <v>688</v>
      </c>
      <c r="F113">
        <v>401964731</v>
      </c>
      <c r="G113" t="s">
        <v>689</v>
      </c>
      <c r="H113" t="s">
        <v>75</v>
      </c>
      <c r="I113">
        <v>2</v>
      </c>
      <c r="J113">
        <v>4</v>
      </c>
      <c r="K113">
        <v>0</v>
      </c>
      <c r="L113">
        <v>0</v>
      </c>
      <c r="M113">
        <v>0</v>
      </c>
      <c r="N113">
        <v>0</v>
      </c>
      <c r="O113">
        <v>4</v>
      </c>
      <c r="P113">
        <v>0</v>
      </c>
      <c r="Q113">
        <v>4</v>
      </c>
      <c r="R113">
        <v>880</v>
      </c>
      <c r="S113">
        <v>5000</v>
      </c>
      <c r="T113">
        <v>5000</v>
      </c>
      <c r="U113" t="s">
        <v>294</v>
      </c>
      <c r="W113">
        <v>4.0000000000000001E-3</v>
      </c>
      <c r="X113">
        <v>20</v>
      </c>
      <c r="Y113" t="s">
        <v>85</v>
      </c>
      <c r="Z113" t="s">
        <v>295</v>
      </c>
      <c r="AA113" t="s">
        <v>296</v>
      </c>
      <c r="AB113" t="s">
        <v>297</v>
      </c>
      <c r="AG113">
        <v>8.0000000000000002E-3</v>
      </c>
      <c r="AH113">
        <v>20</v>
      </c>
      <c r="AI113">
        <v>880</v>
      </c>
      <c r="AJ113">
        <v>5000</v>
      </c>
      <c r="AK113">
        <v>0</v>
      </c>
      <c r="AL113">
        <v>-4120</v>
      </c>
      <c r="AM113">
        <v>5000</v>
      </c>
      <c r="AZ113">
        <f>SUM($AM113,$AN113:AO113)-SUM($BH113:BJ113)</f>
        <v>4920</v>
      </c>
      <c r="BA113">
        <f>SUM($AM113,$AN113:AP113)-SUM($BH113:BK113)</f>
        <v>4680</v>
      </c>
      <c r="BB113">
        <f>SUM($AM113,$AN113:AQ113)-SUM($BH113:BL113)</f>
        <v>4680</v>
      </c>
      <c r="BC113">
        <f>SUM($AM113,$AN113:AR113)-SUM($BH113:BM113)</f>
        <v>4680</v>
      </c>
      <c r="BD113">
        <f>SUM($AM113,$AN113:AS113)-SUM($BH113:BN113)</f>
        <v>4680</v>
      </c>
      <c r="BI113">
        <f t="array" ref="BI113">SUMPRODUCT(TRANSPOSE(BI$4:BI$9),$K113:$P113)</f>
        <v>0</v>
      </c>
      <c r="BJ113">
        <f t="array" ref="BJ113">SUMPRODUCT(TRANSPOSE(BJ$4:BJ$9),$K113:$P113)</f>
        <v>80</v>
      </c>
      <c r="BK113">
        <f t="array" ref="BK113">SUMPRODUCT(TRANSPOSE(BK$4:BK$9),$K113:$P113)</f>
        <v>240</v>
      </c>
      <c r="BL113">
        <f t="array" ref="BL113">SUMPRODUCT(TRANSPOSE(BL$4:BL$9),$K113:$P113)</f>
        <v>0</v>
      </c>
      <c r="BM113">
        <f t="array" ref="BM113">SUMPRODUCT(TRANSPOSE(BM$4:BM$9),$K113:$P113)</f>
        <v>0</v>
      </c>
      <c r="BN113">
        <f t="array" ref="BN113">SUMPRODUCT(TRANSPOSE(BN$4:BN$9),$K113:$P113)</f>
        <v>0</v>
      </c>
      <c r="BO113" t="s">
        <v>294</v>
      </c>
      <c r="CA113" t="s">
        <v>92</v>
      </c>
      <c r="CB113" t="s">
        <v>295</v>
      </c>
      <c r="CC113" t="s">
        <v>687</v>
      </c>
      <c r="CD113" t="s">
        <v>294</v>
      </c>
      <c r="CE113" t="s">
        <v>85</v>
      </c>
      <c r="CF113">
        <v>1</v>
      </c>
      <c r="CG113">
        <v>5000</v>
      </c>
      <c r="CH113">
        <v>20</v>
      </c>
      <c r="CI113" t="s">
        <v>298</v>
      </c>
      <c r="CJ113" s="1">
        <v>45961</v>
      </c>
      <c r="CK113" t="s">
        <v>304</v>
      </c>
      <c r="CL113" t="s">
        <v>119</v>
      </c>
      <c r="CN113" t="s">
        <v>96</v>
      </c>
    </row>
    <row r="114" spans="1:100">
      <c r="A114">
        <v>107</v>
      </c>
      <c r="B114" t="s">
        <v>690</v>
      </c>
      <c r="C114" t="s">
        <v>691</v>
      </c>
      <c r="D114" t="s">
        <v>81</v>
      </c>
      <c r="E114" t="s">
        <v>692</v>
      </c>
      <c r="F114">
        <v>401007782</v>
      </c>
      <c r="G114" t="s">
        <v>693</v>
      </c>
      <c r="H114" t="s">
        <v>75</v>
      </c>
      <c r="I114">
        <v>2</v>
      </c>
      <c r="J114">
        <v>59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59</v>
      </c>
      <c r="Q114">
        <v>59</v>
      </c>
      <c r="R114">
        <v>12980</v>
      </c>
      <c r="S114">
        <v>5000</v>
      </c>
      <c r="T114">
        <v>15000</v>
      </c>
      <c r="U114" t="s">
        <v>294</v>
      </c>
      <c r="W114">
        <v>4.0000000000000001E-3</v>
      </c>
      <c r="X114">
        <v>60</v>
      </c>
      <c r="Y114" t="s">
        <v>85</v>
      </c>
      <c r="Z114" t="s">
        <v>295</v>
      </c>
      <c r="AA114" t="s">
        <v>296</v>
      </c>
      <c r="AB114" t="s">
        <v>297</v>
      </c>
      <c r="AG114">
        <v>8.0000000000000002E-3</v>
      </c>
      <c r="AH114">
        <v>60</v>
      </c>
      <c r="AI114">
        <v>12980</v>
      </c>
      <c r="AJ114">
        <v>15000</v>
      </c>
      <c r="AK114">
        <v>0</v>
      </c>
      <c r="AL114">
        <v>-2020</v>
      </c>
      <c r="AM114">
        <v>15000</v>
      </c>
      <c r="AZ114">
        <f>SUM($AM114,$AN114:AO114)-SUM($BH114:BJ114)</f>
        <v>13820</v>
      </c>
      <c r="BA114">
        <f>SUM($AM114,$AN114:AP114)-SUM($BH114:BK114)</f>
        <v>10280</v>
      </c>
      <c r="BB114">
        <f>SUM($AM114,$AN114:AQ114)-SUM($BH114:BL114)</f>
        <v>10280</v>
      </c>
      <c r="BC114">
        <f>SUM($AM114,$AN114:AR114)-SUM($BH114:BM114)</f>
        <v>10280</v>
      </c>
      <c r="BD114">
        <f>SUM($AM114,$AN114:AS114)-SUM($BH114:BN114)</f>
        <v>10280</v>
      </c>
      <c r="BI114">
        <f t="array" ref="BI114">SUMPRODUCT(TRANSPOSE(BI$4:BI$9),$K114:$P114)</f>
        <v>0</v>
      </c>
      <c r="BJ114">
        <f t="array" ref="BJ114">SUMPRODUCT(TRANSPOSE(BJ$4:BJ$9),$K114:$P114)</f>
        <v>1180</v>
      </c>
      <c r="BK114">
        <f t="array" ref="BK114">SUMPRODUCT(TRANSPOSE(BK$4:BK$9),$K114:$P114)</f>
        <v>3540</v>
      </c>
      <c r="BL114">
        <f t="array" ref="BL114">SUMPRODUCT(TRANSPOSE(BL$4:BL$9),$K114:$P114)</f>
        <v>0</v>
      </c>
      <c r="BM114">
        <f t="array" ref="BM114">SUMPRODUCT(TRANSPOSE(BM$4:BM$9),$K114:$P114)</f>
        <v>0</v>
      </c>
      <c r="BN114">
        <f t="array" ref="BN114">SUMPRODUCT(TRANSPOSE(BN$4:BN$9),$K114:$P114)</f>
        <v>0</v>
      </c>
      <c r="BO114" t="s">
        <v>294</v>
      </c>
      <c r="CA114" t="s">
        <v>92</v>
      </c>
      <c r="CB114" t="s">
        <v>295</v>
      </c>
      <c r="CC114" t="s">
        <v>691</v>
      </c>
      <c r="CD114" t="s">
        <v>294</v>
      </c>
      <c r="CE114" t="s">
        <v>85</v>
      </c>
      <c r="CF114">
        <v>1</v>
      </c>
      <c r="CG114">
        <v>15000</v>
      </c>
      <c r="CH114">
        <v>60</v>
      </c>
      <c r="CI114" t="s">
        <v>298</v>
      </c>
      <c r="CJ114" s="1">
        <v>45961</v>
      </c>
      <c r="CK114" t="s">
        <v>304</v>
      </c>
      <c r="CL114" t="s">
        <v>119</v>
      </c>
      <c r="CN114" t="s">
        <v>96</v>
      </c>
      <c r="CO114" t="s">
        <v>509</v>
      </c>
      <c r="CP114">
        <v>4.0000000000000001E-3</v>
      </c>
      <c r="CQ114">
        <v>65000</v>
      </c>
      <c r="CR114" t="b">
        <v>1</v>
      </c>
    </row>
    <row r="115" spans="1:100">
      <c r="A115">
        <v>108</v>
      </c>
      <c r="B115" t="s">
        <v>694</v>
      </c>
      <c r="C115" t="s">
        <v>695</v>
      </c>
      <c r="D115" t="s">
        <v>81</v>
      </c>
      <c r="E115" t="s">
        <v>696</v>
      </c>
      <c r="F115">
        <v>401225492</v>
      </c>
      <c r="G115" t="s">
        <v>697</v>
      </c>
      <c r="H115" t="s">
        <v>75</v>
      </c>
      <c r="I115">
        <v>2</v>
      </c>
      <c r="J115">
        <v>1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</v>
      </c>
      <c r="Q115">
        <v>1</v>
      </c>
      <c r="R115">
        <v>220</v>
      </c>
      <c r="S115">
        <v>5000</v>
      </c>
      <c r="T115">
        <v>5000</v>
      </c>
      <c r="U115" t="s">
        <v>294</v>
      </c>
      <c r="W115">
        <v>4.0000000000000001E-3</v>
      </c>
      <c r="X115">
        <v>20</v>
      </c>
      <c r="Y115" t="s">
        <v>85</v>
      </c>
      <c r="Z115" t="s">
        <v>295</v>
      </c>
      <c r="AA115" t="s">
        <v>296</v>
      </c>
      <c r="AB115" t="s">
        <v>297</v>
      </c>
      <c r="AG115">
        <v>8.0000000000000002E-3</v>
      </c>
      <c r="AH115">
        <v>20</v>
      </c>
      <c r="AI115">
        <v>220</v>
      </c>
      <c r="AJ115">
        <v>5000</v>
      </c>
      <c r="AK115">
        <v>0</v>
      </c>
      <c r="AL115">
        <v>-4780</v>
      </c>
      <c r="AM115">
        <v>5000</v>
      </c>
      <c r="AZ115">
        <f>SUM($AM115,$AN115:AO115)-SUM($BH115:BJ115)</f>
        <v>4980</v>
      </c>
      <c r="BA115">
        <f>SUM($AM115,$AN115:AP115)-SUM($BH115:BK115)</f>
        <v>4920</v>
      </c>
      <c r="BB115">
        <f>SUM($AM115,$AN115:AQ115)-SUM($BH115:BL115)</f>
        <v>4920</v>
      </c>
      <c r="BC115">
        <f>SUM($AM115,$AN115:AR115)-SUM($BH115:BM115)</f>
        <v>4920</v>
      </c>
      <c r="BD115">
        <f>SUM($AM115,$AN115:AS115)-SUM($BH115:BN115)</f>
        <v>4920</v>
      </c>
      <c r="BI115">
        <f t="array" ref="BI115">SUMPRODUCT(TRANSPOSE(BI$4:BI$9),$K115:$P115)</f>
        <v>0</v>
      </c>
      <c r="BJ115">
        <f t="array" ref="BJ115">SUMPRODUCT(TRANSPOSE(BJ$4:BJ$9),$K115:$P115)</f>
        <v>20</v>
      </c>
      <c r="BK115">
        <f t="array" ref="BK115">SUMPRODUCT(TRANSPOSE(BK$4:BK$9),$K115:$P115)</f>
        <v>60</v>
      </c>
      <c r="BL115">
        <f t="array" ref="BL115">SUMPRODUCT(TRANSPOSE(BL$4:BL$9),$K115:$P115)</f>
        <v>0</v>
      </c>
      <c r="BM115">
        <f t="array" ref="BM115">SUMPRODUCT(TRANSPOSE(BM$4:BM$9),$K115:$P115)</f>
        <v>0</v>
      </c>
      <c r="BN115">
        <f t="array" ref="BN115">SUMPRODUCT(TRANSPOSE(BN$4:BN$9),$K115:$P115)</f>
        <v>0</v>
      </c>
      <c r="BO115" t="s">
        <v>294</v>
      </c>
      <c r="CA115" t="s">
        <v>92</v>
      </c>
      <c r="CB115" t="s">
        <v>295</v>
      </c>
      <c r="CC115" t="s">
        <v>695</v>
      </c>
      <c r="CD115" t="s">
        <v>294</v>
      </c>
      <c r="CE115" t="s">
        <v>85</v>
      </c>
      <c r="CF115">
        <v>1</v>
      </c>
      <c r="CG115">
        <v>5000</v>
      </c>
      <c r="CH115">
        <v>20</v>
      </c>
      <c r="CI115" t="s">
        <v>298</v>
      </c>
      <c r="CJ115" s="1">
        <v>45961</v>
      </c>
      <c r="CK115" t="s">
        <v>304</v>
      </c>
      <c r="CL115" t="s">
        <v>119</v>
      </c>
      <c r="CN115" t="s">
        <v>96</v>
      </c>
      <c r="CO115" t="s">
        <v>509</v>
      </c>
      <c r="CP115">
        <v>4.0000000000000001E-3</v>
      </c>
      <c r="CQ115">
        <v>10000</v>
      </c>
      <c r="CR115" t="b">
        <v>1</v>
      </c>
    </row>
    <row r="116" spans="1:100">
      <c r="A116">
        <v>109</v>
      </c>
      <c r="B116" t="s">
        <v>698</v>
      </c>
      <c r="C116" t="s">
        <v>699</v>
      </c>
      <c r="D116" t="s">
        <v>81</v>
      </c>
      <c r="E116" t="s">
        <v>700</v>
      </c>
      <c r="F116">
        <v>401234950</v>
      </c>
      <c r="G116" t="s">
        <v>701</v>
      </c>
      <c r="H116" t="s">
        <v>75</v>
      </c>
      <c r="I116">
        <v>2</v>
      </c>
      <c r="J116">
        <v>111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111</v>
      </c>
      <c r="Q116">
        <v>111</v>
      </c>
      <c r="R116">
        <v>24420</v>
      </c>
      <c r="S116">
        <v>5000</v>
      </c>
      <c r="T116">
        <v>25000</v>
      </c>
      <c r="U116" t="s">
        <v>294</v>
      </c>
      <c r="W116">
        <v>4.0000000000000001E-3</v>
      </c>
      <c r="X116">
        <v>100</v>
      </c>
      <c r="Y116" t="s">
        <v>85</v>
      </c>
      <c r="Z116" t="s">
        <v>295</v>
      </c>
      <c r="AA116" t="s">
        <v>296</v>
      </c>
      <c r="AB116" t="s">
        <v>297</v>
      </c>
      <c r="AG116">
        <v>8.0000000000000002E-3</v>
      </c>
      <c r="AH116">
        <v>100</v>
      </c>
      <c r="AI116">
        <v>24420</v>
      </c>
      <c r="AJ116">
        <v>25000</v>
      </c>
      <c r="AK116">
        <v>0</v>
      </c>
      <c r="AL116">
        <v>-580</v>
      </c>
      <c r="AM116">
        <v>25000</v>
      </c>
      <c r="AZ116">
        <f>SUM($AM116,$AN116:AO116)-SUM($BH116:BJ116)</f>
        <v>22780</v>
      </c>
      <c r="BA116">
        <f>SUM($AM116,$AN116:AP116)-SUM($BH116:BK116)</f>
        <v>16120</v>
      </c>
      <c r="BB116">
        <f>SUM($AM116,$AN116:AQ116)-SUM($BH116:BL116)</f>
        <v>16120</v>
      </c>
      <c r="BC116">
        <f>SUM($AM116,$AN116:AR116)-SUM($BH116:BM116)</f>
        <v>16120</v>
      </c>
      <c r="BD116">
        <f>SUM($AM116,$AN116:AS116)-SUM($BH116:BN116)</f>
        <v>16120</v>
      </c>
      <c r="BI116">
        <f t="array" ref="BI116">SUMPRODUCT(TRANSPOSE(BI$4:BI$9),$K116:$P116)</f>
        <v>0</v>
      </c>
      <c r="BJ116">
        <f t="array" ref="BJ116">SUMPRODUCT(TRANSPOSE(BJ$4:BJ$9),$K116:$P116)</f>
        <v>2220</v>
      </c>
      <c r="BK116">
        <f t="array" ref="BK116">SUMPRODUCT(TRANSPOSE(BK$4:BK$9),$K116:$P116)</f>
        <v>6660</v>
      </c>
      <c r="BL116">
        <f t="array" ref="BL116">SUMPRODUCT(TRANSPOSE(BL$4:BL$9),$K116:$P116)</f>
        <v>0</v>
      </c>
      <c r="BM116">
        <f t="array" ref="BM116">SUMPRODUCT(TRANSPOSE(BM$4:BM$9),$K116:$P116)</f>
        <v>0</v>
      </c>
      <c r="BN116">
        <f t="array" ref="BN116">SUMPRODUCT(TRANSPOSE(BN$4:BN$9),$K116:$P116)</f>
        <v>0</v>
      </c>
      <c r="BO116" t="s">
        <v>294</v>
      </c>
      <c r="CA116" t="s">
        <v>92</v>
      </c>
      <c r="CB116" t="s">
        <v>295</v>
      </c>
      <c r="CC116" t="s">
        <v>699</v>
      </c>
      <c r="CD116" t="s">
        <v>294</v>
      </c>
      <c r="CE116" t="s">
        <v>85</v>
      </c>
      <c r="CF116">
        <v>1</v>
      </c>
      <c r="CG116">
        <v>25000</v>
      </c>
      <c r="CH116">
        <v>100</v>
      </c>
      <c r="CI116" t="s">
        <v>298</v>
      </c>
      <c r="CJ116" s="1">
        <v>45961</v>
      </c>
      <c r="CK116" t="s">
        <v>304</v>
      </c>
      <c r="CL116" t="s">
        <v>119</v>
      </c>
      <c r="CN116" t="s">
        <v>96</v>
      </c>
      <c r="CO116" t="s">
        <v>509</v>
      </c>
      <c r="CP116">
        <v>4.0000000000000001E-3</v>
      </c>
      <c r="CQ116">
        <v>120000</v>
      </c>
      <c r="CR116" t="b">
        <v>1</v>
      </c>
    </row>
    <row r="117" spans="1:100">
      <c r="A117">
        <v>110</v>
      </c>
      <c r="B117" t="s">
        <v>702</v>
      </c>
      <c r="C117" t="s">
        <v>703</v>
      </c>
      <c r="D117" t="s">
        <v>81</v>
      </c>
      <c r="E117" t="s">
        <v>704</v>
      </c>
      <c r="F117">
        <v>400693204</v>
      </c>
      <c r="G117" t="s">
        <v>705</v>
      </c>
      <c r="H117" t="s">
        <v>75</v>
      </c>
      <c r="I117">
        <v>2</v>
      </c>
      <c r="J117">
        <v>3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3</v>
      </c>
      <c r="Q117">
        <v>3</v>
      </c>
      <c r="R117">
        <v>660</v>
      </c>
      <c r="S117">
        <v>5000</v>
      </c>
      <c r="T117">
        <v>5000</v>
      </c>
      <c r="U117" t="s">
        <v>294</v>
      </c>
      <c r="W117">
        <v>4.0000000000000001E-3</v>
      </c>
      <c r="X117">
        <v>20</v>
      </c>
      <c r="Y117" t="s">
        <v>85</v>
      </c>
      <c r="Z117" t="s">
        <v>295</v>
      </c>
      <c r="AA117" t="s">
        <v>296</v>
      </c>
      <c r="AB117" t="s">
        <v>297</v>
      </c>
      <c r="AG117">
        <v>8.0000000000000002E-3</v>
      </c>
      <c r="AH117">
        <v>20</v>
      </c>
      <c r="AI117">
        <v>660</v>
      </c>
      <c r="AJ117">
        <v>1000</v>
      </c>
      <c r="AK117">
        <v>0</v>
      </c>
      <c r="AL117">
        <v>-340</v>
      </c>
      <c r="AM117">
        <v>1000</v>
      </c>
      <c r="AZ117">
        <f>SUM($AM117,$AN117:AO117)-SUM($BH117:BJ117)</f>
        <v>940</v>
      </c>
      <c r="BA117">
        <f>SUM($AM117,$AN117:AP117)-SUM($BH117:BK117)</f>
        <v>760</v>
      </c>
      <c r="BB117">
        <f>SUM($AM117,$AN117:AQ117)-SUM($BH117:BL117)</f>
        <v>760</v>
      </c>
      <c r="BC117">
        <f>SUM($AM117,$AN117:AR117)-SUM($BH117:BM117)</f>
        <v>760</v>
      </c>
      <c r="BD117">
        <f>SUM($AM117,$AN117:AS117)-SUM($BH117:BN117)</f>
        <v>760</v>
      </c>
      <c r="BI117">
        <f t="array" ref="BI117">SUMPRODUCT(TRANSPOSE(BI$4:BI$9),$K117:$P117)</f>
        <v>0</v>
      </c>
      <c r="BJ117">
        <f t="array" ref="BJ117">SUMPRODUCT(TRANSPOSE(BJ$4:BJ$9),$K117:$P117)</f>
        <v>60</v>
      </c>
      <c r="BK117">
        <f t="array" ref="BK117">SUMPRODUCT(TRANSPOSE(BK$4:BK$9),$K117:$P117)</f>
        <v>180</v>
      </c>
      <c r="BL117">
        <f t="array" ref="BL117">SUMPRODUCT(TRANSPOSE(BL$4:BL$9),$K117:$P117)</f>
        <v>0</v>
      </c>
      <c r="BM117">
        <f t="array" ref="BM117">SUMPRODUCT(TRANSPOSE(BM$4:BM$9),$K117:$P117)</f>
        <v>0</v>
      </c>
      <c r="BN117">
        <f t="array" ref="BN117">SUMPRODUCT(TRANSPOSE(BN$4:BN$9),$K117:$P117)</f>
        <v>0</v>
      </c>
      <c r="BO117" t="s">
        <v>294</v>
      </c>
      <c r="CA117" t="s">
        <v>92</v>
      </c>
      <c r="CB117" t="s">
        <v>295</v>
      </c>
      <c r="CC117" t="s">
        <v>703</v>
      </c>
      <c r="CD117" t="s">
        <v>294</v>
      </c>
      <c r="CE117" t="s">
        <v>85</v>
      </c>
      <c r="CF117">
        <v>1</v>
      </c>
      <c r="CG117">
        <v>1000</v>
      </c>
      <c r="CH117">
        <v>4</v>
      </c>
      <c r="CI117" t="s">
        <v>298</v>
      </c>
      <c r="CJ117" s="1">
        <v>45961</v>
      </c>
      <c r="CK117" t="s">
        <v>304</v>
      </c>
      <c r="CL117" t="s">
        <v>119</v>
      </c>
      <c r="CN117" t="s">
        <v>96</v>
      </c>
      <c r="CO117" t="s">
        <v>509</v>
      </c>
      <c r="CP117">
        <v>4.0000000000000001E-3</v>
      </c>
      <c r="CQ117">
        <v>10000</v>
      </c>
      <c r="CR117" t="b">
        <v>1</v>
      </c>
      <c r="CU117" t="s">
        <v>706</v>
      </c>
    </row>
    <row r="118" spans="1:100">
      <c r="A118">
        <v>111</v>
      </c>
      <c r="B118" t="s">
        <v>707</v>
      </c>
      <c r="C118" t="s">
        <v>708</v>
      </c>
      <c r="D118" t="s">
        <v>81</v>
      </c>
      <c r="E118" t="s">
        <v>709</v>
      </c>
      <c r="F118">
        <v>400272339</v>
      </c>
      <c r="G118" t="s">
        <v>710</v>
      </c>
      <c r="H118" t="s">
        <v>75</v>
      </c>
      <c r="I118">
        <v>2</v>
      </c>
      <c r="J118">
        <v>1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1</v>
      </c>
      <c r="Q118">
        <v>1</v>
      </c>
      <c r="R118">
        <v>220</v>
      </c>
      <c r="S118">
        <v>5000</v>
      </c>
      <c r="T118">
        <v>5000</v>
      </c>
      <c r="U118" t="s">
        <v>294</v>
      </c>
      <c r="W118">
        <v>4.0000000000000001E-3</v>
      </c>
      <c r="X118">
        <v>20</v>
      </c>
      <c r="Y118" t="s">
        <v>85</v>
      </c>
      <c r="Z118" t="s">
        <v>295</v>
      </c>
      <c r="AA118" t="s">
        <v>296</v>
      </c>
      <c r="AB118" t="s">
        <v>297</v>
      </c>
      <c r="AG118">
        <v>8.0000000000000002E-3</v>
      </c>
      <c r="AH118">
        <v>20</v>
      </c>
      <c r="AI118">
        <v>220</v>
      </c>
      <c r="AJ118">
        <v>5000</v>
      </c>
      <c r="AK118">
        <v>0</v>
      </c>
      <c r="AL118">
        <v>-4780</v>
      </c>
      <c r="AM118">
        <v>5000</v>
      </c>
      <c r="AZ118">
        <f>SUM($AM118,$AN118:AO118)-SUM($BH118:BJ118)</f>
        <v>4980</v>
      </c>
      <c r="BA118">
        <f>SUM($AM118,$AN118:AP118)-SUM($BH118:BK118)</f>
        <v>4920</v>
      </c>
      <c r="BB118">
        <f>SUM($AM118,$AN118:AQ118)-SUM($BH118:BL118)</f>
        <v>4920</v>
      </c>
      <c r="BC118">
        <f>SUM($AM118,$AN118:AR118)-SUM($BH118:BM118)</f>
        <v>4920</v>
      </c>
      <c r="BD118">
        <f>SUM($AM118,$AN118:AS118)-SUM($BH118:BN118)</f>
        <v>4920</v>
      </c>
      <c r="BI118">
        <f t="array" ref="BI118">SUMPRODUCT(TRANSPOSE(BI$4:BI$9),$K118:$P118)</f>
        <v>0</v>
      </c>
      <c r="BJ118">
        <f t="array" ref="BJ118">SUMPRODUCT(TRANSPOSE(BJ$4:BJ$9),$K118:$P118)</f>
        <v>20</v>
      </c>
      <c r="BK118">
        <f t="array" ref="BK118">SUMPRODUCT(TRANSPOSE(BK$4:BK$9),$K118:$P118)</f>
        <v>60</v>
      </c>
      <c r="BL118">
        <f t="array" ref="BL118">SUMPRODUCT(TRANSPOSE(BL$4:BL$9),$K118:$P118)</f>
        <v>0</v>
      </c>
      <c r="BM118">
        <f t="array" ref="BM118">SUMPRODUCT(TRANSPOSE(BM$4:BM$9),$K118:$P118)</f>
        <v>0</v>
      </c>
      <c r="BN118">
        <f t="array" ref="BN118">SUMPRODUCT(TRANSPOSE(BN$4:BN$9),$K118:$P118)</f>
        <v>0</v>
      </c>
      <c r="BO118" t="s">
        <v>294</v>
      </c>
      <c r="CA118" t="s">
        <v>92</v>
      </c>
      <c r="CB118" t="s">
        <v>295</v>
      </c>
      <c r="CC118" t="s">
        <v>708</v>
      </c>
      <c r="CD118" t="s">
        <v>294</v>
      </c>
      <c r="CE118" t="s">
        <v>85</v>
      </c>
      <c r="CF118">
        <v>1</v>
      </c>
      <c r="CG118">
        <v>5000</v>
      </c>
      <c r="CH118">
        <v>20</v>
      </c>
      <c r="CI118" t="s">
        <v>298</v>
      </c>
      <c r="CJ118" s="1">
        <v>45961</v>
      </c>
      <c r="CK118" t="s">
        <v>304</v>
      </c>
      <c r="CL118" t="s">
        <v>119</v>
      </c>
      <c r="CN118" t="s">
        <v>96</v>
      </c>
      <c r="CO118" t="s">
        <v>509</v>
      </c>
      <c r="CP118">
        <v>4.0000000000000001E-3</v>
      </c>
      <c r="CQ118">
        <v>10000</v>
      </c>
      <c r="CR118" t="b">
        <v>1</v>
      </c>
      <c r="CU118" t="s">
        <v>711</v>
      </c>
    </row>
    <row r="119" spans="1:100">
      <c r="A119">
        <v>112</v>
      </c>
      <c r="B119" t="s">
        <v>712</v>
      </c>
      <c r="C119" t="s">
        <v>713</v>
      </c>
      <c r="D119" t="s">
        <v>81</v>
      </c>
      <c r="E119" t="s">
        <v>714</v>
      </c>
      <c r="F119">
        <v>400272402</v>
      </c>
      <c r="G119" t="s">
        <v>715</v>
      </c>
      <c r="H119" t="s">
        <v>75</v>
      </c>
      <c r="I119">
        <v>2</v>
      </c>
      <c r="J119">
        <v>1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1</v>
      </c>
      <c r="Q119">
        <v>1</v>
      </c>
      <c r="R119">
        <v>220</v>
      </c>
      <c r="S119">
        <v>5000</v>
      </c>
      <c r="T119">
        <v>5000</v>
      </c>
      <c r="U119" t="s">
        <v>294</v>
      </c>
      <c r="W119">
        <v>4.0000000000000001E-3</v>
      </c>
      <c r="X119">
        <v>20</v>
      </c>
      <c r="Y119" t="s">
        <v>85</v>
      </c>
      <c r="Z119" t="s">
        <v>295</v>
      </c>
      <c r="AA119" t="s">
        <v>296</v>
      </c>
      <c r="AB119" t="s">
        <v>297</v>
      </c>
      <c r="AG119">
        <v>8.0000000000000002E-3</v>
      </c>
      <c r="AH119">
        <v>20</v>
      </c>
      <c r="AI119">
        <v>220</v>
      </c>
      <c r="AJ119">
        <v>5000</v>
      </c>
      <c r="AK119">
        <v>0</v>
      </c>
      <c r="AL119">
        <v>-4780</v>
      </c>
      <c r="AM119">
        <v>5000</v>
      </c>
      <c r="AZ119">
        <f>SUM($AM119,$AN119:AO119)-SUM($BH119:BJ119)</f>
        <v>4980</v>
      </c>
      <c r="BA119">
        <f>SUM($AM119,$AN119:AP119)-SUM($BH119:BK119)</f>
        <v>4920</v>
      </c>
      <c r="BB119">
        <f>SUM($AM119,$AN119:AQ119)-SUM($BH119:BL119)</f>
        <v>4920</v>
      </c>
      <c r="BC119">
        <f>SUM($AM119,$AN119:AR119)-SUM($BH119:BM119)</f>
        <v>4920</v>
      </c>
      <c r="BD119">
        <f>SUM($AM119,$AN119:AS119)-SUM($BH119:BN119)</f>
        <v>4920</v>
      </c>
      <c r="BI119">
        <f t="array" ref="BI119">SUMPRODUCT(TRANSPOSE(BI$4:BI$9),$K119:$P119)</f>
        <v>0</v>
      </c>
      <c r="BJ119">
        <f t="array" ref="BJ119">SUMPRODUCT(TRANSPOSE(BJ$4:BJ$9),$K119:$P119)</f>
        <v>20</v>
      </c>
      <c r="BK119">
        <f t="array" ref="BK119">SUMPRODUCT(TRANSPOSE(BK$4:BK$9),$K119:$P119)</f>
        <v>60</v>
      </c>
      <c r="BL119">
        <f t="array" ref="BL119">SUMPRODUCT(TRANSPOSE(BL$4:BL$9),$K119:$P119)</f>
        <v>0</v>
      </c>
      <c r="BM119">
        <f t="array" ref="BM119">SUMPRODUCT(TRANSPOSE(BM$4:BM$9),$K119:$P119)</f>
        <v>0</v>
      </c>
      <c r="BN119">
        <f t="array" ref="BN119">SUMPRODUCT(TRANSPOSE(BN$4:BN$9),$K119:$P119)</f>
        <v>0</v>
      </c>
      <c r="BO119" t="s">
        <v>294</v>
      </c>
      <c r="CA119" t="s">
        <v>92</v>
      </c>
      <c r="CB119" t="s">
        <v>295</v>
      </c>
      <c r="CC119" t="s">
        <v>716</v>
      </c>
      <c r="CD119" t="s">
        <v>294</v>
      </c>
      <c r="CE119" t="s">
        <v>85</v>
      </c>
      <c r="CF119">
        <v>1</v>
      </c>
      <c r="CG119">
        <v>5000</v>
      </c>
      <c r="CH119">
        <v>20</v>
      </c>
      <c r="CI119" t="s">
        <v>298</v>
      </c>
      <c r="CJ119" s="1">
        <v>45961</v>
      </c>
      <c r="CK119" t="s">
        <v>304</v>
      </c>
      <c r="CL119" t="s">
        <v>119</v>
      </c>
      <c r="CN119" t="s">
        <v>96</v>
      </c>
      <c r="CO119" t="s">
        <v>509</v>
      </c>
      <c r="CP119">
        <v>4.0000000000000001E-3</v>
      </c>
      <c r="CQ119">
        <v>10000</v>
      </c>
      <c r="CR119" t="b">
        <v>1</v>
      </c>
      <c r="CU119" t="s">
        <v>711</v>
      </c>
    </row>
    <row r="120" spans="1:100">
      <c r="A120">
        <v>113</v>
      </c>
      <c r="B120" t="s">
        <v>717</v>
      </c>
      <c r="C120" t="s">
        <v>718</v>
      </c>
      <c r="D120" t="s">
        <v>81</v>
      </c>
      <c r="E120" t="s">
        <v>719</v>
      </c>
      <c r="F120">
        <v>401468750</v>
      </c>
      <c r="G120" t="s">
        <v>720</v>
      </c>
      <c r="H120" t="s">
        <v>75</v>
      </c>
      <c r="I120">
        <v>2</v>
      </c>
      <c r="J120">
        <v>24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24</v>
      </c>
      <c r="Q120">
        <v>24</v>
      </c>
      <c r="R120">
        <v>5280</v>
      </c>
      <c r="S120">
        <v>5000</v>
      </c>
      <c r="T120">
        <v>10000</v>
      </c>
      <c r="U120" t="s">
        <v>294</v>
      </c>
      <c r="W120">
        <v>4.0000000000000001E-3</v>
      </c>
      <c r="X120">
        <v>40</v>
      </c>
      <c r="Y120" t="s">
        <v>85</v>
      </c>
      <c r="Z120" t="s">
        <v>295</v>
      </c>
      <c r="AA120" t="s">
        <v>296</v>
      </c>
      <c r="AB120" t="s">
        <v>297</v>
      </c>
      <c r="AG120">
        <v>8.0000000000000002E-3</v>
      </c>
      <c r="AH120">
        <v>40</v>
      </c>
      <c r="AI120">
        <v>5280</v>
      </c>
      <c r="AJ120">
        <v>10000</v>
      </c>
      <c r="AK120">
        <v>0</v>
      </c>
      <c r="AL120">
        <v>-4720</v>
      </c>
      <c r="AM120">
        <v>10000</v>
      </c>
      <c r="AZ120">
        <f>SUM($AM120,$AN120:AO120)-SUM($BH120:BJ120)</f>
        <v>9520</v>
      </c>
      <c r="BA120">
        <f>SUM($AM120,$AN120:AP120)-SUM($BH120:BK120)</f>
        <v>8080</v>
      </c>
      <c r="BB120">
        <f>SUM($AM120,$AN120:AQ120)-SUM($BH120:BL120)</f>
        <v>8080</v>
      </c>
      <c r="BC120">
        <f>SUM($AM120,$AN120:AR120)-SUM($BH120:BM120)</f>
        <v>8080</v>
      </c>
      <c r="BD120">
        <f>SUM($AM120,$AN120:AS120)-SUM($BH120:BN120)</f>
        <v>8080</v>
      </c>
      <c r="BI120">
        <f t="array" ref="BI120">SUMPRODUCT(TRANSPOSE(BI$4:BI$9),$K120:$P120)</f>
        <v>0</v>
      </c>
      <c r="BJ120">
        <f t="array" ref="BJ120">SUMPRODUCT(TRANSPOSE(BJ$4:BJ$9),$K120:$P120)</f>
        <v>480</v>
      </c>
      <c r="BK120">
        <f t="array" ref="BK120">SUMPRODUCT(TRANSPOSE(BK$4:BK$9),$K120:$P120)</f>
        <v>1440</v>
      </c>
      <c r="BL120">
        <f t="array" ref="BL120">SUMPRODUCT(TRANSPOSE(BL$4:BL$9),$K120:$P120)</f>
        <v>0</v>
      </c>
      <c r="BM120">
        <f t="array" ref="BM120">SUMPRODUCT(TRANSPOSE(BM$4:BM$9),$K120:$P120)</f>
        <v>0</v>
      </c>
      <c r="BN120">
        <f t="array" ref="BN120">SUMPRODUCT(TRANSPOSE(BN$4:BN$9),$K120:$P120)</f>
        <v>0</v>
      </c>
      <c r="BO120" t="s">
        <v>294</v>
      </c>
      <c r="CA120" t="s">
        <v>92</v>
      </c>
      <c r="CB120" t="s">
        <v>295</v>
      </c>
      <c r="CC120" t="s">
        <v>718</v>
      </c>
      <c r="CD120" t="s">
        <v>294</v>
      </c>
      <c r="CE120" t="s">
        <v>85</v>
      </c>
      <c r="CF120">
        <v>1</v>
      </c>
      <c r="CG120">
        <v>10000</v>
      </c>
      <c r="CH120">
        <v>40</v>
      </c>
      <c r="CI120" t="s">
        <v>298</v>
      </c>
      <c r="CJ120" s="1">
        <v>45961</v>
      </c>
      <c r="CK120" t="s">
        <v>304</v>
      </c>
      <c r="CL120" t="s">
        <v>119</v>
      </c>
      <c r="CN120" t="s">
        <v>96</v>
      </c>
      <c r="CO120" t="s">
        <v>509</v>
      </c>
      <c r="CP120">
        <v>4.0000000000000001E-3</v>
      </c>
      <c r="CQ120">
        <v>30000</v>
      </c>
      <c r="CR120" t="b">
        <v>1</v>
      </c>
    </row>
    <row r="121" spans="1:100">
      <c r="A121">
        <v>118</v>
      </c>
      <c r="B121" t="s">
        <v>721</v>
      </c>
      <c r="C121" t="s">
        <v>722</v>
      </c>
      <c r="D121" t="s">
        <v>81</v>
      </c>
      <c r="F121" t="s">
        <v>723</v>
      </c>
      <c r="G121" t="s">
        <v>724</v>
      </c>
      <c r="H121" t="s">
        <v>75</v>
      </c>
      <c r="I121">
        <v>2</v>
      </c>
      <c r="J121">
        <v>1</v>
      </c>
      <c r="K121">
        <v>0</v>
      </c>
      <c r="L121">
        <v>1</v>
      </c>
      <c r="M121">
        <v>0</v>
      </c>
      <c r="N121">
        <v>1</v>
      </c>
      <c r="O121">
        <v>0</v>
      </c>
      <c r="P121">
        <v>0</v>
      </c>
      <c r="Q121">
        <v>2</v>
      </c>
      <c r="R121">
        <v>220</v>
      </c>
      <c r="S121">
        <v>1</v>
      </c>
      <c r="T121">
        <v>220</v>
      </c>
      <c r="U121" t="s">
        <v>725</v>
      </c>
      <c r="W121">
        <v>6.35</v>
      </c>
      <c r="X121">
        <v>1397</v>
      </c>
      <c r="Y121" t="s">
        <v>85</v>
      </c>
      <c r="Z121" t="s">
        <v>726</v>
      </c>
      <c r="AA121" t="s">
        <v>726</v>
      </c>
      <c r="AG121">
        <v>12.7</v>
      </c>
      <c r="AH121">
        <v>1397</v>
      </c>
      <c r="AI121">
        <v>220</v>
      </c>
      <c r="AJ121">
        <v>220</v>
      </c>
      <c r="AK121">
        <v>0</v>
      </c>
      <c r="AL121">
        <v>0</v>
      </c>
      <c r="AM121">
        <v>220</v>
      </c>
      <c r="AZ121">
        <f>SUM($AM121,$AN121:AO121)-SUM($BH121:BJ121)</f>
        <v>200</v>
      </c>
      <c r="BA121">
        <f>SUM($AM121,$AN121:AP121)-SUM($BH121:BK121)</f>
        <v>140</v>
      </c>
      <c r="BB121">
        <f>SUM($AM121,$AN121:AQ121)-SUM($BH121:BL121)</f>
        <v>140</v>
      </c>
      <c r="BC121">
        <f>SUM($AM121,$AN121:AR121)-SUM($BH121:BM121)</f>
        <v>140</v>
      </c>
      <c r="BD121">
        <f>SUM($AM121,$AN121:AS121)-SUM($BH121:BN121)</f>
        <v>140</v>
      </c>
      <c r="BI121">
        <f t="array" ref="BI121">SUMPRODUCT(TRANSPOSE(BI$4:BI$9),$K121:$P121)</f>
        <v>0</v>
      </c>
      <c r="BJ121">
        <f t="array" ref="BJ121">SUMPRODUCT(TRANSPOSE(BJ$4:BJ$9),$K121:$P121)</f>
        <v>20</v>
      </c>
      <c r="BK121">
        <f t="array" ref="BK121">SUMPRODUCT(TRANSPOSE(BK$4:BK$9),$K121:$P121)</f>
        <v>60</v>
      </c>
      <c r="BL121">
        <f t="array" ref="BL121">SUMPRODUCT(TRANSPOSE(BL$4:BL$9),$K121:$P121)</f>
        <v>0</v>
      </c>
      <c r="BM121">
        <f t="array" ref="BM121">SUMPRODUCT(TRANSPOSE(BM$4:BM$9),$K121:$P121)</f>
        <v>0</v>
      </c>
      <c r="BN121">
        <f t="array" ref="BN121">SUMPRODUCT(TRANSPOSE(BN$4:BN$9),$K121:$P121)</f>
        <v>0</v>
      </c>
      <c r="BO121" t="s">
        <v>726</v>
      </c>
      <c r="CA121" t="s">
        <v>177</v>
      </c>
      <c r="CB121" t="s">
        <v>726</v>
      </c>
      <c r="CC121" t="s">
        <v>722</v>
      </c>
      <c r="CD121" t="s">
        <v>727</v>
      </c>
      <c r="CE121" t="s">
        <v>85</v>
      </c>
      <c r="CF121">
        <v>1</v>
      </c>
      <c r="CG121">
        <v>220</v>
      </c>
      <c r="CH121">
        <v>1397</v>
      </c>
      <c r="CI121" t="s">
        <v>728</v>
      </c>
      <c r="CJ121" s="1">
        <v>45961</v>
      </c>
      <c r="CL121" t="s">
        <v>119</v>
      </c>
      <c r="CN121" t="s">
        <v>96</v>
      </c>
      <c r="CO121" t="s">
        <v>729</v>
      </c>
      <c r="CP121">
        <v>6.35</v>
      </c>
      <c r="CQ121">
        <v>1067</v>
      </c>
      <c r="CR121" t="b">
        <v>1</v>
      </c>
    </row>
    <row r="122" spans="1:100">
      <c r="A122">
        <v>119</v>
      </c>
      <c r="B122" t="s">
        <v>730</v>
      </c>
      <c r="C122" t="s">
        <v>731</v>
      </c>
      <c r="D122" t="s">
        <v>81</v>
      </c>
      <c r="F122" t="s">
        <v>732</v>
      </c>
      <c r="G122" t="s">
        <v>733</v>
      </c>
      <c r="H122" t="s">
        <v>75</v>
      </c>
      <c r="I122">
        <v>2</v>
      </c>
      <c r="J122">
        <v>1</v>
      </c>
      <c r="K122">
        <v>0</v>
      </c>
      <c r="L122">
        <v>1</v>
      </c>
      <c r="M122">
        <v>0</v>
      </c>
      <c r="N122">
        <v>1</v>
      </c>
      <c r="O122">
        <v>0</v>
      </c>
      <c r="P122">
        <v>0</v>
      </c>
      <c r="Q122">
        <v>2</v>
      </c>
      <c r="R122">
        <v>220</v>
      </c>
      <c r="S122">
        <v>1</v>
      </c>
      <c r="T122">
        <v>220</v>
      </c>
      <c r="U122" t="s">
        <v>725</v>
      </c>
      <c r="W122">
        <v>6.8</v>
      </c>
      <c r="X122">
        <v>1496</v>
      </c>
      <c r="Y122" t="s">
        <v>85</v>
      </c>
      <c r="Z122" t="s">
        <v>726</v>
      </c>
      <c r="AA122" t="s">
        <v>726</v>
      </c>
      <c r="AG122">
        <v>13.6</v>
      </c>
      <c r="AH122">
        <v>1496</v>
      </c>
      <c r="AI122">
        <v>220</v>
      </c>
      <c r="AJ122">
        <v>220</v>
      </c>
      <c r="AK122">
        <v>0</v>
      </c>
      <c r="AL122">
        <v>0</v>
      </c>
      <c r="AM122">
        <v>220</v>
      </c>
      <c r="AZ122">
        <f>SUM($AM122,$AN122:AO122)-SUM($BH122:BJ122)</f>
        <v>200</v>
      </c>
      <c r="BA122">
        <f>SUM($AM122,$AN122:AP122)-SUM($BH122:BK122)</f>
        <v>140</v>
      </c>
      <c r="BB122">
        <f>SUM($AM122,$AN122:AQ122)-SUM($BH122:BL122)</f>
        <v>140</v>
      </c>
      <c r="BC122">
        <f>SUM($AM122,$AN122:AR122)-SUM($BH122:BM122)</f>
        <v>140</v>
      </c>
      <c r="BD122">
        <f>SUM($AM122,$AN122:AS122)-SUM($BH122:BN122)</f>
        <v>140</v>
      </c>
      <c r="BI122">
        <f t="array" ref="BI122">SUMPRODUCT(TRANSPOSE(BI$4:BI$9),$K122:$P122)</f>
        <v>0</v>
      </c>
      <c r="BJ122">
        <f t="array" ref="BJ122">SUMPRODUCT(TRANSPOSE(BJ$4:BJ$9),$K122:$P122)</f>
        <v>20</v>
      </c>
      <c r="BK122">
        <f t="array" ref="BK122">SUMPRODUCT(TRANSPOSE(BK$4:BK$9),$K122:$P122)</f>
        <v>60</v>
      </c>
      <c r="BL122">
        <f t="array" ref="BL122">SUMPRODUCT(TRANSPOSE(BL$4:BL$9),$K122:$P122)</f>
        <v>0</v>
      </c>
      <c r="BM122">
        <f t="array" ref="BM122">SUMPRODUCT(TRANSPOSE(BM$4:BM$9),$K122:$P122)</f>
        <v>0</v>
      </c>
      <c r="BN122">
        <f t="array" ref="BN122">SUMPRODUCT(TRANSPOSE(BN$4:BN$9),$K122:$P122)</f>
        <v>0</v>
      </c>
      <c r="BO122" t="s">
        <v>726</v>
      </c>
      <c r="CA122" t="s">
        <v>177</v>
      </c>
      <c r="CB122" t="s">
        <v>726</v>
      </c>
      <c r="CC122" t="s">
        <v>731</v>
      </c>
      <c r="CD122" t="s">
        <v>727</v>
      </c>
      <c r="CE122" t="s">
        <v>85</v>
      </c>
      <c r="CF122">
        <v>1</v>
      </c>
      <c r="CG122">
        <v>220</v>
      </c>
      <c r="CH122">
        <v>1496</v>
      </c>
      <c r="CI122" t="s">
        <v>728</v>
      </c>
      <c r="CJ122" s="1">
        <v>45961</v>
      </c>
      <c r="CL122" t="s">
        <v>119</v>
      </c>
      <c r="CN122" t="s">
        <v>96</v>
      </c>
      <c r="CO122" t="s">
        <v>729</v>
      </c>
      <c r="CP122">
        <v>6.8</v>
      </c>
      <c r="CQ122">
        <v>1067</v>
      </c>
      <c r="CR122" t="b">
        <v>1</v>
      </c>
      <c r="CU122" t="s">
        <v>734</v>
      </c>
    </row>
    <row r="123" spans="1:100">
      <c r="A123">
        <v>120</v>
      </c>
      <c r="B123" t="s">
        <v>735</v>
      </c>
      <c r="C123" t="s">
        <v>736</v>
      </c>
      <c r="D123" t="s">
        <v>81</v>
      </c>
      <c r="F123" t="s">
        <v>737</v>
      </c>
      <c r="G123" t="s">
        <v>738</v>
      </c>
      <c r="H123" t="s">
        <v>75</v>
      </c>
      <c r="I123">
        <v>2</v>
      </c>
      <c r="J123">
        <v>1</v>
      </c>
      <c r="K123">
        <v>0</v>
      </c>
      <c r="L123">
        <v>1</v>
      </c>
      <c r="M123">
        <v>0</v>
      </c>
      <c r="N123">
        <v>1</v>
      </c>
      <c r="O123">
        <v>0</v>
      </c>
      <c r="P123">
        <v>0</v>
      </c>
      <c r="Q123">
        <v>2</v>
      </c>
      <c r="R123">
        <v>220</v>
      </c>
      <c r="S123">
        <v>1</v>
      </c>
      <c r="T123">
        <v>220</v>
      </c>
      <c r="U123" t="s">
        <v>725</v>
      </c>
      <c r="W123">
        <v>7.5</v>
      </c>
      <c r="X123">
        <v>1650</v>
      </c>
      <c r="Y123" t="s">
        <v>85</v>
      </c>
      <c r="Z123" t="s">
        <v>726</v>
      </c>
      <c r="AA123" t="s">
        <v>726</v>
      </c>
      <c r="AG123">
        <v>15</v>
      </c>
      <c r="AH123">
        <v>1650</v>
      </c>
      <c r="AI123">
        <v>220</v>
      </c>
      <c r="AJ123">
        <v>220</v>
      </c>
      <c r="AK123">
        <v>0</v>
      </c>
      <c r="AL123">
        <v>0</v>
      </c>
      <c r="AM123">
        <v>220</v>
      </c>
      <c r="AZ123">
        <f>SUM($AM123,$AN123:AO123)-SUM($BH123:BJ123)</f>
        <v>200</v>
      </c>
      <c r="BA123">
        <f>SUM($AM123,$AN123:AP123)-SUM($BH123:BK123)</f>
        <v>140</v>
      </c>
      <c r="BB123">
        <f>SUM($AM123,$AN123:AQ123)-SUM($BH123:BL123)</f>
        <v>140</v>
      </c>
      <c r="BC123">
        <f>SUM($AM123,$AN123:AR123)-SUM($BH123:BM123)</f>
        <v>140</v>
      </c>
      <c r="BD123">
        <f>SUM($AM123,$AN123:AS123)-SUM($BH123:BN123)</f>
        <v>140</v>
      </c>
      <c r="BI123">
        <f t="array" ref="BI123">SUMPRODUCT(TRANSPOSE(BI$4:BI$9),$K123:$P123)</f>
        <v>0</v>
      </c>
      <c r="BJ123">
        <f t="array" ref="BJ123">SUMPRODUCT(TRANSPOSE(BJ$4:BJ$9),$K123:$P123)</f>
        <v>20</v>
      </c>
      <c r="BK123">
        <f t="array" ref="BK123">SUMPRODUCT(TRANSPOSE(BK$4:BK$9),$K123:$P123)</f>
        <v>60</v>
      </c>
      <c r="BL123">
        <f t="array" ref="BL123">SUMPRODUCT(TRANSPOSE(BL$4:BL$9),$K123:$P123)</f>
        <v>0</v>
      </c>
      <c r="BM123">
        <f t="array" ref="BM123">SUMPRODUCT(TRANSPOSE(BM$4:BM$9),$K123:$P123)</f>
        <v>0</v>
      </c>
      <c r="BN123">
        <f t="array" ref="BN123">SUMPRODUCT(TRANSPOSE(BN$4:BN$9),$K123:$P123)</f>
        <v>0</v>
      </c>
      <c r="BO123" t="s">
        <v>726</v>
      </c>
      <c r="CA123" t="s">
        <v>177</v>
      </c>
      <c r="CB123" t="s">
        <v>726</v>
      </c>
      <c r="CC123" t="s">
        <v>736</v>
      </c>
      <c r="CD123" t="s">
        <v>727</v>
      </c>
      <c r="CE123" t="s">
        <v>85</v>
      </c>
      <c r="CF123">
        <v>1</v>
      </c>
      <c r="CG123">
        <v>220</v>
      </c>
      <c r="CH123">
        <v>1650</v>
      </c>
      <c r="CI123" t="s">
        <v>728</v>
      </c>
      <c r="CJ123" s="1">
        <v>45961</v>
      </c>
      <c r="CL123" t="s">
        <v>119</v>
      </c>
      <c r="CN123" t="s">
        <v>96</v>
      </c>
      <c r="CO123" t="s">
        <v>729</v>
      </c>
      <c r="CP123">
        <v>7.5</v>
      </c>
      <c r="CQ123">
        <v>1327</v>
      </c>
      <c r="CR123" t="b">
        <v>1</v>
      </c>
    </row>
    <row r="124" spans="1:100">
      <c r="A124">
        <v>79</v>
      </c>
      <c r="B124" t="s">
        <v>739</v>
      </c>
      <c r="C124" t="s">
        <v>740</v>
      </c>
      <c r="D124" t="s">
        <v>81</v>
      </c>
      <c r="E124" t="s">
        <v>741</v>
      </c>
      <c r="F124">
        <v>400538428</v>
      </c>
      <c r="G124" t="s">
        <v>742</v>
      </c>
      <c r="H124" t="s">
        <v>75</v>
      </c>
      <c r="I124">
        <v>2</v>
      </c>
      <c r="J124">
        <v>11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11</v>
      </c>
      <c r="Q124">
        <v>11</v>
      </c>
      <c r="R124">
        <v>2420</v>
      </c>
      <c r="S124">
        <v>4000</v>
      </c>
      <c r="T124">
        <v>4000</v>
      </c>
      <c r="U124" t="s">
        <v>277</v>
      </c>
      <c r="W124">
        <v>0.12</v>
      </c>
      <c r="X124">
        <v>480</v>
      </c>
      <c r="Y124" t="s">
        <v>85</v>
      </c>
      <c r="Z124" t="s">
        <v>565</v>
      </c>
      <c r="AA124" t="s">
        <v>566</v>
      </c>
      <c r="AB124" t="s">
        <v>567</v>
      </c>
      <c r="AG124">
        <v>0.24</v>
      </c>
      <c r="AH124">
        <v>480</v>
      </c>
      <c r="AI124">
        <v>2420</v>
      </c>
      <c r="AJ124">
        <v>4000</v>
      </c>
      <c r="AK124">
        <v>0</v>
      </c>
      <c r="AL124">
        <v>-1580</v>
      </c>
      <c r="AM124">
        <v>4000</v>
      </c>
      <c r="AZ124">
        <f>SUM($AM124,$AN124:AO124)-SUM($BH124:BJ124)</f>
        <v>3780</v>
      </c>
      <c r="BA124">
        <f>SUM($AM124,$AN124:AP124)-SUM($BH124:BK124)</f>
        <v>3120</v>
      </c>
      <c r="BB124">
        <f>SUM($AM124,$AN124:AQ124)-SUM($BH124:BL124)</f>
        <v>3120</v>
      </c>
      <c r="BC124">
        <f>SUM($AM124,$AN124:AR124)-SUM($BH124:BM124)</f>
        <v>3120</v>
      </c>
      <c r="BD124">
        <f>SUM($AM124,$AN124:AS124)-SUM($BH124:BN124)</f>
        <v>3120</v>
      </c>
      <c r="BI124">
        <f t="array" ref="BI124">SUMPRODUCT(TRANSPOSE(BI$4:BI$9),$K124:$P124)</f>
        <v>0</v>
      </c>
      <c r="BJ124">
        <f t="array" ref="BJ124">SUMPRODUCT(TRANSPOSE(BJ$4:BJ$9),$K124:$P124)</f>
        <v>220</v>
      </c>
      <c r="BK124">
        <f t="array" ref="BK124">SUMPRODUCT(TRANSPOSE(BK$4:BK$9),$K124:$P124)</f>
        <v>660</v>
      </c>
      <c r="BL124">
        <f t="array" ref="BL124">SUMPRODUCT(TRANSPOSE(BL$4:BL$9),$K124:$P124)</f>
        <v>0</v>
      </c>
      <c r="BM124">
        <f t="array" ref="BM124">SUMPRODUCT(TRANSPOSE(BM$4:BM$9),$K124:$P124)</f>
        <v>0</v>
      </c>
      <c r="BN124">
        <f t="array" ref="BN124">SUMPRODUCT(TRANSPOSE(BN$4:BN$9),$K124:$P124)</f>
        <v>0</v>
      </c>
      <c r="BO124" t="s">
        <v>277</v>
      </c>
      <c r="CA124" t="s">
        <v>177</v>
      </c>
      <c r="CB124" t="s">
        <v>565</v>
      </c>
      <c r="CC124" t="s">
        <v>740</v>
      </c>
      <c r="CD124" t="s">
        <v>277</v>
      </c>
      <c r="CE124" t="s">
        <v>85</v>
      </c>
      <c r="CF124">
        <v>1</v>
      </c>
      <c r="CG124">
        <v>4000</v>
      </c>
      <c r="CH124">
        <v>480</v>
      </c>
      <c r="CI124" t="s">
        <v>568</v>
      </c>
      <c r="CJ124" s="1">
        <v>45961</v>
      </c>
      <c r="CL124" t="s">
        <v>119</v>
      </c>
      <c r="CN124" t="s">
        <v>96</v>
      </c>
      <c r="CO124" t="s">
        <v>569</v>
      </c>
      <c r="CP124">
        <v>0.12</v>
      </c>
      <c r="CQ124">
        <v>12000</v>
      </c>
      <c r="CR124" t="b">
        <v>1</v>
      </c>
    </row>
    <row r="125" spans="1:100">
      <c r="A125">
        <v>124</v>
      </c>
      <c r="B125" t="s">
        <v>743</v>
      </c>
      <c r="C125" t="s">
        <v>744</v>
      </c>
      <c r="D125" t="s">
        <v>81</v>
      </c>
      <c r="F125">
        <v>400174386</v>
      </c>
      <c r="G125" t="s">
        <v>745</v>
      </c>
      <c r="H125" t="s">
        <v>75</v>
      </c>
      <c r="I125">
        <v>2</v>
      </c>
      <c r="J125">
        <v>1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1</v>
      </c>
      <c r="Q125">
        <v>1</v>
      </c>
      <c r="R125">
        <v>220</v>
      </c>
      <c r="S125">
        <v>27</v>
      </c>
      <c r="T125">
        <v>243</v>
      </c>
      <c r="U125" t="s">
        <v>746</v>
      </c>
      <c r="W125">
        <v>177.61</v>
      </c>
      <c r="X125">
        <v>43159.23</v>
      </c>
      <c r="Y125" t="s">
        <v>85</v>
      </c>
      <c r="Z125" t="s">
        <v>746</v>
      </c>
      <c r="AA125" t="s">
        <v>747</v>
      </c>
      <c r="AB125" t="s">
        <v>748</v>
      </c>
      <c r="AG125">
        <v>355.22</v>
      </c>
      <c r="AH125">
        <v>43159.23</v>
      </c>
      <c r="AI125">
        <v>220</v>
      </c>
      <c r="AJ125">
        <v>243</v>
      </c>
      <c r="AK125">
        <v>0</v>
      </c>
      <c r="AL125">
        <v>-23</v>
      </c>
      <c r="AM125">
        <v>243</v>
      </c>
      <c r="AZ125">
        <f>SUM($AM125,$AN125:AO125)-SUM($BH125:BJ125)</f>
        <v>223</v>
      </c>
      <c r="BA125">
        <f>SUM($AM125,$AN125:AP125)-SUM($BH125:BK125)</f>
        <v>163</v>
      </c>
      <c r="BB125">
        <f>SUM($AM125,$AN125:AQ125)-SUM($BH125:BL125)</f>
        <v>163</v>
      </c>
      <c r="BC125">
        <f>SUM($AM125,$AN125:AR125)-SUM($BH125:BM125)</f>
        <v>163</v>
      </c>
      <c r="BD125">
        <f>SUM($AM125,$AN125:AS125)-SUM($BH125:BN125)</f>
        <v>163</v>
      </c>
      <c r="BI125">
        <f t="array" ref="BI125">SUMPRODUCT(TRANSPOSE(BI$4:BI$9),$K125:$P125)</f>
        <v>0</v>
      </c>
      <c r="BJ125">
        <f t="array" ref="BJ125">SUMPRODUCT(TRANSPOSE(BJ$4:BJ$9),$K125:$P125)</f>
        <v>20</v>
      </c>
      <c r="BK125">
        <f t="array" ref="BK125">SUMPRODUCT(TRANSPOSE(BK$4:BK$9),$K125:$P125)</f>
        <v>60</v>
      </c>
      <c r="BL125">
        <f t="array" ref="BL125">SUMPRODUCT(TRANSPOSE(BL$4:BL$9),$K125:$P125)</f>
        <v>0</v>
      </c>
      <c r="BM125">
        <f t="array" ref="BM125">SUMPRODUCT(TRANSPOSE(BM$4:BM$9),$K125:$P125)</f>
        <v>0</v>
      </c>
      <c r="BN125">
        <f t="array" ref="BN125">SUMPRODUCT(TRANSPOSE(BN$4:BN$9),$K125:$P125)</f>
        <v>0</v>
      </c>
      <c r="BO125" t="s">
        <v>746</v>
      </c>
      <c r="BR125" t="s">
        <v>533</v>
      </c>
      <c r="BS125" t="s">
        <v>749</v>
      </c>
      <c r="CA125" t="s">
        <v>92</v>
      </c>
      <c r="CB125" t="s">
        <v>535</v>
      </c>
      <c r="CC125" t="s">
        <v>744</v>
      </c>
      <c r="CD125" t="s">
        <v>746</v>
      </c>
      <c r="CE125" t="s">
        <v>85</v>
      </c>
      <c r="CF125">
        <v>1</v>
      </c>
      <c r="CG125">
        <v>243</v>
      </c>
      <c r="CH125">
        <v>43159.23</v>
      </c>
      <c r="CI125" t="s">
        <v>536</v>
      </c>
      <c r="CJ125" s="1">
        <v>45961</v>
      </c>
      <c r="CL125" t="s">
        <v>119</v>
      </c>
      <c r="CN125" t="s">
        <v>96</v>
      </c>
      <c r="CO125" t="s">
        <v>457</v>
      </c>
      <c r="CP125">
        <v>177.61</v>
      </c>
      <c r="CQ125">
        <v>1080</v>
      </c>
      <c r="CR125" t="b">
        <v>1</v>
      </c>
    </row>
    <row r="126" spans="1:100">
      <c r="A126">
        <v>125</v>
      </c>
      <c r="B126" t="s">
        <v>750</v>
      </c>
      <c r="C126" t="s">
        <v>751</v>
      </c>
      <c r="D126" t="s">
        <v>81</v>
      </c>
      <c r="F126">
        <v>411359913</v>
      </c>
      <c r="G126" t="s">
        <v>752</v>
      </c>
      <c r="H126" t="s">
        <v>75</v>
      </c>
      <c r="I126">
        <v>2</v>
      </c>
      <c r="J126">
        <v>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1</v>
      </c>
      <c r="Q126">
        <v>1</v>
      </c>
      <c r="R126">
        <v>220</v>
      </c>
      <c r="S126">
        <v>44</v>
      </c>
      <c r="T126">
        <v>220</v>
      </c>
      <c r="U126" t="s">
        <v>753</v>
      </c>
      <c r="W126">
        <v>4.0276800000000001</v>
      </c>
      <c r="X126">
        <v>886.08960000000002</v>
      </c>
      <c r="Y126" t="s">
        <v>85</v>
      </c>
      <c r="Z126" t="s">
        <v>753</v>
      </c>
      <c r="AA126" t="s">
        <v>747</v>
      </c>
      <c r="AB126" t="s">
        <v>748</v>
      </c>
      <c r="AG126">
        <v>8.0553600000000003</v>
      </c>
      <c r="AH126">
        <v>886.08960000000002</v>
      </c>
      <c r="AI126">
        <v>220</v>
      </c>
      <c r="AJ126">
        <v>220</v>
      </c>
      <c r="AK126">
        <v>0</v>
      </c>
      <c r="AL126">
        <v>-80</v>
      </c>
      <c r="AM126">
        <v>300</v>
      </c>
      <c r="AZ126">
        <f>SUM($AM126,$AN126:AO126)-SUM($BH126:BJ126)</f>
        <v>280</v>
      </c>
      <c r="BA126">
        <f>SUM($AM126,$AN126:AP126)-SUM($BH126:BK126)</f>
        <v>220</v>
      </c>
      <c r="BB126">
        <f>SUM($AM126,$AN126:AQ126)-SUM($BH126:BL126)</f>
        <v>220</v>
      </c>
      <c r="BC126">
        <f>SUM($AM126,$AN126:AR126)-SUM($BH126:BM126)</f>
        <v>220</v>
      </c>
      <c r="BD126">
        <f>SUM($AM126,$AN126:AS126)-SUM($BH126:BN126)</f>
        <v>220</v>
      </c>
      <c r="BI126">
        <f t="array" ref="BI126">SUMPRODUCT(TRANSPOSE(BI$4:BI$9),$K126:$P126)</f>
        <v>0</v>
      </c>
      <c r="BJ126">
        <f t="array" ref="BJ126">SUMPRODUCT(TRANSPOSE(BJ$4:BJ$9),$K126:$P126)</f>
        <v>20</v>
      </c>
      <c r="BK126">
        <f t="array" ref="BK126">SUMPRODUCT(TRANSPOSE(BK$4:BK$9),$K126:$P126)</f>
        <v>60</v>
      </c>
      <c r="BL126">
        <f t="array" ref="BL126">SUMPRODUCT(TRANSPOSE(BL$4:BL$9),$K126:$P126)</f>
        <v>0</v>
      </c>
      <c r="BM126">
        <f t="array" ref="BM126">SUMPRODUCT(TRANSPOSE(BM$4:BM$9),$K126:$P126)</f>
        <v>0</v>
      </c>
      <c r="BN126">
        <f t="array" ref="BN126">SUMPRODUCT(TRANSPOSE(BN$4:BN$9),$K126:$P126)</f>
        <v>0</v>
      </c>
      <c r="BO126" t="s">
        <v>753</v>
      </c>
      <c r="BR126" t="s">
        <v>533</v>
      </c>
      <c r="BS126" t="s">
        <v>749</v>
      </c>
      <c r="CA126" t="s">
        <v>177</v>
      </c>
      <c r="CB126" t="s">
        <v>535</v>
      </c>
      <c r="CC126" t="s">
        <v>751</v>
      </c>
      <c r="CD126" t="s">
        <v>753</v>
      </c>
      <c r="CE126" t="s">
        <v>85</v>
      </c>
      <c r="CF126">
        <v>1</v>
      </c>
      <c r="CG126">
        <v>220</v>
      </c>
      <c r="CH126">
        <v>864.6</v>
      </c>
      <c r="CI126" t="s">
        <v>536</v>
      </c>
      <c r="CJ126" s="1">
        <v>45961</v>
      </c>
      <c r="CK126" t="s">
        <v>304</v>
      </c>
      <c r="CL126" t="s">
        <v>119</v>
      </c>
      <c r="CN126" t="s">
        <v>96</v>
      </c>
      <c r="CO126" t="s">
        <v>457</v>
      </c>
      <c r="CP126">
        <v>4.0276800000000001</v>
      </c>
      <c r="CQ126">
        <v>1100</v>
      </c>
      <c r="CR126" t="b">
        <v>0</v>
      </c>
      <c r="CV126" t="s">
        <v>754</v>
      </c>
    </row>
    <row r="127" spans="1:100">
      <c r="A127">
        <v>81</v>
      </c>
      <c r="B127" t="s">
        <v>755</v>
      </c>
      <c r="C127" t="s">
        <v>756</v>
      </c>
      <c r="D127" t="s">
        <v>81</v>
      </c>
      <c r="E127" t="s">
        <v>757</v>
      </c>
      <c r="F127">
        <v>405656805</v>
      </c>
      <c r="G127" t="s">
        <v>758</v>
      </c>
      <c r="H127" t="s">
        <v>75</v>
      </c>
      <c r="I127">
        <v>2</v>
      </c>
      <c r="J127">
        <v>197</v>
      </c>
      <c r="K127">
        <v>0</v>
      </c>
      <c r="L127">
        <v>0</v>
      </c>
      <c r="M127">
        <v>0</v>
      </c>
      <c r="N127">
        <v>0</v>
      </c>
      <c r="O127">
        <v>197</v>
      </c>
      <c r="P127">
        <v>0</v>
      </c>
      <c r="Q127">
        <v>197</v>
      </c>
      <c r="R127">
        <v>43340</v>
      </c>
      <c r="S127">
        <v>1000</v>
      </c>
      <c r="T127">
        <v>44000</v>
      </c>
      <c r="U127" t="s">
        <v>277</v>
      </c>
      <c r="W127">
        <v>9.8000000000000004E-2</v>
      </c>
      <c r="X127">
        <v>4312</v>
      </c>
      <c r="Y127" t="s">
        <v>85</v>
      </c>
      <c r="Z127" t="s">
        <v>598</v>
      </c>
      <c r="AA127" t="s">
        <v>598</v>
      </c>
      <c r="AG127">
        <v>0.19600000000000001</v>
      </c>
      <c r="AH127">
        <v>4312</v>
      </c>
      <c r="AI127">
        <v>43340</v>
      </c>
      <c r="AJ127">
        <v>44000</v>
      </c>
      <c r="AK127">
        <v>0</v>
      </c>
      <c r="AL127">
        <v>-660</v>
      </c>
      <c r="AM127">
        <v>44000</v>
      </c>
      <c r="AZ127">
        <f>SUM($AM127,$AN127:AO127)-SUM($BH127:BJ127)</f>
        <v>40060</v>
      </c>
      <c r="BA127">
        <f>SUM($AM127,$AN127:AP127)-SUM($BH127:BK127)</f>
        <v>28240</v>
      </c>
      <c r="BB127">
        <f>SUM($AM127,$AN127:AQ127)-SUM($BH127:BL127)</f>
        <v>28240</v>
      </c>
      <c r="BC127">
        <f>SUM($AM127,$AN127:AR127)-SUM($BH127:BM127)</f>
        <v>28240</v>
      </c>
      <c r="BD127">
        <f>SUM($AM127,$AN127:AS127)-SUM($BH127:BN127)</f>
        <v>28240</v>
      </c>
      <c r="BI127">
        <f t="array" ref="BI127">SUMPRODUCT(TRANSPOSE(BI$4:BI$9),$K127:$P127)</f>
        <v>0</v>
      </c>
      <c r="BJ127">
        <f t="array" ref="BJ127">SUMPRODUCT(TRANSPOSE(BJ$4:BJ$9),$K127:$P127)</f>
        <v>3940</v>
      </c>
      <c r="BK127">
        <f t="array" ref="BK127">SUMPRODUCT(TRANSPOSE(BK$4:BK$9),$K127:$P127)</f>
        <v>11820</v>
      </c>
      <c r="BL127">
        <f t="array" ref="BL127">SUMPRODUCT(TRANSPOSE(BL$4:BL$9),$K127:$P127)</f>
        <v>0</v>
      </c>
      <c r="BM127">
        <f t="array" ref="BM127">SUMPRODUCT(TRANSPOSE(BM$4:BM$9),$K127:$P127)</f>
        <v>0</v>
      </c>
      <c r="BN127">
        <f t="array" ref="BN127">SUMPRODUCT(TRANSPOSE(BN$4:BN$9),$K127:$P127)</f>
        <v>0</v>
      </c>
      <c r="BO127" t="s">
        <v>598</v>
      </c>
      <c r="CA127" t="s">
        <v>177</v>
      </c>
      <c r="CB127" t="s">
        <v>759</v>
      </c>
      <c r="CC127" t="s">
        <v>760</v>
      </c>
      <c r="CD127" t="s">
        <v>598</v>
      </c>
      <c r="CE127" t="s">
        <v>85</v>
      </c>
      <c r="CF127">
        <v>1</v>
      </c>
      <c r="CG127">
        <v>44000</v>
      </c>
      <c r="CH127">
        <v>4312</v>
      </c>
      <c r="CI127" t="s">
        <v>761</v>
      </c>
      <c r="CJ127" s="1">
        <v>46008</v>
      </c>
      <c r="CL127" t="s">
        <v>119</v>
      </c>
      <c r="CN127" t="s">
        <v>96</v>
      </c>
      <c r="CO127" t="s">
        <v>759</v>
      </c>
      <c r="CP127">
        <v>9.8000000000000004E-2</v>
      </c>
      <c r="CQ127">
        <v>114000</v>
      </c>
      <c r="CR127" t="b">
        <v>1</v>
      </c>
    </row>
    <row r="128" spans="1:100">
      <c r="A128">
        <v>121</v>
      </c>
      <c r="B128" t="s">
        <v>762</v>
      </c>
      <c r="C128" t="s">
        <v>763</v>
      </c>
      <c r="D128" t="s">
        <v>81</v>
      </c>
      <c r="E128" t="s">
        <v>764</v>
      </c>
      <c r="F128">
        <v>400052375</v>
      </c>
      <c r="G128" t="s">
        <v>765</v>
      </c>
      <c r="H128" t="s">
        <v>75</v>
      </c>
      <c r="I128">
        <v>2</v>
      </c>
      <c r="J128">
        <v>2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2</v>
      </c>
      <c r="Q128">
        <v>2</v>
      </c>
      <c r="R128">
        <v>440</v>
      </c>
      <c r="S128">
        <v>2500</v>
      </c>
      <c r="T128">
        <v>2500</v>
      </c>
      <c r="U128" t="s">
        <v>308</v>
      </c>
      <c r="W128">
        <v>0.52529999999999999</v>
      </c>
      <c r="X128">
        <v>1313.25</v>
      </c>
      <c r="Y128" t="s">
        <v>85</v>
      </c>
      <c r="Z128" t="s">
        <v>535</v>
      </c>
      <c r="AA128" t="s">
        <v>766</v>
      </c>
      <c r="AB128" t="s">
        <v>767</v>
      </c>
      <c r="AG128">
        <v>1.0506</v>
      </c>
      <c r="AH128">
        <v>1313.25</v>
      </c>
      <c r="AI128">
        <v>440</v>
      </c>
      <c r="AJ128">
        <v>2500</v>
      </c>
      <c r="AK128">
        <v>0</v>
      </c>
      <c r="AL128">
        <v>-2060</v>
      </c>
      <c r="AM128">
        <v>2500</v>
      </c>
      <c r="AZ128">
        <f>SUM($AM128,$AN128:AO128)-SUM($BH128:BJ128)</f>
        <v>2460</v>
      </c>
      <c r="BA128">
        <f>SUM($AM128,$AN128:AP128)-SUM($BH128:BK128)</f>
        <v>2340</v>
      </c>
      <c r="BB128">
        <f>SUM($AM128,$AN128:AQ128)-SUM($BH128:BL128)</f>
        <v>2340</v>
      </c>
      <c r="BC128">
        <f>SUM($AM128,$AN128:AR128)-SUM($BH128:BM128)</f>
        <v>2340</v>
      </c>
      <c r="BD128">
        <f>SUM($AM128,$AN128:AS128)-SUM($BH128:BN128)</f>
        <v>2340</v>
      </c>
      <c r="BI128">
        <f t="array" ref="BI128">SUMPRODUCT(TRANSPOSE(BI$4:BI$9),$K128:$P128)</f>
        <v>0</v>
      </c>
      <c r="BJ128">
        <f t="array" ref="BJ128">SUMPRODUCT(TRANSPOSE(BJ$4:BJ$9),$K128:$P128)</f>
        <v>40</v>
      </c>
      <c r="BK128">
        <f t="array" ref="BK128">SUMPRODUCT(TRANSPOSE(BK$4:BK$9),$K128:$P128)</f>
        <v>120</v>
      </c>
      <c r="BL128">
        <f t="array" ref="BL128">SUMPRODUCT(TRANSPOSE(BL$4:BL$9),$K128:$P128)</f>
        <v>0</v>
      </c>
      <c r="BM128">
        <f t="array" ref="BM128">SUMPRODUCT(TRANSPOSE(BM$4:BM$9),$K128:$P128)</f>
        <v>0</v>
      </c>
      <c r="BN128">
        <f t="array" ref="BN128">SUMPRODUCT(TRANSPOSE(BN$4:BN$9),$K128:$P128)</f>
        <v>0</v>
      </c>
      <c r="BO128" t="s">
        <v>308</v>
      </c>
      <c r="BS128" t="s">
        <v>259</v>
      </c>
      <c r="BU128">
        <v>0.57999999999999996</v>
      </c>
      <c r="BW128" t="s">
        <v>259</v>
      </c>
      <c r="CA128" t="s">
        <v>92</v>
      </c>
      <c r="CB128" t="s">
        <v>535</v>
      </c>
      <c r="CC128" t="s">
        <v>763</v>
      </c>
      <c r="CD128" t="s">
        <v>308</v>
      </c>
      <c r="CE128" t="s">
        <v>85</v>
      </c>
      <c r="CF128">
        <v>1</v>
      </c>
      <c r="CG128">
        <v>2500</v>
      </c>
      <c r="CH128">
        <v>1325</v>
      </c>
      <c r="CI128" t="s">
        <v>536</v>
      </c>
      <c r="CJ128" s="1">
        <v>45961</v>
      </c>
      <c r="CK128" t="s">
        <v>95</v>
      </c>
      <c r="CL128" t="s">
        <v>119</v>
      </c>
      <c r="CN128" t="s">
        <v>96</v>
      </c>
      <c r="CO128" t="s">
        <v>457</v>
      </c>
      <c r="CP128">
        <v>0.52529999999999999</v>
      </c>
      <c r="CQ128">
        <v>2500</v>
      </c>
      <c r="CR128" t="b">
        <v>0</v>
      </c>
      <c r="CT128">
        <v>0.57999999999999996</v>
      </c>
    </row>
    <row r="129" spans="1:100">
      <c r="A129">
        <v>129</v>
      </c>
      <c r="B129" t="s">
        <v>768</v>
      </c>
      <c r="C129" t="s">
        <v>769</v>
      </c>
      <c r="D129" t="s">
        <v>81</v>
      </c>
      <c r="F129">
        <v>400703056</v>
      </c>
      <c r="G129" t="s">
        <v>770</v>
      </c>
      <c r="H129" t="s">
        <v>75</v>
      </c>
      <c r="I129">
        <v>2</v>
      </c>
      <c r="J129">
        <v>1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1</v>
      </c>
      <c r="Q129">
        <v>1</v>
      </c>
      <c r="R129">
        <v>220</v>
      </c>
      <c r="S129">
        <v>100</v>
      </c>
      <c r="T129">
        <v>300</v>
      </c>
      <c r="U129" t="s">
        <v>380</v>
      </c>
      <c r="W129">
        <v>0.14000000000000001</v>
      </c>
      <c r="X129">
        <v>42.000000000000007</v>
      </c>
      <c r="Y129" t="s">
        <v>85</v>
      </c>
      <c r="Z129" t="s">
        <v>86</v>
      </c>
      <c r="AA129" t="s">
        <v>87</v>
      </c>
      <c r="AB129" t="s">
        <v>88</v>
      </c>
      <c r="AC129" t="s">
        <v>89</v>
      </c>
      <c r="AG129">
        <v>0.28000000000000003</v>
      </c>
      <c r="AH129">
        <v>42.000000000000007</v>
      </c>
      <c r="AI129">
        <v>220</v>
      </c>
      <c r="AJ129">
        <v>3000</v>
      </c>
      <c r="AK129">
        <v>0</v>
      </c>
      <c r="AL129">
        <v>-2780</v>
      </c>
      <c r="AM129">
        <v>3000</v>
      </c>
      <c r="AZ129">
        <f>SUM($AM129,$AN129:AO129)-SUM($BH129:BJ129)</f>
        <v>2980</v>
      </c>
      <c r="BA129">
        <f>SUM($AM129,$AN129:AP129)-SUM($BH129:BK129)</f>
        <v>2920</v>
      </c>
      <c r="BB129">
        <f>SUM($AM129,$AN129:AQ129)-SUM($BH129:BL129)</f>
        <v>2920</v>
      </c>
      <c r="BC129">
        <f>SUM($AM129,$AN129:AR129)-SUM($BH129:BM129)</f>
        <v>2920</v>
      </c>
      <c r="BD129">
        <f>SUM($AM129,$AN129:AS129)-SUM($BH129:BN129)</f>
        <v>2920</v>
      </c>
      <c r="BI129">
        <f t="array" ref="BI129">SUMPRODUCT(TRANSPOSE(BI$4:BI$9),$K129:$P129)</f>
        <v>0</v>
      </c>
      <c r="BJ129">
        <f t="array" ref="BJ129">SUMPRODUCT(TRANSPOSE(BJ$4:BJ$9),$K129:$P129)</f>
        <v>20</v>
      </c>
      <c r="BK129">
        <f t="array" ref="BK129">SUMPRODUCT(TRANSPOSE(BK$4:BK$9),$K129:$P129)</f>
        <v>60</v>
      </c>
      <c r="BL129">
        <f t="array" ref="BL129">SUMPRODUCT(TRANSPOSE(BL$4:BL$9),$K129:$P129)</f>
        <v>0</v>
      </c>
      <c r="BM129">
        <f t="array" ref="BM129">SUMPRODUCT(TRANSPOSE(BM$4:BM$9),$K129:$P129)</f>
        <v>0</v>
      </c>
      <c r="BN129">
        <f t="array" ref="BN129">SUMPRODUCT(TRANSPOSE(BN$4:BN$9),$K129:$P129)</f>
        <v>0</v>
      </c>
      <c r="BO129" t="s">
        <v>380</v>
      </c>
      <c r="BW129" t="s">
        <v>381</v>
      </c>
      <c r="CA129" t="s">
        <v>177</v>
      </c>
      <c r="CB129" t="s">
        <v>86</v>
      </c>
      <c r="CC129" t="s">
        <v>769</v>
      </c>
      <c r="CD129" t="s">
        <v>380</v>
      </c>
      <c r="CE129" t="s">
        <v>85</v>
      </c>
      <c r="CF129">
        <v>1</v>
      </c>
      <c r="CG129">
        <v>3000</v>
      </c>
      <c r="CH129">
        <v>420.00000000000011</v>
      </c>
      <c r="CI129" t="s">
        <v>278</v>
      </c>
      <c r="CJ129" s="1">
        <v>45961</v>
      </c>
      <c r="CL129" t="s">
        <v>119</v>
      </c>
      <c r="CN129" t="s">
        <v>96</v>
      </c>
      <c r="CO129" t="s">
        <v>368</v>
      </c>
      <c r="CP129">
        <v>0.13664000000000001</v>
      </c>
      <c r="CQ129">
        <v>3000</v>
      </c>
      <c r="CR129" t="b">
        <v>0</v>
      </c>
      <c r="CU129" t="s">
        <v>381</v>
      </c>
    </row>
    <row r="130" spans="1:100">
      <c r="A130">
        <v>133</v>
      </c>
      <c r="B130" t="s">
        <v>771</v>
      </c>
      <c r="C130" t="s">
        <v>772</v>
      </c>
      <c r="D130" t="s">
        <v>81</v>
      </c>
      <c r="E130" t="s">
        <v>773</v>
      </c>
      <c r="F130">
        <v>403326394</v>
      </c>
      <c r="G130" t="s">
        <v>774</v>
      </c>
      <c r="H130" t="s">
        <v>75</v>
      </c>
      <c r="I130">
        <v>2</v>
      </c>
      <c r="J130">
        <v>6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6</v>
      </c>
      <c r="Q130">
        <v>6</v>
      </c>
      <c r="R130">
        <v>1320</v>
      </c>
      <c r="S130">
        <v>1500</v>
      </c>
      <c r="T130">
        <v>1500</v>
      </c>
      <c r="U130" t="s">
        <v>775</v>
      </c>
      <c r="W130">
        <v>2.16</v>
      </c>
      <c r="X130">
        <v>3240</v>
      </c>
      <c r="Y130" t="s">
        <v>85</v>
      </c>
      <c r="Z130" t="s">
        <v>775</v>
      </c>
      <c r="AA130" t="s">
        <v>776</v>
      </c>
      <c r="AB130" t="s">
        <v>777</v>
      </c>
      <c r="AG130">
        <v>4.32</v>
      </c>
      <c r="AH130">
        <v>3240</v>
      </c>
      <c r="AI130">
        <v>1320</v>
      </c>
      <c r="AJ130">
        <v>1500</v>
      </c>
      <c r="AK130">
        <v>0</v>
      </c>
      <c r="AL130">
        <v>-180</v>
      </c>
      <c r="AM130">
        <v>1500</v>
      </c>
      <c r="AZ130">
        <f>SUM($AM130,$AN130:AO130)-SUM($BH130:BJ130)</f>
        <v>1380</v>
      </c>
      <c r="BA130">
        <f>SUM($AM130,$AN130:AP130)-SUM($BH130:BK130)</f>
        <v>1020</v>
      </c>
      <c r="BB130">
        <f>SUM($AM130,$AN130:AQ130)-SUM($BH130:BL130)</f>
        <v>1020</v>
      </c>
      <c r="BC130">
        <f>SUM($AM130,$AN130:AR130)-SUM($BH130:BM130)</f>
        <v>1020</v>
      </c>
      <c r="BD130">
        <f>SUM($AM130,$AN130:AS130)-SUM($BH130:BN130)</f>
        <v>1020</v>
      </c>
      <c r="BI130">
        <f t="array" ref="BI130">SUMPRODUCT(TRANSPOSE(BI$4:BI$9),$K130:$P130)</f>
        <v>0</v>
      </c>
      <c r="BJ130">
        <f t="array" ref="BJ130">SUMPRODUCT(TRANSPOSE(BJ$4:BJ$9),$K130:$P130)</f>
        <v>120</v>
      </c>
      <c r="BK130">
        <f t="array" ref="BK130">SUMPRODUCT(TRANSPOSE(BK$4:BK$9),$K130:$P130)</f>
        <v>360</v>
      </c>
      <c r="BL130">
        <f t="array" ref="BL130">SUMPRODUCT(TRANSPOSE(BL$4:BL$9),$K130:$P130)</f>
        <v>0</v>
      </c>
      <c r="BM130">
        <f t="array" ref="BM130">SUMPRODUCT(TRANSPOSE(BM$4:BM$9),$K130:$P130)</f>
        <v>0</v>
      </c>
      <c r="BN130">
        <f t="array" ref="BN130">SUMPRODUCT(TRANSPOSE(BN$4:BN$9),$K130:$P130)</f>
        <v>0</v>
      </c>
      <c r="BO130" t="s">
        <v>775</v>
      </c>
      <c r="BS130" t="s">
        <v>778</v>
      </c>
      <c r="BT130" t="s">
        <v>778</v>
      </c>
      <c r="BW130" t="s">
        <v>779</v>
      </c>
      <c r="CA130" t="s">
        <v>177</v>
      </c>
      <c r="CB130" t="s">
        <v>780</v>
      </c>
      <c r="CC130" t="s">
        <v>772</v>
      </c>
      <c r="CD130" t="s">
        <v>775</v>
      </c>
      <c r="CE130" t="s">
        <v>85</v>
      </c>
      <c r="CF130">
        <v>1</v>
      </c>
      <c r="CG130">
        <v>1500</v>
      </c>
      <c r="CH130">
        <v>3240</v>
      </c>
      <c r="CI130" t="s">
        <v>781</v>
      </c>
      <c r="CJ130" s="1">
        <v>45961</v>
      </c>
      <c r="CL130" t="s">
        <v>119</v>
      </c>
      <c r="CN130" t="s">
        <v>96</v>
      </c>
      <c r="CO130" t="s">
        <v>780</v>
      </c>
      <c r="CP130">
        <v>2.16</v>
      </c>
      <c r="CQ130">
        <v>7500</v>
      </c>
      <c r="CR130" t="b">
        <v>1</v>
      </c>
      <c r="CS130" t="s">
        <v>778</v>
      </c>
    </row>
    <row r="131" spans="1:100">
      <c r="A131">
        <v>134</v>
      </c>
      <c r="B131" t="s">
        <v>782</v>
      </c>
      <c r="C131" t="s">
        <v>783</v>
      </c>
      <c r="D131" t="s">
        <v>81</v>
      </c>
      <c r="E131" t="s">
        <v>784</v>
      </c>
      <c r="F131">
        <v>421559188</v>
      </c>
      <c r="G131" t="s">
        <v>785</v>
      </c>
      <c r="H131" t="s">
        <v>75</v>
      </c>
      <c r="I131">
        <v>2</v>
      </c>
      <c r="J131">
        <v>5</v>
      </c>
      <c r="K131">
        <v>0</v>
      </c>
      <c r="L131">
        <v>0</v>
      </c>
      <c r="M131">
        <v>0</v>
      </c>
      <c r="N131">
        <v>0</v>
      </c>
      <c r="O131">
        <v>5</v>
      </c>
      <c r="P131">
        <v>0</v>
      </c>
      <c r="Q131">
        <v>5</v>
      </c>
      <c r="R131">
        <v>1100</v>
      </c>
      <c r="S131">
        <v>500</v>
      </c>
      <c r="T131">
        <v>1500</v>
      </c>
      <c r="U131" t="s">
        <v>530</v>
      </c>
      <c r="W131">
        <v>1.0814999999999999</v>
      </c>
      <c r="X131">
        <v>1622.25</v>
      </c>
      <c r="Y131" t="s">
        <v>85</v>
      </c>
      <c r="Z131" t="s">
        <v>530</v>
      </c>
      <c r="AA131" t="s">
        <v>531</v>
      </c>
      <c r="AB131" t="s">
        <v>532</v>
      </c>
      <c r="AG131">
        <v>2.1629999999999998</v>
      </c>
      <c r="AH131">
        <v>1622.25</v>
      </c>
      <c r="AI131">
        <v>1100</v>
      </c>
      <c r="AJ131">
        <v>1500</v>
      </c>
      <c r="AK131">
        <v>0</v>
      </c>
      <c r="AL131">
        <v>-400</v>
      </c>
      <c r="AM131">
        <v>1500</v>
      </c>
      <c r="AZ131">
        <f>SUM($AM131,$AN131:AO131)-SUM($BH131:BJ131)</f>
        <v>1400</v>
      </c>
      <c r="BA131">
        <f>SUM($AM131,$AN131:AP131)-SUM($BH131:BK131)</f>
        <v>1100</v>
      </c>
      <c r="BB131">
        <f>SUM($AM131,$AN131:AQ131)-SUM($BH131:BL131)</f>
        <v>1100</v>
      </c>
      <c r="BC131">
        <f>SUM($AM131,$AN131:AR131)-SUM($BH131:BM131)</f>
        <v>1100</v>
      </c>
      <c r="BD131">
        <f>SUM($AM131,$AN131:AS131)-SUM($BH131:BN131)</f>
        <v>1100</v>
      </c>
      <c r="BI131">
        <f t="array" ref="BI131">SUMPRODUCT(TRANSPOSE(BI$4:BI$9),$K131:$P131)</f>
        <v>0</v>
      </c>
      <c r="BJ131">
        <f t="array" ref="BJ131">SUMPRODUCT(TRANSPOSE(BJ$4:BJ$9),$K131:$P131)</f>
        <v>100</v>
      </c>
      <c r="BK131">
        <f t="array" ref="BK131">SUMPRODUCT(TRANSPOSE(BK$4:BK$9),$K131:$P131)</f>
        <v>300</v>
      </c>
      <c r="BL131">
        <f t="array" ref="BL131">SUMPRODUCT(TRANSPOSE(BL$4:BL$9),$K131:$P131)</f>
        <v>0</v>
      </c>
      <c r="BM131">
        <f t="array" ref="BM131">SUMPRODUCT(TRANSPOSE(BM$4:BM$9),$K131:$P131)</f>
        <v>0</v>
      </c>
      <c r="BN131">
        <f t="array" ref="BN131">SUMPRODUCT(TRANSPOSE(BN$4:BN$9),$K131:$P131)</f>
        <v>0</v>
      </c>
      <c r="BO131" t="s">
        <v>530</v>
      </c>
      <c r="BR131" t="s">
        <v>533</v>
      </c>
      <c r="BS131" t="s">
        <v>534</v>
      </c>
      <c r="BT131" t="s">
        <v>778</v>
      </c>
      <c r="BW131" t="s">
        <v>242</v>
      </c>
      <c r="CA131" t="s">
        <v>177</v>
      </c>
      <c r="CB131" t="s">
        <v>535</v>
      </c>
      <c r="CC131" t="s">
        <v>783</v>
      </c>
      <c r="CD131" t="s">
        <v>530</v>
      </c>
      <c r="CE131" t="s">
        <v>85</v>
      </c>
      <c r="CF131">
        <v>1</v>
      </c>
      <c r="CG131">
        <v>1500</v>
      </c>
      <c r="CH131">
        <v>1622.25</v>
      </c>
      <c r="CI131" t="s">
        <v>536</v>
      </c>
      <c r="CJ131" s="1">
        <v>45961</v>
      </c>
      <c r="CK131" t="s">
        <v>95</v>
      </c>
      <c r="CL131" t="s">
        <v>119</v>
      </c>
      <c r="CN131" t="s">
        <v>96</v>
      </c>
      <c r="CO131" t="s">
        <v>457</v>
      </c>
      <c r="CP131">
        <v>1.0814999999999999</v>
      </c>
      <c r="CQ131">
        <v>5500</v>
      </c>
      <c r="CR131" t="b">
        <v>1</v>
      </c>
      <c r="CS131" t="s">
        <v>778</v>
      </c>
      <c r="CV131" t="s">
        <v>754</v>
      </c>
    </row>
    <row r="132" spans="1:100">
      <c r="A132">
        <v>135</v>
      </c>
      <c r="B132" t="s">
        <v>786</v>
      </c>
      <c r="C132" t="s">
        <v>787</v>
      </c>
      <c r="D132" t="s">
        <v>81</v>
      </c>
      <c r="F132">
        <v>420385090</v>
      </c>
      <c r="G132" t="s">
        <v>788</v>
      </c>
      <c r="H132" t="s">
        <v>75</v>
      </c>
      <c r="I132">
        <v>1</v>
      </c>
      <c r="J132">
        <v>32</v>
      </c>
      <c r="K132">
        <v>0</v>
      </c>
      <c r="L132">
        <v>0</v>
      </c>
      <c r="M132">
        <v>0</v>
      </c>
      <c r="N132">
        <v>0</v>
      </c>
      <c r="O132">
        <v>32</v>
      </c>
      <c r="P132">
        <v>0</v>
      </c>
      <c r="Q132">
        <v>32</v>
      </c>
      <c r="R132">
        <v>7040</v>
      </c>
      <c r="S132">
        <v>500</v>
      </c>
      <c r="T132">
        <v>7500</v>
      </c>
      <c r="U132" t="s">
        <v>530</v>
      </c>
      <c r="W132">
        <v>9.7899999999999991</v>
      </c>
      <c r="X132">
        <v>73425</v>
      </c>
      <c r="Y132" t="s">
        <v>85</v>
      </c>
      <c r="Z132" t="s">
        <v>530</v>
      </c>
      <c r="AA132" t="s">
        <v>531</v>
      </c>
      <c r="AB132" t="s">
        <v>532</v>
      </c>
      <c r="AG132">
        <v>9.7899999999999991</v>
      </c>
      <c r="AH132">
        <v>73425</v>
      </c>
      <c r="AI132">
        <v>7040</v>
      </c>
      <c r="AJ132">
        <v>7500</v>
      </c>
      <c r="AK132">
        <v>0</v>
      </c>
      <c r="AL132">
        <v>-460</v>
      </c>
      <c r="AM132">
        <v>7500</v>
      </c>
      <c r="AZ132">
        <f>SUM($AM132,$AN132:AO132)-SUM($BH132:BJ132)</f>
        <v>6860</v>
      </c>
      <c r="BA132">
        <f>SUM($AM132,$AN132:AP132)-SUM($BH132:BK132)</f>
        <v>4940</v>
      </c>
      <c r="BB132">
        <f>SUM($AM132,$AN132:AQ132)-SUM($BH132:BL132)</f>
        <v>4940</v>
      </c>
      <c r="BC132">
        <f>SUM($AM132,$AN132:AR132)-SUM($BH132:BM132)</f>
        <v>4940</v>
      </c>
      <c r="BD132">
        <f>SUM($AM132,$AN132:AS132)-SUM($BH132:BN132)</f>
        <v>4940</v>
      </c>
      <c r="BI132">
        <f t="array" ref="BI132">SUMPRODUCT(TRANSPOSE(BI$4:BI$9),$K132:$P132)</f>
        <v>0</v>
      </c>
      <c r="BJ132">
        <f t="array" ref="BJ132">SUMPRODUCT(TRANSPOSE(BJ$4:BJ$9),$K132:$P132)</f>
        <v>640</v>
      </c>
      <c r="BK132">
        <f t="array" ref="BK132">SUMPRODUCT(TRANSPOSE(BK$4:BK$9),$K132:$P132)</f>
        <v>1920</v>
      </c>
      <c r="BL132">
        <f t="array" ref="BL132">SUMPRODUCT(TRANSPOSE(BL$4:BL$9),$K132:$P132)</f>
        <v>0</v>
      </c>
      <c r="BM132">
        <f t="array" ref="BM132">SUMPRODUCT(TRANSPOSE(BM$4:BM$9),$K132:$P132)</f>
        <v>0</v>
      </c>
      <c r="BN132">
        <f t="array" ref="BN132">SUMPRODUCT(TRANSPOSE(BN$4:BN$9),$K132:$P132)</f>
        <v>0</v>
      </c>
      <c r="BR132" t="s">
        <v>533</v>
      </c>
      <c r="BS132" t="s">
        <v>534</v>
      </c>
      <c r="BT132" t="s">
        <v>778</v>
      </c>
      <c r="BW132" t="s">
        <v>789</v>
      </c>
      <c r="CA132" t="s">
        <v>92</v>
      </c>
      <c r="CB132" t="s">
        <v>535</v>
      </c>
      <c r="CC132" t="s">
        <v>787</v>
      </c>
      <c r="CD132" t="s">
        <v>530</v>
      </c>
      <c r="CE132" t="s">
        <v>85</v>
      </c>
      <c r="CF132">
        <v>1</v>
      </c>
      <c r="CG132">
        <v>7500</v>
      </c>
      <c r="CH132">
        <v>75600</v>
      </c>
      <c r="CI132" t="s">
        <v>536</v>
      </c>
      <c r="CJ132" s="1">
        <v>45961</v>
      </c>
      <c r="CK132" t="s">
        <v>95</v>
      </c>
      <c r="CL132" t="s">
        <v>119</v>
      </c>
      <c r="CN132" t="s">
        <v>96</v>
      </c>
      <c r="CS132" t="s">
        <v>778</v>
      </c>
      <c r="CT132">
        <v>10.08</v>
      </c>
    </row>
    <row r="133" spans="1:100">
      <c r="A133">
        <v>136</v>
      </c>
      <c r="B133" t="s">
        <v>790</v>
      </c>
      <c r="C133" t="s">
        <v>791</v>
      </c>
      <c r="D133" t="s">
        <v>81</v>
      </c>
      <c r="F133">
        <v>400547664</v>
      </c>
      <c r="G133" t="s">
        <v>792</v>
      </c>
      <c r="H133" t="s">
        <v>75</v>
      </c>
      <c r="I133">
        <v>1</v>
      </c>
      <c r="J133">
        <v>1</v>
      </c>
      <c r="K133">
        <v>0</v>
      </c>
      <c r="L133">
        <v>0</v>
      </c>
      <c r="M133">
        <v>0</v>
      </c>
      <c r="N133">
        <v>0</v>
      </c>
      <c r="O133">
        <v>1</v>
      </c>
      <c r="P133">
        <v>0</v>
      </c>
      <c r="Q133">
        <v>1</v>
      </c>
      <c r="R133">
        <v>220</v>
      </c>
      <c r="S133">
        <v>500</v>
      </c>
      <c r="T133">
        <v>500</v>
      </c>
      <c r="U133" t="s">
        <v>530</v>
      </c>
      <c r="W133">
        <v>1.9570000000000001</v>
      </c>
      <c r="X133">
        <v>978.5</v>
      </c>
      <c r="Y133" t="s">
        <v>85</v>
      </c>
      <c r="Z133" t="s">
        <v>530</v>
      </c>
      <c r="AA133" t="s">
        <v>531</v>
      </c>
      <c r="AB133" t="s">
        <v>532</v>
      </c>
      <c r="AG133">
        <v>1.9570000000000001</v>
      </c>
      <c r="AH133">
        <v>978.5</v>
      </c>
      <c r="AI133">
        <v>220</v>
      </c>
      <c r="AJ133">
        <v>220</v>
      </c>
      <c r="AK133">
        <v>0</v>
      </c>
      <c r="AL133">
        <v>0</v>
      </c>
      <c r="AM133">
        <v>220</v>
      </c>
      <c r="AZ133">
        <f>SUM($AM133,$AN133:AO133)-SUM($BH133:BJ133)</f>
        <v>200</v>
      </c>
      <c r="BA133">
        <f>SUM($AM133,$AN133:AP133)-SUM($BH133:BK133)</f>
        <v>140</v>
      </c>
      <c r="BB133">
        <f>SUM($AM133,$AN133:AQ133)-SUM($BH133:BL133)</f>
        <v>140</v>
      </c>
      <c r="BC133">
        <f>SUM($AM133,$AN133:AR133)-SUM($BH133:BM133)</f>
        <v>140</v>
      </c>
      <c r="BD133">
        <f>SUM($AM133,$AN133:AS133)-SUM($BH133:BN133)</f>
        <v>140</v>
      </c>
      <c r="BI133">
        <f t="array" ref="BI133">SUMPRODUCT(TRANSPOSE(BI$4:BI$9),$K133:$P133)</f>
        <v>0</v>
      </c>
      <c r="BJ133">
        <f t="array" ref="BJ133">SUMPRODUCT(TRANSPOSE(BJ$4:BJ$9),$K133:$P133)</f>
        <v>20</v>
      </c>
      <c r="BK133">
        <f t="array" ref="BK133">SUMPRODUCT(TRANSPOSE(BK$4:BK$9),$K133:$P133)</f>
        <v>60</v>
      </c>
      <c r="BL133">
        <f t="array" ref="BL133">SUMPRODUCT(TRANSPOSE(BL$4:BL$9),$K133:$P133)</f>
        <v>0</v>
      </c>
      <c r="BM133">
        <f t="array" ref="BM133">SUMPRODUCT(TRANSPOSE(BM$4:BM$9),$K133:$P133)</f>
        <v>0</v>
      </c>
      <c r="BN133">
        <f t="array" ref="BN133">SUMPRODUCT(TRANSPOSE(BN$4:BN$9),$K133:$P133)</f>
        <v>0</v>
      </c>
      <c r="BO133" t="s">
        <v>530</v>
      </c>
      <c r="BR133" t="s">
        <v>533</v>
      </c>
      <c r="BS133" t="s">
        <v>534</v>
      </c>
      <c r="BT133" t="s">
        <v>778</v>
      </c>
      <c r="BW133" t="s">
        <v>793</v>
      </c>
      <c r="CA133" t="s">
        <v>177</v>
      </c>
      <c r="CB133" t="s">
        <v>535</v>
      </c>
      <c r="CC133" t="s">
        <v>791</v>
      </c>
      <c r="CD133" t="s">
        <v>530</v>
      </c>
      <c r="CE133" t="s">
        <v>85</v>
      </c>
      <c r="CF133">
        <v>1</v>
      </c>
      <c r="CG133">
        <v>220</v>
      </c>
      <c r="CH133">
        <v>430.54</v>
      </c>
      <c r="CI133" t="s">
        <v>794</v>
      </c>
      <c r="CJ133" s="1">
        <v>45961</v>
      </c>
      <c r="CN133" t="s">
        <v>96</v>
      </c>
      <c r="CO133" t="s">
        <v>457</v>
      </c>
      <c r="CP133">
        <v>1.9570000000000001</v>
      </c>
      <c r="CQ133">
        <v>1500</v>
      </c>
      <c r="CR133" t="b">
        <v>1</v>
      </c>
      <c r="CS133" t="s">
        <v>795</v>
      </c>
      <c r="CT133">
        <v>2.09</v>
      </c>
    </row>
    <row r="134" spans="1:100">
      <c r="A134">
        <v>137</v>
      </c>
      <c r="B134" t="s">
        <v>796</v>
      </c>
      <c r="C134" t="s">
        <v>797</v>
      </c>
      <c r="D134" t="s">
        <v>81</v>
      </c>
      <c r="F134">
        <v>400524033</v>
      </c>
      <c r="G134" t="s">
        <v>798</v>
      </c>
      <c r="H134" t="s">
        <v>75</v>
      </c>
      <c r="I134">
        <v>2</v>
      </c>
      <c r="J134">
        <v>1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1</v>
      </c>
      <c r="Q134">
        <v>1</v>
      </c>
      <c r="R134">
        <v>220</v>
      </c>
      <c r="S134">
        <v>3000</v>
      </c>
      <c r="T134">
        <v>3000</v>
      </c>
      <c r="U134" t="s">
        <v>775</v>
      </c>
      <c r="W134">
        <v>0.1</v>
      </c>
      <c r="X134">
        <v>300</v>
      </c>
      <c r="Y134" t="s">
        <v>85</v>
      </c>
      <c r="Z134" t="s">
        <v>775</v>
      </c>
      <c r="AA134" t="s">
        <v>776</v>
      </c>
      <c r="AB134" t="s">
        <v>777</v>
      </c>
      <c r="AG134">
        <v>0.2</v>
      </c>
      <c r="AH134">
        <v>300</v>
      </c>
      <c r="AI134">
        <v>220</v>
      </c>
      <c r="AJ134">
        <v>3000</v>
      </c>
      <c r="AK134">
        <v>0</v>
      </c>
      <c r="AL134">
        <v>-2780</v>
      </c>
      <c r="AM134">
        <v>3000</v>
      </c>
      <c r="AZ134">
        <f>SUM($AM134,$AN134:AO134)-SUM($BH134:BJ134)</f>
        <v>2980</v>
      </c>
      <c r="BA134">
        <f>SUM($AM134,$AN134:AP134)-SUM($BH134:BK134)</f>
        <v>2920</v>
      </c>
      <c r="BB134">
        <f>SUM($AM134,$AN134:AQ134)-SUM($BH134:BL134)</f>
        <v>2920</v>
      </c>
      <c r="BC134">
        <f>SUM($AM134,$AN134:AR134)-SUM($BH134:BM134)</f>
        <v>2920</v>
      </c>
      <c r="BD134">
        <f>SUM($AM134,$AN134:AS134)-SUM($BH134:BN134)</f>
        <v>2920</v>
      </c>
      <c r="BI134">
        <f t="array" ref="BI134">SUMPRODUCT(TRANSPOSE(BI$4:BI$9),$K134:$P134)</f>
        <v>0</v>
      </c>
      <c r="BJ134">
        <f t="array" ref="BJ134">SUMPRODUCT(TRANSPOSE(BJ$4:BJ$9),$K134:$P134)</f>
        <v>20</v>
      </c>
      <c r="BK134">
        <f t="array" ref="BK134">SUMPRODUCT(TRANSPOSE(BK$4:BK$9),$K134:$P134)</f>
        <v>60</v>
      </c>
      <c r="BL134">
        <f t="array" ref="BL134">SUMPRODUCT(TRANSPOSE(BL$4:BL$9),$K134:$P134)</f>
        <v>0</v>
      </c>
      <c r="BM134">
        <f t="array" ref="BM134">SUMPRODUCT(TRANSPOSE(BM$4:BM$9),$K134:$P134)</f>
        <v>0</v>
      </c>
      <c r="BN134">
        <f t="array" ref="BN134">SUMPRODUCT(TRANSPOSE(BN$4:BN$9),$K134:$P134)</f>
        <v>0</v>
      </c>
      <c r="BO134" t="s">
        <v>775</v>
      </c>
      <c r="BS134" t="s">
        <v>799</v>
      </c>
      <c r="BT134" t="s">
        <v>799</v>
      </c>
      <c r="BW134" t="s">
        <v>800</v>
      </c>
      <c r="CA134" t="s">
        <v>177</v>
      </c>
      <c r="CB134" t="s">
        <v>780</v>
      </c>
      <c r="CC134" t="s">
        <v>797</v>
      </c>
      <c r="CD134" t="s">
        <v>775</v>
      </c>
      <c r="CE134" t="s">
        <v>85</v>
      </c>
      <c r="CF134">
        <v>1</v>
      </c>
      <c r="CG134">
        <v>3000</v>
      </c>
      <c r="CH134">
        <v>300</v>
      </c>
      <c r="CI134" t="s">
        <v>781</v>
      </c>
      <c r="CJ134" s="1">
        <v>45961</v>
      </c>
      <c r="CL134" t="s">
        <v>119</v>
      </c>
      <c r="CN134" t="s">
        <v>96</v>
      </c>
      <c r="CO134" t="s">
        <v>780</v>
      </c>
      <c r="CP134">
        <v>0.1</v>
      </c>
      <c r="CQ134">
        <v>3000</v>
      </c>
      <c r="CR134" t="b">
        <v>1</v>
      </c>
      <c r="CS134" t="s">
        <v>799</v>
      </c>
    </row>
    <row r="135" spans="1:100">
      <c r="A135">
        <v>138</v>
      </c>
      <c r="B135" t="s">
        <v>801</v>
      </c>
      <c r="C135" t="s">
        <v>802</v>
      </c>
      <c r="D135" t="s">
        <v>81</v>
      </c>
      <c r="F135">
        <v>400524033</v>
      </c>
      <c r="G135" t="s">
        <v>803</v>
      </c>
      <c r="H135" t="s">
        <v>75</v>
      </c>
      <c r="I135">
        <v>2</v>
      </c>
      <c r="J135">
        <v>3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3</v>
      </c>
      <c r="Q135">
        <v>3</v>
      </c>
      <c r="R135">
        <v>660</v>
      </c>
      <c r="S135">
        <v>3000</v>
      </c>
      <c r="T135">
        <v>3000</v>
      </c>
      <c r="U135" t="s">
        <v>775</v>
      </c>
      <c r="W135">
        <v>0.11</v>
      </c>
      <c r="X135">
        <v>330</v>
      </c>
      <c r="Y135" t="s">
        <v>85</v>
      </c>
      <c r="Z135" t="s">
        <v>775</v>
      </c>
      <c r="AA135" t="s">
        <v>776</v>
      </c>
      <c r="AB135" t="s">
        <v>777</v>
      </c>
      <c r="AG135">
        <v>0.22</v>
      </c>
      <c r="AH135">
        <v>330</v>
      </c>
      <c r="AI135">
        <v>660</v>
      </c>
      <c r="AJ135">
        <v>3000</v>
      </c>
      <c r="AK135">
        <v>0</v>
      </c>
      <c r="AL135">
        <v>-2340</v>
      </c>
      <c r="AM135">
        <v>3000</v>
      </c>
      <c r="AZ135">
        <f>SUM($AM135,$AN135:AO135)-SUM($BH135:BJ135)</f>
        <v>2940</v>
      </c>
      <c r="BA135">
        <f>SUM($AM135,$AN135:AP135)-SUM($BH135:BK135)</f>
        <v>2760</v>
      </c>
      <c r="BB135">
        <f>SUM($AM135,$AN135:AQ135)-SUM($BH135:BL135)</f>
        <v>2760</v>
      </c>
      <c r="BC135">
        <f>SUM($AM135,$AN135:AR135)-SUM($BH135:BM135)</f>
        <v>2760</v>
      </c>
      <c r="BD135">
        <f>SUM($AM135,$AN135:AS135)-SUM($BH135:BN135)</f>
        <v>2760</v>
      </c>
      <c r="BI135">
        <f t="array" ref="BI135">SUMPRODUCT(TRANSPOSE(BI$4:BI$9),$K135:$P135)</f>
        <v>0</v>
      </c>
      <c r="BJ135">
        <f t="array" ref="BJ135">SUMPRODUCT(TRANSPOSE(BJ$4:BJ$9),$K135:$P135)</f>
        <v>60</v>
      </c>
      <c r="BK135">
        <f t="array" ref="BK135">SUMPRODUCT(TRANSPOSE(BK$4:BK$9),$K135:$P135)</f>
        <v>180</v>
      </c>
      <c r="BL135">
        <f t="array" ref="BL135">SUMPRODUCT(TRANSPOSE(BL$4:BL$9),$K135:$P135)</f>
        <v>0</v>
      </c>
      <c r="BM135">
        <f t="array" ref="BM135">SUMPRODUCT(TRANSPOSE(BM$4:BM$9),$K135:$P135)</f>
        <v>0</v>
      </c>
      <c r="BN135">
        <f t="array" ref="BN135">SUMPRODUCT(TRANSPOSE(BN$4:BN$9),$K135:$P135)</f>
        <v>0</v>
      </c>
      <c r="BO135" t="s">
        <v>775</v>
      </c>
      <c r="BS135" t="s">
        <v>778</v>
      </c>
      <c r="BT135" t="s">
        <v>778</v>
      </c>
      <c r="BW135" t="s">
        <v>804</v>
      </c>
      <c r="CA135" t="s">
        <v>177</v>
      </c>
      <c r="CB135" t="s">
        <v>780</v>
      </c>
      <c r="CC135" t="s">
        <v>802</v>
      </c>
      <c r="CD135" t="s">
        <v>775</v>
      </c>
      <c r="CE135" t="s">
        <v>85</v>
      </c>
      <c r="CF135">
        <v>1</v>
      </c>
      <c r="CG135">
        <v>3000</v>
      </c>
      <c r="CH135">
        <v>330</v>
      </c>
      <c r="CI135" t="s">
        <v>781</v>
      </c>
      <c r="CJ135" s="1">
        <v>45961</v>
      </c>
      <c r="CL135" t="s">
        <v>119</v>
      </c>
      <c r="CN135" t="s">
        <v>96</v>
      </c>
      <c r="CO135" t="s">
        <v>780</v>
      </c>
      <c r="CP135">
        <v>0.11</v>
      </c>
      <c r="CQ135">
        <v>6000</v>
      </c>
      <c r="CR135" t="b">
        <v>1</v>
      </c>
      <c r="CS135" t="s">
        <v>778</v>
      </c>
    </row>
    <row r="136" spans="1:100">
      <c r="A136">
        <v>139</v>
      </c>
      <c r="B136" t="s">
        <v>805</v>
      </c>
      <c r="C136" t="s">
        <v>806</v>
      </c>
      <c r="D136" t="s">
        <v>81</v>
      </c>
      <c r="F136" t="s">
        <v>807</v>
      </c>
      <c r="G136" t="s">
        <v>808</v>
      </c>
      <c r="H136" t="s">
        <v>75</v>
      </c>
      <c r="I136">
        <v>2</v>
      </c>
      <c r="J136">
        <v>1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</v>
      </c>
      <c r="Q136">
        <v>1</v>
      </c>
      <c r="R136">
        <v>220</v>
      </c>
      <c r="S136">
        <v>1</v>
      </c>
      <c r="T136">
        <v>220</v>
      </c>
      <c r="U136" t="s">
        <v>775</v>
      </c>
      <c r="W136">
        <v>66.760000000000005</v>
      </c>
      <c r="X136">
        <v>14687.2</v>
      </c>
      <c r="Y136" t="s">
        <v>85</v>
      </c>
      <c r="Z136" t="s">
        <v>775</v>
      </c>
      <c r="AA136" t="s">
        <v>776</v>
      </c>
      <c r="AB136" t="s">
        <v>777</v>
      </c>
      <c r="AG136">
        <v>133.52000000000001</v>
      </c>
      <c r="AH136">
        <v>14687.2</v>
      </c>
      <c r="AI136">
        <v>220</v>
      </c>
      <c r="AJ136">
        <v>220</v>
      </c>
      <c r="AK136">
        <v>0</v>
      </c>
      <c r="AL136">
        <v>0</v>
      </c>
      <c r="AM136">
        <v>220</v>
      </c>
      <c r="AZ136">
        <f>SUM($AM136,$AN136:AO136)-SUM($BH136:BJ136)</f>
        <v>200</v>
      </c>
      <c r="BA136">
        <f>SUM($AM136,$AN136:AP136)-SUM($BH136:BK136)</f>
        <v>140</v>
      </c>
      <c r="BB136">
        <f>SUM($AM136,$AN136:AQ136)-SUM($BH136:BL136)</f>
        <v>140</v>
      </c>
      <c r="BC136">
        <f>SUM($AM136,$AN136:AR136)-SUM($BH136:BM136)</f>
        <v>140</v>
      </c>
      <c r="BD136">
        <f>SUM($AM136,$AN136:AS136)-SUM($BH136:BN136)</f>
        <v>140</v>
      </c>
      <c r="BI136">
        <f t="array" ref="BI136">SUMPRODUCT(TRANSPOSE(BI$4:BI$9),$K136:$P136)</f>
        <v>0</v>
      </c>
      <c r="BJ136">
        <f t="array" ref="BJ136">SUMPRODUCT(TRANSPOSE(BJ$4:BJ$9),$K136:$P136)</f>
        <v>20</v>
      </c>
      <c r="BK136">
        <f t="array" ref="BK136">SUMPRODUCT(TRANSPOSE(BK$4:BK$9),$K136:$P136)</f>
        <v>60</v>
      </c>
      <c r="BL136">
        <f t="array" ref="BL136">SUMPRODUCT(TRANSPOSE(BL$4:BL$9),$K136:$P136)</f>
        <v>0</v>
      </c>
      <c r="BM136">
        <f t="array" ref="BM136">SUMPRODUCT(TRANSPOSE(BM$4:BM$9),$K136:$P136)</f>
        <v>0</v>
      </c>
      <c r="BN136">
        <f t="array" ref="BN136">SUMPRODUCT(TRANSPOSE(BN$4:BN$9),$K136:$P136)</f>
        <v>0</v>
      </c>
      <c r="BO136" t="s">
        <v>775</v>
      </c>
      <c r="BS136" t="s">
        <v>778</v>
      </c>
      <c r="BT136" t="s">
        <v>778</v>
      </c>
      <c r="BW136" t="s">
        <v>809</v>
      </c>
      <c r="CA136" t="s">
        <v>177</v>
      </c>
      <c r="CB136" t="s">
        <v>780</v>
      </c>
      <c r="CC136" t="s">
        <v>806</v>
      </c>
      <c r="CD136" t="s">
        <v>775</v>
      </c>
      <c r="CE136" t="s">
        <v>85</v>
      </c>
      <c r="CF136">
        <v>1</v>
      </c>
      <c r="CG136">
        <v>220</v>
      </c>
      <c r="CH136">
        <v>14687.2</v>
      </c>
      <c r="CI136" t="s">
        <v>781</v>
      </c>
      <c r="CJ136" s="1">
        <v>45961</v>
      </c>
      <c r="CL136" t="s">
        <v>119</v>
      </c>
      <c r="CN136" t="s">
        <v>96</v>
      </c>
      <c r="CO136" t="s">
        <v>780</v>
      </c>
      <c r="CP136">
        <v>66.760000000000005</v>
      </c>
      <c r="CQ136">
        <v>1197</v>
      </c>
      <c r="CR136" t="b">
        <v>1</v>
      </c>
      <c r="CS136" t="s">
        <v>778</v>
      </c>
    </row>
    <row r="137" spans="1:100">
      <c r="A137">
        <v>131</v>
      </c>
      <c r="B137" t="s">
        <v>810</v>
      </c>
      <c r="C137" t="s">
        <v>811</v>
      </c>
      <c r="D137" t="s">
        <v>81</v>
      </c>
      <c r="E137" t="s">
        <v>812</v>
      </c>
      <c r="F137">
        <v>402231969</v>
      </c>
      <c r="G137" t="s">
        <v>813</v>
      </c>
      <c r="H137" t="s">
        <v>75</v>
      </c>
      <c r="I137">
        <v>2</v>
      </c>
      <c r="J137">
        <v>96</v>
      </c>
      <c r="K137">
        <v>0</v>
      </c>
      <c r="L137">
        <v>0</v>
      </c>
      <c r="M137">
        <v>0</v>
      </c>
      <c r="N137">
        <v>0</v>
      </c>
      <c r="O137">
        <v>96</v>
      </c>
      <c r="P137">
        <v>0</v>
      </c>
      <c r="Q137">
        <v>96</v>
      </c>
      <c r="R137">
        <v>21120</v>
      </c>
      <c r="S137">
        <v>10000</v>
      </c>
      <c r="T137">
        <v>30000</v>
      </c>
      <c r="U137" t="s">
        <v>312</v>
      </c>
      <c r="W137">
        <v>2E-3</v>
      </c>
      <c r="X137">
        <v>60</v>
      </c>
      <c r="Y137" t="s">
        <v>85</v>
      </c>
      <c r="Z137" t="s">
        <v>557</v>
      </c>
      <c r="AA137" t="s">
        <v>558</v>
      </c>
      <c r="AB137" t="s">
        <v>559</v>
      </c>
      <c r="AG137">
        <v>4.0000000000000001E-3</v>
      </c>
      <c r="AH137">
        <v>60</v>
      </c>
      <c r="AI137">
        <v>21120</v>
      </c>
      <c r="AJ137">
        <v>30000</v>
      </c>
      <c r="AK137">
        <v>0</v>
      </c>
      <c r="AL137">
        <v>-8880</v>
      </c>
      <c r="AM137">
        <v>30000</v>
      </c>
      <c r="AZ137">
        <f>SUM($AM137,$AN137:AO137)-SUM($BH137:BJ137)</f>
        <v>28080</v>
      </c>
      <c r="BA137">
        <f>SUM($AM137,$AN137:AP137)-SUM($BH137:BK137)</f>
        <v>22320</v>
      </c>
      <c r="BB137">
        <f>SUM($AM137,$AN137:AQ137)-SUM($BH137:BL137)</f>
        <v>22320</v>
      </c>
      <c r="BC137">
        <f>SUM($AM137,$AN137:AR137)-SUM($BH137:BM137)</f>
        <v>22320</v>
      </c>
      <c r="BD137">
        <f>SUM($AM137,$AN137:AS137)-SUM($BH137:BN137)</f>
        <v>22320</v>
      </c>
      <c r="BI137">
        <f t="array" ref="BI137">SUMPRODUCT(TRANSPOSE(BI$4:BI$9),$K137:$P137)</f>
        <v>0</v>
      </c>
      <c r="BJ137">
        <f t="array" ref="BJ137">SUMPRODUCT(TRANSPOSE(BJ$4:BJ$9),$K137:$P137)</f>
        <v>1920</v>
      </c>
      <c r="BK137">
        <f t="array" ref="BK137">SUMPRODUCT(TRANSPOSE(BK$4:BK$9),$K137:$P137)</f>
        <v>5760</v>
      </c>
      <c r="BL137">
        <f t="array" ref="BL137">SUMPRODUCT(TRANSPOSE(BL$4:BL$9),$K137:$P137)</f>
        <v>0</v>
      </c>
      <c r="BM137">
        <f t="array" ref="BM137">SUMPRODUCT(TRANSPOSE(BM$4:BM$9),$K137:$P137)</f>
        <v>0</v>
      </c>
      <c r="BN137">
        <f t="array" ref="BN137">SUMPRODUCT(TRANSPOSE(BN$4:BN$9),$K137:$P137)</f>
        <v>0</v>
      </c>
      <c r="BO137" t="s">
        <v>312</v>
      </c>
      <c r="CA137" t="s">
        <v>177</v>
      </c>
      <c r="CB137" t="s">
        <v>557</v>
      </c>
      <c r="CC137" t="s">
        <v>811</v>
      </c>
      <c r="CD137" t="s">
        <v>312</v>
      </c>
      <c r="CE137" t="s">
        <v>85</v>
      </c>
      <c r="CF137">
        <v>1</v>
      </c>
      <c r="CG137">
        <v>30000</v>
      </c>
      <c r="CH137">
        <v>60</v>
      </c>
      <c r="CI137" t="s">
        <v>560</v>
      </c>
      <c r="CJ137" s="1">
        <v>45961</v>
      </c>
      <c r="CL137" t="s">
        <v>119</v>
      </c>
      <c r="CN137" t="s">
        <v>96</v>
      </c>
      <c r="CO137" t="s">
        <v>557</v>
      </c>
      <c r="CP137">
        <v>2E-3</v>
      </c>
      <c r="CQ137">
        <v>80000</v>
      </c>
      <c r="CR137" t="b">
        <v>1</v>
      </c>
    </row>
    <row r="138" spans="1:100">
      <c r="A138">
        <v>149</v>
      </c>
      <c r="B138" t="s">
        <v>814</v>
      </c>
      <c r="C138" t="s">
        <v>815</v>
      </c>
      <c r="D138" t="s">
        <v>384</v>
      </c>
      <c r="F138">
        <v>400897248</v>
      </c>
      <c r="G138" t="s">
        <v>816</v>
      </c>
      <c r="H138" t="s">
        <v>75</v>
      </c>
      <c r="I138">
        <v>2</v>
      </c>
      <c r="J138">
        <v>6</v>
      </c>
      <c r="K138">
        <v>0</v>
      </c>
      <c r="L138">
        <v>0</v>
      </c>
      <c r="M138">
        <v>0</v>
      </c>
      <c r="N138">
        <v>0</v>
      </c>
      <c r="O138">
        <v>6</v>
      </c>
      <c r="P138">
        <v>0</v>
      </c>
      <c r="Q138">
        <v>6</v>
      </c>
      <c r="R138">
        <v>1320</v>
      </c>
      <c r="S138">
        <v>2500</v>
      </c>
      <c r="T138">
        <v>2500</v>
      </c>
      <c r="U138" t="s">
        <v>530</v>
      </c>
      <c r="W138">
        <v>2.0291000000000001</v>
      </c>
      <c r="X138">
        <v>5072.75</v>
      </c>
      <c r="Y138" t="s">
        <v>85</v>
      </c>
      <c r="Z138" t="s">
        <v>530</v>
      </c>
      <c r="AA138" t="s">
        <v>531</v>
      </c>
      <c r="AB138" t="s">
        <v>532</v>
      </c>
      <c r="AG138">
        <v>4.0582000000000003</v>
      </c>
      <c r="AH138">
        <v>5072.75</v>
      </c>
      <c r="AI138">
        <v>1320</v>
      </c>
      <c r="AJ138">
        <v>2500</v>
      </c>
      <c r="AK138">
        <v>0</v>
      </c>
      <c r="AL138">
        <v>-1180</v>
      </c>
      <c r="AM138">
        <v>2500</v>
      </c>
      <c r="AZ138">
        <f>SUM($AM138,$AN138:AO138)-SUM($BH138:BJ138)</f>
        <v>2380</v>
      </c>
      <c r="BA138">
        <f>SUM($AM138,$AN138:AP138)-SUM($BH138:BK138)</f>
        <v>2020</v>
      </c>
      <c r="BB138">
        <f>SUM($AM138,$AN138:AQ138)-SUM($BH138:BL138)</f>
        <v>2020</v>
      </c>
      <c r="BC138">
        <f>SUM($AM138,$AN138:AR138)-SUM($BH138:BM138)</f>
        <v>2020</v>
      </c>
      <c r="BD138">
        <f>SUM($AM138,$AN138:AS138)-SUM($BH138:BN138)</f>
        <v>2020</v>
      </c>
      <c r="BI138">
        <f t="array" ref="BI138">SUMPRODUCT(TRANSPOSE(BI$4:BI$9),$K138:$P138)</f>
        <v>0</v>
      </c>
      <c r="BJ138">
        <f t="array" ref="BJ138">SUMPRODUCT(TRANSPOSE(BJ$4:BJ$9),$K138:$P138)</f>
        <v>120</v>
      </c>
      <c r="BK138">
        <f t="array" ref="BK138">SUMPRODUCT(TRANSPOSE(BK$4:BK$9),$K138:$P138)</f>
        <v>360</v>
      </c>
      <c r="BL138">
        <f t="array" ref="BL138">SUMPRODUCT(TRANSPOSE(BL$4:BL$9),$K138:$P138)</f>
        <v>0</v>
      </c>
      <c r="BM138">
        <f t="array" ref="BM138">SUMPRODUCT(TRANSPOSE(BM$4:BM$9),$K138:$P138)</f>
        <v>0</v>
      </c>
      <c r="BN138">
        <f t="array" ref="BN138">SUMPRODUCT(TRANSPOSE(BN$4:BN$9),$K138:$P138)</f>
        <v>0</v>
      </c>
      <c r="BO138" t="s">
        <v>530</v>
      </c>
      <c r="BR138" t="s">
        <v>533</v>
      </c>
      <c r="BS138" t="s">
        <v>534</v>
      </c>
      <c r="BW138" t="s">
        <v>534</v>
      </c>
      <c r="CA138" t="s">
        <v>92</v>
      </c>
      <c r="CB138" t="s">
        <v>535</v>
      </c>
      <c r="CC138" t="s">
        <v>815</v>
      </c>
      <c r="CD138" t="s">
        <v>530</v>
      </c>
      <c r="CE138" t="s">
        <v>85</v>
      </c>
      <c r="CF138">
        <v>1</v>
      </c>
      <c r="CG138">
        <v>2500</v>
      </c>
      <c r="CH138">
        <v>5072.75</v>
      </c>
      <c r="CI138" t="s">
        <v>536</v>
      </c>
      <c r="CJ138" s="1">
        <v>45961</v>
      </c>
      <c r="CK138" t="s">
        <v>95</v>
      </c>
      <c r="CL138" t="s">
        <v>119</v>
      </c>
      <c r="CN138" t="s">
        <v>96</v>
      </c>
      <c r="CO138" t="s">
        <v>457</v>
      </c>
      <c r="CP138">
        <v>2.0291000000000001</v>
      </c>
      <c r="CQ138">
        <v>7500</v>
      </c>
      <c r="CR138" t="b">
        <v>1</v>
      </c>
    </row>
    <row r="139" spans="1:100">
      <c r="A139">
        <v>151</v>
      </c>
      <c r="B139" t="s">
        <v>817</v>
      </c>
      <c r="C139" t="s">
        <v>818</v>
      </c>
      <c r="D139" t="s">
        <v>384</v>
      </c>
      <c r="E139" t="s">
        <v>819</v>
      </c>
      <c r="F139">
        <v>416807302</v>
      </c>
      <c r="G139" t="s">
        <v>820</v>
      </c>
      <c r="H139" t="s">
        <v>75</v>
      </c>
      <c r="I139">
        <v>1</v>
      </c>
      <c r="J139">
        <v>1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1</v>
      </c>
      <c r="Q139">
        <v>1</v>
      </c>
      <c r="R139">
        <v>220</v>
      </c>
      <c r="S139">
        <v>500</v>
      </c>
      <c r="T139">
        <v>500</v>
      </c>
      <c r="U139" t="s">
        <v>530</v>
      </c>
      <c r="W139">
        <v>3.1002999999999998</v>
      </c>
      <c r="X139">
        <v>1550.15</v>
      </c>
      <c r="Y139" t="s">
        <v>85</v>
      </c>
      <c r="Z139" t="s">
        <v>530</v>
      </c>
      <c r="AA139" t="s">
        <v>531</v>
      </c>
      <c r="AB139" t="s">
        <v>532</v>
      </c>
      <c r="AG139">
        <v>3.1002999999999998</v>
      </c>
      <c r="AH139">
        <v>1550.15</v>
      </c>
      <c r="AI139">
        <v>220</v>
      </c>
      <c r="AJ139">
        <v>220</v>
      </c>
      <c r="AK139">
        <v>0</v>
      </c>
      <c r="AL139">
        <v>0</v>
      </c>
      <c r="AM139">
        <v>220</v>
      </c>
      <c r="AZ139">
        <f>SUM($AM139,$AN139:AO139)-SUM($BH139:BJ139)</f>
        <v>200</v>
      </c>
      <c r="BA139">
        <f>SUM($AM139,$AN139:AP139)-SUM($BH139:BK139)</f>
        <v>140</v>
      </c>
      <c r="BB139">
        <f>SUM($AM139,$AN139:AQ139)-SUM($BH139:BL139)</f>
        <v>140</v>
      </c>
      <c r="BC139">
        <f>SUM($AM139,$AN139:AR139)-SUM($BH139:BM139)</f>
        <v>140</v>
      </c>
      <c r="BD139">
        <f>SUM($AM139,$AN139:AS139)-SUM($BH139:BN139)</f>
        <v>140</v>
      </c>
      <c r="BI139">
        <f t="array" ref="BI139">SUMPRODUCT(TRANSPOSE(BI$4:BI$9),$K139:$P139)</f>
        <v>0</v>
      </c>
      <c r="BJ139">
        <f t="array" ref="BJ139">SUMPRODUCT(TRANSPOSE(BJ$4:BJ$9),$K139:$P139)</f>
        <v>20</v>
      </c>
      <c r="BK139">
        <f t="array" ref="BK139">SUMPRODUCT(TRANSPOSE(BK$4:BK$9),$K139:$P139)</f>
        <v>60</v>
      </c>
      <c r="BL139">
        <f t="array" ref="BL139">SUMPRODUCT(TRANSPOSE(BL$4:BL$9),$K139:$P139)</f>
        <v>0</v>
      </c>
      <c r="BM139">
        <f t="array" ref="BM139">SUMPRODUCT(TRANSPOSE(BM$4:BM$9),$K139:$P139)</f>
        <v>0</v>
      </c>
      <c r="BN139">
        <f t="array" ref="BN139">SUMPRODUCT(TRANSPOSE(BN$4:BN$9),$K139:$P139)</f>
        <v>0</v>
      </c>
      <c r="BO139" t="s">
        <v>530</v>
      </c>
      <c r="BR139" t="s">
        <v>533</v>
      </c>
      <c r="BS139" t="s">
        <v>534</v>
      </c>
      <c r="BW139" t="s">
        <v>821</v>
      </c>
      <c r="CA139" t="s">
        <v>177</v>
      </c>
      <c r="CB139" t="s">
        <v>535</v>
      </c>
      <c r="CC139" t="s">
        <v>818</v>
      </c>
      <c r="CD139" t="s">
        <v>530</v>
      </c>
      <c r="CE139" t="s">
        <v>85</v>
      </c>
      <c r="CF139">
        <v>1</v>
      </c>
      <c r="CG139">
        <v>220</v>
      </c>
      <c r="CH139">
        <v>682.06599999999992</v>
      </c>
      <c r="CI139" t="s">
        <v>794</v>
      </c>
      <c r="CJ139" s="1">
        <v>45961</v>
      </c>
      <c r="CN139" t="s">
        <v>96</v>
      </c>
      <c r="CO139" t="s">
        <v>457</v>
      </c>
      <c r="CP139">
        <v>3.1002999999999998</v>
      </c>
      <c r="CQ139">
        <v>1500</v>
      </c>
      <c r="CR139" t="b">
        <v>1</v>
      </c>
      <c r="CT139">
        <v>3.4</v>
      </c>
    </row>
    <row r="140" spans="1:100">
      <c r="A140">
        <v>152</v>
      </c>
      <c r="B140" t="s">
        <v>822</v>
      </c>
      <c r="C140" t="s">
        <v>823</v>
      </c>
      <c r="D140" t="s">
        <v>81</v>
      </c>
      <c r="F140">
        <v>401681605</v>
      </c>
      <c r="G140" t="s">
        <v>824</v>
      </c>
      <c r="H140" t="s">
        <v>75</v>
      </c>
      <c r="I140">
        <v>2</v>
      </c>
      <c r="J140">
        <v>32</v>
      </c>
      <c r="K140">
        <v>0</v>
      </c>
      <c r="L140">
        <v>0</v>
      </c>
      <c r="M140">
        <v>0</v>
      </c>
      <c r="N140">
        <v>0</v>
      </c>
      <c r="O140">
        <v>32</v>
      </c>
      <c r="P140">
        <v>0</v>
      </c>
      <c r="Q140">
        <v>32</v>
      </c>
      <c r="R140">
        <v>7040</v>
      </c>
      <c r="S140">
        <v>2500</v>
      </c>
      <c r="T140">
        <v>7500</v>
      </c>
      <c r="U140" t="s">
        <v>530</v>
      </c>
      <c r="W140">
        <v>1.7922</v>
      </c>
      <c r="X140">
        <v>13441.5</v>
      </c>
      <c r="Y140" t="s">
        <v>85</v>
      </c>
      <c r="Z140" t="s">
        <v>530</v>
      </c>
      <c r="AA140" t="s">
        <v>531</v>
      </c>
      <c r="AB140" t="s">
        <v>532</v>
      </c>
      <c r="AG140">
        <v>3.5844</v>
      </c>
      <c r="AH140">
        <v>13441.5</v>
      </c>
      <c r="AI140">
        <v>7040</v>
      </c>
      <c r="AJ140">
        <v>7500</v>
      </c>
      <c r="AK140">
        <v>0</v>
      </c>
      <c r="AL140">
        <v>-460</v>
      </c>
      <c r="AM140">
        <v>7500</v>
      </c>
      <c r="AZ140">
        <f>SUM($AM140,$AN140:AO140)-SUM($BH140:BJ140)</f>
        <v>6860</v>
      </c>
      <c r="BA140">
        <f>SUM($AM140,$AN140:AP140)-SUM($BH140:BK140)</f>
        <v>4940</v>
      </c>
      <c r="BB140">
        <f>SUM($AM140,$AN140:AQ140)-SUM($BH140:BL140)</f>
        <v>4940</v>
      </c>
      <c r="BC140">
        <f>SUM($AM140,$AN140:AR140)-SUM($BH140:BM140)</f>
        <v>4940</v>
      </c>
      <c r="BD140">
        <f>SUM($AM140,$AN140:AS140)-SUM($BH140:BN140)</f>
        <v>4940</v>
      </c>
      <c r="BI140">
        <f t="array" ref="BI140">SUMPRODUCT(TRANSPOSE(BI$4:BI$9),$K140:$P140)</f>
        <v>0</v>
      </c>
      <c r="BJ140">
        <f t="array" ref="BJ140">SUMPRODUCT(TRANSPOSE(BJ$4:BJ$9),$K140:$P140)</f>
        <v>640</v>
      </c>
      <c r="BK140">
        <f t="array" ref="BK140">SUMPRODUCT(TRANSPOSE(BK$4:BK$9),$K140:$P140)</f>
        <v>1920</v>
      </c>
      <c r="BL140">
        <f t="array" ref="BL140">SUMPRODUCT(TRANSPOSE(BL$4:BL$9),$K140:$P140)</f>
        <v>0</v>
      </c>
      <c r="BM140">
        <f t="array" ref="BM140">SUMPRODUCT(TRANSPOSE(BM$4:BM$9),$K140:$P140)</f>
        <v>0</v>
      </c>
      <c r="BN140">
        <f t="array" ref="BN140">SUMPRODUCT(TRANSPOSE(BN$4:BN$9),$K140:$P140)</f>
        <v>0</v>
      </c>
      <c r="BO140" t="s">
        <v>530</v>
      </c>
      <c r="BR140" t="s">
        <v>533</v>
      </c>
      <c r="BS140" t="s">
        <v>534</v>
      </c>
      <c r="BW140" t="s">
        <v>534</v>
      </c>
      <c r="CA140" t="s">
        <v>92</v>
      </c>
      <c r="CB140" t="s">
        <v>535</v>
      </c>
      <c r="CC140" t="s">
        <v>823</v>
      </c>
      <c r="CD140" t="s">
        <v>530</v>
      </c>
      <c r="CE140" t="s">
        <v>85</v>
      </c>
      <c r="CF140">
        <v>1</v>
      </c>
      <c r="CG140">
        <v>7500</v>
      </c>
      <c r="CH140">
        <v>13441.5</v>
      </c>
      <c r="CI140" t="s">
        <v>536</v>
      </c>
      <c r="CJ140" s="1">
        <v>45961</v>
      </c>
      <c r="CK140" t="s">
        <v>95</v>
      </c>
      <c r="CL140" t="s">
        <v>119</v>
      </c>
      <c r="CN140" t="s">
        <v>96</v>
      </c>
      <c r="CO140" t="s">
        <v>457</v>
      </c>
      <c r="CP140">
        <v>1.7922</v>
      </c>
      <c r="CQ140">
        <v>20000</v>
      </c>
      <c r="CR140" t="b">
        <v>1</v>
      </c>
    </row>
    <row r="141" spans="1:100">
      <c r="A141">
        <v>153</v>
      </c>
      <c r="B141" t="s">
        <v>825</v>
      </c>
      <c r="C141" t="s">
        <v>826</v>
      </c>
      <c r="D141" t="s">
        <v>384</v>
      </c>
      <c r="F141">
        <v>401246606</v>
      </c>
      <c r="G141" t="s">
        <v>827</v>
      </c>
      <c r="H141" t="s">
        <v>75</v>
      </c>
      <c r="I141">
        <v>2</v>
      </c>
      <c r="J141">
        <v>1</v>
      </c>
      <c r="K141">
        <v>0</v>
      </c>
      <c r="L141">
        <v>0</v>
      </c>
      <c r="M141">
        <v>0</v>
      </c>
      <c r="N141">
        <v>0</v>
      </c>
      <c r="O141">
        <v>1</v>
      </c>
      <c r="P141">
        <v>0</v>
      </c>
      <c r="Q141">
        <v>1</v>
      </c>
      <c r="R141">
        <v>220</v>
      </c>
      <c r="S141">
        <v>119</v>
      </c>
      <c r="T141">
        <v>238</v>
      </c>
      <c r="U141" t="s">
        <v>530</v>
      </c>
      <c r="W141">
        <v>20.6206</v>
      </c>
      <c r="X141">
        <v>4907.7028</v>
      </c>
      <c r="Y141" t="s">
        <v>85</v>
      </c>
      <c r="Z141" t="s">
        <v>530</v>
      </c>
      <c r="AA141" t="s">
        <v>531</v>
      </c>
      <c r="AB141" t="s">
        <v>532</v>
      </c>
      <c r="AG141">
        <v>41.241199999999999</v>
      </c>
      <c r="AH141">
        <v>4907.7028</v>
      </c>
      <c r="AI141">
        <v>220</v>
      </c>
      <c r="AJ141">
        <v>238</v>
      </c>
      <c r="AK141">
        <v>0</v>
      </c>
      <c r="AL141">
        <v>-18</v>
      </c>
      <c r="AM141">
        <v>238</v>
      </c>
      <c r="AZ141">
        <f>SUM($AM141,$AN141:AO141)-SUM($BH141:BJ141)</f>
        <v>218</v>
      </c>
      <c r="BA141">
        <f>SUM($AM141,$AN141:AP141)-SUM($BH141:BK141)</f>
        <v>158</v>
      </c>
      <c r="BB141">
        <f>SUM($AM141,$AN141:AQ141)-SUM($BH141:BL141)</f>
        <v>158</v>
      </c>
      <c r="BC141">
        <f>SUM($AM141,$AN141:AR141)-SUM($BH141:BM141)</f>
        <v>158</v>
      </c>
      <c r="BD141">
        <f>SUM($AM141,$AN141:AS141)-SUM($BH141:BN141)</f>
        <v>158</v>
      </c>
      <c r="BI141">
        <f t="array" ref="BI141">SUMPRODUCT(TRANSPOSE(BI$4:BI$9),$K141:$P141)</f>
        <v>0</v>
      </c>
      <c r="BJ141">
        <f t="array" ref="BJ141">SUMPRODUCT(TRANSPOSE(BJ$4:BJ$9),$K141:$P141)</f>
        <v>20</v>
      </c>
      <c r="BK141">
        <f t="array" ref="BK141">SUMPRODUCT(TRANSPOSE(BK$4:BK$9),$K141:$P141)</f>
        <v>60</v>
      </c>
      <c r="BL141">
        <f t="array" ref="BL141">SUMPRODUCT(TRANSPOSE(BL$4:BL$9),$K141:$P141)</f>
        <v>0</v>
      </c>
      <c r="BM141">
        <f t="array" ref="BM141">SUMPRODUCT(TRANSPOSE(BM$4:BM$9),$K141:$P141)</f>
        <v>0</v>
      </c>
      <c r="BN141">
        <f t="array" ref="BN141">SUMPRODUCT(TRANSPOSE(BN$4:BN$9),$K141:$P141)</f>
        <v>0</v>
      </c>
      <c r="BO141" t="s">
        <v>530</v>
      </c>
      <c r="BR141" t="s">
        <v>533</v>
      </c>
      <c r="BS141" t="s">
        <v>534</v>
      </c>
      <c r="BW141" t="s">
        <v>534</v>
      </c>
      <c r="CA141" t="s">
        <v>92</v>
      </c>
      <c r="CB141" t="s">
        <v>535</v>
      </c>
      <c r="CC141" t="s">
        <v>826</v>
      </c>
      <c r="CD141" t="s">
        <v>530</v>
      </c>
      <c r="CE141" t="s">
        <v>85</v>
      </c>
      <c r="CF141">
        <v>1</v>
      </c>
      <c r="CG141">
        <v>238</v>
      </c>
      <c r="CH141">
        <v>4907.7028</v>
      </c>
      <c r="CI141" t="s">
        <v>536</v>
      </c>
      <c r="CJ141" s="1">
        <v>45961</v>
      </c>
      <c r="CK141" t="s">
        <v>95</v>
      </c>
      <c r="CL141" t="s">
        <v>119</v>
      </c>
      <c r="CN141" t="s">
        <v>96</v>
      </c>
      <c r="CO141" t="s">
        <v>457</v>
      </c>
      <c r="CP141">
        <v>20.6206</v>
      </c>
      <c r="CQ141">
        <v>595</v>
      </c>
      <c r="CR141" t="b">
        <v>1</v>
      </c>
    </row>
    <row r="142" spans="1:100">
      <c r="A142">
        <v>160</v>
      </c>
      <c r="B142" t="s">
        <v>828</v>
      </c>
      <c r="C142" t="s">
        <v>829</v>
      </c>
      <c r="D142" t="s">
        <v>81</v>
      </c>
      <c r="F142">
        <v>414290613</v>
      </c>
      <c r="G142" t="s">
        <v>830</v>
      </c>
      <c r="H142" t="s">
        <v>75</v>
      </c>
      <c r="I142">
        <v>1</v>
      </c>
      <c r="J142">
        <v>1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1</v>
      </c>
      <c r="Q142">
        <v>1</v>
      </c>
      <c r="R142">
        <v>220</v>
      </c>
      <c r="S142">
        <v>1</v>
      </c>
      <c r="T142">
        <v>220</v>
      </c>
      <c r="U142" t="s">
        <v>831</v>
      </c>
      <c r="W142">
        <v>20.46</v>
      </c>
      <c r="X142">
        <v>4501.2</v>
      </c>
      <c r="Y142" t="s">
        <v>85</v>
      </c>
      <c r="Z142" t="s">
        <v>831</v>
      </c>
      <c r="AA142" t="s">
        <v>832</v>
      </c>
      <c r="AB142" t="s">
        <v>833</v>
      </c>
      <c r="AG142">
        <v>20.46</v>
      </c>
      <c r="AH142">
        <v>4501.2</v>
      </c>
      <c r="AI142">
        <v>220</v>
      </c>
      <c r="AJ142">
        <v>224</v>
      </c>
      <c r="AK142">
        <v>0</v>
      </c>
      <c r="AL142">
        <v>-4</v>
      </c>
      <c r="AM142">
        <v>224</v>
      </c>
      <c r="AZ142">
        <f>SUM($AM142,$AN142:AO142)-SUM($BH142:BJ142)</f>
        <v>204</v>
      </c>
      <c r="BA142">
        <f>SUM($AM142,$AN142:AP142)-SUM($BH142:BK142)</f>
        <v>144</v>
      </c>
      <c r="BB142">
        <f>SUM($AM142,$AN142:AQ142)-SUM($BH142:BL142)</f>
        <v>144</v>
      </c>
      <c r="BC142">
        <f>SUM($AM142,$AN142:AR142)-SUM($BH142:BM142)</f>
        <v>144</v>
      </c>
      <c r="BD142">
        <f>SUM($AM142,$AN142:AS142)-SUM($BH142:BN142)</f>
        <v>144</v>
      </c>
      <c r="BI142">
        <f t="array" ref="BI142">SUMPRODUCT(TRANSPOSE(BI$4:BI$9),$K142:$P142)</f>
        <v>0</v>
      </c>
      <c r="BJ142">
        <f t="array" ref="BJ142">SUMPRODUCT(TRANSPOSE(BJ$4:BJ$9),$K142:$P142)</f>
        <v>20</v>
      </c>
      <c r="BK142">
        <f t="array" ref="BK142">SUMPRODUCT(TRANSPOSE(BK$4:BK$9),$K142:$P142)</f>
        <v>60</v>
      </c>
      <c r="BL142">
        <f t="array" ref="BL142">SUMPRODUCT(TRANSPOSE(BL$4:BL$9),$K142:$P142)</f>
        <v>0</v>
      </c>
      <c r="BM142">
        <f t="array" ref="BM142">SUMPRODUCT(TRANSPOSE(BM$4:BM$9),$K142:$P142)</f>
        <v>0</v>
      </c>
      <c r="BN142">
        <f t="array" ref="BN142">SUMPRODUCT(TRANSPOSE(BN$4:BN$9),$K142:$P142)</f>
        <v>0</v>
      </c>
      <c r="BO142" t="s">
        <v>831</v>
      </c>
      <c r="BR142" t="s">
        <v>834</v>
      </c>
      <c r="BS142" t="s">
        <v>835</v>
      </c>
      <c r="BV142" t="s">
        <v>835</v>
      </c>
      <c r="CA142" t="s">
        <v>177</v>
      </c>
      <c r="CB142" t="s">
        <v>832</v>
      </c>
      <c r="CC142" t="s">
        <v>829</v>
      </c>
      <c r="CD142" t="s">
        <v>831</v>
      </c>
      <c r="CE142" t="s">
        <v>836</v>
      </c>
      <c r="CF142">
        <v>1.31</v>
      </c>
      <c r="CG142">
        <v>224</v>
      </c>
      <c r="CH142">
        <v>4398.6656000000003</v>
      </c>
      <c r="CI142" t="s">
        <v>837</v>
      </c>
      <c r="CJ142" s="1">
        <v>45961</v>
      </c>
      <c r="CK142" t="s">
        <v>304</v>
      </c>
      <c r="CL142" t="s">
        <v>119</v>
      </c>
      <c r="CN142" t="s">
        <v>96</v>
      </c>
      <c r="CO142" t="s">
        <v>838</v>
      </c>
      <c r="CP142">
        <v>19.486999999999998</v>
      </c>
      <c r="CQ142">
        <v>1072</v>
      </c>
      <c r="CR142" t="b">
        <v>0</v>
      </c>
      <c r="CU142" t="s">
        <v>835</v>
      </c>
    </row>
    <row r="143" spans="1:100">
      <c r="A143">
        <v>163</v>
      </c>
      <c r="B143" t="s">
        <v>839</v>
      </c>
      <c r="C143" t="s">
        <v>840</v>
      </c>
      <c r="D143" t="s">
        <v>384</v>
      </c>
      <c r="E143" t="s">
        <v>841</v>
      </c>
      <c r="F143">
        <v>400330009</v>
      </c>
      <c r="G143" t="s">
        <v>842</v>
      </c>
      <c r="H143" t="s">
        <v>75</v>
      </c>
      <c r="I143">
        <v>2</v>
      </c>
      <c r="J143">
        <v>1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1</v>
      </c>
      <c r="Q143">
        <v>1</v>
      </c>
      <c r="R143">
        <v>220</v>
      </c>
      <c r="S143">
        <v>2500</v>
      </c>
      <c r="T143">
        <v>2500</v>
      </c>
      <c r="U143" t="s">
        <v>843</v>
      </c>
      <c r="W143">
        <v>2.17</v>
      </c>
      <c r="X143">
        <v>5425</v>
      </c>
      <c r="Y143" t="s">
        <v>85</v>
      </c>
      <c r="Z143" t="s">
        <v>843</v>
      </c>
      <c r="AA143" t="s">
        <v>87</v>
      </c>
      <c r="AB143" t="s">
        <v>88</v>
      </c>
      <c r="AG143">
        <v>4.34</v>
      </c>
      <c r="AH143">
        <v>5425</v>
      </c>
      <c r="AI143">
        <v>220</v>
      </c>
      <c r="AJ143">
        <v>220</v>
      </c>
      <c r="AK143">
        <v>0</v>
      </c>
      <c r="AL143">
        <v>0</v>
      </c>
      <c r="AM143">
        <v>220</v>
      </c>
      <c r="AZ143">
        <f>SUM($AM143,$AN143:AO143)-SUM($BH143:BJ143)</f>
        <v>200</v>
      </c>
      <c r="BA143">
        <f>SUM($AM143,$AN143:AP143)-SUM($BH143:BK143)</f>
        <v>140</v>
      </c>
      <c r="BB143">
        <f>SUM($AM143,$AN143:AQ143)-SUM($BH143:BL143)</f>
        <v>140</v>
      </c>
      <c r="BC143">
        <f>SUM($AM143,$AN143:AR143)-SUM($BH143:BM143)</f>
        <v>140</v>
      </c>
      <c r="BD143">
        <f>SUM($AM143,$AN143:AS143)-SUM($BH143:BN143)</f>
        <v>140</v>
      </c>
      <c r="BI143">
        <f t="array" ref="BI143">SUMPRODUCT(TRANSPOSE(BI$4:BI$9),$K143:$P143)</f>
        <v>0</v>
      </c>
      <c r="BJ143">
        <f t="array" ref="BJ143">SUMPRODUCT(TRANSPOSE(BJ$4:BJ$9),$K143:$P143)</f>
        <v>20</v>
      </c>
      <c r="BK143">
        <f t="array" ref="BK143">SUMPRODUCT(TRANSPOSE(BK$4:BK$9),$K143:$P143)</f>
        <v>60</v>
      </c>
      <c r="BL143">
        <f t="array" ref="BL143">SUMPRODUCT(TRANSPOSE(BL$4:BL$9),$K143:$P143)</f>
        <v>0</v>
      </c>
      <c r="BM143">
        <f t="array" ref="BM143">SUMPRODUCT(TRANSPOSE(BM$4:BM$9),$K143:$P143)</f>
        <v>0</v>
      </c>
      <c r="BN143">
        <f t="array" ref="BN143">SUMPRODUCT(TRANSPOSE(BN$4:BN$9),$K143:$P143)</f>
        <v>0</v>
      </c>
      <c r="BO143" t="s">
        <v>843</v>
      </c>
      <c r="BW143" t="s">
        <v>91</v>
      </c>
      <c r="CA143" t="s">
        <v>177</v>
      </c>
      <c r="CB143" t="s">
        <v>86</v>
      </c>
      <c r="CC143" t="s">
        <v>840</v>
      </c>
      <c r="CD143" t="s">
        <v>843</v>
      </c>
      <c r="CE143" t="s">
        <v>85</v>
      </c>
      <c r="CF143">
        <v>1</v>
      </c>
      <c r="CG143">
        <v>220</v>
      </c>
      <c r="CH143">
        <v>477.4</v>
      </c>
      <c r="CI143" t="s">
        <v>844</v>
      </c>
      <c r="CJ143" s="1">
        <v>45657</v>
      </c>
      <c r="CN143" t="s">
        <v>96</v>
      </c>
      <c r="CO143" t="s">
        <v>368</v>
      </c>
      <c r="CP143">
        <v>2.17</v>
      </c>
      <c r="CQ143">
        <v>2500</v>
      </c>
      <c r="CR143" t="b">
        <v>1</v>
      </c>
      <c r="CU143" t="s">
        <v>845</v>
      </c>
    </row>
    <row r="144" spans="1:100">
      <c r="A144">
        <v>132</v>
      </c>
      <c r="B144" t="s">
        <v>846</v>
      </c>
      <c r="C144" t="s">
        <v>847</v>
      </c>
      <c r="D144" t="s">
        <v>81</v>
      </c>
      <c r="F144">
        <v>410406023</v>
      </c>
      <c r="G144" t="s">
        <v>848</v>
      </c>
      <c r="H144" t="s">
        <v>75</v>
      </c>
      <c r="I144">
        <v>2</v>
      </c>
      <c r="J144">
        <v>324</v>
      </c>
      <c r="K144">
        <v>0</v>
      </c>
      <c r="L144">
        <v>0</v>
      </c>
      <c r="M144">
        <v>0</v>
      </c>
      <c r="N144">
        <v>0</v>
      </c>
      <c r="O144">
        <v>324</v>
      </c>
      <c r="P144">
        <v>0</v>
      </c>
      <c r="Q144">
        <v>324</v>
      </c>
      <c r="R144">
        <v>71280</v>
      </c>
      <c r="S144">
        <v>4000</v>
      </c>
      <c r="T144">
        <v>72000</v>
      </c>
      <c r="U144" t="s">
        <v>312</v>
      </c>
      <c r="W144">
        <v>3.9E-2</v>
      </c>
      <c r="X144">
        <v>2808</v>
      </c>
      <c r="Y144" t="s">
        <v>85</v>
      </c>
      <c r="Z144" t="s">
        <v>557</v>
      </c>
      <c r="AA144" t="s">
        <v>558</v>
      </c>
      <c r="AB144" t="s">
        <v>559</v>
      </c>
      <c r="AG144">
        <v>7.8E-2</v>
      </c>
      <c r="AH144">
        <v>2808</v>
      </c>
      <c r="AI144">
        <v>71280</v>
      </c>
      <c r="AJ144">
        <v>72000</v>
      </c>
      <c r="AK144">
        <v>0</v>
      </c>
      <c r="AL144">
        <v>-720</v>
      </c>
      <c r="AM144">
        <v>72000</v>
      </c>
      <c r="AZ144">
        <f>SUM($AM144,$AN144:AO144)-SUM($BH144:BJ144)</f>
        <v>65520</v>
      </c>
      <c r="BA144">
        <f>SUM($AM144,$AN144:AP144)-SUM($BH144:BK144)</f>
        <v>46080</v>
      </c>
      <c r="BB144">
        <f>SUM($AM144,$AN144:AQ144)-SUM($BH144:BL144)</f>
        <v>46080</v>
      </c>
      <c r="BC144">
        <f>SUM($AM144,$AN144:AR144)-SUM($BH144:BM144)</f>
        <v>46080</v>
      </c>
      <c r="BD144">
        <f>SUM($AM144,$AN144:AS144)-SUM($BH144:BN144)</f>
        <v>46080</v>
      </c>
      <c r="BI144">
        <f t="array" ref="BI144">SUMPRODUCT(TRANSPOSE(BI$4:BI$9),$K144:$P144)</f>
        <v>0</v>
      </c>
      <c r="BJ144">
        <f t="array" ref="BJ144">SUMPRODUCT(TRANSPOSE(BJ$4:BJ$9),$K144:$P144)</f>
        <v>6480</v>
      </c>
      <c r="BK144">
        <f t="array" ref="BK144">SUMPRODUCT(TRANSPOSE(BK$4:BK$9),$K144:$P144)</f>
        <v>19440</v>
      </c>
      <c r="BL144">
        <f t="array" ref="BL144">SUMPRODUCT(TRANSPOSE(BL$4:BL$9),$K144:$P144)</f>
        <v>0</v>
      </c>
      <c r="BM144">
        <f t="array" ref="BM144">SUMPRODUCT(TRANSPOSE(BM$4:BM$9),$K144:$P144)</f>
        <v>0</v>
      </c>
      <c r="BN144">
        <f t="array" ref="BN144">SUMPRODUCT(TRANSPOSE(BN$4:BN$9),$K144:$P144)</f>
        <v>0</v>
      </c>
      <c r="CA144" t="s">
        <v>177</v>
      </c>
      <c r="CB144" t="s">
        <v>557</v>
      </c>
      <c r="CC144" t="s">
        <v>847</v>
      </c>
      <c r="CD144" t="s">
        <v>312</v>
      </c>
      <c r="CE144" t="s">
        <v>85</v>
      </c>
      <c r="CF144">
        <v>1</v>
      </c>
      <c r="CG144">
        <v>72000</v>
      </c>
      <c r="CH144">
        <v>2808</v>
      </c>
      <c r="CI144" t="s">
        <v>560</v>
      </c>
      <c r="CJ144" s="1">
        <v>45961</v>
      </c>
      <c r="CL144" t="s">
        <v>119</v>
      </c>
      <c r="CN144" t="s">
        <v>96</v>
      </c>
    </row>
    <row r="145" spans="1:99">
      <c r="A145">
        <v>165</v>
      </c>
      <c r="B145" t="s">
        <v>849</v>
      </c>
      <c r="C145" t="s">
        <v>850</v>
      </c>
      <c r="D145" t="s">
        <v>81</v>
      </c>
      <c r="E145" t="s">
        <v>851</v>
      </c>
      <c r="F145">
        <v>400149265</v>
      </c>
      <c r="G145" t="s">
        <v>852</v>
      </c>
      <c r="H145" t="s">
        <v>75</v>
      </c>
      <c r="I145">
        <v>2</v>
      </c>
      <c r="J145">
        <v>15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15</v>
      </c>
      <c r="Q145">
        <v>15</v>
      </c>
      <c r="R145">
        <v>3300</v>
      </c>
      <c r="S145">
        <v>4000</v>
      </c>
      <c r="T145">
        <v>4000</v>
      </c>
      <c r="U145" t="s">
        <v>853</v>
      </c>
      <c r="W145">
        <v>3.9E-2</v>
      </c>
      <c r="X145">
        <v>156</v>
      </c>
      <c r="Y145" t="s">
        <v>85</v>
      </c>
      <c r="Z145" t="s">
        <v>341</v>
      </c>
      <c r="AA145" t="s">
        <v>542</v>
      </c>
      <c r="AB145" t="s">
        <v>543</v>
      </c>
      <c r="AG145">
        <v>7.8E-2</v>
      </c>
      <c r="AH145">
        <v>156</v>
      </c>
      <c r="AI145">
        <v>3300</v>
      </c>
      <c r="AJ145">
        <v>4000</v>
      </c>
      <c r="AK145">
        <v>0</v>
      </c>
      <c r="AL145">
        <v>-700</v>
      </c>
      <c r="AM145">
        <v>4000</v>
      </c>
      <c r="AZ145">
        <f>SUM($AM145,$AN145:AO145)-SUM($BH145:BJ145)</f>
        <v>3700</v>
      </c>
      <c r="BA145">
        <f>SUM($AM145,$AN145:AP145)-SUM($BH145:BK145)</f>
        <v>2800</v>
      </c>
      <c r="BB145">
        <f>SUM($AM145,$AN145:AQ145)-SUM($BH145:BL145)</f>
        <v>2800</v>
      </c>
      <c r="BC145">
        <f>SUM($AM145,$AN145:AR145)-SUM($BH145:BM145)</f>
        <v>2800</v>
      </c>
      <c r="BD145">
        <f>SUM($AM145,$AN145:AS145)-SUM($BH145:BN145)</f>
        <v>2800</v>
      </c>
      <c r="BI145">
        <f t="array" ref="BI145">SUMPRODUCT(TRANSPOSE(BI$4:BI$9),$K145:$P145)</f>
        <v>0</v>
      </c>
      <c r="BJ145">
        <f t="array" ref="BJ145">SUMPRODUCT(TRANSPOSE(BJ$4:BJ$9),$K145:$P145)</f>
        <v>300</v>
      </c>
      <c r="BK145">
        <f t="array" ref="BK145">SUMPRODUCT(TRANSPOSE(BK$4:BK$9),$K145:$P145)</f>
        <v>900</v>
      </c>
      <c r="BL145">
        <f t="array" ref="BL145">SUMPRODUCT(TRANSPOSE(BL$4:BL$9),$K145:$P145)</f>
        <v>0</v>
      </c>
      <c r="BM145">
        <f t="array" ref="BM145">SUMPRODUCT(TRANSPOSE(BM$4:BM$9),$K145:$P145)</f>
        <v>0</v>
      </c>
      <c r="BN145">
        <f t="array" ref="BN145">SUMPRODUCT(TRANSPOSE(BN$4:BN$9),$K145:$P145)</f>
        <v>0</v>
      </c>
      <c r="BO145" t="s">
        <v>853</v>
      </c>
      <c r="CA145" t="s">
        <v>177</v>
      </c>
      <c r="CB145" t="s">
        <v>341</v>
      </c>
      <c r="CC145" t="s">
        <v>850</v>
      </c>
      <c r="CD145" t="s">
        <v>853</v>
      </c>
      <c r="CE145" t="s">
        <v>85</v>
      </c>
      <c r="CF145">
        <v>1</v>
      </c>
      <c r="CG145">
        <v>4000</v>
      </c>
      <c r="CH145">
        <v>156</v>
      </c>
      <c r="CI145" t="s">
        <v>854</v>
      </c>
      <c r="CJ145" s="1">
        <v>45964</v>
      </c>
      <c r="CL145" t="s">
        <v>119</v>
      </c>
      <c r="CN145" t="s">
        <v>96</v>
      </c>
      <c r="CO145" t="s">
        <v>546</v>
      </c>
      <c r="CP145">
        <v>3.9E-2</v>
      </c>
      <c r="CQ145">
        <v>40000</v>
      </c>
      <c r="CR145" t="b">
        <v>1</v>
      </c>
    </row>
    <row r="146" spans="1:99">
      <c r="A146">
        <v>164</v>
      </c>
      <c r="B146" t="s">
        <v>855</v>
      </c>
      <c r="C146" t="s">
        <v>856</v>
      </c>
      <c r="D146" t="s">
        <v>81</v>
      </c>
      <c r="E146" t="s">
        <v>857</v>
      </c>
      <c r="F146">
        <v>400391792</v>
      </c>
      <c r="G146" t="s">
        <v>550</v>
      </c>
      <c r="H146" t="s">
        <v>75</v>
      </c>
      <c r="I146">
        <v>2</v>
      </c>
      <c r="J146">
        <v>2</v>
      </c>
      <c r="K146">
        <v>0</v>
      </c>
      <c r="L146">
        <v>0</v>
      </c>
      <c r="M146">
        <v>0</v>
      </c>
      <c r="N146">
        <v>0</v>
      </c>
      <c r="O146">
        <v>2</v>
      </c>
      <c r="P146">
        <v>0</v>
      </c>
      <c r="Q146">
        <v>2</v>
      </c>
      <c r="R146">
        <v>440</v>
      </c>
      <c r="S146">
        <v>2500</v>
      </c>
      <c r="T146">
        <v>2500</v>
      </c>
      <c r="U146" t="s">
        <v>380</v>
      </c>
      <c r="W146">
        <v>0.14000000000000001</v>
      </c>
      <c r="X146">
        <v>350.00000000000011</v>
      </c>
      <c r="Y146" t="s">
        <v>85</v>
      </c>
      <c r="Z146" t="s">
        <v>380</v>
      </c>
      <c r="AA146" t="s">
        <v>87</v>
      </c>
      <c r="AB146" t="s">
        <v>88</v>
      </c>
      <c r="AG146">
        <v>0.28000000000000003</v>
      </c>
      <c r="AH146">
        <v>350.00000000000011</v>
      </c>
      <c r="AI146">
        <v>440</v>
      </c>
      <c r="AJ146">
        <v>440</v>
      </c>
      <c r="AK146">
        <v>0</v>
      </c>
      <c r="AL146">
        <v>0</v>
      </c>
      <c r="AM146">
        <v>440</v>
      </c>
      <c r="AZ146">
        <f>SUM($AM146,$AN146:AO146)-SUM($BH146:BJ146)</f>
        <v>400</v>
      </c>
      <c r="BA146">
        <f>SUM($AM146,$AN146:AP146)-SUM($BH146:BK146)</f>
        <v>280</v>
      </c>
      <c r="BB146">
        <f>SUM($AM146,$AN146:AQ146)-SUM($BH146:BL146)</f>
        <v>280</v>
      </c>
      <c r="BC146">
        <f>SUM($AM146,$AN146:AR146)-SUM($BH146:BM146)</f>
        <v>280</v>
      </c>
      <c r="BD146">
        <f>SUM($AM146,$AN146:AS146)-SUM($BH146:BN146)</f>
        <v>280</v>
      </c>
      <c r="BI146">
        <f t="array" ref="BI146">SUMPRODUCT(TRANSPOSE(BI$4:BI$9),$K146:$P146)</f>
        <v>0</v>
      </c>
      <c r="BJ146">
        <f t="array" ref="BJ146">SUMPRODUCT(TRANSPOSE(BJ$4:BJ$9),$K146:$P146)</f>
        <v>40</v>
      </c>
      <c r="BK146">
        <f t="array" ref="BK146">SUMPRODUCT(TRANSPOSE(BK$4:BK$9),$K146:$P146)</f>
        <v>120</v>
      </c>
      <c r="BL146">
        <f t="array" ref="BL146">SUMPRODUCT(TRANSPOSE(BL$4:BL$9),$K146:$P146)</f>
        <v>0</v>
      </c>
      <c r="BM146">
        <f t="array" ref="BM146">SUMPRODUCT(TRANSPOSE(BM$4:BM$9),$K146:$P146)</f>
        <v>0</v>
      </c>
      <c r="BN146">
        <f t="array" ref="BN146">SUMPRODUCT(TRANSPOSE(BN$4:BN$9),$K146:$P146)</f>
        <v>0</v>
      </c>
      <c r="BO146" t="s">
        <v>380</v>
      </c>
      <c r="BR146" t="s">
        <v>858</v>
      </c>
      <c r="BW146" t="s">
        <v>859</v>
      </c>
      <c r="CA146" t="s">
        <v>177</v>
      </c>
      <c r="CB146" t="s">
        <v>860</v>
      </c>
      <c r="CC146" t="s">
        <v>856</v>
      </c>
      <c r="CD146" t="s">
        <v>380</v>
      </c>
      <c r="CE146" t="s">
        <v>85</v>
      </c>
      <c r="CF146">
        <v>1</v>
      </c>
      <c r="CG146">
        <v>440</v>
      </c>
      <c r="CH146">
        <v>61.600000000000009</v>
      </c>
      <c r="CI146" t="s">
        <v>861</v>
      </c>
      <c r="CJ146" s="1">
        <v>45961</v>
      </c>
      <c r="CL146" t="s">
        <v>119</v>
      </c>
      <c r="CN146" t="s">
        <v>96</v>
      </c>
      <c r="CO146" t="s">
        <v>368</v>
      </c>
      <c r="CP146">
        <v>0.12992000000000001</v>
      </c>
      <c r="CQ146">
        <v>2500</v>
      </c>
      <c r="CR146" t="b">
        <v>0</v>
      </c>
      <c r="CU146" t="s">
        <v>859</v>
      </c>
    </row>
    <row r="147" spans="1:99">
      <c r="A147">
        <v>166</v>
      </c>
      <c r="B147" t="s">
        <v>862</v>
      </c>
      <c r="C147" t="s">
        <v>863</v>
      </c>
      <c r="D147" t="s">
        <v>81</v>
      </c>
      <c r="E147" t="s">
        <v>864</v>
      </c>
      <c r="F147">
        <v>400054690</v>
      </c>
      <c r="G147" t="s">
        <v>865</v>
      </c>
      <c r="H147" t="s">
        <v>75</v>
      </c>
      <c r="I147">
        <v>2</v>
      </c>
      <c r="J147">
        <v>6</v>
      </c>
      <c r="K147">
        <v>0</v>
      </c>
      <c r="L147">
        <v>0</v>
      </c>
      <c r="M147">
        <v>0</v>
      </c>
      <c r="N147">
        <v>0</v>
      </c>
      <c r="O147">
        <v>6</v>
      </c>
      <c r="P147">
        <v>0</v>
      </c>
      <c r="Q147">
        <v>6</v>
      </c>
      <c r="R147">
        <v>1320</v>
      </c>
      <c r="S147">
        <v>3000</v>
      </c>
      <c r="T147">
        <v>3000</v>
      </c>
      <c r="U147" t="s">
        <v>380</v>
      </c>
      <c r="W147">
        <v>0.02</v>
      </c>
      <c r="X147">
        <v>60</v>
      </c>
      <c r="Y147" t="s">
        <v>85</v>
      </c>
      <c r="Z147" t="s">
        <v>380</v>
      </c>
      <c r="AA147" t="s">
        <v>87</v>
      </c>
      <c r="AB147" t="s">
        <v>88</v>
      </c>
      <c r="AG147">
        <v>0.04</v>
      </c>
      <c r="AH147">
        <v>60</v>
      </c>
      <c r="AI147">
        <v>1320</v>
      </c>
      <c r="AJ147">
        <v>3000</v>
      </c>
      <c r="AK147">
        <v>0</v>
      </c>
      <c r="AL147">
        <v>-1680</v>
      </c>
      <c r="AM147">
        <v>3000</v>
      </c>
      <c r="AZ147">
        <f>SUM($AM147,$AN147:AO147)-SUM($BH147:BJ147)</f>
        <v>2880</v>
      </c>
      <c r="BA147">
        <f>SUM($AM147,$AN147:AP147)-SUM($BH147:BK147)</f>
        <v>2520</v>
      </c>
      <c r="BB147">
        <f>SUM($AM147,$AN147:AQ147)-SUM($BH147:BL147)</f>
        <v>2520</v>
      </c>
      <c r="BC147">
        <f>SUM($AM147,$AN147:AR147)-SUM($BH147:BM147)</f>
        <v>2520</v>
      </c>
      <c r="BD147">
        <f>SUM($AM147,$AN147:AS147)-SUM($BH147:BN147)</f>
        <v>2520</v>
      </c>
      <c r="BI147">
        <f t="array" ref="BI147">SUMPRODUCT(TRANSPOSE(BI$4:BI$9),$K147:$P147)</f>
        <v>0</v>
      </c>
      <c r="BJ147">
        <f t="array" ref="BJ147">SUMPRODUCT(TRANSPOSE(BJ$4:BJ$9),$K147:$P147)</f>
        <v>120</v>
      </c>
      <c r="BK147">
        <f t="array" ref="BK147">SUMPRODUCT(TRANSPOSE(BK$4:BK$9),$K147:$P147)</f>
        <v>360</v>
      </c>
      <c r="BL147">
        <f t="array" ref="BL147">SUMPRODUCT(TRANSPOSE(BL$4:BL$9),$K147:$P147)</f>
        <v>0</v>
      </c>
      <c r="BM147">
        <f t="array" ref="BM147">SUMPRODUCT(TRANSPOSE(BM$4:BM$9),$K147:$P147)</f>
        <v>0</v>
      </c>
      <c r="BN147">
        <f t="array" ref="BN147">SUMPRODUCT(TRANSPOSE(BN$4:BN$9),$K147:$P147)</f>
        <v>0</v>
      </c>
      <c r="BO147" t="s">
        <v>380</v>
      </c>
      <c r="CA147" t="s">
        <v>177</v>
      </c>
      <c r="CB147" t="s">
        <v>86</v>
      </c>
      <c r="CC147" t="s">
        <v>863</v>
      </c>
      <c r="CD147" t="s">
        <v>380</v>
      </c>
      <c r="CE147" t="s">
        <v>85</v>
      </c>
      <c r="CF147">
        <v>1</v>
      </c>
      <c r="CG147">
        <v>3000</v>
      </c>
      <c r="CH147">
        <v>60</v>
      </c>
      <c r="CI147" t="s">
        <v>278</v>
      </c>
      <c r="CJ147" s="1">
        <v>45961</v>
      </c>
      <c r="CL147" t="s">
        <v>119</v>
      </c>
      <c r="CN147" t="s">
        <v>96</v>
      </c>
      <c r="CO147" t="s">
        <v>368</v>
      </c>
      <c r="CP147">
        <v>1.456E-2</v>
      </c>
      <c r="CQ147">
        <v>72000</v>
      </c>
      <c r="CR147" t="b">
        <v>0</v>
      </c>
    </row>
    <row r="148" spans="1:99">
      <c r="A148">
        <v>169</v>
      </c>
      <c r="B148" t="s">
        <v>866</v>
      </c>
      <c r="C148" t="s">
        <v>867</v>
      </c>
      <c r="D148" t="s">
        <v>81</v>
      </c>
      <c r="E148" t="s">
        <v>868</v>
      </c>
      <c r="F148">
        <v>424084749</v>
      </c>
      <c r="G148" t="s">
        <v>869</v>
      </c>
      <c r="H148" t="s">
        <v>75</v>
      </c>
      <c r="I148">
        <v>2</v>
      </c>
      <c r="J148">
        <v>13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13</v>
      </c>
      <c r="Q148">
        <v>13</v>
      </c>
      <c r="R148">
        <v>2860</v>
      </c>
      <c r="S148">
        <v>3000</v>
      </c>
      <c r="T148">
        <v>3000</v>
      </c>
      <c r="U148" t="s">
        <v>870</v>
      </c>
      <c r="W148">
        <v>0.01</v>
      </c>
      <c r="X148">
        <v>30</v>
      </c>
      <c r="Y148" t="s">
        <v>85</v>
      </c>
      <c r="Z148" t="s">
        <v>871</v>
      </c>
      <c r="AA148" t="s">
        <v>87</v>
      </c>
      <c r="AB148" t="s">
        <v>88</v>
      </c>
      <c r="AC148" t="s">
        <v>89</v>
      </c>
      <c r="AG148">
        <v>0.02</v>
      </c>
      <c r="AH148">
        <v>30</v>
      </c>
      <c r="AI148">
        <v>2860</v>
      </c>
      <c r="AJ148">
        <v>3000</v>
      </c>
      <c r="AK148">
        <v>0</v>
      </c>
      <c r="AL148">
        <v>-140</v>
      </c>
      <c r="AM148">
        <v>3000</v>
      </c>
      <c r="AZ148">
        <f>SUM($AM148,$AN148:AO148)-SUM($BH148:BJ148)</f>
        <v>2740</v>
      </c>
      <c r="BA148">
        <f>SUM($AM148,$AN148:AP148)-SUM($BH148:BK148)</f>
        <v>1960</v>
      </c>
      <c r="BB148">
        <f>SUM($AM148,$AN148:AQ148)-SUM($BH148:BL148)</f>
        <v>1960</v>
      </c>
      <c r="BC148">
        <f>SUM($AM148,$AN148:AR148)-SUM($BH148:BM148)</f>
        <v>1960</v>
      </c>
      <c r="BD148">
        <f>SUM($AM148,$AN148:AS148)-SUM($BH148:BN148)</f>
        <v>1960</v>
      </c>
      <c r="BI148">
        <f t="array" ref="BI148">SUMPRODUCT(TRANSPOSE(BI$4:BI$9),$K148:$P148)</f>
        <v>0</v>
      </c>
      <c r="BJ148">
        <f t="array" ref="BJ148">SUMPRODUCT(TRANSPOSE(BJ$4:BJ$9),$K148:$P148)</f>
        <v>260</v>
      </c>
      <c r="BK148">
        <f t="array" ref="BK148">SUMPRODUCT(TRANSPOSE(BK$4:BK$9),$K148:$P148)</f>
        <v>780</v>
      </c>
      <c r="BL148">
        <f t="array" ref="BL148">SUMPRODUCT(TRANSPOSE(BL$4:BL$9),$K148:$P148)</f>
        <v>0</v>
      </c>
      <c r="BM148">
        <f t="array" ref="BM148">SUMPRODUCT(TRANSPOSE(BM$4:BM$9),$K148:$P148)</f>
        <v>0</v>
      </c>
      <c r="BN148">
        <f t="array" ref="BN148">SUMPRODUCT(TRANSPOSE(BN$4:BN$9),$K148:$P148)</f>
        <v>0</v>
      </c>
      <c r="BO148" t="s">
        <v>870</v>
      </c>
      <c r="CA148" t="s">
        <v>177</v>
      </c>
      <c r="CB148" t="s">
        <v>871</v>
      </c>
      <c r="CC148" t="s">
        <v>867</v>
      </c>
      <c r="CD148" t="s">
        <v>870</v>
      </c>
      <c r="CE148" t="s">
        <v>85</v>
      </c>
      <c r="CF148">
        <v>1</v>
      </c>
      <c r="CG148">
        <v>3000</v>
      </c>
      <c r="CH148">
        <v>30</v>
      </c>
      <c r="CI148" t="s">
        <v>278</v>
      </c>
      <c r="CJ148" s="1">
        <v>45961</v>
      </c>
      <c r="CL148" t="s">
        <v>119</v>
      </c>
      <c r="CN148" t="s">
        <v>96</v>
      </c>
      <c r="CO148" t="s">
        <v>368</v>
      </c>
      <c r="CP148">
        <v>1.1872000000000001E-2</v>
      </c>
      <c r="CQ148">
        <v>15000</v>
      </c>
      <c r="CR148" t="b">
        <v>0</v>
      </c>
    </row>
    <row r="149" spans="1:99">
      <c r="A149">
        <v>167</v>
      </c>
      <c r="B149" t="s">
        <v>872</v>
      </c>
      <c r="C149" t="s">
        <v>873</v>
      </c>
      <c r="D149" t="s">
        <v>81</v>
      </c>
      <c r="E149" t="s">
        <v>874</v>
      </c>
      <c r="F149">
        <v>400068581</v>
      </c>
      <c r="G149" t="s">
        <v>875</v>
      </c>
      <c r="H149" t="s">
        <v>75</v>
      </c>
      <c r="I149">
        <v>2</v>
      </c>
      <c r="J149">
        <v>2</v>
      </c>
      <c r="K149">
        <v>0</v>
      </c>
      <c r="L149">
        <v>0</v>
      </c>
      <c r="M149">
        <v>0</v>
      </c>
      <c r="N149">
        <v>0</v>
      </c>
      <c r="O149">
        <v>2</v>
      </c>
      <c r="P149">
        <v>0</v>
      </c>
      <c r="Q149">
        <v>2</v>
      </c>
      <c r="R149">
        <v>440</v>
      </c>
      <c r="S149">
        <v>3000</v>
      </c>
      <c r="T149">
        <v>3000</v>
      </c>
      <c r="U149" t="s">
        <v>380</v>
      </c>
      <c r="W149">
        <v>0.02</v>
      </c>
      <c r="X149">
        <v>60</v>
      </c>
      <c r="Y149" t="s">
        <v>85</v>
      </c>
      <c r="Z149" t="s">
        <v>380</v>
      </c>
      <c r="AA149" t="s">
        <v>87</v>
      </c>
      <c r="AB149" t="s">
        <v>88</v>
      </c>
      <c r="AG149">
        <v>0.04</v>
      </c>
      <c r="AH149">
        <v>60</v>
      </c>
      <c r="AI149">
        <v>440</v>
      </c>
      <c r="AJ149">
        <v>3000</v>
      </c>
      <c r="AK149">
        <v>0</v>
      </c>
      <c r="AL149">
        <v>-2560</v>
      </c>
      <c r="AM149">
        <v>3000</v>
      </c>
      <c r="AZ149">
        <f>SUM($AM149,$AN149:AO149)-SUM($BH149:BJ149)</f>
        <v>2960</v>
      </c>
      <c r="BA149">
        <f>SUM($AM149,$AN149:AP149)-SUM($BH149:BK149)</f>
        <v>2840</v>
      </c>
      <c r="BB149">
        <f>SUM($AM149,$AN149:AQ149)-SUM($BH149:BL149)</f>
        <v>2840</v>
      </c>
      <c r="BC149">
        <f>SUM($AM149,$AN149:AR149)-SUM($BH149:BM149)</f>
        <v>2840</v>
      </c>
      <c r="BD149">
        <f>SUM($AM149,$AN149:AS149)-SUM($BH149:BN149)</f>
        <v>2840</v>
      </c>
      <c r="BI149">
        <f t="array" ref="BI149">SUMPRODUCT(TRANSPOSE(BI$4:BI$9),$K149:$P149)</f>
        <v>0</v>
      </c>
      <c r="BJ149">
        <f t="array" ref="BJ149">SUMPRODUCT(TRANSPOSE(BJ$4:BJ$9),$K149:$P149)</f>
        <v>40</v>
      </c>
      <c r="BK149">
        <f t="array" ref="BK149">SUMPRODUCT(TRANSPOSE(BK$4:BK$9),$K149:$P149)</f>
        <v>120</v>
      </c>
      <c r="BL149">
        <f t="array" ref="BL149">SUMPRODUCT(TRANSPOSE(BL$4:BL$9),$K149:$P149)</f>
        <v>0</v>
      </c>
      <c r="BM149">
        <f t="array" ref="BM149">SUMPRODUCT(TRANSPOSE(BM$4:BM$9),$K149:$P149)</f>
        <v>0</v>
      </c>
      <c r="BN149">
        <f t="array" ref="BN149">SUMPRODUCT(TRANSPOSE(BN$4:BN$9),$K149:$P149)</f>
        <v>0</v>
      </c>
      <c r="BO149" t="s">
        <v>380</v>
      </c>
      <c r="CA149" t="s">
        <v>177</v>
      </c>
      <c r="CB149" t="s">
        <v>86</v>
      </c>
      <c r="CC149" t="s">
        <v>873</v>
      </c>
      <c r="CD149" t="s">
        <v>380</v>
      </c>
      <c r="CE149" t="s">
        <v>85</v>
      </c>
      <c r="CF149">
        <v>1</v>
      </c>
      <c r="CG149">
        <v>3000</v>
      </c>
      <c r="CH149">
        <v>60</v>
      </c>
      <c r="CI149" t="s">
        <v>278</v>
      </c>
      <c r="CJ149" s="1">
        <v>45961</v>
      </c>
      <c r="CL149" t="s">
        <v>119</v>
      </c>
      <c r="CN149" t="s">
        <v>96</v>
      </c>
      <c r="CO149" t="s">
        <v>368</v>
      </c>
      <c r="CP149">
        <v>1.8815999999999999E-2</v>
      </c>
      <c r="CQ149">
        <v>3000</v>
      </c>
      <c r="CR149" t="b">
        <v>0</v>
      </c>
    </row>
    <row r="150" spans="1:99">
      <c r="A150">
        <v>170</v>
      </c>
      <c r="B150" t="s">
        <v>876</v>
      </c>
      <c r="C150" t="s">
        <v>877</v>
      </c>
      <c r="D150" t="s">
        <v>81</v>
      </c>
      <c r="E150" t="s">
        <v>878</v>
      </c>
      <c r="F150">
        <v>512306796</v>
      </c>
      <c r="G150" t="s">
        <v>346</v>
      </c>
      <c r="H150" t="s">
        <v>75</v>
      </c>
      <c r="I150">
        <v>2</v>
      </c>
      <c r="J150">
        <v>10</v>
      </c>
      <c r="K150">
        <v>0</v>
      </c>
      <c r="L150">
        <v>14</v>
      </c>
      <c r="M150">
        <v>0</v>
      </c>
      <c r="N150">
        <v>10</v>
      </c>
      <c r="O150">
        <v>0</v>
      </c>
      <c r="P150">
        <v>0</v>
      </c>
      <c r="Q150">
        <v>24</v>
      </c>
      <c r="R150">
        <v>2520</v>
      </c>
      <c r="S150">
        <v>1</v>
      </c>
      <c r="T150">
        <v>2520</v>
      </c>
      <c r="U150" t="s">
        <v>347</v>
      </c>
      <c r="W150">
        <v>0.129</v>
      </c>
      <c r="X150">
        <v>325.08</v>
      </c>
      <c r="Y150" t="s">
        <v>85</v>
      </c>
      <c r="Z150" t="s">
        <v>360</v>
      </c>
      <c r="AA150" t="s">
        <v>879</v>
      </c>
      <c r="AB150" t="s">
        <v>880</v>
      </c>
      <c r="AG150">
        <v>0.25800000000000001</v>
      </c>
      <c r="AH150">
        <v>283.8</v>
      </c>
      <c r="AI150">
        <v>2520</v>
      </c>
      <c r="AJ150">
        <v>2200</v>
      </c>
      <c r="AK150">
        <v>320</v>
      </c>
      <c r="AL150">
        <v>320</v>
      </c>
      <c r="AM150">
        <v>2200</v>
      </c>
      <c r="AZ150">
        <f>SUM($AM150,$AN150:AO150)-SUM($BH150:BJ150)</f>
        <v>2000</v>
      </c>
      <c r="BA150">
        <f>SUM($AM150,$AN150:AP150)-SUM($BH150:BK150)</f>
        <v>1400</v>
      </c>
      <c r="BB150">
        <f>SUM($AM150,$AN150:AQ150)-SUM($BH150:BL150)</f>
        <v>1400</v>
      </c>
      <c r="BC150">
        <f>SUM($AM150,$AN150:AR150)-SUM($BH150:BM150)</f>
        <v>1400</v>
      </c>
      <c r="BD150">
        <f>SUM($AM150,$AN150:AS150)-SUM($BH150:BN150)</f>
        <v>1400</v>
      </c>
      <c r="BI150">
        <f t="array" ref="BI150">SUMPRODUCT(TRANSPOSE(BI$4:BI$9),$K150:$P150)</f>
        <v>0</v>
      </c>
      <c r="BJ150">
        <f t="array" ref="BJ150">SUMPRODUCT(TRANSPOSE(BJ$4:BJ$9),$K150:$P150)</f>
        <v>200</v>
      </c>
      <c r="BK150">
        <f t="array" ref="BK150">SUMPRODUCT(TRANSPOSE(BK$4:BK$9),$K150:$P150)</f>
        <v>600</v>
      </c>
      <c r="BL150">
        <f t="array" ref="BL150">SUMPRODUCT(TRANSPOSE(BL$4:BL$9),$K150:$P150)</f>
        <v>0</v>
      </c>
      <c r="BM150">
        <f t="array" ref="BM150">SUMPRODUCT(TRANSPOSE(BM$4:BM$9),$K150:$P150)</f>
        <v>0</v>
      </c>
      <c r="BN150">
        <f t="array" ref="BN150">SUMPRODUCT(TRANSPOSE(BN$4:BN$9),$K150:$P150)</f>
        <v>0</v>
      </c>
      <c r="BO150" t="s">
        <v>347</v>
      </c>
      <c r="BS150" t="s">
        <v>259</v>
      </c>
      <c r="BU150">
        <v>0.13</v>
      </c>
      <c r="BW150" t="s">
        <v>259</v>
      </c>
      <c r="CA150" t="s">
        <v>177</v>
      </c>
      <c r="CB150" t="s">
        <v>360</v>
      </c>
      <c r="CC150" t="s">
        <v>877</v>
      </c>
      <c r="CD150" t="s">
        <v>347</v>
      </c>
      <c r="CE150" t="s">
        <v>85</v>
      </c>
      <c r="CF150">
        <v>1</v>
      </c>
      <c r="CG150">
        <v>2200</v>
      </c>
      <c r="CH150">
        <v>286</v>
      </c>
      <c r="CI150" t="s">
        <v>881</v>
      </c>
      <c r="CJ150" s="1">
        <v>45961</v>
      </c>
      <c r="CK150" t="s">
        <v>95</v>
      </c>
      <c r="CL150" t="s">
        <v>119</v>
      </c>
      <c r="CN150" t="s">
        <v>96</v>
      </c>
      <c r="CO150" t="s">
        <v>882</v>
      </c>
      <c r="CP150">
        <v>0.129</v>
      </c>
      <c r="CQ150">
        <v>5751</v>
      </c>
      <c r="CR150" t="b">
        <v>0</v>
      </c>
      <c r="CT150">
        <v>0.13</v>
      </c>
    </row>
    <row r="151" spans="1:99">
      <c r="A151">
        <v>171</v>
      </c>
      <c r="B151" t="s">
        <v>883</v>
      </c>
      <c r="C151" t="s">
        <v>884</v>
      </c>
      <c r="D151" t="s">
        <v>81</v>
      </c>
      <c r="E151" t="s">
        <v>885</v>
      </c>
      <c r="F151">
        <v>512306820</v>
      </c>
      <c r="G151" t="s">
        <v>346</v>
      </c>
      <c r="H151" t="s">
        <v>75</v>
      </c>
      <c r="I151">
        <v>2</v>
      </c>
      <c r="J151">
        <v>14</v>
      </c>
      <c r="K151">
        <v>0</v>
      </c>
      <c r="L151">
        <v>0</v>
      </c>
      <c r="M151">
        <v>6</v>
      </c>
      <c r="N151">
        <v>8</v>
      </c>
      <c r="O151">
        <v>0</v>
      </c>
      <c r="P151">
        <v>0</v>
      </c>
      <c r="Q151">
        <v>14</v>
      </c>
      <c r="R151">
        <v>1960</v>
      </c>
      <c r="S151">
        <v>1</v>
      </c>
      <c r="T151">
        <v>1960</v>
      </c>
      <c r="U151" t="s">
        <v>347</v>
      </c>
      <c r="W151">
        <v>0.13100000000000001</v>
      </c>
      <c r="X151">
        <v>256.76</v>
      </c>
      <c r="Y151" t="s">
        <v>85</v>
      </c>
      <c r="Z151" t="s">
        <v>360</v>
      </c>
      <c r="AA151" t="s">
        <v>879</v>
      </c>
      <c r="AB151" t="s">
        <v>880</v>
      </c>
      <c r="AG151">
        <v>0.26200000000000001</v>
      </c>
      <c r="AH151">
        <v>403.48</v>
      </c>
      <c r="AI151">
        <v>1960</v>
      </c>
      <c r="AJ151">
        <v>3080</v>
      </c>
      <c r="AK151">
        <v>0</v>
      </c>
      <c r="AL151">
        <v>-1120</v>
      </c>
      <c r="AM151">
        <v>3080</v>
      </c>
      <c r="AZ151">
        <f>SUM($AM151,$AN151:AO151)-SUM($BH151:BJ151)</f>
        <v>2800</v>
      </c>
      <c r="BA151">
        <f>SUM($AM151,$AN151:AP151)-SUM($BH151:BK151)</f>
        <v>1960</v>
      </c>
      <c r="BB151">
        <f>SUM($AM151,$AN151:AQ151)-SUM($BH151:BL151)</f>
        <v>1960</v>
      </c>
      <c r="BC151">
        <f>SUM($AM151,$AN151:AR151)-SUM($BH151:BM151)</f>
        <v>1960</v>
      </c>
      <c r="BD151">
        <f>SUM($AM151,$AN151:AS151)-SUM($BH151:BN151)</f>
        <v>1960</v>
      </c>
      <c r="BI151">
        <f t="array" ref="BI151">SUMPRODUCT(TRANSPOSE(BI$4:BI$9),$K151:$P151)</f>
        <v>0</v>
      </c>
      <c r="BJ151">
        <f t="array" ref="BJ151">SUMPRODUCT(TRANSPOSE(BJ$4:BJ$9),$K151:$P151)</f>
        <v>280</v>
      </c>
      <c r="BK151">
        <f t="array" ref="BK151">SUMPRODUCT(TRANSPOSE(BK$4:BK$9),$K151:$P151)</f>
        <v>840</v>
      </c>
      <c r="BL151">
        <f t="array" ref="BL151">SUMPRODUCT(TRANSPOSE(BL$4:BL$9),$K151:$P151)</f>
        <v>0</v>
      </c>
      <c r="BM151">
        <f t="array" ref="BM151">SUMPRODUCT(TRANSPOSE(BM$4:BM$9),$K151:$P151)</f>
        <v>0</v>
      </c>
      <c r="BN151">
        <f t="array" ref="BN151">SUMPRODUCT(TRANSPOSE(BN$4:BN$9),$K151:$P151)</f>
        <v>0</v>
      </c>
      <c r="BO151" t="s">
        <v>347</v>
      </c>
      <c r="CA151" t="s">
        <v>177</v>
      </c>
      <c r="CB151" t="s">
        <v>360</v>
      </c>
      <c r="CC151" t="s">
        <v>884</v>
      </c>
      <c r="CD151" t="s">
        <v>347</v>
      </c>
      <c r="CE151" t="s">
        <v>85</v>
      </c>
      <c r="CF151">
        <v>1</v>
      </c>
      <c r="CG151">
        <v>3080</v>
      </c>
      <c r="CH151">
        <v>400.4</v>
      </c>
      <c r="CI151" t="s">
        <v>881</v>
      </c>
      <c r="CJ151" s="1">
        <v>45961</v>
      </c>
      <c r="CK151" t="s">
        <v>95</v>
      </c>
      <c r="CL151" t="s">
        <v>119</v>
      </c>
      <c r="CN151" t="s">
        <v>96</v>
      </c>
      <c r="CO151" t="s">
        <v>882</v>
      </c>
      <c r="CP151">
        <v>0.13100000000000001</v>
      </c>
      <c r="CQ151">
        <v>45240</v>
      </c>
      <c r="CR151" t="b">
        <v>0</v>
      </c>
    </row>
    <row r="152" spans="1:99">
      <c r="A152">
        <v>172</v>
      </c>
      <c r="B152" t="s">
        <v>886</v>
      </c>
      <c r="C152" t="s">
        <v>887</v>
      </c>
      <c r="D152" t="s">
        <v>81</v>
      </c>
      <c r="E152" t="s">
        <v>888</v>
      </c>
      <c r="F152">
        <v>512306846</v>
      </c>
      <c r="G152" t="s">
        <v>346</v>
      </c>
      <c r="H152" t="s">
        <v>75</v>
      </c>
      <c r="I152">
        <v>2</v>
      </c>
      <c r="J152">
        <v>24</v>
      </c>
      <c r="K152">
        <v>0</v>
      </c>
      <c r="L152">
        <v>24</v>
      </c>
      <c r="M152">
        <v>0</v>
      </c>
      <c r="N152">
        <v>24</v>
      </c>
      <c r="O152">
        <v>0</v>
      </c>
      <c r="P152">
        <v>0</v>
      </c>
      <c r="Q152">
        <v>48</v>
      </c>
      <c r="R152">
        <v>5280</v>
      </c>
      <c r="S152">
        <v>1</v>
      </c>
      <c r="T152">
        <v>5280</v>
      </c>
      <c r="U152" t="s">
        <v>347</v>
      </c>
      <c r="W152">
        <v>0.11899999999999999</v>
      </c>
      <c r="X152">
        <v>628.31999999999994</v>
      </c>
      <c r="Y152" t="s">
        <v>85</v>
      </c>
      <c r="Z152" t="s">
        <v>360</v>
      </c>
      <c r="AA152" t="s">
        <v>879</v>
      </c>
      <c r="AB152" t="s">
        <v>880</v>
      </c>
      <c r="AG152">
        <v>0.23799999999999999</v>
      </c>
      <c r="AH152">
        <v>628.31999999999994</v>
      </c>
      <c r="AI152">
        <v>5280</v>
      </c>
      <c r="AJ152">
        <v>5280</v>
      </c>
      <c r="AK152">
        <v>0</v>
      </c>
      <c r="AL152">
        <v>0</v>
      </c>
      <c r="AM152">
        <v>5280</v>
      </c>
      <c r="AZ152">
        <f>SUM($AM152,$AN152:AO152)-SUM($BH152:BJ152)</f>
        <v>4800</v>
      </c>
      <c r="BA152">
        <f>SUM($AM152,$AN152:AP152)-SUM($BH152:BK152)</f>
        <v>3360</v>
      </c>
      <c r="BB152">
        <f>SUM($AM152,$AN152:AQ152)-SUM($BH152:BL152)</f>
        <v>3360</v>
      </c>
      <c r="BC152">
        <f>SUM($AM152,$AN152:AR152)-SUM($BH152:BM152)</f>
        <v>3360</v>
      </c>
      <c r="BD152">
        <f>SUM($AM152,$AN152:AS152)-SUM($BH152:BN152)</f>
        <v>3360</v>
      </c>
      <c r="BI152">
        <f t="array" ref="BI152">SUMPRODUCT(TRANSPOSE(BI$4:BI$9),$K152:$P152)</f>
        <v>0</v>
      </c>
      <c r="BJ152">
        <f t="array" ref="BJ152">SUMPRODUCT(TRANSPOSE(BJ$4:BJ$9),$K152:$P152)</f>
        <v>480</v>
      </c>
      <c r="BK152">
        <f t="array" ref="BK152">SUMPRODUCT(TRANSPOSE(BK$4:BK$9),$K152:$P152)</f>
        <v>1440</v>
      </c>
      <c r="BL152">
        <f t="array" ref="BL152">SUMPRODUCT(TRANSPOSE(BL$4:BL$9),$K152:$P152)</f>
        <v>0</v>
      </c>
      <c r="BM152">
        <f t="array" ref="BM152">SUMPRODUCT(TRANSPOSE(BM$4:BM$9),$K152:$P152)</f>
        <v>0</v>
      </c>
      <c r="BN152">
        <f t="array" ref="BN152">SUMPRODUCT(TRANSPOSE(BN$4:BN$9),$K152:$P152)</f>
        <v>0</v>
      </c>
      <c r="BO152" t="s">
        <v>347</v>
      </c>
      <c r="BS152" t="s">
        <v>259</v>
      </c>
      <c r="BU152">
        <v>0.12</v>
      </c>
      <c r="BW152" t="s">
        <v>259</v>
      </c>
      <c r="CA152" t="s">
        <v>177</v>
      </c>
      <c r="CB152" t="s">
        <v>360</v>
      </c>
      <c r="CC152" t="s">
        <v>887</v>
      </c>
      <c r="CD152" t="s">
        <v>347</v>
      </c>
      <c r="CE152" t="s">
        <v>85</v>
      </c>
      <c r="CF152">
        <v>1</v>
      </c>
      <c r="CG152">
        <v>5280</v>
      </c>
      <c r="CH152">
        <v>633.6</v>
      </c>
      <c r="CI152" t="s">
        <v>881</v>
      </c>
      <c r="CJ152" s="1">
        <v>45961</v>
      </c>
      <c r="CK152" t="s">
        <v>95</v>
      </c>
      <c r="CL152" t="s">
        <v>119</v>
      </c>
      <c r="CN152" t="s">
        <v>96</v>
      </c>
      <c r="CO152" t="s">
        <v>882</v>
      </c>
      <c r="CP152">
        <v>0.11899999999999999</v>
      </c>
      <c r="CQ152">
        <v>21767</v>
      </c>
      <c r="CR152" t="b">
        <v>0</v>
      </c>
      <c r="CT152">
        <v>0.12</v>
      </c>
    </row>
    <row r="153" spans="1:99">
      <c r="A153">
        <v>174</v>
      </c>
      <c r="B153" t="s">
        <v>889</v>
      </c>
      <c r="C153" t="s">
        <v>890</v>
      </c>
      <c r="D153" t="s">
        <v>81</v>
      </c>
      <c r="E153" t="s">
        <v>891</v>
      </c>
      <c r="F153">
        <v>512313180</v>
      </c>
      <c r="G153" t="s">
        <v>892</v>
      </c>
      <c r="H153" t="s">
        <v>75</v>
      </c>
      <c r="I153">
        <v>2</v>
      </c>
      <c r="J153">
        <v>8</v>
      </c>
      <c r="K153">
        <v>0</v>
      </c>
      <c r="L153">
        <v>8</v>
      </c>
      <c r="M153">
        <v>0</v>
      </c>
      <c r="N153">
        <v>8</v>
      </c>
      <c r="O153">
        <v>0</v>
      </c>
      <c r="P153">
        <v>0</v>
      </c>
      <c r="Q153">
        <v>16</v>
      </c>
      <c r="R153">
        <v>1760</v>
      </c>
      <c r="S153">
        <v>1</v>
      </c>
      <c r="T153">
        <v>1760</v>
      </c>
      <c r="U153" t="s">
        <v>347</v>
      </c>
      <c r="W153">
        <v>0.03</v>
      </c>
      <c r="X153">
        <v>52.8</v>
      </c>
      <c r="Y153" t="s">
        <v>85</v>
      </c>
      <c r="Z153" t="s">
        <v>360</v>
      </c>
      <c r="AA153" t="s">
        <v>879</v>
      </c>
      <c r="AB153" t="s">
        <v>880</v>
      </c>
      <c r="AG153">
        <v>0.06</v>
      </c>
      <c r="AH153">
        <v>52.8</v>
      </c>
      <c r="AI153">
        <v>1760</v>
      </c>
      <c r="AJ153">
        <v>1760</v>
      </c>
      <c r="AK153">
        <v>0</v>
      </c>
      <c r="AL153">
        <v>0</v>
      </c>
      <c r="AM153">
        <v>1760</v>
      </c>
      <c r="AZ153">
        <f>SUM($AM153,$AN153:AO153)-SUM($BH153:BJ153)</f>
        <v>1600</v>
      </c>
      <c r="BA153">
        <f>SUM($AM153,$AN153:AP153)-SUM($BH153:BK153)</f>
        <v>1120</v>
      </c>
      <c r="BB153">
        <f>SUM($AM153,$AN153:AQ153)-SUM($BH153:BL153)</f>
        <v>1120</v>
      </c>
      <c r="BC153">
        <f>SUM($AM153,$AN153:AR153)-SUM($BH153:BM153)</f>
        <v>1120</v>
      </c>
      <c r="BD153">
        <f>SUM($AM153,$AN153:AS153)-SUM($BH153:BN153)</f>
        <v>1120</v>
      </c>
      <c r="BI153">
        <f t="array" ref="BI153">SUMPRODUCT(TRANSPOSE(BI$4:BI$9),$K153:$P153)</f>
        <v>0</v>
      </c>
      <c r="BJ153">
        <f t="array" ref="BJ153">SUMPRODUCT(TRANSPOSE(BJ$4:BJ$9),$K153:$P153)</f>
        <v>160</v>
      </c>
      <c r="BK153">
        <f t="array" ref="BK153">SUMPRODUCT(TRANSPOSE(BK$4:BK$9),$K153:$P153)</f>
        <v>480</v>
      </c>
      <c r="BL153">
        <f t="array" ref="BL153">SUMPRODUCT(TRANSPOSE(BL$4:BL$9),$K153:$P153)</f>
        <v>0</v>
      </c>
      <c r="BM153">
        <f t="array" ref="BM153">SUMPRODUCT(TRANSPOSE(BM$4:BM$9),$K153:$P153)</f>
        <v>0</v>
      </c>
      <c r="BN153">
        <f t="array" ref="BN153">SUMPRODUCT(TRANSPOSE(BN$4:BN$9),$K153:$P153)</f>
        <v>0</v>
      </c>
      <c r="BS153" t="s">
        <v>259</v>
      </c>
      <c r="BU153">
        <v>0.05</v>
      </c>
      <c r="BW153" t="s">
        <v>259</v>
      </c>
      <c r="CA153" t="s">
        <v>177</v>
      </c>
      <c r="CB153" t="s">
        <v>360</v>
      </c>
      <c r="CC153" t="s">
        <v>890</v>
      </c>
      <c r="CD153" t="s">
        <v>347</v>
      </c>
      <c r="CE153" t="s">
        <v>85</v>
      </c>
      <c r="CF153">
        <v>1</v>
      </c>
      <c r="CG153">
        <v>1760</v>
      </c>
      <c r="CH153">
        <v>88</v>
      </c>
      <c r="CI153" t="s">
        <v>881</v>
      </c>
      <c r="CJ153" s="1">
        <v>45961</v>
      </c>
      <c r="CK153" t="s">
        <v>95</v>
      </c>
      <c r="CL153" t="s">
        <v>119</v>
      </c>
      <c r="CN153" t="s">
        <v>96</v>
      </c>
      <c r="CT153">
        <v>0.05</v>
      </c>
    </row>
    <row r="154" spans="1:99">
      <c r="A154">
        <v>177</v>
      </c>
      <c r="B154" t="s">
        <v>893</v>
      </c>
      <c r="C154" t="s">
        <v>894</v>
      </c>
      <c r="D154" t="s">
        <v>81</v>
      </c>
      <c r="F154">
        <v>512346461</v>
      </c>
      <c r="G154" t="s">
        <v>354</v>
      </c>
      <c r="H154" t="s">
        <v>75</v>
      </c>
      <c r="I154">
        <v>2</v>
      </c>
      <c r="J154">
        <v>1</v>
      </c>
      <c r="K154">
        <v>0</v>
      </c>
      <c r="L154">
        <v>1</v>
      </c>
      <c r="M154">
        <v>0</v>
      </c>
      <c r="N154">
        <v>1</v>
      </c>
      <c r="O154">
        <v>0</v>
      </c>
      <c r="P154">
        <v>0</v>
      </c>
      <c r="Q154">
        <v>2</v>
      </c>
      <c r="R154">
        <v>220</v>
      </c>
      <c r="S154">
        <v>1</v>
      </c>
      <c r="T154">
        <v>220</v>
      </c>
      <c r="U154" t="s">
        <v>347</v>
      </c>
      <c r="W154">
        <v>0.32700000000000001</v>
      </c>
      <c r="X154">
        <v>71.94</v>
      </c>
      <c r="Y154" t="s">
        <v>85</v>
      </c>
      <c r="Z154" t="s">
        <v>360</v>
      </c>
      <c r="AA154" t="s">
        <v>879</v>
      </c>
      <c r="AB154" t="s">
        <v>880</v>
      </c>
      <c r="AG154">
        <v>0.65400000000000003</v>
      </c>
      <c r="AH154">
        <v>71.94</v>
      </c>
      <c r="AI154">
        <v>220</v>
      </c>
      <c r="AJ154">
        <v>220</v>
      </c>
      <c r="AK154">
        <v>0</v>
      </c>
      <c r="AL154">
        <v>5</v>
      </c>
      <c r="AM154">
        <v>215</v>
      </c>
      <c r="AZ154">
        <f>SUM($AM154,$AN154:AO154)-SUM($BH154:BJ154)</f>
        <v>195</v>
      </c>
      <c r="BA154">
        <f>SUM($AM154,$AN154:AP154)-SUM($BH154:BK154)</f>
        <v>135</v>
      </c>
      <c r="BB154">
        <f>SUM($AM154,$AN154:AQ154)-SUM($BH154:BL154)</f>
        <v>135</v>
      </c>
      <c r="BC154">
        <f>SUM($AM154,$AN154:AR154)-SUM($BH154:BM154)</f>
        <v>135</v>
      </c>
      <c r="BD154">
        <f>SUM($AM154,$AN154:AS154)-SUM($BH154:BN154)</f>
        <v>135</v>
      </c>
      <c r="BI154">
        <f t="array" ref="BI154">SUMPRODUCT(TRANSPOSE(BI$4:BI$9),$K154:$P154)</f>
        <v>0</v>
      </c>
      <c r="BJ154">
        <f t="array" ref="BJ154">SUMPRODUCT(TRANSPOSE(BJ$4:BJ$9),$K154:$P154)</f>
        <v>20</v>
      </c>
      <c r="BK154">
        <f t="array" ref="BK154">SUMPRODUCT(TRANSPOSE(BK$4:BK$9),$K154:$P154)</f>
        <v>60</v>
      </c>
      <c r="BL154">
        <f t="array" ref="BL154">SUMPRODUCT(TRANSPOSE(BL$4:BL$9),$K154:$P154)</f>
        <v>0</v>
      </c>
      <c r="BM154">
        <f t="array" ref="BM154">SUMPRODUCT(TRANSPOSE(BM$4:BM$9),$K154:$P154)</f>
        <v>0</v>
      </c>
      <c r="BN154">
        <f t="array" ref="BN154">SUMPRODUCT(TRANSPOSE(BN$4:BN$9),$K154:$P154)</f>
        <v>0</v>
      </c>
      <c r="BO154" t="s">
        <v>347</v>
      </c>
      <c r="BS154" t="s">
        <v>259</v>
      </c>
      <c r="BU154">
        <v>0.55000000000000004</v>
      </c>
      <c r="BW154" t="s">
        <v>259</v>
      </c>
      <c r="CA154" t="s">
        <v>177</v>
      </c>
      <c r="CB154" t="s">
        <v>360</v>
      </c>
      <c r="CC154" t="s">
        <v>894</v>
      </c>
      <c r="CD154" t="s">
        <v>347</v>
      </c>
      <c r="CE154" t="s">
        <v>85</v>
      </c>
      <c r="CF154">
        <v>1</v>
      </c>
      <c r="CG154">
        <v>220</v>
      </c>
      <c r="CH154">
        <v>121</v>
      </c>
      <c r="CI154" t="s">
        <v>881</v>
      </c>
      <c r="CJ154" s="1">
        <v>45961</v>
      </c>
      <c r="CK154" t="s">
        <v>95</v>
      </c>
      <c r="CL154" t="s">
        <v>119</v>
      </c>
      <c r="CN154" t="s">
        <v>96</v>
      </c>
      <c r="CO154" t="s">
        <v>882</v>
      </c>
      <c r="CP154">
        <v>0.32700000000000001</v>
      </c>
      <c r="CQ154">
        <v>1222</v>
      </c>
      <c r="CR154" t="b">
        <v>0</v>
      </c>
      <c r="CT154">
        <v>0.55000000000000004</v>
      </c>
    </row>
    <row r="155" spans="1:99">
      <c r="A155">
        <v>179</v>
      </c>
      <c r="B155" t="s">
        <v>895</v>
      </c>
      <c r="C155" t="s">
        <v>896</v>
      </c>
      <c r="D155" t="s">
        <v>81</v>
      </c>
      <c r="F155">
        <v>514301548</v>
      </c>
      <c r="G155" t="s">
        <v>897</v>
      </c>
      <c r="H155" t="s">
        <v>75</v>
      </c>
      <c r="I155">
        <v>2</v>
      </c>
      <c r="J155">
        <v>12</v>
      </c>
      <c r="K155">
        <v>0</v>
      </c>
      <c r="L155">
        <v>6</v>
      </c>
      <c r="M155">
        <v>0</v>
      </c>
      <c r="N155">
        <v>6</v>
      </c>
      <c r="O155">
        <v>0</v>
      </c>
      <c r="P155">
        <v>2</v>
      </c>
      <c r="Q155">
        <v>14</v>
      </c>
      <c r="R155">
        <v>1760</v>
      </c>
      <c r="S155">
        <v>1</v>
      </c>
      <c r="T155">
        <v>1760</v>
      </c>
      <c r="U155" t="s">
        <v>347</v>
      </c>
      <c r="W155">
        <v>6.7999999999999996E-3</v>
      </c>
      <c r="X155">
        <v>11.968</v>
      </c>
      <c r="Y155" t="s">
        <v>85</v>
      </c>
      <c r="Z155" t="s">
        <v>360</v>
      </c>
      <c r="AA155" t="s">
        <v>879</v>
      </c>
      <c r="AB155" t="s">
        <v>880</v>
      </c>
      <c r="AG155">
        <v>1.3599999999999999E-2</v>
      </c>
      <c r="AH155">
        <v>11.968</v>
      </c>
      <c r="AI155">
        <v>1760</v>
      </c>
      <c r="AJ155">
        <v>1760</v>
      </c>
      <c r="AK155">
        <v>0</v>
      </c>
      <c r="AL155">
        <v>0</v>
      </c>
      <c r="AM155">
        <v>1760</v>
      </c>
      <c r="AZ155">
        <f>SUM($AM155,$AN155:AO155)-SUM($BH155:BJ155)</f>
        <v>1600</v>
      </c>
      <c r="BA155">
        <f>SUM($AM155,$AN155:AP155)-SUM($BH155:BK155)</f>
        <v>1120</v>
      </c>
      <c r="BB155">
        <f>SUM($AM155,$AN155:AQ155)-SUM($BH155:BL155)</f>
        <v>1120</v>
      </c>
      <c r="BC155">
        <f>SUM($AM155,$AN155:AR155)-SUM($BH155:BM155)</f>
        <v>1120</v>
      </c>
      <c r="BD155">
        <f>SUM($AM155,$AN155:AS155)-SUM($BH155:BN155)</f>
        <v>1120</v>
      </c>
      <c r="BI155">
        <f t="array" ref="BI155">SUMPRODUCT(TRANSPOSE(BI$4:BI$9),$K155:$P155)</f>
        <v>0</v>
      </c>
      <c r="BJ155">
        <f t="array" ref="BJ155">SUMPRODUCT(TRANSPOSE(BJ$4:BJ$9),$K155:$P155)</f>
        <v>160</v>
      </c>
      <c r="BK155">
        <f t="array" ref="BK155">SUMPRODUCT(TRANSPOSE(BK$4:BK$9),$K155:$P155)</f>
        <v>480</v>
      </c>
      <c r="BL155">
        <f t="array" ref="BL155">SUMPRODUCT(TRANSPOSE(BL$4:BL$9),$K155:$P155)</f>
        <v>0</v>
      </c>
      <c r="BM155">
        <f t="array" ref="BM155">SUMPRODUCT(TRANSPOSE(BM$4:BM$9),$K155:$P155)</f>
        <v>0</v>
      </c>
      <c r="BN155">
        <f t="array" ref="BN155">SUMPRODUCT(TRANSPOSE(BN$4:BN$9),$K155:$P155)</f>
        <v>0</v>
      </c>
      <c r="BO155" t="s">
        <v>347</v>
      </c>
      <c r="BS155" t="s">
        <v>259</v>
      </c>
      <c r="BU155">
        <v>4.4999999999999998E-2</v>
      </c>
      <c r="BW155" t="s">
        <v>259</v>
      </c>
      <c r="CA155" t="s">
        <v>177</v>
      </c>
      <c r="CB155" t="s">
        <v>360</v>
      </c>
      <c r="CC155" t="s">
        <v>896</v>
      </c>
      <c r="CD155" t="s">
        <v>347</v>
      </c>
      <c r="CE155" t="s">
        <v>85</v>
      </c>
      <c r="CF155">
        <v>1</v>
      </c>
      <c r="CG155">
        <v>1760</v>
      </c>
      <c r="CH155">
        <v>79.2</v>
      </c>
      <c r="CI155" t="s">
        <v>881</v>
      </c>
      <c r="CJ155" s="1">
        <v>45961</v>
      </c>
      <c r="CK155" t="s">
        <v>95</v>
      </c>
      <c r="CL155" t="s">
        <v>119</v>
      </c>
      <c r="CN155" t="s">
        <v>96</v>
      </c>
      <c r="CO155" t="s">
        <v>882</v>
      </c>
      <c r="CP155">
        <v>6.7999999999999996E-3</v>
      </c>
      <c r="CQ155">
        <v>83637</v>
      </c>
      <c r="CR155" t="b">
        <v>0</v>
      </c>
      <c r="CT155">
        <v>4.4999999999999998E-2</v>
      </c>
    </row>
    <row r="156" spans="1:99">
      <c r="A156">
        <v>180</v>
      </c>
      <c r="B156" t="s">
        <v>898</v>
      </c>
      <c r="C156" t="s">
        <v>899</v>
      </c>
      <c r="D156" t="s">
        <v>81</v>
      </c>
      <c r="F156">
        <v>514301316</v>
      </c>
      <c r="G156" t="s">
        <v>897</v>
      </c>
      <c r="H156" t="s">
        <v>75</v>
      </c>
      <c r="I156">
        <v>2</v>
      </c>
      <c r="J156">
        <v>88</v>
      </c>
      <c r="K156">
        <v>0</v>
      </c>
      <c r="L156">
        <v>88</v>
      </c>
      <c r="M156">
        <v>0</v>
      </c>
      <c r="N156">
        <v>88</v>
      </c>
      <c r="O156">
        <v>0</v>
      </c>
      <c r="P156">
        <v>0</v>
      </c>
      <c r="Q156">
        <v>176</v>
      </c>
      <c r="R156">
        <v>19360</v>
      </c>
      <c r="S156">
        <v>1</v>
      </c>
      <c r="T156">
        <v>19360</v>
      </c>
      <c r="U156" t="s">
        <v>347</v>
      </c>
      <c r="W156">
        <v>8.0000000000000002E-3</v>
      </c>
      <c r="X156">
        <v>154.88</v>
      </c>
      <c r="Y156" t="s">
        <v>85</v>
      </c>
      <c r="Z156" t="s">
        <v>360</v>
      </c>
      <c r="AA156" t="s">
        <v>879</v>
      </c>
      <c r="AB156" t="s">
        <v>880</v>
      </c>
      <c r="AG156">
        <v>1.6E-2</v>
      </c>
      <c r="AH156">
        <v>154.88</v>
      </c>
      <c r="AI156">
        <v>19360</v>
      </c>
      <c r="AJ156">
        <v>19360</v>
      </c>
      <c r="AK156">
        <v>0</v>
      </c>
      <c r="AL156">
        <v>0</v>
      </c>
      <c r="AM156">
        <v>19360</v>
      </c>
      <c r="AZ156">
        <f>SUM($AM156,$AN156:AO156)-SUM($BH156:BJ156)</f>
        <v>17600</v>
      </c>
      <c r="BA156">
        <f>SUM($AM156,$AN156:AP156)-SUM($BH156:BK156)</f>
        <v>12320</v>
      </c>
      <c r="BB156">
        <f>SUM($AM156,$AN156:AQ156)-SUM($BH156:BL156)</f>
        <v>12320</v>
      </c>
      <c r="BC156">
        <f>SUM($AM156,$AN156:AR156)-SUM($BH156:BM156)</f>
        <v>12320</v>
      </c>
      <c r="BD156">
        <f>SUM($AM156,$AN156:AS156)-SUM($BH156:BN156)</f>
        <v>12320</v>
      </c>
      <c r="BI156">
        <f t="array" ref="BI156">SUMPRODUCT(TRANSPOSE(BI$4:BI$9),$K156:$P156)</f>
        <v>0</v>
      </c>
      <c r="BJ156">
        <f t="array" ref="BJ156">SUMPRODUCT(TRANSPOSE(BJ$4:BJ$9),$K156:$P156)</f>
        <v>1760</v>
      </c>
      <c r="BK156">
        <f t="array" ref="BK156">SUMPRODUCT(TRANSPOSE(BK$4:BK$9),$K156:$P156)</f>
        <v>5280</v>
      </c>
      <c r="BL156">
        <f t="array" ref="BL156">SUMPRODUCT(TRANSPOSE(BL$4:BL$9),$K156:$P156)</f>
        <v>0</v>
      </c>
      <c r="BM156">
        <f t="array" ref="BM156">SUMPRODUCT(TRANSPOSE(BM$4:BM$9),$K156:$P156)</f>
        <v>0</v>
      </c>
      <c r="BN156">
        <f t="array" ref="BN156">SUMPRODUCT(TRANSPOSE(BN$4:BN$9),$K156:$P156)</f>
        <v>0</v>
      </c>
      <c r="BO156" t="s">
        <v>347</v>
      </c>
      <c r="BS156" t="s">
        <v>259</v>
      </c>
      <c r="BU156">
        <v>0.03</v>
      </c>
      <c r="BW156" t="s">
        <v>259</v>
      </c>
      <c r="CA156" t="s">
        <v>177</v>
      </c>
      <c r="CB156" t="s">
        <v>360</v>
      </c>
      <c r="CC156" t="s">
        <v>899</v>
      </c>
      <c r="CD156" t="s">
        <v>347</v>
      </c>
      <c r="CE156" t="s">
        <v>85</v>
      </c>
      <c r="CF156">
        <v>1</v>
      </c>
      <c r="CG156">
        <v>19360</v>
      </c>
      <c r="CH156">
        <v>580.79999999999995</v>
      </c>
      <c r="CI156" t="s">
        <v>881</v>
      </c>
      <c r="CJ156" s="1">
        <v>45961</v>
      </c>
      <c r="CK156" t="s">
        <v>95</v>
      </c>
      <c r="CL156" t="s">
        <v>119</v>
      </c>
      <c r="CN156" t="s">
        <v>96</v>
      </c>
      <c r="CO156" t="s">
        <v>882</v>
      </c>
      <c r="CP156">
        <v>8.0000000000000002E-3</v>
      </c>
      <c r="CQ156">
        <v>69524</v>
      </c>
      <c r="CR156" t="b">
        <v>0</v>
      </c>
      <c r="CT156">
        <v>0.03</v>
      </c>
    </row>
    <row r="157" spans="1:99">
      <c r="A157">
        <v>181</v>
      </c>
      <c r="B157" t="s">
        <v>900</v>
      </c>
      <c r="C157" t="s">
        <v>901</v>
      </c>
      <c r="D157" t="s">
        <v>81</v>
      </c>
      <c r="F157">
        <v>514301324</v>
      </c>
      <c r="G157" t="s">
        <v>902</v>
      </c>
      <c r="H157" t="s">
        <v>75</v>
      </c>
      <c r="I157">
        <v>2</v>
      </c>
      <c r="J157">
        <v>2</v>
      </c>
      <c r="K157">
        <v>0</v>
      </c>
      <c r="L157">
        <v>0</v>
      </c>
      <c r="M157">
        <v>0</v>
      </c>
      <c r="N157">
        <v>2</v>
      </c>
      <c r="O157">
        <v>0</v>
      </c>
      <c r="P157">
        <v>0</v>
      </c>
      <c r="Q157">
        <v>2</v>
      </c>
      <c r="R157">
        <v>280</v>
      </c>
      <c r="S157">
        <v>1</v>
      </c>
      <c r="T157">
        <v>280</v>
      </c>
      <c r="U157" t="s">
        <v>347</v>
      </c>
      <c r="W157">
        <v>1.35E-2</v>
      </c>
      <c r="X157">
        <v>3.78</v>
      </c>
      <c r="Y157" t="s">
        <v>85</v>
      </c>
      <c r="Z157" t="s">
        <v>360</v>
      </c>
      <c r="AA157" t="s">
        <v>879</v>
      </c>
      <c r="AB157" t="s">
        <v>880</v>
      </c>
      <c r="AG157">
        <v>2.7E-2</v>
      </c>
      <c r="AH157">
        <v>5.94</v>
      </c>
      <c r="AI157">
        <v>280</v>
      </c>
      <c r="AJ157">
        <v>1000</v>
      </c>
      <c r="AK157">
        <v>0</v>
      </c>
      <c r="AL157">
        <v>-720</v>
      </c>
      <c r="AM157">
        <v>1000</v>
      </c>
      <c r="AZ157">
        <f>SUM($AM157,$AN157:AO157)-SUM($BH157:BJ157)</f>
        <v>960</v>
      </c>
      <c r="BA157">
        <f>SUM($AM157,$AN157:AP157)-SUM($BH157:BK157)</f>
        <v>840</v>
      </c>
      <c r="BB157">
        <f>SUM($AM157,$AN157:AQ157)-SUM($BH157:BL157)</f>
        <v>840</v>
      </c>
      <c r="BC157">
        <f>SUM($AM157,$AN157:AR157)-SUM($BH157:BM157)</f>
        <v>840</v>
      </c>
      <c r="BD157">
        <f>SUM($AM157,$AN157:AS157)-SUM($BH157:BN157)</f>
        <v>840</v>
      </c>
      <c r="BI157">
        <f t="array" ref="BI157">SUMPRODUCT(TRANSPOSE(BI$4:BI$9),$K157:$P157)</f>
        <v>0</v>
      </c>
      <c r="BJ157">
        <f t="array" ref="BJ157">SUMPRODUCT(TRANSPOSE(BJ$4:BJ$9),$K157:$P157)</f>
        <v>40</v>
      </c>
      <c r="BK157">
        <f t="array" ref="BK157">SUMPRODUCT(TRANSPOSE(BK$4:BK$9),$K157:$P157)</f>
        <v>120</v>
      </c>
      <c r="BL157">
        <f t="array" ref="BL157">SUMPRODUCT(TRANSPOSE(BL$4:BL$9),$K157:$P157)</f>
        <v>0</v>
      </c>
      <c r="BM157">
        <f t="array" ref="BM157">SUMPRODUCT(TRANSPOSE(BM$4:BM$9),$K157:$P157)</f>
        <v>0</v>
      </c>
      <c r="BN157">
        <f t="array" ref="BN157">SUMPRODUCT(TRANSPOSE(BN$4:BN$9),$K157:$P157)</f>
        <v>0</v>
      </c>
      <c r="BO157" t="s">
        <v>347</v>
      </c>
      <c r="BS157" t="s">
        <v>903</v>
      </c>
      <c r="BU157">
        <v>0.04</v>
      </c>
      <c r="BW157" t="s">
        <v>903</v>
      </c>
      <c r="CA157" t="s">
        <v>177</v>
      </c>
      <c r="CB157" t="s">
        <v>360</v>
      </c>
      <c r="CC157" t="s">
        <v>901</v>
      </c>
      <c r="CD157" t="s">
        <v>347</v>
      </c>
      <c r="CE157" t="s">
        <v>85</v>
      </c>
      <c r="CF157">
        <v>1</v>
      </c>
      <c r="CG157">
        <v>1000</v>
      </c>
      <c r="CH157">
        <v>40</v>
      </c>
      <c r="CI157" t="s">
        <v>881</v>
      </c>
      <c r="CJ157" s="1">
        <v>45961</v>
      </c>
      <c r="CK157" t="s">
        <v>95</v>
      </c>
      <c r="CL157" t="s">
        <v>119</v>
      </c>
      <c r="CN157" t="s">
        <v>96</v>
      </c>
      <c r="CO157" t="s">
        <v>882</v>
      </c>
      <c r="CP157">
        <v>1.35E-2</v>
      </c>
      <c r="CQ157">
        <v>83336</v>
      </c>
      <c r="CR157" t="b">
        <v>0</v>
      </c>
      <c r="CT157">
        <v>0.04</v>
      </c>
    </row>
    <row r="158" spans="1:99">
      <c r="A158">
        <v>182</v>
      </c>
      <c r="B158" t="s">
        <v>904</v>
      </c>
      <c r="C158" t="s">
        <v>905</v>
      </c>
      <c r="D158" t="s">
        <v>81</v>
      </c>
      <c r="E158" t="s">
        <v>906</v>
      </c>
      <c r="F158">
        <v>541558649</v>
      </c>
      <c r="G158" t="s">
        <v>897</v>
      </c>
      <c r="H158" t="s">
        <v>75</v>
      </c>
      <c r="I158">
        <v>1</v>
      </c>
      <c r="J158">
        <v>6</v>
      </c>
      <c r="K158">
        <v>0</v>
      </c>
      <c r="L158">
        <v>0</v>
      </c>
      <c r="M158">
        <v>6</v>
      </c>
      <c r="N158">
        <v>0</v>
      </c>
      <c r="O158">
        <v>0</v>
      </c>
      <c r="P158">
        <v>0</v>
      </c>
      <c r="Q158">
        <v>6</v>
      </c>
      <c r="R158">
        <v>840</v>
      </c>
      <c r="S158">
        <v>1</v>
      </c>
      <c r="T158">
        <v>840</v>
      </c>
      <c r="U158" t="s">
        <v>347</v>
      </c>
      <c r="W158">
        <v>0.03</v>
      </c>
      <c r="X158">
        <v>25.2</v>
      </c>
      <c r="Y158" t="s">
        <v>85</v>
      </c>
      <c r="Z158" t="s">
        <v>360</v>
      </c>
      <c r="AA158" t="s">
        <v>879</v>
      </c>
      <c r="AB158" t="s">
        <v>880</v>
      </c>
      <c r="AG158">
        <v>0.03</v>
      </c>
      <c r="AH158">
        <v>39.6</v>
      </c>
      <c r="AI158">
        <v>840</v>
      </c>
      <c r="AJ158">
        <v>1320</v>
      </c>
      <c r="AK158">
        <v>0</v>
      </c>
      <c r="AL158">
        <v>-480</v>
      </c>
      <c r="AM158">
        <v>1320</v>
      </c>
      <c r="AZ158">
        <f>SUM($AM158,$AN158:AO158)-SUM($BH158:BJ158)</f>
        <v>1200</v>
      </c>
      <c r="BA158">
        <f>SUM($AM158,$AN158:AP158)-SUM($BH158:BK158)</f>
        <v>840</v>
      </c>
      <c r="BB158">
        <f>SUM($AM158,$AN158:AQ158)-SUM($BH158:BL158)</f>
        <v>840</v>
      </c>
      <c r="BC158">
        <f>SUM($AM158,$AN158:AR158)-SUM($BH158:BM158)</f>
        <v>840</v>
      </c>
      <c r="BD158">
        <f>SUM($AM158,$AN158:AS158)-SUM($BH158:BN158)</f>
        <v>840</v>
      </c>
      <c r="BI158">
        <f t="array" ref="BI158">SUMPRODUCT(TRANSPOSE(BI$4:BI$9),$K158:$P158)</f>
        <v>0</v>
      </c>
      <c r="BJ158">
        <f t="array" ref="BJ158">SUMPRODUCT(TRANSPOSE(BJ$4:BJ$9),$K158:$P158)</f>
        <v>120</v>
      </c>
      <c r="BK158">
        <f t="array" ref="BK158">SUMPRODUCT(TRANSPOSE(BK$4:BK$9),$K158:$P158)</f>
        <v>360</v>
      </c>
      <c r="BL158">
        <f t="array" ref="BL158">SUMPRODUCT(TRANSPOSE(BL$4:BL$9),$K158:$P158)</f>
        <v>0</v>
      </c>
      <c r="BM158">
        <f t="array" ref="BM158">SUMPRODUCT(TRANSPOSE(BM$4:BM$9),$K158:$P158)</f>
        <v>0</v>
      </c>
      <c r="BN158">
        <f t="array" ref="BN158">SUMPRODUCT(TRANSPOSE(BN$4:BN$9),$K158:$P158)</f>
        <v>0</v>
      </c>
      <c r="CA158" t="s">
        <v>177</v>
      </c>
      <c r="CB158" t="s">
        <v>360</v>
      </c>
      <c r="CC158" t="s">
        <v>905</v>
      </c>
      <c r="CD158" t="s">
        <v>347</v>
      </c>
      <c r="CE158" t="s">
        <v>85</v>
      </c>
      <c r="CF158">
        <v>1</v>
      </c>
      <c r="CG158">
        <v>1320</v>
      </c>
      <c r="CH158">
        <v>39.6</v>
      </c>
      <c r="CI158" t="s">
        <v>881</v>
      </c>
      <c r="CJ158" s="1">
        <v>45961</v>
      </c>
      <c r="CK158" t="s">
        <v>95</v>
      </c>
      <c r="CL158" t="s">
        <v>119</v>
      </c>
      <c r="CN158" t="s">
        <v>96</v>
      </c>
    </row>
    <row r="159" spans="1:99">
      <c r="A159">
        <v>184</v>
      </c>
      <c r="B159" t="s">
        <v>907</v>
      </c>
      <c r="C159" t="s">
        <v>908</v>
      </c>
      <c r="D159" t="s">
        <v>81</v>
      </c>
      <c r="F159">
        <v>512304791</v>
      </c>
      <c r="G159" t="s">
        <v>354</v>
      </c>
      <c r="H159" t="s">
        <v>75</v>
      </c>
      <c r="I159">
        <v>2</v>
      </c>
      <c r="J159">
        <v>6</v>
      </c>
      <c r="K159">
        <v>0</v>
      </c>
      <c r="L159">
        <v>0</v>
      </c>
      <c r="M159">
        <v>0</v>
      </c>
      <c r="N159">
        <v>6</v>
      </c>
      <c r="O159">
        <v>0</v>
      </c>
      <c r="P159">
        <v>0</v>
      </c>
      <c r="Q159">
        <v>6</v>
      </c>
      <c r="R159">
        <v>840</v>
      </c>
      <c r="S159">
        <v>1</v>
      </c>
      <c r="T159">
        <v>840</v>
      </c>
      <c r="U159" t="s">
        <v>909</v>
      </c>
      <c r="W159">
        <v>3.5000000000000003E-2</v>
      </c>
      <c r="X159">
        <v>29.4</v>
      </c>
      <c r="Y159" t="s">
        <v>85</v>
      </c>
      <c r="Z159" t="s">
        <v>360</v>
      </c>
      <c r="AA159" t="s">
        <v>879</v>
      </c>
      <c r="AB159" t="s">
        <v>880</v>
      </c>
      <c r="AG159">
        <v>7.0000000000000007E-2</v>
      </c>
      <c r="AH159">
        <v>46.2</v>
      </c>
      <c r="AI159">
        <v>840</v>
      </c>
      <c r="AJ159">
        <v>1320</v>
      </c>
      <c r="AK159">
        <v>0</v>
      </c>
      <c r="AL159">
        <v>-480</v>
      </c>
      <c r="AM159">
        <v>1320</v>
      </c>
      <c r="AZ159">
        <f>SUM($AM159,$AN159:AO159)-SUM($BH159:BJ159)</f>
        <v>1200</v>
      </c>
      <c r="BA159">
        <f>SUM($AM159,$AN159:AP159)-SUM($BH159:BK159)</f>
        <v>840</v>
      </c>
      <c r="BB159">
        <f>SUM($AM159,$AN159:AQ159)-SUM($BH159:BL159)</f>
        <v>840</v>
      </c>
      <c r="BC159">
        <f>SUM($AM159,$AN159:AR159)-SUM($BH159:BM159)</f>
        <v>840</v>
      </c>
      <c r="BD159">
        <f>SUM($AM159,$AN159:AS159)-SUM($BH159:BN159)</f>
        <v>840</v>
      </c>
      <c r="BI159">
        <f t="array" ref="BI159">SUMPRODUCT(TRANSPOSE(BI$4:BI$9),$K159:$P159)</f>
        <v>0</v>
      </c>
      <c r="BJ159">
        <f t="array" ref="BJ159">SUMPRODUCT(TRANSPOSE(BJ$4:BJ$9),$K159:$P159)</f>
        <v>120</v>
      </c>
      <c r="BK159">
        <f t="array" ref="BK159">SUMPRODUCT(TRANSPOSE(BK$4:BK$9),$K159:$P159)</f>
        <v>360</v>
      </c>
      <c r="BL159">
        <f t="array" ref="BL159">SUMPRODUCT(TRANSPOSE(BL$4:BL$9),$K159:$P159)</f>
        <v>0</v>
      </c>
      <c r="BM159">
        <f t="array" ref="BM159">SUMPRODUCT(TRANSPOSE(BM$4:BM$9),$K159:$P159)</f>
        <v>0</v>
      </c>
      <c r="BN159">
        <f t="array" ref="BN159">SUMPRODUCT(TRANSPOSE(BN$4:BN$9),$K159:$P159)</f>
        <v>0</v>
      </c>
      <c r="BO159" t="s">
        <v>909</v>
      </c>
      <c r="BS159" t="s">
        <v>259</v>
      </c>
      <c r="BU159">
        <v>0.06</v>
      </c>
      <c r="BW159" t="s">
        <v>259</v>
      </c>
      <c r="CA159" t="s">
        <v>177</v>
      </c>
      <c r="CB159" t="s">
        <v>360</v>
      </c>
      <c r="CC159" t="s">
        <v>908</v>
      </c>
      <c r="CD159" t="s">
        <v>909</v>
      </c>
      <c r="CE159" t="s">
        <v>85</v>
      </c>
      <c r="CF159">
        <v>1</v>
      </c>
      <c r="CG159">
        <v>1320</v>
      </c>
      <c r="CH159">
        <v>79.2</v>
      </c>
      <c r="CI159" t="s">
        <v>881</v>
      </c>
      <c r="CJ159" s="1">
        <v>45961</v>
      </c>
      <c r="CK159" t="s">
        <v>95</v>
      </c>
      <c r="CL159" t="s">
        <v>119</v>
      </c>
      <c r="CN159" t="s">
        <v>96</v>
      </c>
      <c r="CO159" t="s">
        <v>882</v>
      </c>
      <c r="CP159">
        <v>3.5000000000000003E-2</v>
      </c>
      <c r="CQ159">
        <v>43031</v>
      </c>
      <c r="CR159" t="b">
        <v>0</v>
      </c>
      <c r="CT159">
        <v>0.06</v>
      </c>
    </row>
    <row r="160" spans="1:99">
      <c r="A160">
        <v>185</v>
      </c>
      <c r="B160" t="s">
        <v>910</v>
      </c>
      <c r="C160" t="s">
        <v>911</v>
      </c>
      <c r="D160" t="s">
        <v>81</v>
      </c>
      <c r="E160" t="s">
        <v>912</v>
      </c>
      <c r="F160">
        <v>512304809</v>
      </c>
      <c r="G160" t="s">
        <v>913</v>
      </c>
      <c r="H160" t="s">
        <v>75</v>
      </c>
      <c r="I160">
        <v>2</v>
      </c>
      <c r="J160">
        <v>20</v>
      </c>
      <c r="K160">
        <v>0</v>
      </c>
      <c r="L160">
        <v>20</v>
      </c>
      <c r="M160">
        <v>0</v>
      </c>
      <c r="N160">
        <v>20</v>
      </c>
      <c r="O160">
        <v>0</v>
      </c>
      <c r="P160">
        <v>0</v>
      </c>
      <c r="Q160">
        <v>40</v>
      </c>
      <c r="R160">
        <v>4400</v>
      </c>
      <c r="S160">
        <v>1</v>
      </c>
      <c r="T160">
        <v>4400</v>
      </c>
      <c r="U160" t="s">
        <v>909</v>
      </c>
      <c r="W160">
        <v>3.2500000000000001E-2</v>
      </c>
      <c r="X160">
        <v>143</v>
      </c>
      <c r="Y160" t="s">
        <v>85</v>
      </c>
      <c r="Z160" t="s">
        <v>360</v>
      </c>
      <c r="AA160" t="s">
        <v>879</v>
      </c>
      <c r="AB160" t="s">
        <v>880</v>
      </c>
      <c r="AG160">
        <v>6.5000000000000002E-2</v>
      </c>
      <c r="AH160">
        <v>143</v>
      </c>
      <c r="AI160">
        <v>4400</v>
      </c>
      <c r="AJ160">
        <v>4400</v>
      </c>
      <c r="AK160">
        <v>0</v>
      </c>
      <c r="AL160">
        <v>0</v>
      </c>
      <c r="AM160">
        <v>4400</v>
      </c>
      <c r="AZ160">
        <f>SUM($AM160,$AN160:AO160)-SUM($BH160:BJ160)</f>
        <v>4000</v>
      </c>
      <c r="BA160">
        <f>SUM($AM160,$AN160:AP160)-SUM($BH160:BK160)</f>
        <v>2800</v>
      </c>
      <c r="BB160">
        <f>SUM($AM160,$AN160:AQ160)-SUM($BH160:BL160)</f>
        <v>2800</v>
      </c>
      <c r="BC160">
        <f>SUM($AM160,$AN160:AR160)-SUM($BH160:BM160)</f>
        <v>2800</v>
      </c>
      <c r="BD160">
        <f>SUM($AM160,$AN160:AS160)-SUM($BH160:BN160)</f>
        <v>2800</v>
      </c>
      <c r="BI160">
        <f t="array" ref="BI160">SUMPRODUCT(TRANSPOSE(BI$4:BI$9),$K160:$P160)</f>
        <v>0</v>
      </c>
      <c r="BJ160">
        <f t="array" ref="BJ160">SUMPRODUCT(TRANSPOSE(BJ$4:BJ$9),$K160:$P160)</f>
        <v>400</v>
      </c>
      <c r="BK160">
        <f t="array" ref="BK160">SUMPRODUCT(TRANSPOSE(BK$4:BK$9),$K160:$P160)</f>
        <v>1200</v>
      </c>
      <c r="BL160">
        <f t="array" ref="BL160">SUMPRODUCT(TRANSPOSE(BL$4:BL$9),$K160:$P160)</f>
        <v>0</v>
      </c>
      <c r="BM160">
        <f t="array" ref="BM160">SUMPRODUCT(TRANSPOSE(BM$4:BM$9),$K160:$P160)</f>
        <v>0</v>
      </c>
      <c r="BN160">
        <f t="array" ref="BN160">SUMPRODUCT(TRANSPOSE(BN$4:BN$9),$K160:$P160)</f>
        <v>0</v>
      </c>
      <c r="BO160" t="s">
        <v>909</v>
      </c>
      <c r="BS160" t="s">
        <v>259</v>
      </c>
      <c r="BU160">
        <v>0.05</v>
      </c>
      <c r="BW160" t="s">
        <v>259</v>
      </c>
      <c r="CA160" t="s">
        <v>177</v>
      </c>
      <c r="CB160" t="s">
        <v>360</v>
      </c>
      <c r="CC160" t="s">
        <v>911</v>
      </c>
      <c r="CD160" t="s">
        <v>909</v>
      </c>
      <c r="CE160" t="s">
        <v>85</v>
      </c>
      <c r="CF160">
        <v>1</v>
      </c>
      <c r="CG160">
        <v>4400</v>
      </c>
      <c r="CH160">
        <v>220</v>
      </c>
      <c r="CI160" t="s">
        <v>881</v>
      </c>
      <c r="CJ160" s="1">
        <v>45961</v>
      </c>
      <c r="CK160" t="s">
        <v>95</v>
      </c>
      <c r="CL160" t="s">
        <v>119</v>
      </c>
      <c r="CN160" t="s">
        <v>96</v>
      </c>
      <c r="CO160" t="s">
        <v>882</v>
      </c>
      <c r="CP160">
        <v>3.2500000000000001E-2</v>
      </c>
      <c r="CQ160">
        <v>111497</v>
      </c>
      <c r="CR160" t="b">
        <v>0</v>
      </c>
      <c r="CT160">
        <v>0.05</v>
      </c>
    </row>
    <row r="161" spans="1:98">
      <c r="A161">
        <v>186</v>
      </c>
      <c r="B161" t="s">
        <v>914</v>
      </c>
      <c r="C161" t="s">
        <v>915</v>
      </c>
      <c r="D161" t="s">
        <v>81</v>
      </c>
      <c r="F161">
        <v>512326521</v>
      </c>
      <c r="G161" t="s">
        <v>354</v>
      </c>
      <c r="H161" t="s">
        <v>75</v>
      </c>
      <c r="I161">
        <v>2</v>
      </c>
      <c r="J161">
        <v>2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2</v>
      </c>
      <c r="Q161">
        <v>2</v>
      </c>
      <c r="R161">
        <v>440</v>
      </c>
      <c r="S161">
        <v>1</v>
      </c>
      <c r="T161">
        <v>440</v>
      </c>
      <c r="U161" t="s">
        <v>909</v>
      </c>
      <c r="W161">
        <v>2.5000000000000001E-2</v>
      </c>
      <c r="X161">
        <v>11</v>
      </c>
      <c r="Y161" t="s">
        <v>85</v>
      </c>
      <c r="Z161" t="s">
        <v>360</v>
      </c>
      <c r="AA161" t="s">
        <v>879</v>
      </c>
      <c r="AB161" t="s">
        <v>880</v>
      </c>
      <c r="AG161">
        <v>0.05</v>
      </c>
      <c r="AH161">
        <v>11</v>
      </c>
      <c r="AI161">
        <v>440</v>
      </c>
      <c r="AJ161">
        <v>4440</v>
      </c>
      <c r="AK161">
        <v>0</v>
      </c>
      <c r="AL161">
        <v>-4000</v>
      </c>
      <c r="AM161">
        <v>4440</v>
      </c>
      <c r="AZ161">
        <f>SUM($AM161,$AN161:AO161)-SUM($BH161:BJ161)</f>
        <v>4400</v>
      </c>
      <c r="BA161">
        <f>SUM($AM161,$AN161:AP161)-SUM($BH161:BK161)</f>
        <v>4280</v>
      </c>
      <c r="BB161">
        <f>SUM($AM161,$AN161:AQ161)-SUM($BH161:BL161)</f>
        <v>4280</v>
      </c>
      <c r="BC161">
        <f>SUM($AM161,$AN161:AR161)-SUM($BH161:BM161)</f>
        <v>4280</v>
      </c>
      <c r="BD161">
        <f>SUM($AM161,$AN161:AS161)-SUM($BH161:BN161)</f>
        <v>4280</v>
      </c>
      <c r="BI161">
        <f t="array" ref="BI161">SUMPRODUCT(TRANSPOSE(BI$4:BI$9),$K161:$P161)</f>
        <v>0</v>
      </c>
      <c r="BJ161">
        <f t="array" ref="BJ161">SUMPRODUCT(TRANSPOSE(BJ$4:BJ$9),$K161:$P161)</f>
        <v>40</v>
      </c>
      <c r="BK161">
        <f t="array" ref="BK161">SUMPRODUCT(TRANSPOSE(BK$4:BK$9),$K161:$P161)</f>
        <v>120</v>
      </c>
      <c r="BL161">
        <f t="array" ref="BL161">SUMPRODUCT(TRANSPOSE(BL$4:BL$9),$K161:$P161)</f>
        <v>0</v>
      </c>
      <c r="BM161">
        <f t="array" ref="BM161">SUMPRODUCT(TRANSPOSE(BM$4:BM$9),$K161:$P161)</f>
        <v>0</v>
      </c>
      <c r="BN161">
        <f t="array" ref="BN161">SUMPRODUCT(TRANSPOSE(BN$4:BN$9),$K161:$P161)</f>
        <v>0</v>
      </c>
      <c r="BO161" t="s">
        <v>909</v>
      </c>
      <c r="BS161" t="s">
        <v>903</v>
      </c>
      <c r="BU161">
        <v>0.03</v>
      </c>
      <c r="BW161" t="s">
        <v>903</v>
      </c>
      <c r="CA161" t="s">
        <v>177</v>
      </c>
      <c r="CB161" t="s">
        <v>360</v>
      </c>
      <c r="CC161" t="s">
        <v>915</v>
      </c>
      <c r="CD161" t="s">
        <v>909</v>
      </c>
      <c r="CE161" t="s">
        <v>85</v>
      </c>
      <c r="CF161">
        <v>1</v>
      </c>
      <c r="CG161">
        <v>4440</v>
      </c>
      <c r="CH161">
        <v>133.19999999999999</v>
      </c>
      <c r="CI161" t="s">
        <v>881</v>
      </c>
      <c r="CJ161" s="1">
        <v>45961</v>
      </c>
      <c r="CK161" t="s">
        <v>95</v>
      </c>
      <c r="CL161" t="s">
        <v>119</v>
      </c>
      <c r="CN161" t="s">
        <v>96</v>
      </c>
      <c r="CO161" t="s">
        <v>882</v>
      </c>
      <c r="CP161">
        <v>2.5000000000000001E-2</v>
      </c>
      <c r="CQ161">
        <v>2177</v>
      </c>
      <c r="CR161" t="b">
        <v>0</v>
      </c>
      <c r="CT161">
        <v>0.03</v>
      </c>
    </row>
    <row r="162" spans="1:98">
      <c r="A162">
        <v>187</v>
      </c>
      <c r="B162" t="s">
        <v>916</v>
      </c>
      <c r="C162" t="s">
        <v>917</v>
      </c>
      <c r="D162" t="s">
        <v>81</v>
      </c>
      <c r="F162">
        <v>512305368</v>
      </c>
      <c r="G162" t="s">
        <v>913</v>
      </c>
      <c r="H162" t="s">
        <v>75</v>
      </c>
      <c r="I162">
        <v>2</v>
      </c>
      <c r="J162">
        <v>4</v>
      </c>
      <c r="K162">
        <v>0</v>
      </c>
      <c r="L162">
        <v>0</v>
      </c>
      <c r="M162">
        <v>0</v>
      </c>
      <c r="N162">
        <v>4</v>
      </c>
      <c r="O162">
        <v>0</v>
      </c>
      <c r="P162">
        <v>0</v>
      </c>
      <c r="Q162">
        <v>4</v>
      </c>
      <c r="R162">
        <v>560</v>
      </c>
      <c r="S162">
        <v>1</v>
      </c>
      <c r="T162">
        <v>560</v>
      </c>
      <c r="U162" t="s">
        <v>909</v>
      </c>
      <c r="W162">
        <v>3.6900000000000002E-2</v>
      </c>
      <c r="X162">
        <v>20.664000000000001</v>
      </c>
      <c r="Y162" t="s">
        <v>85</v>
      </c>
      <c r="Z162" t="s">
        <v>360</v>
      </c>
      <c r="AA162" t="s">
        <v>879</v>
      </c>
      <c r="AB162" t="s">
        <v>880</v>
      </c>
      <c r="AG162">
        <v>7.3800000000000004E-2</v>
      </c>
      <c r="AH162">
        <v>32.472000000000001</v>
      </c>
      <c r="AI162">
        <v>560</v>
      </c>
      <c r="AJ162">
        <v>1000</v>
      </c>
      <c r="AK162">
        <v>0</v>
      </c>
      <c r="AL162">
        <v>-440</v>
      </c>
      <c r="AM162">
        <v>1000</v>
      </c>
      <c r="AZ162">
        <f>SUM($AM162,$AN162:AO162)-SUM($BH162:BJ162)</f>
        <v>920</v>
      </c>
      <c r="BA162">
        <f>SUM($AM162,$AN162:AP162)-SUM($BH162:BK162)</f>
        <v>680</v>
      </c>
      <c r="BB162">
        <f>SUM($AM162,$AN162:AQ162)-SUM($BH162:BL162)</f>
        <v>680</v>
      </c>
      <c r="BC162">
        <f>SUM($AM162,$AN162:AR162)-SUM($BH162:BM162)</f>
        <v>680</v>
      </c>
      <c r="BD162">
        <f>SUM($AM162,$AN162:AS162)-SUM($BH162:BN162)</f>
        <v>680</v>
      </c>
      <c r="BI162">
        <f t="array" ref="BI162">SUMPRODUCT(TRANSPOSE(BI$4:BI$9),$K162:$P162)</f>
        <v>0</v>
      </c>
      <c r="BJ162">
        <f t="array" ref="BJ162">SUMPRODUCT(TRANSPOSE(BJ$4:BJ$9),$K162:$P162)</f>
        <v>80</v>
      </c>
      <c r="BK162">
        <f t="array" ref="BK162">SUMPRODUCT(TRANSPOSE(BK$4:BK$9),$K162:$P162)</f>
        <v>240</v>
      </c>
      <c r="BL162">
        <f t="array" ref="BL162">SUMPRODUCT(TRANSPOSE(BL$4:BL$9),$K162:$P162)</f>
        <v>0</v>
      </c>
      <c r="BM162">
        <f t="array" ref="BM162">SUMPRODUCT(TRANSPOSE(BM$4:BM$9),$K162:$P162)</f>
        <v>0</v>
      </c>
      <c r="BN162">
        <f t="array" ref="BN162">SUMPRODUCT(TRANSPOSE(BN$4:BN$9),$K162:$P162)</f>
        <v>0</v>
      </c>
      <c r="BO162" t="s">
        <v>909</v>
      </c>
      <c r="BS162" t="s">
        <v>903</v>
      </c>
      <c r="BU162">
        <v>0.06</v>
      </c>
      <c r="BW162" t="s">
        <v>903</v>
      </c>
      <c r="CA162" t="s">
        <v>177</v>
      </c>
      <c r="CB162" t="s">
        <v>360</v>
      </c>
      <c r="CC162" t="s">
        <v>917</v>
      </c>
      <c r="CD162" t="s">
        <v>909</v>
      </c>
      <c r="CE162" t="s">
        <v>85</v>
      </c>
      <c r="CF162">
        <v>1</v>
      </c>
      <c r="CG162">
        <v>1000</v>
      </c>
      <c r="CH162">
        <v>60</v>
      </c>
      <c r="CI162" t="s">
        <v>881</v>
      </c>
      <c r="CJ162" s="1">
        <v>45961</v>
      </c>
      <c r="CK162" t="s">
        <v>95</v>
      </c>
      <c r="CL162" t="s">
        <v>119</v>
      </c>
      <c r="CN162" t="s">
        <v>96</v>
      </c>
      <c r="CO162" t="s">
        <v>882</v>
      </c>
      <c r="CP162">
        <v>3.6900000000000002E-2</v>
      </c>
      <c r="CQ162">
        <v>120863</v>
      </c>
      <c r="CR162" t="b">
        <v>0</v>
      </c>
      <c r="CT162">
        <v>0.06</v>
      </c>
    </row>
    <row r="163" spans="1:98">
      <c r="A163">
        <v>188</v>
      </c>
      <c r="B163" t="s">
        <v>918</v>
      </c>
      <c r="C163" t="s">
        <v>919</v>
      </c>
      <c r="D163" t="s">
        <v>81</v>
      </c>
      <c r="F163">
        <v>512318221</v>
      </c>
      <c r="G163" t="s">
        <v>354</v>
      </c>
      <c r="H163" t="s">
        <v>75</v>
      </c>
      <c r="I163">
        <v>2</v>
      </c>
      <c r="J163">
        <v>68</v>
      </c>
      <c r="K163">
        <v>0</v>
      </c>
      <c r="L163">
        <v>68</v>
      </c>
      <c r="M163">
        <v>0</v>
      </c>
      <c r="N163">
        <v>68</v>
      </c>
      <c r="O163">
        <v>0</v>
      </c>
      <c r="P163">
        <v>0</v>
      </c>
      <c r="Q163">
        <v>136</v>
      </c>
      <c r="R163">
        <v>14960</v>
      </c>
      <c r="S163">
        <v>1</v>
      </c>
      <c r="T163">
        <v>14960</v>
      </c>
      <c r="U163" t="s">
        <v>909</v>
      </c>
      <c r="W163">
        <v>5.1499999999999997E-2</v>
      </c>
      <c r="X163">
        <v>770.43999999999994</v>
      </c>
      <c r="Y163" t="s">
        <v>85</v>
      </c>
      <c r="Z163" t="s">
        <v>360</v>
      </c>
      <c r="AA163" t="s">
        <v>879</v>
      </c>
      <c r="AB163" t="s">
        <v>880</v>
      </c>
      <c r="AG163">
        <v>0.10299999999999999</v>
      </c>
      <c r="AH163">
        <v>770.43999999999994</v>
      </c>
      <c r="AI163">
        <v>14960</v>
      </c>
      <c r="AJ163">
        <v>14960</v>
      </c>
      <c r="AK163">
        <v>0</v>
      </c>
      <c r="AL163">
        <v>0</v>
      </c>
      <c r="AM163">
        <v>14960</v>
      </c>
      <c r="AZ163">
        <f>SUM($AM163,$AN163:AO163)-SUM($BH163:BJ163)</f>
        <v>13600</v>
      </c>
      <c r="BA163">
        <f>SUM($AM163,$AN163:AP163)-SUM($BH163:BK163)</f>
        <v>9520</v>
      </c>
      <c r="BB163">
        <f>SUM($AM163,$AN163:AQ163)-SUM($BH163:BL163)</f>
        <v>9520</v>
      </c>
      <c r="BC163">
        <f>SUM($AM163,$AN163:AR163)-SUM($BH163:BM163)</f>
        <v>9520</v>
      </c>
      <c r="BD163">
        <f>SUM($AM163,$AN163:AS163)-SUM($BH163:BN163)</f>
        <v>9520</v>
      </c>
      <c r="BI163">
        <f t="array" ref="BI163">SUMPRODUCT(TRANSPOSE(BI$4:BI$9),$K163:$P163)</f>
        <v>0</v>
      </c>
      <c r="BJ163">
        <f t="array" ref="BJ163">SUMPRODUCT(TRANSPOSE(BJ$4:BJ$9),$K163:$P163)</f>
        <v>1360</v>
      </c>
      <c r="BK163">
        <f t="array" ref="BK163">SUMPRODUCT(TRANSPOSE(BK$4:BK$9),$K163:$P163)</f>
        <v>4080</v>
      </c>
      <c r="BL163">
        <f t="array" ref="BL163">SUMPRODUCT(TRANSPOSE(BL$4:BL$9),$K163:$P163)</f>
        <v>0</v>
      </c>
      <c r="BM163">
        <f t="array" ref="BM163">SUMPRODUCT(TRANSPOSE(BM$4:BM$9),$K163:$P163)</f>
        <v>0</v>
      </c>
      <c r="BN163">
        <f t="array" ref="BN163">SUMPRODUCT(TRANSPOSE(BN$4:BN$9),$K163:$P163)</f>
        <v>0</v>
      </c>
      <c r="BO163" t="s">
        <v>909</v>
      </c>
      <c r="CA163" t="s">
        <v>177</v>
      </c>
      <c r="CB163" t="s">
        <v>360</v>
      </c>
      <c r="CC163" t="s">
        <v>919</v>
      </c>
      <c r="CD163" t="s">
        <v>909</v>
      </c>
      <c r="CE163" t="s">
        <v>85</v>
      </c>
      <c r="CF163">
        <v>1</v>
      </c>
      <c r="CG163">
        <v>14960</v>
      </c>
      <c r="CH163">
        <v>770.43999999999994</v>
      </c>
      <c r="CI163" t="s">
        <v>881</v>
      </c>
      <c r="CJ163" s="1">
        <v>45961</v>
      </c>
      <c r="CK163" t="s">
        <v>95</v>
      </c>
      <c r="CL163" t="s">
        <v>119</v>
      </c>
      <c r="CN163" t="s">
        <v>96</v>
      </c>
      <c r="CO163" t="s">
        <v>882</v>
      </c>
      <c r="CP163">
        <v>5.1499999999999997E-2</v>
      </c>
      <c r="CQ163">
        <v>14719</v>
      </c>
      <c r="CR163" t="b">
        <v>1</v>
      </c>
    </row>
    <row r="164" spans="1:98">
      <c r="A164">
        <v>189</v>
      </c>
      <c r="B164" t="s">
        <v>920</v>
      </c>
      <c r="C164" t="s">
        <v>921</v>
      </c>
      <c r="D164" t="s">
        <v>81</v>
      </c>
      <c r="F164">
        <v>512310459</v>
      </c>
      <c r="G164" t="s">
        <v>354</v>
      </c>
      <c r="H164" t="s">
        <v>75</v>
      </c>
      <c r="I164">
        <v>2</v>
      </c>
      <c r="J164">
        <v>2</v>
      </c>
      <c r="K164">
        <v>0</v>
      </c>
      <c r="L164">
        <v>2</v>
      </c>
      <c r="M164">
        <v>0</v>
      </c>
      <c r="N164">
        <v>2</v>
      </c>
      <c r="O164">
        <v>0</v>
      </c>
      <c r="P164">
        <v>0</v>
      </c>
      <c r="Q164">
        <v>4</v>
      </c>
      <c r="R164">
        <v>440</v>
      </c>
      <c r="S164">
        <v>1</v>
      </c>
      <c r="T164">
        <v>440</v>
      </c>
      <c r="U164" t="s">
        <v>909</v>
      </c>
      <c r="W164">
        <v>0.1</v>
      </c>
      <c r="X164">
        <v>44</v>
      </c>
      <c r="Y164" t="s">
        <v>85</v>
      </c>
      <c r="Z164" t="s">
        <v>360</v>
      </c>
      <c r="AA164" t="s">
        <v>879</v>
      </c>
      <c r="AB164" t="s">
        <v>880</v>
      </c>
      <c r="AG164">
        <v>0.2</v>
      </c>
      <c r="AH164">
        <v>44</v>
      </c>
      <c r="AI164">
        <v>440</v>
      </c>
      <c r="AJ164">
        <v>440</v>
      </c>
      <c r="AK164">
        <v>0</v>
      </c>
      <c r="AL164">
        <v>0</v>
      </c>
      <c r="AM164">
        <v>440</v>
      </c>
      <c r="AZ164">
        <f>SUM($AM164,$AN164:AO164)-SUM($BH164:BJ164)</f>
        <v>400</v>
      </c>
      <c r="BA164">
        <f>SUM($AM164,$AN164:AP164)-SUM($BH164:BK164)</f>
        <v>280</v>
      </c>
      <c r="BB164">
        <f>SUM($AM164,$AN164:AQ164)-SUM($BH164:BL164)</f>
        <v>280</v>
      </c>
      <c r="BC164">
        <f>SUM($AM164,$AN164:AR164)-SUM($BH164:BM164)</f>
        <v>280</v>
      </c>
      <c r="BD164">
        <f>SUM($AM164,$AN164:AS164)-SUM($BH164:BN164)</f>
        <v>280</v>
      </c>
      <c r="BI164">
        <f t="array" ref="BI164">SUMPRODUCT(TRANSPOSE(BI$4:BI$9),$K164:$P164)</f>
        <v>0</v>
      </c>
      <c r="BJ164">
        <f t="array" ref="BJ164">SUMPRODUCT(TRANSPOSE(BJ$4:BJ$9),$K164:$P164)</f>
        <v>40</v>
      </c>
      <c r="BK164">
        <f t="array" ref="BK164">SUMPRODUCT(TRANSPOSE(BK$4:BK$9),$K164:$P164)</f>
        <v>120</v>
      </c>
      <c r="BL164">
        <f t="array" ref="BL164">SUMPRODUCT(TRANSPOSE(BL$4:BL$9),$K164:$P164)</f>
        <v>0</v>
      </c>
      <c r="BM164">
        <f t="array" ref="BM164">SUMPRODUCT(TRANSPOSE(BM$4:BM$9),$K164:$P164)</f>
        <v>0</v>
      </c>
      <c r="BN164">
        <f t="array" ref="BN164">SUMPRODUCT(TRANSPOSE(BN$4:BN$9),$K164:$P164)</f>
        <v>0</v>
      </c>
      <c r="BO164" t="s">
        <v>909</v>
      </c>
      <c r="CA164" t="s">
        <v>177</v>
      </c>
      <c r="CB164" t="s">
        <v>360</v>
      </c>
      <c r="CC164" t="s">
        <v>921</v>
      </c>
      <c r="CD164" t="s">
        <v>909</v>
      </c>
      <c r="CE164" t="s">
        <v>85</v>
      </c>
      <c r="CF164">
        <v>1</v>
      </c>
      <c r="CG164">
        <v>440</v>
      </c>
      <c r="CH164">
        <v>44</v>
      </c>
      <c r="CI164" t="s">
        <v>881</v>
      </c>
      <c r="CJ164" s="1">
        <v>45961</v>
      </c>
      <c r="CK164" t="s">
        <v>95</v>
      </c>
      <c r="CL164" t="s">
        <v>119</v>
      </c>
      <c r="CN164" t="s">
        <v>96</v>
      </c>
      <c r="CO164" t="s">
        <v>882</v>
      </c>
      <c r="CP164">
        <v>0.1</v>
      </c>
      <c r="CQ164">
        <v>531</v>
      </c>
      <c r="CR164" t="b">
        <v>1</v>
      </c>
    </row>
    <row r="165" spans="1:98">
      <c r="A165">
        <v>191</v>
      </c>
      <c r="B165" t="s">
        <v>922</v>
      </c>
      <c r="C165" t="s">
        <v>923</v>
      </c>
      <c r="D165" t="s">
        <v>81</v>
      </c>
      <c r="F165">
        <v>512315821</v>
      </c>
      <c r="G165" t="s">
        <v>354</v>
      </c>
      <c r="H165" t="s">
        <v>75</v>
      </c>
      <c r="I165">
        <v>2</v>
      </c>
      <c r="J165">
        <v>6</v>
      </c>
      <c r="K165">
        <v>0</v>
      </c>
      <c r="L165">
        <v>6</v>
      </c>
      <c r="M165">
        <v>0</v>
      </c>
      <c r="N165">
        <v>6</v>
      </c>
      <c r="O165">
        <v>0</v>
      </c>
      <c r="P165">
        <v>0</v>
      </c>
      <c r="Q165">
        <v>12</v>
      </c>
      <c r="R165">
        <v>1320</v>
      </c>
      <c r="S165">
        <v>1</v>
      </c>
      <c r="T165">
        <v>1320</v>
      </c>
      <c r="U165" t="s">
        <v>909</v>
      </c>
      <c r="W165">
        <v>0.10199999999999999</v>
      </c>
      <c r="X165">
        <v>134.63999999999999</v>
      </c>
      <c r="Y165" t="s">
        <v>85</v>
      </c>
      <c r="Z165" t="s">
        <v>360</v>
      </c>
      <c r="AA165" t="s">
        <v>879</v>
      </c>
      <c r="AB165" t="s">
        <v>880</v>
      </c>
      <c r="AG165">
        <v>0.20399999999999999</v>
      </c>
      <c r="AH165">
        <v>134.63999999999999</v>
      </c>
      <c r="AI165">
        <v>1320</v>
      </c>
      <c r="AJ165">
        <v>1320</v>
      </c>
      <c r="AK165">
        <v>0</v>
      </c>
      <c r="AL165">
        <v>0</v>
      </c>
      <c r="AM165">
        <v>1320</v>
      </c>
      <c r="AZ165">
        <f>SUM($AM165,$AN165:AO165)-SUM($BH165:BJ165)</f>
        <v>1200</v>
      </c>
      <c r="BA165">
        <f>SUM($AM165,$AN165:AP165)-SUM($BH165:BK165)</f>
        <v>840</v>
      </c>
      <c r="BB165">
        <f>SUM($AM165,$AN165:AQ165)-SUM($BH165:BL165)</f>
        <v>840</v>
      </c>
      <c r="BC165">
        <f>SUM($AM165,$AN165:AR165)-SUM($BH165:BM165)</f>
        <v>840</v>
      </c>
      <c r="BD165">
        <f>SUM($AM165,$AN165:AS165)-SUM($BH165:BN165)</f>
        <v>840</v>
      </c>
      <c r="BI165">
        <f t="array" ref="BI165">SUMPRODUCT(TRANSPOSE(BI$4:BI$9),$K165:$P165)</f>
        <v>0</v>
      </c>
      <c r="BJ165">
        <f t="array" ref="BJ165">SUMPRODUCT(TRANSPOSE(BJ$4:BJ$9),$K165:$P165)</f>
        <v>120</v>
      </c>
      <c r="BK165">
        <f t="array" ref="BK165">SUMPRODUCT(TRANSPOSE(BK$4:BK$9),$K165:$P165)</f>
        <v>360</v>
      </c>
      <c r="BL165">
        <f t="array" ref="BL165">SUMPRODUCT(TRANSPOSE(BL$4:BL$9),$K165:$P165)</f>
        <v>0</v>
      </c>
      <c r="BM165">
        <f t="array" ref="BM165">SUMPRODUCT(TRANSPOSE(BM$4:BM$9),$K165:$P165)</f>
        <v>0</v>
      </c>
      <c r="BN165">
        <f t="array" ref="BN165">SUMPRODUCT(TRANSPOSE(BN$4:BN$9),$K165:$P165)</f>
        <v>0</v>
      </c>
      <c r="BO165" t="s">
        <v>909</v>
      </c>
      <c r="CA165" t="s">
        <v>177</v>
      </c>
      <c r="CB165" t="s">
        <v>360</v>
      </c>
      <c r="CC165" t="s">
        <v>923</v>
      </c>
      <c r="CD165" t="s">
        <v>909</v>
      </c>
      <c r="CE165" t="s">
        <v>85</v>
      </c>
      <c r="CF165">
        <v>1</v>
      </c>
      <c r="CG165">
        <v>1320</v>
      </c>
      <c r="CH165">
        <v>132</v>
      </c>
      <c r="CI165" t="s">
        <v>881</v>
      </c>
      <c r="CJ165" s="1">
        <v>45961</v>
      </c>
      <c r="CK165" t="s">
        <v>95</v>
      </c>
      <c r="CL165" t="s">
        <v>119</v>
      </c>
      <c r="CN165" t="s">
        <v>96</v>
      </c>
      <c r="CO165" t="s">
        <v>882</v>
      </c>
      <c r="CP165">
        <v>0.10199999999999999</v>
      </c>
      <c r="CQ165">
        <v>1194</v>
      </c>
      <c r="CR165" t="b">
        <v>0</v>
      </c>
    </row>
    <row r="166" spans="1:98">
      <c r="A166">
        <v>192</v>
      </c>
      <c r="B166" t="s">
        <v>924</v>
      </c>
      <c r="C166" t="s">
        <v>925</v>
      </c>
      <c r="D166" t="s">
        <v>81</v>
      </c>
      <c r="E166" t="s">
        <v>926</v>
      </c>
      <c r="F166">
        <v>400991035</v>
      </c>
      <c r="G166" t="s">
        <v>927</v>
      </c>
      <c r="H166" t="s">
        <v>75</v>
      </c>
      <c r="I166">
        <v>2</v>
      </c>
      <c r="J166">
        <v>1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1</v>
      </c>
      <c r="Q166">
        <v>1</v>
      </c>
      <c r="R166">
        <v>220</v>
      </c>
      <c r="S166">
        <v>1</v>
      </c>
      <c r="T166">
        <v>220</v>
      </c>
      <c r="U166" t="s">
        <v>928</v>
      </c>
      <c r="W166">
        <v>1.2</v>
      </c>
      <c r="X166">
        <v>264</v>
      </c>
      <c r="Y166" t="s">
        <v>85</v>
      </c>
      <c r="Z166" t="s">
        <v>929</v>
      </c>
      <c r="AA166" t="s">
        <v>930</v>
      </c>
      <c r="AB166" t="s">
        <v>931</v>
      </c>
      <c r="AG166">
        <v>2.4</v>
      </c>
      <c r="AH166">
        <v>264</v>
      </c>
      <c r="AI166">
        <v>220</v>
      </c>
      <c r="AJ166">
        <v>220</v>
      </c>
      <c r="AK166">
        <v>0</v>
      </c>
      <c r="AL166">
        <v>0</v>
      </c>
      <c r="AM166">
        <v>220</v>
      </c>
      <c r="AZ166">
        <f>SUM($AM166,$AN166:AO166)-SUM($BH166:BJ166)</f>
        <v>200</v>
      </c>
      <c r="BA166">
        <f>SUM($AM166,$AN166:AP166)-SUM($BH166:BK166)</f>
        <v>140</v>
      </c>
      <c r="BB166">
        <f>SUM($AM166,$AN166:AQ166)-SUM($BH166:BL166)</f>
        <v>140</v>
      </c>
      <c r="BC166">
        <f>SUM($AM166,$AN166:AR166)-SUM($BH166:BM166)</f>
        <v>140</v>
      </c>
      <c r="BD166">
        <f>SUM($AM166,$AN166:AS166)-SUM($BH166:BN166)</f>
        <v>140</v>
      </c>
      <c r="BI166">
        <f t="array" ref="BI166">SUMPRODUCT(TRANSPOSE(BI$4:BI$9),$K166:$P166)</f>
        <v>0</v>
      </c>
      <c r="BJ166">
        <f t="array" ref="BJ166">SUMPRODUCT(TRANSPOSE(BJ$4:BJ$9),$K166:$P166)</f>
        <v>20</v>
      </c>
      <c r="BK166">
        <f t="array" ref="BK166">SUMPRODUCT(TRANSPOSE(BK$4:BK$9),$K166:$P166)</f>
        <v>60</v>
      </c>
      <c r="BL166">
        <f t="array" ref="BL166">SUMPRODUCT(TRANSPOSE(BL$4:BL$9),$K166:$P166)</f>
        <v>0</v>
      </c>
      <c r="BM166">
        <f t="array" ref="BM166">SUMPRODUCT(TRANSPOSE(BM$4:BM$9),$K166:$P166)</f>
        <v>0</v>
      </c>
      <c r="BN166">
        <f t="array" ref="BN166">SUMPRODUCT(TRANSPOSE(BN$4:BN$9),$K166:$P166)</f>
        <v>0</v>
      </c>
      <c r="BO166" t="s">
        <v>928</v>
      </c>
      <c r="CA166" t="s">
        <v>177</v>
      </c>
      <c r="CB166" t="s">
        <v>929</v>
      </c>
      <c r="CC166" t="s">
        <v>925</v>
      </c>
      <c r="CD166" t="s">
        <v>928</v>
      </c>
      <c r="CE166" t="s">
        <v>85</v>
      </c>
      <c r="CF166">
        <v>1</v>
      </c>
      <c r="CG166">
        <v>220</v>
      </c>
      <c r="CH166">
        <v>264</v>
      </c>
      <c r="CI166" t="s">
        <v>932</v>
      </c>
      <c r="CJ166" s="1">
        <v>45961</v>
      </c>
      <c r="CL166" t="s">
        <v>119</v>
      </c>
      <c r="CN166" t="s">
        <v>96</v>
      </c>
      <c r="CO166" t="s">
        <v>933</v>
      </c>
      <c r="CP166">
        <v>1.2</v>
      </c>
      <c r="CQ166">
        <v>1067</v>
      </c>
      <c r="CR166" t="b">
        <v>1</v>
      </c>
    </row>
    <row r="167" spans="1:98">
      <c r="A167">
        <v>183</v>
      </c>
      <c r="B167" t="s">
        <v>934</v>
      </c>
      <c r="C167" t="s">
        <v>935</v>
      </c>
      <c r="D167" t="s">
        <v>81</v>
      </c>
      <c r="E167" t="s">
        <v>936</v>
      </c>
      <c r="F167">
        <v>514303155</v>
      </c>
      <c r="G167" t="s">
        <v>902</v>
      </c>
      <c r="H167" t="s">
        <v>75</v>
      </c>
      <c r="I167">
        <v>2</v>
      </c>
      <c r="J167">
        <v>12</v>
      </c>
      <c r="K167">
        <v>0</v>
      </c>
      <c r="L167">
        <v>12</v>
      </c>
      <c r="M167">
        <v>0</v>
      </c>
      <c r="N167">
        <v>12</v>
      </c>
      <c r="O167">
        <v>0</v>
      </c>
      <c r="P167">
        <v>0</v>
      </c>
      <c r="Q167">
        <v>24</v>
      </c>
      <c r="R167">
        <v>2640</v>
      </c>
      <c r="S167">
        <v>1</v>
      </c>
      <c r="T167">
        <v>2640</v>
      </c>
      <c r="U167" t="s">
        <v>347</v>
      </c>
      <c r="W167">
        <v>0.04</v>
      </c>
      <c r="X167">
        <v>105.6</v>
      </c>
      <c r="Y167" t="s">
        <v>85</v>
      </c>
      <c r="Z167" t="s">
        <v>360</v>
      </c>
      <c r="AA167" t="s">
        <v>879</v>
      </c>
      <c r="AB167" t="s">
        <v>880</v>
      </c>
      <c r="AG167">
        <v>0.08</v>
      </c>
      <c r="AH167">
        <v>105.6</v>
      </c>
      <c r="AI167">
        <v>2640</v>
      </c>
      <c r="AJ167">
        <v>2640</v>
      </c>
      <c r="AK167">
        <v>0</v>
      </c>
      <c r="AL167">
        <v>0</v>
      </c>
      <c r="AM167">
        <v>2640</v>
      </c>
      <c r="AZ167">
        <f>SUM($AM167,$AN167:AO167)-SUM($BH167:BJ167)</f>
        <v>2400</v>
      </c>
      <c r="BA167">
        <f>SUM($AM167,$AN167:AP167)-SUM($BH167:BK167)</f>
        <v>1680</v>
      </c>
      <c r="BB167">
        <f>SUM($AM167,$AN167:AQ167)-SUM($BH167:BL167)</f>
        <v>1680</v>
      </c>
      <c r="BC167">
        <f>SUM($AM167,$AN167:AR167)-SUM($BH167:BM167)</f>
        <v>1680</v>
      </c>
      <c r="BD167">
        <f>SUM($AM167,$AN167:AS167)-SUM($BH167:BN167)</f>
        <v>1680</v>
      </c>
      <c r="BI167">
        <f t="array" ref="BI167">SUMPRODUCT(TRANSPOSE(BI$4:BI$9),$K167:$P167)</f>
        <v>0</v>
      </c>
      <c r="BJ167">
        <f t="array" ref="BJ167">SUMPRODUCT(TRANSPOSE(BJ$4:BJ$9),$K167:$P167)</f>
        <v>240</v>
      </c>
      <c r="BK167">
        <f t="array" ref="BK167">SUMPRODUCT(TRANSPOSE(BK$4:BK$9),$K167:$P167)</f>
        <v>720</v>
      </c>
      <c r="BL167">
        <f t="array" ref="BL167">SUMPRODUCT(TRANSPOSE(BL$4:BL$9),$K167:$P167)</f>
        <v>0</v>
      </c>
      <c r="BM167">
        <f t="array" ref="BM167">SUMPRODUCT(TRANSPOSE(BM$4:BM$9),$K167:$P167)</f>
        <v>0</v>
      </c>
      <c r="BN167">
        <f t="array" ref="BN167">SUMPRODUCT(TRANSPOSE(BN$4:BN$9),$K167:$P167)</f>
        <v>0</v>
      </c>
      <c r="BO167" t="s">
        <v>347</v>
      </c>
      <c r="CA167" t="s">
        <v>177</v>
      </c>
      <c r="CB167" t="s">
        <v>360</v>
      </c>
      <c r="CC167" t="s">
        <v>935</v>
      </c>
      <c r="CD167" t="s">
        <v>347</v>
      </c>
      <c r="CE167" t="s">
        <v>85</v>
      </c>
      <c r="CF167">
        <v>1</v>
      </c>
      <c r="CG167">
        <v>2640</v>
      </c>
      <c r="CH167">
        <v>105.6</v>
      </c>
      <c r="CI167" t="s">
        <v>881</v>
      </c>
      <c r="CJ167" s="1">
        <v>45961</v>
      </c>
      <c r="CK167" t="s">
        <v>95</v>
      </c>
      <c r="CL167" t="s">
        <v>119</v>
      </c>
      <c r="CN167" t="s">
        <v>96</v>
      </c>
      <c r="CO167" t="s">
        <v>882</v>
      </c>
      <c r="CP167">
        <v>0.04</v>
      </c>
      <c r="CQ167">
        <v>1384</v>
      </c>
      <c r="CR167" t="b">
        <v>1</v>
      </c>
    </row>
    <row r="168" spans="1:98">
      <c r="A168">
        <v>193</v>
      </c>
      <c r="B168" t="s">
        <v>937</v>
      </c>
      <c r="C168" t="s">
        <v>938</v>
      </c>
      <c r="D168" t="s">
        <v>81</v>
      </c>
      <c r="E168" t="s">
        <v>939</v>
      </c>
      <c r="F168">
        <v>512212325</v>
      </c>
      <c r="G168" t="s">
        <v>346</v>
      </c>
      <c r="H168" t="s">
        <v>75</v>
      </c>
      <c r="I168">
        <v>2</v>
      </c>
      <c r="J168">
        <v>16</v>
      </c>
      <c r="K168">
        <v>0</v>
      </c>
      <c r="L168">
        <v>16</v>
      </c>
      <c r="M168">
        <v>0</v>
      </c>
      <c r="N168">
        <v>16</v>
      </c>
      <c r="O168">
        <v>0</v>
      </c>
      <c r="P168">
        <v>0</v>
      </c>
      <c r="Q168">
        <v>32</v>
      </c>
      <c r="R168">
        <v>3520</v>
      </c>
      <c r="S168">
        <v>1</v>
      </c>
      <c r="T168">
        <v>3520</v>
      </c>
      <c r="U168" t="s">
        <v>347</v>
      </c>
      <c r="W168">
        <v>0.11</v>
      </c>
      <c r="X168">
        <v>387.2</v>
      </c>
      <c r="Y168" t="s">
        <v>85</v>
      </c>
      <c r="Z168" t="s">
        <v>360</v>
      </c>
      <c r="AA168" t="s">
        <v>879</v>
      </c>
      <c r="AB168" t="s">
        <v>880</v>
      </c>
      <c r="AG168">
        <v>0.22</v>
      </c>
      <c r="AH168">
        <v>387.2</v>
      </c>
      <c r="AI168">
        <v>3520</v>
      </c>
      <c r="AJ168">
        <v>3520</v>
      </c>
      <c r="AK168">
        <v>0</v>
      </c>
      <c r="AL168">
        <v>0</v>
      </c>
      <c r="AM168">
        <v>3520</v>
      </c>
      <c r="AZ168">
        <f>SUM($AM168,$AN168:AO168)-SUM($BH168:BJ168)</f>
        <v>3200</v>
      </c>
      <c r="BA168">
        <f>SUM($AM168,$AN168:AP168)-SUM($BH168:BK168)</f>
        <v>2240</v>
      </c>
      <c r="BB168">
        <f>SUM($AM168,$AN168:AQ168)-SUM($BH168:BL168)</f>
        <v>2240</v>
      </c>
      <c r="BC168">
        <f>SUM($AM168,$AN168:AR168)-SUM($BH168:BM168)</f>
        <v>2240</v>
      </c>
      <c r="BD168">
        <f>SUM($AM168,$AN168:AS168)-SUM($BH168:BN168)</f>
        <v>2240</v>
      </c>
      <c r="BI168">
        <f t="array" ref="BI168">SUMPRODUCT(TRANSPOSE(BI$4:BI$9),$K168:$P168)</f>
        <v>0</v>
      </c>
      <c r="BJ168">
        <f t="array" ref="BJ168">SUMPRODUCT(TRANSPOSE(BJ$4:BJ$9),$K168:$P168)</f>
        <v>320</v>
      </c>
      <c r="BK168">
        <f t="array" ref="BK168">SUMPRODUCT(TRANSPOSE(BK$4:BK$9),$K168:$P168)</f>
        <v>960</v>
      </c>
      <c r="BL168">
        <f t="array" ref="BL168">SUMPRODUCT(TRANSPOSE(BL$4:BL$9),$K168:$P168)</f>
        <v>0</v>
      </c>
      <c r="BM168">
        <f t="array" ref="BM168">SUMPRODUCT(TRANSPOSE(BM$4:BM$9),$K168:$P168)</f>
        <v>0</v>
      </c>
      <c r="BN168">
        <f t="array" ref="BN168">SUMPRODUCT(TRANSPOSE(BN$4:BN$9),$K168:$P168)</f>
        <v>0</v>
      </c>
      <c r="BS168" t="s">
        <v>259</v>
      </c>
      <c r="BU168">
        <v>0.13500000000000001</v>
      </c>
      <c r="BW168" t="s">
        <v>259</v>
      </c>
      <c r="CA168" t="s">
        <v>177</v>
      </c>
      <c r="CB168" t="s">
        <v>360</v>
      </c>
      <c r="CC168" t="s">
        <v>938</v>
      </c>
      <c r="CD168" t="s">
        <v>347</v>
      </c>
      <c r="CE168" t="s">
        <v>85</v>
      </c>
      <c r="CF168">
        <v>1</v>
      </c>
      <c r="CG168">
        <v>3520</v>
      </c>
      <c r="CH168">
        <v>475.2</v>
      </c>
      <c r="CI168" t="s">
        <v>881</v>
      </c>
      <c r="CJ168" s="1">
        <v>45961</v>
      </c>
      <c r="CK168" t="s">
        <v>95</v>
      </c>
      <c r="CL168" t="s">
        <v>119</v>
      </c>
      <c r="CN168" t="s">
        <v>96</v>
      </c>
      <c r="CT168">
        <v>0.13500000000000001</v>
      </c>
    </row>
    <row r="169" spans="1:98">
      <c r="A169">
        <v>194</v>
      </c>
      <c r="B169" t="s">
        <v>940</v>
      </c>
      <c r="C169" t="s">
        <v>941</v>
      </c>
      <c r="D169" t="s">
        <v>81</v>
      </c>
      <c r="F169">
        <v>514203538</v>
      </c>
      <c r="G169" t="s">
        <v>942</v>
      </c>
      <c r="H169" t="s">
        <v>75</v>
      </c>
      <c r="I169">
        <v>2</v>
      </c>
      <c r="J169">
        <v>16</v>
      </c>
      <c r="K169">
        <v>0</v>
      </c>
      <c r="L169">
        <v>16</v>
      </c>
      <c r="M169">
        <v>0</v>
      </c>
      <c r="N169">
        <v>16</v>
      </c>
      <c r="O169">
        <v>0</v>
      </c>
      <c r="P169">
        <v>0</v>
      </c>
      <c r="Q169">
        <v>32</v>
      </c>
      <c r="R169">
        <v>3520</v>
      </c>
      <c r="S169">
        <v>1</v>
      </c>
      <c r="T169">
        <v>3520</v>
      </c>
      <c r="U169" t="s">
        <v>347</v>
      </c>
      <c r="W169">
        <v>0.05</v>
      </c>
      <c r="X169">
        <v>176</v>
      </c>
      <c r="Y169" t="s">
        <v>85</v>
      </c>
      <c r="Z169" t="s">
        <v>360</v>
      </c>
      <c r="AA169" t="s">
        <v>879</v>
      </c>
      <c r="AB169" t="s">
        <v>880</v>
      </c>
      <c r="AG169">
        <v>0.1</v>
      </c>
      <c r="AH169">
        <v>176</v>
      </c>
      <c r="AI169">
        <v>3520</v>
      </c>
      <c r="AJ169">
        <v>3520</v>
      </c>
      <c r="AK169">
        <v>0</v>
      </c>
      <c r="AL169">
        <v>0</v>
      </c>
      <c r="AM169">
        <v>3520</v>
      </c>
      <c r="AZ169">
        <f>SUM($AM169,$AN169:AO169)-SUM($BH169:BJ169)</f>
        <v>3200</v>
      </c>
      <c r="BA169">
        <f>SUM($AM169,$AN169:AP169)-SUM($BH169:BK169)</f>
        <v>2240</v>
      </c>
      <c r="BB169">
        <f>SUM($AM169,$AN169:AQ169)-SUM($BH169:BL169)</f>
        <v>2240</v>
      </c>
      <c r="BC169">
        <f>SUM($AM169,$AN169:AR169)-SUM($BH169:BM169)</f>
        <v>2240</v>
      </c>
      <c r="BD169">
        <f>SUM($AM169,$AN169:AS169)-SUM($BH169:BN169)</f>
        <v>2240</v>
      </c>
      <c r="BI169">
        <f t="array" ref="BI169">SUMPRODUCT(TRANSPOSE(BI$4:BI$9),$K169:$P169)</f>
        <v>0</v>
      </c>
      <c r="BJ169">
        <f t="array" ref="BJ169">SUMPRODUCT(TRANSPOSE(BJ$4:BJ$9),$K169:$P169)</f>
        <v>320</v>
      </c>
      <c r="BK169">
        <f t="array" ref="BK169">SUMPRODUCT(TRANSPOSE(BK$4:BK$9),$K169:$P169)</f>
        <v>960</v>
      </c>
      <c r="BL169">
        <f t="array" ref="BL169">SUMPRODUCT(TRANSPOSE(BL$4:BL$9),$K169:$P169)</f>
        <v>0</v>
      </c>
      <c r="BM169">
        <f t="array" ref="BM169">SUMPRODUCT(TRANSPOSE(BM$4:BM$9),$K169:$P169)</f>
        <v>0</v>
      </c>
      <c r="BN169">
        <f t="array" ref="BN169">SUMPRODUCT(TRANSPOSE(BN$4:BN$9),$K169:$P169)</f>
        <v>0</v>
      </c>
      <c r="CA169" t="s">
        <v>177</v>
      </c>
      <c r="CB169" t="s">
        <v>360</v>
      </c>
      <c r="CC169" t="s">
        <v>941</v>
      </c>
      <c r="CD169" t="s">
        <v>347</v>
      </c>
      <c r="CE169" t="s">
        <v>85</v>
      </c>
      <c r="CF169">
        <v>1</v>
      </c>
      <c r="CG169">
        <v>3520</v>
      </c>
      <c r="CH169">
        <v>176</v>
      </c>
      <c r="CI169" t="s">
        <v>881</v>
      </c>
      <c r="CJ169" s="1">
        <v>45961</v>
      </c>
      <c r="CK169" t="s">
        <v>95</v>
      </c>
      <c r="CL169" t="s">
        <v>119</v>
      </c>
      <c r="CN169" t="s">
        <v>96</v>
      </c>
    </row>
    <row r="170" spans="1:98">
      <c r="A170">
        <v>195</v>
      </c>
      <c r="B170" t="s">
        <v>943</v>
      </c>
      <c r="C170" t="s">
        <v>944</v>
      </c>
      <c r="D170" t="s">
        <v>81</v>
      </c>
      <c r="F170">
        <v>541553780</v>
      </c>
      <c r="G170" t="s">
        <v>945</v>
      </c>
      <c r="H170" t="s">
        <v>75</v>
      </c>
      <c r="I170">
        <v>2</v>
      </c>
      <c r="J170">
        <v>10</v>
      </c>
      <c r="K170">
        <v>0</v>
      </c>
      <c r="L170">
        <v>20</v>
      </c>
      <c r="M170">
        <v>0</v>
      </c>
      <c r="N170">
        <v>10</v>
      </c>
      <c r="O170">
        <v>0</v>
      </c>
      <c r="P170">
        <v>0</v>
      </c>
      <c r="Q170">
        <v>30</v>
      </c>
      <c r="R170">
        <v>3000</v>
      </c>
      <c r="S170">
        <v>1</v>
      </c>
      <c r="T170">
        <v>3000</v>
      </c>
      <c r="U170" t="s">
        <v>347</v>
      </c>
      <c r="W170">
        <v>8.5000000000000006E-2</v>
      </c>
      <c r="X170">
        <v>255</v>
      </c>
      <c r="Y170" t="s">
        <v>85</v>
      </c>
      <c r="Z170" t="s">
        <v>360</v>
      </c>
      <c r="AA170" t="s">
        <v>879</v>
      </c>
      <c r="AB170" t="s">
        <v>880</v>
      </c>
      <c r="AG170">
        <v>0.17</v>
      </c>
      <c r="AH170">
        <v>187</v>
      </c>
      <c r="AI170">
        <v>3000</v>
      </c>
      <c r="AJ170">
        <v>2200</v>
      </c>
      <c r="AK170">
        <v>800</v>
      </c>
      <c r="AL170">
        <v>800</v>
      </c>
      <c r="AM170">
        <v>2200</v>
      </c>
      <c r="AZ170">
        <f>SUM($AM170,$AN170:AO170)-SUM($BH170:BJ170)</f>
        <v>2000</v>
      </c>
      <c r="BA170">
        <f>SUM($AM170,$AN170:AP170)-SUM($BH170:BK170)</f>
        <v>1400</v>
      </c>
      <c r="BB170">
        <f>SUM($AM170,$AN170:AQ170)-SUM($BH170:BL170)</f>
        <v>1400</v>
      </c>
      <c r="BC170">
        <f>SUM($AM170,$AN170:AR170)-SUM($BH170:BM170)</f>
        <v>1400</v>
      </c>
      <c r="BD170">
        <f>SUM($AM170,$AN170:AS170)-SUM($BH170:BN170)</f>
        <v>1400</v>
      </c>
      <c r="BI170">
        <f t="array" ref="BI170">SUMPRODUCT(TRANSPOSE(BI$4:BI$9),$K170:$P170)</f>
        <v>0</v>
      </c>
      <c r="BJ170">
        <f t="array" ref="BJ170">SUMPRODUCT(TRANSPOSE(BJ$4:BJ$9),$K170:$P170)</f>
        <v>200</v>
      </c>
      <c r="BK170">
        <f t="array" ref="BK170">SUMPRODUCT(TRANSPOSE(BK$4:BK$9),$K170:$P170)</f>
        <v>600</v>
      </c>
      <c r="BL170">
        <f t="array" ref="BL170">SUMPRODUCT(TRANSPOSE(BL$4:BL$9),$K170:$P170)</f>
        <v>0</v>
      </c>
      <c r="BM170">
        <f t="array" ref="BM170">SUMPRODUCT(TRANSPOSE(BM$4:BM$9),$K170:$P170)</f>
        <v>0</v>
      </c>
      <c r="BN170">
        <f t="array" ref="BN170">SUMPRODUCT(TRANSPOSE(BN$4:BN$9),$K170:$P170)</f>
        <v>0</v>
      </c>
      <c r="BO170" t="s">
        <v>347</v>
      </c>
      <c r="BS170" t="s">
        <v>259</v>
      </c>
      <c r="BU170">
        <v>0.09</v>
      </c>
      <c r="BW170" t="s">
        <v>259</v>
      </c>
      <c r="CA170" t="s">
        <v>177</v>
      </c>
      <c r="CB170" t="s">
        <v>360</v>
      </c>
      <c r="CC170" t="s">
        <v>944</v>
      </c>
      <c r="CD170" t="s">
        <v>347</v>
      </c>
      <c r="CE170" t="s">
        <v>85</v>
      </c>
      <c r="CF170">
        <v>1</v>
      </c>
      <c r="CG170">
        <v>2200</v>
      </c>
      <c r="CH170">
        <v>198</v>
      </c>
      <c r="CI170" t="s">
        <v>881</v>
      </c>
      <c r="CJ170" s="1">
        <v>45961</v>
      </c>
      <c r="CK170" t="s">
        <v>95</v>
      </c>
      <c r="CL170" t="s">
        <v>119</v>
      </c>
      <c r="CN170" t="s">
        <v>96</v>
      </c>
      <c r="CO170" t="s">
        <v>882</v>
      </c>
      <c r="CP170">
        <v>8.5000000000000006E-2</v>
      </c>
      <c r="CQ170">
        <v>4429</v>
      </c>
      <c r="CR170" t="b">
        <v>0</v>
      </c>
      <c r="CT170">
        <v>0.09</v>
      </c>
    </row>
    <row r="171" spans="1:98">
      <c r="A171">
        <v>196</v>
      </c>
      <c r="B171" t="s">
        <v>946</v>
      </c>
      <c r="C171" t="s">
        <v>947</v>
      </c>
      <c r="D171" t="s">
        <v>81</v>
      </c>
      <c r="F171">
        <v>541553756</v>
      </c>
      <c r="G171" t="s">
        <v>948</v>
      </c>
      <c r="H171" t="s">
        <v>75</v>
      </c>
      <c r="I171">
        <v>2</v>
      </c>
      <c r="J171">
        <v>36</v>
      </c>
      <c r="K171">
        <v>4</v>
      </c>
      <c r="L171">
        <v>26</v>
      </c>
      <c r="M171">
        <v>0</v>
      </c>
      <c r="N171">
        <v>36</v>
      </c>
      <c r="O171">
        <v>0</v>
      </c>
      <c r="P171">
        <v>0</v>
      </c>
      <c r="Q171">
        <v>66</v>
      </c>
      <c r="R171">
        <v>7440</v>
      </c>
      <c r="S171">
        <v>1</v>
      </c>
      <c r="T171">
        <v>7440</v>
      </c>
      <c r="U171" t="s">
        <v>347</v>
      </c>
      <c r="W171">
        <v>2.3900000000000001E-2</v>
      </c>
      <c r="X171">
        <v>177.816</v>
      </c>
      <c r="Y171" t="s">
        <v>85</v>
      </c>
      <c r="Z171" t="s">
        <v>360</v>
      </c>
      <c r="AA171" t="s">
        <v>879</v>
      </c>
      <c r="AB171" t="s">
        <v>880</v>
      </c>
      <c r="AG171">
        <v>4.7800000000000002E-2</v>
      </c>
      <c r="AH171">
        <v>189.28800000000001</v>
      </c>
      <c r="AI171">
        <v>7440</v>
      </c>
      <c r="AJ171">
        <v>7920</v>
      </c>
      <c r="AK171">
        <v>0</v>
      </c>
      <c r="AL171">
        <v>-480</v>
      </c>
      <c r="AM171">
        <v>7920</v>
      </c>
      <c r="AZ171">
        <f>SUM($AM171,$AN171:AO171)-SUM($BH171:BJ171)</f>
        <v>7200</v>
      </c>
      <c r="BA171">
        <f>SUM($AM171,$AN171:AP171)-SUM($BH171:BK171)</f>
        <v>5040</v>
      </c>
      <c r="BB171">
        <f>SUM($AM171,$AN171:AQ171)-SUM($BH171:BL171)</f>
        <v>5040</v>
      </c>
      <c r="BC171">
        <f>SUM($AM171,$AN171:AR171)-SUM($BH171:BM171)</f>
        <v>5040</v>
      </c>
      <c r="BD171">
        <f>SUM($AM171,$AN171:AS171)-SUM($BH171:BN171)</f>
        <v>5040</v>
      </c>
      <c r="BI171">
        <f t="array" ref="BI171">SUMPRODUCT(TRANSPOSE(BI$4:BI$9),$K171:$P171)</f>
        <v>0</v>
      </c>
      <c r="BJ171">
        <f t="array" ref="BJ171">SUMPRODUCT(TRANSPOSE(BJ$4:BJ$9),$K171:$P171)</f>
        <v>720</v>
      </c>
      <c r="BK171">
        <f t="array" ref="BK171">SUMPRODUCT(TRANSPOSE(BK$4:BK$9),$K171:$P171)</f>
        <v>2160</v>
      </c>
      <c r="BL171">
        <f t="array" ref="BL171">SUMPRODUCT(TRANSPOSE(BL$4:BL$9),$K171:$P171)</f>
        <v>0</v>
      </c>
      <c r="BM171">
        <f t="array" ref="BM171">SUMPRODUCT(TRANSPOSE(BM$4:BM$9),$K171:$P171)</f>
        <v>0</v>
      </c>
      <c r="BN171">
        <f t="array" ref="BN171">SUMPRODUCT(TRANSPOSE(BN$4:BN$9),$K171:$P171)</f>
        <v>0</v>
      </c>
      <c r="BO171" t="s">
        <v>347</v>
      </c>
      <c r="BS171" t="s">
        <v>259</v>
      </c>
      <c r="BU171">
        <v>0.04</v>
      </c>
      <c r="BW171" t="s">
        <v>259</v>
      </c>
      <c r="CA171" t="s">
        <v>177</v>
      </c>
      <c r="CB171" t="s">
        <v>360</v>
      </c>
      <c r="CC171" t="s">
        <v>947</v>
      </c>
      <c r="CD171" t="s">
        <v>347</v>
      </c>
      <c r="CE171" t="s">
        <v>85</v>
      </c>
      <c r="CF171">
        <v>1</v>
      </c>
      <c r="CG171">
        <v>7920</v>
      </c>
      <c r="CH171">
        <v>316.8</v>
      </c>
      <c r="CI171" t="s">
        <v>881</v>
      </c>
      <c r="CJ171" s="1">
        <v>45961</v>
      </c>
      <c r="CK171" t="s">
        <v>95</v>
      </c>
      <c r="CL171" t="s">
        <v>119</v>
      </c>
      <c r="CN171" t="s">
        <v>96</v>
      </c>
      <c r="CO171" t="s">
        <v>882</v>
      </c>
      <c r="CP171">
        <v>2.3900000000000001E-2</v>
      </c>
      <c r="CQ171">
        <v>56594</v>
      </c>
      <c r="CR171" t="b">
        <v>0</v>
      </c>
      <c r="CT171">
        <v>0.04</v>
      </c>
    </row>
    <row r="172" spans="1:98">
      <c r="A172">
        <v>197</v>
      </c>
      <c r="B172" t="s">
        <v>949</v>
      </c>
      <c r="C172" t="s">
        <v>950</v>
      </c>
      <c r="D172" t="s">
        <v>81</v>
      </c>
      <c r="F172">
        <v>514202126</v>
      </c>
      <c r="G172" t="s">
        <v>951</v>
      </c>
      <c r="H172" t="s">
        <v>75</v>
      </c>
      <c r="I172">
        <v>2</v>
      </c>
      <c r="J172">
        <v>12</v>
      </c>
      <c r="K172">
        <v>0</v>
      </c>
      <c r="L172">
        <v>12</v>
      </c>
      <c r="M172">
        <v>0</v>
      </c>
      <c r="N172">
        <v>12</v>
      </c>
      <c r="O172">
        <v>0</v>
      </c>
      <c r="P172">
        <v>0</v>
      </c>
      <c r="Q172">
        <v>24</v>
      </c>
      <c r="R172">
        <v>2640</v>
      </c>
      <c r="S172">
        <v>1</v>
      </c>
      <c r="T172">
        <v>2640</v>
      </c>
      <c r="U172" t="s">
        <v>347</v>
      </c>
      <c r="W172">
        <v>0.04</v>
      </c>
      <c r="X172">
        <v>105.6</v>
      </c>
      <c r="Y172" t="s">
        <v>85</v>
      </c>
      <c r="Z172" t="s">
        <v>360</v>
      </c>
      <c r="AA172" t="s">
        <v>879</v>
      </c>
      <c r="AB172" t="s">
        <v>880</v>
      </c>
      <c r="AG172">
        <v>0.08</v>
      </c>
      <c r="AH172">
        <v>105.6</v>
      </c>
      <c r="AI172">
        <v>2640</v>
      </c>
      <c r="AJ172">
        <v>2640</v>
      </c>
      <c r="AK172">
        <v>0</v>
      </c>
      <c r="AL172">
        <v>0</v>
      </c>
      <c r="AM172">
        <v>2640</v>
      </c>
      <c r="AZ172">
        <f>SUM($AM172,$AN172:AO172)-SUM($BH172:BJ172)</f>
        <v>2400</v>
      </c>
      <c r="BA172">
        <f>SUM($AM172,$AN172:AP172)-SUM($BH172:BK172)</f>
        <v>1680</v>
      </c>
      <c r="BB172">
        <f>SUM($AM172,$AN172:AQ172)-SUM($BH172:BL172)</f>
        <v>1680</v>
      </c>
      <c r="BC172">
        <f>SUM($AM172,$AN172:AR172)-SUM($BH172:BM172)</f>
        <v>1680</v>
      </c>
      <c r="BD172">
        <f>SUM($AM172,$AN172:AS172)-SUM($BH172:BN172)</f>
        <v>1680</v>
      </c>
      <c r="BI172">
        <f t="array" ref="BI172">SUMPRODUCT(TRANSPOSE(BI$4:BI$9),$K172:$P172)</f>
        <v>0</v>
      </c>
      <c r="BJ172">
        <f t="array" ref="BJ172">SUMPRODUCT(TRANSPOSE(BJ$4:BJ$9),$K172:$P172)</f>
        <v>240</v>
      </c>
      <c r="BK172">
        <f t="array" ref="BK172">SUMPRODUCT(TRANSPOSE(BK$4:BK$9),$K172:$P172)</f>
        <v>720</v>
      </c>
      <c r="BL172">
        <f t="array" ref="BL172">SUMPRODUCT(TRANSPOSE(BL$4:BL$9),$K172:$P172)</f>
        <v>0</v>
      </c>
      <c r="BM172">
        <f t="array" ref="BM172">SUMPRODUCT(TRANSPOSE(BM$4:BM$9),$K172:$P172)</f>
        <v>0</v>
      </c>
      <c r="BN172">
        <f t="array" ref="BN172">SUMPRODUCT(TRANSPOSE(BN$4:BN$9),$K172:$P172)</f>
        <v>0</v>
      </c>
      <c r="BO172" t="s">
        <v>882</v>
      </c>
      <c r="CA172" t="s">
        <v>177</v>
      </c>
      <c r="CB172" t="s">
        <v>360</v>
      </c>
      <c r="CC172" t="s">
        <v>950</v>
      </c>
      <c r="CD172" t="s">
        <v>347</v>
      </c>
      <c r="CE172" t="s">
        <v>85</v>
      </c>
      <c r="CF172">
        <v>1</v>
      </c>
      <c r="CG172">
        <v>2640</v>
      </c>
      <c r="CH172">
        <v>105.6</v>
      </c>
      <c r="CI172" t="s">
        <v>881</v>
      </c>
      <c r="CJ172" s="1">
        <v>45961</v>
      </c>
      <c r="CK172" t="s">
        <v>95</v>
      </c>
      <c r="CL172" t="s">
        <v>119</v>
      </c>
      <c r="CN172" t="s">
        <v>96</v>
      </c>
      <c r="CO172" t="s">
        <v>882</v>
      </c>
      <c r="CP172">
        <v>0.04</v>
      </c>
      <c r="CQ172">
        <v>1660</v>
      </c>
      <c r="CR172" t="b">
        <v>1</v>
      </c>
    </row>
    <row r="173" spans="1:98">
      <c r="A173">
        <v>198</v>
      </c>
      <c r="B173" t="s">
        <v>952</v>
      </c>
      <c r="C173" t="s">
        <v>953</v>
      </c>
      <c r="D173" t="s">
        <v>81</v>
      </c>
      <c r="F173">
        <v>514201177</v>
      </c>
      <c r="G173" t="s">
        <v>954</v>
      </c>
      <c r="H173" t="s">
        <v>75</v>
      </c>
      <c r="I173">
        <v>2</v>
      </c>
      <c r="J173">
        <v>30</v>
      </c>
      <c r="K173">
        <v>0</v>
      </c>
      <c r="L173">
        <v>22</v>
      </c>
      <c r="M173">
        <v>0</v>
      </c>
      <c r="N173">
        <v>22</v>
      </c>
      <c r="O173">
        <v>0</v>
      </c>
      <c r="P173">
        <v>4</v>
      </c>
      <c r="Q173">
        <v>48</v>
      </c>
      <c r="R173">
        <v>5720</v>
      </c>
      <c r="S173">
        <v>1</v>
      </c>
      <c r="T173">
        <v>5720</v>
      </c>
      <c r="U173" t="s">
        <v>347</v>
      </c>
      <c r="W173">
        <v>1.9E-2</v>
      </c>
      <c r="X173">
        <v>108.68</v>
      </c>
      <c r="Y173" t="s">
        <v>85</v>
      </c>
      <c r="Z173" t="s">
        <v>360</v>
      </c>
      <c r="AA173" t="s">
        <v>879</v>
      </c>
      <c r="AB173" t="s">
        <v>880</v>
      </c>
      <c r="AG173">
        <v>3.7999999999999999E-2</v>
      </c>
      <c r="AH173">
        <v>108.68</v>
      </c>
      <c r="AI173">
        <v>5720</v>
      </c>
      <c r="AJ173">
        <v>5720</v>
      </c>
      <c r="AK173">
        <v>0</v>
      </c>
      <c r="AL173">
        <v>0</v>
      </c>
      <c r="AM173">
        <v>5720</v>
      </c>
      <c r="AZ173">
        <f>SUM($AM173,$AN173:AO173)-SUM($BH173:BJ173)</f>
        <v>5200</v>
      </c>
      <c r="BA173">
        <f>SUM($AM173,$AN173:AP173)-SUM($BH173:BK173)</f>
        <v>3640</v>
      </c>
      <c r="BB173">
        <f>SUM($AM173,$AN173:AQ173)-SUM($BH173:BL173)</f>
        <v>3640</v>
      </c>
      <c r="BC173">
        <f>SUM($AM173,$AN173:AR173)-SUM($BH173:BM173)</f>
        <v>3640</v>
      </c>
      <c r="BD173">
        <f>SUM($AM173,$AN173:AS173)-SUM($BH173:BN173)</f>
        <v>3640</v>
      </c>
      <c r="BI173">
        <f t="array" ref="BI173">SUMPRODUCT(TRANSPOSE(BI$4:BI$9),$K173:$P173)</f>
        <v>0</v>
      </c>
      <c r="BJ173">
        <f t="array" ref="BJ173">SUMPRODUCT(TRANSPOSE(BJ$4:BJ$9),$K173:$P173)</f>
        <v>520</v>
      </c>
      <c r="BK173">
        <f t="array" ref="BK173">SUMPRODUCT(TRANSPOSE(BK$4:BK$9),$K173:$P173)</f>
        <v>1560</v>
      </c>
      <c r="BL173">
        <f t="array" ref="BL173">SUMPRODUCT(TRANSPOSE(BL$4:BL$9),$K173:$P173)</f>
        <v>0</v>
      </c>
      <c r="BM173">
        <f t="array" ref="BM173">SUMPRODUCT(TRANSPOSE(BM$4:BM$9),$K173:$P173)</f>
        <v>0</v>
      </c>
      <c r="BN173">
        <f t="array" ref="BN173">SUMPRODUCT(TRANSPOSE(BN$4:BN$9),$K173:$P173)</f>
        <v>0</v>
      </c>
      <c r="BO173" t="s">
        <v>347</v>
      </c>
      <c r="BS173" t="s">
        <v>259</v>
      </c>
      <c r="BU173">
        <v>0.03</v>
      </c>
      <c r="BW173" t="s">
        <v>259</v>
      </c>
      <c r="CA173" t="s">
        <v>177</v>
      </c>
      <c r="CB173" t="s">
        <v>360</v>
      </c>
      <c r="CC173" t="s">
        <v>953</v>
      </c>
      <c r="CD173" t="s">
        <v>347</v>
      </c>
      <c r="CE173" t="s">
        <v>85</v>
      </c>
      <c r="CF173">
        <v>1</v>
      </c>
      <c r="CG173">
        <v>5720</v>
      </c>
      <c r="CH173">
        <v>171.6</v>
      </c>
      <c r="CI173" t="s">
        <v>881</v>
      </c>
      <c r="CJ173" s="1">
        <v>45961</v>
      </c>
      <c r="CK173" t="s">
        <v>95</v>
      </c>
      <c r="CL173" t="s">
        <v>119</v>
      </c>
      <c r="CN173" t="s">
        <v>96</v>
      </c>
      <c r="CO173" t="s">
        <v>882</v>
      </c>
      <c r="CP173">
        <v>1.9E-2</v>
      </c>
      <c r="CQ173">
        <v>134939</v>
      </c>
      <c r="CR173" t="b">
        <v>0</v>
      </c>
      <c r="CT173">
        <v>0.03</v>
      </c>
    </row>
    <row r="174" spans="1:98">
      <c r="A174">
        <v>199</v>
      </c>
      <c r="B174" t="s">
        <v>955</v>
      </c>
      <c r="C174" t="s">
        <v>956</v>
      </c>
      <c r="D174" t="s">
        <v>81</v>
      </c>
      <c r="F174">
        <v>514200799</v>
      </c>
      <c r="G174" t="s">
        <v>957</v>
      </c>
      <c r="H174" t="s">
        <v>75</v>
      </c>
      <c r="I174">
        <v>2</v>
      </c>
      <c r="J174">
        <v>102</v>
      </c>
      <c r="K174">
        <v>0</v>
      </c>
      <c r="L174">
        <v>102</v>
      </c>
      <c r="M174">
        <v>0</v>
      </c>
      <c r="N174">
        <v>102</v>
      </c>
      <c r="O174">
        <v>0</v>
      </c>
      <c r="P174">
        <v>0</v>
      </c>
      <c r="Q174">
        <v>204</v>
      </c>
      <c r="R174">
        <v>22440</v>
      </c>
      <c r="S174">
        <v>1</v>
      </c>
      <c r="T174">
        <v>22440</v>
      </c>
      <c r="U174" t="s">
        <v>347</v>
      </c>
      <c r="W174">
        <v>1.1599999999999999E-2</v>
      </c>
      <c r="X174">
        <v>260.30399999999997</v>
      </c>
      <c r="Y174" t="s">
        <v>85</v>
      </c>
      <c r="Z174" t="s">
        <v>360</v>
      </c>
      <c r="AA174" t="s">
        <v>879</v>
      </c>
      <c r="AB174" t="s">
        <v>880</v>
      </c>
      <c r="AG174">
        <v>2.3199999999999998E-2</v>
      </c>
      <c r="AH174">
        <v>260.30399999999997</v>
      </c>
      <c r="AI174">
        <v>22440</v>
      </c>
      <c r="AJ174">
        <v>22440</v>
      </c>
      <c r="AK174">
        <v>0</v>
      </c>
      <c r="AL174">
        <v>0</v>
      </c>
      <c r="AM174">
        <v>22440</v>
      </c>
      <c r="AZ174">
        <f>SUM($AM174,$AN174:AO174)-SUM($BH174:BJ174)</f>
        <v>20400</v>
      </c>
      <c r="BA174">
        <f>SUM($AM174,$AN174:AP174)-SUM($BH174:BK174)</f>
        <v>14280</v>
      </c>
      <c r="BB174">
        <f>SUM($AM174,$AN174:AQ174)-SUM($BH174:BL174)</f>
        <v>14280</v>
      </c>
      <c r="BC174">
        <f>SUM($AM174,$AN174:AR174)-SUM($BH174:BM174)</f>
        <v>14280</v>
      </c>
      <c r="BD174">
        <f>SUM($AM174,$AN174:AS174)-SUM($BH174:BN174)</f>
        <v>14280</v>
      </c>
      <c r="BI174">
        <f t="array" ref="BI174">SUMPRODUCT(TRANSPOSE(BI$4:BI$9),$K174:$P174)</f>
        <v>0</v>
      </c>
      <c r="BJ174">
        <f t="array" ref="BJ174">SUMPRODUCT(TRANSPOSE(BJ$4:BJ$9),$K174:$P174)</f>
        <v>2040</v>
      </c>
      <c r="BK174">
        <f t="array" ref="BK174">SUMPRODUCT(TRANSPOSE(BK$4:BK$9),$K174:$P174)</f>
        <v>6120</v>
      </c>
      <c r="BL174">
        <f t="array" ref="BL174">SUMPRODUCT(TRANSPOSE(BL$4:BL$9),$K174:$P174)</f>
        <v>0</v>
      </c>
      <c r="BM174">
        <f t="array" ref="BM174">SUMPRODUCT(TRANSPOSE(BM$4:BM$9),$K174:$P174)</f>
        <v>0</v>
      </c>
      <c r="BN174">
        <f t="array" ref="BN174">SUMPRODUCT(TRANSPOSE(BN$4:BN$9),$K174:$P174)</f>
        <v>0</v>
      </c>
      <c r="BO174" t="s">
        <v>347</v>
      </c>
      <c r="BS174" t="s">
        <v>259</v>
      </c>
      <c r="BU174">
        <v>0.02</v>
      </c>
      <c r="BW174" t="s">
        <v>259</v>
      </c>
      <c r="CA174" t="s">
        <v>177</v>
      </c>
      <c r="CB174" t="s">
        <v>360</v>
      </c>
      <c r="CC174" t="s">
        <v>956</v>
      </c>
      <c r="CD174" t="s">
        <v>347</v>
      </c>
      <c r="CE174" t="s">
        <v>85</v>
      </c>
      <c r="CF174">
        <v>1</v>
      </c>
      <c r="CG174">
        <v>22440</v>
      </c>
      <c r="CH174">
        <v>448.8</v>
      </c>
      <c r="CI174" t="s">
        <v>881</v>
      </c>
      <c r="CJ174" s="1">
        <v>45961</v>
      </c>
      <c r="CK174" t="s">
        <v>95</v>
      </c>
      <c r="CL174" t="s">
        <v>119</v>
      </c>
      <c r="CN174" t="s">
        <v>96</v>
      </c>
      <c r="CO174" t="s">
        <v>882</v>
      </c>
      <c r="CP174">
        <v>1.1599999999999999E-2</v>
      </c>
      <c r="CQ174">
        <v>277038</v>
      </c>
      <c r="CR174" t="b">
        <v>0</v>
      </c>
      <c r="CT174">
        <v>0.02</v>
      </c>
    </row>
    <row r="175" spans="1:98">
      <c r="A175">
        <v>200</v>
      </c>
      <c r="B175" t="s">
        <v>958</v>
      </c>
      <c r="C175" t="s">
        <v>959</v>
      </c>
      <c r="D175" t="s">
        <v>81</v>
      </c>
      <c r="F175">
        <v>514200518</v>
      </c>
      <c r="G175" t="s">
        <v>960</v>
      </c>
      <c r="H175" t="s">
        <v>75</v>
      </c>
      <c r="I175">
        <v>2</v>
      </c>
      <c r="J175">
        <v>42</v>
      </c>
      <c r="K175">
        <v>4</v>
      </c>
      <c r="L175">
        <v>24</v>
      </c>
      <c r="M175">
        <v>6</v>
      </c>
      <c r="N175">
        <v>36</v>
      </c>
      <c r="O175">
        <v>0</v>
      </c>
      <c r="P175">
        <v>0</v>
      </c>
      <c r="Q175">
        <v>70</v>
      </c>
      <c r="R175">
        <v>8120</v>
      </c>
      <c r="S175">
        <v>1</v>
      </c>
      <c r="T175">
        <v>8120</v>
      </c>
      <c r="U175" t="s">
        <v>347</v>
      </c>
      <c r="W175">
        <v>1.7999999999999999E-2</v>
      </c>
      <c r="X175">
        <v>146.16</v>
      </c>
      <c r="Y175" t="s">
        <v>85</v>
      </c>
      <c r="Z175" t="s">
        <v>360</v>
      </c>
      <c r="AA175" t="s">
        <v>879</v>
      </c>
      <c r="AB175" t="s">
        <v>880</v>
      </c>
      <c r="AG175">
        <v>3.5999999999999997E-2</v>
      </c>
      <c r="AH175">
        <v>166.32</v>
      </c>
      <c r="AI175">
        <v>8120</v>
      </c>
      <c r="AJ175">
        <v>9240</v>
      </c>
      <c r="AK175">
        <v>0</v>
      </c>
      <c r="AL175">
        <v>-1120</v>
      </c>
      <c r="AM175">
        <v>9240</v>
      </c>
      <c r="AZ175">
        <f>SUM($AM175,$AN175:AO175)-SUM($BH175:BJ175)</f>
        <v>8400</v>
      </c>
      <c r="BA175">
        <f>SUM($AM175,$AN175:AP175)-SUM($BH175:BK175)</f>
        <v>5880</v>
      </c>
      <c r="BB175">
        <f>SUM($AM175,$AN175:AQ175)-SUM($BH175:BL175)</f>
        <v>5880</v>
      </c>
      <c r="BC175">
        <f>SUM($AM175,$AN175:AR175)-SUM($BH175:BM175)</f>
        <v>5880</v>
      </c>
      <c r="BD175">
        <f>SUM($AM175,$AN175:AS175)-SUM($BH175:BN175)</f>
        <v>5880</v>
      </c>
      <c r="BI175">
        <f t="array" ref="BI175">SUMPRODUCT(TRANSPOSE(BI$4:BI$9),$K175:$P175)</f>
        <v>0</v>
      </c>
      <c r="BJ175">
        <f t="array" ref="BJ175">SUMPRODUCT(TRANSPOSE(BJ$4:BJ$9),$K175:$P175)</f>
        <v>840</v>
      </c>
      <c r="BK175">
        <f t="array" ref="BK175">SUMPRODUCT(TRANSPOSE(BK$4:BK$9),$K175:$P175)</f>
        <v>2520</v>
      </c>
      <c r="BL175">
        <f t="array" ref="BL175">SUMPRODUCT(TRANSPOSE(BL$4:BL$9),$K175:$P175)</f>
        <v>0</v>
      </c>
      <c r="BM175">
        <f t="array" ref="BM175">SUMPRODUCT(TRANSPOSE(BM$4:BM$9),$K175:$P175)</f>
        <v>0</v>
      </c>
      <c r="BN175">
        <f t="array" ref="BN175">SUMPRODUCT(TRANSPOSE(BN$4:BN$9),$K175:$P175)</f>
        <v>0</v>
      </c>
      <c r="BO175" t="s">
        <v>347</v>
      </c>
      <c r="BS175" t="s">
        <v>259</v>
      </c>
      <c r="BU175">
        <v>0.03</v>
      </c>
      <c r="BW175" t="s">
        <v>259</v>
      </c>
      <c r="CA175" t="s">
        <v>177</v>
      </c>
      <c r="CB175" t="s">
        <v>360</v>
      </c>
      <c r="CC175" t="s">
        <v>959</v>
      </c>
      <c r="CD175" t="s">
        <v>347</v>
      </c>
      <c r="CE175" t="s">
        <v>85</v>
      </c>
      <c r="CF175">
        <v>1</v>
      </c>
      <c r="CG175">
        <v>9240</v>
      </c>
      <c r="CH175">
        <v>277.2</v>
      </c>
      <c r="CI175" t="s">
        <v>881</v>
      </c>
      <c r="CJ175" s="1">
        <v>45961</v>
      </c>
      <c r="CK175" t="s">
        <v>95</v>
      </c>
      <c r="CL175" t="s">
        <v>119</v>
      </c>
      <c r="CN175" t="s">
        <v>96</v>
      </c>
      <c r="CO175" t="s">
        <v>882</v>
      </c>
      <c r="CP175">
        <v>1.7999999999999999E-2</v>
      </c>
      <c r="CQ175">
        <v>178971</v>
      </c>
      <c r="CR175" t="b">
        <v>0</v>
      </c>
      <c r="CT175">
        <v>0.03</v>
      </c>
    </row>
    <row r="176" spans="1:98">
      <c r="A176">
        <v>201</v>
      </c>
      <c r="B176" t="s">
        <v>961</v>
      </c>
      <c r="C176" t="s">
        <v>962</v>
      </c>
      <c r="D176" t="s">
        <v>81</v>
      </c>
      <c r="F176">
        <v>513206524</v>
      </c>
      <c r="G176" t="s">
        <v>963</v>
      </c>
      <c r="H176" t="s">
        <v>75</v>
      </c>
      <c r="I176">
        <v>2</v>
      </c>
      <c r="J176">
        <v>2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2</v>
      </c>
      <c r="Q176">
        <v>2</v>
      </c>
      <c r="R176">
        <v>440</v>
      </c>
      <c r="S176">
        <v>1</v>
      </c>
      <c r="T176">
        <v>440</v>
      </c>
      <c r="U176" t="s">
        <v>347</v>
      </c>
      <c r="W176">
        <v>0.32500000000000001</v>
      </c>
      <c r="X176">
        <v>143</v>
      </c>
      <c r="Y176" t="s">
        <v>85</v>
      </c>
      <c r="Z176" t="s">
        <v>360</v>
      </c>
      <c r="AA176" t="s">
        <v>879</v>
      </c>
      <c r="AB176" t="s">
        <v>880</v>
      </c>
      <c r="AG176">
        <v>0.65</v>
      </c>
      <c r="AH176">
        <v>143</v>
      </c>
      <c r="AI176">
        <v>440</v>
      </c>
      <c r="AJ176">
        <v>440</v>
      </c>
      <c r="AK176">
        <v>0</v>
      </c>
      <c r="AL176">
        <v>0</v>
      </c>
      <c r="AM176">
        <v>440</v>
      </c>
      <c r="AZ176">
        <f>SUM($AM176,$AN176:AO176)-SUM($BH176:BJ176)</f>
        <v>400</v>
      </c>
      <c r="BA176">
        <f>SUM($AM176,$AN176:AP176)-SUM($BH176:BK176)</f>
        <v>280</v>
      </c>
      <c r="BB176">
        <f>SUM($AM176,$AN176:AQ176)-SUM($BH176:BL176)</f>
        <v>280</v>
      </c>
      <c r="BC176">
        <f>SUM($AM176,$AN176:AR176)-SUM($BH176:BM176)</f>
        <v>280</v>
      </c>
      <c r="BD176">
        <f>SUM($AM176,$AN176:AS176)-SUM($BH176:BN176)</f>
        <v>280</v>
      </c>
      <c r="BI176">
        <f t="array" ref="BI176">SUMPRODUCT(TRANSPOSE(BI$4:BI$9),$K176:$P176)</f>
        <v>0</v>
      </c>
      <c r="BJ176">
        <f t="array" ref="BJ176">SUMPRODUCT(TRANSPOSE(BJ$4:BJ$9),$K176:$P176)</f>
        <v>40</v>
      </c>
      <c r="BK176">
        <f t="array" ref="BK176">SUMPRODUCT(TRANSPOSE(BK$4:BK$9),$K176:$P176)</f>
        <v>120</v>
      </c>
      <c r="BL176">
        <f t="array" ref="BL176">SUMPRODUCT(TRANSPOSE(BL$4:BL$9),$K176:$P176)</f>
        <v>0</v>
      </c>
      <c r="BM176">
        <f t="array" ref="BM176">SUMPRODUCT(TRANSPOSE(BM$4:BM$9),$K176:$P176)</f>
        <v>0</v>
      </c>
      <c r="BN176">
        <f t="array" ref="BN176">SUMPRODUCT(TRANSPOSE(BN$4:BN$9),$K176:$P176)</f>
        <v>0</v>
      </c>
      <c r="BO176" t="s">
        <v>347</v>
      </c>
      <c r="BS176" t="s">
        <v>259</v>
      </c>
      <c r="BU176">
        <v>0.33</v>
      </c>
      <c r="BW176" t="s">
        <v>259</v>
      </c>
      <c r="CA176" t="s">
        <v>177</v>
      </c>
      <c r="CB176" t="s">
        <v>360</v>
      </c>
      <c r="CC176" t="s">
        <v>962</v>
      </c>
      <c r="CD176" t="s">
        <v>347</v>
      </c>
      <c r="CE176" t="s">
        <v>85</v>
      </c>
      <c r="CF176">
        <v>1</v>
      </c>
      <c r="CG176">
        <v>440</v>
      </c>
      <c r="CH176">
        <v>145.19999999999999</v>
      </c>
      <c r="CI176" t="s">
        <v>881</v>
      </c>
      <c r="CJ176" s="1">
        <v>45961</v>
      </c>
      <c r="CK176" t="s">
        <v>95</v>
      </c>
      <c r="CL176" t="s">
        <v>119</v>
      </c>
      <c r="CN176" t="s">
        <v>96</v>
      </c>
      <c r="CO176" t="s">
        <v>882</v>
      </c>
      <c r="CP176">
        <v>0.32500000000000001</v>
      </c>
      <c r="CQ176">
        <v>2177</v>
      </c>
      <c r="CR176" t="b">
        <v>0</v>
      </c>
      <c r="CT176">
        <v>0.33</v>
      </c>
    </row>
    <row r="177" spans="1:99">
      <c r="A177">
        <v>202</v>
      </c>
      <c r="B177" t="s">
        <v>964</v>
      </c>
      <c r="C177" t="s">
        <v>965</v>
      </c>
      <c r="D177" t="s">
        <v>81</v>
      </c>
      <c r="E177" t="s">
        <v>966</v>
      </c>
      <c r="F177">
        <v>400022971</v>
      </c>
      <c r="G177" t="s">
        <v>967</v>
      </c>
      <c r="H177" t="s">
        <v>75</v>
      </c>
      <c r="I177">
        <v>2</v>
      </c>
      <c r="J177">
        <v>38</v>
      </c>
      <c r="K177">
        <v>0</v>
      </c>
      <c r="L177">
        <v>0</v>
      </c>
      <c r="M177">
        <v>0</v>
      </c>
      <c r="N177">
        <v>0</v>
      </c>
      <c r="O177">
        <v>38</v>
      </c>
      <c r="P177">
        <v>0</v>
      </c>
      <c r="Q177">
        <v>38</v>
      </c>
      <c r="R177">
        <v>8360</v>
      </c>
      <c r="S177">
        <v>3000</v>
      </c>
      <c r="T177">
        <v>9000</v>
      </c>
      <c r="U177" t="s">
        <v>380</v>
      </c>
      <c r="W177">
        <v>0.03</v>
      </c>
      <c r="X177">
        <v>270</v>
      </c>
      <c r="Y177" t="s">
        <v>85</v>
      </c>
      <c r="Z177" t="s">
        <v>86</v>
      </c>
      <c r="AA177" t="s">
        <v>87</v>
      </c>
      <c r="AB177" t="s">
        <v>88</v>
      </c>
      <c r="AC177" t="s">
        <v>89</v>
      </c>
      <c r="AG177">
        <v>0.06</v>
      </c>
      <c r="AH177">
        <v>270</v>
      </c>
      <c r="AI177">
        <v>8360</v>
      </c>
      <c r="AJ177">
        <v>9000</v>
      </c>
      <c r="AK177">
        <v>0</v>
      </c>
      <c r="AL177">
        <v>-640</v>
      </c>
      <c r="AM177">
        <v>9000</v>
      </c>
      <c r="AZ177">
        <f>SUM($AM177,$AN177:AO177)-SUM($BH177:BJ177)</f>
        <v>8240</v>
      </c>
      <c r="BA177">
        <f>SUM($AM177,$AN177:AP177)-SUM($BH177:BK177)</f>
        <v>5960</v>
      </c>
      <c r="BB177">
        <f>SUM($AM177,$AN177:AQ177)-SUM($BH177:BL177)</f>
        <v>5960</v>
      </c>
      <c r="BC177">
        <f>SUM($AM177,$AN177:AR177)-SUM($BH177:BM177)</f>
        <v>5960</v>
      </c>
      <c r="BD177">
        <f>SUM($AM177,$AN177:AS177)-SUM($BH177:BN177)</f>
        <v>5960</v>
      </c>
      <c r="BI177">
        <f t="array" ref="BI177">SUMPRODUCT(TRANSPOSE(BI$4:BI$9),$K177:$P177)</f>
        <v>0</v>
      </c>
      <c r="BJ177">
        <f t="array" ref="BJ177">SUMPRODUCT(TRANSPOSE(BJ$4:BJ$9),$K177:$P177)</f>
        <v>760</v>
      </c>
      <c r="BK177">
        <f t="array" ref="BK177">SUMPRODUCT(TRANSPOSE(BK$4:BK$9),$K177:$P177)</f>
        <v>2280</v>
      </c>
      <c r="BL177">
        <f t="array" ref="BL177">SUMPRODUCT(TRANSPOSE(BL$4:BL$9),$K177:$P177)</f>
        <v>0</v>
      </c>
      <c r="BM177">
        <f t="array" ref="BM177">SUMPRODUCT(TRANSPOSE(BM$4:BM$9),$K177:$P177)</f>
        <v>0</v>
      </c>
      <c r="BN177">
        <f t="array" ref="BN177">SUMPRODUCT(TRANSPOSE(BN$4:BN$9),$K177:$P177)</f>
        <v>0</v>
      </c>
      <c r="BO177" t="s">
        <v>380</v>
      </c>
      <c r="CA177" t="s">
        <v>177</v>
      </c>
      <c r="CB177" t="s">
        <v>86</v>
      </c>
      <c r="CC177" t="s">
        <v>965</v>
      </c>
      <c r="CD177" t="s">
        <v>380</v>
      </c>
      <c r="CE177" t="s">
        <v>85</v>
      </c>
      <c r="CF177">
        <v>1</v>
      </c>
      <c r="CG177">
        <v>9000</v>
      </c>
      <c r="CH177">
        <v>270</v>
      </c>
      <c r="CI177" t="s">
        <v>278</v>
      </c>
      <c r="CJ177" s="1">
        <v>45961</v>
      </c>
      <c r="CL177" t="s">
        <v>119</v>
      </c>
      <c r="CN177" t="s">
        <v>96</v>
      </c>
      <c r="CO177" t="s">
        <v>368</v>
      </c>
      <c r="CP177">
        <v>2.7216000000000001E-2</v>
      </c>
      <c r="CQ177">
        <v>45000</v>
      </c>
      <c r="CR177" t="b">
        <v>0</v>
      </c>
    </row>
    <row r="178" spans="1:99">
      <c r="A178">
        <v>204</v>
      </c>
      <c r="B178" t="s">
        <v>968</v>
      </c>
      <c r="C178" t="s">
        <v>969</v>
      </c>
      <c r="D178" t="s">
        <v>81</v>
      </c>
      <c r="F178">
        <v>409017834</v>
      </c>
      <c r="G178" t="s">
        <v>970</v>
      </c>
      <c r="H178" t="s">
        <v>75</v>
      </c>
      <c r="I178">
        <v>2</v>
      </c>
      <c r="J178">
        <v>8</v>
      </c>
      <c r="K178">
        <v>0</v>
      </c>
      <c r="L178">
        <v>0</v>
      </c>
      <c r="M178">
        <v>0</v>
      </c>
      <c r="N178">
        <v>0</v>
      </c>
      <c r="O178">
        <v>8</v>
      </c>
      <c r="P178">
        <v>0</v>
      </c>
      <c r="Q178">
        <v>8</v>
      </c>
      <c r="R178">
        <v>1760</v>
      </c>
      <c r="S178">
        <v>3000</v>
      </c>
      <c r="T178">
        <v>3000</v>
      </c>
      <c r="U178" t="s">
        <v>312</v>
      </c>
      <c r="W178">
        <v>0.46200000000000002</v>
      </c>
      <c r="X178">
        <v>1386</v>
      </c>
      <c r="Y178" t="s">
        <v>85</v>
      </c>
      <c r="Z178" t="s">
        <v>557</v>
      </c>
      <c r="AA178" t="s">
        <v>558</v>
      </c>
      <c r="AB178" t="s">
        <v>559</v>
      </c>
      <c r="AG178">
        <v>0.92400000000000004</v>
      </c>
      <c r="AH178">
        <v>1386</v>
      </c>
      <c r="AI178">
        <v>1760</v>
      </c>
      <c r="AJ178">
        <v>3000</v>
      </c>
      <c r="AK178">
        <v>0</v>
      </c>
      <c r="AL178">
        <v>-1240</v>
      </c>
      <c r="AM178">
        <v>3000</v>
      </c>
      <c r="AZ178">
        <f>SUM($AM178,$AN178:AO178)-SUM($BH178:BJ178)</f>
        <v>2840</v>
      </c>
      <c r="BA178">
        <f>SUM($AM178,$AN178:AP178)-SUM($BH178:BK178)</f>
        <v>2360</v>
      </c>
      <c r="BB178">
        <f>SUM($AM178,$AN178:AQ178)-SUM($BH178:BL178)</f>
        <v>2360</v>
      </c>
      <c r="BC178">
        <f>SUM($AM178,$AN178:AR178)-SUM($BH178:BM178)</f>
        <v>2360</v>
      </c>
      <c r="BD178">
        <f>SUM($AM178,$AN178:AS178)-SUM($BH178:BN178)</f>
        <v>2360</v>
      </c>
      <c r="BI178">
        <f t="array" ref="BI178">SUMPRODUCT(TRANSPOSE(BI$4:BI$9),$K178:$P178)</f>
        <v>0</v>
      </c>
      <c r="BJ178">
        <f t="array" ref="BJ178">SUMPRODUCT(TRANSPOSE(BJ$4:BJ$9),$K178:$P178)</f>
        <v>160</v>
      </c>
      <c r="BK178">
        <f t="array" ref="BK178">SUMPRODUCT(TRANSPOSE(BK$4:BK$9),$K178:$P178)</f>
        <v>480</v>
      </c>
      <c r="BL178">
        <f t="array" ref="BL178">SUMPRODUCT(TRANSPOSE(BL$4:BL$9),$K178:$P178)</f>
        <v>0</v>
      </c>
      <c r="BM178">
        <f t="array" ref="BM178">SUMPRODUCT(TRANSPOSE(BM$4:BM$9),$K178:$P178)</f>
        <v>0</v>
      </c>
      <c r="BN178">
        <f t="array" ref="BN178">SUMPRODUCT(TRANSPOSE(BN$4:BN$9),$K178:$P178)</f>
        <v>0</v>
      </c>
      <c r="CA178" t="s">
        <v>177</v>
      </c>
      <c r="CB178" t="s">
        <v>557</v>
      </c>
      <c r="CC178" t="s">
        <v>969</v>
      </c>
      <c r="CD178" t="s">
        <v>312</v>
      </c>
      <c r="CE178" t="s">
        <v>85</v>
      </c>
      <c r="CF178">
        <v>1</v>
      </c>
      <c r="CG178">
        <v>3000</v>
      </c>
      <c r="CH178">
        <v>1386</v>
      </c>
      <c r="CI178" t="s">
        <v>560</v>
      </c>
      <c r="CJ178" s="1">
        <v>45961</v>
      </c>
      <c r="CL178" t="s">
        <v>119</v>
      </c>
      <c r="CN178" t="s">
        <v>96</v>
      </c>
    </row>
    <row r="179" spans="1:99">
      <c r="A179">
        <v>215</v>
      </c>
      <c r="B179" t="s">
        <v>971</v>
      </c>
      <c r="C179" t="s">
        <v>972</v>
      </c>
      <c r="D179" t="s">
        <v>81</v>
      </c>
      <c r="F179">
        <v>400399198</v>
      </c>
      <c r="G179" t="s">
        <v>973</v>
      </c>
      <c r="H179" t="s">
        <v>75</v>
      </c>
      <c r="I179">
        <v>2</v>
      </c>
      <c r="J179">
        <v>8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8</v>
      </c>
      <c r="Q179">
        <v>8</v>
      </c>
      <c r="R179">
        <v>1760</v>
      </c>
      <c r="S179">
        <v>3000</v>
      </c>
      <c r="T179">
        <v>3000</v>
      </c>
      <c r="U179" t="s">
        <v>974</v>
      </c>
      <c r="W179">
        <v>6.8699999999999997E-2</v>
      </c>
      <c r="X179">
        <v>206.1</v>
      </c>
      <c r="Y179" t="s">
        <v>85</v>
      </c>
      <c r="Z179" t="s">
        <v>975</v>
      </c>
      <c r="AA179" t="s">
        <v>975</v>
      </c>
      <c r="AG179">
        <v>0.13739999999999999</v>
      </c>
      <c r="AH179">
        <v>206.1</v>
      </c>
      <c r="AI179">
        <v>1760</v>
      </c>
      <c r="AJ179">
        <v>3000</v>
      </c>
      <c r="AK179">
        <v>0</v>
      </c>
      <c r="AL179">
        <v>-1240</v>
      </c>
      <c r="AM179">
        <v>3000</v>
      </c>
      <c r="AZ179">
        <f>SUM($AM179,$AN179:AO179)-SUM($BH179:BJ179)</f>
        <v>2840</v>
      </c>
      <c r="BA179">
        <f>SUM($AM179,$AN179:AP179)-SUM($BH179:BK179)</f>
        <v>2360</v>
      </c>
      <c r="BB179">
        <f>SUM($AM179,$AN179:AQ179)-SUM($BH179:BL179)</f>
        <v>2360</v>
      </c>
      <c r="BC179">
        <f>SUM($AM179,$AN179:AR179)-SUM($BH179:BM179)</f>
        <v>2360</v>
      </c>
      <c r="BD179">
        <f>SUM($AM179,$AN179:AS179)-SUM($BH179:BN179)</f>
        <v>2360</v>
      </c>
      <c r="BI179">
        <f t="array" ref="BI179">SUMPRODUCT(TRANSPOSE(BI$4:BI$9),$K179:$P179)</f>
        <v>0</v>
      </c>
      <c r="BJ179">
        <f t="array" ref="BJ179">SUMPRODUCT(TRANSPOSE(BJ$4:BJ$9),$K179:$P179)</f>
        <v>160</v>
      </c>
      <c r="BK179">
        <f t="array" ref="BK179">SUMPRODUCT(TRANSPOSE(BK$4:BK$9),$K179:$P179)</f>
        <v>480</v>
      </c>
      <c r="BL179">
        <f t="array" ref="BL179">SUMPRODUCT(TRANSPOSE(BL$4:BL$9),$K179:$P179)</f>
        <v>0</v>
      </c>
      <c r="BM179">
        <f t="array" ref="BM179">SUMPRODUCT(TRANSPOSE(BM$4:BM$9),$K179:$P179)</f>
        <v>0</v>
      </c>
      <c r="BN179">
        <f t="array" ref="BN179">SUMPRODUCT(TRANSPOSE(BN$4:BN$9),$K179:$P179)</f>
        <v>0</v>
      </c>
      <c r="BO179" t="s">
        <v>974</v>
      </c>
      <c r="CA179" t="s">
        <v>177</v>
      </c>
      <c r="CB179" t="s">
        <v>975</v>
      </c>
      <c r="CC179" t="s">
        <v>972</v>
      </c>
      <c r="CD179" t="s">
        <v>974</v>
      </c>
      <c r="CE179" t="s">
        <v>85</v>
      </c>
      <c r="CF179">
        <v>1</v>
      </c>
      <c r="CG179">
        <v>3000</v>
      </c>
      <c r="CH179">
        <v>206.1</v>
      </c>
      <c r="CI179" t="s">
        <v>976</v>
      </c>
      <c r="CJ179" s="1">
        <v>45961</v>
      </c>
      <c r="CK179" t="s">
        <v>95</v>
      </c>
      <c r="CL179" t="s">
        <v>119</v>
      </c>
      <c r="CN179" t="s">
        <v>96</v>
      </c>
      <c r="CO179" t="s">
        <v>977</v>
      </c>
      <c r="CP179">
        <v>6.8699999999999997E-2</v>
      </c>
      <c r="CQ179">
        <v>9000</v>
      </c>
      <c r="CR179" t="b">
        <v>1</v>
      </c>
    </row>
    <row r="180" spans="1:99">
      <c r="A180">
        <v>223</v>
      </c>
      <c r="B180" t="s">
        <v>978</v>
      </c>
      <c r="C180" t="s">
        <v>979</v>
      </c>
      <c r="D180" t="s">
        <v>384</v>
      </c>
      <c r="F180">
        <v>400607645</v>
      </c>
      <c r="G180" t="s">
        <v>980</v>
      </c>
      <c r="H180" t="s">
        <v>75</v>
      </c>
      <c r="I180">
        <v>2</v>
      </c>
      <c r="J180">
        <v>31</v>
      </c>
      <c r="K180">
        <v>0</v>
      </c>
      <c r="L180">
        <v>0</v>
      </c>
      <c r="M180">
        <v>0</v>
      </c>
      <c r="N180">
        <v>0</v>
      </c>
      <c r="O180">
        <v>31</v>
      </c>
      <c r="P180">
        <v>0</v>
      </c>
      <c r="Q180">
        <v>31</v>
      </c>
      <c r="R180">
        <v>6820</v>
      </c>
      <c r="S180">
        <v>50</v>
      </c>
      <c r="T180">
        <v>6850</v>
      </c>
      <c r="U180" t="s">
        <v>981</v>
      </c>
      <c r="W180">
        <v>0.86</v>
      </c>
      <c r="X180">
        <v>5891</v>
      </c>
      <c r="Y180" t="s">
        <v>85</v>
      </c>
      <c r="Z180" t="s">
        <v>981</v>
      </c>
      <c r="AA180" t="s">
        <v>982</v>
      </c>
      <c r="AB180" t="s">
        <v>983</v>
      </c>
      <c r="AG180">
        <v>1.72</v>
      </c>
      <c r="AH180">
        <v>5891</v>
      </c>
      <c r="AI180">
        <v>6820</v>
      </c>
      <c r="AJ180">
        <v>6850</v>
      </c>
      <c r="AK180">
        <v>0</v>
      </c>
      <c r="AL180">
        <v>6200</v>
      </c>
      <c r="AM180">
        <v>620</v>
      </c>
      <c r="AZ180">
        <f>SUM($AM180,$AN180:AO180)-SUM($BH180:BJ180)</f>
        <v>0</v>
      </c>
      <c r="BA180">
        <f>SUM($AM180,$AN180:AP180)-SUM($BH180:BK180)</f>
        <v>-1860</v>
      </c>
      <c r="BB180">
        <f>SUM($AM180,$AN180:AQ180)-SUM($BH180:BL180)</f>
        <v>-1860</v>
      </c>
      <c r="BC180">
        <f>SUM($AM180,$AN180:AR180)-SUM($BH180:BM180)</f>
        <v>-1860</v>
      </c>
      <c r="BD180">
        <f>SUM($AM180,$AN180:AS180)-SUM($BH180:BN180)</f>
        <v>-1860</v>
      </c>
      <c r="BI180">
        <f t="array" ref="BI180">SUMPRODUCT(TRANSPOSE(BI$4:BI$9),$K180:$P180)</f>
        <v>0</v>
      </c>
      <c r="BJ180">
        <f t="array" ref="BJ180">SUMPRODUCT(TRANSPOSE(BJ$4:BJ$9),$K180:$P180)</f>
        <v>620</v>
      </c>
      <c r="BK180">
        <f t="array" ref="BK180">SUMPRODUCT(TRANSPOSE(BK$4:BK$9),$K180:$P180)</f>
        <v>1860</v>
      </c>
      <c r="BL180">
        <f t="array" ref="BL180">SUMPRODUCT(TRANSPOSE(BL$4:BL$9),$K180:$P180)</f>
        <v>0</v>
      </c>
      <c r="BM180">
        <f t="array" ref="BM180">SUMPRODUCT(TRANSPOSE(BM$4:BM$9),$K180:$P180)</f>
        <v>0</v>
      </c>
      <c r="BN180">
        <f t="array" ref="BN180">SUMPRODUCT(TRANSPOSE(BN$4:BN$9),$K180:$P180)</f>
        <v>0</v>
      </c>
      <c r="BO180" t="s">
        <v>981</v>
      </c>
      <c r="BS180" t="s">
        <v>984</v>
      </c>
      <c r="BT180" t="s">
        <v>984</v>
      </c>
      <c r="BY180" t="s">
        <v>441</v>
      </c>
      <c r="CA180" t="s">
        <v>440</v>
      </c>
      <c r="CB180" t="s">
        <v>440</v>
      </c>
      <c r="CC180" t="s">
        <v>979</v>
      </c>
      <c r="CD180" t="s">
        <v>981</v>
      </c>
      <c r="CE180" t="s">
        <v>85</v>
      </c>
      <c r="CF180">
        <v>1</v>
      </c>
      <c r="CG180">
        <v>6850</v>
      </c>
      <c r="CH180">
        <v>5891</v>
      </c>
      <c r="CI180" t="s">
        <v>985</v>
      </c>
      <c r="CJ180" s="1">
        <v>45961</v>
      </c>
      <c r="CK180" t="s">
        <v>304</v>
      </c>
      <c r="CM180" s="2">
        <v>0</v>
      </c>
      <c r="CN180" s="1">
        <v>10</v>
      </c>
      <c r="CO180" t="s">
        <v>986</v>
      </c>
      <c r="CP180">
        <v>0.86</v>
      </c>
      <c r="CQ180">
        <v>34150</v>
      </c>
      <c r="CR180" t="b">
        <v>1</v>
      </c>
      <c r="CS180" t="s">
        <v>984</v>
      </c>
    </row>
    <row r="181" spans="1:99">
      <c r="A181">
        <v>205</v>
      </c>
      <c r="B181" t="s">
        <v>987</v>
      </c>
      <c r="C181" t="s">
        <v>988</v>
      </c>
      <c r="D181" t="s">
        <v>81</v>
      </c>
      <c r="F181">
        <v>400157870</v>
      </c>
      <c r="G181" t="s">
        <v>989</v>
      </c>
      <c r="H181" t="s">
        <v>75</v>
      </c>
      <c r="I181">
        <v>2</v>
      </c>
      <c r="J181">
        <v>32</v>
      </c>
      <c r="K181">
        <v>0</v>
      </c>
      <c r="L181">
        <v>0</v>
      </c>
      <c r="M181">
        <v>0</v>
      </c>
      <c r="N181">
        <v>0</v>
      </c>
      <c r="O181">
        <v>32</v>
      </c>
      <c r="P181">
        <v>0</v>
      </c>
      <c r="Q181">
        <v>32</v>
      </c>
      <c r="R181">
        <v>7040</v>
      </c>
      <c r="S181">
        <v>12000</v>
      </c>
      <c r="T181">
        <v>12000</v>
      </c>
      <c r="U181" t="s">
        <v>380</v>
      </c>
      <c r="W181">
        <v>0.318</v>
      </c>
      <c r="X181">
        <v>3816</v>
      </c>
      <c r="Y181" t="s">
        <v>85</v>
      </c>
      <c r="Z181" t="s">
        <v>341</v>
      </c>
      <c r="AA181" t="s">
        <v>542</v>
      </c>
      <c r="AB181" t="s">
        <v>543</v>
      </c>
      <c r="AG181">
        <v>0.63600000000000001</v>
      </c>
      <c r="AH181">
        <v>3816</v>
      </c>
      <c r="AI181">
        <v>7040</v>
      </c>
      <c r="AJ181">
        <v>12000</v>
      </c>
      <c r="AK181">
        <v>0</v>
      </c>
      <c r="AL181">
        <v>-4960</v>
      </c>
      <c r="AM181">
        <v>12000</v>
      </c>
      <c r="AZ181">
        <f>SUM($AM181,$AN181:AO181)-SUM($BH181:BJ181)</f>
        <v>11360</v>
      </c>
      <c r="BA181">
        <f>SUM($AM181,$AN181:AP181)-SUM($BH181:BK181)</f>
        <v>9440</v>
      </c>
      <c r="BB181">
        <f>SUM($AM181,$AN181:AQ181)-SUM($BH181:BL181)</f>
        <v>9440</v>
      </c>
      <c r="BC181">
        <f>SUM($AM181,$AN181:AR181)-SUM($BH181:BM181)</f>
        <v>9440</v>
      </c>
      <c r="BD181">
        <f>SUM($AM181,$AN181:AS181)-SUM($BH181:BN181)</f>
        <v>9440</v>
      </c>
      <c r="BI181">
        <f t="array" ref="BI181">SUMPRODUCT(TRANSPOSE(BI$4:BI$9),$K181:$P181)</f>
        <v>0</v>
      </c>
      <c r="BJ181">
        <f t="array" ref="BJ181">SUMPRODUCT(TRANSPOSE(BJ$4:BJ$9),$K181:$P181)</f>
        <v>640</v>
      </c>
      <c r="BK181">
        <f t="array" ref="BK181">SUMPRODUCT(TRANSPOSE(BK$4:BK$9),$K181:$P181)</f>
        <v>1920</v>
      </c>
      <c r="BL181">
        <f t="array" ref="BL181">SUMPRODUCT(TRANSPOSE(BL$4:BL$9),$K181:$P181)</f>
        <v>0</v>
      </c>
      <c r="BM181">
        <f t="array" ref="BM181">SUMPRODUCT(TRANSPOSE(BM$4:BM$9),$K181:$P181)</f>
        <v>0</v>
      </c>
      <c r="BN181">
        <f t="array" ref="BN181">SUMPRODUCT(TRANSPOSE(BN$4:BN$9),$K181:$P181)</f>
        <v>0</v>
      </c>
      <c r="BO181" t="s">
        <v>990</v>
      </c>
      <c r="CA181" t="s">
        <v>177</v>
      </c>
      <c r="CB181" t="s">
        <v>341</v>
      </c>
      <c r="CC181" t="s">
        <v>988</v>
      </c>
      <c r="CD181" t="s">
        <v>380</v>
      </c>
      <c r="CE181" t="s">
        <v>85</v>
      </c>
      <c r="CF181">
        <v>1</v>
      </c>
      <c r="CG181">
        <v>12000</v>
      </c>
      <c r="CH181">
        <v>3816</v>
      </c>
      <c r="CI181" t="s">
        <v>854</v>
      </c>
      <c r="CJ181" s="1">
        <v>45964</v>
      </c>
      <c r="CL181" t="s">
        <v>119</v>
      </c>
      <c r="CN181" t="s">
        <v>96</v>
      </c>
      <c r="CO181" t="s">
        <v>546</v>
      </c>
      <c r="CP181">
        <v>0.318</v>
      </c>
      <c r="CQ181">
        <v>20000</v>
      </c>
      <c r="CR181" t="b">
        <v>1</v>
      </c>
    </row>
    <row r="182" spans="1:99">
      <c r="A182">
        <v>226</v>
      </c>
      <c r="B182" t="s">
        <v>991</v>
      </c>
      <c r="C182" t="s">
        <v>992</v>
      </c>
      <c r="D182" t="s">
        <v>81</v>
      </c>
      <c r="F182">
        <v>409729294</v>
      </c>
      <c r="G182" t="s">
        <v>993</v>
      </c>
      <c r="H182" t="s">
        <v>75</v>
      </c>
      <c r="I182">
        <v>2</v>
      </c>
      <c r="J182">
        <v>32</v>
      </c>
      <c r="K182">
        <v>0</v>
      </c>
      <c r="L182">
        <v>0</v>
      </c>
      <c r="M182">
        <v>0</v>
      </c>
      <c r="N182">
        <v>0</v>
      </c>
      <c r="O182">
        <v>32</v>
      </c>
      <c r="P182">
        <v>0</v>
      </c>
      <c r="Q182">
        <v>32</v>
      </c>
      <c r="R182">
        <v>7040</v>
      </c>
      <c r="S182">
        <v>3000</v>
      </c>
      <c r="T182">
        <v>9000</v>
      </c>
      <c r="U182" t="s">
        <v>994</v>
      </c>
      <c r="W182">
        <v>0.66600000000000004</v>
      </c>
      <c r="X182">
        <v>5994</v>
      </c>
      <c r="Y182" t="s">
        <v>85</v>
      </c>
      <c r="Z182" t="s">
        <v>86</v>
      </c>
      <c r="AA182" t="s">
        <v>87</v>
      </c>
      <c r="AB182" t="s">
        <v>88</v>
      </c>
      <c r="AC182" t="s">
        <v>89</v>
      </c>
      <c r="AG182">
        <v>1.34</v>
      </c>
      <c r="AH182">
        <v>6030</v>
      </c>
      <c r="AI182">
        <v>7040</v>
      </c>
      <c r="AJ182">
        <v>9000</v>
      </c>
      <c r="AK182">
        <v>0</v>
      </c>
      <c r="AL182">
        <v>-1960</v>
      </c>
      <c r="AM182">
        <v>9000</v>
      </c>
      <c r="AZ182">
        <f>SUM($AM182,$AN182:AO182)-SUM($BH182:BJ182)</f>
        <v>8360</v>
      </c>
      <c r="BA182">
        <f>SUM($AM182,$AN182:AP182)-SUM($BH182:BK182)</f>
        <v>6440</v>
      </c>
      <c r="BB182">
        <f>SUM($AM182,$AN182:AQ182)-SUM($BH182:BL182)</f>
        <v>6440</v>
      </c>
      <c r="BC182">
        <f>SUM($AM182,$AN182:AR182)-SUM($BH182:BM182)</f>
        <v>6440</v>
      </c>
      <c r="BD182">
        <f>SUM($AM182,$AN182:AS182)-SUM($BH182:BN182)</f>
        <v>6440</v>
      </c>
      <c r="BI182">
        <f t="array" ref="BI182">SUMPRODUCT(TRANSPOSE(BI$4:BI$9),$K182:$P182)</f>
        <v>0</v>
      </c>
      <c r="BJ182">
        <f t="array" ref="BJ182">SUMPRODUCT(TRANSPOSE(BJ$4:BJ$9),$K182:$P182)</f>
        <v>640</v>
      </c>
      <c r="BK182">
        <f t="array" ref="BK182">SUMPRODUCT(TRANSPOSE(BK$4:BK$9),$K182:$P182)</f>
        <v>1920</v>
      </c>
      <c r="BL182">
        <f t="array" ref="BL182">SUMPRODUCT(TRANSPOSE(BL$4:BL$9),$K182:$P182)</f>
        <v>0</v>
      </c>
      <c r="BM182">
        <f t="array" ref="BM182">SUMPRODUCT(TRANSPOSE(BM$4:BM$9),$K182:$P182)</f>
        <v>0</v>
      </c>
      <c r="BN182">
        <f t="array" ref="BN182">SUMPRODUCT(TRANSPOSE(BN$4:BN$9),$K182:$P182)</f>
        <v>0</v>
      </c>
      <c r="BO182" t="s">
        <v>994</v>
      </c>
      <c r="BU182" t="s">
        <v>995</v>
      </c>
      <c r="BW182" t="s">
        <v>995</v>
      </c>
      <c r="CA182" t="s">
        <v>92</v>
      </c>
      <c r="CB182" t="s">
        <v>86</v>
      </c>
      <c r="CC182" t="s">
        <v>992</v>
      </c>
      <c r="CD182" t="s">
        <v>994</v>
      </c>
      <c r="CE182" t="s">
        <v>85</v>
      </c>
      <c r="CF182">
        <v>1</v>
      </c>
      <c r="CG182">
        <v>9000</v>
      </c>
      <c r="CH182">
        <v>5994</v>
      </c>
      <c r="CI182" t="s">
        <v>278</v>
      </c>
      <c r="CJ182" s="1">
        <v>45961</v>
      </c>
      <c r="CL182" t="s">
        <v>119</v>
      </c>
      <c r="CN182" t="s">
        <v>96</v>
      </c>
      <c r="CO182" t="s">
        <v>509</v>
      </c>
      <c r="CP182">
        <v>0.67</v>
      </c>
      <c r="CQ182">
        <v>21000</v>
      </c>
      <c r="CR182" t="b">
        <v>0</v>
      </c>
      <c r="CU182" t="s">
        <v>995</v>
      </c>
    </row>
    <row r="183" spans="1:99">
      <c r="A183">
        <v>227</v>
      </c>
      <c r="B183" t="s">
        <v>996</v>
      </c>
      <c r="C183" t="s">
        <v>997</v>
      </c>
      <c r="D183" t="s">
        <v>81</v>
      </c>
      <c r="E183" t="s">
        <v>998</v>
      </c>
      <c r="F183">
        <v>400620323</v>
      </c>
      <c r="G183" t="s">
        <v>999</v>
      </c>
      <c r="H183" t="s">
        <v>75</v>
      </c>
      <c r="I183">
        <v>2</v>
      </c>
      <c r="J183">
        <v>1</v>
      </c>
      <c r="K183">
        <v>0</v>
      </c>
      <c r="L183">
        <v>0</v>
      </c>
      <c r="M183">
        <v>0</v>
      </c>
      <c r="N183">
        <v>0</v>
      </c>
      <c r="O183">
        <v>1</v>
      </c>
      <c r="P183">
        <v>0</v>
      </c>
      <c r="Q183">
        <v>1</v>
      </c>
      <c r="R183">
        <v>220</v>
      </c>
      <c r="S183">
        <v>750</v>
      </c>
      <c r="T183">
        <v>750</v>
      </c>
      <c r="U183" t="s">
        <v>1000</v>
      </c>
      <c r="W183">
        <v>7.0999999999999994E-2</v>
      </c>
      <c r="X183">
        <v>53.249999999999993</v>
      </c>
      <c r="Y183" t="s">
        <v>85</v>
      </c>
      <c r="Z183" t="s">
        <v>341</v>
      </c>
      <c r="AA183" t="s">
        <v>542</v>
      </c>
      <c r="AB183" t="s">
        <v>543</v>
      </c>
      <c r="AG183">
        <v>0.16400000000000001</v>
      </c>
      <c r="AH183">
        <v>61.5</v>
      </c>
      <c r="AI183">
        <v>220</v>
      </c>
      <c r="AJ183">
        <v>750</v>
      </c>
      <c r="AK183">
        <v>0</v>
      </c>
      <c r="AL183">
        <v>-530</v>
      </c>
      <c r="AM183">
        <v>750</v>
      </c>
      <c r="AZ183">
        <f>SUM($AM183,$AN183:AO183)-SUM($BH183:BJ183)</f>
        <v>730</v>
      </c>
      <c r="BA183">
        <f>SUM($AM183,$AN183:AP183)-SUM($BH183:BK183)</f>
        <v>670</v>
      </c>
      <c r="BB183">
        <f>SUM($AM183,$AN183:AQ183)-SUM($BH183:BL183)</f>
        <v>670</v>
      </c>
      <c r="BC183">
        <f>SUM($AM183,$AN183:AR183)-SUM($BH183:BM183)</f>
        <v>670</v>
      </c>
      <c r="BD183">
        <f>SUM($AM183,$AN183:AS183)-SUM($BH183:BN183)</f>
        <v>670</v>
      </c>
      <c r="BI183">
        <f t="array" ref="BI183">SUMPRODUCT(TRANSPOSE(BI$4:BI$9),$K183:$P183)</f>
        <v>0</v>
      </c>
      <c r="BJ183">
        <f t="array" ref="BJ183">SUMPRODUCT(TRANSPOSE(BJ$4:BJ$9),$K183:$P183)</f>
        <v>20</v>
      </c>
      <c r="BK183">
        <f t="array" ref="BK183">SUMPRODUCT(TRANSPOSE(BK$4:BK$9),$K183:$P183)</f>
        <v>60</v>
      </c>
      <c r="BL183">
        <f t="array" ref="BL183">SUMPRODUCT(TRANSPOSE(BL$4:BL$9),$K183:$P183)</f>
        <v>0</v>
      </c>
      <c r="BM183">
        <f t="array" ref="BM183">SUMPRODUCT(TRANSPOSE(BM$4:BM$9),$K183:$P183)</f>
        <v>0</v>
      </c>
      <c r="BN183">
        <f t="array" ref="BN183">SUMPRODUCT(TRANSPOSE(BN$4:BN$9),$K183:$P183)</f>
        <v>0</v>
      </c>
      <c r="BO183" t="s">
        <v>652</v>
      </c>
      <c r="CA183" t="s">
        <v>177</v>
      </c>
      <c r="CB183" t="s">
        <v>341</v>
      </c>
      <c r="CC183" t="s">
        <v>997</v>
      </c>
      <c r="CD183" t="s">
        <v>1000</v>
      </c>
      <c r="CE183" t="s">
        <v>85</v>
      </c>
      <c r="CF183">
        <v>1</v>
      </c>
      <c r="CG183">
        <v>750</v>
      </c>
      <c r="CH183">
        <v>53.249999999999993</v>
      </c>
      <c r="CI183" t="s">
        <v>854</v>
      </c>
      <c r="CJ183" s="1">
        <v>45964</v>
      </c>
      <c r="CL183" t="s">
        <v>119</v>
      </c>
      <c r="CN183" t="s">
        <v>96</v>
      </c>
      <c r="CO183" t="s">
        <v>546</v>
      </c>
      <c r="CP183">
        <v>8.2000000000000003E-2</v>
      </c>
      <c r="CQ183">
        <v>539</v>
      </c>
      <c r="CR183" t="b">
        <v>0</v>
      </c>
    </row>
    <row r="184" spans="1:99">
      <c r="A184">
        <v>228</v>
      </c>
      <c r="B184" t="s">
        <v>1001</v>
      </c>
      <c r="C184" t="s">
        <v>1002</v>
      </c>
      <c r="D184" t="s">
        <v>81</v>
      </c>
      <c r="F184">
        <v>421483326</v>
      </c>
      <c r="G184" t="s">
        <v>1003</v>
      </c>
      <c r="H184" t="s">
        <v>75</v>
      </c>
      <c r="I184">
        <v>2</v>
      </c>
      <c r="J184">
        <v>1</v>
      </c>
      <c r="K184">
        <v>0</v>
      </c>
      <c r="L184">
        <v>0</v>
      </c>
      <c r="M184">
        <v>0</v>
      </c>
      <c r="N184">
        <v>0</v>
      </c>
      <c r="O184">
        <v>1</v>
      </c>
      <c r="P184">
        <v>0</v>
      </c>
      <c r="Q184">
        <v>1</v>
      </c>
      <c r="R184">
        <v>220</v>
      </c>
      <c r="S184">
        <v>750</v>
      </c>
      <c r="T184">
        <v>750</v>
      </c>
      <c r="U184" t="s">
        <v>1000</v>
      </c>
      <c r="W184">
        <v>0.08</v>
      </c>
      <c r="X184">
        <v>60</v>
      </c>
      <c r="Y184" t="s">
        <v>85</v>
      </c>
      <c r="Z184" t="s">
        <v>86</v>
      </c>
      <c r="AA184" t="s">
        <v>87</v>
      </c>
      <c r="AB184" t="s">
        <v>88</v>
      </c>
      <c r="AC184" t="s">
        <v>89</v>
      </c>
      <c r="AG184">
        <v>0.1</v>
      </c>
      <c r="AH184">
        <v>37.5</v>
      </c>
      <c r="AI184">
        <v>220</v>
      </c>
      <c r="AJ184">
        <v>750</v>
      </c>
      <c r="AK184">
        <v>0</v>
      </c>
      <c r="AL184">
        <v>-530</v>
      </c>
      <c r="AM184">
        <v>750</v>
      </c>
      <c r="AZ184">
        <f>SUM($AM184,$AN184:AO184)-SUM($BH184:BJ184)</f>
        <v>730</v>
      </c>
      <c r="BA184">
        <f>SUM($AM184,$AN184:AP184)-SUM($BH184:BK184)</f>
        <v>670</v>
      </c>
      <c r="BB184">
        <f>SUM($AM184,$AN184:AQ184)-SUM($BH184:BL184)</f>
        <v>670</v>
      </c>
      <c r="BC184">
        <f>SUM($AM184,$AN184:AR184)-SUM($BH184:BM184)</f>
        <v>670</v>
      </c>
      <c r="BD184">
        <f>SUM($AM184,$AN184:AS184)-SUM($BH184:BN184)</f>
        <v>670</v>
      </c>
      <c r="BI184">
        <f t="array" ref="BI184">SUMPRODUCT(TRANSPOSE(BI$4:BI$9),$K184:$P184)</f>
        <v>0</v>
      </c>
      <c r="BJ184">
        <f t="array" ref="BJ184">SUMPRODUCT(TRANSPOSE(BJ$4:BJ$9),$K184:$P184)</f>
        <v>20</v>
      </c>
      <c r="BK184">
        <f t="array" ref="BK184">SUMPRODUCT(TRANSPOSE(BK$4:BK$9),$K184:$P184)</f>
        <v>60</v>
      </c>
      <c r="BL184">
        <f t="array" ref="BL184">SUMPRODUCT(TRANSPOSE(BL$4:BL$9),$K184:$P184)</f>
        <v>0</v>
      </c>
      <c r="BM184">
        <f t="array" ref="BM184">SUMPRODUCT(TRANSPOSE(BM$4:BM$9),$K184:$P184)</f>
        <v>0</v>
      </c>
      <c r="BN184">
        <f t="array" ref="BN184">SUMPRODUCT(TRANSPOSE(BN$4:BN$9),$K184:$P184)</f>
        <v>0</v>
      </c>
      <c r="CA184" t="s">
        <v>177</v>
      </c>
      <c r="CB184" t="s">
        <v>86</v>
      </c>
      <c r="CC184" t="s">
        <v>1002</v>
      </c>
      <c r="CD184" t="s">
        <v>1000</v>
      </c>
      <c r="CE184" t="s">
        <v>85</v>
      </c>
      <c r="CF184">
        <v>1</v>
      </c>
      <c r="CG184">
        <v>750</v>
      </c>
      <c r="CH184">
        <v>60</v>
      </c>
      <c r="CI184" t="s">
        <v>278</v>
      </c>
      <c r="CJ184" s="1">
        <v>45961</v>
      </c>
      <c r="CL184" t="s">
        <v>119</v>
      </c>
      <c r="CN184" t="s">
        <v>96</v>
      </c>
    </row>
    <row r="185" spans="1:99">
      <c r="A185">
        <v>229</v>
      </c>
      <c r="B185" t="s">
        <v>1004</v>
      </c>
      <c r="C185" t="s">
        <v>1005</v>
      </c>
      <c r="D185" t="s">
        <v>81</v>
      </c>
      <c r="E185" t="s">
        <v>1006</v>
      </c>
      <c r="F185">
        <v>401480774</v>
      </c>
      <c r="G185" t="s">
        <v>1007</v>
      </c>
      <c r="H185" t="s">
        <v>75</v>
      </c>
      <c r="I185">
        <v>2</v>
      </c>
      <c r="J185">
        <v>2</v>
      </c>
      <c r="K185">
        <v>0</v>
      </c>
      <c r="L185">
        <v>0</v>
      </c>
      <c r="M185">
        <v>0</v>
      </c>
      <c r="N185">
        <v>0</v>
      </c>
      <c r="O185">
        <v>2</v>
      </c>
      <c r="P185">
        <v>0</v>
      </c>
      <c r="Q185">
        <v>2</v>
      </c>
      <c r="R185">
        <v>440</v>
      </c>
      <c r="S185">
        <v>750</v>
      </c>
      <c r="T185">
        <v>750</v>
      </c>
      <c r="U185" t="s">
        <v>1000</v>
      </c>
      <c r="W185">
        <v>7.0999999999999994E-2</v>
      </c>
      <c r="X185">
        <v>53.249999999999993</v>
      </c>
      <c r="Y185" t="s">
        <v>85</v>
      </c>
      <c r="Z185" t="s">
        <v>341</v>
      </c>
      <c r="AA185" t="s">
        <v>542</v>
      </c>
      <c r="AB185" t="s">
        <v>543</v>
      </c>
      <c r="AG185">
        <v>0.13200000000000001</v>
      </c>
      <c r="AH185">
        <v>49.5</v>
      </c>
      <c r="AI185">
        <v>440</v>
      </c>
      <c r="AJ185">
        <v>750</v>
      </c>
      <c r="AK185">
        <v>0</v>
      </c>
      <c r="AL185">
        <v>-310</v>
      </c>
      <c r="AM185">
        <v>750</v>
      </c>
      <c r="AZ185">
        <f>SUM($AM185,$AN185:AO185)-SUM($BH185:BJ185)</f>
        <v>710</v>
      </c>
      <c r="BA185">
        <f>SUM($AM185,$AN185:AP185)-SUM($BH185:BK185)</f>
        <v>590</v>
      </c>
      <c r="BB185">
        <f>SUM($AM185,$AN185:AQ185)-SUM($BH185:BL185)</f>
        <v>590</v>
      </c>
      <c r="BC185">
        <f>SUM($AM185,$AN185:AR185)-SUM($BH185:BM185)</f>
        <v>590</v>
      </c>
      <c r="BD185">
        <f>SUM($AM185,$AN185:AS185)-SUM($BH185:BN185)</f>
        <v>590</v>
      </c>
      <c r="BI185">
        <f t="array" ref="BI185">SUMPRODUCT(TRANSPOSE(BI$4:BI$9),$K185:$P185)</f>
        <v>0</v>
      </c>
      <c r="BJ185">
        <f t="array" ref="BJ185">SUMPRODUCT(TRANSPOSE(BJ$4:BJ$9),$K185:$P185)</f>
        <v>40</v>
      </c>
      <c r="BK185">
        <f t="array" ref="BK185">SUMPRODUCT(TRANSPOSE(BK$4:BK$9),$K185:$P185)</f>
        <v>120</v>
      </c>
      <c r="BL185">
        <f t="array" ref="BL185">SUMPRODUCT(TRANSPOSE(BL$4:BL$9),$K185:$P185)</f>
        <v>0</v>
      </c>
      <c r="BM185">
        <f t="array" ref="BM185">SUMPRODUCT(TRANSPOSE(BM$4:BM$9),$K185:$P185)</f>
        <v>0</v>
      </c>
      <c r="BN185">
        <f t="array" ref="BN185">SUMPRODUCT(TRANSPOSE(BN$4:BN$9),$K185:$P185)</f>
        <v>0</v>
      </c>
      <c r="BO185" t="s">
        <v>1000</v>
      </c>
      <c r="CA185" t="s">
        <v>177</v>
      </c>
      <c r="CB185" t="s">
        <v>341</v>
      </c>
      <c r="CC185" t="s">
        <v>1005</v>
      </c>
      <c r="CD185" t="s">
        <v>1000</v>
      </c>
      <c r="CE185" t="s">
        <v>85</v>
      </c>
      <c r="CF185">
        <v>1</v>
      </c>
      <c r="CG185">
        <v>750</v>
      </c>
      <c r="CH185">
        <v>53.249999999999993</v>
      </c>
      <c r="CI185" t="s">
        <v>854</v>
      </c>
      <c r="CJ185" s="1">
        <v>45964</v>
      </c>
      <c r="CL185" t="s">
        <v>119</v>
      </c>
      <c r="CN185" t="s">
        <v>96</v>
      </c>
      <c r="CO185" t="s">
        <v>509</v>
      </c>
      <c r="CP185">
        <v>6.6000000000000003E-2</v>
      </c>
      <c r="CQ185">
        <v>3750</v>
      </c>
      <c r="CR185" t="b">
        <v>0</v>
      </c>
    </row>
    <row r="186" spans="1:99">
      <c r="A186">
        <v>224</v>
      </c>
      <c r="B186" t="s">
        <v>1008</v>
      </c>
      <c r="C186" t="s">
        <v>1009</v>
      </c>
      <c r="D186" t="s">
        <v>81</v>
      </c>
      <c r="F186">
        <v>400237666</v>
      </c>
      <c r="G186" t="s">
        <v>1010</v>
      </c>
      <c r="H186" t="s">
        <v>75</v>
      </c>
      <c r="I186">
        <v>2</v>
      </c>
      <c r="J186">
        <v>2</v>
      </c>
      <c r="K186">
        <v>0</v>
      </c>
      <c r="L186">
        <v>0</v>
      </c>
      <c r="M186">
        <v>0</v>
      </c>
      <c r="N186">
        <v>0</v>
      </c>
      <c r="O186">
        <v>2</v>
      </c>
      <c r="P186">
        <v>0</v>
      </c>
      <c r="Q186">
        <v>2</v>
      </c>
      <c r="R186">
        <v>440</v>
      </c>
      <c r="S186">
        <v>200</v>
      </c>
      <c r="T186">
        <v>600</v>
      </c>
      <c r="U186" t="s">
        <v>372</v>
      </c>
      <c r="W186">
        <v>9.64</v>
      </c>
      <c r="X186">
        <v>5784</v>
      </c>
      <c r="Y186" t="s">
        <v>85</v>
      </c>
      <c r="Z186" t="s">
        <v>372</v>
      </c>
      <c r="AA186" t="s">
        <v>1011</v>
      </c>
      <c r="AB186" t="s">
        <v>1012</v>
      </c>
      <c r="AG186">
        <v>19.28</v>
      </c>
      <c r="AH186">
        <v>5784</v>
      </c>
      <c r="AI186">
        <v>440</v>
      </c>
      <c r="AJ186">
        <v>600</v>
      </c>
      <c r="AK186">
        <v>0</v>
      </c>
      <c r="AL186">
        <v>-160</v>
      </c>
      <c r="AM186">
        <v>600</v>
      </c>
      <c r="AZ186">
        <f>SUM($AM186,$AN186:AO186)-SUM($BH186:BJ186)</f>
        <v>560</v>
      </c>
      <c r="BA186">
        <f>SUM($AM186,$AN186:AP186)-SUM($BH186:BK186)</f>
        <v>440</v>
      </c>
      <c r="BB186">
        <f>SUM($AM186,$AN186:AQ186)-SUM($BH186:BL186)</f>
        <v>440</v>
      </c>
      <c r="BC186">
        <f>SUM($AM186,$AN186:AR186)-SUM($BH186:BM186)</f>
        <v>440</v>
      </c>
      <c r="BD186">
        <f>SUM($AM186,$AN186:AS186)-SUM($BH186:BN186)</f>
        <v>440</v>
      </c>
      <c r="BI186">
        <f t="array" ref="BI186">SUMPRODUCT(TRANSPOSE(BI$4:BI$9),$K186:$P186)</f>
        <v>0</v>
      </c>
      <c r="BJ186">
        <f t="array" ref="BJ186">SUMPRODUCT(TRANSPOSE(BJ$4:BJ$9),$K186:$P186)</f>
        <v>40</v>
      </c>
      <c r="BK186">
        <f t="array" ref="BK186">SUMPRODUCT(TRANSPOSE(BK$4:BK$9),$K186:$P186)</f>
        <v>120</v>
      </c>
      <c r="BL186">
        <f t="array" ref="BL186">SUMPRODUCT(TRANSPOSE(BL$4:BL$9),$K186:$P186)</f>
        <v>0</v>
      </c>
      <c r="BM186">
        <f t="array" ref="BM186">SUMPRODUCT(TRANSPOSE(BM$4:BM$9),$K186:$P186)</f>
        <v>0</v>
      </c>
      <c r="BN186">
        <f t="array" ref="BN186">SUMPRODUCT(TRANSPOSE(BN$4:BN$9),$K186:$P186)</f>
        <v>0</v>
      </c>
      <c r="BO186" t="s">
        <v>372</v>
      </c>
      <c r="CA186" t="s">
        <v>92</v>
      </c>
      <c r="CB186" t="s">
        <v>372</v>
      </c>
      <c r="CC186" t="s">
        <v>1009</v>
      </c>
      <c r="CD186" t="s">
        <v>372</v>
      </c>
      <c r="CE186" t="s">
        <v>85</v>
      </c>
      <c r="CF186">
        <v>1</v>
      </c>
      <c r="CG186">
        <v>600</v>
      </c>
      <c r="CH186">
        <v>5784</v>
      </c>
      <c r="CI186" t="s">
        <v>375</v>
      </c>
      <c r="CJ186" s="1">
        <v>45961</v>
      </c>
      <c r="CL186" t="s">
        <v>119</v>
      </c>
      <c r="CN186" t="s">
        <v>96</v>
      </c>
      <c r="CO186" t="s">
        <v>372</v>
      </c>
      <c r="CP186">
        <v>9.64</v>
      </c>
      <c r="CQ186">
        <v>2200</v>
      </c>
      <c r="CR186" t="b">
        <v>1</v>
      </c>
    </row>
    <row r="187" spans="1:99">
      <c r="A187">
        <v>233</v>
      </c>
      <c r="B187" t="s">
        <v>1013</v>
      </c>
      <c r="C187" t="s">
        <v>1014</v>
      </c>
      <c r="D187" t="s">
        <v>81</v>
      </c>
      <c r="F187">
        <v>420905006</v>
      </c>
      <c r="G187" t="s">
        <v>1015</v>
      </c>
      <c r="H187" t="s">
        <v>75</v>
      </c>
      <c r="I187">
        <v>2</v>
      </c>
      <c r="J187">
        <v>34</v>
      </c>
      <c r="K187">
        <v>0</v>
      </c>
      <c r="L187">
        <v>0</v>
      </c>
      <c r="M187">
        <v>0</v>
      </c>
      <c r="N187">
        <v>0</v>
      </c>
      <c r="O187">
        <v>34</v>
      </c>
      <c r="P187">
        <v>0</v>
      </c>
      <c r="Q187">
        <v>34</v>
      </c>
      <c r="R187">
        <v>7480</v>
      </c>
      <c r="S187">
        <v>250</v>
      </c>
      <c r="T187">
        <v>7500</v>
      </c>
      <c r="U187" t="s">
        <v>1016</v>
      </c>
      <c r="W187">
        <v>11.27</v>
      </c>
      <c r="X187">
        <v>84525</v>
      </c>
      <c r="Y187" t="s">
        <v>85</v>
      </c>
      <c r="Z187" t="s">
        <v>565</v>
      </c>
      <c r="AA187" t="s">
        <v>1017</v>
      </c>
      <c r="AB187" t="s">
        <v>567</v>
      </c>
      <c r="AG187">
        <v>22.54</v>
      </c>
      <c r="AH187">
        <v>84525</v>
      </c>
      <c r="AI187">
        <v>7480</v>
      </c>
      <c r="AJ187">
        <v>7500</v>
      </c>
      <c r="AK187">
        <v>0</v>
      </c>
      <c r="AL187">
        <v>-20</v>
      </c>
      <c r="AM187">
        <v>7500</v>
      </c>
      <c r="AZ187">
        <f>SUM($AM187,$AN187:AO187)-SUM($BH187:BJ187)</f>
        <v>6820</v>
      </c>
      <c r="BA187">
        <f>SUM($AM187,$AN187:AP187)-SUM($BH187:BK187)</f>
        <v>4780</v>
      </c>
      <c r="BB187">
        <f>SUM($AM187,$AN187:AQ187)-SUM($BH187:BL187)</f>
        <v>4780</v>
      </c>
      <c r="BC187">
        <f>SUM($AM187,$AN187:AR187)-SUM($BH187:BM187)</f>
        <v>4780</v>
      </c>
      <c r="BD187">
        <f>SUM($AM187,$AN187:AS187)-SUM($BH187:BN187)</f>
        <v>4780</v>
      </c>
      <c r="BI187">
        <f t="array" ref="BI187">SUMPRODUCT(TRANSPOSE(BI$4:BI$9),$K187:$P187)</f>
        <v>0</v>
      </c>
      <c r="BJ187">
        <f t="array" ref="BJ187">SUMPRODUCT(TRANSPOSE(BJ$4:BJ$9),$K187:$P187)</f>
        <v>680</v>
      </c>
      <c r="BK187">
        <f t="array" ref="BK187">SUMPRODUCT(TRANSPOSE(BK$4:BK$9),$K187:$P187)</f>
        <v>2040</v>
      </c>
      <c r="BL187">
        <f t="array" ref="BL187">SUMPRODUCT(TRANSPOSE(BL$4:BL$9),$K187:$P187)</f>
        <v>0</v>
      </c>
      <c r="BM187">
        <f t="array" ref="BM187">SUMPRODUCT(TRANSPOSE(BM$4:BM$9),$K187:$P187)</f>
        <v>0</v>
      </c>
      <c r="BN187">
        <f t="array" ref="BN187">SUMPRODUCT(TRANSPOSE(BN$4:BN$9),$K187:$P187)</f>
        <v>0</v>
      </c>
      <c r="BO187" t="s">
        <v>652</v>
      </c>
      <c r="CA187" t="s">
        <v>177</v>
      </c>
      <c r="CB187" t="s">
        <v>565</v>
      </c>
      <c r="CC187" t="s">
        <v>1014</v>
      </c>
      <c r="CD187" t="s">
        <v>1016</v>
      </c>
      <c r="CE187" t="s">
        <v>85</v>
      </c>
      <c r="CF187">
        <v>1</v>
      </c>
      <c r="CG187">
        <v>7500</v>
      </c>
      <c r="CH187">
        <v>84525</v>
      </c>
      <c r="CI187" t="s">
        <v>568</v>
      </c>
      <c r="CJ187" s="1">
        <v>45961</v>
      </c>
      <c r="CL187" t="s">
        <v>119</v>
      </c>
      <c r="CN187" t="s">
        <v>96</v>
      </c>
      <c r="CO187" t="s">
        <v>569</v>
      </c>
      <c r="CP187">
        <v>11.27</v>
      </c>
      <c r="CQ187">
        <v>20880</v>
      </c>
      <c r="CR187" t="b">
        <v>1</v>
      </c>
    </row>
    <row r="188" spans="1:99">
      <c r="A188">
        <v>234</v>
      </c>
      <c r="B188" t="s">
        <v>1018</v>
      </c>
      <c r="C188" t="s">
        <v>1019</v>
      </c>
      <c r="D188" t="s">
        <v>81</v>
      </c>
      <c r="F188" t="s">
        <v>1020</v>
      </c>
      <c r="G188" t="s">
        <v>1021</v>
      </c>
      <c r="H188" t="s">
        <v>75</v>
      </c>
      <c r="I188">
        <v>2</v>
      </c>
      <c r="J188">
        <v>17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17</v>
      </c>
      <c r="Q188">
        <v>17</v>
      </c>
      <c r="R188">
        <v>3740</v>
      </c>
      <c r="S188">
        <v>2500</v>
      </c>
      <c r="T188">
        <v>5000</v>
      </c>
      <c r="U188" t="s">
        <v>1022</v>
      </c>
      <c r="W188">
        <v>0.45</v>
      </c>
      <c r="X188">
        <v>2250</v>
      </c>
      <c r="Y188" t="s">
        <v>85</v>
      </c>
      <c r="Z188" t="s">
        <v>1023</v>
      </c>
      <c r="AA188" t="s">
        <v>1024</v>
      </c>
      <c r="AB188" t="s">
        <v>1025</v>
      </c>
      <c r="AG188">
        <v>0.9</v>
      </c>
      <c r="AH188">
        <v>2250</v>
      </c>
      <c r="AI188">
        <v>3740</v>
      </c>
      <c r="AJ188">
        <v>5000</v>
      </c>
      <c r="AK188">
        <v>0</v>
      </c>
      <c r="AL188">
        <v>-1260</v>
      </c>
      <c r="AM188">
        <v>5000</v>
      </c>
      <c r="AZ188">
        <f>SUM($AM188,$AN188:AO188)-SUM($BH188:BJ188)</f>
        <v>4660</v>
      </c>
      <c r="BA188">
        <f>SUM($AM188,$AN188:AP188)-SUM($BH188:BK188)</f>
        <v>3640</v>
      </c>
      <c r="BB188">
        <f>SUM($AM188,$AN188:AQ188)-SUM($BH188:BL188)</f>
        <v>3640</v>
      </c>
      <c r="BC188">
        <f>SUM($AM188,$AN188:AR188)-SUM($BH188:BM188)</f>
        <v>3640</v>
      </c>
      <c r="BD188">
        <f>SUM($AM188,$AN188:AS188)-SUM($BH188:BN188)</f>
        <v>3640</v>
      </c>
      <c r="BI188">
        <f t="array" ref="BI188">SUMPRODUCT(TRANSPOSE(BI$4:BI$9),$K188:$P188)</f>
        <v>0</v>
      </c>
      <c r="BJ188">
        <f t="array" ref="BJ188">SUMPRODUCT(TRANSPOSE(BJ$4:BJ$9),$K188:$P188)</f>
        <v>340</v>
      </c>
      <c r="BK188">
        <f t="array" ref="BK188">SUMPRODUCT(TRANSPOSE(BK$4:BK$9),$K188:$P188)</f>
        <v>1020</v>
      </c>
      <c r="BL188">
        <f t="array" ref="BL188">SUMPRODUCT(TRANSPOSE(BL$4:BL$9),$K188:$P188)</f>
        <v>0</v>
      </c>
      <c r="BM188">
        <f t="array" ref="BM188">SUMPRODUCT(TRANSPOSE(BM$4:BM$9),$K188:$P188)</f>
        <v>0</v>
      </c>
      <c r="BN188">
        <f t="array" ref="BN188">SUMPRODUCT(TRANSPOSE(BN$4:BN$9),$K188:$P188)</f>
        <v>0</v>
      </c>
      <c r="BO188" t="s">
        <v>1022</v>
      </c>
      <c r="CA188" t="s">
        <v>177</v>
      </c>
      <c r="CB188" t="s">
        <v>1023</v>
      </c>
      <c r="CC188" t="s">
        <v>1019</v>
      </c>
      <c r="CD188" t="s">
        <v>1022</v>
      </c>
      <c r="CE188" t="s">
        <v>85</v>
      </c>
      <c r="CF188">
        <v>1</v>
      </c>
      <c r="CG188">
        <v>5000</v>
      </c>
      <c r="CH188">
        <v>2250</v>
      </c>
      <c r="CI188" t="s">
        <v>1026</v>
      </c>
      <c r="CJ188" s="1">
        <v>45961</v>
      </c>
      <c r="CL188" t="s">
        <v>119</v>
      </c>
      <c r="CN188" t="s">
        <v>96</v>
      </c>
      <c r="CO188" t="s">
        <v>1027</v>
      </c>
      <c r="CP188">
        <v>0.45</v>
      </c>
      <c r="CQ188">
        <v>20000</v>
      </c>
      <c r="CR188" t="b">
        <v>1</v>
      </c>
    </row>
    <row r="189" spans="1:99">
      <c r="A189">
        <v>235</v>
      </c>
      <c r="B189" t="s">
        <v>1028</v>
      </c>
      <c r="C189" t="s">
        <v>1029</v>
      </c>
      <c r="D189" t="s">
        <v>100</v>
      </c>
      <c r="F189">
        <v>408602563</v>
      </c>
      <c r="G189" t="s">
        <v>1030</v>
      </c>
      <c r="H189" t="s">
        <v>75</v>
      </c>
      <c r="I189">
        <v>2</v>
      </c>
      <c r="J189">
        <v>33</v>
      </c>
      <c r="K189">
        <v>0</v>
      </c>
      <c r="L189">
        <v>0</v>
      </c>
      <c r="M189">
        <v>0</v>
      </c>
      <c r="N189">
        <v>0</v>
      </c>
      <c r="O189">
        <v>33</v>
      </c>
      <c r="P189">
        <v>0</v>
      </c>
      <c r="Q189">
        <v>33</v>
      </c>
      <c r="R189">
        <v>7260</v>
      </c>
      <c r="S189">
        <v>1</v>
      </c>
      <c r="T189">
        <v>7260</v>
      </c>
      <c r="U189" t="s">
        <v>440</v>
      </c>
      <c r="W189" t="s">
        <v>440</v>
      </c>
      <c r="X189" t="s">
        <v>440</v>
      </c>
      <c r="Y189" t="s">
        <v>440</v>
      </c>
      <c r="Z189" t="s">
        <v>440</v>
      </c>
      <c r="AA189" t="s">
        <v>440</v>
      </c>
      <c r="AG189">
        <v>0</v>
      </c>
      <c r="AH189" t="e">
        <v>#VALUE!</v>
      </c>
      <c r="AI189">
        <v>7260</v>
      </c>
      <c r="AJ189">
        <v>0</v>
      </c>
      <c r="AK189">
        <v>7260</v>
      </c>
      <c r="AL189">
        <v>4620</v>
      </c>
      <c r="AM189">
        <v>2640</v>
      </c>
      <c r="AZ189">
        <f>SUM($AM189,$AN189:AO189)-SUM($BH189:BJ189)</f>
        <v>1980</v>
      </c>
      <c r="BA189">
        <f>SUM($AM189,$AN189:AP189)-SUM($BH189:BK189)</f>
        <v>0</v>
      </c>
      <c r="BB189">
        <f>SUM($AM189,$AN189:AQ189)-SUM($BH189:BL189)</f>
        <v>0</v>
      </c>
      <c r="BC189">
        <f>SUM($AM189,$AN189:AR189)-SUM($BH189:BM189)</f>
        <v>0</v>
      </c>
      <c r="BD189">
        <f>SUM($AM189,$AN189:AS189)-SUM($BH189:BN189)</f>
        <v>0</v>
      </c>
      <c r="BI189">
        <f t="array" ref="BI189">SUMPRODUCT(TRANSPOSE(BI$4:BI$9),$K189:$P189)</f>
        <v>0</v>
      </c>
      <c r="BJ189">
        <f t="array" ref="BJ189">SUMPRODUCT(TRANSPOSE(BJ$4:BJ$9),$K189:$P189)</f>
        <v>660</v>
      </c>
      <c r="BK189">
        <f t="array" ref="BK189">SUMPRODUCT(TRANSPOSE(BK$4:BK$9),$K189:$P189)</f>
        <v>1980</v>
      </c>
      <c r="BL189">
        <f t="array" ref="BL189">SUMPRODUCT(TRANSPOSE(BL$4:BL$9),$K189:$P189)</f>
        <v>0</v>
      </c>
      <c r="BM189">
        <f t="array" ref="BM189">SUMPRODUCT(TRANSPOSE(BM$4:BM$9),$K189:$P189)</f>
        <v>0</v>
      </c>
      <c r="BN189">
        <f t="array" ref="BN189">SUMPRODUCT(TRANSPOSE(BN$4:BN$9),$K189:$P189)</f>
        <v>0</v>
      </c>
      <c r="BO189" t="s">
        <v>440</v>
      </c>
      <c r="BY189" t="s">
        <v>441</v>
      </c>
      <c r="CA189" t="s">
        <v>440</v>
      </c>
      <c r="CB189" t="s">
        <v>440</v>
      </c>
      <c r="CH189">
        <v>0</v>
      </c>
      <c r="CO189" t="s">
        <v>440</v>
      </c>
      <c r="CP189">
        <v>0</v>
      </c>
      <c r="CQ189">
        <v>783</v>
      </c>
      <c r="CR189" t="b">
        <v>1</v>
      </c>
    </row>
    <row r="190" spans="1:99">
      <c r="A190">
        <v>231</v>
      </c>
      <c r="B190" t="s">
        <v>1031</v>
      </c>
      <c r="C190" t="s">
        <v>1032</v>
      </c>
      <c r="D190" t="s">
        <v>81</v>
      </c>
      <c r="E190" t="s">
        <v>1033</v>
      </c>
      <c r="F190">
        <v>403578730</v>
      </c>
      <c r="G190" t="s">
        <v>1034</v>
      </c>
      <c r="H190" t="s">
        <v>75</v>
      </c>
      <c r="I190">
        <v>2</v>
      </c>
      <c r="J190">
        <v>27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27</v>
      </c>
      <c r="Q190">
        <v>27</v>
      </c>
      <c r="R190">
        <v>5940</v>
      </c>
      <c r="S190">
        <v>2000</v>
      </c>
      <c r="T190">
        <v>6000</v>
      </c>
      <c r="U190" t="s">
        <v>308</v>
      </c>
      <c r="W190">
        <v>0.26779999999999998</v>
      </c>
      <c r="X190">
        <v>1606.8</v>
      </c>
      <c r="Y190" t="s">
        <v>85</v>
      </c>
      <c r="Z190" t="s">
        <v>535</v>
      </c>
      <c r="AA190" t="s">
        <v>766</v>
      </c>
      <c r="AB190" t="s">
        <v>767</v>
      </c>
      <c r="AG190">
        <v>0.53560000000000008</v>
      </c>
      <c r="AH190">
        <v>1606.8</v>
      </c>
      <c r="AI190">
        <v>5940</v>
      </c>
      <c r="AJ190">
        <v>6000</v>
      </c>
      <c r="AK190">
        <v>0</v>
      </c>
      <c r="AL190">
        <v>-60</v>
      </c>
      <c r="AM190">
        <v>6000</v>
      </c>
      <c r="AZ190">
        <f>SUM($AM190,$AN190:AO190)-SUM($BH190:BJ190)</f>
        <v>5460</v>
      </c>
      <c r="BA190">
        <f>SUM($AM190,$AN190:AP190)-SUM($BH190:BK190)</f>
        <v>3840</v>
      </c>
      <c r="BB190">
        <f>SUM($AM190,$AN190:AQ190)-SUM($BH190:BL190)</f>
        <v>3840</v>
      </c>
      <c r="BC190">
        <f>SUM($AM190,$AN190:AR190)-SUM($BH190:BM190)</f>
        <v>3840</v>
      </c>
      <c r="BD190">
        <f>SUM($AM190,$AN190:AS190)-SUM($BH190:BN190)</f>
        <v>3840</v>
      </c>
      <c r="BI190">
        <f t="array" ref="BI190">SUMPRODUCT(TRANSPOSE(BI$4:BI$9),$K190:$P190)</f>
        <v>0</v>
      </c>
      <c r="BJ190">
        <f t="array" ref="BJ190">SUMPRODUCT(TRANSPOSE(BJ$4:BJ$9),$K190:$P190)</f>
        <v>540</v>
      </c>
      <c r="BK190">
        <f t="array" ref="BK190">SUMPRODUCT(TRANSPOSE(BK$4:BK$9),$K190:$P190)</f>
        <v>1620</v>
      </c>
      <c r="BL190">
        <f t="array" ref="BL190">SUMPRODUCT(TRANSPOSE(BL$4:BL$9),$K190:$P190)</f>
        <v>0</v>
      </c>
      <c r="BM190">
        <f t="array" ref="BM190">SUMPRODUCT(TRANSPOSE(BM$4:BM$9),$K190:$P190)</f>
        <v>0</v>
      </c>
      <c r="BN190">
        <f t="array" ref="BN190">SUMPRODUCT(TRANSPOSE(BN$4:BN$9),$K190:$P190)</f>
        <v>0</v>
      </c>
      <c r="BO190" t="s">
        <v>308</v>
      </c>
      <c r="BS190" t="s">
        <v>259</v>
      </c>
      <c r="BU190">
        <v>0.84199999999999997</v>
      </c>
      <c r="BW190" t="s">
        <v>259</v>
      </c>
      <c r="CA190" t="s">
        <v>92</v>
      </c>
      <c r="CB190" t="s">
        <v>535</v>
      </c>
      <c r="CC190" t="s">
        <v>1032</v>
      </c>
      <c r="CD190" t="s">
        <v>308</v>
      </c>
      <c r="CE190" t="s">
        <v>85</v>
      </c>
      <c r="CF190">
        <v>1</v>
      </c>
      <c r="CG190">
        <v>6000</v>
      </c>
      <c r="CH190">
        <v>1606.8</v>
      </c>
      <c r="CI190" t="s">
        <v>536</v>
      </c>
      <c r="CJ190" s="1">
        <v>45961</v>
      </c>
      <c r="CK190" t="s">
        <v>95</v>
      </c>
      <c r="CL190" t="s">
        <v>119</v>
      </c>
      <c r="CN190" t="s">
        <v>96</v>
      </c>
      <c r="CO190" t="s">
        <v>457</v>
      </c>
      <c r="CP190">
        <v>0.26779999999999998</v>
      </c>
      <c r="CQ190">
        <v>30000</v>
      </c>
      <c r="CR190" t="b">
        <v>1</v>
      </c>
      <c r="CT190">
        <v>0.84199999999999997</v>
      </c>
    </row>
    <row r="191" spans="1:99">
      <c r="A191">
        <v>239</v>
      </c>
      <c r="B191" t="s">
        <v>1035</v>
      </c>
      <c r="C191" t="s">
        <v>1036</v>
      </c>
      <c r="D191" t="s">
        <v>81</v>
      </c>
      <c r="F191">
        <v>407349608</v>
      </c>
      <c r="G191" t="s">
        <v>1037</v>
      </c>
      <c r="H191" t="s">
        <v>75</v>
      </c>
      <c r="I191">
        <v>1</v>
      </c>
      <c r="J191">
        <v>32</v>
      </c>
      <c r="K191">
        <v>0</v>
      </c>
      <c r="L191">
        <v>0</v>
      </c>
      <c r="M191">
        <v>0</v>
      </c>
      <c r="N191">
        <v>0</v>
      </c>
      <c r="O191">
        <v>32</v>
      </c>
      <c r="P191">
        <v>0</v>
      </c>
      <c r="Q191">
        <v>32</v>
      </c>
      <c r="R191">
        <v>7040</v>
      </c>
      <c r="S191">
        <v>3000</v>
      </c>
      <c r="T191">
        <v>9000</v>
      </c>
      <c r="U191" t="s">
        <v>1038</v>
      </c>
      <c r="W191">
        <v>0.75</v>
      </c>
      <c r="X191">
        <v>6750</v>
      </c>
      <c r="Y191" t="s">
        <v>85</v>
      </c>
      <c r="Z191" t="s">
        <v>1038</v>
      </c>
      <c r="AA191" t="s">
        <v>1039</v>
      </c>
      <c r="AB191" t="s">
        <v>1040</v>
      </c>
      <c r="AG191">
        <v>0.75</v>
      </c>
      <c r="AH191">
        <v>6750</v>
      </c>
      <c r="AI191">
        <v>7040</v>
      </c>
      <c r="AJ191">
        <v>9000</v>
      </c>
      <c r="AK191">
        <v>0</v>
      </c>
      <c r="AL191">
        <v>-1960</v>
      </c>
      <c r="AM191">
        <v>9000</v>
      </c>
      <c r="AZ191">
        <f>SUM($AM191,$AN191:AO191)-SUM($BH191:BJ191)</f>
        <v>8360</v>
      </c>
      <c r="BA191">
        <f>SUM($AM191,$AN191:AP191)-SUM($BH191:BK191)</f>
        <v>6440</v>
      </c>
      <c r="BB191">
        <f>SUM($AM191,$AN191:AQ191)-SUM($BH191:BL191)</f>
        <v>6440</v>
      </c>
      <c r="BC191">
        <f>SUM($AM191,$AN191:AR191)-SUM($BH191:BM191)</f>
        <v>6440</v>
      </c>
      <c r="BD191">
        <f>SUM($AM191,$AN191:AS191)-SUM($BH191:BN191)</f>
        <v>6440</v>
      </c>
      <c r="BI191">
        <f t="array" ref="BI191">SUMPRODUCT(TRANSPOSE(BI$4:BI$9),$K191:$P191)</f>
        <v>0</v>
      </c>
      <c r="BJ191">
        <f t="array" ref="BJ191">SUMPRODUCT(TRANSPOSE(BJ$4:BJ$9),$K191:$P191)</f>
        <v>640</v>
      </c>
      <c r="BK191">
        <f t="array" ref="BK191">SUMPRODUCT(TRANSPOSE(BK$4:BK$9),$K191:$P191)</f>
        <v>1920</v>
      </c>
      <c r="BL191">
        <f t="array" ref="BL191">SUMPRODUCT(TRANSPOSE(BL$4:BL$9),$K191:$P191)</f>
        <v>0</v>
      </c>
      <c r="BM191">
        <f t="array" ref="BM191">SUMPRODUCT(TRANSPOSE(BM$4:BM$9),$K191:$P191)</f>
        <v>0</v>
      </c>
      <c r="BN191">
        <f t="array" ref="BN191">SUMPRODUCT(TRANSPOSE(BN$4:BN$9),$K191:$P191)</f>
        <v>0</v>
      </c>
      <c r="BO191" t="s">
        <v>1038</v>
      </c>
      <c r="BS191" t="s">
        <v>1041</v>
      </c>
      <c r="BU191">
        <v>0.85</v>
      </c>
      <c r="BV191" t="s">
        <v>1041</v>
      </c>
      <c r="BW191" t="s">
        <v>1041</v>
      </c>
      <c r="CA191" t="s">
        <v>92</v>
      </c>
      <c r="CB191" t="s">
        <v>1038</v>
      </c>
      <c r="CC191" t="s">
        <v>1036</v>
      </c>
      <c r="CD191" t="s">
        <v>1038</v>
      </c>
      <c r="CE191" t="s">
        <v>85</v>
      </c>
      <c r="CF191">
        <v>1</v>
      </c>
      <c r="CG191">
        <v>9000</v>
      </c>
      <c r="CH191">
        <v>7650</v>
      </c>
      <c r="CI191" t="s">
        <v>1042</v>
      </c>
      <c r="CJ191" s="1">
        <v>45961</v>
      </c>
      <c r="CL191" t="s">
        <v>119</v>
      </c>
      <c r="CN191" t="s">
        <v>96</v>
      </c>
      <c r="CO191" t="s">
        <v>1043</v>
      </c>
      <c r="CP191">
        <v>0.75</v>
      </c>
      <c r="CQ191">
        <v>21000</v>
      </c>
      <c r="CR191" t="b">
        <v>0</v>
      </c>
      <c r="CT191">
        <v>0.85</v>
      </c>
      <c r="CU191" t="s">
        <v>1041</v>
      </c>
    </row>
    <row r="192" spans="1:99">
      <c r="A192">
        <v>240</v>
      </c>
      <c r="B192" t="s">
        <v>1044</v>
      </c>
      <c r="C192" t="s">
        <v>1045</v>
      </c>
      <c r="D192" t="s">
        <v>81</v>
      </c>
      <c r="F192" t="s">
        <v>1046</v>
      </c>
      <c r="G192" t="s">
        <v>1047</v>
      </c>
      <c r="H192" t="s">
        <v>75</v>
      </c>
      <c r="I192">
        <v>1</v>
      </c>
      <c r="J192">
        <v>32</v>
      </c>
      <c r="K192">
        <v>0</v>
      </c>
      <c r="L192">
        <v>0</v>
      </c>
      <c r="M192">
        <v>0</v>
      </c>
      <c r="N192">
        <v>0</v>
      </c>
      <c r="O192">
        <v>32</v>
      </c>
      <c r="P192">
        <v>0</v>
      </c>
      <c r="Q192">
        <v>32</v>
      </c>
      <c r="R192">
        <v>7040</v>
      </c>
      <c r="S192">
        <v>100</v>
      </c>
      <c r="T192">
        <v>7100</v>
      </c>
      <c r="U192" t="s">
        <v>387</v>
      </c>
      <c r="W192">
        <v>3.12</v>
      </c>
      <c r="X192">
        <v>22152</v>
      </c>
      <c r="Y192" t="s">
        <v>85</v>
      </c>
      <c r="Z192" t="s">
        <v>388</v>
      </c>
      <c r="AA192" t="s">
        <v>1011</v>
      </c>
      <c r="AB192" t="s">
        <v>1048</v>
      </c>
      <c r="AG192">
        <v>3.12</v>
      </c>
      <c r="AH192">
        <v>22152</v>
      </c>
      <c r="AI192">
        <v>7040</v>
      </c>
      <c r="AJ192">
        <v>7040</v>
      </c>
      <c r="AK192">
        <v>0</v>
      </c>
      <c r="AL192">
        <v>4440</v>
      </c>
      <c r="AM192">
        <v>2600</v>
      </c>
      <c r="AZ192">
        <f>SUM($AM192,$AN192:AO192)-SUM($BH192:BJ192)</f>
        <v>1960</v>
      </c>
      <c r="BA192">
        <f>SUM($AM192,$AN192:AP192)-SUM($BH192:BK192)</f>
        <v>40</v>
      </c>
      <c r="BB192">
        <f>SUM($AM192,$AN192:AQ192)-SUM($BH192:BL192)</f>
        <v>40</v>
      </c>
      <c r="BC192">
        <f>SUM($AM192,$AN192:AR192)-SUM($BH192:BM192)</f>
        <v>40</v>
      </c>
      <c r="BD192">
        <f>SUM($AM192,$AN192:AS192)-SUM($BH192:BN192)</f>
        <v>40</v>
      </c>
      <c r="BI192">
        <f t="array" ref="BI192">SUMPRODUCT(TRANSPOSE(BI$4:BI$9),$K192:$P192)</f>
        <v>0</v>
      </c>
      <c r="BJ192">
        <f t="array" ref="BJ192">SUMPRODUCT(TRANSPOSE(BJ$4:BJ$9),$K192:$P192)</f>
        <v>640</v>
      </c>
      <c r="BK192">
        <f t="array" ref="BK192">SUMPRODUCT(TRANSPOSE(BK$4:BK$9),$K192:$P192)</f>
        <v>1920</v>
      </c>
      <c r="BL192">
        <f t="array" ref="BL192">SUMPRODUCT(TRANSPOSE(BL$4:BL$9),$K192:$P192)</f>
        <v>0</v>
      </c>
      <c r="BM192">
        <f t="array" ref="BM192">SUMPRODUCT(TRANSPOSE(BM$4:BM$9),$K192:$P192)</f>
        <v>0</v>
      </c>
      <c r="BN192">
        <f t="array" ref="BN192">SUMPRODUCT(TRANSPOSE(BN$4:BN$9),$K192:$P192)</f>
        <v>0</v>
      </c>
      <c r="BO192" t="s">
        <v>387</v>
      </c>
      <c r="BS192" t="s">
        <v>259</v>
      </c>
      <c r="BU192">
        <v>3.66</v>
      </c>
      <c r="BV192" t="s">
        <v>259</v>
      </c>
      <c r="BW192" t="s">
        <v>259</v>
      </c>
      <c r="BX192" t="s">
        <v>1049</v>
      </c>
      <c r="BZ192" t="s">
        <v>1050</v>
      </c>
      <c r="CA192" t="s">
        <v>92</v>
      </c>
      <c r="CB192" t="s">
        <v>388</v>
      </c>
      <c r="CC192" t="s">
        <v>1045</v>
      </c>
      <c r="CD192" t="s">
        <v>387</v>
      </c>
      <c r="CE192" t="s">
        <v>85</v>
      </c>
      <c r="CF192">
        <v>1</v>
      </c>
      <c r="CG192">
        <v>7040</v>
      </c>
      <c r="CH192">
        <v>25766.400000000001</v>
      </c>
      <c r="CI192" t="s">
        <v>395</v>
      </c>
      <c r="CJ192" s="1">
        <v>45961</v>
      </c>
      <c r="CK192" t="s">
        <v>95</v>
      </c>
      <c r="CN192" t="s">
        <v>108</v>
      </c>
      <c r="CO192" t="s">
        <v>388</v>
      </c>
      <c r="CP192">
        <v>0</v>
      </c>
      <c r="CQ192">
        <v>0</v>
      </c>
      <c r="CR192" t="b">
        <v>0</v>
      </c>
      <c r="CT192">
        <v>3.66</v>
      </c>
      <c r="CU192" t="s">
        <v>259</v>
      </c>
    </row>
    <row r="193" spans="1:100">
      <c r="A193">
        <v>241</v>
      </c>
      <c r="B193" t="s">
        <v>1051</v>
      </c>
      <c r="C193" t="s">
        <v>1052</v>
      </c>
      <c r="D193" t="s">
        <v>81</v>
      </c>
      <c r="F193">
        <v>400653150</v>
      </c>
      <c r="G193" t="s">
        <v>1053</v>
      </c>
      <c r="H193" t="s">
        <v>75</v>
      </c>
      <c r="I193">
        <v>1</v>
      </c>
      <c r="J193">
        <v>1</v>
      </c>
      <c r="K193">
        <v>0</v>
      </c>
      <c r="L193">
        <v>0</v>
      </c>
      <c r="M193">
        <v>0</v>
      </c>
      <c r="N193">
        <v>0</v>
      </c>
      <c r="O193">
        <v>1</v>
      </c>
      <c r="P193">
        <v>0</v>
      </c>
      <c r="Q193">
        <v>1</v>
      </c>
      <c r="R193">
        <v>220</v>
      </c>
      <c r="S193">
        <v>1000</v>
      </c>
      <c r="T193">
        <v>1000</v>
      </c>
      <c r="U193" t="s">
        <v>387</v>
      </c>
      <c r="W193">
        <v>3.31</v>
      </c>
      <c r="X193">
        <v>3310</v>
      </c>
      <c r="Y193" t="s">
        <v>85</v>
      </c>
      <c r="Z193" t="s">
        <v>388</v>
      </c>
      <c r="AA193" t="s">
        <v>1011</v>
      </c>
      <c r="AB193" t="s">
        <v>1048</v>
      </c>
      <c r="AG193">
        <v>3.31</v>
      </c>
      <c r="AH193">
        <v>3310</v>
      </c>
      <c r="AI193">
        <v>220</v>
      </c>
      <c r="AJ193">
        <v>320</v>
      </c>
      <c r="AK193">
        <v>0</v>
      </c>
      <c r="AL193">
        <v>120</v>
      </c>
      <c r="AM193">
        <v>100</v>
      </c>
      <c r="AQ193">
        <v>220</v>
      </c>
      <c r="AZ193">
        <f>SUM($AM193,$AN193:AO193)-SUM($BH193:BJ193)</f>
        <v>80</v>
      </c>
      <c r="BA193">
        <f>SUM($AM193,$AN193:AP193)-SUM($BH193:BK193)</f>
        <v>20</v>
      </c>
      <c r="BB193">
        <f>SUM($AM193,$AN193:AQ193)-SUM($BH193:BL193)</f>
        <v>240</v>
      </c>
      <c r="BC193">
        <f>SUM($AM193,$AN193:AR193)-SUM($BH193:BM193)</f>
        <v>240</v>
      </c>
      <c r="BD193">
        <f>SUM($AM193,$AN193:AS193)-SUM($BH193:BN193)</f>
        <v>240</v>
      </c>
      <c r="BI193">
        <f t="array" ref="BI193">SUMPRODUCT(TRANSPOSE(BI$4:BI$9),$K193:$P193)</f>
        <v>0</v>
      </c>
      <c r="BJ193">
        <f t="array" ref="BJ193">SUMPRODUCT(TRANSPOSE(BJ$4:BJ$9),$K193:$P193)</f>
        <v>20</v>
      </c>
      <c r="BK193">
        <f t="array" ref="BK193">SUMPRODUCT(TRANSPOSE(BK$4:BK$9),$K193:$P193)</f>
        <v>60</v>
      </c>
      <c r="BL193">
        <f t="array" ref="BL193">SUMPRODUCT(TRANSPOSE(BL$4:BL$9),$K193:$P193)</f>
        <v>0</v>
      </c>
      <c r="BM193">
        <f t="array" ref="BM193">SUMPRODUCT(TRANSPOSE(BM$4:BM$9),$K193:$P193)</f>
        <v>0</v>
      </c>
      <c r="BN193">
        <f t="array" ref="BN193">SUMPRODUCT(TRANSPOSE(BN$4:BN$9),$K193:$P193)</f>
        <v>0</v>
      </c>
      <c r="BS193" t="s">
        <v>259</v>
      </c>
      <c r="BU193">
        <v>3.67</v>
      </c>
      <c r="BV193" t="s">
        <v>259</v>
      </c>
      <c r="BW193" t="s">
        <v>259</v>
      </c>
      <c r="BY193" t="s">
        <v>182</v>
      </c>
      <c r="BZ193" t="s">
        <v>1054</v>
      </c>
      <c r="CA193" t="s">
        <v>92</v>
      </c>
      <c r="CB193" t="s">
        <v>393</v>
      </c>
      <c r="CC193" t="s">
        <v>1055</v>
      </c>
      <c r="CD193" t="s">
        <v>387</v>
      </c>
      <c r="CE193" t="s">
        <v>85</v>
      </c>
      <c r="CF193">
        <v>1</v>
      </c>
      <c r="CG193">
        <v>1000</v>
      </c>
      <c r="CH193">
        <v>3670</v>
      </c>
      <c r="CI193" t="s">
        <v>395</v>
      </c>
      <c r="CJ193" s="1">
        <v>45961</v>
      </c>
      <c r="CK193" t="s">
        <v>95</v>
      </c>
      <c r="CN193" t="s">
        <v>232</v>
      </c>
      <c r="CT193">
        <v>3.67</v>
      </c>
      <c r="CU193" t="s">
        <v>259</v>
      </c>
      <c r="CV193" s="1">
        <v>46224</v>
      </c>
    </row>
    <row r="194" spans="1:100">
      <c r="A194">
        <v>242</v>
      </c>
      <c r="B194" t="s">
        <v>1056</v>
      </c>
      <c r="C194" t="s">
        <v>1057</v>
      </c>
      <c r="D194" t="s">
        <v>384</v>
      </c>
      <c r="F194" t="s">
        <v>1058</v>
      </c>
      <c r="G194" t="s">
        <v>1059</v>
      </c>
      <c r="H194" t="s">
        <v>75</v>
      </c>
      <c r="I194">
        <v>1</v>
      </c>
      <c r="J194">
        <v>33</v>
      </c>
      <c r="K194">
        <v>0</v>
      </c>
      <c r="L194">
        <v>0</v>
      </c>
      <c r="M194">
        <v>0</v>
      </c>
      <c r="N194">
        <v>0</v>
      </c>
      <c r="O194">
        <v>33</v>
      </c>
      <c r="P194">
        <v>0</v>
      </c>
      <c r="Q194">
        <v>33</v>
      </c>
      <c r="R194">
        <v>7260</v>
      </c>
      <c r="S194">
        <v>500</v>
      </c>
      <c r="T194">
        <v>7500</v>
      </c>
      <c r="U194" t="s">
        <v>387</v>
      </c>
      <c r="W194">
        <v>2.37</v>
      </c>
      <c r="X194">
        <v>17775</v>
      </c>
      <c r="Y194" t="s">
        <v>85</v>
      </c>
      <c r="Z194" t="s">
        <v>388</v>
      </c>
      <c r="AA194" t="s">
        <v>1011</v>
      </c>
      <c r="AB194" t="s">
        <v>1048</v>
      </c>
      <c r="AG194">
        <v>2.37</v>
      </c>
      <c r="AH194">
        <v>17775</v>
      </c>
      <c r="AI194">
        <v>7260</v>
      </c>
      <c r="AJ194">
        <v>8415</v>
      </c>
      <c r="AK194">
        <v>0</v>
      </c>
      <c r="AL194">
        <v>6060</v>
      </c>
      <c r="AM194">
        <v>1200</v>
      </c>
      <c r="AP194">
        <v>3000</v>
      </c>
      <c r="AZ194">
        <f>SUM($AM194,$AN194:AO194)-SUM($BH194:BJ194)</f>
        <v>540</v>
      </c>
      <c r="BA194">
        <f>SUM($AM194,$AN194:AP194)-SUM($BH194:BK194)</f>
        <v>1560</v>
      </c>
      <c r="BB194">
        <f>SUM($AM194,$AN194:AQ194)-SUM($BH194:BL194)</f>
        <v>1560</v>
      </c>
      <c r="BC194">
        <f>SUM($AM194,$AN194:AR194)-SUM($BH194:BM194)</f>
        <v>1560</v>
      </c>
      <c r="BD194">
        <f>SUM($AM194,$AN194:AS194)-SUM($BH194:BN194)</f>
        <v>1560</v>
      </c>
      <c r="BI194">
        <f t="array" ref="BI194">SUMPRODUCT(TRANSPOSE(BI$4:BI$9),$K194:$P194)</f>
        <v>0</v>
      </c>
      <c r="BJ194">
        <f t="array" ref="BJ194">SUMPRODUCT(TRANSPOSE(BJ$4:BJ$9),$K194:$P194)</f>
        <v>660</v>
      </c>
      <c r="BK194">
        <f t="array" ref="BK194">SUMPRODUCT(TRANSPOSE(BK$4:BK$9),$K194:$P194)</f>
        <v>1980</v>
      </c>
      <c r="BL194">
        <f t="array" ref="BL194">SUMPRODUCT(TRANSPOSE(BL$4:BL$9),$K194:$P194)</f>
        <v>0</v>
      </c>
      <c r="BM194">
        <f t="array" ref="BM194">SUMPRODUCT(TRANSPOSE(BM$4:BM$9),$K194:$P194)</f>
        <v>0</v>
      </c>
      <c r="BN194">
        <f t="array" ref="BN194">SUMPRODUCT(TRANSPOSE(BN$4:BN$9),$K194:$P194)</f>
        <v>0</v>
      </c>
      <c r="BS194" t="s">
        <v>259</v>
      </c>
      <c r="BU194">
        <v>2.68</v>
      </c>
      <c r="BV194" t="s">
        <v>259</v>
      </c>
      <c r="BW194" t="s">
        <v>259</v>
      </c>
      <c r="BX194" t="s">
        <v>1060</v>
      </c>
      <c r="BY194" t="s">
        <v>182</v>
      </c>
      <c r="BZ194" t="s">
        <v>1061</v>
      </c>
      <c r="CA194" t="s">
        <v>92</v>
      </c>
      <c r="CB194" t="s">
        <v>393</v>
      </c>
      <c r="CC194" t="s">
        <v>1062</v>
      </c>
      <c r="CD194" t="s">
        <v>387</v>
      </c>
      <c r="CE194" t="s">
        <v>85</v>
      </c>
      <c r="CF194">
        <v>1</v>
      </c>
      <c r="CG194">
        <v>7500</v>
      </c>
      <c r="CH194">
        <v>20100</v>
      </c>
      <c r="CI194" t="s">
        <v>395</v>
      </c>
      <c r="CJ194" s="1">
        <v>45961</v>
      </c>
      <c r="CK194" t="s">
        <v>95</v>
      </c>
      <c r="CN194" t="s">
        <v>232</v>
      </c>
      <c r="CT194">
        <v>2.68</v>
      </c>
      <c r="CU194" t="s">
        <v>259</v>
      </c>
      <c r="CV194" s="1">
        <v>46224</v>
      </c>
    </row>
    <row r="195" spans="1:100">
      <c r="A195">
        <v>243</v>
      </c>
      <c r="C195" t="s">
        <v>3</v>
      </c>
      <c r="D195" t="s">
        <v>100</v>
      </c>
      <c r="E195">
        <v>416577809</v>
      </c>
      <c r="F195">
        <v>416577809</v>
      </c>
      <c r="G195" t="s">
        <v>2</v>
      </c>
      <c r="H195" t="s">
        <v>75</v>
      </c>
      <c r="I195">
        <v>1</v>
      </c>
      <c r="J195">
        <v>1</v>
      </c>
      <c r="K195">
        <v>1</v>
      </c>
      <c r="L195">
        <v>0</v>
      </c>
      <c r="Q195">
        <v>1</v>
      </c>
      <c r="R195">
        <v>80</v>
      </c>
      <c r="S195">
        <v>1</v>
      </c>
      <c r="T195">
        <v>80</v>
      </c>
      <c r="U195">
        <v>0</v>
      </c>
      <c r="AI195">
        <v>80</v>
      </c>
      <c r="AJ195">
        <v>0</v>
      </c>
      <c r="AK195">
        <v>80</v>
      </c>
      <c r="AL195">
        <v>80</v>
      </c>
      <c r="AM195">
        <v>0</v>
      </c>
      <c r="AZ195">
        <f>SUM($AM195,$AN195:AO195)-SUM($BH195:BJ195)</f>
        <v>0</v>
      </c>
      <c r="BA195">
        <f>SUM($AM195,$AN195:AP195)-SUM($BH195:BK195)</f>
        <v>0</v>
      </c>
      <c r="BB195">
        <f>SUM($AM195,$AN195:AQ195)-SUM($BH195:BL195)</f>
        <v>0</v>
      </c>
      <c r="BC195">
        <f>SUM($AM195,$AN195:AR195)-SUM($BH195:BM195)</f>
        <v>0</v>
      </c>
      <c r="BD195">
        <f>SUM($AM195,$AN195:AS195)-SUM($BH195:BN195)</f>
        <v>0</v>
      </c>
      <c r="BI195">
        <f t="array" ref="BI195">SUMPRODUCT(TRANSPOSE(BI$4:BI$9),$K195:$P195)</f>
        <v>0</v>
      </c>
      <c r="BJ195">
        <f t="array" ref="BJ195">SUMPRODUCT(TRANSPOSE(BJ$4:BJ$9),$K195:$P195)</f>
        <v>0</v>
      </c>
      <c r="BK195">
        <f t="array" ref="BK195">SUMPRODUCT(TRANSPOSE(BK$4:BK$9),$K195:$P195)</f>
        <v>0</v>
      </c>
      <c r="BL195">
        <f t="array" ref="BL195">SUMPRODUCT(TRANSPOSE(BL$4:BL$9),$K195:$P195)</f>
        <v>0</v>
      </c>
      <c r="BM195">
        <f t="array" ref="BM195">SUMPRODUCT(TRANSPOSE(BM$4:BM$9),$K195:$P195)</f>
        <v>0</v>
      </c>
      <c r="BN195">
        <f t="array" ref="BN195">SUMPRODUCT(TRANSPOSE(BN$4:BN$9),$K195:$P195)</f>
        <v>0</v>
      </c>
      <c r="BX195" t="s">
        <v>1063</v>
      </c>
      <c r="CA195" t="s">
        <v>77</v>
      </c>
    </row>
    <row r="196" spans="1:100">
      <c r="A196">
        <v>244</v>
      </c>
      <c r="B196" t="s">
        <v>1064</v>
      </c>
      <c r="C196" t="s">
        <v>1065</v>
      </c>
      <c r="D196" t="s">
        <v>100</v>
      </c>
      <c r="E196">
        <v>416471517</v>
      </c>
      <c r="F196">
        <v>416471517</v>
      </c>
      <c r="G196" t="s">
        <v>1066</v>
      </c>
      <c r="H196" t="s">
        <v>75</v>
      </c>
      <c r="I196">
        <v>1</v>
      </c>
      <c r="J196">
        <v>1</v>
      </c>
      <c r="K196">
        <v>1</v>
      </c>
      <c r="L196">
        <v>0</v>
      </c>
      <c r="Q196">
        <v>1</v>
      </c>
      <c r="R196">
        <v>80</v>
      </c>
      <c r="S196">
        <v>1</v>
      </c>
      <c r="T196">
        <v>80</v>
      </c>
      <c r="U196">
        <v>0</v>
      </c>
      <c r="AI196">
        <v>80</v>
      </c>
      <c r="AJ196">
        <v>80</v>
      </c>
      <c r="AK196">
        <v>0</v>
      </c>
      <c r="AL196">
        <v>80</v>
      </c>
      <c r="AM196">
        <v>0</v>
      </c>
      <c r="AZ196">
        <f>SUM($AM196,$AN196:AO196)-SUM($BH196:BJ196)</f>
        <v>0</v>
      </c>
      <c r="BA196">
        <f>SUM($AM196,$AN196:AP196)-SUM($BH196:BK196)</f>
        <v>0</v>
      </c>
      <c r="BB196">
        <f>SUM($AM196,$AN196:AQ196)-SUM($BH196:BL196)</f>
        <v>0</v>
      </c>
      <c r="BC196">
        <f>SUM($AM196,$AN196:AR196)-SUM($BH196:BM196)</f>
        <v>0</v>
      </c>
      <c r="BD196">
        <f>SUM($AM196,$AN196:AS196)-SUM($BH196:BN196)</f>
        <v>0</v>
      </c>
      <c r="BI196">
        <f t="array" ref="BI196">SUMPRODUCT(TRANSPOSE(BI$4:BI$9),$K196:$P196)</f>
        <v>0</v>
      </c>
      <c r="BJ196">
        <f t="array" ref="BJ196">SUMPRODUCT(TRANSPOSE(BJ$4:BJ$9),$K196:$P196)</f>
        <v>0</v>
      </c>
      <c r="BK196">
        <f t="array" ref="BK196">SUMPRODUCT(TRANSPOSE(BK$4:BK$9),$K196:$P196)</f>
        <v>0</v>
      </c>
      <c r="BL196">
        <f t="array" ref="BL196">SUMPRODUCT(TRANSPOSE(BL$4:BL$9),$K196:$P196)</f>
        <v>0</v>
      </c>
      <c r="BM196">
        <f t="array" ref="BM196">SUMPRODUCT(TRANSPOSE(BM$4:BM$9),$K196:$P196)</f>
        <v>0</v>
      </c>
      <c r="BN196">
        <f t="array" ref="BN196">SUMPRODUCT(TRANSPOSE(BN$4:BN$9),$K196:$P196)</f>
        <v>0</v>
      </c>
      <c r="BW196" t="s">
        <v>1067</v>
      </c>
      <c r="BX196" t="s">
        <v>1063</v>
      </c>
      <c r="CA196" t="s">
        <v>92</v>
      </c>
      <c r="CB196" t="s">
        <v>126</v>
      </c>
      <c r="CC196" t="s">
        <v>1065</v>
      </c>
      <c r="CD196" t="s">
        <v>126</v>
      </c>
      <c r="CE196" t="s">
        <v>85</v>
      </c>
      <c r="CF196">
        <v>1</v>
      </c>
      <c r="CG196">
        <v>80</v>
      </c>
      <c r="CH196">
        <v>7088</v>
      </c>
      <c r="CI196" t="s">
        <v>127</v>
      </c>
      <c r="CJ196" s="1">
        <v>46028</v>
      </c>
      <c r="CM196" s="1">
        <v>46234</v>
      </c>
      <c r="CN196" s="1">
        <v>46244</v>
      </c>
    </row>
    <row r="197" spans="1:100">
      <c r="A197">
        <v>245</v>
      </c>
      <c r="C197" t="s">
        <v>5</v>
      </c>
      <c r="D197">
        <v>-1</v>
      </c>
      <c r="E197">
        <v>416558530</v>
      </c>
      <c r="F197">
        <v>416558530</v>
      </c>
      <c r="G197" t="s">
        <v>4</v>
      </c>
      <c r="H197" t="s">
        <v>75</v>
      </c>
      <c r="I197">
        <v>1</v>
      </c>
      <c r="J197">
        <v>1</v>
      </c>
      <c r="K197">
        <v>1</v>
      </c>
      <c r="L197">
        <v>0</v>
      </c>
      <c r="Q197">
        <v>1</v>
      </c>
      <c r="R197">
        <v>80</v>
      </c>
      <c r="S197">
        <v>1</v>
      </c>
      <c r="T197">
        <v>80</v>
      </c>
      <c r="U197">
        <v>0</v>
      </c>
      <c r="AI197">
        <v>80</v>
      </c>
      <c r="AJ197">
        <v>0</v>
      </c>
      <c r="AK197">
        <v>80</v>
      </c>
      <c r="AL197">
        <v>80</v>
      </c>
      <c r="AM197">
        <v>0</v>
      </c>
      <c r="AZ197">
        <f>SUM($AM197,$AN197:AO197)-SUM($BH197:BJ197)</f>
        <v>0</v>
      </c>
      <c r="BA197">
        <f>SUM($AM197,$AN197:AP197)-SUM($BH197:BK197)</f>
        <v>0</v>
      </c>
      <c r="BB197">
        <f>SUM($AM197,$AN197:AQ197)-SUM($BH197:BL197)</f>
        <v>0</v>
      </c>
      <c r="BC197">
        <f>SUM($AM197,$AN197:AR197)-SUM($BH197:BM197)</f>
        <v>0</v>
      </c>
      <c r="BD197">
        <f>SUM($AM197,$AN197:AS197)-SUM($BH197:BN197)</f>
        <v>0</v>
      </c>
      <c r="BI197">
        <f t="array" ref="BI197">SUMPRODUCT(TRANSPOSE(BI$4:BI$9),$K197:$P197)</f>
        <v>0</v>
      </c>
      <c r="BJ197">
        <f t="array" ref="BJ197">SUMPRODUCT(TRANSPOSE(BJ$4:BJ$9),$K197:$P197)</f>
        <v>0</v>
      </c>
      <c r="BK197">
        <f t="array" ref="BK197">SUMPRODUCT(TRANSPOSE(BK$4:BK$9),$K197:$P197)</f>
        <v>0</v>
      </c>
      <c r="BL197">
        <f t="array" ref="BL197">SUMPRODUCT(TRANSPOSE(BL$4:BL$9),$K197:$P197)</f>
        <v>0</v>
      </c>
      <c r="BM197">
        <f t="array" ref="BM197">SUMPRODUCT(TRANSPOSE(BM$4:BM$9),$K197:$P197)</f>
        <v>0</v>
      </c>
      <c r="BN197">
        <f t="array" ref="BN197">SUMPRODUCT(TRANSPOSE(BN$4:BN$9),$K197:$P197)</f>
        <v>0</v>
      </c>
      <c r="BX197" t="s">
        <v>1063</v>
      </c>
      <c r="CA197" t="s">
        <v>77</v>
      </c>
      <c r="CB197" t="s">
        <v>1068</v>
      </c>
      <c r="CC197" t="s">
        <v>5</v>
      </c>
    </row>
    <row r="198" spans="1:100">
      <c r="A198">
        <v>246</v>
      </c>
      <c r="B198" t="s">
        <v>1069</v>
      </c>
      <c r="C198" t="s">
        <v>1070</v>
      </c>
      <c r="D198" t="s">
        <v>100</v>
      </c>
      <c r="E198">
        <v>416558524</v>
      </c>
      <c r="F198">
        <v>416558524</v>
      </c>
      <c r="G198" t="s">
        <v>142</v>
      </c>
      <c r="H198" t="s">
        <v>75</v>
      </c>
      <c r="I198">
        <v>1</v>
      </c>
      <c r="J198">
        <v>1</v>
      </c>
      <c r="K198">
        <v>1</v>
      </c>
      <c r="L198">
        <v>0</v>
      </c>
      <c r="Q198">
        <v>1</v>
      </c>
      <c r="R198">
        <v>80</v>
      </c>
      <c r="S198">
        <v>1</v>
      </c>
      <c r="T198">
        <v>80</v>
      </c>
      <c r="U198">
        <v>0</v>
      </c>
      <c r="AI198">
        <v>80</v>
      </c>
      <c r="AJ198">
        <v>80</v>
      </c>
      <c r="AK198">
        <v>0</v>
      </c>
      <c r="AL198">
        <v>0</v>
      </c>
      <c r="AM198">
        <v>80</v>
      </c>
      <c r="AZ198">
        <f>SUM($AM198,$AN198:AO198)-SUM($BH198:BJ198)</f>
        <v>80</v>
      </c>
      <c r="BA198">
        <f>SUM($AM198,$AN198:AP198)-SUM($BH198:BK198)</f>
        <v>80</v>
      </c>
      <c r="BB198">
        <f>SUM($AM198,$AN198:AQ198)-SUM($BH198:BL198)</f>
        <v>80</v>
      </c>
      <c r="BC198">
        <f>SUM($AM198,$AN198:AR198)-SUM($BH198:BM198)</f>
        <v>80</v>
      </c>
      <c r="BD198">
        <f>SUM($AM198,$AN198:AS198)-SUM($BH198:BN198)</f>
        <v>80</v>
      </c>
      <c r="BI198">
        <f t="array" ref="BI198">SUMPRODUCT(TRANSPOSE(BI$4:BI$9),$K198:$P198)</f>
        <v>0</v>
      </c>
      <c r="BJ198">
        <f t="array" ref="BJ198">SUMPRODUCT(TRANSPOSE(BJ$4:BJ$9),$K198:$P198)</f>
        <v>0</v>
      </c>
      <c r="BK198">
        <f t="array" ref="BK198">SUMPRODUCT(TRANSPOSE(BK$4:BK$9),$K198:$P198)</f>
        <v>0</v>
      </c>
      <c r="BL198">
        <f t="array" ref="BL198">SUMPRODUCT(TRANSPOSE(BL$4:BL$9),$K198:$P198)</f>
        <v>0</v>
      </c>
      <c r="BM198">
        <f t="array" ref="BM198">SUMPRODUCT(TRANSPOSE(BM$4:BM$9),$K198:$P198)</f>
        <v>0</v>
      </c>
      <c r="BN198">
        <f t="array" ref="BN198">SUMPRODUCT(TRANSPOSE(BN$4:BN$9),$K198:$P198)</f>
        <v>0</v>
      </c>
      <c r="BW198" t="s">
        <v>1067</v>
      </c>
      <c r="BX198" t="s">
        <v>1063</v>
      </c>
      <c r="CA198" t="s">
        <v>92</v>
      </c>
      <c r="CB198" t="s">
        <v>143</v>
      </c>
      <c r="CC198" t="s">
        <v>1070</v>
      </c>
      <c r="CD198" t="s">
        <v>1071</v>
      </c>
      <c r="CE198" t="s">
        <v>85</v>
      </c>
      <c r="CF198">
        <v>1</v>
      </c>
      <c r="CG198">
        <v>80</v>
      </c>
      <c r="CH198">
        <v>496</v>
      </c>
      <c r="CI198" t="s">
        <v>1072</v>
      </c>
      <c r="CJ198" s="1">
        <v>46136</v>
      </c>
      <c r="CK198" t="s">
        <v>95</v>
      </c>
      <c r="CN198" t="s">
        <v>96</v>
      </c>
      <c r="CV198" t="s">
        <v>754</v>
      </c>
    </row>
    <row r="199" spans="1:100">
      <c r="A199">
        <v>247</v>
      </c>
      <c r="B199" t="s">
        <v>1073</v>
      </c>
      <c r="C199" t="s">
        <v>1074</v>
      </c>
      <c r="D199" t="s">
        <v>81</v>
      </c>
      <c r="E199" t="s">
        <v>1075</v>
      </c>
      <c r="F199">
        <v>512306838</v>
      </c>
      <c r="G199" t="s">
        <v>346</v>
      </c>
      <c r="H199" t="s">
        <v>75</v>
      </c>
      <c r="I199">
        <v>2</v>
      </c>
      <c r="J199">
        <v>2</v>
      </c>
      <c r="K199">
        <v>2</v>
      </c>
      <c r="L199">
        <v>0</v>
      </c>
      <c r="Q199">
        <v>2</v>
      </c>
      <c r="R199">
        <v>160</v>
      </c>
      <c r="S199">
        <v>1</v>
      </c>
      <c r="T199">
        <v>160</v>
      </c>
      <c r="U199">
        <v>0</v>
      </c>
      <c r="AI199">
        <v>160</v>
      </c>
      <c r="AJ199">
        <v>180</v>
      </c>
      <c r="AK199">
        <v>0</v>
      </c>
      <c r="AL199">
        <v>-20</v>
      </c>
      <c r="AM199">
        <v>180</v>
      </c>
      <c r="AZ199">
        <f>SUM($AM199,$AN199:AO199)-SUM($BH199:BJ199)</f>
        <v>180</v>
      </c>
      <c r="BA199">
        <f>SUM($AM199,$AN199:AP199)-SUM($BH199:BK199)</f>
        <v>180</v>
      </c>
      <c r="BB199">
        <f>SUM($AM199,$AN199:AQ199)-SUM($BH199:BL199)</f>
        <v>180</v>
      </c>
      <c r="BC199">
        <f>SUM($AM199,$AN199:AR199)-SUM($BH199:BM199)</f>
        <v>180</v>
      </c>
      <c r="BD199">
        <f>SUM($AM199,$AN199:AS199)-SUM($BH199:BN199)</f>
        <v>180</v>
      </c>
      <c r="BI199">
        <f t="array" ref="BI199">SUMPRODUCT(TRANSPOSE(BI$4:BI$9),$K199:$P199)</f>
        <v>0</v>
      </c>
      <c r="BJ199">
        <f t="array" ref="BJ199">SUMPRODUCT(TRANSPOSE(BJ$4:BJ$9),$K199:$P199)</f>
        <v>0</v>
      </c>
      <c r="BK199">
        <f t="array" ref="BK199">SUMPRODUCT(TRANSPOSE(BK$4:BK$9),$K199:$P199)</f>
        <v>0</v>
      </c>
      <c r="BL199">
        <f t="array" ref="BL199">SUMPRODUCT(TRANSPOSE(BL$4:BL$9),$K199:$P199)</f>
        <v>0</v>
      </c>
      <c r="BM199">
        <f t="array" ref="BM199">SUMPRODUCT(TRANSPOSE(BM$4:BM$9),$K199:$P199)</f>
        <v>0</v>
      </c>
      <c r="BN199">
        <f t="array" ref="BN199">SUMPRODUCT(TRANSPOSE(BN$4:BN$9),$K199:$P199)</f>
        <v>0</v>
      </c>
      <c r="BW199" t="s">
        <v>1067</v>
      </c>
      <c r="BX199" t="s">
        <v>92</v>
      </c>
      <c r="CA199" t="s">
        <v>92</v>
      </c>
      <c r="CB199" t="s">
        <v>348</v>
      </c>
      <c r="CC199" t="s">
        <v>1074</v>
      </c>
      <c r="CD199" t="s">
        <v>1076</v>
      </c>
      <c r="CE199" t="s">
        <v>85</v>
      </c>
      <c r="CF199">
        <v>1</v>
      </c>
      <c r="CG199">
        <v>180</v>
      </c>
      <c r="CH199">
        <v>45</v>
      </c>
      <c r="CI199" t="s">
        <v>1077</v>
      </c>
      <c r="CJ199" s="1">
        <v>46163</v>
      </c>
      <c r="CK199" t="s">
        <v>95</v>
      </c>
      <c r="CN199" t="s">
        <v>96</v>
      </c>
      <c r="CV199" t="s">
        <v>1078</v>
      </c>
    </row>
    <row r="200" spans="1:100">
      <c r="A200">
        <v>248</v>
      </c>
      <c r="B200" t="s">
        <v>1079</v>
      </c>
      <c r="C200" t="s">
        <v>1080</v>
      </c>
      <c r="D200" t="s">
        <v>81</v>
      </c>
      <c r="E200">
        <v>512332263</v>
      </c>
      <c r="F200">
        <v>512332263</v>
      </c>
      <c r="G200" t="s">
        <v>1081</v>
      </c>
      <c r="H200" t="s">
        <v>75</v>
      </c>
      <c r="I200">
        <v>1</v>
      </c>
      <c r="J200">
        <v>14</v>
      </c>
      <c r="K200">
        <v>14</v>
      </c>
      <c r="L200">
        <v>0</v>
      </c>
      <c r="Q200">
        <v>14</v>
      </c>
      <c r="R200">
        <v>1120</v>
      </c>
      <c r="S200">
        <v>1</v>
      </c>
      <c r="T200">
        <v>1120</v>
      </c>
      <c r="U200">
        <v>0</v>
      </c>
      <c r="AI200">
        <v>1120</v>
      </c>
      <c r="AJ200">
        <v>1150</v>
      </c>
      <c r="AK200">
        <v>0</v>
      </c>
      <c r="AL200">
        <v>-30</v>
      </c>
      <c r="AM200">
        <v>1150</v>
      </c>
      <c r="AZ200">
        <f>SUM($AM200,$AN200:AO200)-SUM($BH200:BJ200)</f>
        <v>1150</v>
      </c>
      <c r="BA200">
        <f>SUM($AM200,$AN200:AP200)-SUM($BH200:BK200)</f>
        <v>1150</v>
      </c>
      <c r="BB200">
        <f>SUM($AM200,$AN200:AQ200)-SUM($BH200:BL200)</f>
        <v>1150</v>
      </c>
      <c r="BC200">
        <f>SUM($AM200,$AN200:AR200)-SUM($BH200:BM200)</f>
        <v>1150</v>
      </c>
      <c r="BD200">
        <f>SUM($AM200,$AN200:AS200)-SUM($BH200:BN200)</f>
        <v>1150</v>
      </c>
      <c r="BI200">
        <f t="array" ref="BI200">SUMPRODUCT(TRANSPOSE(BI$4:BI$9),$K200:$P200)</f>
        <v>0</v>
      </c>
      <c r="BJ200">
        <f t="array" ref="BJ200">SUMPRODUCT(TRANSPOSE(BJ$4:BJ$9),$K200:$P200)</f>
        <v>0</v>
      </c>
      <c r="BK200">
        <f t="array" ref="BK200">SUMPRODUCT(TRANSPOSE(BK$4:BK$9),$K200:$P200)</f>
        <v>0</v>
      </c>
      <c r="BL200">
        <f t="array" ref="BL200">SUMPRODUCT(TRANSPOSE(BL$4:BL$9),$K200:$P200)</f>
        <v>0</v>
      </c>
      <c r="BM200">
        <f t="array" ref="BM200">SUMPRODUCT(TRANSPOSE(BM$4:BM$9),$K200:$P200)</f>
        <v>0</v>
      </c>
      <c r="BN200">
        <f t="array" ref="BN200">SUMPRODUCT(TRANSPOSE(BN$4:BN$9),$K200:$P200)</f>
        <v>0</v>
      </c>
      <c r="BW200" t="s">
        <v>1067</v>
      </c>
      <c r="BX200" t="s">
        <v>1063</v>
      </c>
      <c r="CA200" t="s">
        <v>92</v>
      </c>
      <c r="CB200" t="s">
        <v>348</v>
      </c>
      <c r="CC200" t="s">
        <v>1080</v>
      </c>
      <c r="CD200" t="s">
        <v>1082</v>
      </c>
      <c r="CE200" t="s">
        <v>85</v>
      </c>
      <c r="CF200">
        <v>1</v>
      </c>
      <c r="CG200">
        <v>1150</v>
      </c>
      <c r="CH200">
        <v>1426</v>
      </c>
      <c r="CI200" t="s">
        <v>1083</v>
      </c>
      <c r="CJ200" s="1">
        <v>46136</v>
      </c>
      <c r="CK200" t="s">
        <v>304</v>
      </c>
      <c r="CN200" t="s">
        <v>96</v>
      </c>
    </row>
    <row r="201" spans="1:100">
      <c r="A201">
        <v>249</v>
      </c>
      <c r="B201" t="s">
        <v>1084</v>
      </c>
      <c r="C201" t="s">
        <v>1085</v>
      </c>
      <c r="D201" t="s">
        <v>81</v>
      </c>
      <c r="E201">
        <v>404736237</v>
      </c>
      <c r="F201">
        <v>404736237</v>
      </c>
      <c r="G201" t="s">
        <v>1086</v>
      </c>
      <c r="H201" t="s">
        <v>425</v>
      </c>
      <c r="I201">
        <v>2</v>
      </c>
      <c r="J201" t="s">
        <v>426</v>
      </c>
      <c r="L201">
        <v>0.05</v>
      </c>
      <c r="M201">
        <v>0</v>
      </c>
      <c r="N201">
        <v>0</v>
      </c>
      <c r="O201">
        <v>0</v>
      </c>
      <c r="P201">
        <v>0</v>
      </c>
      <c r="Q201">
        <v>0.05</v>
      </c>
      <c r="R201">
        <v>4</v>
      </c>
      <c r="S201">
        <v>1</v>
      </c>
      <c r="T201">
        <v>4</v>
      </c>
      <c r="U201">
        <v>0</v>
      </c>
      <c r="AI201">
        <v>4</v>
      </c>
      <c r="AJ201">
        <v>25</v>
      </c>
      <c r="AK201">
        <v>0</v>
      </c>
      <c r="AL201">
        <v>-25</v>
      </c>
      <c r="AM201">
        <v>29</v>
      </c>
      <c r="AZ201">
        <f>SUM($AM201,$AN201:AO201)-SUM($BH201:BJ201)</f>
        <v>29</v>
      </c>
      <c r="BA201">
        <f>SUM($AM201,$AN201:AP201)-SUM($BH201:BK201)</f>
        <v>29</v>
      </c>
      <c r="BB201">
        <f>SUM($AM201,$AN201:AQ201)-SUM($BH201:BL201)</f>
        <v>29</v>
      </c>
      <c r="BC201">
        <f>SUM($AM201,$AN201:AR201)-SUM($BH201:BM201)</f>
        <v>29</v>
      </c>
      <c r="BD201">
        <f>SUM($AM201,$AN201:AS201)-SUM($BH201:BN201)</f>
        <v>29</v>
      </c>
      <c r="BI201">
        <f t="array" ref="BI201">SUMPRODUCT(TRANSPOSE(BI$4:BI$9),$K201:$P201)</f>
        <v>0</v>
      </c>
      <c r="BJ201">
        <f t="array" ref="BJ201">SUMPRODUCT(TRANSPOSE(BJ$4:BJ$9),$K201:$P201)</f>
        <v>0</v>
      </c>
      <c r="BK201">
        <f t="array" ref="BK201">SUMPRODUCT(TRANSPOSE(BK$4:BK$9),$K201:$P201)</f>
        <v>0</v>
      </c>
      <c r="BL201">
        <f t="array" ref="BL201">SUMPRODUCT(TRANSPOSE(BL$4:BL$9),$K201:$P201)</f>
        <v>0</v>
      </c>
      <c r="BM201">
        <f t="array" ref="BM201">SUMPRODUCT(TRANSPOSE(BM$4:BM$9),$K201:$P201)</f>
        <v>0</v>
      </c>
      <c r="BN201">
        <f t="array" ref="BN201">SUMPRODUCT(TRANSPOSE(BN$4:BN$9),$K201:$P201)</f>
        <v>0</v>
      </c>
      <c r="BW201" t="s">
        <v>1067</v>
      </c>
      <c r="BX201" t="s">
        <v>1063</v>
      </c>
      <c r="CA201" t="s">
        <v>92</v>
      </c>
      <c r="CB201" t="s">
        <v>1087</v>
      </c>
      <c r="CC201" t="s">
        <v>1085</v>
      </c>
      <c r="CD201" t="s">
        <v>1087</v>
      </c>
      <c r="CE201" t="s">
        <v>85</v>
      </c>
      <c r="CF201">
        <v>1</v>
      </c>
      <c r="CG201">
        <v>25</v>
      </c>
      <c r="CH201">
        <v>951.75</v>
      </c>
      <c r="CI201" t="s">
        <v>1088</v>
      </c>
      <c r="CJ201" s="1">
        <v>46136</v>
      </c>
      <c r="CK201" t="s">
        <v>95</v>
      </c>
      <c r="CN201" t="s">
        <v>96</v>
      </c>
    </row>
    <row r="202" spans="1:100">
      <c r="A202">
        <v>250</v>
      </c>
      <c r="B202" t="s">
        <v>1089</v>
      </c>
      <c r="C202" t="s">
        <v>1090</v>
      </c>
      <c r="D202" t="s">
        <v>81</v>
      </c>
      <c r="E202">
        <v>401005623</v>
      </c>
      <c r="F202">
        <v>401005623</v>
      </c>
      <c r="G202" t="s">
        <v>1091</v>
      </c>
      <c r="H202" t="s">
        <v>75</v>
      </c>
      <c r="I202">
        <v>2</v>
      </c>
      <c r="J202">
        <v>3</v>
      </c>
      <c r="L202">
        <v>3</v>
      </c>
      <c r="M202">
        <v>0</v>
      </c>
      <c r="N202">
        <v>0</v>
      </c>
      <c r="O202">
        <v>0</v>
      </c>
      <c r="P202">
        <v>0</v>
      </c>
      <c r="Q202">
        <v>3</v>
      </c>
      <c r="R202">
        <v>240</v>
      </c>
      <c r="S202">
        <v>1</v>
      </c>
      <c r="T202">
        <v>240</v>
      </c>
      <c r="U202">
        <v>0</v>
      </c>
      <c r="AI202">
        <v>240</v>
      </c>
      <c r="AJ202">
        <v>250</v>
      </c>
      <c r="AK202">
        <v>0</v>
      </c>
      <c r="AL202">
        <v>-10</v>
      </c>
      <c r="AM202">
        <v>250</v>
      </c>
      <c r="AZ202">
        <f>SUM($AM202,$AN202:AO202)-SUM($BH202:BJ202)</f>
        <v>250</v>
      </c>
      <c r="BA202">
        <f>SUM($AM202,$AN202:AP202)-SUM($BH202:BK202)</f>
        <v>250</v>
      </c>
      <c r="BB202">
        <f>SUM($AM202,$AN202:AQ202)-SUM($BH202:BL202)</f>
        <v>250</v>
      </c>
      <c r="BC202">
        <f>SUM($AM202,$AN202:AR202)-SUM($BH202:BM202)</f>
        <v>250</v>
      </c>
      <c r="BD202">
        <f>SUM($AM202,$AN202:AS202)-SUM($BH202:BN202)</f>
        <v>250</v>
      </c>
      <c r="BI202">
        <f t="array" ref="BI202">SUMPRODUCT(TRANSPOSE(BI$4:BI$9),$K202:$P202)</f>
        <v>0</v>
      </c>
      <c r="BJ202">
        <f t="array" ref="BJ202">SUMPRODUCT(TRANSPOSE(BJ$4:BJ$9),$K202:$P202)</f>
        <v>0</v>
      </c>
      <c r="BK202">
        <f t="array" ref="BK202">SUMPRODUCT(TRANSPOSE(BK$4:BK$9),$K202:$P202)</f>
        <v>0</v>
      </c>
      <c r="BL202">
        <f t="array" ref="BL202">SUMPRODUCT(TRANSPOSE(BL$4:BL$9),$K202:$P202)</f>
        <v>0</v>
      </c>
      <c r="BM202">
        <f t="array" ref="BM202">SUMPRODUCT(TRANSPOSE(BM$4:BM$9),$K202:$P202)</f>
        <v>0</v>
      </c>
      <c r="BN202">
        <f t="array" ref="BN202">SUMPRODUCT(TRANSPOSE(BN$4:BN$9),$K202:$P202)</f>
        <v>0</v>
      </c>
      <c r="BW202" t="s">
        <v>1067</v>
      </c>
      <c r="BX202" t="s">
        <v>1063</v>
      </c>
      <c r="CA202" t="s">
        <v>92</v>
      </c>
      <c r="CB202" t="s">
        <v>341</v>
      </c>
      <c r="CC202" t="s">
        <v>1090</v>
      </c>
      <c r="CD202" t="s">
        <v>1092</v>
      </c>
      <c r="CE202" t="s">
        <v>85</v>
      </c>
      <c r="CF202">
        <v>1</v>
      </c>
      <c r="CG202">
        <v>250</v>
      </c>
      <c r="CH202">
        <v>492.5</v>
      </c>
      <c r="CI202" t="s">
        <v>1093</v>
      </c>
      <c r="CJ202" s="1">
        <v>46185</v>
      </c>
      <c r="CN202" t="s">
        <v>96</v>
      </c>
    </row>
    <row r="203" spans="1:100">
      <c r="A203">
        <v>251</v>
      </c>
      <c r="B203" t="s">
        <v>1094</v>
      </c>
      <c r="C203" t="s">
        <v>1095</v>
      </c>
      <c r="D203" t="s">
        <v>81</v>
      </c>
      <c r="E203" t="s">
        <v>1096</v>
      </c>
      <c r="F203">
        <v>512306812</v>
      </c>
      <c r="G203" t="s">
        <v>346</v>
      </c>
      <c r="H203" t="s">
        <v>75</v>
      </c>
      <c r="I203">
        <v>2</v>
      </c>
      <c r="J203">
        <v>2</v>
      </c>
      <c r="L203">
        <v>2</v>
      </c>
      <c r="M203">
        <v>0</v>
      </c>
      <c r="N203">
        <v>0</v>
      </c>
      <c r="O203">
        <v>0</v>
      </c>
      <c r="P203">
        <v>0</v>
      </c>
      <c r="Q203">
        <v>2</v>
      </c>
      <c r="R203">
        <v>160</v>
      </c>
      <c r="S203">
        <v>1</v>
      </c>
      <c r="T203">
        <v>160</v>
      </c>
      <c r="U203">
        <v>0</v>
      </c>
      <c r="AI203">
        <v>160</v>
      </c>
      <c r="AJ203">
        <v>180</v>
      </c>
      <c r="AK203">
        <v>0</v>
      </c>
      <c r="AL203">
        <v>-140</v>
      </c>
      <c r="AM203">
        <v>300</v>
      </c>
      <c r="AZ203">
        <f>SUM($AM203,$AN203:AO203)-SUM($BH203:BJ203)</f>
        <v>300</v>
      </c>
      <c r="BA203">
        <f>SUM($AM203,$AN203:AP203)-SUM($BH203:BK203)</f>
        <v>300</v>
      </c>
      <c r="BB203">
        <f>SUM($AM203,$AN203:AQ203)-SUM($BH203:BL203)</f>
        <v>300</v>
      </c>
      <c r="BC203">
        <f>SUM($AM203,$AN203:AR203)-SUM($BH203:BM203)</f>
        <v>300</v>
      </c>
      <c r="BD203">
        <f>SUM($AM203,$AN203:AS203)-SUM($BH203:BN203)</f>
        <v>300</v>
      </c>
      <c r="BI203">
        <f t="array" ref="BI203">SUMPRODUCT(TRANSPOSE(BI$4:BI$9),$K203:$P203)</f>
        <v>0</v>
      </c>
      <c r="BJ203">
        <f t="array" ref="BJ203">SUMPRODUCT(TRANSPOSE(BJ$4:BJ$9),$K203:$P203)</f>
        <v>0</v>
      </c>
      <c r="BK203">
        <f t="array" ref="BK203">SUMPRODUCT(TRANSPOSE(BK$4:BK$9),$K203:$P203)</f>
        <v>0</v>
      </c>
      <c r="BL203">
        <f t="array" ref="BL203">SUMPRODUCT(TRANSPOSE(BL$4:BL$9),$K203:$P203)</f>
        <v>0</v>
      </c>
      <c r="BM203">
        <f t="array" ref="BM203">SUMPRODUCT(TRANSPOSE(BM$4:BM$9),$K203:$P203)</f>
        <v>0</v>
      </c>
      <c r="BN203">
        <f t="array" ref="BN203">SUMPRODUCT(TRANSPOSE(BN$4:BN$9),$K203:$P203)</f>
        <v>0</v>
      </c>
      <c r="BW203" t="s">
        <v>1067</v>
      </c>
      <c r="BX203" t="s">
        <v>92</v>
      </c>
      <c r="CA203" t="s">
        <v>92</v>
      </c>
      <c r="CB203" t="s">
        <v>348</v>
      </c>
      <c r="CC203" t="s">
        <v>1095</v>
      </c>
      <c r="CD203" t="s">
        <v>1097</v>
      </c>
      <c r="CE203" t="s">
        <v>85</v>
      </c>
      <c r="CF203">
        <v>1</v>
      </c>
      <c r="CG203">
        <v>180</v>
      </c>
      <c r="CH203">
        <v>45</v>
      </c>
      <c r="CI203" t="s">
        <v>1077</v>
      </c>
      <c r="CJ203" s="1">
        <v>46163</v>
      </c>
      <c r="CK203" t="s">
        <v>95</v>
      </c>
      <c r="CN203" t="s">
        <v>96</v>
      </c>
      <c r="CV203" t="s">
        <v>1078</v>
      </c>
    </row>
    <row r="204" spans="1:100">
      <c r="A204">
        <v>252</v>
      </c>
      <c r="B204" t="s">
        <v>1098</v>
      </c>
      <c r="C204" t="s">
        <v>1099</v>
      </c>
      <c r="D204" t="s">
        <v>81</v>
      </c>
      <c r="E204">
        <v>411707887</v>
      </c>
      <c r="F204">
        <v>411707887</v>
      </c>
      <c r="G204" t="s">
        <v>1100</v>
      </c>
      <c r="H204" t="s">
        <v>75</v>
      </c>
      <c r="I204">
        <v>1</v>
      </c>
      <c r="J204">
        <v>12</v>
      </c>
      <c r="L204">
        <v>12</v>
      </c>
      <c r="M204">
        <v>0</v>
      </c>
      <c r="N204">
        <v>0</v>
      </c>
      <c r="O204">
        <v>0</v>
      </c>
      <c r="P204">
        <v>0</v>
      </c>
      <c r="Q204">
        <v>12</v>
      </c>
      <c r="R204">
        <v>960</v>
      </c>
      <c r="S204">
        <v>1</v>
      </c>
      <c r="T204">
        <v>960</v>
      </c>
      <c r="U204">
        <v>0</v>
      </c>
      <c r="AI204">
        <v>960</v>
      </c>
      <c r="AJ204">
        <v>970</v>
      </c>
      <c r="AK204">
        <v>0</v>
      </c>
      <c r="AL204">
        <v>619</v>
      </c>
      <c r="AM204">
        <v>341</v>
      </c>
      <c r="AZ204">
        <f>SUM($AM204,$AN204:AO204)-SUM($BH204:BJ204)</f>
        <v>341</v>
      </c>
      <c r="BA204">
        <f>SUM($AM204,$AN204:AP204)-SUM($BH204:BK204)</f>
        <v>341</v>
      </c>
      <c r="BB204">
        <f>SUM($AM204,$AN204:AQ204)-SUM($BH204:BL204)</f>
        <v>341</v>
      </c>
      <c r="BC204">
        <f>SUM($AM204,$AN204:AR204)-SUM($BH204:BM204)</f>
        <v>341</v>
      </c>
      <c r="BD204">
        <f>SUM($AM204,$AN204:AS204)-SUM($BH204:BN204)</f>
        <v>341</v>
      </c>
      <c r="BI204">
        <f t="array" ref="BI204">SUMPRODUCT(TRANSPOSE(BI$4:BI$9),$K204:$P204)</f>
        <v>0</v>
      </c>
      <c r="BJ204">
        <f t="array" ref="BJ204">SUMPRODUCT(TRANSPOSE(BJ$4:BJ$9),$K204:$P204)</f>
        <v>0</v>
      </c>
      <c r="BK204">
        <f t="array" ref="BK204">SUMPRODUCT(TRANSPOSE(BK$4:BK$9),$K204:$P204)</f>
        <v>0</v>
      </c>
      <c r="BL204">
        <f t="array" ref="BL204">SUMPRODUCT(TRANSPOSE(BL$4:BL$9),$K204:$P204)</f>
        <v>0</v>
      </c>
      <c r="BM204">
        <f t="array" ref="BM204">SUMPRODUCT(TRANSPOSE(BM$4:BM$9),$K204:$P204)</f>
        <v>0</v>
      </c>
      <c r="BN204">
        <f t="array" ref="BN204">SUMPRODUCT(TRANSPOSE(BN$4:BN$9),$K204:$P204)</f>
        <v>0</v>
      </c>
      <c r="BW204" t="s">
        <v>1067</v>
      </c>
      <c r="BX204" t="s">
        <v>92</v>
      </c>
      <c r="CA204" t="s">
        <v>92</v>
      </c>
      <c r="CB204" t="s">
        <v>1101</v>
      </c>
      <c r="CC204" t="s">
        <v>1099</v>
      </c>
      <c r="CD204" t="s">
        <v>1102</v>
      </c>
      <c r="CE204" t="s">
        <v>85</v>
      </c>
      <c r="CF204">
        <v>1</v>
      </c>
      <c r="CG204">
        <v>960</v>
      </c>
      <c r="CH204">
        <v>1392</v>
      </c>
      <c r="CI204" t="s">
        <v>1077</v>
      </c>
      <c r="CJ204" s="1">
        <v>46163</v>
      </c>
      <c r="CK204" t="s">
        <v>95</v>
      </c>
      <c r="CN204" t="s">
        <v>96</v>
      </c>
      <c r="CV204" t="s">
        <v>1078</v>
      </c>
    </row>
    <row r="205" spans="1:100">
      <c r="A205">
        <v>253</v>
      </c>
      <c r="B205" t="s">
        <v>1103</v>
      </c>
      <c r="C205" t="s">
        <v>1104</v>
      </c>
      <c r="D205" t="s">
        <v>81</v>
      </c>
      <c r="E205" t="s">
        <v>1105</v>
      </c>
      <c r="F205">
        <v>512212317</v>
      </c>
      <c r="G205" t="s">
        <v>346</v>
      </c>
      <c r="H205" t="s">
        <v>75</v>
      </c>
      <c r="I205">
        <v>2</v>
      </c>
      <c r="J205">
        <v>6</v>
      </c>
      <c r="L205">
        <v>6</v>
      </c>
      <c r="M205">
        <v>0</v>
      </c>
      <c r="N205">
        <v>0</v>
      </c>
      <c r="O205">
        <v>0</v>
      </c>
      <c r="P205">
        <v>0</v>
      </c>
      <c r="Q205">
        <v>6</v>
      </c>
      <c r="R205">
        <v>480</v>
      </c>
      <c r="S205">
        <v>1</v>
      </c>
      <c r="T205">
        <v>480</v>
      </c>
      <c r="U205">
        <v>0</v>
      </c>
      <c r="AI205">
        <v>480</v>
      </c>
      <c r="AJ205">
        <v>480</v>
      </c>
      <c r="AK205">
        <v>0</v>
      </c>
      <c r="AL205">
        <v>0</v>
      </c>
      <c r="AM205">
        <v>480</v>
      </c>
      <c r="AZ205">
        <f>SUM($AM205,$AN205:AO205)-SUM($BH205:BJ205)</f>
        <v>480</v>
      </c>
      <c r="BA205">
        <f>SUM($AM205,$AN205:AP205)-SUM($BH205:BK205)</f>
        <v>480</v>
      </c>
      <c r="BB205">
        <f>SUM($AM205,$AN205:AQ205)-SUM($BH205:BL205)</f>
        <v>480</v>
      </c>
      <c r="BC205">
        <f>SUM($AM205,$AN205:AR205)-SUM($BH205:BM205)</f>
        <v>480</v>
      </c>
      <c r="BD205">
        <f>SUM($AM205,$AN205:AS205)-SUM($BH205:BN205)</f>
        <v>480</v>
      </c>
      <c r="BI205">
        <f t="array" ref="BI205">SUMPRODUCT(TRANSPOSE(BI$4:BI$9),$K205:$P205)</f>
        <v>0</v>
      </c>
      <c r="BJ205">
        <f t="array" ref="BJ205">SUMPRODUCT(TRANSPOSE(BJ$4:BJ$9),$K205:$P205)</f>
        <v>0</v>
      </c>
      <c r="BK205">
        <f t="array" ref="BK205">SUMPRODUCT(TRANSPOSE(BK$4:BK$9),$K205:$P205)</f>
        <v>0</v>
      </c>
      <c r="BL205">
        <f t="array" ref="BL205">SUMPRODUCT(TRANSPOSE(BL$4:BL$9),$K205:$P205)</f>
        <v>0</v>
      </c>
      <c r="BM205">
        <f t="array" ref="BM205">SUMPRODUCT(TRANSPOSE(BM$4:BM$9),$K205:$P205)</f>
        <v>0</v>
      </c>
      <c r="BN205">
        <f t="array" ref="BN205">SUMPRODUCT(TRANSPOSE(BN$4:BN$9),$K205:$P205)</f>
        <v>0</v>
      </c>
      <c r="BW205" t="s">
        <v>1067</v>
      </c>
      <c r="BX205" t="s">
        <v>1063</v>
      </c>
      <c r="CA205" t="s">
        <v>92</v>
      </c>
      <c r="CB205" t="s">
        <v>1101</v>
      </c>
      <c r="CC205" t="s">
        <v>1104</v>
      </c>
      <c r="CD205" t="s">
        <v>1106</v>
      </c>
      <c r="CE205" t="s">
        <v>85</v>
      </c>
      <c r="CF205">
        <v>1</v>
      </c>
      <c r="CG205">
        <v>500</v>
      </c>
      <c r="CH205">
        <v>100</v>
      </c>
      <c r="CI205" t="s">
        <v>1107</v>
      </c>
      <c r="CJ205" s="1">
        <v>46153</v>
      </c>
      <c r="CK205" t="s">
        <v>95</v>
      </c>
      <c r="CN205" t="s">
        <v>96</v>
      </c>
    </row>
    <row r="208" spans="1:100">
      <c r="L208">
        <v>68.574000000000012</v>
      </c>
      <c r="M208">
        <v>2864.712500000001</v>
      </c>
      <c r="N208">
        <v>3343.3200883999989</v>
      </c>
      <c r="O208">
        <v>505.84839919999979</v>
      </c>
      <c r="P208">
        <v>6782.4549876000001</v>
      </c>
      <c r="Q208">
        <v>13496.3359752</v>
      </c>
    </row>
    <row r="209" spans="12:62">
      <c r="L209">
        <v>408526888</v>
      </c>
      <c r="M209">
        <v>407204730</v>
      </c>
      <c r="N209">
        <v>407199654</v>
      </c>
      <c r="O209">
        <v>408167562</v>
      </c>
      <c r="P209">
        <v>417493560</v>
      </c>
      <c r="Q209">
        <v>1640065506</v>
      </c>
    </row>
    <row r="212" spans="12:62">
      <c r="BJ212">
        <f>20*31</f>
        <v>620</v>
      </c>
    </row>
    <row r="213" spans="12:62">
      <c r="L213">
        <v>0</v>
      </c>
      <c r="M213">
        <v>1</v>
      </c>
      <c r="N213">
        <v>2</v>
      </c>
      <c r="O213">
        <v>2</v>
      </c>
      <c r="P213">
        <v>2</v>
      </c>
    </row>
    <row r="214" spans="12:62">
      <c r="L214" t="s">
        <v>7</v>
      </c>
      <c r="M214" t="s">
        <v>8</v>
      </c>
      <c r="N214" t="s">
        <v>9</v>
      </c>
      <c r="O214" t="s">
        <v>10</v>
      </c>
      <c r="P214" t="s">
        <v>438</v>
      </c>
    </row>
  </sheetData>
  <autoFilter ref="A10:CV209" xr:uid="{00000000-0001-0000-0000-000000000000}"/>
  <mergeCells count="3">
    <mergeCell ref="AN7:AT9"/>
    <mergeCell ref="AX1:BD3"/>
    <mergeCell ref="BH1:BN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Amram Oren</cp:lastModifiedBy>
  <cp:revision/>
  <dcterms:created xsi:type="dcterms:W3CDTF">2026-08-07T06:21:28Z</dcterms:created>
  <dcterms:modified xsi:type="dcterms:W3CDTF">2026-08-08T11:24:01Z</dcterms:modified>
  <cp:category/>
  <cp:contentStatus/>
</cp:coreProperties>
</file>