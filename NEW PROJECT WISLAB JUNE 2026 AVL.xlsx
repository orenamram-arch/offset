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27403\Desktop\"/>
    </mc:Choice>
  </mc:AlternateContent>
  <xr:revisionPtr revIDLastSave="0" documentId="8_{8962819D-5E70-4897-840F-01B768C086A6}" xr6:coauthVersionLast="47" xr6:coauthVersionMax="47" xr10:uidLastSave="{00000000-0000-0000-0000-000000000000}"/>
  <bookViews>
    <workbookView xWindow="22932" yWindow="-108" windowWidth="23256" windowHeight="12576" xr2:uid="{C3BFABE7-743E-44F6-874E-9BB7E6E3E289}"/>
  </bookViews>
  <sheets>
    <sheet name="AVL" sheetId="1" r:id="rId1"/>
    <sheet name="FF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_____DAT1">#REF!</definedName>
    <definedName name="______DAT10">'[4]רכש 20 כרטיסים'!#REF!</definedName>
    <definedName name="______DAT11">'[4]רכש 20 כרטיסים'!#REF!</definedName>
    <definedName name="______DAT12">'[4]רכש 20 כרטיסים'!#REF!</definedName>
    <definedName name="______DAT13">'[4]רכש 20 כרטיסים'!#REF!</definedName>
    <definedName name="______DAT15">#REF!</definedName>
    <definedName name="______DAT16">#REF!</definedName>
    <definedName name="______DAT2">'[4]רכש 20 כרטיסים'!#REF!</definedName>
    <definedName name="______DAT3">'[4]רכש 20 כרטיסים'!#REF!</definedName>
    <definedName name="______DAT4">'[4]רכש 20 כרטיסים'!#REF!</definedName>
    <definedName name="______DAT5">'[4]רכש 20 כרטיסים'!#REF!</definedName>
    <definedName name="______DAT6">#REF!</definedName>
    <definedName name="______DAT7">#REF!</definedName>
    <definedName name="______DAT8">'[4]רכש 20 כרטיסים'!#REF!</definedName>
    <definedName name="______DAT9">'[4]רכש 20 כרטיסים'!#REF!</definedName>
    <definedName name="______USE2">#REF!</definedName>
    <definedName name="_____DAT1">#REF!</definedName>
    <definedName name="_____DAT10">'[4]רכש 20 כרטיסים'!#REF!</definedName>
    <definedName name="_____DAT11">'[4]רכש 20 כרטיסים'!#REF!</definedName>
    <definedName name="_____DAT12">'[4]רכש 20 כרטיסים'!#REF!</definedName>
    <definedName name="_____DAT13">'[4]רכש 20 כרטיסים'!#REF!</definedName>
    <definedName name="_____DAT14">'[4]רכש 20 כרטיסים'!#REF!</definedName>
    <definedName name="_____DAT15">#REF!</definedName>
    <definedName name="_____DAT16">#REF!</definedName>
    <definedName name="_____DAT2">'[4]רכש 20 כרטיסים'!#REF!</definedName>
    <definedName name="_____DAT3">'[4]רכש 20 כרטיסים'!#REF!</definedName>
    <definedName name="_____DAT4">'[4]רכש 20 כרטיסים'!#REF!</definedName>
    <definedName name="_____DAT5">'[4]רכש 20 כרטיסים'!#REF!</definedName>
    <definedName name="_____DAT6">#REF!</definedName>
    <definedName name="_____DAT7">#REF!</definedName>
    <definedName name="_____DAT8">'[4]רכש 20 כרטיסים'!#REF!</definedName>
    <definedName name="_____DAT9">'[4]רכש 20 כרטיסים'!#REF!</definedName>
    <definedName name="_____USE2">#REF!</definedName>
    <definedName name="____DAT1">#REF!</definedName>
    <definedName name="____DAT10">'[4]רכש 20 כרטיסים'!#REF!</definedName>
    <definedName name="____DAT11">'[4]רכש 20 כרטיסים'!#REF!</definedName>
    <definedName name="____DAT12">'[4]רכש 20 כרטיסים'!#REF!</definedName>
    <definedName name="____DAT13">'[4]רכש 20 כרטיסים'!#REF!</definedName>
    <definedName name="____DAT14">'[4]רכש 20 כרטיסים'!#REF!</definedName>
    <definedName name="____DAT15">#REF!</definedName>
    <definedName name="____DAT16">#REF!</definedName>
    <definedName name="____DAT2">'[4]רכש 20 כרטיסים'!#REF!</definedName>
    <definedName name="____DAT3">'[4]רכש 20 כרטיסים'!#REF!</definedName>
    <definedName name="____DAT4">'[4]רכש 20 כרטיסים'!#REF!</definedName>
    <definedName name="____DAT5">'[4]רכש 20 כרטיסים'!#REF!</definedName>
    <definedName name="____DAT6">#REF!</definedName>
    <definedName name="____DAT7">#REF!</definedName>
    <definedName name="____DAT8">'[4]רכש 20 כרטיסים'!#REF!</definedName>
    <definedName name="____DAT9">'[4]רכש 20 כרטיסים'!#REF!</definedName>
    <definedName name="____USE2">#REF!</definedName>
    <definedName name="___DAT1">#REF!</definedName>
    <definedName name="___DAT10">'[4]רכש 20 כרטיסים'!#REF!</definedName>
    <definedName name="___DAT11">'[4]רכש 20 כרטיסים'!#REF!</definedName>
    <definedName name="___DAT12">'[4]רכש 20 כרטיסים'!#REF!</definedName>
    <definedName name="___DAT13">'[4]רכש 20 כרטיסים'!#REF!</definedName>
    <definedName name="___DAT14">'[4]רכש 20 כרטיסים'!#REF!</definedName>
    <definedName name="___DAT15">#REF!</definedName>
    <definedName name="___DAT16">#REF!</definedName>
    <definedName name="___DAT2">'[4]רכש 20 כרטיסים'!#REF!</definedName>
    <definedName name="___DAT3">'[4]רכש 20 כרטיסים'!#REF!</definedName>
    <definedName name="___DAT4">'[4]רכש 20 כרטיסים'!#REF!</definedName>
    <definedName name="___DAT5">'[4]רכש 20 כרטיסים'!#REF!</definedName>
    <definedName name="___DAT6">#REF!</definedName>
    <definedName name="___DAT7">#REF!</definedName>
    <definedName name="___DAT8">'[4]רכש 20 כרטיסים'!#REF!</definedName>
    <definedName name="___DAT9">'[4]רכש 20 כרטיסים'!#REF!</definedName>
    <definedName name="___USE2">#REF!</definedName>
    <definedName name="__DAT1">#REF!</definedName>
    <definedName name="__DAT10">'[4]רכש 20 כרטיסים'!#REF!</definedName>
    <definedName name="__DAT11">'[4]רכש 20 כרטיסים'!#REF!</definedName>
    <definedName name="__DAT12">'[4]רכש 20 כרטיסים'!#REF!</definedName>
    <definedName name="__DAT13">'[4]רכש 20 כרטיסים'!#REF!</definedName>
    <definedName name="__DAT14">'[4]רכש 20 כרטיסים'!#REF!</definedName>
    <definedName name="__DAT15">#REF!</definedName>
    <definedName name="__DAT16">#REF!</definedName>
    <definedName name="__DAT2">'[4]רכש 20 כרטיסים'!#REF!</definedName>
    <definedName name="__DAT3">'[4]רכש 20 כרטיסים'!#REF!</definedName>
    <definedName name="__DAT4">'[4]רכש 20 כרטיסים'!#REF!</definedName>
    <definedName name="__DAT5">'[4]רכש 20 כרטיסים'!#REF!</definedName>
    <definedName name="__DAT6">#REF!</definedName>
    <definedName name="__DAT7">#REF!</definedName>
    <definedName name="__DAT8">'[4]רכש 20 כרטיסים'!#REF!</definedName>
    <definedName name="__DAT9">'[4]רכש 20 כרטיסים'!#REF!</definedName>
    <definedName name="__USE2">#REF!</definedName>
    <definedName name="_1">'[4]רכש 20 כרטיסים'!#REF!</definedName>
    <definedName name="_DAT1">#REF!</definedName>
    <definedName name="_DAT10">'[4]רכש 20 כרטיסים'!#REF!</definedName>
    <definedName name="_DAT11">'[4]רכש 20 כרטיסים'!#REF!</definedName>
    <definedName name="_DAT12">'[4]רכש 20 כרטיסים'!#REF!</definedName>
    <definedName name="_DAT13">'[4]רכש 20 כרטיסים'!#REF!</definedName>
    <definedName name="_DAT14">'[4]רכש 20 כרטיסים'!#REF!</definedName>
    <definedName name="_DAT15">#REF!</definedName>
    <definedName name="_DAT16">#REF!</definedName>
    <definedName name="_DAT2">'[4]רכש 20 כרטיסים'!#REF!</definedName>
    <definedName name="_DAT3">'[4]רכש 20 כרטיסים'!#REF!</definedName>
    <definedName name="_DAT4">'[4]רכש 20 כרטיסים'!#REF!</definedName>
    <definedName name="_DAT5">'[4]רכש 20 כרטיסים'!#REF!</definedName>
    <definedName name="_DAT6">#REF!</definedName>
    <definedName name="_DAT7">#REF!</definedName>
    <definedName name="_DAT8">'[4]רכש 20 כרטיסים'!#REF!</definedName>
    <definedName name="_DAT9">'[4]רכש 20 כרטיסים'!#REF!</definedName>
    <definedName name="_xlnm._FilterDatabase" localSheetId="0" hidden="1">AVL!$A$17:$CX$17</definedName>
    <definedName name="_xlnm._FilterDatabase" localSheetId="1" hidden="1">FFF!$B$1:$E$674</definedName>
    <definedName name="_USE2">#REF!</definedName>
    <definedName name="A_DR">'[5]DB בניה של תלות זמן'!$F$40:$V$41</definedName>
    <definedName name="_xlnm.Criteria" localSheetId="0">AVL!#REF!</definedName>
    <definedName name="DATA">'[5]תכנון לסוף הפרויקט לפיתוח'!$BM$1:$BP$19</definedName>
    <definedName name="DR">'[5]תכנון לסוף הפרויקט לפיתוח'!$BN$2:$BO$18</definedName>
    <definedName name="LIST">'[6]הגשת הצעה ללקוח'!$N$4:$S$13</definedName>
    <definedName name="LIST1">'[6]הגשת הצעה ללקוח'!$N$4:$U$13</definedName>
    <definedName name="NAME">'[6]הגשת הצעה ללקוח'!$P$16:$Q$30</definedName>
    <definedName name="NEWTBL">'[5]DB בניה של תלות זמן'!$I$5:$M$21</definedName>
    <definedName name="PTIME">'[5]DB בניה של תלות זמן'!$F$33:$Q$33</definedName>
    <definedName name="S1TBL">'[5]DB בניה של תלות זמן'!$F$26:$V$30</definedName>
    <definedName name="S2TBL">'[5]DB בניה של תלות זמן'!$F$26:$W$30</definedName>
    <definedName name="SAPBEXdnldView" hidden="1">"8OSFLDRUJSGFW13XQ0SJCKUN9"</definedName>
    <definedName name="SAPBEXsysID" hidden="1">"BWP"</definedName>
    <definedName name="table1">#REF!</definedName>
    <definedName name="TEST0">#REF!</definedName>
    <definedName name="TESTHKEY">#REF!</definedName>
    <definedName name="TESTKEYS">#REF!</definedName>
    <definedName name="TESTVKE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4" i="1" l="1"/>
  <c r="K14" i="1"/>
  <c r="L14" i="1"/>
  <c r="M14" i="1"/>
  <c r="N14" i="1"/>
  <c r="O14" i="1"/>
  <c r="P14" i="1"/>
  <c r="Q14" i="1"/>
  <c r="R14" i="1"/>
  <c r="S14" i="1"/>
  <c r="T14" i="1"/>
  <c r="U14" i="1"/>
  <c r="V14" i="1"/>
  <c r="I14" i="1"/>
  <c r="BJ285" i="1"/>
  <c r="BG297" i="1"/>
  <c r="BY281" i="1" a="1"/>
  <c r="BY281" i="1" s="1"/>
  <c r="BZ281" i="1" a="1"/>
  <c r="BZ281" i="1" s="1"/>
  <c r="CA281" i="1" a="1"/>
  <c r="CA281" i="1" s="1"/>
  <c r="CB281" i="1" a="1"/>
  <c r="CB281" i="1" s="1"/>
  <c r="CC281" i="1" a="1"/>
  <c r="CC281" i="1" s="1"/>
  <c r="CD281" i="1" a="1"/>
  <c r="CD281" i="1" s="1"/>
  <c r="CE281" i="1" a="1"/>
  <c r="CE281" i="1" s="1"/>
  <c r="CF281" i="1" a="1"/>
  <c r="CF281" i="1" s="1"/>
  <c r="CG281" i="1" a="1"/>
  <c r="CG281" i="1" s="1"/>
  <c r="CH281" i="1" a="1"/>
  <c r="CH281" i="1" s="1"/>
  <c r="CI281" i="1" a="1"/>
  <c r="CI281" i="1" s="1"/>
  <c r="CJ281" i="1" a="1"/>
  <c r="CJ281" i="1" s="1"/>
  <c r="CK281" i="1" a="1"/>
  <c r="CK281" i="1" s="1"/>
  <c r="CL281" i="1" a="1"/>
  <c r="CL281" i="1" s="1"/>
  <c r="CM281" i="1" a="1"/>
  <c r="CM281" i="1" s="1"/>
  <c r="CN281" i="1" a="1"/>
  <c r="CN281" i="1" s="1"/>
  <c r="CO281" i="1" a="1"/>
  <c r="CO281" i="1" s="1"/>
  <c r="CP281" i="1" a="1"/>
  <c r="CP281" i="1" s="1"/>
  <c r="CQ281" i="1" a="1"/>
  <c r="CQ281" i="1" s="1"/>
  <c r="BY282" i="1" a="1"/>
  <c r="BY282" i="1" s="1"/>
  <c r="BZ282" i="1" a="1"/>
  <c r="BZ282" i="1" s="1"/>
  <c r="CA282" i="1" a="1"/>
  <c r="CA282" i="1" s="1"/>
  <c r="CB282" i="1" a="1"/>
  <c r="CB282" i="1" s="1"/>
  <c r="CC282" i="1" a="1"/>
  <c r="CC282" i="1" s="1"/>
  <c r="CD282" i="1" a="1"/>
  <c r="CD282" i="1" s="1"/>
  <c r="CE282" i="1" a="1"/>
  <c r="CE282" i="1" s="1"/>
  <c r="CF282" i="1" a="1"/>
  <c r="CF282" i="1" s="1"/>
  <c r="CG282" i="1" a="1"/>
  <c r="CG282" i="1" s="1"/>
  <c r="CH282" i="1" a="1"/>
  <c r="CH282" i="1" s="1"/>
  <c r="CI282" i="1" a="1"/>
  <c r="CI282" i="1" s="1"/>
  <c r="CJ282" i="1" a="1"/>
  <c r="CJ282" i="1" s="1"/>
  <c r="CK282" i="1" a="1"/>
  <c r="CK282" i="1" s="1"/>
  <c r="CL282" i="1" a="1"/>
  <c r="CL282" i="1" s="1"/>
  <c r="CM282" i="1" a="1"/>
  <c r="CM282" i="1" s="1"/>
  <c r="CN282" i="1" a="1"/>
  <c r="CN282" i="1" s="1"/>
  <c r="CO282" i="1" a="1"/>
  <c r="CO282" i="1" s="1"/>
  <c r="CP282" i="1" a="1"/>
  <c r="CP282" i="1" s="1"/>
  <c r="CQ282" i="1" a="1"/>
  <c r="CQ282" i="1" s="1"/>
  <c r="BY283" i="1" a="1"/>
  <c r="BY283" i="1" s="1"/>
  <c r="BZ283" i="1" a="1"/>
  <c r="BZ283" i="1" s="1"/>
  <c r="BN283" i="1" s="1"/>
  <c r="CA283" i="1" a="1"/>
  <c r="CA283" i="1" s="1"/>
  <c r="CB283" i="1" a="1"/>
  <c r="CB283" i="1" s="1"/>
  <c r="CC283" i="1" a="1"/>
  <c r="CC283" i="1" s="1"/>
  <c r="CD283" i="1" a="1"/>
  <c r="CD283" i="1" s="1"/>
  <c r="CE283" i="1" a="1"/>
  <c r="CE283" i="1" s="1"/>
  <c r="CF283" i="1" a="1"/>
  <c r="CF283" i="1" s="1"/>
  <c r="CG283" i="1" a="1"/>
  <c r="CG283" i="1" s="1"/>
  <c r="CH283" i="1" a="1"/>
  <c r="CH283" i="1" s="1"/>
  <c r="CI283" i="1" a="1"/>
  <c r="CI283" i="1" s="1"/>
  <c r="CJ283" i="1" a="1"/>
  <c r="CJ283" i="1" s="1"/>
  <c r="CK283" i="1" a="1"/>
  <c r="CK283" i="1" s="1"/>
  <c r="CL283" i="1" a="1"/>
  <c r="CL283" i="1" s="1"/>
  <c r="CM283" i="1" a="1"/>
  <c r="CM283" i="1" s="1"/>
  <c r="CN283" i="1" a="1"/>
  <c r="CN283" i="1" s="1"/>
  <c r="CO283" i="1" a="1"/>
  <c r="CO283" i="1" s="1"/>
  <c r="CP283" i="1" a="1"/>
  <c r="CP283" i="1" s="1"/>
  <c r="CQ283" i="1" a="1"/>
  <c r="CQ283" i="1" s="1"/>
  <c r="BY284" i="1" a="1"/>
  <c r="BY284" i="1" s="1"/>
  <c r="BZ284" i="1" a="1"/>
  <c r="BZ284" i="1" s="1"/>
  <c r="CA284" i="1" a="1"/>
  <c r="CA284" i="1"/>
  <c r="CB284" i="1" a="1"/>
  <c r="CB284" i="1" s="1"/>
  <c r="CC284" i="1" a="1"/>
  <c r="CC284" i="1" s="1"/>
  <c r="CD284" i="1" a="1"/>
  <c r="CD284" i="1" s="1"/>
  <c r="CE284" i="1" a="1"/>
  <c r="CE284" i="1" s="1"/>
  <c r="CF284" i="1" a="1"/>
  <c r="CF284" i="1" s="1"/>
  <c r="CG284" i="1" a="1"/>
  <c r="CG284" i="1" s="1"/>
  <c r="CH284" i="1" a="1"/>
  <c r="CH284" i="1" s="1"/>
  <c r="CI284" i="1" a="1"/>
  <c r="CI284" i="1" s="1"/>
  <c r="CJ284" i="1" a="1"/>
  <c r="CJ284" i="1" s="1"/>
  <c r="CK284" i="1" a="1"/>
  <c r="CK284" i="1" s="1"/>
  <c r="CL284" i="1" a="1"/>
  <c r="CL284" i="1" s="1"/>
  <c r="CM284" i="1" a="1"/>
  <c r="CM284" i="1" s="1"/>
  <c r="CN284" i="1" a="1"/>
  <c r="CN284" i="1" s="1"/>
  <c r="CO284" i="1" a="1"/>
  <c r="CO284" i="1" s="1"/>
  <c r="CP284" i="1" a="1"/>
  <c r="CP284" i="1" s="1"/>
  <c r="CQ284" i="1" a="1"/>
  <c r="CQ284" i="1" s="1"/>
  <c r="BY285" i="1" a="1"/>
  <c r="BY285" i="1" s="1"/>
  <c r="BZ285" i="1" a="1"/>
  <c r="BZ285" i="1" s="1"/>
  <c r="CA285" i="1" a="1"/>
  <c r="CA285" i="1" s="1"/>
  <c r="CB285" i="1" a="1"/>
  <c r="CB285" i="1" s="1"/>
  <c r="CC285" i="1" a="1"/>
  <c r="CC285" i="1" s="1"/>
  <c r="CD285" i="1" a="1"/>
  <c r="CD285" i="1" s="1"/>
  <c r="CE285" i="1" a="1"/>
  <c r="CE285" i="1" s="1"/>
  <c r="CF285" i="1" a="1"/>
  <c r="CF285" i="1" s="1"/>
  <c r="CG285" i="1" a="1"/>
  <c r="CG285" i="1" s="1"/>
  <c r="CH285" i="1" a="1"/>
  <c r="CH285" i="1" s="1"/>
  <c r="CI285" i="1" a="1"/>
  <c r="CI285" i="1" s="1"/>
  <c r="CJ285" i="1" a="1"/>
  <c r="CJ285" i="1" s="1"/>
  <c r="CK285" i="1" a="1"/>
  <c r="CK285" i="1" s="1"/>
  <c r="CL285" i="1" a="1"/>
  <c r="CL285" i="1" s="1"/>
  <c r="CM285" i="1" a="1"/>
  <c r="CM285" i="1" s="1"/>
  <c r="CN285" i="1" a="1"/>
  <c r="CN285" i="1" s="1"/>
  <c r="CO285" i="1" a="1"/>
  <c r="CO285" i="1" s="1"/>
  <c r="CP285" i="1" a="1"/>
  <c r="CP285" i="1" s="1"/>
  <c r="CQ285" i="1" a="1"/>
  <c r="CQ285" i="1" s="1"/>
  <c r="BY286" i="1" a="1"/>
  <c r="BY286" i="1"/>
  <c r="BZ286" i="1" a="1"/>
  <c r="BZ286" i="1" s="1"/>
  <c r="BH286" i="1" s="1"/>
  <c r="CA286" i="1" a="1"/>
  <c r="CA286" i="1" s="1"/>
  <c r="CB286" i="1" a="1"/>
  <c r="CB286" i="1" s="1"/>
  <c r="CC286" i="1" a="1"/>
  <c r="CC286" i="1" s="1"/>
  <c r="CD286" i="1" a="1"/>
  <c r="CD286" i="1" s="1"/>
  <c r="CE286" i="1" a="1"/>
  <c r="CE286" i="1" s="1"/>
  <c r="CF286" i="1" a="1"/>
  <c r="CF286" i="1" s="1"/>
  <c r="CG286" i="1" a="1"/>
  <c r="CG286" i="1"/>
  <c r="CH286" i="1" a="1"/>
  <c r="CH286" i="1" s="1"/>
  <c r="CI286" i="1" a="1"/>
  <c r="CI286" i="1" s="1"/>
  <c r="CJ286" i="1" a="1"/>
  <c r="CJ286" i="1" s="1"/>
  <c r="CK286" i="1" a="1"/>
  <c r="CK286" i="1" s="1"/>
  <c r="CL286" i="1" a="1"/>
  <c r="CL286" i="1" s="1"/>
  <c r="CM286" i="1" a="1"/>
  <c r="CM286" i="1" s="1"/>
  <c r="CN286" i="1" a="1"/>
  <c r="CN286" i="1" s="1"/>
  <c r="CO286" i="1" a="1"/>
  <c r="CO286" i="1" s="1"/>
  <c r="CP286" i="1" a="1"/>
  <c r="CP286" i="1" s="1"/>
  <c r="CQ286" i="1" a="1"/>
  <c r="CQ286" i="1" s="1"/>
  <c r="BY287" i="1" a="1"/>
  <c r="BY287" i="1" s="1"/>
  <c r="BH287" i="1" s="1"/>
  <c r="BZ287" i="1" a="1"/>
  <c r="BZ287" i="1" s="1"/>
  <c r="CA287" i="1" a="1"/>
  <c r="CA287" i="1" s="1"/>
  <c r="CB287" i="1" a="1"/>
  <c r="CB287" i="1" s="1"/>
  <c r="CC287" i="1" a="1"/>
  <c r="CC287" i="1" s="1"/>
  <c r="CD287" i="1" a="1"/>
  <c r="CD287" i="1" s="1"/>
  <c r="CE287" i="1" a="1"/>
  <c r="CE287" i="1" s="1"/>
  <c r="CF287" i="1" a="1"/>
  <c r="CF287" i="1" s="1"/>
  <c r="CG287" i="1" a="1"/>
  <c r="CG287" i="1" s="1"/>
  <c r="CH287" i="1" a="1"/>
  <c r="CH287" i="1" s="1"/>
  <c r="CI287" i="1" a="1"/>
  <c r="CI287" i="1" s="1"/>
  <c r="CJ287" i="1" a="1"/>
  <c r="CJ287" i="1" s="1"/>
  <c r="CK287" i="1" a="1"/>
  <c r="CK287" i="1" s="1"/>
  <c r="CL287" i="1" a="1"/>
  <c r="CL287" i="1" s="1"/>
  <c r="CM287" i="1" a="1"/>
  <c r="CM287" i="1" s="1"/>
  <c r="CN287" i="1" a="1"/>
  <c r="CN287" i="1" s="1"/>
  <c r="CO287" i="1" a="1"/>
  <c r="CO287" i="1" s="1"/>
  <c r="CP287" i="1" a="1"/>
  <c r="CP287" i="1" s="1"/>
  <c r="CQ287" i="1" a="1"/>
  <c r="CQ287" i="1" s="1"/>
  <c r="BY288" i="1" a="1"/>
  <c r="BY288" i="1" s="1"/>
  <c r="BZ288" i="1" a="1"/>
  <c r="BZ288" i="1" s="1"/>
  <c r="CA288" i="1" a="1"/>
  <c r="CA288" i="1" s="1"/>
  <c r="CB288" i="1" a="1"/>
  <c r="CB288" i="1" s="1"/>
  <c r="CC288" i="1" a="1"/>
  <c r="CC288" i="1" s="1"/>
  <c r="CD288" i="1" a="1"/>
  <c r="CD288" i="1" s="1"/>
  <c r="CE288" i="1" a="1"/>
  <c r="CE288" i="1" s="1"/>
  <c r="CF288" i="1" a="1"/>
  <c r="CF288" i="1" s="1"/>
  <c r="CG288" i="1" a="1"/>
  <c r="CG288" i="1" s="1"/>
  <c r="CH288" i="1" a="1"/>
  <c r="CH288" i="1" s="1"/>
  <c r="CI288" i="1" a="1"/>
  <c r="CI288" i="1" s="1"/>
  <c r="CJ288" i="1" a="1"/>
  <c r="CJ288" i="1" s="1"/>
  <c r="CK288" i="1" a="1"/>
  <c r="CK288" i="1" s="1"/>
  <c r="CL288" i="1" a="1"/>
  <c r="CL288" i="1" s="1"/>
  <c r="CM288" i="1" a="1"/>
  <c r="CM288" i="1" s="1"/>
  <c r="CN288" i="1" a="1"/>
  <c r="CN288" i="1" s="1"/>
  <c r="CO288" i="1" a="1"/>
  <c r="CO288" i="1" s="1"/>
  <c r="CP288" i="1" a="1"/>
  <c r="CP288" i="1" s="1"/>
  <c r="CQ288" i="1" a="1"/>
  <c r="CQ288" i="1" s="1"/>
  <c r="BY289" i="1" a="1"/>
  <c r="BY289" i="1" s="1"/>
  <c r="BZ289" i="1" a="1"/>
  <c r="BZ289" i="1" s="1"/>
  <c r="CA289" i="1" a="1"/>
  <c r="CA289" i="1" s="1"/>
  <c r="CB289" i="1" a="1"/>
  <c r="CB289" i="1" s="1"/>
  <c r="CC289" i="1" a="1"/>
  <c r="CC289" i="1" s="1"/>
  <c r="CD289" i="1" a="1"/>
  <c r="CD289" i="1" s="1"/>
  <c r="CE289" i="1" a="1"/>
  <c r="CE289" i="1" s="1"/>
  <c r="CF289" i="1" a="1"/>
  <c r="CF289" i="1" s="1"/>
  <c r="CG289" i="1" a="1"/>
  <c r="CG289" i="1" s="1"/>
  <c r="CH289" i="1" a="1"/>
  <c r="CH289" i="1" s="1"/>
  <c r="CI289" i="1" a="1"/>
  <c r="CI289" i="1" s="1"/>
  <c r="CJ289" i="1" a="1"/>
  <c r="CJ289" i="1" s="1"/>
  <c r="CK289" i="1" a="1"/>
  <c r="CK289" i="1" s="1"/>
  <c r="CL289" i="1" a="1"/>
  <c r="CL289" i="1" s="1"/>
  <c r="CM289" i="1" a="1"/>
  <c r="CM289" i="1" s="1"/>
  <c r="CN289" i="1" a="1"/>
  <c r="CN289" i="1" s="1"/>
  <c r="CO289" i="1" a="1"/>
  <c r="CO289" i="1" s="1"/>
  <c r="CP289" i="1" a="1"/>
  <c r="CP289" i="1" s="1"/>
  <c r="CQ289" i="1" a="1"/>
  <c r="CQ289" i="1" s="1"/>
  <c r="BY290" i="1" a="1"/>
  <c r="BY290" i="1" s="1"/>
  <c r="BZ290" i="1" a="1"/>
  <c r="BZ290" i="1" s="1"/>
  <c r="CA290" i="1" a="1"/>
  <c r="CA290" i="1" s="1"/>
  <c r="CB290" i="1" a="1"/>
  <c r="CB290" i="1" s="1"/>
  <c r="CC290" i="1" a="1"/>
  <c r="CC290" i="1" s="1"/>
  <c r="CD290" i="1" a="1"/>
  <c r="CD290" i="1" s="1"/>
  <c r="CE290" i="1" a="1"/>
  <c r="CE290" i="1" s="1"/>
  <c r="CF290" i="1" a="1"/>
  <c r="CF290" i="1" s="1"/>
  <c r="CG290" i="1" a="1"/>
  <c r="CG290" i="1" s="1"/>
  <c r="CH290" i="1" a="1"/>
  <c r="CH290" i="1" s="1"/>
  <c r="CI290" i="1" a="1"/>
  <c r="CI290" i="1" s="1"/>
  <c r="CJ290" i="1" a="1"/>
  <c r="CJ290" i="1" s="1"/>
  <c r="CK290" i="1" a="1"/>
  <c r="CK290" i="1" s="1"/>
  <c r="CL290" i="1" a="1"/>
  <c r="CL290" i="1" s="1"/>
  <c r="CM290" i="1" a="1"/>
  <c r="CM290" i="1" s="1"/>
  <c r="CN290" i="1" a="1"/>
  <c r="CN290" i="1" s="1"/>
  <c r="CO290" i="1" a="1"/>
  <c r="CO290" i="1" s="1"/>
  <c r="CP290" i="1" a="1"/>
  <c r="CP290" i="1" s="1"/>
  <c r="CQ290" i="1" a="1"/>
  <c r="CQ290" i="1" s="1"/>
  <c r="BY291" i="1" a="1"/>
  <c r="BY291" i="1" s="1"/>
  <c r="BZ291" i="1" a="1"/>
  <c r="BZ291" i="1"/>
  <c r="CA291" i="1" a="1"/>
  <c r="CA291" i="1" s="1"/>
  <c r="CB291" i="1" a="1"/>
  <c r="CB291" i="1" s="1"/>
  <c r="CC291" i="1" a="1"/>
  <c r="CC291" i="1" s="1"/>
  <c r="CD291" i="1" a="1"/>
  <c r="CD291" i="1" s="1"/>
  <c r="CE291" i="1" a="1"/>
  <c r="CE291" i="1" s="1"/>
  <c r="CF291" i="1" a="1"/>
  <c r="CF291" i="1" s="1"/>
  <c r="CG291" i="1" a="1"/>
  <c r="CG291" i="1" s="1"/>
  <c r="CH291" i="1" a="1"/>
  <c r="CH291" i="1" s="1"/>
  <c r="CI291" i="1" a="1"/>
  <c r="CI291" i="1" s="1"/>
  <c r="CJ291" i="1" a="1"/>
  <c r="CJ291" i="1" s="1"/>
  <c r="CK291" i="1" a="1"/>
  <c r="CK291" i="1" s="1"/>
  <c r="CL291" i="1" a="1"/>
  <c r="CL291" i="1" s="1"/>
  <c r="CM291" i="1" a="1"/>
  <c r="CM291" i="1" s="1"/>
  <c r="CN291" i="1" a="1"/>
  <c r="CN291" i="1" s="1"/>
  <c r="CO291" i="1" a="1"/>
  <c r="CO291" i="1" s="1"/>
  <c r="CP291" i="1" a="1"/>
  <c r="CP291" i="1" s="1"/>
  <c r="CQ291" i="1" a="1"/>
  <c r="CQ291" i="1" s="1"/>
  <c r="BY292" i="1" a="1"/>
  <c r="BY292" i="1" s="1"/>
  <c r="BZ292" i="1" a="1"/>
  <c r="BZ292" i="1" s="1"/>
  <c r="CA292" i="1" a="1"/>
  <c r="CA292" i="1" s="1"/>
  <c r="CB292" i="1" a="1"/>
  <c r="CB292" i="1" s="1"/>
  <c r="CC292" i="1" a="1"/>
  <c r="CC292" i="1" s="1"/>
  <c r="CD292" i="1" a="1"/>
  <c r="CD292" i="1" s="1"/>
  <c r="CE292" i="1" a="1"/>
  <c r="CE292" i="1" s="1"/>
  <c r="BP292" i="1" s="1"/>
  <c r="CF292" i="1" a="1"/>
  <c r="CF292" i="1" s="1"/>
  <c r="CG292" i="1" a="1"/>
  <c r="CG292" i="1" s="1"/>
  <c r="CH292" i="1" a="1"/>
  <c r="CH292" i="1" s="1"/>
  <c r="CI292" i="1" a="1"/>
  <c r="CI292" i="1" s="1"/>
  <c r="CJ292" i="1" a="1"/>
  <c r="CJ292" i="1" s="1"/>
  <c r="CK292" i="1" a="1"/>
  <c r="CK292" i="1" s="1"/>
  <c r="CL292" i="1" a="1"/>
  <c r="CL292" i="1" s="1"/>
  <c r="CM292" i="1" a="1"/>
  <c r="CM292" i="1" s="1"/>
  <c r="CN292" i="1" a="1"/>
  <c r="CN292" i="1" s="1"/>
  <c r="CO292" i="1" a="1"/>
  <c r="CO292" i="1" s="1"/>
  <c r="CP292" i="1" a="1"/>
  <c r="CP292" i="1" s="1"/>
  <c r="CQ292" i="1" a="1"/>
  <c r="CQ292" i="1" s="1"/>
  <c r="BY293" i="1" a="1"/>
  <c r="BY293" i="1" s="1"/>
  <c r="BG293" i="1" s="1"/>
  <c r="BZ293" i="1" a="1"/>
  <c r="BZ293" i="1" s="1"/>
  <c r="CA293" i="1" a="1"/>
  <c r="CA293" i="1" s="1"/>
  <c r="CB293" i="1" a="1"/>
  <c r="CB293" i="1" s="1"/>
  <c r="CC293" i="1" a="1"/>
  <c r="CC293" i="1" s="1"/>
  <c r="CD293" i="1" a="1"/>
  <c r="CD293" i="1" s="1"/>
  <c r="CE293" i="1" a="1"/>
  <c r="CE293" i="1" s="1"/>
  <c r="CF293" i="1" a="1"/>
  <c r="CF293" i="1" s="1"/>
  <c r="CG293" i="1" a="1"/>
  <c r="CG293" i="1" s="1"/>
  <c r="CH293" i="1" a="1"/>
  <c r="CH293" i="1" s="1"/>
  <c r="CI293" i="1" a="1"/>
  <c r="CI293" i="1" s="1"/>
  <c r="CJ293" i="1" a="1"/>
  <c r="CJ293" i="1" s="1"/>
  <c r="CK293" i="1" a="1"/>
  <c r="CK293" i="1" s="1"/>
  <c r="CL293" i="1" a="1"/>
  <c r="CL293" i="1" s="1"/>
  <c r="CM293" i="1" a="1"/>
  <c r="CM293" i="1" s="1"/>
  <c r="CN293" i="1" a="1"/>
  <c r="CN293" i="1" s="1"/>
  <c r="CO293" i="1" a="1"/>
  <c r="CO293" i="1" s="1"/>
  <c r="CP293" i="1" a="1"/>
  <c r="CP293" i="1" s="1"/>
  <c r="CQ293" i="1" a="1"/>
  <c r="CQ293" i="1" s="1"/>
  <c r="BY294" i="1" a="1"/>
  <c r="BY294" i="1"/>
  <c r="BZ294" i="1" a="1"/>
  <c r="BZ294" i="1" s="1"/>
  <c r="CA294" i="1" a="1"/>
  <c r="CA294" i="1" s="1"/>
  <c r="CB294" i="1" a="1"/>
  <c r="CB294" i="1" s="1"/>
  <c r="CC294" i="1" a="1"/>
  <c r="CC294" i="1" s="1"/>
  <c r="CD294" i="1" a="1"/>
  <c r="CD294" i="1" s="1"/>
  <c r="CE294" i="1" a="1"/>
  <c r="CE294" i="1" s="1"/>
  <c r="CF294" i="1" a="1"/>
  <c r="CF294" i="1" s="1"/>
  <c r="CG294" i="1" a="1"/>
  <c r="CG294" i="1"/>
  <c r="CH294" i="1" a="1"/>
  <c r="CH294" i="1" s="1"/>
  <c r="CI294" i="1" a="1"/>
  <c r="CI294" i="1" s="1"/>
  <c r="CJ294" i="1" a="1"/>
  <c r="CJ294" i="1" s="1"/>
  <c r="CK294" i="1" a="1"/>
  <c r="CK294" i="1" s="1"/>
  <c r="CL294" i="1" a="1"/>
  <c r="CL294" i="1" s="1"/>
  <c r="CM294" i="1" a="1"/>
  <c r="CM294" i="1" s="1"/>
  <c r="CN294" i="1" a="1"/>
  <c r="CN294" i="1" s="1"/>
  <c r="CO294" i="1" a="1"/>
  <c r="CO294" i="1" s="1"/>
  <c r="CP294" i="1" a="1"/>
  <c r="CP294" i="1" s="1"/>
  <c r="CQ294" i="1" a="1"/>
  <c r="CQ294" i="1" s="1"/>
  <c r="BY295" i="1" a="1"/>
  <c r="BY295" i="1" s="1"/>
  <c r="BZ295" i="1" a="1"/>
  <c r="BZ295" i="1" s="1"/>
  <c r="CA295" i="1" a="1"/>
  <c r="CA295" i="1" s="1"/>
  <c r="CB295" i="1" a="1"/>
  <c r="CB295" i="1" s="1"/>
  <c r="CC295" i="1" a="1"/>
  <c r="CC295" i="1" s="1"/>
  <c r="CD295" i="1" a="1"/>
  <c r="CD295" i="1" s="1"/>
  <c r="CE295" i="1" a="1"/>
  <c r="CE295" i="1" s="1"/>
  <c r="CF295" i="1" a="1"/>
  <c r="CF295" i="1" s="1"/>
  <c r="CG295" i="1" a="1"/>
  <c r="CG295" i="1" s="1"/>
  <c r="CH295" i="1" a="1"/>
  <c r="CH295" i="1" s="1"/>
  <c r="CI295" i="1" a="1"/>
  <c r="CI295" i="1" s="1"/>
  <c r="CJ295" i="1" a="1"/>
  <c r="CJ295" i="1" s="1"/>
  <c r="CK295" i="1" a="1"/>
  <c r="CK295" i="1" s="1"/>
  <c r="CL295" i="1" a="1"/>
  <c r="CL295" i="1" s="1"/>
  <c r="CM295" i="1" a="1"/>
  <c r="CM295" i="1" s="1"/>
  <c r="CN295" i="1" a="1"/>
  <c r="CN295" i="1" s="1"/>
  <c r="CO295" i="1" a="1"/>
  <c r="CO295" i="1" s="1"/>
  <c r="CP295" i="1" a="1"/>
  <c r="CP295" i="1" s="1"/>
  <c r="CQ295" i="1" a="1"/>
  <c r="CQ295" i="1" s="1"/>
  <c r="BY296" i="1" a="1"/>
  <c r="BY296" i="1" s="1"/>
  <c r="BZ296" i="1" a="1"/>
  <c r="BZ296" i="1" s="1"/>
  <c r="CA296" i="1" a="1"/>
  <c r="CA296" i="1" s="1"/>
  <c r="CB296" i="1" a="1"/>
  <c r="CB296" i="1" s="1"/>
  <c r="CC296" i="1" a="1"/>
  <c r="CC296" i="1" s="1"/>
  <c r="CD296" i="1" a="1"/>
  <c r="CD296" i="1" s="1"/>
  <c r="CE296" i="1" a="1"/>
  <c r="CE296" i="1" s="1"/>
  <c r="CF296" i="1" a="1"/>
  <c r="CF296" i="1" s="1"/>
  <c r="CG296" i="1" a="1"/>
  <c r="CG296" i="1" s="1"/>
  <c r="CH296" i="1" a="1"/>
  <c r="CH296" i="1" s="1"/>
  <c r="CI296" i="1" a="1"/>
  <c r="CI296" i="1" s="1"/>
  <c r="CJ296" i="1" a="1"/>
  <c r="CJ296" i="1" s="1"/>
  <c r="CK296" i="1" a="1"/>
  <c r="CK296" i="1" s="1"/>
  <c r="CL296" i="1" a="1"/>
  <c r="CL296" i="1" s="1"/>
  <c r="CM296" i="1" a="1"/>
  <c r="CM296" i="1" s="1"/>
  <c r="CN296" i="1" a="1"/>
  <c r="CN296" i="1" s="1"/>
  <c r="CO296" i="1" a="1"/>
  <c r="CO296" i="1" s="1"/>
  <c r="CP296" i="1" a="1"/>
  <c r="CP296" i="1" s="1"/>
  <c r="CQ296" i="1" a="1"/>
  <c r="CQ296" i="1" s="1"/>
  <c r="BY297" i="1" a="1"/>
  <c r="BY297" i="1" s="1"/>
  <c r="BZ297" i="1" a="1"/>
  <c r="BZ297" i="1" s="1"/>
  <c r="CA297" i="1" a="1"/>
  <c r="CA297" i="1" s="1"/>
  <c r="CB297" i="1" a="1"/>
  <c r="CB297" i="1" s="1"/>
  <c r="CC297" i="1" a="1"/>
  <c r="CC297" i="1" s="1"/>
  <c r="CD297" i="1" a="1"/>
  <c r="CD297" i="1" s="1"/>
  <c r="CE297" i="1" a="1"/>
  <c r="CE297" i="1" s="1"/>
  <c r="CF297" i="1" a="1"/>
  <c r="CF297" i="1" s="1"/>
  <c r="CG297" i="1" a="1"/>
  <c r="CG297" i="1" s="1"/>
  <c r="CH297" i="1" a="1"/>
  <c r="CH297" i="1" s="1"/>
  <c r="CI297" i="1" a="1"/>
  <c r="CI297" i="1" s="1"/>
  <c r="CJ297" i="1" a="1"/>
  <c r="CJ297" i="1" s="1"/>
  <c r="CK297" i="1" a="1"/>
  <c r="CK297" i="1" s="1"/>
  <c r="CL297" i="1" a="1"/>
  <c r="CL297" i="1" s="1"/>
  <c r="CM297" i="1" a="1"/>
  <c r="CM297" i="1" s="1"/>
  <c r="CN297" i="1" a="1"/>
  <c r="CN297" i="1"/>
  <c r="CO297" i="1" a="1"/>
  <c r="CO297" i="1" s="1"/>
  <c r="CP297" i="1" a="1"/>
  <c r="CP297" i="1" s="1"/>
  <c r="CQ297" i="1" a="1"/>
  <c r="CQ297" i="1" s="1"/>
  <c r="BY19" i="1" a="1"/>
  <c r="BY19" i="1" s="1"/>
  <c r="BZ19" i="1" a="1"/>
  <c r="BZ19" i="1" s="1"/>
  <c r="CA19" i="1" a="1"/>
  <c r="CA19" i="1" s="1"/>
  <c r="CB19" i="1" a="1"/>
  <c r="CB19" i="1"/>
  <c r="CC19" i="1" a="1"/>
  <c r="CC19" i="1" s="1"/>
  <c r="CD19" i="1" a="1"/>
  <c r="CD19" i="1" s="1"/>
  <c r="CE19" i="1" a="1"/>
  <c r="CE19" i="1" s="1"/>
  <c r="CF19" i="1" a="1"/>
  <c r="CF19" i="1" s="1"/>
  <c r="CG19" i="1" a="1"/>
  <c r="CG19" i="1" s="1"/>
  <c r="CH19" i="1" a="1"/>
  <c r="CH19" i="1" s="1"/>
  <c r="CI19" i="1" a="1"/>
  <c r="CI19" i="1" s="1"/>
  <c r="CJ19" i="1" a="1"/>
  <c r="CJ19" i="1" s="1"/>
  <c r="CK19" i="1" a="1"/>
  <c r="CK19" i="1" s="1"/>
  <c r="CL19" i="1" a="1"/>
  <c r="CL19" i="1" s="1"/>
  <c r="CM19" i="1" a="1"/>
  <c r="CM19" i="1" s="1"/>
  <c r="CN19" i="1" a="1"/>
  <c r="CN19" i="1" s="1"/>
  <c r="CO19" i="1" a="1"/>
  <c r="CO19" i="1" s="1"/>
  <c r="CP19" i="1" a="1"/>
  <c r="CP19" i="1" s="1"/>
  <c r="CQ19" i="1" a="1"/>
  <c r="CQ19" i="1" s="1"/>
  <c r="BY20" i="1" a="1"/>
  <c r="BY20" i="1" s="1"/>
  <c r="BZ20" i="1" a="1"/>
  <c r="BZ20" i="1" s="1"/>
  <c r="CA20" i="1" a="1"/>
  <c r="CA20" i="1" s="1"/>
  <c r="CB20" i="1" a="1"/>
  <c r="CB20" i="1" s="1"/>
  <c r="CC20" i="1" a="1"/>
  <c r="CC20" i="1" s="1"/>
  <c r="CD20" i="1" a="1"/>
  <c r="CD20" i="1" s="1"/>
  <c r="CE20" i="1" a="1"/>
  <c r="CE20" i="1" s="1"/>
  <c r="CF20" i="1" a="1"/>
  <c r="CF20" i="1" s="1"/>
  <c r="CG20" i="1" a="1"/>
  <c r="CG20" i="1" s="1"/>
  <c r="CH20" i="1" a="1"/>
  <c r="CH20" i="1" s="1"/>
  <c r="CI20" i="1" a="1"/>
  <c r="CI20" i="1" s="1"/>
  <c r="CJ20" i="1" a="1"/>
  <c r="CJ20" i="1" s="1"/>
  <c r="CK20" i="1" a="1"/>
  <c r="CK20" i="1" s="1"/>
  <c r="CL20" i="1" a="1"/>
  <c r="CL20" i="1" s="1"/>
  <c r="CM20" i="1" a="1"/>
  <c r="CM20" i="1" s="1"/>
  <c r="CN20" i="1" a="1"/>
  <c r="CN20" i="1" s="1"/>
  <c r="CO20" i="1" a="1"/>
  <c r="CO20" i="1" s="1"/>
  <c r="CP20" i="1" a="1"/>
  <c r="CP20" i="1" s="1"/>
  <c r="CQ20" i="1" a="1"/>
  <c r="CQ20" i="1" s="1"/>
  <c r="BY21" i="1" a="1"/>
  <c r="BY21" i="1" s="1"/>
  <c r="BZ21" i="1" a="1"/>
  <c r="BZ21" i="1" s="1"/>
  <c r="CA21" i="1" a="1"/>
  <c r="CA21" i="1" s="1"/>
  <c r="CB21" i="1" a="1"/>
  <c r="CB21" i="1" s="1"/>
  <c r="CC21" i="1" a="1"/>
  <c r="CC21" i="1" s="1"/>
  <c r="CD21" i="1" a="1"/>
  <c r="CD21" i="1" s="1"/>
  <c r="CE21" i="1" a="1"/>
  <c r="CE21" i="1" s="1"/>
  <c r="CF21" i="1" a="1"/>
  <c r="CF21" i="1" s="1"/>
  <c r="CG21" i="1" a="1"/>
  <c r="CG21" i="1" s="1"/>
  <c r="CH21" i="1" a="1"/>
  <c r="CH21" i="1" s="1"/>
  <c r="CI21" i="1" a="1"/>
  <c r="CI21" i="1" s="1"/>
  <c r="CJ21" i="1" a="1"/>
  <c r="CJ21" i="1" s="1"/>
  <c r="CK21" i="1" a="1"/>
  <c r="CK21" i="1" s="1"/>
  <c r="CL21" i="1" a="1"/>
  <c r="CL21" i="1" s="1"/>
  <c r="CM21" i="1" a="1"/>
  <c r="CM21" i="1" s="1"/>
  <c r="CN21" i="1" a="1"/>
  <c r="CN21" i="1" s="1"/>
  <c r="CO21" i="1" a="1"/>
  <c r="CO21" i="1" s="1"/>
  <c r="CP21" i="1" a="1"/>
  <c r="CP21" i="1" s="1"/>
  <c r="CQ21" i="1" a="1"/>
  <c r="CQ21" i="1" s="1"/>
  <c r="BY22" i="1" a="1"/>
  <c r="BY22" i="1" s="1"/>
  <c r="BZ22" i="1" a="1"/>
  <c r="BZ22" i="1" s="1"/>
  <c r="CA22" i="1" a="1"/>
  <c r="CA22" i="1" s="1"/>
  <c r="CB22" i="1" a="1"/>
  <c r="CB22" i="1" s="1"/>
  <c r="CC22" i="1" a="1"/>
  <c r="CC22" i="1" s="1"/>
  <c r="CD22" i="1" a="1"/>
  <c r="CD22" i="1" s="1"/>
  <c r="CE22" i="1" a="1"/>
  <c r="CE22" i="1" s="1"/>
  <c r="CF22" i="1" a="1"/>
  <c r="CF22" i="1" s="1"/>
  <c r="CG22" i="1" a="1"/>
  <c r="CG22" i="1" s="1"/>
  <c r="CH22" i="1" a="1"/>
  <c r="CH22" i="1" s="1"/>
  <c r="CI22" i="1" a="1"/>
  <c r="CI22" i="1" s="1"/>
  <c r="CJ22" i="1" a="1"/>
  <c r="CJ22" i="1" s="1"/>
  <c r="CK22" i="1" a="1"/>
  <c r="CK22" i="1" s="1"/>
  <c r="CL22" i="1" a="1"/>
  <c r="CL22" i="1" s="1"/>
  <c r="CM22" i="1" a="1"/>
  <c r="CM22" i="1" s="1"/>
  <c r="CN22" i="1" a="1"/>
  <c r="CN22" i="1" s="1"/>
  <c r="CO22" i="1" a="1"/>
  <c r="CO22" i="1" s="1"/>
  <c r="CP22" i="1" a="1"/>
  <c r="CP22" i="1" s="1"/>
  <c r="CQ22" i="1" a="1"/>
  <c r="CQ22" i="1" s="1"/>
  <c r="BY23" i="1" a="1"/>
  <c r="BY23" i="1" s="1"/>
  <c r="BZ23" i="1" a="1"/>
  <c r="BZ23" i="1" s="1"/>
  <c r="CA23" i="1" a="1"/>
  <c r="CA23" i="1" s="1"/>
  <c r="CB23" i="1" a="1"/>
  <c r="CB23" i="1" s="1"/>
  <c r="CC23" i="1" a="1"/>
  <c r="CC23" i="1" s="1"/>
  <c r="CD23" i="1" a="1"/>
  <c r="CD23" i="1" s="1"/>
  <c r="CE23" i="1" a="1"/>
  <c r="CE23" i="1" s="1"/>
  <c r="CF23" i="1" a="1"/>
  <c r="CF23" i="1" s="1"/>
  <c r="CG23" i="1" a="1"/>
  <c r="CG23" i="1" s="1"/>
  <c r="CH23" i="1" a="1"/>
  <c r="CH23" i="1" s="1"/>
  <c r="CI23" i="1" a="1"/>
  <c r="CI23" i="1" s="1"/>
  <c r="CJ23" i="1" a="1"/>
  <c r="CJ23" i="1" s="1"/>
  <c r="CK23" i="1" a="1"/>
  <c r="CK23" i="1" s="1"/>
  <c r="CL23" i="1" a="1"/>
  <c r="CL23" i="1" s="1"/>
  <c r="CM23" i="1" a="1"/>
  <c r="CM23" i="1" s="1"/>
  <c r="CN23" i="1" a="1"/>
  <c r="CN23" i="1" s="1"/>
  <c r="CO23" i="1" a="1"/>
  <c r="CO23" i="1" s="1"/>
  <c r="CP23" i="1" a="1"/>
  <c r="CP23" i="1" s="1"/>
  <c r="CQ23" i="1" a="1"/>
  <c r="CQ23" i="1" s="1"/>
  <c r="BY24" i="1" a="1"/>
  <c r="BY24" i="1" s="1"/>
  <c r="BZ24" i="1" a="1"/>
  <c r="BZ24" i="1" s="1"/>
  <c r="CA24" i="1" a="1"/>
  <c r="CA24" i="1" s="1"/>
  <c r="CB24" i="1" a="1"/>
  <c r="CB24" i="1" s="1"/>
  <c r="CC24" i="1" a="1"/>
  <c r="CC24" i="1" s="1"/>
  <c r="CD24" i="1" a="1"/>
  <c r="CD24" i="1" s="1"/>
  <c r="CE24" i="1" a="1"/>
  <c r="CE24" i="1" s="1"/>
  <c r="CF24" i="1" a="1"/>
  <c r="CF24" i="1" s="1"/>
  <c r="CG24" i="1" a="1"/>
  <c r="CG24" i="1" s="1"/>
  <c r="CH24" i="1" a="1"/>
  <c r="CH24" i="1" s="1"/>
  <c r="CI24" i="1" a="1"/>
  <c r="CI24" i="1" s="1"/>
  <c r="CJ24" i="1" a="1"/>
  <c r="CJ24" i="1" s="1"/>
  <c r="CK24" i="1" a="1"/>
  <c r="CK24" i="1" s="1"/>
  <c r="CL24" i="1" a="1"/>
  <c r="CL24" i="1" s="1"/>
  <c r="CM24" i="1" a="1"/>
  <c r="CM24" i="1" s="1"/>
  <c r="CN24" i="1" a="1"/>
  <c r="CN24" i="1" s="1"/>
  <c r="CO24" i="1" a="1"/>
  <c r="CO24" i="1" s="1"/>
  <c r="CP24" i="1" a="1"/>
  <c r="CP24" i="1" s="1"/>
  <c r="CQ24" i="1" a="1"/>
  <c r="CQ24" i="1" s="1"/>
  <c r="BY25" i="1" a="1"/>
  <c r="BY25" i="1" s="1"/>
  <c r="BZ25" i="1" a="1"/>
  <c r="BZ25" i="1" s="1"/>
  <c r="CA25" i="1" a="1"/>
  <c r="CA25" i="1" s="1"/>
  <c r="CB25" i="1" a="1"/>
  <c r="CB25" i="1" s="1"/>
  <c r="CC25" i="1" a="1"/>
  <c r="CC25" i="1" s="1"/>
  <c r="CD25" i="1" a="1"/>
  <c r="CD25" i="1" s="1"/>
  <c r="CE25" i="1" a="1"/>
  <c r="CE25" i="1" s="1"/>
  <c r="CF25" i="1" a="1"/>
  <c r="CF25" i="1" s="1"/>
  <c r="CG25" i="1" a="1"/>
  <c r="CG25" i="1" s="1"/>
  <c r="CH25" i="1" a="1"/>
  <c r="CH25" i="1" s="1"/>
  <c r="CI25" i="1" a="1"/>
  <c r="CI25" i="1" s="1"/>
  <c r="CJ25" i="1" a="1"/>
  <c r="CJ25" i="1" s="1"/>
  <c r="CK25" i="1" a="1"/>
  <c r="CK25" i="1" s="1"/>
  <c r="CL25" i="1" a="1"/>
  <c r="CL25" i="1" s="1"/>
  <c r="CM25" i="1" a="1"/>
  <c r="CM25" i="1" s="1"/>
  <c r="CN25" i="1" a="1"/>
  <c r="CN25" i="1" s="1"/>
  <c r="CO25" i="1" a="1"/>
  <c r="CO25" i="1" s="1"/>
  <c r="CP25" i="1" a="1"/>
  <c r="CP25" i="1" s="1"/>
  <c r="CQ25" i="1" a="1"/>
  <c r="CQ25" i="1" s="1"/>
  <c r="BY26" i="1" a="1"/>
  <c r="BY26" i="1" s="1"/>
  <c r="BZ26" i="1" a="1"/>
  <c r="BZ26" i="1" s="1"/>
  <c r="CA26" i="1" a="1"/>
  <c r="CA26" i="1"/>
  <c r="CB26" i="1" a="1"/>
  <c r="CB26" i="1" s="1"/>
  <c r="CC26" i="1" a="1"/>
  <c r="CC26" i="1" s="1"/>
  <c r="CD26" i="1" a="1"/>
  <c r="CD26" i="1" s="1"/>
  <c r="CE26" i="1" a="1"/>
  <c r="CE26" i="1" s="1"/>
  <c r="CF26" i="1" a="1"/>
  <c r="CF26" i="1" s="1"/>
  <c r="CG26" i="1" a="1"/>
  <c r="CG26" i="1" s="1"/>
  <c r="CH26" i="1" a="1"/>
  <c r="CH26" i="1" s="1"/>
  <c r="CI26" i="1" a="1"/>
  <c r="CI26" i="1" s="1"/>
  <c r="CJ26" i="1" a="1"/>
  <c r="CJ26" i="1" s="1"/>
  <c r="CK26" i="1" a="1"/>
  <c r="CK26" i="1" s="1"/>
  <c r="CL26" i="1" a="1"/>
  <c r="CL26" i="1" s="1"/>
  <c r="CM26" i="1" a="1"/>
  <c r="CM26" i="1" s="1"/>
  <c r="CN26" i="1" a="1"/>
  <c r="CN26" i="1" s="1"/>
  <c r="CO26" i="1" a="1"/>
  <c r="CO26" i="1" s="1"/>
  <c r="CP26" i="1" a="1"/>
  <c r="CP26" i="1" s="1"/>
  <c r="CQ26" i="1" a="1"/>
  <c r="CQ26" i="1" s="1"/>
  <c r="BY27" i="1" a="1"/>
  <c r="BY27" i="1" s="1"/>
  <c r="BZ27" i="1" a="1"/>
  <c r="BZ27" i="1" s="1"/>
  <c r="CA27" i="1" a="1"/>
  <c r="CA27" i="1" s="1"/>
  <c r="CB27" i="1" a="1"/>
  <c r="CB27" i="1" s="1"/>
  <c r="CC27" i="1" a="1"/>
  <c r="CC27" i="1" s="1"/>
  <c r="CD27" i="1" a="1"/>
  <c r="CD27" i="1" s="1"/>
  <c r="CE27" i="1" a="1"/>
  <c r="CE27" i="1" s="1"/>
  <c r="CF27" i="1" a="1"/>
  <c r="CF27" i="1" s="1"/>
  <c r="CG27" i="1" a="1"/>
  <c r="CG27" i="1" s="1"/>
  <c r="CH27" i="1" a="1"/>
  <c r="CH27" i="1" s="1"/>
  <c r="CI27" i="1" a="1"/>
  <c r="CI27" i="1" s="1"/>
  <c r="CJ27" i="1" a="1"/>
  <c r="CJ27" i="1" s="1"/>
  <c r="CK27" i="1" a="1"/>
  <c r="CK27" i="1" s="1"/>
  <c r="CL27" i="1" a="1"/>
  <c r="CL27" i="1" s="1"/>
  <c r="CM27" i="1" a="1"/>
  <c r="CM27" i="1" s="1"/>
  <c r="CN27" i="1" a="1"/>
  <c r="CN27" i="1" s="1"/>
  <c r="CO27" i="1" a="1"/>
  <c r="CO27" i="1" s="1"/>
  <c r="CP27" i="1" a="1"/>
  <c r="CP27" i="1" s="1"/>
  <c r="CQ27" i="1" a="1"/>
  <c r="CQ27" i="1" s="1"/>
  <c r="BY28" i="1" a="1"/>
  <c r="BY28" i="1" s="1"/>
  <c r="BZ28" i="1" a="1"/>
  <c r="BZ28" i="1" s="1"/>
  <c r="CA28" i="1" a="1"/>
  <c r="CA28" i="1" s="1"/>
  <c r="CB28" i="1" a="1"/>
  <c r="CB28" i="1" s="1"/>
  <c r="CC28" i="1" a="1"/>
  <c r="CC28" i="1" s="1"/>
  <c r="CD28" i="1" a="1"/>
  <c r="CD28" i="1" s="1"/>
  <c r="CE28" i="1" a="1"/>
  <c r="CE28" i="1" s="1"/>
  <c r="CF28" i="1" a="1"/>
  <c r="CF28" i="1" s="1"/>
  <c r="CG28" i="1" a="1"/>
  <c r="CG28" i="1" s="1"/>
  <c r="CH28" i="1" a="1"/>
  <c r="CH28" i="1" s="1"/>
  <c r="CI28" i="1" a="1"/>
  <c r="CI28" i="1" s="1"/>
  <c r="CJ28" i="1" a="1"/>
  <c r="CJ28" i="1" s="1"/>
  <c r="CK28" i="1" a="1"/>
  <c r="CK28" i="1" s="1"/>
  <c r="CL28" i="1" a="1"/>
  <c r="CL28" i="1" s="1"/>
  <c r="CM28" i="1" a="1"/>
  <c r="CM28" i="1" s="1"/>
  <c r="CN28" i="1" a="1"/>
  <c r="CN28" i="1" s="1"/>
  <c r="CO28" i="1" a="1"/>
  <c r="CO28" i="1" s="1"/>
  <c r="CP28" i="1" a="1"/>
  <c r="CP28" i="1" s="1"/>
  <c r="CQ28" i="1" a="1"/>
  <c r="CQ28" i="1" s="1"/>
  <c r="BY29" i="1" a="1"/>
  <c r="BY29" i="1" s="1"/>
  <c r="BZ29" i="1" a="1"/>
  <c r="BZ29" i="1" s="1"/>
  <c r="CA29" i="1" a="1"/>
  <c r="CA29" i="1" s="1"/>
  <c r="CB29" i="1" a="1"/>
  <c r="CB29" i="1" s="1"/>
  <c r="CC29" i="1" a="1"/>
  <c r="CC29" i="1" s="1"/>
  <c r="CD29" i="1" a="1"/>
  <c r="CD29" i="1" s="1"/>
  <c r="CE29" i="1" a="1"/>
  <c r="CE29" i="1" s="1"/>
  <c r="CF29" i="1" a="1"/>
  <c r="CF29" i="1" s="1"/>
  <c r="CG29" i="1" a="1"/>
  <c r="CG29" i="1" s="1"/>
  <c r="CH29" i="1" a="1"/>
  <c r="CH29" i="1" s="1"/>
  <c r="CI29" i="1" a="1"/>
  <c r="CI29" i="1" s="1"/>
  <c r="CJ29" i="1" a="1"/>
  <c r="CJ29" i="1" s="1"/>
  <c r="CK29" i="1" a="1"/>
  <c r="CK29" i="1" s="1"/>
  <c r="CL29" i="1" a="1"/>
  <c r="CL29" i="1" s="1"/>
  <c r="CM29" i="1" a="1"/>
  <c r="CM29" i="1" s="1"/>
  <c r="CN29" i="1" a="1"/>
  <c r="CN29" i="1" s="1"/>
  <c r="CO29" i="1" a="1"/>
  <c r="CO29" i="1" s="1"/>
  <c r="CP29" i="1" a="1"/>
  <c r="CP29" i="1" s="1"/>
  <c r="CQ29" i="1" a="1"/>
  <c r="CQ29" i="1" s="1"/>
  <c r="BY30" i="1" a="1"/>
  <c r="BY30" i="1" s="1"/>
  <c r="BZ30" i="1" a="1"/>
  <c r="BZ30" i="1" s="1"/>
  <c r="CA30" i="1" a="1"/>
  <c r="CA30" i="1" s="1"/>
  <c r="CB30" i="1" a="1"/>
  <c r="CB30" i="1" s="1"/>
  <c r="CC30" i="1" a="1"/>
  <c r="CC30" i="1" s="1"/>
  <c r="CD30" i="1" a="1"/>
  <c r="CD30" i="1" s="1"/>
  <c r="CE30" i="1" a="1"/>
  <c r="CE30" i="1" s="1"/>
  <c r="CF30" i="1" a="1"/>
  <c r="CF30" i="1" s="1"/>
  <c r="CG30" i="1" a="1"/>
  <c r="CG30" i="1" s="1"/>
  <c r="CH30" i="1" a="1"/>
  <c r="CH30" i="1" s="1"/>
  <c r="CI30" i="1" a="1"/>
  <c r="CI30" i="1" s="1"/>
  <c r="CJ30" i="1" a="1"/>
  <c r="CJ30" i="1" s="1"/>
  <c r="CK30" i="1" a="1"/>
  <c r="CK30" i="1" s="1"/>
  <c r="CL30" i="1" a="1"/>
  <c r="CL30" i="1" s="1"/>
  <c r="CM30" i="1" a="1"/>
  <c r="CM30" i="1" s="1"/>
  <c r="CN30" i="1" a="1"/>
  <c r="CN30" i="1" s="1"/>
  <c r="CO30" i="1" a="1"/>
  <c r="CO30" i="1" s="1"/>
  <c r="CP30" i="1" a="1"/>
  <c r="CP30" i="1" s="1"/>
  <c r="CQ30" i="1" a="1"/>
  <c r="CQ30" i="1" s="1"/>
  <c r="BY31" i="1" a="1"/>
  <c r="BY31" i="1" s="1"/>
  <c r="BZ31" i="1" a="1"/>
  <c r="BZ31" i="1" s="1"/>
  <c r="CA31" i="1" a="1"/>
  <c r="CA31" i="1" s="1"/>
  <c r="CB31" i="1" a="1"/>
  <c r="CB31" i="1" s="1"/>
  <c r="CC31" i="1" a="1"/>
  <c r="CC31" i="1" s="1"/>
  <c r="CD31" i="1" a="1"/>
  <c r="CD31" i="1" s="1"/>
  <c r="CE31" i="1" a="1"/>
  <c r="CE31" i="1" s="1"/>
  <c r="CF31" i="1" a="1"/>
  <c r="CF31" i="1" s="1"/>
  <c r="CG31" i="1" a="1"/>
  <c r="CG31" i="1" s="1"/>
  <c r="CH31" i="1" a="1"/>
  <c r="CH31" i="1" s="1"/>
  <c r="CI31" i="1" a="1"/>
  <c r="CI31" i="1" s="1"/>
  <c r="CJ31" i="1" a="1"/>
  <c r="CJ31" i="1" s="1"/>
  <c r="CK31" i="1" a="1"/>
  <c r="CK31" i="1" s="1"/>
  <c r="CL31" i="1" a="1"/>
  <c r="CL31" i="1" s="1"/>
  <c r="CM31" i="1" a="1"/>
  <c r="CM31" i="1" s="1"/>
  <c r="CN31" i="1" a="1"/>
  <c r="CN31" i="1" s="1"/>
  <c r="CO31" i="1" a="1"/>
  <c r="CO31" i="1" s="1"/>
  <c r="CP31" i="1" a="1"/>
  <c r="CP31" i="1" s="1"/>
  <c r="CQ31" i="1" a="1"/>
  <c r="CQ31" i="1" s="1"/>
  <c r="BY32" i="1" a="1"/>
  <c r="BY32" i="1" s="1"/>
  <c r="BZ32" i="1" a="1"/>
  <c r="BZ32" i="1" s="1"/>
  <c r="CA32" i="1" a="1"/>
  <c r="CA32" i="1" s="1"/>
  <c r="CB32" i="1" a="1"/>
  <c r="CB32" i="1" s="1"/>
  <c r="CC32" i="1" a="1"/>
  <c r="CC32" i="1" s="1"/>
  <c r="CD32" i="1" a="1"/>
  <c r="CD32" i="1" s="1"/>
  <c r="CE32" i="1" a="1"/>
  <c r="CE32" i="1" s="1"/>
  <c r="CF32" i="1" a="1"/>
  <c r="CF32" i="1" s="1"/>
  <c r="CG32" i="1" a="1"/>
  <c r="CG32" i="1" s="1"/>
  <c r="CH32" i="1" a="1"/>
  <c r="CH32" i="1" s="1"/>
  <c r="CI32" i="1" a="1"/>
  <c r="CI32" i="1" s="1"/>
  <c r="CJ32" i="1" a="1"/>
  <c r="CJ32" i="1" s="1"/>
  <c r="CK32" i="1" a="1"/>
  <c r="CK32" i="1" s="1"/>
  <c r="CL32" i="1" a="1"/>
  <c r="CL32" i="1" s="1"/>
  <c r="CM32" i="1" a="1"/>
  <c r="CM32" i="1" s="1"/>
  <c r="CN32" i="1" a="1"/>
  <c r="CN32" i="1" s="1"/>
  <c r="CO32" i="1" a="1"/>
  <c r="CO32" i="1"/>
  <c r="CP32" i="1" a="1"/>
  <c r="CP32" i="1" s="1"/>
  <c r="CQ32" i="1" a="1"/>
  <c r="CQ32" i="1" s="1"/>
  <c r="BY33" i="1" a="1"/>
  <c r="BY33" i="1" s="1"/>
  <c r="BZ33" i="1" a="1"/>
  <c r="BZ33" i="1" s="1"/>
  <c r="CA33" i="1" a="1"/>
  <c r="CA33" i="1" s="1"/>
  <c r="CB33" i="1" a="1"/>
  <c r="CB33" i="1" s="1"/>
  <c r="CC33" i="1" a="1"/>
  <c r="CC33" i="1" s="1"/>
  <c r="CD33" i="1" a="1"/>
  <c r="CD33" i="1" s="1"/>
  <c r="CE33" i="1" a="1"/>
  <c r="CE33" i="1" s="1"/>
  <c r="CF33" i="1" a="1"/>
  <c r="CF33" i="1" s="1"/>
  <c r="CG33" i="1" a="1"/>
  <c r="CG33" i="1" s="1"/>
  <c r="CH33" i="1" a="1"/>
  <c r="CH33" i="1" s="1"/>
  <c r="CI33" i="1" a="1"/>
  <c r="CI33" i="1" s="1"/>
  <c r="CJ33" i="1" a="1"/>
  <c r="CJ33" i="1" s="1"/>
  <c r="CK33" i="1" a="1"/>
  <c r="CK33" i="1" s="1"/>
  <c r="CL33" i="1" a="1"/>
  <c r="CL33" i="1" s="1"/>
  <c r="CM33" i="1" a="1"/>
  <c r="CM33" i="1" s="1"/>
  <c r="CN33" i="1" a="1"/>
  <c r="CN33" i="1" s="1"/>
  <c r="CO33" i="1" a="1"/>
  <c r="CO33" i="1" s="1"/>
  <c r="CP33" i="1" a="1"/>
  <c r="CP33" i="1" s="1"/>
  <c r="CQ33" i="1" a="1"/>
  <c r="CQ33" i="1" s="1"/>
  <c r="BY34" i="1" a="1"/>
  <c r="BY34" i="1" s="1"/>
  <c r="BZ34" i="1" a="1"/>
  <c r="BZ34" i="1" s="1"/>
  <c r="CA34" i="1" a="1"/>
  <c r="CA34" i="1"/>
  <c r="CB34" i="1" a="1"/>
  <c r="CB34" i="1" s="1"/>
  <c r="CC34" i="1" a="1"/>
  <c r="CC34" i="1" s="1"/>
  <c r="CD34" i="1" a="1"/>
  <c r="CD34" i="1" s="1"/>
  <c r="CE34" i="1" a="1"/>
  <c r="CE34" i="1" s="1"/>
  <c r="CF34" i="1" a="1"/>
  <c r="CF34" i="1" s="1"/>
  <c r="CG34" i="1" a="1"/>
  <c r="CG34" i="1" s="1"/>
  <c r="CH34" i="1" a="1"/>
  <c r="CH34" i="1" s="1"/>
  <c r="CI34" i="1" a="1"/>
  <c r="CI34" i="1" s="1"/>
  <c r="CJ34" i="1" a="1"/>
  <c r="CJ34" i="1" s="1"/>
  <c r="CK34" i="1" a="1"/>
  <c r="CK34" i="1" s="1"/>
  <c r="CL34" i="1" a="1"/>
  <c r="CL34" i="1" s="1"/>
  <c r="CM34" i="1" a="1"/>
  <c r="CM34" i="1" s="1"/>
  <c r="CN34" i="1" a="1"/>
  <c r="CN34" i="1" s="1"/>
  <c r="CO34" i="1" a="1"/>
  <c r="CO34" i="1" s="1"/>
  <c r="CP34" i="1" a="1"/>
  <c r="CP34" i="1" s="1"/>
  <c r="CQ34" i="1" a="1"/>
  <c r="CQ34" i="1" s="1"/>
  <c r="BY35" i="1" a="1"/>
  <c r="BY35" i="1" s="1"/>
  <c r="BZ35" i="1" a="1"/>
  <c r="BZ35" i="1" s="1"/>
  <c r="CA35" i="1" a="1"/>
  <c r="CA35" i="1" s="1"/>
  <c r="CB35" i="1" a="1"/>
  <c r="CB35" i="1" s="1"/>
  <c r="CC35" i="1" a="1"/>
  <c r="CC35" i="1" s="1"/>
  <c r="CD35" i="1" a="1"/>
  <c r="CD35" i="1" s="1"/>
  <c r="CE35" i="1" a="1"/>
  <c r="CE35" i="1" s="1"/>
  <c r="CF35" i="1" a="1"/>
  <c r="CF35" i="1" s="1"/>
  <c r="CG35" i="1" a="1"/>
  <c r="CG35" i="1" s="1"/>
  <c r="CH35" i="1" a="1"/>
  <c r="CH35" i="1" s="1"/>
  <c r="CI35" i="1" a="1"/>
  <c r="CI35" i="1" s="1"/>
  <c r="CJ35" i="1" a="1"/>
  <c r="CJ35" i="1" s="1"/>
  <c r="CK35" i="1" a="1"/>
  <c r="CK35" i="1" s="1"/>
  <c r="CL35" i="1" a="1"/>
  <c r="CL35" i="1" s="1"/>
  <c r="CM35" i="1" a="1"/>
  <c r="CM35" i="1" s="1"/>
  <c r="CN35" i="1" a="1"/>
  <c r="CN35" i="1"/>
  <c r="CO35" i="1" a="1"/>
  <c r="CO35" i="1" s="1"/>
  <c r="CP35" i="1" a="1"/>
  <c r="CP35" i="1" s="1"/>
  <c r="CQ35" i="1" a="1"/>
  <c r="CQ35" i="1" s="1"/>
  <c r="BY36" i="1" a="1"/>
  <c r="BY36" i="1" s="1"/>
  <c r="BZ36" i="1" a="1"/>
  <c r="BZ36" i="1" s="1"/>
  <c r="CA36" i="1" a="1"/>
  <c r="CA36" i="1" s="1"/>
  <c r="CB36" i="1" a="1"/>
  <c r="CB36" i="1" s="1"/>
  <c r="CC36" i="1" a="1"/>
  <c r="CC36" i="1" s="1"/>
  <c r="CD36" i="1" a="1"/>
  <c r="CD36" i="1" s="1"/>
  <c r="CE36" i="1" a="1"/>
  <c r="CE36" i="1" s="1"/>
  <c r="CF36" i="1" a="1"/>
  <c r="CF36" i="1" s="1"/>
  <c r="CG36" i="1" a="1"/>
  <c r="CG36" i="1" s="1"/>
  <c r="CH36" i="1" a="1"/>
  <c r="CH36" i="1" s="1"/>
  <c r="CI36" i="1" a="1"/>
  <c r="CI36" i="1" s="1"/>
  <c r="CJ36" i="1" a="1"/>
  <c r="CJ36" i="1" s="1"/>
  <c r="CK36" i="1" a="1"/>
  <c r="CK36" i="1" s="1"/>
  <c r="CL36" i="1" a="1"/>
  <c r="CL36" i="1" s="1"/>
  <c r="CM36" i="1" a="1"/>
  <c r="CM36" i="1" s="1"/>
  <c r="CN36" i="1" a="1"/>
  <c r="CN36" i="1" s="1"/>
  <c r="CO36" i="1" a="1"/>
  <c r="CO36" i="1" s="1"/>
  <c r="CP36" i="1" a="1"/>
  <c r="CP36" i="1" s="1"/>
  <c r="CQ36" i="1" a="1"/>
  <c r="CQ36" i="1" s="1"/>
  <c r="BY37" i="1" a="1"/>
  <c r="BY37" i="1" s="1"/>
  <c r="BZ37" i="1" a="1"/>
  <c r="BZ37" i="1" s="1"/>
  <c r="CA37" i="1" a="1"/>
  <c r="CA37" i="1" s="1"/>
  <c r="CB37" i="1" a="1"/>
  <c r="CB37" i="1" s="1"/>
  <c r="CC37" i="1" a="1"/>
  <c r="CC37" i="1" s="1"/>
  <c r="CD37" i="1" a="1"/>
  <c r="CD37" i="1" s="1"/>
  <c r="CE37" i="1" a="1"/>
  <c r="CE37" i="1" s="1"/>
  <c r="CF37" i="1" a="1"/>
  <c r="CF37" i="1" s="1"/>
  <c r="CG37" i="1" a="1"/>
  <c r="CG37" i="1" s="1"/>
  <c r="CH37" i="1" a="1"/>
  <c r="CH37" i="1" s="1"/>
  <c r="CI37" i="1" a="1"/>
  <c r="CI37" i="1" s="1"/>
  <c r="CJ37" i="1" a="1"/>
  <c r="CJ37" i="1" s="1"/>
  <c r="CK37" i="1" a="1"/>
  <c r="CK37" i="1" s="1"/>
  <c r="CL37" i="1" a="1"/>
  <c r="CL37" i="1" s="1"/>
  <c r="CM37" i="1" a="1"/>
  <c r="CM37" i="1" s="1"/>
  <c r="CN37" i="1" a="1"/>
  <c r="CN37" i="1" s="1"/>
  <c r="CO37" i="1" a="1"/>
  <c r="CO37" i="1" s="1"/>
  <c r="CP37" i="1" a="1"/>
  <c r="CP37" i="1" s="1"/>
  <c r="CQ37" i="1" a="1"/>
  <c r="CQ37" i="1" s="1"/>
  <c r="BY38" i="1" a="1"/>
  <c r="BY38" i="1" s="1"/>
  <c r="BZ38" i="1" a="1"/>
  <c r="BZ38" i="1" s="1"/>
  <c r="CA38" i="1" a="1"/>
  <c r="CA38" i="1" s="1"/>
  <c r="CB38" i="1" a="1"/>
  <c r="CB38" i="1" s="1"/>
  <c r="CC38" i="1" a="1"/>
  <c r="CC38" i="1" s="1"/>
  <c r="CD38" i="1" a="1"/>
  <c r="CD38" i="1" s="1"/>
  <c r="CE38" i="1" a="1"/>
  <c r="CE38" i="1" s="1"/>
  <c r="CF38" i="1" a="1"/>
  <c r="CF38" i="1" s="1"/>
  <c r="CG38" i="1" a="1"/>
  <c r="CG38" i="1" s="1"/>
  <c r="CH38" i="1" a="1"/>
  <c r="CH38" i="1" s="1"/>
  <c r="CI38" i="1" a="1"/>
  <c r="CI38" i="1" s="1"/>
  <c r="CJ38" i="1" a="1"/>
  <c r="CJ38" i="1" s="1"/>
  <c r="CK38" i="1" a="1"/>
  <c r="CK38" i="1" s="1"/>
  <c r="CL38" i="1" a="1"/>
  <c r="CL38" i="1" s="1"/>
  <c r="CM38" i="1" a="1"/>
  <c r="CM38" i="1" s="1"/>
  <c r="CN38" i="1" a="1"/>
  <c r="CN38" i="1" s="1"/>
  <c r="CO38" i="1" a="1"/>
  <c r="CO38" i="1" s="1"/>
  <c r="CP38" i="1" a="1"/>
  <c r="CP38" i="1" s="1"/>
  <c r="CQ38" i="1" a="1"/>
  <c r="CQ38" i="1" s="1"/>
  <c r="BY39" i="1" a="1"/>
  <c r="BY39" i="1" s="1"/>
  <c r="BZ39" i="1" a="1"/>
  <c r="BZ39" i="1" s="1"/>
  <c r="CA39" i="1" a="1"/>
  <c r="CA39" i="1" s="1"/>
  <c r="CB39" i="1" a="1"/>
  <c r="CB39" i="1" s="1"/>
  <c r="CC39" i="1" a="1"/>
  <c r="CC39" i="1" s="1"/>
  <c r="CD39" i="1" a="1"/>
  <c r="CD39" i="1" s="1"/>
  <c r="CE39" i="1" a="1"/>
  <c r="CE39" i="1" s="1"/>
  <c r="CF39" i="1" a="1"/>
  <c r="CF39" i="1" s="1"/>
  <c r="CG39" i="1" a="1"/>
  <c r="CG39" i="1" s="1"/>
  <c r="CH39" i="1" a="1"/>
  <c r="CH39" i="1" s="1"/>
  <c r="CI39" i="1" a="1"/>
  <c r="CI39" i="1" s="1"/>
  <c r="CJ39" i="1" a="1"/>
  <c r="CJ39" i="1" s="1"/>
  <c r="CK39" i="1" a="1"/>
  <c r="CK39" i="1" s="1"/>
  <c r="CL39" i="1" a="1"/>
  <c r="CL39" i="1" s="1"/>
  <c r="CM39" i="1" a="1"/>
  <c r="CM39" i="1" s="1"/>
  <c r="CN39" i="1" a="1"/>
  <c r="CN39" i="1" s="1"/>
  <c r="CO39" i="1" a="1"/>
  <c r="CO39" i="1" s="1"/>
  <c r="CP39" i="1" a="1"/>
  <c r="CP39" i="1" s="1"/>
  <c r="CQ39" i="1" a="1"/>
  <c r="CQ39" i="1" s="1"/>
  <c r="BY40" i="1" a="1"/>
  <c r="BY40" i="1" s="1"/>
  <c r="BZ40" i="1" a="1"/>
  <c r="BZ40" i="1" s="1"/>
  <c r="CA40" i="1" a="1"/>
  <c r="CA40" i="1" s="1"/>
  <c r="CB40" i="1" a="1"/>
  <c r="CB40" i="1" s="1"/>
  <c r="CC40" i="1" a="1"/>
  <c r="CC40" i="1" s="1"/>
  <c r="CD40" i="1" a="1"/>
  <c r="CD40" i="1" s="1"/>
  <c r="CE40" i="1" a="1"/>
  <c r="CE40" i="1" s="1"/>
  <c r="CF40" i="1" a="1"/>
  <c r="CF40" i="1" s="1"/>
  <c r="CG40" i="1" a="1"/>
  <c r="CG40" i="1" s="1"/>
  <c r="CH40" i="1" a="1"/>
  <c r="CH40" i="1" s="1"/>
  <c r="CI40" i="1" a="1"/>
  <c r="CI40" i="1" s="1"/>
  <c r="CJ40" i="1" a="1"/>
  <c r="CJ40" i="1" s="1"/>
  <c r="CK40" i="1" a="1"/>
  <c r="CK40" i="1" s="1"/>
  <c r="CL40" i="1" a="1"/>
  <c r="CL40" i="1" s="1"/>
  <c r="CM40" i="1" a="1"/>
  <c r="CM40" i="1" s="1"/>
  <c r="CN40" i="1" a="1"/>
  <c r="CN40" i="1" s="1"/>
  <c r="CO40" i="1" a="1"/>
  <c r="CO40" i="1" s="1"/>
  <c r="CP40" i="1" a="1"/>
  <c r="CP40" i="1" s="1"/>
  <c r="CQ40" i="1" a="1"/>
  <c r="CQ40" i="1" s="1"/>
  <c r="BY41" i="1" a="1"/>
  <c r="BY41" i="1" s="1"/>
  <c r="BZ41" i="1" a="1"/>
  <c r="BZ41" i="1" s="1"/>
  <c r="CA41" i="1" a="1"/>
  <c r="CA41" i="1" s="1"/>
  <c r="CB41" i="1" a="1"/>
  <c r="CB41" i="1" s="1"/>
  <c r="CC41" i="1" a="1"/>
  <c r="CC41" i="1" s="1"/>
  <c r="CD41" i="1" a="1"/>
  <c r="CD41" i="1" s="1"/>
  <c r="CE41" i="1" a="1"/>
  <c r="CE41" i="1" s="1"/>
  <c r="CF41" i="1" a="1"/>
  <c r="CF41" i="1" s="1"/>
  <c r="CG41" i="1" a="1"/>
  <c r="CG41" i="1" s="1"/>
  <c r="CH41" i="1" a="1"/>
  <c r="CH41" i="1" s="1"/>
  <c r="CI41" i="1" a="1"/>
  <c r="CI41" i="1" s="1"/>
  <c r="CJ41" i="1" a="1"/>
  <c r="CJ41" i="1" s="1"/>
  <c r="CK41" i="1" a="1"/>
  <c r="CK41" i="1" s="1"/>
  <c r="CL41" i="1" a="1"/>
  <c r="CL41" i="1" s="1"/>
  <c r="CM41" i="1" a="1"/>
  <c r="CM41" i="1" s="1"/>
  <c r="CN41" i="1" a="1"/>
  <c r="CN41" i="1" s="1"/>
  <c r="CO41" i="1" a="1"/>
  <c r="CO41" i="1" s="1"/>
  <c r="CP41" i="1" a="1"/>
  <c r="CP41" i="1" s="1"/>
  <c r="CQ41" i="1" a="1"/>
  <c r="CQ41" i="1" s="1"/>
  <c r="BY42" i="1" a="1"/>
  <c r="BY42" i="1" s="1"/>
  <c r="BZ42" i="1" a="1"/>
  <c r="BZ42" i="1" s="1"/>
  <c r="CA42" i="1" a="1"/>
  <c r="CA42" i="1" s="1"/>
  <c r="CB42" i="1" a="1"/>
  <c r="CB42" i="1" s="1"/>
  <c r="CC42" i="1" a="1"/>
  <c r="CC42" i="1" s="1"/>
  <c r="CD42" i="1" a="1"/>
  <c r="CD42" i="1" s="1"/>
  <c r="CE42" i="1" a="1"/>
  <c r="CE42" i="1" s="1"/>
  <c r="CF42" i="1" a="1"/>
  <c r="CF42" i="1" s="1"/>
  <c r="CG42" i="1" a="1"/>
  <c r="CG42" i="1" s="1"/>
  <c r="CH42" i="1" a="1"/>
  <c r="CH42" i="1" s="1"/>
  <c r="CI42" i="1" a="1"/>
  <c r="CI42" i="1" s="1"/>
  <c r="CJ42" i="1" a="1"/>
  <c r="CJ42" i="1" s="1"/>
  <c r="CK42" i="1" a="1"/>
  <c r="CK42" i="1" s="1"/>
  <c r="CL42" i="1" a="1"/>
  <c r="CL42" i="1" s="1"/>
  <c r="CM42" i="1" a="1"/>
  <c r="CM42" i="1" s="1"/>
  <c r="CN42" i="1" a="1"/>
  <c r="CN42" i="1" s="1"/>
  <c r="CO42" i="1" a="1"/>
  <c r="CO42" i="1" s="1"/>
  <c r="CP42" i="1" a="1"/>
  <c r="CP42" i="1" s="1"/>
  <c r="CQ42" i="1" a="1"/>
  <c r="CQ42" i="1" s="1"/>
  <c r="BY43" i="1" a="1"/>
  <c r="BY43" i="1" s="1"/>
  <c r="BZ43" i="1" a="1"/>
  <c r="BZ43" i="1" s="1"/>
  <c r="CA43" i="1" a="1"/>
  <c r="CA43" i="1" s="1"/>
  <c r="CB43" i="1" a="1"/>
  <c r="CB43" i="1" s="1"/>
  <c r="CC43" i="1" a="1"/>
  <c r="CC43" i="1" s="1"/>
  <c r="CD43" i="1" a="1"/>
  <c r="CD43" i="1" s="1"/>
  <c r="CE43" i="1" a="1"/>
  <c r="CE43" i="1" s="1"/>
  <c r="CF43" i="1" a="1"/>
  <c r="CF43" i="1" s="1"/>
  <c r="CG43" i="1" a="1"/>
  <c r="CG43" i="1" s="1"/>
  <c r="CH43" i="1" a="1"/>
  <c r="CH43" i="1" s="1"/>
  <c r="CI43" i="1" a="1"/>
  <c r="CI43" i="1" s="1"/>
  <c r="CJ43" i="1" a="1"/>
  <c r="CJ43" i="1" s="1"/>
  <c r="CK43" i="1" a="1"/>
  <c r="CK43" i="1" s="1"/>
  <c r="CL43" i="1" a="1"/>
  <c r="CL43" i="1" s="1"/>
  <c r="CM43" i="1" a="1"/>
  <c r="CM43" i="1" s="1"/>
  <c r="CN43" i="1" a="1"/>
  <c r="CN43" i="1" s="1"/>
  <c r="CO43" i="1" a="1"/>
  <c r="CO43" i="1" s="1"/>
  <c r="CP43" i="1" a="1"/>
  <c r="CP43" i="1" s="1"/>
  <c r="CQ43" i="1" a="1"/>
  <c r="CQ43" i="1" s="1"/>
  <c r="BY44" i="1" a="1"/>
  <c r="BY44" i="1" s="1"/>
  <c r="BZ44" i="1" a="1"/>
  <c r="BZ44" i="1" s="1"/>
  <c r="CA44" i="1" a="1"/>
  <c r="CA44" i="1" s="1"/>
  <c r="CB44" i="1" a="1"/>
  <c r="CB44" i="1" s="1"/>
  <c r="CC44" i="1" a="1"/>
  <c r="CC44" i="1" s="1"/>
  <c r="CD44" i="1" a="1"/>
  <c r="CD44" i="1" s="1"/>
  <c r="CE44" i="1" a="1"/>
  <c r="CE44" i="1" s="1"/>
  <c r="CF44" i="1" a="1"/>
  <c r="CF44" i="1" s="1"/>
  <c r="CG44" i="1" a="1"/>
  <c r="CG44" i="1" s="1"/>
  <c r="CH44" i="1" a="1"/>
  <c r="CH44" i="1" s="1"/>
  <c r="CI44" i="1" a="1"/>
  <c r="CI44" i="1" s="1"/>
  <c r="CJ44" i="1" a="1"/>
  <c r="CJ44" i="1" s="1"/>
  <c r="CK44" i="1" a="1"/>
  <c r="CK44" i="1" s="1"/>
  <c r="CL44" i="1" a="1"/>
  <c r="CL44" i="1" s="1"/>
  <c r="CM44" i="1" a="1"/>
  <c r="CM44" i="1" s="1"/>
  <c r="CN44" i="1" a="1"/>
  <c r="CN44" i="1" s="1"/>
  <c r="CO44" i="1" a="1"/>
  <c r="CO44" i="1" s="1"/>
  <c r="CP44" i="1" a="1"/>
  <c r="CP44" i="1" s="1"/>
  <c r="CQ44" i="1" a="1"/>
  <c r="CQ44" i="1" s="1"/>
  <c r="BY45" i="1" a="1"/>
  <c r="BY45" i="1" s="1"/>
  <c r="BZ45" i="1" a="1"/>
  <c r="BZ45" i="1" s="1"/>
  <c r="CA45" i="1" a="1"/>
  <c r="CA45" i="1" s="1"/>
  <c r="CB45" i="1" a="1"/>
  <c r="CB45" i="1" s="1"/>
  <c r="CC45" i="1" a="1"/>
  <c r="CC45" i="1" s="1"/>
  <c r="CD45" i="1" a="1"/>
  <c r="CD45" i="1" s="1"/>
  <c r="CE45" i="1" a="1"/>
  <c r="CE45" i="1" s="1"/>
  <c r="CF45" i="1" a="1"/>
  <c r="CF45" i="1" s="1"/>
  <c r="CG45" i="1" a="1"/>
  <c r="CG45" i="1" s="1"/>
  <c r="CH45" i="1" a="1"/>
  <c r="CH45" i="1" s="1"/>
  <c r="CI45" i="1" a="1"/>
  <c r="CI45" i="1" s="1"/>
  <c r="CJ45" i="1" a="1"/>
  <c r="CJ45" i="1" s="1"/>
  <c r="CK45" i="1" a="1"/>
  <c r="CK45" i="1" s="1"/>
  <c r="CL45" i="1" a="1"/>
  <c r="CL45" i="1" s="1"/>
  <c r="CM45" i="1" a="1"/>
  <c r="CM45" i="1" s="1"/>
  <c r="CN45" i="1" a="1"/>
  <c r="CN45" i="1" s="1"/>
  <c r="CO45" i="1" a="1"/>
  <c r="CO45" i="1" s="1"/>
  <c r="CP45" i="1" a="1"/>
  <c r="CP45" i="1" s="1"/>
  <c r="CQ45" i="1" a="1"/>
  <c r="CQ45" i="1" s="1"/>
  <c r="BY46" i="1" a="1"/>
  <c r="BY46" i="1" s="1"/>
  <c r="BZ46" i="1" a="1"/>
  <c r="BZ46" i="1" s="1"/>
  <c r="CA46" i="1" a="1"/>
  <c r="CA46" i="1" s="1"/>
  <c r="CB46" i="1" a="1"/>
  <c r="CB46" i="1" s="1"/>
  <c r="CC46" i="1" a="1"/>
  <c r="CC46" i="1" s="1"/>
  <c r="CD46" i="1" a="1"/>
  <c r="CD46" i="1" s="1"/>
  <c r="CE46" i="1" a="1"/>
  <c r="CE46" i="1" s="1"/>
  <c r="CF46" i="1" a="1"/>
  <c r="CF46" i="1" s="1"/>
  <c r="CG46" i="1" a="1"/>
  <c r="CG46" i="1" s="1"/>
  <c r="CH46" i="1" a="1"/>
  <c r="CH46" i="1" s="1"/>
  <c r="CI46" i="1" a="1"/>
  <c r="CI46" i="1" s="1"/>
  <c r="CJ46" i="1" a="1"/>
  <c r="CJ46" i="1" s="1"/>
  <c r="CK46" i="1" a="1"/>
  <c r="CK46" i="1" s="1"/>
  <c r="CL46" i="1" a="1"/>
  <c r="CL46" i="1" s="1"/>
  <c r="CM46" i="1" a="1"/>
  <c r="CM46" i="1" s="1"/>
  <c r="CN46" i="1" a="1"/>
  <c r="CN46" i="1" s="1"/>
  <c r="CO46" i="1" a="1"/>
  <c r="CO46" i="1" s="1"/>
  <c r="CP46" i="1" a="1"/>
  <c r="CP46" i="1" s="1"/>
  <c r="CQ46" i="1" a="1"/>
  <c r="CQ46" i="1" s="1"/>
  <c r="BY47" i="1" a="1"/>
  <c r="BY47" i="1" s="1"/>
  <c r="BZ47" i="1" a="1"/>
  <c r="BZ47" i="1" s="1"/>
  <c r="CA47" i="1" a="1"/>
  <c r="CA47" i="1" s="1"/>
  <c r="CB47" i="1" a="1"/>
  <c r="CB47" i="1" s="1"/>
  <c r="CC47" i="1" a="1"/>
  <c r="CC47" i="1" s="1"/>
  <c r="CD47" i="1" a="1"/>
  <c r="CD47" i="1" s="1"/>
  <c r="CE47" i="1" a="1"/>
  <c r="CE47" i="1" s="1"/>
  <c r="CF47" i="1" a="1"/>
  <c r="CF47" i="1" s="1"/>
  <c r="CG47" i="1" a="1"/>
  <c r="CG47" i="1" s="1"/>
  <c r="CH47" i="1" a="1"/>
  <c r="CH47" i="1" s="1"/>
  <c r="CI47" i="1" a="1"/>
  <c r="CI47" i="1" s="1"/>
  <c r="CJ47" i="1" a="1"/>
  <c r="CJ47" i="1" s="1"/>
  <c r="CK47" i="1" a="1"/>
  <c r="CK47" i="1" s="1"/>
  <c r="CL47" i="1" a="1"/>
  <c r="CL47" i="1" s="1"/>
  <c r="CM47" i="1" a="1"/>
  <c r="CM47" i="1" s="1"/>
  <c r="CN47" i="1" a="1"/>
  <c r="CN47" i="1" s="1"/>
  <c r="CO47" i="1" a="1"/>
  <c r="CO47" i="1" s="1"/>
  <c r="CP47" i="1" a="1"/>
  <c r="CP47" i="1" s="1"/>
  <c r="CQ47" i="1" a="1"/>
  <c r="CQ47" i="1" s="1"/>
  <c r="BY48" i="1" a="1"/>
  <c r="BY48" i="1" s="1"/>
  <c r="BZ48" i="1" a="1"/>
  <c r="BZ48" i="1" s="1"/>
  <c r="CA48" i="1" a="1"/>
  <c r="CA48" i="1" s="1"/>
  <c r="CB48" i="1" a="1"/>
  <c r="CB48" i="1" s="1"/>
  <c r="CC48" i="1" a="1"/>
  <c r="CC48" i="1" s="1"/>
  <c r="CD48" i="1" a="1"/>
  <c r="CD48" i="1" s="1"/>
  <c r="CE48" i="1" a="1"/>
  <c r="CE48" i="1" s="1"/>
  <c r="CF48" i="1" a="1"/>
  <c r="CF48" i="1" s="1"/>
  <c r="CG48" i="1" a="1"/>
  <c r="CG48" i="1" s="1"/>
  <c r="CH48" i="1" a="1"/>
  <c r="CH48" i="1" s="1"/>
  <c r="CI48" i="1" a="1"/>
  <c r="CI48" i="1" s="1"/>
  <c r="CJ48" i="1" a="1"/>
  <c r="CJ48" i="1" s="1"/>
  <c r="CK48" i="1" a="1"/>
  <c r="CK48" i="1" s="1"/>
  <c r="CL48" i="1" a="1"/>
  <c r="CL48" i="1" s="1"/>
  <c r="CM48" i="1" a="1"/>
  <c r="CM48" i="1" s="1"/>
  <c r="CN48" i="1" a="1"/>
  <c r="CN48" i="1" s="1"/>
  <c r="CO48" i="1" a="1"/>
  <c r="CO48" i="1" s="1"/>
  <c r="CP48" i="1" a="1"/>
  <c r="CP48" i="1" s="1"/>
  <c r="CQ48" i="1" a="1"/>
  <c r="CQ48" i="1" s="1"/>
  <c r="BY49" i="1" a="1"/>
  <c r="BY49" i="1" s="1"/>
  <c r="BZ49" i="1" a="1"/>
  <c r="BZ49" i="1" s="1"/>
  <c r="CA49" i="1" a="1"/>
  <c r="CA49" i="1" s="1"/>
  <c r="CB49" i="1" a="1"/>
  <c r="CB49" i="1" s="1"/>
  <c r="CC49" i="1" a="1"/>
  <c r="CC49" i="1" s="1"/>
  <c r="CD49" i="1" a="1"/>
  <c r="CD49" i="1" s="1"/>
  <c r="CE49" i="1" a="1"/>
  <c r="CE49" i="1" s="1"/>
  <c r="CF49" i="1" a="1"/>
  <c r="CF49" i="1" s="1"/>
  <c r="CG49" i="1" a="1"/>
  <c r="CG49" i="1" s="1"/>
  <c r="CH49" i="1" a="1"/>
  <c r="CH49" i="1" s="1"/>
  <c r="CI49" i="1" a="1"/>
  <c r="CI49" i="1" s="1"/>
  <c r="CJ49" i="1" a="1"/>
  <c r="CJ49" i="1" s="1"/>
  <c r="CK49" i="1" a="1"/>
  <c r="CK49" i="1" s="1"/>
  <c r="CL49" i="1" a="1"/>
  <c r="CL49" i="1" s="1"/>
  <c r="CM49" i="1" a="1"/>
  <c r="CM49" i="1"/>
  <c r="CN49" i="1" a="1"/>
  <c r="CN49" i="1" s="1"/>
  <c r="CO49" i="1" a="1"/>
  <c r="CO49" i="1" s="1"/>
  <c r="CP49" i="1" a="1"/>
  <c r="CP49" i="1" s="1"/>
  <c r="CQ49" i="1" a="1"/>
  <c r="CQ49" i="1" s="1"/>
  <c r="BY50" i="1" a="1"/>
  <c r="BY50" i="1" s="1"/>
  <c r="BZ50" i="1" a="1"/>
  <c r="BZ50" i="1" s="1"/>
  <c r="CA50" i="1" a="1"/>
  <c r="CA50" i="1" s="1"/>
  <c r="CB50" i="1" a="1"/>
  <c r="CB50" i="1" s="1"/>
  <c r="CC50" i="1" a="1"/>
  <c r="CC50" i="1" s="1"/>
  <c r="CD50" i="1" a="1"/>
  <c r="CD50" i="1" s="1"/>
  <c r="CE50" i="1" a="1"/>
  <c r="CE50" i="1" s="1"/>
  <c r="CF50" i="1" a="1"/>
  <c r="CF50" i="1" s="1"/>
  <c r="CG50" i="1" a="1"/>
  <c r="CG50" i="1" s="1"/>
  <c r="CH50" i="1" a="1"/>
  <c r="CH50" i="1" s="1"/>
  <c r="CI50" i="1" a="1"/>
  <c r="CI50" i="1" s="1"/>
  <c r="CJ50" i="1" a="1"/>
  <c r="CJ50" i="1" s="1"/>
  <c r="CK50" i="1" a="1"/>
  <c r="CK50" i="1" s="1"/>
  <c r="CL50" i="1" a="1"/>
  <c r="CL50" i="1" s="1"/>
  <c r="CM50" i="1" a="1"/>
  <c r="CM50" i="1" s="1"/>
  <c r="CN50" i="1" a="1"/>
  <c r="CN50" i="1" s="1"/>
  <c r="CO50" i="1" a="1"/>
  <c r="CO50" i="1" s="1"/>
  <c r="CP50" i="1" a="1"/>
  <c r="CP50" i="1" s="1"/>
  <c r="CQ50" i="1" a="1"/>
  <c r="CQ50" i="1" s="1"/>
  <c r="BY51" i="1" a="1"/>
  <c r="BY51" i="1" s="1"/>
  <c r="BZ51" i="1" a="1"/>
  <c r="BZ51" i="1" s="1"/>
  <c r="CA51" i="1" a="1"/>
  <c r="CA51" i="1" s="1"/>
  <c r="CB51" i="1" a="1"/>
  <c r="CB51" i="1" s="1"/>
  <c r="CC51" i="1" a="1"/>
  <c r="CC51" i="1" s="1"/>
  <c r="CD51" i="1" a="1"/>
  <c r="CD51" i="1" s="1"/>
  <c r="CE51" i="1" a="1"/>
  <c r="CE51" i="1" s="1"/>
  <c r="CF51" i="1" a="1"/>
  <c r="CF51" i="1" s="1"/>
  <c r="CG51" i="1" a="1"/>
  <c r="CG51" i="1"/>
  <c r="CH51" i="1" a="1"/>
  <c r="CH51" i="1" s="1"/>
  <c r="CI51" i="1" a="1"/>
  <c r="CI51" i="1" s="1"/>
  <c r="CJ51" i="1" a="1"/>
  <c r="CJ51" i="1" s="1"/>
  <c r="CK51" i="1" a="1"/>
  <c r="CK51" i="1" s="1"/>
  <c r="CL51" i="1" a="1"/>
  <c r="CL51" i="1" s="1"/>
  <c r="CM51" i="1" a="1"/>
  <c r="CM51" i="1" s="1"/>
  <c r="CN51" i="1" a="1"/>
  <c r="CN51" i="1" s="1"/>
  <c r="CO51" i="1" a="1"/>
  <c r="CO51" i="1"/>
  <c r="CP51" i="1" a="1"/>
  <c r="CP51" i="1" s="1"/>
  <c r="CQ51" i="1" a="1"/>
  <c r="CQ51" i="1" s="1"/>
  <c r="BY52" i="1" a="1"/>
  <c r="BY52" i="1" s="1"/>
  <c r="BZ52" i="1" a="1"/>
  <c r="BZ52" i="1" s="1"/>
  <c r="CA52" i="1" a="1"/>
  <c r="CA52" i="1" s="1"/>
  <c r="CB52" i="1" a="1"/>
  <c r="CB52" i="1" s="1"/>
  <c r="CC52" i="1" a="1"/>
  <c r="CC52" i="1" s="1"/>
  <c r="CD52" i="1" a="1"/>
  <c r="CD52" i="1" s="1"/>
  <c r="CE52" i="1" a="1"/>
  <c r="CE52" i="1" s="1"/>
  <c r="CF52" i="1" a="1"/>
  <c r="CF52" i="1" s="1"/>
  <c r="CG52" i="1" a="1"/>
  <c r="CG52" i="1" s="1"/>
  <c r="CH52" i="1" a="1"/>
  <c r="CH52" i="1" s="1"/>
  <c r="CI52" i="1" a="1"/>
  <c r="CI52" i="1" s="1"/>
  <c r="CJ52" i="1" a="1"/>
  <c r="CJ52" i="1" s="1"/>
  <c r="CK52" i="1" a="1"/>
  <c r="CK52" i="1" s="1"/>
  <c r="CL52" i="1" a="1"/>
  <c r="CL52" i="1" s="1"/>
  <c r="CM52" i="1" a="1"/>
  <c r="CM52" i="1" s="1"/>
  <c r="CN52" i="1" a="1"/>
  <c r="CN52" i="1" s="1"/>
  <c r="CO52" i="1" a="1"/>
  <c r="CO52" i="1" s="1"/>
  <c r="CP52" i="1" a="1"/>
  <c r="CP52" i="1" s="1"/>
  <c r="CQ52" i="1" a="1"/>
  <c r="CQ52" i="1" s="1"/>
  <c r="BY53" i="1" a="1"/>
  <c r="BY53" i="1" s="1"/>
  <c r="BZ53" i="1" a="1"/>
  <c r="BZ53" i="1" s="1"/>
  <c r="CA53" i="1" a="1"/>
  <c r="CA53" i="1" s="1"/>
  <c r="CB53" i="1" a="1"/>
  <c r="CB53" i="1" s="1"/>
  <c r="CC53" i="1" a="1"/>
  <c r="CC53" i="1" s="1"/>
  <c r="CD53" i="1" a="1"/>
  <c r="CD53" i="1" s="1"/>
  <c r="CE53" i="1" a="1"/>
  <c r="CE53" i="1" s="1"/>
  <c r="CF53" i="1" a="1"/>
  <c r="CF53" i="1" s="1"/>
  <c r="CG53" i="1" a="1"/>
  <c r="CG53" i="1" s="1"/>
  <c r="CH53" i="1" a="1"/>
  <c r="CH53" i="1" s="1"/>
  <c r="CI53" i="1" a="1"/>
  <c r="CI53" i="1" s="1"/>
  <c r="CJ53" i="1" a="1"/>
  <c r="CJ53" i="1" s="1"/>
  <c r="CK53" i="1" a="1"/>
  <c r="CK53" i="1" s="1"/>
  <c r="CL53" i="1" a="1"/>
  <c r="CL53" i="1" s="1"/>
  <c r="CM53" i="1" a="1"/>
  <c r="CM53" i="1" s="1"/>
  <c r="CN53" i="1" a="1"/>
  <c r="CN53" i="1" s="1"/>
  <c r="CO53" i="1" a="1"/>
  <c r="CO53" i="1" s="1"/>
  <c r="CP53" i="1" a="1"/>
  <c r="CP53" i="1" s="1"/>
  <c r="CQ53" i="1" a="1"/>
  <c r="CQ53" i="1" s="1"/>
  <c r="BY54" i="1" a="1"/>
  <c r="BY54" i="1" s="1"/>
  <c r="BZ54" i="1" a="1"/>
  <c r="BZ54" i="1" s="1"/>
  <c r="CA54" i="1" a="1"/>
  <c r="CA54" i="1" s="1"/>
  <c r="CB54" i="1" a="1"/>
  <c r="CB54" i="1" s="1"/>
  <c r="CC54" i="1" a="1"/>
  <c r="CC54" i="1" s="1"/>
  <c r="CD54" i="1" a="1"/>
  <c r="CD54" i="1" s="1"/>
  <c r="CE54" i="1" a="1"/>
  <c r="CE54" i="1" s="1"/>
  <c r="CF54" i="1" a="1"/>
  <c r="CF54" i="1" s="1"/>
  <c r="CG54" i="1" a="1"/>
  <c r="CG54" i="1" s="1"/>
  <c r="CH54" i="1" a="1"/>
  <c r="CH54" i="1" s="1"/>
  <c r="CI54" i="1" a="1"/>
  <c r="CI54" i="1" s="1"/>
  <c r="CJ54" i="1" a="1"/>
  <c r="CJ54" i="1" s="1"/>
  <c r="CK54" i="1" a="1"/>
  <c r="CK54" i="1" s="1"/>
  <c r="CL54" i="1" a="1"/>
  <c r="CL54" i="1" s="1"/>
  <c r="CM54" i="1" a="1"/>
  <c r="CM54" i="1" s="1"/>
  <c r="CN54" i="1" a="1"/>
  <c r="CN54" i="1" s="1"/>
  <c r="CO54" i="1" a="1"/>
  <c r="CO54" i="1" s="1"/>
  <c r="CP54" i="1" a="1"/>
  <c r="CP54" i="1" s="1"/>
  <c r="CQ54" i="1" a="1"/>
  <c r="CQ54" i="1" s="1"/>
  <c r="BY55" i="1" a="1"/>
  <c r="BY55" i="1" s="1"/>
  <c r="BZ55" i="1" a="1"/>
  <c r="BZ55" i="1" s="1"/>
  <c r="CA55" i="1" a="1"/>
  <c r="CA55" i="1" s="1"/>
  <c r="CB55" i="1" a="1"/>
  <c r="CB55" i="1" s="1"/>
  <c r="CC55" i="1" a="1"/>
  <c r="CC55" i="1" s="1"/>
  <c r="CD55" i="1" a="1"/>
  <c r="CD55" i="1" s="1"/>
  <c r="CE55" i="1" a="1"/>
  <c r="CE55" i="1" s="1"/>
  <c r="CF55" i="1" a="1"/>
  <c r="CF55" i="1" s="1"/>
  <c r="CG55" i="1" a="1"/>
  <c r="CG55" i="1" s="1"/>
  <c r="CH55" i="1" a="1"/>
  <c r="CH55" i="1" s="1"/>
  <c r="CI55" i="1" a="1"/>
  <c r="CI55" i="1" s="1"/>
  <c r="CJ55" i="1" a="1"/>
  <c r="CJ55" i="1" s="1"/>
  <c r="CK55" i="1" a="1"/>
  <c r="CK55" i="1" s="1"/>
  <c r="CL55" i="1" a="1"/>
  <c r="CL55" i="1" s="1"/>
  <c r="CM55" i="1" a="1"/>
  <c r="CM55" i="1" s="1"/>
  <c r="CN55" i="1" a="1"/>
  <c r="CN55" i="1" s="1"/>
  <c r="CO55" i="1" a="1"/>
  <c r="CO55" i="1" s="1"/>
  <c r="CP55" i="1" a="1"/>
  <c r="CP55" i="1" s="1"/>
  <c r="CQ55" i="1" a="1"/>
  <c r="CQ55" i="1" s="1"/>
  <c r="BY56" i="1" a="1"/>
  <c r="BY56" i="1" s="1"/>
  <c r="BZ56" i="1" a="1"/>
  <c r="BZ56" i="1" s="1"/>
  <c r="CA56" i="1" a="1"/>
  <c r="CA56" i="1" s="1"/>
  <c r="CB56" i="1" a="1"/>
  <c r="CB56" i="1" s="1"/>
  <c r="CC56" i="1" a="1"/>
  <c r="CC56" i="1" s="1"/>
  <c r="CD56" i="1" a="1"/>
  <c r="CD56" i="1" s="1"/>
  <c r="CE56" i="1" a="1"/>
  <c r="CE56" i="1" s="1"/>
  <c r="CF56" i="1" a="1"/>
  <c r="CF56" i="1" s="1"/>
  <c r="CG56" i="1" a="1"/>
  <c r="CG56" i="1" s="1"/>
  <c r="CH56" i="1" a="1"/>
  <c r="CH56" i="1" s="1"/>
  <c r="CI56" i="1" a="1"/>
  <c r="CI56" i="1" s="1"/>
  <c r="CJ56" i="1" a="1"/>
  <c r="CJ56" i="1" s="1"/>
  <c r="CK56" i="1" a="1"/>
  <c r="CK56" i="1" s="1"/>
  <c r="CL56" i="1" a="1"/>
  <c r="CL56" i="1" s="1"/>
  <c r="CM56" i="1" a="1"/>
  <c r="CM56" i="1" s="1"/>
  <c r="CN56" i="1" a="1"/>
  <c r="CN56" i="1" s="1"/>
  <c r="CO56" i="1" a="1"/>
  <c r="CO56" i="1" s="1"/>
  <c r="CP56" i="1" a="1"/>
  <c r="CP56" i="1" s="1"/>
  <c r="CQ56" i="1" a="1"/>
  <c r="CQ56" i="1" s="1"/>
  <c r="BY57" i="1" a="1"/>
  <c r="BY57" i="1" s="1"/>
  <c r="BZ57" i="1" a="1"/>
  <c r="BZ57" i="1" s="1"/>
  <c r="CA57" i="1" a="1"/>
  <c r="CA57" i="1" s="1"/>
  <c r="CB57" i="1" a="1"/>
  <c r="CB57" i="1" s="1"/>
  <c r="CC57" i="1" a="1"/>
  <c r="CC57" i="1" s="1"/>
  <c r="CD57" i="1" a="1"/>
  <c r="CD57" i="1" s="1"/>
  <c r="CE57" i="1" a="1"/>
  <c r="CE57" i="1" s="1"/>
  <c r="CF57" i="1" a="1"/>
  <c r="CF57" i="1" s="1"/>
  <c r="CG57" i="1" a="1"/>
  <c r="CG57" i="1" s="1"/>
  <c r="CH57" i="1" a="1"/>
  <c r="CH57" i="1" s="1"/>
  <c r="CI57" i="1" a="1"/>
  <c r="CI57" i="1" s="1"/>
  <c r="CJ57" i="1" a="1"/>
  <c r="CJ57" i="1" s="1"/>
  <c r="CK57" i="1" a="1"/>
  <c r="CK57" i="1" s="1"/>
  <c r="CL57" i="1" a="1"/>
  <c r="CL57" i="1" s="1"/>
  <c r="CM57" i="1" a="1"/>
  <c r="CM57" i="1" s="1"/>
  <c r="CN57" i="1" a="1"/>
  <c r="CN57" i="1" s="1"/>
  <c r="CO57" i="1" a="1"/>
  <c r="CO57" i="1" s="1"/>
  <c r="CP57" i="1" a="1"/>
  <c r="CP57" i="1" s="1"/>
  <c r="CQ57" i="1" a="1"/>
  <c r="CQ57" i="1" s="1"/>
  <c r="BY58" i="1" a="1"/>
  <c r="BY58" i="1" s="1"/>
  <c r="BZ58" i="1" a="1"/>
  <c r="BZ58" i="1" s="1"/>
  <c r="CA58" i="1" a="1"/>
  <c r="CA58" i="1" s="1"/>
  <c r="CB58" i="1" a="1"/>
  <c r="CB58" i="1" s="1"/>
  <c r="CC58" i="1" a="1"/>
  <c r="CC58" i="1" s="1"/>
  <c r="CD58" i="1" a="1"/>
  <c r="CD58" i="1" s="1"/>
  <c r="CE58" i="1" a="1"/>
  <c r="CE58" i="1" s="1"/>
  <c r="CF58" i="1" a="1"/>
  <c r="CF58" i="1" s="1"/>
  <c r="CG58" i="1" a="1"/>
  <c r="CG58" i="1" s="1"/>
  <c r="CH58" i="1" a="1"/>
  <c r="CH58" i="1" s="1"/>
  <c r="CI58" i="1" a="1"/>
  <c r="CI58" i="1" s="1"/>
  <c r="CJ58" i="1" a="1"/>
  <c r="CJ58" i="1" s="1"/>
  <c r="CK58" i="1" a="1"/>
  <c r="CK58" i="1" s="1"/>
  <c r="CL58" i="1" a="1"/>
  <c r="CL58" i="1" s="1"/>
  <c r="CM58" i="1" a="1"/>
  <c r="CM58" i="1" s="1"/>
  <c r="CN58" i="1" a="1"/>
  <c r="CN58" i="1" s="1"/>
  <c r="CO58" i="1" a="1"/>
  <c r="CO58" i="1" s="1"/>
  <c r="CP58" i="1" a="1"/>
  <c r="CP58" i="1" s="1"/>
  <c r="CQ58" i="1" a="1"/>
  <c r="CQ58" i="1" s="1"/>
  <c r="BY59" i="1" a="1"/>
  <c r="BY59" i="1" s="1"/>
  <c r="BZ59" i="1" a="1"/>
  <c r="BZ59" i="1" s="1"/>
  <c r="CA59" i="1" a="1"/>
  <c r="CA59" i="1" s="1"/>
  <c r="CB59" i="1" a="1"/>
  <c r="CB59" i="1" s="1"/>
  <c r="CC59" i="1" a="1"/>
  <c r="CC59" i="1" s="1"/>
  <c r="CD59" i="1" a="1"/>
  <c r="CD59" i="1" s="1"/>
  <c r="CE59" i="1" a="1"/>
  <c r="CE59" i="1" s="1"/>
  <c r="CF59" i="1" a="1"/>
  <c r="CF59" i="1" s="1"/>
  <c r="CG59" i="1" a="1"/>
  <c r="CG59" i="1" s="1"/>
  <c r="CH59" i="1" a="1"/>
  <c r="CH59" i="1" s="1"/>
  <c r="CI59" i="1" a="1"/>
  <c r="CI59" i="1" s="1"/>
  <c r="CJ59" i="1" a="1"/>
  <c r="CJ59" i="1" s="1"/>
  <c r="CK59" i="1" a="1"/>
  <c r="CK59" i="1" s="1"/>
  <c r="CL59" i="1" a="1"/>
  <c r="CL59" i="1" s="1"/>
  <c r="CM59" i="1" a="1"/>
  <c r="CM59" i="1" s="1"/>
  <c r="CN59" i="1" a="1"/>
  <c r="CN59" i="1" s="1"/>
  <c r="CO59" i="1" a="1"/>
  <c r="CO59" i="1" s="1"/>
  <c r="CP59" i="1" a="1"/>
  <c r="CP59" i="1" s="1"/>
  <c r="CQ59" i="1" a="1"/>
  <c r="CQ59" i="1" s="1"/>
  <c r="BY60" i="1" a="1"/>
  <c r="BY60" i="1" s="1"/>
  <c r="BZ60" i="1" a="1"/>
  <c r="BZ60" i="1" s="1"/>
  <c r="CA60" i="1" a="1"/>
  <c r="CA60" i="1" s="1"/>
  <c r="CB60" i="1" a="1"/>
  <c r="CB60" i="1" s="1"/>
  <c r="CC60" i="1" a="1"/>
  <c r="CC60" i="1" s="1"/>
  <c r="CD60" i="1" a="1"/>
  <c r="CD60" i="1" s="1"/>
  <c r="CE60" i="1" a="1"/>
  <c r="CE60" i="1" s="1"/>
  <c r="CF60" i="1" a="1"/>
  <c r="CF60" i="1" s="1"/>
  <c r="CG60" i="1" a="1"/>
  <c r="CG60" i="1" s="1"/>
  <c r="CH60" i="1" a="1"/>
  <c r="CH60" i="1" s="1"/>
  <c r="CI60" i="1" a="1"/>
  <c r="CI60" i="1" s="1"/>
  <c r="CJ60" i="1" a="1"/>
  <c r="CJ60" i="1" s="1"/>
  <c r="CK60" i="1" a="1"/>
  <c r="CK60" i="1" s="1"/>
  <c r="CL60" i="1" a="1"/>
  <c r="CL60" i="1" s="1"/>
  <c r="CM60" i="1" a="1"/>
  <c r="CM60" i="1" s="1"/>
  <c r="CN60" i="1" a="1"/>
  <c r="CN60" i="1" s="1"/>
  <c r="CO60" i="1" a="1"/>
  <c r="CO60" i="1" s="1"/>
  <c r="CP60" i="1" a="1"/>
  <c r="CP60" i="1" s="1"/>
  <c r="CQ60" i="1" a="1"/>
  <c r="CQ60" i="1" s="1"/>
  <c r="BY61" i="1" a="1"/>
  <c r="BY61" i="1" s="1"/>
  <c r="BZ61" i="1" a="1"/>
  <c r="BZ61" i="1" s="1"/>
  <c r="CA61" i="1" a="1"/>
  <c r="CA61" i="1" s="1"/>
  <c r="CB61" i="1" a="1"/>
  <c r="CB61" i="1" s="1"/>
  <c r="CC61" i="1" a="1"/>
  <c r="CC61" i="1" s="1"/>
  <c r="CD61" i="1" a="1"/>
  <c r="CD61" i="1" s="1"/>
  <c r="CE61" i="1" a="1"/>
  <c r="CE61" i="1" s="1"/>
  <c r="CF61" i="1" a="1"/>
  <c r="CF61" i="1" s="1"/>
  <c r="CG61" i="1" a="1"/>
  <c r="CG61" i="1" s="1"/>
  <c r="CH61" i="1" a="1"/>
  <c r="CH61" i="1" s="1"/>
  <c r="CI61" i="1" a="1"/>
  <c r="CI61" i="1" s="1"/>
  <c r="CJ61" i="1" a="1"/>
  <c r="CJ61" i="1" s="1"/>
  <c r="CK61" i="1" a="1"/>
  <c r="CK61" i="1" s="1"/>
  <c r="CL61" i="1" a="1"/>
  <c r="CL61" i="1" s="1"/>
  <c r="CM61" i="1" a="1"/>
  <c r="CM61" i="1" s="1"/>
  <c r="CN61" i="1" a="1"/>
  <c r="CN61" i="1" s="1"/>
  <c r="CO61" i="1" a="1"/>
  <c r="CO61" i="1" s="1"/>
  <c r="CP61" i="1" a="1"/>
  <c r="CP61" i="1" s="1"/>
  <c r="CQ61" i="1" a="1"/>
  <c r="CQ61" i="1" s="1"/>
  <c r="BY62" i="1" a="1"/>
  <c r="BY62" i="1" s="1"/>
  <c r="BZ62" i="1" a="1"/>
  <c r="BZ62" i="1" s="1"/>
  <c r="CA62" i="1" a="1"/>
  <c r="CA62" i="1" s="1"/>
  <c r="CB62" i="1" a="1"/>
  <c r="CB62" i="1" s="1"/>
  <c r="CC62" i="1" a="1"/>
  <c r="CC62" i="1" s="1"/>
  <c r="CD62" i="1" a="1"/>
  <c r="CD62" i="1" s="1"/>
  <c r="CE62" i="1" a="1"/>
  <c r="CE62" i="1" s="1"/>
  <c r="CF62" i="1" a="1"/>
  <c r="CF62" i="1" s="1"/>
  <c r="CG62" i="1" a="1"/>
  <c r="CG62" i="1" s="1"/>
  <c r="CH62" i="1" a="1"/>
  <c r="CH62" i="1" s="1"/>
  <c r="CI62" i="1" a="1"/>
  <c r="CI62" i="1" s="1"/>
  <c r="CJ62" i="1" a="1"/>
  <c r="CJ62" i="1" s="1"/>
  <c r="CK62" i="1" a="1"/>
  <c r="CK62" i="1" s="1"/>
  <c r="CL62" i="1" a="1"/>
  <c r="CL62" i="1" s="1"/>
  <c r="CM62" i="1" a="1"/>
  <c r="CM62" i="1" s="1"/>
  <c r="CN62" i="1" a="1"/>
  <c r="CN62" i="1" s="1"/>
  <c r="CO62" i="1" a="1"/>
  <c r="CO62" i="1" s="1"/>
  <c r="CP62" i="1" a="1"/>
  <c r="CP62" i="1" s="1"/>
  <c r="CQ62" i="1" a="1"/>
  <c r="CQ62" i="1" s="1"/>
  <c r="BY63" i="1" a="1"/>
  <c r="BY63" i="1" s="1"/>
  <c r="BZ63" i="1" a="1"/>
  <c r="BZ63" i="1" s="1"/>
  <c r="CA63" i="1" a="1"/>
  <c r="CA63" i="1" s="1"/>
  <c r="CB63" i="1" a="1"/>
  <c r="CB63" i="1" s="1"/>
  <c r="CC63" i="1" a="1"/>
  <c r="CC63" i="1" s="1"/>
  <c r="CD63" i="1" a="1"/>
  <c r="CD63" i="1" s="1"/>
  <c r="CE63" i="1" a="1"/>
  <c r="CE63" i="1" s="1"/>
  <c r="CF63" i="1" a="1"/>
  <c r="CF63" i="1" s="1"/>
  <c r="CG63" i="1" a="1"/>
  <c r="CG63" i="1" s="1"/>
  <c r="CH63" i="1" a="1"/>
  <c r="CH63" i="1" s="1"/>
  <c r="CI63" i="1" a="1"/>
  <c r="CI63" i="1" s="1"/>
  <c r="CJ63" i="1" a="1"/>
  <c r="CJ63" i="1" s="1"/>
  <c r="CK63" i="1" a="1"/>
  <c r="CK63" i="1" s="1"/>
  <c r="CL63" i="1" a="1"/>
  <c r="CL63" i="1" s="1"/>
  <c r="CM63" i="1" a="1"/>
  <c r="CM63" i="1" s="1"/>
  <c r="CN63" i="1" a="1"/>
  <c r="CN63" i="1" s="1"/>
  <c r="CO63" i="1" a="1"/>
  <c r="CO63" i="1" s="1"/>
  <c r="CP63" i="1" a="1"/>
  <c r="CP63" i="1" s="1"/>
  <c r="CQ63" i="1" a="1"/>
  <c r="CQ63" i="1" s="1"/>
  <c r="BY64" i="1" a="1"/>
  <c r="BY64" i="1"/>
  <c r="BZ64" i="1" a="1"/>
  <c r="BZ64" i="1" s="1"/>
  <c r="CA64" i="1" a="1"/>
  <c r="CA64" i="1" s="1"/>
  <c r="CB64" i="1" a="1"/>
  <c r="CB64" i="1" s="1"/>
  <c r="CC64" i="1" a="1"/>
  <c r="CC64" i="1" s="1"/>
  <c r="CD64" i="1" a="1"/>
  <c r="CD64" i="1" s="1"/>
  <c r="CE64" i="1" a="1"/>
  <c r="CE64" i="1" s="1"/>
  <c r="CF64" i="1" a="1"/>
  <c r="CF64" i="1" s="1"/>
  <c r="CG64" i="1" a="1"/>
  <c r="CG64" i="1" s="1"/>
  <c r="CH64" i="1" a="1"/>
  <c r="CH64" i="1" s="1"/>
  <c r="CI64" i="1" a="1"/>
  <c r="CI64" i="1" s="1"/>
  <c r="CJ64" i="1" a="1"/>
  <c r="CJ64" i="1" s="1"/>
  <c r="CK64" i="1" a="1"/>
  <c r="CK64" i="1" s="1"/>
  <c r="CL64" i="1" a="1"/>
  <c r="CL64" i="1" s="1"/>
  <c r="CM64" i="1" a="1"/>
  <c r="CM64" i="1" s="1"/>
  <c r="CN64" i="1" a="1"/>
  <c r="CN64" i="1" s="1"/>
  <c r="CO64" i="1" a="1"/>
  <c r="CO64" i="1" s="1"/>
  <c r="CP64" i="1" a="1"/>
  <c r="CP64" i="1" s="1"/>
  <c r="CQ64" i="1" a="1"/>
  <c r="CQ64" i="1" s="1"/>
  <c r="BY65" i="1" a="1"/>
  <c r="BY65" i="1" s="1"/>
  <c r="BZ65" i="1" a="1"/>
  <c r="BZ65" i="1" s="1"/>
  <c r="CA65" i="1" a="1"/>
  <c r="CA65" i="1" s="1"/>
  <c r="CB65" i="1" a="1"/>
  <c r="CB65" i="1" s="1"/>
  <c r="CC65" i="1" a="1"/>
  <c r="CC65" i="1" s="1"/>
  <c r="CD65" i="1" a="1"/>
  <c r="CD65" i="1" s="1"/>
  <c r="CE65" i="1" a="1"/>
  <c r="CE65" i="1" s="1"/>
  <c r="CF65" i="1" a="1"/>
  <c r="CF65" i="1" s="1"/>
  <c r="CG65" i="1" a="1"/>
  <c r="CG65" i="1" s="1"/>
  <c r="CH65" i="1" a="1"/>
  <c r="CH65" i="1" s="1"/>
  <c r="CI65" i="1" a="1"/>
  <c r="CI65" i="1" s="1"/>
  <c r="CJ65" i="1" a="1"/>
  <c r="CJ65" i="1" s="1"/>
  <c r="CK65" i="1" a="1"/>
  <c r="CK65" i="1" s="1"/>
  <c r="CL65" i="1" a="1"/>
  <c r="CL65" i="1" s="1"/>
  <c r="CM65" i="1" a="1"/>
  <c r="CM65" i="1" s="1"/>
  <c r="CN65" i="1" a="1"/>
  <c r="CN65" i="1" s="1"/>
  <c r="CO65" i="1" a="1"/>
  <c r="CO65" i="1" s="1"/>
  <c r="CP65" i="1" a="1"/>
  <c r="CP65" i="1" s="1"/>
  <c r="CQ65" i="1" a="1"/>
  <c r="CQ65" i="1" s="1"/>
  <c r="BY66" i="1" a="1"/>
  <c r="BY66" i="1" s="1"/>
  <c r="BZ66" i="1" a="1"/>
  <c r="BZ66" i="1" s="1"/>
  <c r="CA66" i="1" a="1"/>
  <c r="CA66" i="1" s="1"/>
  <c r="CB66" i="1" a="1"/>
  <c r="CB66" i="1" s="1"/>
  <c r="CC66" i="1" a="1"/>
  <c r="CC66" i="1" s="1"/>
  <c r="CD66" i="1" a="1"/>
  <c r="CD66" i="1" s="1"/>
  <c r="CE66" i="1" a="1"/>
  <c r="CE66" i="1" s="1"/>
  <c r="CF66" i="1" a="1"/>
  <c r="CF66" i="1" s="1"/>
  <c r="CG66" i="1" a="1"/>
  <c r="CG66" i="1" s="1"/>
  <c r="CH66" i="1" a="1"/>
  <c r="CH66" i="1" s="1"/>
  <c r="CI66" i="1" a="1"/>
  <c r="CI66" i="1" s="1"/>
  <c r="CJ66" i="1" a="1"/>
  <c r="CJ66" i="1" s="1"/>
  <c r="CK66" i="1" a="1"/>
  <c r="CK66" i="1" s="1"/>
  <c r="CL66" i="1" a="1"/>
  <c r="CL66" i="1" s="1"/>
  <c r="CM66" i="1" a="1"/>
  <c r="CM66" i="1" s="1"/>
  <c r="CN66" i="1" a="1"/>
  <c r="CN66" i="1" s="1"/>
  <c r="CO66" i="1" a="1"/>
  <c r="CO66" i="1" s="1"/>
  <c r="CP66" i="1" a="1"/>
  <c r="CP66" i="1" s="1"/>
  <c r="CQ66" i="1" a="1"/>
  <c r="CQ66" i="1" s="1"/>
  <c r="BY67" i="1" a="1"/>
  <c r="BY67" i="1" s="1"/>
  <c r="BZ67" i="1" a="1"/>
  <c r="BZ67" i="1" s="1"/>
  <c r="CA67" i="1" a="1"/>
  <c r="CA67" i="1" s="1"/>
  <c r="CB67" i="1" a="1"/>
  <c r="CB67" i="1" s="1"/>
  <c r="CC67" i="1" a="1"/>
  <c r="CC67" i="1" s="1"/>
  <c r="CD67" i="1" a="1"/>
  <c r="CD67" i="1" s="1"/>
  <c r="CE67" i="1" a="1"/>
  <c r="CE67" i="1" s="1"/>
  <c r="CF67" i="1" a="1"/>
  <c r="CF67" i="1" s="1"/>
  <c r="CG67" i="1" a="1"/>
  <c r="CG67" i="1" s="1"/>
  <c r="CH67" i="1" a="1"/>
  <c r="CH67" i="1" s="1"/>
  <c r="CI67" i="1" a="1"/>
  <c r="CI67" i="1" s="1"/>
  <c r="CJ67" i="1" a="1"/>
  <c r="CJ67" i="1" s="1"/>
  <c r="CK67" i="1" a="1"/>
  <c r="CK67" i="1" s="1"/>
  <c r="CL67" i="1" a="1"/>
  <c r="CL67" i="1" s="1"/>
  <c r="CM67" i="1" a="1"/>
  <c r="CM67" i="1" s="1"/>
  <c r="CN67" i="1" a="1"/>
  <c r="CN67" i="1" s="1"/>
  <c r="CO67" i="1" a="1"/>
  <c r="CO67" i="1" s="1"/>
  <c r="CP67" i="1" a="1"/>
  <c r="CP67" i="1" s="1"/>
  <c r="CQ67" i="1" a="1"/>
  <c r="CQ67" i="1" s="1"/>
  <c r="BY68" i="1" a="1"/>
  <c r="BY68" i="1" s="1"/>
  <c r="BZ68" i="1" a="1"/>
  <c r="BZ68" i="1" s="1"/>
  <c r="CA68" i="1" a="1"/>
  <c r="CA68" i="1" s="1"/>
  <c r="CB68" i="1" a="1"/>
  <c r="CB68" i="1" s="1"/>
  <c r="CC68" i="1" a="1"/>
  <c r="CC68" i="1" s="1"/>
  <c r="CD68" i="1" a="1"/>
  <c r="CD68" i="1" s="1"/>
  <c r="CE68" i="1" a="1"/>
  <c r="CE68" i="1" s="1"/>
  <c r="CF68" i="1" a="1"/>
  <c r="CF68" i="1" s="1"/>
  <c r="CG68" i="1" a="1"/>
  <c r="CG68" i="1" s="1"/>
  <c r="CH68" i="1" a="1"/>
  <c r="CH68" i="1" s="1"/>
  <c r="CI68" i="1" a="1"/>
  <c r="CI68" i="1" s="1"/>
  <c r="CJ68" i="1" a="1"/>
  <c r="CJ68" i="1" s="1"/>
  <c r="CK68" i="1" a="1"/>
  <c r="CK68" i="1" s="1"/>
  <c r="CL68" i="1" a="1"/>
  <c r="CL68" i="1" s="1"/>
  <c r="CM68" i="1" a="1"/>
  <c r="CM68" i="1" s="1"/>
  <c r="CN68" i="1" a="1"/>
  <c r="CN68" i="1" s="1"/>
  <c r="CO68" i="1" a="1"/>
  <c r="CO68" i="1" s="1"/>
  <c r="CP68" i="1" a="1"/>
  <c r="CP68" i="1" s="1"/>
  <c r="CQ68" i="1" a="1"/>
  <c r="CQ68" i="1" s="1"/>
  <c r="BY69" i="1" a="1"/>
  <c r="BY69" i="1" s="1"/>
  <c r="BZ69" i="1" a="1"/>
  <c r="BZ69" i="1" s="1"/>
  <c r="CA69" i="1" a="1"/>
  <c r="CA69" i="1" s="1"/>
  <c r="CB69" i="1" a="1"/>
  <c r="CB69" i="1" s="1"/>
  <c r="CC69" i="1" a="1"/>
  <c r="CC69" i="1" s="1"/>
  <c r="CD69" i="1" a="1"/>
  <c r="CD69" i="1" s="1"/>
  <c r="CE69" i="1" a="1"/>
  <c r="CE69" i="1" s="1"/>
  <c r="CF69" i="1" a="1"/>
  <c r="CF69" i="1" s="1"/>
  <c r="CG69" i="1" a="1"/>
  <c r="CG69" i="1" s="1"/>
  <c r="CH69" i="1" a="1"/>
  <c r="CH69" i="1" s="1"/>
  <c r="CI69" i="1" a="1"/>
  <c r="CI69" i="1" s="1"/>
  <c r="CJ69" i="1" a="1"/>
  <c r="CJ69" i="1" s="1"/>
  <c r="CK69" i="1" a="1"/>
  <c r="CK69" i="1" s="1"/>
  <c r="CL69" i="1" a="1"/>
  <c r="CL69" i="1" s="1"/>
  <c r="CM69" i="1" a="1"/>
  <c r="CM69" i="1" s="1"/>
  <c r="CN69" i="1" a="1"/>
  <c r="CN69" i="1" s="1"/>
  <c r="CO69" i="1" a="1"/>
  <c r="CO69" i="1" s="1"/>
  <c r="CP69" i="1" a="1"/>
  <c r="CP69" i="1" s="1"/>
  <c r="CQ69" i="1" a="1"/>
  <c r="CQ69" i="1" s="1"/>
  <c r="BY70" i="1" a="1"/>
  <c r="BY70" i="1" s="1"/>
  <c r="BZ70" i="1" a="1"/>
  <c r="BZ70" i="1" s="1"/>
  <c r="CA70" i="1" a="1"/>
  <c r="CA70" i="1" s="1"/>
  <c r="CB70" i="1" a="1"/>
  <c r="CB70" i="1" s="1"/>
  <c r="CC70" i="1" a="1"/>
  <c r="CC70" i="1" s="1"/>
  <c r="CD70" i="1" a="1"/>
  <c r="CD70" i="1" s="1"/>
  <c r="CE70" i="1" a="1"/>
  <c r="CE70" i="1" s="1"/>
  <c r="CF70" i="1" a="1"/>
  <c r="CF70" i="1" s="1"/>
  <c r="CG70" i="1" a="1"/>
  <c r="CG70" i="1" s="1"/>
  <c r="CH70" i="1" a="1"/>
  <c r="CH70" i="1" s="1"/>
  <c r="CI70" i="1" a="1"/>
  <c r="CI70" i="1" s="1"/>
  <c r="CJ70" i="1" a="1"/>
  <c r="CJ70" i="1" s="1"/>
  <c r="CK70" i="1" a="1"/>
  <c r="CK70" i="1" s="1"/>
  <c r="CL70" i="1" a="1"/>
  <c r="CL70" i="1" s="1"/>
  <c r="CM70" i="1" a="1"/>
  <c r="CM70" i="1" s="1"/>
  <c r="CN70" i="1" a="1"/>
  <c r="CN70" i="1" s="1"/>
  <c r="CO70" i="1" a="1"/>
  <c r="CO70" i="1" s="1"/>
  <c r="CP70" i="1" a="1"/>
  <c r="CP70" i="1" s="1"/>
  <c r="CQ70" i="1" a="1"/>
  <c r="CQ70" i="1" s="1"/>
  <c r="BY71" i="1" a="1"/>
  <c r="BY71" i="1" s="1"/>
  <c r="BZ71" i="1" a="1"/>
  <c r="BZ71" i="1" s="1"/>
  <c r="CA71" i="1" a="1"/>
  <c r="CA71" i="1" s="1"/>
  <c r="CB71" i="1" a="1"/>
  <c r="CB71" i="1" s="1"/>
  <c r="CC71" i="1" a="1"/>
  <c r="CC71" i="1" s="1"/>
  <c r="CD71" i="1" a="1"/>
  <c r="CD71" i="1" s="1"/>
  <c r="CE71" i="1" a="1"/>
  <c r="CE71" i="1" s="1"/>
  <c r="CF71" i="1" a="1"/>
  <c r="CF71" i="1" s="1"/>
  <c r="CG71" i="1" a="1"/>
  <c r="CG71" i="1" s="1"/>
  <c r="CH71" i="1" a="1"/>
  <c r="CH71" i="1" s="1"/>
  <c r="CI71" i="1" a="1"/>
  <c r="CI71" i="1" s="1"/>
  <c r="CJ71" i="1" a="1"/>
  <c r="CJ71" i="1" s="1"/>
  <c r="CK71" i="1" a="1"/>
  <c r="CK71" i="1" s="1"/>
  <c r="CL71" i="1" a="1"/>
  <c r="CL71" i="1" s="1"/>
  <c r="CM71" i="1" a="1"/>
  <c r="CM71" i="1" s="1"/>
  <c r="CN71" i="1" a="1"/>
  <c r="CN71" i="1" s="1"/>
  <c r="CO71" i="1" a="1"/>
  <c r="CO71" i="1" s="1"/>
  <c r="CP71" i="1" a="1"/>
  <c r="CP71" i="1" s="1"/>
  <c r="CQ71" i="1" a="1"/>
  <c r="CQ71" i="1" s="1"/>
  <c r="BY72" i="1" a="1"/>
  <c r="BY72" i="1" s="1"/>
  <c r="BZ72" i="1" a="1"/>
  <c r="BZ72" i="1" s="1"/>
  <c r="CA72" i="1" a="1"/>
  <c r="CA72" i="1" s="1"/>
  <c r="CB72" i="1" a="1"/>
  <c r="CB72" i="1" s="1"/>
  <c r="CC72" i="1" a="1"/>
  <c r="CC72" i="1" s="1"/>
  <c r="CD72" i="1" a="1"/>
  <c r="CD72" i="1" s="1"/>
  <c r="CE72" i="1" a="1"/>
  <c r="CE72" i="1" s="1"/>
  <c r="CF72" i="1" a="1"/>
  <c r="CF72" i="1" s="1"/>
  <c r="CG72" i="1" a="1"/>
  <c r="CG72" i="1" s="1"/>
  <c r="CH72" i="1" a="1"/>
  <c r="CH72" i="1" s="1"/>
  <c r="CI72" i="1" a="1"/>
  <c r="CI72" i="1" s="1"/>
  <c r="CJ72" i="1" a="1"/>
  <c r="CJ72" i="1" s="1"/>
  <c r="CK72" i="1" a="1"/>
  <c r="CK72" i="1" s="1"/>
  <c r="CL72" i="1" a="1"/>
  <c r="CL72" i="1" s="1"/>
  <c r="CM72" i="1" a="1"/>
  <c r="CM72" i="1" s="1"/>
  <c r="CN72" i="1" a="1"/>
  <c r="CN72" i="1"/>
  <c r="CO72" i="1" a="1"/>
  <c r="CO72" i="1" s="1"/>
  <c r="CP72" i="1" a="1"/>
  <c r="CP72" i="1" s="1"/>
  <c r="CQ72" i="1" a="1"/>
  <c r="CQ72" i="1" s="1"/>
  <c r="BY73" i="1" a="1"/>
  <c r="BY73" i="1" s="1"/>
  <c r="BZ73" i="1" a="1"/>
  <c r="BZ73" i="1" s="1"/>
  <c r="CA73" i="1" a="1"/>
  <c r="CA73" i="1" s="1"/>
  <c r="CB73" i="1" a="1"/>
  <c r="CB73" i="1" s="1"/>
  <c r="CC73" i="1" a="1"/>
  <c r="CC73" i="1" s="1"/>
  <c r="CD73" i="1" a="1"/>
  <c r="CD73" i="1" s="1"/>
  <c r="CE73" i="1" a="1"/>
  <c r="CE73" i="1" s="1"/>
  <c r="CF73" i="1" a="1"/>
  <c r="CF73" i="1" s="1"/>
  <c r="CG73" i="1" a="1"/>
  <c r="CG73" i="1" s="1"/>
  <c r="CH73" i="1" a="1"/>
  <c r="CH73" i="1" s="1"/>
  <c r="CI73" i="1" a="1"/>
  <c r="CI73" i="1" s="1"/>
  <c r="CJ73" i="1" a="1"/>
  <c r="CJ73" i="1" s="1"/>
  <c r="CK73" i="1" a="1"/>
  <c r="CK73" i="1"/>
  <c r="CL73" i="1" a="1"/>
  <c r="CL73" i="1" s="1"/>
  <c r="CM73" i="1" a="1"/>
  <c r="CM73" i="1" s="1"/>
  <c r="CN73" i="1" a="1"/>
  <c r="CN73" i="1" s="1"/>
  <c r="CO73" i="1" a="1"/>
  <c r="CO73" i="1" s="1"/>
  <c r="CP73" i="1" a="1"/>
  <c r="CP73" i="1" s="1"/>
  <c r="CQ73" i="1" a="1"/>
  <c r="CQ73" i="1" s="1"/>
  <c r="BY74" i="1" a="1"/>
  <c r="BY74" i="1" s="1"/>
  <c r="BZ74" i="1" a="1"/>
  <c r="BZ74" i="1"/>
  <c r="CA74" i="1" a="1"/>
  <c r="CA74" i="1" s="1"/>
  <c r="CB74" i="1" a="1"/>
  <c r="CB74" i="1" s="1"/>
  <c r="CC74" i="1" a="1"/>
  <c r="CC74" i="1" s="1"/>
  <c r="CD74" i="1" a="1"/>
  <c r="CD74" i="1" s="1"/>
  <c r="CE74" i="1" a="1"/>
  <c r="CE74" i="1" s="1"/>
  <c r="CF74" i="1" a="1"/>
  <c r="CF74" i="1" s="1"/>
  <c r="CG74" i="1" a="1"/>
  <c r="CG74" i="1" s="1"/>
  <c r="CH74" i="1" a="1"/>
  <c r="CH74" i="1" s="1"/>
  <c r="CI74" i="1" a="1"/>
  <c r="CI74" i="1" s="1"/>
  <c r="CJ74" i="1" a="1"/>
  <c r="CJ74" i="1" s="1"/>
  <c r="CK74" i="1" a="1"/>
  <c r="CK74" i="1" s="1"/>
  <c r="CL74" i="1" a="1"/>
  <c r="CL74" i="1" s="1"/>
  <c r="CM74" i="1" a="1"/>
  <c r="CM74" i="1" s="1"/>
  <c r="CN74" i="1" a="1"/>
  <c r="CN74" i="1" s="1"/>
  <c r="CO74" i="1" a="1"/>
  <c r="CO74" i="1" s="1"/>
  <c r="CP74" i="1" a="1"/>
  <c r="CP74" i="1" s="1"/>
  <c r="CQ74" i="1" a="1"/>
  <c r="CQ74" i="1" s="1"/>
  <c r="BY75" i="1" a="1"/>
  <c r="BY75" i="1" s="1"/>
  <c r="BZ75" i="1" a="1"/>
  <c r="BZ75" i="1" s="1"/>
  <c r="CA75" i="1" a="1"/>
  <c r="CA75" i="1" s="1"/>
  <c r="CB75" i="1" a="1"/>
  <c r="CB75" i="1" s="1"/>
  <c r="CC75" i="1" a="1"/>
  <c r="CC75" i="1" s="1"/>
  <c r="CD75" i="1" a="1"/>
  <c r="CD75" i="1" s="1"/>
  <c r="CE75" i="1" a="1"/>
  <c r="CE75" i="1" s="1"/>
  <c r="CF75" i="1" a="1"/>
  <c r="CF75" i="1" s="1"/>
  <c r="CG75" i="1" a="1"/>
  <c r="CG75" i="1" s="1"/>
  <c r="CH75" i="1" a="1"/>
  <c r="CH75" i="1" s="1"/>
  <c r="CI75" i="1" a="1"/>
  <c r="CI75" i="1" s="1"/>
  <c r="CJ75" i="1" a="1"/>
  <c r="CJ75" i="1" s="1"/>
  <c r="CK75" i="1" a="1"/>
  <c r="CK75" i="1" s="1"/>
  <c r="CL75" i="1" a="1"/>
  <c r="CL75" i="1" s="1"/>
  <c r="CM75" i="1" a="1"/>
  <c r="CM75" i="1" s="1"/>
  <c r="CN75" i="1" a="1"/>
  <c r="CN75" i="1" s="1"/>
  <c r="CO75" i="1" a="1"/>
  <c r="CO75" i="1" s="1"/>
  <c r="CP75" i="1" a="1"/>
  <c r="CP75" i="1" s="1"/>
  <c r="CQ75" i="1" a="1"/>
  <c r="CQ75" i="1" s="1"/>
  <c r="BY76" i="1" a="1"/>
  <c r="BY76" i="1" s="1"/>
  <c r="BZ76" i="1" a="1"/>
  <c r="BZ76" i="1" s="1"/>
  <c r="CA76" i="1" a="1"/>
  <c r="CA76" i="1" s="1"/>
  <c r="CB76" i="1" a="1"/>
  <c r="CB76" i="1" s="1"/>
  <c r="CC76" i="1" a="1"/>
  <c r="CC76" i="1" s="1"/>
  <c r="CD76" i="1" a="1"/>
  <c r="CD76" i="1" s="1"/>
  <c r="CE76" i="1" a="1"/>
  <c r="CE76" i="1" s="1"/>
  <c r="CF76" i="1" a="1"/>
  <c r="CF76" i="1" s="1"/>
  <c r="CG76" i="1" a="1"/>
  <c r="CG76" i="1" s="1"/>
  <c r="CH76" i="1" a="1"/>
  <c r="CH76" i="1" s="1"/>
  <c r="CI76" i="1" a="1"/>
  <c r="CI76" i="1" s="1"/>
  <c r="CJ76" i="1" a="1"/>
  <c r="CJ76" i="1" s="1"/>
  <c r="CK76" i="1" a="1"/>
  <c r="CK76" i="1" s="1"/>
  <c r="CL76" i="1" a="1"/>
  <c r="CL76" i="1" s="1"/>
  <c r="CM76" i="1" a="1"/>
  <c r="CM76" i="1" s="1"/>
  <c r="CN76" i="1" a="1"/>
  <c r="CN76" i="1" s="1"/>
  <c r="CO76" i="1" a="1"/>
  <c r="CO76" i="1" s="1"/>
  <c r="CP76" i="1" a="1"/>
  <c r="CP76" i="1" s="1"/>
  <c r="CQ76" i="1" a="1"/>
  <c r="CQ76" i="1" s="1"/>
  <c r="BY77" i="1" a="1"/>
  <c r="BY77" i="1" s="1"/>
  <c r="BZ77" i="1" a="1"/>
  <c r="BZ77" i="1" s="1"/>
  <c r="CA77" i="1" a="1"/>
  <c r="CA77" i="1" s="1"/>
  <c r="CB77" i="1" a="1"/>
  <c r="CB77" i="1" s="1"/>
  <c r="CC77" i="1" a="1"/>
  <c r="CC77" i="1"/>
  <c r="CD77" i="1" a="1"/>
  <c r="CD77" i="1" s="1"/>
  <c r="CE77" i="1" a="1"/>
  <c r="CE77" i="1" s="1"/>
  <c r="CF77" i="1" a="1"/>
  <c r="CF77" i="1" s="1"/>
  <c r="CG77" i="1" a="1"/>
  <c r="CG77" i="1" s="1"/>
  <c r="CH77" i="1" a="1"/>
  <c r="CH77" i="1" s="1"/>
  <c r="CI77" i="1" a="1"/>
  <c r="CI77" i="1" s="1"/>
  <c r="CJ77" i="1" a="1"/>
  <c r="CJ77" i="1" s="1"/>
  <c r="CK77" i="1" a="1"/>
  <c r="CK77" i="1" s="1"/>
  <c r="CL77" i="1" a="1"/>
  <c r="CL77" i="1" s="1"/>
  <c r="CM77" i="1" a="1"/>
  <c r="CM77" i="1" s="1"/>
  <c r="CN77" i="1" a="1"/>
  <c r="CN77" i="1" s="1"/>
  <c r="CO77" i="1" a="1"/>
  <c r="CO77" i="1" s="1"/>
  <c r="CP77" i="1" a="1"/>
  <c r="CP77" i="1" s="1"/>
  <c r="CQ77" i="1" a="1"/>
  <c r="CQ77" i="1" s="1"/>
  <c r="BY78" i="1" a="1"/>
  <c r="BY78" i="1" s="1"/>
  <c r="BZ78" i="1" a="1"/>
  <c r="BZ78" i="1" s="1"/>
  <c r="CA78" i="1" a="1"/>
  <c r="CA78" i="1" s="1"/>
  <c r="CB78" i="1" a="1"/>
  <c r="CB78" i="1" s="1"/>
  <c r="CC78" i="1" a="1"/>
  <c r="CC78" i="1" s="1"/>
  <c r="CD78" i="1" a="1"/>
  <c r="CD78" i="1" s="1"/>
  <c r="CE78" i="1" a="1"/>
  <c r="CE78" i="1" s="1"/>
  <c r="CF78" i="1" a="1"/>
  <c r="CF78" i="1" s="1"/>
  <c r="CG78" i="1" a="1"/>
  <c r="CG78" i="1" s="1"/>
  <c r="CH78" i="1" a="1"/>
  <c r="CH78" i="1" s="1"/>
  <c r="CI78" i="1" a="1"/>
  <c r="CI78" i="1" s="1"/>
  <c r="CJ78" i="1" a="1"/>
  <c r="CJ78" i="1" s="1"/>
  <c r="CK78" i="1" a="1"/>
  <c r="CK78" i="1" s="1"/>
  <c r="CL78" i="1" a="1"/>
  <c r="CL78" i="1" s="1"/>
  <c r="CM78" i="1" a="1"/>
  <c r="CM78" i="1" s="1"/>
  <c r="CN78" i="1" a="1"/>
  <c r="CN78" i="1" s="1"/>
  <c r="CO78" i="1" a="1"/>
  <c r="CO78" i="1" s="1"/>
  <c r="CP78" i="1" a="1"/>
  <c r="CP78" i="1" s="1"/>
  <c r="CQ78" i="1" a="1"/>
  <c r="CQ78" i="1" s="1"/>
  <c r="BY79" i="1" a="1"/>
  <c r="BY79" i="1" s="1"/>
  <c r="BZ79" i="1" a="1"/>
  <c r="BZ79" i="1" s="1"/>
  <c r="CA79" i="1" a="1"/>
  <c r="CA79" i="1" s="1"/>
  <c r="CB79" i="1" a="1"/>
  <c r="CB79" i="1" s="1"/>
  <c r="CC79" i="1" a="1"/>
  <c r="CC79" i="1" s="1"/>
  <c r="CD79" i="1" a="1"/>
  <c r="CD79" i="1" s="1"/>
  <c r="CE79" i="1" a="1"/>
  <c r="CE79" i="1" s="1"/>
  <c r="CF79" i="1" a="1"/>
  <c r="CF79" i="1" s="1"/>
  <c r="CG79" i="1" a="1"/>
  <c r="CG79" i="1" s="1"/>
  <c r="CH79" i="1" a="1"/>
  <c r="CH79" i="1" s="1"/>
  <c r="CI79" i="1" a="1"/>
  <c r="CI79" i="1" s="1"/>
  <c r="CJ79" i="1" a="1"/>
  <c r="CJ79" i="1" s="1"/>
  <c r="CK79" i="1" a="1"/>
  <c r="CK79" i="1" s="1"/>
  <c r="CL79" i="1" a="1"/>
  <c r="CL79" i="1" s="1"/>
  <c r="CM79" i="1" a="1"/>
  <c r="CM79" i="1" s="1"/>
  <c r="CN79" i="1" a="1"/>
  <c r="CN79" i="1" s="1"/>
  <c r="CO79" i="1" a="1"/>
  <c r="CO79" i="1" s="1"/>
  <c r="CP79" i="1" a="1"/>
  <c r="CP79" i="1" s="1"/>
  <c r="CQ79" i="1" a="1"/>
  <c r="CQ79" i="1" s="1"/>
  <c r="BY80" i="1" a="1"/>
  <c r="BY80" i="1" s="1"/>
  <c r="BZ80" i="1" a="1"/>
  <c r="BZ80" i="1" s="1"/>
  <c r="CA80" i="1" a="1"/>
  <c r="CA80" i="1" s="1"/>
  <c r="CB80" i="1" a="1"/>
  <c r="CB80" i="1" s="1"/>
  <c r="CC80" i="1" a="1"/>
  <c r="CC80" i="1" s="1"/>
  <c r="CD80" i="1" a="1"/>
  <c r="CD80" i="1" s="1"/>
  <c r="CE80" i="1" a="1"/>
  <c r="CE80" i="1" s="1"/>
  <c r="CF80" i="1" a="1"/>
  <c r="CF80" i="1" s="1"/>
  <c r="CG80" i="1" a="1"/>
  <c r="CG80" i="1" s="1"/>
  <c r="CH80" i="1" a="1"/>
  <c r="CH80" i="1" s="1"/>
  <c r="CI80" i="1" a="1"/>
  <c r="CI80" i="1" s="1"/>
  <c r="CJ80" i="1" a="1"/>
  <c r="CJ80" i="1" s="1"/>
  <c r="CK80" i="1" a="1"/>
  <c r="CK80" i="1" s="1"/>
  <c r="CL80" i="1" a="1"/>
  <c r="CL80" i="1" s="1"/>
  <c r="CM80" i="1" a="1"/>
  <c r="CM80" i="1" s="1"/>
  <c r="CN80" i="1" a="1"/>
  <c r="CN80" i="1" s="1"/>
  <c r="CO80" i="1" a="1"/>
  <c r="CO80" i="1" s="1"/>
  <c r="CP80" i="1" a="1"/>
  <c r="CP80" i="1" s="1"/>
  <c r="CQ80" i="1" a="1"/>
  <c r="CQ80" i="1" s="1"/>
  <c r="BY81" i="1" a="1"/>
  <c r="BY81" i="1" s="1"/>
  <c r="BZ81" i="1" a="1"/>
  <c r="BZ81" i="1" s="1"/>
  <c r="CA81" i="1" a="1"/>
  <c r="CA81" i="1" s="1"/>
  <c r="CB81" i="1" a="1"/>
  <c r="CB81" i="1" s="1"/>
  <c r="CC81" i="1" a="1"/>
  <c r="CC81" i="1" s="1"/>
  <c r="CD81" i="1" a="1"/>
  <c r="CD81" i="1" s="1"/>
  <c r="CE81" i="1" a="1"/>
  <c r="CE81" i="1" s="1"/>
  <c r="CF81" i="1" a="1"/>
  <c r="CF81" i="1" s="1"/>
  <c r="CG81" i="1" a="1"/>
  <c r="CG81" i="1" s="1"/>
  <c r="CH81" i="1" a="1"/>
  <c r="CH81" i="1" s="1"/>
  <c r="CI81" i="1" a="1"/>
  <c r="CI81" i="1" s="1"/>
  <c r="CJ81" i="1" a="1"/>
  <c r="CJ81" i="1" s="1"/>
  <c r="CK81" i="1" a="1"/>
  <c r="CK81" i="1" s="1"/>
  <c r="CL81" i="1" a="1"/>
  <c r="CL81" i="1" s="1"/>
  <c r="CM81" i="1" a="1"/>
  <c r="CM81" i="1" s="1"/>
  <c r="CN81" i="1" a="1"/>
  <c r="CN81" i="1" s="1"/>
  <c r="CO81" i="1" a="1"/>
  <c r="CO81" i="1" s="1"/>
  <c r="CP81" i="1" a="1"/>
  <c r="CP81" i="1" s="1"/>
  <c r="CQ81" i="1" a="1"/>
  <c r="CQ81" i="1" s="1"/>
  <c r="BY82" i="1" a="1"/>
  <c r="BY82" i="1" s="1"/>
  <c r="BZ82" i="1" a="1"/>
  <c r="BZ82" i="1" s="1"/>
  <c r="CA82" i="1" a="1"/>
  <c r="CA82" i="1" s="1"/>
  <c r="CB82" i="1" a="1"/>
  <c r="CB82" i="1" s="1"/>
  <c r="CC82" i="1" a="1"/>
  <c r="CC82" i="1" s="1"/>
  <c r="CD82" i="1" a="1"/>
  <c r="CD82" i="1" s="1"/>
  <c r="CE82" i="1" a="1"/>
  <c r="CE82" i="1" s="1"/>
  <c r="CF82" i="1" a="1"/>
  <c r="CF82" i="1" s="1"/>
  <c r="CG82" i="1" a="1"/>
  <c r="CG82" i="1" s="1"/>
  <c r="CH82" i="1" a="1"/>
  <c r="CH82" i="1" s="1"/>
  <c r="CI82" i="1" a="1"/>
  <c r="CI82" i="1" s="1"/>
  <c r="CJ82" i="1" a="1"/>
  <c r="CJ82" i="1" s="1"/>
  <c r="CK82" i="1" a="1"/>
  <c r="CK82" i="1" s="1"/>
  <c r="CL82" i="1" a="1"/>
  <c r="CL82" i="1" s="1"/>
  <c r="CM82" i="1" a="1"/>
  <c r="CM82" i="1" s="1"/>
  <c r="CN82" i="1" a="1"/>
  <c r="CN82" i="1" s="1"/>
  <c r="CO82" i="1" a="1"/>
  <c r="CO82" i="1" s="1"/>
  <c r="CP82" i="1" a="1"/>
  <c r="CP82" i="1" s="1"/>
  <c r="CQ82" i="1" a="1"/>
  <c r="CQ82" i="1" s="1"/>
  <c r="BY83" i="1" a="1"/>
  <c r="BY83" i="1" s="1"/>
  <c r="BZ83" i="1" a="1"/>
  <c r="BZ83" i="1" s="1"/>
  <c r="CA83" i="1" a="1"/>
  <c r="CA83" i="1" s="1"/>
  <c r="CB83" i="1" a="1"/>
  <c r="CB83" i="1" s="1"/>
  <c r="CC83" i="1" a="1"/>
  <c r="CC83" i="1" s="1"/>
  <c r="CD83" i="1" a="1"/>
  <c r="CD83" i="1" s="1"/>
  <c r="CE83" i="1" a="1"/>
  <c r="CE83" i="1" s="1"/>
  <c r="CF83" i="1" a="1"/>
  <c r="CF83" i="1" s="1"/>
  <c r="CG83" i="1" a="1"/>
  <c r="CG83" i="1" s="1"/>
  <c r="CH83" i="1" a="1"/>
  <c r="CH83" i="1" s="1"/>
  <c r="CI83" i="1" a="1"/>
  <c r="CI83" i="1" s="1"/>
  <c r="CJ83" i="1" a="1"/>
  <c r="CJ83" i="1" s="1"/>
  <c r="CK83" i="1" a="1"/>
  <c r="CK83" i="1" s="1"/>
  <c r="CL83" i="1" a="1"/>
  <c r="CL83" i="1" s="1"/>
  <c r="CM83" i="1" a="1"/>
  <c r="CM83" i="1" s="1"/>
  <c r="CN83" i="1" a="1"/>
  <c r="CN83" i="1" s="1"/>
  <c r="CO83" i="1" a="1"/>
  <c r="CO83" i="1" s="1"/>
  <c r="CP83" i="1" a="1"/>
  <c r="CP83" i="1" s="1"/>
  <c r="CQ83" i="1" a="1"/>
  <c r="CQ83" i="1" s="1"/>
  <c r="BY84" i="1" a="1"/>
  <c r="BY84" i="1" s="1"/>
  <c r="BZ84" i="1" a="1"/>
  <c r="BZ84" i="1" s="1"/>
  <c r="CA84" i="1" a="1"/>
  <c r="CA84" i="1" s="1"/>
  <c r="CB84" i="1" a="1"/>
  <c r="CB84" i="1" s="1"/>
  <c r="CC84" i="1" a="1"/>
  <c r="CC84" i="1" s="1"/>
  <c r="CD84" i="1" a="1"/>
  <c r="CD84" i="1" s="1"/>
  <c r="CE84" i="1" a="1"/>
  <c r="CE84" i="1" s="1"/>
  <c r="CF84" i="1" a="1"/>
  <c r="CF84" i="1" s="1"/>
  <c r="CG84" i="1" a="1"/>
  <c r="CG84" i="1" s="1"/>
  <c r="CH84" i="1" a="1"/>
  <c r="CH84" i="1" s="1"/>
  <c r="CI84" i="1" a="1"/>
  <c r="CI84" i="1" s="1"/>
  <c r="CJ84" i="1" a="1"/>
  <c r="CJ84" i="1" s="1"/>
  <c r="CK84" i="1" a="1"/>
  <c r="CK84" i="1" s="1"/>
  <c r="CL84" i="1" a="1"/>
  <c r="CL84" i="1" s="1"/>
  <c r="CM84" i="1" a="1"/>
  <c r="CM84" i="1" s="1"/>
  <c r="CN84" i="1" a="1"/>
  <c r="CN84" i="1" s="1"/>
  <c r="CO84" i="1" a="1"/>
  <c r="CO84" i="1" s="1"/>
  <c r="CP84" i="1" a="1"/>
  <c r="CP84" i="1" s="1"/>
  <c r="CQ84" i="1" a="1"/>
  <c r="CQ84" i="1" s="1"/>
  <c r="BY85" i="1" a="1"/>
  <c r="BY85" i="1" s="1"/>
  <c r="BZ85" i="1" a="1"/>
  <c r="BZ85" i="1" s="1"/>
  <c r="CA85" i="1" a="1"/>
  <c r="CA85" i="1" s="1"/>
  <c r="CB85" i="1" a="1"/>
  <c r="CB85" i="1" s="1"/>
  <c r="CC85" i="1" a="1"/>
  <c r="CC85" i="1" s="1"/>
  <c r="CD85" i="1" a="1"/>
  <c r="CD85" i="1" s="1"/>
  <c r="CE85" i="1" a="1"/>
  <c r="CE85" i="1" s="1"/>
  <c r="CF85" i="1" a="1"/>
  <c r="CF85" i="1" s="1"/>
  <c r="CG85" i="1" a="1"/>
  <c r="CG85" i="1" s="1"/>
  <c r="CH85" i="1" a="1"/>
  <c r="CH85" i="1" s="1"/>
  <c r="CI85" i="1" a="1"/>
  <c r="CI85" i="1" s="1"/>
  <c r="CJ85" i="1" a="1"/>
  <c r="CJ85" i="1" s="1"/>
  <c r="CK85" i="1" a="1"/>
  <c r="CK85" i="1" s="1"/>
  <c r="CL85" i="1" a="1"/>
  <c r="CL85" i="1" s="1"/>
  <c r="CM85" i="1" a="1"/>
  <c r="CM85" i="1" s="1"/>
  <c r="CN85" i="1" a="1"/>
  <c r="CN85" i="1" s="1"/>
  <c r="CO85" i="1" a="1"/>
  <c r="CO85" i="1" s="1"/>
  <c r="CP85" i="1" a="1"/>
  <c r="CP85" i="1" s="1"/>
  <c r="CQ85" i="1" a="1"/>
  <c r="CQ85" i="1" s="1"/>
  <c r="BY86" i="1" a="1"/>
  <c r="BY86" i="1" s="1"/>
  <c r="BZ86" i="1" a="1"/>
  <c r="BZ86" i="1"/>
  <c r="CA86" i="1" a="1"/>
  <c r="CA86" i="1" s="1"/>
  <c r="CB86" i="1" a="1"/>
  <c r="CB86" i="1" s="1"/>
  <c r="CC86" i="1" a="1"/>
  <c r="CC86" i="1" s="1"/>
  <c r="CD86" i="1" a="1"/>
  <c r="CD86" i="1" s="1"/>
  <c r="CE86" i="1" a="1"/>
  <c r="CE86" i="1" s="1"/>
  <c r="CF86" i="1" a="1"/>
  <c r="CF86" i="1" s="1"/>
  <c r="CG86" i="1" a="1"/>
  <c r="CG86" i="1" s="1"/>
  <c r="CH86" i="1" a="1"/>
  <c r="CH86" i="1" s="1"/>
  <c r="CI86" i="1" a="1"/>
  <c r="CI86" i="1" s="1"/>
  <c r="CJ86" i="1" a="1"/>
  <c r="CJ86" i="1" s="1"/>
  <c r="CK86" i="1" a="1"/>
  <c r="CK86" i="1" s="1"/>
  <c r="CL86" i="1" a="1"/>
  <c r="CL86" i="1" s="1"/>
  <c r="CM86" i="1" a="1"/>
  <c r="CM86" i="1" s="1"/>
  <c r="CN86" i="1" a="1"/>
  <c r="CN86" i="1" s="1"/>
  <c r="CO86" i="1" a="1"/>
  <c r="CO86" i="1" s="1"/>
  <c r="CP86" i="1" a="1"/>
  <c r="CP86" i="1" s="1"/>
  <c r="CQ86" i="1" a="1"/>
  <c r="CQ86" i="1" s="1"/>
  <c r="BY87" i="1" a="1"/>
  <c r="BY87" i="1" s="1"/>
  <c r="BZ87" i="1" a="1"/>
  <c r="BZ87" i="1" s="1"/>
  <c r="CA87" i="1" a="1"/>
  <c r="CA87" i="1" s="1"/>
  <c r="CB87" i="1" a="1"/>
  <c r="CB87" i="1" s="1"/>
  <c r="CC87" i="1" a="1"/>
  <c r="CC87" i="1" s="1"/>
  <c r="CD87" i="1" a="1"/>
  <c r="CD87" i="1" s="1"/>
  <c r="CE87" i="1" a="1"/>
  <c r="CE87" i="1" s="1"/>
  <c r="CF87" i="1" a="1"/>
  <c r="CF87" i="1" s="1"/>
  <c r="CG87" i="1" a="1"/>
  <c r="CG87" i="1" s="1"/>
  <c r="CH87" i="1" a="1"/>
  <c r="CH87" i="1" s="1"/>
  <c r="CI87" i="1" a="1"/>
  <c r="CI87" i="1" s="1"/>
  <c r="CJ87" i="1" a="1"/>
  <c r="CJ87" i="1" s="1"/>
  <c r="CK87" i="1" a="1"/>
  <c r="CK87" i="1" s="1"/>
  <c r="CL87" i="1" a="1"/>
  <c r="CL87" i="1" s="1"/>
  <c r="CM87" i="1" a="1"/>
  <c r="CM87" i="1" s="1"/>
  <c r="CN87" i="1" a="1"/>
  <c r="CN87" i="1" s="1"/>
  <c r="CO87" i="1" a="1"/>
  <c r="CO87" i="1" s="1"/>
  <c r="CP87" i="1" a="1"/>
  <c r="CP87" i="1" s="1"/>
  <c r="CQ87" i="1" a="1"/>
  <c r="CQ87" i="1" s="1"/>
  <c r="BY88" i="1" a="1"/>
  <c r="BY88" i="1" s="1"/>
  <c r="BZ88" i="1" a="1"/>
  <c r="BZ88" i="1" s="1"/>
  <c r="CA88" i="1" a="1"/>
  <c r="CA88" i="1" s="1"/>
  <c r="CB88" i="1" a="1"/>
  <c r="CB88" i="1" s="1"/>
  <c r="CC88" i="1" a="1"/>
  <c r="CC88" i="1" s="1"/>
  <c r="CD88" i="1" a="1"/>
  <c r="CD88" i="1" s="1"/>
  <c r="CE88" i="1" a="1"/>
  <c r="CE88" i="1" s="1"/>
  <c r="CF88" i="1" a="1"/>
  <c r="CF88" i="1" s="1"/>
  <c r="CG88" i="1" a="1"/>
  <c r="CG88" i="1" s="1"/>
  <c r="CH88" i="1" a="1"/>
  <c r="CH88" i="1" s="1"/>
  <c r="CI88" i="1" a="1"/>
  <c r="CI88" i="1" s="1"/>
  <c r="CJ88" i="1" a="1"/>
  <c r="CJ88" i="1" s="1"/>
  <c r="CK88" i="1" a="1"/>
  <c r="CK88" i="1" s="1"/>
  <c r="CL88" i="1" a="1"/>
  <c r="CL88" i="1" s="1"/>
  <c r="CM88" i="1" a="1"/>
  <c r="CM88" i="1" s="1"/>
  <c r="CN88" i="1" a="1"/>
  <c r="CN88" i="1" s="1"/>
  <c r="CO88" i="1" a="1"/>
  <c r="CO88" i="1" s="1"/>
  <c r="CP88" i="1" a="1"/>
  <c r="CP88" i="1" s="1"/>
  <c r="CQ88" i="1" a="1"/>
  <c r="CQ88" i="1" s="1"/>
  <c r="BY89" i="1" a="1"/>
  <c r="BY89" i="1" s="1"/>
  <c r="BZ89" i="1" a="1"/>
  <c r="BZ89" i="1" s="1"/>
  <c r="CA89" i="1" a="1"/>
  <c r="CA89" i="1" s="1"/>
  <c r="CB89" i="1" a="1"/>
  <c r="CB89" i="1" s="1"/>
  <c r="CC89" i="1" a="1"/>
  <c r="CC89" i="1" s="1"/>
  <c r="CD89" i="1" a="1"/>
  <c r="CD89" i="1" s="1"/>
  <c r="CE89" i="1" a="1"/>
  <c r="CE89" i="1" s="1"/>
  <c r="CF89" i="1" a="1"/>
  <c r="CF89" i="1" s="1"/>
  <c r="CG89" i="1" a="1"/>
  <c r="CG89" i="1" s="1"/>
  <c r="CH89" i="1" a="1"/>
  <c r="CH89" i="1" s="1"/>
  <c r="CI89" i="1" a="1"/>
  <c r="CI89" i="1" s="1"/>
  <c r="CJ89" i="1" a="1"/>
  <c r="CJ89" i="1" s="1"/>
  <c r="CK89" i="1" a="1"/>
  <c r="CK89" i="1" s="1"/>
  <c r="CL89" i="1" a="1"/>
  <c r="CL89" i="1" s="1"/>
  <c r="CM89" i="1" a="1"/>
  <c r="CM89" i="1" s="1"/>
  <c r="CN89" i="1" a="1"/>
  <c r="CN89" i="1" s="1"/>
  <c r="CO89" i="1" a="1"/>
  <c r="CO89" i="1" s="1"/>
  <c r="CP89" i="1" a="1"/>
  <c r="CP89" i="1" s="1"/>
  <c r="CQ89" i="1" a="1"/>
  <c r="CQ89" i="1" s="1"/>
  <c r="BY90" i="1" a="1"/>
  <c r="BY90" i="1" s="1"/>
  <c r="BZ90" i="1" a="1"/>
  <c r="BZ90" i="1" s="1"/>
  <c r="CA90" i="1" a="1"/>
  <c r="CA90" i="1" s="1"/>
  <c r="CB90" i="1" a="1"/>
  <c r="CB90" i="1" s="1"/>
  <c r="CC90" i="1" a="1"/>
  <c r="CC90" i="1" s="1"/>
  <c r="CD90" i="1" a="1"/>
  <c r="CD90" i="1" s="1"/>
  <c r="CE90" i="1" a="1"/>
  <c r="CE90" i="1" s="1"/>
  <c r="CF90" i="1" a="1"/>
  <c r="CF90" i="1" s="1"/>
  <c r="CG90" i="1" a="1"/>
  <c r="CG90" i="1" s="1"/>
  <c r="CH90" i="1" a="1"/>
  <c r="CH90" i="1" s="1"/>
  <c r="CI90" i="1" a="1"/>
  <c r="CI90" i="1" s="1"/>
  <c r="CJ90" i="1" a="1"/>
  <c r="CJ90" i="1" s="1"/>
  <c r="CK90" i="1" a="1"/>
  <c r="CK90" i="1" s="1"/>
  <c r="CL90" i="1" a="1"/>
  <c r="CL90" i="1"/>
  <c r="CM90" i="1" a="1"/>
  <c r="CM90" i="1" s="1"/>
  <c r="CN90" i="1" a="1"/>
  <c r="CN90" i="1" s="1"/>
  <c r="CO90" i="1" a="1"/>
  <c r="CO90" i="1" s="1"/>
  <c r="CP90" i="1" a="1"/>
  <c r="CP90" i="1" s="1"/>
  <c r="CQ90" i="1" a="1"/>
  <c r="CQ90" i="1" s="1"/>
  <c r="BY91" i="1" a="1"/>
  <c r="BY91" i="1" s="1"/>
  <c r="BZ91" i="1" a="1"/>
  <c r="BZ91" i="1" s="1"/>
  <c r="CA91" i="1" a="1"/>
  <c r="CA91" i="1" s="1"/>
  <c r="CB91" i="1" a="1"/>
  <c r="CB91" i="1" s="1"/>
  <c r="CC91" i="1" a="1"/>
  <c r="CC91" i="1" s="1"/>
  <c r="CD91" i="1" a="1"/>
  <c r="CD91" i="1" s="1"/>
  <c r="CE91" i="1" a="1"/>
  <c r="CE91" i="1" s="1"/>
  <c r="CF91" i="1" a="1"/>
  <c r="CF91" i="1" s="1"/>
  <c r="CG91" i="1" a="1"/>
  <c r="CG91" i="1" s="1"/>
  <c r="CH91" i="1" a="1"/>
  <c r="CH91" i="1" s="1"/>
  <c r="CI91" i="1" a="1"/>
  <c r="CI91" i="1" s="1"/>
  <c r="CJ91" i="1" a="1"/>
  <c r="CJ91" i="1" s="1"/>
  <c r="CK91" i="1" a="1"/>
  <c r="CK91" i="1" s="1"/>
  <c r="CL91" i="1" a="1"/>
  <c r="CL91" i="1" s="1"/>
  <c r="CM91" i="1" a="1"/>
  <c r="CM91" i="1" s="1"/>
  <c r="CN91" i="1" a="1"/>
  <c r="CN91" i="1" s="1"/>
  <c r="CO91" i="1" a="1"/>
  <c r="CO91" i="1" s="1"/>
  <c r="CP91" i="1" a="1"/>
  <c r="CP91" i="1" s="1"/>
  <c r="CQ91" i="1" a="1"/>
  <c r="CQ91" i="1" s="1"/>
  <c r="BY92" i="1" a="1"/>
  <c r="BY92" i="1" s="1"/>
  <c r="BZ92" i="1" a="1"/>
  <c r="BZ92" i="1" s="1"/>
  <c r="CA92" i="1" a="1"/>
  <c r="CA92" i="1" s="1"/>
  <c r="CB92" i="1" a="1"/>
  <c r="CB92" i="1" s="1"/>
  <c r="CC92" i="1" a="1"/>
  <c r="CC92" i="1" s="1"/>
  <c r="CD92" i="1" a="1"/>
  <c r="CD92" i="1" s="1"/>
  <c r="CE92" i="1" a="1"/>
  <c r="CE92" i="1" s="1"/>
  <c r="CF92" i="1" a="1"/>
  <c r="CF92" i="1" s="1"/>
  <c r="CG92" i="1" a="1"/>
  <c r="CG92" i="1" s="1"/>
  <c r="CH92" i="1" a="1"/>
  <c r="CH92" i="1" s="1"/>
  <c r="CI92" i="1" a="1"/>
  <c r="CI92" i="1" s="1"/>
  <c r="CJ92" i="1" a="1"/>
  <c r="CJ92" i="1" s="1"/>
  <c r="CK92" i="1" a="1"/>
  <c r="CK92" i="1" s="1"/>
  <c r="CL92" i="1" a="1"/>
  <c r="CL92" i="1" s="1"/>
  <c r="CM92" i="1" a="1"/>
  <c r="CM92" i="1" s="1"/>
  <c r="CN92" i="1" a="1"/>
  <c r="CN92" i="1" s="1"/>
  <c r="CO92" i="1" a="1"/>
  <c r="CO92" i="1" s="1"/>
  <c r="CP92" i="1" a="1"/>
  <c r="CP92" i="1" s="1"/>
  <c r="CQ92" i="1" a="1"/>
  <c r="CQ92" i="1" s="1"/>
  <c r="BY93" i="1" a="1"/>
  <c r="BY93" i="1" s="1"/>
  <c r="BZ93" i="1" a="1"/>
  <c r="BZ93" i="1" s="1"/>
  <c r="CA93" i="1" a="1"/>
  <c r="CA93" i="1" s="1"/>
  <c r="CB93" i="1" a="1"/>
  <c r="CB93" i="1" s="1"/>
  <c r="CC93" i="1" a="1"/>
  <c r="CC93" i="1" s="1"/>
  <c r="CD93" i="1" a="1"/>
  <c r="CD93" i="1" s="1"/>
  <c r="CE93" i="1" a="1"/>
  <c r="CE93" i="1" s="1"/>
  <c r="CF93" i="1" a="1"/>
  <c r="CF93" i="1" s="1"/>
  <c r="CG93" i="1" a="1"/>
  <c r="CG93" i="1" s="1"/>
  <c r="CH93" i="1" a="1"/>
  <c r="CH93" i="1" s="1"/>
  <c r="CI93" i="1" a="1"/>
  <c r="CI93" i="1" s="1"/>
  <c r="CJ93" i="1" a="1"/>
  <c r="CJ93" i="1" s="1"/>
  <c r="CK93" i="1" a="1"/>
  <c r="CK93" i="1" s="1"/>
  <c r="CL93" i="1" a="1"/>
  <c r="CL93" i="1" s="1"/>
  <c r="CM93" i="1" a="1"/>
  <c r="CM93" i="1" s="1"/>
  <c r="CN93" i="1" a="1"/>
  <c r="CN93" i="1" s="1"/>
  <c r="CO93" i="1" a="1"/>
  <c r="CO93" i="1" s="1"/>
  <c r="CP93" i="1" a="1"/>
  <c r="CP93" i="1" s="1"/>
  <c r="CQ93" i="1" a="1"/>
  <c r="CQ93" i="1" s="1"/>
  <c r="BY94" i="1" a="1"/>
  <c r="BY94" i="1" s="1"/>
  <c r="BZ94" i="1" a="1"/>
  <c r="BZ94" i="1" s="1"/>
  <c r="CA94" i="1" a="1"/>
  <c r="CA94" i="1" s="1"/>
  <c r="CB94" i="1" a="1"/>
  <c r="CB94" i="1" s="1"/>
  <c r="CC94" i="1" a="1"/>
  <c r="CC94" i="1" s="1"/>
  <c r="CD94" i="1" a="1"/>
  <c r="CD94" i="1" s="1"/>
  <c r="CE94" i="1" a="1"/>
  <c r="CE94" i="1" s="1"/>
  <c r="CF94" i="1" a="1"/>
  <c r="CF94" i="1" s="1"/>
  <c r="CG94" i="1" a="1"/>
  <c r="CG94" i="1" s="1"/>
  <c r="CH94" i="1" a="1"/>
  <c r="CH94" i="1" s="1"/>
  <c r="CI94" i="1" a="1"/>
  <c r="CI94" i="1" s="1"/>
  <c r="CJ94" i="1" a="1"/>
  <c r="CJ94" i="1" s="1"/>
  <c r="CK94" i="1" a="1"/>
  <c r="CK94" i="1" s="1"/>
  <c r="CL94" i="1" a="1"/>
  <c r="CL94" i="1" s="1"/>
  <c r="CM94" i="1" a="1"/>
  <c r="CM94" i="1" s="1"/>
  <c r="CN94" i="1" a="1"/>
  <c r="CN94" i="1" s="1"/>
  <c r="CO94" i="1" a="1"/>
  <c r="CO94" i="1" s="1"/>
  <c r="CP94" i="1" a="1"/>
  <c r="CP94" i="1" s="1"/>
  <c r="CQ94" i="1" a="1"/>
  <c r="CQ94" i="1" s="1"/>
  <c r="BY95" i="1" a="1"/>
  <c r="BY95" i="1" s="1"/>
  <c r="BZ95" i="1" a="1"/>
  <c r="BZ95" i="1" s="1"/>
  <c r="CA95" i="1" a="1"/>
  <c r="CA95" i="1" s="1"/>
  <c r="CB95" i="1" a="1"/>
  <c r="CB95" i="1" s="1"/>
  <c r="CC95" i="1" a="1"/>
  <c r="CC95" i="1" s="1"/>
  <c r="CD95" i="1" a="1"/>
  <c r="CD95" i="1" s="1"/>
  <c r="CE95" i="1" a="1"/>
  <c r="CE95" i="1" s="1"/>
  <c r="CF95" i="1" a="1"/>
  <c r="CF95" i="1" s="1"/>
  <c r="CG95" i="1" a="1"/>
  <c r="CG95" i="1" s="1"/>
  <c r="CH95" i="1" a="1"/>
  <c r="CH95" i="1" s="1"/>
  <c r="CI95" i="1" a="1"/>
  <c r="CI95" i="1" s="1"/>
  <c r="CJ95" i="1" a="1"/>
  <c r="CJ95" i="1" s="1"/>
  <c r="CK95" i="1" a="1"/>
  <c r="CK95" i="1" s="1"/>
  <c r="CL95" i="1" a="1"/>
  <c r="CL95" i="1" s="1"/>
  <c r="CM95" i="1" a="1"/>
  <c r="CM95" i="1"/>
  <c r="CN95" i="1" a="1"/>
  <c r="CN95" i="1" s="1"/>
  <c r="CO95" i="1" a="1"/>
  <c r="CO95" i="1" s="1"/>
  <c r="CP95" i="1" a="1"/>
  <c r="CP95" i="1" s="1"/>
  <c r="CQ95" i="1" a="1"/>
  <c r="CQ95" i="1" s="1"/>
  <c r="BY96" i="1" a="1"/>
  <c r="BY96" i="1" s="1"/>
  <c r="BZ96" i="1" a="1"/>
  <c r="BZ96" i="1" s="1"/>
  <c r="CA96" i="1" a="1"/>
  <c r="CA96" i="1" s="1"/>
  <c r="CB96" i="1" a="1"/>
  <c r="CB96" i="1" s="1"/>
  <c r="CC96" i="1" a="1"/>
  <c r="CC96" i="1" s="1"/>
  <c r="CD96" i="1" a="1"/>
  <c r="CD96" i="1" s="1"/>
  <c r="CE96" i="1" a="1"/>
  <c r="CE96" i="1" s="1"/>
  <c r="CF96" i="1" a="1"/>
  <c r="CF96" i="1" s="1"/>
  <c r="CG96" i="1" a="1"/>
  <c r="CG96" i="1" s="1"/>
  <c r="CH96" i="1" a="1"/>
  <c r="CH96" i="1" s="1"/>
  <c r="CI96" i="1" a="1"/>
  <c r="CI96" i="1" s="1"/>
  <c r="CJ96" i="1" a="1"/>
  <c r="CJ96" i="1" s="1"/>
  <c r="CK96" i="1" a="1"/>
  <c r="CK96" i="1" s="1"/>
  <c r="CL96" i="1" a="1"/>
  <c r="CL96" i="1" s="1"/>
  <c r="CM96" i="1" a="1"/>
  <c r="CM96" i="1" s="1"/>
  <c r="CN96" i="1" a="1"/>
  <c r="CN96" i="1" s="1"/>
  <c r="CO96" i="1" a="1"/>
  <c r="CO96" i="1" s="1"/>
  <c r="CP96" i="1" a="1"/>
  <c r="CP96" i="1" s="1"/>
  <c r="CQ96" i="1" a="1"/>
  <c r="CQ96" i="1" s="1"/>
  <c r="BY97" i="1" a="1"/>
  <c r="BY97" i="1" s="1"/>
  <c r="BZ97" i="1" a="1"/>
  <c r="BZ97" i="1" s="1"/>
  <c r="CA97" i="1" a="1"/>
  <c r="CA97" i="1" s="1"/>
  <c r="CB97" i="1" a="1"/>
  <c r="CB97" i="1" s="1"/>
  <c r="CC97" i="1" a="1"/>
  <c r="CC97" i="1" s="1"/>
  <c r="CD97" i="1" a="1"/>
  <c r="CD97" i="1" s="1"/>
  <c r="CE97" i="1" a="1"/>
  <c r="CE97" i="1" s="1"/>
  <c r="CF97" i="1" a="1"/>
  <c r="CF97" i="1" s="1"/>
  <c r="CG97" i="1" a="1"/>
  <c r="CG97" i="1" s="1"/>
  <c r="CH97" i="1" a="1"/>
  <c r="CH97" i="1" s="1"/>
  <c r="CI97" i="1" a="1"/>
  <c r="CI97" i="1" s="1"/>
  <c r="CJ97" i="1" a="1"/>
  <c r="CJ97" i="1" s="1"/>
  <c r="CK97" i="1" a="1"/>
  <c r="CK97" i="1" s="1"/>
  <c r="CL97" i="1" a="1"/>
  <c r="CL97" i="1" s="1"/>
  <c r="CM97" i="1" a="1"/>
  <c r="CM97" i="1" s="1"/>
  <c r="CN97" i="1" a="1"/>
  <c r="CN97" i="1" s="1"/>
  <c r="CO97" i="1" a="1"/>
  <c r="CO97" i="1" s="1"/>
  <c r="CP97" i="1" a="1"/>
  <c r="CP97" i="1" s="1"/>
  <c r="CQ97" i="1" a="1"/>
  <c r="CQ97" i="1" s="1"/>
  <c r="BY98" i="1" a="1"/>
  <c r="BY98" i="1" s="1"/>
  <c r="BZ98" i="1" a="1"/>
  <c r="BZ98" i="1" s="1"/>
  <c r="CA98" i="1" a="1"/>
  <c r="CA98" i="1" s="1"/>
  <c r="CB98" i="1" a="1"/>
  <c r="CB98" i="1" s="1"/>
  <c r="CC98" i="1" a="1"/>
  <c r="CC98" i="1" s="1"/>
  <c r="CD98" i="1" a="1"/>
  <c r="CD98" i="1" s="1"/>
  <c r="CE98" i="1" a="1"/>
  <c r="CE98" i="1" s="1"/>
  <c r="CF98" i="1" a="1"/>
  <c r="CF98" i="1" s="1"/>
  <c r="CG98" i="1" a="1"/>
  <c r="CG98" i="1" s="1"/>
  <c r="CH98" i="1" a="1"/>
  <c r="CH98" i="1" s="1"/>
  <c r="CI98" i="1" a="1"/>
  <c r="CI98" i="1" s="1"/>
  <c r="CJ98" i="1" a="1"/>
  <c r="CJ98" i="1" s="1"/>
  <c r="CK98" i="1" a="1"/>
  <c r="CK98" i="1" s="1"/>
  <c r="CL98" i="1" a="1"/>
  <c r="CL98" i="1"/>
  <c r="CM98" i="1" a="1"/>
  <c r="CM98" i="1" s="1"/>
  <c r="CN98" i="1" a="1"/>
  <c r="CN98" i="1" s="1"/>
  <c r="CO98" i="1" a="1"/>
  <c r="CO98" i="1" s="1"/>
  <c r="CP98" i="1" a="1"/>
  <c r="CP98" i="1" s="1"/>
  <c r="CQ98" i="1" a="1"/>
  <c r="CQ98" i="1" s="1"/>
  <c r="BY99" i="1" a="1"/>
  <c r="BY99" i="1" s="1"/>
  <c r="BZ99" i="1" a="1"/>
  <c r="BZ99" i="1" s="1"/>
  <c r="CA99" i="1" a="1"/>
  <c r="CA99" i="1" s="1"/>
  <c r="CB99" i="1" a="1"/>
  <c r="CB99" i="1" s="1"/>
  <c r="CC99" i="1" a="1"/>
  <c r="CC99" i="1" s="1"/>
  <c r="CD99" i="1" a="1"/>
  <c r="CD99" i="1" s="1"/>
  <c r="CE99" i="1" a="1"/>
  <c r="CE99" i="1" s="1"/>
  <c r="CF99" i="1" a="1"/>
  <c r="CF99" i="1" s="1"/>
  <c r="CG99" i="1" a="1"/>
  <c r="CG99" i="1" s="1"/>
  <c r="CH99" i="1" a="1"/>
  <c r="CH99" i="1" s="1"/>
  <c r="CI99" i="1" a="1"/>
  <c r="CI99" i="1" s="1"/>
  <c r="CJ99" i="1" a="1"/>
  <c r="CJ99" i="1" s="1"/>
  <c r="CK99" i="1" a="1"/>
  <c r="CK99" i="1" s="1"/>
  <c r="CL99" i="1" a="1"/>
  <c r="CL99" i="1" s="1"/>
  <c r="CM99" i="1" a="1"/>
  <c r="CM99" i="1" s="1"/>
  <c r="CN99" i="1" a="1"/>
  <c r="CN99" i="1" s="1"/>
  <c r="CO99" i="1" a="1"/>
  <c r="CO99" i="1" s="1"/>
  <c r="CP99" i="1" a="1"/>
  <c r="CP99" i="1" s="1"/>
  <c r="CQ99" i="1" a="1"/>
  <c r="CQ99" i="1" s="1"/>
  <c r="BY100" i="1" a="1"/>
  <c r="BY100" i="1" s="1"/>
  <c r="BZ100" i="1" a="1"/>
  <c r="BZ100" i="1" s="1"/>
  <c r="CA100" i="1" a="1"/>
  <c r="CA100" i="1" s="1"/>
  <c r="CB100" i="1" a="1"/>
  <c r="CB100" i="1" s="1"/>
  <c r="CC100" i="1" a="1"/>
  <c r="CC100" i="1" s="1"/>
  <c r="CD100" i="1" a="1"/>
  <c r="CD100" i="1" s="1"/>
  <c r="CE100" i="1" a="1"/>
  <c r="CE100" i="1" s="1"/>
  <c r="CF100" i="1" a="1"/>
  <c r="CF100" i="1" s="1"/>
  <c r="CG100" i="1" a="1"/>
  <c r="CG100" i="1" s="1"/>
  <c r="CH100" i="1" a="1"/>
  <c r="CH100" i="1" s="1"/>
  <c r="CI100" i="1" a="1"/>
  <c r="CI100" i="1" s="1"/>
  <c r="CJ100" i="1" a="1"/>
  <c r="CJ100" i="1" s="1"/>
  <c r="CK100" i="1" a="1"/>
  <c r="CK100" i="1" s="1"/>
  <c r="CL100" i="1" a="1"/>
  <c r="CL100" i="1" s="1"/>
  <c r="CM100" i="1" a="1"/>
  <c r="CM100" i="1" s="1"/>
  <c r="CN100" i="1" a="1"/>
  <c r="CN100" i="1" s="1"/>
  <c r="CO100" i="1" a="1"/>
  <c r="CO100" i="1" s="1"/>
  <c r="CP100" i="1" a="1"/>
  <c r="CP100" i="1" s="1"/>
  <c r="CQ100" i="1" a="1"/>
  <c r="CQ100" i="1" s="1"/>
  <c r="BY101" i="1" a="1"/>
  <c r="BY101" i="1" s="1"/>
  <c r="BZ101" i="1" a="1"/>
  <c r="BZ101" i="1" s="1"/>
  <c r="CA101" i="1" a="1"/>
  <c r="CA101" i="1" s="1"/>
  <c r="CB101" i="1" a="1"/>
  <c r="CB101" i="1" s="1"/>
  <c r="CC101" i="1" a="1"/>
  <c r="CC101" i="1" s="1"/>
  <c r="CD101" i="1" a="1"/>
  <c r="CD101" i="1" s="1"/>
  <c r="CE101" i="1" a="1"/>
  <c r="CE101" i="1" s="1"/>
  <c r="CF101" i="1" a="1"/>
  <c r="CF101" i="1" s="1"/>
  <c r="CG101" i="1" a="1"/>
  <c r="CG101" i="1" s="1"/>
  <c r="CH101" i="1" a="1"/>
  <c r="CH101" i="1" s="1"/>
  <c r="CI101" i="1" a="1"/>
  <c r="CI101" i="1" s="1"/>
  <c r="CJ101" i="1" a="1"/>
  <c r="CJ101" i="1" s="1"/>
  <c r="CK101" i="1" a="1"/>
  <c r="CK101" i="1" s="1"/>
  <c r="CL101" i="1" a="1"/>
  <c r="CL101" i="1" s="1"/>
  <c r="CM101" i="1" a="1"/>
  <c r="CM101" i="1" s="1"/>
  <c r="CN101" i="1" a="1"/>
  <c r="CN101" i="1" s="1"/>
  <c r="CO101" i="1" a="1"/>
  <c r="CO101" i="1" s="1"/>
  <c r="CP101" i="1" a="1"/>
  <c r="CP101" i="1" s="1"/>
  <c r="CQ101" i="1" a="1"/>
  <c r="CQ101" i="1" s="1"/>
  <c r="BY102" i="1" a="1"/>
  <c r="BY102" i="1" s="1"/>
  <c r="BZ102" i="1" a="1"/>
  <c r="BZ102" i="1" s="1"/>
  <c r="CA102" i="1" a="1"/>
  <c r="CA102" i="1" s="1"/>
  <c r="CB102" i="1" a="1"/>
  <c r="CB102" i="1" s="1"/>
  <c r="CC102" i="1" a="1"/>
  <c r="CC102" i="1" s="1"/>
  <c r="CD102" i="1" a="1"/>
  <c r="CD102" i="1" s="1"/>
  <c r="CE102" i="1" a="1"/>
  <c r="CE102" i="1" s="1"/>
  <c r="CF102" i="1" a="1"/>
  <c r="CF102" i="1" s="1"/>
  <c r="CG102" i="1" a="1"/>
  <c r="CG102" i="1" s="1"/>
  <c r="CH102" i="1" a="1"/>
  <c r="CH102" i="1" s="1"/>
  <c r="CI102" i="1" a="1"/>
  <c r="CI102" i="1" s="1"/>
  <c r="CJ102" i="1" a="1"/>
  <c r="CJ102" i="1" s="1"/>
  <c r="CK102" i="1" a="1"/>
  <c r="CK102" i="1" s="1"/>
  <c r="CL102" i="1" a="1"/>
  <c r="CL102" i="1" s="1"/>
  <c r="CM102" i="1" a="1"/>
  <c r="CM102" i="1" s="1"/>
  <c r="CN102" i="1" a="1"/>
  <c r="CN102" i="1" s="1"/>
  <c r="CO102" i="1" a="1"/>
  <c r="CO102" i="1" s="1"/>
  <c r="CP102" i="1" a="1"/>
  <c r="CP102" i="1" s="1"/>
  <c r="CQ102" i="1" a="1"/>
  <c r="CQ102" i="1" s="1"/>
  <c r="BY103" i="1" a="1"/>
  <c r="BY103" i="1" s="1"/>
  <c r="BZ103" i="1" a="1"/>
  <c r="BZ103" i="1" s="1"/>
  <c r="CA103" i="1" a="1"/>
  <c r="CA103" i="1" s="1"/>
  <c r="CB103" i="1" a="1"/>
  <c r="CB103" i="1" s="1"/>
  <c r="CC103" i="1" a="1"/>
  <c r="CC103" i="1" s="1"/>
  <c r="CD103" i="1" a="1"/>
  <c r="CD103" i="1" s="1"/>
  <c r="CE103" i="1" a="1"/>
  <c r="CE103" i="1" s="1"/>
  <c r="CF103" i="1" a="1"/>
  <c r="CF103" i="1" s="1"/>
  <c r="CG103" i="1" a="1"/>
  <c r="CG103" i="1" s="1"/>
  <c r="CH103" i="1" a="1"/>
  <c r="CH103" i="1" s="1"/>
  <c r="CI103" i="1" a="1"/>
  <c r="CI103" i="1" s="1"/>
  <c r="CJ103" i="1" a="1"/>
  <c r="CJ103" i="1" s="1"/>
  <c r="CK103" i="1" a="1"/>
  <c r="CK103" i="1" s="1"/>
  <c r="CL103" i="1" a="1"/>
  <c r="CL103" i="1" s="1"/>
  <c r="CM103" i="1" a="1"/>
  <c r="CM103" i="1" s="1"/>
  <c r="CN103" i="1" a="1"/>
  <c r="CN103" i="1" s="1"/>
  <c r="CO103" i="1" a="1"/>
  <c r="CO103" i="1" s="1"/>
  <c r="CP103" i="1" a="1"/>
  <c r="CP103" i="1" s="1"/>
  <c r="CQ103" i="1" a="1"/>
  <c r="CQ103" i="1" s="1"/>
  <c r="BY104" i="1" a="1"/>
  <c r="BY104" i="1" s="1"/>
  <c r="BZ104" i="1" a="1"/>
  <c r="BZ104" i="1" s="1"/>
  <c r="CA104" i="1" a="1"/>
  <c r="CA104" i="1" s="1"/>
  <c r="CB104" i="1" a="1"/>
  <c r="CB104" i="1" s="1"/>
  <c r="CC104" i="1" a="1"/>
  <c r="CC104" i="1" s="1"/>
  <c r="CD104" i="1" a="1"/>
  <c r="CD104" i="1" s="1"/>
  <c r="CE104" i="1" a="1"/>
  <c r="CE104" i="1" s="1"/>
  <c r="CF104" i="1" a="1"/>
  <c r="CF104" i="1" s="1"/>
  <c r="CG104" i="1" a="1"/>
  <c r="CG104" i="1" s="1"/>
  <c r="CH104" i="1" a="1"/>
  <c r="CH104" i="1" s="1"/>
  <c r="CI104" i="1" a="1"/>
  <c r="CI104" i="1" s="1"/>
  <c r="CJ104" i="1" a="1"/>
  <c r="CJ104" i="1" s="1"/>
  <c r="CK104" i="1" a="1"/>
  <c r="CK104" i="1" s="1"/>
  <c r="CL104" i="1" a="1"/>
  <c r="CL104" i="1" s="1"/>
  <c r="CM104" i="1" a="1"/>
  <c r="CM104" i="1" s="1"/>
  <c r="CN104" i="1" a="1"/>
  <c r="CN104" i="1" s="1"/>
  <c r="CO104" i="1" a="1"/>
  <c r="CO104" i="1" s="1"/>
  <c r="CP104" i="1" a="1"/>
  <c r="CP104" i="1" s="1"/>
  <c r="CQ104" i="1" a="1"/>
  <c r="CQ104" i="1" s="1"/>
  <c r="BY105" i="1" a="1"/>
  <c r="BY105" i="1" s="1"/>
  <c r="BZ105" i="1" a="1"/>
  <c r="BZ105" i="1" s="1"/>
  <c r="CA105" i="1" a="1"/>
  <c r="CA105" i="1" s="1"/>
  <c r="CB105" i="1" a="1"/>
  <c r="CB105" i="1" s="1"/>
  <c r="CC105" i="1" a="1"/>
  <c r="CC105" i="1" s="1"/>
  <c r="CD105" i="1" a="1"/>
  <c r="CD105" i="1" s="1"/>
  <c r="CE105" i="1" a="1"/>
  <c r="CE105" i="1" s="1"/>
  <c r="CF105" i="1" a="1"/>
  <c r="CF105" i="1" s="1"/>
  <c r="CG105" i="1" a="1"/>
  <c r="CG105" i="1" s="1"/>
  <c r="CH105" i="1" a="1"/>
  <c r="CH105" i="1" s="1"/>
  <c r="CI105" i="1" a="1"/>
  <c r="CI105" i="1" s="1"/>
  <c r="CJ105" i="1" a="1"/>
  <c r="CJ105" i="1" s="1"/>
  <c r="CK105" i="1" a="1"/>
  <c r="CK105" i="1" s="1"/>
  <c r="CL105" i="1" a="1"/>
  <c r="CL105" i="1" s="1"/>
  <c r="CM105" i="1" a="1"/>
  <c r="CM105" i="1" s="1"/>
  <c r="CN105" i="1" a="1"/>
  <c r="CN105" i="1" s="1"/>
  <c r="CO105" i="1" a="1"/>
  <c r="CO105" i="1" s="1"/>
  <c r="CP105" i="1" a="1"/>
  <c r="CP105" i="1" s="1"/>
  <c r="CQ105" i="1" a="1"/>
  <c r="CQ105" i="1" s="1"/>
  <c r="BY106" i="1" a="1"/>
  <c r="BY106" i="1" s="1"/>
  <c r="BZ106" i="1" a="1"/>
  <c r="BZ106" i="1" s="1"/>
  <c r="CA106" i="1" a="1"/>
  <c r="CA106" i="1" s="1"/>
  <c r="CB106" i="1" a="1"/>
  <c r="CB106" i="1" s="1"/>
  <c r="CC106" i="1" a="1"/>
  <c r="CC106" i="1" s="1"/>
  <c r="CD106" i="1" a="1"/>
  <c r="CD106" i="1" s="1"/>
  <c r="CE106" i="1" a="1"/>
  <c r="CE106" i="1" s="1"/>
  <c r="CF106" i="1" a="1"/>
  <c r="CF106" i="1" s="1"/>
  <c r="CG106" i="1" a="1"/>
  <c r="CG106" i="1" s="1"/>
  <c r="CH106" i="1" a="1"/>
  <c r="CH106" i="1" s="1"/>
  <c r="CI106" i="1" a="1"/>
  <c r="CI106" i="1" s="1"/>
  <c r="CJ106" i="1" a="1"/>
  <c r="CJ106" i="1" s="1"/>
  <c r="CK106" i="1" a="1"/>
  <c r="CK106" i="1" s="1"/>
  <c r="CL106" i="1" a="1"/>
  <c r="CL106" i="1" s="1"/>
  <c r="CM106" i="1" a="1"/>
  <c r="CM106" i="1" s="1"/>
  <c r="CN106" i="1" a="1"/>
  <c r="CN106" i="1" s="1"/>
  <c r="CO106" i="1" a="1"/>
  <c r="CO106" i="1" s="1"/>
  <c r="CP106" i="1" a="1"/>
  <c r="CP106" i="1" s="1"/>
  <c r="CQ106" i="1" a="1"/>
  <c r="CQ106" i="1" s="1"/>
  <c r="BY107" i="1" a="1"/>
  <c r="BY107" i="1" s="1"/>
  <c r="BZ107" i="1" a="1"/>
  <c r="BZ107" i="1" s="1"/>
  <c r="CA107" i="1" a="1"/>
  <c r="CA107" i="1" s="1"/>
  <c r="CB107" i="1" a="1"/>
  <c r="CB107" i="1" s="1"/>
  <c r="CC107" i="1" a="1"/>
  <c r="CC107" i="1" s="1"/>
  <c r="CD107" i="1" a="1"/>
  <c r="CD107" i="1" s="1"/>
  <c r="CE107" i="1" a="1"/>
  <c r="CE107" i="1" s="1"/>
  <c r="CF107" i="1" a="1"/>
  <c r="CF107" i="1" s="1"/>
  <c r="CG107" i="1" a="1"/>
  <c r="CG107" i="1" s="1"/>
  <c r="CH107" i="1" a="1"/>
  <c r="CH107" i="1" s="1"/>
  <c r="CI107" i="1" a="1"/>
  <c r="CI107" i="1" s="1"/>
  <c r="CJ107" i="1" a="1"/>
  <c r="CJ107" i="1" s="1"/>
  <c r="CK107" i="1" a="1"/>
  <c r="CK107" i="1" s="1"/>
  <c r="CL107" i="1" a="1"/>
  <c r="CL107" i="1" s="1"/>
  <c r="CM107" i="1" a="1"/>
  <c r="CM107" i="1" s="1"/>
  <c r="CN107" i="1" a="1"/>
  <c r="CN107" i="1" s="1"/>
  <c r="CO107" i="1" a="1"/>
  <c r="CO107" i="1" s="1"/>
  <c r="CP107" i="1" a="1"/>
  <c r="CP107" i="1" s="1"/>
  <c r="CQ107" i="1" a="1"/>
  <c r="CQ107" i="1" s="1"/>
  <c r="BY108" i="1" a="1"/>
  <c r="BY108" i="1" s="1"/>
  <c r="BZ108" i="1" a="1"/>
  <c r="BZ108" i="1" s="1"/>
  <c r="CA108" i="1" a="1"/>
  <c r="CA108" i="1" s="1"/>
  <c r="CB108" i="1" a="1"/>
  <c r="CB108" i="1" s="1"/>
  <c r="CC108" i="1" a="1"/>
  <c r="CC108" i="1" s="1"/>
  <c r="CD108" i="1" a="1"/>
  <c r="CD108" i="1" s="1"/>
  <c r="CE108" i="1" a="1"/>
  <c r="CE108" i="1" s="1"/>
  <c r="CF108" i="1" a="1"/>
  <c r="CF108" i="1" s="1"/>
  <c r="CG108" i="1" a="1"/>
  <c r="CG108" i="1" s="1"/>
  <c r="CH108" i="1" a="1"/>
  <c r="CH108" i="1" s="1"/>
  <c r="CI108" i="1" a="1"/>
  <c r="CI108" i="1" s="1"/>
  <c r="CJ108" i="1" a="1"/>
  <c r="CJ108" i="1" s="1"/>
  <c r="CK108" i="1" a="1"/>
  <c r="CK108" i="1" s="1"/>
  <c r="CL108" i="1" a="1"/>
  <c r="CL108" i="1" s="1"/>
  <c r="CM108" i="1" a="1"/>
  <c r="CM108" i="1" s="1"/>
  <c r="CN108" i="1" a="1"/>
  <c r="CN108" i="1" s="1"/>
  <c r="CO108" i="1" a="1"/>
  <c r="CO108" i="1" s="1"/>
  <c r="CP108" i="1" a="1"/>
  <c r="CP108" i="1" s="1"/>
  <c r="CQ108" i="1" a="1"/>
  <c r="CQ108" i="1" s="1"/>
  <c r="BY109" i="1" a="1"/>
  <c r="BY109" i="1" s="1"/>
  <c r="BZ109" i="1" a="1"/>
  <c r="BZ109" i="1" s="1"/>
  <c r="CA109" i="1" a="1"/>
  <c r="CA109" i="1" s="1"/>
  <c r="CB109" i="1" a="1"/>
  <c r="CB109" i="1" s="1"/>
  <c r="CC109" i="1" a="1"/>
  <c r="CC109" i="1" s="1"/>
  <c r="CD109" i="1" a="1"/>
  <c r="CD109" i="1" s="1"/>
  <c r="CE109" i="1" a="1"/>
  <c r="CE109" i="1" s="1"/>
  <c r="CF109" i="1" a="1"/>
  <c r="CF109" i="1" s="1"/>
  <c r="CG109" i="1" a="1"/>
  <c r="CG109" i="1" s="1"/>
  <c r="CH109" i="1" a="1"/>
  <c r="CH109" i="1" s="1"/>
  <c r="CI109" i="1" a="1"/>
  <c r="CI109" i="1" s="1"/>
  <c r="CJ109" i="1" a="1"/>
  <c r="CJ109" i="1" s="1"/>
  <c r="CK109" i="1" a="1"/>
  <c r="CK109" i="1" s="1"/>
  <c r="CL109" i="1" a="1"/>
  <c r="CL109" i="1" s="1"/>
  <c r="CM109" i="1" a="1"/>
  <c r="CM109" i="1" s="1"/>
  <c r="CN109" i="1" a="1"/>
  <c r="CN109" i="1" s="1"/>
  <c r="CO109" i="1" a="1"/>
  <c r="CO109" i="1" s="1"/>
  <c r="CP109" i="1" a="1"/>
  <c r="CP109" i="1" s="1"/>
  <c r="CQ109" i="1" a="1"/>
  <c r="CQ109" i="1" s="1"/>
  <c r="BY110" i="1" a="1"/>
  <c r="BY110" i="1" s="1"/>
  <c r="BZ110" i="1" a="1"/>
  <c r="BZ110" i="1" s="1"/>
  <c r="CA110" i="1" a="1"/>
  <c r="CA110" i="1" s="1"/>
  <c r="CB110" i="1" a="1"/>
  <c r="CB110" i="1" s="1"/>
  <c r="CC110" i="1" a="1"/>
  <c r="CC110" i="1" s="1"/>
  <c r="CD110" i="1" a="1"/>
  <c r="CD110" i="1" s="1"/>
  <c r="CE110" i="1" a="1"/>
  <c r="CE110" i="1" s="1"/>
  <c r="CF110" i="1" a="1"/>
  <c r="CF110" i="1" s="1"/>
  <c r="CG110" i="1" a="1"/>
  <c r="CG110" i="1" s="1"/>
  <c r="CH110" i="1" a="1"/>
  <c r="CH110" i="1" s="1"/>
  <c r="CI110" i="1" a="1"/>
  <c r="CI110" i="1" s="1"/>
  <c r="CJ110" i="1" a="1"/>
  <c r="CJ110" i="1" s="1"/>
  <c r="CK110" i="1" a="1"/>
  <c r="CK110" i="1" s="1"/>
  <c r="CL110" i="1" a="1"/>
  <c r="CL110" i="1" s="1"/>
  <c r="CM110" i="1" a="1"/>
  <c r="CM110" i="1" s="1"/>
  <c r="CN110" i="1" a="1"/>
  <c r="CN110" i="1" s="1"/>
  <c r="CO110" i="1" a="1"/>
  <c r="CO110" i="1" s="1"/>
  <c r="CP110" i="1" a="1"/>
  <c r="CP110" i="1" s="1"/>
  <c r="CQ110" i="1" a="1"/>
  <c r="CQ110" i="1" s="1"/>
  <c r="BY111" i="1" a="1"/>
  <c r="BY111" i="1" s="1"/>
  <c r="BZ111" i="1" a="1"/>
  <c r="BZ111" i="1" s="1"/>
  <c r="CA111" i="1" a="1"/>
  <c r="CA111" i="1" s="1"/>
  <c r="CB111" i="1" a="1"/>
  <c r="CB111" i="1" s="1"/>
  <c r="CC111" i="1" a="1"/>
  <c r="CC111" i="1" s="1"/>
  <c r="CD111" i="1" a="1"/>
  <c r="CD111" i="1" s="1"/>
  <c r="CE111" i="1" a="1"/>
  <c r="CE111" i="1" s="1"/>
  <c r="CF111" i="1" a="1"/>
  <c r="CF111" i="1" s="1"/>
  <c r="CG111" i="1" a="1"/>
  <c r="CG111" i="1" s="1"/>
  <c r="CH111" i="1" a="1"/>
  <c r="CH111" i="1" s="1"/>
  <c r="CI111" i="1" a="1"/>
  <c r="CI111" i="1" s="1"/>
  <c r="CJ111" i="1" a="1"/>
  <c r="CJ111" i="1" s="1"/>
  <c r="CK111" i="1" a="1"/>
  <c r="CK111" i="1" s="1"/>
  <c r="CL111" i="1" a="1"/>
  <c r="CL111" i="1" s="1"/>
  <c r="CM111" i="1" a="1"/>
  <c r="CM111" i="1" s="1"/>
  <c r="CN111" i="1" a="1"/>
  <c r="CN111" i="1" s="1"/>
  <c r="CO111" i="1" a="1"/>
  <c r="CO111" i="1" s="1"/>
  <c r="CP111" i="1" a="1"/>
  <c r="CP111" i="1" s="1"/>
  <c r="CQ111" i="1" a="1"/>
  <c r="CQ111" i="1" s="1"/>
  <c r="BY112" i="1" a="1"/>
  <c r="BY112" i="1" s="1"/>
  <c r="BZ112" i="1" a="1"/>
  <c r="BZ112" i="1" s="1"/>
  <c r="CA112" i="1" a="1"/>
  <c r="CA112" i="1" s="1"/>
  <c r="CB112" i="1" a="1"/>
  <c r="CB112" i="1" s="1"/>
  <c r="CC112" i="1" a="1"/>
  <c r="CC112" i="1" s="1"/>
  <c r="CD112" i="1" a="1"/>
  <c r="CD112" i="1" s="1"/>
  <c r="CE112" i="1" a="1"/>
  <c r="CE112" i="1" s="1"/>
  <c r="CF112" i="1" a="1"/>
  <c r="CF112" i="1" s="1"/>
  <c r="CG112" i="1" a="1"/>
  <c r="CG112" i="1" s="1"/>
  <c r="CH112" i="1" a="1"/>
  <c r="CH112" i="1" s="1"/>
  <c r="CI112" i="1" a="1"/>
  <c r="CI112" i="1" s="1"/>
  <c r="CJ112" i="1" a="1"/>
  <c r="CJ112" i="1" s="1"/>
  <c r="CK112" i="1" a="1"/>
  <c r="CK112" i="1" s="1"/>
  <c r="CL112" i="1" a="1"/>
  <c r="CL112" i="1" s="1"/>
  <c r="CM112" i="1" a="1"/>
  <c r="CM112" i="1" s="1"/>
  <c r="CN112" i="1" a="1"/>
  <c r="CN112" i="1" s="1"/>
  <c r="CO112" i="1" a="1"/>
  <c r="CO112" i="1" s="1"/>
  <c r="CP112" i="1" a="1"/>
  <c r="CP112" i="1" s="1"/>
  <c r="CQ112" i="1" a="1"/>
  <c r="CQ112" i="1" s="1"/>
  <c r="BY113" i="1" a="1"/>
  <c r="BY113" i="1" s="1"/>
  <c r="BZ113" i="1" a="1"/>
  <c r="BZ113" i="1" s="1"/>
  <c r="CA113" i="1" a="1"/>
  <c r="CA113" i="1" s="1"/>
  <c r="CB113" i="1" a="1"/>
  <c r="CB113" i="1" s="1"/>
  <c r="CC113" i="1" a="1"/>
  <c r="CC113" i="1" s="1"/>
  <c r="CD113" i="1" a="1"/>
  <c r="CD113" i="1" s="1"/>
  <c r="CE113" i="1" a="1"/>
  <c r="CE113" i="1" s="1"/>
  <c r="CF113" i="1" a="1"/>
  <c r="CF113" i="1" s="1"/>
  <c r="CG113" i="1" a="1"/>
  <c r="CG113" i="1" s="1"/>
  <c r="CH113" i="1" a="1"/>
  <c r="CH113" i="1" s="1"/>
  <c r="CI113" i="1" a="1"/>
  <c r="CI113" i="1" s="1"/>
  <c r="CJ113" i="1" a="1"/>
  <c r="CJ113" i="1" s="1"/>
  <c r="CK113" i="1" a="1"/>
  <c r="CK113" i="1" s="1"/>
  <c r="CL113" i="1" a="1"/>
  <c r="CL113" i="1" s="1"/>
  <c r="CM113" i="1" a="1"/>
  <c r="CM113" i="1" s="1"/>
  <c r="CN113" i="1" a="1"/>
  <c r="CN113" i="1" s="1"/>
  <c r="CO113" i="1" a="1"/>
  <c r="CO113" i="1" s="1"/>
  <c r="CP113" i="1" a="1"/>
  <c r="CP113" i="1" s="1"/>
  <c r="CQ113" i="1" a="1"/>
  <c r="CQ113" i="1" s="1"/>
  <c r="BY114" i="1" a="1"/>
  <c r="BY114" i="1" s="1"/>
  <c r="BZ114" i="1" a="1"/>
  <c r="BZ114" i="1" s="1"/>
  <c r="CA114" i="1" a="1"/>
  <c r="CA114" i="1" s="1"/>
  <c r="CB114" i="1" a="1"/>
  <c r="CB114" i="1" s="1"/>
  <c r="CC114" i="1" a="1"/>
  <c r="CC114" i="1" s="1"/>
  <c r="CD114" i="1" a="1"/>
  <c r="CD114" i="1" s="1"/>
  <c r="CE114" i="1" a="1"/>
  <c r="CE114" i="1" s="1"/>
  <c r="CF114" i="1" a="1"/>
  <c r="CF114" i="1" s="1"/>
  <c r="CG114" i="1" a="1"/>
  <c r="CG114" i="1" s="1"/>
  <c r="CH114" i="1" a="1"/>
  <c r="CH114" i="1" s="1"/>
  <c r="CI114" i="1" a="1"/>
  <c r="CI114" i="1" s="1"/>
  <c r="CJ114" i="1" a="1"/>
  <c r="CJ114" i="1" s="1"/>
  <c r="CK114" i="1" a="1"/>
  <c r="CK114" i="1" s="1"/>
  <c r="CL114" i="1" a="1"/>
  <c r="CL114" i="1" s="1"/>
  <c r="CM114" i="1" a="1"/>
  <c r="CM114" i="1" s="1"/>
  <c r="CN114" i="1" a="1"/>
  <c r="CN114" i="1" s="1"/>
  <c r="CO114" i="1" a="1"/>
  <c r="CO114" i="1" s="1"/>
  <c r="CP114" i="1" a="1"/>
  <c r="CP114" i="1" s="1"/>
  <c r="CQ114" i="1" a="1"/>
  <c r="CQ114" i="1" s="1"/>
  <c r="BY115" i="1" a="1"/>
  <c r="BY115" i="1" s="1"/>
  <c r="BZ115" i="1" a="1"/>
  <c r="BZ115" i="1" s="1"/>
  <c r="CA115" i="1" a="1"/>
  <c r="CA115" i="1" s="1"/>
  <c r="CB115" i="1" a="1"/>
  <c r="CB115" i="1" s="1"/>
  <c r="CC115" i="1" a="1"/>
  <c r="CC115" i="1" s="1"/>
  <c r="CD115" i="1" a="1"/>
  <c r="CD115" i="1" s="1"/>
  <c r="CE115" i="1" a="1"/>
  <c r="CE115" i="1" s="1"/>
  <c r="CF115" i="1" a="1"/>
  <c r="CF115" i="1" s="1"/>
  <c r="CG115" i="1" a="1"/>
  <c r="CG115" i="1" s="1"/>
  <c r="CH115" i="1" a="1"/>
  <c r="CH115" i="1" s="1"/>
  <c r="CI115" i="1" a="1"/>
  <c r="CI115" i="1" s="1"/>
  <c r="CJ115" i="1" a="1"/>
  <c r="CJ115" i="1" s="1"/>
  <c r="CK115" i="1" a="1"/>
  <c r="CK115" i="1" s="1"/>
  <c r="CL115" i="1" a="1"/>
  <c r="CL115" i="1" s="1"/>
  <c r="CM115" i="1" a="1"/>
  <c r="CM115" i="1" s="1"/>
  <c r="CN115" i="1" a="1"/>
  <c r="CN115" i="1" s="1"/>
  <c r="CO115" i="1" a="1"/>
  <c r="CO115" i="1" s="1"/>
  <c r="CP115" i="1" a="1"/>
  <c r="CP115" i="1" s="1"/>
  <c r="CQ115" i="1" a="1"/>
  <c r="CQ115" i="1" s="1"/>
  <c r="BY116" i="1" a="1"/>
  <c r="BY116" i="1" s="1"/>
  <c r="BZ116" i="1" a="1"/>
  <c r="BZ116" i="1" s="1"/>
  <c r="CA116" i="1" a="1"/>
  <c r="CA116" i="1" s="1"/>
  <c r="CB116" i="1" a="1"/>
  <c r="CB116" i="1" s="1"/>
  <c r="CC116" i="1" a="1"/>
  <c r="CC116" i="1" s="1"/>
  <c r="CD116" i="1" a="1"/>
  <c r="CD116" i="1" s="1"/>
  <c r="CE116" i="1" a="1"/>
  <c r="CE116" i="1" s="1"/>
  <c r="CF116" i="1" a="1"/>
  <c r="CF116" i="1" s="1"/>
  <c r="CG116" i="1" a="1"/>
  <c r="CG116" i="1" s="1"/>
  <c r="CH116" i="1" a="1"/>
  <c r="CH116" i="1" s="1"/>
  <c r="CI116" i="1" a="1"/>
  <c r="CI116" i="1" s="1"/>
  <c r="CJ116" i="1" a="1"/>
  <c r="CJ116" i="1" s="1"/>
  <c r="CK116" i="1" a="1"/>
  <c r="CK116" i="1" s="1"/>
  <c r="CL116" i="1" a="1"/>
  <c r="CL116" i="1" s="1"/>
  <c r="CM116" i="1" a="1"/>
  <c r="CM116" i="1" s="1"/>
  <c r="CN116" i="1" a="1"/>
  <c r="CN116" i="1" s="1"/>
  <c r="CO116" i="1" a="1"/>
  <c r="CO116" i="1" s="1"/>
  <c r="CP116" i="1" a="1"/>
  <c r="CP116" i="1" s="1"/>
  <c r="CQ116" i="1" a="1"/>
  <c r="CQ116" i="1" s="1"/>
  <c r="BY117" i="1" a="1"/>
  <c r="BY117" i="1" s="1"/>
  <c r="BZ117" i="1" a="1"/>
  <c r="BZ117" i="1" s="1"/>
  <c r="CA117" i="1" a="1"/>
  <c r="CA117" i="1" s="1"/>
  <c r="CB117" i="1" a="1"/>
  <c r="CB117" i="1" s="1"/>
  <c r="CC117" i="1" a="1"/>
  <c r="CC117" i="1" s="1"/>
  <c r="CD117" i="1" a="1"/>
  <c r="CD117" i="1" s="1"/>
  <c r="CE117" i="1" a="1"/>
  <c r="CE117" i="1" s="1"/>
  <c r="CF117" i="1" a="1"/>
  <c r="CF117" i="1" s="1"/>
  <c r="CG117" i="1" a="1"/>
  <c r="CG117" i="1" s="1"/>
  <c r="CH117" i="1" a="1"/>
  <c r="CH117" i="1" s="1"/>
  <c r="CI117" i="1" a="1"/>
  <c r="CI117" i="1" s="1"/>
  <c r="CJ117" i="1" a="1"/>
  <c r="CJ117" i="1" s="1"/>
  <c r="CK117" i="1" a="1"/>
  <c r="CK117" i="1" s="1"/>
  <c r="CL117" i="1" a="1"/>
  <c r="CL117" i="1" s="1"/>
  <c r="CM117" i="1" a="1"/>
  <c r="CM117" i="1" s="1"/>
  <c r="CN117" i="1" a="1"/>
  <c r="CN117" i="1" s="1"/>
  <c r="CO117" i="1" a="1"/>
  <c r="CO117" i="1" s="1"/>
  <c r="CP117" i="1" a="1"/>
  <c r="CP117" i="1" s="1"/>
  <c r="CQ117" i="1" a="1"/>
  <c r="CQ117" i="1" s="1"/>
  <c r="BY118" i="1" a="1"/>
  <c r="BY118" i="1" s="1"/>
  <c r="BZ118" i="1" a="1"/>
  <c r="BZ118" i="1" s="1"/>
  <c r="CA118" i="1" a="1"/>
  <c r="CA118" i="1" s="1"/>
  <c r="CB118" i="1" a="1"/>
  <c r="CB118" i="1" s="1"/>
  <c r="CC118" i="1" a="1"/>
  <c r="CC118" i="1" s="1"/>
  <c r="CD118" i="1" a="1"/>
  <c r="CD118" i="1" s="1"/>
  <c r="CE118" i="1" a="1"/>
  <c r="CE118" i="1" s="1"/>
  <c r="CF118" i="1" a="1"/>
  <c r="CF118" i="1" s="1"/>
  <c r="CG118" i="1" a="1"/>
  <c r="CG118" i="1" s="1"/>
  <c r="CH118" i="1" a="1"/>
  <c r="CH118" i="1" s="1"/>
  <c r="CI118" i="1" a="1"/>
  <c r="CI118" i="1" s="1"/>
  <c r="CJ118" i="1" a="1"/>
  <c r="CJ118" i="1" s="1"/>
  <c r="CK118" i="1" a="1"/>
  <c r="CK118" i="1" s="1"/>
  <c r="CL118" i="1" a="1"/>
  <c r="CL118" i="1" s="1"/>
  <c r="CM118" i="1" a="1"/>
  <c r="CM118" i="1" s="1"/>
  <c r="CN118" i="1" a="1"/>
  <c r="CN118" i="1" s="1"/>
  <c r="CO118" i="1" a="1"/>
  <c r="CO118" i="1" s="1"/>
  <c r="CP118" i="1" a="1"/>
  <c r="CP118" i="1" s="1"/>
  <c r="CQ118" i="1" a="1"/>
  <c r="CQ118" i="1" s="1"/>
  <c r="BY119" i="1" a="1"/>
  <c r="BY119" i="1" s="1"/>
  <c r="BZ119" i="1" a="1"/>
  <c r="BZ119" i="1" s="1"/>
  <c r="CA119" i="1" a="1"/>
  <c r="CA119" i="1" s="1"/>
  <c r="CB119" i="1" a="1"/>
  <c r="CB119" i="1" s="1"/>
  <c r="CC119" i="1" a="1"/>
  <c r="CC119" i="1" s="1"/>
  <c r="CD119" i="1" a="1"/>
  <c r="CD119" i="1" s="1"/>
  <c r="CE119" i="1" a="1"/>
  <c r="CE119" i="1" s="1"/>
  <c r="CF119" i="1" a="1"/>
  <c r="CF119" i="1" s="1"/>
  <c r="CG119" i="1" a="1"/>
  <c r="CG119" i="1" s="1"/>
  <c r="CH119" i="1" a="1"/>
  <c r="CH119" i="1" s="1"/>
  <c r="CI119" i="1" a="1"/>
  <c r="CI119" i="1" s="1"/>
  <c r="CJ119" i="1" a="1"/>
  <c r="CJ119" i="1" s="1"/>
  <c r="CK119" i="1" a="1"/>
  <c r="CK119" i="1" s="1"/>
  <c r="CL119" i="1" a="1"/>
  <c r="CL119" i="1" s="1"/>
  <c r="CM119" i="1" a="1"/>
  <c r="CM119" i="1" s="1"/>
  <c r="CN119" i="1" a="1"/>
  <c r="CN119" i="1" s="1"/>
  <c r="CO119" i="1" a="1"/>
  <c r="CO119" i="1"/>
  <c r="CP119" i="1" a="1"/>
  <c r="CP119" i="1" s="1"/>
  <c r="CQ119" i="1" a="1"/>
  <c r="CQ119" i="1" s="1"/>
  <c r="BY120" i="1" a="1"/>
  <c r="BY120" i="1" s="1"/>
  <c r="BZ120" i="1" a="1"/>
  <c r="BZ120" i="1" s="1"/>
  <c r="CA120" i="1" a="1"/>
  <c r="CA120" i="1" s="1"/>
  <c r="CB120" i="1" a="1"/>
  <c r="CB120" i="1" s="1"/>
  <c r="CC120" i="1" a="1"/>
  <c r="CC120" i="1" s="1"/>
  <c r="CD120" i="1" a="1"/>
  <c r="CD120" i="1" s="1"/>
  <c r="CE120" i="1" a="1"/>
  <c r="CE120" i="1" s="1"/>
  <c r="CF120" i="1" a="1"/>
  <c r="CF120" i="1" s="1"/>
  <c r="CG120" i="1" a="1"/>
  <c r="CG120" i="1" s="1"/>
  <c r="CH120" i="1" a="1"/>
  <c r="CH120" i="1" s="1"/>
  <c r="CI120" i="1" a="1"/>
  <c r="CI120" i="1" s="1"/>
  <c r="CJ120" i="1" a="1"/>
  <c r="CJ120" i="1" s="1"/>
  <c r="CK120" i="1" a="1"/>
  <c r="CK120" i="1" s="1"/>
  <c r="CL120" i="1" a="1"/>
  <c r="CL120" i="1" s="1"/>
  <c r="CM120" i="1" a="1"/>
  <c r="CM120" i="1" s="1"/>
  <c r="CN120" i="1" a="1"/>
  <c r="CN120" i="1" s="1"/>
  <c r="CO120" i="1" a="1"/>
  <c r="CO120" i="1" s="1"/>
  <c r="CP120" i="1" a="1"/>
  <c r="CP120" i="1" s="1"/>
  <c r="CQ120" i="1" a="1"/>
  <c r="CQ120" i="1" s="1"/>
  <c r="BY121" i="1" a="1"/>
  <c r="BY121" i="1" s="1"/>
  <c r="BZ121" i="1" a="1"/>
  <c r="BZ121" i="1" s="1"/>
  <c r="CA121" i="1" a="1"/>
  <c r="CA121" i="1" s="1"/>
  <c r="CB121" i="1" a="1"/>
  <c r="CB121" i="1" s="1"/>
  <c r="CC121" i="1" a="1"/>
  <c r="CC121" i="1" s="1"/>
  <c r="CD121" i="1" a="1"/>
  <c r="CD121" i="1" s="1"/>
  <c r="CE121" i="1" a="1"/>
  <c r="CE121" i="1" s="1"/>
  <c r="CF121" i="1" a="1"/>
  <c r="CF121" i="1" s="1"/>
  <c r="CG121" i="1" a="1"/>
  <c r="CG121" i="1" s="1"/>
  <c r="CH121" i="1" a="1"/>
  <c r="CH121" i="1" s="1"/>
  <c r="CI121" i="1" a="1"/>
  <c r="CI121" i="1"/>
  <c r="CJ121" i="1" a="1"/>
  <c r="CJ121" i="1" s="1"/>
  <c r="CK121" i="1" a="1"/>
  <c r="CK121" i="1" s="1"/>
  <c r="CL121" i="1" a="1"/>
  <c r="CL121" i="1" s="1"/>
  <c r="CM121" i="1" a="1"/>
  <c r="CM121" i="1" s="1"/>
  <c r="CN121" i="1" a="1"/>
  <c r="CN121" i="1" s="1"/>
  <c r="CO121" i="1" a="1"/>
  <c r="CO121" i="1" s="1"/>
  <c r="CP121" i="1" a="1"/>
  <c r="CP121" i="1" s="1"/>
  <c r="CQ121" i="1" a="1"/>
  <c r="CQ121" i="1" s="1"/>
  <c r="BY122" i="1" a="1"/>
  <c r="BY122" i="1" s="1"/>
  <c r="BZ122" i="1" a="1"/>
  <c r="BZ122" i="1" s="1"/>
  <c r="CA122" i="1" a="1"/>
  <c r="CA122" i="1" s="1"/>
  <c r="CB122" i="1" a="1"/>
  <c r="CB122" i="1" s="1"/>
  <c r="CC122" i="1" a="1"/>
  <c r="CC122" i="1" s="1"/>
  <c r="CD122" i="1" a="1"/>
  <c r="CD122" i="1" s="1"/>
  <c r="CE122" i="1" a="1"/>
  <c r="CE122" i="1" s="1"/>
  <c r="CF122" i="1" a="1"/>
  <c r="CF122" i="1" s="1"/>
  <c r="CG122" i="1" a="1"/>
  <c r="CG122" i="1" s="1"/>
  <c r="CH122" i="1" a="1"/>
  <c r="CH122" i="1" s="1"/>
  <c r="CI122" i="1" a="1"/>
  <c r="CI122" i="1" s="1"/>
  <c r="CJ122" i="1" a="1"/>
  <c r="CJ122" i="1" s="1"/>
  <c r="CK122" i="1" a="1"/>
  <c r="CK122" i="1" s="1"/>
  <c r="CL122" i="1" a="1"/>
  <c r="CL122" i="1" s="1"/>
  <c r="CM122" i="1" a="1"/>
  <c r="CM122" i="1" s="1"/>
  <c r="CN122" i="1" a="1"/>
  <c r="CN122" i="1" s="1"/>
  <c r="CO122" i="1" a="1"/>
  <c r="CO122" i="1" s="1"/>
  <c r="CP122" i="1" a="1"/>
  <c r="CP122" i="1" s="1"/>
  <c r="CQ122" i="1" a="1"/>
  <c r="CQ122" i="1" s="1"/>
  <c r="BY123" i="1" a="1"/>
  <c r="BY123" i="1" s="1"/>
  <c r="BZ123" i="1" a="1"/>
  <c r="BZ123" i="1" s="1"/>
  <c r="CA123" i="1" a="1"/>
  <c r="CA123" i="1" s="1"/>
  <c r="CB123" i="1" a="1"/>
  <c r="CB123" i="1" s="1"/>
  <c r="CC123" i="1" a="1"/>
  <c r="CC123" i="1"/>
  <c r="CD123" i="1" a="1"/>
  <c r="CD123" i="1" s="1"/>
  <c r="CE123" i="1" a="1"/>
  <c r="CE123" i="1" s="1"/>
  <c r="CF123" i="1" a="1"/>
  <c r="CF123" i="1" s="1"/>
  <c r="CG123" i="1" a="1"/>
  <c r="CG123" i="1" s="1"/>
  <c r="CH123" i="1" a="1"/>
  <c r="CH123" i="1" s="1"/>
  <c r="CI123" i="1" a="1"/>
  <c r="CI123" i="1" s="1"/>
  <c r="CJ123" i="1" a="1"/>
  <c r="CJ123" i="1" s="1"/>
  <c r="CK123" i="1" a="1"/>
  <c r="CK123" i="1" s="1"/>
  <c r="CL123" i="1" a="1"/>
  <c r="CL123" i="1" s="1"/>
  <c r="CM123" i="1" a="1"/>
  <c r="CM123" i="1" s="1"/>
  <c r="CN123" i="1" a="1"/>
  <c r="CN123" i="1" s="1"/>
  <c r="CO123" i="1" a="1"/>
  <c r="CO123" i="1" s="1"/>
  <c r="CP123" i="1" a="1"/>
  <c r="CP123" i="1" s="1"/>
  <c r="CQ123" i="1" a="1"/>
  <c r="CQ123" i="1" s="1"/>
  <c r="BY124" i="1" a="1"/>
  <c r="BY124" i="1" s="1"/>
  <c r="BZ124" i="1" a="1"/>
  <c r="BZ124" i="1" s="1"/>
  <c r="CA124" i="1" a="1"/>
  <c r="CA124" i="1" s="1"/>
  <c r="CB124" i="1" a="1"/>
  <c r="CB124" i="1" s="1"/>
  <c r="CC124" i="1" a="1"/>
  <c r="CC124" i="1" s="1"/>
  <c r="CD124" i="1" a="1"/>
  <c r="CD124" i="1" s="1"/>
  <c r="CE124" i="1" a="1"/>
  <c r="CE124" i="1" s="1"/>
  <c r="CF124" i="1" a="1"/>
  <c r="CF124" i="1" s="1"/>
  <c r="CG124" i="1" a="1"/>
  <c r="CG124" i="1" s="1"/>
  <c r="CH124" i="1" a="1"/>
  <c r="CH124" i="1" s="1"/>
  <c r="CI124" i="1" a="1"/>
  <c r="CI124" i="1" s="1"/>
  <c r="CJ124" i="1" a="1"/>
  <c r="CJ124" i="1" s="1"/>
  <c r="CK124" i="1" a="1"/>
  <c r="CK124" i="1" s="1"/>
  <c r="CL124" i="1" a="1"/>
  <c r="CL124" i="1" s="1"/>
  <c r="CM124" i="1" a="1"/>
  <c r="CM124" i="1" s="1"/>
  <c r="CN124" i="1" a="1"/>
  <c r="CN124" i="1" s="1"/>
  <c r="CO124" i="1" a="1"/>
  <c r="CO124" i="1" s="1"/>
  <c r="CP124" i="1" a="1"/>
  <c r="CP124" i="1" s="1"/>
  <c r="CQ124" i="1" a="1"/>
  <c r="CQ124" i="1" s="1"/>
  <c r="BY125" i="1" a="1"/>
  <c r="BY125" i="1" s="1"/>
  <c r="BZ125" i="1" a="1"/>
  <c r="BZ125" i="1" s="1"/>
  <c r="CA125" i="1" a="1"/>
  <c r="CA125" i="1" s="1"/>
  <c r="CB125" i="1" a="1"/>
  <c r="CB125" i="1" s="1"/>
  <c r="CC125" i="1" a="1"/>
  <c r="CC125" i="1" s="1"/>
  <c r="CD125" i="1" a="1"/>
  <c r="CD125" i="1" s="1"/>
  <c r="CE125" i="1" a="1"/>
  <c r="CE125" i="1" s="1"/>
  <c r="CF125" i="1" a="1"/>
  <c r="CF125" i="1" s="1"/>
  <c r="CG125" i="1" a="1"/>
  <c r="CG125" i="1" s="1"/>
  <c r="CH125" i="1" a="1"/>
  <c r="CH125" i="1" s="1"/>
  <c r="CI125" i="1" a="1"/>
  <c r="CI125" i="1" s="1"/>
  <c r="CJ125" i="1" a="1"/>
  <c r="CJ125" i="1" s="1"/>
  <c r="CK125" i="1" a="1"/>
  <c r="CK125" i="1" s="1"/>
  <c r="CL125" i="1" a="1"/>
  <c r="CL125" i="1" s="1"/>
  <c r="CM125" i="1" a="1"/>
  <c r="CM125" i="1" s="1"/>
  <c r="CN125" i="1" a="1"/>
  <c r="CN125" i="1" s="1"/>
  <c r="CO125" i="1" a="1"/>
  <c r="CO125" i="1" s="1"/>
  <c r="CP125" i="1" a="1"/>
  <c r="CP125" i="1" s="1"/>
  <c r="CQ125" i="1" a="1"/>
  <c r="CQ125" i="1" s="1"/>
  <c r="BY126" i="1" a="1"/>
  <c r="BY126" i="1" s="1"/>
  <c r="BZ126" i="1" a="1"/>
  <c r="BZ126" i="1" s="1"/>
  <c r="CA126" i="1" a="1"/>
  <c r="CA126" i="1" s="1"/>
  <c r="CB126" i="1" a="1"/>
  <c r="CB126" i="1" s="1"/>
  <c r="CC126" i="1" a="1"/>
  <c r="CC126" i="1" s="1"/>
  <c r="CD126" i="1" a="1"/>
  <c r="CD126" i="1" s="1"/>
  <c r="CE126" i="1" a="1"/>
  <c r="CE126" i="1" s="1"/>
  <c r="CF126" i="1" a="1"/>
  <c r="CF126" i="1" s="1"/>
  <c r="CG126" i="1" a="1"/>
  <c r="CG126" i="1" s="1"/>
  <c r="CH126" i="1" a="1"/>
  <c r="CH126" i="1" s="1"/>
  <c r="CI126" i="1" a="1"/>
  <c r="CI126" i="1" s="1"/>
  <c r="CJ126" i="1" a="1"/>
  <c r="CJ126" i="1" s="1"/>
  <c r="CK126" i="1" a="1"/>
  <c r="CK126" i="1" s="1"/>
  <c r="CL126" i="1" a="1"/>
  <c r="CL126" i="1" s="1"/>
  <c r="CM126" i="1" a="1"/>
  <c r="CM126" i="1" s="1"/>
  <c r="CN126" i="1" a="1"/>
  <c r="CN126" i="1" s="1"/>
  <c r="CO126" i="1" a="1"/>
  <c r="CO126" i="1" s="1"/>
  <c r="CP126" i="1" a="1"/>
  <c r="CP126" i="1" s="1"/>
  <c r="CQ126" i="1" a="1"/>
  <c r="CQ126" i="1" s="1"/>
  <c r="BY127" i="1" a="1"/>
  <c r="BY127" i="1" s="1"/>
  <c r="BZ127" i="1" a="1"/>
  <c r="BZ127" i="1" s="1"/>
  <c r="CA127" i="1" a="1"/>
  <c r="CA127" i="1" s="1"/>
  <c r="CB127" i="1" a="1"/>
  <c r="CB127" i="1" s="1"/>
  <c r="CC127" i="1" a="1"/>
  <c r="CC127" i="1" s="1"/>
  <c r="CD127" i="1" a="1"/>
  <c r="CD127" i="1" s="1"/>
  <c r="CE127" i="1" a="1"/>
  <c r="CE127" i="1" s="1"/>
  <c r="CF127" i="1" a="1"/>
  <c r="CF127" i="1" s="1"/>
  <c r="CG127" i="1" a="1"/>
  <c r="CG127" i="1" s="1"/>
  <c r="CH127" i="1" a="1"/>
  <c r="CH127" i="1" s="1"/>
  <c r="CI127" i="1" a="1"/>
  <c r="CI127" i="1" s="1"/>
  <c r="CJ127" i="1" a="1"/>
  <c r="CJ127" i="1" s="1"/>
  <c r="CK127" i="1" a="1"/>
  <c r="CK127" i="1" s="1"/>
  <c r="CL127" i="1" a="1"/>
  <c r="CL127" i="1" s="1"/>
  <c r="CM127" i="1" a="1"/>
  <c r="CM127" i="1" s="1"/>
  <c r="CN127" i="1" a="1"/>
  <c r="CN127" i="1" s="1"/>
  <c r="CO127" i="1" a="1"/>
  <c r="CO127" i="1" s="1"/>
  <c r="CP127" i="1" a="1"/>
  <c r="CP127" i="1" s="1"/>
  <c r="CQ127" i="1" a="1"/>
  <c r="CQ127" i="1" s="1"/>
  <c r="BY128" i="1" a="1"/>
  <c r="BY128" i="1" s="1"/>
  <c r="BZ128" i="1" a="1"/>
  <c r="BZ128" i="1" s="1"/>
  <c r="CA128" i="1" a="1"/>
  <c r="CA128" i="1" s="1"/>
  <c r="CB128" i="1" a="1"/>
  <c r="CB128" i="1" s="1"/>
  <c r="CC128" i="1" a="1"/>
  <c r="CC128" i="1" s="1"/>
  <c r="CD128" i="1" a="1"/>
  <c r="CD128" i="1" s="1"/>
  <c r="CE128" i="1" a="1"/>
  <c r="CE128" i="1" s="1"/>
  <c r="CF128" i="1" a="1"/>
  <c r="CF128" i="1" s="1"/>
  <c r="CG128" i="1" a="1"/>
  <c r="CG128" i="1" s="1"/>
  <c r="CH128" i="1" a="1"/>
  <c r="CH128" i="1" s="1"/>
  <c r="CI128" i="1" a="1"/>
  <c r="CI128" i="1" s="1"/>
  <c r="CJ128" i="1" a="1"/>
  <c r="CJ128" i="1" s="1"/>
  <c r="CK128" i="1" a="1"/>
  <c r="CK128" i="1" s="1"/>
  <c r="CL128" i="1" a="1"/>
  <c r="CL128" i="1" s="1"/>
  <c r="CM128" i="1" a="1"/>
  <c r="CM128" i="1" s="1"/>
  <c r="CN128" i="1" a="1"/>
  <c r="CN128" i="1" s="1"/>
  <c r="CO128" i="1" a="1"/>
  <c r="CO128" i="1" s="1"/>
  <c r="CP128" i="1" a="1"/>
  <c r="CP128" i="1" s="1"/>
  <c r="CQ128" i="1" a="1"/>
  <c r="CQ128" i="1" s="1"/>
  <c r="BY129" i="1" a="1"/>
  <c r="BY129" i="1" s="1"/>
  <c r="BU129" i="1" s="1"/>
  <c r="BZ129" i="1" a="1"/>
  <c r="BZ129" i="1" s="1"/>
  <c r="CA129" i="1" a="1"/>
  <c r="CA129" i="1" s="1"/>
  <c r="CB129" i="1" a="1"/>
  <c r="CB129" i="1" s="1"/>
  <c r="CC129" i="1" a="1"/>
  <c r="CC129" i="1" s="1"/>
  <c r="CD129" i="1" a="1"/>
  <c r="CD129" i="1" s="1"/>
  <c r="CE129" i="1" a="1"/>
  <c r="CE129" i="1" s="1"/>
  <c r="CF129" i="1" a="1"/>
  <c r="CF129" i="1" s="1"/>
  <c r="CG129" i="1" a="1"/>
  <c r="CG129" i="1" s="1"/>
  <c r="CH129" i="1" a="1"/>
  <c r="CH129" i="1" s="1"/>
  <c r="CI129" i="1" a="1"/>
  <c r="CI129" i="1" s="1"/>
  <c r="CJ129" i="1" a="1"/>
  <c r="CJ129" i="1" s="1"/>
  <c r="CK129" i="1" a="1"/>
  <c r="CK129" i="1" s="1"/>
  <c r="CL129" i="1" a="1"/>
  <c r="CL129" i="1" s="1"/>
  <c r="CM129" i="1" a="1"/>
  <c r="CM129" i="1" s="1"/>
  <c r="CN129" i="1" a="1"/>
  <c r="CN129" i="1" s="1"/>
  <c r="CO129" i="1" a="1"/>
  <c r="CO129" i="1" s="1"/>
  <c r="CP129" i="1" a="1"/>
  <c r="CP129" i="1" s="1"/>
  <c r="CQ129" i="1" a="1"/>
  <c r="CQ129" i="1" s="1"/>
  <c r="BY130" i="1" a="1"/>
  <c r="BY130" i="1" s="1"/>
  <c r="BZ130" i="1" a="1"/>
  <c r="BZ130" i="1" s="1"/>
  <c r="CA130" i="1" a="1"/>
  <c r="CA130" i="1" s="1"/>
  <c r="CB130" i="1" a="1"/>
  <c r="CB130" i="1" s="1"/>
  <c r="CC130" i="1" a="1"/>
  <c r="CC130" i="1" s="1"/>
  <c r="CD130" i="1" a="1"/>
  <c r="CD130" i="1" s="1"/>
  <c r="CE130" i="1" a="1"/>
  <c r="CE130" i="1" s="1"/>
  <c r="CF130" i="1" a="1"/>
  <c r="CF130" i="1" s="1"/>
  <c r="CG130" i="1" a="1"/>
  <c r="CG130" i="1" s="1"/>
  <c r="CH130" i="1" a="1"/>
  <c r="CH130" i="1" s="1"/>
  <c r="CI130" i="1" a="1"/>
  <c r="CI130" i="1" s="1"/>
  <c r="CJ130" i="1" a="1"/>
  <c r="CJ130" i="1" s="1"/>
  <c r="CK130" i="1" a="1"/>
  <c r="CK130" i="1" s="1"/>
  <c r="CL130" i="1" a="1"/>
  <c r="CL130" i="1" s="1"/>
  <c r="CM130" i="1" a="1"/>
  <c r="CM130" i="1" s="1"/>
  <c r="CN130" i="1" a="1"/>
  <c r="CN130" i="1" s="1"/>
  <c r="CO130" i="1" a="1"/>
  <c r="CO130" i="1" s="1"/>
  <c r="CP130" i="1" a="1"/>
  <c r="CP130" i="1" s="1"/>
  <c r="CQ130" i="1" a="1"/>
  <c r="CQ130" i="1" s="1"/>
  <c r="BY131" i="1" a="1"/>
  <c r="BY131" i="1" s="1"/>
  <c r="BZ131" i="1" a="1"/>
  <c r="BZ131" i="1" s="1"/>
  <c r="CA131" i="1" a="1"/>
  <c r="CA131" i="1" s="1"/>
  <c r="CB131" i="1" a="1"/>
  <c r="CB131" i="1" s="1"/>
  <c r="CC131" i="1" a="1"/>
  <c r="CC131" i="1" s="1"/>
  <c r="CD131" i="1" a="1"/>
  <c r="CD131" i="1" s="1"/>
  <c r="CE131" i="1" a="1"/>
  <c r="CE131" i="1" s="1"/>
  <c r="CF131" i="1" a="1"/>
  <c r="CF131" i="1" s="1"/>
  <c r="CG131" i="1" a="1"/>
  <c r="CG131" i="1" s="1"/>
  <c r="CH131" i="1" a="1"/>
  <c r="CH131" i="1" s="1"/>
  <c r="CI131" i="1" a="1"/>
  <c r="CI131" i="1" s="1"/>
  <c r="CJ131" i="1" a="1"/>
  <c r="CJ131" i="1" s="1"/>
  <c r="CK131" i="1" a="1"/>
  <c r="CK131" i="1" s="1"/>
  <c r="CL131" i="1" a="1"/>
  <c r="CL131" i="1" s="1"/>
  <c r="CM131" i="1" a="1"/>
  <c r="CM131" i="1" s="1"/>
  <c r="CN131" i="1" a="1"/>
  <c r="CN131" i="1" s="1"/>
  <c r="CO131" i="1" a="1"/>
  <c r="CO131" i="1" s="1"/>
  <c r="CP131" i="1" a="1"/>
  <c r="CP131" i="1" s="1"/>
  <c r="CQ131" i="1" a="1"/>
  <c r="CQ131" i="1" s="1"/>
  <c r="BY132" i="1" a="1"/>
  <c r="BY132" i="1" s="1"/>
  <c r="BZ132" i="1" a="1"/>
  <c r="BZ132" i="1" s="1"/>
  <c r="CA132" i="1" a="1"/>
  <c r="CA132" i="1" s="1"/>
  <c r="CB132" i="1" a="1"/>
  <c r="CB132" i="1" s="1"/>
  <c r="CC132" i="1" a="1"/>
  <c r="CC132" i="1" s="1"/>
  <c r="CD132" i="1" a="1"/>
  <c r="CD132" i="1" s="1"/>
  <c r="CE132" i="1" a="1"/>
  <c r="CE132" i="1" s="1"/>
  <c r="CF132" i="1" a="1"/>
  <c r="CF132" i="1" s="1"/>
  <c r="CG132" i="1" a="1"/>
  <c r="CG132" i="1" s="1"/>
  <c r="CH132" i="1" a="1"/>
  <c r="CH132" i="1" s="1"/>
  <c r="CI132" i="1" a="1"/>
  <c r="CI132" i="1" s="1"/>
  <c r="CJ132" i="1" a="1"/>
  <c r="CJ132" i="1" s="1"/>
  <c r="CK132" i="1" a="1"/>
  <c r="CK132" i="1" s="1"/>
  <c r="CL132" i="1" a="1"/>
  <c r="CL132" i="1" s="1"/>
  <c r="CM132" i="1" a="1"/>
  <c r="CM132" i="1" s="1"/>
  <c r="CN132" i="1" a="1"/>
  <c r="CN132" i="1" s="1"/>
  <c r="CO132" i="1" a="1"/>
  <c r="CO132" i="1" s="1"/>
  <c r="CP132" i="1" a="1"/>
  <c r="CP132" i="1" s="1"/>
  <c r="CQ132" i="1" a="1"/>
  <c r="CQ132" i="1" s="1"/>
  <c r="BY133" i="1" a="1"/>
  <c r="BY133" i="1" s="1"/>
  <c r="BZ133" i="1" a="1"/>
  <c r="BZ133" i="1" s="1"/>
  <c r="CA133" i="1" a="1"/>
  <c r="CA133" i="1" s="1"/>
  <c r="CB133" i="1" a="1"/>
  <c r="CB133" i="1" s="1"/>
  <c r="CC133" i="1" a="1"/>
  <c r="CC133" i="1" s="1"/>
  <c r="CD133" i="1" a="1"/>
  <c r="CD133" i="1" s="1"/>
  <c r="CE133" i="1" a="1"/>
  <c r="CE133" i="1" s="1"/>
  <c r="CF133" i="1" a="1"/>
  <c r="CF133" i="1" s="1"/>
  <c r="CG133" i="1" a="1"/>
  <c r="CG133" i="1" s="1"/>
  <c r="CH133" i="1" a="1"/>
  <c r="CH133" i="1" s="1"/>
  <c r="CI133" i="1" a="1"/>
  <c r="CI133" i="1" s="1"/>
  <c r="CJ133" i="1" a="1"/>
  <c r="CJ133" i="1" s="1"/>
  <c r="CK133" i="1" a="1"/>
  <c r="CK133" i="1" s="1"/>
  <c r="CL133" i="1" a="1"/>
  <c r="CL133" i="1" s="1"/>
  <c r="CM133" i="1" a="1"/>
  <c r="CM133" i="1" s="1"/>
  <c r="CN133" i="1" a="1"/>
  <c r="CN133" i="1" s="1"/>
  <c r="CO133" i="1" a="1"/>
  <c r="CO133" i="1" s="1"/>
  <c r="CP133" i="1" a="1"/>
  <c r="CP133" i="1" s="1"/>
  <c r="CQ133" i="1" a="1"/>
  <c r="CQ133" i="1" s="1"/>
  <c r="BY134" i="1" a="1"/>
  <c r="BY134" i="1" s="1"/>
  <c r="BZ134" i="1" a="1"/>
  <c r="BZ134" i="1" s="1"/>
  <c r="CA134" i="1" a="1"/>
  <c r="CA134" i="1" s="1"/>
  <c r="CB134" i="1" a="1"/>
  <c r="CB134" i="1" s="1"/>
  <c r="CC134" i="1" a="1"/>
  <c r="CC134" i="1" s="1"/>
  <c r="CD134" i="1" a="1"/>
  <c r="CD134" i="1" s="1"/>
  <c r="CE134" i="1" a="1"/>
  <c r="CE134" i="1" s="1"/>
  <c r="CF134" i="1" a="1"/>
  <c r="CF134" i="1" s="1"/>
  <c r="CG134" i="1" a="1"/>
  <c r="CG134" i="1" s="1"/>
  <c r="CH134" i="1" a="1"/>
  <c r="CH134" i="1" s="1"/>
  <c r="CI134" i="1" a="1"/>
  <c r="CI134" i="1" s="1"/>
  <c r="CJ134" i="1" a="1"/>
  <c r="CJ134" i="1" s="1"/>
  <c r="CK134" i="1" a="1"/>
  <c r="CK134" i="1" s="1"/>
  <c r="CL134" i="1" a="1"/>
  <c r="CL134" i="1" s="1"/>
  <c r="CM134" i="1" a="1"/>
  <c r="CM134" i="1" s="1"/>
  <c r="CN134" i="1" a="1"/>
  <c r="CN134" i="1" s="1"/>
  <c r="CO134" i="1" a="1"/>
  <c r="CO134" i="1" s="1"/>
  <c r="CP134" i="1" a="1"/>
  <c r="CP134" i="1" s="1"/>
  <c r="CQ134" i="1" a="1"/>
  <c r="CQ134" i="1" s="1"/>
  <c r="BY135" i="1" a="1"/>
  <c r="BY135" i="1" s="1"/>
  <c r="BZ135" i="1" a="1"/>
  <c r="BZ135" i="1" s="1"/>
  <c r="CA135" i="1" a="1"/>
  <c r="CA135" i="1" s="1"/>
  <c r="CB135" i="1" a="1"/>
  <c r="CB135" i="1" s="1"/>
  <c r="CC135" i="1" a="1"/>
  <c r="CC135" i="1" s="1"/>
  <c r="CD135" i="1" a="1"/>
  <c r="CD135" i="1" s="1"/>
  <c r="CE135" i="1" a="1"/>
  <c r="CE135" i="1" s="1"/>
  <c r="CF135" i="1" a="1"/>
  <c r="CF135" i="1" s="1"/>
  <c r="CG135" i="1" a="1"/>
  <c r="CG135" i="1" s="1"/>
  <c r="CH135" i="1" a="1"/>
  <c r="CH135" i="1" s="1"/>
  <c r="CI135" i="1" a="1"/>
  <c r="CI135" i="1" s="1"/>
  <c r="CJ135" i="1" a="1"/>
  <c r="CJ135" i="1" s="1"/>
  <c r="CK135" i="1" a="1"/>
  <c r="CK135" i="1" s="1"/>
  <c r="CL135" i="1" a="1"/>
  <c r="CL135" i="1" s="1"/>
  <c r="CM135" i="1" a="1"/>
  <c r="CM135" i="1" s="1"/>
  <c r="CN135" i="1" a="1"/>
  <c r="CN135" i="1" s="1"/>
  <c r="CO135" i="1" a="1"/>
  <c r="CO135" i="1" s="1"/>
  <c r="CP135" i="1" a="1"/>
  <c r="CP135" i="1" s="1"/>
  <c r="CQ135" i="1" a="1"/>
  <c r="CQ135" i="1" s="1"/>
  <c r="BY136" i="1" a="1"/>
  <c r="BY136" i="1" s="1"/>
  <c r="BZ136" i="1" a="1"/>
  <c r="BZ136" i="1" s="1"/>
  <c r="CA136" i="1" a="1"/>
  <c r="CA136" i="1" s="1"/>
  <c r="CB136" i="1" a="1"/>
  <c r="CB136" i="1" s="1"/>
  <c r="CC136" i="1" a="1"/>
  <c r="CC136" i="1" s="1"/>
  <c r="CD136" i="1" a="1"/>
  <c r="CD136" i="1" s="1"/>
  <c r="CE136" i="1" a="1"/>
  <c r="CE136" i="1" s="1"/>
  <c r="CF136" i="1" a="1"/>
  <c r="CF136" i="1" s="1"/>
  <c r="CG136" i="1" a="1"/>
  <c r="CG136" i="1" s="1"/>
  <c r="CH136" i="1" a="1"/>
  <c r="CH136" i="1" s="1"/>
  <c r="CI136" i="1" a="1"/>
  <c r="CI136" i="1" s="1"/>
  <c r="CJ136" i="1" a="1"/>
  <c r="CJ136" i="1" s="1"/>
  <c r="CK136" i="1" a="1"/>
  <c r="CK136" i="1" s="1"/>
  <c r="CL136" i="1" a="1"/>
  <c r="CL136" i="1" s="1"/>
  <c r="CM136" i="1" a="1"/>
  <c r="CM136" i="1" s="1"/>
  <c r="CN136" i="1" a="1"/>
  <c r="CN136" i="1" s="1"/>
  <c r="CO136" i="1" a="1"/>
  <c r="CO136" i="1" s="1"/>
  <c r="CP136" i="1" a="1"/>
  <c r="CP136" i="1" s="1"/>
  <c r="CQ136" i="1" a="1"/>
  <c r="CQ136" i="1" s="1"/>
  <c r="BY137" i="1" a="1"/>
  <c r="BY137" i="1" s="1"/>
  <c r="BZ137" i="1" a="1"/>
  <c r="BZ137" i="1" s="1"/>
  <c r="CA137" i="1" a="1"/>
  <c r="CA137" i="1" s="1"/>
  <c r="CB137" i="1" a="1"/>
  <c r="CB137" i="1" s="1"/>
  <c r="CC137" i="1" a="1"/>
  <c r="CC137" i="1" s="1"/>
  <c r="CD137" i="1" a="1"/>
  <c r="CD137" i="1" s="1"/>
  <c r="CE137" i="1" a="1"/>
  <c r="CE137" i="1" s="1"/>
  <c r="CF137" i="1" a="1"/>
  <c r="CF137" i="1" s="1"/>
  <c r="CG137" i="1" a="1"/>
  <c r="CG137" i="1" s="1"/>
  <c r="CH137" i="1" a="1"/>
  <c r="CH137" i="1" s="1"/>
  <c r="CI137" i="1" a="1"/>
  <c r="CI137" i="1" s="1"/>
  <c r="CJ137" i="1" a="1"/>
  <c r="CJ137" i="1" s="1"/>
  <c r="CK137" i="1" a="1"/>
  <c r="CK137" i="1" s="1"/>
  <c r="CL137" i="1" a="1"/>
  <c r="CL137" i="1" s="1"/>
  <c r="CM137" i="1" a="1"/>
  <c r="CM137" i="1" s="1"/>
  <c r="CN137" i="1" a="1"/>
  <c r="CN137" i="1" s="1"/>
  <c r="CO137" i="1" a="1"/>
  <c r="CO137" i="1" s="1"/>
  <c r="CP137" i="1" a="1"/>
  <c r="CP137" i="1" s="1"/>
  <c r="CQ137" i="1" a="1"/>
  <c r="CQ137" i="1" s="1"/>
  <c r="BY138" i="1" a="1"/>
  <c r="BY138" i="1" s="1"/>
  <c r="BZ138" i="1" a="1"/>
  <c r="BZ138" i="1" s="1"/>
  <c r="CA138" i="1" a="1"/>
  <c r="CA138" i="1" s="1"/>
  <c r="CB138" i="1" a="1"/>
  <c r="CB138" i="1" s="1"/>
  <c r="CC138" i="1" a="1"/>
  <c r="CC138" i="1" s="1"/>
  <c r="CD138" i="1" a="1"/>
  <c r="CD138" i="1" s="1"/>
  <c r="CE138" i="1" a="1"/>
  <c r="CE138" i="1" s="1"/>
  <c r="CF138" i="1" a="1"/>
  <c r="CF138" i="1" s="1"/>
  <c r="CG138" i="1" a="1"/>
  <c r="CG138" i="1" s="1"/>
  <c r="CH138" i="1" a="1"/>
  <c r="CH138" i="1" s="1"/>
  <c r="CI138" i="1" a="1"/>
  <c r="CI138" i="1" s="1"/>
  <c r="CJ138" i="1" a="1"/>
  <c r="CJ138" i="1" s="1"/>
  <c r="CK138" i="1" a="1"/>
  <c r="CK138" i="1" s="1"/>
  <c r="CL138" i="1" a="1"/>
  <c r="CL138" i="1" s="1"/>
  <c r="CM138" i="1" a="1"/>
  <c r="CM138" i="1" s="1"/>
  <c r="CN138" i="1" a="1"/>
  <c r="CN138" i="1" s="1"/>
  <c r="CO138" i="1" a="1"/>
  <c r="CO138" i="1" s="1"/>
  <c r="CP138" i="1" a="1"/>
  <c r="CP138" i="1" s="1"/>
  <c r="CQ138" i="1" a="1"/>
  <c r="CQ138" i="1" s="1"/>
  <c r="BY139" i="1" a="1"/>
  <c r="BY139" i="1" s="1"/>
  <c r="BZ139" i="1" a="1"/>
  <c r="BZ139" i="1" s="1"/>
  <c r="CA139" i="1" a="1"/>
  <c r="CA139" i="1" s="1"/>
  <c r="CB139" i="1" a="1"/>
  <c r="CB139" i="1" s="1"/>
  <c r="CC139" i="1" a="1"/>
  <c r="CC139" i="1" s="1"/>
  <c r="CD139" i="1" a="1"/>
  <c r="CD139" i="1" s="1"/>
  <c r="CE139" i="1" a="1"/>
  <c r="CE139" i="1" s="1"/>
  <c r="CF139" i="1" a="1"/>
  <c r="CF139" i="1" s="1"/>
  <c r="CG139" i="1" a="1"/>
  <c r="CG139" i="1" s="1"/>
  <c r="CH139" i="1" a="1"/>
  <c r="CH139" i="1" s="1"/>
  <c r="CI139" i="1" a="1"/>
  <c r="CI139" i="1" s="1"/>
  <c r="CJ139" i="1" a="1"/>
  <c r="CJ139" i="1" s="1"/>
  <c r="CK139" i="1" a="1"/>
  <c r="CK139" i="1" s="1"/>
  <c r="CL139" i="1" a="1"/>
  <c r="CL139" i="1" s="1"/>
  <c r="CM139" i="1" a="1"/>
  <c r="CM139" i="1" s="1"/>
  <c r="CN139" i="1" a="1"/>
  <c r="CN139" i="1" s="1"/>
  <c r="CO139" i="1" a="1"/>
  <c r="CO139" i="1" s="1"/>
  <c r="CP139" i="1" a="1"/>
  <c r="CP139" i="1" s="1"/>
  <c r="CQ139" i="1" a="1"/>
  <c r="CQ139" i="1" s="1"/>
  <c r="BY140" i="1" a="1"/>
  <c r="BY140" i="1" s="1"/>
  <c r="BZ140" i="1" a="1"/>
  <c r="BZ140" i="1" s="1"/>
  <c r="CA140" i="1" a="1"/>
  <c r="CA140" i="1" s="1"/>
  <c r="CB140" i="1" a="1"/>
  <c r="CB140" i="1" s="1"/>
  <c r="CC140" i="1" a="1"/>
  <c r="CC140" i="1" s="1"/>
  <c r="CD140" i="1" a="1"/>
  <c r="CD140" i="1" s="1"/>
  <c r="CE140" i="1" a="1"/>
  <c r="CE140" i="1" s="1"/>
  <c r="CF140" i="1" a="1"/>
  <c r="CF140" i="1" s="1"/>
  <c r="CG140" i="1" a="1"/>
  <c r="CG140" i="1" s="1"/>
  <c r="CH140" i="1" a="1"/>
  <c r="CH140" i="1" s="1"/>
  <c r="CI140" i="1" a="1"/>
  <c r="CI140" i="1" s="1"/>
  <c r="CJ140" i="1" a="1"/>
  <c r="CJ140" i="1" s="1"/>
  <c r="CK140" i="1" a="1"/>
  <c r="CK140" i="1" s="1"/>
  <c r="CL140" i="1" a="1"/>
  <c r="CL140" i="1" s="1"/>
  <c r="CM140" i="1" a="1"/>
  <c r="CM140" i="1" s="1"/>
  <c r="CN140" i="1" a="1"/>
  <c r="CN140" i="1" s="1"/>
  <c r="CO140" i="1" a="1"/>
  <c r="CO140" i="1" s="1"/>
  <c r="CP140" i="1" a="1"/>
  <c r="CP140" i="1" s="1"/>
  <c r="CQ140" i="1" a="1"/>
  <c r="CQ140" i="1"/>
  <c r="BY141" i="1" a="1"/>
  <c r="BY141" i="1" s="1"/>
  <c r="BZ141" i="1" a="1"/>
  <c r="BZ141" i="1" s="1"/>
  <c r="CA141" i="1" a="1"/>
  <c r="CA141" i="1" s="1"/>
  <c r="CB141" i="1" a="1"/>
  <c r="CB141" i="1" s="1"/>
  <c r="CC141" i="1" a="1"/>
  <c r="CC141" i="1" s="1"/>
  <c r="CD141" i="1" a="1"/>
  <c r="CD141" i="1" s="1"/>
  <c r="CE141" i="1" a="1"/>
  <c r="CE141" i="1"/>
  <c r="CF141" i="1" a="1"/>
  <c r="CF141" i="1" s="1"/>
  <c r="CG141" i="1" a="1"/>
  <c r="CG141" i="1" s="1"/>
  <c r="CH141" i="1" a="1"/>
  <c r="CH141" i="1" s="1"/>
  <c r="CI141" i="1" a="1"/>
  <c r="CI141" i="1" s="1"/>
  <c r="CJ141" i="1" a="1"/>
  <c r="CJ141" i="1" s="1"/>
  <c r="CK141" i="1" a="1"/>
  <c r="CK141" i="1" s="1"/>
  <c r="CL141" i="1" a="1"/>
  <c r="CL141" i="1" s="1"/>
  <c r="CM141" i="1" a="1"/>
  <c r="CM141" i="1" s="1"/>
  <c r="CN141" i="1" a="1"/>
  <c r="CN141" i="1" s="1"/>
  <c r="CO141" i="1" a="1"/>
  <c r="CO141" i="1" s="1"/>
  <c r="CP141" i="1" a="1"/>
  <c r="CP141" i="1" s="1"/>
  <c r="CQ141" i="1" a="1"/>
  <c r="CQ141" i="1" s="1"/>
  <c r="BY142" i="1" a="1"/>
  <c r="BY142" i="1" s="1"/>
  <c r="BZ142" i="1" a="1"/>
  <c r="BZ142" i="1" s="1"/>
  <c r="CA142" i="1" a="1"/>
  <c r="CA142" i="1" s="1"/>
  <c r="CB142" i="1" a="1"/>
  <c r="CB142" i="1" s="1"/>
  <c r="CC142" i="1" a="1"/>
  <c r="CC142" i="1" s="1"/>
  <c r="CD142" i="1" a="1"/>
  <c r="CD142" i="1" s="1"/>
  <c r="CE142" i="1" a="1"/>
  <c r="CE142" i="1" s="1"/>
  <c r="CF142" i="1" a="1"/>
  <c r="CF142" i="1" s="1"/>
  <c r="CG142" i="1" a="1"/>
  <c r="CG142" i="1" s="1"/>
  <c r="CH142" i="1" a="1"/>
  <c r="CH142" i="1" s="1"/>
  <c r="CI142" i="1" a="1"/>
  <c r="CI142" i="1" s="1"/>
  <c r="CJ142" i="1" a="1"/>
  <c r="CJ142" i="1" s="1"/>
  <c r="CK142" i="1" a="1"/>
  <c r="CK142" i="1" s="1"/>
  <c r="CL142" i="1" a="1"/>
  <c r="CL142" i="1" s="1"/>
  <c r="CM142" i="1" a="1"/>
  <c r="CM142" i="1" s="1"/>
  <c r="CN142" i="1" a="1"/>
  <c r="CN142" i="1" s="1"/>
  <c r="CO142" i="1" a="1"/>
  <c r="CO142" i="1" s="1"/>
  <c r="CP142" i="1" a="1"/>
  <c r="CP142" i="1" s="1"/>
  <c r="CQ142" i="1" a="1"/>
  <c r="CQ142" i="1" s="1"/>
  <c r="BY143" i="1" a="1"/>
  <c r="BY143" i="1" s="1"/>
  <c r="BZ143" i="1" a="1"/>
  <c r="BZ143" i="1" s="1"/>
  <c r="CA143" i="1" a="1"/>
  <c r="CA143" i="1" s="1"/>
  <c r="CB143" i="1" a="1"/>
  <c r="CB143" i="1" s="1"/>
  <c r="CC143" i="1" a="1"/>
  <c r="CC143" i="1" s="1"/>
  <c r="CD143" i="1" a="1"/>
  <c r="CD143" i="1" s="1"/>
  <c r="CE143" i="1" a="1"/>
  <c r="CE143" i="1" s="1"/>
  <c r="CF143" i="1" a="1"/>
  <c r="CF143" i="1"/>
  <c r="CG143" i="1" a="1"/>
  <c r="CG143" i="1" s="1"/>
  <c r="CH143" i="1" a="1"/>
  <c r="CH143" i="1" s="1"/>
  <c r="CI143" i="1" a="1"/>
  <c r="CI143" i="1" s="1"/>
  <c r="CJ143" i="1" a="1"/>
  <c r="CJ143" i="1" s="1"/>
  <c r="CK143" i="1" a="1"/>
  <c r="CK143" i="1" s="1"/>
  <c r="CL143" i="1" a="1"/>
  <c r="CL143" i="1" s="1"/>
  <c r="CM143" i="1" a="1"/>
  <c r="CM143" i="1" s="1"/>
  <c r="CN143" i="1" a="1"/>
  <c r="CN143" i="1" s="1"/>
  <c r="CO143" i="1" a="1"/>
  <c r="CO143" i="1" s="1"/>
  <c r="CP143" i="1" a="1"/>
  <c r="CP143" i="1"/>
  <c r="CQ143" i="1" a="1"/>
  <c r="CQ143" i="1" s="1"/>
  <c r="BY144" i="1" a="1"/>
  <c r="BY144" i="1" s="1"/>
  <c r="BZ144" i="1" a="1"/>
  <c r="BZ144" i="1"/>
  <c r="CA144" i="1" a="1"/>
  <c r="CA144" i="1" s="1"/>
  <c r="CB144" i="1" a="1"/>
  <c r="CB144" i="1" s="1"/>
  <c r="CC144" i="1" a="1"/>
  <c r="CC144" i="1" s="1"/>
  <c r="CD144" i="1" a="1"/>
  <c r="CD144" i="1" s="1"/>
  <c r="CE144" i="1" a="1"/>
  <c r="CE144" i="1" s="1"/>
  <c r="CF144" i="1" a="1"/>
  <c r="CF144" i="1" s="1"/>
  <c r="CG144" i="1" a="1"/>
  <c r="CG144" i="1" s="1"/>
  <c r="CH144" i="1" a="1"/>
  <c r="CH144" i="1" s="1"/>
  <c r="CI144" i="1" a="1"/>
  <c r="CI144" i="1" s="1"/>
  <c r="CJ144" i="1" a="1"/>
  <c r="CJ144" i="1" s="1"/>
  <c r="CK144" i="1" a="1"/>
  <c r="CK144" i="1" s="1"/>
  <c r="CL144" i="1" a="1"/>
  <c r="CL144" i="1" s="1"/>
  <c r="CM144" i="1" a="1"/>
  <c r="CM144" i="1" s="1"/>
  <c r="CN144" i="1" a="1"/>
  <c r="CN144" i="1" s="1"/>
  <c r="CO144" i="1" a="1"/>
  <c r="CO144" i="1" s="1"/>
  <c r="CP144" i="1" a="1"/>
  <c r="CP144" i="1" s="1"/>
  <c r="CQ144" i="1" a="1"/>
  <c r="CQ144" i="1" s="1"/>
  <c r="BY145" i="1" a="1"/>
  <c r="BY145" i="1" s="1"/>
  <c r="BZ145" i="1" a="1"/>
  <c r="BZ145" i="1" s="1"/>
  <c r="CA145" i="1" a="1"/>
  <c r="CA145" i="1" s="1"/>
  <c r="CB145" i="1" a="1"/>
  <c r="CB145" i="1" s="1"/>
  <c r="CC145" i="1" a="1"/>
  <c r="CC145" i="1" s="1"/>
  <c r="CD145" i="1" a="1"/>
  <c r="CD145" i="1" s="1"/>
  <c r="CE145" i="1" a="1"/>
  <c r="CE145" i="1" s="1"/>
  <c r="CF145" i="1" a="1"/>
  <c r="CF145" i="1" s="1"/>
  <c r="CG145" i="1" a="1"/>
  <c r="CG145" i="1" s="1"/>
  <c r="CH145" i="1" a="1"/>
  <c r="CH145" i="1" s="1"/>
  <c r="CI145" i="1" a="1"/>
  <c r="CI145" i="1" s="1"/>
  <c r="CJ145" i="1" a="1"/>
  <c r="CJ145" i="1" s="1"/>
  <c r="CK145" i="1" a="1"/>
  <c r="CK145" i="1" s="1"/>
  <c r="CL145" i="1" a="1"/>
  <c r="CL145" i="1" s="1"/>
  <c r="CM145" i="1" a="1"/>
  <c r="CM145" i="1" s="1"/>
  <c r="CN145" i="1" a="1"/>
  <c r="CN145" i="1" s="1"/>
  <c r="CO145" i="1" a="1"/>
  <c r="CO145" i="1" s="1"/>
  <c r="CP145" i="1" a="1"/>
  <c r="CP145" i="1" s="1"/>
  <c r="CQ145" i="1" a="1"/>
  <c r="CQ145" i="1" s="1"/>
  <c r="BY146" i="1" a="1"/>
  <c r="BY146" i="1" s="1"/>
  <c r="BZ146" i="1" a="1"/>
  <c r="BZ146" i="1" s="1"/>
  <c r="CA146" i="1" a="1"/>
  <c r="CA146" i="1" s="1"/>
  <c r="CB146" i="1" a="1"/>
  <c r="CB146" i="1" s="1"/>
  <c r="CC146" i="1" a="1"/>
  <c r="CC146" i="1" s="1"/>
  <c r="CD146" i="1" a="1"/>
  <c r="CD146" i="1" s="1"/>
  <c r="CE146" i="1" a="1"/>
  <c r="CE146" i="1" s="1"/>
  <c r="CF146" i="1" a="1"/>
  <c r="CF146" i="1" s="1"/>
  <c r="CG146" i="1" a="1"/>
  <c r="CG146" i="1" s="1"/>
  <c r="CH146" i="1" a="1"/>
  <c r="CH146" i="1" s="1"/>
  <c r="CI146" i="1" a="1"/>
  <c r="CI146" i="1" s="1"/>
  <c r="CJ146" i="1" a="1"/>
  <c r="CJ146" i="1" s="1"/>
  <c r="CK146" i="1" a="1"/>
  <c r="CK146" i="1" s="1"/>
  <c r="CL146" i="1" a="1"/>
  <c r="CL146" i="1" s="1"/>
  <c r="CM146" i="1" a="1"/>
  <c r="CM146" i="1" s="1"/>
  <c r="CN146" i="1" a="1"/>
  <c r="CN146" i="1" s="1"/>
  <c r="CO146" i="1" a="1"/>
  <c r="CO146" i="1" s="1"/>
  <c r="CP146" i="1" a="1"/>
  <c r="CP146" i="1" s="1"/>
  <c r="CQ146" i="1" a="1"/>
  <c r="CQ146" i="1" s="1"/>
  <c r="BY147" i="1" a="1"/>
  <c r="BY147" i="1" s="1"/>
  <c r="BZ147" i="1" a="1"/>
  <c r="BZ147" i="1" s="1"/>
  <c r="CA147" i="1" a="1"/>
  <c r="CA147" i="1" s="1"/>
  <c r="CB147" i="1" a="1"/>
  <c r="CB147" i="1" s="1"/>
  <c r="CC147" i="1" a="1"/>
  <c r="CC147" i="1" s="1"/>
  <c r="CD147" i="1" a="1"/>
  <c r="CD147" i="1" s="1"/>
  <c r="CE147" i="1" a="1"/>
  <c r="CE147" i="1" s="1"/>
  <c r="CF147" i="1" a="1"/>
  <c r="CF147" i="1" s="1"/>
  <c r="CG147" i="1" a="1"/>
  <c r="CG147" i="1" s="1"/>
  <c r="CH147" i="1" a="1"/>
  <c r="CH147" i="1" s="1"/>
  <c r="CI147" i="1" a="1"/>
  <c r="CI147" i="1" s="1"/>
  <c r="CJ147" i="1" a="1"/>
  <c r="CJ147" i="1" s="1"/>
  <c r="CK147" i="1" a="1"/>
  <c r="CK147" i="1" s="1"/>
  <c r="CL147" i="1" a="1"/>
  <c r="CL147" i="1" s="1"/>
  <c r="CM147" i="1" a="1"/>
  <c r="CM147" i="1" s="1"/>
  <c r="CN147" i="1" a="1"/>
  <c r="CN147" i="1" s="1"/>
  <c r="CO147" i="1" a="1"/>
  <c r="CO147" i="1" s="1"/>
  <c r="CP147" i="1" a="1"/>
  <c r="CP147" i="1" s="1"/>
  <c r="CQ147" i="1" a="1"/>
  <c r="CQ147" i="1" s="1"/>
  <c r="BY148" i="1" a="1"/>
  <c r="BY148" i="1" s="1"/>
  <c r="BZ148" i="1" a="1"/>
  <c r="BZ148" i="1" s="1"/>
  <c r="CA148" i="1" a="1"/>
  <c r="CA148" i="1" s="1"/>
  <c r="CB148" i="1" a="1"/>
  <c r="CB148" i="1" s="1"/>
  <c r="CC148" i="1" a="1"/>
  <c r="CC148" i="1" s="1"/>
  <c r="CD148" i="1" a="1"/>
  <c r="CD148" i="1" s="1"/>
  <c r="CE148" i="1" a="1"/>
  <c r="CE148" i="1" s="1"/>
  <c r="CF148" i="1" a="1"/>
  <c r="CF148" i="1" s="1"/>
  <c r="CG148" i="1" a="1"/>
  <c r="CG148" i="1" s="1"/>
  <c r="CH148" i="1" a="1"/>
  <c r="CH148" i="1" s="1"/>
  <c r="CI148" i="1" a="1"/>
  <c r="CI148" i="1" s="1"/>
  <c r="CJ148" i="1" a="1"/>
  <c r="CJ148" i="1" s="1"/>
  <c r="CK148" i="1" a="1"/>
  <c r="CK148" i="1" s="1"/>
  <c r="CL148" i="1" a="1"/>
  <c r="CL148" i="1" s="1"/>
  <c r="CM148" i="1" a="1"/>
  <c r="CM148" i="1" s="1"/>
  <c r="CN148" i="1" a="1"/>
  <c r="CN148" i="1" s="1"/>
  <c r="CO148" i="1" a="1"/>
  <c r="CO148" i="1" s="1"/>
  <c r="CP148" i="1" a="1"/>
  <c r="CP148" i="1" s="1"/>
  <c r="CQ148" i="1" a="1"/>
  <c r="CQ148" i="1" s="1"/>
  <c r="BY149" i="1" a="1"/>
  <c r="BY149" i="1" s="1"/>
  <c r="BZ149" i="1" a="1"/>
  <c r="BZ149" i="1" s="1"/>
  <c r="CA149" i="1" a="1"/>
  <c r="CA149" i="1" s="1"/>
  <c r="CB149" i="1" a="1"/>
  <c r="CB149" i="1" s="1"/>
  <c r="CC149" i="1" a="1"/>
  <c r="CC149" i="1" s="1"/>
  <c r="CD149" i="1" a="1"/>
  <c r="CD149" i="1" s="1"/>
  <c r="CE149" i="1" a="1"/>
  <c r="CE149" i="1" s="1"/>
  <c r="CF149" i="1" a="1"/>
  <c r="CF149" i="1" s="1"/>
  <c r="CG149" i="1" a="1"/>
  <c r="CG149" i="1" s="1"/>
  <c r="CH149" i="1" a="1"/>
  <c r="CH149" i="1" s="1"/>
  <c r="CI149" i="1" a="1"/>
  <c r="CI149" i="1" s="1"/>
  <c r="CJ149" i="1" a="1"/>
  <c r="CJ149" i="1" s="1"/>
  <c r="CK149" i="1" a="1"/>
  <c r="CK149" i="1" s="1"/>
  <c r="CL149" i="1" a="1"/>
  <c r="CL149" i="1" s="1"/>
  <c r="CM149" i="1" a="1"/>
  <c r="CM149" i="1" s="1"/>
  <c r="CN149" i="1" a="1"/>
  <c r="CN149" i="1" s="1"/>
  <c r="CO149" i="1" a="1"/>
  <c r="CO149" i="1" s="1"/>
  <c r="CP149" i="1" a="1"/>
  <c r="CP149" i="1" s="1"/>
  <c r="CQ149" i="1" a="1"/>
  <c r="CQ149" i="1" s="1"/>
  <c r="BY150" i="1" a="1"/>
  <c r="BY150" i="1" s="1"/>
  <c r="BZ150" i="1" a="1"/>
  <c r="BZ150" i="1" s="1"/>
  <c r="CA150" i="1" a="1"/>
  <c r="CA150" i="1" s="1"/>
  <c r="CB150" i="1" a="1"/>
  <c r="CB150" i="1" s="1"/>
  <c r="CC150" i="1" a="1"/>
  <c r="CC150" i="1" s="1"/>
  <c r="CD150" i="1" a="1"/>
  <c r="CD150" i="1" s="1"/>
  <c r="CE150" i="1" a="1"/>
  <c r="CE150" i="1" s="1"/>
  <c r="CF150" i="1" a="1"/>
  <c r="CF150" i="1" s="1"/>
  <c r="CG150" i="1" a="1"/>
  <c r="CG150" i="1" s="1"/>
  <c r="CH150" i="1" a="1"/>
  <c r="CH150" i="1" s="1"/>
  <c r="CI150" i="1" a="1"/>
  <c r="CI150" i="1" s="1"/>
  <c r="CJ150" i="1" a="1"/>
  <c r="CJ150" i="1" s="1"/>
  <c r="CK150" i="1" a="1"/>
  <c r="CK150" i="1" s="1"/>
  <c r="CL150" i="1" a="1"/>
  <c r="CL150" i="1" s="1"/>
  <c r="CM150" i="1" a="1"/>
  <c r="CM150" i="1" s="1"/>
  <c r="CN150" i="1" a="1"/>
  <c r="CN150" i="1" s="1"/>
  <c r="CO150" i="1" a="1"/>
  <c r="CO150" i="1" s="1"/>
  <c r="CP150" i="1" a="1"/>
  <c r="CP150" i="1" s="1"/>
  <c r="CQ150" i="1" a="1"/>
  <c r="CQ150" i="1" s="1"/>
  <c r="BY151" i="1" a="1"/>
  <c r="BY151" i="1" s="1"/>
  <c r="BZ151" i="1" a="1"/>
  <c r="BZ151" i="1" s="1"/>
  <c r="CA151" i="1" a="1"/>
  <c r="CA151" i="1" s="1"/>
  <c r="CB151" i="1" a="1"/>
  <c r="CB151" i="1" s="1"/>
  <c r="CC151" i="1" a="1"/>
  <c r="CC151" i="1" s="1"/>
  <c r="CD151" i="1" a="1"/>
  <c r="CD151" i="1" s="1"/>
  <c r="CE151" i="1" a="1"/>
  <c r="CE151" i="1" s="1"/>
  <c r="CF151" i="1" a="1"/>
  <c r="CF151" i="1" s="1"/>
  <c r="CG151" i="1" a="1"/>
  <c r="CG151" i="1" s="1"/>
  <c r="CH151" i="1" a="1"/>
  <c r="CH151" i="1" s="1"/>
  <c r="CI151" i="1" a="1"/>
  <c r="CI151" i="1" s="1"/>
  <c r="CJ151" i="1" a="1"/>
  <c r="CJ151" i="1" s="1"/>
  <c r="CK151" i="1" a="1"/>
  <c r="CK151" i="1" s="1"/>
  <c r="CL151" i="1" a="1"/>
  <c r="CL151" i="1" s="1"/>
  <c r="CM151" i="1" a="1"/>
  <c r="CM151" i="1" s="1"/>
  <c r="CN151" i="1" a="1"/>
  <c r="CN151" i="1" s="1"/>
  <c r="CO151" i="1" a="1"/>
  <c r="CO151" i="1" s="1"/>
  <c r="CP151" i="1" a="1"/>
  <c r="CP151" i="1" s="1"/>
  <c r="CQ151" i="1" a="1"/>
  <c r="CQ151" i="1" s="1"/>
  <c r="BY152" i="1" a="1"/>
  <c r="BY152" i="1" s="1"/>
  <c r="BZ152" i="1" a="1"/>
  <c r="BZ152" i="1" s="1"/>
  <c r="CA152" i="1" a="1"/>
  <c r="CA152" i="1" s="1"/>
  <c r="CB152" i="1" a="1"/>
  <c r="CB152" i="1" s="1"/>
  <c r="CC152" i="1" a="1"/>
  <c r="CC152" i="1" s="1"/>
  <c r="CD152" i="1" a="1"/>
  <c r="CD152" i="1" s="1"/>
  <c r="CE152" i="1" a="1"/>
  <c r="CE152" i="1" s="1"/>
  <c r="CF152" i="1" a="1"/>
  <c r="CF152" i="1" s="1"/>
  <c r="CG152" i="1" a="1"/>
  <c r="CG152" i="1" s="1"/>
  <c r="CH152" i="1" a="1"/>
  <c r="CH152" i="1" s="1"/>
  <c r="CI152" i="1" a="1"/>
  <c r="CI152" i="1" s="1"/>
  <c r="CJ152" i="1" a="1"/>
  <c r="CJ152" i="1" s="1"/>
  <c r="CK152" i="1" a="1"/>
  <c r="CK152" i="1" s="1"/>
  <c r="CL152" i="1" a="1"/>
  <c r="CL152" i="1" s="1"/>
  <c r="CM152" i="1" a="1"/>
  <c r="CM152" i="1" s="1"/>
  <c r="CN152" i="1" a="1"/>
  <c r="CN152" i="1" s="1"/>
  <c r="CO152" i="1" a="1"/>
  <c r="CO152" i="1" s="1"/>
  <c r="CP152" i="1" a="1"/>
  <c r="CP152" i="1" s="1"/>
  <c r="CQ152" i="1" a="1"/>
  <c r="CQ152" i="1" s="1"/>
  <c r="BY153" i="1" a="1"/>
  <c r="BY153" i="1" s="1"/>
  <c r="BZ153" i="1" a="1"/>
  <c r="BZ153" i="1" s="1"/>
  <c r="CA153" i="1" a="1"/>
  <c r="CA153" i="1" s="1"/>
  <c r="CB153" i="1" a="1"/>
  <c r="CB153" i="1" s="1"/>
  <c r="CC153" i="1" a="1"/>
  <c r="CC153" i="1" s="1"/>
  <c r="CD153" i="1" a="1"/>
  <c r="CD153" i="1" s="1"/>
  <c r="CE153" i="1" a="1"/>
  <c r="CE153" i="1" s="1"/>
  <c r="CF153" i="1" a="1"/>
  <c r="CF153" i="1" s="1"/>
  <c r="CG153" i="1" a="1"/>
  <c r="CG153" i="1" s="1"/>
  <c r="CH153" i="1" a="1"/>
  <c r="CH153" i="1" s="1"/>
  <c r="CI153" i="1" a="1"/>
  <c r="CI153" i="1" s="1"/>
  <c r="CJ153" i="1" a="1"/>
  <c r="CJ153" i="1" s="1"/>
  <c r="CK153" i="1" a="1"/>
  <c r="CK153" i="1" s="1"/>
  <c r="CL153" i="1" a="1"/>
  <c r="CL153" i="1" s="1"/>
  <c r="CM153" i="1" a="1"/>
  <c r="CM153" i="1" s="1"/>
  <c r="CN153" i="1" a="1"/>
  <c r="CN153" i="1" s="1"/>
  <c r="CO153" i="1" a="1"/>
  <c r="CO153" i="1" s="1"/>
  <c r="CP153" i="1" a="1"/>
  <c r="CP153" i="1" s="1"/>
  <c r="CQ153" i="1" a="1"/>
  <c r="CQ153" i="1" s="1"/>
  <c r="BY154" i="1" a="1"/>
  <c r="BY154" i="1" s="1"/>
  <c r="BZ154" i="1" a="1"/>
  <c r="BZ154" i="1" s="1"/>
  <c r="CA154" i="1" a="1"/>
  <c r="CA154" i="1" s="1"/>
  <c r="CB154" i="1" a="1"/>
  <c r="CB154" i="1" s="1"/>
  <c r="CC154" i="1" a="1"/>
  <c r="CC154" i="1" s="1"/>
  <c r="CD154" i="1" a="1"/>
  <c r="CD154" i="1" s="1"/>
  <c r="CE154" i="1" a="1"/>
  <c r="CE154" i="1" s="1"/>
  <c r="CF154" i="1" a="1"/>
  <c r="CF154" i="1" s="1"/>
  <c r="CG154" i="1" a="1"/>
  <c r="CG154" i="1" s="1"/>
  <c r="CH154" i="1" a="1"/>
  <c r="CH154" i="1" s="1"/>
  <c r="CI154" i="1" a="1"/>
  <c r="CI154" i="1" s="1"/>
  <c r="CJ154" i="1" a="1"/>
  <c r="CJ154" i="1" s="1"/>
  <c r="CK154" i="1" a="1"/>
  <c r="CK154" i="1" s="1"/>
  <c r="CL154" i="1" a="1"/>
  <c r="CL154" i="1" s="1"/>
  <c r="CM154" i="1" a="1"/>
  <c r="CM154" i="1" s="1"/>
  <c r="CN154" i="1" a="1"/>
  <c r="CN154" i="1" s="1"/>
  <c r="CO154" i="1" a="1"/>
  <c r="CO154" i="1" s="1"/>
  <c r="CP154" i="1" a="1"/>
  <c r="CP154" i="1" s="1"/>
  <c r="CQ154" i="1" a="1"/>
  <c r="CQ154" i="1" s="1"/>
  <c r="BY155" i="1" a="1"/>
  <c r="BY155" i="1" s="1"/>
  <c r="BZ155" i="1" a="1"/>
  <c r="BZ155" i="1" s="1"/>
  <c r="CA155" i="1" a="1"/>
  <c r="CA155" i="1" s="1"/>
  <c r="CB155" i="1" a="1"/>
  <c r="CB155" i="1" s="1"/>
  <c r="CC155" i="1" a="1"/>
  <c r="CC155" i="1" s="1"/>
  <c r="CD155" i="1" a="1"/>
  <c r="CD155" i="1" s="1"/>
  <c r="CE155" i="1" a="1"/>
  <c r="CE155" i="1" s="1"/>
  <c r="CF155" i="1" a="1"/>
  <c r="CF155" i="1" s="1"/>
  <c r="CG155" i="1" a="1"/>
  <c r="CG155" i="1" s="1"/>
  <c r="CH155" i="1" a="1"/>
  <c r="CH155" i="1" s="1"/>
  <c r="CI155" i="1" a="1"/>
  <c r="CI155" i="1" s="1"/>
  <c r="CJ155" i="1" a="1"/>
  <c r="CJ155" i="1" s="1"/>
  <c r="CK155" i="1" a="1"/>
  <c r="CK155" i="1" s="1"/>
  <c r="CL155" i="1" a="1"/>
  <c r="CL155" i="1" s="1"/>
  <c r="CM155" i="1" a="1"/>
  <c r="CM155" i="1" s="1"/>
  <c r="CN155" i="1" a="1"/>
  <c r="CN155" i="1" s="1"/>
  <c r="CO155" i="1" a="1"/>
  <c r="CO155" i="1" s="1"/>
  <c r="CP155" i="1" a="1"/>
  <c r="CP155" i="1" s="1"/>
  <c r="CQ155" i="1" a="1"/>
  <c r="CQ155" i="1" s="1"/>
  <c r="BY156" i="1" a="1"/>
  <c r="BY156" i="1" s="1"/>
  <c r="BZ156" i="1" a="1"/>
  <c r="BZ156" i="1" s="1"/>
  <c r="CA156" i="1" a="1"/>
  <c r="CA156" i="1" s="1"/>
  <c r="CB156" i="1" a="1"/>
  <c r="CB156" i="1" s="1"/>
  <c r="CC156" i="1" a="1"/>
  <c r="CC156" i="1" s="1"/>
  <c r="CD156" i="1" a="1"/>
  <c r="CD156" i="1" s="1"/>
  <c r="CE156" i="1" a="1"/>
  <c r="CE156" i="1"/>
  <c r="CF156" i="1" a="1"/>
  <c r="CF156" i="1" s="1"/>
  <c r="CG156" i="1" a="1"/>
  <c r="CG156" i="1" s="1"/>
  <c r="CH156" i="1" a="1"/>
  <c r="CH156" i="1" s="1"/>
  <c r="CI156" i="1" a="1"/>
  <c r="CI156" i="1" s="1"/>
  <c r="CJ156" i="1" a="1"/>
  <c r="CJ156" i="1" s="1"/>
  <c r="CK156" i="1" a="1"/>
  <c r="CK156" i="1" s="1"/>
  <c r="CL156" i="1" a="1"/>
  <c r="CL156" i="1" s="1"/>
  <c r="CM156" i="1" a="1"/>
  <c r="CM156" i="1" s="1"/>
  <c r="CN156" i="1" a="1"/>
  <c r="CN156" i="1" s="1"/>
  <c r="CO156" i="1" a="1"/>
  <c r="CO156" i="1" s="1"/>
  <c r="CP156" i="1" a="1"/>
  <c r="CP156" i="1" s="1"/>
  <c r="CQ156" i="1" a="1"/>
  <c r="CQ156" i="1" s="1"/>
  <c r="BY157" i="1" a="1"/>
  <c r="BY157" i="1" s="1"/>
  <c r="BZ157" i="1" a="1"/>
  <c r="BZ157" i="1" s="1"/>
  <c r="CA157" i="1" a="1"/>
  <c r="CA157" i="1"/>
  <c r="CB157" i="1" a="1"/>
  <c r="CB157" i="1" s="1"/>
  <c r="CC157" i="1" a="1"/>
  <c r="CC157" i="1" s="1"/>
  <c r="CD157" i="1" a="1"/>
  <c r="CD157" i="1" s="1"/>
  <c r="CE157" i="1" a="1"/>
  <c r="CE157" i="1" s="1"/>
  <c r="CF157" i="1" a="1"/>
  <c r="CF157" i="1" s="1"/>
  <c r="CG157" i="1" a="1"/>
  <c r="CG157" i="1" s="1"/>
  <c r="CH157" i="1" a="1"/>
  <c r="CH157" i="1" s="1"/>
  <c r="CI157" i="1" a="1"/>
  <c r="CI157" i="1" s="1"/>
  <c r="CJ157" i="1" a="1"/>
  <c r="CJ157" i="1" s="1"/>
  <c r="CK157" i="1" a="1"/>
  <c r="CK157" i="1" s="1"/>
  <c r="CL157" i="1" a="1"/>
  <c r="CL157" i="1" s="1"/>
  <c r="CM157" i="1" a="1"/>
  <c r="CM157" i="1" s="1"/>
  <c r="CN157" i="1" a="1"/>
  <c r="CN157" i="1" s="1"/>
  <c r="CO157" i="1" a="1"/>
  <c r="CO157" i="1" s="1"/>
  <c r="CP157" i="1" a="1"/>
  <c r="CP157" i="1" s="1"/>
  <c r="CQ157" i="1" a="1"/>
  <c r="CQ157" i="1" s="1"/>
  <c r="BY158" i="1" a="1"/>
  <c r="BY158" i="1" s="1"/>
  <c r="BZ158" i="1" a="1"/>
  <c r="BZ158" i="1" s="1"/>
  <c r="CA158" i="1" a="1"/>
  <c r="CA158" i="1" s="1"/>
  <c r="CB158" i="1" a="1"/>
  <c r="CB158" i="1" s="1"/>
  <c r="CC158" i="1" a="1"/>
  <c r="CC158" i="1" s="1"/>
  <c r="CD158" i="1" a="1"/>
  <c r="CD158" i="1" s="1"/>
  <c r="CE158" i="1" a="1"/>
  <c r="CE158" i="1" s="1"/>
  <c r="CF158" i="1" a="1"/>
  <c r="CF158" i="1" s="1"/>
  <c r="CG158" i="1" a="1"/>
  <c r="CG158" i="1" s="1"/>
  <c r="CH158" i="1" a="1"/>
  <c r="CH158" i="1" s="1"/>
  <c r="CI158" i="1" a="1"/>
  <c r="CI158" i="1" s="1"/>
  <c r="CJ158" i="1" a="1"/>
  <c r="CJ158" i="1" s="1"/>
  <c r="CK158" i="1" a="1"/>
  <c r="CK158" i="1" s="1"/>
  <c r="CL158" i="1" a="1"/>
  <c r="CL158" i="1" s="1"/>
  <c r="CM158" i="1" a="1"/>
  <c r="CM158" i="1" s="1"/>
  <c r="CN158" i="1" a="1"/>
  <c r="CN158" i="1" s="1"/>
  <c r="CO158" i="1" a="1"/>
  <c r="CO158" i="1" s="1"/>
  <c r="CP158" i="1" a="1"/>
  <c r="CP158" i="1" s="1"/>
  <c r="CQ158" i="1" a="1"/>
  <c r="CQ158" i="1" s="1"/>
  <c r="BY159" i="1" a="1"/>
  <c r="BY159" i="1" s="1"/>
  <c r="BZ159" i="1" a="1"/>
  <c r="BZ159" i="1" s="1"/>
  <c r="CA159" i="1" a="1"/>
  <c r="CA159" i="1" s="1"/>
  <c r="CB159" i="1" a="1"/>
  <c r="CB159" i="1" s="1"/>
  <c r="CC159" i="1" a="1"/>
  <c r="CC159" i="1" s="1"/>
  <c r="CD159" i="1" a="1"/>
  <c r="CD159" i="1" s="1"/>
  <c r="CE159" i="1" a="1"/>
  <c r="CE159" i="1" s="1"/>
  <c r="CF159" i="1" a="1"/>
  <c r="CF159" i="1" s="1"/>
  <c r="CG159" i="1" a="1"/>
  <c r="CG159" i="1" s="1"/>
  <c r="CH159" i="1" a="1"/>
  <c r="CH159" i="1" s="1"/>
  <c r="CI159" i="1" a="1"/>
  <c r="CI159" i="1" s="1"/>
  <c r="CJ159" i="1" a="1"/>
  <c r="CJ159" i="1" s="1"/>
  <c r="CK159" i="1" a="1"/>
  <c r="CK159" i="1" s="1"/>
  <c r="CL159" i="1" a="1"/>
  <c r="CL159" i="1" s="1"/>
  <c r="CM159" i="1" a="1"/>
  <c r="CM159" i="1" s="1"/>
  <c r="CN159" i="1" a="1"/>
  <c r="CN159" i="1" s="1"/>
  <c r="CO159" i="1" a="1"/>
  <c r="CO159" i="1" s="1"/>
  <c r="CP159" i="1" a="1"/>
  <c r="CP159" i="1" s="1"/>
  <c r="CQ159" i="1" a="1"/>
  <c r="CQ159" i="1" s="1"/>
  <c r="BY160" i="1" a="1"/>
  <c r="BY160" i="1" s="1"/>
  <c r="BZ160" i="1" a="1"/>
  <c r="BZ160" i="1" s="1"/>
  <c r="CA160" i="1" a="1"/>
  <c r="CA160" i="1" s="1"/>
  <c r="CB160" i="1" a="1"/>
  <c r="CB160" i="1" s="1"/>
  <c r="CC160" i="1" a="1"/>
  <c r="CC160" i="1" s="1"/>
  <c r="CD160" i="1" a="1"/>
  <c r="CD160" i="1"/>
  <c r="CE160" i="1" a="1"/>
  <c r="CE160" i="1" s="1"/>
  <c r="CF160" i="1" a="1"/>
  <c r="CF160" i="1" s="1"/>
  <c r="CG160" i="1" a="1"/>
  <c r="CG160" i="1" s="1"/>
  <c r="CH160" i="1" a="1"/>
  <c r="CH160" i="1" s="1"/>
  <c r="CI160" i="1" a="1"/>
  <c r="CI160" i="1" s="1"/>
  <c r="CJ160" i="1" a="1"/>
  <c r="CJ160" i="1" s="1"/>
  <c r="CK160" i="1" a="1"/>
  <c r="CK160" i="1" s="1"/>
  <c r="CL160" i="1" a="1"/>
  <c r="CL160" i="1" s="1"/>
  <c r="CM160" i="1" a="1"/>
  <c r="CM160" i="1" s="1"/>
  <c r="CN160" i="1" a="1"/>
  <c r="CN160" i="1" s="1"/>
  <c r="CO160" i="1" a="1"/>
  <c r="CO160" i="1" s="1"/>
  <c r="CP160" i="1" a="1"/>
  <c r="CP160" i="1" s="1"/>
  <c r="CQ160" i="1" a="1"/>
  <c r="CQ160" i="1" s="1"/>
  <c r="BY161" i="1" a="1"/>
  <c r="BY161" i="1" s="1"/>
  <c r="BZ161" i="1" a="1"/>
  <c r="BZ161" i="1" s="1"/>
  <c r="CA161" i="1" a="1"/>
  <c r="CA161" i="1" s="1"/>
  <c r="CB161" i="1" a="1"/>
  <c r="CB161" i="1" s="1"/>
  <c r="CC161" i="1" a="1"/>
  <c r="CC161" i="1" s="1"/>
  <c r="CD161" i="1" a="1"/>
  <c r="CD161" i="1" s="1"/>
  <c r="CE161" i="1" a="1"/>
  <c r="CE161" i="1" s="1"/>
  <c r="CF161" i="1" a="1"/>
  <c r="CF161" i="1" s="1"/>
  <c r="CG161" i="1" a="1"/>
  <c r="CG161" i="1" s="1"/>
  <c r="CH161" i="1" a="1"/>
  <c r="CH161" i="1" s="1"/>
  <c r="CI161" i="1" a="1"/>
  <c r="CI161" i="1" s="1"/>
  <c r="CJ161" i="1" a="1"/>
  <c r="CJ161" i="1" s="1"/>
  <c r="CK161" i="1" a="1"/>
  <c r="CK161" i="1" s="1"/>
  <c r="CL161" i="1" a="1"/>
  <c r="CL161" i="1" s="1"/>
  <c r="CM161" i="1" a="1"/>
  <c r="CM161" i="1" s="1"/>
  <c r="CN161" i="1" a="1"/>
  <c r="CN161" i="1" s="1"/>
  <c r="CO161" i="1" a="1"/>
  <c r="CO161" i="1" s="1"/>
  <c r="CP161" i="1" a="1"/>
  <c r="CP161" i="1" s="1"/>
  <c r="CQ161" i="1" a="1"/>
  <c r="CQ161" i="1" s="1"/>
  <c r="BY162" i="1" a="1"/>
  <c r="BY162" i="1" s="1"/>
  <c r="BZ162" i="1" a="1"/>
  <c r="BZ162" i="1" s="1"/>
  <c r="CA162" i="1" a="1"/>
  <c r="CA162" i="1"/>
  <c r="CB162" i="1" a="1"/>
  <c r="CB162" i="1" s="1"/>
  <c r="CC162" i="1" a="1"/>
  <c r="CC162" i="1" s="1"/>
  <c r="CD162" i="1" a="1"/>
  <c r="CD162" i="1" s="1"/>
  <c r="CE162" i="1" a="1"/>
  <c r="CE162" i="1" s="1"/>
  <c r="CF162" i="1" a="1"/>
  <c r="CF162" i="1" s="1"/>
  <c r="CG162" i="1" a="1"/>
  <c r="CG162" i="1" s="1"/>
  <c r="CH162" i="1" a="1"/>
  <c r="CH162" i="1" s="1"/>
  <c r="CI162" i="1" a="1"/>
  <c r="CI162" i="1" s="1"/>
  <c r="CJ162" i="1" a="1"/>
  <c r="CJ162" i="1"/>
  <c r="CK162" i="1" a="1"/>
  <c r="CK162" i="1" s="1"/>
  <c r="CL162" i="1" a="1"/>
  <c r="CL162" i="1" s="1"/>
  <c r="CM162" i="1" a="1"/>
  <c r="CM162" i="1" s="1"/>
  <c r="CN162" i="1" a="1"/>
  <c r="CN162" i="1" s="1"/>
  <c r="CO162" i="1" a="1"/>
  <c r="CO162" i="1" s="1"/>
  <c r="CP162" i="1" a="1"/>
  <c r="CP162" i="1" s="1"/>
  <c r="CQ162" i="1" a="1"/>
  <c r="CQ162" i="1" s="1"/>
  <c r="BY163" i="1" a="1"/>
  <c r="BY163" i="1" s="1"/>
  <c r="BZ163" i="1" a="1"/>
  <c r="BZ163" i="1" s="1"/>
  <c r="CA163" i="1" a="1"/>
  <c r="CA163" i="1" s="1"/>
  <c r="CB163" i="1" a="1"/>
  <c r="CB163" i="1" s="1"/>
  <c r="CC163" i="1" a="1"/>
  <c r="CC163" i="1" s="1"/>
  <c r="CD163" i="1" a="1"/>
  <c r="CD163" i="1" s="1"/>
  <c r="CE163" i="1" a="1"/>
  <c r="CE163" i="1" s="1"/>
  <c r="CF163" i="1" a="1"/>
  <c r="CF163" i="1" s="1"/>
  <c r="CG163" i="1" a="1"/>
  <c r="CG163" i="1" s="1"/>
  <c r="CH163" i="1" a="1"/>
  <c r="CH163" i="1" s="1"/>
  <c r="CI163" i="1" a="1"/>
  <c r="CI163" i="1" s="1"/>
  <c r="CJ163" i="1" a="1"/>
  <c r="CJ163" i="1" s="1"/>
  <c r="CK163" i="1" a="1"/>
  <c r="CK163" i="1" s="1"/>
  <c r="CL163" i="1" a="1"/>
  <c r="CL163" i="1" s="1"/>
  <c r="CM163" i="1" a="1"/>
  <c r="CM163" i="1" s="1"/>
  <c r="CN163" i="1" a="1"/>
  <c r="CN163" i="1" s="1"/>
  <c r="CO163" i="1" a="1"/>
  <c r="CO163" i="1" s="1"/>
  <c r="CP163" i="1" a="1"/>
  <c r="CP163" i="1" s="1"/>
  <c r="CQ163" i="1" a="1"/>
  <c r="CQ163" i="1" s="1"/>
  <c r="BY164" i="1" a="1"/>
  <c r="BY164" i="1" s="1"/>
  <c r="BZ164" i="1" a="1"/>
  <c r="BZ164" i="1" s="1"/>
  <c r="CA164" i="1" a="1"/>
  <c r="CA164" i="1"/>
  <c r="CB164" i="1" a="1"/>
  <c r="CB164" i="1" s="1"/>
  <c r="CC164" i="1" a="1"/>
  <c r="CC164" i="1" s="1"/>
  <c r="CD164" i="1" a="1"/>
  <c r="CD164" i="1"/>
  <c r="CE164" i="1" a="1"/>
  <c r="CE164" i="1" s="1"/>
  <c r="CF164" i="1" a="1"/>
  <c r="CF164" i="1" s="1"/>
  <c r="CG164" i="1" a="1"/>
  <c r="CG164" i="1"/>
  <c r="CH164" i="1" a="1"/>
  <c r="CH164" i="1" s="1"/>
  <c r="CI164" i="1" a="1"/>
  <c r="CI164" i="1" s="1"/>
  <c r="CJ164" i="1" a="1"/>
  <c r="CJ164" i="1" s="1"/>
  <c r="CK164" i="1" a="1"/>
  <c r="CK164" i="1" s="1"/>
  <c r="CL164" i="1" a="1"/>
  <c r="CL164" i="1" s="1"/>
  <c r="CM164" i="1" a="1"/>
  <c r="CM164" i="1"/>
  <c r="CN164" i="1" a="1"/>
  <c r="CN164" i="1" s="1"/>
  <c r="CO164" i="1" a="1"/>
  <c r="CO164" i="1" s="1"/>
  <c r="CP164" i="1" a="1"/>
  <c r="CP164" i="1" s="1"/>
  <c r="CQ164" i="1" a="1"/>
  <c r="CQ164" i="1" s="1"/>
  <c r="BY165" i="1" a="1"/>
  <c r="BY165" i="1" s="1"/>
  <c r="BZ165" i="1" a="1"/>
  <c r="BZ165" i="1" s="1"/>
  <c r="CA165" i="1" a="1"/>
  <c r="CA165" i="1" s="1"/>
  <c r="CB165" i="1" a="1"/>
  <c r="CB165" i="1" s="1"/>
  <c r="CC165" i="1" a="1"/>
  <c r="CC165" i="1" s="1"/>
  <c r="CD165" i="1" a="1"/>
  <c r="CD165" i="1" s="1"/>
  <c r="CE165" i="1" a="1"/>
  <c r="CE165" i="1" s="1"/>
  <c r="CF165" i="1" a="1"/>
  <c r="CF165" i="1" s="1"/>
  <c r="CG165" i="1" a="1"/>
  <c r="CG165" i="1" s="1"/>
  <c r="CH165" i="1" a="1"/>
  <c r="CH165" i="1"/>
  <c r="CI165" i="1" a="1"/>
  <c r="CI165" i="1" s="1"/>
  <c r="CJ165" i="1" a="1"/>
  <c r="CJ165" i="1" s="1"/>
  <c r="CK165" i="1" a="1"/>
  <c r="CK165" i="1" s="1"/>
  <c r="CL165" i="1" a="1"/>
  <c r="CL165" i="1" s="1"/>
  <c r="CM165" i="1" a="1"/>
  <c r="CM165" i="1" s="1"/>
  <c r="CN165" i="1" a="1"/>
  <c r="CN165" i="1" s="1"/>
  <c r="CO165" i="1" a="1"/>
  <c r="CO165" i="1" s="1"/>
  <c r="CP165" i="1" a="1"/>
  <c r="CP165" i="1" s="1"/>
  <c r="CQ165" i="1" a="1"/>
  <c r="CQ165" i="1" s="1"/>
  <c r="BY166" i="1" a="1"/>
  <c r="BY166" i="1" s="1"/>
  <c r="BZ166" i="1" a="1"/>
  <c r="BZ166" i="1" s="1"/>
  <c r="CA166" i="1" a="1"/>
  <c r="CA166" i="1" s="1"/>
  <c r="CB166" i="1" a="1"/>
  <c r="CB166" i="1" s="1"/>
  <c r="CC166" i="1" a="1"/>
  <c r="CC166" i="1" s="1"/>
  <c r="CD166" i="1" a="1"/>
  <c r="CD166" i="1" s="1"/>
  <c r="CE166" i="1" a="1"/>
  <c r="CE166" i="1" s="1"/>
  <c r="CF166" i="1" a="1"/>
  <c r="CF166" i="1" s="1"/>
  <c r="CG166" i="1" a="1"/>
  <c r="CG166" i="1" s="1"/>
  <c r="CH166" i="1" a="1"/>
  <c r="CH166" i="1" s="1"/>
  <c r="CI166" i="1" a="1"/>
  <c r="CI166" i="1" s="1"/>
  <c r="CJ166" i="1" a="1"/>
  <c r="CJ166" i="1" s="1"/>
  <c r="CK166" i="1" a="1"/>
  <c r="CK166" i="1" s="1"/>
  <c r="CL166" i="1" a="1"/>
  <c r="CL166" i="1" s="1"/>
  <c r="CM166" i="1" a="1"/>
  <c r="CM166" i="1" s="1"/>
  <c r="CN166" i="1" a="1"/>
  <c r="CN166" i="1" s="1"/>
  <c r="CO166" i="1" a="1"/>
  <c r="CO166" i="1" s="1"/>
  <c r="CP166" i="1" a="1"/>
  <c r="CP166" i="1" s="1"/>
  <c r="CQ166" i="1" a="1"/>
  <c r="CQ166" i="1" s="1"/>
  <c r="BY167" i="1" a="1"/>
  <c r="BY167" i="1" s="1"/>
  <c r="BZ167" i="1" a="1"/>
  <c r="BZ167" i="1" s="1"/>
  <c r="CA167" i="1" a="1"/>
  <c r="CA167" i="1" s="1"/>
  <c r="CB167" i="1" a="1"/>
  <c r="CB167" i="1" s="1"/>
  <c r="CC167" i="1" a="1"/>
  <c r="CC167" i="1" s="1"/>
  <c r="CD167" i="1" a="1"/>
  <c r="CD167" i="1" s="1"/>
  <c r="CE167" i="1" a="1"/>
  <c r="CE167" i="1" s="1"/>
  <c r="CF167" i="1" a="1"/>
  <c r="CF167" i="1" s="1"/>
  <c r="CG167" i="1" a="1"/>
  <c r="CG167" i="1" s="1"/>
  <c r="CH167" i="1" a="1"/>
  <c r="CH167" i="1" s="1"/>
  <c r="CI167" i="1" a="1"/>
  <c r="CI167" i="1" s="1"/>
  <c r="CJ167" i="1" a="1"/>
  <c r="CJ167" i="1" s="1"/>
  <c r="CK167" i="1" a="1"/>
  <c r="CK167" i="1" s="1"/>
  <c r="CL167" i="1" a="1"/>
  <c r="CL167" i="1" s="1"/>
  <c r="CM167" i="1" a="1"/>
  <c r="CM167" i="1" s="1"/>
  <c r="CN167" i="1" a="1"/>
  <c r="CN167" i="1" s="1"/>
  <c r="CO167" i="1" a="1"/>
  <c r="CO167" i="1" s="1"/>
  <c r="CP167" i="1" a="1"/>
  <c r="CP167" i="1" s="1"/>
  <c r="CQ167" i="1" a="1"/>
  <c r="CQ167" i="1" s="1"/>
  <c r="BY168" i="1" a="1"/>
  <c r="BY168" i="1" s="1"/>
  <c r="BZ168" i="1" a="1"/>
  <c r="BZ168" i="1" s="1"/>
  <c r="CA168" i="1" a="1"/>
  <c r="CA168" i="1" s="1"/>
  <c r="CB168" i="1" a="1"/>
  <c r="CB168" i="1" s="1"/>
  <c r="CC168" i="1" a="1"/>
  <c r="CC168" i="1" s="1"/>
  <c r="CD168" i="1" a="1"/>
  <c r="CD168" i="1" s="1"/>
  <c r="CE168" i="1" a="1"/>
  <c r="CE168" i="1" s="1"/>
  <c r="CF168" i="1" a="1"/>
  <c r="CF168" i="1" s="1"/>
  <c r="CG168" i="1" a="1"/>
  <c r="CG168" i="1" s="1"/>
  <c r="CH168" i="1" a="1"/>
  <c r="CH168" i="1" s="1"/>
  <c r="CI168" i="1" a="1"/>
  <c r="CI168" i="1" s="1"/>
  <c r="CJ168" i="1" a="1"/>
  <c r="CJ168" i="1" s="1"/>
  <c r="CK168" i="1" a="1"/>
  <c r="CK168" i="1" s="1"/>
  <c r="CL168" i="1" a="1"/>
  <c r="CL168" i="1" s="1"/>
  <c r="CM168" i="1" a="1"/>
  <c r="CM168" i="1" s="1"/>
  <c r="CN168" i="1" a="1"/>
  <c r="CN168" i="1" s="1"/>
  <c r="CO168" i="1" a="1"/>
  <c r="CO168" i="1" s="1"/>
  <c r="CP168" i="1" a="1"/>
  <c r="CP168" i="1" s="1"/>
  <c r="CQ168" i="1" a="1"/>
  <c r="CQ168" i="1" s="1"/>
  <c r="BY169" i="1" a="1"/>
  <c r="BY169" i="1" s="1"/>
  <c r="BZ169" i="1" a="1"/>
  <c r="BZ169" i="1" s="1"/>
  <c r="CA169" i="1" a="1"/>
  <c r="CA169" i="1" s="1"/>
  <c r="CB169" i="1" a="1"/>
  <c r="CB169" i="1" s="1"/>
  <c r="CC169" i="1" a="1"/>
  <c r="CC169" i="1" s="1"/>
  <c r="CD169" i="1" a="1"/>
  <c r="CD169" i="1" s="1"/>
  <c r="CE169" i="1" a="1"/>
  <c r="CE169" i="1" s="1"/>
  <c r="CF169" i="1" a="1"/>
  <c r="CF169" i="1" s="1"/>
  <c r="CG169" i="1" a="1"/>
  <c r="CG169" i="1" s="1"/>
  <c r="CH169" i="1" a="1"/>
  <c r="CH169" i="1" s="1"/>
  <c r="CI169" i="1" a="1"/>
  <c r="CI169" i="1"/>
  <c r="CJ169" i="1" a="1"/>
  <c r="CJ169" i="1" s="1"/>
  <c r="CK169" i="1" a="1"/>
  <c r="CK169" i="1" s="1"/>
  <c r="CL169" i="1" a="1"/>
  <c r="CL169" i="1" s="1"/>
  <c r="CM169" i="1" a="1"/>
  <c r="CM169" i="1" s="1"/>
  <c r="CN169" i="1" a="1"/>
  <c r="CN169" i="1" s="1"/>
  <c r="CO169" i="1" a="1"/>
  <c r="CO169" i="1" s="1"/>
  <c r="CP169" i="1" a="1"/>
  <c r="CP169" i="1"/>
  <c r="CQ169" i="1" a="1"/>
  <c r="CQ169" i="1" s="1"/>
  <c r="BY170" i="1" a="1"/>
  <c r="BY170" i="1" s="1"/>
  <c r="BZ170" i="1" a="1"/>
  <c r="BZ170" i="1" s="1"/>
  <c r="CA170" i="1" a="1"/>
  <c r="CA170" i="1" s="1"/>
  <c r="CB170" i="1" a="1"/>
  <c r="CB170" i="1" s="1"/>
  <c r="CC170" i="1" a="1"/>
  <c r="CC170" i="1" s="1"/>
  <c r="CD170" i="1" a="1"/>
  <c r="CD170" i="1" s="1"/>
  <c r="CE170" i="1" a="1"/>
  <c r="CE170" i="1" s="1"/>
  <c r="CF170" i="1" a="1"/>
  <c r="CF170" i="1" s="1"/>
  <c r="CG170" i="1" a="1"/>
  <c r="CG170" i="1" s="1"/>
  <c r="CH170" i="1" a="1"/>
  <c r="CH170" i="1" s="1"/>
  <c r="CI170" i="1" a="1"/>
  <c r="CI170" i="1" s="1"/>
  <c r="CJ170" i="1" a="1"/>
  <c r="CJ170" i="1" s="1"/>
  <c r="CK170" i="1" a="1"/>
  <c r="CK170" i="1" s="1"/>
  <c r="CL170" i="1" a="1"/>
  <c r="CL170" i="1" s="1"/>
  <c r="CM170" i="1" a="1"/>
  <c r="CM170" i="1" s="1"/>
  <c r="CN170" i="1" a="1"/>
  <c r="CN170" i="1" s="1"/>
  <c r="CO170" i="1" a="1"/>
  <c r="CO170" i="1" s="1"/>
  <c r="CP170" i="1" a="1"/>
  <c r="CP170" i="1" s="1"/>
  <c r="CQ170" i="1" a="1"/>
  <c r="CQ170" i="1" s="1"/>
  <c r="BY171" i="1" a="1"/>
  <c r="BY171" i="1" s="1"/>
  <c r="BZ171" i="1" a="1"/>
  <c r="BZ171" i="1" s="1"/>
  <c r="CA171" i="1" a="1"/>
  <c r="CA171" i="1" s="1"/>
  <c r="CB171" i="1" a="1"/>
  <c r="CB171" i="1" s="1"/>
  <c r="BT171" i="1" s="1"/>
  <c r="CC171" i="1" a="1"/>
  <c r="CC171" i="1" s="1"/>
  <c r="CD171" i="1" a="1"/>
  <c r="CD171" i="1" s="1"/>
  <c r="CE171" i="1" a="1"/>
  <c r="CE171" i="1" s="1"/>
  <c r="CF171" i="1" a="1"/>
  <c r="CF171" i="1" s="1"/>
  <c r="CG171" i="1" a="1"/>
  <c r="CG171" i="1" s="1"/>
  <c r="CH171" i="1" a="1"/>
  <c r="CH171" i="1"/>
  <c r="CI171" i="1" a="1"/>
  <c r="CI171" i="1" s="1"/>
  <c r="CJ171" i="1" a="1"/>
  <c r="CJ171" i="1" s="1"/>
  <c r="CK171" i="1" a="1"/>
  <c r="CK171" i="1" s="1"/>
  <c r="CL171" i="1" a="1"/>
  <c r="CL171" i="1" s="1"/>
  <c r="CM171" i="1" a="1"/>
  <c r="CM171" i="1" s="1"/>
  <c r="CN171" i="1" a="1"/>
  <c r="CN171" i="1" s="1"/>
  <c r="CO171" i="1" a="1"/>
  <c r="CO171" i="1" s="1"/>
  <c r="CP171" i="1" a="1"/>
  <c r="CP171" i="1" s="1"/>
  <c r="CQ171" i="1" a="1"/>
  <c r="CQ171" i="1" s="1"/>
  <c r="BY172" i="1" a="1"/>
  <c r="BY172" i="1" s="1"/>
  <c r="BZ172" i="1" a="1"/>
  <c r="BZ172" i="1" s="1"/>
  <c r="CA172" i="1" a="1"/>
  <c r="CA172" i="1" s="1"/>
  <c r="CB172" i="1" a="1"/>
  <c r="CB172" i="1" s="1"/>
  <c r="CC172" i="1" a="1"/>
  <c r="CC172" i="1"/>
  <c r="CD172" i="1" a="1"/>
  <c r="CD172" i="1" s="1"/>
  <c r="CE172" i="1" a="1"/>
  <c r="CE172" i="1" s="1"/>
  <c r="CF172" i="1" a="1"/>
  <c r="CF172" i="1" s="1"/>
  <c r="CG172" i="1" a="1"/>
  <c r="CG172" i="1" s="1"/>
  <c r="CH172" i="1" a="1"/>
  <c r="CH172" i="1" s="1"/>
  <c r="CI172" i="1" a="1"/>
  <c r="CI172" i="1" s="1"/>
  <c r="CJ172" i="1" a="1"/>
  <c r="CJ172" i="1" s="1"/>
  <c r="CK172" i="1" a="1"/>
  <c r="CK172" i="1" s="1"/>
  <c r="CL172" i="1" a="1"/>
  <c r="CL172" i="1" s="1"/>
  <c r="CM172" i="1" a="1"/>
  <c r="CM172" i="1" s="1"/>
  <c r="CN172" i="1" a="1"/>
  <c r="CN172" i="1" s="1"/>
  <c r="CO172" i="1" a="1"/>
  <c r="CO172" i="1" s="1"/>
  <c r="CP172" i="1" a="1"/>
  <c r="CP172" i="1" s="1"/>
  <c r="CQ172" i="1" a="1"/>
  <c r="CQ172" i="1"/>
  <c r="BY173" i="1" a="1"/>
  <c r="BY173" i="1" s="1"/>
  <c r="BZ173" i="1" a="1"/>
  <c r="BZ173" i="1" s="1"/>
  <c r="CA173" i="1" a="1"/>
  <c r="CA173" i="1" s="1"/>
  <c r="CB173" i="1" a="1"/>
  <c r="CB173" i="1" s="1"/>
  <c r="CC173" i="1" a="1"/>
  <c r="CC173" i="1" s="1"/>
  <c r="CD173" i="1" a="1"/>
  <c r="CD173" i="1" s="1"/>
  <c r="CE173" i="1" a="1"/>
  <c r="CE173" i="1" s="1"/>
  <c r="CF173" i="1" a="1"/>
  <c r="CF173" i="1" s="1"/>
  <c r="CG173" i="1" a="1"/>
  <c r="CG173" i="1" s="1"/>
  <c r="CH173" i="1" a="1"/>
  <c r="CH173" i="1" s="1"/>
  <c r="CI173" i="1" a="1"/>
  <c r="CI173" i="1" s="1"/>
  <c r="CJ173" i="1" a="1"/>
  <c r="CJ173" i="1" s="1"/>
  <c r="CK173" i="1" a="1"/>
  <c r="CK173" i="1" s="1"/>
  <c r="CL173" i="1" a="1"/>
  <c r="CL173" i="1" s="1"/>
  <c r="CM173" i="1" a="1"/>
  <c r="CM173" i="1" s="1"/>
  <c r="CN173" i="1" a="1"/>
  <c r="CN173" i="1" s="1"/>
  <c r="CO173" i="1" a="1"/>
  <c r="CO173" i="1" s="1"/>
  <c r="CP173" i="1" a="1"/>
  <c r="CP173" i="1" s="1"/>
  <c r="CQ173" i="1" a="1"/>
  <c r="CQ173" i="1" s="1"/>
  <c r="BY174" i="1" a="1"/>
  <c r="BY174" i="1" s="1"/>
  <c r="BZ174" i="1" a="1"/>
  <c r="BZ174" i="1" s="1"/>
  <c r="CA174" i="1" a="1"/>
  <c r="CA174" i="1" s="1"/>
  <c r="CB174" i="1" a="1"/>
  <c r="CB174" i="1" s="1"/>
  <c r="CC174" i="1" a="1"/>
  <c r="CC174" i="1" s="1"/>
  <c r="CD174" i="1" a="1"/>
  <c r="CD174" i="1" s="1"/>
  <c r="CE174" i="1" a="1"/>
  <c r="CE174" i="1" s="1"/>
  <c r="CF174" i="1" a="1"/>
  <c r="CF174" i="1"/>
  <c r="CG174" i="1" a="1"/>
  <c r="CG174" i="1" s="1"/>
  <c r="CH174" i="1" a="1"/>
  <c r="CH174" i="1" s="1"/>
  <c r="CI174" i="1" a="1"/>
  <c r="CI174" i="1" s="1"/>
  <c r="CJ174" i="1" a="1"/>
  <c r="CJ174" i="1" s="1"/>
  <c r="CK174" i="1" a="1"/>
  <c r="CK174" i="1" s="1"/>
  <c r="CL174" i="1" a="1"/>
  <c r="CL174" i="1" s="1"/>
  <c r="CM174" i="1" a="1"/>
  <c r="CM174" i="1" s="1"/>
  <c r="CN174" i="1" a="1"/>
  <c r="CN174" i="1" s="1"/>
  <c r="CO174" i="1" a="1"/>
  <c r="CO174" i="1" s="1"/>
  <c r="CP174" i="1" a="1"/>
  <c r="CP174" i="1" s="1"/>
  <c r="CQ174" i="1" a="1"/>
  <c r="CQ174" i="1" s="1"/>
  <c r="BY175" i="1" a="1"/>
  <c r="BY175" i="1" s="1"/>
  <c r="BZ175" i="1" a="1"/>
  <c r="BZ175" i="1" s="1"/>
  <c r="CA175" i="1" a="1"/>
  <c r="CA175" i="1" s="1"/>
  <c r="CB175" i="1" a="1"/>
  <c r="CB175" i="1" s="1"/>
  <c r="CC175" i="1" a="1"/>
  <c r="CC175" i="1" s="1"/>
  <c r="CD175" i="1" a="1"/>
  <c r="CD175" i="1" s="1"/>
  <c r="CE175" i="1" a="1"/>
  <c r="CE175" i="1" s="1"/>
  <c r="CF175" i="1" a="1"/>
  <c r="CF175" i="1" s="1"/>
  <c r="CG175" i="1" a="1"/>
  <c r="CG175" i="1" s="1"/>
  <c r="CH175" i="1" a="1"/>
  <c r="CH175" i="1" s="1"/>
  <c r="CI175" i="1" a="1"/>
  <c r="CI175" i="1" s="1"/>
  <c r="CJ175" i="1" a="1"/>
  <c r="CJ175" i="1" s="1"/>
  <c r="CK175" i="1" a="1"/>
  <c r="CK175" i="1" s="1"/>
  <c r="CL175" i="1" a="1"/>
  <c r="CL175" i="1" s="1"/>
  <c r="CM175" i="1" a="1"/>
  <c r="CM175" i="1" s="1"/>
  <c r="CN175" i="1" a="1"/>
  <c r="CN175" i="1" s="1"/>
  <c r="CO175" i="1" a="1"/>
  <c r="CO175" i="1" s="1"/>
  <c r="CP175" i="1" a="1"/>
  <c r="CP175" i="1" s="1"/>
  <c r="CQ175" i="1" a="1"/>
  <c r="CQ175" i="1" s="1"/>
  <c r="BY176" i="1" a="1"/>
  <c r="BY176" i="1" s="1"/>
  <c r="BZ176" i="1" a="1"/>
  <c r="BZ176" i="1" s="1"/>
  <c r="CA176" i="1" a="1"/>
  <c r="CA176" i="1" s="1"/>
  <c r="CB176" i="1" a="1"/>
  <c r="CB176" i="1" s="1"/>
  <c r="CC176" i="1" a="1"/>
  <c r="CC176" i="1" s="1"/>
  <c r="CD176" i="1" a="1"/>
  <c r="CD176" i="1" s="1"/>
  <c r="CE176" i="1" a="1"/>
  <c r="CE176" i="1" s="1"/>
  <c r="CF176" i="1" a="1"/>
  <c r="CF176" i="1" s="1"/>
  <c r="CG176" i="1" a="1"/>
  <c r="CG176" i="1" s="1"/>
  <c r="CH176" i="1" a="1"/>
  <c r="CH176" i="1" s="1"/>
  <c r="CI176" i="1" a="1"/>
  <c r="CI176" i="1"/>
  <c r="CJ176" i="1" a="1"/>
  <c r="CJ176" i="1" s="1"/>
  <c r="CK176" i="1" a="1"/>
  <c r="CK176" i="1" s="1"/>
  <c r="CL176" i="1" a="1"/>
  <c r="CL176" i="1" s="1"/>
  <c r="CM176" i="1" a="1"/>
  <c r="CM176" i="1" s="1"/>
  <c r="CN176" i="1" a="1"/>
  <c r="CN176" i="1" s="1"/>
  <c r="CO176" i="1" a="1"/>
  <c r="CO176" i="1" s="1"/>
  <c r="CP176" i="1" a="1"/>
  <c r="CP176" i="1" s="1"/>
  <c r="CQ176" i="1" a="1"/>
  <c r="CQ176" i="1" s="1"/>
  <c r="BY177" i="1" a="1"/>
  <c r="BY177" i="1" s="1"/>
  <c r="BZ177" i="1" a="1"/>
  <c r="BZ177" i="1" s="1"/>
  <c r="CA177" i="1" a="1"/>
  <c r="CA177" i="1" s="1"/>
  <c r="CB177" i="1" a="1"/>
  <c r="CB177" i="1" s="1"/>
  <c r="CC177" i="1" a="1"/>
  <c r="CC177" i="1" s="1"/>
  <c r="CD177" i="1" a="1"/>
  <c r="CD177" i="1" s="1"/>
  <c r="CE177" i="1" a="1"/>
  <c r="CE177" i="1" s="1"/>
  <c r="CF177" i="1" a="1"/>
  <c r="CF177" i="1" s="1"/>
  <c r="CG177" i="1" a="1"/>
  <c r="CG177" i="1" s="1"/>
  <c r="CH177" i="1" a="1"/>
  <c r="CH177" i="1" s="1"/>
  <c r="CI177" i="1" a="1"/>
  <c r="CI177" i="1" s="1"/>
  <c r="CJ177" i="1" a="1"/>
  <c r="CJ177" i="1" s="1"/>
  <c r="CK177" i="1" a="1"/>
  <c r="CK177" i="1" s="1"/>
  <c r="CL177" i="1" a="1"/>
  <c r="CL177" i="1" s="1"/>
  <c r="CM177" i="1" a="1"/>
  <c r="CM177" i="1" s="1"/>
  <c r="CN177" i="1" a="1"/>
  <c r="CN177" i="1"/>
  <c r="CO177" i="1" a="1"/>
  <c r="CO177" i="1" s="1"/>
  <c r="CP177" i="1" a="1"/>
  <c r="CP177" i="1" s="1"/>
  <c r="CQ177" i="1" a="1"/>
  <c r="CQ177" i="1" s="1"/>
  <c r="BY178" i="1" a="1"/>
  <c r="BY178" i="1" s="1"/>
  <c r="BZ178" i="1" a="1"/>
  <c r="BZ178" i="1" s="1"/>
  <c r="CA178" i="1" a="1"/>
  <c r="CA178" i="1" s="1"/>
  <c r="CB178" i="1" a="1"/>
  <c r="CB178" i="1" s="1"/>
  <c r="CC178" i="1" a="1"/>
  <c r="CC178" i="1" s="1"/>
  <c r="CD178" i="1" a="1"/>
  <c r="CD178" i="1" s="1"/>
  <c r="CE178" i="1" a="1"/>
  <c r="CE178" i="1" s="1"/>
  <c r="CF178" i="1" a="1"/>
  <c r="CF178" i="1" s="1"/>
  <c r="CG178" i="1" a="1"/>
  <c r="CG178" i="1" s="1"/>
  <c r="CH178" i="1" a="1"/>
  <c r="CH178" i="1" s="1"/>
  <c r="CI178" i="1" a="1"/>
  <c r="CI178" i="1" s="1"/>
  <c r="CJ178" i="1" a="1"/>
  <c r="CJ178" i="1" s="1"/>
  <c r="CK178" i="1" a="1"/>
  <c r="CK178" i="1" s="1"/>
  <c r="CL178" i="1" a="1"/>
  <c r="CL178" i="1" s="1"/>
  <c r="CM178" i="1" a="1"/>
  <c r="CM178" i="1" s="1"/>
  <c r="CN178" i="1" a="1"/>
  <c r="CN178" i="1" s="1"/>
  <c r="CO178" i="1" a="1"/>
  <c r="CO178" i="1" s="1"/>
  <c r="CP178" i="1" a="1"/>
  <c r="CP178" i="1" s="1"/>
  <c r="CQ178" i="1" a="1"/>
  <c r="CQ178" i="1" s="1"/>
  <c r="BY179" i="1" a="1"/>
  <c r="BY179" i="1" s="1"/>
  <c r="BZ179" i="1" a="1"/>
  <c r="BZ179" i="1" s="1"/>
  <c r="CA179" i="1" a="1"/>
  <c r="CA179" i="1" s="1"/>
  <c r="CB179" i="1" a="1"/>
  <c r="CB179" i="1" s="1"/>
  <c r="CC179" i="1" a="1"/>
  <c r="CC179" i="1" s="1"/>
  <c r="CD179" i="1" a="1"/>
  <c r="CD179" i="1" s="1"/>
  <c r="CE179" i="1" a="1"/>
  <c r="CE179" i="1" s="1"/>
  <c r="CF179" i="1" a="1"/>
  <c r="CF179" i="1" s="1"/>
  <c r="CG179" i="1" a="1"/>
  <c r="CG179" i="1" s="1"/>
  <c r="CH179" i="1" a="1"/>
  <c r="CH179" i="1" s="1"/>
  <c r="CI179" i="1" a="1"/>
  <c r="CI179" i="1" s="1"/>
  <c r="CJ179" i="1" a="1"/>
  <c r="CJ179" i="1" s="1"/>
  <c r="CK179" i="1" a="1"/>
  <c r="CK179" i="1" s="1"/>
  <c r="CL179" i="1" a="1"/>
  <c r="CL179" i="1" s="1"/>
  <c r="CM179" i="1" a="1"/>
  <c r="CM179" i="1" s="1"/>
  <c r="CN179" i="1" a="1"/>
  <c r="CN179" i="1" s="1"/>
  <c r="CO179" i="1" a="1"/>
  <c r="CO179" i="1" s="1"/>
  <c r="CP179" i="1" a="1"/>
  <c r="CP179" i="1" s="1"/>
  <c r="CQ179" i="1" a="1"/>
  <c r="CQ179" i="1" s="1"/>
  <c r="BY180" i="1" a="1"/>
  <c r="BY180" i="1" s="1"/>
  <c r="BZ180" i="1" a="1"/>
  <c r="BZ180" i="1" s="1"/>
  <c r="CA180" i="1" a="1"/>
  <c r="CA180" i="1" s="1"/>
  <c r="CB180" i="1" a="1"/>
  <c r="CB180" i="1" s="1"/>
  <c r="CC180" i="1" a="1"/>
  <c r="CC180" i="1" s="1"/>
  <c r="CD180" i="1" a="1"/>
  <c r="CD180" i="1" s="1"/>
  <c r="CE180" i="1" a="1"/>
  <c r="CE180" i="1" s="1"/>
  <c r="CF180" i="1" a="1"/>
  <c r="CF180" i="1" s="1"/>
  <c r="CG180" i="1" a="1"/>
  <c r="CG180" i="1" s="1"/>
  <c r="CH180" i="1" a="1"/>
  <c r="CH180" i="1" s="1"/>
  <c r="CI180" i="1" a="1"/>
  <c r="CI180" i="1" s="1"/>
  <c r="CJ180" i="1" a="1"/>
  <c r="CJ180" i="1" s="1"/>
  <c r="CK180" i="1" a="1"/>
  <c r="CK180" i="1" s="1"/>
  <c r="CL180" i="1" a="1"/>
  <c r="CL180" i="1" s="1"/>
  <c r="CM180" i="1" a="1"/>
  <c r="CM180" i="1" s="1"/>
  <c r="CN180" i="1" a="1"/>
  <c r="CN180" i="1" s="1"/>
  <c r="CO180" i="1" a="1"/>
  <c r="CO180" i="1" s="1"/>
  <c r="CP180" i="1" a="1"/>
  <c r="CP180" i="1" s="1"/>
  <c r="CQ180" i="1" a="1"/>
  <c r="CQ180" i="1" s="1"/>
  <c r="BY181" i="1" a="1"/>
  <c r="BY181" i="1" s="1"/>
  <c r="BZ181" i="1" a="1"/>
  <c r="BZ181" i="1" s="1"/>
  <c r="CA181" i="1" a="1"/>
  <c r="CA181" i="1" s="1"/>
  <c r="CB181" i="1" a="1"/>
  <c r="CB181" i="1"/>
  <c r="CC181" i="1" a="1"/>
  <c r="CC181" i="1" s="1"/>
  <c r="CD181" i="1" a="1"/>
  <c r="CD181" i="1" s="1"/>
  <c r="CE181" i="1" a="1"/>
  <c r="CE181" i="1" s="1"/>
  <c r="CF181" i="1" a="1"/>
  <c r="CF181" i="1" s="1"/>
  <c r="CG181" i="1" a="1"/>
  <c r="CG181" i="1" s="1"/>
  <c r="CH181" i="1" a="1"/>
  <c r="CH181" i="1" s="1"/>
  <c r="CI181" i="1" a="1"/>
  <c r="CI181" i="1" s="1"/>
  <c r="CJ181" i="1" a="1"/>
  <c r="CJ181" i="1" s="1"/>
  <c r="CK181" i="1" a="1"/>
  <c r="CK181" i="1" s="1"/>
  <c r="CL181" i="1" a="1"/>
  <c r="CL181" i="1" s="1"/>
  <c r="CM181" i="1" a="1"/>
  <c r="CM181" i="1" s="1"/>
  <c r="CN181" i="1" a="1"/>
  <c r="CN181" i="1" s="1"/>
  <c r="CO181" i="1" a="1"/>
  <c r="CO181" i="1" s="1"/>
  <c r="CP181" i="1" a="1"/>
  <c r="CP181" i="1" s="1"/>
  <c r="CQ181" i="1" a="1"/>
  <c r="CQ181" i="1" s="1"/>
  <c r="BY182" i="1" a="1"/>
  <c r="BY182" i="1" s="1"/>
  <c r="BZ182" i="1" a="1"/>
  <c r="BZ182" i="1" s="1"/>
  <c r="CA182" i="1" a="1"/>
  <c r="CA182" i="1" s="1"/>
  <c r="CB182" i="1" a="1"/>
  <c r="CB182" i="1" s="1"/>
  <c r="CC182" i="1" a="1"/>
  <c r="CC182" i="1" s="1"/>
  <c r="CD182" i="1" a="1"/>
  <c r="CD182" i="1" s="1"/>
  <c r="CE182" i="1" a="1"/>
  <c r="CE182" i="1" s="1"/>
  <c r="CF182" i="1" a="1"/>
  <c r="CF182" i="1" s="1"/>
  <c r="CG182" i="1" a="1"/>
  <c r="CG182" i="1" s="1"/>
  <c r="CH182" i="1" a="1"/>
  <c r="CH182" i="1" s="1"/>
  <c r="CI182" i="1" a="1"/>
  <c r="CI182" i="1" s="1"/>
  <c r="CJ182" i="1" a="1"/>
  <c r="CJ182" i="1" s="1"/>
  <c r="CK182" i="1" a="1"/>
  <c r="CK182" i="1" s="1"/>
  <c r="CL182" i="1" a="1"/>
  <c r="CL182" i="1" s="1"/>
  <c r="CM182" i="1" a="1"/>
  <c r="CM182" i="1" s="1"/>
  <c r="CN182" i="1" a="1"/>
  <c r="CN182" i="1" s="1"/>
  <c r="CO182" i="1" a="1"/>
  <c r="CO182" i="1" s="1"/>
  <c r="CP182" i="1" a="1"/>
  <c r="CP182" i="1" s="1"/>
  <c r="CQ182" i="1" a="1"/>
  <c r="CQ182" i="1" s="1"/>
  <c r="BY183" i="1" a="1"/>
  <c r="BY183" i="1" s="1"/>
  <c r="BZ183" i="1" a="1"/>
  <c r="BZ183" i="1" s="1"/>
  <c r="CA183" i="1" a="1"/>
  <c r="CA183" i="1" s="1"/>
  <c r="CB183" i="1" a="1"/>
  <c r="CB183" i="1" s="1"/>
  <c r="CC183" i="1" a="1"/>
  <c r="CC183" i="1" s="1"/>
  <c r="CD183" i="1" a="1"/>
  <c r="CD183" i="1" s="1"/>
  <c r="CE183" i="1" a="1"/>
  <c r="CE183" i="1" s="1"/>
  <c r="CF183" i="1" a="1"/>
  <c r="CF183" i="1" s="1"/>
  <c r="CG183" i="1" a="1"/>
  <c r="CG183" i="1" s="1"/>
  <c r="CH183" i="1" a="1"/>
  <c r="CH183" i="1" s="1"/>
  <c r="CI183" i="1" a="1"/>
  <c r="CI183" i="1" s="1"/>
  <c r="CJ183" i="1" a="1"/>
  <c r="CJ183" i="1" s="1"/>
  <c r="CK183" i="1" a="1"/>
  <c r="CK183" i="1" s="1"/>
  <c r="CL183" i="1" a="1"/>
  <c r="CL183" i="1" s="1"/>
  <c r="CM183" i="1" a="1"/>
  <c r="CM183" i="1" s="1"/>
  <c r="CN183" i="1" a="1"/>
  <c r="CN183" i="1" s="1"/>
  <c r="CO183" i="1" a="1"/>
  <c r="CO183" i="1" s="1"/>
  <c r="CP183" i="1" a="1"/>
  <c r="CP183" i="1" s="1"/>
  <c r="CQ183" i="1" a="1"/>
  <c r="CQ183" i="1" s="1"/>
  <c r="BY184" i="1" a="1"/>
  <c r="BY184" i="1" s="1"/>
  <c r="BZ184" i="1" a="1"/>
  <c r="BZ184" i="1" s="1"/>
  <c r="CA184" i="1" a="1"/>
  <c r="CA184" i="1" s="1"/>
  <c r="CB184" i="1" a="1"/>
  <c r="CB184" i="1" s="1"/>
  <c r="CC184" i="1" a="1"/>
  <c r="CC184" i="1" s="1"/>
  <c r="CD184" i="1" a="1"/>
  <c r="CD184" i="1" s="1"/>
  <c r="CE184" i="1" a="1"/>
  <c r="CE184" i="1" s="1"/>
  <c r="CF184" i="1" a="1"/>
  <c r="CF184" i="1" s="1"/>
  <c r="CG184" i="1" a="1"/>
  <c r="CG184" i="1" s="1"/>
  <c r="CH184" i="1" a="1"/>
  <c r="CH184" i="1" s="1"/>
  <c r="CI184" i="1" a="1"/>
  <c r="CI184" i="1"/>
  <c r="CJ184" i="1" a="1"/>
  <c r="CJ184" i="1" s="1"/>
  <c r="CK184" i="1" a="1"/>
  <c r="CK184" i="1" s="1"/>
  <c r="CL184" i="1" a="1"/>
  <c r="CL184" i="1" s="1"/>
  <c r="CM184" i="1" a="1"/>
  <c r="CM184" i="1" s="1"/>
  <c r="CN184" i="1" a="1"/>
  <c r="CN184" i="1" s="1"/>
  <c r="CO184" i="1" a="1"/>
  <c r="CO184" i="1" s="1"/>
  <c r="CP184" i="1" a="1"/>
  <c r="CP184" i="1" s="1"/>
  <c r="CQ184" i="1" a="1"/>
  <c r="CQ184" i="1" s="1"/>
  <c r="BY185" i="1" a="1"/>
  <c r="BY185" i="1" s="1"/>
  <c r="BZ185" i="1" a="1"/>
  <c r="BZ185" i="1" s="1"/>
  <c r="CA185" i="1" a="1"/>
  <c r="CA185" i="1" s="1"/>
  <c r="CB185" i="1" a="1"/>
  <c r="CB185" i="1" s="1"/>
  <c r="CC185" i="1" a="1"/>
  <c r="CC185" i="1" s="1"/>
  <c r="CD185" i="1" a="1"/>
  <c r="CD185" i="1" s="1"/>
  <c r="CE185" i="1" a="1"/>
  <c r="CE185" i="1" s="1"/>
  <c r="CF185" i="1" a="1"/>
  <c r="CF185" i="1" s="1"/>
  <c r="CG185" i="1" a="1"/>
  <c r="CG185" i="1" s="1"/>
  <c r="CH185" i="1" a="1"/>
  <c r="CH185" i="1" s="1"/>
  <c r="CI185" i="1" a="1"/>
  <c r="CI185" i="1" s="1"/>
  <c r="CJ185" i="1" a="1"/>
  <c r="CJ185" i="1" s="1"/>
  <c r="CK185" i="1" a="1"/>
  <c r="CK185" i="1" s="1"/>
  <c r="CL185" i="1" a="1"/>
  <c r="CL185" i="1" s="1"/>
  <c r="CM185" i="1" a="1"/>
  <c r="CM185" i="1" s="1"/>
  <c r="CN185" i="1" a="1"/>
  <c r="CN185" i="1" s="1"/>
  <c r="CO185" i="1" a="1"/>
  <c r="CO185" i="1" s="1"/>
  <c r="CP185" i="1" a="1"/>
  <c r="CP185" i="1" s="1"/>
  <c r="CQ185" i="1" a="1"/>
  <c r="CQ185" i="1" s="1"/>
  <c r="BY186" i="1" a="1"/>
  <c r="BY186" i="1" s="1"/>
  <c r="BZ186" i="1" a="1"/>
  <c r="BZ186" i="1" s="1"/>
  <c r="CA186" i="1" a="1"/>
  <c r="CA186" i="1" s="1"/>
  <c r="CB186" i="1" a="1"/>
  <c r="CB186" i="1" s="1"/>
  <c r="CC186" i="1" a="1"/>
  <c r="CC186" i="1"/>
  <c r="CD186" i="1" a="1"/>
  <c r="CD186" i="1" s="1"/>
  <c r="CE186" i="1" a="1"/>
  <c r="CE186" i="1" s="1"/>
  <c r="CF186" i="1" a="1"/>
  <c r="CF186" i="1" s="1"/>
  <c r="CG186" i="1" a="1"/>
  <c r="CG186" i="1" s="1"/>
  <c r="CH186" i="1" a="1"/>
  <c r="CH186" i="1" s="1"/>
  <c r="CI186" i="1" a="1"/>
  <c r="CI186" i="1" s="1"/>
  <c r="CJ186" i="1" a="1"/>
  <c r="CJ186" i="1" s="1"/>
  <c r="CK186" i="1" a="1"/>
  <c r="CK186" i="1" s="1"/>
  <c r="CL186" i="1" a="1"/>
  <c r="CL186" i="1" s="1"/>
  <c r="CM186" i="1" a="1"/>
  <c r="CM186" i="1" s="1"/>
  <c r="CN186" i="1" a="1"/>
  <c r="CN186" i="1" s="1"/>
  <c r="CO186" i="1" a="1"/>
  <c r="CO186" i="1" s="1"/>
  <c r="CP186" i="1" a="1"/>
  <c r="CP186" i="1" s="1"/>
  <c r="CQ186" i="1" a="1"/>
  <c r="CQ186" i="1" s="1"/>
  <c r="BY187" i="1" a="1"/>
  <c r="BY187" i="1" s="1"/>
  <c r="BZ187" i="1" a="1"/>
  <c r="BZ187" i="1" s="1"/>
  <c r="CA187" i="1" a="1"/>
  <c r="CA187" i="1" s="1"/>
  <c r="CB187" i="1" a="1"/>
  <c r="CB187" i="1" s="1"/>
  <c r="CC187" i="1" a="1"/>
  <c r="CC187" i="1" s="1"/>
  <c r="CD187" i="1" a="1"/>
  <c r="CD187" i="1" s="1"/>
  <c r="CE187" i="1" a="1"/>
  <c r="CE187" i="1" s="1"/>
  <c r="CF187" i="1" a="1"/>
  <c r="CF187" i="1" s="1"/>
  <c r="CG187" i="1" a="1"/>
  <c r="CG187" i="1" s="1"/>
  <c r="CH187" i="1" a="1"/>
  <c r="CH187" i="1" s="1"/>
  <c r="CI187" i="1" a="1"/>
  <c r="CI187" i="1" s="1"/>
  <c r="CJ187" i="1" a="1"/>
  <c r="CJ187" i="1" s="1"/>
  <c r="CK187" i="1" a="1"/>
  <c r="CK187" i="1" s="1"/>
  <c r="CL187" i="1" a="1"/>
  <c r="CL187" i="1" s="1"/>
  <c r="CM187" i="1" a="1"/>
  <c r="CM187" i="1" s="1"/>
  <c r="CN187" i="1" a="1"/>
  <c r="CN187" i="1" s="1"/>
  <c r="CO187" i="1" a="1"/>
  <c r="CO187" i="1" s="1"/>
  <c r="CP187" i="1" a="1"/>
  <c r="CP187" i="1" s="1"/>
  <c r="CQ187" i="1" a="1"/>
  <c r="CQ187" i="1" s="1"/>
  <c r="BY188" i="1" a="1"/>
  <c r="BY188" i="1" s="1"/>
  <c r="BZ188" i="1" a="1"/>
  <c r="BZ188" i="1" s="1"/>
  <c r="CA188" i="1" a="1"/>
  <c r="CA188" i="1" s="1"/>
  <c r="CB188" i="1" a="1"/>
  <c r="CB188" i="1" s="1"/>
  <c r="CC188" i="1" a="1"/>
  <c r="CC188" i="1" s="1"/>
  <c r="CD188" i="1" a="1"/>
  <c r="CD188" i="1" s="1"/>
  <c r="CE188" i="1" a="1"/>
  <c r="CE188" i="1" s="1"/>
  <c r="CF188" i="1" a="1"/>
  <c r="CF188" i="1" s="1"/>
  <c r="CG188" i="1" a="1"/>
  <c r="CG188" i="1" s="1"/>
  <c r="CH188" i="1" a="1"/>
  <c r="CH188" i="1" s="1"/>
  <c r="CI188" i="1" a="1"/>
  <c r="CI188" i="1" s="1"/>
  <c r="CJ188" i="1" a="1"/>
  <c r="CJ188" i="1" s="1"/>
  <c r="CK188" i="1" a="1"/>
  <c r="CK188" i="1" s="1"/>
  <c r="CL188" i="1" a="1"/>
  <c r="CL188" i="1" s="1"/>
  <c r="CM188" i="1" a="1"/>
  <c r="CM188" i="1" s="1"/>
  <c r="CN188" i="1" a="1"/>
  <c r="CN188" i="1" s="1"/>
  <c r="CO188" i="1" a="1"/>
  <c r="CO188" i="1" s="1"/>
  <c r="CP188" i="1" a="1"/>
  <c r="CP188" i="1" s="1"/>
  <c r="CQ188" i="1" a="1"/>
  <c r="CQ188" i="1" s="1"/>
  <c r="BY189" i="1" a="1"/>
  <c r="BY189" i="1" s="1"/>
  <c r="BZ189" i="1" a="1"/>
  <c r="BZ189" i="1" s="1"/>
  <c r="CA189" i="1" a="1"/>
  <c r="CA189" i="1" s="1"/>
  <c r="CB189" i="1" a="1"/>
  <c r="CB189" i="1" s="1"/>
  <c r="CC189" i="1" a="1"/>
  <c r="CC189" i="1" s="1"/>
  <c r="CD189" i="1" a="1"/>
  <c r="CD189" i="1" s="1"/>
  <c r="CE189" i="1" a="1"/>
  <c r="CE189" i="1" s="1"/>
  <c r="BV189" i="1" s="1"/>
  <c r="CF189" i="1" a="1"/>
  <c r="CF189" i="1" s="1"/>
  <c r="CG189" i="1" a="1"/>
  <c r="CG189" i="1" s="1"/>
  <c r="CH189" i="1" a="1"/>
  <c r="CH189" i="1" s="1"/>
  <c r="CI189" i="1" a="1"/>
  <c r="CI189" i="1" s="1"/>
  <c r="CJ189" i="1" a="1"/>
  <c r="CJ189" i="1"/>
  <c r="CK189" i="1" a="1"/>
  <c r="CK189" i="1" s="1"/>
  <c r="CL189" i="1" a="1"/>
  <c r="CL189" i="1" s="1"/>
  <c r="CM189" i="1" a="1"/>
  <c r="CM189" i="1" s="1"/>
  <c r="CN189" i="1" a="1"/>
  <c r="CN189" i="1" s="1"/>
  <c r="CO189" i="1" a="1"/>
  <c r="CO189" i="1" s="1"/>
  <c r="CP189" i="1" a="1"/>
  <c r="CP189" i="1" s="1"/>
  <c r="CQ189" i="1" a="1"/>
  <c r="CQ189" i="1" s="1"/>
  <c r="BY190" i="1" a="1"/>
  <c r="BY190" i="1" s="1"/>
  <c r="BZ190" i="1" a="1"/>
  <c r="BZ190" i="1" s="1"/>
  <c r="CA190" i="1" a="1"/>
  <c r="CA190" i="1" s="1"/>
  <c r="CB190" i="1" a="1"/>
  <c r="CB190" i="1" s="1"/>
  <c r="CC190" i="1" a="1"/>
  <c r="CC190" i="1" s="1"/>
  <c r="CD190" i="1" a="1"/>
  <c r="CD190" i="1" s="1"/>
  <c r="CE190" i="1" a="1"/>
  <c r="CE190" i="1" s="1"/>
  <c r="CF190" i="1" a="1"/>
  <c r="CF190" i="1" s="1"/>
  <c r="CG190" i="1" a="1"/>
  <c r="CG190" i="1" s="1"/>
  <c r="CH190" i="1" a="1"/>
  <c r="CH190" i="1" s="1"/>
  <c r="CI190" i="1" a="1"/>
  <c r="CI190" i="1" s="1"/>
  <c r="CJ190" i="1" a="1"/>
  <c r="CJ190" i="1" s="1"/>
  <c r="CK190" i="1" a="1"/>
  <c r="CK190" i="1" s="1"/>
  <c r="CL190" i="1" a="1"/>
  <c r="CL190" i="1" s="1"/>
  <c r="CM190" i="1" a="1"/>
  <c r="CM190" i="1" s="1"/>
  <c r="CN190" i="1" a="1"/>
  <c r="CN190" i="1" s="1"/>
  <c r="CO190" i="1" a="1"/>
  <c r="CO190" i="1"/>
  <c r="CP190" i="1" a="1"/>
  <c r="CP190" i="1" s="1"/>
  <c r="CQ190" i="1" a="1"/>
  <c r="CQ190" i="1" s="1"/>
  <c r="BY191" i="1" a="1"/>
  <c r="BY191" i="1" s="1"/>
  <c r="BZ191" i="1" a="1"/>
  <c r="BZ191" i="1" s="1"/>
  <c r="CA191" i="1" a="1"/>
  <c r="CA191" i="1" s="1"/>
  <c r="CB191" i="1" a="1"/>
  <c r="CB191" i="1" s="1"/>
  <c r="CC191" i="1" a="1"/>
  <c r="CC191" i="1" s="1"/>
  <c r="CD191" i="1" a="1"/>
  <c r="CD191" i="1"/>
  <c r="CE191" i="1" a="1"/>
  <c r="CE191" i="1" s="1"/>
  <c r="CF191" i="1" a="1"/>
  <c r="CF191" i="1" s="1"/>
  <c r="CG191" i="1" a="1"/>
  <c r="CG191" i="1" s="1"/>
  <c r="CH191" i="1" a="1"/>
  <c r="CH191" i="1" s="1"/>
  <c r="CI191" i="1" a="1"/>
  <c r="CI191" i="1" s="1"/>
  <c r="CJ191" i="1" a="1"/>
  <c r="CJ191" i="1" s="1"/>
  <c r="CK191" i="1" a="1"/>
  <c r="CK191" i="1" s="1"/>
  <c r="CL191" i="1" a="1"/>
  <c r="CL191" i="1" s="1"/>
  <c r="CM191" i="1" a="1"/>
  <c r="CM191" i="1" s="1"/>
  <c r="CN191" i="1" a="1"/>
  <c r="CN191" i="1" s="1"/>
  <c r="CO191" i="1" a="1"/>
  <c r="CO191" i="1" s="1"/>
  <c r="CP191" i="1" a="1"/>
  <c r="CP191" i="1" s="1"/>
  <c r="CQ191" i="1" a="1"/>
  <c r="CQ191" i="1" s="1"/>
  <c r="BY192" i="1" a="1"/>
  <c r="BY192" i="1" s="1"/>
  <c r="BZ192" i="1" a="1"/>
  <c r="BZ192" i="1" s="1"/>
  <c r="CA192" i="1" a="1"/>
  <c r="CA192" i="1" s="1"/>
  <c r="CB192" i="1" a="1"/>
  <c r="CB192" i="1" s="1"/>
  <c r="CC192" i="1" a="1"/>
  <c r="CC192" i="1" s="1"/>
  <c r="CD192" i="1" a="1"/>
  <c r="CD192" i="1" s="1"/>
  <c r="CE192" i="1" a="1"/>
  <c r="CE192" i="1" s="1"/>
  <c r="CF192" i="1" a="1"/>
  <c r="CF192" i="1" s="1"/>
  <c r="CG192" i="1" a="1"/>
  <c r="CG192" i="1" s="1"/>
  <c r="CH192" i="1" a="1"/>
  <c r="CH192" i="1" s="1"/>
  <c r="CI192" i="1" a="1"/>
  <c r="CI192" i="1" s="1"/>
  <c r="CJ192" i="1" a="1"/>
  <c r="CJ192" i="1" s="1"/>
  <c r="CK192" i="1" a="1"/>
  <c r="CK192" i="1" s="1"/>
  <c r="CL192" i="1" a="1"/>
  <c r="CL192" i="1" s="1"/>
  <c r="CM192" i="1" a="1"/>
  <c r="CM192" i="1" s="1"/>
  <c r="CN192" i="1" a="1"/>
  <c r="CN192" i="1" s="1"/>
  <c r="CO192" i="1" a="1"/>
  <c r="CO192" i="1" s="1"/>
  <c r="CP192" i="1" a="1"/>
  <c r="CP192" i="1" s="1"/>
  <c r="CQ192" i="1" a="1"/>
  <c r="CQ192" i="1" s="1"/>
  <c r="BY193" i="1" a="1"/>
  <c r="BY193" i="1" s="1"/>
  <c r="BZ193" i="1" a="1"/>
  <c r="BZ193" i="1" s="1"/>
  <c r="CA193" i="1" a="1"/>
  <c r="CA193" i="1" s="1"/>
  <c r="CB193" i="1" a="1"/>
  <c r="CB193" i="1" s="1"/>
  <c r="CC193" i="1" a="1"/>
  <c r="CC193" i="1" s="1"/>
  <c r="CD193" i="1" a="1"/>
  <c r="CD193" i="1" s="1"/>
  <c r="CE193" i="1" a="1"/>
  <c r="CE193" i="1" s="1"/>
  <c r="CF193" i="1" a="1"/>
  <c r="CF193" i="1" s="1"/>
  <c r="CG193" i="1" a="1"/>
  <c r="CG193" i="1" s="1"/>
  <c r="CH193" i="1" a="1"/>
  <c r="CH193" i="1" s="1"/>
  <c r="CI193" i="1" a="1"/>
  <c r="CI193" i="1" s="1"/>
  <c r="CJ193" i="1" a="1"/>
  <c r="CJ193" i="1" s="1"/>
  <c r="CK193" i="1" a="1"/>
  <c r="CK193" i="1" s="1"/>
  <c r="CL193" i="1" a="1"/>
  <c r="CL193" i="1" s="1"/>
  <c r="CM193" i="1" a="1"/>
  <c r="CM193" i="1" s="1"/>
  <c r="CN193" i="1" a="1"/>
  <c r="CN193" i="1" s="1"/>
  <c r="CO193" i="1" a="1"/>
  <c r="CO193" i="1" s="1"/>
  <c r="CP193" i="1" a="1"/>
  <c r="CP193" i="1" s="1"/>
  <c r="CQ193" i="1" a="1"/>
  <c r="CQ193" i="1" s="1"/>
  <c r="BY194" i="1" a="1"/>
  <c r="BY194" i="1" s="1"/>
  <c r="BZ194" i="1" a="1"/>
  <c r="BZ194" i="1" s="1"/>
  <c r="CA194" i="1" a="1"/>
  <c r="CA194" i="1" s="1"/>
  <c r="CB194" i="1" a="1"/>
  <c r="CB194" i="1" s="1"/>
  <c r="CC194" i="1" a="1"/>
  <c r="CC194" i="1" s="1"/>
  <c r="CD194" i="1" a="1"/>
  <c r="CD194" i="1" s="1"/>
  <c r="CE194" i="1" a="1"/>
  <c r="CE194" i="1" s="1"/>
  <c r="CF194" i="1" a="1"/>
  <c r="CF194" i="1" s="1"/>
  <c r="CG194" i="1" a="1"/>
  <c r="CG194" i="1" s="1"/>
  <c r="CH194" i="1" a="1"/>
  <c r="CH194" i="1" s="1"/>
  <c r="CI194" i="1" a="1"/>
  <c r="CI194" i="1" s="1"/>
  <c r="CJ194" i="1" a="1"/>
  <c r="CJ194" i="1" s="1"/>
  <c r="CK194" i="1" a="1"/>
  <c r="CK194" i="1"/>
  <c r="CL194" i="1" a="1"/>
  <c r="CL194" i="1" s="1"/>
  <c r="CM194" i="1" a="1"/>
  <c r="CM194" i="1" s="1"/>
  <c r="CN194" i="1" a="1"/>
  <c r="CN194" i="1" s="1"/>
  <c r="CO194" i="1" a="1"/>
  <c r="CO194" i="1" s="1"/>
  <c r="CP194" i="1" a="1"/>
  <c r="CP194" i="1" s="1"/>
  <c r="CQ194" i="1" a="1"/>
  <c r="CQ194" i="1" s="1"/>
  <c r="BY195" i="1" a="1"/>
  <c r="BY195" i="1" s="1"/>
  <c r="BZ195" i="1" a="1"/>
  <c r="BZ195" i="1"/>
  <c r="CA195" i="1" a="1"/>
  <c r="CA195" i="1" s="1"/>
  <c r="CB195" i="1" a="1"/>
  <c r="CB195" i="1" s="1"/>
  <c r="CC195" i="1" a="1"/>
  <c r="CC195" i="1" s="1"/>
  <c r="CD195" i="1" a="1"/>
  <c r="CD195" i="1" s="1"/>
  <c r="CE195" i="1" a="1"/>
  <c r="CE195" i="1" s="1"/>
  <c r="CF195" i="1" a="1"/>
  <c r="CF195" i="1" s="1"/>
  <c r="CG195" i="1" a="1"/>
  <c r="CG195" i="1" s="1"/>
  <c r="CH195" i="1" a="1"/>
  <c r="CH195" i="1" s="1"/>
  <c r="CI195" i="1" a="1"/>
  <c r="CI195" i="1" s="1"/>
  <c r="CJ195" i="1" a="1"/>
  <c r="CJ195" i="1" s="1"/>
  <c r="CK195" i="1" a="1"/>
  <c r="CK195" i="1" s="1"/>
  <c r="CL195" i="1" a="1"/>
  <c r="CL195" i="1" s="1"/>
  <c r="CM195" i="1" a="1"/>
  <c r="CM195" i="1" s="1"/>
  <c r="CN195" i="1" a="1"/>
  <c r="CN195" i="1" s="1"/>
  <c r="CO195" i="1" a="1"/>
  <c r="CO195" i="1" s="1"/>
  <c r="CP195" i="1" a="1"/>
  <c r="CP195" i="1" s="1"/>
  <c r="CQ195" i="1" a="1"/>
  <c r="CQ195" i="1" s="1"/>
  <c r="BY196" i="1" a="1"/>
  <c r="BY196" i="1" s="1"/>
  <c r="BZ196" i="1" a="1"/>
  <c r="BZ196" i="1" s="1"/>
  <c r="CA196" i="1" a="1"/>
  <c r="CA196" i="1" s="1"/>
  <c r="CB196" i="1" a="1"/>
  <c r="CB196" i="1" s="1"/>
  <c r="CC196" i="1" a="1"/>
  <c r="CC196" i="1" s="1"/>
  <c r="CD196" i="1" a="1"/>
  <c r="CD196" i="1" s="1"/>
  <c r="BP196" i="1" s="1"/>
  <c r="CE196" i="1" a="1"/>
  <c r="CE196" i="1" s="1"/>
  <c r="CF196" i="1" a="1"/>
  <c r="CF196" i="1" s="1"/>
  <c r="CG196" i="1" a="1"/>
  <c r="CG196" i="1" s="1"/>
  <c r="CH196" i="1" a="1"/>
  <c r="CH196" i="1" s="1"/>
  <c r="CI196" i="1" a="1"/>
  <c r="CI196" i="1" s="1"/>
  <c r="CJ196" i="1" a="1"/>
  <c r="CJ196" i="1" s="1"/>
  <c r="CK196" i="1" a="1"/>
  <c r="CK196" i="1" s="1"/>
  <c r="CL196" i="1" a="1"/>
  <c r="CL196" i="1"/>
  <c r="CM196" i="1" a="1"/>
  <c r="CM196" i="1"/>
  <c r="CN196" i="1" a="1"/>
  <c r="CN196" i="1" s="1"/>
  <c r="CO196" i="1" a="1"/>
  <c r="CO196" i="1" s="1"/>
  <c r="CP196" i="1" a="1"/>
  <c r="CP196" i="1" s="1"/>
  <c r="CQ196" i="1" a="1"/>
  <c r="CQ196" i="1" s="1"/>
  <c r="BY197" i="1" a="1"/>
  <c r="BY197" i="1" s="1"/>
  <c r="BZ197" i="1" a="1"/>
  <c r="BZ197" i="1" s="1"/>
  <c r="CA197" i="1" a="1"/>
  <c r="CA197" i="1"/>
  <c r="CB197" i="1" a="1"/>
  <c r="CB197" i="1" s="1"/>
  <c r="CC197" i="1" a="1"/>
  <c r="CC197" i="1" s="1"/>
  <c r="CD197" i="1" a="1"/>
  <c r="CD197" i="1" s="1"/>
  <c r="CE197" i="1" a="1"/>
  <c r="CE197" i="1" s="1"/>
  <c r="CF197" i="1" a="1"/>
  <c r="CF197" i="1" s="1"/>
  <c r="CG197" i="1" a="1"/>
  <c r="CG197" i="1" s="1"/>
  <c r="CH197" i="1" a="1"/>
  <c r="CH197" i="1" s="1"/>
  <c r="CI197" i="1" a="1"/>
  <c r="CI197" i="1" s="1"/>
  <c r="CJ197" i="1" a="1"/>
  <c r="CJ197" i="1" s="1"/>
  <c r="CK197" i="1" a="1"/>
  <c r="CK197" i="1" s="1"/>
  <c r="CL197" i="1" a="1"/>
  <c r="CL197" i="1" s="1"/>
  <c r="CM197" i="1" a="1"/>
  <c r="CM197" i="1" s="1"/>
  <c r="CN197" i="1" a="1"/>
  <c r="CN197" i="1" s="1"/>
  <c r="CO197" i="1" a="1"/>
  <c r="CO197" i="1" s="1"/>
  <c r="CP197" i="1" a="1"/>
  <c r="CP197" i="1" s="1"/>
  <c r="CQ197" i="1" a="1"/>
  <c r="CQ197" i="1" s="1"/>
  <c r="BY198" i="1" a="1"/>
  <c r="BY198" i="1" s="1"/>
  <c r="BZ198" i="1" a="1"/>
  <c r="BZ198" i="1" s="1"/>
  <c r="CA198" i="1" a="1"/>
  <c r="CA198" i="1" s="1"/>
  <c r="CB198" i="1" a="1"/>
  <c r="CB198" i="1" s="1"/>
  <c r="CC198" i="1" a="1"/>
  <c r="CC198" i="1" s="1"/>
  <c r="CD198" i="1" a="1"/>
  <c r="CD198" i="1" s="1"/>
  <c r="CE198" i="1" a="1"/>
  <c r="CE198" i="1" s="1"/>
  <c r="CF198" i="1" a="1"/>
  <c r="CF198" i="1" s="1"/>
  <c r="CG198" i="1" a="1"/>
  <c r="CG198" i="1" s="1"/>
  <c r="CH198" i="1" a="1"/>
  <c r="CH198" i="1" s="1"/>
  <c r="CI198" i="1" a="1"/>
  <c r="CI198" i="1" s="1"/>
  <c r="CJ198" i="1" a="1"/>
  <c r="CJ198" i="1" s="1"/>
  <c r="CK198" i="1" a="1"/>
  <c r="CK198" i="1" s="1"/>
  <c r="CL198" i="1" a="1"/>
  <c r="CL198" i="1" s="1"/>
  <c r="CM198" i="1" a="1"/>
  <c r="CM198" i="1" s="1"/>
  <c r="CN198" i="1" a="1"/>
  <c r="CN198" i="1" s="1"/>
  <c r="CO198" i="1" a="1"/>
  <c r="CO198" i="1" s="1"/>
  <c r="CP198" i="1" a="1"/>
  <c r="CP198" i="1" s="1"/>
  <c r="CQ198" i="1" a="1"/>
  <c r="CQ198" i="1" s="1"/>
  <c r="BY199" i="1" a="1"/>
  <c r="BY199" i="1" s="1"/>
  <c r="BZ199" i="1" a="1"/>
  <c r="BZ199" i="1" s="1"/>
  <c r="CA199" i="1" a="1"/>
  <c r="CA199" i="1" s="1"/>
  <c r="CB199" i="1" a="1"/>
  <c r="CB199" i="1" s="1"/>
  <c r="CC199" i="1" a="1"/>
  <c r="CC199" i="1" s="1"/>
  <c r="CD199" i="1" a="1"/>
  <c r="CD199" i="1" s="1"/>
  <c r="CE199" i="1" a="1"/>
  <c r="CE199" i="1" s="1"/>
  <c r="CF199" i="1" a="1"/>
  <c r="CF199" i="1" s="1"/>
  <c r="CG199" i="1" a="1"/>
  <c r="CG199" i="1" s="1"/>
  <c r="CH199" i="1" a="1"/>
  <c r="CH199" i="1" s="1"/>
  <c r="CI199" i="1" a="1"/>
  <c r="CI199" i="1" s="1"/>
  <c r="CJ199" i="1" a="1"/>
  <c r="CJ199" i="1" s="1"/>
  <c r="CK199" i="1" a="1"/>
  <c r="CK199" i="1" s="1"/>
  <c r="CL199" i="1" a="1"/>
  <c r="CL199" i="1" s="1"/>
  <c r="CM199" i="1" a="1"/>
  <c r="CM199" i="1" s="1"/>
  <c r="CN199" i="1" a="1"/>
  <c r="CN199" i="1" s="1"/>
  <c r="CO199" i="1" a="1"/>
  <c r="CO199" i="1" s="1"/>
  <c r="CP199" i="1" a="1"/>
  <c r="CP199" i="1" s="1"/>
  <c r="CQ199" i="1" a="1"/>
  <c r="CQ199" i="1" s="1"/>
  <c r="BY200" i="1" a="1"/>
  <c r="BY200" i="1" s="1"/>
  <c r="BZ200" i="1" a="1"/>
  <c r="BZ200" i="1" s="1"/>
  <c r="CA200" i="1" a="1"/>
  <c r="CA200" i="1" s="1"/>
  <c r="CB200" i="1" a="1"/>
  <c r="CB200" i="1" s="1"/>
  <c r="CC200" i="1" a="1"/>
  <c r="CC200" i="1" s="1"/>
  <c r="CD200" i="1" a="1"/>
  <c r="CD200" i="1" s="1"/>
  <c r="CE200" i="1" a="1"/>
  <c r="CE200" i="1" s="1"/>
  <c r="CF200" i="1" a="1"/>
  <c r="CF200" i="1" s="1"/>
  <c r="CG200" i="1" a="1"/>
  <c r="CG200" i="1" s="1"/>
  <c r="CH200" i="1" a="1"/>
  <c r="CH200" i="1"/>
  <c r="CI200" i="1" a="1"/>
  <c r="CI200" i="1" s="1"/>
  <c r="CJ200" i="1" a="1"/>
  <c r="CJ200" i="1" s="1"/>
  <c r="CK200" i="1" a="1"/>
  <c r="CK200" i="1" s="1"/>
  <c r="CL200" i="1" a="1"/>
  <c r="CL200" i="1" s="1"/>
  <c r="CM200" i="1" a="1"/>
  <c r="CM200" i="1" s="1"/>
  <c r="CN200" i="1" a="1"/>
  <c r="CN200" i="1" s="1"/>
  <c r="CO200" i="1" a="1"/>
  <c r="CO200" i="1" s="1"/>
  <c r="CP200" i="1" a="1"/>
  <c r="CP200" i="1" s="1"/>
  <c r="CQ200" i="1" a="1"/>
  <c r="CQ200" i="1" s="1"/>
  <c r="BY201" i="1" a="1"/>
  <c r="BY201" i="1" s="1"/>
  <c r="BZ201" i="1" a="1"/>
  <c r="BZ201" i="1" s="1"/>
  <c r="CA201" i="1" a="1"/>
  <c r="CA201" i="1" s="1"/>
  <c r="CB201" i="1" a="1"/>
  <c r="CB201" i="1" s="1"/>
  <c r="CC201" i="1" a="1"/>
  <c r="CC201" i="1" s="1"/>
  <c r="CD201" i="1" a="1"/>
  <c r="CD201" i="1" s="1"/>
  <c r="CE201" i="1" a="1"/>
  <c r="CE201" i="1" s="1"/>
  <c r="CF201" i="1" a="1"/>
  <c r="CF201" i="1" s="1"/>
  <c r="CG201" i="1" a="1"/>
  <c r="CG201" i="1" s="1"/>
  <c r="CH201" i="1" a="1"/>
  <c r="CH201" i="1" s="1"/>
  <c r="CI201" i="1" a="1"/>
  <c r="CI201" i="1" s="1"/>
  <c r="CJ201" i="1" a="1"/>
  <c r="CJ201" i="1" s="1"/>
  <c r="CK201" i="1" a="1"/>
  <c r="CK201" i="1" s="1"/>
  <c r="CL201" i="1" a="1"/>
  <c r="CL201" i="1" s="1"/>
  <c r="CM201" i="1" a="1"/>
  <c r="CM201" i="1" s="1"/>
  <c r="CN201" i="1" a="1"/>
  <c r="CN201" i="1" s="1"/>
  <c r="CO201" i="1" a="1"/>
  <c r="CO201" i="1" s="1"/>
  <c r="CP201" i="1" a="1"/>
  <c r="CP201" i="1" s="1"/>
  <c r="CQ201" i="1" a="1"/>
  <c r="CQ201" i="1" s="1"/>
  <c r="BY202" i="1" a="1"/>
  <c r="BY202" i="1" s="1"/>
  <c r="BZ202" i="1" a="1"/>
  <c r="BZ202" i="1" s="1"/>
  <c r="CA202" i="1" a="1"/>
  <c r="CA202" i="1" s="1"/>
  <c r="CB202" i="1" a="1"/>
  <c r="CB202" i="1" s="1"/>
  <c r="CC202" i="1" a="1"/>
  <c r="CC202" i="1" s="1"/>
  <c r="CD202" i="1" a="1"/>
  <c r="CD202" i="1" s="1"/>
  <c r="CE202" i="1" a="1"/>
  <c r="CE202" i="1"/>
  <c r="CF202" i="1" a="1"/>
  <c r="CF202" i="1" s="1"/>
  <c r="CG202" i="1" a="1"/>
  <c r="CG202" i="1" s="1"/>
  <c r="CH202" i="1" a="1"/>
  <c r="CH202" i="1" s="1"/>
  <c r="CI202" i="1" a="1"/>
  <c r="CI202" i="1" s="1"/>
  <c r="CJ202" i="1" a="1"/>
  <c r="CJ202" i="1" s="1"/>
  <c r="CK202" i="1" a="1"/>
  <c r="CK202" i="1" s="1"/>
  <c r="CL202" i="1" a="1"/>
  <c r="CL202" i="1" s="1"/>
  <c r="CM202" i="1" a="1"/>
  <c r="CM202" i="1" s="1"/>
  <c r="CN202" i="1" a="1"/>
  <c r="CN202" i="1" s="1"/>
  <c r="CO202" i="1" a="1"/>
  <c r="CO202" i="1" s="1"/>
  <c r="CP202" i="1" a="1"/>
  <c r="CP202" i="1" s="1"/>
  <c r="CQ202" i="1" a="1"/>
  <c r="CQ202" i="1" s="1"/>
  <c r="BY203" i="1" a="1"/>
  <c r="BY203" i="1" s="1"/>
  <c r="BZ203" i="1" a="1"/>
  <c r="BZ203" i="1" s="1"/>
  <c r="CA203" i="1" a="1"/>
  <c r="CA203" i="1" s="1"/>
  <c r="CB203" i="1" a="1"/>
  <c r="CB203" i="1" s="1"/>
  <c r="CC203" i="1" a="1"/>
  <c r="CC203" i="1" s="1"/>
  <c r="CD203" i="1" a="1"/>
  <c r="CD203" i="1" s="1"/>
  <c r="CE203" i="1" a="1"/>
  <c r="CE203" i="1" s="1"/>
  <c r="CF203" i="1" a="1"/>
  <c r="CF203" i="1" s="1"/>
  <c r="CG203" i="1" a="1"/>
  <c r="CG203" i="1" s="1"/>
  <c r="CH203" i="1" a="1"/>
  <c r="CH203" i="1" s="1"/>
  <c r="CI203" i="1" a="1"/>
  <c r="CI203" i="1" s="1"/>
  <c r="CJ203" i="1" a="1"/>
  <c r="CJ203" i="1" s="1"/>
  <c r="CK203" i="1" a="1"/>
  <c r="CK203" i="1" s="1"/>
  <c r="CL203" i="1" a="1"/>
  <c r="CL203" i="1" s="1"/>
  <c r="CM203" i="1" a="1"/>
  <c r="CM203" i="1" s="1"/>
  <c r="CN203" i="1" a="1"/>
  <c r="CN203" i="1" s="1"/>
  <c r="CO203" i="1" a="1"/>
  <c r="CO203" i="1" s="1"/>
  <c r="CP203" i="1" a="1"/>
  <c r="CP203" i="1" s="1"/>
  <c r="CQ203" i="1" a="1"/>
  <c r="CQ203" i="1" s="1"/>
  <c r="BY204" i="1" a="1"/>
  <c r="BY204" i="1" s="1"/>
  <c r="BZ204" i="1" a="1"/>
  <c r="BZ204" i="1" s="1"/>
  <c r="CA204" i="1" a="1"/>
  <c r="CA204" i="1"/>
  <c r="CB204" i="1" a="1"/>
  <c r="CB204" i="1" s="1"/>
  <c r="CC204" i="1" a="1"/>
  <c r="CC204" i="1" s="1"/>
  <c r="CD204" i="1" a="1"/>
  <c r="CD204" i="1" s="1"/>
  <c r="CE204" i="1" a="1"/>
  <c r="CE204" i="1" s="1"/>
  <c r="CF204" i="1" a="1"/>
  <c r="CF204" i="1" s="1"/>
  <c r="CG204" i="1" a="1"/>
  <c r="CG204" i="1" s="1"/>
  <c r="CH204" i="1" a="1"/>
  <c r="CH204" i="1"/>
  <c r="CI204" i="1" a="1"/>
  <c r="CI204" i="1" s="1"/>
  <c r="CJ204" i="1" a="1"/>
  <c r="CJ204" i="1" s="1"/>
  <c r="CK204" i="1" a="1"/>
  <c r="CK204" i="1"/>
  <c r="CL204" i="1" a="1"/>
  <c r="CL204" i="1" s="1"/>
  <c r="CM204" i="1" a="1"/>
  <c r="CM204" i="1" s="1"/>
  <c r="CN204" i="1" a="1"/>
  <c r="CN204" i="1" s="1"/>
  <c r="CO204" i="1" a="1"/>
  <c r="CO204" i="1" s="1"/>
  <c r="CP204" i="1" a="1"/>
  <c r="CP204" i="1" s="1"/>
  <c r="CQ204" i="1" a="1"/>
  <c r="CQ204" i="1" s="1"/>
  <c r="BY205" i="1" a="1"/>
  <c r="BY205" i="1" s="1"/>
  <c r="BZ205" i="1" a="1"/>
  <c r="BZ205" i="1" s="1"/>
  <c r="CA205" i="1" a="1"/>
  <c r="CA205" i="1" s="1"/>
  <c r="CB205" i="1" a="1"/>
  <c r="CB205" i="1" s="1"/>
  <c r="CC205" i="1" a="1"/>
  <c r="CC205" i="1" s="1"/>
  <c r="CD205" i="1" a="1"/>
  <c r="CD205" i="1" s="1"/>
  <c r="CE205" i="1" a="1"/>
  <c r="CE205" i="1" s="1"/>
  <c r="CF205" i="1" a="1"/>
  <c r="CF205" i="1" s="1"/>
  <c r="CG205" i="1" a="1"/>
  <c r="CG205" i="1" s="1"/>
  <c r="CH205" i="1" a="1"/>
  <c r="CH205" i="1" s="1"/>
  <c r="CI205" i="1" a="1"/>
  <c r="CI205" i="1" s="1"/>
  <c r="CJ205" i="1" a="1"/>
  <c r="CJ205" i="1" s="1"/>
  <c r="CK205" i="1" a="1"/>
  <c r="CK205" i="1" s="1"/>
  <c r="CL205" i="1" a="1"/>
  <c r="CL205" i="1" s="1"/>
  <c r="CM205" i="1" a="1"/>
  <c r="CM205" i="1" s="1"/>
  <c r="CN205" i="1" a="1"/>
  <c r="CN205" i="1" s="1"/>
  <c r="CO205" i="1" a="1"/>
  <c r="CO205" i="1" s="1"/>
  <c r="CP205" i="1" a="1"/>
  <c r="CP205" i="1" s="1"/>
  <c r="CQ205" i="1" a="1"/>
  <c r="CQ205" i="1" s="1"/>
  <c r="BY206" i="1" a="1"/>
  <c r="BY206" i="1" s="1"/>
  <c r="BZ206" i="1" a="1"/>
  <c r="BZ206" i="1" s="1"/>
  <c r="CA206" i="1" a="1"/>
  <c r="CA206" i="1" s="1"/>
  <c r="CB206" i="1" a="1"/>
  <c r="CB206" i="1" s="1"/>
  <c r="CC206" i="1" a="1"/>
  <c r="CC206" i="1" s="1"/>
  <c r="CD206" i="1" a="1"/>
  <c r="CD206" i="1" s="1"/>
  <c r="CE206" i="1" a="1"/>
  <c r="CE206" i="1"/>
  <c r="CF206" i="1" a="1"/>
  <c r="CF206" i="1" s="1"/>
  <c r="CG206" i="1" a="1"/>
  <c r="CG206" i="1" s="1"/>
  <c r="CH206" i="1" a="1"/>
  <c r="CH206" i="1" s="1"/>
  <c r="CI206" i="1" a="1"/>
  <c r="CI206" i="1" s="1"/>
  <c r="CJ206" i="1" a="1"/>
  <c r="CJ206" i="1" s="1"/>
  <c r="CK206" i="1" a="1"/>
  <c r="CK206" i="1" s="1"/>
  <c r="CL206" i="1" a="1"/>
  <c r="CL206" i="1" s="1"/>
  <c r="CM206" i="1" a="1"/>
  <c r="CM206" i="1" s="1"/>
  <c r="CN206" i="1" a="1"/>
  <c r="CN206" i="1" s="1"/>
  <c r="CO206" i="1" a="1"/>
  <c r="CO206" i="1" s="1"/>
  <c r="CP206" i="1" a="1"/>
  <c r="CP206" i="1" s="1"/>
  <c r="CQ206" i="1" a="1"/>
  <c r="CQ206" i="1" s="1"/>
  <c r="BY207" i="1" a="1"/>
  <c r="BY207" i="1"/>
  <c r="BZ207" i="1" a="1"/>
  <c r="BZ207" i="1" s="1"/>
  <c r="CA207" i="1" a="1"/>
  <c r="CA207" i="1" s="1"/>
  <c r="CB207" i="1" a="1"/>
  <c r="CB207" i="1" s="1"/>
  <c r="CC207" i="1" a="1"/>
  <c r="CC207" i="1" s="1"/>
  <c r="CD207" i="1" a="1"/>
  <c r="CD207" i="1" s="1"/>
  <c r="CE207" i="1" a="1"/>
  <c r="CE207" i="1" s="1"/>
  <c r="CF207" i="1" a="1"/>
  <c r="CF207" i="1" s="1"/>
  <c r="CG207" i="1" a="1"/>
  <c r="CG207" i="1" s="1"/>
  <c r="CH207" i="1" a="1"/>
  <c r="CH207" i="1" s="1"/>
  <c r="CI207" i="1" a="1"/>
  <c r="CI207" i="1" s="1"/>
  <c r="CJ207" i="1" a="1"/>
  <c r="CJ207" i="1" s="1"/>
  <c r="CK207" i="1" a="1"/>
  <c r="CK207" i="1" s="1"/>
  <c r="CL207" i="1" a="1"/>
  <c r="CL207" i="1" s="1"/>
  <c r="CM207" i="1" a="1"/>
  <c r="CM207" i="1" s="1"/>
  <c r="CN207" i="1" a="1"/>
  <c r="CN207" i="1" s="1"/>
  <c r="CO207" i="1" a="1"/>
  <c r="CO207" i="1" s="1"/>
  <c r="CP207" i="1" a="1"/>
  <c r="CP207" i="1" s="1"/>
  <c r="CQ207" i="1" a="1"/>
  <c r="CQ207" i="1" s="1"/>
  <c r="BY208" i="1" a="1"/>
  <c r="BY208" i="1" s="1"/>
  <c r="BZ208" i="1" a="1"/>
  <c r="BZ208" i="1" s="1"/>
  <c r="CA208" i="1" a="1"/>
  <c r="CA208" i="1" s="1"/>
  <c r="CB208" i="1" a="1"/>
  <c r="CB208" i="1" s="1"/>
  <c r="CC208" i="1" a="1"/>
  <c r="CC208" i="1" s="1"/>
  <c r="CD208" i="1" a="1"/>
  <c r="CD208" i="1" s="1"/>
  <c r="CE208" i="1" a="1"/>
  <c r="CE208" i="1" s="1"/>
  <c r="CF208" i="1" a="1"/>
  <c r="CF208" i="1" s="1"/>
  <c r="CG208" i="1" a="1"/>
  <c r="CG208" i="1" s="1"/>
  <c r="CH208" i="1" a="1"/>
  <c r="CH208" i="1" s="1"/>
  <c r="CI208" i="1" a="1"/>
  <c r="CI208" i="1" s="1"/>
  <c r="CJ208" i="1" a="1"/>
  <c r="CJ208" i="1" s="1"/>
  <c r="CK208" i="1" a="1"/>
  <c r="CK208" i="1" s="1"/>
  <c r="CL208" i="1" a="1"/>
  <c r="CL208" i="1" s="1"/>
  <c r="CM208" i="1" a="1"/>
  <c r="CM208" i="1" s="1"/>
  <c r="CN208" i="1" a="1"/>
  <c r="CN208" i="1" s="1"/>
  <c r="CO208" i="1" a="1"/>
  <c r="CO208" i="1" s="1"/>
  <c r="CP208" i="1" a="1"/>
  <c r="CP208" i="1" s="1"/>
  <c r="CQ208" i="1" a="1"/>
  <c r="CQ208" i="1"/>
  <c r="BY209" i="1" a="1"/>
  <c r="BY209" i="1" s="1"/>
  <c r="BZ209" i="1" a="1"/>
  <c r="BZ209" i="1" s="1"/>
  <c r="CA209" i="1" a="1"/>
  <c r="CA209" i="1" s="1"/>
  <c r="CB209" i="1" a="1"/>
  <c r="CB209" i="1" s="1"/>
  <c r="CC209" i="1" a="1"/>
  <c r="CC209" i="1" s="1"/>
  <c r="CD209" i="1" a="1"/>
  <c r="CD209" i="1" s="1"/>
  <c r="CE209" i="1" a="1"/>
  <c r="CE209" i="1" s="1"/>
  <c r="CF209" i="1" a="1"/>
  <c r="CF209" i="1" s="1"/>
  <c r="CG209" i="1" a="1"/>
  <c r="CG209" i="1" s="1"/>
  <c r="CH209" i="1" a="1"/>
  <c r="CH209" i="1" s="1"/>
  <c r="CI209" i="1" a="1"/>
  <c r="CI209" i="1" s="1"/>
  <c r="CJ209" i="1" a="1"/>
  <c r="CJ209" i="1" s="1"/>
  <c r="CK209" i="1" a="1"/>
  <c r="CK209" i="1" s="1"/>
  <c r="CL209" i="1" a="1"/>
  <c r="CL209" i="1" s="1"/>
  <c r="CM209" i="1" a="1"/>
  <c r="CM209" i="1" s="1"/>
  <c r="CN209" i="1" a="1"/>
  <c r="CN209" i="1" s="1"/>
  <c r="CO209" i="1" a="1"/>
  <c r="CO209" i="1" s="1"/>
  <c r="CP209" i="1" a="1"/>
  <c r="CP209" i="1" s="1"/>
  <c r="CQ209" i="1" a="1"/>
  <c r="CQ209" i="1" s="1"/>
  <c r="BY210" i="1" a="1"/>
  <c r="BY210" i="1" s="1"/>
  <c r="BG210" i="1" s="1"/>
  <c r="BZ210" i="1" a="1"/>
  <c r="BZ210" i="1" s="1"/>
  <c r="CA210" i="1" a="1"/>
  <c r="CA210" i="1" s="1"/>
  <c r="CB210" i="1" a="1"/>
  <c r="CB210" i="1" s="1"/>
  <c r="CC210" i="1" a="1"/>
  <c r="CC210" i="1" s="1"/>
  <c r="CD210" i="1" a="1"/>
  <c r="CD210" i="1" s="1"/>
  <c r="CE210" i="1" a="1"/>
  <c r="CE210" i="1" s="1"/>
  <c r="CF210" i="1" a="1"/>
  <c r="CF210" i="1"/>
  <c r="CG210" i="1" a="1"/>
  <c r="CG210" i="1" s="1"/>
  <c r="CH210" i="1" a="1"/>
  <c r="CH210" i="1" s="1"/>
  <c r="CI210" i="1" a="1"/>
  <c r="CI210" i="1" s="1"/>
  <c r="CJ210" i="1" a="1"/>
  <c r="CJ210" i="1" s="1"/>
  <c r="CK210" i="1" a="1"/>
  <c r="CK210" i="1" s="1"/>
  <c r="CL210" i="1" a="1"/>
  <c r="CL210" i="1" s="1"/>
  <c r="CM210" i="1" a="1"/>
  <c r="CM210" i="1"/>
  <c r="CN210" i="1" a="1"/>
  <c r="CN210" i="1" s="1"/>
  <c r="CO210" i="1" a="1"/>
  <c r="CO210" i="1" s="1"/>
  <c r="CP210" i="1" a="1"/>
  <c r="CP210" i="1" s="1"/>
  <c r="CQ210" i="1" a="1"/>
  <c r="CQ210" i="1" s="1"/>
  <c r="BY211" i="1" a="1"/>
  <c r="BY211" i="1" s="1"/>
  <c r="BZ211" i="1" a="1"/>
  <c r="BZ211" i="1"/>
  <c r="CA211" i="1" a="1"/>
  <c r="CA211" i="1" s="1"/>
  <c r="CB211" i="1" a="1"/>
  <c r="CB211" i="1" s="1"/>
  <c r="CC211" i="1" a="1"/>
  <c r="CC211" i="1" s="1"/>
  <c r="CD211" i="1" a="1"/>
  <c r="CD211" i="1" s="1"/>
  <c r="CE211" i="1" a="1"/>
  <c r="CE211" i="1" s="1"/>
  <c r="CF211" i="1" a="1"/>
  <c r="CF211" i="1"/>
  <c r="CG211" i="1" a="1"/>
  <c r="CG211" i="1" s="1"/>
  <c r="CH211" i="1" a="1"/>
  <c r="CH211" i="1" s="1"/>
  <c r="CI211" i="1" a="1"/>
  <c r="CI211" i="1" s="1"/>
  <c r="CJ211" i="1" a="1"/>
  <c r="CJ211" i="1"/>
  <c r="CK211" i="1" a="1"/>
  <c r="CK211" i="1" s="1"/>
  <c r="CL211" i="1" a="1"/>
  <c r="CL211" i="1"/>
  <c r="CM211" i="1" a="1"/>
  <c r="CM211" i="1" s="1"/>
  <c r="CN211" i="1" a="1"/>
  <c r="CN211" i="1" s="1"/>
  <c r="CO211" i="1" a="1"/>
  <c r="CO211" i="1" s="1"/>
  <c r="CP211" i="1" a="1"/>
  <c r="CP211" i="1" s="1"/>
  <c r="CQ211" i="1" a="1"/>
  <c r="CQ211" i="1" s="1"/>
  <c r="BY212" i="1" a="1"/>
  <c r="BY212" i="1" s="1"/>
  <c r="BZ212" i="1" a="1"/>
  <c r="BZ212" i="1" s="1"/>
  <c r="CA212" i="1" a="1"/>
  <c r="CA212" i="1" s="1"/>
  <c r="CB212" i="1" a="1"/>
  <c r="CB212" i="1" s="1"/>
  <c r="CC212" i="1" a="1"/>
  <c r="CC212" i="1" s="1"/>
  <c r="CD212" i="1" a="1"/>
  <c r="CD212" i="1" s="1"/>
  <c r="CE212" i="1" a="1"/>
  <c r="CE212" i="1" s="1"/>
  <c r="CF212" i="1" a="1"/>
  <c r="CF212" i="1" s="1"/>
  <c r="CG212" i="1" a="1"/>
  <c r="CG212" i="1"/>
  <c r="CH212" i="1" a="1"/>
  <c r="CH212" i="1" s="1"/>
  <c r="CI212" i="1" a="1"/>
  <c r="CI212" i="1" s="1"/>
  <c r="CJ212" i="1" a="1"/>
  <c r="CJ212" i="1" s="1"/>
  <c r="CK212" i="1" a="1"/>
  <c r="CK212" i="1" s="1"/>
  <c r="CL212" i="1" a="1"/>
  <c r="CL212" i="1" s="1"/>
  <c r="CM212" i="1" a="1"/>
  <c r="CM212" i="1" s="1"/>
  <c r="CN212" i="1" a="1"/>
  <c r="CN212" i="1" s="1"/>
  <c r="CO212" i="1" a="1"/>
  <c r="CO212" i="1" s="1"/>
  <c r="CP212" i="1" a="1"/>
  <c r="CP212" i="1" s="1"/>
  <c r="CQ212" i="1" a="1"/>
  <c r="CQ212" i="1" s="1"/>
  <c r="BY213" i="1" a="1"/>
  <c r="BY213" i="1" s="1"/>
  <c r="BZ213" i="1" a="1"/>
  <c r="BZ213" i="1" s="1"/>
  <c r="CA213" i="1" a="1"/>
  <c r="CA213" i="1" s="1"/>
  <c r="CB213" i="1" a="1"/>
  <c r="CB213" i="1" s="1"/>
  <c r="CC213" i="1" a="1"/>
  <c r="CC213" i="1" s="1"/>
  <c r="CD213" i="1" a="1"/>
  <c r="CD213" i="1" s="1"/>
  <c r="CE213" i="1" a="1"/>
  <c r="CE213" i="1" s="1"/>
  <c r="CF213" i="1" a="1"/>
  <c r="CF213" i="1" s="1"/>
  <c r="CG213" i="1" a="1"/>
  <c r="CG213" i="1" s="1"/>
  <c r="CH213" i="1" a="1"/>
  <c r="CH213" i="1"/>
  <c r="CI213" i="1" a="1"/>
  <c r="CI213" i="1" s="1"/>
  <c r="CJ213" i="1" a="1"/>
  <c r="CJ213" i="1" s="1"/>
  <c r="CK213" i="1" a="1"/>
  <c r="CK213" i="1" s="1"/>
  <c r="CL213" i="1" a="1"/>
  <c r="CL213" i="1" s="1"/>
  <c r="CM213" i="1" a="1"/>
  <c r="CM213" i="1" s="1"/>
  <c r="CN213" i="1" a="1"/>
  <c r="CN213" i="1" s="1"/>
  <c r="CO213" i="1" a="1"/>
  <c r="CO213" i="1" s="1"/>
  <c r="CP213" i="1" a="1"/>
  <c r="CP213" i="1" s="1"/>
  <c r="CQ213" i="1" a="1"/>
  <c r="CQ213" i="1" s="1"/>
  <c r="BY214" i="1" a="1"/>
  <c r="BY214" i="1" s="1"/>
  <c r="BZ214" i="1" a="1"/>
  <c r="BZ214" i="1" s="1"/>
  <c r="CA214" i="1" a="1"/>
  <c r="CA214" i="1" s="1"/>
  <c r="CB214" i="1" a="1"/>
  <c r="CB214" i="1" s="1"/>
  <c r="CC214" i="1" a="1"/>
  <c r="CC214" i="1" s="1"/>
  <c r="CD214" i="1" a="1"/>
  <c r="CD214" i="1" s="1"/>
  <c r="CE214" i="1" a="1"/>
  <c r="CE214" i="1" s="1"/>
  <c r="CF214" i="1" a="1"/>
  <c r="CF214" i="1" s="1"/>
  <c r="CG214" i="1" a="1"/>
  <c r="CG214" i="1" s="1"/>
  <c r="CH214" i="1" a="1"/>
  <c r="CH214" i="1" s="1"/>
  <c r="CI214" i="1" a="1"/>
  <c r="CI214" i="1" s="1"/>
  <c r="CJ214" i="1" a="1"/>
  <c r="CJ214" i="1" s="1"/>
  <c r="CK214" i="1" a="1"/>
  <c r="CK214" i="1" s="1"/>
  <c r="CL214" i="1" a="1"/>
  <c r="CL214" i="1" s="1"/>
  <c r="CM214" i="1" a="1"/>
  <c r="CM214" i="1"/>
  <c r="CN214" i="1" a="1"/>
  <c r="CN214" i="1" s="1"/>
  <c r="CO214" i="1" a="1"/>
  <c r="CO214" i="1" s="1"/>
  <c r="CP214" i="1" a="1"/>
  <c r="CP214" i="1" s="1"/>
  <c r="CQ214" i="1" a="1"/>
  <c r="CQ214" i="1"/>
  <c r="BY215" i="1" a="1"/>
  <c r="BY215" i="1" s="1"/>
  <c r="BZ215" i="1" a="1"/>
  <c r="BZ215" i="1"/>
  <c r="CA215" i="1" a="1"/>
  <c r="CA215" i="1" s="1"/>
  <c r="CB215" i="1" a="1"/>
  <c r="CB215" i="1" s="1"/>
  <c r="CC215" i="1" a="1"/>
  <c r="CC215" i="1" s="1"/>
  <c r="CD215" i="1" a="1"/>
  <c r="CD215" i="1" s="1"/>
  <c r="CE215" i="1" a="1"/>
  <c r="CE215" i="1" s="1"/>
  <c r="CF215" i="1" a="1"/>
  <c r="CF215" i="1" s="1"/>
  <c r="CG215" i="1" a="1"/>
  <c r="CG215" i="1" s="1"/>
  <c r="CH215" i="1" a="1"/>
  <c r="CH215" i="1" s="1"/>
  <c r="CI215" i="1" a="1"/>
  <c r="CI215" i="1" s="1"/>
  <c r="CJ215" i="1" a="1"/>
  <c r="CJ215" i="1" s="1"/>
  <c r="CK215" i="1" a="1"/>
  <c r="CK215" i="1"/>
  <c r="CL215" i="1" a="1"/>
  <c r="CL215" i="1" s="1"/>
  <c r="CM215" i="1" a="1"/>
  <c r="CM215" i="1" s="1"/>
  <c r="CN215" i="1" a="1"/>
  <c r="CN215" i="1"/>
  <c r="CO215" i="1" a="1"/>
  <c r="CO215" i="1" s="1"/>
  <c r="CP215" i="1" a="1"/>
  <c r="CP215" i="1" s="1"/>
  <c r="CQ215" i="1" a="1"/>
  <c r="CQ215" i="1" s="1"/>
  <c r="BY216" i="1" a="1"/>
  <c r="BY216" i="1" s="1"/>
  <c r="BZ216" i="1" a="1"/>
  <c r="BZ216" i="1" s="1"/>
  <c r="CA216" i="1" a="1"/>
  <c r="CA216" i="1" s="1"/>
  <c r="CB216" i="1" a="1"/>
  <c r="CB216" i="1" s="1"/>
  <c r="CC216" i="1" a="1"/>
  <c r="CC216" i="1" s="1"/>
  <c r="CD216" i="1" a="1"/>
  <c r="CD216" i="1"/>
  <c r="CE216" i="1" a="1"/>
  <c r="CE216" i="1" s="1"/>
  <c r="CF216" i="1" a="1"/>
  <c r="CF216" i="1" s="1"/>
  <c r="CG216" i="1" a="1"/>
  <c r="CG216" i="1" s="1"/>
  <c r="CH216" i="1" a="1"/>
  <c r="CH216" i="1" s="1"/>
  <c r="CI216" i="1" a="1"/>
  <c r="CI216" i="1" s="1"/>
  <c r="CJ216" i="1" a="1"/>
  <c r="CJ216" i="1" s="1"/>
  <c r="CK216" i="1" a="1"/>
  <c r="CK216" i="1" s="1"/>
  <c r="CL216" i="1" a="1"/>
  <c r="CL216" i="1" s="1"/>
  <c r="CM216" i="1" a="1"/>
  <c r="CM216" i="1" s="1"/>
  <c r="CN216" i="1" a="1"/>
  <c r="CN216" i="1" s="1"/>
  <c r="CO216" i="1" a="1"/>
  <c r="CO216" i="1" s="1"/>
  <c r="CP216" i="1" a="1"/>
  <c r="CP216" i="1" s="1"/>
  <c r="CQ216" i="1" a="1"/>
  <c r="CQ216" i="1" s="1"/>
  <c r="BY217" i="1" a="1"/>
  <c r="BY217" i="1" s="1"/>
  <c r="BZ217" i="1" a="1"/>
  <c r="BZ217" i="1" s="1"/>
  <c r="CA217" i="1" a="1"/>
  <c r="CA217" i="1" s="1"/>
  <c r="BI217" i="1" s="1"/>
  <c r="CB217" i="1" a="1"/>
  <c r="CB217" i="1" s="1"/>
  <c r="CC217" i="1" a="1"/>
  <c r="CC217" i="1" s="1"/>
  <c r="CD217" i="1" a="1"/>
  <c r="CD217" i="1" s="1"/>
  <c r="CE217" i="1" a="1"/>
  <c r="CE217" i="1" s="1"/>
  <c r="CF217" i="1" a="1"/>
  <c r="CF217" i="1" s="1"/>
  <c r="CG217" i="1" a="1"/>
  <c r="CG217" i="1" s="1"/>
  <c r="CH217" i="1" a="1"/>
  <c r="CH217" i="1" s="1"/>
  <c r="CI217" i="1" a="1"/>
  <c r="CI217" i="1" s="1"/>
  <c r="CJ217" i="1" a="1"/>
  <c r="CJ217" i="1" s="1"/>
  <c r="CK217" i="1" a="1"/>
  <c r="CK217" i="1" s="1"/>
  <c r="CL217" i="1" a="1"/>
  <c r="CL217" i="1" s="1"/>
  <c r="CM217" i="1" a="1"/>
  <c r="CM217" i="1" s="1"/>
  <c r="CN217" i="1" a="1"/>
  <c r="CN217" i="1"/>
  <c r="CO217" i="1" a="1"/>
  <c r="CO217" i="1" s="1"/>
  <c r="CP217" i="1" a="1"/>
  <c r="CP217" i="1" s="1"/>
  <c r="CQ217" i="1" a="1"/>
  <c r="CQ217" i="1" s="1"/>
  <c r="BY218" i="1" a="1"/>
  <c r="BY218" i="1" s="1"/>
  <c r="BG218" i="1" s="1"/>
  <c r="BZ218" i="1" a="1"/>
  <c r="BZ218" i="1" s="1"/>
  <c r="CA218" i="1" a="1"/>
  <c r="CA218" i="1"/>
  <c r="CB218" i="1" a="1"/>
  <c r="CB218" i="1" s="1"/>
  <c r="CC218" i="1" a="1"/>
  <c r="CC218" i="1" s="1"/>
  <c r="CD218" i="1" a="1"/>
  <c r="CD218" i="1" s="1"/>
  <c r="CE218" i="1" a="1"/>
  <c r="CE218" i="1"/>
  <c r="CF218" i="1" a="1"/>
  <c r="CF218" i="1" s="1"/>
  <c r="CG218" i="1" a="1"/>
  <c r="CG218" i="1"/>
  <c r="CH218" i="1" a="1"/>
  <c r="CH218" i="1" s="1"/>
  <c r="CI218" i="1" a="1"/>
  <c r="CI218" i="1" s="1"/>
  <c r="CJ218" i="1" a="1"/>
  <c r="CJ218" i="1" s="1"/>
  <c r="CK218" i="1" a="1"/>
  <c r="CK218" i="1" s="1"/>
  <c r="CL218" i="1" a="1"/>
  <c r="CL218" i="1" s="1"/>
  <c r="CM218" i="1" a="1"/>
  <c r="CM218" i="1" s="1"/>
  <c r="CN218" i="1" a="1"/>
  <c r="CN218" i="1" s="1"/>
  <c r="CO218" i="1" a="1"/>
  <c r="CO218" i="1" s="1"/>
  <c r="CP218" i="1" a="1"/>
  <c r="CP218" i="1" s="1"/>
  <c r="CQ218" i="1" a="1"/>
  <c r="CQ218" i="1" s="1"/>
  <c r="BY219" i="1" a="1"/>
  <c r="BY219" i="1"/>
  <c r="BZ219" i="1" a="1"/>
  <c r="BZ219" i="1" s="1"/>
  <c r="CA219" i="1" a="1"/>
  <c r="CA219" i="1" s="1"/>
  <c r="CB219" i="1" a="1"/>
  <c r="CB219" i="1"/>
  <c r="CC219" i="1" a="1"/>
  <c r="CC219" i="1" s="1"/>
  <c r="CD219" i="1" a="1"/>
  <c r="CD219" i="1" s="1"/>
  <c r="CE219" i="1" a="1"/>
  <c r="CE219" i="1" s="1"/>
  <c r="CF219" i="1" a="1"/>
  <c r="CF219" i="1" s="1"/>
  <c r="CG219" i="1" a="1"/>
  <c r="CG219" i="1" s="1"/>
  <c r="CH219" i="1" a="1"/>
  <c r="CH219" i="1"/>
  <c r="CI219" i="1" a="1"/>
  <c r="CI219" i="1" s="1"/>
  <c r="CJ219" i="1" a="1"/>
  <c r="CJ219" i="1" s="1"/>
  <c r="CK219" i="1" a="1"/>
  <c r="CK219" i="1" s="1"/>
  <c r="CL219" i="1" a="1"/>
  <c r="CL219" i="1" s="1"/>
  <c r="CM219" i="1" a="1"/>
  <c r="CM219" i="1" s="1"/>
  <c r="CN219" i="1" a="1"/>
  <c r="CN219" i="1"/>
  <c r="CO219" i="1" a="1"/>
  <c r="CO219" i="1" s="1"/>
  <c r="CP219" i="1" a="1"/>
  <c r="CP219" i="1" s="1"/>
  <c r="CQ219" i="1" a="1"/>
  <c r="CQ219" i="1" s="1"/>
  <c r="BY220" i="1" a="1"/>
  <c r="BY220" i="1" s="1"/>
  <c r="BZ220" i="1" a="1"/>
  <c r="BZ220" i="1" s="1"/>
  <c r="CA220" i="1" a="1"/>
  <c r="CA220" i="1" s="1"/>
  <c r="BS220" i="1" s="1"/>
  <c r="CB220" i="1" a="1"/>
  <c r="CB220" i="1" s="1"/>
  <c r="CC220" i="1" a="1"/>
  <c r="CC220" i="1" s="1"/>
  <c r="CD220" i="1" a="1"/>
  <c r="CD220" i="1" s="1"/>
  <c r="CE220" i="1" a="1"/>
  <c r="CE220" i="1" s="1"/>
  <c r="CF220" i="1" a="1"/>
  <c r="CF220" i="1" s="1"/>
  <c r="CG220" i="1" a="1"/>
  <c r="CG220" i="1" s="1"/>
  <c r="CH220" i="1" a="1"/>
  <c r="CH220" i="1" s="1"/>
  <c r="CI220" i="1" a="1"/>
  <c r="CI220" i="1" s="1"/>
  <c r="CJ220" i="1" a="1"/>
  <c r="CJ220" i="1" s="1"/>
  <c r="CK220" i="1" a="1"/>
  <c r="CK220" i="1" s="1"/>
  <c r="CL220" i="1" a="1"/>
  <c r="CL220" i="1" s="1"/>
  <c r="CM220" i="1" a="1"/>
  <c r="CM220" i="1"/>
  <c r="CN220" i="1" a="1"/>
  <c r="CN220" i="1" s="1"/>
  <c r="CO220" i="1" a="1"/>
  <c r="CO220" i="1" s="1"/>
  <c r="CP220" i="1" a="1"/>
  <c r="CP220" i="1" s="1"/>
  <c r="CQ220" i="1" a="1"/>
  <c r="CQ220" i="1" s="1"/>
  <c r="BY221" i="1" a="1"/>
  <c r="BY221" i="1" s="1"/>
  <c r="BQ221" i="1" s="1"/>
  <c r="BZ221" i="1" a="1"/>
  <c r="BZ221" i="1" s="1"/>
  <c r="CA221" i="1" a="1"/>
  <c r="CA221" i="1" s="1"/>
  <c r="CB221" i="1" a="1"/>
  <c r="CB221" i="1"/>
  <c r="CC221" i="1" a="1"/>
  <c r="CC221" i="1" s="1"/>
  <c r="CD221" i="1" a="1"/>
  <c r="CD221" i="1" s="1"/>
  <c r="CE221" i="1" a="1"/>
  <c r="CE221" i="1"/>
  <c r="CF221" i="1" a="1"/>
  <c r="CF221" i="1" s="1"/>
  <c r="CG221" i="1" a="1"/>
  <c r="CG221" i="1" s="1"/>
  <c r="CH221" i="1" a="1"/>
  <c r="CH221" i="1"/>
  <c r="CI221" i="1" a="1"/>
  <c r="CI221" i="1" s="1"/>
  <c r="CJ221" i="1" a="1"/>
  <c r="CJ221" i="1" s="1"/>
  <c r="CK221" i="1" a="1"/>
  <c r="CK221" i="1" s="1"/>
  <c r="CL221" i="1" a="1"/>
  <c r="CL221" i="1" s="1"/>
  <c r="CM221" i="1" a="1"/>
  <c r="CM221" i="1" s="1"/>
  <c r="CN221" i="1" a="1"/>
  <c r="CN221" i="1"/>
  <c r="CO221" i="1" a="1"/>
  <c r="CO221" i="1" s="1"/>
  <c r="CP221" i="1" a="1"/>
  <c r="CP221" i="1" s="1"/>
  <c r="CQ221" i="1" a="1"/>
  <c r="CQ221" i="1"/>
  <c r="BY222" i="1" a="1"/>
  <c r="BY222" i="1" s="1"/>
  <c r="BZ222" i="1" a="1"/>
  <c r="BZ222" i="1" s="1"/>
  <c r="CA222" i="1" a="1"/>
  <c r="CA222" i="1" s="1"/>
  <c r="CB222" i="1" a="1"/>
  <c r="CB222" i="1" s="1"/>
  <c r="CC222" i="1" a="1"/>
  <c r="CC222" i="1" s="1"/>
  <c r="CD222" i="1" a="1"/>
  <c r="CD222" i="1" s="1"/>
  <c r="CE222" i="1" a="1"/>
  <c r="CE222" i="1" s="1"/>
  <c r="CF222" i="1" a="1"/>
  <c r="CF222" i="1" s="1"/>
  <c r="CG222" i="1" a="1"/>
  <c r="CG222" i="1" s="1"/>
  <c r="CH222" i="1" a="1"/>
  <c r="CH222" i="1" s="1"/>
  <c r="CI222" i="1" a="1"/>
  <c r="CI222" i="1" s="1"/>
  <c r="CJ222" i="1" a="1"/>
  <c r="CJ222" i="1" s="1"/>
  <c r="CK222" i="1" a="1"/>
  <c r="CK222" i="1"/>
  <c r="CL222" i="1" a="1"/>
  <c r="CL222" i="1" s="1"/>
  <c r="CM222" i="1" a="1"/>
  <c r="CM222" i="1" s="1"/>
  <c r="CN222" i="1" a="1"/>
  <c r="CN222" i="1" s="1"/>
  <c r="CO222" i="1" a="1"/>
  <c r="CO222" i="1" s="1"/>
  <c r="CP222" i="1" a="1"/>
  <c r="CP222" i="1" s="1"/>
  <c r="CQ222" i="1" a="1"/>
  <c r="CQ222" i="1" s="1"/>
  <c r="BY223" i="1" a="1"/>
  <c r="BY223" i="1"/>
  <c r="BZ223" i="1" a="1"/>
  <c r="BZ223" i="1" s="1"/>
  <c r="CA223" i="1" a="1"/>
  <c r="CA223" i="1" s="1"/>
  <c r="CB223" i="1" a="1"/>
  <c r="CB223" i="1" s="1"/>
  <c r="CC223" i="1" a="1"/>
  <c r="CC223" i="1" s="1"/>
  <c r="CD223" i="1" a="1"/>
  <c r="CD223" i="1" s="1"/>
  <c r="CE223" i="1" a="1"/>
  <c r="CE223" i="1" s="1"/>
  <c r="CF223" i="1" a="1"/>
  <c r="CF223" i="1" s="1"/>
  <c r="CG223" i="1" a="1"/>
  <c r="CG223" i="1" s="1"/>
  <c r="CH223" i="1" a="1"/>
  <c r="CH223" i="1" s="1"/>
  <c r="CI223" i="1" a="1"/>
  <c r="CI223" i="1" s="1"/>
  <c r="CJ223" i="1" a="1"/>
  <c r="CJ223" i="1" s="1"/>
  <c r="CK223" i="1" a="1"/>
  <c r="CK223" i="1" s="1"/>
  <c r="CL223" i="1" a="1"/>
  <c r="CL223" i="1" s="1"/>
  <c r="CM223" i="1" a="1"/>
  <c r="CM223" i="1" s="1"/>
  <c r="CN223" i="1" a="1"/>
  <c r="CN223" i="1" s="1"/>
  <c r="CO223" i="1" a="1"/>
  <c r="CO223" i="1" s="1"/>
  <c r="CP223" i="1" a="1"/>
  <c r="CP223" i="1" s="1"/>
  <c r="CQ223" i="1" a="1"/>
  <c r="CQ223" i="1" s="1"/>
  <c r="BY224" i="1" a="1"/>
  <c r="BY224" i="1" s="1"/>
  <c r="BZ224" i="1" a="1"/>
  <c r="BZ224" i="1" s="1"/>
  <c r="CA224" i="1" a="1"/>
  <c r="CA224" i="1"/>
  <c r="CB224" i="1" a="1"/>
  <c r="CB224" i="1" s="1"/>
  <c r="CC224" i="1" a="1"/>
  <c r="CC224" i="1" s="1"/>
  <c r="CD224" i="1" a="1"/>
  <c r="CD224" i="1" s="1"/>
  <c r="CE224" i="1" a="1"/>
  <c r="CE224" i="1" s="1"/>
  <c r="CF224" i="1" a="1"/>
  <c r="CF224" i="1" s="1"/>
  <c r="CG224" i="1" a="1"/>
  <c r="CG224" i="1" s="1"/>
  <c r="CH224" i="1" a="1"/>
  <c r="CH224" i="1" s="1"/>
  <c r="CI224" i="1" a="1"/>
  <c r="CI224" i="1" s="1"/>
  <c r="CJ224" i="1" a="1"/>
  <c r="CJ224" i="1" s="1"/>
  <c r="CK224" i="1" a="1"/>
  <c r="CK224" i="1" s="1"/>
  <c r="CL224" i="1" a="1"/>
  <c r="CL224" i="1"/>
  <c r="CM224" i="1" a="1"/>
  <c r="CM224" i="1" s="1"/>
  <c r="CN224" i="1" a="1"/>
  <c r="CN224" i="1" s="1"/>
  <c r="CO224" i="1" a="1"/>
  <c r="CO224" i="1" s="1"/>
  <c r="CP224" i="1" a="1"/>
  <c r="CP224" i="1" s="1"/>
  <c r="CQ224" i="1" a="1"/>
  <c r="CQ224" i="1" s="1"/>
  <c r="BY225" i="1" a="1"/>
  <c r="BY225" i="1" s="1"/>
  <c r="BI225" i="1" s="1"/>
  <c r="BZ225" i="1" a="1"/>
  <c r="BZ225" i="1"/>
  <c r="CA225" i="1" a="1"/>
  <c r="CA225" i="1" s="1"/>
  <c r="CB225" i="1" a="1"/>
  <c r="CB225" i="1" s="1"/>
  <c r="CC225" i="1" a="1"/>
  <c r="CC225" i="1" s="1"/>
  <c r="CD225" i="1" a="1"/>
  <c r="CD225" i="1" s="1"/>
  <c r="CE225" i="1" a="1"/>
  <c r="CE225" i="1" s="1"/>
  <c r="CF225" i="1" a="1"/>
  <c r="CF225" i="1" s="1"/>
  <c r="CG225" i="1" a="1"/>
  <c r="CG225" i="1" s="1"/>
  <c r="CH225" i="1" a="1"/>
  <c r="CH225" i="1" s="1"/>
  <c r="CI225" i="1" a="1"/>
  <c r="CI225" i="1" s="1"/>
  <c r="CJ225" i="1" a="1"/>
  <c r="CJ225" i="1" s="1"/>
  <c r="CK225" i="1" a="1"/>
  <c r="CK225" i="1" s="1"/>
  <c r="CL225" i="1" a="1"/>
  <c r="CL225" i="1" s="1"/>
  <c r="CM225" i="1" a="1"/>
  <c r="CM225" i="1" s="1"/>
  <c r="CN225" i="1" a="1"/>
  <c r="CN225" i="1" s="1"/>
  <c r="CO225" i="1" a="1"/>
  <c r="CO225" i="1" s="1"/>
  <c r="CP225" i="1" a="1"/>
  <c r="CP225" i="1" s="1"/>
  <c r="CQ225" i="1" a="1"/>
  <c r="CQ225" i="1" s="1"/>
  <c r="BY226" i="1" a="1"/>
  <c r="BY226" i="1" s="1"/>
  <c r="BZ226" i="1" a="1"/>
  <c r="BZ226" i="1" s="1"/>
  <c r="CA226" i="1" a="1"/>
  <c r="CA226" i="1" s="1"/>
  <c r="CB226" i="1" a="1"/>
  <c r="CB226" i="1" s="1"/>
  <c r="CC226" i="1" a="1"/>
  <c r="CC226" i="1"/>
  <c r="CD226" i="1" a="1"/>
  <c r="CD226" i="1" s="1"/>
  <c r="CE226" i="1" a="1"/>
  <c r="CE226" i="1" s="1"/>
  <c r="CF226" i="1" a="1"/>
  <c r="CF226" i="1"/>
  <c r="CG226" i="1" a="1"/>
  <c r="CG226" i="1" s="1"/>
  <c r="CH226" i="1" a="1"/>
  <c r="CH226" i="1" s="1"/>
  <c r="CI226" i="1" a="1"/>
  <c r="CI226" i="1"/>
  <c r="CJ226" i="1" a="1"/>
  <c r="CJ226" i="1" s="1"/>
  <c r="CK226" i="1" a="1"/>
  <c r="CK226" i="1" s="1"/>
  <c r="CL226" i="1" a="1"/>
  <c r="CL226" i="1" s="1"/>
  <c r="CM226" i="1" a="1"/>
  <c r="CM226" i="1" s="1"/>
  <c r="CN226" i="1" a="1"/>
  <c r="CN226" i="1" s="1"/>
  <c r="CO226" i="1" a="1"/>
  <c r="CO226" i="1" s="1"/>
  <c r="CP226" i="1" a="1"/>
  <c r="CP226" i="1" s="1"/>
  <c r="CQ226" i="1" a="1"/>
  <c r="CQ226" i="1" s="1"/>
  <c r="BY227" i="1" a="1"/>
  <c r="BY227" i="1" s="1"/>
  <c r="BZ227" i="1" a="1"/>
  <c r="BZ227" i="1" s="1"/>
  <c r="CA227" i="1" a="1"/>
  <c r="CA227" i="1" s="1"/>
  <c r="CB227" i="1" a="1"/>
  <c r="CB227" i="1" s="1"/>
  <c r="CC227" i="1" a="1"/>
  <c r="CC227" i="1" s="1"/>
  <c r="CD227" i="1" a="1"/>
  <c r="CD227" i="1" s="1"/>
  <c r="CE227" i="1" a="1"/>
  <c r="CE227" i="1" s="1"/>
  <c r="CF227" i="1" a="1"/>
  <c r="CF227" i="1" s="1"/>
  <c r="CG227" i="1" a="1"/>
  <c r="CG227" i="1" s="1"/>
  <c r="CH227" i="1" a="1"/>
  <c r="CH227" i="1"/>
  <c r="CI227" i="1" a="1"/>
  <c r="CI227" i="1" s="1"/>
  <c r="CJ227" i="1" a="1"/>
  <c r="CJ227" i="1" s="1"/>
  <c r="CK227" i="1" a="1"/>
  <c r="CK227" i="1" s="1"/>
  <c r="CL227" i="1" a="1"/>
  <c r="CL227" i="1" s="1"/>
  <c r="CM227" i="1" a="1"/>
  <c r="CM227" i="1" s="1"/>
  <c r="CN227" i="1" a="1"/>
  <c r="CN227" i="1" s="1"/>
  <c r="CO227" i="1" a="1"/>
  <c r="CO227" i="1" s="1"/>
  <c r="CP227" i="1" a="1"/>
  <c r="CP227" i="1" s="1"/>
  <c r="CQ227" i="1" a="1"/>
  <c r="CQ227" i="1" s="1"/>
  <c r="BY228" i="1" a="1"/>
  <c r="BY228" i="1" s="1"/>
  <c r="BZ228" i="1" a="1"/>
  <c r="BZ228" i="1" s="1"/>
  <c r="BG228" i="1" s="1"/>
  <c r="CA228" i="1" a="1"/>
  <c r="CA228" i="1" s="1"/>
  <c r="CB228" i="1" a="1"/>
  <c r="CB228" i="1" s="1"/>
  <c r="CC228" i="1" a="1"/>
  <c r="CC228" i="1" s="1"/>
  <c r="CD228" i="1" a="1"/>
  <c r="CD228" i="1" s="1"/>
  <c r="CE228" i="1" a="1"/>
  <c r="CE228" i="1" s="1"/>
  <c r="CF228" i="1" a="1"/>
  <c r="CF228" i="1" s="1"/>
  <c r="CG228" i="1" a="1"/>
  <c r="CG228" i="1"/>
  <c r="CH228" i="1" a="1"/>
  <c r="CH228" i="1" s="1"/>
  <c r="CI228" i="1" a="1"/>
  <c r="CI228" i="1" s="1"/>
  <c r="CJ228" i="1" a="1"/>
  <c r="CJ228" i="1" s="1"/>
  <c r="CK228" i="1" a="1"/>
  <c r="CK228" i="1" s="1"/>
  <c r="CL228" i="1" a="1"/>
  <c r="CL228" i="1" s="1"/>
  <c r="CM228" i="1" a="1"/>
  <c r="CM228" i="1" s="1"/>
  <c r="CN228" i="1" a="1"/>
  <c r="CN228" i="1" s="1"/>
  <c r="CO228" i="1" a="1"/>
  <c r="CO228" i="1" s="1"/>
  <c r="CP228" i="1" a="1"/>
  <c r="CP228" i="1" s="1"/>
  <c r="CQ228" i="1" a="1"/>
  <c r="CQ228" i="1" s="1"/>
  <c r="BY229" i="1" a="1"/>
  <c r="BY229" i="1" s="1"/>
  <c r="BZ229" i="1" a="1"/>
  <c r="BZ229" i="1" s="1"/>
  <c r="CA229" i="1" a="1"/>
  <c r="CA229" i="1" s="1"/>
  <c r="CB229" i="1" a="1"/>
  <c r="CB229" i="1" s="1"/>
  <c r="CC229" i="1" a="1"/>
  <c r="CC229" i="1" s="1"/>
  <c r="CD229" i="1" a="1"/>
  <c r="CD229" i="1" s="1"/>
  <c r="CE229" i="1" a="1"/>
  <c r="CE229" i="1" s="1"/>
  <c r="CF229" i="1" a="1"/>
  <c r="CF229" i="1" s="1"/>
  <c r="CG229" i="1" a="1"/>
  <c r="CG229" i="1" s="1"/>
  <c r="CH229" i="1" a="1"/>
  <c r="CH229" i="1" s="1"/>
  <c r="CI229" i="1" a="1"/>
  <c r="CI229" i="1" s="1"/>
  <c r="CJ229" i="1" a="1"/>
  <c r="CJ229" i="1" s="1"/>
  <c r="CK229" i="1" a="1"/>
  <c r="CK229" i="1" s="1"/>
  <c r="CL229" i="1" a="1"/>
  <c r="CL229" i="1" s="1"/>
  <c r="CM229" i="1" a="1"/>
  <c r="CM229" i="1"/>
  <c r="CN229" i="1" a="1"/>
  <c r="CN229" i="1" s="1"/>
  <c r="CO229" i="1" a="1"/>
  <c r="CO229" i="1" s="1"/>
  <c r="CP229" i="1" a="1"/>
  <c r="CP229" i="1" s="1"/>
  <c r="CQ229" i="1" a="1"/>
  <c r="CQ229" i="1" s="1"/>
  <c r="BY230" i="1" a="1"/>
  <c r="BY230" i="1" s="1"/>
  <c r="BZ230" i="1" a="1"/>
  <c r="BZ230" i="1" s="1"/>
  <c r="CA230" i="1" a="1"/>
  <c r="CA230" i="1" s="1"/>
  <c r="CB230" i="1" a="1"/>
  <c r="CB230" i="1" s="1"/>
  <c r="CC230" i="1" a="1"/>
  <c r="CC230" i="1" s="1"/>
  <c r="CD230" i="1" a="1"/>
  <c r="CD230" i="1" s="1"/>
  <c r="CE230" i="1" a="1"/>
  <c r="CE230" i="1" s="1"/>
  <c r="CF230" i="1" a="1"/>
  <c r="CF230" i="1" s="1"/>
  <c r="CG230" i="1" a="1"/>
  <c r="CG230" i="1" s="1"/>
  <c r="CH230" i="1" a="1"/>
  <c r="CH230" i="1" s="1"/>
  <c r="CI230" i="1" a="1"/>
  <c r="CI230" i="1" s="1"/>
  <c r="CJ230" i="1" a="1"/>
  <c r="CJ230" i="1" s="1"/>
  <c r="CK230" i="1" a="1"/>
  <c r="CK230" i="1" s="1"/>
  <c r="CL230" i="1" a="1"/>
  <c r="CL230" i="1" s="1"/>
  <c r="CM230" i="1" a="1"/>
  <c r="CM230" i="1" s="1"/>
  <c r="CN230" i="1" a="1"/>
  <c r="CN230" i="1" s="1"/>
  <c r="CO230" i="1" a="1"/>
  <c r="CO230" i="1" s="1"/>
  <c r="CP230" i="1" a="1"/>
  <c r="CP230" i="1" s="1"/>
  <c r="CQ230" i="1" a="1"/>
  <c r="CQ230" i="1" s="1"/>
  <c r="BY231" i="1" a="1"/>
  <c r="BY231" i="1" s="1"/>
  <c r="BZ231" i="1" a="1"/>
  <c r="BZ231" i="1" s="1"/>
  <c r="CA231" i="1" a="1"/>
  <c r="CA231" i="1" s="1"/>
  <c r="CB231" i="1" a="1"/>
  <c r="CB231" i="1" s="1"/>
  <c r="CC231" i="1" a="1"/>
  <c r="CC231" i="1" s="1"/>
  <c r="CD231" i="1" a="1"/>
  <c r="CD231" i="1"/>
  <c r="CE231" i="1" a="1"/>
  <c r="CE231" i="1" s="1"/>
  <c r="CF231" i="1" a="1"/>
  <c r="CF231" i="1" s="1"/>
  <c r="CG231" i="1" a="1"/>
  <c r="CG231" i="1"/>
  <c r="CH231" i="1" a="1"/>
  <c r="CH231" i="1" s="1"/>
  <c r="CI231" i="1" a="1"/>
  <c r="CI231" i="1" s="1"/>
  <c r="CJ231" i="1" a="1"/>
  <c r="CJ231" i="1"/>
  <c r="CK231" i="1" a="1"/>
  <c r="CK231" i="1" s="1"/>
  <c r="CL231" i="1" a="1"/>
  <c r="CL231" i="1" s="1"/>
  <c r="CM231" i="1" a="1"/>
  <c r="CM231" i="1" s="1"/>
  <c r="CN231" i="1" a="1"/>
  <c r="CN231" i="1" s="1"/>
  <c r="CO231" i="1" a="1"/>
  <c r="CO231" i="1" s="1"/>
  <c r="CP231" i="1" a="1"/>
  <c r="CP231" i="1"/>
  <c r="CQ231" i="1" a="1"/>
  <c r="CQ231" i="1" s="1"/>
  <c r="BY232" i="1" a="1"/>
  <c r="BY232" i="1" s="1"/>
  <c r="BZ232" i="1" a="1"/>
  <c r="BZ232" i="1" s="1"/>
  <c r="CA232" i="1" a="1"/>
  <c r="CA232" i="1" s="1"/>
  <c r="CB232" i="1" a="1"/>
  <c r="CB232" i="1" s="1"/>
  <c r="CC232" i="1" a="1"/>
  <c r="CC232" i="1" s="1"/>
  <c r="CD232" i="1" a="1"/>
  <c r="CD232" i="1" s="1"/>
  <c r="CE232" i="1" a="1"/>
  <c r="CE232" i="1" s="1"/>
  <c r="CF232" i="1" a="1"/>
  <c r="CF232" i="1" s="1"/>
  <c r="CG232" i="1" a="1"/>
  <c r="CG232" i="1" s="1"/>
  <c r="CH232" i="1" a="1"/>
  <c r="CH232" i="1" s="1"/>
  <c r="CI232" i="1" a="1"/>
  <c r="CI232" i="1" s="1"/>
  <c r="CJ232" i="1" a="1"/>
  <c r="CJ232" i="1" s="1"/>
  <c r="CK232" i="1" a="1"/>
  <c r="CK232" i="1"/>
  <c r="CL232" i="1" a="1"/>
  <c r="CL232" i="1" s="1"/>
  <c r="CM232" i="1" a="1"/>
  <c r="CM232" i="1" s="1"/>
  <c r="CN232" i="1" a="1"/>
  <c r="CN232" i="1" s="1"/>
  <c r="CO232" i="1" a="1"/>
  <c r="CO232" i="1" s="1"/>
  <c r="CP232" i="1" a="1"/>
  <c r="CP232" i="1" s="1"/>
  <c r="CQ232" i="1" a="1"/>
  <c r="CQ232" i="1"/>
  <c r="BY233" i="1" a="1"/>
  <c r="BY233" i="1" s="1"/>
  <c r="BH233" i="1" s="1"/>
  <c r="BZ233" i="1" a="1"/>
  <c r="BZ233" i="1" s="1"/>
  <c r="CA233" i="1" a="1"/>
  <c r="CA233" i="1"/>
  <c r="CB233" i="1" a="1"/>
  <c r="CB233" i="1" s="1"/>
  <c r="CC233" i="1" a="1"/>
  <c r="CC233" i="1" s="1"/>
  <c r="CD233" i="1" a="1"/>
  <c r="CD233" i="1"/>
  <c r="CE233" i="1" a="1"/>
  <c r="CE233" i="1" s="1"/>
  <c r="CF233" i="1" a="1"/>
  <c r="CF233" i="1" s="1"/>
  <c r="CG233" i="1" a="1"/>
  <c r="CG233" i="1" s="1"/>
  <c r="CH233" i="1" a="1"/>
  <c r="CH233" i="1" s="1"/>
  <c r="CI233" i="1" a="1"/>
  <c r="CI233" i="1" s="1"/>
  <c r="CJ233" i="1" a="1"/>
  <c r="CJ233" i="1" s="1"/>
  <c r="CK233" i="1" a="1"/>
  <c r="CK233" i="1" s="1"/>
  <c r="CL233" i="1" a="1"/>
  <c r="CL233" i="1"/>
  <c r="CM233" i="1" a="1"/>
  <c r="CM233" i="1" s="1"/>
  <c r="CN233" i="1" a="1"/>
  <c r="CN233" i="1" s="1"/>
  <c r="CO233" i="1" a="1"/>
  <c r="CO233" i="1" s="1"/>
  <c r="CP233" i="1" a="1"/>
  <c r="CP233" i="1" s="1"/>
  <c r="CQ233" i="1" a="1"/>
  <c r="CQ233" i="1" s="1"/>
  <c r="BY234" i="1" a="1"/>
  <c r="BY234" i="1" s="1"/>
  <c r="BZ234" i="1" a="1"/>
  <c r="BZ234" i="1" s="1"/>
  <c r="CA234" i="1" a="1"/>
  <c r="CA234" i="1" s="1"/>
  <c r="CB234" i="1" a="1"/>
  <c r="CB234" i="1" s="1"/>
  <c r="CC234" i="1" a="1"/>
  <c r="CC234" i="1" s="1"/>
  <c r="CD234" i="1" a="1"/>
  <c r="CD234" i="1" s="1"/>
  <c r="CE234" i="1" a="1"/>
  <c r="CE234" i="1" s="1"/>
  <c r="CF234" i="1" a="1"/>
  <c r="CF234" i="1" s="1"/>
  <c r="CG234" i="1" a="1"/>
  <c r="CG234" i="1" s="1"/>
  <c r="CH234" i="1" a="1"/>
  <c r="CH234" i="1" s="1"/>
  <c r="CI234" i="1" a="1"/>
  <c r="CI234" i="1" s="1"/>
  <c r="CJ234" i="1" a="1"/>
  <c r="CJ234" i="1" s="1"/>
  <c r="CK234" i="1" a="1"/>
  <c r="CK234" i="1" s="1"/>
  <c r="CL234" i="1" a="1"/>
  <c r="CL234" i="1" s="1"/>
  <c r="CM234" i="1" a="1"/>
  <c r="CM234" i="1" s="1"/>
  <c r="CN234" i="1" a="1"/>
  <c r="CN234" i="1"/>
  <c r="CO234" i="1" a="1"/>
  <c r="CO234" i="1" s="1"/>
  <c r="CP234" i="1" a="1"/>
  <c r="CP234" i="1" s="1"/>
  <c r="CQ234" i="1" a="1"/>
  <c r="CQ234" i="1" s="1"/>
  <c r="BY235" i="1" a="1"/>
  <c r="BY235" i="1" s="1"/>
  <c r="BZ235" i="1" a="1"/>
  <c r="BZ235" i="1" s="1"/>
  <c r="CA235" i="1" a="1"/>
  <c r="CA235" i="1" s="1"/>
  <c r="CB235" i="1" a="1"/>
  <c r="CB235" i="1"/>
  <c r="CC235" i="1" a="1"/>
  <c r="CC235" i="1" s="1"/>
  <c r="CD235" i="1" a="1"/>
  <c r="CD235" i="1" s="1"/>
  <c r="CE235" i="1" a="1"/>
  <c r="CE235" i="1" s="1"/>
  <c r="CF235" i="1" a="1"/>
  <c r="CF235" i="1"/>
  <c r="CG235" i="1" a="1"/>
  <c r="CG235" i="1" s="1"/>
  <c r="CH235" i="1" a="1"/>
  <c r="CH235" i="1" s="1"/>
  <c r="CI235" i="1" a="1"/>
  <c r="CI235" i="1" s="1"/>
  <c r="CJ235" i="1" a="1"/>
  <c r="CJ235" i="1" s="1"/>
  <c r="CK235" i="1" a="1"/>
  <c r="CK235" i="1" s="1"/>
  <c r="CL235" i="1" a="1"/>
  <c r="CL235" i="1" s="1"/>
  <c r="CM235" i="1" a="1"/>
  <c r="CM235" i="1" s="1"/>
  <c r="CN235" i="1" a="1"/>
  <c r="CN235" i="1" s="1"/>
  <c r="CO235" i="1" a="1"/>
  <c r="CO235" i="1"/>
  <c r="CP235" i="1" a="1"/>
  <c r="CP235" i="1" s="1"/>
  <c r="CQ235" i="1" a="1"/>
  <c r="CQ235" i="1" s="1"/>
  <c r="BY236" i="1" a="1"/>
  <c r="BY236" i="1" s="1"/>
  <c r="BI236" i="1" s="1"/>
  <c r="BZ236" i="1" a="1"/>
  <c r="BZ236" i="1" s="1"/>
  <c r="CA236" i="1" a="1"/>
  <c r="CA236" i="1" s="1"/>
  <c r="CB236" i="1" a="1"/>
  <c r="CB236" i="1" s="1"/>
  <c r="CC236" i="1" a="1"/>
  <c r="CC236" i="1" s="1"/>
  <c r="CD236" i="1" a="1"/>
  <c r="CD236" i="1" s="1"/>
  <c r="CE236" i="1" a="1"/>
  <c r="CE236" i="1" s="1"/>
  <c r="CF236" i="1" a="1"/>
  <c r="CF236" i="1" s="1"/>
  <c r="CG236" i="1" a="1"/>
  <c r="CG236" i="1" s="1"/>
  <c r="CH236" i="1" a="1"/>
  <c r="CH236" i="1" s="1"/>
  <c r="CI236" i="1" a="1"/>
  <c r="CI236" i="1" s="1"/>
  <c r="CJ236" i="1" a="1"/>
  <c r="CJ236" i="1" s="1"/>
  <c r="CK236" i="1" a="1"/>
  <c r="CK236" i="1" s="1"/>
  <c r="CL236" i="1" a="1"/>
  <c r="CL236" i="1" s="1"/>
  <c r="CM236" i="1" a="1"/>
  <c r="CM236" i="1" s="1"/>
  <c r="CN236" i="1" a="1"/>
  <c r="CN236" i="1" s="1"/>
  <c r="CO236" i="1" a="1"/>
  <c r="CO236" i="1" s="1"/>
  <c r="CP236" i="1" a="1"/>
  <c r="CP236" i="1" s="1"/>
  <c r="CQ236" i="1" a="1"/>
  <c r="CQ236" i="1" s="1"/>
  <c r="BY237" i="1" a="1"/>
  <c r="BY237" i="1"/>
  <c r="BZ237" i="1" a="1"/>
  <c r="BZ237" i="1" s="1"/>
  <c r="CA237" i="1" a="1"/>
  <c r="CA237" i="1" s="1"/>
  <c r="CB237" i="1" a="1"/>
  <c r="CB237" i="1" s="1"/>
  <c r="CC237" i="1" a="1"/>
  <c r="CC237" i="1" s="1"/>
  <c r="CD237" i="1" a="1"/>
  <c r="CD237" i="1" s="1"/>
  <c r="CE237" i="1" a="1"/>
  <c r="CE237" i="1" s="1"/>
  <c r="CF237" i="1" a="1"/>
  <c r="CF237" i="1" s="1"/>
  <c r="CG237" i="1" a="1"/>
  <c r="CG237" i="1" s="1"/>
  <c r="CH237" i="1" a="1"/>
  <c r="CH237" i="1" s="1"/>
  <c r="CI237" i="1" a="1"/>
  <c r="CI237" i="1" s="1"/>
  <c r="CJ237" i="1" a="1"/>
  <c r="CJ237" i="1" s="1"/>
  <c r="CK237" i="1" a="1"/>
  <c r="CK237" i="1" s="1"/>
  <c r="CL237" i="1" a="1"/>
  <c r="CL237" i="1" s="1"/>
  <c r="CM237" i="1" a="1"/>
  <c r="CM237" i="1" s="1"/>
  <c r="CN237" i="1" a="1"/>
  <c r="CN237" i="1" s="1"/>
  <c r="CO237" i="1" a="1"/>
  <c r="CO237" i="1" s="1"/>
  <c r="CP237" i="1" a="1"/>
  <c r="CP237" i="1" s="1"/>
  <c r="CQ237" i="1" a="1"/>
  <c r="CQ237" i="1" s="1"/>
  <c r="BY238" i="1" a="1"/>
  <c r="BY238" i="1" s="1"/>
  <c r="BZ238" i="1" a="1"/>
  <c r="BZ238" i="1" s="1"/>
  <c r="CA238" i="1" a="1"/>
  <c r="CA238" i="1" s="1"/>
  <c r="CB238" i="1" a="1"/>
  <c r="CB238" i="1" s="1"/>
  <c r="CC238" i="1" a="1"/>
  <c r="CC238" i="1" s="1"/>
  <c r="CD238" i="1" a="1"/>
  <c r="CD238" i="1"/>
  <c r="CE238" i="1" a="1"/>
  <c r="CE238" i="1" s="1"/>
  <c r="CF238" i="1" a="1"/>
  <c r="CF238" i="1" s="1"/>
  <c r="CG238" i="1" a="1"/>
  <c r="CG238" i="1" s="1"/>
  <c r="CH238" i="1" a="1"/>
  <c r="CH238" i="1"/>
  <c r="CI238" i="1" a="1"/>
  <c r="CI238" i="1" s="1"/>
  <c r="CJ238" i="1" a="1"/>
  <c r="CJ238" i="1" s="1"/>
  <c r="CK238" i="1" a="1"/>
  <c r="CK238" i="1" s="1"/>
  <c r="CL238" i="1" a="1"/>
  <c r="CL238" i="1" s="1"/>
  <c r="CM238" i="1" a="1"/>
  <c r="CM238" i="1" s="1"/>
  <c r="CN238" i="1" a="1"/>
  <c r="CN238" i="1" s="1"/>
  <c r="CO238" i="1" a="1"/>
  <c r="CO238" i="1" s="1"/>
  <c r="CP238" i="1" a="1"/>
  <c r="CP238" i="1" s="1"/>
  <c r="CQ238" i="1" a="1"/>
  <c r="CQ238" i="1" s="1"/>
  <c r="BY239" i="1" a="1"/>
  <c r="BY239" i="1" s="1"/>
  <c r="BZ239" i="1" a="1"/>
  <c r="BZ239" i="1" s="1"/>
  <c r="CA239" i="1" a="1"/>
  <c r="CA239" i="1" s="1"/>
  <c r="CB239" i="1" a="1"/>
  <c r="CB239" i="1" s="1"/>
  <c r="CC239" i="1" a="1"/>
  <c r="CC239" i="1" s="1"/>
  <c r="CD239" i="1" a="1"/>
  <c r="CD239" i="1" s="1"/>
  <c r="CE239" i="1" a="1"/>
  <c r="CE239" i="1" s="1"/>
  <c r="CF239" i="1" a="1"/>
  <c r="CF239" i="1" s="1"/>
  <c r="CG239" i="1" a="1"/>
  <c r="CG239" i="1" s="1"/>
  <c r="CH239" i="1" a="1"/>
  <c r="CH239" i="1" s="1"/>
  <c r="CI239" i="1" a="1"/>
  <c r="CI239" i="1" s="1"/>
  <c r="CJ239" i="1" a="1"/>
  <c r="CJ239" i="1" s="1"/>
  <c r="CK239" i="1" a="1"/>
  <c r="CK239" i="1" s="1"/>
  <c r="CL239" i="1" a="1"/>
  <c r="CL239" i="1" s="1"/>
  <c r="CM239" i="1" a="1"/>
  <c r="CM239" i="1" s="1"/>
  <c r="CN239" i="1" a="1"/>
  <c r="CN239" i="1" s="1"/>
  <c r="CO239" i="1" a="1"/>
  <c r="CO239" i="1" s="1"/>
  <c r="CP239" i="1" a="1"/>
  <c r="CP239" i="1" s="1"/>
  <c r="CQ239" i="1" a="1"/>
  <c r="CQ239" i="1" s="1"/>
  <c r="BY240" i="1" a="1"/>
  <c r="BY240" i="1" s="1"/>
  <c r="BZ240" i="1" a="1"/>
  <c r="BZ240" i="1" s="1"/>
  <c r="CA240" i="1" a="1"/>
  <c r="CA240" i="1" s="1"/>
  <c r="CB240" i="1" a="1"/>
  <c r="CB240" i="1" s="1"/>
  <c r="CC240" i="1" a="1"/>
  <c r="CC240" i="1" s="1"/>
  <c r="CD240" i="1" a="1"/>
  <c r="CD240" i="1" s="1"/>
  <c r="CE240" i="1" a="1"/>
  <c r="CE240" i="1" s="1"/>
  <c r="CF240" i="1" a="1"/>
  <c r="CF240" i="1" s="1"/>
  <c r="CG240" i="1" a="1"/>
  <c r="CG240" i="1" s="1"/>
  <c r="CH240" i="1" a="1"/>
  <c r="CH240" i="1" s="1"/>
  <c r="CI240" i="1" a="1"/>
  <c r="CI240" i="1" s="1"/>
  <c r="CJ240" i="1" a="1"/>
  <c r="CJ240" i="1" s="1"/>
  <c r="CK240" i="1" a="1"/>
  <c r="CK240" i="1" s="1"/>
  <c r="CL240" i="1" a="1"/>
  <c r="CL240" i="1" s="1"/>
  <c r="CM240" i="1" a="1"/>
  <c r="CM240" i="1" s="1"/>
  <c r="CN240" i="1" a="1"/>
  <c r="CN240" i="1" s="1"/>
  <c r="CO240" i="1" a="1"/>
  <c r="CO240" i="1" s="1"/>
  <c r="CP240" i="1" a="1"/>
  <c r="CP240" i="1" s="1"/>
  <c r="CQ240" i="1" a="1"/>
  <c r="CQ240" i="1" s="1"/>
  <c r="BY241" i="1" a="1"/>
  <c r="BY241" i="1" s="1"/>
  <c r="BZ241" i="1" a="1"/>
  <c r="BZ241" i="1" s="1"/>
  <c r="CA241" i="1" a="1"/>
  <c r="CA241" i="1" s="1"/>
  <c r="CB241" i="1" a="1"/>
  <c r="CB241" i="1" s="1"/>
  <c r="CC241" i="1" a="1"/>
  <c r="CC241" i="1" s="1"/>
  <c r="CD241" i="1" a="1"/>
  <c r="CD241" i="1" s="1"/>
  <c r="CE241" i="1" a="1"/>
  <c r="CE241" i="1" s="1"/>
  <c r="CF241" i="1" a="1"/>
  <c r="CF241" i="1" s="1"/>
  <c r="CG241" i="1" a="1"/>
  <c r="CG241" i="1" s="1"/>
  <c r="CH241" i="1" a="1"/>
  <c r="CH241" i="1" s="1"/>
  <c r="CI241" i="1" a="1"/>
  <c r="CI241" i="1" s="1"/>
  <c r="CJ241" i="1" a="1"/>
  <c r="CJ241" i="1" s="1"/>
  <c r="CK241" i="1" a="1"/>
  <c r="CK241" i="1" s="1"/>
  <c r="CL241" i="1" a="1"/>
  <c r="CL241" i="1" s="1"/>
  <c r="CM241" i="1" a="1"/>
  <c r="CM241" i="1" s="1"/>
  <c r="CN241" i="1" a="1"/>
  <c r="CN241" i="1" s="1"/>
  <c r="CO241" i="1" a="1"/>
  <c r="CO241" i="1" s="1"/>
  <c r="CP241" i="1" a="1"/>
  <c r="CP241" i="1" s="1"/>
  <c r="CQ241" i="1" a="1"/>
  <c r="CQ241" i="1" s="1"/>
  <c r="BY242" i="1" a="1"/>
  <c r="BY242" i="1" s="1"/>
  <c r="BZ242" i="1" a="1"/>
  <c r="BZ242" i="1" s="1"/>
  <c r="CA242" i="1" a="1"/>
  <c r="CA242" i="1" s="1"/>
  <c r="CB242" i="1" a="1"/>
  <c r="CB242" i="1" s="1"/>
  <c r="CC242" i="1" a="1"/>
  <c r="CC242" i="1" s="1"/>
  <c r="CD242" i="1" a="1"/>
  <c r="CD242" i="1" s="1"/>
  <c r="BM242" i="1" s="1"/>
  <c r="CE242" i="1" a="1"/>
  <c r="CE242" i="1" s="1"/>
  <c r="CF242" i="1" a="1"/>
  <c r="CF242" i="1" s="1"/>
  <c r="CG242" i="1" a="1"/>
  <c r="CG242" i="1" s="1"/>
  <c r="CH242" i="1" a="1"/>
  <c r="CH242" i="1" s="1"/>
  <c r="CI242" i="1" a="1"/>
  <c r="CI242" i="1" s="1"/>
  <c r="CJ242" i="1" a="1"/>
  <c r="CJ242" i="1" s="1"/>
  <c r="CK242" i="1" a="1"/>
  <c r="CK242" i="1" s="1"/>
  <c r="CL242" i="1" a="1"/>
  <c r="CL242" i="1" s="1"/>
  <c r="CM242" i="1" a="1"/>
  <c r="CM242" i="1" s="1"/>
  <c r="CN242" i="1" a="1"/>
  <c r="CN242" i="1" s="1"/>
  <c r="CO242" i="1" a="1"/>
  <c r="CO242" i="1" s="1"/>
  <c r="CP242" i="1" a="1"/>
  <c r="CP242" i="1" s="1"/>
  <c r="CQ242" i="1" a="1"/>
  <c r="CQ242" i="1" s="1"/>
  <c r="BY243" i="1" a="1"/>
  <c r="BY243" i="1" s="1"/>
  <c r="BK243" i="1" s="1"/>
  <c r="BZ243" i="1" a="1"/>
  <c r="BZ243" i="1" s="1"/>
  <c r="CA243" i="1" a="1"/>
  <c r="CA243" i="1"/>
  <c r="CB243" i="1" a="1"/>
  <c r="CB243" i="1" s="1"/>
  <c r="CC243" i="1" a="1"/>
  <c r="CC243" i="1" s="1"/>
  <c r="CD243" i="1" a="1"/>
  <c r="CD243" i="1" s="1"/>
  <c r="CE243" i="1" a="1"/>
  <c r="CE243" i="1" s="1"/>
  <c r="CF243" i="1" a="1"/>
  <c r="CF243" i="1" s="1"/>
  <c r="CG243" i="1" a="1"/>
  <c r="CG243" i="1" s="1"/>
  <c r="CH243" i="1" a="1"/>
  <c r="CH243" i="1" s="1"/>
  <c r="CI243" i="1" a="1"/>
  <c r="CI243" i="1" s="1"/>
  <c r="CJ243" i="1" a="1"/>
  <c r="CJ243" i="1" s="1"/>
  <c r="CK243" i="1" a="1"/>
  <c r="CK243" i="1" s="1"/>
  <c r="CL243" i="1" a="1"/>
  <c r="CL243" i="1" s="1"/>
  <c r="CM243" i="1" a="1"/>
  <c r="CM243" i="1" s="1"/>
  <c r="CN243" i="1" a="1"/>
  <c r="CN243" i="1" s="1"/>
  <c r="CO243" i="1" a="1"/>
  <c r="CO243" i="1" s="1"/>
  <c r="CP243" i="1" a="1"/>
  <c r="CP243" i="1" s="1"/>
  <c r="CQ243" i="1" a="1"/>
  <c r="CQ243" i="1" s="1"/>
  <c r="BY244" i="1" a="1"/>
  <c r="BY244" i="1" s="1"/>
  <c r="BZ244" i="1" a="1"/>
  <c r="BZ244" i="1" s="1"/>
  <c r="CA244" i="1" a="1"/>
  <c r="CA244" i="1" s="1"/>
  <c r="CB244" i="1" a="1"/>
  <c r="CB244" i="1" s="1"/>
  <c r="CC244" i="1" a="1"/>
  <c r="CC244" i="1" s="1"/>
  <c r="CD244" i="1" a="1"/>
  <c r="CD244" i="1" s="1"/>
  <c r="CE244" i="1" a="1"/>
  <c r="CE244" i="1" s="1"/>
  <c r="CF244" i="1" a="1"/>
  <c r="CF244" i="1" s="1"/>
  <c r="CG244" i="1" a="1"/>
  <c r="CG244" i="1" s="1"/>
  <c r="CH244" i="1" a="1"/>
  <c r="CH244" i="1" s="1"/>
  <c r="CI244" i="1" a="1"/>
  <c r="CI244" i="1" s="1"/>
  <c r="CJ244" i="1" a="1"/>
  <c r="CJ244" i="1" s="1"/>
  <c r="CK244" i="1" a="1"/>
  <c r="CK244" i="1" s="1"/>
  <c r="CL244" i="1" a="1"/>
  <c r="CL244" i="1" s="1"/>
  <c r="CM244" i="1" a="1"/>
  <c r="CM244" i="1" s="1"/>
  <c r="CN244" i="1" a="1"/>
  <c r="CN244" i="1" s="1"/>
  <c r="CO244" i="1" a="1"/>
  <c r="CO244" i="1" s="1"/>
  <c r="CP244" i="1" a="1"/>
  <c r="CP244" i="1" s="1"/>
  <c r="CQ244" i="1" a="1"/>
  <c r="CQ244" i="1" s="1"/>
  <c r="BY245" i="1" a="1"/>
  <c r="BY245" i="1"/>
  <c r="BZ245" i="1" a="1"/>
  <c r="BZ245" i="1" s="1"/>
  <c r="CA245" i="1" a="1"/>
  <c r="CA245" i="1" s="1"/>
  <c r="CB245" i="1" a="1"/>
  <c r="CB245" i="1" s="1"/>
  <c r="CC245" i="1" a="1"/>
  <c r="CC245" i="1" s="1"/>
  <c r="CD245" i="1" a="1"/>
  <c r="CD245" i="1" s="1"/>
  <c r="CE245" i="1" a="1"/>
  <c r="CE245" i="1" s="1"/>
  <c r="CF245" i="1" a="1"/>
  <c r="CF245" i="1" s="1"/>
  <c r="CG245" i="1" a="1"/>
  <c r="CG245" i="1" s="1"/>
  <c r="CH245" i="1" a="1"/>
  <c r="CH245" i="1" s="1"/>
  <c r="CI245" i="1" a="1"/>
  <c r="CI245" i="1" s="1"/>
  <c r="CJ245" i="1" a="1"/>
  <c r="CJ245" i="1" s="1"/>
  <c r="CK245" i="1" a="1"/>
  <c r="CK245" i="1" s="1"/>
  <c r="CL245" i="1" a="1"/>
  <c r="CL245" i="1" s="1"/>
  <c r="CM245" i="1" a="1"/>
  <c r="CM245" i="1" s="1"/>
  <c r="CN245" i="1" a="1"/>
  <c r="CN245" i="1" s="1"/>
  <c r="CO245" i="1" a="1"/>
  <c r="CO245" i="1" s="1"/>
  <c r="CP245" i="1" a="1"/>
  <c r="CP245" i="1" s="1"/>
  <c r="CQ245" i="1" a="1"/>
  <c r="CQ245" i="1" s="1"/>
  <c r="BY246" i="1" a="1"/>
  <c r="BY246" i="1" s="1"/>
  <c r="BG246" i="1" s="1"/>
  <c r="BZ246" i="1" a="1"/>
  <c r="BZ246" i="1" s="1"/>
  <c r="CA246" i="1" a="1"/>
  <c r="CA246" i="1" s="1"/>
  <c r="CB246" i="1" a="1"/>
  <c r="CB246" i="1" s="1"/>
  <c r="CC246" i="1" a="1"/>
  <c r="CC246" i="1" s="1"/>
  <c r="CD246" i="1" a="1"/>
  <c r="CD246" i="1" s="1"/>
  <c r="CE246" i="1" a="1"/>
  <c r="CE246" i="1" s="1"/>
  <c r="CF246" i="1" a="1"/>
  <c r="CF246" i="1" s="1"/>
  <c r="CG246" i="1" a="1"/>
  <c r="CG246" i="1" s="1"/>
  <c r="CH246" i="1" a="1"/>
  <c r="CH246" i="1" s="1"/>
  <c r="CI246" i="1" a="1"/>
  <c r="CI246" i="1" s="1"/>
  <c r="CJ246" i="1" a="1"/>
  <c r="CJ246" i="1" s="1"/>
  <c r="CK246" i="1" a="1"/>
  <c r="CK246" i="1" s="1"/>
  <c r="CL246" i="1" a="1"/>
  <c r="CL246" i="1" s="1"/>
  <c r="CM246" i="1" a="1"/>
  <c r="CM246" i="1" s="1"/>
  <c r="CN246" i="1" a="1"/>
  <c r="CN246" i="1" s="1"/>
  <c r="CO246" i="1" a="1"/>
  <c r="CO246" i="1" s="1"/>
  <c r="CP246" i="1" a="1"/>
  <c r="CP246" i="1" s="1"/>
  <c r="CQ246" i="1" a="1"/>
  <c r="CQ246" i="1" s="1"/>
  <c r="BY247" i="1" a="1"/>
  <c r="BY247" i="1" s="1"/>
  <c r="BZ247" i="1" a="1"/>
  <c r="BZ247" i="1" s="1"/>
  <c r="CA247" i="1" a="1"/>
  <c r="CA247" i="1" s="1"/>
  <c r="CB247" i="1" a="1"/>
  <c r="CB247" i="1" s="1"/>
  <c r="CC247" i="1" a="1"/>
  <c r="CC247" i="1" s="1"/>
  <c r="CD247" i="1" a="1"/>
  <c r="CD247" i="1" s="1"/>
  <c r="CE247" i="1" a="1"/>
  <c r="CE247" i="1" s="1"/>
  <c r="CF247" i="1" a="1"/>
  <c r="CF247" i="1" s="1"/>
  <c r="CG247" i="1" a="1"/>
  <c r="CG247" i="1" s="1"/>
  <c r="CH247" i="1" a="1"/>
  <c r="CH247" i="1" s="1"/>
  <c r="CI247" i="1" a="1"/>
  <c r="CI247" i="1" s="1"/>
  <c r="CJ247" i="1" a="1"/>
  <c r="CJ247" i="1" s="1"/>
  <c r="CK247" i="1" a="1"/>
  <c r="CK247" i="1" s="1"/>
  <c r="CL247" i="1" a="1"/>
  <c r="CL247" i="1" s="1"/>
  <c r="CM247" i="1" a="1"/>
  <c r="CM247" i="1" s="1"/>
  <c r="CN247" i="1" a="1"/>
  <c r="CN247" i="1" s="1"/>
  <c r="CO247" i="1" a="1"/>
  <c r="CO247" i="1" s="1"/>
  <c r="CP247" i="1" a="1"/>
  <c r="CP247" i="1" s="1"/>
  <c r="CQ247" i="1" a="1"/>
  <c r="CQ247" i="1" s="1"/>
  <c r="BY248" i="1" a="1"/>
  <c r="BY248" i="1" s="1"/>
  <c r="BZ248" i="1" a="1"/>
  <c r="BZ248" i="1" s="1"/>
  <c r="CA248" i="1" a="1"/>
  <c r="CA248" i="1" s="1"/>
  <c r="CB248" i="1" a="1"/>
  <c r="CB248" i="1" s="1"/>
  <c r="CC248" i="1" a="1"/>
  <c r="CC248" i="1" s="1"/>
  <c r="CD248" i="1" a="1"/>
  <c r="CD248" i="1" s="1"/>
  <c r="CE248" i="1" a="1"/>
  <c r="CE248" i="1" s="1"/>
  <c r="CF248" i="1" a="1"/>
  <c r="CF248" i="1" s="1"/>
  <c r="CG248" i="1" a="1"/>
  <c r="CG248" i="1" s="1"/>
  <c r="CH248" i="1" a="1"/>
  <c r="CH248" i="1" s="1"/>
  <c r="CI248" i="1" a="1"/>
  <c r="CI248" i="1" s="1"/>
  <c r="CJ248" i="1" a="1"/>
  <c r="CJ248" i="1" s="1"/>
  <c r="CK248" i="1" a="1"/>
  <c r="CK248" i="1" s="1"/>
  <c r="CL248" i="1" a="1"/>
  <c r="CL248" i="1" s="1"/>
  <c r="CM248" i="1" a="1"/>
  <c r="CM248" i="1" s="1"/>
  <c r="CN248" i="1" a="1"/>
  <c r="CN248" i="1" s="1"/>
  <c r="CO248" i="1" a="1"/>
  <c r="CO248" i="1" s="1"/>
  <c r="CP248" i="1" a="1"/>
  <c r="CP248" i="1" s="1"/>
  <c r="CQ248" i="1" a="1"/>
  <c r="CQ248" i="1" s="1"/>
  <c r="BY249" i="1" a="1"/>
  <c r="BY249" i="1" s="1"/>
  <c r="BZ249" i="1" a="1"/>
  <c r="BZ249" i="1" s="1"/>
  <c r="CA249" i="1" a="1"/>
  <c r="CA249" i="1" s="1"/>
  <c r="CB249" i="1" a="1"/>
  <c r="CB249" i="1" s="1"/>
  <c r="CC249" i="1" a="1"/>
  <c r="CC249" i="1" s="1"/>
  <c r="CD249" i="1" a="1"/>
  <c r="CD249" i="1" s="1"/>
  <c r="CE249" i="1" a="1"/>
  <c r="CE249" i="1" s="1"/>
  <c r="CF249" i="1" a="1"/>
  <c r="CF249" i="1" s="1"/>
  <c r="CG249" i="1" a="1"/>
  <c r="CG249" i="1" s="1"/>
  <c r="CH249" i="1" a="1"/>
  <c r="CH249" i="1" s="1"/>
  <c r="CI249" i="1" a="1"/>
  <c r="CI249" i="1" s="1"/>
  <c r="CJ249" i="1" a="1"/>
  <c r="CJ249" i="1" s="1"/>
  <c r="CK249" i="1" a="1"/>
  <c r="CK249" i="1" s="1"/>
  <c r="CL249" i="1" a="1"/>
  <c r="CL249" i="1" s="1"/>
  <c r="CM249" i="1" a="1"/>
  <c r="CM249" i="1" s="1"/>
  <c r="CN249" i="1" a="1"/>
  <c r="CN249" i="1" s="1"/>
  <c r="CO249" i="1" a="1"/>
  <c r="CO249" i="1" s="1"/>
  <c r="CP249" i="1" a="1"/>
  <c r="CP249" i="1" s="1"/>
  <c r="CQ249" i="1" a="1"/>
  <c r="CQ249" i="1" s="1"/>
  <c r="BY250" i="1" a="1"/>
  <c r="BY250" i="1" s="1"/>
  <c r="BZ250" i="1" a="1"/>
  <c r="BZ250" i="1" s="1"/>
  <c r="CA250" i="1" a="1"/>
  <c r="CA250" i="1" s="1"/>
  <c r="CB250" i="1" a="1"/>
  <c r="CB250" i="1" s="1"/>
  <c r="CC250" i="1" a="1"/>
  <c r="CC250" i="1" s="1"/>
  <c r="CD250" i="1" a="1"/>
  <c r="CD250" i="1" s="1"/>
  <c r="CE250" i="1" a="1"/>
  <c r="CE250" i="1" s="1"/>
  <c r="CF250" i="1" a="1"/>
  <c r="CF250" i="1" s="1"/>
  <c r="CG250" i="1" a="1"/>
  <c r="CG250" i="1" s="1"/>
  <c r="CH250" i="1" a="1"/>
  <c r="CH250" i="1" s="1"/>
  <c r="CI250" i="1" a="1"/>
  <c r="CI250" i="1" s="1"/>
  <c r="CJ250" i="1" a="1"/>
  <c r="CJ250" i="1" s="1"/>
  <c r="CK250" i="1" a="1"/>
  <c r="CK250" i="1" s="1"/>
  <c r="CL250" i="1" a="1"/>
  <c r="CL250" i="1" s="1"/>
  <c r="CM250" i="1" a="1"/>
  <c r="CM250" i="1" s="1"/>
  <c r="CN250" i="1" a="1"/>
  <c r="CN250" i="1" s="1"/>
  <c r="CO250" i="1" a="1"/>
  <c r="CO250" i="1" s="1"/>
  <c r="CP250" i="1" a="1"/>
  <c r="CP250" i="1" s="1"/>
  <c r="CQ250" i="1" a="1"/>
  <c r="CQ250" i="1" s="1"/>
  <c r="BY251" i="1" a="1"/>
  <c r="BY251" i="1" s="1"/>
  <c r="BZ251" i="1" a="1"/>
  <c r="BZ251" i="1" s="1"/>
  <c r="CA251" i="1" a="1"/>
  <c r="CA251" i="1" s="1"/>
  <c r="CB251" i="1" a="1"/>
  <c r="CB251" i="1" s="1"/>
  <c r="CC251" i="1" a="1"/>
  <c r="CC251" i="1" s="1"/>
  <c r="CD251" i="1" a="1"/>
  <c r="CD251" i="1" s="1"/>
  <c r="CE251" i="1" a="1"/>
  <c r="CE251" i="1" s="1"/>
  <c r="CF251" i="1" a="1"/>
  <c r="CF251" i="1" s="1"/>
  <c r="CG251" i="1" a="1"/>
  <c r="CG251" i="1" s="1"/>
  <c r="CH251" i="1" a="1"/>
  <c r="CH251" i="1" s="1"/>
  <c r="CI251" i="1" a="1"/>
  <c r="CI251" i="1" s="1"/>
  <c r="CJ251" i="1" a="1"/>
  <c r="CJ251" i="1" s="1"/>
  <c r="CK251" i="1" a="1"/>
  <c r="CK251" i="1" s="1"/>
  <c r="CL251" i="1" a="1"/>
  <c r="CL251" i="1" s="1"/>
  <c r="CM251" i="1" a="1"/>
  <c r="CM251" i="1" s="1"/>
  <c r="CN251" i="1" a="1"/>
  <c r="CN251" i="1" s="1"/>
  <c r="CO251" i="1" a="1"/>
  <c r="CO251" i="1" s="1"/>
  <c r="CP251" i="1" a="1"/>
  <c r="CP251" i="1" s="1"/>
  <c r="CQ251" i="1" a="1"/>
  <c r="CQ251" i="1" s="1"/>
  <c r="BY252" i="1" a="1"/>
  <c r="BY252" i="1" s="1"/>
  <c r="BZ252" i="1" a="1"/>
  <c r="BZ252" i="1" s="1"/>
  <c r="CA252" i="1" a="1"/>
  <c r="CA252" i="1" s="1"/>
  <c r="CB252" i="1" a="1"/>
  <c r="CB252" i="1" s="1"/>
  <c r="CC252" i="1" a="1"/>
  <c r="CC252" i="1" s="1"/>
  <c r="CD252" i="1" a="1"/>
  <c r="CD252" i="1" s="1"/>
  <c r="CE252" i="1" a="1"/>
  <c r="CE252" i="1" s="1"/>
  <c r="CF252" i="1" a="1"/>
  <c r="CF252" i="1" s="1"/>
  <c r="CG252" i="1" a="1"/>
  <c r="CG252" i="1" s="1"/>
  <c r="CH252" i="1" a="1"/>
  <c r="CH252" i="1" s="1"/>
  <c r="CI252" i="1" a="1"/>
  <c r="CI252" i="1" s="1"/>
  <c r="CJ252" i="1" a="1"/>
  <c r="CJ252" i="1" s="1"/>
  <c r="CK252" i="1" a="1"/>
  <c r="CK252" i="1" s="1"/>
  <c r="CL252" i="1" a="1"/>
  <c r="CL252" i="1" s="1"/>
  <c r="CM252" i="1" a="1"/>
  <c r="CM252" i="1" s="1"/>
  <c r="CN252" i="1" a="1"/>
  <c r="CN252" i="1" s="1"/>
  <c r="CO252" i="1" a="1"/>
  <c r="CO252" i="1" s="1"/>
  <c r="CP252" i="1" a="1"/>
  <c r="CP252" i="1" s="1"/>
  <c r="CQ252" i="1" a="1"/>
  <c r="CQ252" i="1" s="1"/>
  <c r="BY253" i="1" a="1"/>
  <c r="BY253" i="1" s="1"/>
  <c r="BZ253" i="1" a="1"/>
  <c r="BZ253" i="1" s="1"/>
  <c r="CA253" i="1" a="1"/>
  <c r="CA253" i="1" s="1"/>
  <c r="CB253" i="1" a="1"/>
  <c r="CB253" i="1" s="1"/>
  <c r="CC253" i="1" a="1"/>
  <c r="CC253" i="1"/>
  <c r="CD253" i="1" a="1"/>
  <c r="CD253" i="1" s="1"/>
  <c r="CE253" i="1" a="1"/>
  <c r="CE253" i="1" s="1"/>
  <c r="CF253" i="1" a="1"/>
  <c r="CF253" i="1" s="1"/>
  <c r="CG253" i="1" a="1"/>
  <c r="CG253" i="1"/>
  <c r="CH253" i="1" a="1"/>
  <c r="CH253" i="1" s="1"/>
  <c r="CI253" i="1" a="1"/>
  <c r="CI253" i="1" s="1"/>
  <c r="CJ253" i="1" a="1"/>
  <c r="CJ253" i="1" s="1"/>
  <c r="CK253" i="1" a="1"/>
  <c r="CK253" i="1" s="1"/>
  <c r="CL253" i="1" a="1"/>
  <c r="CL253" i="1" s="1"/>
  <c r="CM253" i="1" a="1"/>
  <c r="CM253" i="1" s="1"/>
  <c r="CN253" i="1" a="1"/>
  <c r="CN253" i="1" s="1"/>
  <c r="CO253" i="1" a="1"/>
  <c r="CO253" i="1" s="1"/>
  <c r="CP253" i="1" a="1"/>
  <c r="CP253" i="1" s="1"/>
  <c r="CQ253" i="1" a="1"/>
  <c r="CQ253" i="1" s="1"/>
  <c r="BY254" i="1" a="1"/>
  <c r="BY254" i="1" s="1"/>
  <c r="BZ254" i="1" a="1"/>
  <c r="BZ254" i="1" s="1"/>
  <c r="CA254" i="1" a="1"/>
  <c r="CA254" i="1" s="1"/>
  <c r="BL254" i="1" s="1"/>
  <c r="CB254" i="1" a="1"/>
  <c r="CB254" i="1" s="1"/>
  <c r="CC254" i="1" a="1"/>
  <c r="CC254" i="1" s="1"/>
  <c r="CD254" i="1" a="1"/>
  <c r="CD254" i="1" s="1"/>
  <c r="CE254" i="1" a="1"/>
  <c r="CE254" i="1" s="1"/>
  <c r="CF254" i="1" a="1"/>
  <c r="CF254" i="1" s="1"/>
  <c r="CG254" i="1" a="1"/>
  <c r="CG254" i="1" s="1"/>
  <c r="CH254" i="1" a="1"/>
  <c r="CH254" i="1" s="1"/>
  <c r="CI254" i="1" a="1"/>
  <c r="CI254" i="1" s="1"/>
  <c r="CJ254" i="1" a="1"/>
  <c r="CJ254" i="1" s="1"/>
  <c r="CK254" i="1" a="1"/>
  <c r="CK254" i="1" s="1"/>
  <c r="CL254" i="1" a="1"/>
  <c r="CL254" i="1" s="1"/>
  <c r="CM254" i="1" a="1"/>
  <c r="CM254" i="1" s="1"/>
  <c r="CN254" i="1" a="1"/>
  <c r="CN254" i="1" s="1"/>
  <c r="CO254" i="1" a="1"/>
  <c r="CO254" i="1" s="1"/>
  <c r="CP254" i="1" a="1"/>
  <c r="CP254" i="1" s="1"/>
  <c r="CQ254" i="1" a="1"/>
  <c r="CQ254" i="1" s="1"/>
  <c r="BY255" i="1" a="1"/>
  <c r="BY255" i="1" s="1"/>
  <c r="BZ255" i="1" a="1"/>
  <c r="BZ255" i="1" s="1"/>
  <c r="CA255" i="1" a="1"/>
  <c r="CA255" i="1" s="1"/>
  <c r="CB255" i="1" a="1"/>
  <c r="CB255" i="1" s="1"/>
  <c r="CC255" i="1" a="1"/>
  <c r="CC255" i="1" s="1"/>
  <c r="CD255" i="1" a="1"/>
  <c r="CD255" i="1" s="1"/>
  <c r="CE255" i="1" a="1"/>
  <c r="CE255" i="1" s="1"/>
  <c r="CF255" i="1" a="1"/>
  <c r="CF255" i="1" s="1"/>
  <c r="CG255" i="1" a="1"/>
  <c r="CG255" i="1" s="1"/>
  <c r="CH255" i="1" a="1"/>
  <c r="CH255" i="1" s="1"/>
  <c r="CI255" i="1" a="1"/>
  <c r="CI255" i="1" s="1"/>
  <c r="CJ255" i="1" a="1"/>
  <c r="CJ255" i="1" s="1"/>
  <c r="CK255" i="1" a="1"/>
  <c r="CK255" i="1" s="1"/>
  <c r="CL255" i="1" a="1"/>
  <c r="CL255" i="1" s="1"/>
  <c r="CM255" i="1" a="1"/>
  <c r="CM255" i="1" s="1"/>
  <c r="CN255" i="1" a="1"/>
  <c r="CN255" i="1" s="1"/>
  <c r="CO255" i="1" a="1"/>
  <c r="CO255" i="1" s="1"/>
  <c r="CP255" i="1" a="1"/>
  <c r="CP255" i="1" s="1"/>
  <c r="CQ255" i="1" a="1"/>
  <c r="CQ255" i="1" s="1"/>
  <c r="BY256" i="1" a="1"/>
  <c r="BY256" i="1" s="1"/>
  <c r="BZ256" i="1" a="1"/>
  <c r="BZ256" i="1" s="1"/>
  <c r="CA256" i="1" a="1"/>
  <c r="CA256" i="1" s="1"/>
  <c r="BH256" i="1" s="1"/>
  <c r="CB256" i="1" a="1"/>
  <c r="CB256" i="1" s="1"/>
  <c r="CC256" i="1" a="1"/>
  <c r="CC256" i="1" s="1"/>
  <c r="CD256" i="1" a="1"/>
  <c r="CD256" i="1" s="1"/>
  <c r="CE256" i="1" a="1"/>
  <c r="CE256" i="1" s="1"/>
  <c r="CF256" i="1" a="1"/>
  <c r="CF256" i="1" s="1"/>
  <c r="CG256" i="1" a="1"/>
  <c r="CG256" i="1" s="1"/>
  <c r="CH256" i="1" a="1"/>
  <c r="CH256" i="1" s="1"/>
  <c r="CI256" i="1" a="1"/>
  <c r="CI256" i="1" s="1"/>
  <c r="CJ256" i="1" a="1"/>
  <c r="CJ256" i="1" s="1"/>
  <c r="CK256" i="1" a="1"/>
  <c r="CK256" i="1" s="1"/>
  <c r="CL256" i="1" a="1"/>
  <c r="CL256" i="1" s="1"/>
  <c r="CM256" i="1" a="1"/>
  <c r="CM256" i="1" s="1"/>
  <c r="CN256" i="1" a="1"/>
  <c r="CN256" i="1" s="1"/>
  <c r="CO256" i="1" a="1"/>
  <c r="CO256" i="1" s="1"/>
  <c r="CP256" i="1" a="1"/>
  <c r="CP256" i="1" s="1"/>
  <c r="CQ256" i="1" a="1"/>
  <c r="CQ256" i="1" s="1"/>
  <c r="BY257" i="1" a="1"/>
  <c r="BY257" i="1" s="1"/>
  <c r="BZ257" i="1" a="1"/>
  <c r="BZ257" i="1" s="1"/>
  <c r="CA257" i="1" a="1"/>
  <c r="CA257" i="1" s="1"/>
  <c r="CB257" i="1" a="1"/>
  <c r="CB257" i="1" s="1"/>
  <c r="CC257" i="1" a="1"/>
  <c r="CC257" i="1" s="1"/>
  <c r="CD257" i="1" a="1"/>
  <c r="CD257" i="1" s="1"/>
  <c r="CE257" i="1" a="1"/>
  <c r="CE257" i="1" s="1"/>
  <c r="CF257" i="1" a="1"/>
  <c r="CF257" i="1" s="1"/>
  <c r="CG257" i="1" a="1"/>
  <c r="CG257" i="1" s="1"/>
  <c r="CH257" i="1" a="1"/>
  <c r="CH257" i="1" s="1"/>
  <c r="CI257" i="1" a="1"/>
  <c r="CI257" i="1" s="1"/>
  <c r="CJ257" i="1" a="1"/>
  <c r="CJ257" i="1" s="1"/>
  <c r="CK257" i="1" a="1"/>
  <c r="CK257" i="1" s="1"/>
  <c r="CL257" i="1" a="1"/>
  <c r="CL257" i="1" s="1"/>
  <c r="CM257" i="1" a="1"/>
  <c r="CM257" i="1" s="1"/>
  <c r="CN257" i="1" a="1"/>
  <c r="CN257" i="1" s="1"/>
  <c r="CO257" i="1" a="1"/>
  <c r="CO257" i="1" s="1"/>
  <c r="CP257" i="1" a="1"/>
  <c r="CP257" i="1" s="1"/>
  <c r="CQ257" i="1" a="1"/>
  <c r="CQ257" i="1" s="1"/>
  <c r="BY258" i="1" a="1"/>
  <c r="BY258" i="1" s="1"/>
  <c r="BZ258" i="1" a="1"/>
  <c r="BZ258" i="1"/>
  <c r="CA258" i="1" a="1"/>
  <c r="CA258" i="1" s="1"/>
  <c r="CB258" i="1" a="1"/>
  <c r="CB258" i="1" s="1"/>
  <c r="CC258" i="1" a="1"/>
  <c r="CC258" i="1" s="1"/>
  <c r="CD258" i="1" a="1"/>
  <c r="CD258" i="1" s="1"/>
  <c r="CE258" i="1" a="1"/>
  <c r="CE258" i="1" s="1"/>
  <c r="CF258" i="1" a="1"/>
  <c r="CF258" i="1" s="1"/>
  <c r="CG258" i="1" a="1"/>
  <c r="CG258" i="1" s="1"/>
  <c r="CH258" i="1" a="1"/>
  <c r="CH258" i="1" s="1"/>
  <c r="CI258" i="1" a="1"/>
  <c r="CI258" i="1" s="1"/>
  <c r="CJ258" i="1" a="1"/>
  <c r="CJ258" i="1" s="1"/>
  <c r="CK258" i="1" a="1"/>
  <c r="CK258" i="1" s="1"/>
  <c r="CL258" i="1" a="1"/>
  <c r="CL258" i="1" s="1"/>
  <c r="CM258" i="1" a="1"/>
  <c r="CM258" i="1" s="1"/>
  <c r="CN258" i="1" a="1"/>
  <c r="CN258" i="1" s="1"/>
  <c r="CO258" i="1" a="1"/>
  <c r="CO258" i="1" s="1"/>
  <c r="CP258" i="1" a="1"/>
  <c r="CP258" i="1" s="1"/>
  <c r="CQ258" i="1" a="1"/>
  <c r="CQ258" i="1" s="1"/>
  <c r="BY259" i="1" a="1"/>
  <c r="BY259" i="1" s="1"/>
  <c r="BZ259" i="1" a="1"/>
  <c r="BZ259" i="1" s="1"/>
  <c r="CA259" i="1" a="1"/>
  <c r="CA259" i="1" s="1"/>
  <c r="CB259" i="1" a="1"/>
  <c r="CB259" i="1" s="1"/>
  <c r="CC259" i="1" a="1"/>
  <c r="CC259" i="1" s="1"/>
  <c r="CD259" i="1" a="1"/>
  <c r="CD259" i="1" s="1"/>
  <c r="CE259" i="1" a="1"/>
  <c r="CE259" i="1" s="1"/>
  <c r="CF259" i="1" a="1"/>
  <c r="CF259" i="1" s="1"/>
  <c r="CG259" i="1" a="1"/>
  <c r="CG259" i="1" s="1"/>
  <c r="CH259" i="1" a="1"/>
  <c r="CH259" i="1" s="1"/>
  <c r="CI259" i="1" a="1"/>
  <c r="CI259" i="1" s="1"/>
  <c r="CJ259" i="1" a="1"/>
  <c r="CJ259" i="1" s="1"/>
  <c r="CK259" i="1" a="1"/>
  <c r="CK259" i="1" s="1"/>
  <c r="CL259" i="1" a="1"/>
  <c r="CL259" i="1" s="1"/>
  <c r="CM259" i="1" a="1"/>
  <c r="CM259" i="1" s="1"/>
  <c r="CN259" i="1" a="1"/>
  <c r="CN259" i="1" s="1"/>
  <c r="CO259" i="1" a="1"/>
  <c r="CO259" i="1" s="1"/>
  <c r="CP259" i="1" a="1"/>
  <c r="CP259" i="1" s="1"/>
  <c r="CQ259" i="1" a="1"/>
  <c r="CQ259" i="1" s="1"/>
  <c r="BY260" i="1" a="1"/>
  <c r="BY260" i="1" s="1"/>
  <c r="BZ260" i="1" a="1"/>
  <c r="BZ260" i="1" s="1"/>
  <c r="CA260" i="1" a="1"/>
  <c r="CA260" i="1" s="1"/>
  <c r="CB260" i="1" a="1"/>
  <c r="CB260" i="1" s="1"/>
  <c r="CC260" i="1" a="1"/>
  <c r="CC260" i="1" s="1"/>
  <c r="CD260" i="1" a="1"/>
  <c r="CD260" i="1" s="1"/>
  <c r="CE260" i="1" a="1"/>
  <c r="CE260" i="1" s="1"/>
  <c r="CF260" i="1" a="1"/>
  <c r="CF260" i="1" s="1"/>
  <c r="CG260" i="1" a="1"/>
  <c r="CG260" i="1" s="1"/>
  <c r="CH260" i="1" a="1"/>
  <c r="CH260" i="1" s="1"/>
  <c r="CI260" i="1" a="1"/>
  <c r="CI260" i="1" s="1"/>
  <c r="CJ260" i="1" a="1"/>
  <c r="CJ260" i="1" s="1"/>
  <c r="CK260" i="1" a="1"/>
  <c r="CK260" i="1" s="1"/>
  <c r="CL260" i="1" a="1"/>
  <c r="CL260" i="1" s="1"/>
  <c r="CM260" i="1" a="1"/>
  <c r="CM260" i="1" s="1"/>
  <c r="CN260" i="1" a="1"/>
  <c r="CN260" i="1" s="1"/>
  <c r="CO260" i="1" a="1"/>
  <c r="CO260" i="1" s="1"/>
  <c r="CP260" i="1" a="1"/>
  <c r="CP260" i="1" s="1"/>
  <c r="CQ260" i="1" a="1"/>
  <c r="CQ260" i="1" s="1"/>
  <c r="BY261" i="1" a="1"/>
  <c r="BY261" i="1" s="1"/>
  <c r="BZ261" i="1" a="1"/>
  <c r="BZ261" i="1" s="1"/>
  <c r="CA261" i="1" a="1"/>
  <c r="CA261" i="1" s="1"/>
  <c r="CB261" i="1" a="1"/>
  <c r="CB261" i="1" s="1"/>
  <c r="CC261" i="1" a="1"/>
  <c r="CC261" i="1" s="1"/>
  <c r="CD261" i="1" a="1"/>
  <c r="CD261" i="1" s="1"/>
  <c r="CE261" i="1" a="1"/>
  <c r="CE261" i="1" s="1"/>
  <c r="CF261" i="1" a="1"/>
  <c r="CF261" i="1" s="1"/>
  <c r="CG261" i="1" a="1"/>
  <c r="CG261" i="1" s="1"/>
  <c r="CH261" i="1" a="1"/>
  <c r="CH261" i="1" s="1"/>
  <c r="CI261" i="1" a="1"/>
  <c r="CI261" i="1" s="1"/>
  <c r="CJ261" i="1" a="1"/>
  <c r="CJ261" i="1" s="1"/>
  <c r="CK261" i="1" a="1"/>
  <c r="CK261" i="1" s="1"/>
  <c r="CL261" i="1" a="1"/>
  <c r="CL261" i="1" s="1"/>
  <c r="CM261" i="1" a="1"/>
  <c r="CM261" i="1" s="1"/>
  <c r="CN261" i="1" a="1"/>
  <c r="CN261" i="1" s="1"/>
  <c r="CO261" i="1" a="1"/>
  <c r="CO261" i="1" s="1"/>
  <c r="CP261" i="1" a="1"/>
  <c r="CP261" i="1" s="1"/>
  <c r="CQ261" i="1" a="1"/>
  <c r="CQ261" i="1" s="1"/>
  <c r="BY262" i="1" a="1"/>
  <c r="BY262" i="1" s="1"/>
  <c r="BZ262" i="1" a="1"/>
  <c r="BZ262" i="1" s="1"/>
  <c r="CA262" i="1" a="1"/>
  <c r="CA262" i="1" s="1"/>
  <c r="CB262" i="1" a="1"/>
  <c r="CB262" i="1" s="1"/>
  <c r="CC262" i="1" a="1"/>
  <c r="CC262" i="1" s="1"/>
  <c r="CD262" i="1" a="1"/>
  <c r="CD262" i="1" s="1"/>
  <c r="CE262" i="1" a="1"/>
  <c r="CE262" i="1" s="1"/>
  <c r="CF262" i="1" a="1"/>
  <c r="CF262" i="1" s="1"/>
  <c r="CG262" i="1" a="1"/>
  <c r="CG262" i="1" s="1"/>
  <c r="CH262" i="1" a="1"/>
  <c r="CH262" i="1"/>
  <c r="CI262" i="1" a="1"/>
  <c r="CI262" i="1" s="1"/>
  <c r="CJ262" i="1" a="1"/>
  <c r="CJ262" i="1" s="1"/>
  <c r="CK262" i="1" a="1"/>
  <c r="CK262" i="1" s="1"/>
  <c r="CL262" i="1" a="1"/>
  <c r="CL262" i="1" s="1"/>
  <c r="CM262" i="1" a="1"/>
  <c r="CM262" i="1" s="1"/>
  <c r="CN262" i="1" a="1"/>
  <c r="CN262" i="1" s="1"/>
  <c r="CO262" i="1" a="1"/>
  <c r="CO262" i="1" s="1"/>
  <c r="CP262" i="1" a="1"/>
  <c r="CP262" i="1" s="1"/>
  <c r="CQ262" i="1" a="1"/>
  <c r="CQ262" i="1" s="1"/>
  <c r="BY263" i="1" a="1"/>
  <c r="BY263" i="1" s="1"/>
  <c r="BZ263" i="1" a="1"/>
  <c r="BZ263" i="1" s="1"/>
  <c r="CA263" i="1" a="1"/>
  <c r="CA263" i="1" s="1"/>
  <c r="CB263" i="1" a="1"/>
  <c r="CB263" i="1" s="1"/>
  <c r="CC263" i="1" a="1"/>
  <c r="CC263" i="1" s="1"/>
  <c r="CD263" i="1" a="1"/>
  <c r="CD263" i="1" s="1"/>
  <c r="CE263" i="1" a="1"/>
  <c r="CE263" i="1"/>
  <c r="CF263" i="1" a="1"/>
  <c r="CF263" i="1" s="1"/>
  <c r="CG263" i="1" a="1"/>
  <c r="CG263" i="1" s="1"/>
  <c r="CH263" i="1" a="1"/>
  <c r="CH263" i="1" s="1"/>
  <c r="CI263" i="1" a="1"/>
  <c r="CI263" i="1" s="1"/>
  <c r="CJ263" i="1" a="1"/>
  <c r="CJ263" i="1" s="1"/>
  <c r="CK263" i="1" a="1"/>
  <c r="CK263" i="1" s="1"/>
  <c r="CL263" i="1" a="1"/>
  <c r="CL263" i="1" s="1"/>
  <c r="CM263" i="1" a="1"/>
  <c r="CM263" i="1" s="1"/>
  <c r="CN263" i="1" a="1"/>
  <c r="CN263" i="1" s="1"/>
  <c r="CO263" i="1" a="1"/>
  <c r="CO263" i="1" s="1"/>
  <c r="CP263" i="1" a="1"/>
  <c r="CP263" i="1" s="1"/>
  <c r="CQ263" i="1" a="1"/>
  <c r="CQ263" i="1" s="1"/>
  <c r="BY264" i="1" a="1"/>
  <c r="BY264" i="1" s="1"/>
  <c r="BZ264" i="1" a="1"/>
  <c r="BZ264" i="1" s="1"/>
  <c r="CA264" i="1" a="1"/>
  <c r="CA264" i="1" s="1"/>
  <c r="CB264" i="1" a="1"/>
  <c r="CB264" i="1" s="1"/>
  <c r="CC264" i="1" a="1"/>
  <c r="CC264" i="1" s="1"/>
  <c r="CD264" i="1" a="1"/>
  <c r="CD264" i="1" s="1"/>
  <c r="CE264" i="1" a="1"/>
  <c r="CE264" i="1" s="1"/>
  <c r="CF264" i="1" a="1"/>
  <c r="CF264" i="1" s="1"/>
  <c r="CG264" i="1" a="1"/>
  <c r="CG264" i="1" s="1"/>
  <c r="CH264" i="1" a="1"/>
  <c r="CH264" i="1" s="1"/>
  <c r="CI264" i="1" a="1"/>
  <c r="CI264" i="1" s="1"/>
  <c r="CJ264" i="1" a="1"/>
  <c r="CJ264" i="1" s="1"/>
  <c r="CK264" i="1" a="1"/>
  <c r="CK264" i="1" s="1"/>
  <c r="CL264" i="1" a="1"/>
  <c r="CL264" i="1" s="1"/>
  <c r="CM264" i="1" a="1"/>
  <c r="CM264" i="1" s="1"/>
  <c r="CN264" i="1" a="1"/>
  <c r="CN264" i="1" s="1"/>
  <c r="CO264" i="1" a="1"/>
  <c r="CO264" i="1" s="1"/>
  <c r="CP264" i="1" a="1"/>
  <c r="CP264" i="1" s="1"/>
  <c r="CQ264" i="1" a="1"/>
  <c r="CQ264" i="1" s="1"/>
  <c r="BY265" i="1" a="1"/>
  <c r="BY265" i="1" s="1"/>
  <c r="BZ265" i="1" a="1"/>
  <c r="BZ265" i="1" s="1"/>
  <c r="CA265" i="1" a="1"/>
  <c r="CA265" i="1" s="1"/>
  <c r="CB265" i="1" a="1"/>
  <c r="CB265" i="1" s="1"/>
  <c r="CC265" i="1" a="1"/>
  <c r="CC265" i="1" s="1"/>
  <c r="CD265" i="1" a="1"/>
  <c r="CD265" i="1" s="1"/>
  <c r="CE265" i="1" a="1"/>
  <c r="CE265" i="1" s="1"/>
  <c r="CF265" i="1" a="1"/>
  <c r="CF265" i="1" s="1"/>
  <c r="CG265" i="1" a="1"/>
  <c r="CG265" i="1" s="1"/>
  <c r="CH265" i="1" a="1"/>
  <c r="CH265" i="1" s="1"/>
  <c r="CI265" i="1" a="1"/>
  <c r="CI265" i="1" s="1"/>
  <c r="CJ265" i="1" a="1"/>
  <c r="CJ265" i="1" s="1"/>
  <c r="CK265" i="1" a="1"/>
  <c r="CK265" i="1" s="1"/>
  <c r="CL265" i="1" a="1"/>
  <c r="CL265" i="1" s="1"/>
  <c r="CM265" i="1" a="1"/>
  <c r="CM265" i="1" s="1"/>
  <c r="CN265" i="1" a="1"/>
  <c r="CN265" i="1" s="1"/>
  <c r="CO265" i="1" a="1"/>
  <c r="CO265" i="1"/>
  <c r="CP265" i="1" a="1"/>
  <c r="CP265" i="1" s="1"/>
  <c r="CQ265" i="1" a="1"/>
  <c r="CQ265" i="1" s="1"/>
  <c r="BY266" i="1" a="1"/>
  <c r="BY266" i="1" s="1"/>
  <c r="BZ266" i="1" a="1"/>
  <c r="BZ266" i="1" s="1"/>
  <c r="CA266" i="1" a="1"/>
  <c r="CA266" i="1" s="1"/>
  <c r="CB266" i="1" a="1"/>
  <c r="CB266" i="1" s="1"/>
  <c r="CC266" i="1" a="1"/>
  <c r="CC266" i="1" s="1"/>
  <c r="CD266" i="1" a="1"/>
  <c r="CD266" i="1" s="1"/>
  <c r="CE266" i="1" a="1"/>
  <c r="CE266" i="1" s="1"/>
  <c r="CF266" i="1" a="1"/>
  <c r="CF266" i="1" s="1"/>
  <c r="CG266" i="1" a="1"/>
  <c r="CG266" i="1" s="1"/>
  <c r="CH266" i="1" a="1"/>
  <c r="CH266" i="1" s="1"/>
  <c r="CI266" i="1" a="1"/>
  <c r="CI266" i="1" s="1"/>
  <c r="CJ266" i="1" a="1"/>
  <c r="CJ266" i="1" s="1"/>
  <c r="CK266" i="1" a="1"/>
  <c r="CK266" i="1" s="1"/>
  <c r="CL266" i="1" a="1"/>
  <c r="CL266" i="1" s="1"/>
  <c r="CM266" i="1" a="1"/>
  <c r="CM266" i="1" s="1"/>
  <c r="CN266" i="1" a="1"/>
  <c r="CN266" i="1" s="1"/>
  <c r="CO266" i="1" a="1"/>
  <c r="CO266" i="1" s="1"/>
  <c r="CP266" i="1" a="1"/>
  <c r="CP266" i="1" s="1"/>
  <c r="CQ266" i="1" a="1"/>
  <c r="CQ266" i="1" s="1"/>
  <c r="BY267" i="1" a="1"/>
  <c r="BY267" i="1" s="1"/>
  <c r="BZ267" i="1" a="1"/>
  <c r="BZ267" i="1" s="1"/>
  <c r="CA267" i="1" a="1"/>
  <c r="CA267" i="1" s="1"/>
  <c r="CB267" i="1" a="1"/>
  <c r="CB267" i="1" s="1"/>
  <c r="CC267" i="1" a="1"/>
  <c r="CC267" i="1" s="1"/>
  <c r="CD267" i="1" a="1"/>
  <c r="CD267" i="1" s="1"/>
  <c r="CE267" i="1" a="1"/>
  <c r="CE267" i="1" s="1"/>
  <c r="CF267" i="1" a="1"/>
  <c r="CF267" i="1" s="1"/>
  <c r="CG267" i="1" a="1"/>
  <c r="CG267" i="1"/>
  <c r="CH267" i="1" a="1"/>
  <c r="CH267" i="1" s="1"/>
  <c r="CI267" i="1" a="1"/>
  <c r="CI267" i="1" s="1"/>
  <c r="CJ267" i="1" a="1"/>
  <c r="CJ267" i="1" s="1"/>
  <c r="CK267" i="1" a="1"/>
  <c r="CK267" i="1" s="1"/>
  <c r="CL267" i="1" a="1"/>
  <c r="CL267" i="1" s="1"/>
  <c r="CM267" i="1" a="1"/>
  <c r="CM267" i="1" s="1"/>
  <c r="CN267" i="1" a="1"/>
  <c r="CN267" i="1" s="1"/>
  <c r="CO267" i="1" a="1"/>
  <c r="CO267" i="1" s="1"/>
  <c r="CP267" i="1" a="1"/>
  <c r="CP267" i="1" s="1"/>
  <c r="CQ267" i="1" a="1"/>
  <c r="CQ267" i="1" s="1"/>
  <c r="BY268" i="1" a="1"/>
  <c r="BY268" i="1" s="1"/>
  <c r="BZ268" i="1" a="1"/>
  <c r="BZ268" i="1" s="1"/>
  <c r="BP268" i="1" s="1"/>
  <c r="CA268" i="1" a="1"/>
  <c r="CA268" i="1" s="1"/>
  <c r="CB268" i="1" a="1"/>
  <c r="CB268" i="1" s="1"/>
  <c r="CC268" i="1" a="1"/>
  <c r="CC268" i="1" s="1"/>
  <c r="CD268" i="1" a="1"/>
  <c r="CD268" i="1" s="1"/>
  <c r="CE268" i="1" a="1"/>
  <c r="CE268" i="1" s="1"/>
  <c r="CF268" i="1" a="1"/>
  <c r="CF268" i="1" s="1"/>
  <c r="CG268" i="1" a="1"/>
  <c r="CG268" i="1" s="1"/>
  <c r="CH268" i="1" a="1"/>
  <c r="CH268" i="1" s="1"/>
  <c r="CI268" i="1" a="1"/>
  <c r="CI268" i="1" s="1"/>
  <c r="CJ268" i="1" a="1"/>
  <c r="CJ268" i="1" s="1"/>
  <c r="CK268" i="1" a="1"/>
  <c r="CK268" i="1" s="1"/>
  <c r="CL268" i="1" a="1"/>
  <c r="CL268" i="1" s="1"/>
  <c r="CM268" i="1" a="1"/>
  <c r="CM268" i="1" s="1"/>
  <c r="CN268" i="1" a="1"/>
  <c r="CN268" i="1" s="1"/>
  <c r="CO268" i="1" a="1"/>
  <c r="CO268" i="1" s="1"/>
  <c r="CP268" i="1" a="1"/>
  <c r="CP268" i="1" s="1"/>
  <c r="CQ268" i="1" a="1"/>
  <c r="CQ268" i="1" s="1"/>
  <c r="BY269" i="1" a="1"/>
  <c r="BY269" i="1" s="1"/>
  <c r="BZ269" i="1" a="1"/>
  <c r="BZ269" i="1" s="1"/>
  <c r="CA269" i="1" a="1"/>
  <c r="CA269" i="1" s="1"/>
  <c r="CB269" i="1" a="1"/>
  <c r="CB269" i="1" s="1"/>
  <c r="CC269" i="1" a="1"/>
  <c r="CC269" i="1" s="1"/>
  <c r="CD269" i="1" a="1"/>
  <c r="CD269" i="1" s="1"/>
  <c r="CE269" i="1" a="1"/>
  <c r="CE269" i="1" s="1"/>
  <c r="CF269" i="1" a="1"/>
  <c r="CF269" i="1" s="1"/>
  <c r="CG269" i="1" a="1"/>
  <c r="CG269" i="1" s="1"/>
  <c r="CH269" i="1" a="1"/>
  <c r="CH269" i="1" s="1"/>
  <c r="CI269" i="1" a="1"/>
  <c r="CI269" i="1" s="1"/>
  <c r="CJ269" i="1" a="1"/>
  <c r="CJ269" i="1"/>
  <c r="CK269" i="1" a="1"/>
  <c r="CK269" i="1" s="1"/>
  <c r="CL269" i="1" a="1"/>
  <c r="CL269" i="1" s="1"/>
  <c r="CM269" i="1" a="1"/>
  <c r="CM269" i="1" s="1"/>
  <c r="CN269" i="1" a="1"/>
  <c r="CN269" i="1" s="1"/>
  <c r="CO269" i="1" a="1"/>
  <c r="CO269" i="1" s="1"/>
  <c r="CP269" i="1" a="1"/>
  <c r="CP269" i="1" s="1"/>
  <c r="CQ269" i="1" a="1"/>
  <c r="CQ269" i="1"/>
  <c r="BY270" i="1" a="1"/>
  <c r="BY270" i="1" s="1"/>
  <c r="BZ270" i="1" a="1"/>
  <c r="BZ270" i="1" s="1"/>
  <c r="CA270" i="1" a="1"/>
  <c r="CA270" i="1" s="1"/>
  <c r="CB270" i="1" a="1"/>
  <c r="CB270" i="1" s="1"/>
  <c r="CC270" i="1" a="1"/>
  <c r="CC270" i="1" s="1"/>
  <c r="CD270" i="1" a="1"/>
  <c r="CD270" i="1" s="1"/>
  <c r="CE270" i="1" a="1"/>
  <c r="CE270" i="1" s="1"/>
  <c r="CF270" i="1" a="1"/>
  <c r="CF270" i="1" s="1"/>
  <c r="CG270" i="1" a="1"/>
  <c r="CG270" i="1" s="1"/>
  <c r="CH270" i="1" a="1"/>
  <c r="CH270" i="1" s="1"/>
  <c r="CI270" i="1" a="1"/>
  <c r="CI270" i="1" s="1"/>
  <c r="CJ270" i="1" a="1"/>
  <c r="CJ270" i="1" s="1"/>
  <c r="CK270" i="1" a="1"/>
  <c r="CK270" i="1" s="1"/>
  <c r="CL270" i="1" a="1"/>
  <c r="CL270" i="1" s="1"/>
  <c r="CM270" i="1" a="1"/>
  <c r="CM270" i="1" s="1"/>
  <c r="CN270" i="1" a="1"/>
  <c r="CN270" i="1" s="1"/>
  <c r="CO270" i="1" a="1"/>
  <c r="CO270" i="1" s="1"/>
  <c r="CP270" i="1" a="1"/>
  <c r="CP270" i="1"/>
  <c r="CQ270" i="1" a="1"/>
  <c r="CQ270" i="1" s="1"/>
  <c r="BY271" i="1" a="1"/>
  <c r="BY271" i="1" s="1"/>
  <c r="BH271" i="1" s="1"/>
  <c r="BZ271" i="1" a="1"/>
  <c r="BZ271" i="1" s="1"/>
  <c r="CA271" i="1" a="1"/>
  <c r="CA271" i="1" s="1"/>
  <c r="CB271" i="1" a="1"/>
  <c r="CB271" i="1" s="1"/>
  <c r="CC271" i="1" a="1"/>
  <c r="CC271" i="1" s="1"/>
  <c r="CD271" i="1" a="1"/>
  <c r="CD271" i="1"/>
  <c r="CE271" i="1" a="1"/>
  <c r="CE271" i="1" s="1"/>
  <c r="CF271" i="1" a="1"/>
  <c r="CF271" i="1" s="1"/>
  <c r="CG271" i="1" a="1"/>
  <c r="CG271" i="1" s="1"/>
  <c r="CH271" i="1" a="1"/>
  <c r="CH271" i="1" s="1"/>
  <c r="CI271" i="1" a="1"/>
  <c r="CI271" i="1" s="1"/>
  <c r="CJ271" i="1" a="1"/>
  <c r="CJ271" i="1" s="1"/>
  <c r="CK271" i="1" a="1"/>
  <c r="CK271" i="1" s="1"/>
  <c r="CL271" i="1" a="1"/>
  <c r="CL271" i="1" s="1"/>
  <c r="CM271" i="1" a="1"/>
  <c r="CM271" i="1" s="1"/>
  <c r="CN271" i="1" a="1"/>
  <c r="CN271" i="1" s="1"/>
  <c r="CO271" i="1" a="1"/>
  <c r="CO271" i="1" s="1"/>
  <c r="CP271" i="1" a="1"/>
  <c r="CP271" i="1" s="1"/>
  <c r="CQ271" i="1" a="1"/>
  <c r="CQ271" i="1" s="1"/>
  <c r="BY272" i="1" a="1"/>
  <c r="BY272" i="1" s="1"/>
  <c r="BZ272" i="1" a="1"/>
  <c r="BZ272" i="1" s="1"/>
  <c r="CA272" i="1" a="1"/>
  <c r="CA272" i="1" s="1"/>
  <c r="CB272" i="1" a="1"/>
  <c r="CB272" i="1" s="1"/>
  <c r="CC272" i="1" a="1"/>
  <c r="CC272" i="1" s="1"/>
  <c r="CD272" i="1" a="1"/>
  <c r="CD272" i="1" s="1"/>
  <c r="CE272" i="1" a="1"/>
  <c r="CE272" i="1" s="1"/>
  <c r="CF272" i="1" a="1"/>
  <c r="CF272" i="1" s="1"/>
  <c r="CG272" i="1" a="1"/>
  <c r="CG272" i="1" s="1"/>
  <c r="CH272" i="1" a="1"/>
  <c r="CH272" i="1" s="1"/>
  <c r="CI272" i="1" a="1"/>
  <c r="CI272" i="1" s="1"/>
  <c r="CJ272" i="1" a="1"/>
  <c r="CJ272" i="1" s="1"/>
  <c r="CK272" i="1" a="1"/>
  <c r="CK272" i="1" s="1"/>
  <c r="CL272" i="1" a="1"/>
  <c r="CL272" i="1" s="1"/>
  <c r="CM272" i="1" a="1"/>
  <c r="CM272" i="1" s="1"/>
  <c r="CN272" i="1" a="1"/>
  <c r="CN272" i="1" s="1"/>
  <c r="CO272" i="1" a="1"/>
  <c r="CO272" i="1" s="1"/>
  <c r="CP272" i="1" a="1"/>
  <c r="CP272" i="1" s="1"/>
  <c r="CQ272" i="1" a="1"/>
  <c r="CQ272" i="1"/>
  <c r="BY273" i="1" a="1"/>
  <c r="BY273" i="1" s="1"/>
  <c r="BZ273" i="1" a="1"/>
  <c r="BZ273" i="1" s="1"/>
  <c r="CA273" i="1" a="1"/>
  <c r="CA273" i="1" s="1"/>
  <c r="CB273" i="1" a="1"/>
  <c r="CB273" i="1" s="1"/>
  <c r="CC273" i="1" a="1"/>
  <c r="CC273" i="1" s="1"/>
  <c r="CD273" i="1" a="1"/>
  <c r="CD273" i="1" s="1"/>
  <c r="CE273" i="1" a="1"/>
  <c r="CE273" i="1"/>
  <c r="CF273" i="1" a="1"/>
  <c r="CF273" i="1" s="1"/>
  <c r="CG273" i="1" a="1"/>
  <c r="CG273" i="1" s="1"/>
  <c r="CH273" i="1" a="1"/>
  <c r="CH273" i="1" s="1"/>
  <c r="CI273" i="1" a="1"/>
  <c r="CI273" i="1" s="1"/>
  <c r="CJ273" i="1" a="1"/>
  <c r="CJ273" i="1" s="1"/>
  <c r="CK273" i="1" a="1"/>
  <c r="CK273" i="1" s="1"/>
  <c r="CL273" i="1" a="1"/>
  <c r="CL273" i="1" s="1"/>
  <c r="CM273" i="1" a="1"/>
  <c r="CM273" i="1" s="1"/>
  <c r="CN273" i="1" a="1"/>
  <c r="CN273" i="1" s="1"/>
  <c r="CO273" i="1" a="1"/>
  <c r="CO273" i="1" s="1"/>
  <c r="CP273" i="1" a="1"/>
  <c r="CP273" i="1" s="1"/>
  <c r="CQ273" i="1" a="1"/>
  <c r="CQ273" i="1" s="1"/>
  <c r="BY274" i="1" a="1"/>
  <c r="BY274" i="1" s="1"/>
  <c r="BZ274" i="1" a="1"/>
  <c r="BZ274" i="1" s="1"/>
  <c r="CA274" i="1" a="1"/>
  <c r="CA274" i="1" s="1"/>
  <c r="CB274" i="1" a="1"/>
  <c r="CB274" i="1" s="1"/>
  <c r="CC274" i="1" a="1"/>
  <c r="CC274" i="1" s="1"/>
  <c r="CD274" i="1" a="1"/>
  <c r="CD274" i="1" s="1"/>
  <c r="CE274" i="1" a="1"/>
  <c r="CE274" i="1" s="1"/>
  <c r="CF274" i="1" a="1"/>
  <c r="CF274" i="1" s="1"/>
  <c r="CG274" i="1" a="1"/>
  <c r="CG274" i="1" s="1"/>
  <c r="CH274" i="1" a="1"/>
  <c r="CH274" i="1" s="1"/>
  <c r="CI274" i="1" a="1"/>
  <c r="CI274" i="1" s="1"/>
  <c r="CJ274" i="1" a="1"/>
  <c r="CJ274" i="1" s="1"/>
  <c r="CK274" i="1" a="1"/>
  <c r="CK274" i="1" s="1"/>
  <c r="CL274" i="1" a="1"/>
  <c r="CL274" i="1" s="1"/>
  <c r="CM274" i="1" a="1"/>
  <c r="CM274" i="1" s="1"/>
  <c r="CN274" i="1" a="1"/>
  <c r="CN274" i="1" s="1"/>
  <c r="CO274" i="1" a="1"/>
  <c r="CO274" i="1" s="1"/>
  <c r="CP274" i="1" a="1"/>
  <c r="CP274" i="1" s="1"/>
  <c r="CQ274" i="1" a="1"/>
  <c r="CQ274" i="1" s="1"/>
  <c r="BY275" i="1" a="1"/>
  <c r="BY275" i="1" s="1"/>
  <c r="BZ275" i="1" a="1"/>
  <c r="BZ275" i="1" s="1"/>
  <c r="CA275" i="1" a="1"/>
  <c r="CA275" i="1" s="1"/>
  <c r="CB275" i="1" a="1"/>
  <c r="CB275" i="1" s="1"/>
  <c r="CC275" i="1" a="1"/>
  <c r="CC275" i="1" s="1"/>
  <c r="CD275" i="1" a="1"/>
  <c r="CD275" i="1" s="1"/>
  <c r="CE275" i="1" a="1"/>
  <c r="CE275" i="1" s="1"/>
  <c r="BN275" i="1" s="1"/>
  <c r="CF275" i="1" a="1"/>
  <c r="CF275" i="1" s="1"/>
  <c r="CG275" i="1" a="1"/>
  <c r="CG275" i="1" s="1"/>
  <c r="CH275" i="1" a="1"/>
  <c r="CH275" i="1" s="1"/>
  <c r="CI275" i="1" a="1"/>
  <c r="CI275" i="1" s="1"/>
  <c r="CJ275" i="1" a="1"/>
  <c r="CJ275" i="1" s="1"/>
  <c r="CK275" i="1" a="1"/>
  <c r="CK275" i="1" s="1"/>
  <c r="CL275" i="1" a="1"/>
  <c r="CL275" i="1" s="1"/>
  <c r="CM275" i="1" a="1"/>
  <c r="CM275" i="1" s="1"/>
  <c r="CN275" i="1" a="1"/>
  <c r="CN275" i="1" s="1"/>
  <c r="CO275" i="1" a="1"/>
  <c r="CO275" i="1" s="1"/>
  <c r="CP275" i="1" a="1"/>
  <c r="CP275" i="1" s="1"/>
  <c r="CQ275" i="1" a="1"/>
  <c r="CQ275" i="1" s="1"/>
  <c r="BY276" i="1" a="1"/>
  <c r="BY276" i="1" s="1"/>
  <c r="BZ276" i="1" a="1"/>
  <c r="BZ276" i="1" s="1"/>
  <c r="CA276" i="1" a="1"/>
  <c r="CA276" i="1" s="1"/>
  <c r="BL276" i="1" s="1"/>
  <c r="CB276" i="1" a="1"/>
  <c r="CB276" i="1" s="1"/>
  <c r="CC276" i="1" a="1"/>
  <c r="CC276" i="1" s="1"/>
  <c r="CD276" i="1" a="1"/>
  <c r="CD276" i="1" s="1"/>
  <c r="CE276" i="1" a="1"/>
  <c r="CE276" i="1" s="1"/>
  <c r="CF276" i="1" a="1"/>
  <c r="CF276" i="1" s="1"/>
  <c r="CG276" i="1" a="1"/>
  <c r="CG276" i="1" s="1"/>
  <c r="CH276" i="1" a="1"/>
  <c r="CH276" i="1" s="1"/>
  <c r="CI276" i="1" a="1"/>
  <c r="CI276" i="1" s="1"/>
  <c r="CJ276" i="1" a="1"/>
  <c r="CJ276" i="1" s="1"/>
  <c r="CK276" i="1" a="1"/>
  <c r="CK276" i="1" s="1"/>
  <c r="CL276" i="1" a="1"/>
  <c r="CL276" i="1" s="1"/>
  <c r="CM276" i="1" a="1"/>
  <c r="CM276" i="1" s="1"/>
  <c r="CN276" i="1" a="1"/>
  <c r="CN276" i="1" s="1"/>
  <c r="CO276" i="1" a="1"/>
  <c r="CO276" i="1" s="1"/>
  <c r="CP276" i="1" a="1"/>
  <c r="CP276" i="1" s="1"/>
  <c r="CQ276" i="1" a="1"/>
  <c r="CQ276" i="1" s="1"/>
  <c r="BY277" i="1" a="1"/>
  <c r="BY277" i="1" s="1"/>
  <c r="BZ277" i="1" a="1"/>
  <c r="BZ277" i="1" s="1"/>
  <c r="CA277" i="1" a="1"/>
  <c r="CA277" i="1" s="1"/>
  <c r="CB277" i="1" a="1"/>
  <c r="CB277" i="1" s="1"/>
  <c r="CC277" i="1" a="1"/>
  <c r="CC277" i="1" s="1"/>
  <c r="CD277" i="1" a="1"/>
  <c r="CD277" i="1" s="1"/>
  <c r="CE277" i="1" a="1"/>
  <c r="CE277" i="1"/>
  <c r="CF277" i="1" a="1"/>
  <c r="CF277" i="1" s="1"/>
  <c r="CG277" i="1" a="1"/>
  <c r="CG277" i="1" s="1"/>
  <c r="CH277" i="1" a="1"/>
  <c r="CH277" i="1" s="1"/>
  <c r="CI277" i="1" a="1"/>
  <c r="CI277" i="1" s="1"/>
  <c r="CJ277" i="1" a="1"/>
  <c r="CJ277" i="1" s="1"/>
  <c r="CK277" i="1" a="1"/>
  <c r="CK277" i="1"/>
  <c r="CL277" i="1" a="1"/>
  <c r="CL277" i="1" s="1"/>
  <c r="CM277" i="1" a="1"/>
  <c r="CM277" i="1" s="1"/>
  <c r="CN277" i="1" a="1"/>
  <c r="CN277" i="1" s="1"/>
  <c r="CO277" i="1" a="1"/>
  <c r="CO277" i="1" s="1"/>
  <c r="CP277" i="1" a="1"/>
  <c r="CP277" i="1" s="1"/>
  <c r="CQ277" i="1" a="1"/>
  <c r="CQ277" i="1" s="1"/>
  <c r="BY278" i="1" a="1"/>
  <c r="BY278" i="1"/>
  <c r="BH278" i="1" s="1"/>
  <c r="BZ278" i="1" a="1"/>
  <c r="BZ278" i="1" s="1"/>
  <c r="CA278" i="1" a="1"/>
  <c r="CA278" i="1" s="1"/>
  <c r="CB278" i="1" a="1"/>
  <c r="CB278" i="1" s="1"/>
  <c r="CC278" i="1" a="1"/>
  <c r="CC278" i="1" s="1"/>
  <c r="CD278" i="1" a="1"/>
  <c r="CD278" i="1" s="1"/>
  <c r="CE278" i="1" a="1"/>
  <c r="CE278" i="1" s="1"/>
  <c r="CF278" i="1" a="1"/>
  <c r="CF278" i="1" s="1"/>
  <c r="CG278" i="1" a="1"/>
  <c r="CG278" i="1" s="1"/>
  <c r="CH278" i="1" a="1"/>
  <c r="CH278" i="1" s="1"/>
  <c r="CI278" i="1" a="1"/>
  <c r="CI278" i="1" s="1"/>
  <c r="CJ278" i="1" a="1"/>
  <c r="CJ278" i="1" s="1"/>
  <c r="CK278" i="1" a="1"/>
  <c r="CK278" i="1" s="1"/>
  <c r="CL278" i="1" a="1"/>
  <c r="CL278" i="1" s="1"/>
  <c r="CM278" i="1" a="1"/>
  <c r="CM278" i="1" s="1"/>
  <c r="CN278" i="1" a="1"/>
  <c r="CN278" i="1" s="1"/>
  <c r="CO278" i="1" a="1"/>
  <c r="CO278" i="1" s="1"/>
  <c r="CP278" i="1" a="1"/>
  <c r="CP278" i="1" s="1"/>
  <c r="CQ278" i="1" a="1"/>
  <c r="CQ278" i="1" s="1"/>
  <c r="BY279" i="1" a="1"/>
  <c r="BY279" i="1" s="1"/>
  <c r="BZ279" i="1" a="1"/>
  <c r="BZ279" i="1" s="1"/>
  <c r="CA279" i="1" a="1"/>
  <c r="CA279" i="1" s="1"/>
  <c r="CB279" i="1" a="1"/>
  <c r="CB279" i="1" s="1"/>
  <c r="CC279" i="1" a="1"/>
  <c r="CC279" i="1" s="1"/>
  <c r="CD279" i="1" a="1"/>
  <c r="CD279" i="1" s="1"/>
  <c r="CE279" i="1" a="1"/>
  <c r="CE279" i="1" s="1"/>
  <c r="CF279" i="1" a="1"/>
  <c r="CF279" i="1" s="1"/>
  <c r="CG279" i="1" a="1"/>
  <c r="CG279" i="1" s="1"/>
  <c r="CH279" i="1" a="1"/>
  <c r="CH279" i="1" s="1"/>
  <c r="CI279" i="1" a="1"/>
  <c r="CI279" i="1" s="1"/>
  <c r="CJ279" i="1" a="1"/>
  <c r="CJ279" i="1" s="1"/>
  <c r="CK279" i="1" a="1"/>
  <c r="CK279" i="1" s="1"/>
  <c r="CL279" i="1" a="1"/>
  <c r="CL279" i="1" s="1"/>
  <c r="CM279" i="1" a="1"/>
  <c r="CM279" i="1" s="1"/>
  <c r="CN279" i="1" a="1"/>
  <c r="CN279" i="1" s="1"/>
  <c r="CO279" i="1" a="1"/>
  <c r="CO279" i="1" s="1"/>
  <c r="CP279" i="1" a="1"/>
  <c r="CP279" i="1" s="1"/>
  <c r="CQ279" i="1" a="1"/>
  <c r="CQ279" i="1" s="1"/>
  <c r="BY280" i="1" a="1"/>
  <c r="BY280" i="1" s="1"/>
  <c r="BZ280" i="1" a="1"/>
  <c r="BZ280" i="1" s="1"/>
  <c r="CA280" i="1" a="1"/>
  <c r="CA280" i="1" s="1"/>
  <c r="CB280" i="1" a="1"/>
  <c r="CB280" i="1" s="1"/>
  <c r="CC280" i="1" a="1"/>
  <c r="CC280" i="1" s="1"/>
  <c r="CD280" i="1" a="1"/>
  <c r="CD280" i="1" s="1"/>
  <c r="CE280" i="1" a="1"/>
  <c r="CE280" i="1" s="1"/>
  <c r="CF280" i="1" a="1"/>
  <c r="CF280" i="1"/>
  <c r="CG280" i="1" a="1"/>
  <c r="CG280" i="1" s="1"/>
  <c r="CH280" i="1" a="1"/>
  <c r="CH280" i="1" s="1"/>
  <c r="CI280" i="1" a="1"/>
  <c r="CI280" i="1" s="1"/>
  <c r="CJ280" i="1" a="1"/>
  <c r="CJ280" i="1" s="1"/>
  <c r="CK280" i="1" a="1"/>
  <c r="CK280" i="1" s="1"/>
  <c r="CL280" i="1" a="1"/>
  <c r="CL280" i="1" s="1"/>
  <c r="CM280" i="1" a="1"/>
  <c r="CM280" i="1" s="1"/>
  <c r="CN280" i="1" a="1"/>
  <c r="CN280" i="1" s="1"/>
  <c r="CO280" i="1" a="1"/>
  <c r="CO280" i="1" s="1"/>
  <c r="CP280" i="1" a="1"/>
  <c r="CP280" i="1" s="1"/>
  <c r="CQ280" i="1" a="1"/>
  <c r="CQ280" i="1" s="1"/>
  <c r="BZ18" i="1" a="1"/>
  <c r="BZ18" i="1" s="1"/>
  <c r="CA18" i="1" a="1"/>
  <c r="CA18" i="1" s="1"/>
  <c r="CB18" i="1" a="1"/>
  <c r="CB18" i="1" s="1"/>
  <c r="CC18" i="1" a="1"/>
  <c r="CC18" i="1" s="1"/>
  <c r="CD18" i="1" a="1"/>
  <c r="CD18" i="1" s="1"/>
  <c r="CE18" i="1" a="1"/>
  <c r="CE18" i="1" s="1"/>
  <c r="CF18" i="1" a="1"/>
  <c r="CF18" i="1" s="1"/>
  <c r="CG18" i="1" a="1"/>
  <c r="CG18" i="1" s="1"/>
  <c r="CH18" i="1" a="1"/>
  <c r="CH18" i="1" s="1"/>
  <c r="CI18" i="1" a="1"/>
  <c r="CI18" i="1" s="1"/>
  <c r="CJ18" i="1" a="1"/>
  <c r="CJ18" i="1" s="1"/>
  <c r="CK18" i="1" a="1"/>
  <c r="CK18" i="1" s="1"/>
  <c r="CL18" i="1" a="1"/>
  <c r="CL18" i="1" s="1"/>
  <c r="CM18" i="1" a="1"/>
  <c r="CM18" i="1" s="1"/>
  <c r="CN18" i="1" a="1"/>
  <c r="CN18" i="1" s="1"/>
  <c r="CO18" i="1" a="1"/>
  <c r="CO18" i="1" s="1"/>
  <c r="CP18" i="1" a="1"/>
  <c r="CP18" i="1" s="1"/>
  <c r="CQ18" i="1" a="1"/>
  <c r="CQ18" i="1" s="1"/>
  <c r="BY18" i="1" a="1"/>
  <c r="BY18" i="1" s="1"/>
  <c r="E40" i="1"/>
  <c r="E48" i="1"/>
  <c r="E50" i="1"/>
  <c r="E53" i="1"/>
  <c r="E68" i="1"/>
  <c r="E70" i="1"/>
  <c r="E74" i="1"/>
  <c r="E80" i="1"/>
  <c r="E82" i="1"/>
  <c r="E84" i="1"/>
  <c r="E87" i="1"/>
  <c r="E88" i="1"/>
  <c r="E97" i="1"/>
  <c r="E103" i="1"/>
  <c r="E104" i="1"/>
  <c r="E106" i="1"/>
  <c r="E110" i="1"/>
  <c r="E117" i="1"/>
  <c r="E121" i="1"/>
  <c r="E122" i="1"/>
  <c r="E129" i="1"/>
  <c r="E132" i="1"/>
  <c r="E138" i="1"/>
  <c r="E139" i="1"/>
  <c r="E140" i="1"/>
  <c r="E141" i="1"/>
  <c r="E142" i="1"/>
  <c r="E144" i="1"/>
  <c r="E148" i="1"/>
  <c r="E149" i="1"/>
  <c r="E150" i="1"/>
  <c r="E151" i="1"/>
  <c r="E152" i="1"/>
  <c r="E154" i="1"/>
  <c r="E155" i="1"/>
  <c r="E158" i="1"/>
  <c r="E159" i="1"/>
  <c r="E161" i="1"/>
  <c r="E162" i="1"/>
  <c r="E167" i="1"/>
  <c r="E168" i="1"/>
  <c r="E169" i="1"/>
  <c r="E172" i="1"/>
  <c r="E173" i="1"/>
  <c r="E174" i="1"/>
  <c r="E175" i="1"/>
  <c r="E176" i="1"/>
  <c r="E177" i="1"/>
  <c r="E178" i="1"/>
  <c r="E179" i="1"/>
  <c r="E181" i="1"/>
  <c r="E183" i="1"/>
  <c r="E186" i="1"/>
  <c r="E188" i="1"/>
  <c r="E190" i="1"/>
  <c r="E192" i="1"/>
  <c r="E194" i="1"/>
  <c r="E196" i="1"/>
  <c r="E197" i="1"/>
  <c r="E198" i="1"/>
  <c r="E199" i="1"/>
  <c r="E200" i="1"/>
  <c r="E201" i="1"/>
  <c r="E202" i="1"/>
  <c r="E203" i="1"/>
  <c r="E205" i="1"/>
  <c r="E206" i="1"/>
  <c r="E207" i="1"/>
  <c r="E208" i="1"/>
  <c r="E209" i="1"/>
  <c r="E211" i="1"/>
  <c r="E213" i="1"/>
  <c r="E214" i="1"/>
  <c r="E216" i="1"/>
  <c r="E217" i="1"/>
  <c r="E218" i="1"/>
  <c r="E220" i="1"/>
  <c r="E221" i="1"/>
  <c r="E222" i="1"/>
  <c r="E223" i="1"/>
  <c r="E224" i="1"/>
  <c r="E225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8" i="1"/>
  <c r="E269" i="1"/>
  <c r="E270" i="1"/>
  <c r="E271" i="1"/>
  <c r="E272" i="1"/>
  <c r="E273" i="1"/>
  <c r="E276" i="1"/>
  <c r="E282" i="1"/>
  <c r="E283" i="1"/>
  <c r="E284" i="1"/>
  <c r="E285" i="1"/>
  <c r="E286" i="1"/>
  <c r="E287" i="1"/>
  <c r="E288" i="1"/>
  <c r="E35" i="1"/>
  <c r="X19" i="1"/>
  <c r="X20" i="1"/>
  <c r="X23" i="1"/>
  <c r="X24" i="1"/>
  <c r="X28" i="1"/>
  <c r="X30" i="1"/>
  <c r="X32" i="1"/>
  <c r="X35" i="1"/>
  <c r="X37" i="1"/>
  <c r="X41" i="1"/>
  <c r="X43" i="1"/>
  <c r="X46" i="1"/>
  <c r="X47" i="1"/>
  <c r="X48" i="1"/>
  <c r="X49" i="1"/>
  <c r="X50" i="1"/>
  <c r="X59" i="1"/>
  <c r="X64" i="1"/>
  <c r="X66" i="1"/>
  <c r="X70" i="1"/>
  <c r="X80" i="1"/>
  <c r="X84" i="1"/>
  <c r="X88" i="1"/>
  <c r="X93" i="1"/>
  <c r="X96" i="1"/>
  <c r="X97" i="1"/>
  <c r="X102" i="1"/>
  <c r="X103" i="1"/>
  <c r="X105" i="1"/>
  <c r="X111" i="1"/>
  <c r="X115" i="1"/>
  <c r="X118" i="1"/>
  <c r="X121" i="1"/>
  <c r="X125" i="1"/>
  <c r="X129" i="1"/>
  <c r="X135" i="1"/>
  <c r="X136" i="1"/>
  <c r="X140" i="1"/>
  <c r="X147" i="1"/>
  <c r="X150" i="1"/>
  <c r="X152" i="1"/>
  <c r="X157" i="1"/>
  <c r="X160" i="1"/>
  <c r="X169" i="1"/>
  <c r="X179" i="1"/>
  <c r="X180" i="1"/>
  <c r="X184" i="1"/>
  <c r="X186" i="1"/>
  <c r="X189" i="1"/>
  <c r="X192" i="1"/>
  <c r="X193" i="1"/>
  <c r="X201" i="1"/>
  <c r="X211" i="1"/>
  <c r="X212" i="1"/>
  <c r="X215" i="1"/>
  <c r="X226" i="1"/>
  <c r="X252" i="1"/>
  <c r="X268" i="1"/>
  <c r="X274" i="1"/>
  <c r="X275" i="1"/>
  <c r="X283" i="1"/>
  <c r="X284" i="1"/>
  <c r="X289" i="1"/>
  <c r="X290" i="1"/>
  <c r="X291" i="1"/>
  <c r="X292" i="1"/>
  <c r="X293" i="1"/>
  <c r="X294" i="1"/>
  <c r="X295" i="1"/>
  <c r="X296" i="1"/>
  <c r="X297" i="1"/>
  <c r="X18" i="1"/>
  <c r="W297" i="1"/>
  <c r="W296" i="1"/>
  <c r="W295" i="1"/>
  <c r="W294" i="1"/>
  <c r="W293" i="1"/>
  <c r="W292" i="1"/>
  <c r="W291" i="1"/>
  <c r="W290" i="1"/>
  <c r="W289" i="1"/>
  <c r="AC288" i="1"/>
  <c r="X288" i="1" s="1"/>
  <c r="AA288" i="1"/>
  <c r="Z288" i="1"/>
  <c r="Y288" i="1"/>
  <c r="W288" i="1"/>
  <c r="AC287" i="1"/>
  <c r="X287" i="1" s="1"/>
  <c r="Z287" i="1"/>
  <c r="Y287" i="1"/>
  <c r="W287" i="1"/>
  <c r="AC286" i="1"/>
  <c r="X286" i="1" s="1"/>
  <c r="AA286" i="1"/>
  <c r="Y286" i="1"/>
  <c r="W286" i="1"/>
  <c r="AB286" i="1" s="1"/>
  <c r="AC285" i="1"/>
  <c r="X285" i="1" s="1"/>
  <c r="AA285" i="1"/>
  <c r="Z285" i="1"/>
  <c r="Y285" i="1"/>
  <c r="W285" i="1"/>
  <c r="Y284" i="1"/>
  <c r="W284" i="1"/>
  <c r="AB284" i="1" s="1"/>
  <c r="Y283" i="1"/>
  <c r="W283" i="1"/>
  <c r="AB283" i="1" s="1"/>
  <c r="AC282" i="1"/>
  <c r="X282" i="1" s="1"/>
  <c r="AA282" i="1"/>
  <c r="Z282" i="1"/>
  <c r="Y282" i="1"/>
  <c r="W282" i="1"/>
  <c r="AC281" i="1"/>
  <c r="X281" i="1" s="1"/>
  <c r="Y281" i="1"/>
  <c r="W281" i="1"/>
  <c r="AB281" i="1" s="1"/>
  <c r="AC280" i="1"/>
  <c r="X280" i="1" s="1"/>
  <c r="Y280" i="1"/>
  <c r="W280" i="1"/>
  <c r="AA280" i="1" s="1"/>
  <c r="AC279" i="1"/>
  <c r="X279" i="1" s="1"/>
  <c r="Y279" i="1"/>
  <c r="W279" i="1"/>
  <c r="AA279" i="1" s="1"/>
  <c r="AC278" i="1"/>
  <c r="X278" i="1" s="1"/>
  <c r="Y278" i="1"/>
  <c r="W278" i="1"/>
  <c r="AB278" i="1" s="1"/>
  <c r="AC277" i="1"/>
  <c r="X277" i="1" s="1"/>
  <c r="Y277" i="1"/>
  <c r="W277" i="1"/>
  <c r="AA277" i="1" s="1"/>
  <c r="AC276" i="1"/>
  <c r="X276" i="1" s="1"/>
  <c r="Y276" i="1"/>
  <c r="W276" i="1"/>
  <c r="AB276" i="1" s="1"/>
  <c r="W275" i="1"/>
  <c r="W274" i="1"/>
  <c r="AB274" i="1" s="1"/>
  <c r="AC273" i="1"/>
  <c r="X273" i="1" s="1"/>
  <c r="AA273" i="1"/>
  <c r="Z273" i="1"/>
  <c r="Y273" i="1"/>
  <c r="W273" i="1"/>
  <c r="AC272" i="1"/>
  <c r="X272" i="1" s="1"/>
  <c r="AA272" i="1"/>
  <c r="Z272" i="1"/>
  <c r="Y272" i="1"/>
  <c r="W272" i="1"/>
  <c r="AC271" i="1"/>
  <c r="X271" i="1" s="1"/>
  <c r="AA271" i="1"/>
  <c r="Z271" i="1"/>
  <c r="Y271" i="1"/>
  <c r="W271" i="1"/>
  <c r="AC270" i="1"/>
  <c r="X270" i="1" s="1"/>
  <c r="AA270" i="1"/>
  <c r="Z270" i="1"/>
  <c r="Y270" i="1"/>
  <c r="W270" i="1"/>
  <c r="AC269" i="1"/>
  <c r="X269" i="1" s="1"/>
  <c r="AA269" i="1"/>
  <c r="Z269" i="1"/>
  <c r="Y269" i="1"/>
  <c r="W269" i="1"/>
  <c r="Y268" i="1"/>
  <c r="W268" i="1"/>
  <c r="AB268" i="1" s="1"/>
  <c r="AG267" i="1"/>
  <c r="AD267" i="1"/>
  <c r="AC267" i="1"/>
  <c r="X267" i="1" s="1"/>
  <c r="AA267" i="1"/>
  <c r="Y267" i="1"/>
  <c r="W267" i="1"/>
  <c r="AB267" i="1" s="1"/>
  <c r="AC266" i="1"/>
  <c r="X266" i="1" s="1"/>
  <c r="AA266" i="1"/>
  <c r="Z266" i="1"/>
  <c r="Y266" i="1"/>
  <c r="W266" i="1"/>
  <c r="AC265" i="1"/>
  <c r="X265" i="1" s="1"/>
  <c r="AA265" i="1"/>
  <c r="Z265" i="1"/>
  <c r="Y265" i="1"/>
  <c r="W265" i="1"/>
  <c r="AC264" i="1"/>
  <c r="X264" i="1" s="1"/>
  <c r="AA264" i="1"/>
  <c r="Z264" i="1"/>
  <c r="Y264" i="1"/>
  <c r="W264" i="1"/>
  <c r="AC263" i="1"/>
  <c r="X263" i="1" s="1"/>
  <c r="AA263" i="1"/>
  <c r="Z263" i="1"/>
  <c r="Y263" i="1"/>
  <c r="W263" i="1"/>
  <c r="AC262" i="1"/>
  <c r="X262" i="1" s="1"/>
  <c r="AA262" i="1"/>
  <c r="Z262" i="1"/>
  <c r="Y262" i="1"/>
  <c r="W262" i="1"/>
  <c r="AC261" i="1"/>
  <c r="X261" i="1" s="1"/>
  <c r="AA261" i="1"/>
  <c r="Z261" i="1"/>
  <c r="Y261" i="1"/>
  <c r="W261" i="1"/>
  <c r="AC260" i="1"/>
  <c r="X260" i="1" s="1"/>
  <c r="AA260" i="1"/>
  <c r="Z260" i="1"/>
  <c r="Y260" i="1"/>
  <c r="W260" i="1"/>
  <c r="AC259" i="1"/>
  <c r="X259" i="1" s="1"/>
  <c r="AA259" i="1"/>
  <c r="Z259" i="1"/>
  <c r="Y259" i="1"/>
  <c r="W259" i="1"/>
  <c r="AC258" i="1"/>
  <c r="X258" i="1" s="1"/>
  <c r="AA258" i="1"/>
  <c r="Z258" i="1"/>
  <c r="Y258" i="1"/>
  <c r="W258" i="1"/>
  <c r="AC257" i="1"/>
  <c r="X257" i="1" s="1"/>
  <c r="AA257" i="1"/>
  <c r="Z257" i="1"/>
  <c r="Y257" i="1"/>
  <c r="W257" i="1"/>
  <c r="AC256" i="1"/>
  <c r="X256" i="1" s="1"/>
  <c r="AA256" i="1"/>
  <c r="Z256" i="1"/>
  <c r="Y256" i="1"/>
  <c r="W256" i="1"/>
  <c r="AC255" i="1"/>
  <c r="X255" i="1" s="1"/>
  <c r="AA255" i="1"/>
  <c r="Z255" i="1"/>
  <c r="Y255" i="1"/>
  <c r="W255" i="1"/>
  <c r="AG254" i="1"/>
  <c r="AD254" i="1"/>
  <c r="AC254" i="1"/>
  <c r="X254" i="1" s="1"/>
  <c r="AA254" i="1"/>
  <c r="Y254" i="1"/>
  <c r="W254" i="1"/>
  <c r="AB254" i="1" s="1"/>
  <c r="AC253" i="1"/>
  <c r="X253" i="1" s="1"/>
  <c r="Y253" i="1"/>
  <c r="W253" i="1"/>
  <c r="AA253" i="1" s="1"/>
  <c r="Y252" i="1"/>
  <c r="W252" i="1"/>
  <c r="AA252" i="1" s="1"/>
  <c r="AG251" i="1"/>
  <c r="AD251" i="1"/>
  <c r="AC251" i="1"/>
  <c r="X251" i="1" s="1"/>
  <c r="AA251" i="1"/>
  <c r="Y251" i="1"/>
  <c r="W251" i="1"/>
  <c r="AB251" i="1" s="1"/>
  <c r="AC250" i="1"/>
  <c r="X250" i="1" s="1"/>
  <c r="AA250" i="1"/>
  <c r="Z250" i="1"/>
  <c r="Y250" i="1"/>
  <c r="W250" i="1"/>
  <c r="AC249" i="1"/>
  <c r="X249" i="1" s="1"/>
  <c r="AA249" i="1"/>
  <c r="Z249" i="1"/>
  <c r="Y249" i="1"/>
  <c r="W249" i="1"/>
  <c r="AC248" i="1"/>
  <c r="X248" i="1" s="1"/>
  <c r="AA248" i="1"/>
  <c r="Z248" i="1"/>
  <c r="Y248" i="1"/>
  <c r="W248" i="1"/>
  <c r="AC247" i="1"/>
  <c r="X247" i="1" s="1"/>
  <c r="AA247" i="1"/>
  <c r="Z247" i="1"/>
  <c r="Y247" i="1"/>
  <c r="W247" i="1"/>
  <c r="AC246" i="1"/>
  <c r="X246" i="1" s="1"/>
  <c r="AA246" i="1"/>
  <c r="Z246" i="1"/>
  <c r="Y246" i="1"/>
  <c r="W246" i="1"/>
  <c r="AC245" i="1"/>
  <c r="X245" i="1" s="1"/>
  <c r="AA245" i="1"/>
  <c r="Z245" i="1"/>
  <c r="Y245" i="1"/>
  <c r="W245" i="1"/>
  <c r="AC244" i="1"/>
  <c r="X244" i="1" s="1"/>
  <c r="AA244" i="1"/>
  <c r="Z244" i="1"/>
  <c r="Y244" i="1"/>
  <c r="W244" i="1"/>
  <c r="AC243" i="1"/>
  <c r="X243" i="1" s="1"/>
  <c r="AA243" i="1"/>
  <c r="Z243" i="1"/>
  <c r="Y243" i="1"/>
  <c r="W243" i="1"/>
  <c r="AC242" i="1"/>
  <c r="X242" i="1" s="1"/>
  <c r="AA242" i="1"/>
  <c r="Z242" i="1"/>
  <c r="Y242" i="1"/>
  <c r="W242" i="1"/>
  <c r="AC241" i="1"/>
  <c r="X241" i="1" s="1"/>
  <c r="AA241" i="1"/>
  <c r="Z241" i="1"/>
  <c r="Y241" i="1"/>
  <c r="W241" i="1"/>
  <c r="AC240" i="1"/>
  <c r="X240" i="1" s="1"/>
  <c r="AA240" i="1"/>
  <c r="Z240" i="1"/>
  <c r="Y240" i="1"/>
  <c r="W240" i="1"/>
  <c r="AC239" i="1"/>
  <c r="X239" i="1" s="1"/>
  <c r="AA239" i="1"/>
  <c r="Z239" i="1"/>
  <c r="Y239" i="1"/>
  <c r="W239" i="1"/>
  <c r="AC238" i="1"/>
  <c r="X238" i="1" s="1"/>
  <c r="AA238" i="1"/>
  <c r="Z238" i="1"/>
  <c r="Y238" i="1"/>
  <c r="W238" i="1"/>
  <c r="AC237" i="1"/>
  <c r="X237" i="1" s="1"/>
  <c r="AA237" i="1"/>
  <c r="Z237" i="1"/>
  <c r="Y237" i="1"/>
  <c r="W237" i="1"/>
  <c r="AC236" i="1"/>
  <c r="X236" i="1" s="1"/>
  <c r="AA236" i="1"/>
  <c r="Z236" i="1"/>
  <c r="Y236" i="1"/>
  <c r="W236" i="1"/>
  <c r="AC235" i="1"/>
  <c r="X235" i="1" s="1"/>
  <c r="AA235" i="1"/>
  <c r="Z235" i="1"/>
  <c r="Y235" i="1"/>
  <c r="W235" i="1"/>
  <c r="AC234" i="1"/>
  <c r="X234" i="1" s="1"/>
  <c r="AA234" i="1"/>
  <c r="Z234" i="1"/>
  <c r="Y234" i="1"/>
  <c r="W234" i="1"/>
  <c r="AC233" i="1"/>
  <c r="X233" i="1" s="1"/>
  <c r="AA233" i="1"/>
  <c r="Z233" i="1"/>
  <c r="Y233" i="1"/>
  <c r="W233" i="1"/>
  <c r="AC232" i="1"/>
  <c r="X232" i="1" s="1"/>
  <c r="AA232" i="1"/>
  <c r="Z232" i="1"/>
  <c r="Y232" i="1"/>
  <c r="W232" i="1"/>
  <c r="AC231" i="1"/>
  <c r="X231" i="1" s="1"/>
  <c r="AA231" i="1"/>
  <c r="Z231" i="1"/>
  <c r="Y231" i="1"/>
  <c r="W231" i="1"/>
  <c r="AC230" i="1"/>
  <c r="X230" i="1" s="1"/>
  <c r="AA230" i="1"/>
  <c r="Z230" i="1"/>
  <c r="Y230" i="1"/>
  <c r="W230" i="1"/>
  <c r="AC229" i="1"/>
  <c r="X229" i="1" s="1"/>
  <c r="AA229" i="1"/>
  <c r="Z229" i="1"/>
  <c r="Y229" i="1"/>
  <c r="W229" i="1"/>
  <c r="AC228" i="1"/>
  <c r="X228" i="1" s="1"/>
  <c r="AA228" i="1"/>
  <c r="Z228" i="1"/>
  <c r="Y228" i="1"/>
  <c r="W228" i="1"/>
  <c r="AC227" i="1"/>
  <c r="X227" i="1" s="1"/>
  <c r="AA227" i="1"/>
  <c r="Z227" i="1"/>
  <c r="Y227" i="1"/>
  <c r="W227" i="1"/>
  <c r="Y226" i="1"/>
  <c r="W226" i="1"/>
  <c r="AB226" i="1" s="1"/>
  <c r="AC225" i="1"/>
  <c r="X225" i="1" s="1"/>
  <c r="AA225" i="1"/>
  <c r="Z225" i="1"/>
  <c r="Y225" i="1"/>
  <c r="W225" i="1"/>
  <c r="AC224" i="1"/>
  <c r="X224" i="1" s="1"/>
  <c r="AA224" i="1"/>
  <c r="Z224" i="1"/>
  <c r="Y224" i="1"/>
  <c r="W224" i="1"/>
  <c r="AC223" i="1"/>
  <c r="X223" i="1" s="1"/>
  <c r="AA223" i="1"/>
  <c r="Z223" i="1"/>
  <c r="Y223" i="1"/>
  <c r="W223" i="1"/>
  <c r="AC222" i="1"/>
  <c r="X222" i="1" s="1"/>
  <c r="AA222" i="1"/>
  <c r="Z222" i="1"/>
  <c r="Y222" i="1"/>
  <c r="W222" i="1"/>
  <c r="AC221" i="1"/>
  <c r="X221" i="1" s="1"/>
  <c r="AA221" i="1"/>
  <c r="Z221" i="1"/>
  <c r="Y221" i="1"/>
  <c r="W221" i="1"/>
  <c r="AC220" i="1"/>
  <c r="X220" i="1" s="1"/>
  <c r="AA220" i="1"/>
  <c r="Z220" i="1"/>
  <c r="Y220" i="1"/>
  <c r="W220" i="1"/>
  <c r="AD219" i="1"/>
  <c r="AC219" i="1"/>
  <c r="X219" i="1" s="1"/>
  <c r="Y219" i="1"/>
  <c r="W219" i="1"/>
  <c r="AC218" i="1"/>
  <c r="X218" i="1" s="1"/>
  <c r="AA218" i="1"/>
  <c r="Z218" i="1"/>
  <c r="Y218" i="1"/>
  <c r="W218" i="1"/>
  <c r="AC217" i="1"/>
  <c r="X217" i="1" s="1"/>
  <c r="AA217" i="1"/>
  <c r="Z217" i="1"/>
  <c r="Y217" i="1"/>
  <c r="W217" i="1"/>
  <c r="AC216" i="1"/>
  <c r="X216" i="1" s="1"/>
  <c r="Y216" i="1"/>
  <c r="W216" i="1"/>
  <c r="AB216" i="1" s="1"/>
  <c r="AA215" i="1"/>
  <c r="Z215" i="1"/>
  <c r="Y215" i="1"/>
  <c r="W215" i="1"/>
  <c r="AC214" i="1"/>
  <c r="X214" i="1" s="1"/>
  <c r="AA214" i="1"/>
  <c r="Z214" i="1"/>
  <c r="Y214" i="1"/>
  <c r="W214" i="1"/>
  <c r="AC213" i="1"/>
  <c r="X213" i="1" s="1"/>
  <c r="AA213" i="1"/>
  <c r="Y213" i="1"/>
  <c r="W213" i="1"/>
  <c r="AB213" i="1" s="1"/>
  <c r="Y212" i="1"/>
  <c r="W212" i="1"/>
  <c r="Y211" i="1"/>
  <c r="W211" i="1"/>
  <c r="AB211" i="1" s="1"/>
  <c r="AD210" i="1"/>
  <c r="AC210" i="1"/>
  <c r="X210" i="1" s="1"/>
  <c r="Y210" i="1"/>
  <c r="W210" i="1"/>
  <c r="AC209" i="1"/>
  <c r="X209" i="1" s="1"/>
  <c r="AA209" i="1"/>
  <c r="Z209" i="1"/>
  <c r="Y209" i="1"/>
  <c r="W209" i="1"/>
  <c r="AC208" i="1"/>
  <c r="X208" i="1" s="1"/>
  <c r="AA208" i="1"/>
  <c r="Z208" i="1"/>
  <c r="Y208" i="1"/>
  <c r="W208" i="1"/>
  <c r="AC207" i="1"/>
  <c r="X207" i="1" s="1"/>
  <c r="AA207" i="1"/>
  <c r="Z207" i="1"/>
  <c r="Y207" i="1"/>
  <c r="W207" i="1"/>
  <c r="AC206" i="1"/>
  <c r="X206" i="1" s="1"/>
  <c r="AA206" i="1"/>
  <c r="Z206" i="1"/>
  <c r="Y206" i="1"/>
  <c r="W206" i="1"/>
  <c r="AC205" i="1"/>
  <c r="X205" i="1" s="1"/>
  <c r="Y205" i="1"/>
  <c r="W205" i="1"/>
  <c r="AB205" i="1" s="1"/>
  <c r="AC204" i="1"/>
  <c r="X204" i="1" s="1"/>
  <c r="AA204" i="1"/>
  <c r="Z204" i="1"/>
  <c r="Y204" i="1"/>
  <c r="W204" i="1"/>
  <c r="AC203" i="1"/>
  <c r="X203" i="1" s="1"/>
  <c r="AA203" i="1"/>
  <c r="Z203" i="1"/>
  <c r="Y203" i="1"/>
  <c r="W203" i="1"/>
  <c r="AC202" i="1"/>
  <c r="X202" i="1" s="1"/>
  <c r="AA202" i="1"/>
  <c r="Z202" i="1"/>
  <c r="Y202" i="1"/>
  <c r="W202" i="1"/>
  <c r="Y201" i="1"/>
  <c r="W201" i="1"/>
  <c r="AB201" i="1" s="1"/>
  <c r="AC200" i="1"/>
  <c r="X200" i="1" s="1"/>
  <c r="Y200" i="1"/>
  <c r="W200" i="1"/>
  <c r="AB200" i="1" s="1"/>
  <c r="AG199" i="1"/>
  <c r="AD199" i="1"/>
  <c r="AC199" i="1"/>
  <c r="X199" i="1" s="1"/>
  <c r="Z199" i="1"/>
  <c r="Y199" i="1"/>
  <c r="W199" i="1"/>
  <c r="AC198" i="1"/>
  <c r="X198" i="1" s="1"/>
  <c r="AA198" i="1"/>
  <c r="Y198" i="1"/>
  <c r="W198" i="1"/>
  <c r="AB198" i="1" s="1"/>
  <c r="AC197" i="1"/>
  <c r="X197" i="1" s="1"/>
  <c r="AA197" i="1"/>
  <c r="Z197" i="1"/>
  <c r="Y197" i="1"/>
  <c r="W197" i="1"/>
  <c r="AC196" i="1"/>
  <c r="X196" i="1" s="1"/>
  <c r="AA196" i="1"/>
  <c r="Z196" i="1"/>
  <c r="Y196" i="1"/>
  <c r="W196" i="1"/>
  <c r="AC195" i="1"/>
  <c r="X195" i="1" s="1"/>
  <c r="AA195" i="1"/>
  <c r="Z195" i="1"/>
  <c r="Y195" i="1"/>
  <c r="W195" i="1"/>
  <c r="AC194" i="1"/>
  <c r="X194" i="1" s="1"/>
  <c r="AA194" i="1"/>
  <c r="Z194" i="1"/>
  <c r="Y194" i="1"/>
  <c r="W194" i="1"/>
  <c r="Y193" i="1"/>
  <c r="W193" i="1"/>
  <c r="AA193" i="1" s="1"/>
  <c r="Y192" i="1"/>
  <c r="W192" i="1"/>
  <c r="AB192" i="1" s="1"/>
  <c r="AC191" i="1"/>
  <c r="X191" i="1" s="1"/>
  <c r="AA191" i="1"/>
  <c r="Z191" i="1"/>
  <c r="Y191" i="1"/>
  <c r="W191" i="1"/>
  <c r="AC190" i="1"/>
  <c r="X190" i="1" s="1"/>
  <c r="AA190" i="1"/>
  <c r="Z190" i="1"/>
  <c r="Y190" i="1"/>
  <c r="W190" i="1"/>
  <c r="Y189" i="1"/>
  <c r="W189" i="1"/>
  <c r="AB189" i="1" s="1"/>
  <c r="AC188" i="1"/>
  <c r="X188" i="1" s="1"/>
  <c r="AA188" i="1"/>
  <c r="Z188" i="1"/>
  <c r="Y188" i="1"/>
  <c r="W188" i="1"/>
  <c r="AC187" i="1"/>
  <c r="X187" i="1" s="1"/>
  <c r="AA187" i="1"/>
  <c r="Z187" i="1"/>
  <c r="Y187" i="1"/>
  <c r="W187" i="1"/>
  <c r="AA186" i="1"/>
  <c r="Y186" i="1"/>
  <c r="W186" i="1"/>
  <c r="AB186" i="1" s="1"/>
  <c r="AD185" i="1"/>
  <c r="AC185" i="1"/>
  <c r="X185" i="1" s="1"/>
  <c r="Y185" i="1"/>
  <c r="W185" i="1"/>
  <c r="AA185" i="1" s="1"/>
  <c r="AA184" i="1"/>
  <c r="Y184" i="1"/>
  <c r="W184" i="1"/>
  <c r="AC183" i="1"/>
  <c r="X183" i="1" s="1"/>
  <c r="Y183" i="1"/>
  <c r="W183" i="1"/>
  <c r="AB183" i="1" s="1"/>
  <c r="AC182" i="1"/>
  <c r="X182" i="1" s="1"/>
  <c r="AA182" i="1"/>
  <c r="Z182" i="1"/>
  <c r="Y182" i="1"/>
  <c r="W182" i="1"/>
  <c r="AC181" i="1"/>
  <c r="X181" i="1" s="1"/>
  <c r="Y181" i="1"/>
  <c r="W181" i="1"/>
  <c r="AB181" i="1" s="1"/>
  <c r="Y180" i="1"/>
  <c r="W180" i="1"/>
  <c r="AA180" i="1" s="1"/>
  <c r="AA179" i="1"/>
  <c r="Z179" i="1"/>
  <c r="Y179" i="1"/>
  <c r="W179" i="1"/>
  <c r="AC178" i="1"/>
  <c r="X178" i="1" s="1"/>
  <c r="AA178" i="1"/>
  <c r="Z178" i="1"/>
  <c r="Y178" i="1"/>
  <c r="W178" i="1"/>
  <c r="AC177" i="1"/>
  <c r="X177" i="1" s="1"/>
  <c r="AA177" i="1"/>
  <c r="Z177" i="1"/>
  <c r="Y177" i="1"/>
  <c r="W177" i="1"/>
  <c r="AC176" i="1"/>
  <c r="X176" i="1" s="1"/>
  <c r="AA176" i="1"/>
  <c r="Z176" i="1"/>
  <c r="Y176" i="1"/>
  <c r="W176" i="1"/>
  <c r="AC175" i="1"/>
  <c r="X175" i="1" s="1"/>
  <c r="AA175" i="1"/>
  <c r="Z175" i="1"/>
  <c r="Y175" i="1"/>
  <c r="W175" i="1"/>
  <c r="AC174" i="1"/>
  <c r="X174" i="1" s="1"/>
  <c r="AA174" i="1"/>
  <c r="Z174" i="1"/>
  <c r="Y174" i="1"/>
  <c r="W174" i="1"/>
  <c r="AC173" i="1"/>
  <c r="X173" i="1" s="1"/>
  <c r="AA173" i="1"/>
  <c r="Z173" i="1"/>
  <c r="Y173" i="1"/>
  <c r="W173" i="1"/>
  <c r="AC172" i="1"/>
  <c r="X172" i="1" s="1"/>
  <c r="AA172" i="1"/>
  <c r="Z172" i="1"/>
  <c r="Y172" i="1"/>
  <c r="W172" i="1"/>
  <c r="AG171" i="1"/>
  <c r="AD171" i="1"/>
  <c r="AC171" i="1"/>
  <c r="X171" i="1" s="1"/>
  <c r="Y171" i="1"/>
  <c r="W171" i="1"/>
  <c r="AB171" i="1" s="1"/>
  <c r="AG170" i="1"/>
  <c r="AD170" i="1"/>
  <c r="AC170" i="1"/>
  <c r="X170" i="1" s="1"/>
  <c r="Y170" i="1"/>
  <c r="W170" i="1"/>
  <c r="AB170" i="1" s="1"/>
  <c r="AA169" i="1"/>
  <c r="Z169" i="1"/>
  <c r="Y169" i="1"/>
  <c r="W169" i="1"/>
  <c r="AC168" i="1"/>
  <c r="X168" i="1" s="1"/>
  <c r="AA168" i="1"/>
  <c r="Z168" i="1"/>
  <c r="Y168" i="1"/>
  <c r="W168" i="1"/>
  <c r="AC167" i="1"/>
  <c r="X167" i="1" s="1"/>
  <c r="AA167" i="1"/>
  <c r="Z167" i="1"/>
  <c r="Y167" i="1"/>
  <c r="W167" i="1"/>
  <c r="AC166" i="1"/>
  <c r="X166" i="1" s="1"/>
  <c r="AA166" i="1"/>
  <c r="Z166" i="1"/>
  <c r="Y166" i="1"/>
  <c r="W166" i="1"/>
  <c r="AD165" i="1"/>
  <c r="AC165" i="1"/>
  <c r="X165" i="1" s="1"/>
  <c r="Y165" i="1"/>
  <c r="W165" i="1"/>
  <c r="AB165" i="1" s="1"/>
  <c r="AD164" i="1"/>
  <c r="AC164" i="1"/>
  <c r="X164" i="1" s="1"/>
  <c r="Y164" i="1"/>
  <c r="W164" i="1"/>
  <c r="AA164" i="1" s="1"/>
  <c r="AC163" i="1"/>
  <c r="X163" i="1" s="1"/>
  <c r="Y163" i="1"/>
  <c r="W163" i="1"/>
  <c r="AB163" i="1" s="1"/>
  <c r="AC162" i="1"/>
  <c r="X162" i="1" s="1"/>
  <c r="Y162" i="1"/>
  <c r="W162" i="1"/>
  <c r="AB162" i="1" s="1"/>
  <c r="AC161" i="1"/>
  <c r="X161" i="1" s="1"/>
  <c r="AA161" i="1"/>
  <c r="Y161" i="1"/>
  <c r="W161" i="1"/>
  <c r="AB161" i="1" s="1"/>
  <c r="Y160" i="1"/>
  <c r="W160" i="1"/>
  <c r="AA160" i="1" s="1"/>
  <c r="AC159" i="1"/>
  <c r="X159" i="1" s="1"/>
  <c r="Y159" i="1"/>
  <c r="W159" i="1"/>
  <c r="AB159" i="1" s="1"/>
  <c r="AC158" i="1"/>
  <c r="X158" i="1" s="1"/>
  <c r="AA158" i="1"/>
  <c r="Z158" i="1"/>
  <c r="Y158" i="1"/>
  <c r="W158" i="1"/>
  <c r="Y157" i="1"/>
  <c r="W157" i="1"/>
  <c r="AC156" i="1"/>
  <c r="X156" i="1" s="1"/>
  <c r="AA156" i="1"/>
  <c r="Z156" i="1"/>
  <c r="Y156" i="1"/>
  <c r="W156" i="1"/>
  <c r="AC155" i="1"/>
  <c r="X155" i="1" s="1"/>
  <c r="AA155" i="1"/>
  <c r="Z155" i="1"/>
  <c r="Y155" i="1"/>
  <c r="W155" i="1"/>
  <c r="AC154" i="1"/>
  <c r="X154" i="1" s="1"/>
  <c r="AA154" i="1"/>
  <c r="Z154" i="1"/>
  <c r="Y154" i="1"/>
  <c r="W154" i="1"/>
  <c r="AD153" i="1"/>
  <c r="AC153" i="1"/>
  <c r="X153" i="1" s="1"/>
  <c r="Y153" i="1"/>
  <c r="W153" i="1"/>
  <c r="AA153" i="1" s="1"/>
  <c r="AA152" i="1"/>
  <c r="Z152" i="1"/>
  <c r="Y152" i="1"/>
  <c r="W152" i="1"/>
  <c r="AC151" i="1"/>
  <c r="X151" i="1" s="1"/>
  <c r="AA151" i="1"/>
  <c r="Z151" i="1"/>
  <c r="Y151" i="1"/>
  <c r="W151" i="1"/>
  <c r="Y150" i="1"/>
  <c r="W150" i="1"/>
  <c r="AC149" i="1"/>
  <c r="X149" i="1" s="1"/>
  <c r="AA149" i="1"/>
  <c r="Z149" i="1"/>
  <c r="Y149" i="1"/>
  <c r="W149" i="1"/>
  <c r="AC148" i="1"/>
  <c r="X148" i="1" s="1"/>
  <c r="AA148" i="1"/>
  <c r="Z148" i="1"/>
  <c r="Y148" i="1"/>
  <c r="W148" i="1"/>
  <c r="Y147" i="1"/>
  <c r="W147" i="1"/>
  <c r="AB147" i="1" s="1"/>
  <c r="AF146" i="1"/>
  <c r="AC146" i="1"/>
  <c r="X146" i="1" s="1"/>
  <c r="Y146" i="1"/>
  <c r="W146" i="1"/>
  <c r="AB146" i="1" s="1"/>
  <c r="AG145" i="1"/>
  <c r="AD145" i="1"/>
  <c r="AC145" i="1"/>
  <c r="X145" i="1" s="1"/>
  <c r="Z145" i="1"/>
  <c r="Y145" i="1"/>
  <c r="W145" i="1"/>
  <c r="AC144" i="1"/>
  <c r="X144" i="1" s="1"/>
  <c r="AA144" i="1"/>
  <c r="Z144" i="1"/>
  <c r="Y144" i="1"/>
  <c r="W144" i="1"/>
  <c r="AC143" i="1"/>
  <c r="X143" i="1" s="1"/>
  <c r="Y143" i="1"/>
  <c r="W143" i="1"/>
  <c r="AC142" i="1"/>
  <c r="X142" i="1" s="1"/>
  <c r="AA142" i="1"/>
  <c r="Z142" i="1"/>
  <c r="Y142" i="1"/>
  <c r="W142" i="1"/>
  <c r="AC141" i="1"/>
  <c r="X141" i="1" s="1"/>
  <c r="AA141" i="1"/>
  <c r="Y141" i="1"/>
  <c r="W141" i="1"/>
  <c r="AB141" i="1" s="1"/>
  <c r="Y140" i="1"/>
  <c r="W140" i="1"/>
  <c r="AB140" i="1" s="1"/>
  <c r="AC139" i="1"/>
  <c r="X139" i="1" s="1"/>
  <c r="AA139" i="1"/>
  <c r="Z139" i="1"/>
  <c r="Y139" i="1"/>
  <c r="W139" i="1"/>
  <c r="AC138" i="1"/>
  <c r="X138" i="1" s="1"/>
  <c r="AA138" i="1"/>
  <c r="Z138" i="1"/>
  <c r="Y138" i="1"/>
  <c r="W138" i="1"/>
  <c r="AC137" i="1"/>
  <c r="X137" i="1" s="1"/>
  <c r="AA137" i="1"/>
  <c r="Z137" i="1"/>
  <c r="Y137" i="1"/>
  <c r="W137" i="1"/>
  <c r="AA136" i="1"/>
  <c r="Z136" i="1"/>
  <c r="Y136" i="1"/>
  <c r="W136" i="1"/>
  <c r="Y135" i="1"/>
  <c r="W135" i="1"/>
  <c r="AC134" i="1"/>
  <c r="X134" i="1" s="1"/>
  <c r="Z134" i="1"/>
  <c r="Y134" i="1"/>
  <c r="W134" i="1"/>
  <c r="AC133" i="1"/>
  <c r="X133" i="1" s="1"/>
  <c r="AA133" i="1"/>
  <c r="Y133" i="1"/>
  <c r="W133" i="1"/>
  <c r="AB133" i="1" s="1"/>
  <c r="AC132" i="1"/>
  <c r="X132" i="1" s="1"/>
  <c r="AA132" i="1"/>
  <c r="Z132" i="1"/>
  <c r="Y132" i="1"/>
  <c r="W132" i="1"/>
  <c r="AD131" i="1"/>
  <c r="AC131" i="1"/>
  <c r="X131" i="1" s="1"/>
  <c r="Y131" i="1"/>
  <c r="W131" i="1"/>
  <c r="AA131" i="1" s="1"/>
  <c r="AC130" i="1"/>
  <c r="X130" i="1" s="1"/>
  <c r="AA130" i="1"/>
  <c r="Z130" i="1"/>
  <c r="Y130" i="1"/>
  <c r="W130" i="1"/>
  <c r="Y129" i="1"/>
  <c r="W129" i="1"/>
  <c r="AB129" i="1" s="1"/>
  <c r="AG128" i="1"/>
  <c r="AD128" i="1"/>
  <c r="AC128" i="1"/>
  <c r="X128" i="1" s="1"/>
  <c r="Y128" i="1"/>
  <c r="W128" i="1"/>
  <c r="AB128" i="1" s="1"/>
  <c r="AC127" i="1"/>
  <c r="X127" i="1" s="1"/>
  <c r="Y127" i="1"/>
  <c r="W127" i="1"/>
  <c r="AB127" i="1" s="1"/>
  <c r="AC126" i="1"/>
  <c r="X126" i="1" s="1"/>
  <c r="Y126" i="1"/>
  <c r="W126" i="1"/>
  <c r="AB126" i="1" s="1"/>
  <c r="AA125" i="1"/>
  <c r="Z125" i="1"/>
  <c r="Y125" i="1"/>
  <c r="W125" i="1"/>
  <c r="AC124" i="1"/>
  <c r="X124" i="1" s="1"/>
  <c r="AA124" i="1"/>
  <c r="Z124" i="1"/>
  <c r="Y124" i="1"/>
  <c r="W124" i="1"/>
  <c r="AG123" i="1"/>
  <c r="AD123" i="1"/>
  <c r="AC123" i="1"/>
  <c r="X123" i="1" s="1"/>
  <c r="Z123" i="1"/>
  <c r="Y123" i="1"/>
  <c r="W123" i="1"/>
  <c r="AC122" i="1"/>
  <c r="X122" i="1" s="1"/>
  <c r="AA122" i="1"/>
  <c r="Y122" i="1"/>
  <c r="W122" i="1"/>
  <c r="AB122" i="1" s="1"/>
  <c r="Y121" i="1"/>
  <c r="W121" i="1"/>
  <c r="AB121" i="1" s="1"/>
  <c r="AC120" i="1"/>
  <c r="X120" i="1" s="1"/>
  <c r="Y120" i="1"/>
  <c r="W120" i="1"/>
  <c r="AB120" i="1" s="1"/>
  <c r="AD119" i="1"/>
  <c r="AC119" i="1"/>
  <c r="X119" i="1" s="1"/>
  <c r="Y119" i="1"/>
  <c r="W119" i="1"/>
  <c r="AB119" i="1" s="1"/>
  <c r="AA118" i="1"/>
  <c r="Z118" i="1"/>
  <c r="Y118" i="1"/>
  <c r="W118" i="1"/>
  <c r="AC117" i="1"/>
  <c r="X117" i="1" s="1"/>
  <c r="AA117" i="1"/>
  <c r="Z117" i="1"/>
  <c r="Y117" i="1"/>
  <c r="W117" i="1"/>
  <c r="AD116" i="1"/>
  <c r="AC116" i="1"/>
  <c r="X116" i="1" s="1"/>
  <c r="Y116" i="1"/>
  <c r="W116" i="1"/>
  <c r="AA116" i="1" s="1"/>
  <c r="AA115" i="1"/>
  <c r="Z115" i="1"/>
  <c r="Y115" i="1"/>
  <c r="W115" i="1"/>
  <c r="AD114" i="1"/>
  <c r="AC114" i="1"/>
  <c r="X114" i="1" s="1"/>
  <c r="Y114" i="1"/>
  <c r="W114" i="1"/>
  <c r="AB114" i="1" s="1"/>
  <c r="AC113" i="1"/>
  <c r="X113" i="1" s="1"/>
  <c r="AA113" i="1"/>
  <c r="Z113" i="1"/>
  <c r="Y113" i="1"/>
  <c r="W113" i="1"/>
  <c r="AD112" i="1"/>
  <c r="AC112" i="1"/>
  <c r="X112" i="1" s="1"/>
  <c r="Y112" i="1"/>
  <c r="W112" i="1"/>
  <c r="AB112" i="1" s="1"/>
  <c r="Z111" i="1"/>
  <c r="Y111" i="1"/>
  <c r="W111" i="1"/>
  <c r="AC110" i="1"/>
  <c r="X110" i="1" s="1"/>
  <c r="AA110" i="1"/>
  <c r="Z110" i="1"/>
  <c r="Y110" i="1"/>
  <c r="W110" i="1"/>
  <c r="AC109" i="1"/>
  <c r="X109" i="1" s="1"/>
  <c r="AA109" i="1"/>
  <c r="Z109" i="1"/>
  <c r="Y109" i="1"/>
  <c r="W109" i="1"/>
  <c r="AD108" i="1"/>
  <c r="AC108" i="1"/>
  <c r="X108" i="1" s="1"/>
  <c r="Y108" i="1"/>
  <c r="W108" i="1"/>
  <c r="AB108" i="1" s="1"/>
  <c r="AG107" i="1"/>
  <c r="AF107" i="1"/>
  <c r="AC107" i="1"/>
  <c r="X107" i="1" s="1"/>
  <c r="Y107" i="1"/>
  <c r="W107" i="1"/>
  <c r="AB107" i="1" s="1"/>
  <c r="AC106" i="1"/>
  <c r="X106" i="1" s="1"/>
  <c r="AA106" i="1"/>
  <c r="Z106" i="1"/>
  <c r="Y106" i="1"/>
  <c r="W106" i="1"/>
  <c r="AA105" i="1"/>
  <c r="Z105" i="1"/>
  <c r="Y105" i="1"/>
  <c r="W105" i="1"/>
  <c r="AC104" i="1"/>
  <c r="X104" i="1" s="1"/>
  <c r="AA104" i="1"/>
  <c r="Z104" i="1"/>
  <c r="Y104" i="1"/>
  <c r="W104" i="1"/>
  <c r="AA103" i="1"/>
  <c r="Z103" i="1"/>
  <c r="Y103" i="1"/>
  <c r="W103" i="1"/>
  <c r="AA102" i="1"/>
  <c r="Z102" i="1"/>
  <c r="Y102" i="1"/>
  <c r="W102" i="1"/>
  <c r="AC101" i="1"/>
  <c r="X101" i="1" s="1"/>
  <c r="Y101" i="1"/>
  <c r="W101" i="1"/>
  <c r="AB101" i="1" s="1"/>
  <c r="AD100" i="1"/>
  <c r="AC100" i="1"/>
  <c r="X100" i="1" s="1"/>
  <c r="Y100" i="1"/>
  <c r="W100" i="1"/>
  <c r="AB100" i="1" s="1"/>
  <c r="AC99" i="1"/>
  <c r="X99" i="1" s="1"/>
  <c r="Y99" i="1"/>
  <c r="W99" i="1"/>
  <c r="AB99" i="1" s="1"/>
  <c r="AC98" i="1"/>
  <c r="X98" i="1" s="1"/>
  <c r="AA98" i="1"/>
  <c r="Z98" i="1"/>
  <c r="Y98" i="1"/>
  <c r="W98" i="1"/>
  <c r="Z97" i="1"/>
  <c r="Y97" i="1"/>
  <c r="W97" i="1"/>
  <c r="AA96" i="1"/>
  <c r="Z96" i="1"/>
  <c r="Y96" i="1"/>
  <c r="W96" i="1"/>
  <c r="AC95" i="1"/>
  <c r="X95" i="1" s="1"/>
  <c r="AA95" i="1"/>
  <c r="Y95" i="1"/>
  <c r="W95" i="1"/>
  <c r="AB95" i="1" s="1"/>
  <c r="AC94" i="1"/>
  <c r="X94" i="1" s="1"/>
  <c r="Z94" i="1"/>
  <c r="Y94" i="1"/>
  <c r="W94" i="1"/>
  <c r="Y93" i="1"/>
  <c r="W93" i="1"/>
  <c r="AG92" i="1"/>
  <c r="AF92" i="1"/>
  <c r="AC92" i="1"/>
  <c r="X92" i="1" s="1"/>
  <c r="Y92" i="1"/>
  <c r="W92" i="1"/>
  <c r="AB92" i="1" s="1"/>
  <c r="AD91" i="1"/>
  <c r="AC91" i="1"/>
  <c r="X91" i="1" s="1"/>
  <c r="Y91" i="1"/>
  <c r="W91" i="1"/>
  <c r="AB91" i="1" s="1"/>
  <c r="AC90" i="1"/>
  <c r="X90" i="1" s="1"/>
  <c r="AA90" i="1"/>
  <c r="Y90" i="1"/>
  <c r="W90" i="1"/>
  <c r="AB90" i="1" s="1"/>
  <c r="AC89" i="1"/>
  <c r="X89" i="1" s="1"/>
  <c r="Y89" i="1"/>
  <c r="W89" i="1"/>
  <c r="AB89" i="1" s="1"/>
  <c r="AA88" i="1"/>
  <c r="Z88" i="1"/>
  <c r="Y88" i="1"/>
  <c r="W88" i="1"/>
  <c r="AC87" i="1"/>
  <c r="X87" i="1" s="1"/>
  <c r="Z87" i="1"/>
  <c r="Y87" i="1"/>
  <c r="W87" i="1"/>
  <c r="AG86" i="1"/>
  <c r="AF86" i="1"/>
  <c r="AC86" i="1"/>
  <c r="X86" i="1" s="1"/>
  <c r="Y86" i="1"/>
  <c r="W86" i="1"/>
  <c r="AB86" i="1" s="1"/>
  <c r="AD85" i="1"/>
  <c r="AC85" i="1"/>
  <c r="X85" i="1" s="1"/>
  <c r="Y85" i="1"/>
  <c r="W85" i="1"/>
  <c r="AB85" i="1" s="1"/>
  <c r="AA84" i="1"/>
  <c r="Z84" i="1"/>
  <c r="Y84" i="1"/>
  <c r="W84" i="1"/>
  <c r="AD83" i="1"/>
  <c r="AC83" i="1"/>
  <c r="X83" i="1" s="1"/>
  <c r="Y83" i="1"/>
  <c r="W83" i="1"/>
  <c r="AA83" i="1" s="1"/>
  <c r="AD82" i="1"/>
  <c r="AC82" i="1"/>
  <c r="X82" i="1" s="1"/>
  <c r="Y82" i="1"/>
  <c r="W82" i="1"/>
  <c r="AA82" i="1" s="1"/>
  <c r="AC81" i="1"/>
  <c r="X81" i="1" s="1"/>
  <c r="AA81" i="1"/>
  <c r="Z81" i="1"/>
  <c r="Y81" i="1"/>
  <c r="W81" i="1"/>
  <c r="Y80" i="1"/>
  <c r="W80" i="1"/>
  <c r="AB80" i="1" s="1"/>
  <c r="AG79" i="1"/>
  <c r="AF79" i="1"/>
  <c r="AC79" i="1"/>
  <c r="X79" i="1" s="1"/>
  <c r="Y79" i="1"/>
  <c r="W79" i="1"/>
  <c r="AB79" i="1" s="1"/>
  <c r="AF78" i="1"/>
  <c r="AC78" i="1"/>
  <c r="X78" i="1" s="1"/>
  <c r="Y78" i="1"/>
  <c r="W78" i="1"/>
  <c r="AB78" i="1" s="1"/>
  <c r="AG77" i="1"/>
  <c r="AC77" i="1"/>
  <c r="X77" i="1" s="1"/>
  <c r="Y77" i="1"/>
  <c r="W77" i="1"/>
  <c r="AB77" i="1" s="1"/>
  <c r="AG76" i="1"/>
  <c r="AF76" i="1"/>
  <c r="AC76" i="1"/>
  <c r="X76" i="1" s="1"/>
  <c r="Y76" i="1"/>
  <c r="W76" i="1"/>
  <c r="AB76" i="1" s="1"/>
  <c r="AG75" i="1"/>
  <c r="AD75" i="1"/>
  <c r="AC75" i="1"/>
  <c r="X75" i="1" s="1"/>
  <c r="Y75" i="1"/>
  <c r="W75" i="1"/>
  <c r="AB75" i="1" s="1"/>
  <c r="AC74" i="1"/>
  <c r="X74" i="1" s="1"/>
  <c r="AA74" i="1"/>
  <c r="Y74" i="1"/>
  <c r="W74" i="1"/>
  <c r="AB74" i="1" s="1"/>
  <c r="AG73" i="1"/>
  <c r="AF73" i="1"/>
  <c r="AC73" i="1"/>
  <c r="X73" i="1" s="1"/>
  <c r="Y73" i="1"/>
  <c r="W73" i="1"/>
  <c r="AB73" i="1" s="1"/>
  <c r="AG72" i="1"/>
  <c r="AC72" i="1"/>
  <c r="X72" i="1" s="1"/>
  <c r="Y72" i="1"/>
  <c r="W72" i="1"/>
  <c r="AB72" i="1" s="1"/>
  <c r="AG71" i="1"/>
  <c r="AC71" i="1"/>
  <c r="X71" i="1" s="1"/>
  <c r="Y71" i="1"/>
  <c r="W71" i="1"/>
  <c r="AB71" i="1" s="1"/>
  <c r="AG70" i="1"/>
  <c r="Y70" i="1"/>
  <c r="W70" i="1"/>
  <c r="AB70" i="1" s="1"/>
  <c r="AG69" i="1"/>
  <c r="AF69" i="1"/>
  <c r="AC69" i="1"/>
  <c r="X69" i="1" s="1"/>
  <c r="Y69" i="1"/>
  <c r="W69" i="1"/>
  <c r="AB69" i="1" s="1"/>
  <c r="AC68" i="1"/>
  <c r="X68" i="1" s="1"/>
  <c r="AA68" i="1"/>
  <c r="Y68" i="1"/>
  <c r="W68" i="1"/>
  <c r="AB68" i="1" s="1"/>
  <c r="AC67" i="1"/>
  <c r="X67" i="1" s="1"/>
  <c r="Y67" i="1"/>
  <c r="W67" i="1"/>
  <c r="AB67" i="1" s="1"/>
  <c r="AF66" i="1"/>
  <c r="Y66" i="1"/>
  <c r="W66" i="1"/>
  <c r="AB66" i="1" s="1"/>
  <c r="AF65" i="1"/>
  <c r="AC65" i="1"/>
  <c r="X65" i="1" s="1"/>
  <c r="Y65" i="1"/>
  <c r="W65" i="1"/>
  <c r="Y64" i="1"/>
  <c r="W64" i="1"/>
  <c r="AB64" i="1" s="1"/>
  <c r="AC63" i="1"/>
  <c r="X63" i="1" s="1"/>
  <c r="Y63" i="1"/>
  <c r="W63" i="1"/>
  <c r="AB63" i="1" s="1"/>
  <c r="AC62" i="1"/>
  <c r="X62" i="1" s="1"/>
  <c r="Y62" i="1"/>
  <c r="W62" i="1"/>
  <c r="AB62" i="1" s="1"/>
  <c r="AF61" i="1"/>
  <c r="AC61" i="1"/>
  <c r="X61" i="1" s="1"/>
  <c r="AA61" i="1"/>
  <c r="Y61" i="1"/>
  <c r="W61" i="1"/>
  <c r="AB61" i="1" s="1"/>
  <c r="AG60" i="1"/>
  <c r="AF60" i="1"/>
  <c r="AC60" i="1"/>
  <c r="X60" i="1" s="1"/>
  <c r="Y60" i="1"/>
  <c r="W60" i="1"/>
  <c r="AB60" i="1" s="1"/>
  <c r="Y59" i="1"/>
  <c r="W59" i="1"/>
  <c r="AF58" i="1"/>
  <c r="AC58" i="1"/>
  <c r="X58" i="1" s="1"/>
  <c r="Y58" i="1"/>
  <c r="W58" i="1"/>
  <c r="AB58" i="1" s="1"/>
  <c r="AC57" i="1"/>
  <c r="X57" i="1" s="1"/>
  <c r="AA57" i="1"/>
  <c r="Y57" i="1"/>
  <c r="W57" i="1"/>
  <c r="AB57" i="1" s="1"/>
  <c r="AG56" i="1"/>
  <c r="AF56" i="1"/>
  <c r="AC56" i="1"/>
  <c r="X56" i="1" s="1"/>
  <c r="Y56" i="1"/>
  <c r="W56" i="1"/>
  <c r="AB56" i="1" s="1"/>
  <c r="AC55" i="1"/>
  <c r="X55" i="1" s="1"/>
  <c r="Y55" i="1"/>
  <c r="W55" i="1"/>
  <c r="AB55" i="1" s="1"/>
  <c r="AC54" i="1"/>
  <c r="X54" i="1" s="1"/>
  <c r="Y54" i="1"/>
  <c r="W54" i="1"/>
  <c r="AB54" i="1" s="1"/>
  <c r="AF53" i="1"/>
  <c r="AC53" i="1"/>
  <c r="X53" i="1" s="1"/>
  <c r="Y53" i="1"/>
  <c r="W53" i="1"/>
  <c r="AB53" i="1" s="1"/>
  <c r="AF52" i="1"/>
  <c r="AC52" i="1"/>
  <c r="X52" i="1" s="1"/>
  <c r="Y52" i="1"/>
  <c r="W52" i="1"/>
  <c r="AB52" i="1" s="1"/>
  <c r="AC51" i="1"/>
  <c r="X51" i="1" s="1"/>
  <c r="Y51" i="1"/>
  <c r="W51" i="1"/>
  <c r="AB51" i="1" s="1"/>
  <c r="AA50" i="1"/>
  <c r="Y50" i="1"/>
  <c r="W50" i="1"/>
  <c r="AB50" i="1" s="1"/>
  <c r="AB49" i="1"/>
  <c r="Y49" i="1"/>
  <c r="W49" i="1"/>
  <c r="Y48" i="1"/>
  <c r="W48" i="1"/>
  <c r="Y47" i="1"/>
  <c r="W47" i="1"/>
  <c r="AG46" i="1"/>
  <c r="Y46" i="1"/>
  <c r="W46" i="1"/>
  <c r="AB46" i="1" s="1"/>
  <c r="AG45" i="1"/>
  <c r="AF45" i="1"/>
  <c r="AC45" i="1"/>
  <c r="X45" i="1" s="1"/>
  <c r="Y45" i="1"/>
  <c r="W45" i="1"/>
  <c r="AB45" i="1" s="1"/>
  <c r="AG44" i="1"/>
  <c r="AC44" i="1"/>
  <c r="X44" i="1" s="1"/>
  <c r="Y44" i="1"/>
  <c r="W44" i="1"/>
  <c r="AB44" i="1" s="1"/>
  <c r="Y43" i="1"/>
  <c r="W43" i="1"/>
  <c r="AB43" i="1" s="1"/>
  <c r="AG42" i="1"/>
  <c r="AF42" i="1"/>
  <c r="AC42" i="1"/>
  <c r="X42" i="1" s="1"/>
  <c r="Y42" i="1"/>
  <c r="W42" i="1"/>
  <c r="AB42" i="1" s="1"/>
  <c r="Y41" i="1"/>
  <c r="W41" i="1"/>
  <c r="AB41" i="1" s="1"/>
  <c r="AC40" i="1"/>
  <c r="X40" i="1" s="1"/>
  <c r="AA40" i="1"/>
  <c r="Y40" i="1"/>
  <c r="W40" i="1"/>
  <c r="AB40" i="1" s="1"/>
  <c r="AG39" i="1"/>
  <c r="AF39" i="1"/>
  <c r="AC39" i="1"/>
  <c r="X39" i="1" s="1"/>
  <c r="Y39" i="1"/>
  <c r="W39" i="1"/>
  <c r="AB39" i="1" s="1"/>
  <c r="AF38" i="1"/>
  <c r="AC38" i="1"/>
  <c r="X38" i="1" s="1"/>
  <c r="Y38" i="1"/>
  <c r="W38" i="1"/>
  <c r="AB38" i="1" s="1"/>
  <c r="Y37" i="1"/>
  <c r="W37" i="1"/>
  <c r="AC36" i="1"/>
  <c r="X36" i="1" s="1"/>
  <c r="Y36" i="1"/>
  <c r="W36" i="1"/>
  <c r="AB36" i="1" s="1"/>
  <c r="Y35" i="1"/>
  <c r="W35" i="1"/>
  <c r="AG34" i="1"/>
  <c r="AF34" i="1"/>
  <c r="AC34" i="1"/>
  <c r="X34" i="1" s="1"/>
  <c r="Y34" i="1"/>
  <c r="W34" i="1"/>
  <c r="AB34" i="1" s="1"/>
  <c r="AF33" i="1"/>
  <c r="AC33" i="1"/>
  <c r="X33" i="1" s="1"/>
  <c r="AA33" i="1"/>
  <c r="Y33" i="1"/>
  <c r="W33" i="1"/>
  <c r="AB33" i="1" s="1"/>
  <c r="W32" i="1"/>
  <c r="AG31" i="1"/>
  <c r="AF31" i="1"/>
  <c r="AC31" i="1"/>
  <c r="X31" i="1" s="1"/>
  <c r="Y31" i="1"/>
  <c r="W31" i="1"/>
  <c r="AB31" i="1" s="1"/>
  <c r="W30" i="1"/>
  <c r="AG29" i="1"/>
  <c r="AF29" i="1"/>
  <c r="AC29" i="1"/>
  <c r="X29" i="1" s="1"/>
  <c r="Y29" i="1"/>
  <c r="W29" i="1"/>
  <c r="AB29" i="1" s="1"/>
  <c r="Y28" i="1"/>
  <c r="W28" i="1"/>
  <c r="AB28" i="1" s="1"/>
  <c r="AC27" i="1"/>
  <c r="X27" i="1" s="1"/>
  <c r="Y27" i="1"/>
  <c r="W27" i="1"/>
  <c r="AB27" i="1" s="1"/>
  <c r="AC26" i="1"/>
  <c r="X26" i="1" s="1"/>
  <c r="Y26" i="1"/>
  <c r="W26" i="1"/>
  <c r="AC25" i="1"/>
  <c r="X25" i="1" s="1"/>
  <c r="Y25" i="1"/>
  <c r="W25" i="1"/>
  <c r="Y24" i="1"/>
  <c r="W24" i="1"/>
  <c r="AB24" i="1" s="1"/>
  <c r="Y23" i="1"/>
  <c r="W23" i="1"/>
  <c r="AB23" i="1" s="1"/>
  <c r="AC22" i="1"/>
  <c r="X22" i="1" s="1"/>
  <c r="Y22" i="1"/>
  <c r="W22" i="1"/>
  <c r="AC21" i="1"/>
  <c r="X21" i="1" s="1"/>
  <c r="Y21" i="1"/>
  <c r="W21" i="1"/>
  <c r="W20" i="1"/>
  <c r="W19" i="1"/>
  <c r="W18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BP18" i="1" l="1"/>
  <c r="BI296" i="1"/>
  <c r="BO214" i="1"/>
  <c r="BV289" i="1"/>
  <c r="BU241" i="1"/>
  <c r="BM237" i="1"/>
  <c r="BL267" i="1"/>
  <c r="BP265" i="1"/>
  <c r="BL263" i="1"/>
  <c r="BP261" i="1"/>
  <c r="BV257" i="1"/>
  <c r="BO224" i="1"/>
  <c r="BK216" i="1"/>
  <c r="BU213" i="1"/>
  <c r="BN189" i="1"/>
  <c r="BH184" i="1"/>
  <c r="BL175" i="1"/>
  <c r="BO134" i="1"/>
  <c r="BH294" i="1"/>
  <c r="BL292" i="1"/>
  <c r="BH290" i="1"/>
  <c r="BV288" i="1"/>
  <c r="BL286" i="1"/>
  <c r="BJ278" i="1"/>
  <c r="BR280" i="1"/>
  <c r="BJ276" i="1"/>
  <c r="BL274" i="1"/>
  <c r="BR268" i="1"/>
  <c r="BV266" i="1"/>
  <c r="BX264" i="1"/>
  <c r="BN261" i="1"/>
  <c r="BP256" i="1"/>
  <c r="BT254" i="1"/>
  <c r="BJ252" i="1"/>
  <c r="BL247" i="1"/>
  <c r="BO234" i="1"/>
  <c r="BR229" i="1"/>
  <c r="BK224" i="1"/>
  <c r="BW220" i="1"/>
  <c r="BQ213" i="1"/>
  <c r="BM207" i="1"/>
  <c r="BJ201" i="1"/>
  <c r="BL296" i="1"/>
  <c r="BK291" i="1"/>
  <c r="BM290" i="1"/>
  <c r="BP288" i="1"/>
  <c r="BH296" i="1"/>
  <c r="BU18" i="1"/>
  <c r="BJ272" i="1"/>
  <c r="BJ270" i="1"/>
  <c r="BT266" i="1"/>
  <c r="BH260" i="1"/>
  <c r="BL258" i="1"/>
  <c r="BQ249" i="1"/>
  <c r="BS239" i="1"/>
  <c r="BW238" i="1"/>
  <c r="BI227" i="1"/>
  <c r="BI211" i="1"/>
  <c r="BK295" i="1"/>
  <c r="BM294" i="1"/>
  <c r="BO293" i="1"/>
  <c r="BJ291" i="1"/>
  <c r="BL290" i="1"/>
  <c r="BT281" i="1"/>
  <c r="BP252" i="1"/>
  <c r="BJ18" i="1"/>
  <c r="BX271" i="1"/>
  <c r="BL270" i="1"/>
  <c r="BV262" i="1"/>
  <c r="BN239" i="1"/>
  <c r="BV235" i="1"/>
  <c r="BR157" i="1"/>
  <c r="BW297" i="1"/>
  <c r="BQ296" i="1"/>
  <c r="BJ295" i="1"/>
  <c r="BL294" i="1"/>
  <c r="BV293" i="1"/>
  <c r="BR281" i="1"/>
  <c r="BI292" i="1"/>
  <c r="BH265" i="1"/>
  <c r="BT263" i="1"/>
  <c r="BQ203" i="1"/>
  <c r="BR279" i="1"/>
  <c r="BV271" i="1"/>
  <c r="BJ268" i="1"/>
  <c r="BN266" i="1"/>
  <c r="BL251" i="1"/>
  <c r="BO242" i="1"/>
  <c r="BU219" i="1"/>
  <c r="BK210" i="1"/>
  <c r="BL198" i="1"/>
  <c r="BT182" i="1"/>
  <c r="BV297" i="1"/>
  <c r="BP296" i="1"/>
  <c r="BN295" i="1"/>
  <c r="BJ293" i="1"/>
  <c r="BN291" i="1"/>
  <c r="BP285" i="1"/>
  <c r="BH292" i="1"/>
  <c r="BJ263" i="1"/>
  <c r="BX257" i="1"/>
  <c r="BP150" i="1"/>
  <c r="BR283" i="1"/>
  <c r="BT275" i="1"/>
  <c r="BR274" i="1"/>
  <c r="BV250" i="1"/>
  <c r="BS248" i="1"/>
  <c r="BM245" i="1"/>
  <c r="BU231" i="1"/>
  <c r="BG220" i="1"/>
  <c r="BJ195" i="1"/>
  <c r="BN193" i="1"/>
  <c r="BL182" i="1"/>
  <c r="BR172" i="1"/>
  <c r="BJ297" i="1"/>
  <c r="BJ289" i="1"/>
  <c r="BN284" i="1"/>
  <c r="BI231" i="1"/>
  <c r="BR278" i="1"/>
  <c r="BW245" i="1"/>
  <c r="BU227" i="1"/>
  <c r="BN276" i="1"/>
  <c r="BP275" i="1"/>
  <c r="BP274" i="1"/>
  <c r="BT271" i="1"/>
  <c r="BJ256" i="1"/>
  <c r="BN254" i="1"/>
  <c r="BX253" i="1"/>
  <c r="BR252" i="1"/>
  <c r="BT250" i="1"/>
  <c r="BI245" i="1"/>
  <c r="BX233" i="1"/>
  <c r="BL180" i="1"/>
  <c r="BX166" i="1"/>
  <c r="BJ286" i="1"/>
  <c r="BL284" i="1"/>
  <c r="BN281" i="1"/>
  <c r="BL285" i="1"/>
  <c r="BT280" i="1"/>
  <c r="BT236" i="1"/>
  <c r="BW210" i="1"/>
  <c r="BV287" i="1"/>
  <c r="BV272" i="1"/>
  <c r="BT272" i="1"/>
  <c r="BR236" i="1"/>
  <c r="BI226" i="1"/>
  <c r="BQ226" i="1"/>
  <c r="BJ226" i="1"/>
  <c r="BR226" i="1"/>
  <c r="BL226" i="1"/>
  <c r="BT226" i="1"/>
  <c r="BM226" i="1"/>
  <c r="BU226" i="1"/>
  <c r="BN226" i="1"/>
  <c r="BO226" i="1"/>
  <c r="BP226" i="1"/>
  <c r="BS226" i="1"/>
  <c r="BV226" i="1"/>
  <c r="BH226" i="1"/>
  <c r="BX226" i="1"/>
  <c r="BG226" i="1"/>
  <c r="BK226" i="1"/>
  <c r="BW226" i="1"/>
  <c r="BQ223" i="1"/>
  <c r="BI154" i="1"/>
  <c r="BQ154" i="1"/>
  <c r="BJ154" i="1"/>
  <c r="BR154" i="1"/>
  <c r="BK154" i="1"/>
  <c r="BS154" i="1"/>
  <c r="BL154" i="1"/>
  <c r="BT154" i="1"/>
  <c r="BM154" i="1"/>
  <c r="BU154" i="1"/>
  <c r="BN154" i="1"/>
  <c r="BV154" i="1"/>
  <c r="BO154" i="1"/>
  <c r="BP154" i="1"/>
  <c r="BW154" i="1"/>
  <c r="BX154" i="1"/>
  <c r="BG154" i="1"/>
  <c r="BH154" i="1"/>
  <c r="BJ97" i="1"/>
  <c r="BR97" i="1"/>
  <c r="BK97" i="1"/>
  <c r="BS97" i="1"/>
  <c r="BL97" i="1"/>
  <c r="BT97" i="1"/>
  <c r="BN97" i="1"/>
  <c r="BV97" i="1"/>
  <c r="BH97" i="1"/>
  <c r="BP97" i="1"/>
  <c r="BX97" i="1"/>
  <c r="BI97" i="1"/>
  <c r="BQ97" i="1"/>
  <c r="BM97" i="1"/>
  <c r="BO97" i="1"/>
  <c r="BU97" i="1"/>
  <c r="BW97" i="1"/>
  <c r="BG97" i="1"/>
  <c r="BO289" i="1"/>
  <c r="BS202" i="1"/>
  <c r="BM32" i="1"/>
  <c r="BU32" i="1"/>
  <c r="BN32" i="1"/>
  <c r="BV32" i="1"/>
  <c r="BG32" i="1"/>
  <c r="BO32" i="1"/>
  <c r="BW32" i="1"/>
  <c r="BH32" i="1"/>
  <c r="BP32" i="1"/>
  <c r="BX32" i="1"/>
  <c r="BI32" i="1"/>
  <c r="BQ32" i="1"/>
  <c r="BJ32" i="1"/>
  <c r="BR32" i="1"/>
  <c r="BK32" i="1"/>
  <c r="BS32" i="1"/>
  <c r="BT32" i="1"/>
  <c r="BL32" i="1"/>
  <c r="BT282" i="1"/>
  <c r="BX279" i="1"/>
  <c r="BX278" i="1"/>
  <c r="BR264" i="1"/>
  <c r="BS212" i="1"/>
  <c r="BN204" i="1"/>
  <c r="BI204" i="1"/>
  <c r="BL204" i="1"/>
  <c r="BU204" i="1"/>
  <c r="BM204" i="1"/>
  <c r="BV204" i="1"/>
  <c r="BP204" i="1"/>
  <c r="BX204" i="1"/>
  <c r="BG204" i="1"/>
  <c r="BQ204" i="1"/>
  <c r="BH204" i="1"/>
  <c r="BJ204" i="1"/>
  <c r="BK204" i="1"/>
  <c r="BO204" i="1"/>
  <c r="BR204" i="1"/>
  <c r="BT204" i="1"/>
  <c r="BS204" i="1"/>
  <c r="BW204" i="1"/>
  <c r="BT273" i="1"/>
  <c r="BT259" i="1"/>
  <c r="BR259" i="1"/>
  <c r="BI178" i="1"/>
  <c r="BQ178" i="1"/>
  <c r="BJ178" i="1"/>
  <c r="BR178" i="1"/>
  <c r="BK178" i="1"/>
  <c r="BS178" i="1"/>
  <c r="BM178" i="1"/>
  <c r="BU178" i="1"/>
  <c r="BG178" i="1"/>
  <c r="BW178" i="1"/>
  <c r="BH178" i="1"/>
  <c r="BX178" i="1"/>
  <c r="BL178" i="1"/>
  <c r="BN178" i="1"/>
  <c r="BO178" i="1"/>
  <c r="BT178" i="1"/>
  <c r="BV178" i="1"/>
  <c r="BP178" i="1"/>
  <c r="BR273" i="1"/>
  <c r="BS228" i="1"/>
  <c r="BM217" i="1"/>
  <c r="BN143" i="1"/>
  <c r="BV143" i="1"/>
  <c r="BG143" i="1"/>
  <c r="BO143" i="1"/>
  <c r="BW143" i="1"/>
  <c r="BH143" i="1"/>
  <c r="BP143" i="1"/>
  <c r="BX143" i="1"/>
  <c r="BJ143" i="1"/>
  <c r="BR143" i="1"/>
  <c r="BL143" i="1"/>
  <c r="BT143" i="1"/>
  <c r="BI143" i="1"/>
  <c r="BK143" i="1"/>
  <c r="BM143" i="1"/>
  <c r="BQ143" i="1"/>
  <c r="BS143" i="1"/>
  <c r="BU143" i="1"/>
  <c r="BV280" i="1"/>
  <c r="BI277" i="1"/>
  <c r="BQ277" i="1"/>
  <c r="BK277" i="1"/>
  <c r="BS277" i="1"/>
  <c r="BM277" i="1"/>
  <c r="BU277" i="1"/>
  <c r="BG277" i="1"/>
  <c r="BO277" i="1"/>
  <c r="BW277" i="1"/>
  <c r="BR277" i="1"/>
  <c r="BT277" i="1"/>
  <c r="BV277" i="1"/>
  <c r="BJ277" i="1"/>
  <c r="BL277" i="1"/>
  <c r="BH277" i="1"/>
  <c r="BX277" i="1"/>
  <c r="BN277" i="1"/>
  <c r="BP277" i="1"/>
  <c r="BV273" i="1"/>
  <c r="BW230" i="1"/>
  <c r="BM208" i="1"/>
  <c r="BU208" i="1"/>
  <c r="BN208" i="1"/>
  <c r="BV208" i="1"/>
  <c r="BH208" i="1"/>
  <c r="BP208" i="1"/>
  <c r="BX208" i="1"/>
  <c r="BI208" i="1"/>
  <c r="BQ208" i="1"/>
  <c r="BR208" i="1"/>
  <c r="BS208" i="1"/>
  <c r="BT208" i="1"/>
  <c r="BG208" i="1"/>
  <c r="BW208" i="1"/>
  <c r="BJ208" i="1"/>
  <c r="BL208" i="1"/>
  <c r="BK208" i="1"/>
  <c r="BO208" i="1"/>
  <c r="BI158" i="1"/>
  <c r="BQ158" i="1"/>
  <c r="BJ158" i="1"/>
  <c r="BR158" i="1"/>
  <c r="BK158" i="1"/>
  <c r="BS158" i="1"/>
  <c r="BL158" i="1"/>
  <c r="BT158" i="1"/>
  <c r="BM158" i="1"/>
  <c r="BU158" i="1"/>
  <c r="BN158" i="1"/>
  <c r="BV158" i="1"/>
  <c r="BG158" i="1"/>
  <c r="BH158" i="1"/>
  <c r="BO158" i="1"/>
  <c r="BP158" i="1"/>
  <c r="BW158" i="1"/>
  <c r="BX158" i="1"/>
  <c r="BX287" i="1"/>
  <c r="BI269" i="1"/>
  <c r="BQ269" i="1"/>
  <c r="BJ269" i="1"/>
  <c r="BR269" i="1"/>
  <c r="BK269" i="1"/>
  <c r="BS269" i="1"/>
  <c r="BL269" i="1"/>
  <c r="BT269" i="1"/>
  <c r="BM269" i="1"/>
  <c r="BU269" i="1"/>
  <c r="BG269" i="1"/>
  <c r="BO269" i="1"/>
  <c r="BW269" i="1"/>
  <c r="BI261" i="1"/>
  <c r="BQ261" i="1"/>
  <c r="BJ261" i="1"/>
  <c r="BR261" i="1"/>
  <c r="BK261" i="1"/>
  <c r="BS261" i="1"/>
  <c r="BL261" i="1"/>
  <c r="BT261" i="1"/>
  <c r="BM261" i="1"/>
  <c r="BU261" i="1"/>
  <c r="BG261" i="1"/>
  <c r="BO261" i="1"/>
  <c r="BW261" i="1"/>
  <c r="BM244" i="1"/>
  <c r="BU244" i="1"/>
  <c r="BN244" i="1"/>
  <c r="BV244" i="1"/>
  <c r="BH244" i="1"/>
  <c r="BP244" i="1"/>
  <c r="BX244" i="1"/>
  <c r="BG244" i="1"/>
  <c r="BS244" i="1"/>
  <c r="BI244" i="1"/>
  <c r="BT244" i="1"/>
  <c r="BJ244" i="1"/>
  <c r="BW244" i="1"/>
  <c r="BK244" i="1"/>
  <c r="BL244" i="1"/>
  <c r="BQ244" i="1"/>
  <c r="BM240" i="1"/>
  <c r="BU240" i="1"/>
  <c r="BN240" i="1"/>
  <c r="BV240" i="1"/>
  <c r="BH240" i="1"/>
  <c r="BP240" i="1"/>
  <c r="BX240" i="1"/>
  <c r="BO240" i="1"/>
  <c r="BQ240" i="1"/>
  <c r="BR240" i="1"/>
  <c r="BG240" i="1"/>
  <c r="BS240" i="1"/>
  <c r="BI240" i="1"/>
  <c r="BT240" i="1"/>
  <c r="BK240" i="1"/>
  <c r="BI230" i="1"/>
  <c r="BQ230" i="1"/>
  <c r="BJ230" i="1"/>
  <c r="BR230" i="1"/>
  <c r="BL230" i="1"/>
  <c r="BT230" i="1"/>
  <c r="BO230" i="1"/>
  <c r="BP230" i="1"/>
  <c r="BS230" i="1"/>
  <c r="BG230" i="1"/>
  <c r="BU230" i="1"/>
  <c r="BH230" i="1"/>
  <c r="BV230" i="1"/>
  <c r="BM230" i="1"/>
  <c r="BX230" i="1"/>
  <c r="BK205" i="1"/>
  <c r="BS205" i="1"/>
  <c r="BL205" i="1"/>
  <c r="BT205" i="1"/>
  <c r="BN205" i="1"/>
  <c r="BV205" i="1"/>
  <c r="BG205" i="1"/>
  <c r="BO205" i="1"/>
  <c r="BW205" i="1"/>
  <c r="BH205" i="1"/>
  <c r="BX205" i="1"/>
  <c r="BI205" i="1"/>
  <c r="BJ205" i="1"/>
  <c r="BM205" i="1"/>
  <c r="BP205" i="1"/>
  <c r="BR205" i="1"/>
  <c r="BN200" i="1"/>
  <c r="BV200" i="1"/>
  <c r="BG200" i="1"/>
  <c r="BI200" i="1"/>
  <c r="BQ200" i="1"/>
  <c r="BJ200" i="1"/>
  <c r="BT200" i="1"/>
  <c r="BK200" i="1"/>
  <c r="BU200" i="1"/>
  <c r="BM200" i="1"/>
  <c r="BX200" i="1"/>
  <c r="BO200" i="1"/>
  <c r="BP200" i="1"/>
  <c r="BR200" i="1"/>
  <c r="BS200" i="1"/>
  <c r="BW200" i="1"/>
  <c r="BH200" i="1"/>
  <c r="BM196" i="1"/>
  <c r="BU196" i="1"/>
  <c r="BN196" i="1"/>
  <c r="BV196" i="1"/>
  <c r="BG196" i="1"/>
  <c r="BO196" i="1"/>
  <c r="BW196" i="1"/>
  <c r="BI196" i="1"/>
  <c r="BQ196" i="1"/>
  <c r="BS196" i="1"/>
  <c r="BT196" i="1"/>
  <c r="BJ196" i="1"/>
  <c r="BK196" i="1"/>
  <c r="BH196" i="1"/>
  <c r="BL196" i="1"/>
  <c r="BR196" i="1"/>
  <c r="BG191" i="1"/>
  <c r="BO191" i="1"/>
  <c r="BW191" i="1"/>
  <c r="BH191" i="1"/>
  <c r="BP191" i="1"/>
  <c r="BX191" i="1"/>
  <c r="BI191" i="1"/>
  <c r="BQ191" i="1"/>
  <c r="BK191" i="1"/>
  <c r="BS191" i="1"/>
  <c r="BM191" i="1"/>
  <c r="BN191" i="1"/>
  <c r="BT191" i="1"/>
  <c r="BU191" i="1"/>
  <c r="BV191" i="1"/>
  <c r="BL191" i="1"/>
  <c r="BK189" i="1"/>
  <c r="BS189" i="1"/>
  <c r="BL189" i="1"/>
  <c r="BT189" i="1"/>
  <c r="BM189" i="1"/>
  <c r="BU189" i="1"/>
  <c r="BG189" i="1"/>
  <c r="BO189" i="1"/>
  <c r="BW189" i="1"/>
  <c r="BQ189" i="1"/>
  <c r="BR189" i="1"/>
  <c r="BH189" i="1"/>
  <c r="BX189" i="1"/>
  <c r="BI189" i="1"/>
  <c r="BJ189" i="1"/>
  <c r="BP189" i="1"/>
  <c r="BK185" i="1"/>
  <c r="BS185" i="1"/>
  <c r="BL185" i="1"/>
  <c r="BT185" i="1"/>
  <c r="BM185" i="1"/>
  <c r="BU185" i="1"/>
  <c r="BG185" i="1"/>
  <c r="BO185" i="1"/>
  <c r="BW185" i="1"/>
  <c r="BI185" i="1"/>
  <c r="BJ185" i="1"/>
  <c r="BP185" i="1"/>
  <c r="BQ185" i="1"/>
  <c r="BH185" i="1"/>
  <c r="BN185" i="1"/>
  <c r="BR185" i="1"/>
  <c r="BX185" i="1"/>
  <c r="BM176" i="1"/>
  <c r="BU176" i="1"/>
  <c r="BN176" i="1"/>
  <c r="BV176" i="1"/>
  <c r="BG176" i="1"/>
  <c r="BO176" i="1"/>
  <c r="BW176" i="1"/>
  <c r="BI176" i="1"/>
  <c r="BQ176" i="1"/>
  <c r="BK176" i="1"/>
  <c r="BL176" i="1"/>
  <c r="BP176" i="1"/>
  <c r="BR176" i="1"/>
  <c r="BS176" i="1"/>
  <c r="BJ176" i="1"/>
  <c r="BT176" i="1"/>
  <c r="BX176" i="1"/>
  <c r="BM168" i="1"/>
  <c r="BU168" i="1"/>
  <c r="BN168" i="1"/>
  <c r="BV168" i="1"/>
  <c r="BG168" i="1"/>
  <c r="BO168" i="1"/>
  <c r="BW168" i="1"/>
  <c r="BH168" i="1"/>
  <c r="BP168" i="1"/>
  <c r="BX168" i="1"/>
  <c r="BI168" i="1"/>
  <c r="BQ168" i="1"/>
  <c r="BL168" i="1"/>
  <c r="BR168" i="1"/>
  <c r="BS168" i="1"/>
  <c r="BT168" i="1"/>
  <c r="BJ168" i="1"/>
  <c r="BK161" i="1"/>
  <c r="BS161" i="1"/>
  <c r="BL161" i="1"/>
  <c r="BT161" i="1"/>
  <c r="BM161" i="1"/>
  <c r="BU161" i="1"/>
  <c r="BN161" i="1"/>
  <c r="BV161" i="1"/>
  <c r="BG161" i="1"/>
  <c r="BO161" i="1"/>
  <c r="BW161" i="1"/>
  <c r="BJ161" i="1"/>
  <c r="BP161" i="1"/>
  <c r="BQ161" i="1"/>
  <c r="BR161" i="1"/>
  <c r="BX161" i="1"/>
  <c r="BH161" i="1"/>
  <c r="BI161" i="1"/>
  <c r="BG155" i="1"/>
  <c r="BO155" i="1"/>
  <c r="BW155" i="1"/>
  <c r="BH155" i="1"/>
  <c r="BP155" i="1"/>
  <c r="BX155" i="1"/>
  <c r="BI155" i="1"/>
  <c r="BQ155" i="1"/>
  <c r="BJ155" i="1"/>
  <c r="BR155" i="1"/>
  <c r="BK155" i="1"/>
  <c r="BS155" i="1"/>
  <c r="BL155" i="1"/>
  <c r="BT155" i="1"/>
  <c r="BM155" i="1"/>
  <c r="BU155" i="1"/>
  <c r="BN155" i="1"/>
  <c r="BN139" i="1"/>
  <c r="BV139" i="1"/>
  <c r="BG139" i="1"/>
  <c r="BO139" i="1"/>
  <c r="BW139" i="1"/>
  <c r="BH139" i="1"/>
  <c r="BP139" i="1"/>
  <c r="BX139" i="1"/>
  <c r="BJ139" i="1"/>
  <c r="BR139" i="1"/>
  <c r="BL139" i="1"/>
  <c r="BT139" i="1"/>
  <c r="BM139" i="1"/>
  <c r="BQ139" i="1"/>
  <c r="BS139" i="1"/>
  <c r="BU139" i="1"/>
  <c r="BI139" i="1"/>
  <c r="BK139" i="1"/>
  <c r="BN131" i="1"/>
  <c r="BV131" i="1"/>
  <c r="BG131" i="1"/>
  <c r="BO131" i="1"/>
  <c r="BW131" i="1"/>
  <c r="BH131" i="1"/>
  <c r="BP131" i="1"/>
  <c r="BX131" i="1"/>
  <c r="BJ131" i="1"/>
  <c r="BR131" i="1"/>
  <c r="BL131" i="1"/>
  <c r="BT131" i="1"/>
  <c r="BI131" i="1"/>
  <c r="BK131" i="1"/>
  <c r="BM131" i="1"/>
  <c r="BQ131" i="1"/>
  <c r="BS131" i="1"/>
  <c r="BU131" i="1"/>
  <c r="BL124" i="1"/>
  <c r="BT124" i="1"/>
  <c r="BM124" i="1"/>
  <c r="BU124" i="1"/>
  <c r="BN124" i="1"/>
  <c r="BV124" i="1"/>
  <c r="BH124" i="1"/>
  <c r="BP124" i="1"/>
  <c r="BX124" i="1"/>
  <c r="BJ124" i="1"/>
  <c r="BR124" i="1"/>
  <c r="BG124" i="1"/>
  <c r="BI124" i="1"/>
  <c r="BK124" i="1"/>
  <c r="BO124" i="1"/>
  <c r="BQ124" i="1"/>
  <c r="BS124" i="1"/>
  <c r="BW124" i="1"/>
  <c r="BH122" i="1"/>
  <c r="BP122" i="1"/>
  <c r="BX122" i="1"/>
  <c r="BI122" i="1"/>
  <c r="BQ122" i="1"/>
  <c r="BJ122" i="1"/>
  <c r="BR122" i="1"/>
  <c r="BL122" i="1"/>
  <c r="BT122" i="1"/>
  <c r="BN122" i="1"/>
  <c r="BV122" i="1"/>
  <c r="BU122" i="1"/>
  <c r="BW122" i="1"/>
  <c r="BG122" i="1"/>
  <c r="BK122" i="1"/>
  <c r="BM122" i="1"/>
  <c r="BO122" i="1"/>
  <c r="BS122" i="1"/>
  <c r="BL120" i="1"/>
  <c r="BT120" i="1"/>
  <c r="BM120" i="1"/>
  <c r="BU120" i="1"/>
  <c r="BN120" i="1"/>
  <c r="BV120" i="1"/>
  <c r="BH120" i="1"/>
  <c r="BP120" i="1"/>
  <c r="BX120" i="1"/>
  <c r="BJ120" i="1"/>
  <c r="BR120" i="1"/>
  <c r="BO120" i="1"/>
  <c r="BQ120" i="1"/>
  <c r="BS120" i="1"/>
  <c r="BW120" i="1"/>
  <c r="BG120" i="1"/>
  <c r="BI120" i="1"/>
  <c r="BK120" i="1"/>
  <c r="BN115" i="1"/>
  <c r="BV115" i="1"/>
  <c r="BG115" i="1"/>
  <c r="BO115" i="1"/>
  <c r="BW115" i="1"/>
  <c r="BH115" i="1"/>
  <c r="BP115" i="1"/>
  <c r="BX115" i="1"/>
  <c r="BJ115" i="1"/>
  <c r="BR115" i="1"/>
  <c r="BL115" i="1"/>
  <c r="BT115" i="1"/>
  <c r="BM115" i="1"/>
  <c r="BU115" i="1"/>
  <c r="BI115" i="1"/>
  <c r="BK115" i="1"/>
  <c r="BQ115" i="1"/>
  <c r="BS115" i="1"/>
  <c r="BN107" i="1"/>
  <c r="BV107" i="1"/>
  <c r="BG107" i="1"/>
  <c r="BO107" i="1"/>
  <c r="BW107" i="1"/>
  <c r="BH107" i="1"/>
  <c r="BP107" i="1"/>
  <c r="BX107" i="1"/>
  <c r="BJ107" i="1"/>
  <c r="BR107" i="1"/>
  <c r="BL107" i="1"/>
  <c r="BT107" i="1"/>
  <c r="BM107" i="1"/>
  <c r="BU107" i="1"/>
  <c r="BI107" i="1"/>
  <c r="BK107" i="1"/>
  <c r="BQ107" i="1"/>
  <c r="BJ85" i="1"/>
  <c r="BR85" i="1"/>
  <c r="BK85" i="1"/>
  <c r="BS85" i="1"/>
  <c r="BL85" i="1"/>
  <c r="BT85" i="1"/>
  <c r="BM85" i="1"/>
  <c r="BU85" i="1"/>
  <c r="BN85" i="1"/>
  <c r="BV85" i="1"/>
  <c r="BH85" i="1"/>
  <c r="BP85" i="1"/>
  <c r="BX85" i="1"/>
  <c r="BG85" i="1"/>
  <c r="BI85" i="1"/>
  <c r="BO85" i="1"/>
  <c r="BW85" i="1"/>
  <c r="BQ85" i="1"/>
  <c r="BN83" i="1"/>
  <c r="BV83" i="1"/>
  <c r="BG83" i="1"/>
  <c r="BO83" i="1"/>
  <c r="BW83" i="1"/>
  <c r="BH83" i="1"/>
  <c r="BP83" i="1"/>
  <c r="BX83" i="1"/>
  <c r="BI83" i="1"/>
  <c r="BQ83" i="1"/>
  <c r="BJ83" i="1"/>
  <c r="BR83" i="1"/>
  <c r="BL83" i="1"/>
  <c r="BT83" i="1"/>
  <c r="BK83" i="1"/>
  <c r="BM83" i="1"/>
  <c r="BS83" i="1"/>
  <c r="BU83" i="1"/>
  <c r="BN75" i="1"/>
  <c r="BV75" i="1"/>
  <c r="BG75" i="1"/>
  <c r="BO75" i="1"/>
  <c r="BW75" i="1"/>
  <c r="BH75" i="1"/>
  <c r="BP75" i="1"/>
  <c r="BX75" i="1"/>
  <c r="BI75" i="1"/>
  <c r="BQ75" i="1"/>
  <c r="BJ75" i="1"/>
  <c r="BR75" i="1"/>
  <c r="BL75" i="1"/>
  <c r="BT75" i="1"/>
  <c r="BS75" i="1"/>
  <c r="BU75" i="1"/>
  <c r="BK75" i="1"/>
  <c r="BM75" i="1"/>
  <c r="BL68" i="1"/>
  <c r="BT68" i="1"/>
  <c r="BM68" i="1"/>
  <c r="BU68" i="1"/>
  <c r="BN68" i="1"/>
  <c r="BV68" i="1"/>
  <c r="BG68" i="1"/>
  <c r="BO68" i="1"/>
  <c r="BW68" i="1"/>
  <c r="BH68" i="1"/>
  <c r="BP68" i="1"/>
  <c r="BX68" i="1"/>
  <c r="BJ68" i="1"/>
  <c r="BR68" i="1"/>
  <c r="BQ68" i="1"/>
  <c r="BS68" i="1"/>
  <c r="BI68" i="1"/>
  <c r="BK68" i="1"/>
  <c r="BL64" i="1"/>
  <c r="BT64" i="1"/>
  <c r="BM64" i="1"/>
  <c r="BU64" i="1"/>
  <c r="BN64" i="1"/>
  <c r="BV64" i="1"/>
  <c r="BG64" i="1"/>
  <c r="BO64" i="1"/>
  <c r="BW64" i="1"/>
  <c r="BH64" i="1"/>
  <c r="BP64" i="1"/>
  <c r="BX64" i="1"/>
  <c r="BJ64" i="1"/>
  <c r="BR64" i="1"/>
  <c r="BI64" i="1"/>
  <c r="BQ64" i="1"/>
  <c r="BS64" i="1"/>
  <c r="BK64" i="1"/>
  <c r="BH62" i="1"/>
  <c r="BP62" i="1"/>
  <c r="BX62" i="1"/>
  <c r="BI62" i="1"/>
  <c r="BQ62" i="1"/>
  <c r="BJ62" i="1"/>
  <c r="BR62" i="1"/>
  <c r="BK62" i="1"/>
  <c r="BS62" i="1"/>
  <c r="BL62" i="1"/>
  <c r="BT62" i="1"/>
  <c r="BN62" i="1"/>
  <c r="BV62" i="1"/>
  <c r="BG62" i="1"/>
  <c r="BM62" i="1"/>
  <c r="BU62" i="1"/>
  <c r="BW62" i="1"/>
  <c r="BO62" i="1"/>
  <c r="BI54" i="1"/>
  <c r="BQ54" i="1"/>
  <c r="BK54" i="1"/>
  <c r="BS54" i="1"/>
  <c r="BM54" i="1"/>
  <c r="BU54" i="1"/>
  <c r="BN54" i="1"/>
  <c r="BV54" i="1"/>
  <c r="BG54" i="1"/>
  <c r="BO54" i="1"/>
  <c r="BW54" i="1"/>
  <c r="BL54" i="1"/>
  <c r="BP54" i="1"/>
  <c r="BR54" i="1"/>
  <c r="BT54" i="1"/>
  <c r="BX54" i="1"/>
  <c r="BH54" i="1"/>
  <c r="BJ54" i="1"/>
  <c r="BM48" i="1"/>
  <c r="BU48" i="1"/>
  <c r="BN48" i="1"/>
  <c r="BV48" i="1"/>
  <c r="BG48" i="1"/>
  <c r="BO48" i="1"/>
  <c r="BW48" i="1"/>
  <c r="BH48" i="1"/>
  <c r="BP48" i="1"/>
  <c r="BX48" i="1"/>
  <c r="BI48" i="1"/>
  <c r="BQ48" i="1"/>
  <c r="BJ48" i="1"/>
  <c r="BR48" i="1"/>
  <c r="BK48" i="1"/>
  <c r="BS48" i="1"/>
  <c r="BL48" i="1"/>
  <c r="BT48" i="1"/>
  <c r="BK25" i="1"/>
  <c r="BS25" i="1"/>
  <c r="BL25" i="1"/>
  <c r="BT25" i="1"/>
  <c r="BM25" i="1"/>
  <c r="BU25" i="1"/>
  <c r="BN25" i="1"/>
  <c r="BV25" i="1"/>
  <c r="BG25" i="1"/>
  <c r="BO25" i="1"/>
  <c r="BW25" i="1"/>
  <c r="BH25" i="1"/>
  <c r="BP25" i="1"/>
  <c r="BX25" i="1"/>
  <c r="BI25" i="1"/>
  <c r="BQ25" i="1"/>
  <c r="BR25" i="1"/>
  <c r="BJ25" i="1"/>
  <c r="BM287" i="1"/>
  <c r="BU287" i="1"/>
  <c r="BG287" i="1"/>
  <c r="BO287" i="1"/>
  <c r="BW287" i="1"/>
  <c r="BI287" i="1"/>
  <c r="BQ287" i="1"/>
  <c r="BK287" i="1"/>
  <c r="BS287" i="1"/>
  <c r="BK284" i="1"/>
  <c r="BS284" i="1"/>
  <c r="BM284" i="1"/>
  <c r="BU284" i="1"/>
  <c r="BG284" i="1"/>
  <c r="BO284" i="1"/>
  <c r="BW284" i="1"/>
  <c r="BI284" i="1"/>
  <c r="BQ284" i="1"/>
  <c r="BM18" i="1"/>
  <c r="BW18" i="1"/>
  <c r="BO18" i="1"/>
  <c r="BQ297" i="1"/>
  <c r="BI297" i="1"/>
  <c r="BS296" i="1"/>
  <c r="BK296" i="1"/>
  <c r="BU295" i="1"/>
  <c r="BM295" i="1"/>
  <c r="BW294" i="1"/>
  <c r="BO294" i="1"/>
  <c r="BG294" i="1"/>
  <c r="BQ293" i="1"/>
  <c r="BI293" i="1"/>
  <c r="BS292" i="1"/>
  <c r="BK292" i="1"/>
  <c r="BU291" i="1"/>
  <c r="BM291" i="1"/>
  <c r="BW290" i="1"/>
  <c r="BO290" i="1"/>
  <c r="BG290" i="1"/>
  <c r="BQ289" i="1"/>
  <c r="BX288" i="1"/>
  <c r="BJ288" i="1"/>
  <c r="BL287" i="1"/>
  <c r="BN286" i="1"/>
  <c r="BR284" i="1"/>
  <c r="BT283" i="1"/>
  <c r="BV282" i="1"/>
  <c r="BX281" i="1"/>
  <c r="BH281" i="1"/>
  <c r="BJ280" i="1"/>
  <c r="BL279" i="1"/>
  <c r="BN278" i="1"/>
  <c r="BR276" i="1"/>
  <c r="BV274" i="1"/>
  <c r="BX273" i="1"/>
  <c r="BH273" i="1"/>
  <c r="BL271" i="1"/>
  <c r="BN270" i="1"/>
  <c r="BH269" i="1"/>
  <c r="BX261" i="1"/>
  <c r="BJ260" i="1"/>
  <c r="BN258" i="1"/>
  <c r="BR256" i="1"/>
  <c r="BV254" i="1"/>
  <c r="BH253" i="1"/>
  <c r="BW248" i="1"/>
  <c r="BL240" i="1"/>
  <c r="BP237" i="1"/>
  <c r="BS234" i="1"/>
  <c r="BW228" i="1"/>
  <c r="BM225" i="1"/>
  <c r="BU221" i="1"/>
  <c r="BK218" i="1"/>
  <c r="BS214" i="1"/>
  <c r="BQ207" i="1"/>
  <c r="BV203" i="1"/>
  <c r="BT198" i="1"/>
  <c r="BR191" i="1"/>
  <c r="BP184" i="1"/>
  <c r="BH176" i="1"/>
  <c r="BK173" i="1"/>
  <c r="BS173" i="1"/>
  <c r="BL173" i="1"/>
  <c r="BT173" i="1"/>
  <c r="BM173" i="1"/>
  <c r="BU173" i="1"/>
  <c r="BG173" i="1"/>
  <c r="BO173" i="1"/>
  <c r="BW173" i="1"/>
  <c r="BQ173" i="1"/>
  <c r="BR173" i="1"/>
  <c r="BV173" i="1"/>
  <c r="BH173" i="1"/>
  <c r="BX173" i="1"/>
  <c r="BI173" i="1"/>
  <c r="BN173" i="1"/>
  <c r="BJ173" i="1"/>
  <c r="BP173" i="1"/>
  <c r="BL148" i="1"/>
  <c r="BT148" i="1"/>
  <c r="BM148" i="1"/>
  <c r="BN148" i="1"/>
  <c r="BH148" i="1"/>
  <c r="BP148" i="1"/>
  <c r="BJ148" i="1"/>
  <c r="BR148" i="1"/>
  <c r="BU148" i="1"/>
  <c r="BV148" i="1"/>
  <c r="BG148" i="1"/>
  <c r="BW148" i="1"/>
  <c r="BI148" i="1"/>
  <c r="BX148" i="1"/>
  <c r="BK148" i="1"/>
  <c r="BO148" i="1"/>
  <c r="BQ148" i="1"/>
  <c r="BJ133" i="1"/>
  <c r="BR133" i="1"/>
  <c r="BK133" i="1"/>
  <c r="BS133" i="1"/>
  <c r="BL133" i="1"/>
  <c r="BT133" i="1"/>
  <c r="BN133" i="1"/>
  <c r="BV133" i="1"/>
  <c r="BH133" i="1"/>
  <c r="BP133" i="1"/>
  <c r="BX133" i="1"/>
  <c r="BO133" i="1"/>
  <c r="BQ133" i="1"/>
  <c r="BU133" i="1"/>
  <c r="BW133" i="1"/>
  <c r="BG133" i="1"/>
  <c r="BI133" i="1"/>
  <c r="BM133" i="1"/>
  <c r="BJ117" i="1"/>
  <c r="BR117" i="1"/>
  <c r="BK117" i="1"/>
  <c r="BS117" i="1"/>
  <c r="BL117" i="1"/>
  <c r="BT117" i="1"/>
  <c r="BN117" i="1"/>
  <c r="BV117" i="1"/>
  <c r="BH117" i="1"/>
  <c r="BP117" i="1"/>
  <c r="BX117" i="1"/>
  <c r="BG117" i="1"/>
  <c r="BI117" i="1"/>
  <c r="BM117" i="1"/>
  <c r="BO117" i="1"/>
  <c r="BQ117" i="1"/>
  <c r="BU117" i="1"/>
  <c r="BW117" i="1"/>
  <c r="BJ109" i="1"/>
  <c r="BR109" i="1"/>
  <c r="BK109" i="1"/>
  <c r="BS109" i="1"/>
  <c r="BL109" i="1"/>
  <c r="BT109" i="1"/>
  <c r="BN109" i="1"/>
  <c r="BV109" i="1"/>
  <c r="BH109" i="1"/>
  <c r="BP109" i="1"/>
  <c r="BX109" i="1"/>
  <c r="BI109" i="1"/>
  <c r="BQ109" i="1"/>
  <c r="BU109" i="1"/>
  <c r="BW109" i="1"/>
  <c r="BG109" i="1"/>
  <c r="BM109" i="1"/>
  <c r="BO109" i="1"/>
  <c r="BG43" i="1"/>
  <c r="BO43" i="1"/>
  <c r="BW43" i="1"/>
  <c r="BH43" i="1"/>
  <c r="BP43" i="1"/>
  <c r="BX43" i="1"/>
  <c r="BI43" i="1"/>
  <c r="BQ43" i="1"/>
  <c r="BJ43" i="1"/>
  <c r="BR43" i="1"/>
  <c r="BK43" i="1"/>
  <c r="BS43" i="1"/>
  <c r="BL43" i="1"/>
  <c r="BT43" i="1"/>
  <c r="BM43" i="1"/>
  <c r="BU43" i="1"/>
  <c r="BN43" i="1"/>
  <c r="BV43" i="1"/>
  <c r="BI22" i="1"/>
  <c r="BQ22" i="1"/>
  <c r="BJ22" i="1"/>
  <c r="BR22" i="1"/>
  <c r="BK22" i="1"/>
  <c r="BS22" i="1"/>
  <c r="BL22" i="1"/>
  <c r="BT22" i="1"/>
  <c r="BM22" i="1"/>
  <c r="BU22" i="1"/>
  <c r="BN22" i="1"/>
  <c r="BV22" i="1"/>
  <c r="BG22" i="1"/>
  <c r="BO22" i="1"/>
  <c r="BW22" i="1"/>
  <c r="BX22" i="1"/>
  <c r="BH22" i="1"/>
  <c r="BP22" i="1"/>
  <c r="BO297" i="1"/>
  <c r="BS295" i="1"/>
  <c r="BW293" i="1"/>
  <c r="BQ292" i="1"/>
  <c r="BU290" i="1"/>
  <c r="BM275" i="1"/>
  <c r="BU275" i="1"/>
  <c r="BG275" i="1"/>
  <c r="BO275" i="1"/>
  <c r="BW275" i="1"/>
  <c r="BI275" i="1"/>
  <c r="BQ275" i="1"/>
  <c r="BK275" i="1"/>
  <c r="BS275" i="1"/>
  <c r="BK272" i="1"/>
  <c r="BS272" i="1"/>
  <c r="BM272" i="1"/>
  <c r="BU272" i="1"/>
  <c r="BG272" i="1"/>
  <c r="BO272" i="1"/>
  <c r="BW272" i="1"/>
  <c r="BI272" i="1"/>
  <c r="BQ272" i="1"/>
  <c r="BM267" i="1"/>
  <c r="BU267" i="1"/>
  <c r="BN267" i="1"/>
  <c r="BV267" i="1"/>
  <c r="BG267" i="1"/>
  <c r="BO267" i="1"/>
  <c r="BW267" i="1"/>
  <c r="BH267" i="1"/>
  <c r="BP267" i="1"/>
  <c r="BX267" i="1"/>
  <c r="BI267" i="1"/>
  <c r="BQ267" i="1"/>
  <c r="BK267" i="1"/>
  <c r="BS267" i="1"/>
  <c r="BI265" i="1"/>
  <c r="BQ265" i="1"/>
  <c r="BJ265" i="1"/>
  <c r="BR265" i="1"/>
  <c r="BK265" i="1"/>
  <c r="BS265" i="1"/>
  <c r="BL265" i="1"/>
  <c r="BT265" i="1"/>
  <c r="BM265" i="1"/>
  <c r="BU265" i="1"/>
  <c r="BG265" i="1"/>
  <c r="BO265" i="1"/>
  <c r="BW265" i="1"/>
  <c r="BM263" i="1"/>
  <c r="BU263" i="1"/>
  <c r="BN263" i="1"/>
  <c r="BV263" i="1"/>
  <c r="BG263" i="1"/>
  <c r="BO263" i="1"/>
  <c r="BW263" i="1"/>
  <c r="BH263" i="1"/>
  <c r="BP263" i="1"/>
  <c r="BX263" i="1"/>
  <c r="BI263" i="1"/>
  <c r="BQ263" i="1"/>
  <c r="BK263" i="1"/>
  <c r="BS263" i="1"/>
  <c r="BM259" i="1"/>
  <c r="BU259" i="1"/>
  <c r="BN259" i="1"/>
  <c r="BV259" i="1"/>
  <c r="BG259" i="1"/>
  <c r="BO259" i="1"/>
  <c r="BW259" i="1"/>
  <c r="BH259" i="1"/>
  <c r="BP259" i="1"/>
  <c r="BX259" i="1"/>
  <c r="BI259" i="1"/>
  <c r="BQ259" i="1"/>
  <c r="BK259" i="1"/>
  <c r="BS259" i="1"/>
  <c r="BI257" i="1"/>
  <c r="BQ257" i="1"/>
  <c r="BJ257" i="1"/>
  <c r="BR257" i="1"/>
  <c r="BK257" i="1"/>
  <c r="BS257" i="1"/>
  <c r="BL257" i="1"/>
  <c r="BT257" i="1"/>
  <c r="BM257" i="1"/>
  <c r="BU257" i="1"/>
  <c r="BG257" i="1"/>
  <c r="BO257" i="1"/>
  <c r="BW257" i="1"/>
  <c r="BM251" i="1"/>
  <c r="BU251" i="1"/>
  <c r="BN251" i="1"/>
  <c r="BV251" i="1"/>
  <c r="BG251" i="1"/>
  <c r="BO251" i="1"/>
  <c r="BW251" i="1"/>
  <c r="BH251" i="1"/>
  <c r="BP251" i="1"/>
  <c r="BX251" i="1"/>
  <c r="BI251" i="1"/>
  <c r="BQ251" i="1"/>
  <c r="BK251" i="1"/>
  <c r="BS251" i="1"/>
  <c r="BI246" i="1"/>
  <c r="BQ246" i="1"/>
  <c r="BJ246" i="1"/>
  <c r="BR246" i="1"/>
  <c r="BL246" i="1"/>
  <c r="BT246" i="1"/>
  <c r="BH246" i="1"/>
  <c r="BV246" i="1"/>
  <c r="BK246" i="1"/>
  <c r="BW246" i="1"/>
  <c r="BM246" i="1"/>
  <c r="BX246" i="1"/>
  <c r="BN246" i="1"/>
  <c r="BO246" i="1"/>
  <c r="BS246" i="1"/>
  <c r="BI242" i="1"/>
  <c r="BQ242" i="1"/>
  <c r="BJ242" i="1"/>
  <c r="BR242" i="1"/>
  <c r="BL242" i="1"/>
  <c r="BT242" i="1"/>
  <c r="BP242" i="1"/>
  <c r="BS242" i="1"/>
  <c r="BG242" i="1"/>
  <c r="BU242" i="1"/>
  <c r="BH242" i="1"/>
  <c r="BV242" i="1"/>
  <c r="BK242" i="1"/>
  <c r="BW242" i="1"/>
  <c r="BN242" i="1"/>
  <c r="BM232" i="1"/>
  <c r="BU232" i="1"/>
  <c r="BN232" i="1"/>
  <c r="BV232" i="1"/>
  <c r="BH232" i="1"/>
  <c r="BP232" i="1"/>
  <c r="BX232" i="1"/>
  <c r="BR232" i="1"/>
  <c r="BG232" i="1"/>
  <c r="BS232" i="1"/>
  <c r="BI232" i="1"/>
  <c r="BT232" i="1"/>
  <c r="BJ232" i="1"/>
  <c r="BW232" i="1"/>
  <c r="BK232" i="1"/>
  <c r="BO232" i="1"/>
  <c r="BG231" i="1"/>
  <c r="BO231" i="1"/>
  <c r="BW231" i="1"/>
  <c r="BH231" i="1"/>
  <c r="BP231" i="1"/>
  <c r="BX231" i="1"/>
  <c r="BJ231" i="1"/>
  <c r="BR231" i="1"/>
  <c r="BK231" i="1"/>
  <c r="BV231" i="1"/>
  <c r="BL231" i="1"/>
  <c r="BM231" i="1"/>
  <c r="BN231" i="1"/>
  <c r="BQ231" i="1"/>
  <c r="BT231" i="1"/>
  <c r="BK209" i="1"/>
  <c r="BS209" i="1"/>
  <c r="BL209" i="1"/>
  <c r="BT209" i="1"/>
  <c r="BN209" i="1"/>
  <c r="BV209" i="1"/>
  <c r="BG209" i="1"/>
  <c r="BO209" i="1"/>
  <c r="BW209" i="1"/>
  <c r="BP209" i="1"/>
  <c r="BQ209" i="1"/>
  <c r="BR209" i="1"/>
  <c r="BU209" i="1"/>
  <c r="BH209" i="1"/>
  <c r="BX209" i="1"/>
  <c r="BJ209" i="1"/>
  <c r="BK197" i="1"/>
  <c r="BS197" i="1"/>
  <c r="BL197" i="1"/>
  <c r="BT197" i="1"/>
  <c r="BM197" i="1"/>
  <c r="BU197" i="1"/>
  <c r="BG197" i="1"/>
  <c r="BO197" i="1"/>
  <c r="BW197" i="1"/>
  <c r="BQ197" i="1"/>
  <c r="BR197" i="1"/>
  <c r="BH197" i="1"/>
  <c r="BX197" i="1"/>
  <c r="BI197" i="1"/>
  <c r="BJ197" i="1"/>
  <c r="BN197" i="1"/>
  <c r="BP197" i="1"/>
  <c r="BV197" i="1"/>
  <c r="BG187" i="1"/>
  <c r="BO187" i="1"/>
  <c r="BW187" i="1"/>
  <c r="BH187" i="1"/>
  <c r="BP187" i="1"/>
  <c r="BX187" i="1"/>
  <c r="BI187" i="1"/>
  <c r="BQ187" i="1"/>
  <c r="BK187" i="1"/>
  <c r="BS187" i="1"/>
  <c r="BU187" i="1"/>
  <c r="BV187" i="1"/>
  <c r="BL187" i="1"/>
  <c r="BM187" i="1"/>
  <c r="BJ187" i="1"/>
  <c r="BN187" i="1"/>
  <c r="BT187" i="1"/>
  <c r="BG183" i="1"/>
  <c r="BO183" i="1"/>
  <c r="BW183" i="1"/>
  <c r="BH183" i="1"/>
  <c r="BP183" i="1"/>
  <c r="BX183" i="1"/>
  <c r="BI183" i="1"/>
  <c r="BQ183" i="1"/>
  <c r="BK183" i="1"/>
  <c r="BS183" i="1"/>
  <c r="BM183" i="1"/>
  <c r="BN183" i="1"/>
  <c r="BT183" i="1"/>
  <c r="BU183" i="1"/>
  <c r="BJ183" i="1"/>
  <c r="BL183" i="1"/>
  <c r="BR183" i="1"/>
  <c r="BV183" i="1"/>
  <c r="BM172" i="1"/>
  <c r="BU172" i="1"/>
  <c r="BN172" i="1"/>
  <c r="BV172" i="1"/>
  <c r="BG172" i="1"/>
  <c r="BO172" i="1"/>
  <c r="BW172" i="1"/>
  <c r="BI172" i="1"/>
  <c r="BQ172" i="1"/>
  <c r="BS172" i="1"/>
  <c r="BT172" i="1"/>
  <c r="BH172" i="1"/>
  <c r="BX172" i="1"/>
  <c r="BJ172" i="1"/>
  <c r="BK172" i="1"/>
  <c r="BP172" i="1"/>
  <c r="BL172" i="1"/>
  <c r="BI162" i="1"/>
  <c r="BQ162" i="1"/>
  <c r="BJ162" i="1"/>
  <c r="BR162" i="1"/>
  <c r="BK162" i="1"/>
  <c r="BS162" i="1"/>
  <c r="BL162" i="1"/>
  <c r="BT162" i="1"/>
  <c r="BM162" i="1"/>
  <c r="BU162" i="1"/>
  <c r="BO162" i="1"/>
  <c r="BP162" i="1"/>
  <c r="BV162" i="1"/>
  <c r="BW162" i="1"/>
  <c r="BX162" i="1"/>
  <c r="BH162" i="1"/>
  <c r="BG162" i="1"/>
  <c r="BG159" i="1"/>
  <c r="BO159" i="1"/>
  <c r="BW159" i="1"/>
  <c r="BH159" i="1"/>
  <c r="BP159" i="1"/>
  <c r="BX159" i="1"/>
  <c r="BI159" i="1"/>
  <c r="BQ159" i="1"/>
  <c r="BJ159" i="1"/>
  <c r="BR159" i="1"/>
  <c r="BK159" i="1"/>
  <c r="BS159" i="1"/>
  <c r="BL159" i="1"/>
  <c r="BT159" i="1"/>
  <c r="BU159" i="1"/>
  <c r="BV159" i="1"/>
  <c r="BM159" i="1"/>
  <c r="BN159" i="1"/>
  <c r="BH146" i="1"/>
  <c r="BP146" i="1"/>
  <c r="BX146" i="1"/>
  <c r="BI146" i="1"/>
  <c r="BQ146" i="1"/>
  <c r="BJ146" i="1"/>
  <c r="BR146" i="1"/>
  <c r="BL146" i="1"/>
  <c r="BT146" i="1"/>
  <c r="BN146" i="1"/>
  <c r="BV146" i="1"/>
  <c r="BO146" i="1"/>
  <c r="BS146" i="1"/>
  <c r="BU146" i="1"/>
  <c r="BW146" i="1"/>
  <c r="BG146" i="1"/>
  <c r="BK146" i="1"/>
  <c r="BM146" i="1"/>
  <c r="BL136" i="1"/>
  <c r="BT136" i="1"/>
  <c r="BM136" i="1"/>
  <c r="BU136" i="1"/>
  <c r="BN136" i="1"/>
  <c r="BV136" i="1"/>
  <c r="BH136" i="1"/>
  <c r="BP136" i="1"/>
  <c r="BX136" i="1"/>
  <c r="BJ136" i="1"/>
  <c r="BR136" i="1"/>
  <c r="BG136" i="1"/>
  <c r="BI136" i="1"/>
  <c r="BK136" i="1"/>
  <c r="BO136" i="1"/>
  <c r="BQ136" i="1"/>
  <c r="BS136" i="1"/>
  <c r="BW136" i="1"/>
  <c r="BL128" i="1"/>
  <c r="BT128" i="1"/>
  <c r="BM128" i="1"/>
  <c r="BU128" i="1"/>
  <c r="BN128" i="1"/>
  <c r="BV128" i="1"/>
  <c r="BH128" i="1"/>
  <c r="BP128" i="1"/>
  <c r="BX128" i="1"/>
  <c r="BJ128" i="1"/>
  <c r="BR128" i="1"/>
  <c r="BS128" i="1"/>
  <c r="BW128" i="1"/>
  <c r="BG128" i="1"/>
  <c r="BI128" i="1"/>
  <c r="BK128" i="1"/>
  <c r="BO128" i="1"/>
  <c r="BQ128" i="1"/>
  <c r="BH126" i="1"/>
  <c r="BP126" i="1"/>
  <c r="BX126" i="1"/>
  <c r="BI126" i="1"/>
  <c r="BQ126" i="1"/>
  <c r="BJ126" i="1"/>
  <c r="BR126" i="1"/>
  <c r="BL126" i="1"/>
  <c r="BT126" i="1"/>
  <c r="BN126" i="1"/>
  <c r="BV126" i="1"/>
  <c r="BM126" i="1"/>
  <c r="BO126" i="1"/>
  <c r="BS126" i="1"/>
  <c r="BU126" i="1"/>
  <c r="BW126" i="1"/>
  <c r="BG126" i="1"/>
  <c r="BK126" i="1"/>
  <c r="BL112" i="1"/>
  <c r="BT112" i="1"/>
  <c r="BM112" i="1"/>
  <c r="BU112" i="1"/>
  <c r="BN112" i="1"/>
  <c r="BV112" i="1"/>
  <c r="BH112" i="1"/>
  <c r="BP112" i="1"/>
  <c r="BX112" i="1"/>
  <c r="BJ112" i="1"/>
  <c r="BR112" i="1"/>
  <c r="BK112" i="1"/>
  <c r="BS112" i="1"/>
  <c r="BG112" i="1"/>
  <c r="BI112" i="1"/>
  <c r="BO112" i="1"/>
  <c r="BQ112" i="1"/>
  <c r="BW112" i="1"/>
  <c r="BL100" i="1"/>
  <c r="BT100" i="1"/>
  <c r="BM100" i="1"/>
  <c r="BU100" i="1"/>
  <c r="BN100" i="1"/>
  <c r="BV100" i="1"/>
  <c r="BH100" i="1"/>
  <c r="BP100" i="1"/>
  <c r="BX100" i="1"/>
  <c r="BJ100" i="1"/>
  <c r="BR100" i="1"/>
  <c r="BK100" i="1"/>
  <c r="BS100" i="1"/>
  <c r="BW100" i="1"/>
  <c r="BG100" i="1"/>
  <c r="BI100" i="1"/>
  <c r="BO100" i="1"/>
  <c r="BQ100" i="1"/>
  <c r="BH98" i="1"/>
  <c r="BP98" i="1"/>
  <c r="BX98" i="1"/>
  <c r="BI98" i="1"/>
  <c r="BQ98" i="1"/>
  <c r="BJ98" i="1"/>
  <c r="BR98" i="1"/>
  <c r="BL98" i="1"/>
  <c r="BT98" i="1"/>
  <c r="BN98" i="1"/>
  <c r="BV98" i="1"/>
  <c r="BG98" i="1"/>
  <c r="BO98" i="1"/>
  <c r="BW98" i="1"/>
  <c r="BK98" i="1"/>
  <c r="BM98" i="1"/>
  <c r="BS98" i="1"/>
  <c r="BU98" i="1"/>
  <c r="BL96" i="1"/>
  <c r="BT96" i="1"/>
  <c r="BM96" i="1"/>
  <c r="BU96" i="1"/>
  <c r="BN96" i="1"/>
  <c r="BV96" i="1"/>
  <c r="BH96" i="1"/>
  <c r="BP96" i="1"/>
  <c r="BX96" i="1"/>
  <c r="BJ96" i="1"/>
  <c r="BR96" i="1"/>
  <c r="BK96" i="1"/>
  <c r="BS96" i="1"/>
  <c r="BG96" i="1"/>
  <c r="BI96" i="1"/>
  <c r="BO96" i="1"/>
  <c r="BQ96" i="1"/>
  <c r="BW96" i="1"/>
  <c r="BH94" i="1"/>
  <c r="BP94" i="1"/>
  <c r="BX94" i="1"/>
  <c r="BI94" i="1"/>
  <c r="BQ94" i="1"/>
  <c r="BJ94" i="1"/>
  <c r="BR94" i="1"/>
  <c r="BL94" i="1"/>
  <c r="BT94" i="1"/>
  <c r="BN94" i="1"/>
  <c r="BV94" i="1"/>
  <c r="BG94" i="1"/>
  <c r="BO94" i="1"/>
  <c r="BW94" i="1"/>
  <c r="BK94" i="1"/>
  <c r="BM94" i="1"/>
  <c r="BS94" i="1"/>
  <c r="BU94" i="1"/>
  <c r="BN87" i="1"/>
  <c r="BV87" i="1"/>
  <c r="BG87" i="1"/>
  <c r="BO87" i="1"/>
  <c r="BW87" i="1"/>
  <c r="BH87" i="1"/>
  <c r="BP87" i="1"/>
  <c r="BX87" i="1"/>
  <c r="BI87" i="1"/>
  <c r="BQ87" i="1"/>
  <c r="BJ87" i="1"/>
  <c r="BR87" i="1"/>
  <c r="BL87" i="1"/>
  <c r="BT87" i="1"/>
  <c r="BK87" i="1"/>
  <c r="BS87" i="1"/>
  <c r="BU87" i="1"/>
  <c r="BM87" i="1"/>
  <c r="BJ73" i="1"/>
  <c r="BR73" i="1"/>
  <c r="BK73" i="1"/>
  <c r="BS73" i="1"/>
  <c r="BL73" i="1"/>
  <c r="BT73" i="1"/>
  <c r="BM73" i="1"/>
  <c r="BU73" i="1"/>
  <c r="BN73" i="1"/>
  <c r="BV73" i="1"/>
  <c r="BH73" i="1"/>
  <c r="BP73" i="1"/>
  <c r="BX73" i="1"/>
  <c r="BW73" i="1"/>
  <c r="BG73" i="1"/>
  <c r="BO73" i="1"/>
  <c r="BQ73" i="1"/>
  <c r="BI73" i="1"/>
  <c r="BH70" i="1"/>
  <c r="BP70" i="1"/>
  <c r="BX70" i="1"/>
  <c r="BI70" i="1"/>
  <c r="BQ70" i="1"/>
  <c r="BJ70" i="1"/>
  <c r="BR70" i="1"/>
  <c r="BK70" i="1"/>
  <c r="BS70" i="1"/>
  <c r="BL70" i="1"/>
  <c r="BT70" i="1"/>
  <c r="BN70" i="1"/>
  <c r="BV70" i="1"/>
  <c r="BM70" i="1"/>
  <c r="BO70" i="1"/>
  <c r="BU70" i="1"/>
  <c r="BW70" i="1"/>
  <c r="BG70" i="1"/>
  <c r="BH66" i="1"/>
  <c r="BP66" i="1"/>
  <c r="BX66" i="1"/>
  <c r="BI66" i="1"/>
  <c r="BQ66" i="1"/>
  <c r="BJ66" i="1"/>
  <c r="BR66" i="1"/>
  <c r="BK66" i="1"/>
  <c r="BS66" i="1"/>
  <c r="BL66" i="1"/>
  <c r="BT66" i="1"/>
  <c r="BN66" i="1"/>
  <c r="BV66" i="1"/>
  <c r="BU66" i="1"/>
  <c r="BW66" i="1"/>
  <c r="BM66" i="1"/>
  <c r="BO66" i="1"/>
  <c r="BG66" i="1"/>
  <c r="BN59" i="1"/>
  <c r="BV59" i="1"/>
  <c r="BG59" i="1"/>
  <c r="BO59" i="1"/>
  <c r="BW59" i="1"/>
  <c r="BH59" i="1"/>
  <c r="BP59" i="1"/>
  <c r="BX59" i="1"/>
  <c r="BI59" i="1"/>
  <c r="BQ59" i="1"/>
  <c r="BJ59" i="1"/>
  <c r="BR59" i="1"/>
  <c r="BL59" i="1"/>
  <c r="BT59" i="1"/>
  <c r="BS59" i="1"/>
  <c r="BU59" i="1"/>
  <c r="BK59" i="1"/>
  <c r="BM59" i="1"/>
  <c r="BK33" i="1"/>
  <c r="BS33" i="1"/>
  <c r="BL33" i="1"/>
  <c r="BT33" i="1"/>
  <c r="BM33" i="1"/>
  <c r="BU33" i="1"/>
  <c r="BN33" i="1"/>
  <c r="BV33" i="1"/>
  <c r="BG33" i="1"/>
  <c r="BO33" i="1"/>
  <c r="BW33" i="1"/>
  <c r="BH33" i="1"/>
  <c r="BP33" i="1"/>
  <c r="BX33" i="1"/>
  <c r="BI33" i="1"/>
  <c r="BQ33" i="1"/>
  <c r="BR33" i="1"/>
  <c r="BJ33" i="1"/>
  <c r="BK29" i="1"/>
  <c r="BS29" i="1"/>
  <c r="BL29" i="1"/>
  <c r="BT29" i="1"/>
  <c r="BM29" i="1"/>
  <c r="BU29" i="1"/>
  <c r="BN29" i="1"/>
  <c r="BV29" i="1"/>
  <c r="BG29" i="1"/>
  <c r="BO29" i="1"/>
  <c r="BW29" i="1"/>
  <c r="BH29" i="1"/>
  <c r="BP29" i="1"/>
  <c r="BX29" i="1"/>
  <c r="BI29" i="1"/>
  <c r="BQ29" i="1"/>
  <c r="BJ29" i="1"/>
  <c r="BR29" i="1"/>
  <c r="BG27" i="1"/>
  <c r="BO27" i="1"/>
  <c r="BW27" i="1"/>
  <c r="BH27" i="1"/>
  <c r="BP27" i="1"/>
  <c r="BX27" i="1"/>
  <c r="BI27" i="1"/>
  <c r="BQ27" i="1"/>
  <c r="BJ27" i="1"/>
  <c r="BR27" i="1"/>
  <c r="BK27" i="1"/>
  <c r="BS27" i="1"/>
  <c r="BL27" i="1"/>
  <c r="BT27" i="1"/>
  <c r="BM27" i="1"/>
  <c r="BU27" i="1"/>
  <c r="BN27" i="1"/>
  <c r="BV27" i="1"/>
  <c r="BI285" i="1"/>
  <c r="BQ285" i="1"/>
  <c r="BK285" i="1"/>
  <c r="BS285" i="1"/>
  <c r="BM285" i="1"/>
  <c r="BU285" i="1"/>
  <c r="BG285" i="1"/>
  <c r="BO285" i="1"/>
  <c r="BW285" i="1"/>
  <c r="BL18" i="1"/>
  <c r="BV18" i="1"/>
  <c r="BX297" i="1"/>
  <c r="BP297" i="1"/>
  <c r="BH297" i="1"/>
  <c r="BR296" i="1"/>
  <c r="BJ296" i="1"/>
  <c r="BT295" i="1"/>
  <c r="BL295" i="1"/>
  <c r="BV294" i="1"/>
  <c r="BN294" i="1"/>
  <c r="BX293" i="1"/>
  <c r="BP293" i="1"/>
  <c r="BH293" i="1"/>
  <c r="BR292" i="1"/>
  <c r="BJ292" i="1"/>
  <c r="BT291" i="1"/>
  <c r="BL291" i="1"/>
  <c r="BV290" i="1"/>
  <c r="BN290" i="1"/>
  <c r="BX289" i="1"/>
  <c r="BP289" i="1"/>
  <c r="BW288" i="1"/>
  <c r="BH288" i="1"/>
  <c r="BJ287" i="1"/>
  <c r="BN285" i="1"/>
  <c r="BP284" i="1"/>
  <c r="BV281" i="1"/>
  <c r="BX280" i="1"/>
  <c r="BH280" i="1"/>
  <c r="BJ279" i="1"/>
  <c r="BL278" i="1"/>
  <c r="BP276" i="1"/>
  <c r="BR275" i="1"/>
  <c r="BT274" i="1"/>
  <c r="BX272" i="1"/>
  <c r="BH272" i="1"/>
  <c r="BJ271" i="1"/>
  <c r="BX268" i="1"/>
  <c r="BJ267" i="1"/>
  <c r="BN265" i="1"/>
  <c r="BR263" i="1"/>
  <c r="BV261" i="1"/>
  <c r="BX252" i="1"/>
  <c r="BJ251" i="1"/>
  <c r="BX242" i="1"/>
  <c r="BJ240" i="1"/>
  <c r="BS231" i="1"/>
  <c r="BJ191" i="1"/>
  <c r="BV155" i="1"/>
  <c r="BM255" i="1"/>
  <c r="BU255" i="1"/>
  <c r="BN255" i="1"/>
  <c r="BV255" i="1"/>
  <c r="BG255" i="1"/>
  <c r="BO255" i="1"/>
  <c r="BW255" i="1"/>
  <c r="BH255" i="1"/>
  <c r="BP255" i="1"/>
  <c r="BX255" i="1"/>
  <c r="BI255" i="1"/>
  <c r="BQ255" i="1"/>
  <c r="BK255" i="1"/>
  <c r="BS255" i="1"/>
  <c r="BM248" i="1"/>
  <c r="BU248" i="1"/>
  <c r="BN248" i="1"/>
  <c r="BV248" i="1"/>
  <c r="BH248" i="1"/>
  <c r="BP248" i="1"/>
  <c r="BX248" i="1"/>
  <c r="BK248" i="1"/>
  <c r="BL248" i="1"/>
  <c r="BO248" i="1"/>
  <c r="BQ248" i="1"/>
  <c r="BR248" i="1"/>
  <c r="BI248" i="1"/>
  <c r="BT248" i="1"/>
  <c r="BG207" i="1"/>
  <c r="BO207" i="1"/>
  <c r="BW207" i="1"/>
  <c r="BH207" i="1"/>
  <c r="BP207" i="1"/>
  <c r="BX207" i="1"/>
  <c r="BJ207" i="1"/>
  <c r="BR207" i="1"/>
  <c r="BK207" i="1"/>
  <c r="BS207" i="1"/>
  <c r="BT207" i="1"/>
  <c r="BU207" i="1"/>
  <c r="BV207" i="1"/>
  <c r="BI207" i="1"/>
  <c r="BL207" i="1"/>
  <c r="BN207" i="1"/>
  <c r="BK181" i="1"/>
  <c r="BS181" i="1"/>
  <c r="BL181" i="1"/>
  <c r="BT181" i="1"/>
  <c r="BM181" i="1"/>
  <c r="BU181" i="1"/>
  <c r="BG181" i="1"/>
  <c r="BO181" i="1"/>
  <c r="BW181" i="1"/>
  <c r="BQ181" i="1"/>
  <c r="BR181" i="1"/>
  <c r="BH181" i="1"/>
  <c r="BX181" i="1"/>
  <c r="BI181" i="1"/>
  <c r="BJ181" i="1"/>
  <c r="BN181" i="1"/>
  <c r="BP181" i="1"/>
  <c r="BV181" i="1"/>
  <c r="BH102" i="1"/>
  <c r="BP102" i="1"/>
  <c r="BX102" i="1"/>
  <c r="BI102" i="1"/>
  <c r="BQ102" i="1"/>
  <c r="BJ102" i="1"/>
  <c r="BR102" i="1"/>
  <c r="BL102" i="1"/>
  <c r="BT102" i="1"/>
  <c r="BN102" i="1"/>
  <c r="BV102" i="1"/>
  <c r="BG102" i="1"/>
  <c r="BO102" i="1"/>
  <c r="BW102" i="1"/>
  <c r="BS102" i="1"/>
  <c r="BU102" i="1"/>
  <c r="BK102" i="1"/>
  <c r="BM102" i="1"/>
  <c r="BM56" i="1"/>
  <c r="BG56" i="1"/>
  <c r="BO56" i="1"/>
  <c r="BI56" i="1"/>
  <c r="BQ56" i="1"/>
  <c r="BJ56" i="1"/>
  <c r="BR56" i="1"/>
  <c r="BK56" i="1"/>
  <c r="BS56" i="1"/>
  <c r="BT56" i="1"/>
  <c r="BU56" i="1"/>
  <c r="BV56" i="1"/>
  <c r="BW56" i="1"/>
  <c r="BH56" i="1"/>
  <c r="BX56" i="1"/>
  <c r="BN56" i="1"/>
  <c r="BL56" i="1"/>
  <c r="BP56" i="1"/>
  <c r="BG39" i="1"/>
  <c r="BO39" i="1"/>
  <c r="BW39" i="1"/>
  <c r="BH39" i="1"/>
  <c r="BP39" i="1"/>
  <c r="BX39" i="1"/>
  <c r="BI39" i="1"/>
  <c r="BQ39" i="1"/>
  <c r="BJ39" i="1"/>
  <c r="BR39" i="1"/>
  <c r="BK39" i="1"/>
  <c r="BS39" i="1"/>
  <c r="BL39" i="1"/>
  <c r="BT39" i="1"/>
  <c r="BM39" i="1"/>
  <c r="BU39" i="1"/>
  <c r="BV39" i="1"/>
  <c r="BN39" i="1"/>
  <c r="BG282" i="1"/>
  <c r="BO282" i="1"/>
  <c r="BW282" i="1"/>
  <c r="BI282" i="1"/>
  <c r="BQ282" i="1"/>
  <c r="BK282" i="1"/>
  <c r="BS282" i="1"/>
  <c r="BM282" i="1"/>
  <c r="BU282" i="1"/>
  <c r="BK18" i="1"/>
  <c r="BS291" i="1"/>
  <c r="BW289" i="1"/>
  <c r="BR282" i="1"/>
  <c r="BH279" i="1"/>
  <c r="BX196" i="1"/>
  <c r="BG270" i="1"/>
  <c r="BO270" i="1"/>
  <c r="BW270" i="1"/>
  <c r="BI270" i="1"/>
  <c r="BQ270" i="1"/>
  <c r="BK270" i="1"/>
  <c r="BS270" i="1"/>
  <c r="BM270" i="1"/>
  <c r="BU270" i="1"/>
  <c r="BJ202" i="1"/>
  <c r="BR202" i="1"/>
  <c r="BM202" i="1"/>
  <c r="BU202" i="1"/>
  <c r="BP202" i="1"/>
  <c r="BG202" i="1"/>
  <c r="BQ202" i="1"/>
  <c r="BI202" i="1"/>
  <c r="BT202" i="1"/>
  <c r="BK202" i="1"/>
  <c r="BV202" i="1"/>
  <c r="BW202" i="1"/>
  <c r="BX202" i="1"/>
  <c r="BH202" i="1"/>
  <c r="BL202" i="1"/>
  <c r="BO202" i="1"/>
  <c r="BI198" i="1"/>
  <c r="BQ198" i="1"/>
  <c r="BJ198" i="1"/>
  <c r="BR198" i="1"/>
  <c r="BK198" i="1"/>
  <c r="BS198" i="1"/>
  <c r="BM198" i="1"/>
  <c r="BU198" i="1"/>
  <c r="BO198" i="1"/>
  <c r="BP198" i="1"/>
  <c r="BV198" i="1"/>
  <c r="BG198" i="1"/>
  <c r="BW198" i="1"/>
  <c r="BX198" i="1"/>
  <c r="BH198" i="1"/>
  <c r="BN198" i="1"/>
  <c r="BM192" i="1"/>
  <c r="BU192" i="1"/>
  <c r="BN192" i="1"/>
  <c r="BV192" i="1"/>
  <c r="BG192" i="1"/>
  <c r="BO192" i="1"/>
  <c r="BW192" i="1"/>
  <c r="BI192" i="1"/>
  <c r="BQ192" i="1"/>
  <c r="BK192" i="1"/>
  <c r="BL192" i="1"/>
  <c r="BR192" i="1"/>
  <c r="BS192" i="1"/>
  <c r="BH192" i="1"/>
  <c r="BJ192" i="1"/>
  <c r="BP192" i="1"/>
  <c r="BT192" i="1"/>
  <c r="BH138" i="1"/>
  <c r="BP138" i="1"/>
  <c r="BX138" i="1"/>
  <c r="BI138" i="1"/>
  <c r="BQ138" i="1"/>
  <c r="BJ138" i="1"/>
  <c r="BR138" i="1"/>
  <c r="BL138" i="1"/>
  <c r="BT138" i="1"/>
  <c r="BN138" i="1"/>
  <c r="BV138" i="1"/>
  <c r="BK138" i="1"/>
  <c r="BM138" i="1"/>
  <c r="BO138" i="1"/>
  <c r="BS138" i="1"/>
  <c r="BU138" i="1"/>
  <c r="BW138" i="1"/>
  <c r="BG138" i="1"/>
  <c r="BH130" i="1"/>
  <c r="BP130" i="1"/>
  <c r="BX130" i="1"/>
  <c r="BI130" i="1"/>
  <c r="BQ130" i="1"/>
  <c r="BJ130" i="1"/>
  <c r="BR130" i="1"/>
  <c r="BL130" i="1"/>
  <c r="BT130" i="1"/>
  <c r="BN130" i="1"/>
  <c r="BV130" i="1"/>
  <c r="BG130" i="1"/>
  <c r="BK130" i="1"/>
  <c r="BM130" i="1"/>
  <c r="BO130" i="1"/>
  <c r="BS130" i="1"/>
  <c r="BU130" i="1"/>
  <c r="BW130" i="1"/>
  <c r="BK53" i="1"/>
  <c r="BS53" i="1"/>
  <c r="BM53" i="1"/>
  <c r="BU53" i="1"/>
  <c r="BG53" i="1"/>
  <c r="BO53" i="1"/>
  <c r="BW53" i="1"/>
  <c r="BH53" i="1"/>
  <c r="BP53" i="1"/>
  <c r="BX53" i="1"/>
  <c r="BI53" i="1"/>
  <c r="BQ53" i="1"/>
  <c r="BJ53" i="1"/>
  <c r="BL53" i="1"/>
  <c r="BN53" i="1"/>
  <c r="BR53" i="1"/>
  <c r="BT53" i="1"/>
  <c r="BV53" i="1"/>
  <c r="BK49" i="1"/>
  <c r="BS49" i="1"/>
  <c r="BL49" i="1"/>
  <c r="BT49" i="1"/>
  <c r="BM49" i="1"/>
  <c r="BU49" i="1"/>
  <c r="BN49" i="1"/>
  <c r="BV49" i="1"/>
  <c r="BG49" i="1"/>
  <c r="BO49" i="1"/>
  <c r="BW49" i="1"/>
  <c r="BH49" i="1"/>
  <c r="BP49" i="1"/>
  <c r="BX49" i="1"/>
  <c r="BI49" i="1"/>
  <c r="BQ49" i="1"/>
  <c r="BJ49" i="1"/>
  <c r="BR49" i="1"/>
  <c r="BT18" i="1"/>
  <c r="BX296" i="1"/>
  <c r="BR295" i="1"/>
  <c r="BT294" i="1"/>
  <c r="BN293" i="1"/>
  <c r="BT290" i="1"/>
  <c r="BN289" i="1"/>
  <c r="BX286" i="1"/>
  <c r="BV279" i="1"/>
  <c r="BH270" i="1"/>
  <c r="BG248" i="1"/>
  <c r="BI273" i="1"/>
  <c r="BQ273" i="1"/>
  <c r="BK273" i="1"/>
  <c r="BS273" i="1"/>
  <c r="BM273" i="1"/>
  <c r="BU273" i="1"/>
  <c r="BG273" i="1"/>
  <c r="BO273" i="1"/>
  <c r="BW273" i="1"/>
  <c r="BK260" i="1"/>
  <c r="BS260" i="1"/>
  <c r="BL260" i="1"/>
  <c r="BT260" i="1"/>
  <c r="BM260" i="1"/>
  <c r="BU260" i="1"/>
  <c r="BN260" i="1"/>
  <c r="BV260" i="1"/>
  <c r="BG260" i="1"/>
  <c r="BO260" i="1"/>
  <c r="BW260" i="1"/>
  <c r="BI260" i="1"/>
  <c r="BQ260" i="1"/>
  <c r="BI250" i="1"/>
  <c r="BJ250" i="1"/>
  <c r="BR250" i="1"/>
  <c r="BL250" i="1"/>
  <c r="BN250" i="1"/>
  <c r="BW250" i="1"/>
  <c r="BO250" i="1"/>
  <c r="BX250" i="1"/>
  <c r="BP250" i="1"/>
  <c r="BQ250" i="1"/>
  <c r="BG250" i="1"/>
  <c r="BS250" i="1"/>
  <c r="BK250" i="1"/>
  <c r="BU250" i="1"/>
  <c r="BK245" i="1"/>
  <c r="BS245" i="1"/>
  <c r="BL245" i="1"/>
  <c r="BT245" i="1"/>
  <c r="BN245" i="1"/>
  <c r="BV245" i="1"/>
  <c r="BO245" i="1"/>
  <c r="BP245" i="1"/>
  <c r="BQ245" i="1"/>
  <c r="BG245" i="1"/>
  <c r="BR245" i="1"/>
  <c r="BH245" i="1"/>
  <c r="BU245" i="1"/>
  <c r="BJ245" i="1"/>
  <c r="BX245" i="1"/>
  <c r="BI234" i="1"/>
  <c r="BQ234" i="1"/>
  <c r="BJ234" i="1"/>
  <c r="BR234" i="1"/>
  <c r="BL234" i="1"/>
  <c r="BT234" i="1"/>
  <c r="BG234" i="1"/>
  <c r="BU234" i="1"/>
  <c r="BH234" i="1"/>
  <c r="BV234" i="1"/>
  <c r="BK234" i="1"/>
  <c r="BW234" i="1"/>
  <c r="BM234" i="1"/>
  <c r="BX234" i="1"/>
  <c r="BN234" i="1"/>
  <c r="BP234" i="1"/>
  <c r="BI194" i="1"/>
  <c r="BQ194" i="1"/>
  <c r="BJ194" i="1"/>
  <c r="BR194" i="1"/>
  <c r="BK194" i="1"/>
  <c r="BS194" i="1"/>
  <c r="BM194" i="1"/>
  <c r="BU194" i="1"/>
  <c r="BG194" i="1"/>
  <c r="BW194" i="1"/>
  <c r="BH194" i="1"/>
  <c r="BX194" i="1"/>
  <c r="BN194" i="1"/>
  <c r="BO194" i="1"/>
  <c r="BL194" i="1"/>
  <c r="BP194" i="1"/>
  <c r="BV194" i="1"/>
  <c r="BI190" i="1"/>
  <c r="BQ190" i="1"/>
  <c r="BJ190" i="1"/>
  <c r="BR190" i="1"/>
  <c r="BK190" i="1"/>
  <c r="BS190" i="1"/>
  <c r="BM190" i="1"/>
  <c r="BU190" i="1"/>
  <c r="BO190" i="1"/>
  <c r="BP190" i="1"/>
  <c r="BV190" i="1"/>
  <c r="BG190" i="1"/>
  <c r="BW190" i="1"/>
  <c r="BH190" i="1"/>
  <c r="BL190" i="1"/>
  <c r="BN190" i="1"/>
  <c r="BT190" i="1"/>
  <c r="BX190" i="1"/>
  <c r="BM188" i="1"/>
  <c r="BU188" i="1"/>
  <c r="BN188" i="1"/>
  <c r="BV188" i="1"/>
  <c r="BG188" i="1"/>
  <c r="BO188" i="1"/>
  <c r="BW188" i="1"/>
  <c r="BI188" i="1"/>
  <c r="BQ188" i="1"/>
  <c r="BS188" i="1"/>
  <c r="BT188" i="1"/>
  <c r="BJ188" i="1"/>
  <c r="BK188" i="1"/>
  <c r="BL188" i="1"/>
  <c r="BP188" i="1"/>
  <c r="BR188" i="1"/>
  <c r="BX188" i="1"/>
  <c r="BG175" i="1"/>
  <c r="BO175" i="1"/>
  <c r="BW175" i="1"/>
  <c r="BH175" i="1"/>
  <c r="BP175" i="1"/>
  <c r="BX175" i="1"/>
  <c r="BI175" i="1"/>
  <c r="BQ175" i="1"/>
  <c r="BK175" i="1"/>
  <c r="BS175" i="1"/>
  <c r="BM175" i="1"/>
  <c r="BN175" i="1"/>
  <c r="BR175" i="1"/>
  <c r="BT175" i="1"/>
  <c r="BU175" i="1"/>
  <c r="BJ175" i="1"/>
  <c r="BV175" i="1"/>
  <c r="BI170" i="1"/>
  <c r="BQ170" i="1"/>
  <c r="BJ170" i="1"/>
  <c r="BR170" i="1"/>
  <c r="BK170" i="1"/>
  <c r="BS170" i="1"/>
  <c r="BL170" i="1"/>
  <c r="BT170" i="1"/>
  <c r="BM170" i="1"/>
  <c r="BU170" i="1"/>
  <c r="BV170" i="1"/>
  <c r="BW170" i="1"/>
  <c r="BX170" i="1"/>
  <c r="BG170" i="1"/>
  <c r="BH170" i="1"/>
  <c r="BO170" i="1"/>
  <c r="BN170" i="1"/>
  <c r="BP170" i="1"/>
  <c r="BG167" i="1"/>
  <c r="BO167" i="1"/>
  <c r="BW167" i="1"/>
  <c r="BH167" i="1"/>
  <c r="BP167" i="1"/>
  <c r="BX167" i="1"/>
  <c r="BI167" i="1"/>
  <c r="BQ167" i="1"/>
  <c r="BJ167" i="1"/>
  <c r="BR167" i="1"/>
  <c r="BK167" i="1"/>
  <c r="BS167" i="1"/>
  <c r="BL167" i="1"/>
  <c r="BM167" i="1"/>
  <c r="BN167" i="1"/>
  <c r="BT167" i="1"/>
  <c r="BU167" i="1"/>
  <c r="BV167" i="1"/>
  <c r="BM160" i="1"/>
  <c r="BU160" i="1"/>
  <c r="BN160" i="1"/>
  <c r="BV160" i="1"/>
  <c r="BG160" i="1"/>
  <c r="BO160" i="1"/>
  <c r="BW160" i="1"/>
  <c r="BH160" i="1"/>
  <c r="BP160" i="1"/>
  <c r="BX160" i="1"/>
  <c r="BI160" i="1"/>
  <c r="BQ160" i="1"/>
  <c r="BJ160" i="1"/>
  <c r="BR160" i="1"/>
  <c r="BK160" i="1"/>
  <c r="BL160" i="1"/>
  <c r="BS160" i="1"/>
  <c r="BT160" i="1"/>
  <c r="BJ145" i="1"/>
  <c r="BR145" i="1"/>
  <c r="BK145" i="1"/>
  <c r="BS145" i="1"/>
  <c r="BL145" i="1"/>
  <c r="BT145" i="1"/>
  <c r="BN145" i="1"/>
  <c r="BV145" i="1"/>
  <c r="BH145" i="1"/>
  <c r="BP145" i="1"/>
  <c r="BX145" i="1"/>
  <c r="BM145" i="1"/>
  <c r="BO145" i="1"/>
  <c r="BQ145" i="1"/>
  <c r="BU145" i="1"/>
  <c r="BW145" i="1"/>
  <c r="BG145" i="1"/>
  <c r="BI145" i="1"/>
  <c r="BL144" i="1"/>
  <c r="BT144" i="1"/>
  <c r="BM144" i="1"/>
  <c r="BU144" i="1"/>
  <c r="BN144" i="1"/>
  <c r="BV144" i="1"/>
  <c r="BH144" i="1"/>
  <c r="BP144" i="1"/>
  <c r="BX144" i="1"/>
  <c r="BJ144" i="1"/>
  <c r="BR144" i="1"/>
  <c r="BI144" i="1"/>
  <c r="BK144" i="1"/>
  <c r="BO144" i="1"/>
  <c r="BQ144" i="1"/>
  <c r="BS144" i="1"/>
  <c r="BW144" i="1"/>
  <c r="BG144" i="1"/>
  <c r="BN135" i="1"/>
  <c r="BV135" i="1"/>
  <c r="BG135" i="1"/>
  <c r="BO135" i="1"/>
  <c r="BW135" i="1"/>
  <c r="BH135" i="1"/>
  <c r="BP135" i="1"/>
  <c r="BX135" i="1"/>
  <c r="BJ135" i="1"/>
  <c r="BR135" i="1"/>
  <c r="BL135" i="1"/>
  <c r="BT135" i="1"/>
  <c r="BU135" i="1"/>
  <c r="BI135" i="1"/>
  <c r="BK135" i="1"/>
  <c r="BM135" i="1"/>
  <c r="BQ135" i="1"/>
  <c r="BS135" i="1"/>
  <c r="BN127" i="1"/>
  <c r="BV127" i="1"/>
  <c r="BG127" i="1"/>
  <c r="BO127" i="1"/>
  <c r="BW127" i="1"/>
  <c r="BH127" i="1"/>
  <c r="BP127" i="1"/>
  <c r="BX127" i="1"/>
  <c r="BJ127" i="1"/>
  <c r="BR127" i="1"/>
  <c r="BL127" i="1"/>
  <c r="BT127" i="1"/>
  <c r="BQ127" i="1"/>
  <c r="BS127" i="1"/>
  <c r="BU127" i="1"/>
  <c r="BI127" i="1"/>
  <c r="BK127" i="1"/>
  <c r="BM127" i="1"/>
  <c r="BN119" i="1"/>
  <c r="BV119" i="1"/>
  <c r="BG119" i="1"/>
  <c r="BO119" i="1"/>
  <c r="BW119" i="1"/>
  <c r="BH119" i="1"/>
  <c r="BP119" i="1"/>
  <c r="BX119" i="1"/>
  <c r="BJ119" i="1"/>
  <c r="BR119" i="1"/>
  <c r="BL119" i="1"/>
  <c r="BT119" i="1"/>
  <c r="BK119" i="1"/>
  <c r="BM119" i="1"/>
  <c r="BQ119" i="1"/>
  <c r="BS119" i="1"/>
  <c r="BU119" i="1"/>
  <c r="BI119" i="1"/>
  <c r="BN111" i="1"/>
  <c r="BV111" i="1"/>
  <c r="BG111" i="1"/>
  <c r="BO111" i="1"/>
  <c r="BW111" i="1"/>
  <c r="BH111" i="1"/>
  <c r="BP111" i="1"/>
  <c r="BX111" i="1"/>
  <c r="BJ111" i="1"/>
  <c r="BR111" i="1"/>
  <c r="BL111" i="1"/>
  <c r="BT111" i="1"/>
  <c r="BM111" i="1"/>
  <c r="BU111" i="1"/>
  <c r="BQ111" i="1"/>
  <c r="BS111" i="1"/>
  <c r="BI111" i="1"/>
  <c r="BK111" i="1"/>
  <c r="BJ93" i="1"/>
  <c r="BR93" i="1"/>
  <c r="BK93" i="1"/>
  <c r="BS93" i="1"/>
  <c r="BL93" i="1"/>
  <c r="BT93" i="1"/>
  <c r="BM93" i="1"/>
  <c r="BU93" i="1"/>
  <c r="BN93" i="1"/>
  <c r="BV93" i="1"/>
  <c r="BH93" i="1"/>
  <c r="BP93" i="1"/>
  <c r="BX93" i="1"/>
  <c r="BI93" i="1"/>
  <c r="BQ93" i="1"/>
  <c r="BO93" i="1"/>
  <c r="BW93" i="1"/>
  <c r="BG93" i="1"/>
  <c r="BL84" i="1"/>
  <c r="BT84" i="1"/>
  <c r="BM84" i="1"/>
  <c r="BU84" i="1"/>
  <c r="BN84" i="1"/>
  <c r="BV84" i="1"/>
  <c r="BG84" i="1"/>
  <c r="BO84" i="1"/>
  <c r="BW84" i="1"/>
  <c r="BH84" i="1"/>
  <c r="BP84" i="1"/>
  <c r="BX84" i="1"/>
  <c r="BJ84" i="1"/>
  <c r="BR84" i="1"/>
  <c r="BQ84" i="1"/>
  <c r="BS84" i="1"/>
  <c r="BI84" i="1"/>
  <c r="BK84" i="1"/>
  <c r="BJ69" i="1"/>
  <c r="BR69" i="1"/>
  <c r="BK69" i="1"/>
  <c r="BS69" i="1"/>
  <c r="BL69" i="1"/>
  <c r="BT69" i="1"/>
  <c r="BM69" i="1"/>
  <c r="BU69" i="1"/>
  <c r="BN69" i="1"/>
  <c r="BV69" i="1"/>
  <c r="BH69" i="1"/>
  <c r="BP69" i="1"/>
  <c r="BX69" i="1"/>
  <c r="BG69" i="1"/>
  <c r="BI69" i="1"/>
  <c r="BO69" i="1"/>
  <c r="BW69" i="1"/>
  <c r="BQ69" i="1"/>
  <c r="BN67" i="1"/>
  <c r="BV67" i="1"/>
  <c r="BG67" i="1"/>
  <c r="BO67" i="1"/>
  <c r="BW67" i="1"/>
  <c r="BH67" i="1"/>
  <c r="BP67" i="1"/>
  <c r="BX67" i="1"/>
  <c r="BI67" i="1"/>
  <c r="BQ67" i="1"/>
  <c r="BJ67" i="1"/>
  <c r="BR67" i="1"/>
  <c r="BL67" i="1"/>
  <c r="BT67" i="1"/>
  <c r="BK67" i="1"/>
  <c r="BM67" i="1"/>
  <c r="BS67" i="1"/>
  <c r="BU67" i="1"/>
  <c r="BH58" i="1"/>
  <c r="BP58" i="1"/>
  <c r="BX58" i="1"/>
  <c r="BI58" i="1"/>
  <c r="BQ58" i="1"/>
  <c r="BJ58" i="1"/>
  <c r="BR58" i="1"/>
  <c r="BK58" i="1"/>
  <c r="BS58" i="1"/>
  <c r="BL58" i="1"/>
  <c r="BT58" i="1"/>
  <c r="BN58" i="1"/>
  <c r="BV58" i="1"/>
  <c r="BG58" i="1"/>
  <c r="BM58" i="1"/>
  <c r="BO58" i="1"/>
  <c r="BU58" i="1"/>
  <c r="BW58" i="1"/>
  <c r="BG51" i="1"/>
  <c r="BO51" i="1"/>
  <c r="BW51" i="1"/>
  <c r="BI51" i="1"/>
  <c r="BQ51" i="1"/>
  <c r="BK51" i="1"/>
  <c r="BS51" i="1"/>
  <c r="BL51" i="1"/>
  <c r="BT51" i="1"/>
  <c r="BM51" i="1"/>
  <c r="BU51" i="1"/>
  <c r="BX51" i="1"/>
  <c r="BH51" i="1"/>
  <c r="BJ51" i="1"/>
  <c r="BN51" i="1"/>
  <c r="BR51" i="1"/>
  <c r="BP51" i="1"/>
  <c r="BV51" i="1"/>
  <c r="BM28" i="1"/>
  <c r="BU28" i="1"/>
  <c r="BN28" i="1"/>
  <c r="BV28" i="1"/>
  <c r="BG28" i="1"/>
  <c r="BO28" i="1"/>
  <c r="BW28" i="1"/>
  <c r="BH28" i="1"/>
  <c r="BP28" i="1"/>
  <c r="BX28" i="1"/>
  <c r="BI28" i="1"/>
  <c r="BQ28" i="1"/>
  <c r="BJ28" i="1"/>
  <c r="BR28" i="1"/>
  <c r="BK28" i="1"/>
  <c r="BS28" i="1"/>
  <c r="BL28" i="1"/>
  <c r="BT28" i="1"/>
  <c r="BG286" i="1"/>
  <c r="BO286" i="1"/>
  <c r="BW286" i="1"/>
  <c r="BI286" i="1"/>
  <c r="BQ286" i="1"/>
  <c r="BK286" i="1"/>
  <c r="BS286" i="1"/>
  <c r="BM286" i="1"/>
  <c r="BU286" i="1"/>
  <c r="BM283" i="1"/>
  <c r="BU283" i="1"/>
  <c r="BG283" i="1"/>
  <c r="BO283" i="1"/>
  <c r="BW283" i="1"/>
  <c r="BI283" i="1"/>
  <c r="BQ283" i="1"/>
  <c r="BK283" i="1"/>
  <c r="BS283" i="1"/>
  <c r="BI18" i="1"/>
  <c r="BS18" i="1"/>
  <c r="BU297" i="1"/>
  <c r="BM297" i="1"/>
  <c r="BW296" i="1"/>
  <c r="BO296" i="1"/>
  <c r="BG296" i="1"/>
  <c r="BQ295" i="1"/>
  <c r="BI295" i="1"/>
  <c r="BS294" i="1"/>
  <c r="BK294" i="1"/>
  <c r="BU293" i="1"/>
  <c r="BM293" i="1"/>
  <c r="BW292" i="1"/>
  <c r="BO292" i="1"/>
  <c r="BG292" i="1"/>
  <c r="BQ291" i="1"/>
  <c r="BI291" i="1"/>
  <c r="BS290" i="1"/>
  <c r="BK290" i="1"/>
  <c r="BU289" i="1"/>
  <c r="BM289" i="1"/>
  <c r="BR288" i="1"/>
  <c r="BT287" i="1"/>
  <c r="BV286" i="1"/>
  <c r="BX285" i="1"/>
  <c r="BH285" i="1"/>
  <c r="BJ284" i="1"/>
  <c r="BL283" i="1"/>
  <c r="BN282" i="1"/>
  <c r="BP281" i="1"/>
  <c r="BT279" i="1"/>
  <c r="BV278" i="1"/>
  <c r="BL275" i="1"/>
  <c r="BN274" i="1"/>
  <c r="BP273" i="1"/>
  <c r="BR272" i="1"/>
  <c r="BV270" i="1"/>
  <c r="BX269" i="1"/>
  <c r="BH261" i="1"/>
  <c r="BL259" i="1"/>
  <c r="BP257" i="1"/>
  <c r="BT255" i="1"/>
  <c r="BM250" i="1"/>
  <c r="BN247" i="1"/>
  <c r="BR244" i="1"/>
  <c r="BJ233" i="1"/>
  <c r="BN230" i="1"/>
  <c r="BO216" i="1"/>
  <c r="BW212" i="1"/>
  <c r="BM209" i="1"/>
  <c r="BU205" i="1"/>
  <c r="BP201" i="1"/>
  <c r="BH188" i="1"/>
  <c r="BR180" i="1"/>
  <c r="BK168" i="1"/>
  <c r="BI253" i="1"/>
  <c r="BQ253" i="1"/>
  <c r="BJ253" i="1"/>
  <c r="BR253" i="1"/>
  <c r="BK253" i="1"/>
  <c r="BS253" i="1"/>
  <c r="BL253" i="1"/>
  <c r="BT253" i="1"/>
  <c r="BM253" i="1"/>
  <c r="BU253" i="1"/>
  <c r="BG253" i="1"/>
  <c r="BO253" i="1"/>
  <c r="BW253" i="1"/>
  <c r="BI238" i="1"/>
  <c r="BQ238" i="1"/>
  <c r="BJ238" i="1"/>
  <c r="BR238" i="1"/>
  <c r="BL238" i="1"/>
  <c r="BT238" i="1"/>
  <c r="BM238" i="1"/>
  <c r="BX238" i="1"/>
  <c r="BN238" i="1"/>
  <c r="BO238" i="1"/>
  <c r="BP238" i="1"/>
  <c r="BS238" i="1"/>
  <c r="BH238" i="1"/>
  <c r="BV238" i="1"/>
  <c r="BI206" i="1"/>
  <c r="BQ206" i="1"/>
  <c r="BJ206" i="1"/>
  <c r="BR206" i="1"/>
  <c r="BL206" i="1"/>
  <c r="BT206" i="1"/>
  <c r="BM206" i="1"/>
  <c r="BU206" i="1"/>
  <c r="BV206" i="1"/>
  <c r="BG206" i="1"/>
  <c r="BW206" i="1"/>
  <c r="BH206" i="1"/>
  <c r="BX206" i="1"/>
  <c r="BK206" i="1"/>
  <c r="BN206" i="1"/>
  <c r="BP206" i="1"/>
  <c r="BG179" i="1"/>
  <c r="BO179" i="1"/>
  <c r="BW179" i="1"/>
  <c r="BH179" i="1"/>
  <c r="BP179" i="1"/>
  <c r="BX179" i="1"/>
  <c r="BI179" i="1"/>
  <c r="BQ179" i="1"/>
  <c r="BK179" i="1"/>
  <c r="BS179" i="1"/>
  <c r="BU179" i="1"/>
  <c r="BV179" i="1"/>
  <c r="BJ179" i="1"/>
  <c r="BL179" i="1"/>
  <c r="BM179" i="1"/>
  <c r="BN179" i="1"/>
  <c r="BR179" i="1"/>
  <c r="BT179" i="1"/>
  <c r="BK177" i="1"/>
  <c r="BS177" i="1"/>
  <c r="BL177" i="1"/>
  <c r="BT177" i="1"/>
  <c r="BM177" i="1"/>
  <c r="BU177" i="1"/>
  <c r="BG177" i="1"/>
  <c r="BO177" i="1"/>
  <c r="BW177" i="1"/>
  <c r="BI177" i="1"/>
  <c r="BJ177" i="1"/>
  <c r="BN177" i="1"/>
  <c r="BP177" i="1"/>
  <c r="BQ177" i="1"/>
  <c r="BH177" i="1"/>
  <c r="BR177" i="1"/>
  <c r="BX177" i="1"/>
  <c r="BG163" i="1"/>
  <c r="BO163" i="1"/>
  <c r="BW163" i="1"/>
  <c r="BH163" i="1"/>
  <c r="BP163" i="1"/>
  <c r="BX163" i="1"/>
  <c r="BI163" i="1"/>
  <c r="BQ163" i="1"/>
  <c r="BJ163" i="1"/>
  <c r="BR163" i="1"/>
  <c r="BK163" i="1"/>
  <c r="BS163" i="1"/>
  <c r="BT163" i="1"/>
  <c r="BU163" i="1"/>
  <c r="BV163" i="1"/>
  <c r="BM163" i="1"/>
  <c r="BL163" i="1"/>
  <c r="BN91" i="1"/>
  <c r="BV91" i="1"/>
  <c r="BG91" i="1"/>
  <c r="BO91" i="1"/>
  <c r="BW91" i="1"/>
  <c r="BH91" i="1"/>
  <c r="BP91" i="1"/>
  <c r="BX91" i="1"/>
  <c r="BI91" i="1"/>
  <c r="BQ91" i="1"/>
  <c r="BJ91" i="1"/>
  <c r="BR91" i="1"/>
  <c r="BL91" i="1"/>
  <c r="BT91" i="1"/>
  <c r="BM91" i="1"/>
  <c r="BU91" i="1"/>
  <c r="BK91" i="1"/>
  <c r="BS91" i="1"/>
  <c r="BK37" i="1"/>
  <c r="BS37" i="1"/>
  <c r="BL37" i="1"/>
  <c r="BT37" i="1"/>
  <c r="BM37" i="1"/>
  <c r="BU37" i="1"/>
  <c r="BN37" i="1"/>
  <c r="BV37" i="1"/>
  <c r="BG37" i="1"/>
  <c r="BO37" i="1"/>
  <c r="BW37" i="1"/>
  <c r="BH37" i="1"/>
  <c r="BP37" i="1"/>
  <c r="BX37" i="1"/>
  <c r="BI37" i="1"/>
  <c r="BQ37" i="1"/>
  <c r="BJ37" i="1"/>
  <c r="BR37" i="1"/>
  <c r="BG35" i="1"/>
  <c r="BO35" i="1"/>
  <c r="BW35" i="1"/>
  <c r="BH35" i="1"/>
  <c r="BP35" i="1"/>
  <c r="BX35" i="1"/>
  <c r="BI35" i="1"/>
  <c r="BQ35" i="1"/>
  <c r="BJ35" i="1"/>
  <c r="BR35" i="1"/>
  <c r="BK35" i="1"/>
  <c r="BS35" i="1"/>
  <c r="BL35" i="1"/>
  <c r="BT35" i="1"/>
  <c r="BM35" i="1"/>
  <c r="BU35" i="1"/>
  <c r="BN35" i="1"/>
  <c r="BV35" i="1"/>
  <c r="BU294" i="1"/>
  <c r="BP283" i="1"/>
  <c r="BM152" i="1"/>
  <c r="BU152" i="1"/>
  <c r="BN152" i="1"/>
  <c r="BV152" i="1"/>
  <c r="BG152" i="1"/>
  <c r="BO152" i="1"/>
  <c r="BW152" i="1"/>
  <c r="BH152" i="1"/>
  <c r="BP152" i="1"/>
  <c r="BX152" i="1"/>
  <c r="BI152" i="1"/>
  <c r="BQ152" i="1"/>
  <c r="BJ152" i="1"/>
  <c r="BR152" i="1"/>
  <c r="BS152" i="1"/>
  <c r="BT152" i="1"/>
  <c r="BK152" i="1"/>
  <c r="BL152" i="1"/>
  <c r="BL76" i="1"/>
  <c r="BT76" i="1"/>
  <c r="BM76" i="1"/>
  <c r="BU76" i="1"/>
  <c r="BN76" i="1"/>
  <c r="BV76" i="1"/>
  <c r="BG76" i="1"/>
  <c r="BO76" i="1"/>
  <c r="BW76" i="1"/>
  <c r="BH76" i="1"/>
  <c r="BP76" i="1"/>
  <c r="BX76" i="1"/>
  <c r="BJ76" i="1"/>
  <c r="BR76" i="1"/>
  <c r="BI76" i="1"/>
  <c r="BK76" i="1"/>
  <c r="BQ76" i="1"/>
  <c r="BS76" i="1"/>
  <c r="BK45" i="1"/>
  <c r="BS45" i="1"/>
  <c r="BL45" i="1"/>
  <c r="BT45" i="1"/>
  <c r="BM45" i="1"/>
  <c r="BU45" i="1"/>
  <c r="BN45" i="1"/>
  <c r="BV45" i="1"/>
  <c r="BG45" i="1"/>
  <c r="BO45" i="1"/>
  <c r="BW45" i="1"/>
  <c r="BH45" i="1"/>
  <c r="BP45" i="1"/>
  <c r="BX45" i="1"/>
  <c r="BI45" i="1"/>
  <c r="BQ45" i="1"/>
  <c r="BJ45" i="1"/>
  <c r="BR45" i="1"/>
  <c r="BK41" i="1"/>
  <c r="BS41" i="1"/>
  <c r="BL41" i="1"/>
  <c r="BT41" i="1"/>
  <c r="BM41" i="1"/>
  <c r="BU41" i="1"/>
  <c r="BN41" i="1"/>
  <c r="BV41" i="1"/>
  <c r="BG41" i="1"/>
  <c r="BO41" i="1"/>
  <c r="BW41" i="1"/>
  <c r="BH41" i="1"/>
  <c r="BP41" i="1"/>
  <c r="BX41" i="1"/>
  <c r="BI41" i="1"/>
  <c r="BQ41" i="1"/>
  <c r="BJ41" i="1"/>
  <c r="BR41" i="1"/>
  <c r="BM20" i="1"/>
  <c r="BU20" i="1"/>
  <c r="BN20" i="1"/>
  <c r="BV20" i="1"/>
  <c r="BG20" i="1"/>
  <c r="BO20" i="1"/>
  <c r="BW20" i="1"/>
  <c r="BH20" i="1"/>
  <c r="BP20" i="1"/>
  <c r="BX20" i="1"/>
  <c r="BI20" i="1"/>
  <c r="BQ20" i="1"/>
  <c r="BJ20" i="1"/>
  <c r="BR20" i="1"/>
  <c r="BK20" i="1"/>
  <c r="BS20" i="1"/>
  <c r="BL20" i="1"/>
  <c r="BT20" i="1"/>
  <c r="BN297" i="1"/>
  <c r="BX292" i="1"/>
  <c r="BR291" i="1"/>
  <c r="BP282" i="1"/>
  <c r="BS148" i="1"/>
  <c r="BK280" i="1"/>
  <c r="BS280" i="1"/>
  <c r="BM280" i="1"/>
  <c r="BU280" i="1"/>
  <c r="BG280" i="1"/>
  <c r="BO280" i="1"/>
  <c r="BW280" i="1"/>
  <c r="BI280" i="1"/>
  <c r="BQ280" i="1"/>
  <c r="BK276" i="1"/>
  <c r="BS276" i="1"/>
  <c r="BM276" i="1"/>
  <c r="BU276" i="1"/>
  <c r="BG276" i="1"/>
  <c r="BO276" i="1"/>
  <c r="BW276" i="1"/>
  <c r="BI276" i="1"/>
  <c r="BQ276" i="1"/>
  <c r="BM271" i="1"/>
  <c r="BU271" i="1"/>
  <c r="BG271" i="1"/>
  <c r="BO271" i="1"/>
  <c r="BW271" i="1"/>
  <c r="BI271" i="1"/>
  <c r="BQ271" i="1"/>
  <c r="BK271" i="1"/>
  <c r="BS271" i="1"/>
  <c r="BK268" i="1"/>
  <c r="BS268" i="1"/>
  <c r="BL268" i="1"/>
  <c r="BT268" i="1"/>
  <c r="BM268" i="1"/>
  <c r="BU268" i="1"/>
  <c r="BN268" i="1"/>
  <c r="BV268" i="1"/>
  <c r="BG268" i="1"/>
  <c r="BO268" i="1"/>
  <c r="BW268" i="1"/>
  <c r="BI268" i="1"/>
  <c r="BQ268" i="1"/>
  <c r="BG266" i="1"/>
  <c r="BO266" i="1"/>
  <c r="BW266" i="1"/>
  <c r="BH266" i="1"/>
  <c r="BP266" i="1"/>
  <c r="BX266" i="1"/>
  <c r="BI266" i="1"/>
  <c r="BQ266" i="1"/>
  <c r="BJ266" i="1"/>
  <c r="BR266" i="1"/>
  <c r="BK266" i="1"/>
  <c r="BS266" i="1"/>
  <c r="BM266" i="1"/>
  <c r="BU266" i="1"/>
  <c r="BK264" i="1"/>
  <c r="BS264" i="1"/>
  <c r="BL264" i="1"/>
  <c r="BT264" i="1"/>
  <c r="BM264" i="1"/>
  <c r="BU264" i="1"/>
  <c r="BN264" i="1"/>
  <c r="BV264" i="1"/>
  <c r="BG264" i="1"/>
  <c r="BO264" i="1"/>
  <c r="BW264" i="1"/>
  <c r="BI264" i="1"/>
  <c r="BQ264" i="1"/>
  <c r="BG262" i="1"/>
  <c r="BO262" i="1"/>
  <c r="BW262" i="1"/>
  <c r="BH262" i="1"/>
  <c r="BP262" i="1"/>
  <c r="BX262" i="1"/>
  <c r="BI262" i="1"/>
  <c r="BQ262" i="1"/>
  <c r="BJ262" i="1"/>
  <c r="BR262" i="1"/>
  <c r="BK262" i="1"/>
  <c r="BS262" i="1"/>
  <c r="BM262" i="1"/>
  <c r="BU262" i="1"/>
  <c r="BG258" i="1"/>
  <c r="BO258" i="1"/>
  <c r="BW258" i="1"/>
  <c r="BH258" i="1"/>
  <c r="BP258" i="1"/>
  <c r="BX258" i="1"/>
  <c r="BI258" i="1"/>
  <c r="BQ258" i="1"/>
  <c r="BJ258" i="1"/>
  <c r="BR258" i="1"/>
  <c r="BK258" i="1"/>
  <c r="BS258" i="1"/>
  <c r="BM258" i="1"/>
  <c r="BU258" i="1"/>
  <c r="BK256" i="1"/>
  <c r="BS256" i="1"/>
  <c r="BL256" i="1"/>
  <c r="BT256" i="1"/>
  <c r="BM256" i="1"/>
  <c r="BU256" i="1"/>
  <c r="BN256" i="1"/>
  <c r="BV256" i="1"/>
  <c r="BG256" i="1"/>
  <c r="BO256" i="1"/>
  <c r="BW256" i="1"/>
  <c r="BI256" i="1"/>
  <c r="BQ256" i="1"/>
  <c r="BG254" i="1"/>
  <c r="BO254" i="1"/>
  <c r="BW254" i="1"/>
  <c r="BH254" i="1"/>
  <c r="BP254" i="1"/>
  <c r="BX254" i="1"/>
  <c r="BI254" i="1"/>
  <c r="BQ254" i="1"/>
  <c r="BJ254" i="1"/>
  <c r="BR254" i="1"/>
  <c r="BK254" i="1"/>
  <c r="BS254" i="1"/>
  <c r="BM254" i="1"/>
  <c r="BU254" i="1"/>
  <c r="BK252" i="1"/>
  <c r="BS252" i="1"/>
  <c r="BL252" i="1"/>
  <c r="BT252" i="1"/>
  <c r="BM252" i="1"/>
  <c r="BU252" i="1"/>
  <c r="BN252" i="1"/>
  <c r="BV252" i="1"/>
  <c r="BG252" i="1"/>
  <c r="BO252" i="1"/>
  <c r="BW252" i="1"/>
  <c r="BI252" i="1"/>
  <c r="BQ252" i="1"/>
  <c r="BG243" i="1"/>
  <c r="BO243" i="1"/>
  <c r="BW243" i="1"/>
  <c r="BH243" i="1"/>
  <c r="BP243" i="1"/>
  <c r="BX243" i="1"/>
  <c r="BJ243" i="1"/>
  <c r="BR243" i="1"/>
  <c r="BL243" i="1"/>
  <c r="BM243" i="1"/>
  <c r="BN243" i="1"/>
  <c r="BQ243" i="1"/>
  <c r="BS243" i="1"/>
  <c r="BI243" i="1"/>
  <c r="BU243" i="1"/>
  <c r="BK241" i="1"/>
  <c r="BS241" i="1"/>
  <c r="BL241" i="1"/>
  <c r="BT241" i="1"/>
  <c r="BN241" i="1"/>
  <c r="BV241" i="1"/>
  <c r="BI241" i="1"/>
  <c r="BW241" i="1"/>
  <c r="BJ241" i="1"/>
  <c r="BX241" i="1"/>
  <c r="BM241" i="1"/>
  <c r="BO241" i="1"/>
  <c r="BP241" i="1"/>
  <c r="BG241" i="1"/>
  <c r="BR241" i="1"/>
  <c r="BG239" i="1"/>
  <c r="BO239" i="1"/>
  <c r="BW239" i="1"/>
  <c r="BH239" i="1"/>
  <c r="BP239" i="1"/>
  <c r="BX239" i="1"/>
  <c r="BJ239" i="1"/>
  <c r="BR239" i="1"/>
  <c r="BT239" i="1"/>
  <c r="BI239" i="1"/>
  <c r="BU239" i="1"/>
  <c r="BK239" i="1"/>
  <c r="BV239" i="1"/>
  <c r="BL239" i="1"/>
  <c r="BM239" i="1"/>
  <c r="BQ239" i="1"/>
  <c r="BG223" i="1"/>
  <c r="BO223" i="1"/>
  <c r="BW223" i="1"/>
  <c r="BH223" i="1"/>
  <c r="BP223" i="1"/>
  <c r="BX223" i="1"/>
  <c r="BJ223" i="1"/>
  <c r="BR223" i="1"/>
  <c r="BK223" i="1"/>
  <c r="BS223" i="1"/>
  <c r="BT223" i="1"/>
  <c r="BU223" i="1"/>
  <c r="BV223" i="1"/>
  <c r="BI223" i="1"/>
  <c r="BL223" i="1"/>
  <c r="BN223" i="1"/>
  <c r="BI222" i="1"/>
  <c r="BQ222" i="1"/>
  <c r="BJ222" i="1"/>
  <c r="BR222" i="1"/>
  <c r="BL222" i="1"/>
  <c r="BT222" i="1"/>
  <c r="BM222" i="1"/>
  <c r="BU222" i="1"/>
  <c r="BV222" i="1"/>
  <c r="BG222" i="1"/>
  <c r="BW222" i="1"/>
  <c r="BH222" i="1"/>
  <c r="BX222" i="1"/>
  <c r="BK222" i="1"/>
  <c r="BN222" i="1"/>
  <c r="BP222" i="1"/>
  <c r="BI210" i="1"/>
  <c r="BQ210" i="1"/>
  <c r="BJ210" i="1"/>
  <c r="BR210" i="1"/>
  <c r="BL210" i="1"/>
  <c r="BT210" i="1"/>
  <c r="BM210" i="1"/>
  <c r="BU210" i="1"/>
  <c r="BN210" i="1"/>
  <c r="BO210" i="1"/>
  <c r="BP210" i="1"/>
  <c r="BS210" i="1"/>
  <c r="BV210" i="1"/>
  <c r="BH210" i="1"/>
  <c r="BX210" i="1"/>
  <c r="BH203" i="1"/>
  <c r="BP203" i="1"/>
  <c r="BX203" i="1"/>
  <c r="BK203" i="1"/>
  <c r="BS203" i="1"/>
  <c r="BI203" i="1"/>
  <c r="BT203" i="1"/>
  <c r="BJ203" i="1"/>
  <c r="BU203" i="1"/>
  <c r="BM203" i="1"/>
  <c r="BW203" i="1"/>
  <c r="BN203" i="1"/>
  <c r="BG203" i="1"/>
  <c r="BL203" i="1"/>
  <c r="BO203" i="1"/>
  <c r="BR203" i="1"/>
  <c r="BG199" i="1"/>
  <c r="BO199" i="1"/>
  <c r="BH199" i="1"/>
  <c r="BP199" i="1"/>
  <c r="BX199" i="1"/>
  <c r="BI199" i="1"/>
  <c r="BQ199" i="1"/>
  <c r="BK199" i="1"/>
  <c r="BS199" i="1"/>
  <c r="BM199" i="1"/>
  <c r="BN199" i="1"/>
  <c r="BT199" i="1"/>
  <c r="BU199" i="1"/>
  <c r="BJ199" i="1"/>
  <c r="BL199" i="1"/>
  <c r="BR199" i="1"/>
  <c r="BV199" i="1"/>
  <c r="BI186" i="1"/>
  <c r="BQ186" i="1"/>
  <c r="BJ186" i="1"/>
  <c r="BR186" i="1"/>
  <c r="BK186" i="1"/>
  <c r="BS186" i="1"/>
  <c r="BM186" i="1"/>
  <c r="BU186" i="1"/>
  <c r="BG186" i="1"/>
  <c r="BW186" i="1"/>
  <c r="BH186" i="1"/>
  <c r="BX186" i="1"/>
  <c r="BN186" i="1"/>
  <c r="BO186" i="1"/>
  <c r="BP186" i="1"/>
  <c r="BT186" i="1"/>
  <c r="BV186" i="1"/>
  <c r="BI182" i="1"/>
  <c r="BQ182" i="1"/>
  <c r="BJ182" i="1"/>
  <c r="BR182" i="1"/>
  <c r="BK182" i="1"/>
  <c r="BS182" i="1"/>
  <c r="BM182" i="1"/>
  <c r="BU182" i="1"/>
  <c r="BO182" i="1"/>
  <c r="BP182" i="1"/>
  <c r="BV182" i="1"/>
  <c r="BG182" i="1"/>
  <c r="BW182" i="1"/>
  <c r="BX182" i="1"/>
  <c r="BH182" i="1"/>
  <c r="BN182" i="1"/>
  <c r="BK165" i="1"/>
  <c r="BS165" i="1"/>
  <c r="BL165" i="1"/>
  <c r="BT165" i="1"/>
  <c r="BM165" i="1"/>
  <c r="BU165" i="1"/>
  <c r="BN165" i="1"/>
  <c r="BV165" i="1"/>
  <c r="BG165" i="1"/>
  <c r="BO165" i="1"/>
  <c r="BW165" i="1"/>
  <c r="BH165" i="1"/>
  <c r="BI165" i="1"/>
  <c r="BJ165" i="1"/>
  <c r="BP165" i="1"/>
  <c r="BR165" i="1"/>
  <c r="BQ165" i="1"/>
  <c r="BX165" i="1"/>
  <c r="BM164" i="1"/>
  <c r="BU164" i="1"/>
  <c r="BN164" i="1"/>
  <c r="BV164" i="1"/>
  <c r="BG164" i="1"/>
  <c r="BO164" i="1"/>
  <c r="BW164" i="1"/>
  <c r="BH164" i="1"/>
  <c r="BP164" i="1"/>
  <c r="BX164" i="1"/>
  <c r="BI164" i="1"/>
  <c r="BQ164" i="1"/>
  <c r="BT164" i="1"/>
  <c r="BJ164" i="1"/>
  <c r="BK164" i="1"/>
  <c r="BR164" i="1"/>
  <c r="BL164" i="1"/>
  <c r="BS164" i="1"/>
  <c r="BK157" i="1"/>
  <c r="BS157" i="1"/>
  <c r="BL157" i="1"/>
  <c r="BT157" i="1"/>
  <c r="BM157" i="1"/>
  <c r="BU157" i="1"/>
  <c r="BN157" i="1"/>
  <c r="BV157" i="1"/>
  <c r="BG157" i="1"/>
  <c r="BO157" i="1"/>
  <c r="BW157" i="1"/>
  <c r="BH157" i="1"/>
  <c r="BP157" i="1"/>
  <c r="BX157" i="1"/>
  <c r="BI157" i="1"/>
  <c r="BQ157" i="1"/>
  <c r="BJ157" i="1"/>
  <c r="BK149" i="1"/>
  <c r="BS149" i="1"/>
  <c r="BL149" i="1"/>
  <c r="BT149" i="1"/>
  <c r="BM149" i="1"/>
  <c r="BU149" i="1"/>
  <c r="BN149" i="1"/>
  <c r="BV149" i="1"/>
  <c r="BG149" i="1"/>
  <c r="BO149" i="1"/>
  <c r="BW149" i="1"/>
  <c r="BH149" i="1"/>
  <c r="BP149" i="1"/>
  <c r="BX149" i="1"/>
  <c r="BI149" i="1"/>
  <c r="BJ149" i="1"/>
  <c r="BQ149" i="1"/>
  <c r="BR149" i="1"/>
  <c r="BN147" i="1"/>
  <c r="BV147" i="1"/>
  <c r="BG147" i="1"/>
  <c r="BO147" i="1"/>
  <c r="BW147" i="1"/>
  <c r="BH147" i="1"/>
  <c r="BP147" i="1"/>
  <c r="BX147" i="1"/>
  <c r="BJ147" i="1"/>
  <c r="BR147" i="1"/>
  <c r="BL147" i="1"/>
  <c r="BT147" i="1"/>
  <c r="BS147" i="1"/>
  <c r="BU147" i="1"/>
  <c r="BI147" i="1"/>
  <c r="BK147" i="1"/>
  <c r="BM147" i="1"/>
  <c r="BQ147" i="1"/>
  <c r="BJ141" i="1"/>
  <c r="BR141" i="1"/>
  <c r="BK141" i="1"/>
  <c r="BS141" i="1"/>
  <c r="BL141" i="1"/>
  <c r="BT141" i="1"/>
  <c r="BN141" i="1"/>
  <c r="BV141" i="1"/>
  <c r="BH141" i="1"/>
  <c r="BP141" i="1"/>
  <c r="BX141" i="1"/>
  <c r="BU141" i="1"/>
  <c r="BW141" i="1"/>
  <c r="BG141" i="1"/>
  <c r="BI141" i="1"/>
  <c r="BM141" i="1"/>
  <c r="BO141" i="1"/>
  <c r="BQ141" i="1"/>
  <c r="BL140" i="1"/>
  <c r="BT140" i="1"/>
  <c r="BM140" i="1"/>
  <c r="BU140" i="1"/>
  <c r="BN140" i="1"/>
  <c r="BV140" i="1"/>
  <c r="BH140" i="1"/>
  <c r="BP140" i="1"/>
  <c r="BX140" i="1"/>
  <c r="BJ140" i="1"/>
  <c r="BR140" i="1"/>
  <c r="BQ140" i="1"/>
  <c r="BS140" i="1"/>
  <c r="BW140" i="1"/>
  <c r="BG140" i="1"/>
  <c r="BI140" i="1"/>
  <c r="BK140" i="1"/>
  <c r="BO140" i="1"/>
  <c r="BL132" i="1"/>
  <c r="BT132" i="1"/>
  <c r="BM132" i="1"/>
  <c r="BU132" i="1"/>
  <c r="BN132" i="1"/>
  <c r="BV132" i="1"/>
  <c r="BH132" i="1"/>
  <c r="BP132" i="1"/>
  <c r="BX132" i="1"/>
  <c r="BJ132" i="1"/>
  <c r="BR132" i="1"/>
  <c r="BK132" i="1"/>
  <c r="BO132" i="1"/>
  <c r="BQ132" i="1"/>
  <c r="BS132" i="1"/>
  <c r="BW132" i="1"/>
  <c r="BG132" i="1"/>
  <c r="BI132" i="1"/>
  <c r="BJ125" i="1"/>
  <c r="BR125" i="1"/>
  <c r="BK125" i="1"/>
  <c r="BS125" i="1"/>
  <c r="BL125" i="1"/>
  <c r="BT125" i="1"/>
  <c r="BN125" i="1"/>
  <c r="BV125" i="1"/>
  <c r="BH125" i="1"/>
  <c r="BP125" i="1"/>
  <c r="BX125" i="1"/>
  <c r="BI125" i="1"/>
  <c r="BM125" i="1"/>
  <c r="BO125" i="1"/>
  <c r="BQ125" i="1"/>
  <c r="BU125" i="1"/>
  <c r="BW125" i="1"/>
  <c r="BG125" i="1"/>
  <c r="BN123" i="1"/>
  <c r="BV123" i="1"/>
  <c r="BG123" i="1"/>
  <c r="BO123" i="1"/>
  <c r="BW123" i="1"/>
  <c r="BH123" i="1"/>
  <c r="BP123" i="1"/>
  <c r="BX123" i="1"/>
  <c r="BJ123" i="1"/>
  <c r="BR123" i="1"/>
  <c r="BL123" i="1"/>
  <c r="BT123" i="1"/>
  <c r="BI123" i="1"/>
  <c r="BK123" i="1"/>
  <c r="BM123" i="1"/>
  <c r="BQ123" i="1"/>
  <c r="BS123" i="1"/>
  <c r="BU123" i="1"/>
  <c r="BJ121" i="1"/>
  <c r="BR121" i="1"/>
  <c r="BK121" i="1"/>
  <c r="BS121" i="1"/>
  <c r="BL121" i="1"/>
  <c r="BT121" i="1"/>
  <c r="BN121" i="1"/>
  <c r="BV121" i="1"/>
  <c r="BH121" i="1"/>
  <c r="BP121" i="1"/>
  <c r="BX121" i="1"/>
  <c r="BQ121" i="1"/>
  <c r="BU121" i="1"/>
  <c r="BW121" i="1"/>
  <c r="BG121" i="1"/>
  <c r="BI121" i="1"/>
  <c r="BM121" i="1"/>
  <c r="BO121" i="1"/>
  <c r="BL116" i="1"/>
  <c r="BT116" i="1"/>
  <c r="BM116" i="1"/>
  <c r="BU116" i="1"/>
  <c r="BN116" i="1"/>
  <c r="BV116" i="1"/>
  <c r="BH116" i="1"/>
  <c r="BP116" i="1"/>
  <c r="BX116" i="1"/>
  <c r="BJ116" i="1"/>
  <c r="BR116" i="1"/>
  <c r="BK116" i="1"/>
  <c r="BS116" i="1"/>
  <c r="BW116" i="1"/>
  <c r="BG116" i="1"/>
  <c r="BI116" i="1"/>
  <c r="BO116" i="1"/>
  <c r="BQ116" i="1"/>
  <c r="BL108" i="1"/>
  <c r="BT108" i="1"/>
  <c r="BM108" i="1"/>
  <c r="BU108" i="1"/>
  <c r="BN108" i="1"/>
  <c r="BV108" i="1"/>
  <c r="BH108" i="1"/>
  <c r="BP108" i="1"/>
  <c r="BX108" i="1"/>
  <c r="BJ108" i="1"/>
  <c r="BR108" i="1"/>
  <c r="BK108" i="1"/>
  <c r="BS108" i="1"/>
  <c r="BG108" i="1"/>
  <c r="BI108" i="1"/>
  <c r="BO108" i="1"/>
  <c r="BQ108" i="1"/>
  <c r="BW108" i="1"/>
  <c r="BJ101" i="1"/>
  <c r="BR101" i="1"/>
  <c r="BK101" i="1"/>
  <c r="BS101" i="1"/>
  <c r="BL101" i="1"/>
  <c r="BT101" i="1"/>
  <c r="BN101" i="1"/>
  <c r="BV101" i="1"/>
  <c r="BH101" i="1"/>
  <c r="BP101" i="1"/>
  <c r="BX101" i="1"/>
  <c r="BI101" i="1"/>
  <c r="BQ101" i="1"/>
  <c r="BG101" i="1"/>
  <c r="BM101" i="1"/>
  <c r="BO101" i="1"/>
  <c r="BU101" i="1"/>
  <c r="BW101" i="1"/>
  <c r="BN99" i="1"/>
  <c r="BV99" i="1"/>
  <c r="BG99" i="1"/>
  <c r="BO99" i="1"/>
  <c r="BW99" i="1"/>
  <c r="BH99" i="1"/>
  <c r="BP99" i="1"/>
  <c r="BX99" i="1"/>
  <c r="BJ99" i="1"/>
  <c r="BR99" i="1"/>
  <c r="BL99" i="1"/>
  <c r="BT99" i="1"/>
  <c r="BM99" i="1"/>
  <c r="BU99" i="1"/>
  <c r="BI99" i="1"/>
  <c r="BK99" i="1"/>
  <c r="BQ99" i="1"/>
  <c r="BS99" i="1"/>
  <c r="BN95" i="1"/>
  <c r="BV95" i="1"/>
  <c r="BG95" i="1"/>
  <c r="BO95" i="1"/>
  <c r="BW95" i="1"/>
  <c r="BH95" i="1"/>
  <c r="BP95" i="1"/>
  <c r="BX95" i="1"/>
  <c r="BJ95" i="1"/>
  <c r="BR95" i="1"/>
  <c r="BL95" i="1"/>
  <c r="BT95" i="1"/>
  <c r="BM95" i="1"/>
  <c r="BU95" i="1"/>
  <c r="BQ95" i="1"/>
  <c r="BS95" i="1"/>
  <c r="BI95" i="1"/>
  <c r="BK95" i="1"/>
  <c r="BH86" i="1"/>
  <c r="BP86" i="1"/>
  <c r="BX86" i="1"/>
  <c r="BI86" i="1"/>
  <c r="BQ86" i="1"/>
  <c r="BJ86" i="1"/>
  <c r="BR86" i="1"/>
  <c r="BK86" i="1"/>
  <c r="BS86" i="1"/>
  <c r="BL86" i="1"/>
  <c r="BT86" i="1"/>
  <c r="BN86" i="1"/>
  <c r="BV86" i="1"/>
  <c r="BM86" i="1"/>
  <c r="BO86" i="1"/>
  <c r="BU86" i="1"/>
  <c r="BW86" i="1"/>
  <c r="BG86" i="1"/>
  <c r="BH74" i="1"/>
  <c r="BP74" i="1"/>
  <c r="BX74" i="1"/>
  <c r="BI74" i="1"/>
  <c r="BQ74" i="1"/>
  <c r="BJ74" i="1"/>
  <c r="BR74" i="1"/>
  <c r="BK74" i="1"/>
  <c r="BS74" i="1"/>
  <c r="BL74" i="1"/>
  <c r="BT74" i="1"/>
  <c r="BN74" i="1"/>
  <c r="BV74" i="1"/>
  <c r="BG74" i="1"/>
  <c r="BM74" i="1"/>
  <c r="BO74" i="1"/>
  <c r="BU74" i="1"/>
  <c r="BW74" i="1"/>
  <c r="BL72" i="1"/>
  <c r="BT72" i="1"/>
  <c r="BM72" i="1"/>
  <c r="BU72" i="1"/>
  <c r="BN72" i="1"/>
  <c r="BV72" i="1"/>
  <c r="BG72" i="1"/>
  <c r="BO72" i="1"/>
  <c r="BW72" i="1"/>
  <c r="BH72" i="1"/>
  <c r="BP72" i="1"/>
  <c r="BX72" i="1"/>
  <c r="BJ72" i="1"/>
  <c r="BR72" i="1"/>
  <c r="BI72" i="1"/>
  <c r="BK72" i="1"/>
  <c r="BQ72" i="1"/>
  <c r="BS72" i="1"/>
  <c r="BN71" i="1"/>
  <c r="BV71" i="1"/>
  <c r="BG71" i="1"/>
  <c r="BO71" i="1"/>
  <c r="BW71" i="1"/>
  <c r="BH71" i="1"/>
  <c r="BP71" i="1"/>
  <c r="BX71" i="1"/>
  <c r="BI71" i="1"/>
  <c r="BQ71" i="1"/>
  <c r="BJ71" i="1"/>
  <c r="BR71" i="1"/>
  <c r="BL71" i="1"/>
  <c r="BT71" i="1"/>
  <c r="BK71" i="1"/>
  <c r="BS71" i="1"/>
  <c r="BU71" i="1"/>
  <c r="BM71" i="1"/>
  <c r="BJ65" i="1"/>
  <c r="BR65" i="1"/>
  <c r="BK65" i="1"/>
  <c r="BS65" i="1"/>
  <c r="BL65" i="1"/>
  <c r="BT65" i="1"/>
  <c r="BM65" i="1"/>
  <c r="BU65" i="1"/>
  <c r="BN65" i="1"/>
  <c r="BV65" i="1"/>
  <c r="BH65" i="1"/>
  <c r="BP65" i="1"/>
  <c r="BX65" i="1"/>
  <c r="BG65" i="1"/>
  <c r="BI65" i="1"/>
  <c r="BO65" i="1"/>
  <c r="BQ65" i="1"/>
  <c r="BW65" i="1"/>
  <c r="BN63" i="1"/>
  <c r="BV63" i="1"/>
  <c r="BG63" i="1"/>
  <c r="BO63" i="1"/>
  <c r="BW63" i="1"/>
  <c r="BH63" i="1"/>
  <c r="BP63" i="1"/>
  <c r="BX63" i="1"/>
  <c r="BI63" i="1"/>
  <c r="BQ63" i="1"/>
  <c r="BJ63" i="1"/>
  <c r="BR63" i="1"/>
  <c r="BL63" i="1"/>
  <c r="BT63" i="1"/>
  <c r="BK63" i="1"/>
  <c r="BM63" i="1"/>
  <c r="BS63" i="1"/>
  <c r="BU63" i="1"/>
  <c r="BG55" i="1"/>
  <c r="BO55" i="1"/>
  <c r="BW55" i="1"/>
  <c r="BI55" i="1"/>
  <c r="BQ55" i="1"/>
  <c r="BK55" i="1"/>
  <c r="BS55" i="1"/>
  <c r="BL55" i="1"/>
  <c r="BT55" i="1"/>
  <c r="BM55" i="1"/>
  <c r="BU55" i="1"/>
  <c r="BP55" i="1"/>
  <c r="BR55" i="1"/>
  <c r="BV55" i="1"/>
  <c r="BX55" i="1"/>
  <c r="BJ55" i="1"/>
  <c r="BH55" i="1"/>
  <c r="BN55" i="1"/>
  <c r="BI30" i="1"/>
  <c r="BQ30" i="1"/>
  <c r="BJ30" i="1"/>
  <c r="BR30" i="1"/>
  <c r="BK30" i="1"/>
  <c r="BS30" i="1"/>
  <c r="BL30" i="1"/>
  <c r="BT30" i="1"/>
  <c r="BM30" i="1"/>
  <c r="BU30" i="1"/>
  <c r="BN30" i="1"/>
  <c r="BV30" i="1"/>
  <c r="BG30" i="1"/>
  <c r="BO30" i="1"/>
  <c r="BW30" i="1"/>
  <c r="BH30" i="1"/>
  <c r="BP30" i="1"/>
  <c r="BX30" i="1"/>
  <c r="BI26" i="1"/>
  <c r="BQ26" i="1"/>
  <c r="BJ26" i="1"/>
  <c r="BR26" i="1"/>
  <c r="BK26" i="1"/>
  <c r="BS26" i="1"/>
  <c r="BL26" i="1"/>
  <c r="BT26" i="1"/>
  <c r="BM26" i="1"/>
  <c r="BU26" i="1"/>
  <c r="BN26" i="1"/>
  <c r="BV26" i="1"/>
  <c r="BG26" i="1"/>
  <c r="BO26" i="1"/>
  <c r="BW26" i="1"/>
  <c r="BP26" i="1"/>
  <c r="BX26" i="1"/>
  <c r="BH26" i="1"/>
  <c r="BH18" i="1"/>
  <c r="BR18" i="1"/>
  <c r="BT297" i="1"/>
  <c r="BL297" i="1"/>
  <c r="BV296" i="1"/>
  <c r="BN296" i="1"/>
  <c r="BX295" i="1"/>
  <c r="BP295" i="1"/>
  <c r="BH295" i="1"/>
  <c r="BR294" i="1"/>
  <c r="BJ294" i="1"/>
  <c r="BT293" i="1"/>
  <c r="BL293" i="1"/>
  <c r="BV292" i="1"/>
  <c r="BN292" i="1"/>
  <c r="BX291" i="1"/>
  <c r="BP291" i="1"/>
  <c r="BH291" i="1"/>
  <c r="BR290" i="1"/>
  <c r="BJ290" i="1"/>
  <c r="BT289" i="1"/>
  <c r="BL289" i="1"/>
  <c r="BR287" i="1"/>
  <c r="BT286" i="1"/>
  <c r="BV285" i="1"/>
  <c r="BX284" i="1"/>
  <c r="BH284" i="1"/>
  <c r="BJ283" i="1"/>
  <c r="BL282" i="1"/>
  <c r="BP280" i="1"/>
  <c r="BT278" i="1"/>
  <c r="BX276" i="1"/>
  <c r="BH276" i="1"/>
  <c r="BJ275" i="1"/>
  <c r="BN273" i="1"/>
  <c r="BP272" i="1"/>
  <c r="BR271" i="1"/>
  <c r="BT270" i="1"/>
  <c r="BV269" i="1"/>
  <c r="BH268" i="1"/>
  <c r="BL266" i="1"/>
  <c r="BP264" i="1"/>
  <c r="BT262" i="1"/>
  <c r="BX260" i="1"/>
  <c r="BJ259" i="1"/>
  <c r="BN257" i="1"/>
  <c r="BR255" i="1"/>
  <c r="BV253" i="1"/>
  <c r="BH252" i="1"/>
  <c r="BH250" i="1"/>
  <c r="BO244" i="1"/>
  <c r="BQ241" i="1"/>
  <c r="BU238" i="1"/>
  <c r="BK230" i="1"/>
  <c r="BM223" i="1"/>
  <c r="BI209" i="1"/>
  <c r="BQ205" i="1"/>
  <c r="BT194" i="1"/>
  <c r="BR187" i="1"/>
  <c r="BM279" i="1"/>
  <c r="BU279" i="1"/>
  <c r="BG279" i="1"/>
  <c r="BO279" i="1"/>
  <c r="BW279" i="1"/>
  <c r="BI279" i="1"/>
  <c r="BQ279" i="1"/>
  <c r="BK279" i="1"/>
  <c r="BS279" i="1"/>
  <c r="BK233" i="1"/>
  <c r="BS233" i="1"/>
  <c r="BL233" i="1"/>
  <c r="BT233" i="1"/>
  <c r="BN233" i="1"/>
  <c r="BV233" i="1"/>
  <c r="BM233" i="1"/>
  <c r="BO233" i="1"/>
  <c r="BP233" i="1"/>
  <c r="BQ233" i="1"/>
  <c r="BG233" i="1"/>
  <c r="BR233" i="1"/>
  <c r="BI233" i="1"/>
  <c r="BW233" i="1"/>
  <c r="BL201" i="1"/>
  <c r="BT201" i="1"/>
  <c r="BG201" i="1"/>
  <c r="BO201" i="1"/>
  <c r="BW201" i="1"/>
  <c r="BM201" i="1"/>
  <c r="BX201" i="1"/>
  <c r="BN201" i="1"/>
  <c r="BQ201" i="1"/>
  <c r="BH201" i="1"/>
  <c r="BR201" i="1"/>
  <c r="BS201" i="1"/>
  <c r="BU201" i="1"/>
  <c r="BV201" i="1"/>
  <c r="BI201" i="1"/>
  <c r="BK201" i="1"/>
  <c r="BI174" i="1"/>
  <c r="BQ174" i="1"/>
  <c r="BJ174" i="1"/>
  <c r="BR174" i="1"/>
  <c r="BK174" i="1"/>
  <c r="BS174" i="1"/>
  <c r="BM174" i="1"/>
  <c r="BU174" i="1"/>
  <c r="BO174" i="1"/>
  <c r="BP174" i="1"/>
  <c r="BT174" i="1"/>
  <c r="BV174" i="1"/>
  <c r="BG174" i="1"/>
  <c r="BW174" i="1"/>
  <c r="BL174" i="1"/>
  <c r="BH174" i="1"/>
  <c r="BN174" i="1"/>
  <c r="BX174" i="1"/>
  <c r="BH114" i="1"/>
  <c r="BP114" i="1"/>
  <c r="BX114" i="1"/>
  <c r="BI114" i="1"/>
  <c r="BQ114" i="1"/>
  <c r="BJ114" i="1"/>
  <c r="BR114" i="1"/>
  <c r="BL114" i="1"/>
  <c r="BT114" i="1"/>
  <c r="BN114" i="1"/>
  <c r="BV114" i="1"/>
  <c r="BG114" i="1"/>
  <c r="BO114" i="1"/>
  <c r="BW114" i="1"/>
  <c r="BK114" i="1"/>
  <c r="BM114" i="1"/>
  <c r="BS114" i="1"/>
  <c r="BH106" i="1"/>
  <c r="BP106" i="1"/>
  <c r="BX106" i="1"/>
  <c r="BI106" i="1"/>
  <c r="BQ106" i="1"/>
  <c r="BJ106" i="1"/>
  <c r="BR106" i="1"/>
  <c r="BL106" i="1"/>
  <c r="BT106" i="1"/>
  <c r="BN106" i="1"/>
  <c r="BV106" i="1"/>
  <c r="BG106" i="1"/>
  <c r="BO106" i="1"/>
  <c r="BW106" i="1"/>
  <c r="BK106" i="1"/>
  <c r="BM106" i="1"/>
  <c r="BS106" i="1"/>
  <c r="BU106" i="1"/>
  <c r="BH82" i="1"/>
  <c r="BP82" i="1"/>
  <c r="BX82" i="1"/>
  <c r="BI82" i="1"/>
  <c r="BQ82" i="1"/>
  <c r="BJ82" i="1"/>
  <c r="BR82" i="1"/>
  <c r="BK82" i="1"/>
  <c r="BS82" i="1"/>
  <c r="BL82" i="1"/>
  <c r="BT82" i="1"/>
  <c r="BN82" i="1"/>
  <c r="BV82" i="1"/>
  <c r="BU82" i="1"/>
  <c r="BW82" i="1"/>
  <c r="BM82" i="1"/>
  <c r="BO82" i="1"/>
  <c r="BG82" i="1"/>
  <c r="BH78" i="1"/>
  <c r="BP78" i="1"/>
  <c r="BX78" i="1"/>
  <c r="BI78" i="1"/>
  <c r="BQ78" i="1"/>
  <c r="BJ78" i="1"/>
  <c r="BR78" i="1"/>
  <c r="BK78" i="1"/>
  <c r="BS78" i="1"/>
  <c r="BL78" i="1"/>
  <c r="BT78" i="1"/>
  <c r="BN78" i="1"/>
  <c r="BV78" i="1"/>
  <c r="BG78" i="1"/>
  <c r="BM78" i="1"/>
  <c r="BU78" i="1"/>
  <c r="BW78" i="1"/>
  <c r="BO78" i="1"/>
  <c r="BJ61" i="1"/>
  <c r="BR61" i="1"/>
  <c r="BK61" i="1"/>
  <c r="BS61" i="1"/>
  <c r="BL61" i="1"/>
  <c r="BT61" i="1"/>
  <c r="BM61" i="1"/>
  <c r="BU61" i="1"/>
  <c r="BN61" i="1"/>
  <c r="BV61" i="1"/>
  <c r="BH61" i="1"/>
  <c r="BP61" i="1"/>
  <c r="BX61" i="1"/>
  <c r="BO61" i="1"/>
  <c r="BQ61" i="1"/>
  <c r="BW61" i="1"/>
  <c r="BG61" i="1"/>
  <c r="BI61" i="1"/>
  <c r="BG47" i="1"/>
  <c r="BO47" i="1"/>
  <c r="BW47" i="1"/>
  <c r="BH47" i="1"/>
  <c r="BP47" i="1"/>
  <c r="BX47" i="1"/>
  <c r="BI47" i="1"/>
  <c r="BQ47" i="1"/>
  <c r="BJ47" i="1"/>
  <c r="BR47" i="1"/>
  <c r="BK47" i="1"/>
  <c r="BS47" i="1"/>
  <c r="BL47" i="1"/>
  <c r="BT47" i="1"/>
  <c r="BM47" i="1"/>
  <c r="BU47" i="1"/>
  <c r="BV47" i="1"/>
  <c r="BN47" i="1"/>
  <c r="BM24" i="1"/>
  <c r="BU24" i="1"/>
  <c r="BN24" i="1"/>
  <c r="BV24" i="1"/>
  <c r="BG24" i="1"/>
  <c r="BO24" i="1"/>
  <c r="BW24" i="1"/>
  <c r="BH24" i="1"/>
  <c r="BP24" i="1"/>
  <c r="BX24" i="1"/>
  <c r="BI24" i="1"/>
  <c r="BQ24" i="1"/>
  <c r="BJ24" i="1"/>
  <c r="BR24" i="1"/>
  <c r="BK24" i="1"/>
  <c r="BS24" i="1"/>
  <c r="BL24" i="1"/>
  <c r="BT24" i="1"/>
  <c r="BK288" i="1"/>
  <c r="BS288" i="1"/>
  <c r="BM288" i="1"/>
  <c r="BU288" i="1"/>
  <c r="BG288" i="1"/>
  <c r="BO288" i="1"/>
  <c r="BI288" i="1"/>
  <c r="BQ288" i="1"/>
  <c r="BT288" i="1"/>
  <c r="BX270" i="1"/>
  <c r="BU233" i="1"/>
  <c r="BO206" i="1"/>
  <c r="BN202" i="1"/>
  <c r="BG274" i="1"/>
  <c r="BO274" i="1"/>
  <c r="BW274" i="1"/>
  <c r="BI274" i="1"/>
  <c r="BQ274" i="1"/>
  <c r="BK274" i="1"/>
  <c r="BS274" i="1"/>
  <c r="BM274" i="1"/>
  <c r="BU274" i="1"/>
  <c r="BG247" i="1"/>
  <c r="BO247" i="1"/>
  <c r="BW247" i="1"/>
  <c r="BH247" i="1"/>
  <c r="BP247" i="1"/>
  <c r="BX247" i="1"/>
  <c r="BJ247" i="1"/>
  <c r="BR247" i="1"/>
  <c r="BQ247" i="1"/>
  <c r="BS247" i="1"/>
  <c r="BT247" i="1"/>
  <c r="BI247" i="1"/>
  <c r="BU247" i="1"/>
  <c r="BK247" i="1"/>
  <c r="BV247" i="1"/>
  <c r="BM247" i="1"/>
  <c r="BM236" i="1"/>
  <c r="BU236" i="1"/>
  <c r="BN236" i="1"/>
  <c r="BV236" i="1"/>
  <c r="BH236" i="1"/>
  <c r="BP236" i="1"/>
  <c r="BX236" i="1"/>
  <c r="BJ236" i="1"/>
  <c r="BW236" i="1"/>
  <c r="BK236" i="1"/>
  <c r="BL236" i="1"/>
  <c r="BO236" i="1"/>
  <c r="BQ236" i="1"/>
  <c r="BG236" i="1"/>
  <c r="BS236" i="1"/>
  <c r="BG235" i="1"/>
  <c r="BO235" i="1"/>
  <c r="BW235" i="1"/>
  <c r="BH235" i="1"/>
  <c r="BP235" i="1"/>
  <c r="BX235" i="1"/>
  <c r="BJ235" i="1"/>
  <c r="BR235" i="1"/>
  <c r="BN235" i="1"/>
  <c r="BQ235" i="1"/>
  <c r="BS235" i="1"/>
  <c r="BT235" i="1"/>
  <c r="BI235" i="1"/>
  <c r="BU235" i="1"/>
  <c r="BL235" i="1"/>
  <c r="BG227" i="1"/>
  <c r="BO227" i="1"/>
  <c r="BW227" i="1"/>
  <c r="BH227" i="1"/>
  <c r="BP227" i="1"/>
  <c r="BX227" i="1"/>
  <c r="BJ227" i="1"/>
  <c r="BR227" i="1"/>
  <c r="BK227" i="1"/>
  <c r="BS227" i="1"/>
  <c r="BL227" i="1"/>
  <c r="BM227" i="1"/>
  <c r="BN227" i="1"/>
  <c r="BQ227" i="1"/>
  <c r="BT227" i="1"/>
  <c r="BV227" i="1"/>
  <c r="BK225" i="1"/>
  <c r="BS225" i="1"/>
  <c r="BL225" i="1"/>
  <c r="BT225" i="1"/>
  <c r="BN225" i="1"/>
  <c r="BV225" i="1"/>
  <c r="BG225" i="1"/>
  <c r="BO225" i="1"/>
  <c r="BW225" i="1"/>
  <c r="BP225" i="1"/>
  <c r="BQ225" i="1"/>
  <c r="BR225" i="1"/>
  <c r="BU225" i="1"/>
  <c r="BH225" i="1"/>
  <c r="BX225" i="1"/>
  <c r="BJ225" i="1"/>
  <c r="BM224" i="1"/>
  <c r="BU224" i="1"/>
  <c r="BN224" i="1"/>
  <c r="BV224" i="1"/>
  <c r="BH224" i="1"/>
  <c r="BP224" i="1"/>
  <c r="BX224" i="1"/>
  <c r="BI224" i="1"/>
  <c r="BQ224" i="1"/>
  <c r="BR224" i="1"/>
  <c r="BS224" i="1"/>
  <c r="BT224" i="1"/>
  <c r="BG224" i="1"/>
  <c r="BW224" i="1"/>
  <c r="BJ224" i="1"/>
  <c r="BL224" i="1"/>
  <c r="BK221" i="1"/>
  <c r="BS221" i="1"/>
  <c r="BL221" i="1"/>
  <c r="BT221" i="1"/>
  <c r="BN221" i="1"/>
  <c r="BV221" i="1"/>
  <c r="BG221" i="1"/>
  <c r="BO221" i="1"/>
  <c r="BW221" i="1"/>
  <c r="BH221" i="1"/>
  <c r="BX221" i="1"/>
  <c r="BI221" i="1"/>
  <c r="BJ221" i="1"/>
  <c r="BM221" i="1"/>
  <c r="BP221" i="1"/>
  <c r="BR221" i="1"/>
  <c r="BM220" i="1"/>
  <c r="BU220" i="1"/>
  <c r="BN220" i="1"/>
  <c r="BV220" i="1"/>
  <c r="BH220" i="1"/>
  <c r="BP220" i="1"/>
  <c r="BX220" i="1"/>
  <c r="BI220" i="1"/>
  <c r="BQ220" i="1"/>
  <c r="BJ220" i="1"/>
  <c r="BK220" i="1"/>
  <c r="BL220" i="1"/>
  <c r="BO220" i="1"/>
  <c r="BR220" i="1"/>
  <c r="BT220" i="1"/>
  <c r="BG219" i="1"/>
  <c r="BO219" i="1"/>
  <c r="BW219" i="1"/>
  <c r="BH219" i="1"/>
  <c r="BP219" i="1"/>
  <c r="BX219" i="1"/>
  <c r="BJ219" i="1"/>
  <c r="BR219" i="1"/>
  <c r="BK219" i="1"/>
  <c r="BS219" i="1"/>
  <c r="BL219" i="1"/>
  <c r="BM219" i="1"/>
  <c r="BN219" i="1"/>
  <c r="BQ219" i="1"/>
  <c r="BT219" i="1"/>
  <c r="BV219" i="1"/>
  <c r="BI218" i="1"/>
  <c r="BQ218" i="1"/>
  <c r="BJ218" i="1"/>
  <c r="BR218" i="1"/>
  <c r="BL218" i="1"/>
  <c r="BT218" i="1"/>
  <c r="BM218" i="1"/>
  <c r="BU218" i="1"/>
  <c r="BN218" i="1"/>
  <c r="BO218" i="1"/>
  <c r="BP218" i="1"/>
  <c r="BS218" i="1"/>
  <c r="BV218" i="1"/>
  <c r="BH218" i="1"/>
  <c r="BX218" i="1"/>
  <c r="BK217" i="1"/>
  <c r="BS217" i="1"/>
  <c r="BL217" i="1"/>
  <c r="BT217" i="1"/>
  <c r="BN217" i="1"/>
  <c r="BV217" i="1"/>
  <c r="BG217" i="1"/>
  <c r="BO217" i="1"/>
  <c r="BW217" i="1"/>
  <c r="BP217" i="1"/>
  <c r="BQ217" i="1"/>
  <c r="BR217" i="1"/>
  <c r="BU217" i="1"/>
  <c r="BH217" i="1"/>
  <c r="BX217" i="1"/>
  <c r="BJ217" i="1"/>
  <c r="BM216" i="1"/>
  <c r="BU216" i="1"/>
  <c r="BN216" i="1"/>
  <c r="BV216" i="1"/>
  <c r="BH216" i="1"/>
  <c r="BP216" i="1"/>
  <c r="BX216" i="1"/>
  <c r="BI216" i="1"/>
  <c r="BQ216" i="1"/>
  <c r="BR216" i="1"/>
  <c r="BS216" i="1"/>
  <c r="BT216" i="1"/>
  <c r="BG216" i="1"/>
  <c r="BW216" i="1"/>
  <c r="BJ216" i="1"/>
  <c r="BL216" i="1"/>
  <c r="BG215" i="1"/>
  <c r="BO215" i="1"/>
  <c r="BW215" i="1"/>
  <c r="BH215" i="1"/>
  <c r="BP215" i="1"/>
  <c r="BX215" i="1"/>
  <c r="BJ215" i="1"/>
  <c r="BR215" i="1"/>
  <c r="BK215" i="1"/>
  <c r="BS215" i="1"/>
  <c r="BT215" i="1"/>
  <c r="BU215" i="1"/>
  <c r="BV215" i="1"/>
  <c r="BI215" i="1"/>
  <c r="BL215" i="1"/>
  <c r="BN215" i="1"/>
  <c r="BI214" i="1"/>
  <c r="BQ214" i="1"/>
  <c r="BJ214" i="1"/>
  <c r="BR214" i="1"/>
  <c r="BL214" i="1"/>
  <c r="BT214" i="1"/>
  <c r="BM214" i="1"/>
  <c r="BU214" i="1"/>
  <c r="BV214" i="1"/>
  <c r="BG214" i="1"/>
  <c r="BW214" i="1"/>
  <c r="BH214" i="1"/>
  <c r="BX214" i="1"/>
  <c r="BK214" i="1"/>
  <c r="BN214" i="1"/>
  <c r="BP214" i="1"/>
  <c r="BK213" i="1"/>
  <c r="BS213" i="1"/>
  <c r="BL213" i="1"/>
  <c r="BT213" i="1"/>
  <c r="BN213" i="1"/>
  <c r="BV213" i="1"/>
  <c r="BG213" i="1"/>
  <c r="BO213" i="1"/>
  <c r="BW213" i="1"/>
  <c r="BH213" i="1"/>
  <c r="BX213" i="1"/>
  <c r="BI213" i="1"/>
  <c r="BJ213" i="1"/>
  <c r="BM213" i="1"/>
  <c r="BP213" i="1"/>
  <c r="BR213" i="1"/>
  <c r="BM212" i="1"/>
  <c r="BU212" i="1"/>
  <c r="BN212" i="1"/>
  <c r="BV212" i="1"/>
  <c r="BH212" i="1"/>
  <c r="BP212" i="1"/>
  <c r="BX212" i="1"/>
  <c r="BI212" i="1"/>
  <c r="BQ212" i="1"/>
  <c r="BJ212" i="1"/>
  <c r="BK212" i="1"/>
  <c r="BL212" i="1"/>
  <c r="BO212" i="1"/>
  <c r="BR212" i="1"/>
  <c r="BT212" i="1"/>
  <c r="BG195" i="1"/>
  <c r="BO195" i="1"/>
  <c r="BW195" i="1"/>
  <c r="BH195" i="1"/>
  <c r="BP195" i="1"/>
  <c r="BX195" i="1"/>
  <c r="BI195" i="1"/>
  <c r="BQ195" i="1"/>
  <c r="BK195" i="1"/>
  <c r="BS195" i="1"/>
  <c r="BU195" i="1"/>
  <c r="BV195" i="1"/>
  <c r="BL195" i="1"/>
  <c r="BM195" i="1"/>
  <c r="BN195" i="1"/>
  <c r="BR195" i="1"/>
  <c r="BT195" i="1"/>
  <c r="BM184" i="1"/>
  <c r="BU184" i="1"/>
  <c r="BN184" i="1"/>
  <c r="BV184" i="1"/>
  <c r="BG184" i="1"/>
  <c r="BO184" i="1"/>
  <c r="BW184" i="1"/>
  <c r="BI184" i="1"/>
  <c r="BQ184" i="1"/>
  <c r="BK184" i="1"/>
  <c r="BL184" i="1"/>
  <c r="BR184" i="1"/>
  <c r="BS184" i="1"/>
  <c r="BT184" i="1"/>
  <c r="BX184" i="1"/>
  <c r="BJ184" i="1"/>
  <c r="BM180" i="1"/>
  <c r="BU180" i="1"/>
  <c r="BN180" i="1"/>
  <c r="BV180" i="1"/>
  <c r="BG180" i="1"/>
  <c r="BO180" i="1"/>
  <c r="BW180" i="1"/>
  <c r="BI180" i="1"/>
  <c r="BQ180" i="1"/>
  <c r="BS180" i="1"/>
  <c r="BT180" i="1"/>
  <c r="BH180" i="1"/>
  <c r="BX180" i="1"/>
  <c r="BJ180" i="1"/>
  <c r="BK180" i="1"/>
  <c r="BP180" i="1"/>
  <c r="BG171" i="1"/>
  <c r="BO171" i="1"/>
  <c r="BW171" i="1"/>
  <c r="BH171" i="1"/>
  <c r="BP171" i="1"/>
  <c r="BX171" i="1"/>
  <c r="BI171" i="1"/>
  <c r="BQ171" i="1"/>
  <c r="BJ171" i="1"/>
  <c r="BK171" i="1"/>
  <c r="BS171" i="1"/>
  <c r="BU171" i="1"/>
  <c r="BV171" i="1"/>
  <c r="BL171" i="1"/>
  <c r="BM171" i="1"/>
  <c r="BR171" i="1"/>
  <c r="BN171" i="1"/>
  <c r="BK153" i="1"/>
  <c r="BS153" i="1"/>
  <c r="BL153" i="1"/>
  <c r="BT153" i="1"/>
  <c r="BM153" i="1"/>
  <c r="BU153" i="1"/>
  <c r="BN153" i="1"/>
  <c r="BV153" i="1"/>
  <c r="BG153" i="1"/>
  <c r="BO153" i="1"/>
  <c r="BW153" i="1"/>
  <c r="BH153" i="1"/>
  <c r="BP153" i="1"/>
  <c r="BX153" i="1"/>
  <c r="BI153" i="1"/>
  <c r="BJ153" i="1"/>
  <c r="BQ153" i="1"/>
  <c r="BR153" i="1"/>
  <c r="BH142" i="1"/>
  <c r="BP142" i="1"/>
  <c r="BX142" i="1"/>
  <c r="BI142" i="1"/>
  <c r="BQ142" i="1"/>
  <c r="BJ142" i="1"/>
  <c r="BR142" i="1"/>
  <c r="BL142" i="1"/>
  <c r="BT142" i="1"/>
  <c r="BN142" i="1"/>
  <c r="BV142" i="1"/>
  <c r="BW142" i="1"/>
  <c r="BG142" i="1"/>
  <c r="BK142" i="1"/>
  <c r="BM142" i="1"/>
  <c r="BO142" i="1"/>
  <c r="BS142" i="1"/>
  <c r="BU142" i="1"/>
  <c r="BJ137" i="1"/>
  <c r="BR137" i="1"/>
  <c r="BK137" i="1"/>
  <c r="BS137" i="1"/>
  <c r="BL137" i="1"/>
  <c r="BT137" i="1"/>
  <c r="BN137" i="1"/>
  <c r="BV137" i="1"/>
  <c r="BH137" i="1"/>
  <c r="BP137" i="1"/>
  <c r="BX137" i="1"/>
  <c r="BG137" i="1"/>
  <c r="BI137" i="1"/>
  <c r="BM137" i="1"/>
  <c r="BO137" i="1"/>
  <c r="BQ137" i="1"/>
  <c r="BU137" i="1"/>
  <c r="BW137" i="1"/>
  <c r="BJ129" i="1"/>
  <c r="BR129" i="1"/>
  <c r="BK129" i="1"/>
  <c r="BS129" i="1"/>
  <c r="BL129" i="1"/>
  <c r="BT129" i="1"/>
  <c r="BN129" i="1"/>
  <c r="BV129" i="1"/>
  <c r="BH129" i="1"/>
  <c r="BP129" i="1"/>
  <c r="BX129" i="1"/>
  <c r="BW129" i="1"/>
  <c r="BG129" i="1"/>
  <c r="BI129" i="1"/>
  <c r="BM129" i="1"/>
  <c r="BO129" i="1"/>
  <c r="BQ129" i="1"/>
  <c r="BJ113" i="1"/>
  <c r="BR113" i="1"/>
  <c r="BK113" i="1"/>
  <c r="BS113" i="1"/>
  <c r="BL113" i="1"/>
  <c r="BT113" i="1"/>
  <c r="BN113" i="1"/>
  <c r="BV113" i="1"/>
  <c r="BH113" i="1"/>
  <c r="BP113" i="1"/>
  <c r="BX113" i="1"/>
  <c r="BI113" i="1"/>
  <c r="BQ113" i="1"/>
  <c r="BM113" i="1"/>
  <c r="BO113" i="1"/>
  <c r="BU113" i="1"/>
  <c r="BW113" i="1"/>
  <c r="BG113" i="1"/>
  <c r="BJ105" i="1"/>
  <c r="BR105" i="1"/>
  <c r="BK105" i="1"/>
  <c r="BS105" i="1"/>
  <c r="BL105" i="1"/>
  <c r="BT105" i="1"/>
  <c r="BN105" i="1"/>
  <c r="BV105" i="1"/>
  <c r="BH105" i="1"/>
  <c r="BP105" i="1"/>
  <c r="BX105" i="1"/>
  <c r="BI105" i="1"/>
  <c r="BQ105" i="1"/>
  <c r="BG105" i="1"/>
  <c r="BM105" i="1"/>
  <c r="BO105" i="1"/>
  <c r="BU105" i="1"/>
  <c r="BW105" i="1"/>
  <c r="BN103" i="1"/>
  <c r="BV103" i="1"/>
  <c r="BG103" i="1"/>
  <c r="BO103" i="1"/>
  <c r="BW103" i="1"/>
  <c r="BH103" i="1"/>
  <c r="BP103" i="1"/>
  <c r="BX103" i="1"/>
  <c r="BJ103" i="1"/>
  <c r="BR103" i="1"/>
  <c r="BL103" i="1"/>
  <c r="BT103" i="1"/>
  <c r="BM103" i="1"/>
  <c r="BU103" i="1"/>
  <c r="BI103" i="1"/>
  <c r="BK103" i="1"/>
  <c r="BQ103" i="1"/>
  <c r="BS103" i="1"/>
  <c r="BH90" i="1"/>
  <c r="BP90" i="1"/>
  <c r="BX90" i="1"/>
  <c r="BI90" i="1"/>
  <c r="BQ90" i="1"/>
  <c r="BJ90" i="1"/>
  <c r="BR90" i="1"/>
  <c r="BK90" i="1"/>
  <c r="BS90" i="1"/>
  <c r="BL90" i="1"/>
  <c r="BT90" i="1"/>
  <c r="BN90" i="1"/>
  <c r="BV90" i="1"/>
  <c r="BG90" i="1"/>
  <c r="BO90" i="1"/>
  <c r="BW90" i="1"/>
  <c r="BM90" i="1"/>
  <c r="BU90" i="1"/>
  <c r="BL88" i="1"/>
  <c r="BN88" i="1"/>
  <c r="BG88" i="1"/>
  <c r="BH88" i="1"/>
  <c r="BJ88" i="1"/>
  <c r="BI88" i="1"/>
  <c r="BT88" i="1"/>
  <c r="BK88" i="1"/>
  <c r="BU88" i="1"/>
  <c r="BM88" i="1"/>
  <c r="BV88" i="1"/>
  <c r="BO88" i="1"/>
  <c r="BW88" i="1"/>
  <c r="BP88" i="1"/>
  <c r="BX88" i="1"/>
  <c r="BR88" i="1"/>
  <c r="BS88" i="1"/>
  <c r="BQ88" i="1"/>
  <c r="BL60" i="1"/>
  <c r="BT60" i="1"/>
  <c r="BM60" i="1"/>
  <c r="BU60" i="1"/>
  <c r="BN60" i="1"/>
  <c r="BV60" i="1"/>
  <c r="BG60" i="1"/>
  <c r="BO60" i="1"/>
  <c r="BW60" i="1"/>
  <c r="BH60" i="1"/>
  <c r="BP60" i="1"/>
  <c r="BX60" i="1"/>
  <c r="BJ60" i="1"/>
  <c r="BR60" i="1"/>
  <c r="BI60" i="1"/>
  <c r="BK60" i="1"/>
  <c r="BQ60" i="1"/>
  <c r="BS60" i="1"/>
  <c r="BI42" i="1"/>
  <c r="BQ42" i="1"/>
  <c r="BJ42" i="1"/>
  <c r="BR42" i="1"/>
  <c r="BK42" i="1"/>
  <c r="BS42" i="1"/>
  <c r="BL42" i="1"/>
  <c r="BT42" i="1"/>
  <c r="BM42" i="1"/>
  <c r="BU42" i="1"/>
  <c r="BN42" i="1"/>
  <c r="BV42" i="1"/>
  <c r="BG42" i="1"/>
  <c r="BO42" i="1"/>
  <c r="BW42" i="1"/>
  <c r="BH42" i="1"/>
  <c r="BP42" i="1"/>
  <c r="BX42" i="1"/>
  <c r="BM40" i="1"/>
  <c r="BU40" i="1"/>
  <c r="BN40" i="1"/>
  <c r="BV40" i="1"/>
  <c r="BG40" i="1"/>
  <c r="BO40" i="1"/>
  <c r="BW40" i="1"/>
  <c r="BH40" i="1"/>
  <c r="BP40" i="1"/>
  <c r="BX40" i="1"/>
  <c r="BI40" i="1"/>
  <c r="BQ40" i="1"/>
  <c r="BJ40" i="1"/>
  <c r="BR40" i="1"/>
  <c r="BK40" i="1"/>
  <c r="BS40" i="1"/>
  <c r="BT40" i="1"/>
  <c r="BL40" i="1"/>
  <c r="BI38" i="1"/>
  <c r="BQ38" i="1"/>
  <c r="BJ38" i="1"/>
  <c r="BR38" i="1"/>
  <c r="BK38" i="1"/>
  <c r="BS38" i="1"/>
  <c r="BL38" i="1"/>
  <c r="BT38" i="1"/>
  <c r="BM38" i="1"/>
  <c r="BU38" i="1"/>
  <c r="BN38" i="1"/>
  <c r="BV38" i="1"/>
  <c r="BG38" i="1"/>
  <c r="BO38" i="1"/>
  <c r="BW38" i="1"/>
  <c r="BH38" i="1"/>
  <c r="BP38" i="1"/>
  <c r="BX38" i="1"/>
  <c r="BM36" i="1"/>
  <c r="BU36" i="1"/>
  <c r="BN36" i="1"/>
  <c r="BV36" i="1"/>
  <c r="BG36" i="1"/>
  <c r="BO36" i="1"/>
  <c r="BW36" i="1"/>
  <c r="BH36" i="1"/>
  <c r="BP36" i="1"/>
  <c r="BX36" i="1"/>
  <c r="BI36" i="1"/>
  <c r="BQ36" i="1"/>
  <c r="BJ36" i="1"/>
  <c r="BR36" i="1"/>
  <c r="BK36" i="1"/>
  <c r="BS36" i="1"/>
  <c r="BL36" i="1"/>
  <c r="BT36" i="1"/>
  <c r="BI34" i="1"/>
  <c r="BQ34" i="1"/>
  <c r="BJ34" i="1"/>
  <c r="BR34" i="1"/>
  <c r="BK34" i="1"/>
  <c r="BS34" i="1"/>
  <c r="BL34" i="1"/>
  <c r="BT34" i="1"/>
  <c r="BM34" i="1"/>
  <c r="BU34" i="1"/>
  <c r="BN34" i="1"/>
  <c r="BV34" i="1"/>
  <c r="BG34" i="1"/>
  <c r="BO34" i="1"/>
  <c r="BW34" i="1"/>
  <c r="BH34" i="1"/>
  <c r="BP34" i="1"/>
  <c r="BX34" i="1"/>
  <c r="BG23" i="1"/>
  <c r="BO23" i="1"/>
  <c r="BW23" i="1"/>
  <c r="BH23" i="1"/>
  <c r="BP23" i="1"/>
  <c r="BX23" i="1"/>
  <c r="BI23" i="1"/>
  <c r="BQ23" i="1"/>
  <c r="BJ23" i="1"/>
  <c r="BR23" i="1"/>
  <c r="BK23" i="1"/>
  <c r="BS23" i="1"/>
  <c r="BL23" i="1"/>
  <c r="BT23" i="1"/>
  <c r="BM23" i="1"/>
  <c r="BU23" i="1"/>
  <c r="BN23" i="1"/>
  <c r="BV23" i="1"/>
  <c r="BK21" i="1"/>
  <c r="BS21" i="1"/>
  <c r="BL21" i="1"/>
  <c r="BT21" i="1"/>
  <c r="BM21" i="1"/>
  <c r="BU21" i="1"/>
  <c r="BN21" i="1"/>
  <c r="BV21" i="1"/>
  <c r="BG21" i="1"/>
  <c r="BO21" i="1"/>
  <c r="BW21" i="1"/>
  <c r="BH21" i="1"/>
  <c r="BP21" i="1"/>
  <c r="BX21" i="1"/>
  <c r="BI21" i="1"/>
  <c r="BQ21" i="1"/>
  <c r="BJ21" i="1"/>
  <c r="BR21" i="1"/>
  <c r="BI281" i="1"/>
  <c r="BQ281" i="1"/>
  <c r="BK281" i="1"/>
  <c r="BS281" i="1"/>
  <c r="BM281" i="1"/>
  <c r="BU281" i="1"/>
  <c r="BG281" i="1"/>
  <c r="BO281" i="1"/>
  <c r="BW281" i="1"/>
  <c r="BG18" i="1"/>
  <c r="BQ18" i="1"/>
  <c r="BS297" i="1"/>
  <c r="BK297" i="1"/>
  <c r="BU296" i="1"/>
  <c r="BM296" i="1"/>
  <c r="BW295" i="1"/>
  <c r="BO295" i="1"/>
  <c r="BG295" i="1"/>
  <c r="BQ294" i="1"/>
  <c r="BI294" i="1"/>
  <c r="BS293" i="1"/>
  <c r="BK293" i="1"/>
  <c r="BU292" i="1"/>
  <c r="BM292" i="1"/>
  <c r="BW291" i="1"/>
  <c r="BO291" i="1"/>
  <c r="BG291" i="1"/>
  <c r="BQ290" i="1"/>
  <c r="BI290" i="1"/>
  <c r="BS289" i="1"/>
  <c r="BN288" i="1"/>
  <c r="BP287" i="1"/>
  <c r="BR286" i="1"/>
  <c r="BT285" i="1"/>
  <c r="BV284" i="1"/>
  <c r="BX283" i="1"/>
  <c r="BH283" i="1"/>
  <c r="BJ282" i="1"/>
  <c r="BL281" i="1"/>
  <c r="BN280" i="1"/>
  <c r="BP279" i="1"/>
  <c r="BV276" i="1"/>
  <c r="BX275" i="1"/>
  <c r="BH275" i="1"/>
  <c r="BJ274" i="1"/>
  <c r="BL273" i="1"/>
  <c r="BN272" i="1"/>
  <c r="BP271" i="1"/>
  <c r="BR270" i="1"/>
  <c r="BP269" i="1"/>
  <c r="BT267" i="1"/>
  <c r="BX265" i="1"/>
  <c r="BJ264" i="1"/>
  <c r="BN262" i="1"/>
  <c r="BR260" i="1"/>
  <c r="BV258" i="1"/>
  <c r="BH257" i="1"/>
  <c r="BL255" i="1"/>
  <c r="BP253" i="1"/>
  <c r="BT251" i="1"/>
  <c r="BU246" i="1"/>
  <c r="BV243" i="1"/>
  <c r="BH241" i="1"/>
  <c r="BK238" i="1"/>
  <c r="BM235" i="1"/>
  <c r="BQ232" i="1"/>
  <c r="BS222" i="1"/>
  <c r="BI219" i="1"/>
  <c r="BQ215" i="1"/>
  <c r="BG212" i="1"/>
  <c r="BL200" i="1"/>
  <c r="BL186" i="1"/>
  <c r="BN163" i="1"/>
  <c r="BU114" i="1"/>
  <c r="BK169" i="1"/>
  <c r="BS169" i="1"/>
  <c r="BL169" i="1"/>
  <c r="BT169" i="1"/>
  <c r="BM169" i="1"/>
  <c r="BU169" i="1"/>
  <c r="BN169" i="1"/>
  <c r="BV169" i="1"/>
  <c r="BG169" i="1"/>
  <c r="BO169" i="1"/>
  <c r="BW169" i="1"/>
  <c r="BQ169" i="1"/>
  <c r="BR169" i="1"/>
  <c r="BX169" i="1"/>
  <c r="BH169" i="1"/>
  <c r="BJ169" i="1"/>
  <c r="BI169" i="1"/>
  <c r="BP169" i="1"/>
  <c r="BM156" i="1"/>
  <c r="BU156" i="1"/>
  <c r="BN156" i="1"/>
  <c r="BV156" i="1"/>
  <c r="BG156" i="1"/>
  <c r="BO156" i="1"/>
  <c r="BW156" i="1"/>
  <c r="BH156" i="1"/>
  <c r="BP156" i="1"/>
  <c r="BX156" i="1"/>
  <c r="BI156" i="1"/>
  <c r="BQ156" i="1"/>
  <c r="BJ156" i="1"/>
  <c r="BR156" i="1"/>
  <c r="BK156" i="1"/>
  <c r="BL156" i="1"/>
  <c r="BS156" i="1"/>
  <c r="BT156" i="1"/>
  <c r="BI150" i="1"/>
  <c r="BQ150" i="1"/>
  <c r="BJ150" i="1"/>
  <c r="BR150" i="1"/>
  <c r="BK150" i="1"/>
  <c r="BS150" i="1"/>
  <c r="BL150" i="1"/>
  <c r="BT150" i="1"/>
  <c r="BM150" i="1"/>
  <c r="BU150" i="1"/>
  <c r="BN150" i="1"/>
  <c r="BV150" i="1"/>
  <c r="BW150" i="1"/>
  <c r="BX150" i="1"/>
  <c r="BG150" i="1"/>
  <c r="BO150" i="1"/>
  <c r="BH150" i="1"/>
  <c r="BL104" i="1"/>
  <c r="BT104" i="1"/>
  <c r="BM104" i="1"/>
  <c r="BU104" i="1"/>
  <c r="BN104" i="1"/>
  <c r="BV104" i="1"/>
  <c r="BH104" i="1"/>
  <c r="BP104" i="1"/>
  <c r="BX104" i="1"/>
  <c r="BJ104" i="1"/>
  <c r="BR104" i="1"/>
  <c r="BK104" i="1"/>
  <c r="BS104" i="1"/>
  <c r="BO104" i="1"/>
  <c r="BQ104" i="1"/>
  <c r="BW104" i="1"/>
  <c r="BG104" i="1"/>
  <c r="BI104" i="1"/>
  <c r="BJ89" i="1"/>
  <c r="BR89" i="1"/>
  <c r="BK89" i="1"/>
  <c r="BS89" i="1"/>
  <c r="BL89" i="1"/>
  <c r="BT89" i="1"/>
  <c r="BM89" i="1"/>
  <c r="BU89" i="1"/>
  <c r="BN89" i="1"/>
  <c r="BV89" i="1"/>
  <c r="BH89" i="1"/>
  <c r="BP89" i="1"/>
  <c r="BX89" i="1"/>
  <c r="BI89" i="1"/>
  <c r="BQ89" i="1"/>
  <c r="BW89" i="1"/>
  <c r="BG89" i="1"/>
  <c r="BO89" i="1"/>
  <c r="BL80" i="1"/>
  <c r="BT80" i="1"/>
  <c r="BM80" i="1"/>
  <c r="BU80" i="1"/>
  <c r="BN80" i="1"/>
  <c r="BV80" i="1"/>
  <c r="BG80" i="1"/>
  <c r="BO80" i="1"/>
  <c r="BW80" i="1"/>
  <c r="BH80" i="1"/>
  <c r="BP80" i="1"/>
  <c r="BX80" i="1"/>
  <c r="BJ80" i="1"/>
  <c r="BR80" i="1"/>
  <c r="BI80" i="1"/>
  <c r="BQ80" i="1"/>
  <c r="BS80" i="1"/>
  <c r="BK80" i="1"/>
  <c r="BG31" i="1"/>
  <c r="BO31" i="1"/>
  <c r="BW31" i="1"/>
  <c r="BH31" i="1"/>
  <c r="BP31" i="1"/>
  <c r="BX31" i="1"/>
  <c r="BI31" i="1"/>
  <c r="BQ31" i="1"/>
  <c r="BJ31" i="1"/>
  <c r="BR31" i="1"/>
  <c r="BK31" i="1"/>
  <c r="BS31" i="1"/>
  <c r="BL31" i="1"/>
  <c r="BT31" i="1"/>
  <c r="BM31" i="1"/>
  <c r="BU31" i="1"/>
  <c r="BN31" i="1"/>
  <c r="BV31" i="1"/>
  <c r="BJ248" i="1"/>
  <c r="BS206" i="1"/>
  <c r="BG278" i="1"/>
  <c r="BO278" i="1"/>
  <c r="BW278" i="1"/>
  <c r="BI278" i="1"/>
  <c r="BQ278" i="1"/>
  <c r="BK278" i="1"/>
  <c r="BS278" i="1"/>
  <c r="BM278" i="1"/>
  <c r="BU278" i="1"/>
  <c r="BK249" i="1"/>
  <c r="BS249" i="1"/>
  <c r="BL249" i="1"/>
  <c r="BT249" i="1"/>
  <c r="BN249" i="1"/>
  <c r="BV249" i="1"/>
  <c r="BG249" i="1"/>
  <c r="BR249" i="1"/>
  <c r="BH249" i="1"/>
  <c r="BU249" i="1"/>
  <c r="BI249" i="1"/>
  <c r="BW249" i="1"/>
  <c r="BJ249" i="1"/>
  <c r="BX249" i="1"/>
  <c r="BM249" i="1"/>
  <c r="BP249" i="1"/>
  <c r="BK237" i="1"/>
  <c r="BS237" i="1"/>
  <c r="BL237" i="1"/>
  <c r="BT237" i="1"/>
  <c r="BN237" i="1"/>
  <c r="BV237" i="1"/>
  <c r="BQ237" i="1"/>
  <c r="BG237" i="1"/>
  <c r="BR237" i="1"/>
  <c r="BH237" i="1"/>
  <c r="BU237" i="1"/>
  <c r="BI237" i="1"/>
  <c r="BW237" i="1"/>
  <c r="BJ237" i="1"/>
  <c r="BX237" i="1"/>
  <c r="BO237" i="1"/>
  <c r="BK229" i="1"/>
  <c r="BS229" i="1"/>
  <c r="BL229" i="1"/>
  <c r="BT229" i="1"/>
  <c r="BN229" i="1"/>
  <c r="BV229" i="1"/>
  <c r="BG229" i="1"/>
  <c r="BH229" i="1"/>
  <c r="BU229" i="1"/>
  <c r="BI229" i="1"/>
  <c r="BW229" i="1"/>
  <c r="BJ229" i="1"/>
  <c r="BX229" i="1"/>
  <c r="BM229" i="1"/>
  <c r="BO229" i="1"/>
  <c r="BQ229" i="1"/>
  <c r="BM228" i="1"/>
  <c r="BU228" i="1"/>
  <c r="BN228" i="1"/>
  <c r="BV228" i="1"/>
  <c r="BH228" i="1"/>
  <c r="BP228" i="1"/>
  <c r="BX228" i="1"/>
  <c r="BI228" i="1"/>
  <c r="BQ228" i="1"/>
  <c r="BJ228" i="1"/>
  <c r="BK228" i="1"/>
  <c r="BL228" i="1"/>
  <c r="BO228" i="1"/>
  <c r="BR228" i="1"/>
  <c r="BT228" i="1"/>
  <c r="BG211" i="1"/>
  <c r="BO211" i="1"/>
  <c r="BW211" i="1"/>
  <c r="BH211" i="1"/>
  <c r="BP211" i="1"/>
  <c r="BX211" i="1"/>
  <c r="BJ211" i="1"/>
  <c r="BR211" i="1"/>
  <c r="BK211" i="1"/>
  <c r="BS211" i="1"/>
  <c r="BL211" i="1"/>
  <c r="BM211" i="1"/>
  <c r="BN211" i="1"/>
  <c r="BQ211" i="1"/>
  <c r="BT211" i="1"/>
  <c r="BV211" i="1"/>
  <c r="BK193" i="1"/>
  <c r="BS193" i="1"/>
  <c r="BL193" i="1"/>
  <c r="BT193" i="1"/>
  <c r="BM193" i="1"/>
  <c r="BU193" i="1"/>
  <c r="BG193" i="1"/>
  <c r="BO193" i="1"/>
  <c r="BW193" i="1"/>
  <c r="BI193" i="1"/>
  <c r="BJ193" i="1"/>
  <c r="BP193" i="1"/>
  <c r="BQ193" i="1"/>
  <c r="BR193" i="1"/>
  <c r="BV193" i="1"/>
  <c r="BX193" i="1"/>
  <c r="BH193" i="1"/>
  <c r="BI166" i="1"/>
  <c r="BQ166" i="1"/>
  <c r="BJ166" i="1"/>
  <c r="BR166" i="1"/>
  <c r="BK166" i="1"/>
  <c r="BS166" i="1"/>
  <c r="BL166" i="1"/>
  <c r="BT166" i="1"/>
  <c r="BM166" i="1"/>
  <c r="BU166" i="1"/>
  <c r="BG166" i="1"/>
  <c r="BH166" i="1"/>
  <c r="BN166" i="1"/>
  <c r="BO166" i="1"/>
  <c r="BP166" i="1"/>
  <c r="BW166" i="1"/>
  <c r="BV166" i="1"/>
  <c r="BG151" i="1"/>
  <c r="BO151" i="1"/>
  <c r="BW151" i="1"/>
  <c r="BH151" i="1"/>
  <c r="BP151" i="1"/>
  <c r="BX151" i="1"/>
  <c r="BI151" i="1"/>
  <c r="BQ151" i="1"/>
  <c r="BJ151" i="1"/>
  <c r="BR151" i="1"/>
  <c r="BK151" i="1"/>
  <c r="BS151" i="1"/>
  <c r="BL151" i="1"/>
  <c r="BT151" i="1"/>
  <c r="BM151" i="1"/>
  <c r="BN151" i="1"/>
  <c r="BU151" i="1"/>
  <c r="BV151" i="1"/>
  <c r="BH134" i="1"/>
  <c r="BP134" i="1"/>
  <c r="BX134" i="1"/>
  <c r="BI134" i="1"/>
  <c r="BQ134" i="1"/>
  <c r="BJ134" i="1"/>
  <c r="BR134" i="1"/>
  <c r="BL134" i="1"/>
  <c r="BT134" i="1"/>
  <c r="BN134" i="1"/>
  <c r="BV134" i="1"/>
  <c r="BS134" i="1"/>
  <c r="BU134" i="1"/>
  <c r="BW134" i="1"/>
  <c r="BG134" i="1"/>
  <c r="BK134" i="1"/>
  <c r="BM134" i="1"/>
  <c r="BH118" i="1"/>
  <c r="BP118" i="1"/>
  <c r="BX118" i="1"/>
  <c r="BI118" i="1"/>
  <c r="BQ118" i="1"/>
  <c r="BJ118" i="1"/>
  <c r="BR118" i="1"/>
  <c r="BL118" i="1"/>
  <c r="BT118" i="1"/>
  <c r="BN118" i="1"/>
  <c r="BV118" i="1"/>
  <c r="BG118" i="1"/>
  <c r="BK118" i="1"/>
  <c r="BM118" i="1"/>
  <c r="BO118" i="1"/>
  <c r="BS118" i="1"/>
  <c r="BU118" i="1"/>
  <c r="BW118" i="1"/>
  <c r="BH110" i="1"/>
  <c r="BP110" i="1"/>
  <c r="BX110" i="1"/>
  <c r="BI110" i="1"/>
  <c r="BQ110" i="1"/>
  <c r="BJ110" i="1"/>
  <c r="BR110" i="1"/>
  <c r="BL110" i="1"/>
  <c r="BT110" i="1"/>
  <c r="BN110" i="1"/>
  <c r="BV110" i="1"/>
  <c r="BG110" i="1"/>
  <c r="BO110" i="1"/>
  <c r="BW110" i="1"/>
  <c r="BK110" i="1"/>
  <c r="BM110" i="1"/>
  <c r="BS110" i="1"/>
  <c r="BU110" i="1"/>
  <c r="BL92" i="1"/>
  <c r="BT92" i="1"/>
  <c r="BM92" i="1"/>
  <c r="BU92" i="1"/>
  <c r="BN92" i="1"/>
  <c r="BV92" i="1"/>
  <c r="BG92" i="1"/>
  <c r="BO92" i="1"/>
  <c r="BW92" i="1"/>
  <c r="BH92" i="1"/>
  <c r="BP92" i="1"/>
  <c r="BX92" i="1"/>
  <c r="BJ92" i="1"/>
  <c r="BR92" i="1"/>
  <c r="BK92" i="1"/>
  <c r="BS92" i="1"/>
  <c r="BI92" i="1"/>
  <c r="BQ92" i="1"/>
  <c r="BJ81" i="1"/>
  <c r="BR81" i="1"/>
  <c r="BK81" i="1"/>
  <c r="BS81" i="1"/>
  <c r="BL81" i="1"/>
  <c r="BT81" i="1"/>
  <c r="BM81" i="1"/>
  <c r="BU81" i="1"/>
  <c r="BN81" i="1"/>
  <c r="BV81" i="1"/>
  <c r="BH81" i="1"/>
  <c r="BP81" i="1"/>
  <c r="BX81" i="1"/>
  <c r="BG81" i="1"/>
  <c r="BI81" i="1"/>
  <c r="BO81" i="1"/>
  <c r="BQ81" i="1"/>
  <c r="BW81" i="1"/>
  <c r="BN79" i="1"/>
  <c r="BV79" i="1"/>
  <c r="BG79" i="1"/>
  <c r="BO79" i="1"/>
  <c r="BW79" i="1"/>
  <c r="BH79" i="1"/>
  <c r="BP79" i="1"/>
  <c r="BX79" i="1"/>
  <c r="BI79" i="1"/>
  <c r="BQ79" i="1"/>
  <c r="BJ79" i="1"/>
  <c r="BR79" i="1"/>
  <c r="BL79" i="1"/>
  <c r="BT79" i="1"/>
  <c r="BK79" i="1"/>
  <c r="BM79" i="1"/>
  <c r="BS79" i="1"/>
  <c r="BU79" i="1"/>
  <c r="BJ77" i="1"/>
  <c r="BR77" i="1"/>
  <c r="BK77" i="1"/>
  <c r="BS77" i="1"/>
  <c r="BL77" i="1"/>
  <c r="BT77" i="1"/>
  <c r="BM77" i="1"/>
  <c r="BU77" i="1"/>
  <c r="BN77" i="1"/>
  <c r="BV77" i="1"/>
  <c r="BH77" i="1"/>
  <c r="BP77" i="1"/>
  <c r="BX77" i="1"/>
  <c r="BO77" i="1"/>
  <c r="BQ77" i="1"/>
  <c r="BW77" i="1"/>
  <c r="BG77" i="1"/>
  <c r="BI77" i="1"/>
  <c r="BJ57" i="1"/>
  <c r="BR57" i="1"/>
  <c r="BK57" i="1"/>
  <c r="BS57" i="1"/>
  <c r="BL57" i="1"/>
  <c r="BT57" i="1"/>
  <c r="BM57" i="1"/>
  <c r="BU57" i="1"/>
  <c r="BN57" i="1"/>
  <c r="BV57" i="1"/>
  <c r="BH57" i="1"/>
  <c r="BP57" i="1"/>
  <c r="BX57" i="1"/>
  <c r="BW57" i="1"/>
  <c r="BG57" i="1"/>
  <c r="BO57" i="1"/>
  <c r="BQ57" i="1"/>
  <c r="BI57" i="1"/>
  <c r="BM52" i="1"/>
  <c r="BU52" i="1"/>
  <c r="BG52" i="1"/>
  <c r="BO52" i="1"/>
  <c r="BW52" i="1"/>
  <c r="BI52" i="1"/>
  <c r="BQ52" i="1"/>
  <c r="BJ52" i="1"/>
  <c r="BR52" i="1"/>
  <c r="BK52" i="1"/>
  <c r="BS52" i="1"/>
  <c r="BH52" i="1"/>
  <c r="BL52" i="1"/>
  <c r="BN52" i="1"/>
  <c r="BP52" i="1"/>
  <c r="BV52" i="1"/>
  <c r="BT52" i="1"/>
  <c r="BX52" i="1"/>
  <c r="BI50" i="1"/>
  <c r="BQ50" i="1"/>
  <c r="BK50" i="1"/>
  <c r="BS50" i="1"/>
  <c r="BL50" i="1"/>
  <c r="BT50" i="1"/>
  <c r="BM50" i="1"/>
  <c r="BU50" i="1"/>
  <c r="BN50" i="1"/>
  <c r="BV50" i="1"/>
  <c r="BG50" i="1"/>
  <c r="BO50" i="1"/>
  <c r="BW50" i="1"/>
  <c r="BR50" i="1"/>
  <c r="BX50" i="1"/>
  <c r="BJ50" i="1"/>
  <c r="BH50" i="1"/>
  <c r="BP50" i="1"/>
  <c r="BI46" i="1"/>
  <c r="BQ46" i="1"/>
  <c r="BJ46" i="1"/>
  <c r="BR46" i="1"/>
  <c r="BK46" i="1"/>
  <c r="BS46" i="1"/>
  <c r="BL46" i="1"/>
  <c r="BT46" i="1"/>
  <c r="BM46" i="1"/>
  <c r="BU46" i="1"/>
  <c r="BN46" i="1"/>
  <c r="BV46" i="1"/>
  <c r="BG46" i="1"/>
  <c r="BO46" i="1"/>
  <c r="BW46" i="1"/>
  <c r="BH46" i="1"/>
  <c r="BX46" i="1"/>
  <c r="BP46" i="1"/>
  <c r="BM44" i="1"/>
  <c r="BU44" i="1"/>
  <c r="BN44" i="1"/>
  <c r="BV44" i="1"/>
  <c r="BG44" i="1"/>
  <c r="BO44" i="1"/>
  <c r="BW44" i="1"/>
  <c r="BH44" i="1"/>
  <c r="BP44" i="1"/>
  <c r="BX44" i="1"/>
  <c r="BI44" i="1"/>
  <c r="BQ44" i="1"/>
  <c r="BJ44" i="1"/>
  <c r="BR44" i="1"/>
  <c r="BK44" i="1"/>
  <c r="BS44" i="1"/>
  <c r="BL44" i="1"/>
  <c r="BT44" i="1"/>
  <c r="BG19" i="1"/>
  <c r="BO19" i="1"/>
  <c r="BW19" i="1"/>
  <c r="BH19" i="1"/>
  <c r="BP19" i="1"/>
  <c r="BX19" i="1"/>
  <c r="BI19" i="1"/>
  <c r="BQ19" i="1"/>
  <c r="BJ19" i="1"/>
  <c r="BR19" i="1"/>
  <c r="BK19" i="1"/>
  <c r="BS19" i="1"/>
  <c r="BL19" i="1"/>
  <c r="BT19" i="1"/>
  <c r="BM19" i="1"/>
  <c r="BU19" i="1"/>
  <c r="BN19" i="1"/>
  <c r="BV19" i="1"/>
  <c r="BI289" i="1"/>
  <c r="BK289" i="1"/>
  <c r="BG289" i="1"/>
  <c r="BN18" i="1"/>
  <c r="BX18" i="1"/>
  <c r="BR297" i="1"/>
  <c r="BT296" i="1"/>
  <c r="BV295" i="1"/>
  <c r="BX294" i="1"/>
  <c r="BP294" i="1"/>
  <c r="BR293" i="1"/>
  <c r="BT292" i="1"/>
  <c r="BV291" i="1"/>
  <c r="BX290" i="1"/>
  <c r="BP290" i="1"/>
  <c r="BR289" i="1"/>
  <c r="BH289" i="1"/>
  <c r="BL288" i="1"/>
  <c r="BN287" i="1"/>
  <c r="BP286" i="1"/>
  <c r="BR285" i="1"/>
  <c r="BT284" i="1"/>
  <c r="BV283" i="1"/>
  <c r="BX282" i="1"/>
  <c r="BH282" i="1"/>
  <c r="BJ281" i="1"/>
  <c r="BL280" i="1"/>
  <c r="BN279" i="1"/>
  <c r="BP278" i="1"/>
  <c r="BT276" i="1"/>
  <c r="BV275" i="1"/>
  <c r="BX274" i="1"/>
  <c r="BH274" i="1"/>
  <c r="BJ273" i="1"/>
  <c r="BL272" i="1"/>
  <c r="BN271" i="1"/>
  <c r="BP270" i="1"/>
  <c r="BN269" i="1"/>
  <c r="BR267" i="1"/>
  <c r="BV265" i="1"/>
  <c r="BH264" i="1"/>
  <c r="BL262" i="1"/>
  <c r="BP260" i="1"/>
  <c r="BT258" i="1"/>
  <c r="BX256" i="1"/>
  <c r="BJ255" i="1"/>
  <c r="BN253" i="1"/>
  <c r="BR251" i="1"/>
  <c r="BO249" i="1"/>
  <c r="BP246" i="1"/>
  <c r="BT243" i="1"/>
  <c r="BW240" i="1"/>
  <c r="BG238" i="1"/>
  <c r="BK235" i="1"/>
  <c r="BL232" i="1"/>
  <c r="BP229" i="1"/>
  <c r="BO222" i="1"/>
  <c r="BW218" i="1"/>
  <c r="BM215" i="1"/>
  <c r="BU211" i="1"/>
  <c r="BW199" i="1"/>
  <c r="BX192" i="1"/>
  <c r="BV185" i="1"/>
  <c r="BV177" i="1"/>
  <c r="BN162" i="1"/>
  <c r="BS107" i="1"/>
  <c r="AB134" i="1"/>
  <c r="AB221" i="1"/>
  <c r="AB222" i="1"/>
  <c r="AB207" i="1"/>
  <c r="AB227" i="1"/>
  <c r="AB178" i="1"/>
  <c r="AB98" i="1"/>
  <c r="AB245" i="1"/>
  <c r="AB220" i="1"/>
  <c r="AB208" i="1"/>
  <c r="AB215" i="1"/>
  <c r="AB102" i="1"/>
  <c r="AB115" i="1"/>
  <c r="AB172" i="1"/>
  <c r="AB223" i="1"/>
  <c r="AB104" i="1"/>
  <c r="AB109" i="1"/>
  <c r="AB103" i="1"/>
  <c r="AB131" i="1"/>
  <c r="AB152" i="1"/>
  <c r="AB237" i="1"/>
  <c r="AB118" i="1"/>
  <c r="AB266" i="1"/>
  <c r="AB241" i="1"/>
  <c r="AB106" i="1"/>
  <c r="AB125" i="1"/>
  <c r="AB136" i="1"/>
  <c r="AB158" i="1"/>
  <c r="AB240" i="1"/>
  <c r="AB248" i="1"/>
  <c r="AB88" i="1"/>
  <c r="AB177" i="1"/>
  <c r="AB209" i="1"/>
  <c r="AB97" i="1"/>
  <c r="AB105" i="1"/>
  <c r="AB111" i="1"/>
  <c r="AB253" i="1"/>
  <c r="AB81" i="1"/>
  <c r="AB84" i="1"/>
  <c r="AB187" i="1"/>
  <c r="AB83" i="1"/>
  <c r="AB148" i="1"/>
  <c r="AB149" i="1"/>
  <c r="AB202" i="1"/>
  <c r="AB203" i="1"/>
  <c r="AB204" i="1"/>
  <c r="AB242" i="1"/>
  <c r="AB243" i="1"/>
  <c r="AB96" i="1"/>
  <c r="AB130" i="1"/>
  <c r="AB144" i="1"/>
  <c r="AA147" i="1"/>
  <c r="AB166" i="1"/>
  <c r="AB167" i="1"/>
  <c r="AB168" i="1"/>
  <c r="AB175" i="1"/>
  <c r="AB176" i="1"/>
  <c r="AB199" i="1"/>
  <c r="AB269" i="1"/>
  <c r="AB270" i="1"/>
  <c r="AB271" i="1"/>
  <c r="AB273" i="1"/>
  <c r="M302" i="1"/>
  <c r="AB87" i="1"/>
  <c r="AB94" i="1"/>
  <c r="AB217" i="1"/>
  <c r="AB218" i="1"/>
  <c r="AB256" i="1"/>
  <c r="AB257" i="1"/>
  <c r="AB258" i="1"/>
  <c r="AB260" i="1"/>
  <c r="AB261" i="1"/>
  <c r="AB262" i="1"/>
  <c r="AB137" i="1"/>
  <c r="AB138" i="1"/>
  <c r="AB139" i="1"/>
  <c r="AB153" i="1"/>
  <c r="AB182" i="1"/>
  <c r="AB194" i="1"/>
  <c r="AB195" i="1"/>
  <c r="AB196" i="1"/>
  <c r="AB197" i="1"/>
  <c r="AB229" i="1"/>
  <c r="AB232" i="1"/>
  <c r="AB233" i="1"/>
  <c r="AB236" i="1"/>
  <c r="AB82" i="1"/>
  <c r="AB185" i="1"/>
  <c r="AB228" i="1"/>
  <c r="AB246" i="1"/>
  <c r="AB247" i="1"/>
  <c r="AB249" i="1"/>
  <c r="AB250" i="1"/>
  <c r="AB263" i="1"/>
  <c r="AB264" i="1"/>
  <c r="AB265" i="1"/>
  <c r="AA278" i="1"/>
  <c r="AB252" i="1"/>
  <c r="AB277" i="1"/>
  <c r="AA85" i="1"/>
  <c r="AB160" i="1"/>
  <c r="AB288" i="1"/>
  <c r="AB110" i="1"/>
  <c r="AA112" i="1"/>
  <c r="AB154" i="1"/>
  <c r="AB155" i="1"/>
  <c r="AB156" i="1"/>
  <c r="AB191" i="1"/>
  <c r="AB206" i="1"/>
  <c r="AB214" i="1"/>
  <c r="AB287" i="1"/>
  <c r="AB113" i="1"/>
  <c r="AA114" i="1"/>
  <c r="AB116" i="1"/>
  <c r="AA119" i="1"/>
  <c r="AB151" i="1"/>
  <c r="AB164" i="1"/>
  <c r="AA165" i="1"/>
  <c r="AB179" i="1"/>
  <c r="AB190" i="1"/>
  <c r="AB193" i="1"/>
  <c r="AB230" i="1"/>
  <c r="AB231" i="1"/>
  <c r="AB244" i="1"/>
  <c r="AB224" i="1"/>
  <c r="AB225" i="1"/>
  <c r="AA226" i="1"/>
  <c r="AB234" i="1"/>
  <c r="AB235" i="1"/>
  <c r="AB285" i="1"/>
  <c r="AB132" i="1"/>
  <c r="AB145" i="1"/>
  <c r="AB173" i="1"/>
  <c r="AB174" i="1"/>
  <c r="AB180" i="1"/>
  <c r="AB238" i="1"/>
  <c r="AB239" i="1"/>
  <c r="AB219" i="1"/>
  <c r="AA219" i="1"/>
  <c r="AB272" i="1"/>
  <c r="AB123" i="1"/>
  <c r="AB210" i="1"/>
  <c r="AA210" i="1"/>
  <c r="AB117" i="1"/>
  <c r="AB255" i="1"/>
  <c r="AB124" i="1"/>
  <c r="AB142" i="1"/>
  <c r="AB188" i="1"/>
  <c r="AB282" i="1"/>
  <c r="AB169" i="1"/>
  <c r="AB212" i="1"/>
  <c r="AA212" i="1"/>
  <c r="AB259" i="1"/>
  <c r="T302" i="1"/>
  <c r="L302" i="1"/>
  <c r="S302" i="1"/>
  <c r="K302" i="1"/>
  <c r="R302" i="1"/>
  <c r="J302" i="1"/>
  <c r="Q302" i="1"/>
  <c r="I302" i="1"/>
  <c r="P302" i="1"/>
  <c r="O302" i="1"/>
  <c r="V302" i="1"/>
  <c r="N302" i="1"/>
  <c r="AB150" i="1"/>
  <c r="AA150" i="1"/>
  <c r="U302" i="1"/>
  <c r="AA18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<sst xmlns="http://schemas.openxmlformats.org/spreadsheetml/2006/main" count="4813" uniqueCount="1729">
  <si>
    <t>#</t>
  </si>
  <si>
    <t>PN_ID</t>
  </si>
  <si>
    <t>REV</t>
  </si>
  <si>
    <t>CATALOG</t>
  </si>
  <si>
    <t>FFF</t>
  </si>
  <si>
    <t>DESCRIPTION</t>
  </si>
  <si>
    <t>UOM</t>
  </si>
  <si>
    <t>ORIG_QTY</t>
  </si>
  <si>
    <t>1094T030-002</t>
  </si>
  <si>
    <t>1094T040-001</t>
  </si>
  <si>
    <t>1094T050-002</t>
  </si>
  <si>
    <t>1094T060-002</t>
  </si>
  <si>
    <t>1094T037-001</t>
  </si>
  <si>
    <t>1094N740-001</t>
  </si>
  <si>
    <t>1094N750-003</t>
  </si>
  <si>
    <t>1094N781-005</t>
  </si>
  <si>
    <t>1094Y030-002</t>
  </si>
  <si>
    <t>1094Y038-001</t>
  </si>
  <si>
    <t>1094N754-001</t>
  </si>
  <si>
    <t>1093G277-001</t>
  </si>
  <si>
    <t>1093N746-001</t>
  </si>
  <si>
    <t>1094N790-003</t>
  </si>
  <si>
    <t>SUM</t>
  </si>
  <si>
    <t>TOTAL PRICE</t>
  </si>
  <si>
    <t>manufacturer</t>
  </si>
  <si>
    <t>MPQ</t>
  </si>
  <si>
    <t>MOQ</t>
  </si>
  <si>
    <t>TOATL QUANTITY TO BUY</t>
  </si>
  <si>
    <t>SUPPLIER</t>
  </si>
  <si>
    <t>POC SUPPLIER</t>
  </si>
  <si>
    <t>SUPPLIER MAIL</t>
  </si>
  <si>
    <t>SUPPLIER PHONE</t>
  </si>
  <si>
    <t>NOTES</t>
  </si>
  <si>
    <t>D</t>
  </si>
  <si>
    <t>DTRM F/ASSY</t>
  </si>
  <si>
    <t>EA</t>
  </si>
  <si>
    <t>ASSY</t>
  </si>
  <si>
    <t>B</t>
  </si>
  <si>
    <t>DRM F/ASSY</t>
  </si>
  <si>
    <t>RX ASSY</t>
  </si>
  <si>
    <t>1097U145-001</t>
  </si>
  <si>
    <t>A</t>
  </si>
  <si>
    <t>S-BAND MFC F/ASSY</t>
  </si>
  <si>
    <t>1097U147-001</t>
  </si>
  <si>
    <t>S-BAND DPS LS F/ASSY</t>
  </si>
  <si>
    <t>1094N782-003</t>
  </si>
  <si>
    <t>PC BLANK MASTER DWG. MMR-40 Z5</t>
  </si>
  <si>
    <t>SANMINA/MICROPACK/CPC</t>
  </si>
  <si>
    <t>CGHV35400F1</t>
  </si>
  <si>
    <t>BUY1</t>
  </si>
  <si>
    <t>AMPL RF GAN 400W 2.9-3.5GHZ 11DB SMT</t>
  </si>
  <si>
    <t>MACOM</t>
  </si>
  <si>
    <t>DANIELA PINHAS</t>
  </si>
  <si>
    <t>Daniela@nisko.com</t>
  </si>
  <si>
    <t>972-54-2007783</t>
  </si>
  <si>
    <t>1097U217-001</t>
  </si>
  <si>
    <t>F/ASSY LNA DCA</t>
  </si>
  <si>
    <t>1097U219-001</t>
  </si>
  <si>
    <t>F/ASSY PH/SH</t>
  </si>
  <si>
    <t>IHQ2063942</t>
  </si>
  <si>
    <t>HYBRID CAPACITOR 63V 9400UF</t>
  </si>
  <si>
    <t>EVANS</t>
  </si>
  <si>
    <t>Haim Koren</t>
  </si>
  <si>
    <t>Haimk@militram.com</t>
  </si>
  <si>
    <t>972-547709603</t>
  </si>
  <si>
    <t>1094T062-002</t>
  </si>
  <si>
    <t>PC BLANK MASTER DRAWING MMR-41 Z2</t>
  </si>
  <si>
    <t>1094N761-002</t>
  </si>
  <si>
    <t>-</t>
  </si>
  <si>
    <t>BOX MACHINING</t>
  </si>
  <si>
    <t>WAVE MECHANICS</t>
  </si>
  <si>
    <t>A03</t>
  </si>
  <si>
    <t>POWER AMP ASSY</t>
  </si>
  <si>
    <t>1093N721-001</t>
  </si>
  <si>
    <t>COVER</t>
  </si>
  <si>
    <t>PC ASSY PA CR</t>
  </si>
  <si>
    <t>TGL2927-SM</t>
  </si>
  <si>
    <t>VPIN LIMITER 200W 2-4GHZ</t>
  </si>
  <si>
    <t>QURVO</t>
  </si>
  <si>
    <t>Shuli Ronin</t>
  </si>
  <si>
    <t>972 - 9-7926694</t>
  </si>
  <si>
    <t>1094N771-001</t>
  </si>
  <si>
    <t>SPACER DIAM 4X2</t>
  </si>
  <si>
    <t>FM25V20A-DG</t>
  </si>
  <si>
    <t>IC 2MB SERIAL F-RAM MEMORY</t>
  </si>
  <si>
    <t>ARROW</t>
  </si>
  <si>
    <t>ALON SAGIV</t>
  </si>
  <si>
    <t>alon.sagiv@arrow.com</t>
  </si>
  <si>
    <t>972 537704117</t>
  </si>
  <si>
    <t>000800-0826</t>
  </si>
  <si>
    <t>CONN RECT PCB R/A PLUG 42 BLADES 3 ROWS,</t>
  </si>
  <si>
    <t>Emet</t>
  </si>
  <si>
    <t>Elad Zafrir</t>
  </si>
  <si>
    <t>elad.zafrir@emet.co.il</t>
  </si>
  <si>
    <t>972 - 523326582</t>
  </si>
  <si>
    <t>LTM8049IY</t>
  </si>
  <si>
    <t>CONVERTER DC/DC 2.6-20VIN 2.5-24VOUT 1A</t>
  </si>
  <si>
    <t>5CEFA4U19I7</t>
  </si>
  <si>
    <t>IC CYCLONE V FPGA</t>
  </si>
  <si>
    <t>ALTERA</t>
  </si>
  <si>
    <t>SHLOMI BIGI</t>
  </si>
  <si>
    <t>972 - 505252790</t>
  </si>
  <si>
    <t>1094N773-003</t>
  </si>
  <si>
    <t>INSIDE COVER</t>
  </si>
  <si>
    <t>LT1764EQ#TRPBF</t>
  </si>
  <si>
    <t>BUY3</t>
  </si>
  <si>
    <t>IC VOL. REG. ADJ. T&amp;R</t>
  </si>
  <si>
    <t>Elbatech</t>
  </si>
  <si>
    <t>Anat Eylon</t>
  </si>
  <si>
    <t>anat@elbatech.co.il</t>
  </si>
  <si>
    <t>972 - 88516111</t>
  </si>
  <si>
    <t>1094N792-002</t>
  </si>
  <si>
    <t>PC BLANK MASTER DWG.CLL-577 Z4</t>
  </si>
  <si>
    <t>160-A62Q/188(SF162)</t>
  </si>
  <si>
    <t>CONN RF ADAPTER BMA(F)/BMA(F) STR</t>
  </si>
  <si>
    <t>STARLIGHT</t>
  </si>
  <si>
    <t>NOA KHAITOV</t>
  </si>
  <si>
    <t>CGHV35060MP</t>
  </si>
  <si>
    <t>GAN HEMT 60W 2700-3800MHZ 50V</t>
  </si>
  <si>
    <t>NISKO</t>
  </si>
  <si>
    <t>MBT10644</t>
  </si>
  <si>
    <t>CHIP PIN DIODE</t>
  </si>
  <si>
    <t>MTI SUMMIT</t>
  </si>
  <si>
    <t>Niv Kalaf</t>
  </si>
  <si>
    <t>nivk@mtisummit.co.il</t>
  </si>
  <si>
    <t>1094B532-001</t>
  </si>
  <si>
    <t>INSULATOR</t>
  </si>
  <si>
    <t>10S523-8H0S5</t>
  </si>
  <si>
    <t>CONN RF BMA PLUG BULKHEAD SOLDER,22 GHZ</t>
  </si>
  <si>
    <t>NFL18ST507X1C3D</t>
  </si>
  <si>
    <t>CHIP FILTER EMI T&amp;R</t>
  </si>
  <si>
    <t>BFE</t>
  </si>
  <si>
    <t>NFL18ST207X1C3D</t>
  </si>
  <si>
    <t>CHIP EMI FILTER T&amp;R</t>
  </si>
  <si>
    <t>MT28EW01GABA1HPC-0SIT</t>
  </si>
  <si>
    <t>IC PARALLEL NOR FLASH 1GB</t>
  </si>
  <si>
    <t>ADN4650BRSZ-RL7</t>
  </si>
  <si>
    <t>IC DUAL CHANNEL LVDS ISOLATOR T&amp;R</t>
  </si>
  <si>
    <t>TBJV227K016LSLC0H24</t>
  </si>
  <si>
    <t>CHIP CAP TANTALUM 220UF 10^ 16V 2924 T&amp;R</t>
  </si>
  <si>
    <t>PHEONIX</t>
  </si>
  <si>
    <t>TANYA</t>
  </si>
  <si>
    <t>Tanyal@phnx.co.il</t>
  </si>
  <si>
    <t>972 - 97644844</t>
  </si>
  <si>
    <t>1094N762-001</t>
  </si>
  <si>
    <t>RF GASKET</t>
  </si>
  <si>
    <t>GUMIYAN</t>
  </si>
  <si>
    <t>AVI MOSHE</t>
  </si>
  <si>
    <t>972- 8-9224911</t>
  </si>
  <si>
    <t>MADP-011104-TR0500</t>
  </si>
  <si>
    <t>PIN DIODE HIGH POWER 50MHZ-4GHZ T&amp;R</t>
  </si>
  <si>
    <t>SHIRTECH</t>
  </si>
  <si>
    <t>Liza Cohen</t>
  </si>
  <si>
    <t>972 - 39516495</t>
  </si>
  <si>
    <t>JCM3100T3500S10-ASC</t>
  </si>
  <si>
    <t>CIRCULATOR SMT 3.100-3.500GHZ</t>
  </si>
  <si>
    <t>Ascotech</t>
  </si>
  <si>
    <t>Lenova</t>
  </si>
  <si>
    <t>Lenova@asco.co.il</t>
  </si>
  <si>
    <t>972-3-6496891</t>
  </si>
  <si>
    <t>JCM3100T3500S10C-ASC</t>
  </si>
  <si>
    <t>145-A01H/118</t>
  </si>
  <si>
    <t>CONN RF ADAPTER SPRING SMP(F)/SMP(F)</t>
  </si>
  <si>
    <t>TS0502W3S</t>
  </si>
  <si>
    <t>BUY2</t>
  </si>
  <si>
    <t>N80416613</t>
  </si>
  <si>
    <t>ATTENUATOR DC-15GHZ 2DB .1WATT 50 OH</t>
  </si>
  <si>
    <t>RFMW</t>
  </si>
  <si>
    <t>Tali Weisberg</t>
  </si>
  <si>
    <t>tali.weisberg@rfmw.com</t>
  </si>
  <si>
    <t>072-2150902</t>
  </si>
  <si>
    <t>1093L791-001</t>
  </si>
  <si>
    <t>CERAMIC FILTER</t>
  </si>
  <si>
    <t>Impact</t>
  </si>
  <si>
    <t>Itay</t>
  </si>
  <si>
    <t>972-503399574</t>
  </si>
  <si>
    <t>1094N791-002</t>
  </si>
  <si>
    <t>DTRM CAPACITOR BANK CARD BRACKET</t>
  </si>
  <si>
    <t>1094N772-001</t>
  </si>
  <si>
    <t>BRACKET</t>
  </si>
  <si>
    <t>TGA2731-SM</t>
  </si>
  <si>
    <t>MW AMPLIFIER DRIVER 2.7-4.0GHZ</t>
  </si>
  <si>
    <t>JCM3100T3500VM5R-ASC</t>
  </si>
  <si>
    <t>CIRCULATOR SMT</t>
  </si>
  <si>
    <t>JCM3100T3500VM5RC-ASC</t>
  </si>
  <si>
    <t>MAX8557ETE+T</t>
  </si>
  <si>
    <t>IC VOLTAGE REGULATOR ADJ. 4A T&amp;R</t>
  </si>
  <si>
    <t>1094Y026-001</t>
  </si>
  <si>
    <t>IND SPACER</t>
  </si>
  <si>
    <t>PRONAT</t>
  </si>
  <si>
    <t>Katia Kopylova</t>
  </si>
  <si>
    <t>972-4-6286837</t>
  </si>
  <si>
    <t>ASP-200323-01</t>
  </si>
  <si>
    <t>CONN RECT HEADER 100 PIN SMT, QUAD ROW</t>
  </si>
  <si>
    <t>SAMTEC</t>
  </si>
  <si>
    <t>Yifat Leberman</t>
  </si>
  <si>
    <t>972-3-7526600</t>
  </si>
  <si>
    <t>RCP3500Q03</t>
  </si>
  <si>
    <t>COUPLER HYBRID 3300-3800MHZ 3DB 90DE T&amp;R</t>
  </si>
  <si>
    <t>DS620U+TR</t>
  </si>
  <si>
    <t>IC DIGITAL THERMOMETER T&amp;R</t>
  </si>
  <si>
    <t>1094L935-001</t>
  </si>
  <si>
    <t>SCREW 4-40 L150</t>
  </si>
  <si>
    <t>10S519-S60N3</t>
  </si>
  <si>
    <t>CONN,RF,ADAPTER,RPC-SP PLUG/SMP PLUG,50</t>
  </si>
  <si>
    <t>1094N765-001</t>
  </si>
  <si>
    <t>A01</t>
  </si>
  <si>
    <t>S/R W2</t>
  </si>
  <si>
    <t>1094N764-001</t>
  </si>
  <si>
    <t>S/R W1</t>
  </si>
  <si>
    <t>1094L925-001</t>
  </si>
  <si>
    <t>WEDGE B</t>
  </si>
  <si>
    <t>ISPPACPOWR1014A01TN48ITR</t>
  </si>
  <si>
    <t>IC PROG.P.S SUPERVISOR&amp;SEQUENC.CONTR T&amp;R</t>
  </si>
  <si>
    <t>BFCN-3115+</t>
  </si>
  <si>
    <t>BANDPASS FILTER 2720-3570 MHZ T&amp;R</t>
  </si>
  <si>
    <t>Francine Rousso</t>
  </si>
  <si>
    <t>Rep@mcdi-ltd.com</t>
  </si>
  <si>
    <t>1094N993-001</t>
  </si>
  <si>
    <t>SUPPORT</t>
  </si>
  <si>
    <t>19S16D-400L5</t>
  </si>
  <si>
    <t>CONN RF SMP STRT PLUG,50OHMS,DC TO 18GH</t>
  </si>
  <si>
    <t>1094N769-001</t>
  </si>
  <si>
    <t>DTRM ABSORBER</t>
  </si>
  <si>
    <t>1094L913-001</t>
  </si>
  <si>
    <t>AD7928BRUZ-REEL7</t>
  </si>
  <si>
    <t>IC ADC 12-BIT 8 CHANNEL T&amp;R</t>
  </si>
  <si>
    <t>SOLC-125-02-S-Q-A-K-TR</t>
  </si>
  <si>
    <t>CONN RCET MISC 100 SKT SMT, QUAD ROW,</t>
  </si>
  <si>
    <t>TS0501W3S/TR</t>
  </si>
  <si>
    <t>CHIP ATT. 1DB DC-18GHZ 0.1W 50OHM T&amp;R</t>
  </si>
  <si>
    <t>TS0506W3S</t>
  </si>
  <si>
    <t>N80411176</t>
  </si>
  <si>
    <t>ATTENUATOR DC-15GHZ 6DB .1WATT 50 OH</t>
  </si>
  <si>
    <t>LM5113SDE/NOPB</t>
  </si>
  <si>
    <t>IC GATE DRIVER 100V 1.2A/5A T&amp;R</t>
  </si>
  <si>
    <t>TS0503W3S</t>
  </si>
  <si>
    <t>N80413149</t>
  </si>
  <si>
    <t>ATTENUATOR DC-15GHZ 3DB .1WATT 50 OH</t>
  </si>
  <si>
    <t>1094N777-001</t>
  </si>
  <si>
    <t>WEDGE</t>
  </si>
  <si>
    <t>C1210C106K5RACTU</t>
  </si>
  <si>
    <t>CHIP CAP 10UF 10^ 50V X7R T&amp;R</t>
  </si>
  <si>
    <t>Avi Taub</t>
  </si>
  <si>
    <t>Avi@nisko.co.il</t>
  </si>
  <si>
    <t>972 - 524756173</t>
  </si>
  <si>
    <t>REF192ESZ-REEL7</t>
  </si>
  <si>
    <t>IC VOLTAGE REF. 2.5V T&amp;R</t>
  </si>
  <si>
    <t>597D227X0020R2T</t>
  </si>
  <si>
    <t>CHIP CAP 220UF 20% 20V TANTALUM T&amp;R</t>
  </si>
  <si>
    <t>ECOMAL</t>
  </si>
  <si>
    <t>POLINA</t>
  </si>
  <si>
    <t>Polina.rashkovsky@ecomal.com</t>
  </si>
  <si>
    <t>972 - 37908013</t>
  </si>
  <si>
    <t>SS4155 1PT</t>
  </si>
  <si>
    <t>PRIMER FOR RTV SILICONE RUBBER ADHESIVE</t>
  </si>
  <si>
    <t>AR</t>
  </si>
  <si>
    <t>A/R</t>
  </si>
  <si>
    <t>LOCAL SUPPLIER</t>
  </si>
  <si>
    <t>TS0302W3</t>
  </si>
  <si>
    <t>N80408594</t>
  </si>
  <si>
    <t>ATTENUATOR DC-15GHZ 2DB 2WATT 50 OHM</t>
  </si>
  <si>
    <t>Due to the note number 4 in the drawing, we have decided in a meeting on the 25/12/2025 - to buy only half of the quantity that is needed due to price calculation.</t>
  </si>
  <si>
    <t>1094L926-001</t>
  </si>
  <si>
    <t>WEDGE A</t>
  </si>
  <si>
    <t>1094N795-001</t>
  </si>
  <si>
    <t>CONN 2 PIN</t>
  </si>
  <si>
    <t>GRM32ER71K475KE14L</t>
  </si>
  <si>
    <t>CHIP CAP 4.7UF 10% 80V CERAMIC T&amp;R</t>
  </si>
  <si>
    <t>EPCQ64ASI16N</t>
  </si>
  <si>
    <t>IC QUAD-SERIAL CONFIGURATION DEVICE</t>
  </si>
  <si>
    <t>Shlomi.bigi@easx.co.il</t>
  </si>
  <si>
    <t>LTC4444HMS8E-5#TRPBF</t>
  </si>
  <si>
    <t>IC N-CHANNEL MOSFET DRIVER T&amp;R</t>
  </si>
  <si>
    <t>AD823ARZ-R7</t>
  </si>
  <si>
    <t>DUAL, 16 MHZ, RAIL-TO-RAIL AMPLIFIER T&amp;R</t>
  </si>
  <si>
    <t>600L4R7BW200T</t>
  </si>
  <si>
    <t>CHIP CAP 4.7PF 200VOLT 2.1277^</t>
  </si>
  <si>
    <t>1093H504-001</t>
  </si>
  <si>
    <t>D00758469</t>
  </si>
  <si>
    <t>SPECIFICATION FOR  MULTI LAYAR BAND PASS FILTER 3050-3500 MHZ</t>
  </si>
  <si>
    <t>TS0301W3</t>
  </si>
  <si>
    <t>N80407885</t>
  </si>
  <si>
    <t>ATTENUATOR DC-15GHZ 1DB 2WATT 50 OHM</t>
  </si>
  <si>
    <t>M80-331</t>
  </si>
  <si>
    <t>CONNECTOR,ELECTRIC,RECTANGULAR,QTH,GROUN</t>
  </si>
  <si>
    <t>Liza@Shirtech.co.il</t>
  </si>
  <si>
    <t>LT4363MPS-2#PBF</t>
  </si>
  <si>
    <t>IC HIGH VOLTAGE SURGE STOPPER</t>
  </si>
  <si>
    <t>TPS7A3001DGNT</t>
  </si>
  <si>
    <t>IC LINEAR REGULATOR NEGATIVE ADJ. T&amp;R</t>
  </si>
  <si>
    <t>LOCTITE 222-50CC</t>
  </si>
  <si>
    <t>SEALING LOCKING ANAEROBIC COMPOUND, SING</t>
  </si>
  <si>
    <t>NFM41PC155B1H3L</t>
  </si>
  <si>
    <t>CHIP  EMI FILTER 1.5UF 50VDC T&amp;R</t>
  </si>
  <si>
    <t>STG</t>
  </si>
  <si>
    <t>Sigal Harush</t>
  </si>
  <si>
    <t>Sigal@stggroup.co.il</t>
  </si>
  <si>
    <t>972-528996305</t>
  </si>
  <si>
    <t>GRM32ER71E226KE15L</t>
  </si>
  <si>
    <t>CHIP CAP 22UF 10% 25V CERAMIC T&amp;R</t>
  </si>
  <si>
    <t>1094N776-001</t>
  </si>
  <si>
    <t>0-80 NUT</t>
  </si>
  <si>
    <t>TQL9092</t>
  </si>
  <si>
    <t>ULTRA LOW NOISE FLAT GAIN LNA 0.6-4.2GHZ</t>
  </si>
  <si>
    <t>shuli.ronin@qorvo.com</t>
  </si>
  <si>
    <t>GRM32EC72A106KE05L</t>
  </si>
  <si>
    <t>CHIP CAP 10UF 22^ 100V X7S CERAMIC T&amp;R</t>
  </si>
  <si>
    <t>NGC-1206CS50R0G</t>
  </si>
  <si>
    <t>CHIP RESISTOR HIGH POWER 50 OHM 2%</t>
  </si>
  <si>
    <t>NEXTWAVE</t>
  </si>
  <si>
    <t>Ifat Zilbershtein</t>
  </si>
  <si>
    <t>ifat@nextwave.co.il</t>
  </si>
  <si>
    <t>972 - 39619000</t>
  </si>
  <si>
    <t>097-0227-893</t>
  </si>
  <si>
    <t>GUIDE PIN,THREADED 4-40UNC 3A,60 DEG.CON</t>
  </si>
  <si>
    <t>MASTERMITE</t>
  </si>
  <si>
    <t>Laura Alpuche</t>
  </si>
  <si>
    <t>Lauraa@Dcxchol.com</t>
  </si>
  <si>
    <t>SMT252503ALN2F</t>
  </si>
  <si>
    <t>SURFACE MOUNT TERMINATION DC-4GHZ T&amp;R</t>
  </si>
  <si>
    <t>GQM2195G2H4R7WB12D</t>
  </si>
  <si>
    <t>CHIP CAP 4.7PF +/-0.05 500V CERAMIC T&amp;R</t>
  </si>
  <si>
    <t>NAS620C2</t>
  </si>
  <si>
    <t>WASHER,FLAT,PLAIN,REDUCED OD, 2 SIZE,.01</t>
  </si>
  <si>
    <t>Adam Chayon</t>
  </si>
  <si>
    <t>Adam@kaytech.com</t>
  </si>
  <si>
    <t>631-467-770</t>
  </si>
  <si>
    <t>HMC349ALP4CETR</t>
  </si>
  <si>
    <t>IC GAAS SPDT SWITCH DC-4GHZ T&amp;R</t>
  </si>
  <si>
    <t>SMT2010TALN</t>
  </si>
  <si>
    <t>SURFACE MOUNT TERMINATION DC-4GHZ</t>
  </si>
  <si>
    <t>LOCTITE 263-50CC</t>
  </si>
  <si>
    <t>THREADLOCKING COMPOUND,DIMETHACRYLATE ES</t>
  </si>
  <si>
    <t>RTV 167-2.8 FL/OZ</t>
  </si>
  <si>
    <t>SEALANT,SILICONE ADHESIVE,HIGH STRENGTH,</t>
  </si>
  <si>
    <t>MS51957-141</t>
  </si>
  <si>
    <t>SCREW,MACHINE,PAN HEAD,CRUCIFORM RECESS</t>
  </si>
  <si>
    <t>980-0064-005</t>
  </si>
  <si>
    <t>O-RING,FLUOROSILICONE,40 SHORE A,BLUE,F/</t>
  </si>
  <si>
    <t>AQ125A102KAJME/500V</t>
  </si>
  <si>
    <t>CHIP CAP 1000PF 10^ 50VOLT 55X55 NPO</t>
  </si>
  <si>
    <t>C0402C103K5RALTU</t>
  </si>
  <si>
    <t>CHIP CAP 0.01UF 10% 50V X7R T&amp;R</t>
  </si>
  <si>
    <t>IRLB4030PBF</t>
  </si>
  <si>
    <t>HEXFET POWER MOSFET 100V  180A</t>
  </si>
  <si>
    <t>Gal Balash</t>
  </si>
  <si>
    <t>Gal.balash@futureelectronics.com</t>
  </si>
  <si>
    <t>NFM31KC104R2A3L</t>
  </si>
  <si>
    <t>CHIP EMIFIL 0.1UF 100V T&amp;R</t>
  </si>
  <si>
    <t>DAC0808LCMX/NOPB</t>
  </si>
  <si>
    <t>IC D/A CONVERTER 8 BIT T&amp;R</t>
  </si>
  <si>
    <t>SI4559ADY-T1-GE3</t>
  </si>
  <si>
    <t>TRANSISTOR N-CHANNEL 60V  MOSFET T&amp;R</t>
  </si>
  <si>
    <t>SI7252DP-T1-GE3</t>
  </si>
  <si>
    <t>MOSFET DUAL N-CHANNEL  100V T&amp;R</t>
  </si>
  <si>
    <t>HFCN-2700+TR</t>
  </si>
  <si>
    <t>CHIP CERAMIC HIGH PASS FILTER T&amp;R</t>
  </si>
  <si>
    <t>NC7SZ04P5X</t>
  </si>
  <si>
    <t>N57177495</t>
  </si>
  <si>
    <t>IC DIG INVERTER TAPE &amp; REEL</t>
  </si>
  <si>
    <t>MOUSER - MICATALOG</t>
  </si>
  <si>
    <t>CHEN LIS</t>
  </si>
  <si>
    <t>Chen@mouser-israel.com</t>
  </si>
  <si>
    <t>1093J364-002</t>
  </si>
  <si>
    <t>SHIM 1.2MM</t>
  </si>
  <si>
    <t>CHEMOGRAF</t>
  </si>
  <si>
    <t>Erez</t>
  </si>
  <si>
    <t>erez@chemograf.com</t>
  </si>
  <si>
    <t>972 - 522229151</t>
  </si>
  <si>
    <t>NAS1291C04M</t>
  </si>
  <si>
    <t>NUT,HEX,FLANGED,SELF-LOCKING,ELLIPTICALL</t>
  </si>
  <si>
    <t>GRM155R71C104KA88D</t>
  </si>
  <si>
    <t>CHIP CAP 0.1UF 10^ 16V X7R T&amp;R</t>
  </si>
  <si>
    <t>MI0603J601R-10</t>
  </si>
  <si>
    <t>EMI FERRITE CHIP BEAD</t>
  </si>
  <si>
    <t>BLM31PG500SN1L</t>
  </si>
  <si>
    <t>N62786405</t>
  </si>
  <si>
    <t>CHIP FILTER EMI 50-OHM 3.2X1.6MM  T&amp;</t>
  </si>
  <si>
    <t>SHISH</t>
  </si>
  <si>
    <t>NFM18PC225B1A3D</t>
  </si>
  <si>
    <t>CHIP EMIFIL 2.2UF 10V T&amp;R</t>
  </si>
  <si>
    <t>AM26LV32EMDREP</t>
  </si>
  <si>
    <t>IC QUAD DIFFERENTIAL LINE RECEIVER T&amp;R</t>
  </si>
  <si>
    <t>1093J361-002</t>
  </si>
  <si>
    <t>SHIM 0.8MM</t>
  </si>
  <si>
    <t>C0805C475K4RAC7025</t>
  </si>
  <si>
    <t>CHIP CAP 4.7UF 10% 16V X7R T&amp;R</t>
  </si>
  <si>
    <t>C0603C102K2RACTU</t>
  </si>
  <si>
    <t>CHIP CAP 1000PF 10^ 200V X7R T&amp;R</t>
  </si>
  <si>
    <t>AQ12EM1R1BAJME/500V</t>
  </si>
  <si>
    <t>CHIP CAP 1.1PF +/-0.1PF 150VOLT 55X5</t>
  </si>
  <si>
    <t>Buy 0505P1R1BW151XTV</t>
  </si>
  <si>
    <t>C0603C105K3RACTU</t>
  </si>
  <si>
    <t>CHIP CAP 1UF 10% 25V X7R T&amp;R</t>
  </si>
  <si>
    <t>C0603C474K4RAL7867</t>
  </si>
  <si>
    <t>CHIP CAP 0.47UF 10^ 16V X7R T&amp;R</t>
  </si>
  <si>
    <t>A2015AC-58</t>
  </si>
  <si>
    <t>N87399713</t>
  </si>
  <si>
    <t>SIL-PAD A2000 15MIL-THICKNESS  WITH</t>
  </si>
  <si>
    <t>SH</t>
  </si>
  <si>
    <t>Ryt Electronics</t>
  </si>
  <si>
    <t>Lea Mor</t>
  </si>
  <si>
    <t>Lea@ryt.co.il</t>
  </si>
  <si>
    <t>972 - 3-924-6729</t>
  </si>
  <si>
    <t>MIC4427YM TR</t>
  </si>
  <si>
    <t>IC DUAL MOSFET DRIVER</t>
  </si>
  <si>
    <t>NRVBM2H100T3G</t>
  </si>
  <si>
    <t>SCHOTTKY RECTIFIER 2.0A 100V T&amp;R</t>
  </si>
  <si>
    <t>1094N799-001</t>
  </si>
  <si>
    <t>GASKET</t>
  </si>
  <si>
    <t>MS35338-134</t>
  </si>
  <si>
    <t>WASHER,LOCK,HELICAL SPRING,REGULAR (MEDI</t>
  </si>
  <si>
    <t>KAYTECH</t>
  </si>
  <si>
    <t>0805ZC106KAT2A</t>
  </si>
  <si>
    <t>CHIP CAP 10UF 10^ 10V X7R T&amp;R</t>
  </si>
  <si>
    <t>CRCW04020000ZSED</t>
  </si>
  <si>
    <t>CHIP RESIS 0 OHM 0% .063W T&amp;R</t>
  </si>
  <si>
    <t>MS16995-3</t>
  </si>
  <si>
    <t>SCREW,CAP HEAD,HEX SOCKET RECESS,FULL SH</t>
  </si>
  <si>
    <t>CRCW040210K0FKED</t>
  </si>
  <si>
    <t>CHIP RESIS 10 KOHM 1%  T&amp;R</t>
  </si>
  <si>
    <t>TPS7A8001DRBR</t>
  </si>
  <si>
    <t>IC VOLTAGE REGULATOR 1A T&amp;R</t>
  </si>
  <si>
    <t>NAS620C4</t>
  </si>
  <si>
    <t>WASHER,FLAT,PLAIN,REDUCED OD, 4 SIZE,.03</t>
  </si>
  <si>
    <t>CRCW04023K09FKED</t>
  </si>
  <si>
    <t>CHIP RESIS 3.09KOHM 1^ .063W T&amp;R</t>
  </si>
  <si>
    <t>CL31B106KOHNNNE</t>
  </si>
  <si>
    <t>CHIP CAP 10UF 10^ 16V X7R T&amp;R</t>
  </si>
  <si>
    <t>CIDEV</t>
  </si>
  <si>
    <t>Liat Bakal</t>
  </si>
  <si>
    <t>liatbakal@cidev.co.il</t>
  </si>
  <si>
    <t>972-737133113</t>
  </si>
  <si>
    <t>1093J365-002</t>
  </si>
  <si>
    <t>SHIM 2.0MM</t>
  </si>
  <si>
    <t>3550LP14A300T</t>
  </si>
  <si>
    <t>FILTER LOW PASS 3.5GHZ T&amp;R</t>
  </si>
  <si>
    <t>CRCW04021K00FKED</t>
  </si>
  <si>
    <t>CHIP RESIS 1 KOHM 1% T&amp;R</t>
  </si>
  <si>
    <t>WSL25125L000FTA</t>
  </si>
  <si>
    <t>CHIP RESIS 0.005 OHM 1^ T&amp;R</t>
  </si>
  <si>
    <t>MS51957-15</t>
  </si>
  <si>
    <t>SCREW MACHINE PAN HEAD CRUCIFORM RECESS</t>
  </si>
  <si>
    <t>0603CS-15NXGRW</t>
  </si>
  <si>
    <t>CHIP INDUCTOR 15NH 2^ T&amp;R</t>
  </si>
  <si>
    <t>Elina Electronic Engeeniring</t>
  </si>
  <si>
    <t>Avi Eliya</t>
  </si>
  <si>
    <t>Avi@elina.co.il</t>
  </si>
  <si>
    <t>972-732224830</t>
  </si>
  <si>
    <t>T55B107M6R3C0040</t>
  </si>
  <si>
    <t>CHIP CAP TANT TA2O5 100UF 6.3VDC 20^ T&amp;R</t>
  </si>
  <si>
    <t>04021J0R3PBSTR</t>
  </si>
  <si>
    <t>CHIP CAP 0.3PF +-.02PF 100V T&amp;R</t>
  </si>
  <si>
    <t>MS51957-3</t>
  </si>
  <si>
    <t>NAS1676C2</t>
  </si>
  <si>
    <t>WASHER,SPRING LOCK,HELICAL,HI-COLLAR,#2</t>
  </si>
  <si>
    <t>BLM18SG260TN1D</t>
  </si>
  <si>
    <t>CHIP EMIFIL INDUCTOR 26-OHM T&amp;R</t>
  </si>
  <si>
    <t>CRCW04021K40FKED</t>
  </si>
  <si>
    <t>CHIP RESISTOR 1.4KOHM 1% 0.063W T&amp;R</t>
  </si>
  <si>
    <t>IHLP2525CZER1R0M01</t>
  </si>
  <si>
    <t>INDUCTOR 1UH 20PC SHIELDED T&amp;R</t>
  </si>
  <si>
    <t>SN74LVCH244APW</t>
  </si>
  <si>
    <t>IC OCTAL BUFFERS/DRIVERS</t>
  </si>
  <si>
    <t>HSMG-C150</t>
  </si>
  <si>
    <t>CHIP LED GREEN</t>
  </si>
  <si>
    <t>Sales department</t>
  </si>
  <si>
    <t>sales@rsisrael.co.il</t>
  </si>
  <si>
    <t>600L1R0AW200T</t>
  </si>
  <si>
    <t>CHIP CAP 1PF 200VOLT 5^</t>
  </si>
  <si>
    <t>Ray-Q</t>
  </si>
  <si>
    <t>Irefael@tti.ray-q.com</t>
  </si>
  <si>
    <t>CRCW040224R3FKED</t>
  </si>
  <si>
    <t>CHIP RESIS 24.3 OHM 1% .063W T&amp;R</t>
  </si>
  <si>
    <t>AQ12EM1R4BAJME/500V</t>
  </si>
  <si>
    <t>CHIP CAP 1.4PF +/-0.1PF 150VOLT 55X5</t>
  </si>
  <si>
    <t>Not to purchase - 25/12/2025</t>
  </si>
  <si>
    <t>AQ12EM1R3BAJME/500V</t>
  </si>
  <si>
    <t>CHIP CAP 1.3PF +/-0.1PF 150VOLT 55X5</t>
  </si>
  <si>
    <t>AQ12EM1R6BAJME/500V</t>
  </si>
  <si>
    <t>CHIP CAP 1.6PF +/-0.1PF 150VOLT 55X5</t>
  </si>
  <si>
    <t>C0805C104K1RAC7025</t>
  </si>
  <si>
    <t>CHIP CAP  0.1UF 10^ 100V X7R T&amp;R</t>
  </si>
  <si>
    <t>AQ12EM1R2BAJME/500V</t>
  </si>
  <si>
    <t>CHIP CAP 1.2PF +/-0.1PF 150VOLT 55X5</t>
  </si>
  <si>
    <t>AQ12EM1R5BAJME/500V</t>
  </si>
  <si>
    <t>CHIP CAP 1.5PF +/-0.1PF 150VOLT 55X5</t>
  </si>
  <si>
    <t>SN74LV4T125PWR</t>
  </si>
  <si>
    <t>IC QUADRUPLE BUFFER TRANSLATOR T&amp;R</t>
  </si>
  <si>
    <t>MS16995-1</t>
  </si>
  <si>
    <t>293D476X0010B2TE3</t>
  </si>
  <si>
    <t>CHIP CAP 47UF 20% 10V TANTAL T&amp;R</t>
  </si>
  <si>
    <t>ATC600S4R7BW250XTV</t>
  </si>
  <si>
    <t>CAP. RF, 4.7PF, 250V, LOW ESR, HIGH Q,</t>
  </si>
  <si>
    <t>0402CS-5N6XGRW</t>
  </si>
  <si>
    <t>INDUCTOR CHIP 5.6NH 2^ 0.76A 0402 T&amp;R</t>
  </si>
  <si>
    <t>HSMC-C120</t>
  </si>
  <si>
    <t>CHIP LED RED T&amp;R</t>
  </si>
  <si>
    <t>NAS1640-0</t>
  </si>
  <si>
    <t>WASHER,SPRING LOCK,HELICAL,HI-COLLAR, 0</t>
  </si>
  <si>
    <t>PTL-9-724</t>
  </si>
  <si>
    <t>HIGH TEMPERATURE POLYIMIDE LABEL,WIDE</t>
  </si>
  <si>
    <t>AVDOR</t>
  </si>
  <si>
    <t>MICHAEL LEYOKIN</t>
  </si>
  <si>
    <t>michael@avdor.com</t>
  </si>
  <si>
    <t>972-747155011</t>
  </si>
  <si>
    <t>BUY - M6-9-724</t>
  </si>
  <si>
    <t>A04TGLC</t>
  </si>
  <si>
    <t>INDUCTOR AIR CORE 12.5NH 2%</t>
  </si>
  <si>
    <t>C0603C103K2RAL7867</t>
  </si>
  <si>
    <t>CHIP CAP 0.01UF 10^ 200V X7R T&amp;R</t>
  </si>
  <si>
    <t>MS51957-6</t>
  </si>
  <si>
    <t>GRM155R70J105KA12D</t>
  </si>
  <si>
    <t>CHIP CAP 1UF 10% 6.3V X7R T&amp;R</t>
  </si>
  <si>
    <t>AVERY MPI 3041</t>
  </si>
  <si>
    <t>FILM VINYL TRANSPARENT GLOSS, MULTI PURP</t>
  </si>
  <si>
    <t>VJ1210Y334KXBAT</t>
  </si>
  <si>
    <t>CHIP CAP 0.33UF 10% 100V X7R T&amp;R</t>
  </si>
  <si>
    <t>MS35338-135</t>
  </si>
  <si>
    <t>CRCW0402100RFKED</t>
  </si>
  <si>
    <t>CHIP RESIS 100 OHM 1%  T&amp;R</t>
  </si>
  <si>
    <t>GRM21BZ71A226ME15L</t>
  </si>
  <si>
    <t>CHIP CAP 22UF 20% 10V X7R T&amp;R</t>
  </si>
  <si>
    <t>SMBJ5.0AE3/52</t>
  </si>
  <si>
    <t>DIODE TRANSIENT SUPRESSOR 5V T&amp;R</t>
  </si>
  <si>
    <t>SMBJ8.0A-E3/52</t>
  </si>
  <si>
    <t>TRANSIENT ABSORPTION ZENER 8V,600W T&amp;R</t>
  </si>
  <si>
    <t>C0402C279C5GACTU</t>
  </si>
  <si>
    <t>CHIP CAP 2.7PF +-0.25PF 50V C0G T&amp;R</t>
  </si>
  <si>
    <t>SMF45A</t>
  </si>
  <si>
    <t>DIODE TVS 200W T&amp;R</t>
  </si>
  <si>
    <t>293D475X9016A2TE3</t>
  </si>
  <si>
    <t>CHIP CAP 4.7UF 10% 16V TANTAL T&amp;R</t>
  </si>
  <si>
    <t>SMMBT2222ALT1G</t>
  </si>
  <si>
    <t>TRANSISTOR NPN T&amp;R</t>
  </si>
  <si>
    <t>CRCW060310K0FKEA</t>
  </si>
  <si>
    <t>CHIP RESIS 10KOHM 1% .1W T&amp;R</t>
  </si>
  <si>
    <t>CRCW06030000Z0EA</t>
  </si>
  <si>
    <t>CHIP JUMPER 1.55X0.85MM T&amp;R</t>
  </si>
  <si>
    <t>0603CS-8N7XGLW</t>
  </si>
  <si>
    <t>CHIP INDUCTOR 8.7NH 2% T&amp;R</t>
  </si>
  <si>
    <t>CRCW251275R0FKEG</t>
  </si>
  <si>
    <t>CHIP RESIS 75 OHM 5^ 1W T&amp;R</t>
  </si>
  <si>
    <t>NC7SZ08M5X</t>
  </si>
  <si>
    <t>N57140642</t>
  </si>
  <si>
    <t>IC 2-IN AND GATE TAPE&amp;REEL</t>
  </si>
  <si>
    <t>C0402C102K5RAC7867</t>
  </si>
  <si>
    <t>CHIP CAP 1000PF 10% 50VOLT X7R T&amp;R</t>
  </si>
  <si>
    <t>C0603C104K5RAC7867</t>
  </si>
  <si>
    <t>CHIP CAP 0.1UF 10% 50V X7R T&amp;R</t>
  </si>
  <si>
    <t>C0402C101J3GACTU</t>
  </si>
  <si>
    <t>CHIP CAP 100PF 5^ 25V C0G T&amp;R</t>
  </si>
  <si>
    <t>NAS662C0R5</t>
  </si>
  <si>
    <t>SCREW,MACHINE,100 DEG. FLUSH HEAD,CRUCIF</t>
  </si>
  <si>
    <t>NC7SZ08M5X-L22090</t>
  </si>
  <si>
    <t>MS51957-4</t>
  </si>
  <si>
    <t>C0805C104K5RACTU</t>
  </si>
  <si>
    <t>CL31B105KAHNNNE</t>
  </si>
  <si>
    <t>LQW15AN15NG80D</t>
  </si>
  <si>
    <t>CHIP COIL 15NH +/-2% T&amp;R</t>
  </si>
  <si>
    <t>OBSOLETE</t>
  </si>
  <si>
    <t>293D106X9016A2TE3</t>
  </si>
  <si>
    <t>CHIP CAP 10UF 10% 16V TANTAL T&amp;R</t>
  </si>
  <si>
    <t>CRCW060356K2FKEA</t>
  </si>
  <si>
    <t>CHIP RESIS 56.2KOHM 1% .1W T&amp;R</t>
  </si>
  <si>
    <t>CRCW040282R5FKED</t>
  </si>
  <si>
    <t>CHIP RESIS 82.5 OHM 1% .063W T&amp;R</t>
  </si>
  <si>
    <t>NAS620-0</t>
  </si>
  <si>
    <t>WASHER,FLAT,PLAIN,REDUCED OD,#0 SIZE,.01</t>
  </si>
  <si>
    <t>C0603C123K4RACTU</t>
  </si>
  <si>
    <t>CHIP CAP 0.012UF 10^ 16V X7R T&amp;R</t>
  </si>
  <si>
    <t>C0603C272K5RACTU</t>
  </si>
  <si>
    <t>CHIP CAP 2700PF 10% 50V X7R T&amp;R</t>
  </si>
  <si>
    <t>CRCW06031K30FKEA</t>
  </si>
  <si>
    <t>CHIP RESIS 1.3KOHM 1^ .1W T&amp;R</t>
  </si>
  <si>
    <t>CRCW0603200RFKEA</t>
  </si>
  <si>
    <t>CHIP RESIS 200 OHM 1% PB-FREE T&amp;R</t>
  </si>
  <si>
    <t>CRCW0603806RFKEA</t>
  </si>
  <si>
    <t>CHIP RESIS 806 OHM 1% .1W T&amp;R</t>
  </si>
  <si>
    <t>CRCW04022K00FKED</t>
  </si>
  <si>
    <t>CHIP RESIS 2 KOHM 1%  PB-FREE T&amp;R</t>
  </si>
  <si>
    <t>MS51957-7</t>
  </si>
  <si>
    <t>HARDWARE SPECIALTY</t>
  </si>
  <si>
    <t>Oren Levintov</t>
  </si>
  <si>
    <t>Clo@clo.co.il</t>
  </si>
  <si>
    <t>972 - 544239068</t>
  </si>
  <si>
    <t>MM3Z5V1T1G</t>
  </si>
  <si>
    <t>DIODE  ZENER 5.1V T&amp;R LEAD-FREE</t>
  </si>
  <si>
    <t>CL31B225KOHNNNE</t>
  </si>
  <si>
    <t>CHIP CAP 2.2UF 10% 16V X7R T&amp;R</t>
  </si>
  <si>
    <t>CRCW040249R9FKED</t>
  </si>
  <si>
    <t>CHIP RESIS 49.9 OHM 1% PB-FREE T&amp;R</t>
  </si>
  <si>
    <t>CRCW0402100KFKED</t>
  </si>
  <si>
    <t>CHIP RESIS 100 KOHM 1%  T&amp;R</t>
  </si>
  <si>
    <t>CRCW06031K00FKEA</t>
  </si>
  <si>
    <t>CHIP RESIS 1KOHM 1% .1W T&amp;R</t>
  </si>
  <si>
    <t>CRCW06034K99FKEA</t>
  </si>
  <si>
    <t>CHIP RESIS 4.99KOHM 1% PB-FREE T&amp;</t>
  </si>
  <si>
    <t>CL10B472KC8NNNC</t>
  </si>
  <si>
    <t>CHIP CAP 4700PF 10% 100V T&amp;R</t>
  </si>
  <si>
    <t>CRCW060311K5FKEA</t>
  </si>
  <si>
    <t>CHIP RESIS 11.5KOHM 1% .1W T&amp;R</t>
  </si>
  <si>
    <t>CRCW060312R1FKEA</t>
  </si>
  <si>
    <t>CHIP RESIS 12.1 OHM 1% .1W T&amp;R</t>
  </si>
  <si>
    <t>CRCW0603287KFKEA</t>
  </si>
  <si>
    <t>CHIP RESIS 287KOHM 1^ .1W T&amp;R</t>
  </si>
  <si>
    <t>CRCW06032K49FKEA</t>
  </si>
  <si>
    <t>CHIP RESIS 2.49KOHM 1% .1W T&amp;R</t>
  </si>
  <si>
    <t>CRCW060333K2FKEA</t>
  </si>
  <si>
    <t>CHIP RESIS 33.2KOHM 1% .1W T&amp;R</t>
  </si>
  <si>
    <t>CRCW060338K3FKEA</t>
  </si>
  <si>
    <t>CHIP RESIS 38.3KOHM 1^ .1W T&amp;R</t>
  </si>
  <si>
    <t>CRCW06033K16FKEA</t>
  </si>
  <si>
    <t>CHIP RESIS 3.16KOHM 1% .1W T&amp;R</t>
  </si>
  <si>
    <t>CRCW060349R9FKEA</t>
  </si>
  <si>
    <t>CHIP RESIS 49.9 OHM 1% .1W T&amp;R</t>
  </si>
  <si>
    <t>CRCW060353K6FKEA</t>
  </si>
  <si>
    <t>CHIP RESIS 53.6KOHM 1% .1W T&amp;R</t>
  </si>
  <si>
    <t>CL05B682KB5NNNC</t>
  </si>
  <si>
    <t>CHIP CAP 6800PF 10^ 25V X7R T&amp;R</t>
  </si>
  <si>
    <t>CRCW0402332RFKED</t>
  </si>
  <si>
    <t>CHIP RESIS 332 OHM 1% PB-FREE T&amp;R</t>
  </si>
  <si>
    <t>CRCW04024K99FKED</t>
  </si>
  <si>
    <t>CHIP RESIS 4.99 KOHM 1% PB-FREE T&amp;R</t>
  </si>
  <si>
    <t>CRCW0402511RFKED</t>
  </si>
  <si>
    <t>CHIP RESIS 511 OHM 1% .063W T&amp;R</t>
  </si>
  <si>
    <t>CRCW04025K11FKED</t>
  </si>
  <si>
    <t>CHIP RESIS 5.11KOHM 1^ .063W T&amp;R</t>
  </si>
  <si>
    <t>CRCW0402681RFKED</t>
  </si>
  <si>
    <t>CHIP RESIS 681 OHM 1^ .063W T&amp;R</t>
  </si>
  <si>
    <t>CRCW0402732RFKED</t>
  </si>
  <si>
    <t>CHIP RESIS 732 OHM 1^ .063W T&amp;R</t>
  </si>
  <si>
    <t>CRCW040218K2FKED</t>
  </si>
  <si>
    <t>CHIP RESIS 18.2KOHM 1^ .063W T&amp;R</t>
  </si>
  <si>
    <t>55A0111-18-0</t>
  </si>
  <si>
    <t>N75300608</t>
  </si>
  <si>
    <t>WIRE,18 AWG,STRANDED,XLETFE INSULATION,C</t>
  </si>
  <si>
    <t>M</t>
  </si>
  <si>
    <t>MS51957-5</t>
  </si>
  <si>
    <t>NAS620C6</t>
  </si>
  <si>
    <t>WASHER,FLAT,PLAIN,REDUCED OD, 6 SIZE,.03</t>
  </si>
  <si>
    <t>55A0111-18-9</t>
  </si>
  <si>
    <t>N75300038</t>
  </si>
  <si>
    <t>CL10B153KB8NNNC</t>
  </si>
  <si>
    <t>CHIP CAP 0.015UF 10% 50V X7R T&amp;R</t>
  </si>
  <si>
    <t>C0402C103K3RAC7867</t>
  </si>
  <si>
    <t>CHIP CAP 0.01UF 10^ 25V X7R T&amp;R</t>
  </si>
  <si>
    <t>CRCW06033K32FKEA</t>
  </si>
  <si>
    <t>CHIP RESIS 3.32KOHM 1% PB-FREE T&amp;R</t>
  </si>
  <si>
    <t>CRCW060343R2FKEA</t>
  </si>
  <si>
    <t>CHIP RESIS 43.2 OHM 1% .1W T&amp;R</t>
  </si>
  <si>
    <t>CRCW060354R9FKEA</t>
  </si>
  <si>
    <t>CHIP RESIS 54.9 OHM 1^ .1W T&amp;R</t>
  </si>
  <si>
    <t>CRCW060371R5FKEA</t>
  </si>
  <si>
    <t>CHIP RESIS 71.5 OHM 1% .1W T&amp;R</t>
  </si>
  <si>
    <t>CRCW060375R0FKEA</t>
  </si>
  <si>
    <t>CHIP RESIS 75 OHM 1% .1W T&amp;R</t>
  </si>
  <si>
    <t>CRCW04024K02FKED</t>
  </si>
  <si>
    <t>CHIP RESIS 4.02KOHM 1% .063W T&amp;R</t>
  </si>
  <si>
    <t>CRCW04024K75FKED</t>
  </si>
  <si>
    <t>CHIP RESISTOR 4.75KOHM 1% 0.063W T&amp;R L-F</t>
  </si>
  <si>
    <t>CRCW0402150RFKED</t>
  </si>
  <si>
    <t>CHIP RESIS 150 OHM 1% .063W T&amp;R</t>
  </si>
  <si>
    <t>CRCW04021K21FKED</t>
  </si>
  <si>
    <t>CHIP RESIS 1.21KOHM 1% .063W T&amp;R</t>
  </si>
  <si>
    <t>CRCW0402200RFKED</t>
  </si>
  <si>
    <t>CHIP RESIS 200 OHM 1% T&amp;R</t>
  </si>
  <si>
    <t>ATUM 4/1-0</t>
  </si>
  <si>
    <t>N74195405</t>
  </si>
  <si>
    <t>TUBING HEATSHRINK 4:1 4MM BLK</t>
  </si>
  <si>
    <t>CRCW0603383KFKTA</t>
  </si>
  <si>
    <t>CHIP RESIS 383KOHM 1% .1W T&amp;R</t>
  </si>
  <si>
    <t>Buy CRCW0603383KFKEA‏</t>
  </si>
  <si>
    <t>CRCW0603100KFKEA</t>
  </si>
  <si>
    <t>CHIP RESIS 100KOHM 1% .1W T&amp;R</t>
  </si>
  <si>
    <t>CRCW060310R0FKEA</t>
  </si>
  <si>
    <t>CHIP RESIS 10 OHM 1% .1W T&amp;R</t>
  </si>
  <si>
    <t>CRCW060312K1FKEA</t>
  </si>
  <si>
    <t>CHIP RESIS 12.1KOHM 1% .1W T&amp;R</t>
  </si>
  <si>
    <t>CRCW0603200KFKEA</t>
  </si>
  <si>
    <t>CHIP RESIS 200KOHM 1% .1W T&amp;R</t>
  </si>
  <si>
    <t>CRCW06034K75FKEA</t>
  </si>
  <si>
    <t>CHIP RESIS 4.75KOHM 1% .1W T&amp;R</t>
  </si>
  <si>
    <t>1094N749-001</t>
  </si>
  <si>
    <t>MFE NAMEPLATE</t>
  </si>
  <si>
    <t>ACKERMAN</t>
  </si>
  <si>
    <t>ORIT ACKERMAN</t>
  </si>
  <si>
    <t>Orit@ackerman-printing.com</t>
  </si>
  <si>
    <t>972 - 4-8222188</t>
  </si>
  <si>
    <t>1094T039-002</t>
  </si>
  <si>
    <t>NAMEPLATE DTRM</t>
  </si>
  <si>
    <t>0505P4R7BW151XTV</t>
  </si>
  <si>
    <t>CHIP CAP 4.7PF +/-0.1PF 150V 1.4MM2</t>
  </si>
  <si>
    <t>1094N759-001</t>
  </si>
  <si>
    <t>LABLE MODULE DTRM</t>
  </si>
  <si>
    <t>1094N766-001</t>
  </si>
  <si>
    <t>1094T051-001</t>
  </si>
  <si>
    <t>C</t>
  </si>
  <si>
    <t>LABLE MODULE DRM</t>
  </si>
  <si>
    <t>1094T052-001</t>
  </si>
  <si>
    <t>SIZ340DT-T1-GE3</t>
  </si>
  <si>
    <t>TRANSISTOR MOSFET DUAL N CHANNEL 30V T&amp;R</t>
  </si>
  <si>
    <t>CRCW12067K15FKTA</t>
  </si>
  <si>
    <t>CHIP RESIS 7.15KOHM 1% .25W T&amp;R</t>
  </si>
  <si>
    <t>CRCW0603511RFKTA</t>
  </si>
  <si>
    <t>CHIP RESIS 511 OHM 1% .1W T&amp;R</t>
  </si>
  <si>
    <t>CRCW060313K3FKTA</t>
  </si>
  <si>
    <t>CHIP RESIS 13.3KOHM 1^ .1W T&amp;R</t>
  </si>
  <si>
    <t>Buy CRCW060313K3FKEA‏</t>
  </si>
  <si>
    <t>CL10C101JB8NNNC</t>
  </si>
  <si>
    <t>CHIP CAP 100PF 5 PER. 50VOLT COG TR</t>
  </si>
  <si>
    <t>C0402C472K3RAC7867</t>
  </si>
  <si>
    <t>CHIP CAP 4700PF 10^ 25V X7R T&amp;R</t>
  </si>
  <si>
    <t>CL05C4R7CB5NNNC</t>
  </si>
  <si>
    <t>CHIP CAP 4.7PF 10^ 50V C0G T&amp;R</t>
  </si>
  <si>
    <t>CL10B104KO8NNNC</t>
  </si>
  <si>
    <t>CHIP CAP .1UF 10% 16V X7R T&amp;R</t>
  </si>
  <si>
    <t>EV CAP WITH BRACKET</t>
  </si>
  <si>
    <t>INSIDE COVER ASSY</t>
  </si>
  <si>
    <t>B01</t>
  </si>
  <si>
    <t>BEND OF TRANSISTOR</t>
  </si>
  <si>
    <t>PC ASSY CONTROLLER 400</t>
  </si>
  <si>
    <t>PC ASSY DRM CONTROLER NG 400</t>
  </si>
  <si>
    <t>G</t>
  </si>
  <si>
    <t>C04</t>
  </si>
  <si>
    <t>PS ASSY RX</t>
  </si>
  <si>
    <t>CAPASITORS CALIBRATION KIT</t>
  </si>
  <si>
    <t>CHIP RESIS 2KOHM 1% .063W T&amp;R</t>
  </si>
  <si>
    <t>CRCW04022K00FKTD</t>
  </si>
  <si>
    <t>V</t>
  </si>
  <si>
    <t>CHIP RESIS 2KOHM 1% .0625W T&amp;R</t>
  </si>
  <si>
    <t>RC0402FR-072KL</t>
  </si>
  <si>
    <t>N62061551</t>
  </si>
  <si>
    <t>CHIP RESIS 2KOHM 1% .063WATT 1X0.5MM</t>
  </si>
  <si>
    <t>D101002K001%P0</t>
  </si>
  <si>
    <t>N62061791</t>
  </si>
  <si>
    <t>D10100002K1%P0</t>
  </si>
  <si>
    <t>N62079751</t>
  </si>
  <si>
    <t>CHIP RESIS 2KOHM 1% 0.063WATT 1X0.5M</t>
  </si>
  <si>
    <t>D101002001FP0</t>
  </si>
  <si>
    <t>N62080684</t>
  </si>
  <si>
    <t>CRCW04022001FRT7</t>
  </si>
  <si>
    <t>CR0402-FX-2001GLF</t>
  </si>
  <si>
    <t>CHIP RESIS 732 OHM 1% .063W T&amp;R</t>
  </si>
  <si>
    <t>CRCW0402732RFKTD</t>
  </si>
  <si>
    <t>C1206C105K3RALTM</t>
  </si>
  <si>
    <t>C1206C105K3RALTU</t>
  </si>
  <si>
    <t>C1206C105K3RACTU</t>
  </si>
  <si>
    <t>CHIP CAP 1UF 10% 25VOLT  X7R T&amp;R</t>
  </si>
  <si>
    <t>C1206C105K3RAL7025</t>
  </si>
  <si>
    <t>C1206C105K3RAL7800</t>
  </si>
  <si>
    <t>C1206C105K3RAC7025</t>
  </si>
  <si>
    <t>N62169016</t>
  </si>
  <si>
    <t>CHIP CAP 1UF 10% 25VOLT 126X63 X7R N</t>
  </si>
  <si>
    <t>C1206C105K3RAC</t>
  </si>
  <si>
    <t>N62175682</t>
  </si>
  <si>
    <t>C1206C105K3RAC/TR</t>
  </si>
  <si>
    <t>C1206C105K3RACTM</t>
  </si>
  <si>
    <t>N62175468</t>
  </si>
  <si>
    <t>CHIP CAP 1UF +80-20% 25VOLT 125X63 Y</t>
  </si>
  <si>
    <t>C1206C105Z3VAC</t>
  </si>
  <si>
    <t>CHIP JUMPER 1X0.5MM T&amp;R</t>
  </si>
  <si>
    <t>D101000R0P0</t>
  </si>
  <si>
    <t>CHIP JUMPER  T&amp;R</t>
  </si>
  <si>
    <t>CRCW04020000ZSTD</t>
  </si>
  <si>
    <t>CRCW04020000Z0ED</t>
  </si>
  <si>
    <t>CHIP JUMPER T&amp;R</t>
  </si>
  <si>
    <t>N62079132</t>
  </si>
  <si>
    <t>CRCW0402000ZZRT7</t>
  </si>
  <si>
    <t>N62087572</t>
  </si>
  <si>
    <t>CHIP JUMPER 1X0.5MM TAPE/REEL</t>
  </si>
  <si>
    <t>D101000000ZP0</t>
  </si>
  <si>
    <t>N63031009</t>
  </si>
  <si>
    <t>D10100000R1%P0</t>
  </si>
  <si>
    <t>N62067962</t>
  </si>
  <si>
    <t>CHIP RESIS 0 OHM 5% .063WATT 1.0X0.5</t>
  </si>
  <si>
    <t>MCR01MZSJ000</t>
  </si>
  <si>
    <t>N62884978</t>
  </si>
  <si>
    <t>CHIP JUMPER 39X20 10000EA/RL</t>
  </si>
  <si>
    <t>CJ05-000-H</t>
  </si>
  <si>
    <t>CR0402-J/-000GLF</t>
  </si>
  <si>
    <t>N62081245</t>
  </si>
  <si>
    <t>CHIP JUMPER  .063WATT 1X0.5MM TAPE/R</t>
  </si>
  <si>
    <t>D10100000ZZP0</t>
  </si>
  <si>
    <t>CRCW060353K6FKTA</t>
  </si>
  <si>
    <t>N62051883</t>
  </si>
  <si>
    <t>CHIP RESIS 53.6KOHM 1% .1WATT 1.55X0</t>
  </si>
  <si>
    <t>D1110053K61%P5</t>
  </si>
  <si>
    <t>CHIP RESIS 100KOHM 1% .063WtT&amp;R</t>
  </si>
  <si>
    <t>CRCW0402100KFKTD</t>
  </si>
  <si>
    <t>CHIP RESIS 100KOHM 1% .0625W T&amp;R</t>
  </si>
  <si>
    <t>RC0402FR-07100KL</t>
  </si>
  <si>
    <t>N62084686</t>
  </si>
  <si>
    <t>CHIP RESIS 100KOHM 1% .063WATT 1X0.5</t>
  </si>
  <si>
    <t>D10100100K1%P0</t>
  </si>
  <si>
    <t>CR0402-FX-1003GLF</t>
  </si>
  <si>
    <t>CHIP RESIS 100 OHM 1% .063W T&amp;R</t>
  </si>
  <si>
    <t>CRCW0402100RFKTD</t>
  </si>
  <si>
    <t>N62084603</t>
  </si>
  <si>
    <t>CHIP RESIS 100 OHM 1% 0.063WATT 1X0.</t>
  </si>
  <si>
    <t>D10100100R1%P0</t>
  </si>
  <si>
    <t>CR0402-FX-1000GLF</t>
  </si>
  <si>
    <t>CRCW04021K21FKTD</t>
  </si>
  <si>
    <t>RC0402FR-071K21L</t>
  </si>
  <si>
    <t>N62085782</t>
  </si>
  <si>
    <t>CHIP RESIS 1.21KOHM 1% 0.063WATT 1X0</t>
  </si>
  <si>
    <t>D101001K211%P0</t>
  </si>
  <si>
    <t>CHIP RESIS 1.21KOHM 1% 0.063W T&amp;R</t>
  </si>
  <si>
    <t>CRCW04021211FRT7</t>
  </si>
  <si>
    <t>CR0402-FX-1211GLF</t>
  </si>
  <si>
    <t>CHIP RESIS 200 OHM 1% .063W T&amp;R</t>
  </si>
  <si>
    <t>CRCW0402200RFKTD</t>
  </si>
  <si>
    <t>N62059829</t>
  </si>
  <si>
    <t>CHIP RESIS 200 OHM 1% 0.063WATT 1X0.</t>
  </si>
  <si>
    <t>D10100200R1%P0</t>
  </si>
  <si>
    <t>CHIP RESIS 200 OHM 1% 0.063W T&amp;R</t>
  </si>
  <si>
    <t>CRCW04022000FRT7</t>
  </si>
  <si>
    <t>CR0402-FX-2000GLF</t>
  </si>
  <si>
    <t>CHIP RESIS 18.2KOHM 1% .063W T&amp;R</t>
  </si>
  <si>
    <t>CRCW040218K2FKTD</t>
  </si>
  <si>
    <t>N62084041</t>
  </si>
  <si>
    <t>CHIP RESIS 18.2KOHM 1% .063WATT 1X0.</t>
  </si>
  <si>
    <t>D1010018K21%P0</t>
  </si>
  <si>
    <t>CRCW040224R3FKTD</t>
  </si>
  <si>
    <t>CR0402-FX-24R3GLF</t>
  </si>
  <si>
    <t>RC0402FR-0724R3L</t>
  </si>
  <si>
    <t>N62088307</t>
  </si>
  <si>
    <t>CHIP RESIS 24.3 OHM 1% 0.063WATT 1X0</t>
  </si>
  <si>
    <t>CRCW040224R3FRT7</t>
  </si>
  <si>
    <t>N62089412</t>
  </si>
  <si>
    <t>D1010024R31%P0</t>
  </si>
  <si>
    <t>CHIP RESIS 332 OHM 1% .063W T&amp;R</t>
  </si>
  <si>
    <t>CRCW0402332RFKTD</t>
  </si>
  <si>
    <t>N62093802</t>
  </si>
  <si>
    <t>CHIP RESIS 332 OHM 1% 0.063WATT 1X0.</t>
  </si>
  <si>
    <t>D10100332R1%P0</t>
  </si>
  <si>
    <t>CR0402-FX-3320GLF</t>
  </si>
  <si>
    <t>N62071758</t>
  </si>
  <si>
    <t>CRCW04023320FRT7</t>
  </si>
  <si>
    <t>CHIP RESIS 4.75KOHM 1% .063W T&amp;R</t>
  </si>
  <si>
    <t>CRCW04024K75FKTD</t>
  </si>
  <si>
    <t>CHIP RESIS 4.75KOHM 1% .0625W T&amp;R</t>
  </si>
  <si>
    <t>RC0402FR-074K75L</t>
  </si>
  <si>
    <t>N62053350</t>
  </si>
  <si>
    <t>CHIP RESIS 4.75KOHM 1% .063WATT 1X0.</t>
  </si>
  <si>
    <t>D101004K751%P0</t>
  </si>
  <si>
    <t>CR0402-FX-4751GLF</t>
  </si>
  <si>
    <t>N62056122</t>
  </si>
  <si>
    <t>D101004751FP0</t>
  </si>
  <si>
    <t>CHIP RESIS 4.99 KOHM 1% .063W T&amp;R</t>
  </si>
  <si>
    <t>CRCW04024K99FKTD</t>
  </si>
  <si>
    <t>N62094024</t>
  </si>
  <si>
    <t>CHIP RESIS 4.99KOHM 1% .063WATT 1X0.</t>
  </si>
  <si>
    <t>D101004K991%P0</t>
  </si>
  <si>
    <t>CR0402-FX-4991GLF</t>
  </si>
  <si>
    <t>CHIP RESIS 49.9OHM 1% .063W T&amp;R</t>
  </si>
  <si>
    <t>CRCW040249R9FKTD</t>
  </si>
  <si>
    <t>CR0402-FX-49R9GLF</t>
  </si>
  <si>
    <t>N62069950</t>
  </si>
  <si>
    <t>CHIP RESIS 49.9 OHM 1% 0.063WATT 1X0</t>
  </si>
  <si>
    <t>D1010049R91%P0</t>
  </si>
  <si>
    <t>CHIP RESIS 49.9OHM 1% 0.063W T&amp;R</t>
  </si>
  <si>
    <t>CRCW040249R9FRT7</t>
  </si>
  <si>
    <t>CRCW04024K02FKTD</t>
  </si>
  <si>
    <t>N62085063</t>
  </si>
  <si>
    <t>CHIP RESIS 4.02KOHM 1% .063WATT 1X0.</t>
  </si>
  <si>
    <t>D101004K021%P0</t>
  </si>
  <si>
    <t>CR0402-FX-4021GLF</t>
  </si>
  <si>
    <t>CRCW0402511RFKTD</t>
  </si>
  <si>
    <t>RC0402FR-07511RL</t>
  </si>
  <si>
    <t>N62084322</t>
  </si>
  <si>
    <t>CHIP RESIS 511 OHM 1% .063WATT 1X0.5</t>
  </si>
  <si>
    <t>D10100511R1%P0</t>
  </si>
  <si>
    <t>N62084520</t>
  </si>
  <si>
    <t>D10100511RFP0</t>
  </si>
  <si>
    <t>CR0402-FX-5110GLF</t>
  </si>
  <si>
    <t>N62054606</t>
  </si>
  <si>
    <t>CHIP RESIS 510 OHM 5% .063WATT 1.0X0</t>
  </si>
  <si>
    <t>MCR01MZSJ511</t>
  </si>
  <si>
    <t>CHIP RESIS 5.11KOHM 1% .063W T&amp;R</t>
  </si>
  <si>
    <t>CRCW04025K11FKTD</t>
  </si>
  <si>
    <t>CHIP RESIS 5.11KOHM 1% .0625W T&amp;R</t>
  </si>
  <si>
    <t>RC0402FR-075K11L</t>
  </si>
  <si>
    <t>N62061213</t>
  </si>
  <si>
    <t>CHIP RESIS 5.11KOHM 1% .063WATT 1X0.</t>
  </si>
  <si>
    <t>D101005K111%P0</t>
  </si>
  <si>
    <t>CR0402-FX-5111GLF</t>
  </si>
  <si>
    <t>CHIP RESIS 681 OHM 1% .063W T&amp;R</t>
  </si>
  <si>
    <t>CRCW0402681RFKTD</t>
  </si>
  <si>
    <t>N62086848</t>
  </si>
  <si>
    <t>CHIP RESIS 681 OHM 1% 0.063WATT 1X0.</t>
  </si>
  <si>
    <t>D10100681R1%P0</t>
  </si>
  <si>
    <t>CRCW0402150RFKTD</t>
  </si>
  <si>
    <t>N62052378</t>
  </si>
  <si>
    <t>CHIP RESIS 150 OHM 1% 0.063WATT 1X0.</t>
  </si>
  <si>
    <t>D10100150R1%P0</t>
  </si>
  <si>
    <t>CR0402-FX-1500GLF</t>
  </si>
  <si>
    <t>CRCW040282R5FKTD</t>
  </si>
  <si>
    <t>N62051727</t>
  </si>
  <si>
    <t>CHIP RESIS 82.5 OHM 1% 0.063WATT 1X0</t>
  </si>
  <si>
    <t>D1010082R51%P0</t>
  </si>
  <si>
    <t>CHIP CAP 100PF 5% 25V C0G T&amp;R</t>
  </si>
  <si>
    <t>C0402C101J3GALTU</t>
  </si>
  <si>
    <t>N62195896</t>
  </si>
  <si>
    <t>CHIP CAP 100PF 5% 25VOLT 1X0.5MM C</t>
  </si>
  <si>
    <t>C0402C101J3GAC/TR</t>
  </si>
  <si>
    <t>C0402C101J3GAL7867</t>
  </si>
  <si>
    <t>0402NPO101JT1AT</t>
  </si>
  <si>
    <t>CC0402JRNPO9BN101</t>
  </si>
  <si>
    <t>N62167002</t>
  </si>
  <si>
    <t>CHIP CAP 100PF 5% 25VOLT 40X20 NPO N</t>
  </si>
  <si>
    <t>04023A101JAT2A</t>
  </si>
  <si>
    <t>CHIP CAP 1000PF 10% 50V X7R T&amp;R</t>
  </si>
  <si>
    <t>C0402C102K5RAL/TR</t>
  </si>
  <si>
    <t>C0402C102K5RAL7867</t>
  </si>
  <si>
    <t>C0402C102K5RALTU</t>
  </si>
  <si>
    <t>C0402C102K5RACTU</t>
  </si>
  <si>
    <t>CHIP CAP 1000PF 10% 50VOLT  X7R T&amp;R</t>
  </si>
  <si>
    <t>N62170980</t>
  </si>
  <si>
    <t>CHIP CAP 1000PF 10% 50VOLT 40X20 X7R</t>
  </si>
  <si>
    <t>C0402C102K5RAC/TR</t>
  </si>
  <si>
    <t>0402X7R102KT2AT</t>
  </si>
  <si>
    <t>CL05B102KB5NNNC</t>
  </si>
  <si>
    <t>CC0402KRX7R9BN102</t>
  </si>
  <si>
    <t>GRM155R71H102KA01D</t>
  </si>
  <si>
    <t>CHIP CAP 6800PF 10% 25V X7R T&amp;R</t>
  </si>
  <si>
    <t>C0402C682K3RALTU</t>
  </si>
  <si>
    <t>C0402C682K3RACTU</t>
  </si>
  <si>
    <t>N62125794</t>
  </si>
  <si>
    <t>C0402C682K3RAC/TR</t>
  </si>
  <si>
    <t>CHIP CAP 0.01UF 10% 25V X7R T&amp;R</t>
  </si>
  <si>
    <t>C0402C103K3RAL/TR</t>
  </si>
  <si>
    <t>C0402C103K3RAL7867</t>
  </si>
  <si>
    <t>C0402C103K3RALTU</t>
  </si>
  <si>
    <t>C0402C103K3RACTU</t>
  </si>
  <si>
    <t>C0402C103K3RAC7411</t>
  </si>
  <si>
    <t>N62140587</t>
  </si>
  <si>
    <t>CHIP CAP 0.01UF 10% 25VOLT 40X20 X7R</t>
  </si>
  <si>
    <t>C0402C103K3RAC/TR</t>
  </si>
  <si>
    <t>CHIP CAP 0.01UF 10% 25V X7R</t>
  </si>
  <si>
    <t>VJ0402Y103KXXAC</t>
  </si>
  <si>
    <t>GRM155R71E103KA01D</t>
  </si>
  <si>
    <t>0402X7R103KT1AT</t>
  </si>
  <si>
    <t>CL05B103KA5NNNC</t>
  </si>
  <si>
    <t>CC0402KRX7R8BN103</t>
  </si>
  <si>
    <t>CHIP CAP 0.1UF 10% 16V X7R T/R</t>
  </si>
  <si>
    <t>C0402C104K4RAC/TR</t>
  </si>
  <si>
    <t>C0402C104K4RAC7867</t>
  </si>
  <si>
    <t>CHIP CAP 0.1UF 10% 16V X7R T&amp;R</t>
  </si>
  <si>
    <t>C0402C104K4RALTU</t>
  </si>
  <si>
    <t>C0402C104K4RACTU</t>
  </si>
  <si>
    <t>C0402C104K4RAL7867</t>
  </si>
  <si>
    <t>EMK105B7104KV-F</t>
  </si>
  <si>
    <t>0402YC104KAT2A</t>
  </si>
  <si>
    <t>CC0402KRX7R7BB104</t>
  </si>
  <si>
    <t>0402X7R104KT7AT</t>
  </si>
  <si>
    <t>CL05B104KO5NNNC</t>
  </si>
  <si>
    <t>C0603C272K5RALTU</t>
  </si>
  <si>
    <t>C0603C272K5RAL7867</t>
  </si>
  <si>
    <t>C0603C272K5RAC7867</t>
  </si>
  <si>
    <t>N62143557</t>
  </si>
  <si>
    <t>CHIP CAP 2700PF 10% 50VOLT 63X32 X7R</t>
  </si>
  <si>
    <t>C0603C272K5RAC/TR</t>
  </si>
  <si>
    <t>CL10B272KB8NNNC</t>
  </si>
  <si>
    <t>C0603C153K5RAC/TR</t>
  </si>
  <si>
    <t>C0603C153K5RAL7867</t>
  </si>
  <si>
    <t>C0603C153K5RALTU</t>
  </si>
  <si>
    <t>CHIP CAP 0.015UF 10% 50V X7R TR</t>
  </si>
  <si>
    <t>C0603C153K5RAC7867</t>
  </si>
  <si>
    <t>CHIP CAP 10UF 10% 16V X7R T&amp;R</t>
  </si>
  <si>
    <t>C1206C106K4RAC/TR</t>
  </si>
  <si>
    <t>C1206C106K4RALTM</t>
  </si>
  <si>
    <t>C1206C106K4RAL7025</t>
  </si>
  <si>
    <t xml:space="preserve"> CHIP CAP 10UF 10% 16V X7R T&amp;R</t>
  </si>
  <si>
    <t>C1206C106K4RAC7800</t>
  </si>
  <si>
    <t>C1206C106K4RAC7025</t>
  </si>
  <si>
    <t>EMK316AB7106KLHT</t>
  </si>
  <si>
    <t>EMK316B7106KL-TD</t>
  </si>
  <si>
    <t>C1206C106K4RACAUTO</t>
  </si>
  <si>
    <t>C1206C106K4RAL3325T500</t>
  </si>
  <si>
    <t>C3216X7R1C106K160AC</t>
  </si>
  <si>
    <t>1206X7R106KT7AT</t>
  </si>
  <si>
    <t>CL31B106KOHNFNE</t>
  </si>
  <si>
    <t>T491A475K016AH</t>
  </si>
  <si>
    <t>T491A475K016AT</t>
  </si>
  <si>
    <t>N62150404</t>
  </si>
  <si>
    <t>CHIP CAP 4.7UF 10% 16VOLT 126X63 TAN</t>
  </si>
  <si>
    <t>T491A475K016AS</t>
  </si>
  <si>
    <t>T491B476M010AT</t>
  </si>
  <si>
    <t>CHIP CAP 4700PF 10% 25V X7R T&amp;R</t>
  </si>
  <si>
    <t>C0402C472K3RAC/TR</t>
  </si>
  <si>
    <t>CHIP CAP 4700PF 10% 50V X7R T&amp;R</t>
  </si>
  <si>
    <t>C0402C472K3RALTU</t>
  </si>
  <si>
    <t>C0402C472K3RACTU</t>
  </si>
  <si>
    <t>CC0402KRX7R9BB472</t>
  </si>
  <si>
    <t>04023C472KAT2A</t>
  </si>
  <si>
    <t>CL05B472KB5NNNC</t>
  </si>
  <si>
    <t>CHIP CAP 4.7PF 10% 50V C0G T&amp;R</t>
  </si>
  <si>
    <t>C0402C479K5GAC/TR</t>
  </si>
  <si>
    <t>C0402C479K5GALTU</t>
  </si>
  <si>
    <t>C0402C479K5GAL7867</t>
  </si>
  <si>
    <t>CHIP CAP 4.7PF +-0.5PF 50V C0G T&amp;R</t>
  </si>
  <si>
    <t>C0402C479D5GACTU</t>
  </si>
  <si>
    <t>GJM1555C1H4R7CB01D</t>
  </si>
  <si>
    <t>CHIP CAP 1000PF 10% 200V X7R T&amp;R</t>
  </si>
  <si>
    <t>C0603C102K2RAC/TR</t>
  </si>
  <si>
    <t>C0603C102K2RAL7867</t>
  </si>
  <si>
    <t>C0603C102K2RAL/TR</t>
  </si>
  <si>
    <t>C0603C102K2RALTU</t>
  </si>
  <si>
    <t>CC0603KRX7RABB102</t>
  </si>
  <si>
    <t>CL10B102KD8NNNC</t>
  </si>
  <si>
    <t>C0603C104K5RAC</t>
  </si>
  <si>
    <t>C0603C104K5RAL7867</t>
  </si>
  <si>
    <t>C0603C104K5RAC/TR</t>
  </si>
  <si>
    <t>C0603C104K5RALTU</t>
  </si>
  <si>
    <t>CHIP CAP .1UF 10% 50V X7R T&amp;R</t>
  </si>
  <si>
    <t>C0603C104K5RACTU</t>
  </si>
  <si>
    <t>UMK107B7104KAHT</t>
  </si>
  <si>
    <t>CGA3E2X7R1H104K080AA</t>
  </si>
  <si>
    <t>C1608X7R1H104K080AA</t>
  </si>
  <si>
    <t>CC0603KRX7R9BB104</t>
  </si>
  <si>
    <t>C0603C104K5RACAUTO</t>
  </si>
  <si>
    <t>CHIP CAP 0.1UF 50V X7R T&amp;R</t>
  </si>
  <si>
    <t>GRM188R71H104KA93D</t>
  </si>
  <si>
    <t>C0603X104K5RAC7867</t>
  </si>
  <si>
    <t>0603X7R104KT2AT</t>
  </si>
  <si>
    <t>C0603C104K5RAC7411</t>
  </si>
  <si>
    <t>CL10B104KB8NNNC</t>
  </si>
  <si>
    <t>CHIP CAP 0.47UF 16V X7R 10% T/R</t>
  </si>
  <si>
    <t>C0603C474K4RAL/TR</t>
  </si>
  <si>
    <t>CHIP CAP 0.47UF 10% 16V X7R T&amp;R</t>
  </si>
  <si>
    <t>C0603C474K4RALTU</t>
  </si>
  <si>
    <t>C0603C474K4RALTM</t>
  </si>
  <si>
    <t xml:space="preserve"> CHIP CAPACITOR 0.47UF,10%,16V T&amp;R</t>
  </si>
  <si>
    <t>C0603C474K4RAC7867</t>
  </si>
  <si>
    <t>C0603C474K4RACTU</t>
  </si>
  <si>
    <t>EMK107B7474KAHT</t>
  </si>
  <si>
    <t>EMK107B7474KA-T</t>
  </si>
  <si>
    <t>CHIP CAPACITOR 0.47UF,10%,16V T&amp;R</t>
  </si>
  <si>
    <t>GRM188R71C474KA88D</t>
  </si>
  <si>
    <t>" CHIP CAPACITOR 0.47UF,10%,16V T&amp;R"</t>
  </si>
  <si>
    <t>CL10B474KO8NNNC</t>
  </si>
  <si>
    <t>CHIP CAP  0.1UF 10% 100V X7R T&amp;R</t>
  </si>
  <si>
    <t>C0805C104K1RAC/TR</t>
  </si>
  <si>
    <t>C0805C104K1RALTM</t>
  </si>
  <si>
    <t>C0805C104K1RAL/TR</t>
  </si>
  <si>
    <t>C0805C104K1RAC7800</t>
  </si>
  <si>
    <t>C0805C104K1RAL7025</t>
  </si>
  <si>
    <t>C0805C104K1RACTU</t>
  </si>
  <si>
    <t>CC0805KKX7R0BB104</t>
  </si>
  <si>
    <t>0805X7R104KT3AT</t>
  </si>
  <si>
    <t>CL21B104KCFNNNE</t>
  </si>
  <si>
    <t>CHIP CAP 0.01UF 10% 200V X7R T&amp;R</t>
  </si>
  <si>
    <t>C0603C103K2RAC/TR</t>
  </si>
  <si>
    <t>C0603C103K2RALTU</t>
  </si>
  <si>
    <t>C0603C103K2RAC7013</t>
  </si>
  <si>
    <t>C0603C103K2RAC7867</t>
  </si>
  <si>
    <t>C0603C103K2RACTU</t>
  </si>
  <si>
    <t>CHIP CAP 0.012UF 10% 16V X7R T&amp;R</t>
  </si>
  <si>
    <t>C0603C123K4RALTU</t>
  </si>
  <si>
    <t>C0603C123K4RAL7867</t>
  </si>
  <si>
    <t>N62140017</t>
  </si>
  <si>
    <t>CHIP CAP .012UF 10% 16VOLT 63X32 X7R</t>
  </si>
  <si>
    <t>C0603C123K4RAC/TR</t>
  </si>
  <si>
    <t>CL10B123KO8NNNC</t>
  </si>
  <si>
    <t>C1210C334K1RAC/TR</t>
  </si>
  <si>
    <t>C1210C334K1RALTM</t>
  </si>
  <si>
    <t>CHIP CAP 0.33UF 100V 10% X7R T&amp;R</t>
  </si>
  <si>
    <t>C1210C334K1RAL/TR</t>
  </si>
  <si>
    <t>C1210C334K1RAL7025</t>
  </si>
  <si>
    <t>CC1210KKX7R0BB334</t>
  </si>
  <si>
    <t xml:space="preserve"> HIP CAP 0.33UF 10% 100V X7R T&amp;R</t>
  </si>
  <si>
    <t>C1210C334K1RACTM</t>
  </si>
  <si>
    <t>C1210C334K1RACTU</t>
  </si>
  <si>
    <t>INDUCTOR 1UH 20% SHIELDED T&amp;R</t>
  </si>
  <si>
    <t>N29137924</t>
  </si>
  <si>
    <t>HIGH CURRENT INDUCTOR 1UH 20%</t>
  </si>
  <si>
    <t>IHLP2525CZ-01-1.0UH 20%</t>
  </si>
  <si>
    <t>MMBT2222ALT1G</t>
  </si>
  <si>
    <t>N54215025</t>
  </si>
  <si>
    <t>TRANSISTOR  2N2222A NPN   T&amp;R</t>
  </si>
  <si>
    <t>MMBT2222ALT1</t>
  </si>
  <si>
    <t>IC LINEAR   DUAL OP. AMP.</t>
  </si>
  <si>
    <t>AD823ARZ</t>
  </si>
  <si>
    <t>DUAL, 16 MHZ, RAIL-TO-RAIL AMPLIFIER t&amp;r</t>
  </si>
  <si>
    <t>N62717855</t>
  </si>
  <si>
    <t>CHIP ATT. 1DB DC-18GHZ 60X75MIL .1WA</t>
  </si>
  <si>
    <t>TS0501W3S</t>
  </si>
  <si>
    <t>LT1764EQ#TR</t>
  </si>
  <si>
    <t>LT1764EQ</t>
  </si>
  <si>
    <t>IC LINEAR  ADJ VOLTAGE REG</t>
  </si>
  <si>
    <t>LT1764EQ#PBF</t>
  </si>
  <si>
    <t>N59628636</t>
  </si>
  <si>
    <t>IC LINEAR  ADJ VOLTAGE REGULATOR</t>
  </si>
  <si>
    <t>N57125130</t>
  </si>
  <si>
    <t>IC DIG 2 IN AND GATE  250EA/RL</t>
  </si>
  <si>
    <t>NC7SZ08M5</t>
  </si>
  <si>
    <t>C1206C225K4RACTM</t>
  </si>
  <si>
    <t>C1206C225K4RAC7025</t>
  </si>
  <si>
    <t>CC1206KKX7R7BB225</t>
  </si>
  <si>
    <t>CHIP RESIS 75 OHM 5% 1W T&amp;R</t>
  </si>
  <si>
    <t>CRCW251275R0FKTG</t>
  </si>
  <si>
    <t>N62091723</t>
  </si>
  <si>
    <t>CRCW2512750JR67</t>
  </si>
  <si>
    <t>C0402C103K5RAL7867</t>
  </si>
  <si>
    <t>C0402C103K5RAC7867</t>
  </si>
  <si>
    <t>C0402C103K5RACTU</t>
  </si>
  <si>
    <t>C0402C103K5RACAUTO</t>
  </si>
  <si>
    <t>CC0402KRX7R9BB103</t>
  </si>
  <si>
    <t>CL05B103KB5NNNC</t>
  </si>
  <si>
    <t>IC VOLTAGE REF. 2.5V</t>
  </si>
  <si>
    <t>REF192ES-REEL7</t>
  </si>
  <si>
    <t>N58612243</t>
  </si>
  <si>
    <t>CHP01017</t>
  </si>
  <si>
    <t>REF192ES</t>
  </si>
  <si>
    <t>MM3Z5V1T1</t>
  </si>
  <si>
    <t>N48370241</t>
  </si>
  <si>
    <t>DIODE REF 5.1V 5% 3000EA/RL SOD323-P</t>
  </si>
  <si>
    <t>CHIP RESIS 0.005 OHM 1% T&amp;R</t>
  </si>
  <si>
    <t>WSL25125L000FEA</t>
  </si>
  <si>
    <t>N62057146</t>
  </si>
  <si>
    <t>CHIP RESIS .005 OHM 1% 1WATT 250X125</t>
  </si>
  <si>
    <t>WSL-2512-0R005-1%-R86</t>
  </si>
  <si>
    <t>IC DIGITAL THERMOMETER t&amp;r</t>
  </si>
  <si>
    <t>DS620U/TR</t>
  </si>
  <si>
    <t>IC DIGITAL THERMOMETER</t>
  </si>
  <si>
    <t>DS620U+</t>
  </si>
  <si>
    <t>CHIP RESIS 1.40KOHM 1% .063W T&amp;R</t>
  </si>
  <si>
    <t>CRCW04021K40FKTD</t>
  </si>
  <si>
    <t>CR0402-FX-1401GLF</t>
  </si>
  <si>
    <t>MIC4427YM</t>
  </si>
  <si>
    <t>CHIP RESIS 50-OHM 5% 1.5W T&amp;R</t>
  </si>
  <si>
    <t>S1206HBX500J10/TR</t>
  </si>
  <si>
    <t>C0603C472K1RAL7867</t>
  </si>
  <si>
    <t>CHIP CAP 4700PF 10% 100V X7R T&amp;R</t>
  </si>
  <si>
    <t>C0603C472K1RACTU</t>
  </si>
  <si>
    <t>C0603C105K3RAL7867</t>
  </si>
  <si>
    <t>C0603C105K3RAC7867</t>
  </si>
  <si>
    <t>TMK107AB7105KAHT</t>
  </si>
  <si>
    <t>CC0603KRX7R8BB105</t>
  </si>
  <si>
    <t>0603X7R105KT1AT</t>
  </si>
  <si>
    <t>CL10B105KA8NNNC</t>
  </si>
  <si>
    <t>CHIP CAP 10UF 10% 10V X7R T&amp;R</t>
  </si>
  <si>
    <t>C0805C106K8RAL7025</t>
  </si>
  <si>
    <t>C0805C106K8RAC7025</t>
  </si>
  <si>
    <t>C0805C106K8RAC7800</t>
  </si>
  <si>
    <t>C0805C106K8RACTU</t>
  </si>
  <si>
    <t>CC0805KKX7R6BB106</t>
  </si>
  <si>
    <t>0805X7R106KTAAT</t>
  </si>
  <si>
    <t>CL21B106KPQNNNE</t>
  </si>
  <si>
    <t>C0805C475K4RAL7025</t>
  </si>
  <si>
    <t>C0805C475K4RACTU</t>
  </si>
  <si>
    <t>C0805C475K4RAC7800</t>
  </si>
  <si>
    <t>0805X7R475KT7AT</t>
  </si>
  <si>
    <t>CL21B475KOFNNNE</t>
  </si>
  <si>
    <t>C0402C279C5GAC7867</t>
  </si>
  <si>
    <t>CL05C2R7CB5NNNC</t>
  </si>
  <si>
    <t>N51848802</t>
  </si>
  <si>
    <t>TRANSIENT ABSORPTION ZENER 8V,600W T</t>
  </si>
  <si>
    <t>SMBJ8.0A-T/R</t>
  </si>
  <si>
    <t>IC OCTAL BUFFERS/DRIVERS T&amp;R</t>
  </si>
  <si>
    <t>SN74LVCH244APWT</t>
  </si>
  <si>
    <t>SN74LVCH244APWTE4</t>
  </si>
  <si>
    <t>SN74LVCH244APWTRE4</t>
  </si>
  <si>
    <t>SN74LVCH244APWRG4</t>
  </si>
  <si>
    <t>SN74LVCH244APWR</t>
  </si>
  <si>
    <t>CHIP CAP 10UF 10% 50V X7R T&amp;R</t>
  </si>
  <si>
    <t>C1210C106K5RAC7800</t>
  </si>
  <si>
    <t>C1210C106K5RAL7025</t>
  </si>
  <si>
    <t>GRM32ER71H106KA12L</t>
  </si>
  <si>
    <t>CL32B106KBJNNWE</t>
  </si>
  <si>
    <t>0505P1R4BW151XTV</t>
  </si>
  <si>
    <t>CHIP CAP 1.4PF +/-0.1PF 150V 1.4MM2</t>
  </si>
  <si>
    <t>100A1R4BT150XTV</t>
  </si>
  <si>
    <t>N62165303</t>
  </si>
  <si>
    <t>AQ12EM1R4BAJME/250V</t>
  </si>
  <si>
    <t>CHIP CAP 4.7PF +/-0.1PF 150VOLT 55X5</t>
  </si>
  <si>
    <t>AQ12EM4R7BAJME/500V</t>
  </si>
  <si>
    <t>100A4R7BT150XTV</t>
  </si>
  <si>
    <t>N62166194</t>
  </si>
  <si>
    <t>AQ12EM4R7BAJME/250V</t>
  </si>
  <si>
    <t>LM5113SDX/NOPB</t>
  </si>
  <si>
    <t>FM25V20-DG</t>
  </si>
  <si>
    <t>LEBELS</t>
  </si>
  <si>
    <t>PTL-9-426</t>
  </si>
  <si>
    <t>M6-9-724</t>
  </si>
  <si>
    <t>LABEL,CIRCUIT BOARD,SIZE 0.2x0.65IN,ULTR</t>
  </si>
  <si>
    <t>TPS7A3001DGNR</t>
  </si>
  <si>
    <t>IC PROG. P.S SUPERVISOR &amp; SEQUENC. CONTR</t>
  </si>
  <si>
    <t>ISPPAC-POWR1014A-01TN48I</t>
  </si>
  <si>
    <t>IC DIG UHS INVERTER T&amp;R</t>
  </si>
  <si>
    <t>NC7SZ04P5X-L22057</t>
  </si>
  <si>
    <t>IC QUADRUPLE BUS BUFFER GATE</t>
  </si>
  <si>
    <t>SN74ALVC125PW</t>
  </si>
  <si>
    <t>IC QUADRUPLE BUS BUFFER T&amp;R</t>
  </si>
  <si>
    <t>SN74LVC125APWT</t>
  </si>
  <si>
    <t>SN74LVC125APWTG4</t>
  </si>
  <si>
    <t>TPS7A8001DRBT</t>
  </si>
  <si>
    <t>CHIP INDUCTOR 15NH 2% T&amp;R</t>
  </si>
  <si>
    <t>0603CS-15NXGLW</t>
  </si>
  <si>
    <t>CHIP INDUCTOR 5.6NH 2% T&amp;R</t>
  </si>
  <si>
    <t>0402CS-5N6XGLW</t>
  </si>
  <si>
    <t>INDUCTOR CHIP 5.6NH 2% 0.76A 0402 T&amp;R</t>
  </si>
  <si>
    <t>CHIP CAP TANT TA2O5 100UF 6.3VDC 20% T&amp;R</t>
  </si>
  <si>
    <t>TCJB107M006R0045</t>
  </si>
  <si>
    <t>TCJB107M006R0040</t>
  </si>
  <si>
    <t>PIN DIODE HIGH POWER 50MHZ-4GHZ</t>
  </si>
  <si>
    <t>MADP-011104-000PPR</t>
  </si>
  <si>
    <t>NAS1352C02-6</t>
  </si>
  <si>
    <t>IC DUAL CHANNEL LVDS ISOLATOR</t>
  </si>
  <si>
    <t>ADN4650BRSZ</t>
  </si>
  <si>
    <t>ADAPTER BLHD ADAPT BMA(M) TO SMP(M),</t>
  </si>
  <si>
    <t>R191.811.100</t>
  </si>
  <si>
    <t>CHIP EMI FILTER</t>
  </si>
  <si>
    <t>NFL18ST207X1C3B</t>
  </si>
  <si>
    <t>CL32B226KAJNNNE</t>
  </si>
  <si>
    <t>CL05B105KQ5NQNC</t>
  </si>
  <si>
    <t>CC0402KRX7R5BB105</t>
  </si>
  <si>
    <t>T491A106K016AH</t>
  </si>
  <si>
    <t>SMF45A-T13</t>
  </si>
  <si>
    <t>AD7928BRUZ-REEL</t>
  </si>
  <si>
    <t>IC ADC 12-BIT 8 CHANNEL</t>
  </si>
  <si>
    <t>AD7928BRUZ</t>
  </si>
  <si>
    <t>CHIP RESIS 3.09KOHM 1% .063W T&amp;R</t>
  </si>
  <si>
    <t>CRCW04023K09FKTD</t>
  </si>
  <si>
    <t>FFF002027</t>
  </si>
  <si>
    <t>SMBJ5.0A</t>
  </si>
  <si>
    <t>N51806420</t>
  </si>
  <si>
    <t>TRANSIENT SUPRESSOR 5V 600W TAPE&amp;REE</t>
  </si>
  <si>
    <t>SMBJ5.0AT/R</t>
  </si>
  <si>
    <t>N51806776</t>
  </si>
  <si>
    <t>TRANSIENT SUPRESSOR 5V     600W</t>
  </si>
  <si>
    <t>TRANSIENT SUPRESSOR 5V 600W TAPE&amp;REEL</t>
  </si>
  <si>
    <t>SMBJ5.0AE3T/R</t>
  </si>
  <si>
    <t>FFF003813</t>
  </si>
  <si>
    <t>CRCW060312K1FKTA</t>
  </si>
  <si>
    <t>N62040225</t>
  </si>
  <si>
    <t>CHIP RESIS 12.1KOHM 1% .1WATT 1.55X0</t>
  </si>
  <si>
    <t>D1110012K11%P5</t>
  </si>
  <si>
    <t>N62089008</t>
  </si>
  <si>
    <t>D1112K1FCS</t>
  </si>
  <si>
    <t>CR0603-FX-1212ELF</t>
  </si>
  <si>
    <t>FFF003821</t>
  </si>
  <si>
    <t>CRCW060310K0FKTA</t>
  </si>
  <si>
    <t>N62040332</t>
  </si>
  <si>
    <t>CHIP RESIS 10KOHM 1%  0.1W T&amp;R</t>
  </si>
  <si>
    <t>D1110010K01%P5</t>
  </si>
  <si>
    <t>N62058011</t>
  </si>
  <si>
    <t>CHIP RESIS 10KOHM 1% .1WATT 1.55X0.8</t>
  </si>
  <si>
    <t>D11010KFCS</t>
  </si>
  <si>
    <t>N62063235</t>
  </si>
  <si>
    <t>CHIP RESIS 10KOHM 1% .1WATT 63X31MIL</t>
  </si>
  <si>
    <t>CRCW06031002FRT2</t>
  </si>
  <si>
    <t>N62072988</t>
  </si>
  <si>
    <t>CRCW06031002FRT1</t>
  </si>
  <si>
    <t>CHIP RESIS 10KOHM 1% .063WATT 1.55X0</t>
  </si>
  <si>
    <t>CR0603-FX-1002ELF</t>
  </si>
  <si>
    <t>N62094875</t>
  </si>
  <si>
    <t>CHIP RESIS 10KOHM 1% 0.1W T&amp;R</t>
  </si>
  <si>
    <t>CR0603-FX-1002-E</t>
  </si>
  <si>
    <t>FFF003825</t>
  </si>
  <si>
    <t>CRCW060310R0FKTA</t>
  </si>
  <si>
    <t>N62040399</t>
  </si>
  <si>
    <t>CHIP RESIS 10 OHM 1% .1WATT 1.55X0.8</t>
  </si>
  <si>
    <t>D1110010R01%P5</t>
  </si>
  <si>
    <t>N62054986</t>
  </si>
  <si>
    <t>CHIP RESIS 10 OHM 1% .1WATT 63X31MIL</t>
  </si>
  <si>
    <t>CRCW060310R0FRT1</t>
  </si>
  <si>
    <t>N62061460</t>
  </si>
  <si>
    <t>D11100010R1%P5</t>
  </si>
  <si>
    <t>N62070289</t>
  </si>
  <si>
    <t>D11010RFCS</t>
  </si>
  <si>
    <t>CR0603-FX-10R0ELF</t>
  </si>
  <si>
    <t>N62087226</t>
  </si>
  <si>
    <t>CHIP RESIS 10 OHM 1% .100WATT 1.55X0</t>
  </si>
  <si>
    <t>CR0603-FX-10R0-E</t>
  </si>
  <si>
    <t>FFF003849</t>
  </si>
  <si>
    <t>CRCW060343R2FKTA</t>
  </si>
  <si>
    <t>N62040829</t>
  </si>
  <si>
    <t>CHIP RESIS 43.2 OHM 1% .1WATT 1.55X0</t>
  </si>
  <si>
    <t>D1110043R21%P5</t>
  </si>
  <si>
    <t>CR0603-FX-43R2ELF</t>
  </si>
  <si>
    <t>N62065552</t>
  </si>
  <si>
    <t>D1143R2FCS</t>
  </si>
  <si>
    <t>FFF003881</t>
  </si>
  <si>
    <t>CRCW060312R1FKTA</t>
  </si>
  <si>
    <t>N62041355</t>
  </si>
  <si>
    <t>CHIP RESIS 12.1 OHM 1% .1WATT 1.55X0</t>
  </si>
  <si>
    <t>D1110012R11%P5</t>
  </si>
  <si>
    <t>N62073978</t>
  </si>
  <si>
    <t>D1112R1FCS</t>
  </si>
  <si>
    <t>CR0603-FX-12R1ELF</t>
  </si>
  <si>
    <t>RC0603FR-0712R1L</t>
  </si>
  <si>
    <t>N62098645</t>
  </si>
  <si>
    <t>CHIP RESIS 12.1 OHM 1% .1WATT 63X31M</t>
  </si>
  <si>
    <t>CRCW060312R1FRT1</t>
  </si>
  <si>
    <t>FFF003932</t>
  </si>
  <si>
    <t>3.32 KOHM 0.1 W-PN=D111003K321%P5</t>
  </si>
  <si>
    <t>D111003K321PCTP5</t>
  </si>
  <si>
    <t>CRCW06033K32FKTA</t>
  </si>
  <si>
    <t>CHIP RESIS 3.32KOHM 1% .1W T&amp;R</t>
  </si>
  <si>
    <t>RC0603FR-073K32L</t>
  </si>
  <si>
    <t>N62042478</t>
  </si>
  <si>
    <t>CHIP RESIS 3.32KOHM 1% .1WATT 1.55X0</t>
  </si>
  <si>
    <t>D111003K321%P5</t>
  </si>
  <si>
    <t>N62075098</t>
  </si>
  <si>
    <t>CHIP RESIS 3.32KOHM 1% .1WATT 63X31M</t>
  </si>
  <si>
    <t>CRCW06033321FRT1</t>
  </si>
  <si>
    <t>N62089172</t>
  </si>
  <si>
    <t>D113K32FCS</t>
  </si>
  <si>
    <t>CR0603-FX-3321ELF</t>
  </si>
  <si>
    <t>FFF003946</t>
  </si>
  <si>
    <t>CRCW060349R9FKTA</t>
  </si>
  <si>
    <t>N62042775</t>
  </si>
  <si>
    <t>CHIP RESIS 49.9 OHM 1% .1WATT 1.55X0</t>
  </si>
  <si>
    <t>D1110049R91%P5</t>
  </si>
  <si>
    <t>N62055413</t>
  </si>
  <si>
    <t>D1149R9FCS</t>
  </si>
  <si>
    <t>N62060397</t>
  </si>
  <si>
    <t>CHIP RESIS 49.9 OHM 1% .1WATT 63X31M</t>
  </si>
  <si>
    <t>CRCW060349R9FRT1</t>
  </si>
  <si>
    <t>CR0603-FX-49R9ELF</t>
  </si>
  <si>
    <t>FFF003967</t>
  </si>
  <si>
    <t>CRCW12067K15FKEA</t>
  </si>
  <si>
    <t>N62043294</t>
  </si>
  <si>
    <t>CHIP RESIS 7.15KOHM 1% .25WATT 3.20X</t>
  </si>
  <si>
    <t>D251007K151%P5</t>
  </si>
  <si>
    <t>N63039010</t>
  </si>
  <si>
    <t>D257K15FCS</t>
  </si>
  <si>
    <t>FFF004005</t>
  </si>
  <si>
    <t>CRCW060371R5FKTA</t>
  </si>
  <si>
    <t>N62043997</t>
  </si>
  <si>
    <t>CHIP RESIS 71.5 OHM 1% .1WATT 1.55X0</t>
  </si>
  <si>
    <t>D1110071R51%P5</t>
  </si>
  <si>
    <t>N62080601</t>
  </si>
  <si>
    <t>CHIP RESIS 71.5 OHM 1% .1WATT 63X31M</t>
  </si>
  <si>
    <t>CRCW060371R5FRT1</t>
  </si>
  <si>
    <t>N62080882</t>
  </si>
  <si>
    <t>D1171R5FCS</t>
  </si>
  <si>
    <t>CR0603-FX-71R5-ELF</t>
  </si>
  <si>
    <t>FFF004038</t>
  </si>
  <si>
    <t>CRCW0603383KFKEA</t>
  </si>
  <si>
    <t>N62044508</t>
  </si>
  <si>
    <t>CHIP RESIS 383KOHM 1% .1WATT 1.55X0.</t>
  </si>
  <si>
    <t>D11100383K1%P5</t>
  </si>
  <si>
    <t>FFF004105</t>
  </si>
  <si>
    <t>CHIP RESIS 13.3KOHM 1% .1W T&amp;R</t>
  </si>
  <si>
    <t>CRCW060313K3FKEA</t>
  </si>
  <si>
    <t>N62045737</t>
  </si>
  <si>
    <t>CHIP RESIS 13.3KOHM 1% .1WATT 1.55X0</t>
  </si>
  <si>
    <t>D1110013K31%P5</t>
  </si>
  <si>
    <t>FFF004108</t>
  </si>
  <si>
    <t>CRCW0603806RFKTA</t>
  </si>
  <si>
    <t>N62045794</t>
  </si>
  <si>
    <t>CHIP RESIS 806 OHM 1% .1WATT 1.55X0.</t>
  </si>
  <si>
    <t>D11100806R1%P5</t>
  </si>
  <si>
    <t>N62097910</t>
  </si>
  <si>
    <t>D11806RFCS</t>
  </si>
  <si>
    <t>FFF004130</t>
  </si>
  <si>
    <t>CHIP RESIS 4.99KOHM 1% .1W T&amp;R</t>
  </si>
  <si>
    <t>CRCW06034K99FKTA</t>
  </si>
  <si>
    <t>CR0603-FX-4991ELF</t>
  </si>
  <si>
    <t>N62046123</t>
  </si>
  <si>
    <t>CHIP RESIS 4.99KOHM 1% .1WATT 1.55X0</t>
  </si>
  <si>
    <t>D111004K991%P5</t>
  </si>
  <si>
    <t>N62097092</t>
  </si>
  <si>
    <t>CHIP RESIS 4.99KOHM 1% .1WATT 63X31M</t>
  </si>
  <si>
    <t>CRCW06034991FRT1</t>
  </si>
  <si>
    <t>N62098777</t>
  </si>
  <si>
    <t>CRCW06034991FRT2</t>
  </si>
  <si>
    <t>N62948476</t>
  </si>
  <si>
    <t>D114K99FCS</t>
  </si>
  <si>
    <t>CHIP RESIS 4.99OHM 1% .1W T&amp;R</t>
  </si>
  <si>
    <t>CR0603-J/-4R99ELF</t>
  </si>
  <si>
    <t>FFF004141</t>
  </si>
  <si>
    <t>CRCW06033K16FKTA</t>
  </si>
  <si>
    <t>RC0603FR-073K16L</t>
  </si>
  <si>
    <t>N62046263</t>
  </si>
  <si>
    <t>CHIP RESIS 3.16KOHM 1% .1WATT 1.55X0</t>
  </si>
  <si>
    <t>D111003K161%P5</t>
  </si>
  <si>
    <t>N62070321</t>
  </si>
  <si>
    <t>D113K16FCS</t>
  </si>
  <si>
    <t>FFF004174</t>
  </si>
  <si>
    <t>CRCW06034K75FKTA</t>
  </si>
  <si>
    <t>N62046891</t>
  </si>
  <si>
    <t>CHIP RESIS 4.75KOHM 1% .1WATT 1.55X0</t>
  </si>
  <si>
    <t>D111004K751%P5</t>
  </si>
  <si>
    <t>N62071295</t>
  </si>
  <si>
    <t>D114K75FCS</t>
  </si>
  <si>
    <t>N62083126</t>
  </si>
  <si>
    <t>CHIP RESIS 4.75KOHM 1% .1WATT 63X31M</t>
  </si>
  <si>
    <t>CRCW06034751FRT1</t>
  </si>
  <si>
    <t>CR0603-FX-4751ELF</t>
  </si>
  <si>
    <t>FFF004188</t>
  </si>
  <si>
    <t>CRCW0603100KFKTA</t>
  </si>
  <si>
    <t>N62047220</t>
  </si>
  <si>
    <t>CHIP RESIS 100KOHM 1% .1WATT 1.55X0.</t>
  </si>
  <si>
    <t>D11100100K1%P5</t>
  </si>
  <si>
    <t>N62073564</t>
  </si>
  <si>
    <t>D11100KFCS</t>
  </si>
  <si>
    <t>N62082680</t>
  </si>
  <si>
    <t>CHIP RESIS 100KOHM 1% .1WATT 63X31MI</t>
  </si>
  <si>
    <t>CRCW06031003FRT1</t>
  </si>
  <si>
    <t>N62085444</t>
  </si>
  <si>
    <t>CRCW06031003FRT2</t>
  </si>
  <si>
    <t>FFF004209</t>
  </si>
  <si>
    <t>CHIP RESIS 38.3KOHM 1% .1W T&amp;R</t>
  </si>
  <si>
    <t>CRCW060338K3FKTA</t>
  </si>
  <si>
    <t>CR0603-FX-3832ELF</t>
  </si>
  <si>
    <t>N62047584</t>
  </si>
  <si>
    <t>CHIP RESIS 38.3KOHM 1% .1WATT 1.55X0</t>
  </si>
  <si>
    <t>D1110038K31%P5</t>
  </si>
  <si>
    <t>FFF004211</t>
  </si>
  <si>
    <t>CRCW060311K5FKTA</t>
  </si>
  <si>
    <t>N62047626</t>
  </si>
  <si>
    <t>CHIP RESIS 11.5KOHM 1% .1WATT 1.55X0</t>
  </si>
  <si>
    <t>D1110011K51%P5</t>
  </si>
  <si>
    <t>FFF004222</t>
  </si>
  <si>
    <t>CHIP RESIS 200 OHM 1% .1W T&amp;R</t>
  </si>
  <si>
    <t>CRCW0603200RFKTA</t>
  </si>
  <si>
    <t>RC0603FR-07200RL</t>
  </si>
  <si>
    <t>N62047881</t>
  </si>
  <si>
    <t>CHIP RESIS 200 OHM 1% .1WATT 1.55X0.</t>
  </si>
  <si>
    <t>D11100200R1%P5</t>
  </si>
  <si>
    <t>N63024632</t>
  </si>
  <si>
    <t>D11200RFCS</t>
  </si>
  <si>
    <t>N62059357</t>
  </si>
  <si>
    <t>CHIP RESIS 200 OHM 1% .1WATT 63X31MI</t>
  </si>
  <si>
    <t>CRCW06032000FRT1</t>
  </si>
  <si>
    <t>FFF004270</t>
  </si>
  <si>
    <t>CRCW060333K2FKTA</t>
  </si>
  <si>
    <t>N62048707</t>
  </si>
  <si>
    <t>CHIP RESIS 33.2KOHM 1% .1WATT 1.55X0</t>
  </si>
  <si>
    <t>D1110033K21%P5</t>
  </si>
  <si>
    <t>N63019988</t>
  </si>
  <si>
    <t>D1133K2FCS</t>
  </si>
  <si>
    <t>FFF004290</t>
  </si>
  <si>
    <t>CRCW060356K2FKTA</t>
  </si>
  <si>
    <t>N62049200</t>
  </si>
  <si>
    <t>CHIP RESIS 56.2KOHM 1% .1WATT 1.55X0</t>
  </si>
  <si>
    <t>D1110056K21%P5</t>
  </si>
  <si>
    <t>N63042170</t>
  </si>
  <si>
    <t>D1156K2FCS</t>
  </si>
  <si>
    <t>CR0603-FX-5622-ELF</t>
  </si>
  <si>
    <t>FFF004308</t>
  </si>
  <si>
    <t>CRCW0603200KFKTA</t>
  </si>
  <si>
    <t>CRCW06032003FRT1</t>
  </si>
  <si>
    <t>RC0603FR-07200KL</t>
  </si>
  <si>
    <t>N62049549</t>
  </si>
  <si>
    <t>CHIP RESIS 200KOHM 1% .1WATT 1.55X0.</t>
  </si>
  <si>
    <t>D11100200K1%P5</t>
  </si>
  <si>
    <t>N62085881</t>
  </si>
  <si>
    <t>CHIP RESIS 200KOHM 1% .1WATT 63X31MI</t>
  </si>
  <si>
    <t>CR0603-FX-2003ELF</t>
  </si>
  <si>
    <t>N63019442</t>
  </si>
  <si>
    <t>D11200KFCS</t>
  </si>
  <si>
    <t>FFF004310</t>
  </si>
  <si>
    <t>CRCW06031K00FKTA</t>
  </si>
  <si>
    <t>CR0603-FX-1001ELF</t>
  </si>
  <si>
    <t>N62049572</t>
  </si>
  <si>
    <t>D111001K001%P5</t>
  </si>
  <si>
    <t>N62051693</t>
  </si>
  <si>
    <t>CHIP RESIS 1KOHM 1% .100WATT 1.55X0.</t>
  </si>
  <si>
    <t>CR0603-FX-1001-E</t>
  </si>
  <si>
    <t>CHIP RESIS 1KOHM 1% .1WATT T&amp;R</t>
  </si>
  <si>
    <t>N62092614</t>
  </si>
  <si>
    <t>CRCW06031001FRT1</t>
  </si>
  <si>
    <t>N63037261</t>
  </si>
  <si>
    <t>CHIP RESIS 1KOHM 1% .1WATT 1.55X0.85</t>
  </si>
  <si>
    <t>D11001KFCS</t>
  </si>
  <si>
    <t>FFF004315</t>
  </si>
  <si>
    <t>CHIP RESIS 287KOHM 1% .1W T&amp;R</t>
  </si>
  <si>
    <t>CRCW0603287KFKTA</t>
  </si>
  <si>
    <t>N62049689</t>
  </si>
  <si>
    <t>CHIP RESIS 287KOHM 1% .1WATT 63X31MI</t>
  </si>
  <si>
    <t>D11100287K1%P5</t>
  </si>
  <si>
    <t>N63084891</t>
  </si>
  <si>
    <t>D11287KFCS</t>
  </si>
  <si>
    <t>FFF004327</t>
  </si>
  <si>
    <t>CRCW0603511RFKEA</t>
  </si>
  <si>
    <t>N62049937</t>
  </si>
  <si>
    <t>CHIP RESIS 511 OHM 1% .1WATT 1.55X0.</t>
  </si>
  <si>
    <t>D11100511R1%P5</t>
  </si>
  <si>
    <t>N62058946</t>
  </si>
  <si>
    <t>CHIP RESIS 511 OHM 1% .1WATT 63X31MI</t>
  </si>
  <si>
    <t>CRCW06035110FRT1</t>
  </si>
  <si>
    <t>N62090360</t>
  </si>
  <si>
    <t>D11511RFCS</t>
  </si>
  <si>
    <t>FFF004388</t>
  </si>
  <si>
    <t>CHIP RESIS 1.3KOHM 1% .1W T&amp;R</t>
  </si>
  <si>
    <t>CRCW06031K30FKTA</t>
  </si>
  <si>
    <t>CRCW06031301FRT1</t>
  </si>
  <si>
    <t>N62055520</t>
  </si>
  <si>
    <t>CHIP RESIS 1.3KOHM 1% .1WATT 1.55X0.</t>
  </si>
  <si>
    <t>D111001K301%P5</t>
  </si>
  <si>
    <t>N62093877</t>
  </si>
  <si>
    <t>CHIP RESIS 1.3KOHM 1% .1WATT 63X31MI</t>
  </si>
  <si>
    <t>FFF004392</t>
  </si>
  <si>
    <t>CRCW060375R0FKTA</t>
  </si>
  <si>
    <t>RC0603FR-0775RL</t>
  </si>
  <si>
    <t>N62056080</t>
  </si>
  <si>
    <t>CHIP RESIS 75 OHM 1% .1WATT 1.55X0.8</t>
  </si>
  <si>
    <t>D1175R0FCS</t>
  </si>
  <si>
    <t>N62065222</t>
  </si>
  <si>
    <t>D1110075R01%P5</t>
  </si>
  <si>
    <t>N62067178</t>
  </si>
  <si>
    <t>D11075RFCS</t>
  </si>
  <si>
    <t>CR0603-FX-75R0-ELF</t>
  </si>
  <si>
    <t>N62077326</t>
  </si>
  <si>
    <t>CHIP RESIS 75 OHM 1% .1WATT 63X31MIL</t>
  </si>
  <si>
    <t>CRCW060375R0FRT1</t>
  </si>
  <si>
    <t>FFF004408</t>
  </si>
  <si>
    <t>CHIP RESIS 1KOHM 1% .063WATT 1X0.5MM</t>
  </si>
  <si>
    <t>CRCW04021K00FKTD</t>
  </si>
  <si>
    <t>CHIP RESIS 1KOHM 1% .063W T&amp;R</t>
  </si>
  <si>
    <t>N62057344</t>
  </si>
  <si>
    <t>CHIP RESIS 1KOHM 1% .063WATT 1X0.5MI</t>
  </si>
  <si>
    <t>D101001K001%P0</t>
  </si>
  <si>
    <t>N62058656</t>
  </si>
  <si>
    <t>CRCW04021001FRT7</t>
  </si>
  <si>
    <t>N62096730</t>
  </si>
  <si>
    <t>D10100001K1%P0</t>
  </si>
  <si>
    <t>CR0402-FX-1001GLF</t>
  </si>
  <si>
    <t>FFF004418</t>
  </si>
  <si>
    <t>CHIP RESIS 54.9 OHM 1% .1W T&amp;R</t>
  </si>
  <si>
    <t>CRCW060354R9FKTA</t>
  </si>
  <si>
    <t>CRCW060354R9FRT1</t>
  </si>
  <si>
    <t>N62058292</t>
  </si>
  <si>
    <t>CHIP RESIS 54.9 OHM 1% .1WATT 1.55X0</t>
  </si>
  <si>
    <t>D1110054R91%P5</t>
  </si>
  <si>
    <t>N62064902</t>
  </si>
  <si>
    <t>CHIP RESIS 54.9 OHM 1% .1WATT 63X31M</t>
  </si>
  <si>
    <t>FFF004487</t>
  </si>
  <si>
    <t>CHIP RESIS 10KOHM 1% .063WATT 1X0.5M</t>
  </si>
  <si>
    <t>CRCW040210K0FKTD</t>
  </si>
  <si>
    <t>CHIP RESIS 10KOHM 1% .063W T&amp;R</t>
  </si>
  <si>
    <t>N62084660</t>
  </si>
  <si>
    <t>D10100010K1%P0</t>
  </si>
  <si>
    <t>N62084736</t>
  </si>
  <si>
    <t>D101001002FP0</t>
  </si>
  <si>
    <t>N62085220</t>
  </si>
  <si>
    <t>D1010010K01%P0</t>
  </si>
  <si>
    <t>CR0402-FX-1002GLF</t>
  </si>
  <si>
    <t>N62073689</t>
  </si>
  <si>
    <t>CHIP RESIS 10KOHM 1% .063WATT 1.0X0.</t>
  </si>
  <si>
    <t>CRCW04021002FRT7</t>
  </si>
  <si>
    <t>FFF004492</t>
  </si>
  <si>
    <t>CRCW06032K49FKTA</t>
  </si>
  <si>
    <t>RC0603FR-072K49L</t>
  </si>
  <si>
    <t>N62087085</t>
  </si>
  <si>
    <t>CHIP RESIS 2.49KOHM 1% .1WATT 1.55X0</t>
  </si>
  <si>
    <t>D111002K491%P5</t>
  </si>
  <si>
    <t>CHIP RESIS 2.49KOHM 1% .1WATT 63X31M</t>
  </si>
  <si>
    <t>N62099122</t>
  </si>
  <si>
    <t>CRCW06032491FRT2</t>
  </si>
  <si>
    <t>CR0603-FX-2491ELF</t>
  </si>
  <si>
    <t>FFF004550</t>
  </si>
  <si>
    <t>0505P1R3BW151XTV</t>
  </si>
  <si>
    <t>CHIP CAP 1.3PF +/-0.1PF 150V 1.4MM2</t>
  </si>
  <si>
    <t>100A1R3BT150XTV</t>
  </si>
  <si>
    <t>N62104138</t>
  </si>
  <si>
    <t>CHIP CAP 1.3PF +-.1PF 50VOLT 55X55 P</t>
  </si>
  <si>
    <t>ATC100A1R3BP50X</t>
  </si>
  <si>
    <t>N62183736</t>
  </si>
  <si>
    <t>AQ12EM1R3BAJME/250V</t>
  </si>
  <si>
    <t>N63136246</t>
  </si>
  <si>
    <t>500R12Q1R3BB</t>
  </si>
  <si>
    <t>FFF004621</t>
  </si>
  <si>
    <t>0505P1R2BW151XTV</t>
  </si>
  <si>
    <t>CHIP CAP 1.2PF +/-0.1PF 150V 1.4MM2</t>
  </si>
  <si>
    <t>100A1R2BT150XTV</t>
  </si>
  <si>
    <t>N62110606</t>
  </si>
  <si>
    <t>CHIP CAP 1.2PF +-.1PF 150VOLT 55X55</t>
  </si>
  <si>
    <t>ATC100A1R2BP150X</t>
  </si>
  <si>
    <t>N62192224</t>
  </si>
  <si>
    <t>AQ12EM1R2BAJME/250V</t>
  </si>
  <si>
    <t>N63121487</t>
  </si>
  <si>
    <t>01Q1R2BUX</t>
  </si>
  <si>
    <t>N63154272</t>
  </si>
  <si>
    <t>ATC100A1R2BP50X</t>
  </si>
  <si>
    <t>FFF004628</t>
  </si>
  <si>
    <t>0505P1R1BW151XTV</t>
  </si>
  <si>
    <t>CHIP CAP 1.1PF +/-0.1PF 150V 1.4MM2</t>
  </si>
  <si>
    <t>100A1R1BT150XTV</t>
  </si>
  <si>
    <t>N62111448</t>
  </si>
  <si>
    <t>CHIP CAP 1.1PF +-.1PF 150VOLT 55X55</t>
  </si>
  <si>
    <t>ATC100A1R1BP150X</t>
  </si>
  <si>
    <t>N62142203</t>
  </si>
  <si>
    <t>AQ12EM1R1BAJME/250V</t>
  </si>
  <si>
    <t>N63136451</t>
  </si>
  <si>
    <t>01Q1R1BUX</t>
  </si>
  <si>
    <t>FFF004709</t>
  </si>
  <si>
    <t>C0603C101J5GAL7867</t>
  </si>
  <si>
    <t>CHIP CAP 100PF 5% 50V C0G T&amp;R</t>
  </si>
  <si>
    <t>C0603C101J5GALTU</t>
  </si>
  <si>
    <t>C0603C101J5GACTU</t>
  </si>
  <si>
    <t>CHIP CAP 100PF 5% 50VOLT COG t&amp;R</t>
  </si>
  <si>
    <t>C0603C101J5GAC7867</t>
  </si>
  <si>
    <t>N62141734</t>
  </si>
  <si>
    <t>CHIP CAP 100PF 5% 50VOLT 63X32 COG N</t>
  </si>
  <si>
    <t>C0603C101J5GAC</t>
  </si>
  <si>
    <t>N63156350</t>
  </si>
  <si>
    <t>C0603C101J5GAC/TR</t>
  </si>
  <si>
    <t>C0603C101J5GAC7411</t>
  </si>
  <si>
    <t>FFF004711</t>
  </si>
  <si>
    <t>CHIP CAP 0.1uF 10% 50V X7R T&amp;R</t>
  </si>
  <si>
    <t>C0805C104K5RAL/TR</t>
  </si>
  <si>
    <t>C0805C104K5RAL7025</t>
  </si>
  <si>
    <t>C0805C104K5RALTM</t>
  </si>
  <si>
    <t>C0805C104K5RAC7800</t>
  </si>
  <si>
    <t>CC0805KRX7R9BB104</t>
  </si>
  <si>
    <t>N62141965</t>
  </si>
  <si>
    <t>CHIP CAP .1UF 10% 50VOLT 80X50 X7R N</t>
  </si>
  <si>
    <t>C0805C104K5RAC/TR</t>
  </si>
  <si>
    <t>N62143383</t>
  </si>
  <si>
    <t>C0805C104K5RAC</t>
  </si>
  <si>
    <t>0805X7R104KT2AT</t>
  </si>
  <si>
    <t>CL21B104KBCNNNC</t>
  </si>
  <si>
    <t>FFF004739</t>
  </si>
  <si>
    <t>C0603C104K4RAL7867</t>
  </si>
  <si>
    <t>C0603C104K4RALTU</t>
  </si>
  <si>
    <t>C0603C104K4RAC7867</t>
  </si>
  <si>
    <t>N62165022</t>
  </si>
  <si>
    <t>CHIP CAP .1UF 10% 16VOLT 63X32 X7R N</t>
  </si>
  <si>
    <t>C0603C104K4RAC/TR</t>
  </si>
  <si>
    <t>N62168216</t>
  </si>
  <si>
    <t>C0603C104K4RAC</t>
  </si>
  <si>
    <t>C0603C104K4RACTU</t>
  </si>
  <si>
    <t>C0603C104K4RAC7411</t>
  </si>
  <si>
    <t>FFF004838</t>
  </si>
  <si>
    <t>CHIP JUMPER 1.55x0.85MM T&amp;R</t>
  </si>
  <si>
    <t>CRCW0603000ZRT1</t>
  </si>
  <si>
    <t>CRCW06030000ZSTA</t>
  </si>
  <si>
    <t xml:space="preserve"> CHIP JUMPER 1.55X0.85MM T&amp;R</t>
  </si>
  <si>
    <t>N62803069</t>
  </si>
  <si>
    <t>CHIP JUMPER 63X31   5000EA/RL</t>
  </si>
  <si>
    <t>CRCW0603-000-RT2</t>
  </si>
  <si>
    <t>N62807763</t>
  </si>
  <si>
    <t>CHIP JUMPER 1.55X0.85MM 1.5AMP TAPE/</t>
  </si>
  <si>
    <t>D111000R001%P5</t>
  </si>
  <si>
    <t>N62807854</t>
  </si>
  <si>
    <t>D11000RFCS</t>
  </si>
  <si>
    <t>N62838305</t>
  </si>
  <si>
    <t>CHIP JUMPER 1.55X0.85MM  TAPE/REEL</t>
  </si>
  <si>
    <t>D111000R0P5</t>
  </si>
  <si>
    <t>N62863873</t>
  </si>
  <si>
    <t>CRCW0603000ZZRT1</t>
  </si>
  <si>
    <t>N62800792</t>
  </si>
  <si>
    <t>CHIP JUMPER 1.55X0.8MIL 5000EA/RL</t>
  </si>
  <si>
    <t>CR0603-JW-000-E</t>
  </si>
  <si>
    <t>CR0603-J/-000ELF</t>
  </si>
  <si>
    <t>RC0603JR-070RL</t>
  </si>
  <si>
    <t>FFF008182</t>
  </si>
  <si>
    <t>N75317693</t>
  </si>
  <si>
    <t>WIRE 18AWG 19/30STRD XLETFE WHT 600V</t>
  </si>
  <si>
    <t>22759-32A1-18-9</t>
  </si>
  <si>
    <t>N75325381</t>
  </si>
  <si>
    <t>H3832184-9</t>
  </si>
  <si>
    <t>N75338046</t>
  </si>
  <si>
    <t>WIRE 18 AWG 19/30 STRD XLETFE WHT 600V,</t>
  </si>
  <si>
    <t>M22759/32-18-9</t>
  </si>
  <si>
    <t>FFF008184</t>
  </si>
  <si>
    <t>N75358473</t>
  </si>
  <si>
    <t>WIRE 18AWG 19/30STRD XLETFE BLK 600V</t>
  </si>
  <si>
    <t>H3832184-0</t>
  </si>
  <si>
    <t>N75384362</t>
  </si>
  <si>
    <t>M22759/32-18-0</t>
  </si>
  <si>
    <t>N75390294</t>
  </si>
  <si>
    <t>22759-32A1-18-0</t>
  </si>
  <si>
    <t>FFF016910</t>
  </si>
  <si>
    <t>SEALING LOCKING ANAEROB. COMP. HIGH STRE</t>
  </si>
  <si>
    <t>270-50CC</t>
  </si>
  <si>
    <t>SEALING,PERMANENT LOCKING COMPOUND,ACRYL</t>
  </si>
  <si>
    <t>LOCTITE 270 50CC</t>
  </si>
  <si>
    <t>FFF016923</t>
  </si>
  <si>
    <t>LOCTITE 222MS</t>
  </si>
  <si>
    <t>SEALING LOCKING ANAEROBIC COMPOUND,O</t>
  </si>
  <si>
    <t>222-50CC</t>
  </si>
  <si>
    <t>LOCTITE222</t>
  </si>
  <si>
    <t>FFF300776</t>
  </si>
  <si>
    <t>CHIP CAP 1000PF 10% 50VOLT 55X55 NPO</t>
  </si>
  <si>
    <t>700A102KT50XTV</t>
  </si>
  <si>
    <t>CAP CHIP RF 1000PF 10% 50V 55X55 T&amp;R</t>
  </si>
  <si>
    <t>AQ125A102KATME/HV</t>
  </si>
  <si>
    <t>700A102KW50XTV</t>
  </si>
  <si>
    <t>N62101746</t>
  </si>
  <si>
    <t>CHIP CAP 1000PF 10% 50VOLT 55X55 CER</t>
  </si>
  <si>
    <t>ATC700A102KP50X</t>
  </si>
  <si>
    <t>N62164959</t>
  </si>
  <si>
    <t>ATC700A102KW50X</t>
  </si>
  <si>
    <t>N62170881</t>
  </si>
  <si>
    <t>AQ125A102KAJME/250V</t>
  </si>
  <si>
    <t>N63141287</t>
  </si>
  <si>
    <t>01C102KUX</t>
  </si>
  <si>
    <t>FFF300787</t>
  </si>
  <si>
    <t>0505P1R6BW151XTV</t>
  </si>
  <si>
    <t>CHIP CAP 1.6PF +/-0.1PF 150V 1.4MM2</t>
  </si>
  <si>
    <t>100A1R6BW150XTV</t>
  </si>
  <si>
    <t>100A1R6BT150XTV</t>
  </si>
  <si>
    <t>N62104161</t>
  </si>
  <si>
    <t>CHIP CAP 1.6PF +-.1PF 50VOLT 55X55 P</t>
  </si>
  <si>
    <t>ATC100A1R6BP50X</t>
  </si>
  <si>
    <t>N62142815</t>
  </si>
  <si>
    <t>AQ12EM1R6BAJME/250V</t>
  </si>
  <si>
    <t>FFF300800</t>
  </si>
  <si>
    <t>0505P1R5BW151XTV</t>
  </si>
  <si>
    <t>CHIP CAP 1.5PF +/-0.1PF 150V 1.4MM2</t>
  </si>
  <si>
    <t>100A1R5BT150XTV</t>
  </si>
  <si>
    <t>N62111166</t>
  </si>
  <si>
    <t>CHIP CAP 1.5PF +-.1PF 150VOLT 55X55</t>
  </si>
  <si>
    <t>ATC100A1R5BP150X</t>
  </si>
  <si>
    <t>N62144209</t>
  </si>
  <si>
    <t>AQ12EM1R5BAJME/250V</t>
  </si>
  <si>
    <t>N63177752</t>
  </si>
  <si>
    <t>01Q1R5BUX</t>
  </si>
  <si>
    <t>CN</t>
  </si>
  <si>
    <t>DESC</t>
  </si>
  <si>
    <t>MPN</t>
  </si>
  <si>
    <t>PRIMARY</t>
  </si>
  <si>
    <t>TARGET PRICE</t>
  </si>
  <si>
    <t>LEVEL</t>
  </si>
  <si>
    <t>PN</t>
  </si>
  <si>
    <t>WORK PLAN</t>
  </si>
  <si>
    <t>STOCK</t>
  </si>
  <si>
    <t>ETD</t>
  </si>
  <si>
    <t>DEMAND</t>
  </si>
  <si>
    <t>COUNT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</si>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</sst>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.00_);_([$$-409]* \(#,##0.00\);_([$$-409]* &quot;-&quot;??_);_(@_)"/>
    <numFmt numFmtId="176" formatCode="mm/yyyy"/>
  </numFmts>
  <fonts count="3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u/>
      <sz val="10"/>
      <name val="Arial"/>
      <family val="2"/>
    </font>
    <font>
      <sz val="10"/>
      <color rgb="FFFF0000"/>
      <name val="Arial"/>
      <family val="2"/>
    </font>
    <font>
      <b/>
      <sz val="12"/>
      <color rgb="FFFF0000"/>
      <name val="Arial"/>
      <family val="2"/>
    </font>
    <font>
      <sz val="8"/>
      <name val="Arial"/>
    </font>
    <font>
      <sz val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37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</font>
    <font>
      <sz val="8"/>
      <color indexed="62"/>
      <name val="Arial"/>
      <family val="2"/>
    </font>
    <font>
      <sz val="12"/>
      <color theme="1"/>
      <name val="Calibri"/>
      <family val="2"/>
    </font>
    <font>
      <sz val="14"/>
      <name val="Arial"/>
      <family val="2"/>
    </font>
    <font>
      <sz val="16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60"/>
      </patternFill>
    </fill>
    <fill>
      <patternFill patternType="solid">
        <fgColor indexed="48"/>
        <bgColor indexed="48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25"/>
        <bgColor indexed="25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  <b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18"/>
        <bgColor indexed="18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  <b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35"/>
        <bgColor indexed="3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9"/>
      </patternFill>
    </fill>
    <fill>
      <patternFill patternType="solid">
        <fgColor indexed="45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23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1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2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7" fillId="11" borderId="0"/>
    <xf numFmtId="0" fontId="14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5" fillId="17" borderId="0" applyNumberFormat="0" applyBorder="0" applyAlignment="0" applyProtection="0"/>
    <xf numFmtId="0" fontId="15" fillId="25" borderId="0" applyNumberFormat="0" applyBorder="0" applyAlignment="0" applyProtection="0"/>
    <xf numFmtId="0" fontId="14" fillId="18" borderId="0" applyNumberFormat="0" applyBorder="0" applyAlignment="0" applyProtection="0"/>
    <xf numFmtId="0" fontId="14" fillId="1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4" fillId="15" borderId="0" applyNumberFormat="0" applyBorder="0" applyAlignment="0" applyProtection="0"/>
    <xf numFmtId="0" fontId="14" fillId="28" borderId="0" applyNumberFormat="0" applyBorder="0" applyAlignment="0" applyProtection="0"/>
    <xf numFmtId="0" fontId="15" fillId="29" borderId="0" applyNumberFormat="0" applyBorder="0" applyAlignment="0" applyProtection="0"/>
    <xf numFmtId="0" fontId="15" fillId="30" borderId="0" applyNumberFormat="0" applyBorder="0" applyAlignment="0" applyProtection="0"/>
    <xf numFmtId="0" fontId="14" fillId="31" borderId="0" applyNumberFormat="0" applyBorder="0" applyAlignment="0" applyProtection="0"/>
    <xf numFmtId="0" fontId="16" fillId="29" borderId="0" applyNumberFormat="0" applyBorder="0" applyAlignment="0" applyProtection="0"/>
    <xf numFmtId="0" fontId="17" fillId="32" borderId="4" applyNumberFormat="0" applyAlignment="0" applyProtection="0"/>
    <xf numFmtId="0" fontId="18" fillId="24" borderId="5" applyNumberFormat="0" applyAlignment="0" applyProtection="0"/>
    <xf numFmtId="0" fontId="19" fillId="33" borderId="0" applyNumberFormat="0" applyBorder="0" applyAlignment="0" applyProtection="0"/>
    <xf numFmtId="0" fontId="19" fillId="34" borderId="0" applyNumberFormat="0" applyBorder="0" applyAlignment="0" applyProtection="0"/>
    <xf numFmtId="0" fontId="19" fillId="35" borderId="0" applyNumberFormat="0" applyBorder="0" applyAlignment="0" applyProtection="0"/>
    <xf numFmtId="0" fontId="15" fillId="22" borderId="0" applyNumberFormat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30" borderId="4" applyNumberFormat="0" applyAlignment="0" applyProtection="0"/>
    <xf numFmtId="0" fontId="24" fillId="0" borderId="9" applyNumberFormat="0" applyFill="0" applyAlignment="0" applyProtection="0"/>
    <xf numFmtId="0" fontId="24" fillId="30" borderId="0" applyNumberFormat="0" applyBorder="0" applyAlignment="0" applyProtection="0"/>
    <xf numFmtId="0" fontId="8" fillId="29" borderId="4" applyNumberFormat="0" applyFont="0" applyAlignment="0" applyProtection="0"/>
    <xf numFmtId="0" fontId="25" fillId="32" borderId="10" applyNumberFormat="0" applyAlignment="0" applyProtection="0"/>
    <xf numFmtId="4" fontId="8" fillId="36" borderId="4" applyNumberFormat="0" applyProtection="0">
      <alignment vertical="center"/>
    </xf>
    <xf numFmtId="4" fontId="28" fillId="37" borderId="4" applyNumberFormat="0" applyProtection="0">
      <alignment vertical="center"/>
    </xf>
    <xf numFmtId="4" fontId="8" fillId="37" borderId="4" applyNumberFormat="0" applyProtection="0">
      <alignment horizontal="left" vertical="center" indent="1"/>
    </xf>
    <xf numFmtId="0" fontId="11" fillId="36" borderId="11" applyNumberFormat="0" applyProtection="0">
      <alignment horizontal="left" vertical="top" indent="1"/>
    </xf>
    <xf numFmtId="4" fontId="8" fillId="38" borderId="4" applyNumberFormat="0" applyProtection="0">
      <alignment horizontal="left" vertical="center" indent="1"/>
    </xf>
    <xf numFmtId="4" fontId="8" fillId="39" borderId="4" applyNumberFormat="0" applyProtection="0">
      <alignment horizontal="right" vertical="center"/>
    </xf>
    <xf numFmtId="4" fontId="8" fillId="40" borderId="4" applyNumberFormat="0" applyProtection="0">
      <alignment horizontal="right" vertical="center"/>
    </xf>
    <xf numFmtId="4" fontId="8" fillId="41" borderId="12" applyNumberFormat="0" applyProtection="0">
      <alignment horizontal="right" vertical="center"/>
    </xf>
    <xf numFmtId="4" fontId="8" fillId="42" borderId="4" applyNumberFormat="0" applyProtection="0">
      <alignment horizontal="right" vertical="center"/>
    </xf>
    <xf numFmtId="4" fontId="8" fillId="43" borderId="4" applyNumberFormat="0" applyProtection="0">
      <alignment horizontal="right" vertical="center"/>
    </xf>
    <xf numFmtId="4" fontId="8" fillId="44" borderId="4" applyNumberFormat="0" applyProtection="0">
      <alignment horizontal="right" vertical="center"/>
    </xf>
    <xf numFmtId="4" fontId="8" fillId="45" borderId="4" applyNumberFormat="0" applyProtection="0">
      <alignment horizontal="right" vertical="center"/>
    </xf>
    <xf numFmtId="4" fontId="8" fillId="46" borderId="4" applyNumberFormat="0" applyProtection="0">
      <alignment horizontal="right" vertical="center"/>
    </xf>
    <xf numFmtId="4" fontId="8" fillId="47" borderId="4" applyNumberFormat="0" applyProtection="0">
      <alignment horizontal="right" vertical="center"/>
    </xf>
    <xf numFmtId="4" fontId="8" fillId="48" borderId="12" applyNumberFormat="0" applyProtection="0">
      <alignment horizontal="left" vertical="center" indent="1"/>
    </xf>
    <xf numFmtId="4" fontId="1" fillId="49" borderId="12" applyNumberFormat="0" applyProtection="0">
      <alignment horizontal="left" vertical="center" indent="1"/>
    </xf>
    <xf numFmtId="4" fontId="1" fillId="49" borderId="12" applyNumberFormat="0" applyProtection="0">
      <alignment horizontal="left" vertical="center" indent="1"/>
    </xf>
    <xf numFmtId="4" fontId="8" fillId="50" borderId="4" applyNumberFormat="0" applyProtection="0">
      <alignment horizontal="right" vertical="center"/>
    </xf>
    <xf numFmtId="4" fontId="8" fillId="51" borderId="12" applyNumberFormat="0" applyProtection="0">
      <alignment horizontal="left" vertical="center" indent="1"/>
    </xf>
    <xf numFmtId="4" fontId="8" fillId="50" borderId="12" applyNumberFormat="0" applyProtection="0">
      <alignment horizontal="left" vertical="center" indent="1"/>
    </xf>
    <xf numFmtId="0" fontId="8" fillId="52" borderId="4" applyNumberFormat="0" applyProtection="0">
      <alignment horizontal="left" vertical="center" indent="1"/>
    </xf>
    <xf numFmtId="0" fontId="8" fillId="49" borderId="11" applyNumberFormat="0" applyProtection="0">
      <alignment horizontal="left" vertical="top" indent="1"/>
    </xf>
    <xf numFmtId="0" fontId="8" fillId="53" borderId="4" applyNumberFormat="0" applyProtection="0">
      <alignment horizontal="left" vertical="center" indent="1"/>
    </xf>
    <xf numFmtId="0" fontId="8" fillId="50" borderId="11" applyNumberFormat="0" applyProtection="0">
      <alignment horizontal="left" vertical="top" indent="1"/>
    </xf>
    <xf numFmtId="0" fontId="8" fillId="54" borderId="4" applyNumberFormat="0" applyProtection="0">
      <alignment horizontal="left" vertical="center" indent="1"/>
    </xf>
    <xf numFmtId="0" fontId="8" fillId="54" borderId="11" applyNumberFormat="0" applyProtection="0">
      <alignment horizontal="left" vertical="top" indent="1"/>
    </xf>
    <xf numFmtId="0" fontId="8" fillId="51" borderId="4" applyNumberFormat="0" applyProtection="0">
      <alignment horizontal="left" vertical="center" indent="1"/>
    </xf>
    <xf numFmtId="0" fontId="8" fillId="51" borderId="11" applyNumberFormat="0" applyProtection="0">
      <alignment horizontal="left" vertical="top" indent="1"/>
    </xf>
    <xf numFmtId="0" fontId="8" fillId="55" borderId="13" applyNumberFormat="0">
      <protection locked="0"/>
    </xf>
    <xf numFmtId="0" fontId="9" fillId="49" borderId="14" applyBorder="0"/>
    <xf numFmtId="4" fontId="10" fillId="56" borderId="11" applyNumberFormat="0" applyProtection="0">
      <alignment vertical="center"/>
    </xf>
    <xf numFmtId="4" fontId="28" fillId="57" borderId="2" applyNumberFormat="0" applyProtection="0">
      <alignment vertical="center"/>
    </xf>
    <xf numFmtId="4" fontId="10" fillId="52" borderId="11" applyNumberFormat="0" applyProtection="0">
      <alignment horizontal="left" vertical="center" indent="1"/>
    </xf>
    <xf numFmtId="0" fontId="10" fillId="56" borderId="11" applyNumberFormat="0" applyProtection="0">
      <alignment horizontal="left" vertical="top" indent="1"/>
    </xf>
    <xf numFmtId="4" fontId="8" fillId="0" borderId="4" applyNumberFormat="0" applyProtection="0">
      <alignment horizontal="right" vertical="center"/>
    </xf>
    <xf numFmtId="4" fontId="28" fillId="58" borderId="4" applyNumberFormat="0" applyProtection="0">
      <alignment horizontal="right" vertical="center"/>
    </xf>
    <xf numFmtId="4" fontId="8" fillId="38" borderId="4" applyNumberFormat="0" applyProtection="0">
      <alignment horizontal="left" vertical="center" indent="1"/>
    </xf>
    <xf numFmtId="0" fontId="10" fillId="50" borderId="11" applyNumberFormat="0" applyProtection="0">
      <alignment horizontal="left" vertical="top" indent="1"/>
    </xf>
    <xf numFmtId="4" fontId="12" fillId="59" borderId="12" applyNumberFormat="0" applyProtection="0">
      <alignment horizontal="left" vertical="center" indent="1"/>
    </xf>
    <xf numFmtId="0" fontId="8" fillId="60" borderId="2"/>
    <xf numFmtId="4" fontId="13" fillId="55" borderId="4" applyNumberFormat="0" applyProtection="0">
      <alignment horizontal="right" vertical="center"/>
    </xf>
    <xf numFmtId="0" fontId="26" fillId="0" borderId="0" applyNumberFormat="0" applyFill="0" applyBorder="0" applyAlignment="0" applyProtection="0"/>
    <xf numFmtId="0" fontId="19" fillId="0" borderId="15" applyNumberFormat="0" applyFill="0" applyAlignment="0" applyProtection="0"/>
    <xf numFmtId="0" fontId="27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1" applyAlignment="1">
      <alignment horizontal="center" vertical="center"/>
    </xf>
    <xf numFmtId="0" fontId="1" fillId="0" borderId="0" xfId="1" applyAlignment="1">
      <alignment horizontal="center" vertical="center" wrapText="1"/>
    </xf>
    <xf numFmtId="0" fontId="1" fillId="3" borderId="1" xfId="1" applyFill="1" applyBorder="1" applyAlignment="1">
      <alignment horizontal="center" vertical="center" wrapText="1"/>
    </xf>
    <xf numFmtId="0" fontId="1" fillId="3" borderId="1" xfId="1" applyFill="1" applyBorder="1" applyAlignment="1">
      <alignment horizontal="center" vertical="center"/>
    </xf>
    <xf numFmtId="0" fontId="1" fillId="4" borderId="1" xfId="1" applyFill="1" applyBorder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1" fillId="5" borderId="0" xfId="1" applyFill="1" applyAlignment="1">
      <alignment horizontal="center" vertical="center"/>
    </xf>
    <xf numFmtId="0" fontId="1" fillId="6" borderId="0" xfId="1" applyFill="1" applyAlignment="1">
      <alignment horizontal="center" vertical="center"/>
    </xf>
    <xf numFmtId="0" fontId="2" fillId="6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2" applyFill="1" applyAlignment="1">
      <alignment horizontal="center" vertical="center"/>
    </xf>
    <xf numFmtId="0" fontId="1" fillId="7" borderId="0" xfId="1" applyFill="1" applyAlignment="1">
      <alignment horizontal="center" vertical="center"/>
    </xf>
    <xf numFmtId="0" fontId="3" fillId="0" borderId="0" xfId="2" applyAlignment="1">
      <alignment horizontal="center" vertical="center"/>
    </xf>
    <xf numFmtId="0" fontId="3" fillId="5" borderId="0" xfId="2" applyFill="1" applyAlignment="1">
      <alignment horizontal="center" vertical="center"/>
    </xf>
    <xf numFmtId="0" fontId="2" fillId="7" borderId="0" xfId="1" applyFont="1" applyFill="1" applyAlignment="1">
      <alignment horizontal="center" vertical="center"/>
    </xf>
    <xf numFmtId="0" fontId="1" fillId="8" borderId="0" xfId="1" applyFill="1" applyAlignment="1">
      <alignment horizontal="center" vertical="center"/>
    </xf>
    <xf numFmtId="0" fontId="4" fillId="7" borderId="0" xfId="1" applyFont="1" applyFill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4" fontId="6" fillId="5" borderId="2" xfId="1" applyNumberFormat="1" applyFont="1" applyFill="1" applyBorder="1" applyAlignment="1">
      <alignment horizontal="center" vertical="center"/>
    </xf>
    <xf numFmtId="0" fontId="6" fillId="5" borderId="3" xfId="1" applyFont="1" applyFill="1" applyBorder="1" applyAlignment="1">
      <alignment horizontal="center" vertical="center" wrapText="1"/>
    </xf>
    <xf numFmtId="0" fontId="6" fillId="9" borderId="3" xfId="1" applyFont="1" applyFill="1" applyBorder="1" applyAlignment="1">
      <alignment horizontal="center" vertical="center" wrapText="1"/>
    </xf>
    <xf numFmtId="0" fontId="1" fillId="10" borderId="0" xfId="1" applyFill="1" applyAlignment="1">
      <alignment horizontal="center" vertical="center"/>
    </xf>
    <xf numFmtId="176" fontId="1" fillId="0" borderId="0" xfId="1" applyNumberFormat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31" fillId="5" borderId="0" xfId="1" applyFont="1" applyFill="1" applyAlignment="1">
      <alignment horizontal="center" vertical="center"/>
    </xf>
    <xf numFmtId="0" fontId="30" fillId="0" borderId="0" xfId="1" applyFont="1" applyAlignment="1">
      <alignment horizontal="center" vertical="center"/>
    </xf>
    <xf numFmtId="0" fontId="1" fillId="0" borderId="0" xfId="1" applyBorder="1" applyAlignment="1">
      <alignment horizontal="center" vertical="center"/>
    </xf>
    <xf numFmtId="0" fontId="29" fillId="0" borderId="0" xfId="0" applyFont="1" applyBorder="1" applyAlignment="1">
      <alignment horizontal="center" vertical="center" wrapText="1"/>
    </xf>
    <xf numFmtId="0" fontId="1" fillId="0" borderId="0" xfId="1" applyFont="1" applyBorder="1" applyAlignment="1">
      <alignment horizontal="center" vertical="center"/>
    </xf>
  </cellXfs>
  <cellStyles count="92">
    <cellStyle name="Accent1 - 20%" xfId="9" xr:uid="{3C889A25-FDE9-4CF9-A09F-D18140C2EFED}"/>
    <cellStyle name="Accent1 - 40%" xfId="10" xr:uid="{F27139BC-1ABB-4F69-929D-9195DE069E11}"/>
    <cellStyle name="Accent1 - 60%" xfId="11" xr:uid="{C72B7208-AEF8-482E-9CED-3D129C1A7BD0}"/>
    <cellStyle name="Accent1 2" xfId="8" xr:uid="{AFA19176-3069-422E-A2A3-68D496B4ECAD}"/>
    <cellStyle name="Accent2 - 20%" xfId="13" xr:uid="{DB6D4DF5-EC84-4D28-A29D-986859AEEA90}"/>
    <cellStyle name="Accent2 - 40%" xfId="14" xr:uid="{FDD4C620-3403-4A74-B50D-1F9CC866A9DE}"/>
    <cellStyle name="Accent2 - 60%" xfId="15" xr:uid="{0764AB54-6E06-4BBB-9EA3-AAF538D3A754}"/>
    <cellStyle name="Accent2 2" xfId="12" xr:uid="{F0D71E9D-CEEB-4381-BF4E-A409C526F025}"/>
    <cellStyle name="Accent3 - 20%" xfId="17" xr:uid="{9EB811AC-6FDE-40B2-B5AB-083A8179DC16}"/>
    <cellStyle name="Accent3 - 40%" xfId="18" xr:uid="{9B7E5907-08D5-46B8-A12C-45F05507F735}"/>
    <cellStyle name="Accent3 - 60%" xfId="19" xr:uid="{0585C8EF-5058-4185-9261-D935B047E32A}"/>
    <cellStyle name="Accent3 2" xfId="16" xr:uid="{ABBB2E6E-B33A-447F-B8B4-5B60FC79628F}"/>
    <cellStyle name="Accent4 - 20%" xfId="21" xr:uid="{CE847959-A0FA-478B-AD73-0A1FFD81CF49}"/>
    <cellStyle name="Accent4 - 40%" xfId="22" xr:uid="{BE8979A7-FD61-487A-83FF-A5EAD01D7BEA}"/>
    <cellStyle name="Accent4 - 60%" xfId="23" xr:uid="{80BDBBA2-49E1-487E-B4DE-0EBF2EC8C2B5}"/>
    <cellStyle name="Accent4 2" xfId="20" xr:uid="{7FD2EA0C-E422-41C5-92D0-4F86C000EDD0}"/>
    <cellStyle name="Accent5 - 20%" xfId="25" xr:uid="{4575F038-498E-43F0-8BF2-74CDB2FA90A1}"/>
    <cellStyle name="Accent5 - 40%" xfId="26" xr:uid="{0730EE63-87C9-4A10-BF9C-B1128C395FD7}"/>
    <cellStyle name="Accent5 - 60%" xfId="27" xr:uid="{9AC9CE5B-0075-4EC6-9326-17C5FAFABA28}"/>
    <cellStyle name="Accent5 2" xfId="24" xr:uid="{24B6C4CA-E484-444A-930C-0BE09E045442}"/>
    <cellStyle name="Accent6 - 20%" xfId="29" xr:uid="{190B23DA-BB98-465A-AF7D-DF7DFA0BB007}"/>
    <cellStyle name="Accent6 - 40%" xfId="30" xr:uid="{7B5E4597-6FC2-4DE7-9B9F-43F49EAE24A1}"/>
    <cellStyle name="Accent6 - 60%" xfId="31" xr:uid="{B62D1EB1-098E-4ED3-9839-6750DA113542}"/>
    <cellStyle name="Accent6 2" xfId="28" xr:uid="{A28BBF3A-2006-45C1-821B-CA94E041F1FD}"/>
    <cellStyle name="Bad 2" xfId="32" xr:uid="{B07D5C3F-A308-4633-B1C8-D0B380B953D6}"/>
    <cellStyle name="Calculation 2" xfId="33" xr:uid="{70E7C87A-68F1-456F-B863-82F7E80345E6}"/>
    <cellStyle name="Check Cell 2" xfId="34" xr:uid="{5864BE22-B50A-4991-9BC5-1B261048755D}"/>
    <cellStyle name="Emphasis 1" xfId="35" xr:uid="{E995F0D6-E2C8-43DB-96FE-467B4BD45F56}"/>
    <cellStyle name="Emphasis 2" xfId="36" xr:uid="{64C2B85B-5541-4EF5-81D3-1A1B9276E55A}"/>
    <cellStyle name="Emphasis 3" xfId="37" xr:uid="{DFEAF50C-C4DC-4462-B7ED-252618DEB699}"/>
    <cellStyle name="Good 2" xfId="38" xr:uid="{0E63BEC0-05B8-4050-AE62-6CB8C90F8B06}"/>
    <cellStyle name="Heading 1 2" xfId="39" xr:uid="{A7040DFE-3B6B-4A8F-B698-A33F81882EF8}"/>
    <cellStyle name="Heading 2 2" xfId="40" xr:uid="{D3CCE347-A90E-4ECB-952A-08B2994A061A}"/>
    <cellStyle name="Heading 3 2" xfId="41" xr:uid="{CEA090FE-5641-48DD-A76B-40A146B346A8}"/>
    <cellStyle name="Heading 4 2" xfId="42" xr:uid="{4A845EFD-A48E-4766-9892-A8E6200561BF}"/>
    <cellStyle name="Hyperlink 2" xfId="5" xr:uid="{9D94E57A-AE63-44B3-8DDB-16CAF0AF2A25}"/>
    <cellStyle name="Hyperlink 3" xfId="2" xr:uid="{D496BA32-63FE-49BB-90A3-1020D5324C83}"/>
    <cellStyle name="Input 2" xfId="43" xr:uid="{8404E1E5-26A1-4EFB-965A-BFF5107EC162}"/>
    <cellStyle name="Linked Cell 2" xfId="44" xr:uid="{1F276B18-64A5-4B86-BD10-265765C20638}"/>
    <cellStyle name="Neutral 2" xfId="45" xr:uid="{0D2FA55D-6A23-4455-B12B-49DD3AE99195}"/>
    <cellStyle name="Normal" xfId="0" builtinId="0"/>
    <cellStyle name="Normal 2" xfId="1" xr:uid="{ED00BBE6-8D61-4F56-9216-63B37306B8BB}"/>
    <cellStyle name="Normal 3" xfId="6" xr:uid="{F78C3980-157F-49D1-8406-2A857BB0261C}"/>
    <cellStyle name="Normal 4" xfId="3" xr:uid="{E5A584D7-3540-4BC3-A356-B9A59FD5AA18}"/>
    <cellStyle name="Normal 5" xfId="4" xr:uid="{392F060A-4BB4-4CC0-AC07-864EDD87D88C}"/>
    <cellStyle name="Normal 6" xfId="7" xr:uid="{90885B19-CD45-4DDE-AAC5-2A4AE08640A7}"/>
    <cellStyle name="Note 2" xfId="46" xr:uid="{1E36C1A0-D6D5-42D7-91D4-5848B7D9E29A}"/>
    <cellStyle name="Output 2" xfId="47" xr:uid="{13CBB179-C2FD-4105-9844-1043CFF983F0}"/>
    <cellStyle name="SAPBEXaggData" xfId="48" xr:uid="{7160D2A9-11AA-454B-85D2-261FFC017F3A}"/>
    <cellStyle name="SAPBEXaggDataEmph" xfId="49" xr:uid="{B181DBFB-FC2E-4E78-8F41-6E0E638104AD}"/>
    <cellStyle name="SAPBEXaggItem" xfId="50" xr:uid="{FAC37ABC-49EE-4784-817A-034705973BA5}"/>
    <cellStyle name="SAPBEXaggItemX" xfId="51" xr:uid="{A9EA5E98-C049-4417-9576-90A77D617C18}"/>
    <cellStyle name="SAPBEXchaText" xfId="52" xr:uid="{F45E69D2-A466-4607-943F-3BBA72AEAF9E}"/>
    <cellStyle name="SAPBEXexcBad7" xfId="53" xr:uid="{20C41FD0-ACEC-4046-A8AF-7FC15F372C1A}"/>
    <cellStyle name="SAPBEXexcBad8" xfId="54" xr:uid="{A4904B8F-CD4C-45C7-8795-2F966225D5E5}"/>
    <cellStyle name="SAPBEXexcBad9" xfId="55" xr:uid="{37655DF9-6CB1-44EC-B71A-06733E5CD28F}"/>
    <cellStyle name="SAPBEXexcCritical4" xfId="56" xr:uid="{2A5DC0E7-6396-4285-99A5-D1810D8B8A17}"/>
    <cellStyle name="SAPBEXexcCritical5" xfId="57" xr:uid="{D4AA6E24-8BBF-4F4E-B5A7-0A1A0E929CA5}"/>
    <cellStyle name="SAPBEXexcCritical6" xfId="58" xr:uid="{B3C7BF9E-3038-4486-A3CF-868F79BE0A48}"/>
    <cellStyle name="SAPBEXexcGood1" xfId="59" xr:uid="{3EBF6E43-3599-4C36-9706-8D1788E5EE73}"/>
    <cellStyle name="SAPBEXexcGood2" xfId="60" xr:uid="{69E02820-ACCC-4D3A-ACAE-806C36E36AB0}"/>
    <cellStyle name="SAPBEXexcGood3" xfId="61" xr:uid="{50849848-3C97-43F3-A126-B1BACDA65FED}"/>
    <cellStyle name="SAPBEXfilterDrill" xfId="62" xr:uid="{EE58328C-6145-4AC2-9100-65D7F224531C}"/>
    <cellStyle name="SAPBEXfilterItem" xfId="63" xr:uid="{33CB7120-8B91-48FF-9A0A-83F1EC9868B7}"/>
    <cellStyle name="SAPBEXfilterText" xfId="64" xr:uid="{A93C9FF9-1B10-41ED-BF5B-608F12CB5E8B}"/>
    <cellStyle name="SAPBEXformats" xfId="65" xr:uid="{927A55BB-C567-43FC-8272-236D51C80B21}"/>
    <cellStyle name="SAPBEXheaderItem" xfId="66" xr:uid="{27AA5BA6-E9F4-4A5D-A24E-D2AE53441BF0}"/>
    <cellStyle name="SAPBEXheaderText" xfId="67" xr:uid="{DC1518AB-73E0-4425-9B93-B5F2ECD9E4EB}"/>
    <cellStyle name="SAPBEXHLevel0" xfId="68" xr:uid="{BAA29FBB-387C-4F4C-97CD-F3CFA44328E8}"/>
    <cellStyle name="SAPBEXHLevel0X" xfId="69" xr:uid="{262BA1CD-2341-483B-99F3-AC5D0021E5C8}"/>
    <cellStyle name="SAPBEXHLevel1" xfId="70" xr:uid="{55FE6BD6-DF75-4F6C-8093-20DF8158704E}"/>
    <cellStyle name="SAPBEXHLevel1X" xfId="71" xr:uid="{543F4E51-BF32-46B4-AD5C-A8F3D4487769}"/>
    <cellStyle name="SAPBEXHLevel2" xfId="72" xr:uid="{7293C0E5-0BBB-4E06-A0FB-1D81404C37E1}"/>
    <cellStyle name="SAPBEXHLevel2X" xfId="73" xr:uid="{0755A1B6-199F-4E56-B375-B8B7402A5DD7}"/>
    <cellStyle name="SAPBEXHLevel3" xfId="74" xr:uid="{A65B722C-AB3D-4B76-BBCC-25A04B6431AA}"/>
    <cellStyle name="SAPBEXHLevel3X" xfId="75" xr:uid="{4E535C8B-3C7A-461F-A7AF-B4CC0C5778F6}"/>
    <cellStyle name="SAPBEXinputData" xfId="76" xr:uid="{E7D48A01-87BC-4B17-AE6F-7A67D1311CDB}"/>
    <cellStyle name="SAPBEXItemHeader" xfId="77" xr:uid="{FBF4D14A-AE8B-4C48-9DC3-51AD354AC0C8}"/>
    <cellStyle name="SAPBEXresData" xfId="78" xr:uid="{882F635A-B3FA-4087-8ACF-7BE36B43F348}"/>
    <cellStyle name="SAPBEXresDataEmph" xfId="79" xr:uid="{D62B7CFB-6476-44BA-98A4-EC1E4463C9C2}"/>
    <cellStyle name="SAPBEXresItem" xfId="80" xr:uid="{B633CFC1-D4BD-4AFD-AB60-91ADE9C2C05F}"/>
    <cellStyle name="SAPBEXresItemX" xfId="81" xr:uid="{6AD217A4-59FD-4051-ABEB-311DA36C3BE4}"/>
    <cellStyle name="SAPBEXstdData" xfId="82" xr:uid="{449A40F2-A56E-4891-8583-65ED4EFCAEAE}"/>
    <cellStyle name="SAPBEXstdDataEmph" xfId="83" xr:uid="{43D19234-88FF-4A40-B543-8DAEBC3FC3BA}"/>
    <cellStyle name="SAPBEXstdItem" xfId="84" xr:uid="{8231CDBB-E98C-4194-A9DB-47B7278FFCCA}"/>
    <cellStyle name="SAPBEXstdItemX" xfId="85" xr:uid="{17092B7E-DC24-4C86-A574-6BB8DD1E2A4F}"/>
    <cellStyle name="SAPBEXtitle" xfId="86" xr:uid="{B4AB17FA-1597-4F72-8F1B-C7852722881D}"/>
    <cellStyle name="SAPBEXunassignedItem" xfId="87" xr:uid="{CD3C9F65-184D-44D4-8239-46B5BBC363B8}"/>
    <cellStyle name="SAPBEXundefined" xfId="88" xr:uid="{DC0999C6-EA49-4682-B165-6BB749A2F71B}"/>
    <cellStyle name="Sheet Title" xfId="89" xr:uid="{11CBF3E8-8DD7-4628-B50D-8B607BAE2D3A}"/>
    <cellStyle name="Total 2" xfId="90" xr:uid="{3BB6A74F-E355-4194-9A03-10FBE820E272}"/>
    <cellStyle name="Warning Text 2" xfId="91" xr:uid="{18FC80D6-DFB4-4A67-B038-AED7723E17A2}"/>
  </cellStyles>
  <dxfs count="4"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ms_pcb_cables\EMS\&#1489;&#1497;&#1497;&#1491;&#1503;%202\UPDATED%20AVL%2024.12.2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ms_pcb_cables\EMS\&#1489;&#1497;&#1497;&#1491;&#1503;%202\AVL%20MMR%2015.10.2025%20-%202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27403\AppData\Local\Temp\9a5d30fc-9bb2-497a-a30c-cc1476bc4b90_48732_&#1489;&#1497;&#1497;&#1491;&#1503;%202.ZIP.b90\&#1492;&#1510;&#1506;&#1493;&#1514;%20&#1502;&#1495;&#1497;&#1512;\wislab\Wislab%20Pricing%20DRMDTRM%20_Proposal_updated%2030.12.2025.xlsx" TargetMode="External"/><Relationship Id="rId1" Type="http://schemas.openxmlformats.org/officeDocument/2006/relationships/externalLinkPath" Target="/Users/a27403/AppData/Local/Temp/9a5d30fc-9bb2-497a-a30c-cc1476bc4b90_48732_&#1489;&#1497;&#1497;&#1491;&#1503;%202.ZIP.b90/&#1492;&#1510;&#1506;&#1493;&#1514;%20&#1502;&#1495;&#1497;&#1512;/wislab/Wislab%20Pricing%20DRMDTRM%20_Proposal_updated%2030.12.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tant\microgal_project\!!!%2064%20TECH%20!!!\microwave\6421_Nihul_Proj\&#1491;&#1493;&#1491;&#1493;%20&#1488;&#1502;&#1505;&#1500;&#1501;\&#1492;&#1511;&#1510;&#1488;&#1514;%20&#1513;&#1506;&#1493;&#1514;%20&#1502;&#1506;&#1497;&#1500;%20&#1512;&#1493;&#1495;%2020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icrogal/Documents%20and%20Settings/a27272/Desktop/&#1502;&#1506;&#1512;&#1499;&#1493;&#1514;%20&#1502;&#1497;&#1491;&#1506;%20&#1514;&#1495;&#1493;&#1501;%20&#1508;&#1512;&#1493;&#1497;&#1511;&#1496;&#1497;&#1501;/&#1514;&#1511;&#1510;&#1497;&#1489;&#1497;&#1501;/&#1514;&#1499;&#1504;&#1493;&#1503;%20&#1500;&#1505;&#1493;&#1507;%20&#1491;&#1493;&#1491;&#1493;%20&#1492;&#1508;&#1512;&#1493;&#1497;&#1511;&#1496;%20(2)%20(2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icrogal/sites/projects_general/DocLib/&#1492;&#1510;&#1506;&#1514;%20&#1502;&#1495;&#1497;&#1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material balance (2)"/>
      <sheetName val="PARTS"/>
      <sheetName val="Sheet0"/>
      <sheetName val="הזנת נתונים"/>
      <sheetName val="material balance"/>
    </sheetNames>
    <sheetDataSet>
      <sheetData sheetId="0"/>
      <sheetData sheetId="1"/>
      <sheetData sheetId="2">
        <row r="1">
          <cell r="A1" t="str">
            <v>קטלוג</v>
          </cell>
          <cell r="B1" t="str">
            <v>חומר</v>
          </cell>
          <cell r="C1" t="str">
            <v>תיאור חומר</v>
          </cell>
          <cell r="D1" t="str">
            <v>י"מ</v>
          </cell>
          <cell r="E1" t="str">
            <v>קבוצת חומר</v>
          </cell>
          <cell r="F1" t="str">
            <v>קוד יצרן</v>
          </cell>
          <cell r="G1" t="str">
            <v>שם היצרן</v>
          </cell>
        </row>
        <row r="2">
          <cell r="A2">
            <v>400048227</v>
          </cell>
          <cell r="B2" t="str">
            <v>‎TS0501W3S/TR‏</v>
          </cell>
          <cell r="C2" t="str">
            <v>CHIP ATT. 1DB DC-18GHZ 0.1W 50OHM T&amp;R</v>
          </cell>
          <cell r="D2" t="str">
            <v>EA</v>
          </cell>
          <cell r="E2" t="str">
            <v>MEMW</v>
          </cell>
          <cell r="F2" t="str">
            <v>CT737</v>
          </cell>
          <cell r="G2" t="str">
            <v>SMITHS INTERCONNECT AMERICAS,</v>
          </cell>
        </row>
        <row r="3">
          <cell r="A3">
            <v>400068581</v>
          </cell>
          <cell r="B3" t="str">
            <v>‎MM3Z5V1T1G‏</v>
          </cell>
          <cell r="C3" t="str">
            <v>DIODE  ZENER 5.1V T&amp;R LEAD-FREE</v>
          </cell>
          <cell r="D3" t="str">
            <v>EA</v>
          </cell>
          <cell r="E3" t="str">
            <v>MESC</v>
          </cell>
          <cell r="F3" t="str">
            <v>CC395</v>
          </cell>
          <cell r="G3" t="str">
            <v>ON SEMICONDUCTOR</v>
          </cell>
        </row>
        <row r="4">
          <cell r="A4">
            <v>400112300</v>
          </cell>
          <cell r="B4" t="str">
            <v>‎BLM18SG260TN1D‏</v>
          </cell>
          <cell r="C4" t="str">
            <v>CHIP EMIFIL INDUCTOR 26-OHM T&amp;R</v>
          </cell>
          <cell r="D4" t="str">
            <v>EA</v>
          </cell>
          <cell r="E4" t="str">
            <v>MEFL</v>
          </cell>
          <cell r="F4" t="str">
            <v>CB264</v>
          </cell>
          <cell r="G4" t="str">
            <v>MURATA MANUFACTURING CO. LTD</v>
          </cell>
        </row>
        <row r="5">
          <cell r="A5">
            <v>400120842</v>
          </cell>
          <cell r="B5" t="str">
            <v>‎HFCN-2700+TR‏</v>
          </cell>
          <cell r="C5" t="str">
            <v>CHIP CERAMIC HIGH PASS FILTER T&amp;R</v>
          </cell>
          <cell r="D5" t="str">
            <v>EA</v>
          </cell>
          <cell r="E5" t="str">
            <v>MEMW</v>
          </cell>
          <cell r="F5" t="str">
            <v>C3674</v>
          </cell>
          <cell r="G5" t="str">
            <v>MINI-CIRCUITS LABORATORY</v>
          </cell>
        </row>
        <row r="6">
          <cell r="A6">
            <v>400123225</v>
          </cell>
          <cell r="B6" t="str">
            <v>‎NFL18ST507X1C3D‏</v>
          </cell>
          <cell r="C6" t="str">
            <v>CHIP FILTER EMI T&amp;R</v>
          </cell>
          <cell r="D6" t="str">
            <v>EA</v>
          </cell>
          <cell r="E6" t="str">
            <v>MEFL</v>
          </cell>
          <cell r="F6" t="str">
            <v>CB264</v>
          </cell>
          <cell r="G6" t="str">
            <v>MURATA MANUFACTURING CO. LTD</v>
          </cell>
        </row>
        <row r="7">
          <cell r="A7">
            <v>400149265</v>
          </cell>
          <cell r="B7" t="str">
            <v>‎MI0603J601R-10‏</v>
          </cell>
          <cell r="C7" t="str">
            <v>EMI FERRITE CHIP BEAD</v>
          </cell>
          <cell r="D7" t="str">
            <v>EA</v>
          </cell>
          <cell r="E7" t="str">
            <v>MEFL</v>
          </cell>
          <cell r="F7" t="str">
            <v>CR008</v>
          </cell>
          <cell r="G7" t="str">
            <v>LAIRD TECHNOLOGIES SRO</v>
          </cell>
        </row>
        <row r="8">
          <cell r="A8">
            <v>400157870</v>
          </cell>
          <cell r="B8" t="str">
            <v>‎NRVBM2H100T3G‏</v>
          </cell>
          <cell r="C8" t="str">
            <v>SCHOTTKY RECTIFIER 2.0A 100V T&amp;R</v>
          </cell>
          <cell r="D8" t="str">
            <v>EA</v>
          </cell>
          <cell r="E8" t="str">
            <v>MESC</v>
          </cell>
          <cell r="F8" t="str">
            <v>CC395</v>
          </cell>
          <cell r="G8" t="str">
            <v>ON SEMICONDUCTOR</v>
          </cell>
        </row>
        <row r="9">
          <cell r="A9">
            <v>400236023</v>
          </cell>
          <cell r="B9" t="str">
            <v>‎0603CS-8N7XGLW‏</v>
          </cell>
          <cell r="C9" t="str">
            <v>CHIP INDUCTOR 8.7NH 2% T&amp;R</v>
          </cell>
          <cell r="D9" t="str">
            <v>EA</v>
          </cell>
          <cell r="E9" t="str">
            <v>METC</v>
          </cell>
          <cell r="F9" t="str">
            <v>CB240</v>
          </cell>
          <cell r="G9" t="str">
            <v>COILCRAFT INC.</v>
          </cell>
        </row>
        <row r="10">
          <cell r="A10">
            <v>400264055</v>
          </cell>
          <cell r="B10" t="str">
            <v>‎CRCW060313K3FKTA‏</v>
          </cell>
          <cell r="C10" t="str">
            <v>CHIP RESIS 13.3KOHM 1% .1W T&amp;R</v>
          </cell>
          <cell r="D10" t="str">
            <v>EA</v>
          </cell>
          <cell r="E10" t="str">
            <v>MECP</v>
          </cell>
          <cell r="F10" t="str">
            <v>C5679</v>
          </cell>
          <cell r="G10" t="str">
            <v>VISHAY RESISTIVE SYSTEMS</v>
          </cell>
        </row>
        <row r="11">
          <cell r="A11">
            <v>400265702</v>
          </cell>
          <cell r="B11" t="str">
            <v>‎CRCW0603383KFKTA‏</v>
          </cell>
          <cell r="C11" t="str">
            <v>CHIP RESIS 383KOHM 1% .1W T&amp;R</v>
          </cell>
          <cell r="D11" t="str">
            <v>EA</v>
          </cell>
          <cell r="E11" t="str">
            <v>MECP</v>
          </cell>
          <cell r="F11" t="str">
            <v>C5679</v>
          </cell>
          <cell r="G11" t="str">
            <v>VISHAY RESISTIVE SYSTEMS</v>
          </cell>
        </row>
        <row r="12">
          <cell r="A12">
            <v>400265766</v>
          </cell>
          <cell r="B12" t="str">
            <v>‎CRCW0603511RFKTA‏</v>
          </cell>
          <cell r="C12" t="str">
            <v>CHIP RESIS 511 OHM 1% .1W T&amp;R</v>
          </cell>
          <cell r="D12" t="str">
            <v>EA</v>
          </cell>
          <cell r="E12" t="str">
            <v>MECP</v>
          </cell>
          <cell r="F12" t="str">
            <v>C5679</v>
          </cell>
          <cell r="G12" t="str">
            <v>VISHAY RESISTIVE SYSTEMS</v>
          </cell>
        </row>
        <row r="13">
          <cell r="A13">
            <v>400280614</v>
          </cell>
          <cell r="B13" t="str">
            <v>‎MMBT2222ALT1G‏</v>
          </cell>
          <cell r="C13" t="str">
            <v>TRANSISTOR NPN T&amp;R</v>
          </cell>
          <cell r="D13" t="str">
            <v>EA</v>
          </cell>
          <cell r="E13" t="str">
            <v>MESC</v>
          </cell>
          <cell r="F13" t="str">
            <v>CC395</v>
          </cell>
          <cell r="G13" t="str">
            <v>ON SEMICONDUCTOR</v>
          </cell>
        </row>
        <row r="14">
          <cell r="A14">
            <v>400292801</v>
          </cell>
          <cell r="B14" t="str">
            <v>‎CRCW12067K15FKTA‏</v>
          </cell>
          <cell r="C14" t="str">
            <v>CHIP RESIS 7.15KOHM 1% .25W T&amp;R</v>
          </cell>
          <cell r="D14" t="str">
            <v>EA</v>
          </cell>
          <cell r="E14" t="str">
            <v>MECP</v>
          </cell>
          <cell r="F14" t="str">
            <v>C5679</v>
          </cell>
          <cell r="G14" t="str">
            <v>VISHAY RESISTIVE SYSTEMS</v>
          </cell>
        </row>
        <row r="15">
          <cell r="A15">
            <v>400306993</v>
          </cell>
          <cell r="B15" t="str">
            <v>‎3550LP14A300T‏</v>
          </cell>
          <cell r="C15" t="str">
            <v>FILTER LOW PASS 3.5GHZ T&amp;R</v>
          </cell>
          <cell r="D15" t="str">
            <v>EA</v>
          </cell>
          <cell r="E15" t="str">
            <v>MEFL</v>
          </cell>
          <cell r="F15" t="str">
            <v>CL408</v>
          </cell>
          <cell r="G15" t="str">
            <v>JOHANSON TECHNOLOGY</v>
          </cell>
        </row>
        <row r="16">
          <cell r="A16">
            <v>400319690</v>
          </cell>
          <cell r="B16" t="str">
            <v>‎LT4363MPS-2#PBF‏</v>
          </cell>
          <cell r="C16" t="str">
            <v>IC HIGH VOLTAGE SURGE STOPPER</v>
          </cell>
          <cell r="D16" t="str">
            <v>EA</v>
          </cell>
          <cell r="E16" t="str">
            <v>MEIC</v>
          </cell>
          <cell r="F16" t="str">
            <v>CH237</v>
          </cell>
          <cell r="G16" t="str">
            <v>ANALOG DEVICES</v>
          </cell>
        </row>
        <row r="17">
          <cell r="A17">
            <v>400339840</v>
          </cell>
          <cell r="B17" t="str">
            <v>‎MAX8556ETE+T‏</v>
          </cell>
          <cell r="C17" t="str">
            <v>IC VOLTAGE REGULATOR ADJ. 4A T&amp;R</v>
          </cell>
          <cell r="D17" t="str">
            <v>EA</v>
          </cell>
          <cell r="E17" t="str">
            <v>MEIC</v>
          </cell>
          <cell r="F17" t="str">
            <v>C6050</v>
          </cell>
          <cell r="G17" t="str">
            <v>MAXIM INTEGRATED PRODUCTS, INC</v>
          </cell>
        </row>
        <row r="18">
          <cell r="A18">
            <v>400339908</v>
          </cell>
          <cell r="B18" t="str">
            <v>‎597D227X0020R2T‏</v>
          </cell>
          <cell r="C18" t="str">
            <v>CHIP CAP 220UF 20% 20V TANTALUM T&amp;R</v>
          </cell>
          <cell r="D18" t="str">
            <v>EA</v>
          </cell>
          <cell r="E18" t="str">
            <v>MECP</v>
          </cell>
          <cell r="F18" t="str">
            <v>C9525</v>
          </cell>
          <cell r="G18" t="str">
            <v>VISHAY SPRAGUE</v>
          </cell>
        </row>
        <row r="19">
          <cell r="A19">
            <v>400359927</v>
          </cell>
          <cell r="B19" t="str">
            <v>‎NFL18ST207X1C3D‏</v>
          </cell>
          <cell r="C19" t="str">
            <v>CHIP EMI FILTER T&amp;R</v>
          </cell>
          <cell r="D19" t="str">
            <v>EA</v>
          </cell>
          <cell r="E19" t="str">
            <v>MEFL</v>
          </cell>
          <cell r="F19" t="str">
            <v>CB264</v>
          </cell>
          <cell r="G19" t="str">
            <v>MURATA MANUFACTURING CO. LTD</v>
          </cell>
        </row>
        <row r="20">
          <cell r="A20">
            <v>400416555</v>
          </cell>
          <cell r="B20" t="str">
            <v>‎GRM32ER71E226KE15L‏</v>
          </cell>
          <cell r="C20" t="str">
            <v>CHIP CAP 22UF 10% 25V CERAMIC T&amp;R</v>
          </cell>
          <cell r="D20" t="str">
            <v>EA</v>
          </cell>
          <cell r="E20" t="str">
            <v>MECP</v>
          </cell>
          <cell r="F20" t="str">
            <v>CB264</v>
          </cell>
          <cell r="G20" t="str">
            <v>MURATA MANUFACTURING CO. LTD</v>
          </cell>
        </row>
        <row r="21">
          <cell r="A21">
            <v>400469285</v>
          </cell>
          <cell r="B21" t="str">
            <v>‎097-0227-893‏</v>
          </cell>
          <cell r="C21" t="str">
            <v>GUIDE PIN,THREADED 4-40UNC 3A,60 DEG.CON</v>
          </cell>
          <cell r="D21" t="str">
            <v>EA</v>
          </cell>
          <cell r="E21" t="str">
            <v>MHMU</v>
          </cell>
          <cell r="F21" t="str">
            <v>CB867</v>
          </cell>
          <cell r="G21" t="str">
            <v>DCX-CHOL Entr. Inc</v>
          </cell>
        </row>
        <row r="22">
          <cell r="A22">
            <v>400472007</v>
          </cell>
          <cell r="B22" t="str">
            <v>‎980-0064-005‏</v>
          </cell>
          <cell r="C22" t="str">
            <v>O-RING,FLUOROSILICONE,40 SHORE A,BLUE,F/</v>
          </cell>
          <cell r="D22" t="str">
            <v>EA</v>
          </cell>
          <cell r="E22" t="str">
            <v>MHFS</v>
          </cell>
          <cell r="F22" t="str">
            <v>CB867</v>
          </cell>
          <cell r="G22" t="str">
            <v>DCX-CHOL Entr. Inc</v>
          </cell>
        </row>
        <row r="23">
          <cell r="A23">
            <v>400479535</v>
          </cell>
          <cell r="B23" t="str">
            <v>‎IHLP2525CZER1R0M01‏</v>
          </cell>
          <cell r="C23" t="str">
            <v>INDUCTOR 1UH 20% SHIELDED T&amp;R</v>
          </cell>
          <cell r="D23" t="str">
            <v>EA</v>
          </cell>
          <cell r="E23" t="str">
            <v>METC</v>
          </cell>
          <cell r="F23" t="str">
            <v>CI102</v>
          </cell>
          <cell r="G23" t="str">
            <v>VISHAY DALE MAGNETICS AND INDUCTORS</v>
          </cell>
        </row>
        <row r="24">
          <cell r="A24">
            <v>400536575</v>
          </cell>
          <cell r="B24" t="str">
            <v>‎C0402C104K4RACTU‏</v>
          </cell>
          <cell r="C24" t="str">
            <v>CHIP CAP 0.1UF 10% 16V X7R T&amp;R</v>
          </cell>
          <cell r="D24" t="str">
            <v>EA</v>
          </cell>
          <cell r="E24" t="str">
            <v>MECP</v>
          </cell>
          <cell r="F24" t="str">
            <v>C6545</v>
          </cell>
          <cell r="G24" t="str">
            <v>KEMET ELECTRONICS S A</v>
          </cell>
        </row>
        <row r="25">
          <cell r="A25">
            <v>400536577</v>
          </cell>
          <cell r="B25" t="str">
            <v>‎C0402C101J3GACTU‏</v>
          </cell>
          <cell r="C25" t="str">
            <v>CHIP CAP 100PF 5% 25V C0G T&amp;R</v>
          </cell>
          <cell r="D25" t="str">
            <v>EA</v>
          </cell>
          <cell r="E25" t="str">
            <v>MECP</v>
          </cell>
          <cell r="F25" t="str">
            <v>C6545</v>
          </cell>
          <cell r="G25" t="str">
            <v>KEMET ELECTRONICS S A</v>
          </cell>
        </row>
        <row r="26">
          <cell r="A26">
            <v>400538389</v>
          </cell>
          <cell r="B26" t="str">
            <v>‎C0603C272K5RACTU‏</v>
          </cell>
          <cell r="C26" t="str">
            <v>CHIP CAP 2700PF 10% 50V X7R T&amp;R</v>
          </cell>
          <cell r="D26" t="str">
            <v>EA</v>
          </cell>
          <cell r="E26" t="str">
            <v>MECP</v>
          </cell>
          <cell r="F26" t="str">
            <v>C6545</v>
          </cell>
          <cell r="G26" t="str">
            <v>KEMET ELECTRONICS S A</v>
          </cell>
        </row>
        <row r="27">
          <cell r="A27">
            <v>400539517</v>
          </cell>
          <cell r="B27" t="str">
            <v>‎C0805C104K5RACTU‏</v>
          </cell>
          <cell r="C27" t="str">
            <v>CHIP CAP 0.1UF 10% 50V X7R T&amp;R</v>
          </cell>
          <cell r="D27" t="str">
            <v>EA</v>
          </cell>
          <cell r="E27" t="str">
            <v>MECP</v>
          </cell>
          <cell r="F27" t="str">
            <v>C6545</v>
          </cell>
          <cell r="G27" t="str">
            <v>KEMET ELECTRONICS S A</v>
          </cell>
        </row>
        <row r="28">
          <cell r="A28">
            <v>400550300</v>
          </cell>
          <cell r="B28" t="str">
            <v>‎000800-0826‏</v>
          </cell>
          <cell r="C28" t="str">
            <v>CONN RECT PCB R/A PLUG 42 BLADES 3 ROWS,</v>
          </cell>
          <cell r="D28" t="str">
            <v>EA</v>
          </cell>
          <cell r="E28" t="str">
            <v>MECR</v>
          </cell>
          <cell r="F28" t="str">
            <v>CB867</v>
          </cell>
          <cell r="G28" t="str">
            <v>DCX-CHOL Entr. Inc</v>
          </cell>
        </row>
        <row r="29">
          <cell r="A29">
            <v>400561082</v>
          </cell>
          <cell r="B29" t="str">
            <v>‎DAC0808LCMX/NOPB‏</v>
          </cell>
          <cell r="C29" t="str">
            <v>IC D/A CONVERTER 8 BIT T&amp;R</v>
          </cell>
          <cell r="D29" t="str">
            <v>EA</v>
          </cell>
          <cell r="E29" t="str">
            <v>MEIC</v>
          </cell>
          <cell r="F29" t="str">
            <v>C4124</v>
          </cell>
          <cell r="G29" t="str">
            <v>TEXAS INSTRUMENTS INC</v>
          </cell>
        </row>
        <row r="30">
          <cell r="A30">
            <v>400567121</v>
          </cell>
          <cell r="B30" t="str">
            <v>‎REF192ESZ-REEL7‏</v>
          </cell>
          <cell r="C30" t="str">
            <v>IC VOLTAGE REF. 2.5V T&amp;R</v>
          </cell>
          <cell r="D30" t="str">
            <v>EA</v>
          </cell>
          <cell r="E30" t="str">
            <v>MEIC</v>
          </cell>
          <cell r="F30" t="str">
            <v>CH237</v>
          </cell>
          <cell r="G30" t="str">
            <v>ANALOG DEVICES</v>
          </cell>
        </row>
        <row r="31">
          <cell r="A31">
            <v>400584360</v>
          </cell>
          <cell r="B31" t="str">
            <v>‎C0402C103K5RALTU‏</v>
          </cell>
          <cell r="C31" t="str">
            <v>CHIP CAP 0.01UF 10% 50V X7R T&amp;R</v>
          </cell>
          <cell r="D31" t="str">
            <v>EA</v>
          </cell>
          <cell r="E31" t="str">
            <v>MECP</v>
          </cell>
          <cell r="F31" t="str">
            <v>C6545</v>
          </cell>
          <cell r="G31" t="str">
            <v>KEMET ELECTRONICS S A</v>
          </cell>
        </row>
        <row r="32">
          <cell r="A32">
            <v>400589051</v>
          </cell>
          <cell r="B32" t="str">
            <v>‎AVERY MPI 3041‏</v>
          </cell>
          <cell r="C32" t="str">
            <v>FILM VINYL TRANSPARENT GLOSS, MULTI PURP</v>
          </cell>
          <cell r="D32" t="str">
            <v>M</v>
          </cell>
          <cell r="E32" t="str">
            <v>MNNI</v>
          </cell>
          <cell r="F32" t="str">
            <v>NI254</v>
          </cell>
          <cell r="G32" t="str">
            <v>AVERY DENNISON</v>
          </cell>
        </row>
        <row r="33">
          <cell r="A33">
            <v>400599824</v>
          </cell>
          <cell r="B33" t="str">
            <v>‎WSL25125L000FTA‏</v>
          </cell>
          <cell r="C33" t="str">
            <v>CHIP RESIS 0.005 OHM 1% T&amp;R</v>
          </cell>
          <cell r="D33" t="str">
            <v>EA</v>
          </cell>
          <cell r="E33" t="str">
            <v>MECP</v>
          </cell>
          <cell r="F33" t="str">
            <v>CH277</v>
          </cell>
          <cell r="G33" t="str">
            <v>VISHAY DALE ELECTRONICS</v>
          </cell>
        </row>
        <row r="34">
          <cell r="A34">
            <v>400605229</v>
          </cell>
          <cell r="B34" t="str">
            <v>‎0603CS-15NXGLW‏</v>
          </cell>
          <cell r="C34" t="str">
            <v>CHIP INDUCTOR 15NH 2% T&amp;R</v>
          </cell>
          <cell r="D34" t="str">
            <v>EA</v>
          </cell>
          <cell r="E34" t="str">
            <v>METC</v>
          </cell>
          <cell r="F34" t="str">
            <v>CB240</v>
          </cell>
          <cell r="G34" t="str">
            <v>COILCRAFT INC.</v>
          </cell>
        </row>
        <row r="35">
          <cell r="A35">
            <v>400615818</v>
          </cell>
          <cell r="B35" t="str">
            <v>‎HSMG-C150‏</v>
          </cell>
          <cell r="C35" t="str">
            <v>CHIP LED GREEN</v>
          </cell>
          <cell r="D35" t="str">
            <v>EA</v>
          </cell>
          <cell r="E35" t="str">
            <v>MOFO</v>
          </cell>
          <cell r="F35" t="str">
            <v>CQ092</v>
          </cell>
          <cell r="G35" t="str">
            <v>BROADCOM LIMITED</v>
          </cell>
        </row>
        <row r="36">
          <cell r="A36">
            <v>400656752</v>
          </cell>
          <cell r="B36" t="str">
            <v>‎CRCW0402100KFKED‏</v>
          </cell>
          <cell r="C36" t="str">
            <v>CHIP RESIS 100 KOHM 1%  T&amp;R</v>
          </cell>
          <cell r="D36" t="str">
            <v>EA</v>
          </cell>
          <cell r="E36" t="str">
            <v>MECP</v>
          </cell>
          <cell r="F36" t="str">
            <v>C5679</v>
          </cell>
          <cell r="G36" t="str">
            <v>VISHAY RESISTIVE SYSTEMS</v>
          </cell>
        </row>
        <row r="37">
          <cell r="A37">
            <v>400656753</v>
          </cell>
          <cell r="B37" t="str">
            <v>‎CRCW0402100RFKED‏</v>
          </cell>
          <cell r="C37" t="str">
            <v>CHIP RESIS 100 OHM 1%  T&amp;R</v>
          </cell>
          <cell r="D37" t="str">
            <v>EA</v>
          </cell>
          <cell r="E37" t="str">
            <v>MECP</v>
          </cell>
          <cell r="F37" t="str">
            <v>C5679</v>
          </cell>
          <cell r="G37" t="str">
            <v>VISHAY RESISTIVE SYSTEMS</v>
          </cell>
        </row>
        <row r="38">
          <cell r="A38">
            <v>400656755</v>
          </cell>
          <cell r="B38" t="str">
            <v>‎CRCW040210K0FKED‏</v>
          </cell>
          <cell r="C38" t="str">
            <v>CHIP RESIS 10 KOHM 1%  T&amp;R</v>
          </cell>
          <cell r="D38" t="str">
            <v>EA</v>
          </cell>
          <cell r="E38" t="str">
            <v>MECP</v>
          </cell>
          <cell r="F38" t="str">
            <v>CS405</v>
          </cell>
          <cell r="G38" t="str">
            <v>VISHAY EUROPE SALE GMBH</v>
          </cell>
        </row>
        <row r="39">
          <cell r="A39">
            <v>400656760</v>
          </cell>
          <cell r="B39" t="str">
            <v>‎CRCW04021K00FKED‏</v>
          </cell>
          <cell r="C39" t="str">
            <v>CHIP RESIS 1 KOHM 1% T&amp;R</v>
          </cell>
          <cell r="D39" t="str">
            <v>EA</v>
          </cell>
          <cell r="E39" t="str">
            <v>MECP</v>
          </cell>
          <cell r="F39" t="str">
            <v>C5679</v>
          </cell>
          <cell r="G39" t="str">
            <v>VISHAY RESISTIVE SYSTEMS</v>
          </cell>
        </row>
        <row r="40">
          <cell r="A40">
            <v>400658318</v>
          </cell>
          <cell r="B40" t="str">
            <v>‎CRCW0402200RFKED‏</v>
          </cell>
          <cell r="C40" t="str">
            <v>CHIP RESIS 200 OHM 1% T&amp;R</v>
          </cell>
          <cell r="D40" t="str">
            <v>EA</v>
          </cell>
          <cell r="E40" t="str">
            <v>MECP</v>
          </cell>
          <cell r="F40" t="str">
            <v>C5679</v>
          </cell>
          <cell r="G40" t="str">
            <v>VISHAY RESISTIVE SYSTEMS</v>
          </cell>
        </row>
        <row r="41">
          <cell r="A41">
            <v>400658323</v>
          </cell>
          <cell r="B41" t="str">
            <v>‎CRCW04022K00FKED‏</v>
          </cell>
          <cell r="C41" t="str">
            <v>CHIP RESIS 2 KOHM 1%  PB-FREE T&amp;R</v>
          </cell>
          <cell r="D41" t="str">
            <v>EA</v>
          </cell>
          <cell r="E41" t="str">
            <v>MECP</v>
          </cell>
          <cell r="F41" t="str">
            <v>C5679</v>
          </cell>
          <cell r="G41" t="str">
            <v>VISHAY RESISTIVE SYSTEMS</v>
          </cell>
        </row>
        <row r="42">
          <cell r="A42">
            <v>400658325</v>
          </cell>
          <cell r="B42" t="str">
            <v>‎CRCW0402332RFKED‏</v>
          </cell>
          <cell r="C42" t="str">
            <v>CHIP RESIS 332 OHM 1% PB-FREE T&amp;R</v>
          </cell>
          <cell r="D42" t="str">
            <v>EA</v>
          </cell>
          <cell r="E42" t="str">
            <v>MECP</v>
          </cell>
          <cell r="F42" t="str">
            <v>C5679</v>
          </cell>
          <cell r="G42" t="str">
            <v>VISHAY RESISTIVE SYSTEMS</v>
          </cell>
        </row>
        <row r="43">
          <cell r="A43">
            <v>400658330</v>
          </cell>
          <cell r="B43" t="str">
            <v>‎CRCW040249R9FKED‏</v>
          </cell>
          <cell r="C43" t="str">
            <v>CHIP RESIS 49.9 OHM 1% PB-FREE T&amp;R</v>
          </cell>
          <cell r="D43" t="str">
            <v>EA</v>
          </cell>
          <cell r="E43" t="str">
            <v>MECP</v>
          </cell>
          <cell r="F43" t="str">
            <v>C5679</v>
          </cell>
          <cell r="G43" t="str">
            <v>VISHAY RESISTIVE SYSTEMS</v>
          </cell>
        </row>
        <row r="44">
          <cell r="A44">
            <v>400658331</v>
          </cell>
          <cell r="B44" t="str">
            <v>‎CRCW04024K99FKED‏</v>
          </cell>
          <cell r="C44" t="str">
            <v>CHIP RESIS 4.99 KOHM 1% PB-FREE T&amp;R</v>
          </cell>
          <cell r="D44" t="str">
            <v>EA</v>
          </cell>
          <cell r="E44" t="str">
            <v>MECP</v>
          </cell>
          <cell r="F44" t="str">
            <v>C5679</v>
          </cell>
          <cell r="G44" t="str">
            <v>VISHAY RESISTIVE SYSTEMS</v>
          </cell>
        </row>
        <row r="45">
          <cell r="A45">
            <v>400658342</v>
          </cell>
          <cell r="B45" t="str">
            <v>‎CRCW0603200RFKEA‏</v>
          </cell>
          <cell r="C45" t="str">
            <v>CHIP RESIS 200 OHM 1% PB-FREE T&amp;R</v>
          </cell>
          <cell r="D45" t="str">
            <v>EA</v>
          </cell>
          <cell r="E45" t="str">
            <v>MECP</v>
          </cell>
          <cell r="F45" t="str">
            <v>C5679</v>
          </cell>
          <cell r="G45" t="str">
            <v>VISHAY RESISTIVE SYSTEMS</v>
          </cell>
        </row>
        <row r="46">
          <cell r="A46">
            <v>400658343</v>
          </cell>
          <cell r="B46" t="str">
            <v>‎CRCW06033K32FKEA‏</v>
          </cell>
          <cell r="C46" t="str">
            <v>CHIP RESIS 3.32KOHM 1% PB-FREE T&amp;R</v>
          </cell>
          <cell r="D46" t="str">
            <v>EA</v>
          </cell>
          <cell r="E46" t="str">
            <v>MECP</v>
          </cell>
          <cell r="F46" t="str">
            <v>CS405</v>
          </cell>
          <cell r="G46" t="str">
            <v>VISHAY EUROPE SALE GMBH</v>
          </cell>
        </row>
        <row r="47">
          <cell r="A47">
            <v>400658345</v>
          </cell>
          <cell r="B47" t="str">
            <v>‎CRCW06034K99FKEA‏</v>
          </cell>
          <cell r="C47" t="str">
            <v>CHIP RESIS 4.99KOHM 1% PB-FREE T&amp;</v>
          </cell>
          <cell r="D47" t="str">
            <v>EA</v>
          </cell>
          <cell r="E47" t="str">
            <v>MECP</v>
          </cell>
          <cell r="F47" t="str">
            <v>C5679</v>
          </cell>
          <cell r="G47" t="str">
            <v>VISHAY RESISTIVE SYSTEMS</v>
          </cell>
        </row>
        <row r="48">
          <cell r="A48">
            <v>400664922</v>
          </cell>
          <cell r="B48" t="str">
            <v>‎C0603C102K2RACTU‏</v>
          </cell>
          <cell r="C48" t="str">
            <v>CHIP CAP 1000PF 10% 200V X7R T&amp;R</v>
          </cell>
          <cell r="D48" t="str">
            <v>EA</v>
          </cell>
          <cell r="E48" t="str">
            <v>MECP</v>
          </cell>
          <cell r="F48" t="str">
            <v>C6545</v>
          </cell>
          <cell r="G48" t="str">
            <v>KEMET ELECTRONICS S A</v>
          </cell>
        </row>
        <row r="49">
          <cell r="A49">
            <v>400679613</v>
          </cell>
          <cell r="B49" t="str">
            <v>‎CRCW06030000Z0EA‏</v>
          </cell>
          <cell r="C49" t="str">
            <v>CHIP JUMPER 1.55X0.85MM T&amp;R</v>
          </cell>
          <cell r="D49" t="str">
            <v>EA</v>
          </cell>
          <cell r="E49" t="str">
            <v>MECP</v>
          </cell>
          <cell r="F49" t="str">
            <v>C5679</v>
          </cell>
          <cell r="G49" t="str">
            <v>VISHAY RESISTIVE SYSTEMS</v>
          </cell>
        </row>
        <row r="50">
          <cell r="A50">
            <v>400693196</v>
          </cell>
          <cell r="B50" t="str">
            <v>‎CRCW0603100KFKEA‏</v>
          </cell>
          <cell r="C50" t="str">
            <v>CHIP RESIS 100KOHM 1% .1W T&amp;R</v>
          </cell>
          <cell r="D50" t="str">
            <v>EA</v>
          </cell>
          <cell r="E50" t="str">
            <v>MECP</v>
          </cell>
          <cell r="F50" t="str">
            <v>C5679</v>
          </cell>
          <cell r="G50" t="str">
            <v>VISHAY RESISTIVE SYSTEMS</v>
          </cell>
        </row>
        <row r="51">
          <cell r="A51">
            <v>400693204</v>
          </cell>
          <cell r="B51" t="str">
            <v>‎CRCW060349R9FKEA‏</v>
          </cell>
          <cell r="C51" t="str">
            <v>CHIP RESIS 49.9 OHM 1% .1W T&amp;R</v>
          </cell>
          <cell r="D51" t="str">
            <v>EA</v>
          </cell>
          <cell r="E51" t="str">
            <v>MECP</v>
          </cell>
          <cell r="F51" t="str">
            <v>C5679</v>
          </cell>
          <cell r="G51" t="str">
            <v>VISHAY RESISTIVE SYSTEMS</v>
          </cell>
        </row>
        <row r="52">
          <cell r="A52">
            <v>400700883</v>
          </cell>
          <cell r="B52" t="str">
            <v>‎CRCW060312K1FKEA‏</v>
          </cell>
          <cell r="C52" t="str">
            <v>CHIP RESIS 12.1KOHM 1% .1W T&amp;R</v>
          </cell>
          <cell r="D52" t="str">
            <v>EA</v>
          </cell>
          <cell r="E52" t="str">
            <v>MECP</v>
          </cell>
          <cell r="F52" t="str">
            <v>C5679</v>
          </cell>
          <cell r="G52" t="str">
            <v>VISHAY RESISTIVE SYSTEMS</v>
          </cell>
        </row>
        <row r="53">
          <cell r="A53">
            <v>400709578</v>
          </cell>
          <cell r="B53" t="str">
            <v>‎CRCW04020000ZSED‏</v>
          </cell>
          <cell r="C53" t="str">
            <v>CHIP RESIS 0 OHM 0% .063W T&amp;R</v>
          </cell>
          <cell r="D53" t="str">
            <v>EA</v>
          </cell>
          <cell r="E53" t="str">
            <v>MECP</v>
          </cell>
          <cell r="F53" t="str">
            <v>C5679</v>
          </cell>
          <cell r="G53" t="str">
            <v>VISHAY RESISTIVE SYSTEMS</v>
          </cell>
        </row>
        <row r="54">
          <cell r="A54">
            <v>400713754</v>
          </cell>
          <cell r="B54" t="str">
            <v>‎C0603C104K5RAC7867‏</v>
          </cell>
          <cell r="C54" t="str">
            <v>CHIP CAP 0.1UF 10% 50V X7R T&amp;R</v>
          </cell>
          <cell r="D54" t="str">
            <v>EA</v>
          </cell>
          <cell r="E54" t="str">
            <v>MECP</v>
          </cell>
          <cell r="F54" t="str">
            <v>C6545</v>
          </cell>
          <cell r="G54" t="str">
            <v>KEMET ELECTRONICS S A</v>
          </cell>
        </row>
        <row r="55">
          <cell r="A55">
            <v>400793320</v>
          </cell>
          <cell r="B55" t="str">
            <v>‎SOLC-125-02-S-Q-A-K-TR‏</v>
          </cell>
          <cell r="C55" t="str">
            <v>CONN RCET MISC 100 SKT SMT, QUAD ROW,</v>
          </cell>
          <cell r="D55" t="str">
            <v>EA</v>
          </cell>
          <cell r="E55" t="str">
            <v>MECO</v>
          </cell>
          <cell r="F55" t="str">
            <v>CH215</v>
          </cell>
          <cell r="G55" t="str">
            <v>SAMTEC</v>
          </cell>
        </row>
        <row r="56">
          <cell r="A56">
            <v>400796249</v>
          </cell>
          <cell r="B56" t="str">
            <v>‎1094U379-001‏</v>
          </cell>
          <cell r="C56" t="str">
            <v>REBALLING LTM8049IY PBF</v>
          </cell>
          <cell r="D56" t="str">
            <v>EA</v>
          </cell>
          <cell r="E56" t="str">
            <v>MEIC</v>
          </cell>
          <cell r="F56" t="str">
            <v/>
          </cell>
          <cell r="G56" t="str">
            <v/>
          </cell>
        </row>
        <row r="57">
          <cell r="A57">
            <v>400824254</v>
          </cell>
          <cell r="B57" t="str">
            <v>‎C0402C103K5RAL7867‏</v>
          </cell>
          <cell r="C57" t="str">
            <v>CHIP CAP 0.01UF 10% 50V X7R T&amp;R</v>
          </cell>
          <cell r="D57" t="str">
            <v>EA</v>
          </cell>
          <cell r="E57" t="str">
            <v>MECP</v>
          </cell>
          <cell r="F57" t="str">
            <v>C6545</v>
          </cell>
          <cell r="G57" t="str">
            <v>KEMET ELECTRONICS S A</v>
          </cell>
        </row>
        <row r="58">
          <cell r="A58">
            <v>400929924</v>
          </cell>
          <cell r="B58" t="str">
            <v>‎DS620U+TR‏</v>
          </cell>
          <cell r="C58" t="str">
            <v>IC DIGITAL THERMOMETER T&amp;R</v>
          </cell>
          <cell r="D58" t="str">
            <v>EA</v>
          </cell>
          <cell r="E58" t="str">
            <v>MEIC</v>
          </cell>
          <cell r="F58" t="str">
            <v>C6050</v>
          </cell>
          <cell r="G58" t="str">
            <v>MAXIM INTEGRATED PRODUCTS, INC</v>
          </cell>
        </row>
        <row r="59">
          <cell r="A59">
            <v>400931576</v>
          </cell>
          <cell r="B59" t="str">
            <v>‎CRCW06031K00FKEA‏</v>
          </cell>
          <cell r="C59" t="str">
            <v>CHIP RESIS 1KOHM 1% .1W T&amp;R</v>
          </cell>
          <cell r="D59" t="str">
            <v>EA</v>
          </cell>
          <cell r="E59" t="str">
            <v>MECP</v>
          </cell>
          <cell r="F59" t="str">
            <v>C5679</v>
          </cell>
          <cell r="G59" t="str">
            <v>VISHAY RESISTIVE SYSTEMS</v>
          </cell>
        </row>
        <row r="60">
          <cell r="A60">
            <v>400950685</v>
          </cell>
          <cell r="B60" t="str">
            <v>‎C0603C103K2RAL7867‏</v>
          </cell>
          <cell r="C60" t="str">
            <v>CHIP CAP 0.01UF 10% 200V X7R T&amp;R</v>
          </cell>
          <cell r="D60" t="str">
            <v>EA</v>
          </cell>
          <cell r="E60" t="str">
            <v>MECP</v>
          </cell>
          <cell r="F60" t="str">
            <v>C6545</v>
          </cell>
          <cell r="G60" t="str">
            <v>KEMET ELECTRONICS S A</v>
          </cell>
        </row>
        <row r="61">
          <cell r="A61">
            <v>400950741</v>
          </cell>
          <cell r="B61" t="str">
            <v>‎C0603C474K4RAL7867‏</v>
          </cell>
          <cell r="C61" t="str">
            <v>CHIP CAP 0.47UF 10% 16V X7R T&amp;R</v>
          </cell>
          <cell r="D61" t="str">
            <v>EA</v>
          </cell>
          <cell r="E61" t="str">
            <v>MECP</v>
          </cell>
          <cell r="F61" t="str">
            <v>C6545</v>
          </cell>
          <cell r="G61" t="str">
            <v>KEMET ELECTRONICS S A</v>
          </cell>
        </row>
        <row r="62">
          <cell r="A62">
            <v>400951273</v>
          </cell>
          <cell r="B62" t="str">
            <v>‎1094N764-001‏</v>
          </cell>
          <cell r="C62" t="str">
            <v>S/R W1</v>
          </cell>
          <cell r="D62" t="str">
            <v>EA</v>
          </cell>
          <cell r="E62" t="str">
            <v>MSCC</v>
          </cell>
          <cell r="F62" t="str">
            <v/>
          </cell>
          <cell r="G62" t="str">
            <v/>
          </cell>
        </row>
        <row r="63">
          <cell r="A63">
            <v>400951274</v>
          </cell>
          <cell r="B63" t="str">
            <v>‎1094N765-001‏</v>
          </cell>
          <cell r="C63" t="str">
            <v>S/R W2</v>
          </cell>
          <cell r="D63" t="str">
            <v>EA</v>
          </cell>
          <cell r="E63" t="str">
            <v>MSCC</v>
          </cell>
          <cell r="F63" t="str">
            <v/>
          </cell>
          <cell r="G63" t="str">
            <v/>
          </cell>
        </row>
        <row r="64">
          <cell r="A64">
            <v>400951927</v>
          </cell>
          <cell r="B64" t="str">
            <v>‎HSMC-C120‏</v>
          </cell>
          <cell r="C64" t="str">
            <v>CHIP LED RED T&amp;R</v>
          </cell>
          <cell r="D64" t="str">
            <v>EA</v>
          </cell>
          <cell r="E64" t="str">
            <v>MECL</v>
          </cell>
          <cell r="F64" t="str">
            <v>CQ092</v>
          </cell>
          <cell r="G64" t="str">
            <v>BROADCOM LIMITED</v>
          </cell>
        </row>
        <row r="65">
          <cell r="A65">
            <v>400969533</v>
          </cell>
          <cell r="B65" t="str">
            <v>‎1094B532-001‏</v>
          </cell>
          <cell r="C65" t="str">
            <v>INSULATOR</v>
          </cell>
          <cell r="D65" t="str">
            <v>EA</v>
          </cell>
          <cell r="E65" t="str">
            <v>MSPP</v>
          </cell>
          <cell r="F65" t="str">
            <v/>
          </cell>
          <cell r="G65" t="str">
            <v/>
          </cell>
        </row>
        <row r="66">
          <cell r="A66">
            <v>400984937</v>
          </cell>
          <cell r="B66" t="str">
            <v>‎C0402C102K5RAC7867‏</v>
          </cell>
          <cell r="C66" t="str">
            <v>CHIP CAP 1000PF 10% 50VOLT X7R T&amp;R</v>
          </cell>
          <cell r="D66" t="str">
            <v>EA</v>
          </cell>
          <cell r="E66" t="str">
            <v>MECP</v>
          </cell>
          <cell r="F66" t="str">
            <v>C6545</v>
          </cell>
          <cell r="G66" t="str">
            <v>KEMET ELECTRONICS S A</v>
          </cell>
        </row>
        <row r="67">
          <cell r="A67">
            <v>401020862</v>
          </cell>
          <cell r="B67" t="str">
            <v>‎LOCTITE 263-50CC‏</v>
          </cell>
          <cell r="C67" t="str">
            <v>THREADLOCKING COMPOUND,DIMETHACRYLATE ES</v>
          </cell>
          <cell r="D67" t="str">
            <v>BT</v>
          </cell>
          <cell r="E67" t="str">
            <v>MNNA</v>
          </cell>
          <cell r="F67" t="str">
            <v>CL835</v>
          </cell>
          <cell r="G67" t="str">
            <v>HENKEL CORPORATION</v>
          </cell>
        </row>
        <row r="68">
          <cell r="A68">
            <v>401039812</v>
          </cell>
          <cell r="B68" t="str">
            <v>‎AD823ARZ-R7‏</v>
          </cell>
          <cell r="C68" t="str">
            <v>DUAL, 16 MHZ, RAIL-TO-RAIL AMPLIFIER T&amp;R</v>
          </cell>
          <cell r="D68" t="str">
            <v>EA</v>
          </cell>
          <cell r="E68" t="str">
            <v>MEIC</v>
          </cell>
          <cell r="F68" t="str">
            <v>CH237</v>
          </cell>
          <cell r="G68" t="str">
            <v>ANALOG DEVICES</v>
          </cell>
        </row>
        <row r="69">
          <cell r="A69">
            <v>401050320</v>
          </cell>
          <cell r="B69" t="str">
            <v>‎SMT2010TALN‏</v>
          </cell>
          <cell r="C69" t="str">
            <v>SURFACE MOUNT TERMINATION DC-4GHZ</v>
          </cell>
          <cell r="D69" t="str">
            <v>EA</v>
          </cell>
          <cell r="E69" t="str">
            <v>MEMW</v>
          </cell>
          <cell r="F69" t="str">
            <v>CT737</v>
          </cell>
          <cell r="G69" t="str">
            <v>SMITHS INTERCONNECT AMERICAS,</v>
          </cell>
        </row>
        <row r="70">
          <cell r="A70">
            <v>401053377</v>
          </cell>
          <cell r="B70" t="str">
            <v>‎CRCW06034K75FKEA‏</v>
          </cell>
          <cell r="C70" t="str">
            <v>CHIP RESIS 4.75KOHM 1% .1W T&amp;R</v>
          </cell>
          <cell r="D70" t="str">
            <v>EA</v>
          </cell>
          <cell r="E70" t="str">
            <v>MECP</v>
          </cell>
          <cell r="F70" t="str">
            <v>C5679</v>
          </cell>
          <cell r="G70" t="str">
            <v>VISHAY RESISTIVE SYSTEMS</v>
          </cell>
        </row>
        <row r="71">
          <cell r="A71">
            <v>401053474</v>
          </cell>
          <cell r="B71" t="str">
            <v>‎CRCW060310K0FKEA‏</v>
          </cell>
          <cell r="C71" t="str">
            <v>CHIP RESIS 10KOHM 1% .1W T&amp;R</v>
          </cell>
          <cell r="D71" t="str">
            <v>EA</v>
          </cell>
          <cell r="E71" t="str">
            <v>MECP</v>
          </cell>
          <cell r="F71" t="str">
            <v>C5679</v>
          </cell>
          <cell r="G71" t="str">
            <v>VISHAY RESISTIVE SYSTEMS</v>
          </cell>
        </row>
        <row r="72">
          <cell r="A72">
            <v>401193607</v>
          </cell>
          <cell r="B72" t="str">
            <v>‎CRCW0402511RFKED‏</v>
          </cell>
          <cell r="C72" t="str">
            <v>CHIP RESIS 511 OHM 1% .063W T&amp;R</v>
          </cell>
          <cell r="D72" t="str">
            <v>EA</v>
          </cell>
          <cell r="E72" t="str">
            <v>MECP</v>
          </cell>
          <cell r="F72" t="str">
            <v>C5679</v>
          </cell>
          <cell r="G72" t="str">
            <v>VISHAY RESISTIVE SYSTEMS</v>
          </cell>
        </row>
        <row r="73">
          <cell r="A73">
            <v>401193608</v>
          </cell>
          <cell r="B73" t="str">
            <v>‎CRCW04025K11FKED‏</v>
          </cell>
          <cell r="C73" t="str">
            <v>CHIP RESIS 5.11KOHM 1% .063W T&amp;R</v>
          </cell>
          <cell r="D73" t="str">
            <v>EA</v>
          </cell>
          <cell r="E73" t="str">
            <v>MECP</v>
          </cell>
          <cell r="F73" t="str">
            <v>C5679</v>
          </cell>
          <cell r="G73" t="str">
            <v>VISHAY RESISTIVE SYSTEMS</v>
          </cell>
        </row>
        <row r="74">
          <cell r="A74">
            <v>401195892</v>
          </cell>
          <cell r="B74" t="str">
            <v>‎CRCW06033K16FKEA‏</v>
          </cell>
          <cell r="C74" t="str">
            <v>CHIP RESIS 3.16KOHM 1% .1W T&amp;R</v>
          </cell>
          <cell r="D74" t="str">
            <v>EA</v>
          </cell>
          <cell r="E74" t="str">
            <v>MECP</v>
          </cell>
          <cell r="F74" t="str">
            <v>C5679</v>
          </cell>
          <cell r="G74" t="str">
            <v>VISHAY RESISTIVE SYSTEMS</v>
          </cell>
        </row>
        <row r="75">
          <cell r="A75">
            <v>401225087</v>
          </cell>
          <cell r="B75" t="str">
            <v>‎C0402C472K3RAC7867‏</v>
          </cell>
          <cell r="C75" t="str">
            <v>CHIP CAP 4700PF 10% 25V X7R T&amp;R</v>
          </cell>
          <cell r="D75" t="str">
            <v>EA</v>
          </cell>
          <cell r="E75" t="str">
            <v>MECP</v>
          </cell>
          <cell r="F75" t="str">
            <v>C6545</v>
          </cell>
          <cell r="G75" t="str">
            <v>KEMET ELECTRONICS S A</v>
          </cell>
        </row>
        <row r="76">
          <cell r="A76">
            <v>401226566</v>
          </cell>
          <cell r="B76" t="str">
            <v>‎CRCW0603287KFKEA‏</v>
          </cell>
          <cell r="C76" t="str">
            <v>CHIP RESIS 287KOHM 1% .1W T&amp;R</v>
          </cell>
          <cell r="D76" t="str">
            <v>EA</v>
          </cell>
          <cell r="E76" t="str">
            <v>MECP</v>
          </cell>
          <cell r="F76" t="str">
            <v>C5679</v>
          </cell>
          <cell r="G76" t="str">
            <v>VISHAY RESISTIVE SYSTEMS</v>
          </cell>
        </row>
        <row r="77">
          <cell r="A77">
            <v>401234951</v>
          </cell>
          <cell r="B77" t="str">
            <v>‎CRCW060338K3FKEA‏</v>
          </cell>
          <cell r="C77" t="str">
            <v>CHIP RESIS 38.3KOHM 1% .1W T&amp;R</v>
          </cell>
          <cell r="D77" t="str">
            <v>EA</v>
          </cell>
          <cell r="E77" t="str">
            <v>MECP</v>
          </cell>
          <cell r="F77" t="str">
            <v>C5679</v>
          </cell>
          <cell r="G77" t="str">
            <v>VISHAY RESISTIVE SYSTEMS</v>
          </cell>
        </row>
        <row r="78">
          <cell r="A78">
            <v>401234952</v>
          </cell>
          <cell r="B78" t="str">
            <v>‎CRCW060356K2FKEA‏</v>
          </cell>
          <cell r="C78" t="str">
            <v>CHIP RESIS 56.2KOHM 1% .1W T&amp;R</v>
          </cell>
          <cell r="D78" t="str">
            <v>EA</v>
          </cell>
          <cell r="E78" t="str">
            <v>MECP</v>
          </cell>
          <cell r="F78" t="str">
            <v>C5679</v>
          </cell>
          <cell r="G78" t="str">
            <v>VISHAY RESISTIVE SYSTEMS</v>
          </cell>
        </row>
        <row r="79">
          <cell r="A79">
            <v>401234957</v>
          </cell>
          <cell r="B79" t="str">
            <v>‎CRCW04021K21FKED‏</v>
          </cell>
          <cell r="C79" t="str">
            <v>CHIP RESIS 1.21KOHM 1% .063W T&amp;R</v>
          </cell>
          <cell r="D79" t="str">
            <v>EA</v>
          </cell>
          <cell r="E79" t="str">
            <v>MECP</v>
          </cell>
          <cell r="F79" t="str">
            <v>C5679</v>
          </cell>
          <cell r="G79" t="str">
            <v>VISHAY RESISTIVE SYSTEMS</v>
          </cell>
        </row>
        <row r="80">
          <cell r="A80">
            <v>401235096</v>
          </cell>
          <cell r="B80" t="str">
            <v>‎CRCW060310R0FKEA‏</v>
          </cell>
          <cell r="C80" t="str">
            <v>CHIP RESIS 10 OHM 1% .1W T&amp;R</v>
          </cell>
          <cell r="D80" t="str">
            <v>EA</v>
          </cell>
          <cell r="E80" t="str">
            <v>MECP</v>
          </cell>
          <cell r="F80" t="str">
            <v>C5679</v>
          </cell>
          <cell r="G80" t="str">
            <v>VISHAY RESISTIVE SYSTEMS</v>
          </cell>
        </row>
        <row r="81">
          <cell r="A81">
            <v>401235524</v>
          </cell>
          <cell r="B81" t="str">
            <v>‎CRCW060333K2FKEA‏</v>
          </cell>
          <cell r="C81" t="str">
            <v>CHIP RESIS 33.2KOHM 1% .1W T&amp;R</v>
          </cell>
          <cell r="D81" t="str">
            <v>EA</v>
          </cell>
          <cell r="E81" t="str">
            <v>MECP</v>
          </cell>
          <cell r="F81" t="str">
            <v>C5679</v>
          </cell>
          <cell r="G81" t="str">
            <v>VISHAY RESISTIVE SYSTEMS</v>
          </cell>
        </row>
        <row r="82">
          <cell r="A82">
            <v>401238835</v>
          </cell>
          <cell r="B82" t="str">
            <v>‎04021J0R3PBSTR‏</v>
          </cell>
          <cell r="C82" t="str">
            <v>CHIP CAP 0.3PF +-.02PF 100V T&amp;R</v>
          </cell>
          <cell r="D82" t="str">
            <v>EA</v>
          </cell>
          <cell r="E82" t="str">
            <v>MECP</v>
          </cell>
          <cell r="F82" t="str">
            <v>C1226</v>
          </cell>
          <cell r="G82" t="str">
            <v>AVX</v>
          </cell>
        </row>
        <row r="83">
          <cell r="A83">
            <v>401246012</v>
          </cell>
          <cell r="B83" t="str">
            <v>‎C0402C103K3RAC7867‏</v>
          </cell>
          <cell r="C83" t="str">
            <v>CHIP CAP 0.01UF 10% 25V X7R T&amp;R</v>
          </cell>
          <cell r="D83" t="str">
            <v>EA</v>
          </cell>
          <cell r="E83" t="str">
            <v>MECP</v>
          </cell>
          <cell r="F83" t="str">
            <v>C6545</v>
          </cell>
          <cell r="G83" t="str">
            <v>KEMET ELECTRONICS S A</v>
          </cell>
        </row>
        <row r="84">
          <cell r="A84">
            <v>401246030</v>
          </cell>
          <cell r="B84" t="str">
            <v>‎CRCW04024K02FKED‏</v>
          </cell>
          <cell r="C84" t="str">
            <v>CHIP RESIS 4.02KOHM 1% .063W T&amp;R</v>
          </cell>
          <cell r="D84" t="str">
            <v>EA</v>
          </cell>
          <cell r="E84" t="str">
            <v>MECP</v>
          </cell>
          <cell r="F84" t="str">
            <v>C5679</v>
          </cell>
          <cell r="G84" t="str">
            <v>VISHAY RESISTIVE SYSTEMS</v>
          </cell>
        </row>
        <row r="85">
          <cell r="A85">
            <v>401273525</v>
          </cell>
          <cell r="B85" t="str">
            <v>‎0402CS-5N6XGLW‏</v>
          </cell>
          <cell r="C85" t="str">
            <v>CHIP INDUCTOR 5.6NH 2% T&amp;R</v>
          </cell>
          <cell r="D85" t="str">
            <v>EA</v>
          </cell>
          <cell r="E85" t="str">
            <v>METC</v>
          </cell>
          <cell r="F85" t="str">
            <v>CB240</v>
          </cell>
          <cell r="G85" t="str">
            <v>COILCRAFT INC.</v>
          </cell>
        </row>
        <row r="86">
          <cell r="A86">
            <v>401281030</v>
          </cell>
          <cell r="B86" t="str">
            <v>‎CRCW0402150RFKED‏</v>
          </cell>
          <cell r="C86" t="str">
            <v>CHIP RESIS 150 OHM 1% .063W T&amp;R</v>
          </cell>
          <cell r="D86" t="str">
            <v>EA</v>
          </cell>
          <cell r="E86" t="str">
            <v>MECP</v>
          </cell>
          <cell r="F86" t="str">
            <v>C5679</v>
          </cell>
          <cell r="G86" t="str">
            <v>VISHAY RESISTIVE SYSTEMS</v>
          </cell>
        </row>
        <row r="87">
          <cell r="A87">
            <v>401282464</v>
          </cell>
          <cell r="B87" t="str">
            <v>‎CRCW0603806RFKEA‏</v>
          </cell>
          <cell r="C87" t="str">
            <v>CHIP RESIS 806 OHM 1% .1W T&amp;R</v>
          </cell>
          <cell r="D87" t="str">
            <v>EA</v>
          </cell>
          <cell r="E87" t="str">
            <v>MECP</v>
          </cell>
          <cell r="F87" t="str">
            <v>C5679</v>
          </cell>
          <cell r="G87" t="str">
            <v>VISHAY RESISTIVE SYSTEMS</v>
          </cell>
        </row>
        <row r="88">
          <cell r="A88">
            <v>401308899</v>
          </cell>
          <cell r="B88" t="str">
            <v>‎CRCW04021K40FKED‏</v>
          </cell>
          <cell r="C88" t="str">
            <v>CHIP RESISTOR 1.4KOHM 1% 0.063W T&amp;R</v>
          </cell>
          <cell r="D88" t="str">
            <v>EA</v>
          </cell>
          <cell r="E88" t="str">
            <v>MECP</v>
          </cell>
          <cell r="F88" t="str">
            <v>CH277</v>
          </cell>
          <cell r="G88" t="str">
            <v>VISHAY DALE ELECTRONICS</v>
          </cell>
        </row>
        <row r="89">
          <cell r="A89">
            <v>401308902</v>
          </cell>
          <cell r="B89" t="str">
            <v>‎CRCW04024K75FKED‏</v>
          </cell>
          <cell r="C89" t="str">
            <v>CHIP RESISTOR 4.75KOHM 1% 0.063W T&amp;R L-F</v>
          </cell>
          <cell r="D89" t="str">
            <v>EA</v>
          </cell>
          <cell r="E89" t="str">
            <v>MECP</v>
          </cell>
          <cell r="F89" t="str">
            <v>CH277</v>
          </cell>
          <cell r="G89" t="str">
            <v>VISHAY DALE ELECTRONICS</v>
          </cell>
        </row>
        <row r="90">
          <cell r="A90">
            <v>401321735</v>
          </cell>
          <cell r="B90" t="str">
            <v>‎1093L791-001‏</v>
          </cell>
          <cell r="C90" t="str">
            <v>CERAMIC FILTER</v>
          </cell>
          <cell r="D90" t="str">
            <v>EA</v>
          </cell>
          <cell r="E90" t="str">
            <v>MEME</v>
          </cell>
          <cell r="F90" t="str">
            <v/>
          </cell>
          <cell r="G90" t="str">
            <v/>
          </cell>
        </row>
        <row r="91">
          <cell r="A91">
            <v>401348252</v>
          </cell>
          <cell r="B91" t="str">
            <v>‎MIC4427YM TR‏</v>
          </cell>
          <cell r="C91" t="str">
            <v>IC DUAL MOSFET DRIVER</v>
          </cell>
          <cell r="D91" t="str">
            <v>EA</v>
          </cell>
          <cell r="E91" t="str">
            <v>MEIC</v>
          </cell>
          <cell r="F91" t="str">
            <v>CH264</v>
          </cell>
          <cell r="G91" t="str">
            <v>MICROCHIP TECHNOLOGY INC</v>
          </cell>
        </row>
        <row r="92">
          <cell r="A92">
            <v>401349548</v>
          </cell>
          <cell r="B92" t="str">
            <v>‎AD7928BRUZ-REEL7‏</v>
          </cell>
          <cell r="C92" t="str">
            <v>IC ADC 12-BIT 8 CHANNEL T&amp;R</v>
          </cell>
          <cell r="D92" t="str">
            <v>EA</v>
          </cell>
          <cell r="E92" t="str">
            <v>MEIC</v>
          </cell>
          <cell r="F92" t="str">
            <v>CH237</v>
          </cell>
          <cell r="G92" t="str">
            <v>ANALOG DEVICES</v>
          </cell>
        </row>
        <row r="93">
          <cell r="A93">
            <v>401351649</v>
          </cell>
          <cell r="B93" t="str">
            <v>‎SI4559ADY-T1-GE3‏</v>
          </cell>
          <cell r="C93" t="str">
            <v>TRANSISTOR N-CHANNEL 60V  MOSFET T&amp;R</v>
          </cell>
          <cell r="D93" t="str">
            <v>EA</v>
          </cell>
          <cell r="E93" t="str">
            <v>MESC</v>
          </cell>
          <cell r="F93" t="str">
            <v>CB529</v>
          </cell>
          <cell r="G93" t="str">
            <v>VISHAY - SILICONIX</v>
          </cell>
        </row>
        <row r="94">
          <cell r="A94">
            <v>401354460</v>
          </cell>
          <cell r="B94" t="str">
            <v>‎NGC-1206CS50R0G‏</v>
          </cell>
          <cell r="C94" t="str">
            <v>CHIP RESISTOR HIGH POWER 50 OHM 2%</v>
          </cell>
          <cell r="D94" t="str">
            <v>EA</v>
          </cell>
          <cell r="E94" t="str">
            <v>MECP</v>
          </cell>
          <cell r="F94" t="str">
            <v>CM262</v>
          </cell>
          <cell r="G94" t="str">
            <v>INTERNATIONAL MANUFACTURING SERVICE</v>
          </cell>
        </row>
        <row r="95">
          <cell r="A95">
            <v>401354469</v>
          </cell>
          <cell r="B95" t="str">
            <v>‎GRM32ER71H106KA12L‏</v>
          </cell>
          <cell r="C95" t="str">
            <v>CHIP CAP 10UF 10% 50V X7R T&amp;R</v>
          </cell>
          <cell r="D95" t="str">
            <v>EA</v>
          </cell>
          <cell r="E95" t="str">
            <v>MECP</v>
          </cell>
          <cell r="F95" t="str">
            <v>CB264</v>
          </cell>
          <cell r="G95" t="str">
            <v>MURATA MANUFACTURING CO. LTD</v>
          </cell>
        </row>
        <row r="96">
          <cell r="A96">
            <v>401359639</v>
          </cell>
          <cell r="B96" t="str">
            <v>‎LT1764EQ#TRPBF‏</v>
          </cell>
          <cell r="C96" t="str">
            <v>IC VOL. REG. ADJ. T&amp;R</v>
          </cell>
          <cell r="D96" t="str">
            <v>EA</v>
          </cell>
          <cell r="E96" t="str">
            <v>MEIC</v>
          </cell>
          <cell r="F96" t="str">
            <v>CH237</v>
          </cell>
          <cell r="G96" t="str">
            <v>ANALOG DEVICES</v>
          </cell>
        </row>
        <row r="97">
          <cell r="A97">
            <v>401382482</v>
          </cell>
          <cell r="B97" t="str">
            <v>‎CRCW060311K5FKEA‏</v>
          </cell>
          <cell r="C97" t="str">
            <v>CHIP RESIS 11.5KOHM 1% .1W T&amp;R</v>
          </cell>
          <cell r="D97" t="str">
            <v>EA</v>
          </cell>
          <cell r="E97" t="str">
            <v>MECP</v>
          </cell>
          <cell r="F97" t="str">
            <v>C5679</v>
          </cell>
          <cell r="G97" t="str">
            <v>VISHAY RESISTIVE SYSTEMS</v>
          </cell>
        </row>
        <row r="98">
          <cell r="A98">
            <v>401414922</v>
          </cell>
          <cell r="B98" t="str">
            <v>‎CRCW060375R0FKEA‏</v>
          </cell>
          <cell r="C98" t="str">
            <v>CHIP RESIS 75 OHM 1% .1W T&amp;R</v>
          </cell>
          <cell r="D98" t="str">
            <v>EA</v>
          </cell>
          <cell r="E98" t="str">
            <v>MECP</v>
          </cell>
          <cell r="F98" t="str">
            <v>C5679</v>
          </cell>
          <cell r="G98" t="str">
            <v>VISHAY RESISTIVE SYSTEMS</v>
          </cell>
        </row>
        <row r="99">
          <cell r="A99">
            <v>401461708</v>
          </cell>
          <cell r="B99" t="str">
            <v>‎TPS7A3001DGNT‏</v>
          </cell>
          <cell r="C99" t="str">
            <v>IC LINEAR REGULATOR NEGATIVE ADJ. T&amp;R</v>
          </cell>
          <cell r="D99" t="str">
            <v>EA</v>
          </cell>
          <cell r="E99" t="str">
            <v>MEIC</v>
          </cell>
          <cell r="F99" t="str">
            <v>C4124</v>
          </cell>
          <cell r="G99" t="str">
            <v>TEXAS INSTRUMENTS INC</v>
          </cell>
        </row>
        <row r="100">
          <cell r="A100">
            <v>401466051</v>
          </cell>
          <cell r="B100" t="str">
            <v>‎CRCW060312R1FKEA‏</v>
          </cell>
          <cell r="C100" t="str">
            <v>CHIP RESIS 12.1 OHM 1% .1W T&amp;R</v>
          </cell>
          <cell r="D100" t="str">
            <v>EA</v>
          </cell>
          <cell r="E100" t="str">
            <v>MECP</v>
          </cell>
          <cell r="F100" t="str">
            <v>C5679</v>
          </cell>
          <cell r="G100" t="str">
            <v>VISHAY RESISTIVE SYSTEMS</v>
          </cell>
        </row>
        <row r="101">
          <cell r="A101">
            <v>401466052</v>
          </cell>
          <cell r="B101" t="str">
            <v>‎CRCW0603200KFKEA‏</v>
          </cell>
          <cell r="C101" t="str">
            <v>CHIP RESIS 200KOHM 1% .1W T&amp;R</v>
          </cell>
          <cell r="D101" t="str">
            <v>EA</v>
          </cell>
          <cell r="E101" t="str">
            <v>MECP</v>
          </cell>
          <cell r="F101" t="str">
            <v>C5679</v>
          </cell>
          <cell r="G101" t="str">
            <v>VISHAY RESISTIVE SYSTEMS</v>
          </cell>
        </row>
        <row r="102">
          <cell r="A102">
            <v>401480774</v>
          </cell>
          <cell r="B102" t="str">
            <v>‎SMBJ5.0AE3/52‏</v>
          </cell>
          <cell r="C102" t="str">
            <v>DIODE TRANSIENT SUPRESSOR 5V T&amp;R</v>
          </cell>
          <cell r="D102" t="str">
            <v>EA</v>
          </cell>
          <cell r="E102" t="str">
            <v>MESC</v>
          </cell>
          <cell r="F102" t="str">
            <v>C6454</v>
          </cell>
          <cell r="G102" t="str">
            <v>VISHAY SEMICONDUCTORS GMBH</v>
          </cell>
        </row>
        <row r="103">
          <cell r="A103">
            <v>401481540</v>
          </cell>
          <cell r="B103" t="str">
            <v>‎CRCW040218K2FKED‏</v>
          </cell>
          <cell r="C103" t="str">
            <v>CHIP RESIS 18.2KOHM 1% .063W T&amp;R</v>
          </cell>
          <cell r="D103" t="str">
            <v>EA</v>
          </cell>
          <cell r="E103" t="str">
            <v>MECP</v>
          </cell>
          <cell r="F103" t="str">
            <v>C5679</v>
          </cell>
          <cell r="G103" t="str">
            <v>VISHAY RESISTIVE SYSTEMS</v>
          </cell>
        </row>
        <row r="104">
          <cell r="A104">
            <v>401485719</v>
          </cell>
          <cell r="B104" t="str">
            <v>‎CRCW06032K49FKEA‏</v>
          </cell>
          <cell r="C104" t="str">
            <v>CHIP RESIS 2.49KOHM 1% .1W T&amp;R</v>
          </cell>
          <cell r="D104" t="str">
            <v>EA</v>
          </cell>
          <cell r="E104" t="str">
            <v>MECP</v>
          </cell>
          <cell r="F104" t="str">
            <v>C5679</v>
          </cell>
          <cell r="G104" t="str">
            <v>VISHAY RESISTIVE SYSTEMS</v>
          </cell>
        </row>
        <row r="105">
          <cell r="A105">
            <v>401499258</v>
          </cell>
          <cell r="B105" t="str">
            <v>‎AM26LV32EMDREP‏</v>
          </cell>
          <cell r="C105" t="str">
            <v>IC QUAD DIFFERENTIAL LINE RECEIVER T&amp;R</v>
          </cell>
          <cell r="D105" t="str">
            <v>EA</v>
          </cell>
          <cell r="E105" t="str">
            <v>MEIC</v>
          </cell>
          <cell r="F105" t="str">
            <v>C4124</v>
          </cell>
          <cell r="G105" t="str">
            <v>TEXAS INSTRUMENTS INC</v>
          </cell>
        </row>
        <row r="106">
          <cell r="A106">
            <v>401504556</v>
          </cell>
          <cell r="B106" t="str">
            <v>‎C0603C105K3RACTU‏</v>
          </cell>
          <cell r="C106" t="str">
            <v>CHIP CAP 1UF 10% 25V X7R T&amp;R</v>
          </cell>
          <cell r="D106" t="str">
            <v>EA</v>
          </cell>
          <cell r="E106" t="str">
            <v>MECP</v>
          </cell>
          <cell r="F106" t="str">
            <v>C6545</v>
          </cell>
          <cell r="G106" t="str">
            <v>KEMET ELECTRONICS S A</v>
          </cell>
        </row>
        <row r="107">
          <cell r="A107">
            <v>401519147</v>
          </cell>
          <cell r="B107" t="str">
            <v>‎CRCW060343R2FKEA‏</v>
          </cell>
          <cell r="C107" t="str">
            <v>CHIP RESIS 43.2 OHM 1% .1W T&amp;R</v>
          </cell>
          <cell r="D107" t="str">
            <v>EA</v>
          </cell>
          <cell r="E107" t="str">
            <v>MECP</v>
          </cell>
          <cell r="F107" t="str">
            <v>C5679</v>
          </cell>
          <cell r="G107" t="str">
            <v>VISHAY RESISTIVE SYSTEMS</v>
          </cell>
        </row>
        <row r="108">
          <cell r="A108">
            <v>401533494</v>
          </cell>
          <cell r="B108" t="str">
            <v>‎SMBJ8.0A-E3/52‏</v>
          </cell>
          <cell r="C108" t="str">
            <v>TRANSIENT ABSORPTION ZENER 8V,600W T&amp;R</v>
          </cell>
          <cell r="D108" t="str">
            <v>EA</v>
          </cell>
          <cell r="E108" t="str">
            <v>MESC</v>
          </cell>
          <cell r="F108" t="str">
            <v>CS405</v>
          </cell>
          <cell r="G108" t="str">
            <v>VISHAY EUROPE SALE GMBH</v>
          </cell>
        </row>
        <row r="109">
          <cell r="A109">
            <v>401554157</v>
          </cell>
          <cell r="B109" t="str">
            <v>‎CRCW0402681RFKED‏</v>
          </cell>
          <cell r="C109" t="str">
            <v>CHIP RESIS 681 OHM 1% .063W T&amp;R</v>
          </cell>
          <cell r="D109" t="str">
            <v>EA</v>
          </cell>
          <cell r="E109" t="str">
            <v>MECP</v>
          </cell>
          <cell r="F109" t="str">
            <v>C5679</v>
          </cell>
          <cell r="G109" t="str">
            <v>VISHAY RESISTIVE SYSTEMS</v>
          </cell>
        </row>
        <row r="110">
          <cell r="A110">
            <v>401554938</v>
          </cell>
          <cell r="B110" t="str">
            <v>‎C0805C475K4RAC7025‏</v>
          </cell>
          <cell r="C110" t="str">
            <v>CHIP CAP 4.7UF 10% 16V X7R T&amp;R</v>
          </cell>
          <cell r="D110" t="str">
            <v>EA</v>
          </cell>
          <cell r="E110" t="str">
            <v>MECP</v>
          </cell>
          <cell r="F110" t="str">
            <v>C6545</v>
          </cell>
          <cell r="G110" t="str">
            <v>KEMET ELECTRONICS S A</v>
          </cell>
        </row>
        <row r="111">
          <cell r="A111">
            <v>401679598</v>
          </cell>
          <cell r="B111" t="str">
            <v>‎CRCW040282R5FKED‏</v>
          </cell>
          <cell r="C111" t="str">
            <v>CHIP RESIS 82.5 OHM 1% .063W T&amp;R</v>
          </cell>
          <cell r="D111" t="str">
            <v>EA</v>
          </cell>
          <cell r="E111" t="str">
            <v>MECP</v>
          </cell>
          <cell r="F111" t="str">
            <v>C5679</v>
          </cell>
          <cell r="G111" t="str">
            <v>VISHAY RESISTIVE SYSTEMS</v>
          </cell>
        </row>
        <row r="112">
          <cell r="A112">
            <v>401681605</v>
          </cell>
          <cell r="B112" t="str">
            <v>‎LTC4444HMS8E-5#TRPBF‏</v>
          </cell>
          <cell r="C112" t="str">
            <v>IC N-CHANNEL MOSFET DRIVER T&amp;R</v>
          </cell>
          <cell r="D112" t="str">
            <v>EA</v>
          </cell>
          <cell r="E112" t="str">
            <v>MEIC</v>
          </cell>
          <cell r="F112" t="str">
            <v>CH237</v>
          </cell>
          <cell r="G112" t="str">
            <v>ANALOG DEVICES</v>
          </cell>
        </row>
        <row r="113">
          <cell r="A113">
            <v>401693175</v>
          </cell>
          <cell r="B113" t="str">
            <v>‎SMT252503ALN2F‏</v>
          </cell>
          <cell r="C113" t="str">
            <v>SURFACE MOUNT TERMINATION DC-4GHZ T&amp;R</v>
          </cell>
          <cell r="D113" t="str">
            <v>EA</v>
          </cell>
          <cell r="E113" t="str">
            <v>MEMW</v>
          </cell>
          <cell r="F113" t="str">
            <v>CT737</v>
          </cell>
          <cell r="G113" t="str">
            <v>SMITHS INTERCONNECT AMERICAS,</v>
          </cell>
        </row>
        <row r="114">
          <cell r="A114">
            <v>401775380</v>
          </cell>
          <cell r="B114" t="str">
            <v>‎C0805C104K1RAC7025‏</v>
          </cell>
          <cell r="C114" t="str">
            <v>CHIP CAP  0.1UF 10% 100V X7R T&amp;R</v>
          </cell>
          <cell r="D114" t="str">
            <v>EA</v>
          </cell>
          <cell r="E114" t="str">
            <v>MECP</v>
          </cell>
          <cell r="F114" t="str">
            <v>C6545</v>
          </cell>
          <cell r="G114" t="str">
            <v>KEMET ELECTRONICS S A</v>
          </cell>
        </row>
        <row r="115">
          <cell r="A115">
            <v>402125924</v>
          </cell>
          <cell r="B115" t="str">
            <v>‎GRM155R70J105KA12D‏</v>
          </cell>
          <cell r="C115" t="str">
            <v>CHIP CAP 1UF 10% 6.3V X7R T&amp;R</v>
          </cell>
          <cell r="D115" t="str">
            <v>EA</v>
          </cell>
          <cell r="E115" t="str">
            <v>MECP</v>
          </cell>
          <cell r="F115" t="str">
            <v>CB264</v>
          </cell>
          <cell r="G115" t="str">
            <v>MURATA MANUFACTURING CO. LTD</v>
          </cell>
        </row>
        <row r="116">
          <cell r="A116">
            <v>402215679</v>
          </cell>
          <cell r="B116" t="str">
            <v>‎CRCW04023K09FKED‏</v>
          </cell>
          <cell r="C116" t="str">
            <v>CHIP RESIS 3.09KOHM 1% .063W T&amp;R</v>
          </cell>
          <cell r="D116" t="str">
            <v>EA</v>
          </cell>
          <cell r="E116" t="str">
            <v>MECP</v>
          </cell>
          <cell r="F116" t="str">
            <v>C5679</v>
          </cell>
          <cell r="G116" t="str">
            <v>VISHAY RESISTIVE SYSTEMS</v>
          </cell>
        </row>
        <row r="117">
          <cell r="A117">
            <v>402515066</v>
          </cell>
          <cell r="B117" t="str">
            <v>‎CRCW06031K30FKEA‏</v>
          </cell>
          <cell r="C117" t="str">
            <v>CHIP RESIS 1.3KOHM 1% .1W T&amp;R</v>
          </cell>
          <cell r="D117" t="str">
            <v>EA</v>
          </cell>
          <cell r="E117" t="str">
            <v>MECP</v>
          </cell>
          <cell r="F117" t="str">
            <v>C5679</v>
          </cell>
          <cell r="G117" t="str">
            <v>VISHAY RESISTIVE SYSTEMS</v>
          </cell>
        </row>
        <row r="118">
          <cell r="A118">
            <v>402803473</v>
          </cell>
          <cell r="B118" t="str">
            <v>‎CGHV35400F1‏</v>
          </cell>
          <cell r="C118" t="str">
            <v>AMPL RF GAN 400W 2.9-3.5GHZ 11DB SMT</v>
          </cell>
          <cell r="D118" t="str">
            <v>EA</v>
          </cell>
          <cell r="E118" t="str">
            <v>MEMW</v>
          </cell>
          <cell r="F118" t="str">
            <v>CL268</v>
          </cell>
          <cell r="G118" t="str">
            <v>Wolfspeed</v>
          </cell>
        </row>
        <row r="119">
          <cell r="A119">
            <v>403115907</v>
          </cell>
          <cell r="B119" t="str">
            <v>‎HMC349ALP4CETR‏</v>
          </cell>
          <cell r="C119" t="str">
            <v>IC GAAS SPDT SWITCH DC-4GHZ T&amp;R</v>
          </cell>
          <cell r="D119" t="str">
            <v>EA</v>
          </cell>
          <cell r="E119" t="str">
            <v>MEMW</v>
          </cell>
          <cell r="F119" t="str">
            <v>CH237</v>
          </cell>
          <cell r="G119" t="str">
            <v>ANALOG DEVICES</v>
          </cell>
        </row>
        <row r="120">
          <cell r="A120">
            <v>403572964</v>
          </cell>
          <cell r="B120" t="str">
            <v>‎1094L913-001‏</v>
          </cell>
          <cell r="C120" t="str">
            <v>BRACKET</v>
          </cell>
          <cell r="D120" t="str">
            <v>EA</v>
          </cell>
          <cell r="E120" t="str">
            <v>MSPP</v>
          </cell>
          <cell r="F120" t="str">
            <v/>
          </cell>
          <cell r="G120" t="str">
            <v/>
          </cell>
        </row>
        <row r="121">
          <cell r="A121">
            <v>403581656</v>
          </cell>
          <cell r="B121" t="str">
            <v>‎1094L935-001‏</v>
          </cell>
          <cell r="C121" t="str">
            <v>SCREW 4-40 L150</v>
          </cell>
          <cell r="D121" t="str">
            <v>EA</v>
          </cell>
          <cell r="E121" t="str">
            <v>MSPP</v>
          </cell>
          <cell r="F121" t="str">
            <v/>
          </cell>
          <cell r="G121" t="str">
            <v/>
          </cell>
        </row>
        <row r="122">
          <cell r="A122">
            <v>403581662</v>
          </cell>
          <cell r="B122" t="str">
            <v>‎1094L926-001‏</v>
          </cell>
          <cell r="C122" t="str">
            <v>WEDGE A</v>
          </cell>
          <cell r="D122" t="str">
            <v>EA</v>
          </cell>
          <cell r="E122" t="str">
            <v>MSPP</v>
          </cell>
          <cell r="F122" t="str">
            <v/>
          </cell>
          <cell r="G122" t="str">
            <v/>
          </cell>
        </row>
        <row r="123">
          <cell r="A123">
            <v>403581663</v>
          </cell>
          <cell r="B123" t="str">
            <v>‎1094L925-001‏</v>
          </cell>
          <cell r="C123" t="str">
            <v>WEDGE B</v>
          </cell>
          <cell r="D123" t="str">
            <v>EA</v>
          </cell>
          <cell r="E123" t="str">
            <v>MSPP</v>
          </cell>
          <cell r="F123" t="str">
            <v/>
          </cell>
          <cell r="G123" t="str">
            <v/>
          </cell>
        </row>
        <row r="124">
          <cell r="A124">
            <v>403834699</v>
          </cell>
          <cell r="B124" t="str">
            <v>‎AQ125A102KAJME/500V‏</v>
          </cell>
          <cell r="C124" t="str">
            <v>CHIP CAP 1000PF 10% 50VOLT 55X55 NPO</v>
          </cell>
          <cell r="D124" t="str">
            <v>EA</v>
          </cell>
          <cell r="E124" t="str">
            <v>MECP</v>
          </cell>
          <cell r="F124" t="str">
            <v>C1226</v>
          </cell>
          <cell r="G124" t="str">
            <v>AVX</v>
          </cell>
        </row>
        <row r="125">
          <cell r="A125">
            <v>403834702</v>
          </cell>
          <cell r="B125" t="str">
            <v>‎AQ12EM4R7BAJME/500V‏</v>
          </cell>
          <cell r="C125" t="str">
            <v>CHIP CAP 4.7PF +/-0.1PF 150VOLT 55X5</v>
          </cell>
          <cell r="D125" t="str">
            <v>EA</v>
          </cell>
          <cell r="E125" t="str">
            <v>MECP</v>
          </cell>
          <cell r="F125" t="str">
            <v>C1226</v>
          </cell>
          <cell r="G125" t="str">
            <v>AVX</v>
          </cell>
        </row>
        <row r="126">
          <cell r="A126">
            <v>403834713</v>
          </cell>
          <cell r="B126" t="str">
            <v>‎AQ12EM1R6BAJME/500V‏</v>
          </cell>
          <cell r="C126" t="str">
            <v>CHIP CAP 1.6PF +/-0.1PF 150VOLT 55X5</v>
          </cell>
          <cell r="D126" t="str">
            <v>EA</v>
          </cell>
          <cell r="E126" t="str">
            <v>MECP</v>
          </cell>
          <cell r="F126" t="str">
            <v>C1226</v>
          </cell>
          <cell r="G126" t="str">
            <v>AVX</v>
          </cell>
        </row>
        <row r="127">
          <cell r="A127">
            <v>403834726</v>
          </cell>
          <cell r="B127" t="str">
            <v>‎AQ12EM1R1BAJME/500V‏</v>
          </cell>
          <cell r="C127" t="str">
            <v>CHIP CAP 1.1PF +/-0.1PF 150VOLT 55X5</v>
          </cell>
          <cell r="D127" t="str">
            <v>EA</v>
          </cell>
          <cell r="E127" t="str">
            <v>MECP</v>
          </cell>
          <cell r="F127" t="str">
            <v>C1226</v>
          </cell>
          <cell r="G127" t="str">
            <v>AVX</v>
          </cell>
        </row>
        <row r="128">
          <cell r="A128">
            <v>403834728</v>
          </cell>
          <cell r="B128" t="str">
            <v>‎AQ12EM1R2BAJME/500V‏</v>
          </cell>
          <cell r="C128" t="str">
            <v>CHIP CAP 1.2PF +/-0.1PF 150VOLT 55X5</v>
          </cell>
          <cell r="D128" t="str">
            <v>EA</v>
          </cell>
          <cell r="E128" t="str">
            <v>MECP</v>
          </cell>
          <cell r="F128" t="str">
            <v>C1226</v>
          </cell>
          <cell r="G128" t="str">
            <v>AVX</v>
          </cell>
        </row>
        <row r="129">
          <cell r="A129">
            <v>403834732</v>
          </cell>
          <cell r="B129" t="str">
            <v>‎AQ12EM1R5BAJME/500V‏</v>
          </cell>
          <cell r="C129" t="str">
            <v>CHIP CAP 1.5PF +/-0.1PF 150VOLT 55X5</v>
          </cell>
          <cell r="D129" t="str">
            <v>EA</v>
          </cell>
          <cell r="E129" t="str">
            <v>MECP</v>
          </cell>
          <cell r="F129" t="str">
            <v>C1226</v>
          </cell>
          <cell r="G129" t="str">
            <v>AVX</v>
          </cell>
        </row>
        <row r="130">
          <cell r="A130">
            <v>403834737</v>
          </cell>
          <cell r="B130" t="str">
            <v>‎AQ12EM1R3BAJME/500V‏</v>
          </cell>
          <cell r="C130" t="str">
            <v>CHIP CAP 1.3PF +/-0.1PF 150VOLT 55X5</v>
          </cell>
          <cell r="D130" t="str">
            <v>EA</v>
          </cell>
          <cell r="E130" t="str">
            <v>MECP</v>
          </cell>
          <cell r="F130" t="str">
            <v>C1226</v>
          </cell>
          <cell r="G130" t="str">
            <v>AVX</v>
          </cell>
        </row>
        <row r="131">
          <cell r="A131">
            <v>403834743</v>
          </cell>
          <cell r="B131" t="str">
            <v>‎AQ12EM1R4BAJME/500V‏</v>
          </cell>
          <cell r="C131" t="str">
            <v>CHIP CAP 1.4PF +/-0.1PF 150VOLT 55X5</v>
          </cell>
          <cell r="D131" t="str">
            <v>EA</v>
          </cell>
          <cell r="E131" t="str">
            <v>MECP</v>
          </cell>
          <cell r="F131" t="str">
            <v>C1226</v>
          </cell>
          <cell r="G131" t="str">
            <v>AVX</v>
          </cell>
        </row>
        <row r="132">
          <cell r="A132">
            <v>404179667</v>
          </cell>
          <cell r="B132" t="str">
            <v>‎10S519-S60N3‏</v>
          </cell>
          <cell r="C132" t="str">
            <v>CONN,RF,ADAPTER,RPC-SP PLUG/SMP PLUG,50</v>
          </cell>
          <cell r="D132" t="str">
            <v>EA</v>
          </cell>
          <cell r="E132" t="str">
            <v>MECF</v>
          </cell>
          <cell r="F132" t="str">
            <v>C7217</v>
          </cell>
          <cell r="G132" t="str">
            <v>ROSENBERGER</v>
          </cell>
        </row>
        <row r="133">
          <cell r="A133">
            <v>404179731</v>
          </cell>
          <cell r="B133" t="str">
            <v>‎TGA2731-SM‏</v>
          </cell>
          <cell r="C133" t="str">
            <v>MW AMPLIFIER DRIVER 2.7-4.0GHZ</v>
          </cell>
          <cell r="D133" t="str">
            <v>EA</v>
          </cell>
          <cell r="E133" t="str">
            <v>MEMW</v>
          </cell>
          <cell r="F133" t="str">
            <v>CS551</v>
          </cell>
          <cell r="G133" t="str">
            <v>QORVO US, INC</v>
          </cell>
        </row>
        <row r="134">
          <cell r="A134">
            <v>404482032</v>
          </cell>
          <cell r="B134" t="str">
            <v>‎1093J361-002‏</v>
          </cell>
          <cell r="C134" t="str">
            <v>SHIM 0.8MM</v>
          </cell>
          <cell r="D134" t="str">
            <v>EA</v>
          </cell>
          <cell r="E134" t="str">
            <v>MEMW</v>
          </cell>
          <cell r="F134" t="str">
            <v/>
          </cell>
          <cell r="G134" t="str">
            <v/>
          </cell>
        </row>
        <row r="135">
          <cell r="A135">
            <v>404482035</v>
          </cell>
          <cell r="B135" t="str">
            <v>‎1093J364-002‏</v>
          </cell>
          <cell r="C135" t="str">
            <v>SHIM 1.2MM</v>
          </cell>
          <cell r="D135" t="str">
            <v>EA</v>
          </cell>
          <cell r="E135" t="str">
            <v>MEMW</v>
          </cell>
          <cell r="F135" t="str">
            <v/>
          </cell>
          <cell r="G135" t="str">
            <v/>
          </cell>
        </row>
        <row r="136">
          <cell r="A136">
            <v>404488392</v>
          </cell>
          <cell r="B136" t="str">
            <v>‎1093J365-002‏</v>
          </cell>
          <cell r="C136" t="str">
            <v>SHIM 2.0MM</v>
          </cell>
          <cell r="D136" t="str">
            <v>EA</v>
          </cell>
          <cell r="E136" t="str">
            <v>MEMW</v>
          </cell>
          <cell r="F136" t="str">
            <v/>
          </cell>
          <cell r="G136" t="str">
            <v/>
          </cell>
        </row>
        <row r="137">
          <cell r="A137">
            <v>404492219</v>
          </cell>
          <cell r="B137" t="str">
            <v>‎19S16D-400L5‏</v>
          </cell>
          <cell r="C137" t="str">
            <v>CONN RF SMP STRT PLUG,50OHMS,DC TO 18GH</v>
          </cell>
          <cell r="D137" t="str">
            <v>EA</v>
          </cell>
          <cell r="E137" t="str">
            <v>MECF</v>
          </cell>
          <cell r="F137" t="str">
            <v>C7217</v>
          </cell>
          <cell r="G137" t="str">
            <v>ROSENBERGER</v>
          </cell>
        </row>
        <row r="138">
          <cell r="A138">
            <v>404810931</v>
          </cell>
          <cell r="B138" t="str">
            <v>‎1093G277-001‏</v>
          </cell>
          <cell r="C138" t="str">
            <v>EV CAP WITH BRACKET</v>
          </cell>
          <cell r="D138" t="str">
            <v>EA</v>
          </cell>
          <cell r="E138" t="str">
            <v>MSM</v>
          </cell>
          <cell r="F138" t="str">
            <v/>
          </cell>
          <cell r="G138" t="str">
            <v/>
          </cell>
        </row>
        <row r="139">
          <cell r="A139">
            <v>405043942</v>
          </cell>
          <cell r="B139" t="str">
            <v>‎FM25V20A-DG‏</v>
          </cell>
          <cell r="C139" t="str">
            <v>IC 2MB SERIAL F-RAM MEMORY</v>
          </cell>
          <cell r="D139" t="str">
            <v>EA</v>
          </cell>
          <cell r="E139" t="str">
            <v>MEIC</v>
          </cell>
          <cell r="F139" t="str">
            <v>CI126</v>
          </cell>
          <cell r="G139" t="str">
            <v>INFINEON TECHNOLOGIES AG</v>
          </cell>
        </row>
        <row r="140">
          <cell r="A140">
            <v>405072786</v>
          </cell>
          <cell r="B140" t="str">
            <v>‎SN74LVCH244APW‏</v>
          </cell>
          <cell r="C140" t="str">
            <v>IC OCTAL BUFFERS/DRIVERS</v>
          </cell>
          <cell r="D140" t="str">
            <v>EA</v>
          </cell>
          <cell r="E140" t="str">
            <v>MEIC</v>
          </cell>
          <cell r="F140" t="str">
            <v>C4124</v>
          </cell>
          <cell r="G140" t="str">
            <v>TEXAS INSTRUMENTS INC</v>
          </cell>
        </row>
        <row r="141">
          <cell r="A141">
            <v>405170958</v>
          </cell>
          <cell r="B141" t="str">
            <v>‎1094N781-005‏</v>
          </cell>
          <cell r="C141" t="str">
            <v>POWER AMP ASSY</v>
          </cell>
          <cell r="D141" t="str">
            <v>EA</v>
          </cell>
          <cell r="E141" t="str">
            <v>MEMW</v>
          </cell>
          <cell r="F141" t="str">
            <v/>
          </cell>
          <cell r="G141" t="str">
            <v/>
          </cell>
        </row>
        <row r="142">
          <cell r="A142">
            <v>405295603</v>
          </cell>
          <cell r="B142" t="str">
            <v>‎CRCW040224R3FKED‏</v>
          </cell>
          <cell r="C142" t="str">
            <v>CHIP RESIS 24.3 OHM 1% .063W T&amp;R</v>
          </cell>
          <cell r="D142" t="str">
            <v>EA</v>
          </cell>
          <cell r="E142" t="str">
            <v>MECP</v>
          </cell>
          <cell r="F142" t="str">
            <v>CS405</v>
          </cell>
          <cell r="G142" t="str">
            <v>VISHAY EUROPE SALE GMBH</v>
          </cell>
        </row>
        <row r="143">
          <cell r="A143">
            <v>405530594</v>
          </cell>
          <cell r="B143" t="str">
            <v>‎PTL-9-724‏</v>
          </cell>
          <cell r="C143" t="str">
            <v>HIGH TEMPERATURE POLYIMIDE LABEL,WIDE</v>
          </cell>
          <cell r="D143" t="str">
            <v>RL</v>
          </cell>
          <cell r="E143" t="str">
            <v>MNNI</v>
          </cell>
          <cell r="F143" t="str">
            <v>CD231</v>
          </cell>
          <cell r="G143" t="str">
            <v>BRADY W.H. INDUSTRIAL PRODUCTS DIV.</v>
          </cell>
        </row>
        <row r="144">
          <cell r="A144">
            <v>405579850</v>
          </cell>
          <cell r="B144" t="str">
            <v>‎10S523-8H0S5‏</v>
          </cell>
          <cell r="C144" t="str">
            <v>CONN RF BMA PLUG BULKHEAD SOLDER,22 GHZ</v>
          </cell>
          <cell r="D144" t="str">
            <v>EA</v>
          </cell>
          <cell r="E144" t="str">
            <v>MECF</v>
          </cell>
          <cell r="F144" t="str">
            <v>C7217</v>
          </cell>
          <cell r="G144" t="str">
            <v>ROSENBERGER</v>
          </cell>
        </row>
        <row r="145">
          <cell r="A145">
            <v>405584339</v>
          </cell>
          <cell r="B145" t="str">
            <v>‎SN74LV4T125PWR‏</v>
          </cell>
          <cell r="C145" t="str">
            <v>IC QUADRUPLE BUFFER TRANSLATOR T&amp;R</v>
          </cell>
          <cell r="D145" t="str">
            <v>EA</v>
          </cell>
          <cell r="E145" t="str">
            <v>MEIC</v>
          </cell>
          <cell r="F145" t="str">
            <v>C4124</v>
          </cell>
          <cell r="G145" t="str">
            <v>TEXAS INSTRUMENTS INC</v>
          </cell>
        </row>
        <row r="146">
          <cell r="A146">
            <v>405592612</v>
          </cell>
          <cell r="B146" t="str">
            <v>‎C0402C279C5GACTU‏</v>
          </cell>
          <cell r="C146" t="str">
            <v>CHIP CAP 2.7PF +-0.25PF 50V C0G T&amp;R</v>
          </cell>
          <cell r="D146" t="str">
            <v>EA</v>
          </cell>
          <cell r="E146" t="str">
            <v>MECP</v>
          </cell>
          <cell r="F146" t="str">
            <v>C6545</v>
          </cell>
          <cell r="G146" t="str">
            <v>KEMET ELECTRONICS S A</v>
          </cell>
        </row>
        <row r="147">
          <cell r="A147">
            <v>405656805</v>
          </cell>
          <cell r="B147" t="str">
            <v>‎C1210C106K5RACTU‏</v>
          </cell>
          <cell r="C147" t="str">
            <v>CHIP CAP 10UF 10% 50V X7R T&amp;R</v>
          </cell>
          <cell r="D147" t="str">
            <v>EA</v>
          </cell>
          <cell r="E147" t="str">
            <v>MECP</v>
          </cell>
          <cell r="F147" t="str">
            <v>C6545</v>
          </cell>
          <cell r="G147" t="str">
            <v>KEMET ELECTRONICS S A</v>
          </cell>
        </row>
        <row r="148">
          <cell r="A148">
            <v>405670656</v>
          </cell>
          <cell r="B148" t="str">
            <v>‎M80-331‏</v>
          </cell>
          <cell r="C148" t="str">
            <v>CONNECTOR,ELECTRIC,RECTANGULAR,QTH,GROUN</v>
          </cell>
          <cell r="D148" t="str">
            <v>EA</v>
          </cell>
          <cell r="E148" t="str">
            <v>MECC</v>
          </cell>
          <cell r="F148" t="str">
            <v>CJ329</v>
          </cell>
          <cell r="G148" t="str">
            <v>HARWIN PIC</v>
          </cell>
        </row>
        <row r="149">
          <cell r="A149">
            <v>405852894</v>
          </cell>
          <cell r="B149" t="str">
            <v>‎ISPPACPOWR1014A01TN48ITR‏</v>
          </cell>
          <cell r="C149" t="str">
            <v>IC PROG.P.S SUPERVISOR&amp;SEQUENC.CONTR T&amp;R</v>
          </cell>
          <cell r="D149" t="str">
            <v>EA</v>
          </cell>
          <cell r="E149" t="str">
            <v>MEIC</v>
          </cell>
          <cell r="F149" t="str">
            <v>C5687</v>
          </cell>
          <cell r="G149" t="str">
            <v>LATTICE SEMICONDUCTOR CORPORATION</v>
          </cell>
        </row>
        <row r="150">
          <cell r="A150">
            <v>405928170</v>
          </cell>
          <cell r="B150" t="str">
            <v>‎BFCN-3115+‏</v>
          </cell>
          <cell r="C150" t="str">
            <v>BANDPASS FILTER 2720-3570 MHZ T&amp;R</v>
          </cell>
          <cell r="D150" t="str">
            <v>EA</v>
          </cell>
          <cell r="E150" t="str">
            <v>MEFL</v>
          </cell>
          <cell r="F150" t="str">
            <v>C3674</v>
          </cell>
          <cell r="G150" t="str">
            <v>MINI-CIRCUITS LABORATORY</v>
          </cell>
        </row>
        <row r="151">
          <cell r="A151">
            <v>405960171</v>
          </cell>
          <cell r="B151" t="str">
            <v>‎1094T051-001‏</v>
          </cell>
          <cell r="C151" t="str">
            <v>LABLE MODULE DRM</v>
          </cell>
          <cell r="D151" t="str">
            <v>EA</v>
          </cell>
          <cell r="E151" t="str">
            <v>MHPL</v>
          </cell>
          <cell r="F151" t="str">
            <v/>
          </cell>
          <cell r="G151" t="str">
            <v/>
          </cell>
        </row>
        <row r="152">
          <cell r="A152">
            <v>405960186</v>
          </cell>
          <cell r="B152" t="str">
            <v>‎1094T052-001‏</v>
          </cell>
          <cell r="C152" t="str">
            <v>LABLE MODULE DRM</v>
          </cell>
          <cell r="D152" t="str">
            <v>EA</v>
          </cell>
          <cell r="E152" t="str">
            <v>MHPL</v>
          </cell>
          <cell r="F152" t="str">
            <v/>
          </cell>
          <cell r="G152" t="str">
            <v/>
          </cell>
        </row>
        <row r="153">
          <cell r="A153">
            <v>406564380</v>
          </cell>
          <cell r="B153" t="str">
            <v>‎TPS7A8001DRBR‏</v>
          </cell>
          <cell r="C153" t="str">
            <v>IC VOLTAGE REGULATOR 1A T&amp;R</v>
          </cell>
          <cell r="D153" t="str">
            <v>EA</v>
          </cell>
          <cell r="E153" t="str">
            <v>MEIC</v>
          </cell>
          <cell r="F153" t="str">
            <v>C4124</v>
          </cell>
          <cell r="G153" t="str">
            <v>TEXAS INSTRUMENTS INC</v>
          </cell>
        </row>
        <row r="154">
          <cell r="A154">
            <v>407184523</v>
          </cell>
          <cell r="B154" t="str">
            <v>‎0603CS-15NXGRW‏</v>
          </cell>
          <cell r="C154" t="str">
            <v>CHIP INDUCTOR 15NH 2% T&amp;R</v>
          </cell>
          <cell r="D154" t="str">
            <v>EA</v>
          </cell>
          <cell r="E154" t="str">
            <v>METC</v>
          </cell>
          <cell r="F154" t="str">
            <v>CB240</v>
          </cell>
          <cell r="G154" t="str">
            <v>COILCRAFT INC.</v>
          </cell>
        </row>
        <row r="155">
          <cell r="A155">
            <v>407374949</v>
          </cell>
          <cell r="B155" t="str">
            <v>‎NC7SZ08M5X-L22090‏</v>
          </cell>
          <cell r="C155" t="str">
            <v>IC 2-IN AND GATE TAPE&amp;REEL</v>
          </cell>
          <cell r="D155" t="str">
            <v>EA</v>
          </cell>
          <cell r="E155" t="str">
            <v>MEIC</v>
          </cell>
          <cell r="F155" t="str">
            <v>CS644</v>
          </cell>
          <cell r="G155" t="str">
            <v>ON SEMICONDUCTOR</v>
          </cell>
        </row>
        <row r="156">
          <cell r="A156">
            <v>407566005</v>
          </cell>
          <cell r="B156" t="str">
            <v>‎160-A62Q/188(SF162)‏</v>
          </cell>
          <cell r="C156" t="str">
            <v>CONN RF ADAPTER BMA(F)/BMA(F) STR</v>
          </cell>
          <cell r="D156" t="str">
            <v>EA</v>
          </cell>
          <cell r="E156" t="str">
            <v>MECR</v>
          </cell>
          <cell r="F156" t="str">
            <v>CQ976</v>
          </cell>
          <cell r="G156" t="str">
            <v>HUANG LIANG TECHNOLOGIES CO.,LTD.</v>
          </cell>
        </row>
        <row r="157">
          <cell r="A157">
            <v>408113890</v>
          </cell>
          <cell r="B157" t="str">
            <v>‎1094T040-001‏</v>
          </cell>
          <cell r="C157" t="str">
            <v>DRM F/ASSY</v>
          </cell>
          <cell r="D157" t="str">
            <v>EA</v>
          </cell>
          <cell r="E157" t="str">
            <v>MEMW</v>
          </cell>
          <cell r="F157" t="str">
            <v/>
          </cell>
          <cell r="G157" t="str">
            <v/>
          </cell>
        </row>
        <row r="158">
          <cell r="A158">
            <v>408260904</v>
          </cell>
          <cell r="B158" t="str">
            <v>‎0402CS-5N6XGRW‏</v>
          </cell>
          <cell r="C158" t="str">
            <v>INDUCTOR CHIP 5.6NH 2% 0.76A 0402 T&amp;R</v>
          </cell>
          <cell r="D158" t="str">
            <v>EA</v>
          </cell>
          <cell r="E158" t="str">
            <v>METC</v>
          </cell>
          <cell r="F158" t="str">
            <v>CB240</v>
          </cell>
          <cell r="G158" t="str">
            <v>COILCRAFT INC.</v>
          </cell>
        </row>
        <row r="159">
          <cell r="A159">
            <v>408272431</v>
          </cell>
          <cell r="B159" t="str">
            <v>‎1094N754-001‏</v>
          </cell>
          <cell r="C159" t="str">
            <v>BEND OF TRANSISTOR</v>
          </cell>
          <cell r="D159" t="str">
            <v>EA</v>
          </cell>
          <cell r="E159" t="str">
            <v>MEMW</v>
          </cell>
          <cell r="F159" t="str">
            <v/>
          </cell>
          <cell r="G159" t="str">
            <v/>
          </cell>
        </row>
        <row r="160">
          <cell r="A160">
            <v>408504408</v>
          </cell>
          <cell r="B160" t="str">
            <v>‎1094N749-001‏</v>
          </cell>
          <cell r="C160" t="str">
            <v>MFE NAMEPLATE</v>
          </cell>
          <cell r="D160" t="str">
            <v>EA</v>
          </cell>
          <cell r="E160" t="str">
            <v>MHPL</v>
          </cell>
          <cell r="F160" t="str">
            <v/>
          </cell>
          <cell r="G160" t="str">
            <v/>
          </cell>
        </row>
        <row r="161">
          <cell r="A161">
            <v>408526024</v>
          </cell>
          <cell r="B161" t="str">
            <v>‎1094N766-001‏</v>
          </cell>
          <cell r="C161" t="str">
            <v>LABLE MODULE DTRM</v>
          </cell>
          <cell r="D161" t="str">
            <v>EA</v>
          </cell>
          <cell r="E161" t="str">
            <v>MHPL</v>
          </cell>
          <cell r="F161" t="str">
            <v/>
          </cell>
          <cell r="G161" t="str">
            <v/>
          </cell>
        </row>
        <row r="162">
          <cell r="A162">
            <v>408557951</v>
          </cell>
          <cell r="B162" t="str">
            <v>‎1094N759-001‏</v>
          </cell>
          <cell r="C162" t="str">
            <v>LABLE MODULE DTRM</v>
          </cell>
          <cell r="D162" t="str">
            <v>EA</v>
          </cell>
          <cell r="E162" t="str">
            <v>MHPL</v>
          </cell>
          <cell r="F162" t="str">
            <v/>
          </cell>
          <cell r="G162" t="str">
            <v/>
          </cell>
        </row>
        <row r="163">
          <cell r="A163">
            <v>408929145</v>
          </cell>
          <cell r="B163" t="str">
            <v>‎1094N799-001‏</v>
          </cell>
          <cell r="C163" t="str">
            <v>GASKET</v>
          </cell>
          <cell r="D163" t="str">
            <v>EA</v>
          </cell>
          <cell r="E163" t="str">
            <v>MEMW</v>
          </cell>
          <cell r="F163" t="str">
            <v/>
          </cell>
          <cell r="G163" t="str">
            <v/>
          </cell>
        </row>
        <row r="164">
          <cell r="A164">
            <v>408929148</v>
          </cell>
          <cell r="B164" t="str">
            <v>‎1094N795-001‏</v>
          </cell>
          <cell r="C164" t="str">
            <v>CONN 2 PIN</v>
          </cell>
          <cell r="D164" t="str">
            <v>EA</v>
          </cell>
          <cell r="E164" t="str">
            <v>MSPP</v>
          </cell>
          <cell r="F164" t="str">
            <v/>
          </cell>
          <cell r="G164" t="str">
            <v/>
          </cell>
        </row>
        <row r="165">
          <cell r="A165">
            <v>409017833</v>
          </cell>
          <cell r="B165" t="str">
            <v>‎NFM18PC225B1A3D‏</v>
          </cell>
          <cell r="C165" t="str">
            <v>CHIP EMIFIL 2.2UF 10V T&amp;R</v>
          </cell>
          <cell r="D165" t="str">
            <v>EA</v>
          </cell>
          <cell r="E165" t="str">
            <v>MECP</v>
          </cell>
          <cell r="F165" t="str">
            <v>CB264</v>
          </cell>
          <cell r="G165" t="str">
            <v>MURATA MANUFACTURING CO. LTD</v>
          </cell>
        </row>
        <row r="166">
          <cell r="A166">
            <v>409017834</v>
          </cell>
          <cell r="B166" t="str">
            <v>‎NFM31KC104R2A3L‏</v>
          </cell>
          <cell r="C166" t="str">
            <v>CHIP EMIFIL 0.1UF 100V T&amp;R</v>
          </cell>
          <cell r="D166" t="str">
            <v>EA</v>
          </cell>
          <cell r="E166" t="str">
            <v>MECP</v>
          </cell>
          <cell r="F166" t="str">
            <v>CB264</v>
          </cell>
          <cell r="G166" t="str">
            <v>MURATA MANUFACTURING CO. LTD</v>
          </cell>
        </row>
        <row r="167">
          <cell r="A167">
            <v>409177478</v>
          </cell>
          <cell r="B167" t="str">
            <v>‎CGHV35060MP‏</v>
          </cell>
          <cell r="C167" t="str">
            <v>GAN HEMT 60W 2700-3800MHZ 50V</v>
          </cell>
          <cell r="D167" t="str">
            <v>EA</v>
          </cell>
          <cell r="E167" t="str">
            <v>MEMW</v>
          </cell>
          <cell r="F167" t="str">
            <v>CP867</v>
          </cell>
          <cell r="G167" t="str">
            <v>M/A-COM TECHNOLOGY SOLUTIONS</v>
          </cell>
        </row>
        <row r="168">
          <cell r="A168">
            <v>409177480</v>
          </cell>
          <cell r="B168" t="str">
            <v>‎JCM3100T3500S10-ASC‏</v>
          </cell>
          <cell r="C168" t="str">
            <v>CIRCULATOR SMT 3.100-3.500GHZ</v>
          </cell>
          <cell r="D168" t="str">
            <v>EA</v>
          </cell>
          <cell r="E168" t="str">
            <v>MEMW</v>
          </cell>
          <cell r="F168" t="str">
            <v>CM952</v>
          </cell>
          <cell r="G168" t="str">
            <v>JQL  ELECTRONICS</v>
          </cell>
        </row>
        <row r="169">
          <cell r="A169">
            <v>409187951</v>
          </cell>
          <cell r="B169" t="str">
            <v>‎JCM3100T3500S10C-ASC‏</v>
          </cell>
          <cell r="C169" t="str">
            <v>CIRCULATOR SMT 3.100-3.500GHZ</v>
          </cell>
          <cell r="D169" t="str">
            <v>EA</v>
          </cell>
          <cell r="E169" t="str">
            <v>MEMW</v>
          </cell>
          <cell r="F169" t="str">
            <v>CM952</v>
          </cell>
          <cell r="G169" t="str">
            <v>JQL  ELECTRONICS</v>
          </cell>
        </row>
        <row r="170">
          <cell r="A170">
            <v>409187956</v>
          </cell>
          <cell r="B170" t="str">
            <v>‎GQM2195G2H4R7WB12D‏</v>
          </cell>
          <cell r="C170" t="str">
            <v>CHIP CAP 4.7PF +/-0.05 500V CERAMIC T&amp;R</v>
          </cell>
          <cell r="D170" t="str">
            <v>EA</v>
          </cell>
          <cell r="E170" t="str">
            <v>MECP</v>
          </cell>
          <cell r="F170" t="str">
            <v>CB264</v>
          </cell>
          <cell r="G170" t="str">
            <v>MURATA MANUFACTURING CO. LTD</v>
          </cell>
        </row>
        <row r="171">
          <cell r="A171">
            <v>409286444</v>
          </cell>
          <cell r="B171" t="str">
            <v>‎CRCW060371R5FKEA‏</v>
          </cell>
          <cell r="C171" t="str">
            <v>CHIP RESIS 71.5 OHM 1% .1W T&amp;R</v>
          </cell>
          <cell r="D171" t="str">
            <v>EA</v>
          </cell>
          <cell r="E171" t="str">
            <v>MECP</v>
          </cell>
          <cell r="F171" t="str">
            <v>C5679</v>
          </cell>
          <cell r="G171" t="str">
            <v>VISHAY RESISTIVE SYSTEMS</v>
          </cell>
        </row>
        <row r="172">
          <cell r="A172">
            <v>409331534</v>
          </cell>
          <cell r="B172" t="str">
            <v>‎A04TGLC‏</v>
          </cell>
          <cell r="C172" t="str">
            <v>INDUCTOR AIR CORE 12.5NH 2%</v>
          </cell>
          <cell r="D172" t="str">
            <v>EA</v>
          </cell>
          <cell r="E172" t="str">
            <v>METC</v>
          </cell>
          <cell r="F172" t="str">
            <v>CB240</v>
          </cell>
          <cell r="G172" t="str">
            <v>COILCRAFT INC.</v>
          </cell>
        </row>
        <row r="173">
          <cell r="A173">
            <v>409331535</v>
          </cell>
          <cell r="B173" t="str">
            <v>‎GRM32ER71K475KE14L‏</v>
          </cell>
          <cell r="C173" t="str">
            <v>CHIP CAP 4.7UF 10% 80V CERAMIC T&amp;R</v>
          </cell>
          <cell r="D173" t="str">
            <v>EA</v>
          </cell>
          <cell r="E173" t="str">
            <v>MECP</v>
          </cell>
          <cell r="F173" t="str">
            <v>CB264</v>
          </cell>
          <cell r="G173" t="str">
            <v>MURATA MANUFACTURING CO. LTD</v>
          </cell>
        </row>
        <row r="174">
          <cell r="A174">
            <v>409547020</v>
          </cell>
          <cell r="B174" t="str">
            <v>‎RCP3500Q03‏</v>
          </cell>
          <cell r="C174" t="str">
            <v>COUPLER HYBRID 3300-3800MHZ 3DB 90DE T&amp;R</v>
          </cell>
          <cell r="D174" t="str">
            <v>EA</v>
          </cell>
          <cell r="E174" t="str">
            <v>MEMW</v>
          </cell>
          <cell r="F174" t="str">
            <v>CS767</v>
          </cell>
          <cell r="G174" t="str">
            <v>RN2 TECHNOLOGIES CO., LTD.</v>
          </cell>
        </row>
        <row r="175">
          <cell r="A175">
            <v>409547026</v>
          </cell>
          <cell r="B175" t="str">
            <v>‎1094N740-001‏</v>
          </cell>
          <cell r="C175" t="str">
            <v>DTRM F/ASSY</v>
          </cell>
          <cell r="D175" t="str">
            <v>EA</v>
          </cell>
          <cell r="E175" t="str">
            <v>MEMW</v>
          </cell>
          <cell r="F175" t="str">
            <v/>
          </cell>
          <cell r="G175" t="str">
            <v/>
          </cell>
        </row>
        <row r="176">
          <cell r="A176">
            <v>409604723</v>
          </cell>
          <cell r="B176" t="str">
            <v>‎LQW15AN15NG80D‏</v>
          </cell>
          <cell r="C176" t="str">
            <v>CHIP COIL 15NH +/-2% T&amp;R</v>
          </cell>
          <cell r="D176" t="str">
            <v>EA</v>
          </cell>
          <cell r="E176" t="str">
            <v>METC</v>
          </cell>
          <cell r="F176" t="str">
            <v>CB264</v>
          </cell>
          <cell r="G176" t="str">
            <v>MURATA MANUFACTURING CO. LTD</v>
          </cell>
        </row>
        <row r="177">
          <cell r="A177">
            <v>409604724</v>
          </cell>
          <cell r="B177" t="str">
            <v>‎TGL2927-SM‏</v>
          </cell>
          <cell r="C177" t="str">
            <v>VPIN LIMITER 200W 2-4GHZ</v>
          </cell>
          <cell r="D177" t="str">
            <v>EA</v>
          </cell>
          <cell r="E177" t="str">
            <v>MEMW</v>
          </cell>
          <cell r="F177" t="str">
            <v>CS551</v>
          </cell>
          <cell r="G177" t="str">
            <v>QORVO US, INC</v>
          </cell>
        </row>
        <row r="178">
          <cell r="A178">
            <v>409729294</v>
          </cell>
          <cell r="B178" t="str">
            <v>‎SI7252DP-T1-GE3‏</v>
          </cell>
          <cell r="C178" t="str">
            <v>MOSFET DUAL N-CHANNEL  100V T&amp;R</v>
          </cell>
          <cell r="D178" t="str">
            <v>EA</v>
          </cell>
          <cell r="E178" t="str">
            <v>MESC</v>
          </cell>
          <cell r="F178" t="str">
            <v>CB529</v>
          </cell>
          <cell r="G178" t="str">
            <v>VISHAY - SILICONIX</v>
          </cell>
        </row>
        <row r="179">
          <cell r="A179">
            <v>410434088</v>
          </cell>
          <cell r="B179" t="str">
            <v>‎GRM21BZ71A226ME15L‏</v>
          </cell>
          <cell r="C179" t="str">
            <v>CHIP CAP 22UF 20% 10V X7R T&amp;R</v>
          </cell>
          <cell r="D179" t="str">
            <v>EA</v>
          </cell>
          <cell r="E179" t="str">
            <v>MECP</v>
          </cell>
          <cell r="F179" t="str">
            <v>CB264</v>
          </cell>
          <cell r="G179" t="str">
            <v>MURATA MANUFACTURING CO. LTD</v>
          </cell>
        </row>
        <row r="180">
          <cell r="A180">
            <v>410773154</v>
          </cell>
          <cell r="B180" t="str">
            <v>‎1094N771-001‏</v>
          </cell>
          <cell r="C180" t="str">
            <v>SPACER DIAM 4X2</v>
          </cell>
          <cell r="D180" t="str">
            <v>EA</v>
          </cell>
          <cell r="E180" t="str">
            <v>MSPP</v>
          </cell>
          <cell r="F180" t="str">
            <v/>
          </cell>
          <cell r="G180" t="str">
            <v/>
          </cell>
        </row>
        <row r="181">
          <cell r="A181">
            <v>410810011</v>
          </cell>
          <cell r="B181" t="str">
            <v>‎ASP-200323-01‏</v>
          </cell>
          <cell r="C181" t="str">
            <v>CONN RECT HEADER 100 PIN SMT, QUAD ROW</v>
          </cell>
          <cell r="D181" t="str">
            <v>EA</v>
          </cell>
          <cell r="E181" t="str">
            <v>MECC</v>
          </cell>
          <cell r="F181" t="str">
            <v>CH215</v>
          </cell>
          <cell r="G181" t="str">
            <v>SAMTEC</v>
          </cell>
        </row>
        <row r="182">
          <cell r="A182">
            <v>411011051</v>
          </cell>
          <cell r="B182" t="str">
            <v>‎SIZ340DT-T1-GE3‏</v>
          </cell>
          <cell r="C182" t="str">
            <v>TRANSISTOR MOSFET DUAL N CHANNEL 30V T&amp;R</v>
          </cell>
          <cell r="D182" t="str">
            <v>EA</v>
          </cell>
          <cell r="E182" t="str">
            <v>MESC</v>
          </cell>
          <cell r="F182" t="str">
            <v>CB529</v>
          </cell>
          <cell r="G182" t="str">
            <v>VISHAY - SILICONIX</v>
          </cell>
        </row>
        <row r="183">
          <cell r="A183">
            <v>411048244</v>
          </cell>
          <cell r="B183" t="str">
            <v>‎IRLB4030PBF‏</v>
          </cell>
          <cell r="C183" t="str">
            <v>HEXFET POWER MOSFET 100V  180A</v>
          </cell>
          <cell r="D183" t="str">
            <v>EA</v>
          </cell>
          <cell r="E183" t="str">
            <v>MESC</v>
          </cell>
          <cell r="F183" t="str">
            <v>CI126</v>
          </cell>
          <cell r="G183" t="str">
            <v>INFINEON TECHNOLOGIES AG</v>
          </cell>
        </row>
        <row r="184">
          <cell r="A184">
            <v>411048246</v>
          </cell>
          <cell r="B184" t="str">
            <v>‎GRM32EC72A106KE05L‏</v>
          </cell>
          <cell r="C184" t="str">
            <v>CHIP CAP 10UF 22% 100V X7S CERAMIC T&amp;R</v>
          </cell>
          <cell r="D184" t="str">
            <v>EA</v>
          </cell>
          <cell r="E184" t="str">
            <v>MECP</v>
          </cell>
          <cell r="F184" t="str">
            <v>CB264</v>
          </cell>
          <cell r="G184" t="str">
            <v>MURATA MANUFACTURING CO. LTD</v>
          </cell>
        </row>
        <row r="185">
          <cell r="A185">
            <v>411063876</v>
          </cell>
          <cell r="B185" t="str">
            <v>‎0505P4R7BW151XTV‏</v>
          </cell>
          <cell r="C185" t="str">
            <v>CHIP CAP 4.7PF +/-0.1PF 150V 1.4MM2</v>
          </cell>
          <cell r="D185" t="str">
            <v>EA</v>
          </cell>
          <cell r="E185" t="str">
            <v>MECP</v>
          </cell>
          <cell r="F185" t="str">
            <v>CC586</v>
          </cell>
          <cell r="G185" t="str">
            <v>PASSIVE PLUS, LLC</v>
          </cell>
        </row>
        <row r="186">
          <cell r="A186">
            <v>411067141</v>
          </cell>
          <cell r="B186" t="str">
            <v>‎145-A01H/118‏</v>
          </cell>
          <cell r="C186" t="str">
            <v>CONN RF ADAPTER SPRING SMP(F)/SMP(F)</v>
          </cell>
          <cell r="D186" t="str">
            <v>EA</v>
          </cell>
          <cell r="E186" t="str">
            <v>MECF</v>
          </cell>
          <cell r="F186" t="str">
            <v>CQ976</v>
          </cell>
          <cell r="G186" t="str">
            <v>HUANG LIANG TECHNOLOGIES CO.,LTD.</v>
          </cell>
        </row>
        <row r="187">
          <cell r="A187">
            <v>411123562</v>
          </cell>
          <cell r="B187" t="str">
            <v>‎MT28EW01GABA1HPC-0SIT‏</v>
          </cell>
          <cell r="C187" t="str">
            <v>IC PARALLEL NOR FLASH 1GB</v>
          </cell>
          <cell r="D187" t="str">
            <v>EA</v>
          </cell>
          <cell r="E187" t="str">
            <v>MEIC</v>
          </cell>
          <cell r="F187" t="str">
            <v>CH125</v>
          </cell>
          <cell r="G187" t="str">
            <v>MICRON TECHNOLOGY</v>
          </cell>
        </row>
        <row r="188">
          <cell r="A188">
            <v>411160563</v>
          </cell>
          <cell r="B188" t="str">
            <v>‎1094N761-002‏</v>
          </cell>
          <cell r="C188" t="str">
            <v>BOX MACHINING</v>
          </cell>
          <cell r="D188" t="str">
            <v>EA</v>
          </cell>
          <cell r="E188" t="str">
            <v>MSPP</v>
          </cell>
          <cell r="F188" t="str">
            <v/>
          </cell>
          <cell r="G188" t="str">
            <v/>
          </cell>
        </row>
        <row r="189">
          <cell r="A189">
            <v>411179616</v>
          </cell>
          <cell r="B189" t="str">
            <v>‎1094N772-001‏</v>
          </cell>
          <cell r="C189" t="str">
            <v>BRACKET</v>
          </cell>
          <cell r="D189" t="str">
            <v>EA</v>
          </cell>
          <cell r="E189" t="str">
            <v>MSPP</v>
          </cell>
          <cell r="F189" t="str">
            <v/>
          </cell>
          <cell r="G189" t="str">
            <v/>
          </cell>
        </row>
        <row r="190">
          <cell r="A190">
            <v>411179617</v>
          </cell>
          <cell r="B190" t="str">
            <v>‎1094N777-001‏</v>
          </cell>
          <cell r="C190" t="str">
            <v>WEDGE</v>
          </cell>
          <cell r="D190" t="str">
            <v>EA</v>
          </cell>
          <cell r="E190" t="str">
            <v>MSPP</v>
          </cell>
          <cell r="F190" t="str">
            <v/>
          </cell>
          <cell r="G190" t="str">
            <v/>
          </cell>
        </row>
        <row r="191">
          <cell r="A191">
            <v>411179618</v>
          </cell>
          <cell r="B191" t="str">
            <v>‎1094N776-001‏</v>
          </cell>
          <cell r="C191" t="str">
            <v>0-80 NUT</v>
          </cell>
          <cell r="D191" t="str">
            <v>EA</v>
          </cell>
          <cell r="E191" t="str">
            <v>MSPP</v>
          </cell>
          <cell r="F191" t="str">
            <v/>
          </cell>
          <cell r="G191" t="str">
            <v/>
          </cell>
        </row>
        <row r="192">
          <cell r="A192">
            <v>411188824</v>
          </cell>
          <cell r="B192" t="str">
            <v>‎NFM41PC155B1H3L‏</v>
          </cell>
          <cell r="C192" t="str">
            <v>CHIP  EMI FILTER 1.5UF 50VDC T&amp;R</v>
          </cell>
          <cell r="D192" t="str">
            <v>EA</v>
          </cell>
          <cell r="E192" t="str">
            <v>MEFL</v>
          </cell>
          <cell r="F192" t="str">
            <v>C5279</v>
          </cell>
          <cell r="G192" t="str">
            <v>MURATA ERIE NORTH AMERICA INC.</v>
          </cell>
        </row>
        <row r="193">
          <cell r="A193">
            <v>411235297</v>
          </cell>
          <cell r="B193" t="str">
            <v>‎1094T062-002‏</v>
          </cell>
          <cell r="C193" t="str">
            <v>PC BLANK MASTER DRAWING MMR-41 Z2</v>
          </cell>
          <cell r="D193" t="str">
            <v>EA</v>
          </cell>
          <cell r="E193" t="str">
            <v>MECB</v>
          </cell>
          <cell r="F193" t="str">
            <v/>
          </cell>
          <cell r="G193" t="str">
            <v/>
          </cell>
        </row>
        <row r="194">
          <cell r="A194">
            <v>411235298</v>
          </cell>
          <cell r="B194" t="str">
            <v>‎1094T060-002‏</v>
          </cell>
          <cell r="C194" t="str">
            <v>RX ASSY</v>
          </cell>
          <cell r="D194" t="str">
            <v>EA</v>
          </cell>
          <cell r="E194" t="str">
            <v>MEHK</v>
          </cell>
          <cell r="F194" t="str">
            <v/>
          </cell>
          <cell r="G194" t="str">
            <v/>
          </cell>
        </row>
        <row r="195">
          <cell r="A195">
            <v>411263672</v>
          </cell>
          <cell r="B195" t="str">
            <v>‎1094T050-002‏</v>
          </cell>
          <cell r="C195" t="str">
            <v>PS ASSY RX</v>
          </cell>
          <cell r="D195" t="str">
            <v>EA</v>
          </cell>
          <cell r="E195" t="str">
            <v>MEMW</v>
          </cell>
          <cell r="F195" t="str">
            <v/>
          </cell>
          <cell r="G195" t="str">
            <v/>
          </cell>
        </row>
        <row r="196">
          <cell r="A196">
            <v>411330925</v>
          </cell>
          <cell r="B196" t="str">
            <v>‎1094N792-002‏</v>
          </cell>
          <cell r="C196" t="str">
            <v>PC BLANK MASTER DWG.CLL-577 Z4</v>
          </cell>
          <cell r="D196" t="str">
            <v>EA</v>
          </cell>
          <cell r="E196" t="str">
            <v>MECB</v>
          </cell>
          <cell r="F196" t="str">
            <v/>
          </cell>
          <cell r="G196" t="str">
            <v/>
          </cell>
        </row>
        <row r="197">
          <cell r="A197">
            <v>411346444</v>
          </cell>
          <cell r="B197" t="str">
            <v>‎IHQ2063942‏</v>
          </cell>
          <cell r="C197" t="str">
            <v>HYBRID CAPACITOR 63V 9400UF</v>
          </cell>
          <cell r="D197" t="str">
            <v>EA</v>
          </cell>
          <cell r="E197" t="str">
            <v>MECP</v>
          </cell>
          <cell r="F197" t="str">
            <v>CE103</v>
          </cell>
          <cell r="G197" t="str">
            <v>EVANS CAPACITOR COMPANY</v>
          </cell>
        </row>
        <row r="198">
          <cell r="A198">
            <v>411359913</v>
          </cell>
          <cell r="B198" t="str">
            <v>‎EPCQ64ASI16N‏</v>
          </cell>
          <cell r="C198" t="str">
            <v>IC QUAD-SERIAL CONFIGURATION DEVICE</v>
          </cell>
          <cell r="D198" t="str">
            <v>EA</v>
          </cell>
          <cell r="E198" t="str">
            <v>MEIC</v>
          </cell>
          <cell r="F198" t="str">
            <v>C3492</v>
          </cell>
          <cell r="G198" t="str">
            <v>INTEL CORP</v>
          </cell>
        </row>
        <row r="199">
          <cell r="A199">
            <v>412298871</v>
          </cell>
          <cell r="B199" t="str">
            <v>‎1094N993-001‏</v>
          </cell>
          <cell r="C199" t="str">
            <v>SUPPORT</v>
          </cell>
          <cell r="D199" t="str">
            <v>EA</v>
          </cell>
          <cell r="E199" t="str">
            <v>MSPP</v>
          </cell>
          <cell r="F199" t="str">
            <v/>
          </cell>
          <cell r="G199" t="str">
            <v/>
          </cell>
        </row>
        <row r="200">
          <cell r="A200">
            <v>412449735</v>
          </cell>
          <cell r="B200" t="str">
            <v>‎MBT10644‏</v>
          </cell>
          <cell r="C200" t="str">
            <v>CHIP PIN DIODE</v>
          </cell>
          <cell r="D200" t="str">
            <v>EA</v>
          </cell>
          <cell r="E200" t="str">
            <v>MEMW</v>
          </cell>
          <cell r="F200" t="str">
            <v>CS438</v>
          </cell>
          <cell r="G200" t="str">
            <v>MASSACHUSETTS BAY TECHNOLOGIE</v>
          </cell>
        </row>
        <row r="201">
          <cell r="A201">
            <v>412594024</v>
          </cell>
          <cell r="B201" t="str">
            <v>‎1097U145-001‏</v>
          </cell>
          <cell r="C201" t="str">
            <v>S-BAND MFC F/ASSY</v>
          </cell>
          <cell r="D201" t="str">
            <v>EA</v>
          </cell>
          <cell r="E201" t="str">
            <v>MEME</v>
          </cell>
          <cell r="F201" t="str">
            <v/>
          </cell>
          <cell r="G201" t="str">
            <v/>
          </cell>
        </row>
        <row r="202">
          <cell r="A202">
            <v>412594026</v>
          </cell>
          <cell r="B202" t="str">
            <v>‎1097U147-001‏</v>
          </cell>
          <cell r="C202" t="str">
            <v>S-BAND DPS LS F/ASSY</v>
          </cell>
          <cell r="D202" t="str">
            <v>EA</v>
          </cell>
          <cell r="E202" t="str">
            <v>MEME</v>
          </cell>
          <cell r="F202" t="str">
            <v/>
          </cell>
          <cell r="G202" t="str">
            <v/>
          </cell>
        </row>
        <row r="203">
          <cell r="A203">
            <v>412779594</v>
          </cell>
          <cell r="B203" t="str">
            <v>‎1097U217-001‏</v>
          </cell>
          <cell r="C203" t="str">
            <v>F/ASSY LNA DCA</v>
          </cell>
          <cell r="D203" t="str">
            <v>EA</v>
          </cell>
          <cell r="E203" t="str">
            <v>MEME</v>
          </cell>
          <cell r="F203" t="str">
            <v/>
          </cell>
          <cell r="G203" t="str">
            <v/>
          </cell>
        </row>
        <row r="204">
          <cell r="A204">
            <v>412779595</v>
          </cell>
          <cell r="B204" t="str">
            <v>‎1097U219-001‏</v>
          </cell>
          <cell r="C204" t="str">
            <v>F/ASSY PH/SH</v>
          </cell>
          <cell r="D204" t="str">
            <v>EA</v>
          </cell>
          <cell r="E204" t="str">
            <v>MEME</v>
          </cell>
          <cell r="F204" t="str">
            <v/>
          </cell>
          <cell r="G204" t="str">
            <v/>
          </cell>
        </row>
        <row r="205">
          <cell r="A205">
            <v>412830309</v>
          </cell>
          <cell r="B205" t="str">
            <v>‎JCM3100T3500VM5RC-ASC‏</v>
          </cell>
          <cell r="C205" t="str">
            <v>CIRCULATOR SMT</v>
          </cell>
          <cell r="D205" t="str">
            <v>EA</v>
          </cell>
          <cell r="E205" t="str">
            <v>MEMW</v>
          </cell>
          <cell r="F205" t="str">
            <v>CM952</v>
          </cell>
          <cell r="G205" t="str">
            <v>JQL  ELECTRONICS</v>
          </cell>
        </row>
        <row r="206">
          <cell r="A206">
            <v>412830310</v>
          </cell>
          <cell r="B206" t="str">
            <v>‎JCM3100T3500VM5R-ASC‏</v>
          </cell>
          <cell r="C206" t="str">
            <v>CIRCULATOR SMT</v>
          </cell>
          <cell r="D206" t="str">
            <v>EA</v>
          </cell>
          <cell r="E206" t="str">
            <v>MEMW</v>
          </cell>
          <cell r="F206" t="str">
            <v>CM952</v>
          </cell>
          <cell r="G206" t="str">
            <v>JQL  ELECTRONICS</v>
          </cell>
        </row>
        <row r="207">
          <cell r="A207">
            <v>413012036</v>
          </cell>
          <cell r="B207" t="str">
            <v>‎CRCW060353K6FKEA‏</v>
          </cell>
          <cell r="C207" t="str">
            <v>CHIP RESIS 53.6KOHM 1% .1W T&amp;R</v>
          </cell>
          <cell r="D207" t="str">
            <v>EA</v>
          </cell>
          <cell r="E207" t="str">
            <v>MECP</v>
          </cell>
          <cell r="F207" t="str">
            <v>C5679</v>
          </cell>
          <cell r="G207" t="str">
            <v>VISHAY RESISTIVE SYSTEMS</v>
          </cell>
        </row>
        <row r="208">
          <cell r="A208">
            <v>413047332</v>
          </cell>
          <cell r="B208" t="str">
            <v>‎MADP-011104-TR0500‏</v>
          </cell>
          <cell r="C208" t="str">
            <v>PIN DIODE HIGH POWER 50MHZ-4GHZ T&amp;R</v>
          </cell>
          <cell r="D208" t="str">
            <v>EA</v>
          </cell>
          <cell r="E208" t="str">
            <v>MEMW</v>
          </cell>
          <cell r="F208" t="str">
            <v>CP867</v>
          </cell>
          <cell r="G208" t="str">
            <v>M/A-COM TECHNOLOGY SOLUTIONS</v>
          </cell>
        </row>
        <row r="209">
          <cell r="A209">
            <v>413256946</v>
          </cell>
          <cell r="B209" t="str">
            <v>‎SMMBT2222ALT1G‏</v>
          </cell>
          <cell r="C209" t="str">
            <v>TRANSISTOR NPN T&amp;R</v>
          </cell>
          <cell r="D209" t="str">
            <v>EA</v>
          </cell>
          <cell r="E209" t="str">
            <v>MESC</v>
          </cell>
          <cell r="F209" t="str">
            <v>CC395</v>
          </cell>
          <cell r="G209" t="str">
            <v>ON SEMICONDUCTOR</v>
          </cell>
        </row>
        <row r="210">
          <cell r="A210">
            <v>414137917</v>
          </cell>
          <cell r="B210" t="str">
            <v>‎CRCW060354R9FKEA‏</v>
          </cell>
          <cell r="C210" t="str">
            <v>CHIP RESIS 54.9 OHM 1% .1W T&amp;R</v>
          </cell>
          <cell r="D210" t="str">
            <v>EA</v>
          </cell>
          <cell r="E210" t="str">
            <v>MECP</v>
          </cell>
          <cell r="F210" t="str">
            <v>C5679</v>
          </cell>
          <cell r="G210" t="str">
            <v>VISHAY RESISTIVE SYSTEMS</v>
          </cell>
        </row>
        <row r="211">
          <cell r="A211">
            <v>414202262</v>
          </cell>
          <cell r="B211" t="str">
            <v>‎0805ZC106KAT2A‏</v>
          </cell>
          <cell r="C211" t="str">
            <v>CHIP CAP 10UF 10% 10V X7R T&amp;R</v>
          </cell>
          <cell r="D211" t="str">
            <v>EA</v>
          </cell>
          <cell r="E211" t="str">
            <v>MECP</v>
          </cell>
          <cell r="F211" t="str">
            <v>C1226</v>
          </cell>
          <cell r="G211" t="str">
            <v>AVX</v>
          </cell>
        </row>
        <row r="212">
          <cell r="A212">
            <v>414282400</v>
          </cell>
          <cell r="B212" t="str">
            <v>‎ADN4650BRSZ-RL7‏</v>
          </cell>
          <cell r="C212" t="str">
            <v>IC DUAL CHANNEL LVDS ISOLATOR T&amp;R</v>
          </cell>
          <cell r="D212" t="str">
            <v>EA</v>
          </cell>
          <cell r="E212" t="str">
            <v>MEIC</v>
          </cell>
          <cell r="F212" t="str">
            <v>CH237</v>
          </cell>
          <cell r="G212" t="str">
            <v>ANALOG DEVICES</v>
          </cell>
        </row>
        <row r="213">
          <cell r="A213">
            <v>414338971</v>
          </cell>
          <cell r="B213" t="str">
            <v>‎1094N782-003‏</v>
          </cell>
          <cell r="C213" t="str">
            <v>PC BLANK MASTER DWG. MMR-40 Z5</v>
          </cell>
          <cell r="D213" t="str">
            <v>EA</v>
          </cell>
          <cell r="E213" t="str">
            <v>MECB</v>
          </cell>
          <cell r="F213" t="str">
            <v/>
          </cell>
          <cell r="G213" t="str">
            <v/>
          </cell>
        </row>
        <row r="214">
          <cell r="A214">
            <v>415416207</v>
          </cell>
          <cell r="B214" t="str">
            <v>‎ATC600S4R7BW250XTV‏</v>
          </cell>
          <cell r="C214" t="str">
            <v>CAP. RF, 4.7PF, 250V, LOW ESR, HIGH Q,</v>
          </cell>
          <cell r="D214" t="str">
            <v>EA</v>
          </cell>
          <cell r="E214" t="str">
            <v>MECP</v>
          </cell>
          <cell r="F214" t="str">
            <v>C1410</v>
          </cell>
          <cell r="G214" t="str">
            <v>AMERICAN TECHNICAL CERAMICS DIV. OF</v>
          </cell>
        </row>
        <row r="215">
          <cell r="A215">
            <v>415607915</v>
          </cell>
          <cell r="B215" t="str">
            <v>‎1094N769-001‏</v>
          </cell>
          <cell r="C215" t="str">
            <v>DTRM ABSORBER</v>
          </cell>
          <cell r="D215" t="str">
            <v>EA</v>
          </cell>
          <cell r="E215" t="str">
            <v>MHFS</v>
          </cell>
          <cell r="F215" t="str">
            <v/>
          </cell>
          <cell r="G215" t="str">
            <v/>
          </cell>
        </row>
        <row r="216">
          <cell r="A216">
            <v>415630145</v>
          </cell>
          <cell r="B216" t="str">
            <v>‎1094N791-002‏</v>
          </cell>
          <cell r="C216" t="str">
            <v>DTRM CAPACITOR BANK CARD BRACKET</v>
          </cell>
          <cell r="D216" t="str">
            <v>EA</v>
          </cell>
          <cell r="E216" t="str">
            <v>MSPP</v>
          </cell>
          <cell r="F216" t="str">
            <v/>
          </cell>
          <cell r="G216" t="str">
            <v/>
          </cell>
        </row>
        <row r="217">
          <cell r="A217">
            <v>415645120</v>
          </cell>
          <cell r="B217" t="str">
            <v>‎1093N746-001‏</v>
          </cell>
          <cell r="C217" t="str">
            <v>INSIDE COVER ASSY</v>
          </cell>
          <cell r="D217" t="str">
            <v>EA</v>
          </cell>
          <cell r="E217" t="str">
            <v>MSPP</v>
          </cell>
          <cell r="F217" t="str">
            <v/>
          </cell>
          <cell r="G217" t="str">
            <v/>
          </cell>
        </row>
        <row r="218">
          <cell r="A218">
            <v>415942201</v>
          </cell>
          <cell r="B218" t="str">
            <v>‎1094N790-003‏</v>
          </cell>
          <cell r="C218" t="str">
            <v>PC ASSY CONTROLLER 400</v>
          </cell>
          <cell r="D218" t="str">
            <v>EA</v>
          </cell>
          <cell r="E218" t="str">
            <v>MEHK</v>
          </cell>
          <cell r="F218" t="str">
            <v/>
          </cell>
          <cell r="G218" t="str">
            <v/>
          </cell>
        </row>
        <row r="219">
          <cell r="A219">
            <v>416606164</v>
          </cell>
          <cell r="B219" t="str">
            <v>‎1094Y026-001‏</v>
          </cell>
          <cell r="C219" t="str">
            <v>IND SPACER</v>
          </cell>
          <cell r="D219" t="str">
            <v>EA</v>
          </cell>
          <cell r="E219" t="str">
            <v>MSPP</v>
          </cell>
          <cell r="F219" t="str">
            <v/>
          </cell>
          <cell r="G219" t="str">
            <v/>
          </cell>
        </row>
        <row r="220">
          <cell r="A220">
            <v>417049490</v>
          </cell>
          <cell r="B220" t="str">
            <v>‎GRM155R71C104KA88D‏</v>
          </cell>
          <cell r="C220" t="str">
            <v>CHIP CAP 0.1UF 10% 16V X7R T&amp;R</v>
          </cell>
          <cell r="D220" t="str">
            <v>EA</v>
          </cell>
          <cell r="E220" t="str">
            <v>MECP</v>
          </cell>
          <cell r="F220" t="str">
            <v>CB264</v>
          </cell>
          <cell r="G220" t="str">
            <v>MURATA MANUFACTURING CO. LTD</v>
          </cell>
        </row>
        <row r="221">
          <cell r="A221">
            <v>417083200</v>
          </cell>
          <cell r="B221" t="str">
            <v>‎1093N721-001‏</v>
          </cell>
          <cell r="C221" t="str">
            <v>COVER</v>
          </cell>
          <cell r="D221" t="str">
            <v>EA</v>
          </cell>
          <cell r="E221" t="str">
            <v>MSPP</v>
          </cell>
          <cell r="F221" t="str">
            <v/>
          </cell>
          <cell r="G221" t="str">
            <v/>
          </cell>
        </row>
        <row r="222">
          <cell r="A222">
            <v>417531783</v>
          </cell>
          <cell r="B222" t="str">
            <v>‎293D476X0010B2TE3‏</v>
          </cell>
          <cell r="C222" t="str">
            <v>CHIP CAP 47UF 20% 10V TANTAL T&amp;R</v>
          </cell>
          <cell r="D222" t="str">
            <v>EA</v>
          </cell>
          <cell r="E222" t="str">
            <v>MECP</v>
          </cell>
          <cell r="F222" t="str">
            <v>CS405</v>
          </cell>
          <cell r="G222" t="str">
            <v>VISHAY EUROPE SALE GMBH</v>
          </cell>
        </row>
        <row r="223">
          <cell r="A223">
            <v>417531784</v>
          </cell>
          <cell r="B223" t="str">
            <v>‎293D475X9016A2TE3‏</v>
          </cell>
          <cell r="C223" t="str">
            <v>CHIP CAP 4.7UF 10% 16V TANTAL T&amp;R</v>
          </cell>
          <cell r="D223" t="str">
            <v>EA</v>
          </cell>
          <cell r="E223" t="str">
            <v>MECP</v>
          </cell>
          <cell r="F223" t="str">
            <v>CS405</v>
          </cell>
          <cell r="G223" t="str">
            <v>VISHAY EUROPE SALE GMBH</v>
          </cell>
        </row>
        <row r="224">
          <cell r="A224">
            <v>417531785</v>
          </cell>
          <cell r="B224" t="str">
            <v>‎T55B107M6R3C0040‏</v>
          </cell>
          <cell r="C224" t="str">
            <v>CHIP CAP TANT TA2O5 100UF 6.3VDC 20% T&amp;R</v>
          </cell>
          <cell r="D224" t="str">
            <v>EA</v>
          </cell>
          <cell r="E224" t="str">
            <v>MECP</v>
          </cell>
          <cell r="F224" t="str">
            <v>CS405</v>
          </cell>
          <cell r="G224" t="str">
            <v>VISHAY EUROPE SALE GMBH</v>
          </cell>
        </row>
        <row r="225">
          <cell r="A225">
            <v>417679932</v>
          </cell>
          <cell r="B225" t="str">
            <v>‎1094N773-003‏</v>
          </cell>
          <cell r="C225" t="str">
            <v>INSIDE COVER</v>
          </cell>
          <cell r="D225" t="str">
            <v>EA</v>
          </cell>
          <cell r="E225" t="str">
            <v>MSPP</v>
          </cell>
          <cell r="F225" t="str">
            <v/>
          </cell>
          <cell r="G225" t="str">
            <v/>
          </cell>
        </row>
        <row r="226">
          <cell r="A226">
            <v>417983111</v>
          </cell>
          <cell r="B226" t="str">
            <v>‎CL05C4R7CB5NNNC‏</v>
          </cell>
          <cell r="C226" t="str">
            <v>CHIP CAP 4.7PF 10% 50V C0G T&amp;R</v>
          </cell>
          <cell r="D226" t="str">
            <v>EA</v>
          </cell>
          <cell r="E226" t="str">
            <v>MECP</v>
          </cell>
          <cell r="F226" t="str">
            <v>C7044</v>
          </cell>
          <cell r="G226" t="str">
            <v>SAMSUNG</v>
          </cell>
        </row>
        <row r="227">
          <cell r="A227">
            <v>417983113</v>
          </cell>
          <cell r="B227" t="str">
            <v>‎CL05B682KB5NNNC‏</v>
          </cell>
          <cell r="C227" t="str">
            <v>CHIP CAP 6800PF 10% 25V X7R T&amp;R</v>
          </cell>
          <cell r="D227" t="str">
            <v>EA</v>
          </cell>
          <cell r="E227" t="str">
            <v>MECP</v>
          </cell>
          <cell r="F227" t="str">
            <v>C7044</v>
          </cell>
          <cell r="G227" t="str">
            <v>SAMSUNG</v>
          </cell>
        </row>
        <row r="228">
          <cell r="A228">
            <v>417983116</v>
          </cell>
          <cell r="B228" t="str">
            <v>‎CL10C101JB8NNNC‏</v>
          </cell>
          <cell r="C228" t="str">
            <v>CHIP CAP 100PF 5 PER. 50VOLT COG TR</v>
          </cell>
          <cell r="D228" t="str">
            <v>EA</v>
          </cell>
          <cell r="E228" t="str">
            <v>MECP</v>
          </cell>
          <cell r="F228" t="str">
            <v>C7044</v>
          </cell>
          <cell r="G228" t="str">
            <v>SAMSUNG</v>
          </cell>
        </row>
        <row r="229">
          <cell r="A229">
            <v>417983117</v>
          </cell>
          <cell r="B229" t="str">
            <v>‎CL10B102KD8NNNC‏</v>
          </cell>
          <cell r="C229" t="str">
            <v>CHIP CAP 1000PF 10% 200V X7R T&amp;R</v>
          </cell>
          <cell r="D229" t="str">
            <v>EA</v>
          </cell>
          <cell r="E229" t="str">
            <v>MECP</v>
          </cell>
          <cell r="F229" t="str">
            <v>C7044</v>
          </cell>
          <cell r="G229" t="str">
            <v>SAMSUNG</v>
          </cell>
        </row>
        <row r="230">
          <cell r="A230">
            <v>417983120</v>
          </cell>
          <cell r="B230" t="str">
            <v>‎CL10B104KO8NNNC‏</v>
          </cell>
          <cell r="C230" t="str">
            <v>CHIP CAP .1UF 10% 16V X7R T&amp;R</v>
          </cell>
          <cell r="D230" t="str">
            <v>EA</v>
          </cell>
          <cell r="E230" t="str">
            <v>MECP</v>
          </cell>
          <cell r="F230" t="str">
            <v>C7044</v>
          </cell>
          <cell r="G230" t="str">
            <v>SAMSUNG</v>
          </cell>
        </row>
        <row r="231">
          <cell r="A231">
            <v>417983123</v>
          </cell>
          <cell r="B231" t="str">
            <v>‎CL10B153KB8NNNC‏</v>
          </cell>
          <cell r="C231" t="str">
            <v>CHIP CAP 0.015UF 10% 50V X7R T&amp;R</v>
          </cell>
          <cell r="D231" t="str">
            <v>EA</v>
          </cell>
          <cell r="E231" t="str">
            <v>MECP</v>
          </cell>
          <cell r="F231" t="str">
            <v>C7044</v>
          </cell>
          <cell r="G231" t="str">
            <v>SAMSUNG</v>
          </cell>
        </row>
        <row r="232">
          <cell r="A232">
            <v>417983133</v>
          </cell>
          <cell r="B232" t="str">
            <v>‎CL10B472KC8NNNC‏</v>
          </cell>
          <cell r="C232" t="str">
            <v>CHIP CAP 4700PF 10% 100V T&amp;R</v>
          </cell>
          <cell r="D232" t="str">
            <v>EA</v>
          </cell>
          <cell r="E232" t="str">
            <v>MECP</v>
          </cell>
          <cell r="F232" t="str">
            <v>C7044</v>
          </cell>
          <cell r="G232" t="str">
            <v>SAMSUNG</v>
          </cell>
        </row>
        <row r="233">
          <cell r="A233">
            <v>417983138</v>
          </cell>
          <cell r="B233" t="str">
            <v>‎CL31B105KAHNNNE‏</v>
          </cell>
          <cell r="C233" t="str">
            <v>CHIP CAP 1UF 10% 25V X7R T&amp;R</v>
          </cell>
          <cell r="D233" t="str">
            <v>EA</v>
          </cell>
          <cell r="E233" t="str">
            <v>MECP</v>
          </cell>
          <cell r="F233" t="str">
            <v>C7044</v>
          </cell>
          <cell r="G233" t="str">
            <v>SAMSUNG</v>
          </cell>
        </row>
        <row r="234">
          <cell r="A234">
            <v>417983139</v>
          </cell>
          <cell r="B234" t="str">
            <v>‎CL31B106KOHNNNE‏</v>
          </cell>
          <cell r="C234" t="str">
            <v>CHIP CAP 10UF 10% 16V X7R T&amp;R</v>
          </cell>
          <cell r="D234" t="str">
            <v>EA</v>
          </cell>
          <cell r="E234" t="str">
            <v>MECP</v>
          </cell>
          <cell r="F234" t="str">
            <v>C7044</v>
          </cell>
          <cell r="G234" t="str">
            <v>SAMSUNG</v>
          </cell>
        </row>
        <row r="235">
          <cell r="A235">
            <v>417983140</v>
          </cell>
          <cell r="B235" t="str">
            <v>‎CL31B225KOHNNNE‏</v>
          </cell>
          <cell r="C235" t="str">
            <v>CHIP CAP 2.2UF 10% 16V X7R T&amp;R</v>
          </cell>
          <cell r="D235" t="str">
            <v>EA</v>
          </cell>
          <cell r="E235" t="str">
            <v>MECP</v>
          </cell>
          <cell r="F235" t="str">
            <v>C7044</v>
          </cell>
          <cell r="G235" t="str">
            <v>SAMSUNG</v>
          </cell>
        </row>
        <row r="236">
          <cell r="A236">
            <v>417983168</v>
          </cell>
          <cell r="B236" t="str">
            <v>‎100A4R7BT150XTV‏</v>
          </cell>
          <cell r="C236" t="str">
            <v>CHIP CAP 4.7PF +/-0.1PF 150VOLT 55X5</v>
          </cell>
          <cell r="D236" t="str">
            <v>EA</v>
          </cell>
          <cell r="E236" t="str">
            <v>MECP</v>
          </cell>
          <cell r="F236" t="str">
            <v>C4969</v>
          </cell>
          <cell r="G236" t="str">
            <v>AVX KYOCERA LTD</v>
          </cell>
        </row>
        <row r="237">
          <cell r="A237">
            <v>417983177</v>
          </cell>
          <cell r="B237" t="str">
            <v>‎293D106X9016A2TE3‏</v>
          </cell>
          <cell r="C237" t="str">
            <v>CHIP CAP 10UF 10% 16V TANTAL T&amp;R</v>
          </cell>
          <cell r="D237" t="str">
            <v>EA</v>
          </cell>
          <cell r="E237" t="str">
            <v>MECP</v>
          </cell>
          <cell r="F237" t="str">
            <v>C9525</v>
          </cell>
          <cell r="G237" t="str">
            <v>VISHAY SPRAGUE</v>
          </cell>
        </row>
        <row r="238">
          <cell r="A238">
            <v>417983248</v>
          </cell>
          <cell r="B238" t="str">
            <v>‎CRCW251275R0FKEG‏</v>
          </cell>
          <cell r="C238" t="str">
            <v>CHIP RESIS 75 OHM 5% 1W T&amp;R</v>
          </cell>
          <cell r="D238" t="str">
            <v>EA</v>
          </cell>
          <cell r="E238" t="str">
            <v>MECP</v>
          </cell>
          <cell r="F238" t="str">
            <v>C5679</v>
          </cell>
          <cell r="G238" t="str">
            <v>VISHAY RESISTIVE SYSTEMS</v>
          </cell>
        </row>
        <row r="239">
          <cell r="A239">
            <v>418094626</v>
          </cell>
          <cell r="B239" t="str">
            <v>‎VJ1210Y334KXBAT‏</v>
          </cell>
          <cell r="C239" t="str">
            <v>CHIP CAP 0.33UF 10% 100V X7R T&amp;R</v>
          </cell>
          <cell r="D239" t="str">
            <v>EA</v>
          </cell>
          <cell r="E239" t="str">
            <v>MECP</v>
          </cell>
          <cell r="F239" t="str">
            <v>CS405</v>
          </cell>
          <cell r="G239" t="str">
            <v>VISHAY EUROPE SALE GMBH</v>
          </cell>
        </row>
        <row r="240">
          <cell r="A240">
            <v>418238655</v>
          </cell>
          <cell r="B240" t="str">
            <v>‎1094Y038-001‏</v>
          </cell>
          <cell r="C240" t="str">
            <v>CAPASITORS CALIBRATION KIT</v>
          </cell>
          <cell r="D240" t="str">
            <v>EA</v>
          </cell>
          <cell r="E240" t="str">
            <v>MEMW</v>
          </cell>
          <cell r="F240" t="str">
            <v/>
          </cell>
          <cell r="G240" t="str">
            <v/>
          </cell>
        </row>
        <row r="241">
          <cell r="A241">
            <v>418270653</v>
          </cell>
          <cell r="B241" t="str">
            <v>‎600L1R0AW200T‏</v>
          </cell>
          <cell r="C241" t="str">
            <v>CHIP CAP 1PF 200VOLT 5%</v>
          </cell>
          <cell r="D241" t="str">
            <v>EA</v>
          </cell>
          <cell r="E241" t="str">
            <v>MECP</v>
          </cell>
          <cell r="F241" t="str">
            <v>C1410</v>
          </cell>
          <cell r="G241" t="str">
            <v>AMERICAN TECHNICAL CERAMICS DIV. OF</v>
          </cell>
        </row>
        <row r="242">
          <cell r="A242">
            <v>418270654</v>
          </cell>
          <cell r="B242" t="str">
            <v>‎600L4R7BW200T‏</v>
          </cell>
          <cell r="C242" t="str">
            <v>CHIP CAP 4.7PF 200VOLT 2.1277%</v>
          </cell>
          <cell r="D242" t="str">
            <v>EA</v>
          </cell>
          <cell r="E242" t="str">
            <v>MECP</v>
          </cell>
          <cell r="F242" t="str">
            <v>C1410</v>
          </cell>
          <cell r="G242" t="str">
            <v>AMERICAN TECHNICAL CERAMICS DIV. OF</v>
          </cell>
        </row>
        <row r="243">
          <cell r="A243">
            <v>418707643</v>
          </cell>
          <cell r="B243" t="str">
            <v>‎1094Y030-002‏</v>
          </cell>
          <cell r="C243" t="str">
            <v>PC ASSY PA CR</v>
          </cell>
          <cell r="D243" t="str">
            <v>EA</v>
          </cell>
          <cell r="E243" t="str">
            <v>MEHK</v>
          </cell>
          <cell r="F243" t="str">
            <v/>
          </cell>
          <cell r="G243" t="str">
            <v/>
          </cell>
        </row>
        <row r="244">
          <cell r="A244">
            <v>418735800</v>
          </cell>
          <cell r="B244" t="str">
            <v>‎1094N750-003‏</v>
          </cell>
          <cell r="C244" t="str">
            <v>DTRM F/ASSY</v>
          </cell>
          <cell r="D244" t="str">
            <v>EA</v>
          </cell>
          <cell r="E244" t="str">
            <v>MEMW</v>
          </cell>
          <cell r="F244" t="str">
            <v/>
          </cell>
          <cell r="G244" t="str">
            <v/>
          </cell>
        </row>
        <row r="245">
          <cell r="A245">
            <v>421088944</v>
          </cell>
          <cell r="B245" t="str">
            <v>‎LM5113SDE/NOPB‏</v>
          </cell>
          <cell r="C245" t="str">
            <v>IC GATE DRIVER 100V 1.2A/5A T&amp;R</v>
          </cell>
          <cell r="D245" t="str">
            <v>EA</v>
          </cell>
          <cell r="E245" t="str">
            <v>MEIC</v>
          </cell>
          <cell r="F245" t="str">
            <v>C4124</v>
          </cell>
          <cell r="G245" t="str">
            <v>TEXAS INSTRUMENTS INC</v>
          </cell>
        </row>
        <row r="246">
          <cell r="A246">
            <v>421264840</v>
          </cell>
          <cell r="B246" t="str">
            <v>‎SMF45A‏</v>
          </cell>
          <cell r="C246" t="str">
            <v>DIODE TVS 200W T&amp;R</v>
          </cell>
          <cell r="D246" t="str">
            <v>EA</v>
          </cell>
          <cell r="E246" t="str">
            <v>MESC</v>
          </cell>
          <cell r="F246" t="str">
            <v>CJ877</v>
          </cell>
          <cell r="G246" t="str">
            <v>LITTELFUSE INC</v>
          </cell>
        </row>
        <row r="247">
          <cell r="A247">
            <v>421326248</v>
          </cell>
          <cell r="B247" t="str">
            <v>‎1094T039-002‏</v>
          </cell>
          <cell r="C247" t="str">
            <v>NAMEPLATE DTRM</v>
          </cell>
          <cell r="D247" t="str">
            <v>EA</v>
          </cell>
          <cell r="E247" t="str">
            <v>MHPL</v>
          </cell>
          <cell r="F247" t="str">
            <v/>
          </cell>
          <cell r="G247" t="str">
            <v/>
          </cell>
        </row>
        <row r="248">
          <cell r="A248">
            <v>421375236</v>
          </cell>
          <cell r="B248" t="str">
            <v>‎5CEFA4U19I7‏</v>
          </cell>
          <cell r="C248" t="str">
            <v>IC CYCLONE V FPGA</v>
          </cell>
          <cell r="D248" t="str">
            <v>EA</v>
          </cell>
          <cell r="E248" t="str">
            <v>MEIC</v>
          </cell>
          <cell r="F248" t="str">
            <v>C5705</v>
          </cell>
          <cell r="G248" t="str">
            <v>Intel Prgrammable SolutionsGroup(AL</v>
          </cell>
        </row>
        <row r="249">
          <cell r="A249">
            <v>421436480</v>
          </cell>
          <cell r="B249" t="str">
            <v>‎1094N762-001‏</v>
          </cell>
          <cell r="C249" t="str">
            <v>RF GASKET</v>
          </cell>
          <cell r="D249" t="str">
            <v>EA</v>
          </cell>
          <cell r="E249" t="str">
            <v>MEMW</v>
          </cell>
          <cell r="F249" t="str">
            <v/>
          </cell>
          <cell r="G249" t="str">
            <v/>
          </cell>
        </row>
        <row r="250">
          <cell r="A250">
            <v>421530806</v>
          </cell>
          <cell r="B250" t="str">
            <v>‎1094T030-002‏</v>
          </cell>
          <cell r="C250" t="str">
            <v>DRM F/ASSY</v>
          </cell>
          <cell r="D250" t="str">
            <v>EA</v>
          </cell>
          <cell r="E250" t="str">
            <v>MEMW</v>
          </cell>
          <cell r="F250" t="str">
            <v/>
          </cell>
          <cell r="G250" t="str">
            <v/>
          </cell>
        </row>
        <row r="251">
          <cell r="A251">
            <v>421575553</v>
          </cell>
          <cell r="B251" t="str">
            <v>‎TQL9092‏</v>
          </cell>
          <cell r="C251" t="str">
            <v>ULTRA LOW NOISE FLAT GAIN LNA 0.6-4.2GHZ</v>
          </cell>
          <cell r="D251" t="str">
            <v>EA</v>
          </cell>
          <cell r="E251" t="str">
            <v>MEMW</v>
          </cell>
          <cell r="F251" t="str">
            <v>CS551</v>
          </cell>
          <cell r="G251" t="str">
            <v>QORVO US, INC</v>
          </cell>
        </row>
        <row r="252">
          <cell r="A252">
            <v>422206914</v>
          </cell>
          <cell r="B252" t="str">
            <v>‎C0603C123K4RACTU‏</v>
          </cell>
          <cell r="C252" t="str">
            <v>CHIP CAP 0.012UF 10% 16V X7R T&amp;R</v>
          </cell>
          <cell r="D252" t="str">
            <v>EA</v>
          </cell>
          <cell r="E252" t="str">
            <v>MECP</v>
          </cell>
          <cell r="F252" t="str">
            <v>C6545</v>
          </cell>
          <cell r="G252" t="str">
            <v>KEMET ELECTRONICS S A</v>
          </cell>
        </row>
        <row r="253">
          <cell r="A253">
            <v>422348364</v>
          </cell>
          <cell r="B253" t="str">
            <v>‎1094T037-001‏</v>
          </cell>
          <cell r="C253" t="str">
            <v>PC ASSY DRM CONTROLER NG 400</v>
          </cell>
          <cell r="D253" t="str">
            <v>EA</v>
          </cell>
          <cell r="E253" t="str">
            <v>MEHK</v>
          </cell>
          <cell r="F253" t="str">
            <v/>
          </cell>
          <cell r="G253" t="str">
            <v/>
          </cell>
        </row>
        <row r="254">
          <cell r="A254">
            <v>425577966</v>
          </cell>
          <cell r="B254" t="str">
            <v>‎TBJV227K016LSLC0H24‏</v>
          </cell>
          <cell r="C254" t="str">
            <v>CHIP CAP TANTALUM 220UF 10% 16V 2924 T&amp;R</v>
          </cell>
          <cell r="D254" t="str">
            <v>EA</v>
          </cell>
          <cell r="E254" t="str">
            <v>MECP</v>
          </cell>
          <cell r="F254" t="str">
            <v>C1226</v>
          </cell>
          <cell r="G254" t="str">
            <v>AVX</v>
          </cell>
        </row>
        <row r="255">
          <cell r="A255">
            <v>425994123</v>
          </cell>
          <cell r="B255" t="str">
            <v>‎CRCW0402732RFKED‏</v>
          </cell>
          <cell r="C255" t="str">
            <v>CHIP RESIS 732 OHM 1% .063W T&amp;R</v>
          </cell>
          <cell r="D255" t="str">
            <v>EA</v>
          </cell>
          <cell r="E255" t="str">
            <v>MECP</v>
          </cell>
          <cell r="F255" t="str">
            <v>C5679</v>
          </cell>
          <cell r="G255" t="str">
            <v>VISHAY RESISTIVE SYSTEMS</v>
          </cell>
        </row>
        <row r="256">
          <cell r="A256">
            <v>512305368</v>
          </cell>
          <cell r="B256" t="str">
            <v>‎MS51957-15‏</v>
          </cell>
          <cell r="C256" t="str">
            <v>SCREW,MACHINE,PAN HEAD,CRUCIFORM RECESS</v>
          </cell>
          <cell r="D256" t="str">
            <v>EA</v>
          </cell>
          <cell r="E256" t="str">
            <v>MHMT</v>
          </cell>
          <cell r="F256" t="str">
            <v>CL119</v>
          </cell>
          <cell r="G256" t="str">
            <v>MS MILITARY STANDARDS</v>
          </cell>
        </row>
        <row r="257">
          <cell r="A257">
            <v>512306754</v>
          </cell>
          <cell r="B257" t="str">
            <v>‎MS16995-1‏</v>
          </cell>
          <cell r="C257" t="str">
            <v>SCREW,CAP HEAD,HEX SOCKET RECESS,FULL SH</v>
          </cell>
          <cell r="D257" t="str">
            <v>EA</v>
          </cell>
          <cell r="E257" t="str">
            <v>MHMT</v>
          </cell>
          <cell r="F257" t="str">
            <v>CL120</v>
          </cell>
          <cell r="G257" t="str">
            <v>NAS/NASM NATIONAL AEROSPACE STD</v>
          </cell>
        </row>
        <row r="258">
          <cell r="A258">
            <v>512306770</v>
          </cell>
          <cell r="B258" t="str">
            <v>‎MS16995-3‏</v>
          </cell>
          <cell r="C258" t="str">
            <v>SCREW,CAP HEAD,HEX SOCKET RECESS,FULL SH</v>
          </cell>
          <cell r="D258" t="str">
            <v>EA</v>
          </cell>
          <cell r="E258" t="str">
            <v>MHMT</v>
          </cell>
          <cell r="F258" t="str">
            <v>CL120</v>
          </cell>
          <cell r="G258" t="str">
            <v>NAS/NASM NATIONAL AEROSPACE STD</v>
          </cell>
        </row>
        <row r="259">
          <cell r="A259">
            <v>512307984</v>
          </cell>
          <cell r="B259" t="str">
            <v>‎MS51957-5‏</v>
          </cell>
          <cell r="C259" t="str">
            <v>SCREW MACHINE PAN HEAD CRUCIFORM RECESS</v>
          </cell>
          <cell r="D259" t="str">
            <v>EA</v>
          </cell>
          <cell r="E259" t="str">
            <v>MHMT</v>
          </cell>
          <cell r="F259" t="str">
            <v>CL119</v>
          </cell>
          <cell r="G259" t="str">
            <v>MS MILITARY STANDARDS</v>
          </cell>
        </row>
        <row r="260">
          <cell r="A260">
            <v>512308669</v>
          </cell>
          <cell r="B260" t="str">
            <v>‎MS51957-3‏</v>
          </cell>
          <cell r="C260" t="str">
            <v>SCREW,MACHINE,PAN HEAD,CRUCIFORM RECESS</v>
          </cell>
          <cell r="D260" t="str">
            <v>EA</v>
          </cell>
          <cell r="E260" t="str">
            <v>MHMT</v>
          </cell>
          <cell r="F260" t="str">
            <v>CL119</v>
          </cell>
          <cell r="G260" t="str">
            <v>MS MILITARY STANDARDS</v>
          </cell>
        </row>
        <row r="261">
          <cell r="A261">
            <v>512308677</v>
          </cell>
          <cell r="B261" t="str">
            <v>‎MS51957-4‏</v>
          </cell>
          <cell r="C261" t="str">
            <v>SCREW,MACHINE,PAN HEAD,CRUCIFORM RECESS</v>
          </cell>
          <cell r="D261" t="str">
            <v>EA</v>
          </cell>
          <cell r="E261" t="str">
            <v>MHMT</v>
          </cell>
          <cell r="F261" t="str">
            <v>CL119</v>
          </cell>
          <cell r="G261" t="str">
            <v>MS MILITARY STANDARDS</v>
          </cell>
        </row>
        <row r="262">
          <cell r="A262">
            <v>512310954</v>
          </cell>
          <cell r="B262" t="str">
            <v>‎MS51957-7‏</v>
          </cell>
          <cell r="C262" t="str">
            <v>SCREW,MACHINE,PAN HEAD,CRUCIFORM RECESS</v>
          </cell>
          <cell r="D262" t="str">
            <v>EA</v>
          </cell>
          <cell r="E262" t="str">
            <v>MHMT</v>
          </cell>
          <cell r="F262" t="str">
            <v>CL119</v>
          </cell>
          <cell r="G262" t="str">
            <v>MS MILITARY STANDARDS</v>
          </cell>
        </row>
        <row r="263">
          <cell r="A263">
            <v>512317975</v>
          </cell>
          <cell r="B263" t="str">
            <v>‎MS51957-6‏</v>
          </cell>
          <cell r="C263" t="str">
            <v>SCREW MACHINE PAN HEAD CRUCIFORM RECESS</v>
          </cell>
          <cell r="D263" t="str">
            <v>EA</v>
          </cell>
          <cell r="E263" t="str">
            <v>MHMT</v>
          </cell>
          <cell r="F263" t="str">
            <v>CL119</v>
          </cell>
          <cell r="G263" t="str">
            <v>MS MILITARY STANDARDS</v>
          </cell>
        </row>
        <row r="264">
          <cell r="A264">
            <v>512326521</v>
          </cell>
          <cell r="B264" t="str">
            <v>‎MS51957-141‏</v>
          </cell>
          <cell r="C264" t="str">
            <v>SCREW,MACHINE,PAN HEAD,CRUCIFORM RECESS</v>
          </cell>
          <cell r="D264" t="str">
            <v>EA</v>
          </cell>
          <cell r="E264" t="str">
            <v>MHMT</v>
          </cell>
          <cell r="F264" t="str">
            <v>CL119</v>
          </cell>
          <cell r="G264" t="str">
            <v>MS MILITARY STANDARDS</v>
          </cell>
        </row>
        <row r="265">
          <cell r="A265">
            <v>513206482</v>
          </cell>
          <cell r="B265" t="str">
            <v>‎NAS1291C04M‏</v>
          </cell>
          <cell r="C265" t="str">
            <v>NUT,HEX,FLANGED,SELF-LOCKING,ELLIPTICALL</v>
          </cell>
          <cell r="D265" t="str">
            <v>EA</v>
          </cell>
          <cell r="E265" t="str">
            <v>MHMT</v>
          </cell>
          <cell r="F265" t="str">
            <v>CL120</v>
          </cell>
          <cell r="G265" t="str">
            <v>NAS/NASM NATIONAL AEROSPACE STD</v>
          </cell>
        </row>
        <row r="266">
          <cell r="A266">
            <v>514200518</v>
          </cell>
          <cell r="B266" t="str">
            <v>‎NAS620C6‏</v>
          </cell>
          <cell r="C266" t="str">
            <v>WASHER,FLAT,PLAIN,REDUCED OD, 6 SIZE,.03</v>
          </cell>
          <cell r="D266" t="str">
            <v>EA</v>
          </cell>
          <cell r="E266" t="str">
            <v>MHMW</v>
          </cell>
          <cell r="F266" t="str">
            <v>CL120</v>
          </cell>
          <cell r="G266" t="str">
            <v>NAS/NASM NATIONAL AEROSPACE STD</v>
          </cell>
        </row>
        <row r="267">
          <cell r="A267">
            <v>514200799</v>
          </cell>
          <cell r="B267" t="str">
            <v>‎NAS620C4‏</v>
          </cell>
          <cell r="C267" t="str">
            <v>WASHER,FLAT,PLAIN,REDUCED OD, 4 SIZE,.03</v>
          </cell>
          <cell r="D267" t="str">
            <v>EA</v>
          </cell>
          <cell r="E267" t="str">
            <v>MHMW</v>
          </cell>
          <cell r="F267" t="str">
            <v>CL120</v>
          </cell>
          <cell r="G267" t="str">
            <v>NAS/NASM NATIONAL AEROSPACE STD</v>
          </cell>
        </row>
        <row r="268">
          <cell r="A268">
            <v>514201177</v>
          </cell>
          <cell r="B268" t="str">
            <v>‎NAS620C2‏</v>
          </cell>
          <cell r="C268" t="str">
            <v>WASHER,FLAT,PLAIN,REDUCED OD,#2 SIZE,.01</v>
          </cell>
          <cell r="D268" t="str">
            <v>EA</v>
          </cell>
          <cell r="E268" t="str">
            <v>MHMW</v>
          </cell>
          <cell r="F268" t="str">
            <v>CL120</v>
          </cell>
          <cell r="G268" t="str">
            <v>NAS/NASM NATIONAL AEROSPACE STD</v>
          </cell>
        </row>
        <row r="269">
          <cell r="A269">
            <v>514202720</v>
          </cell>
          <cell r="B269" t="str">
            <v>‎NAS1640-0‏</v>
          </cell>
          <cell r="C269" t="str">
            <v>WASHER,SPRING LOCK,HELICAL,HI-COLLAR, 0</v>
          </cell>
          <cell r="D269" t="str">
            <v>EA</v>
          </cell>
          <cell r="E269" t="str">
            <v>MHMW</v>
          </cell>
          <cell r="F269" t="str">
            <v>CL120</v>
          </cell>
          <cell r="G269" t="str">
            <v>NAS/NASM NATIONAL AEROSPACE STD</v>
          </cell>
        </row>
        <row r="270">
          <cell r="A270">
            <v>514203538</v>
          </cell>
          <cell r="B270" t="str">
            <v>‎NAS1676C2‏</v>
          </cell>
          <cell r="C270" t="str">
            <v>WASHER,SPRING LOCK,HELICAL,HI-COLLAR,#2</v>
          </cell>
          <cell r="D270" t="str">
            <v>EA</v>
          </cell>
          <cell r="E270" t="str">
            <v>MHMW</v>
          </cell>
          <cell r="F270" t="str">
            <v>CL120</v>
          </cell>
          <cell r="G270" t="str">
            <v>NAS/NASM NATIONAL AEROSPACE STD</v>
          </cell>
        </row>
        <row r="271">
          <cell r="A271">
            <v>514204148</v>
          </cell>
          <cell r="B271" t="str">
            <v>‎NAS620-0‏</v>
          </cell>
          <cell r="C271" t="str">
            <v>WASHER,FLAT,PLAIN,REDUCED OD,#0 SIZE,.01</v>
          </cell>
          <cell r="D271" t="str">
            <v>EA</v>
          </cell>
          <cell r="E271" t="str">
            <v>MHMW</v>
          </cell>
          <cell r="F271" t="str">
            <v>CL120</v>
          </cell>
          <cell r="G271" t="str">
            <v>NAS/NASM NATIONAL AEROSPACE STD</v>
          </cell>
        </row>
        <row r="272">
          <cell r="A272">
            <v>514301316</v>
          </cell>
          <cell r="B272" t="str">
            <v>‎MS35338-135‏</v>
          </cell>
          <cell r="C272" t="str">
            <v>WASHER,LOCK,HELICAL SPRING,REGULAR (MEDI</v>
          </cell>
          <cell r="D272" t="str">
            <v>EA</v>
          </cell>
          <cell r="E272" t="str">
            <v>MHMW</v>
          </cell>
          <cell r="F272" t="str">
            <v>CL120</v>
          </cell>
          <cell r="G272" t="str">
            <v>NAS/NASM NATIONAL AEROSPACE STD</v>
          </cell>
        </row>
        <row r="273">
          <cell r="A273">
            <v>514301548</v>
          </cell>
          <cell r="B273" t="str">
            <v>‎MS35338-134‏</v>
          </cell>
          <cell r="C273" t="str">
            <v>WASHER,LOCK,HELICAL SPRING,REGULAR (MEDI</v>
          </cell>
          <cell r="D273" t="str">
            <v>EA</v>
          </cell>
          <cell r="E273" t="str">
            <v>MHMW</v>
          </cell>
          <cell r="F273" t="str">
            <v>CL120</v>
          </cell>
          <cell r="G273" t="str">
            <v>NAS/NASM NATIONAL AEROSPACE STD</v>
          </cell>
        </row>
        <row r="274">
          <cell r="A274">
            <v>521633578</v>
          </cell>
          <cell r="B274" t="str">
            <v>‎NAS662C0R5‏</v>
          </cell>
          <cell r="C274" t="str">
            <v>SCREW,MACHINE,100 DEG. FLUSH HEAD,CRUCIF</v>
          </cell>
          <cell r="D274" t="str">
            <v>EA</v>
          </cell>
          <cell r="E274" t="str">
            <v>MHMT</v>
          </cell>
          <cell r="F274" t="str">
            <v>CL120</v>
          </cell>
          <cell r="G274" t="str">
            <v>NAS/NASM NATIONAL AEROSPACE STD</v>
          </cell>
        </row>
        <row r="275">
          <cell r="A275">
            <v>732350392</v>
          </cell>
          <cell r="B275" t="str">
            <v>‎SS4155 1PT‏</v>
          </cell>
          <cell r="C275" t="str">
            <v>PRIMER FOR RTV SILICONE RUBBER ADHESIVE</v>
          </cell>
          <cell r="D275" t="str">
            <v>PT</v>
          </cell>
          <cell r="E275" t="str">
            <v>MNNA</v>
          </cell>
          <cell r="F275" t="str">
            <v>CB566</v>
          </cell>
          <cell r="G275" t="str">
            <v>MOMENTIVE PERFORMANCE MATERIALS</v>
          </cell>
        </row>
        <row r="276">
          <cell r="A276">
            <v>732400080</v>
          </cell>
          <cell r="B276" t="str">
            <v>‎RTV 167-2.8 FL/OZ‏</v>
          </cell>
          <cell r="C276" t="str">
            <v>SEALANT,SILICONE ADHESIVE,HIGH STRENGTH,</v>
          </cell>
          <cell r="D276" t="str">
            <v>TB</v>
          </cell>
          <cell r="E276" t="str">
            <v>MNNA</v>
          </cell>
          <cell r="F276" t="str">
            <v>CK790</v>
          </cell>
          <cell r="G276" t="str">
            <v>MOMENTIV PERFORMENCE MATERIALS QUAR</v>
          </cell>
        </row>
        <row r="277">
          <cell r="A277">
            <v>732684436</v>
          </cell>
          <cell r="B277" t="str">
            <v>‎LOCTITE 222-50CC‏</v>
          </cell>
          <cell r="C277" t="str">
            <v>SEALING LOCKING ANAEROBIC COMPOUND, SING</v>
          </cell>
          <cell r="D277" t="str">
            <v>BT</v>
          </cell>
          <cell r="E277" t="str">
            <v>MNNA</v>
          </cell>
          <cell r="F277" t="str">
            <v>CD256</v>
          </cell>
          <cell r="G277" t="str">
            <v>HENKEL CORPORATION AEROSPACE GROUP</v>
          </cell>
        </row>
        <row r="278">
          <cell r="A278" t="str">
            <v>D00758469</v>
          </cell>
          <cell r="B278" t="str">
            <v>‎1093H504-001‏</v>
          </cell>
          <cell r="C278" t="str">
            <v>SPECIFICATION FOR  MULTI LAYAR BAND PASS</v>
          </cell>
          <cell r="D278" t="str">
            <v>EA</v>
          </cell>
          <cell r="E278" t="str">
            <v>MEMW</v>
          </cell>
          <cell r="F278" t="str">
            <v/>
          </cell>
          <cell r="G278" t="str">
            <v/>
          </cell>
        </row>
        <row r="279">
          <cell r="A279" t="str">
            <v>N57140642</v>
          </cell>
          <cell r="B279" t="str">
            <v>‎NC7SZ08M5X‏</v>
          </cell>
          <cell r="C279" t="str">
            <v>IC 2-IN AND GATE TAPE&amp;REEL</v>
          </cell>
          <cell r="D279" t="str">
            <v>EA</v>
          </cell>
          <cell r="E279" t="str">
            <v>MEIC</v>
          </cell>
          <cell r="F279" t="str">
            <v>CH133</v>
          </cell>
          <cell r="G279" t="str">
            <v>FAIRCHILD SEMICONDUCTOR</v>
          </cell>
        </row>
        <row r="280">
          <cell r="A280" t="str">
            <v>N57177495</v>
          </cell>
          <cell r="B280" t="str">
            <v>‎NC7SZ04P5X‏</v>
          </cell>
          <cell r="C280" t="str">
            <v>IC DIG INVERTER TAPE &amp; REEL</v>
          </cell>
          <cell r="D280" t="str">
            <v>EA</v>
          </cell>
          <cell r="E280" t="str">
            <v>MEIC</v>
          </cell>
          <cell r="F280" t="str">
            <v>CH133</v>
          </cell>
          <cell r="G280" t="str">
            <v>FAIRCHILD SEMICONDUCTOR</v>
          </cell>
        </row>
        <row r="281">
          <cell r="A281" t="str">
            <v>N62786405</v>
          </cell>
          <cell r="B281" t="str">
            <v>‎BLM31PG500SN1L‏</v>
          </cell>
          <cell r="C281" t="str">
            <v>CHIP FILTER EMI 50-OHM 3.2X1.6MM  T&amp;</v>
          </cell>
          <cell r="D281" t="str">
            <v>EA</v>
          </cell>
          <cell r="E281" t="str">
            <v>MEFL</v>
          </cell>
          <cell r="F281" t="str">
            <v>CB264</v>
          </cell>
          <cell r="G281" t="str">
            <v>MURATA MANUFACTURING CO. LTD</v>
          </cell>
        </row>
        <row r="282">
          <cell r="A282" t="str">
            <v>N74195405</v>
          </cell>
          <cell r="B282" t="str">
            <v>‎ATUM 4/1-0‏</v>
          </cell>
          <cell r="C282" t="str">
            <v>TUBING HEATSHRINK 4:1 4MM BLK</v>
          </cell>
          <cell r="D282" t="str">
            <v>M</v>
          </cell>
          <cell r="E282" t="str">
            <v>MEWR</v>
          </cell>
          <cell r="F282" t="str">
            <v>CQ591</v>
          </cell>
          <cell r="G282" t="str">
            <v>TE CONNECTIVITY</v>
          </cell>
        </row>
        <row r="283">
          <cell r="A283" t="str">
            <v>N75300038</v>
          </cell>
          <cell r="B283" t="str">
            <v>‎55A0111-18-9‏</v>
          </cell>
          <cell r="C283" t="str">
            <v>WIRE,18 AWG,STRANDED,XLETFE INSULATION,C</v>
          </cell>
          <cell r="D283" t="str">
            <v>M</v>
          </cell>
          <cell r="E283" t="str">
            <v>MEWR</v>
          </cell>
          <cell r="F283" t="str">
            <v>CQ591</v>
          </cell>
          <cell r="G283" t="str">
            <v>TE CONNECTIVITY</v>
          </cell>
        </row>
        <row r="284">
          <cell r="A284" t="str">
            <v>N75300608</v>
          </cell>
          <cell r="B284" t="str">
            <v>‎55A0111-18-0‏</v>
          </cell>
          <cell r="C284" t="str">
            <v>WIRE,18 AWG,STRANDED,XLETFE INSULATION,C</v>
          </cell>
          <cell r="D284" t="str">
            <v>M</v>
          </cell>
          <cell r="E284" t="str">
            <v>MEWR</v>
          </cell>
          <cell r="F284" t="str">
            <v>CQ591</v>
          </cell>
          <cell r="G284" t="str">
            <v>TE CONNECTIVITY</v>
          </cell>
        </row>
        <row r="285">
          <cell r="A285" t="str">
            <v>N80407885</v>
          </cell>
          <cell r="B285" t="str">
            <v>‎TS0301W3‏</v>
          </cell>
          <cell r="C285" t="str">
            <v>ATTENUATOR DC-15GHZ 1DB 2WATT 50 OHM</v>
          </cell>
          <cell r="D285" t="str">
            <v>EA</v>
          </cell>
          <cell r="E285" t="str">
            <v>MEMW</v>
          </cell>
          <cell r="F285" t="str">
            <v>CT737</v>
          </cell>
          <cell r="G285" t="str">
            <v>SMITHS INTERCONNECT AMERICAS,</v>
          </cell>
        </row>
        <row r="286">
          <cell r="A286" t="str">
            <v>N80408594</v>
          </cell>
          <cell r="B286" t="str">
            <v>‎TS0302W3‏</v>
          </cell>
          <cell r="C286" t="str">
            <v>ATTENUATOR DC-15GHZ 2DB 2WATT 50 OHM</v>
          </cell>
          <cell r="D286" t="str">
            <v>EA</v>
          </cell>
          <cell r="E286" t="str">
            <v>MEMW</v>
          </cell>
          <cell r="F286" t="str">
            <v>CT737</v>
          </cell>
          <cell r="G286" t="str">
            <v>SMITHS INTERCONNECT AMERICAS,</v>
          </cell>
        </row>
        <row r="287">
          <cell r="A287" t="str">
            <v>N80411176</v>
          </cell>
          <cell r="B287" t="str">
            <v>‎TS0506W3S‏</v>
          </cell>
          <cell r="C287" t="str">
            <v>ATTENUATOR DC-15GHZ 6DB .1WATT 50 OH</v>
          </cell>
          <cell r="D287" t="str">
            <v>EA</v>
          </cell>
          <cell r="E287" t="str">
            <v>MEMW</v>
          </cell>
          <cell r="F287" t="str">
            <v>CT737</v>
          </cell>
          <cell r="G287" t="str">
            <v>SMITHS INTERCONNECT AMERICAS,</v>
          </cell>
        </row>
        <row r="288">
          <cell r="A288" t="str">
            <v>N80413149</v>
          </cell>
          <cell r="B288" t="str">
            <v>‎TS0503W3S‏</v>
          </cell>
          <cell r="C288" t="str">
            <v>ATTENUATOR DC-15GHZ 3DB .1WATT 50 OH</v>
          </cell>
          <cell r="D288" t="str">
            <v>EA</v>
          </cell>
          <cell r="E288" t="str">
            <v>MEMW</v>
          </cell>
          <cell r="F288" t="str">
            <v>CT737</v>
          </cell>
          <cell r="G288" t="str">
            <v>SMITHS INTERCONNECT AMERICAS,</v>
          </cell>
        </row>
        <row r="289">
          <cell r="A289" t="str">
            <v>N80416613</v>
          </cell>
          <cell r="B289" t="str">
            <v>‎TS0502W3S‏</v>
          </cell>
          <cell r="C289" t="str">
            <v>ATTENUATOR DC-15GHZ 2DB .1WATT 50 OH</v>
          </cell>
          <cell r="D289" t="str">
            <v>EA</v>
          </cell>
          <cell r="E289" t="str">
            <v>MEMW</v>
          </cell>
          <cell r="F289" t="str">
            <v>CT737</v>
          </cell>
          <cell r="G289" t="str">
            <v>SMITHS INTERCONNECT AMERICAS,</v>
          </cell>
        </row>
        <row r="290">
          <cell r="A290" t="str">
            <v>N87399713</v>
          </cell>
          <cell r="B290" t="str">
            <v>‎A2015AC-58‏</v>
          </cell>
          <cell r="C290" t="str">
            <v>SIL-PAD A2000 15MIL-THICKNESS  WITH</v>
          </cell>
          <cell r="D290" t="str">
            <v>SH</v>
          </cell>
          <cell r="E290" t="str">
            <v>MEMH</v>
          </cell>
          <cell r="F290" t="str">
            <v/>
          </cell>
          <cell r="G290" t="str">
            <v/>
          </cell>
        </row>
      </sheetData>
      <sheetData sheetId="3"/>
      <sheetData sheetId="4">
        <row r="2">
          <cell r="K2" t="str">
            <v>ID</v>
          </cell>
        </row>
        <row r="3">
          <cell r="K3" t="str">
            <v>1094T030-002</v>
          </cell>
          <cell r="L3">
            <v>0</v>
          </cell>
        </row>
        <row r="4">
          <cell r="K4" t="str">
            <v>1094T040-001</v>
          </cell>
          <cell r="L4">
            <v>1</v>
          </cell>
        </row>
        <row r="5">
          <cell r="K5" t="str">
            <v>1094T050-002</v>
          </cell>
          <cell r="L5">
            <v>2</v>
          </cell>
        </row>
        <row r="6">
          <cell r="K6" t="str">
            <v>1094N761-002</v>
          </cell>
          <cell r="L6">
            <v>3</v>
          </cell>
        </row>
        <row r="7">
          <cell r="K7" t="str">
            <v>1094T060-002</v>
          </cell>
          <cell r="L7">
            <v>3</v>
          </cell>
        </row>
        <row r="8">
          <cell r="K8" t="str">
            <v>1097U219-001</v>
          </cell>
          <cell r="L8">
            <v>4</v>
          </cell>
        </row>
        <row r="9">
          <cell r="K9" t="str">
            <v>1097U217-001</v>
          </cell>
          <cell r="L9">
            <v>4</v>
          </cell>
        </row>
        <row r="10">
          <cell r="K10" t="str">
            <v>1094L913-001</v>
          </cell>
          <cell r="L10">
            <v>3</v>
          </cell>
        </row>
        <row r="11">
          <cell r="K11" t="str">
            <v>1093N721-001</v>
          </cell>
          <cell r="L11">
            <v>2</v>
          </cell>
        </row>
        <row r="12">
          <cell r="K12" t="str">
            <v>1094N773-003</v>
          </cell>
          <cell r="L12">
            <v>2</v>
          </cell>
        </row>
        <row r="13">
          <cell r="K13" t="str">
            <v>1094T037-001</v>
          </cell>
          <cell r="L13">
            <v>2</v>
          </cell>
        </row>
        <row r="14">
          <cell r="K14" t="str">
            <v>1094U379-001</v>
          </cell>
          <cell r="L14">
            <v>3</v>
          </cell>
        </row>
        <row r="15">
          <cell r="K15" t="str">
            <v>1094N772-001</v>
          </cell>
          <cell r="L15">
            <v>2</v>
          </cell>
        </row>
        <row r="16">
          <cell r="K16" t="str">
            <v>1094N764-001</v>
          </cell>
          <cell r="L16">
            <v>2</v>
          </cell>
        </row>
        <row r="17">
          <cell r="K17" t="str">
            <v>1094N765-001</v>
          </cell>
          <cell r="L17">
            <v>2</v>
          </cell>
        </row>
        <row r="18">
          <cell r="K18" t="str">
            <v>1094N776-001</v>
          </cell>
          <cell r="L18">
            <v>2</v>
          </cell>
        </row>
        <row r="19">
          <cell r="K19" t="str">
            <v>1094N777-001</v>
          </cell>
          <cell r="L19">
            <v>2</v>
          </cell>
        </row>
        <row r="20">
          <cell r="K20" t="str">
            <v>1094L935-001</v>
          </cell>
          <cell r="L20">
            <v>2</v>
          </cell>
        </row>
        <row r="21">
          <cell r="K21" t="str">
            <v>1094L925-001</v>
          </cell>
          <cell r="L21">
            <v>2</v>
          </cell>
        </row>
        <row r="22">
          <cell r="K22" t="str">
            <v>1094L926-001</v>
          </cell>
          <cell r="L22">
            <v>2</v>
          </cell>
        </row>
        <row r="23">
          <cell r="K23" t="str">
            <v>1094N740-001</v>
          </cell>
          <cell r="L23">
            <v>0</v>
          </cell>
        </row>
        <row r="24">
          <cell r="K24" t="str">
            <v>1094N750-003</v>
          </cell>
          <cell r="L24">
            <v>1</v>
          </cell>
        </row>
        <row r="25">
          <cell r="K25" t="str">
            <v>1094N781-005</v>
          </cell>
          <cell r="L25">
            <v>2</v>
          </cell>
        </row>
        <row r="26">
          <cell r="K26" t="str">
            <v>1094N761-002</v>
          </cell>
          <cell r="L26">
            <v>3</v>
          </cell>
        </row>
        <row r="27">
          <cell r="K27" t="str">
            <v>1094Y030-002</v>
          </cell>
          <cell r="L27">
            <v>3</v>
          </cell>
        </row>
        <row r="28">
          <cell r="K28" t="str">
            <v>1097U147-001</v>
          </cell>
          <cell r="L28">
            <v>4</v>
          </cell>
        </row>
        <row r="29">
          <cell r="K29" t="str">
            <v>1097U145-001</v>
          </cell>
          <cell r="L29">
            <v>4</v>
          </cell>
        </row>
        <row r="30">
          <cell r="K30" t="str">
            <v>1094Y038-001</v>
          </cell>
          <cell r="L30">
            <v>4</v>
          </cell>
        </row>
        <row r="31">
          <cell r="K31" t="str">
            <v>1094N754-001</v>
          </cell>
          <cell r="L31">
            <v>3</v>
          </cell>
        </row>
        <row r="32">
          <cell r="K32" t="str">
            <v>1094N795-001</v>
          </cell>
          <cell r="L32">
            <v>3</v>
          </cell>
        </row>
        <row r="33">
          <cell r="K33" t="str">
            <v>1094N753-001</v>
          </cell>
          <cell r="L33">
            <v>4</v>
          </cell>
        </row>
        <row r="34">
          <cell r="K34" t="str">
            <v>1094N993-001</v>
          </cell>
          <cell r="L34">
            <v>3</v>
          </cell>
        </row>
        <row r="35">
          <cell r="K35" t="str">
            <v>1093G277-001</v>
          </cell>
          <cell r="L35">
            <v>3</v>
          </cell>
        </row>
        <row r="36">
          <cell r="K36" t="str">
            <v>1094N791-002</v>
          </cell>
          <cell r="L36">
            <v>4</v>
          </cell>
        </row>
        <row r="37">
          <cell r="K37" t="str">
            <v>1094L913-001</v>
          </cell>
          <cell r="L37">
            <v>3</v>
          </cell>
        </row>
        <row r="38">
          <cell r="K38" t="str">
            <v>1093N721-001</v>
          </cell>
          <cell r="L38">
            <v>2</v>
          </cell>
        </row>
        <row r="39">
          <cell r="K39" t="str">
            <v>1093N746-001</v>
          </cell>
          <cell r="L39">
            <v>2</v>
          </cell>
        </row>
        <row r="40">
          <cell r="K40" t="str">
            <v>1094N773-003</v>
          </cell>
          <cell r="L40">
            <v>3</v>
          </cell>
        </row>
        <row r="41">
          <cell r="K41" t="str">
            <v>1094N790-003</v>
          </cell>
          <cell r="L41">
            <v>2</v>
          </cell>
        </row>
        <row r="42">
          <cell r="K42" t="str">
            <v>1094U379-001</v>
          </cell>
          <cell r="L42">
            <v>3</v>
          </cell>
        </row>
        <row r="43">
          <cell r="K43" t="str">
            <v>1094N772-001</v>
          </cell>
          <cell r="L43">
            <v>2</v>
          </cell>
        </row>
        <row r="44">
          <cell r="K44" t="str">
            <v>1094N764-001</v>
          </cell>
          <cell r="L44">
            <v>2</v>
          </cell>
        </row>
        <row r="45">
          <cell r="K45" t="str">
            <v>1094N765-001</v>
          </cell>
          <cell r="L45">
            <v>2</v>
          </cell>
        </row>
        <row r="46">
          <cell r="K46" t="str">
            <v>1094N776-001</v>
          </cell>
          <cell r="L46">
            <v>2</v>
          </cell>
        </row>
        <row r="47">
          <cell r="K47" t="str">
            <v>1094N777-001</v>
          </cell>
          <cell r="L47">
            <v>2</v>
          </cell>
        </row>
        <row r="48">
          <cell r="K48" t="str">
            <v>1094L935-001</v>
          </cell>
          <cell r="L48">
            <v>2</v>
          </cell>
        </row>
        <row r="49">
          <cell r="K49" t="str">
            <v>1094L925-001</v>
          </cell>
          <cell r="L49">
            <v>2</v>
          </cell>
        </row>
        <row r="50">
          <cell r="K50" t="str">
            <v>1094L926-001</v>
          </cell>
          <cell r="L50">
            <v>2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FFF"/>
      <sheetName val="pareto"/>
      <sheetName val="רשימת קניינים"/>
      <sheetName val="SPR NEEDED"/>
      <sheetName val="תמחור אופק"/>
      <sheetName val="סיכום תמחור - אופק"/>
    </sheetNames>
    <sheetDataSet>
      <sheetData sheetId="0" refreshError="1"/>
      <sheetData sheetId="1" refreshError="1"/>
      <sheetData sheetId="2" refreshError="1">
        <row r="11">
          <cell r="D11" t="str">
            <v>CATALOG</v>
          </cell>
          <cell r="E11" t="str">
            <v>FFF</v>
          </cell>
          <cell r="F11" t="str">
            <v>DESCRIPTION</v>
          </cell>
          <cell r="G11" t="str">
            <v>UOM</v>
          </cell>
          <cell r="H11" t="str">
            <v>SUG_MLAI</v>
          </cell>
          <cell r="I11" t="str">
            <v>ORIG_QTY</v>
          </cell>
          <cell r="J11" t="str">
            <v>1096N900-001</v>
          </cell>
          <cell r="K11" t="str">
            <v>1096N901-001</v>
          </cell>
          <cell r="L11" t="str">
            <v>1096N904-001</v>
          </cell>
          <cell r="M11" t="str">
            <v>1096N905-001</v>
          </cell>
          <cell r="N11" t="str">
            <v>1094Y038-001</v>
          </cell>
          <cell r="O11" t="str">
            <v>1094N754-001</v>
          </cell>
          <cell r="P11" t="str">
            <v>1093G277-001</v>
          </cell>
          <cell r="Q11" t="str">
            <v>1093N746-001</v>
          </cell>
          <cell r="R11" t="str">
            <v>1094N790-003</v>
          </cell>
          <cell r="S11" t="str">
            <v>1096N920-001</v>
          </cell>
          <cell r="T11" t="str">
            <v>1096N921-001</v>
          </cell>
          <cell r="U11" t="str">
            <v>1096N924-001</v>
          </cell>
          <cell r="V11" t="str">
            <v>1096N925-001</v>
          </cell>
          <cell r="W11" t="str">
            <v>1094T037-001</v>
          </cell>
          <cell r="X11" t="str">
            <v>1096G980-001</v>
          </cell>
          <cell r="Y11" t="str">
            <v>1094T040-001</v>
          </cell>
          <cell r="Z11" t="str">
            <v>1094T050-002</v>
          </cell>
          <cell r="AA11" t="str">
            <v>1094T060-002</v>
          </cell>
          <cell r="AB11" t="str">
            <v>1094T037-001</v>
          </cell>
          <cell r="AC11" t="str">
            <v>1096G970-001</v>
          </cell>
          <cell r="AD11" t="str">
            <v>1094N750-003</v>
          </cell>
          <cell r="AE11" t="str">
            <v>1094N781-005</v>
          </cell>
          <cell r="AF11" t="str">
            <v>1094Y030-002</v>
          </cell>
          <cell r="AG11" t="str">
            <v>1094Y038-001</v>
          </cell>
          <cell r="AH11" t="str">
            <v>1094N754-001</v>
          </cell>
          <cell r="AI11" t="str">
            <v>1093G277-001</v>
          </cell>
          <cell r="AJ11" t="str">
            <v>1093N746-001</v>
          </cell>
          <cell r="AK11" t="str">
            <v>1094N790-003</v>
          </cell>
          <cell r="AL11" t="str">
            <v>TIER 1</v>
          </cell>
          <cell r="AM11" t="str">
            <v>SUM QTY</v>
          </cell>
          <cell r="AN11" t="str">
            <v>TOTAL PRICE</v>
          </cell>
          <cell r="AO11" t="str">
            <v>manufacturer</v>
          </cell>
          <cell r="AP11" t="str">
            <v>מתמחר</v>
          </cell>
          <cell r="AQ11" t="str">
            <v>SUPPLIER</v>
          </cell>
          <cell r="AR11" t="str">
            <v>UNIT PRICE</v>
          </cell>
          <cell r="AS11" t="str">
            <v>min</v>
          </cell>
          <cell r="AT11" t="str">
            <v>END_USED</v>
          </cell>
          <cell r="AU11" t="str">
            <v>MOQ</v>
          </cell>
          <cell r="AV11" t="str">
            <v>MPQ</v>
          </cell>
          <cell r="AW11" t="str">
            <v>מחיר אחרון MMR</v>
          </cell>
          <cell r="AX11" t="str">
            <v>מחיר ליח'</v>
          </cell>
          <cell r="AY11" t="str">
            <v>USD/EUR</v>
          </cell>
          <cell r="AZ11" t="str">
            <v>שם הספק הנבחר</v>
          </cell>
          <cell r="BA11" t="str">
            <v>POC ספק</v>
          </cell>
          <cell r="BB11" t="str">
            <v>טלפון ספק</v>
          </cell>
          <cell r="BC11" t="str">
            <v>מייל ספק</v>
          </cell>
          <cell r="BD11" t="str">
            <v>הערות</v>
          </cell>
        </row>
        <row r="12">
          <cell r="D12">
            <v>404984216</v>
          </cell>
          <cell r="F12" t="str">
            <v>DTRM C F/ASSY</v>
          </cell>
          <cell r="G12" t="str">
            <v>EA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1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1</v>
          </cell>
          <cell r="AM12">
            <v>625</v>
          </cell>
          <cell r="AN12">
            <v>0</v>
          </cell>
          <cell r="AO12" t="str">
            <v>ASSY</v>
          </cell>
          <cell r="AP12" t="str">
            <v>הרכבה</v>
          </cell>
          <cell r="AQ12" t="str">
            <v>ASSY</v>
          </cell>
          <cell r="AR12">
            <v>0</v>
          </cell>
          <cell r="AT12" t="str">
            <v xml:space="preserve">Y
</v>
          </cell>
          <cell r="AY12" t="str">
            <v>USD</v>
          </cell>
        </row>
        <row r="13">
          <cell r="D13">
            <v>404984215</v>
          </cell>
          <cell r="F13" t="str">
            <v>DRM F/ASSY</v>
          </cell>
          <cell r="G13" t="str">
            <v>EA</v>
          </cell>
          <cell r="H13">
            <v>1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1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1</v>
          </cell>
          <cell r="AM13">
            <v>1930</v>
          </cell>
          <cell r="AN13">
            <v>0</v>
          </cell>
          <cell r="AO13" t="str">
            <v>ASSY</v>
          </cell>
          <cell r="AP13" t="str">
            <v>הרכבה</v>
          </cell>
          <cell r="AQ13" t="str">
            <v>ASSY</v>
          </cell>
          <cell r="AR13">
            <v>0</v>
          </cell>
          <cell r="AT13" t="str">
            <v xml:space="preserve">Y
</v>
          </cell>
          <cell r="AY13" t="str">
            <v>USD</v>
          </cell>
        </row>
        <row r="14">
          <cell r="D14">
            <v>1</v>
          </cell>
          <cell r="F14" t="str">
            <v>BLUE DTRM F/ASSY</v>
          </cell>
          <cell r="G14" t="str">
            <v>EA</v>
          </cell>
          <cell r="H14">
            <v>1</v>
          </cell>
          <cell r="I14">
            <v>1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2150</v>
          </cell>
          <cell r="AN14">
            <v>0</v>
          </cell>
          <cell r="AO14" t="str">
            <v>ASSY</v>
          </cell>
          <cell r="AP14" t="str">
            <v>הרכבה</v>
          </cell>
          <cell r="AQ14" t="str">
            <v>ASSY</v>
          </cell>
          <cell r="AR14">
            <v>0</v>
          </cell>
          <cell r="AT14" t="str">
            <v xml:space="preserve">
</v>
          </cell>
          <cell r="AY14" t="str">
            <v>USD</v>
          </cell>
        </row>
        <row r="15">
          <cell r="D15">
            <v>9</v>
          </cell>
          <cell r="F15" t="str">
            <v>BLUE DRM F/ASSY</v>
          </cell>
          <cell r="G15" t="str">
            <v>EA</v>
          </cell>
          <cell r="H15">
            <v>1</v>
          </cell>
          <cell r="I15">
            <v>1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1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2460</v>
          </cell>
          <cell r="AN15">
            <v>0</v>
          </cell>
          <cell r="AO15" t="str">
            <v>ASSY</v>
          </cell>
          <cell r="AP15" t="str">
            <v>הרכבה</v>
          </cell>
          <cell r="AQ15" t="str">
            <v>ASSY</v>
          </cell>
          <cell r="AR15">
            <v>0</v>
          </cell>
          <cell r="AT15" t="str">
            <v xml:space="preserve">
</v>
          </cell>
          <cell r="AY15" t="str">
            <v>USD</v>
          </cell>
        </row>
        <row r="16">
          <cell r="D16">
            <v>400550300</v>
          </cell>
          <cell r="F16" t="str">
            <v>CONN RECT PCB R/A PLUG 42 BLADES 3 ROWS,</v>
          </cell>
          <cell r="G16" t="str">
            <v>EA</v>
          </cell>
          <cell r="H16">
            <v>2</v>
          </cell>
          <cell r="I16">
            <v>4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1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1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1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1</v>
          </cell>
          <cell r="AL16">
            <v>0</v>
          </cell>
          <cell r="AM16">
            <v>7165</v>
          </cell>
          <cell r="AN16">
            <v>54</v>
          </cell>
          <cell r="AO16" t="e">
            <v>#N/A</v>
          </cell>
          <cell r="AP16" t="str">
            <v>אלתא</v>
          </cell>
          <cell r="AQ16" t="str">
            <v>Masterite Div.</v>
          </cell>
          <cell r="AR16">
            <v>23</v>
          </cell>
          <cell r="AT16" t="str">
            <v xml:space="preserve">
</v>
          </cell>
          <cell r="AU16">
            <v>7165</v>
          </cell>
          <cell r="AW16">
            <v>23</v>
          </cell>
          <cell r="AX16">
            <v>27</v>
          </cell>
          <cell r="AY16" t="str">
            <v>USD</v>
          </cell>
          <cell r="AZ16" t="str">
            <v>CB867  DCX-CHOL Entr. Inc</v>
          </cell>
          <cell r="BA16" t="str">
            <v>אלעד צפריר</v>
          </cell>
          <cell r="BC16" t="str">
            <v>elad.zafrir@emet.co.il</v>
          </cell>
          <cell r="BD16" t="str">
            <v xml:space="preserve">לא להניע רכש עד קבלת אישור מניב. </v>
          </cell>
        </row>
        <row r="17">
          <cell r="D17">
            <v>401238835</v>
          </cell>
          <cell r="F17" t="str">
            <v>CHIP CAP 0.3PF +-.02PF 100V T&amp;R</v>
          </cell>
          <cell r="G17" t="str">
            <v>EA</v>
          </cell>
          <cell r="H17">
            <v>2</v>
          </cell>
          <cell r="I17">
            <v>8</v>
          </cell>
          <cell r="J17">
            <v>0</v>
          </cell>
          <cell r="K17">
            <v>0</v>
          </cell>
          <cell r="L17">
            <v>0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2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2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14330</v>
          </cell>
          <cell r="AN17">
            <v>0.72</v>
          </cell>
          <cell r="AO17" t="str">
            <v>AVX</v>
          </cell>
          <cell r="AP17" t="str">
            <v>אופק</v>
          </cell>
          <cell r="AQ17" t="str">
            <v>MICATALOG LTD</v>
          </cell>
          <cell r="AR17">
            <v>0.17499999999999999</v>
          </cell>
          <cell r="AT17" t="str">
            <v xml:space="preserve">
</v>
          </cell>
          <cell r="AU17">
            <v>5000</v>
          </cell>
          <cell r="AV17">
            <v>5000</v>
          </cell>
          <cell r="AW17">
            <v>0.17499999999999999</v>
          </cell>
          <cell r="AX17">
            <v>0.18</v>
          </cell>
          <cell r="AY17" t="str">
            <v>USD</v>
          </cell>
          <cell r="AZ17" t="str">
            <v>תומחר על ידי אופק</v>
          </cell>
          <cell r="BA17" t="str">
            <v>פיניקס</v>
          </cell>
          <cell r="BD17" t="str">
            <v>פריט NCNR</v>
          </cell>
        </row>
        <row r="18">
          <cell r="D18">
            <v>400709578</v>
          </cell>
          <cell r="E18">
            <v>400095450</v>
          </cell>
          <cell r="F18" t="str">
            <v>CHIP RESIS 0 OHM 0% .063W T&amp;R</v>
          </cell>
          <cell r="G18" t="str">
            <v>EA</v>
          </cell>
          <cell r="H18">
            <v>2</v>
          </cell>
          <cell r="I18">
            <v>224</v>
          </cell>
          <cell r="J18">
            <v>0</v>
          </cell>
          <cell r="K18">
            <v>0</v>
          </cell>
          <cell r="L18">
            <v>0</v>
          </cell>
          <cell r="M18">
            <v>2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55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55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55</v>
          </cell>
          <cell r="AC18">
            <v>0</v>
          </cell>
          <cell r="AD18">
            <v>0</v>
          </cell>
          <cell r="AE18">
            <v>0</v>
          </cell>
          <cell r="AF18">
            <v>2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55</v>
          </cell>
          <cell r="AL18">
            <v>0</v>
          </cell>
          <cell r="AM18">
            <v>399625</v>
          </cell>
          <cell r="AN18">
            <v>9.172799999999999E-2</v>
          </cell>
          <cell r="AO18" t="str">
            <v>VISHAY RESISTIVE SYSTEMS</v>
          </cell>
          <cell r="AP18" t="str">
            <v>אופק</v>
          </cell>
          <cell r="AQ18" t="str">
            <v>ECOMAL ISRAEL LTD</v>
          </cell>
          <cell r="AR18">
            <v>4.0000000000000001E-3</v>
          </cell>
          <cell r="AT18" t="str">
            <v xml:space="preserve">
</v>
          </cell>
          <cell r="AU18">
            <v>10000</v>
          </cell>
          <cell r="AV18">
            <v>10000</v>
          </cell>
          <cell r="AW18">
            <v>4.0000000000000001E-3</v>
          </cell>
          <cell r="AX18">
            <v>8.1899999999999996E-4</v>
          </cell>
          <cell r="AY18" t="str">
            <v>USD</v>
          </cell>
          <cell r="AZ18" t="str">
            <v>תומחר על ידי אופק</v>
          </cell>
          <cell r="BA18" t="str">
            <v>ארו</v>
          </cell>
          <cell r="BD18" t="str">
            <v>3-4 wks. stock for today
חליפי FFF CRCW04020000Z0ED</v>
          </cell>
        </row>
        <row r="19">
          <cell r="D19">
            <v>417049490</v>
          </cell>
          <cell r="E19">
            <v>400326581</v>
          </cell>
          <cell r="F19" t="str">
            <v>CHIP CAP 0.1UF 10^ 16V X7R T&amp;R</v>
          </cell>
          <cell r="G19" t="str">
            <v>EA</v>
          </cell>
          <cell r="H19">
            <v>2</v>
          </cell>
          <cell r="I19">
            <v>496</v>
          </cell>
          <cell r="J19">
            <v>0</v>
          </cell>
          <cell r="K19">
            <v>0</v>
          </cell>
          <cell r="L19">
            <v>0</v>
          </cell>
          <cell r="M19">
            <v>34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100</v>
          </cell>
          <cell r="S19">
            <v>0</v>
          </cell>
          <cell r="T19">
            <v>0</v>
          </cell>
          <cell r="U19">
            <v>0</v>
          </cell>
          <cell r="V19">
            <v>14</v>
          </cell>
          <cell r="W19">
            <v>100</v>
          </cell>
          <cell r="X19">
            <v>0</v>
          </cell>
          <cell r="Y19">
            <v>0</v>
          </cell>
          <cell r="Z19">
            <v>0</v>
          </cell>
          <cell r="AA19">
            <v>14</v>
          </cell>
          <cell r="AB19">
            <v>100</v>
          </cell>
          <cell r="AC19">
            <v>0</v>
          </cell>
          <cell r="AD19">
            <v>0</v>
          </cell>
          <cell r="AE19">
            <v>0</v>
          </cell>
          <cell r="AF19">
            <v>34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100</v>
          </cell>
          <cell r="AL19">
            <v>0</v>
          </cell>
          <cell r="AM19">
            <v>872310</v>
          </cell>
          <cell r="AN19">
            <v>0.32239999999999996</v>
          </cell>
          <cell r="AO19" t="str">
            <v>MURATA MANUFACTURING CO. LTD</v>
          </cell>
          <cell r="AP19" t="str">
            <v>אופק</v>
          </cell>
          <cell r="AQ19" t="str">
            <v>STG INTERNATIONAL LTD</v>
          </cell>
          <cell r="AR19">
            <v>8.0000000000000004E-4</v>
          </cell>
          <cell r="AT19" t="str">
            <v xml:space="preserve">
</v>
          </cell>
          <cell r="AU19">
            <v>10000</v>
          </cell>
          <cell r="AV19">
            <v>10000</v>
          </cell>
          <cell r="AW19">
            <v>8.0000000000000004E-4</v>
          </cell>
          <cell r="AX19">
            <v>1.2999999999999999E-3</v>
          </cell>
          <cell r="AY19" t="str">
            <v>USD</v>
          </cell>
          <cell r="AZ19" t="str">
            <v>תומחר על ידי אופק</v>
          </cell>
          <cell r="BA19" t="str">
            <v>ארו</v>
          </cell>
          <cell r="BD19">
            <v>0</v>
          </cell>
        </row>
        <row r="20">
          <cell r="D20">
            <v>400664922</v>
          </cell>
          <cell r="E20">
            <v>400481224</v>
          </cell>
          <cell r="F20" t="str">
            <v>CHIP CAP 1000PF 10^ 200V X7R T&amp;R</v>
          </cell>
          <cell r="G20" t="str">
            <v>EA</v>
          </cell>
          <cell r="H20">
            <v>2</v>
          </cell>
          <cell r="I20">
            <v>44</v>
          </cell>
          <cell r="J20">
            <v>0</v>
          </cell>
          <cell r="K20">
            <v>0</v>
          </cell>
          <cell r="L20">
            <v>0</v>
          </cell>
          <cell r="M20">
            <v>4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7</v>
          </cell>
          <cell r="S20">
            <v>0</v>
          </cell>
          <cell r="T20">
            <v>0</v>
          </cell>
          <cell r="U20">
            <v>0</v>
          </cell>
          <cell r="V20">
            <v>4</v>
          </cell>
          <cell r="W20">
            <v>7</v>
          </cell>
          <cell r="X20">
            <v>0</v>
          </cell>
          <cell r="Y20">
            <v>0</v>
          </cell>
          <cell r="Z20">
            <v>0</v>
          </cell>
          <cell r="AA20">
            <v>4</v>
          </cell>
          <cell r="AB20">
            <v>7</v>
          </cell>
          <cell r="AC20">
            <v>0</v>
          </cell>
          <cell r="AD20">
            <v>0</v>
          </cell>
          <cell r="AE20">
            <v>0</v>
          </cell>
          <cell r="AF20">
            <v>4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7</v>
          </cell>
          <cell r="AL20">
            <v>0</v>
          </cell>
          <cell r="AM20">
            <v>78815</v>
          </cell>
          <cell r="AN20">
            <v>0.113256</v>
          </cell>
          <cell r="AO20" t="str">
            <v>KEMET ELECTRONICS S A</v>
          </cell>
          <cell r="AP20" t="str">
            <v>אופק</v>
          </cell>
          <cell r="AQ20" t="str">
            <v>MICATALOG LTD</v>
          </cell>
          <cell r="AR20">
            <v>0.02</v>
          </cell>
          <cell r="AT20" t="str">
            <v xml:space="preserve">
</v>
          </cell>
          <cell r="AU20">
            <v>4000</v>
          </cell>
          <cell r="AV20">
            <v>4000</v>
          </cell>
          <cell r="AW20">
            <v>0.02</v>
          </cell>
          <cell r="AX20">
            <v>5.1479999999999998E-3</v>
          </cell>
          <cell r="AY20" t="str">
            <v>USD</v>
          </cell>
          <cell r="AZ20" t="str">
            <v>תומחר על ידי אופק</v>
          </cell>
          <cell r="BA20" t="str">
            <v>ארו</v>
          </cell>
          <cell r="BD20">
            <v>0</v>
          </cell>
        </row>
        <row r="21">
          <cell r="D21">
            <v>400236023</v>
          </cell>
          <cell r="F21" t="str">
            <v>CHIP INDUCTOR 8.7NH 2% T&amp;R</v>
          </cell>
          <cell r="G21" t="str">
            <v>EA</v>
          </cell>
          <cell r="H21">
            <v>2</v>
          </cell>
          <cell r="I21">
            <v>4</v>
          </cell>
          <cell r="J21">
            <v>0</v>
          </cell>
          <cell r="K21">
            <v>0</v>
          </cell>
          <cell r="L21">
            <v>0</v>
          </cell>
          <cell r="M21">
            <v>2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2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5550</v>
          </cell>
          <cell r="AN21">
            <v>0.15</v>
          </cell>
          <cell r="AO21" t="str">
            <v>COILCRAFT INC.</v>
          </cell>
          <cell r="AP21" t="str">
            <v>אופק</v>
          </cell>
          <cell r="AQ21" t="str">
            <v>ELINA</v>
          </cell>
          <cell r="AR21">
            <v>7.1999999999999995E-2</v>
          </cell>
          <cell r="AT21" t="str">
            <v xml:space="preserve">
</v>
          </cell>
          <cell r="AU21">
            <v>2000</v>
          </cell>
          <cell r="AV21">
            <v>2000</v>
          </cell>
          <cell r="AW21">
            <v>7.1999999999999995E-2</v>
          </cell>
          <cell r="AX21">
            <v>7.4999999999999997E-2</v>
          </cell>
          <cell r="AY21" t="str">
            <v>USD</v>
          </cell>
          <cell r="AZ21" t="str">
            <v>תומחר על ידי אופק</v>
          </cell>
          <cell r="BA21" t="str">
            <v>אלינה הנדסה</v>
          </cell>
          <cell r="BD21" t="str">
            <v>הצעת מחיר מגין חליפי - מאושר FFF
0603CS-8N7XGRW</v>
          </cell>
        </row>
        <row r="22">
          <cell r="D22">
            <v>414202262</v>
          </cell>
          <cell r="E22">
            <v>401502387</v>
          </cell>
          <cell r="F22" t="str">
            <v>CHIP CAP 10UF 10^ 10V X7R T&amp;R</v>
          </cell>
          <cell r="G22" t="str">
            <v>EA</v>
          </cell>
          <cell r="H22">
            <v>2</v>
          </cell>
          <cell r="I22">
            <v>76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19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19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19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19</v>
          </cell>
          <cell r="AL22">
            <v>0</v>
          </cell>
          <cell r="AM22">
            <v>136135</v>
          </cell>
          <cell r="AN22">
            <v>1.240434</v>
          </cell>
          <cell r="AO22" t="str">
            <v>AVX</v>
          </cell>
          <cell r="AP22" t="str">
            <v>אופק</v>
          </cell>
          <cell r="AQ22" t="str">
            <v>PHOENIX TECHNOLOGIES LTD</v>
          </cell>
          <cell r="AR22">
            <v>3.8399999999999997E-2</v>
          </cell>
          <cell r="AT22" t="str">
            <v xml:space="preserve">
</v>
          </cell>
          <cell r="AU22">
            <v>3000</v>
          </cell>
          <cell r="AV22">
            <v>3000</v>
          </cell>
          <cell r="AW22">
            <v>3.8399999999999997E-2</v>
          </cell>
          <cell r="AX22">
            <v>3.2642999999999998E-2</v>
          </cell>
          <cell r="AY22" t="str">
            <v>USD</v>
          </cell>
          <cell r="AZ22" t="str">
            <v>תומחר על ידי אופק</v>
          </cell>
          <cell r="BA22" t="str">
            <v>ארו</v>
          </cell>
          <cell r="BD22" t="str">
            <v>פריט NCNR</v>
          </cell>
        </row>
        <row r="23">
          <cell r="D23">
            <v>400469285</v>
          </cell>
          <cell r="F23" t="str">
            <v>GUIDE PIN,THREADED 4-40UNC 3A,60 DEG.CON</v>
          </cell>
          <cell r="G23" t="str">
            <v>EA</v>
          </cell>
          <cell r="H23">
            <v>2</v>
          </cell>
          <cell r="I23">
            <v>8</v>
          </cell>
          <cell r="J23">
            <v>0</v>
          </cell>
          <cell r="K23">
            <v>2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2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2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4</v>
          </cell>
          <cell r="AM23">
            <v>14330</v>
          </cell>
          <cell r="AN23">
            <v>5.2</v>
          </cell>
          <cell r="AO23" t="str">
            <v>DCX-CHOL Entr. Inc</v>
          </cell>
          <cell r="AP23" t="str">
            <v>אופק</v>
          </cell>
          <cell r="AQ23" t="str">
            <v>Masterite Div.</v>
          </cell>
          <cell r="AR23">
            <v>1</v>
          </cell>
          <cell r="AT23" t="str">
            <v xml:space="preserve">
</v>
          </cell>
          <cell r="AU23">
            <v>0</v>
          </cell>
          <cell r="AV23">
            <v>0</v>
          </cell>
          <cell r="AW23">
            <v>1</v>
          </cell>
          <cell r="AX23">
            <v>1.3</v>
          </cell>
          <cell r="AY23" t="str">
            <v>USD</v>
          </cell>
          <cell r="AZ23" t="str">
            <v>תומחר על ידי אופק</v>
          </cell>
          <cell r="BA23" t="str">
            <v>DCX</v>
          </cell>
          <cell r="BD23" t="str">
            <v>QT-MAS5132</v>
          </cell>
        </row>
        <row r="24">
          <cell r="D24">
            <v>417983143</v>
          </cell>
          <cell r="E24">
            <v>400481527</v>
          </cell>
          <cell r="F24" t="str">
            <v>CHIP CAP 0.33UF 10% 100V X7R T&amp;R</v>
          </cell>
          <cell r="G24" t="str">
            <v>EA</v>
          </cell>
          <cell r="H24">
            <v>2</v>
          </cell>
          <cell r="I24">
            <v>2</v>
          </cell>
          <cell r="J24">
            <v>0</v>
          </cell>
          <cell r="K24">
            <v>0</v>
          </cell>
          <cell r="L24">
            <v>0</v>
          </cell>
          <cell r="M24">
            <v>1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1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2775</v>
          </cell>
          <cell r="AN24">
            <v>0.1</v>
          </cell>
          <cell r="AO24" t="str">
            <v>SAMSUNG</v>
          </cell>
          <cell r="AP24" t="str">
            <v>אופק</v>
          </cell>
          <cell r="AQ24" t="str">
            <v>CIDEV GROUP LTD</v>
          </cell>
          <cell r="AR24">
            <v>0.1</v>
          </cell>
          <cell r="AT24" t="str">
            <v xml:space="preserve">
</v>
          </cell>
          <cell r="AU24">
            <v>12000</v>
          </cell>
          <cell r="AV24">
            <v>3000</v>
          </cell>
          <cell r="AW24">
            <v>0.1</v>
          </cell>
          <cell r="AX24">
            <v>0.1</v>
          </cell>
          <cell r="AY24" t="str">
            <v>USD</v>
          </cell>
          <cell r="AZ24" t="str">
            <v>תומחר על ידי אופק</v>
          </cell>
          <cell r="BA24" t="str">
            <v>סידב</v>
          </cell>
          <cell r="BD24">
            <v>0</v>
          </cell>
        </row>
        <row r="25">
          <cell r="D25">
            <v>404810931</v>
          </cell>
          <cell r="F25" t="str">
            <v>EV CAP WITH BRACKET</v>
          </cell>
          <cell r="G25" t="str">
            <v>EA</v>
          </cell>
          <cell r="H25">
            <v>1</v>
          </cell>
          <cell r="I25">
            <v>2</v>
          </cell>
          <cell r="J25">
            <v>0</v>
          </cell>
          <cell r="K25">
            <v>0</v>
          </cell>
          <cell r="L25">
            <v>1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1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2775</v>
          </cell>
          <cell r="AN25">
            <v>0</v>
          </cell>
          <cell r="AO25" t="str">
            <v>ASSY</v>
          </cell>
          <cell r="AP25" t="str">
            <v>הרכבה</v>
          </cell>
          <cell r="AQ25" t="str">
            <v>ASSY</v>
          </cell>
          <cell r="AR25">
            <v>0</v>
          </cell>
          <cell r="AT25" t="str">
            <v xml:space="preserve">
</v>
          </cell>
          <cell r="AY25" t="str">
            <v>USD</v>
          </cell>
        </row>
        <row r="26">
          <cell r="D26">
            <v>414338971</v>
          </cell>
          <cell r="F26" t="str">
            <v>PC BLANK MASTER DWG. MMR-40 Z5</v>
          </cell>
          <cell r="G26" t="str">
            <v>EA</v>
          </cell>
          <cell r="H26">
            <v>1</v>
          </cell>
          <cell r="I26">
            <v>2</v>
          </cell>
          <cell r="J26">
            <v>0</v>
          </cell>
          <cell r="K26">
            <v>0</v>
          </cell>
          <cell r="L26">
            <v>0</v>
          </cell>
          <cell r="M26">
            <v>1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2775</v>
          </cell>
          <cell r="AN26">
            <v>197</v>
          </cell>
          <cell r="AO26" t="e">
            <v>#N/A</v>
          </cell>
          <cell r="AP26" t="str">
            <v>אלתא</v>
          </cell>
          <cell r="AQ26" t="str">
            <v>NISCO LTD</v>
          </cell>
          <cell r="AR26">
            <v>171</v>
          </cell>
          <cell r="AT26" t="str">
            <v xml:space="preserve">Y
</v>
          </cell>
          <cell r="AW26">
            <v>197</v>
          </cell>
          <cell r="AX26">
            <v>197</v>
          </cell>
          <cell r="AY26" t="str">
            <v>USD</v>
          </cell>
          <cell r="AZ26" t="str">
            <v>CE785 SANMINA SCI SYSTEMS SINGAPORE PTE L</v>
          </cell>
          <cell r="BA26" t="str">
            <v xml:space="preserve">מריו </v>
          </cell>
          <cell r="BB26" t="str">
            <v>Mobile: + 49 151 560 239 80</v>
          </cell>
          <cell r="BC26" t="str">
            <v>mario.kramer@sanmina.com</v>
          </cell>
        </row>
        <row r="27">
          <cell r="D27">
            <v>411330925</v>
          </cell>
          <cell r="F27" t="str">
            <v>PC BLANK MASTER DWG.CLL-577 Z4</v>
          </cell>
          <cell r="G27" t="str">
            <v>EA</v>
          </cell>
          <cell r="H27">
            <v>1</v>
          </cell>
          <cell r="I27">
            <v>4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1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1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1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1</v>
          </cell>
          <cell r="AL27">
            <v>0</v>
          </cell>
          <cell r="AM27">
            <v>7165</v>
          </cell>
          <cell r="AN27">
            <v>36.18</v>
          </cell>
          <cell r="AO27" t="e">
            <v>#N/A</v>
          </cell>
          <cell r="AP27" t="str">
            <v>אלתא</v>
          </cell>
          <cell r="AQ27">
            <v>1</v>
          </cell>
          <cell r="AR27">
            <v>18.451808844750023</v>
          </cell>
          <cell r="AT27" t="str">
            <v xml:space="preserve">
</v>
          </cell>
          <cell r="AW27">
            <v>18.09</v>
          </cell>
          <cell r="AX27">
            <v>18.09</v>
          </cell>
          <cell r="AY27" t="str">
            <v>USD</v>
          </cell>
          <cell r="AZ27" t="str">
            <v>CE395 MICROPACK PVT LTD</v>
          </cell>
          <cell r="BA27" t="str">
            <v>SHARATH</v>
          </cell>
          <cell r="BC27" t="str">
            <v>sharath@micropack.in</v>
          </cell>
        </row>
        <row r="28">
          <cell r="D28">
            <v>411235297</v>
          </cell>
          <cell r="F28" t="str">
            <v>PC BLANK MASTER DRAWING MMR-41 Z2</v>
          </cell>
          <cell r="G28" t="str">
            <v>EA</v>
          </cell>
          <cell r="H28">
            <v>1</v>
          </cell>
          <cell r="I28">
            <v>2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1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1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4390</v>
          </cell>
          <cell r="AN28">
            <v>62</v>
          </cell>
          <cell r="AO28" t="e">
            <v>#N/A</v>
          </cell>
          <cell r="AP28" t="str">
            <v>אלתא</v>
          </cell>
          <cell r="AQ28">
            <v>1</v>
          </cell>
          <cell r="AR28">
            <v>62.350000000000009</v>
          </cell>
          <cell r="AT28" t="str">
            <v xml:space="preserve">Y
</v>
          </cell>
          <cell r="AW28">
            <v>62</v>
          </cell>
          <cell r="AX28">
            <v>62</v>
          </cell>
          <cell r="AY28" t="str">
            <v>USD</v>
          </cell>
          <cell r="AZ28" t="str">
            <v>CE785 SANMINA SCI SYSTEMS SINGAPORE PTE L</v>
          </cell>
          <cell r="BA28" t="str">
            <v xml:space="preserve">מריו </v>
          </cell>
          <cell r="BB28" t="str">
            <v>Mobile: + 49 151 560 239 80</v>
          </cell>
          <cell r="BC28" t="str">
            <v>mario.kramer@sanmina.com</v>
          </cell>
        </row>
        <row r="29">
          <cell r="D29">
            <v>400796249</v>
          </cell>
          <cell r="E29">
            <v>409704332</v>
          </cell>
          <cell r="F29" t="str">
            <v>REBALLING LTM8049IY PBF</v>
          </cell>
          <cell r="G29" t="str">
            <v>EA</v>
          </cell>
          <cell r="H29">
            <v>1</v>
          </cell>
          <cell r="I29">
            <v>4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1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1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1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1</v>
          </cell>
          <cell r="AL29">
            <v>0</v>
          </cell>
          <cell r="AM29">
            <v>7165</v>
          </cell>
          <cell r="AN29">
            <v>94.4</v>
          </cell>
          <cell r="AO29" t="e">
            <v>#N/A</v>
          </cell>
          <cell r="AP29" t="str">
            <v>אלתא</v>
          </cell>
          <cell r="AQ29" t="str">
            <v>ZEMACH TECHNOLOGIES 2000 LTD</v>
          </cell>
          <cell r="AR29">
            <v>25.34</v>
          </cell>
          <cell r="AT29" t="str">
            <v xml:space="preserve">
</v>
          </cell>
          <cell r="AW29">
            <v>25.34</v>
          </cell>
          <cell r="AX29">
            <v>47.2</v>
          </cell>
          <cell r="AY29" t="str">
            <v>USD</v>
          </cell>
          <cell r="AZ29" t="str">
            <v>IW724 צמח משה טכנולוגיות 2000 בע"מ</v>
          </cell>
          <cell r="BA29" t="str">
            <v>אלונה</v>
          </cell>
          <cell r="BB29">
            <v>542455520</v>
          </cell>
          <cell r="BC29" t="str">
            <v>alonaz@zemach-tech.com</v>
          </cell>
          <cell r="BD29" t="str">
            <v>המחיר שופר מ48.9 ליח' - מדובר בהסכם סגור מול הספק.</v>
          </cell>
        </row>
        <row r="30">
          <cell r="D30">
            <v>401321735</v>
          </cell>
          <cell r="F30" t="str">
            <v>CERAMIC FILTER</v>
          </cell>
          <cell r="G30" t="str">
            <v>EA</v>
          </cell>
          <cell r="H30">
            <v>1</v>
          </cell>
          <cell r="I30">
            <v>8</v>
          </cell>
          <cell r="J30">
            <v>0</v>
          </cell>
          <cell r="K30">
            <v>0</v>
          </cell>
          <cell r="L30">
            <v>0</v>
          </cell>
          <cell r="M30">
            <v>2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2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2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2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14330</v>
          </cell>
          <cell r="AN30">
            <v>18.32</v>
          </cell>
          <cell r="AO30" t="e">
            <v>#N/A</v>
          </cell>
          <cell r="AP30" t="str">
            <v>אלתא</v>
          </cell>
          <cell r="AQ30">
            <v>1</v>
          </cell>
          <cell r="AR30">
            <v>3.85</v>
          </cell>
          <cell r="AT30" t="str">
            <v xml:space="preserve">
</v>
          </cell>
          <cell r="AW30">
            <v>3.85</v>
          </cell>
          <cell r="AX30">
            <v>4.58</v>
          </cell>
          <cell r="AY30" t="str">
            <v>USD</v>
          </cell>
          <cell r="AZ30" t="str">
            <v>CJ507 REMTEC</v>
          </cell>
          <cell r="BA30" t="str">
            <v>איתי</v>
          </cell>
          <cell r="BB30">
            <v>503399574</v>
          </cell>
          <cell r="BC30" t="str">
            <v>itay@impactel.co.il</v>
          </cell>
        </row>
        <row r="31">
          <cell r="D31" t="str">
            <v>D00758469</v>
          </cell>
          <cell r="F31" t="str">
            <v>SPECIFICATION FOR  MULTI LAYAR BAND PASS FILTER 3050-3500 MHZ</v>
          </cell>
          <cell r="G31" t="str">
            <v>EA</v>
          </cell>
          <cell r="H31">
            <v>1</v>
          </cell>
          <cell r="I31">
            <v>4</v>
          </cell>
          <cell r="J31">
            <v>0</v>
          </cell>
          <cell r="K31">
            <v>0</v>
          </cell>
          <cell r="L31">
            <v>0</v>
          </cell>
          <cell r="M31">
            <v>2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2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5550</v>
          </cell>
          <cell r="AN31">
            <v>6.3</v>
          </cell>
          <cell r="AO31" t="e">
            <v>#N/A</v>
          </cell>
          <cell r="AP31" t="str">
            <v>אלתא</v>
          </cell>
          <cell r="AQ31" t="str">
            <v>ASCOTECH ELECTRONICS LTD</v>
          </cell>
          <cell r="AR31">
            <v>3.15</v>
          </cell>
          <cell r="AT31" t="str">
            <v xml:space="preserve">
</v>
          </cell>
          <cell r="AW31">
            <v>3.15</v>
          </cell>
          <cell r="AX31">
            <v>3.15</v>
          </cell>
          <cell r="AY31" t="str">
            <v>USD</v>
          </cell>
          <cell r="AZ31" t="str">
            <v>IO595 אסקוטק אלקטרוניקה בע"מ</v>
          </cell>
          <cell r="BA31" t="str">
            <v>רינה</v>
          </cell>
          <cell r="BB31" t="str">
            <v>03-6496891</v>
          </cell>
          <cell r="BC31" t="str">
            <v>rinah@asco.co.il</v>
          </cell>
        </row>
        <row r="32">
          <cell r="D32">
            <v>415645120</v>
          </cell>
          <cell r="F32" t="str">
            <v>INSIDE COVER ASSY</v>
          </cell>
          <cell r="G32" t="str">
            <v>EA</v>
          </cell>
          <cell r="H32">
            <v>1</v>
          </cell>
          <cell r="I32">
            <v>2</v>
          </cell>
          <cell r="J32">
            <v>0</v>
          </cell>
          <cell r="K32">
            <v>1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1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1</v>
          </cell>
          <cell r="AM32">
            <v>2775</v>
          </cell>
          <cell r="AN32">
            <v>0</v>
          </cell>
          <cell r="AO32" t="str">
            <v>ASSY</v>
          </cell>
          <cell r="AP32" t="str">
            <v>הרכבה</v>
          </cell>
          <cell r="AQ32" t="str">
            <v>ASSY</v>
          </cell>
          <cell r="AR32">
            <v>0</v>
          </cell>
          <cell r="AT32" t="str">
            <v xml:space="preserve">
</v>
          </cell>
          <cell r="AY32" t="str">
            <v>USD</v>
          </cell>
        </row>
        <row r="33">
          <cell r="D33">
            <v>408602561</v>
          </cell>
          <cell r="F33" t="str">
            <v>F/A 60W FET</v>
          </cell>
          <cell r="G33" t="str">
            <v>EA</v>
          </cell>
          <cell r="H33">
            <v>1</v>
          </cell>
          <cell r="I33">
            <v>2</v>
          </cell>
          <cell r="J33">
            <v>0</v>
          </cell>
          <cell r="K33">
            <v>0</v>
          </cell>
          <cell r="L33">
            <v>0</v>
          </cell>
          <cell r="M33">
            <v>2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4300</v>
          </cell>
          <cell r="AN33">
            <v>0</v>
          </cell>
          <cell r="AO33" t="str">
            <v>BFE</v>
          </cell>
          <cell r="AP33" t="str">
            <v>אלתא</v>
          </cell>
          <cell r="AQ33" t="str">
            <v>אלתא</v>
          </cell>
          <cell r="AR33">
            <v>156</v>
          </cell>
          <cell r="AT33" t="str">
            <v xml:space="preserve">
</v>
          </cell>
          <cell r="AY33" t="str">
            <v>USD</v>
          </cell>
        </row>
        <row r="34">
          <cell r="D34">
            <v>408574150</v>
          </cell>
          <cell r="F34" t="str">
            <v>F/A FOR PACKAGED S BAND MPA 2W</v>
          </cell>
          <cell r="G34" t="str">
            <v>EA</v>
          </cell>
          <cell r="H34">
            <v>1</v>
          </cell>
          <cell r="I34">
            <v>2</v>
          </cell>
          <cell r="J34">
            <v>0</v>
          </cell>
          <cell r="K34">
            <v>0</v>
          </cell>
          <cell r="L34">
            <v>0</v>
          </cell>
          <cell r="M34">
            <v>2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4300</v>
          </cell>
          <cell r="AN34">
            <v>0</v>
          </cell>
          <cell r="AO34" t="str">
            <v>BFE</v>
          </cell>
          <cell r="AP34" t="str">
            <v>אלתא</v>
          </cell>
          <cell r="AQ34" t="str">
            <v>אלתא</v>
          </cell>
          <cell r="AR34">
            <v>0</v>
          </cell>
          <cell r="AT34" t="str">
            <v xml:space="preserve">
</v>
          </cell>
          <cell r="AY34" t="str">
            <v>USD</v>
          </cell>
        </row>
        <row r="35">
          <cell r="D35">
            <v>404482032</v>
          </cell>
          <cell r="F35" t="str">
            <v>SHIM 0.8MM</v>
          </cell>
          <cell r="G35" t="str">
            <v>AR</v>
          </cell>
          <cell r="H35">
            <v>2</v>
          </cell>
          <cell r="I35">
            <v>0.2</v>
          </cell>
          <cell r="J35">
            <v>0</v>
          </cell>
          <cell r="K35">
            <v>0</v>
          </cell>
          <cell r="L35">
            <v>0</v>
          </cell>
          <cell r="M35">
            <v>0.05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0.05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0.05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0.05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358.25</v>
          </cell>
          <cell r="AN35">
            <v>1.9000000000000001</v>
          </cell>
          <cell r="AO35" t="e">
            <v>#N/A</v>
          </cell>
          <cell r="AP35" t="str">
            <v>אלתא</v>
          </cell>
          <cell r="AQ35" t="str">
            <v>KIMOGRAF LTD</v>
          </cell>
          <cell r="AR35">
            <v>9</v>
          </cell>
          <cell r="AT35" t="str">
            <v xml:space="preserve">
</v>
          </cell>
          <cell r="AW35">
            <v>9</v>
          </cell>
          <cell r="AX35">
            <v>19</v>
          </cell>
          <cell r="AY35" t="str">
            <v>USD</v>
          </cell>
          <cell r="AZ35" t="str">
            <v>I8225 כימוגרף צריבה פוטוכימית בע"מ</v>
          </cell>
          <cell r="BA35" t="str">
            <v>שרה</v>
          </cell>
          <cell r="BB35" t="str">
            <v>08-6799777</v>
          </cell>
          <cell r="BC35" t="str">
            <v>sara@chemograf.com</v>
          </cell>
        </row>
        <row r="36">
          <cell r="D36">
            <v>404482035</v>
          </cell>
          <cell r="F36" t="str">
            <v>SHIM 1.2MM</v>
          </cell>
          <cell r="G36" t="str">
            <v>AR</v>
          </cell>
          <cell r="H36">
            <v>2</v>
          </cell>
          <cell r="I36">
            <v>0.1</v>
          </cell>
          <cell r="J36">
            <v>0</v>
          </cell>
          <cell r="K36">
            <v>0</v>
          </cell>
          <cell r="L36">
            <v>0</v>
          </cell>
          <cell r="M36">
            <v>0.05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0.05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138.75</v>
          </cell>
          <cell r="AN36">
            <v>4.75</v>
          </cell>
          <cell r="AO36" t="e">
            <v>#N/A</v>
          </cell>
          <cell r="AP36" t="str">
            <v>אלתא</v>
          </cell>
          <cell r="AQ36" t="str">
            <v>KIMOGRAF LTD</v>
          </cell>
          <cell r="AR36">
            <v>10</v>
          </cell>
          <cell r="AT36" t="str">
            <v xml:space="preserve">
</v>
          </cell>
          <cell r="AW36">
            <v>10</v>
          </cell>
          <cell r="AX36">
            <v>95</v>
          </cell>
          <cell r="AY36" t="str">
            <v>USD</v>
          </cell>
          <cell r="AZ36" t="str">
            <v>I8225 כימוגרף צריבה פוטוכימית בע"מ</v>
          </cell>
          <cell r="BA36" t="str">
            <v>שרה</v>
          </cell>
          <cell r="BB36" t="str">
            <v>08-6799777</v>
          </cell>
          <cell r="BC36" t="str">
            <v>sara@chemograf.com</v>
          </cell>
          <cell r="BD36" t="str">
            <v xml:space="preserve">לא להניע רכש עד קבלת אישור מניב. </v>
          </cell>
        </row>
        <row r="37">
          <cell r="D37">
            <v>404488392</v>
          </cell>
          <cell r="F37" t="str">
            <v>SHIM 2.0MM</v>
          </cell>
          <cell r="G37" t="str">
            <v>AR</v>
          </cell>
          <cell r="H37">
            <v>2</v>
          </cell>
          <cell r="I37">
            <v>0.1</v>
          </cell>
          <cell r="J37">
            <v>0</v>
          </cell>
          <cell r="K37">
            <v>0</v>
          </cell>
          <cell r="L37">
            <v>0</v>
          </cell>
          <cell r="M37">
            <v>0.05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0.05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138.75</v>
          </cell>
          <cell r="AN37">
            <v>0.95000000000000007</v>
          </cell>
          <cell r="AO37" t="e">
            <v>#N/A</v>
          </cell>
          <cell r="AP37" t="str">
            <v>אלתא</v>
          </cell>
          <cell r="AQ37" t="str">
            <v>KIMOGRAF LTD</v>
          </cell>
          <cell r="AR37">
            <v>10</v>
          </cell>
          <cell r="AT37" t="str">
            <v xml:space="preserve">
</v>
          </cell>
          <cell r="AW37">
            <v>10</v>
          </cell>
          <cell r="AX37">
            <v>19</v>
          </cell>
          <cell r="AY37" t="str">
            <v>USD</v>
          </cell>
          <cell r="AZ37" t="str">
            <v>I8225 כימוגרף צריבה פוטוכימית בע"מ</v>
          </cell>
          <cell r="BA37" t="str">
            <v>שרה</v>
          </cell>
          <cell r="BB37" t="str">
            <v>08-6799777</v>
          </cell>
          <cell r="BC37" t="str">
            <v>sara@chemograf.com</v>
          </cell>
        </row>
        <row r="38">
          <cell r="D38">
            <v>421436480</v>
          </cell>
          <cell r="F38" t="str">
            <v>RF GASKET</v>
          </cell>
          <cell r="G38" t="str">
            <v>EA</v>
          </cell>
          <cell r="H38">
            <v>1</v>
          </cell>
          <cell r="I38">
            <v>4</v>
          </cell>
          <cell r="J38">
            <v>0</v>
          </cell>
          <cell r="K38">
            <v>1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1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1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1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2</v>
          </cell>
          <cell r="AM38">
            <v>7165</v>
          </cell>
          <cell r="AN38">
            <v>27</v>
          </cell>
          <cell r="AO38" t="e">
            <v>#N/A</v>
          </cell>
          <cell r="AP38" t="str">
            <v>אלתא</v>
          </cell>
          <cell r="AQ38" t="str">
            <v>GUMIYAN MOTZARAY GUMI LTD</v>
          </cell>
          <cell r="AR38">
            <v>12.3</v>
          </cell>
          <cell r="AT38" t="str">
            <v xml:space="preserve">
</v>
          </cell>
          <cell r="AW38">
            <v>12.3</v>
          </cell>
          <cell r="AX38">
            <v>13.5</v>
          </cell>
          <cell r="AY38" t="str">
            <v>USD</v>
          </cell>
          <cell r="AZ38" t="str">
            <v>I5591 גומיאן מוצרי גומי בע"מ</v>
          </cell>
          <cell r="BA38" t="str">
            <v>משה אבי</v>
          </cell>
          <cell r="BB38" t="str">
            <v>08-9224911</v>
          </cell>
          <cell r="BC38" t="str">
            <v>avi@gumiyan.co.il</v>
          </cell>
        </row>
        <row r="39">
          <cell r="D39">
            <v>408929145</v>
          </cell>
          <cell r="F39" t="str">
            <v>GASKET</v>
          </cell>
          <cell r="G39" t="str">
            <v>EA</v>
          </cell>
          <cell r="H39">
            <v>2</v>
          </cell>
          <cell r="I39">
            <v>4</v>
          </cell>
          <cell r="J39">
            <v>0</v>
          </cell>
          <cell r="K39">
            <v>0</v>
          </cell>
          <cell r="L39">
            <v>2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2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5550</v>
          </cell>
          <cell r="AN39">
            <v>1.2</v>
          </cell>
          <cell r="AO39" t="e">
            <v>#N/A</v>
          </cell>
          <cell r="AP39" t="str">
            <v>אלתא</v>
          </cell>
          <cell r="AQ39" t="str">
            <v>GUMIYAN MOTZARAY GUMI LTD</v>
          </cell>
          <cell r="AR39">
            <v>0.25</v>
          </cell>
          <cell r="AT39" t="str">
            <v xml:space="preserve">
</v>
          </cell>
          <cell r="AW39">
            <v>0.25</v>
          </cell>
          <cell r="AX39">
            <v>0.6</v>
          </cell>
          <cell r="AY39" t="str">
            <v>USD</v>
          </cell>
          <cell r="AZ39" t="str">
            <v>I5591 גומיאן מוצרי גומי בע"מ</v>
          </cell>
          <cell r="BA39" t="str">
            <v>משה אבי</v>
          </cell>
          <cell r="BB39" t="str">
            <v>08-9224911</v>
          </cell>
          <cell r="BC39" t="str">
            <v>avi@gumiyan.co.il</v>
          </cell>
        </row>
        <row r="40">
          <cell r="D40">
            <v>418735800</v>
          </cell>
          <cell r="F40" t="str">
            <v>DTRM F/ASSY</v>
          </cell>
          <cell r="G40" t="str">
            <v>EA</v>
          </cell>
          <cell r="H40">
            <v>1</v>
          </cell>
          <cell r="I40">
            <v>1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1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1</v>
          </cell>
          <cell r="AM40">
            <v>625</v>
          </cell>
          <cell r="AN40">
            <v>0</v>
          </cell>
          <cell r="AO40" t="str">
            <v>ASSY</v>
          </cell>
          <cell r="AP40" t="str">
            <v>הרכבה</v>
          </cell>
          <cell r="AQ40" t="str">
            <v>ASSY</v>
          </cell>
          <cell r="AR40">
            <v>0</v>
          </cell>
          <cell r="AT40" t="str">
            <v xml:space="preserve">
</v>
          </cell>
          <cell r="AY40" t="str">
            <v>USD</v>
          </cell>
        </row>
        <row r="41">
          <cell r="D41">
            <v>408272431</v>
          </cell>
          <cell r="F41" t="str">
            <v>BEND OF TRANSISTOR</v>
          </cell>
          <cell r="G41" t="str">
            <v>EA</v>
          </cell>
          <cell r="H41">
            <v>1</v>
          </cell>
          <cell r="I41">
            <v>2</v>
          </cell>
          <cell r="J41">
            <v>0</v>
          </cell>
          <cell r="K41">
            <v>0</v>
          </cell>
          <cell r="L41">
            <v>1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1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2775</v>
          </cell>
          <cell r="AN41">
            <v>0</v>
          </cell>
          <cell r="AO41" t="str">
            <v>ASSY</v>
          </cell>
          <cell r="AP41" t="str">
            <v>הרכבה</v>
          </cell>
          <cell r="AQ41" t="str">
            <v>ASSY</v>
          </cell>
          <cell r="AR41">
            <v>0</v>
          </cell>
          <cell r="AT41" t="str">
            <v xml:space="preserve">
</v>
          </cell>
          <cell r="AW41">
            <v>0</v>
          </cell>
          <cell r="AY41" t="str">
            <v>USD</v>
          </cell>
        </row>
        <row r="42">
          <cell r="D42">
            <v>415607915</v>
          </cell>
          <cell r="F42" t="str">
            <v>DTRM ABSORBER</v>
          </cell>
          <cell r="G42" t="str">
            <v>EA</v>
          </cell>
          <cell r="H42">
            <v>1</v>
          </cell>
          <cell r="I42">
            <v>2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1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1</v>
          </cell>
          <cell r="AK42">
            <v>0</v>
          </cell>
          <cell r="AL42">
            <v>0</v>
          </cell>
          <cell r="AM42">
            <v>2775</v>
          </cell>
          <cell r="AN42">
            <v>11</v>
          </cell>
          <cell r="AO42" t="e">
            <v>#N/A</v>
          </cell>
          <cell r="AP42" t="str">
            <v>אלתא</v>
          </cell>
          <cell r="AQ42" t="str">
            <v>GUMIYAN MOTZARAY GUMI LTD</v>
          </cell>
          <cell r="AR42">
            <v>9.98</v>
          </cell>
          <cell r="AT42" t="str">
            <v xml:space="preserve">
</v>
          </cell>
          <cell r="AW42">
            <v>9.98</v>
          </cell>
          <cell r="AX42">
            <v>11</v>
          </cell>
          <cell r="AY42" t="str">
            <v>USD</v>
          </cell>
          <cell r="AZ42" t="str">
            <v>I5591 גומיאן מוצרי גומי בע"מ</v>
          </cell>
          <cell r="BA42" t="str">
            <v>משה אבי</v>
          </cell>
          <cell r="BB42" t="str">
            <v>08-9224911</v>
          </cell>
          <cell r="BC42" t="str">
            <v>avi@gumiyan.co.il</v>
          </cell>
        </row>
        <row r="43">
          <cell r="D43">
            <v>408557951</v>
          </cell>
          <cell r="F43" t="str">
            <v>LABLE MODULE DTRM</v>
          </cell>
          <cell r="G43" t="str">
            <v>EA</v>
          </cell>
          <cell r="H43">
            <v>1</v>
          </cell>
          <cell r="I43">
            <v>2</v>
          </cell>
          <cell r="J43">
            <v>0</v>
          </cell>
          <cell r="K43">
            <v>1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1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1</v>
          </cell>
          <cell r="AM43">
            <v>2775</v>
          </cell>
          <cell r="AN43">
            <v>0.6</v>
          </cell>
          <cell r="AO43" t="e">
            <v>#N/A</v>
          </cell>
          <cell r="AP43" t="str">
            <v>אלתא</v>
          </cell>
          <cell r="AQ43">
            <v>1</v>
          </cell>
          <cell r="AR43">
            <v>0.6</v>
          </cell>
          <cell r="AT43" t="str">
            <v xml:space="preserve">
</v>
          </cell>
          <cell r="AW43">
            <v>0.6</v>
          </cell>
          <cell r="AX43">
            <v>0.6</v>
          </cell>
          <cell r="AY43" t="str">
            <v>USD</v>
          </cell>
        </row>
        <row r="44">
          <cell r="D44">
            <v>408526024</v>
          </cell>
          <cell r="F44" t="str">
            <v>LABLE MODULE DTRM</v>
          </cell>
          <cell r="G44" t="str">
            <v>EA</v>
          </cell>
          <cell r="H44">
            <v>1</v>
          </cell>
          <cell r="I44">
            <v>2</v>
          </cell>
          <cell r="J44">
            <v>0</v>
          </cell>
          <cell r="K44">
            <v>1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1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1</v>
          </cell>
          <cell r="AM44">
            <v>2775</v>
          </cell>
          <cell r="AN44">
            <v>0.6</v>
          </cell>
          <cell r="AO44" t="e">
            <v>#N/A</v>
          </cell>
          <cell r="AP44" t="str">
            <v>אלתא</v>
          </cell>
          <cell r="AQ44">
            <v>1</v>
          </cell>
          <cell r="AR44">
            <v>0.6</v>
          </cell>
          <cell r="AT44" t="str">
            <v xml:space="preserve">
</v>
          </cell>
          <cell r="AW44">
            <v>0.6</v>
          </cell>
          <cell r="AX44">
            <v>0.6</v>
          </cell>
          <cell r="AY44" t="str">
            <v>USD</v>
          </cell>
        </row>
        <row r="45">
          <cell r="D45">
            <v>405960171</v>
          </cell>
          <cell r="F45" t="str">
            <v>LABLE MODULE DRM</v>
          </cell>
          <cell r="G45" t="str">
            <v>EA</v>
          </cell>
          <cell r="H45">
            <v>1</v>
          </cell>
          <cell r="I45">
            <v>2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1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1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1</v>
          </cell>
          <cell r="AM45">
            <v>4390</v>
          </cell>
          <cell r="AN45">
            <v>0.6</v>
          </cell>
          <cell r="AO45" t="e">
            <v>#N/A</v>
          </cell>
          <cell r="AP45" t="str">
            <v>אלתא</v>
          </cell>
          <cell r="AQ45">
            <v>1</v>
          </cell>
          <cell r="AR45">
            <v>0.6</v>
          </cell>
          <cell r="AT45" t="str">
            <v xml:space="preserve">
</v>
          </cell>
          <cell r="AW45">
            <v>0.6</v>
          </cell>
          <cell r="AX45">
            <v>0.6</v>
          </cell>
          <cell r="AY45" t="str">
            <v>USD</v>
          </cell>
        </row>
        <row r="46">
          <cell r="D46">
            <v>405960186</v>
          </cell>
          <cell r="F46" t="str">
            <v>LABLE MODULE DRM</v>
          </cell>
          <cell r="G46" t="str">
            <v>EA</v>
          </cell>
          <cell r="H46">
            <v>1</v>
          </cell>
          <cell r="I46">
            <v>2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1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1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1</v>
          </cell>
          <cell r="AM46">
            <v>4390</v>
          </cell>
          <cell r="AN46">
            <v>0.6</v>
          </cell>
          <cell r="AO46" t="e">
            <v>#N/A</v>
          </cell>
          <cell r="AP46" t="str">
            <v>אלתא</v>
          </cell>
          <cell r="AQ46">
            <v>1</v>
          </cell>
          <cell r="AR46">
            <v>0.6</v>
          </cell>
          <cell r="AT46" t="str">
            <v xml:space="preserve">
</v>
          </cell>
          <cell r="AW46">
            <v>0.6</v>
          </cell>
          <cell r="AX46">
            <v>0.6</v>
          </cell>
          <cell r="AY46" t="str">
            <v>USD</v>
          </cell>
        </row>
        <row r="47">
          <cell r="D47">
            <v>405031303</v>
          </cell>
          <cell r="F47" t="str">
            <v>DTRM NAMEPLATE</v>
          </cell>
          <cell r="G47" t="str">
            <v>EA</v>
          </cell>
          <cell r="H47">
            <v>1</v>
          </cell>
          <cell r="I47">
            <v>1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1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1</v>
          </cell>
          <cell r="AM47">
            <v>625</v>
          </cell>
          <cell r="AN47">
            <v>2.5</v>
          </cell>
          <cell r="AO47" t="e">
            <v>#N/A</v>
          </cell>
          <cell r="AP47" t="str">
            <v>אלתא</v>
          </cell>
          <cell r="AQ47">
            <v>1</v>
          </cell>
          <cell r="AR47">
            <v>2.5</v>
          </cell>
          <cell r="AT47" t="str">
            <v xml:space="preserve">
</v>
          </cell>
          <cell r="AW47">
            <v>2.5</v>
          </cell>
          <cell r="AX47">
            <v>2.5</v>
          </cell>
          <cell r="AY47" t="str">
            <v>USD</v>
          </cell>
          <cell r="AZ47" t="str">
            <v>ACKERMAN</v>
          </cell>
        </row>
        <row r="48">
          <cell r="D48">
            <v>405042224</v>
          </cell>
          <cell r="F48" t="str">
            <v>DRM NAMEPLATE</v>
          </cell>
          <cell r="G48" t="str">
            <v>EA</v>
          </cell>
          <cell r="H48">
            <v>1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1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1</v>
          </cell>
          <cell r="AM48">
            <v>1930</v>
          </cell>
          <cell r="AN48">
            <v>2.5</v>
          </cell>
          <cell r="AO48" t="e">
            <v>#N/A</v>
          </cell>
          <cell r="AP48" t="str">
            <v>אלתא</v>
          </cell>
          <cell r="AQ48">
            <v>1</v>
          </cell>
          <cell r="AR48">
            <v>2.5</v>
          </cell>
          <cell r="AT48" t="str">
            <v xml:space="preserve">
</v>
          </cell>
          <cell r="AW48">
            <v>2.5</v>
          </cell>
          <cell r="AX48">
            <v>2.5</v>
          </cell>
          <cell r="AY48" t="str">
            <v>USD</v>
          </cell>
          <cell r="AZ48" t="str">
            <v>ACKERMAN</v>
          </cell>
        </row>
        <row r="49">
          <cell r="D49">
            <v>414654638</v>
          </cell>
          <cell r="F49" t="str">
            <v>NAMEPLATE</v>
          </cell>
          <cell r="G49" t="str">
            <v>EA</v>
          </cell>
          <cell r="H49">
            <v>1</v>
          </cell>
          <cell r="I49">
            <v>1</v>
          </cell>
          <cell r="J49">
            <v>1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2150</v>
          </cell>
          <cell r="AN49">
            <v>0</v>
          </cell>
          <cell r="AO49" t="e">
            <v>#N/A</v>
          </cell>
          <cell r="AP49" t="str">
            <v>אלתא</v>
          </cell>
          <cell r="AQ49">
            <v>1</v>
          </cell>
          <cell r="AR49">
            <v>2.5</v>
          </cell>
          <cell r="AT49" t="str">
            <v xml:space="preserve">
</v>
          </cell>
          <cell r="AW49">
            <v>2.5</v>
          </cell>
          <cell r="AX49">
            <v>2.5</v>
          </cell>
          <cell r="AY49" t="str">
            <v>USD</v>
          </cell>
          <cell r="AZ49" t="str">
            <v>ACKERMAN</v>
          </cell>
        </row>
        <row r="50">
          <cell r="D50">
            <v>414643523</v>
          </cell>
          <cell r="F50" t="str">
            <v>NAMEPLATE</v>
          </cell>
          <cell r="G50" t="str">
            <v>EA</v>
          </cell>
          <cell r="H50">
            <v>1</v>
          </cell>
          <cell r="I50">
            <v>1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1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2460</v>
          </cell>
          <cell r="AN50">
            <v>0</v>
          </cell>
          <cell r="AO50" t="e">
            <v>#N/A</v>
          </cell>
          <cell r="AP50" t="str">
            <v>אלתא</v>
          </cell>
          <cell r="AQ50">
            <v>1</v>
          </cell>
          <cell r="AR50">
            <v>2.5</v>
          </cell>
          <cell r="AT50" t="str">
            <v xml:space="preserve">
</v>
          </cell>
          <cell r="AW50">
            <v>2.5</v>
          </cell>
          <cell r="AX50">
            <v>2.5</v>
          </cell>
          <cell r="AY50" t="str">
            <v>USD</v>
          </cell>
          <cell r="AZ50" t="str">
            <v>ACKERMAN</v>
          </cell>
        </row>
        <row r="51">
          <cell r="D51">
            <v>400951273</v>
          </cell>
          <cell r="F51" t="str">
            <v>S/R W1</v>
          </cell>
          <cell r="G51" t="str">
            <v>EA</v>
          </cell>
          <cell r="H51">
            <v>1</v>
          </cell>
          <cell r="I51">
            <v>4</v>
          </cell>
          <cell r="J51">
            <v>0</v>
          </cell>
          <cell r="K51">
            <v>1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1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1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1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2</v>
          </cell>
          <cell r="AM51">
            <v>7165</v>
          </cell>
          <cell r="AN51">
            <v>11.6</v>
          </cell>
          <cell r="AO51" t="e">
            <v>#N/A</v>
          </cell>
          <cell r="AP51" t="str">
            <v>אלתא</v>
          </cell>
          <cell r="AQ51" t="str">
            <v>M.T.I.LTD</v>
          </cell>
          <cell r="AR51">
            <v>6.3728000000000007</v>
          </cell>
          <cell r="AT51" t="str">
            <v xml:space="preserve">
</v>
          </cell>
          <cell r="AW51">
            <v>6.3728000000000007</v>
          </cell>
          <cell r="AX51">
            <v>5.8</v>
          </cell>
          <cell r="AY51" t="str">
            <v>EUR</v>
          </cell>
          <cell r="AZ51" t="str">
            <v>I6307 מ.ט.י. הנדסה בע"מ</v>
          </cell>
          <cell r="BA51" t="str">
            <v>אפרת</v>
          </cell>
          <cell r="BB51" t="str">
            <v>03-9008900</v>
          </cell>
          <cell r="BC51" t="str">
            <v>efratS@mtisummit.co.il</v>
          </cell>
        </row>
        <row r="52">
          <cell r="D52">
            <v>405170958</v>
          </cell>
          <cell r="F52" t="str">
            <v>POWER AMP ASSY</v>
          </cell>
          <cell r="G52" t="str">
            <v>EA</v>
          </cell>
          <cell r="H52">
            <v>1</v>
          </cell>
          <cell r="I52">
            <v>1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1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1</v>
          </cell>
          <cell r="AM52">
            <v>625</v>
          </cell>
          <cell r="AN52">
            <v>0</v>
          </cell>
          <cell r="AO52" t="str">
            <v>ASSY</v>
          </cell>
          <cell r="AP52" t="str">
            <v>הרכבה</v>
          </cell>
          <cell r="AQ52" t="str">
            <v>ASSY</v>
          </cell>
          <cell r="AR52">
            <v>0</v>
          </cell>
          <cell r="AT52" t="str">
            <v xml:space="preserve">Y
</v>
          </cell>
          <cell r="AW52">
            <v>0</v>
          </cell>
          <cell r="AY52" t="str">
            <v>USD</v>
          </cell>
        </row>
        <row r="53">
          <cell r="D53">
            <v>400951274</v>
          </cell>
          <cell r="F53" t="str">
            <v>S/R W2</v>
          </cell>
          <cell r="G53" t="str">
            <v>EA</v>
          </cell>
          <cell r="H53">
            <v>1</v>
          </cell>
          <cell r="I53">
            <v>4</v>
          </cell>
          <cell r="J53">
            <v>0</v>
          </cell>
          <cell r="K53">
            <v>1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1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1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1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2</v>
          </cell>
          <cell r="AM53">
            <v>7165</v>
          </cell>
          <cell r="AN53">
            <v>11.6</v>
          </cell>
          <cell r="AO53" t="e">
            <v>#N/A</v>
          </cell>
          <cell r="AP53" t="str">
            <v>אלתא</v>
          </cell>
          <cell r="AQ53" t="str">
            <v>M.T.I.LTD</v>
          </cell>
          <cell r="AR53">
            <v>6.3728000000000007</v>
          </cell>
          <cell r="AT53" t="str">
            <v xml:space="preserve">
</v>
          </cell>
          <cell r="AW53">
            <v>6.3728000000000007</v>
          </cell>
          <cell r="AX53">
            <v>5.8</v>
          </cell>
          <cell r="AY53" t="str">
            <v>EUR</v>
          </cell>
          <cell r="AZ53" t="str">
            <v>I6307 מ.ט.י. הנדסה בע"מ</v>
          </cell>
          <cell r="BA53" t="str">
            <v>אפרת</v>
          </cell>
          <cell r="BB53" t="str">
            <v>03-9008900</v>
          </cell>
          <cell r="BC53" t="str">
            <v>efratS@mtisummit.co.il</v>
          </cell>
        </row>
        <row r="54">
          <cell r="D54">
            <v>415942201</v>
          </cell>
          <cell r="F54" t="str">
            <v>PC ASSY CONTROLLER 400</v>
          </cell>
          <cell r="G54" t="str">
            <v>EA</v>
          </cell>
          <cell r="H54">
            <v>1</v>
          </cell>
          <cell r="I54">
            <v>2</v>
          </cell>
          <cell r="J54">
            <v>0</v>
          </cell>
          <cell r="K54">
            <v>1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1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1</v>
          </cell>
          <cell r="AM54">
            <v>2775</v>
          </cell>
          <cell r="AN54">
            <v>0</v>
          </cell>
          <cell r="AO54" t="str">
            <v>ASSY</v>
          </cell>
          <cell r="AP54" t="str">
            <v>הרכבה</v>
          </cell>
          <cell r="AQ54" t="str">
            <v>ASSY</v>
          </cell>
          <cell r="AR54">
            <v>0</v>
          </cell>
          <cell r="AT54" t="str">
            <v xml:space="preserve">Y
</v>
          </cell>
          <cell r="AW54">
            <v>0</v>
          </cell>
          <cell r="AY54" t="str">
            <v>USD</v>
          </cell>
        </row>
        <row r="55">
          <cell r="D55">
            <v>417083200</v>
          </cell>
          <cell r="F55" t="str">
            <v>COVER</v>
          </cell>
          <cell r="G55" t="str">
            <v>EA</v>
          </cell>
          <cell r="H55">
            <v>1</v>
          </cell>
          <cell r="I55">
            <v>4</v>
          </cell>
          <cell r="J55">
            <v>0</v>
          </cell>
          <cell r="K55">
            <v>1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1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1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1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2</v>
          </cell>
          <cell r="AM55">
            <v>7165</v>
          </cell>
          <cell r="AN55">
            <v>75.900000000000006</v>
          </cell>
          <cell r="AO55" t="e">
            <v>#N/A</v>
          </cell>
          <cell r="AP55" t="str">
            <v>אלתא</v>
          </cell>
          <cell r="AQ55">
            <v>1</v>
          </cell>
          <cell r="AR55">
            <v>37</v>
          </cell>
          <cell r="AT55" t="str">
            <v xml:space="preserve">
</v>
          </cell>
          <cell r="AW55">
            <v>37</v>
          </cell>
          <cell r="AX55">
            <v>37.950000000000003</v>
          </cell>
          <cell r="AY55" t="str">
            <v>USD</v>
          </cell>
          <cell r="AZ55" t="str">
            <v>CL918 Wave Mechanics Private Limited</v>
          </cell>
          <cell r="BB55" t="str">
            <v>91-80-2839-8497</v>
          </cell>
          <cell r="BC55" t="str">
            <v>tnp@wave-mechanics.com</v>
          </cell>
        </row>
        <row r="56">
          <cell r="D56">
            <v>400969533</v>
          </cell>
          <cell r="F56" t="str">
            <v>INSULATOR</v>
          </cell>
          <cell r="G56" t="str">
            <v>EA</v>
          </cell>
          <cell r="H56">
            <v>1</v>
          </cell>
          <cell r="I56">
            <v>2</v>
          </cell>
          <cell r="J56">
            <v>0</v>
          </cell>
          <cell r="K56">
            <v>0</v>
          </cell>
          <cell r="L56">
            <v>1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1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2775</v>
          </cell>
          <cell r="AN56">
            <v>1.03</v>
          </cell>
          <cell r="AO56" t="e">
            <v>#N/A</v>
          </cell>
          <cell r="AP56" t="str">
            <v>אלתא</v>
          </cell>
          <cell r="AQ56" t="str">
            <v>ANDRE MACHINING LTD</v>
          </cell>
          <cell r="AR56">
            <v>1</v>
          </cell>
          <cell r="AT56" t="str">
            <v xml:space="preserve">
</v>
          </cell>
          <cell r="AW56">
            <v>1</v>
          </cell>
          <cell r="AX56">
            <v>1.03</v>
          </cell>
          <cell r="AY56" t="str">
            <v>USD</v>
          </cell>
          <cell r="AZ56" t="str">
            <v>CL918 Wave Mechanics Private Limited</v>
          </cell>
          <cell r="BB56" t="str">
            <v>91-80-2839-8497</v>
          </cell>
          <cell r="BC56" t="str">
            <v>tnp@wave-mechanics.com</v>
          </cell>
        </row>
        <row r="57">
          <cell r="D57">
            <v>403572964</v>
          </cell>
          <cell r="F57" t="str">
            <v>BRACKET</v>
          </cell>
          <cell r="G57" t="str">
            <v>EA</v>
          </cell>
          <cell r="H57">
            <v>1</v>
          </cell>
          <cell r="I57">
            <v>4</v>
          </cell>
          <cell r="J57">
            <v>0</v>
          </cell>
          <cell r="K57">
            <v>0</v>
          </cell>
          <cell r="L57">
            <v>1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1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1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7165</v>
          </cell>
          <cell r="AN57">
            <v>6.16</v>
          </cell>
          <cell r="AO57" t="e">
            <v>#N/A</v>
          </cell>
          <cell r="AP57" t="str">
            <v>אלתא</v>
          </cell>
          <cell r="AQ57">
            <v>1</v>
          </cell>
          <cell r="AR57">
            <v>3</v>
          </cell>
          <cell r="AT57" t="str">
            <v xml:space="preserve">
</v>
          </cell>
          <cell r="AW57">
            <v>3</v>
          </cell>
          <cell r="AX57">
            <v>3.08</v>
          </cell>
          <cell r="AY57" t="str">
            <v>USD</v>
          </cell>
          <cell r="AZ57" t="str">
            <v>CL918 Wave Mechanics Private Limited</v>
          </cell>
          <cell r="BB57" t="str">
            <v>91-80-2839-8497</v>
          </cell>
          <cell r="BC57" t="str">
            <v>tnp@wave-mechanics.com</v>
          </cell>
        </row>
        <row r="58">
          <cell r="D58">
            <v>403581663</v>
          </cell>
          <cell r="F58" t="str">
            <v>WEDGE B</v>
          </cell>
          <cell r="G58" t="str">
            <v>EA</v>
          </cell>
          <cell r="H58">
            <v>1</v>
          </cell>
          <cell r="I58">
            <v>8</v>
          </cell>
          <cell r="J58">
            <v>0</v>
          </cell>
          <cell r="K58">
            <v>2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2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2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2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4</v>
          </cell>
          <cell r="AM58">
            <v>14330</v>
          </cell>
          <cell r="AN58">
            <v>6.96</v>
          </cell>
          <cell r="AO58" t="e">
            <v>#N/A</v>
          </cell>
          <cell r="AP58" t="str">
            <v>אלתא</v>
          </cell>
          <cell r="AQ58" t="str">
            <v>ME TAL</v>
          </cell>
          <cell r="AR58">
            <v>1.7</v>
          </cell>
          <cell r="AT58" t="str">
            <v xml:space="preserve">
</v>
          </cell>
          <cell r="AW58">
            <v>1.7</v>
          </cell>
          <cell r="AX58">
            <v>1.74</v>
          </cell>
          <cell r="AY58" t="str">
            <v>USD</v>
          </cell>
          <cell r="AZ58" t="str">
            <v>CL918 Wave Mechanics Private Limited</v>
          </cell>
          <cell r="BB58" t="str">
            <v>91-80-2839-8497</v>
          </cell>
          <cell r="BC58" t="str">
            <v>tnp@wave-mechanics.com</v>
          </cell>
        </row>
        <row r="59">
          <cell r="D59">
            <v>403581662</v>
          </cell>
          <cell r="F59" t="str">
            <v>WEDGE A</v>
          </cell>
          <cell r="G59" t="str">
            <v>EA</v>
          </cell>
          <cell r="H59">
            <v>1</v>
          </cell>
          <cell r="I59">
            <v>8</v>
          </cell>
          <cell r="J59">
            <v>0</v>
          </cell>
          <cell r="K59">
            <v>2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2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2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2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4</v>
          </cell>
          <cell r="AM59">
            <v>14330</v>
          </cell>
          <cell r="AN59">
            <v>6.04</v>
          </cell>
          <cell r="AO59" t="e">
            <v>#N/A</v>
          </cell>
          <cell r="AP59" t="str">
            <v>אלתא</v>
          </cell>
          <cell r="AQ59" t="str">
            <v>ME TAL</v>
          </cell>
          <cell r="AR59">
            <v>1.47</v>
          </cell>
          <cell r="AT59" t="str">
            <v xml:space="preserve">
</v>
          </cell>
          <cell r="AW59">
            <v>1.47</v>
          </cell>
          <cell r="AX59">
            <v>1.51</v>
          </cell>
          <cell r="AY59" t="str">
            <v>USD</v>
          </cell>
          <cell r="AZ59" t="str">
            <v>CL918 Wave Mechanics Private Limited</v>
          </cell>
          <cell r="BB59" t="str">
            <v>03-9025354</v>
          </cell>
          <cell r="BC59" t="str">
            <v>tnp@wave-mechanics.com</v>
          </cell>
        </row>
        <row r="60">
          <cell r="D60">
            <v>422348364</v>
          </cell>
          <cell r="F60" t="str">
            <v>PC ASSY DRM CONTROLER NG 400</v>
          </cell>
          <cell r="G60" t="str">
            <v>EA</v>
          </cell>
          <cell r="H60">
            <v>1</v>
          </cell>
          <cell r="I60">
            <v>2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1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1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1</v>
          </cell>
          <cell r="AM60">
            <v>4390</v>
          </cell>
          <cell r="AN60">
            <v>0</v>
          </cell>
          <cell r="AO60" t="str">
            <v>ASSY</v>
          </cell>
          <cell r="AP60" t="str">
            <v>הרכבה</v>
          </cell>
          <cell r="AQ60" t="str">
            <v>ASSY</v>
          </cell>
          <cell r="AR60">
            <v>0</v>
          </cell>
          <cell r="AT60" t="str">
            <v xml:space="preserve">Y
</v>
          </cell>
          <cell r="AW60">
            <v>0</v>
          </cell>
          <cell r="AY60" t="str">
            <v>USD</v>
          </cell>
        </row>
        <row r="61">
          <cell r="D61">
            <v>408113890</v>
          </cell>
          <cell r="F61" t="str">
            <v>DRM F/ASSY</v>
          </cell>
          <cell r="G61" t="str">
            <v>EA</v>
          </cell>
          <cell r="H61">
            <v>1</v>
          </cell>
          <cell r="I61">
            <v>1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1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1</v>
          </cell>
          <cell r="AM61">
            <v>1930</v>
          </cell>
          <cell r="AN61">
            <v>0</v>
          </cell>
          <cell r="AO61" t="str">
            <v>ASSY</v>
          </cell>
          <cell r="AP61" t="str">
            <v>הרכבה</v>
          </cell>
          <cell r="AQ61" t="str">
            <v>ASSY</v>
          </cell>
          <cell r="AR61">
            <v>0</v>
          </cell>
          <cell r="AT61" t="str">
            <v xml:space="preserve">
</v>
          </cell>
          <cell r="AY61" t="str">
            <v>USD</v>
          </cell>
        </row>
        <row r="62">
          <cell r="D62">
            <v>411263672</v>
          </cell>
          <cell r="F62" t="str">
            <v>PS ASSY RX</v>
          </cell>
          <cell r="G62" t="str">
            <v>EA</v>
          </cell>
          <cell r="H62">
            <v>1</v>
          </cell>
          <cell r="I62">
            <v>1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1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1</v>
          </cell>
          <cell r="AM62">
            <v>1930</v>
          </cell>
          <cell r="AN62">
            <v>0</v>
          </cell>
          <cell r="AO62" t="str">
            <v>ASSY</v>
          </cell>
          <cell r="AP62" t="str">
            <v>הרכבה</v>
          </cell>
          <cell r="AQ62" t="str">
            <v>ASSY</v>
          </cell>
          <cell r="AR62">
            <v>0</v>
          </cell>
          <cell r="AT62" t="str">
            <v xml:space="preserve">
</v>
          </cell>
          <cell r="AW62">
            <v>0</v>
          </cell>
          <cell r="AY62" t="str">
            <v>USD</v>
          </cell>
        </row>
        <row r="63">
          <cell r="D63">
            <v>403581656</v>
          </cell>
          <cell r="F63" t="str">
            <v>SCREW 4-40 L150</v>
          </cell>
          <cell r="G63" t="str">
            <v>EA</v>
          </cell>
          <cell r="H63">
            <v>1</v>
          </cell>
          <cell r="I63">
            <v>8</v>
          </cell>
          <cell r="J63">
            <v>0</v>
          </cell>
          <cell r="K63">
            <v>2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2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2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2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4</v>
          </cell>
          <cell r="AM63">
            <v>14330</v>
          </cell>
          <cell r="AN63">
            <v>13.52</v>
          </cell>
          <cell r="AO63" t="e">
            <v>#N/A</v>
          </cell>
          <cell r="AP63" t="str">
            <v>אלתא</v>
          </cell>
          <cell r="AQ63" t="str">
            <v>AHARAT LTD</v>
          </cell>
          <cell r="AR63">
            <v>3.3</v>
          </cell>
          <cell r="AT63" t="str">
            <v xml:space="preserve">
</v>
          </cell>
          <cell r="AW63">
            <v>3.3</v>
          </cell>
          <cell r="AX63">
            <v>3.38</v>
          </cell>
          <cell r="AY63" t="str">
            <v>USD</v>
          </cell>
          <cell r="AZ63" t="str">
            <v>CL918 Wave Mechanics Private Limited</v>
          </cell>
          <cell r="BB63" t="str">
            <v>91-80-2839-8497</v>
          </cell>
          <cell r="BC63" t="str">
            <v>tnp@wave-mechanics.com</v>
          </cell>
        </row>
        <row r="64">
          <cell r="D64">
            <v>411160563</v>
          </cell>
          <cell r="F64" t="str">
            <v>BOX MACHINING</v>
          </cell>
          <cell r="G64" t="str">
            <v>EA</v>
          </cell>
          <cell r="H64">
            <v>1</v>
          </cell>
          <cell r="I64">
            <v>4</v>
          </cell>
          <cell r="J64">
            <v>0</v>
          </cell>
          <cell r="K64">
            <v>0</v>
          </cell>
          <cell r="L64">
            <v>1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1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1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1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7165</v>
          </cell>
          <cell r="AN64">
            <v>94.3</v>
          </cell>
          <cell r="AO64" t="e">
            <v>#N/A</v>
          </cell>
          <cell r="AP64" t="str">
            <v>אלתא</v>
          </cell>
          <cell r="AQ64">
            <v>1</v>
          </cell>
          <cell r="AR64">
            <v>46</v>
          </cell>
          <cell r="AT64" t="str">
            <v xml:space="preserve">
</v>
          </cell>
          <cell r="AW64">
            <v>46</v>
          </cell>
          <cell r="AX64">
            <v>47.15</v>
          </cell>
          <cell r="AY64" t="str">
            <v>USD</v>
          </cell>
          <cell r="AZ64" t="str">
            <v>CL918 Wave Mechanics Private Limited</v>
          </cell>
          <cell r="BB64" t="str">
            <v>91-80-2839-8497</v>
          </cell>
          <cell r="BC64" t="str">
            <v>tnp@wave-mechanics.com</v>
          </cell>
        </row>
        <row r="65">
          <cell r="D65">
            <v>411235298</v>
          </cell>
          <cell r="F65" t="str">
            <v>RX ASSY</v>
          </cell>
          <cell r="G65" t="str">
            <v>EA</v>
          </cell>
          <cell r="H65">
            <v>1</v>
          </cell>
          <cell r="I65">
            <v>1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1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1930</v>
          </cell>
          <cell r="AN65">
            <v>0</v>
          </cell>
          <cell r="AO65" t="str">
            <v>ASSY</v>
          </cell>
          <cell r="AP65" t="str">
            <v>הרכבה</v>
          </cell>
          <cell r="AQ65" t="str">
            <v>ASSY</v>
          </cell>
          <cell r="AR65">
            <v>0</v>
          </cell>
          <cell r="AT65" t="str">
            <v xml:space="preserve">Y
</v>
          </cell>
          <cell r="AW65">
            <v>0</v>
          </cell>
          <cell r="AY65" t="str">
            <v>USD</v>
          </cell>
        </row>
        <row r="66">
          <cell r="D66">
            <v>410773154</v>
          </cell>
          <cell r="F66" t="str">
            <v>SPACER DIAM 4X2</v>
          </cell>
          <cell r="G66" t="str">
            <v>EA</v>
          </cell>
          <cell r="H66">
            <v>1</v>
          </cell>
          <cell r="I66">
            <v>18</v>
          </cell>
          <cell r="J66">
            <v>0</v>
          </cell>
          <cell r="K66">
            <v>0</v>
          </cell>
          <cell r="L66">
            <v>4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5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5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4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33050</v>
          </cell>
          <cell r="AN66">
            <v>4.59</v>
          </cell>
          <cell r="AO66" t="e">
            <v>#N/A</v>
          </cell>
          <cell r="AP66" t="str">
            <v>אלתא</v>
          </cell>
          <cell r="AQ66" t="str">
            <v>OR-DIYUK INDUSTRIES LTD</v>
          </cell>
          <cell r="AR66">
            <v>0.5</v>
          </cell>
          <cell r="AT66" t="str">
            <v xml:space="preserve">
</v>
          </cell>
          <cell r="AW66">
            <v>0.5</v>
          </cell>
          <cell r="AX66">
            <v>0.51</v>
          </cell>
          <cell r="AY66" t="str">
            <v>USD</v>
          </cell>
          <cell r="AZ66" t="str">
            <v>CL918 Wave Mechanics Private Limited</v>
          </cell>
          <cell r="BB66" t="str">
            <v>91-80-2839-8497</v>
          </cell>
          <cell r="BC66" t="str">
            <v>tnp@wave-mechanics.com</v>
          </cell>
        </row>
        <row r="67">
          <cell r="D67">
            <v>411179616</v>
          </cell>
          <cell r="F67" t="str">
            <v>BRACKET</v>
          </cell>
          <cell r="G67" t="str">
            <v>EA</v>
          </cell>
          <cell r="H67">
            <v>1</v>
          </cell>
          <cell r="I67">
            <v>4</v>
          </cell>
          <cell r="J67">
            <v>0</v>
          </cell>
          <cell r="K67">
            <v>1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1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1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1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2</v>
          </cell>
          <cell r="AM67">
            <v>7165</v>
          </cell>
          <cell r="AN67">
            <v>7.18</v>
          </cell>
          <cell r="AO67" t="e">
            <v>#N/A</v>
          </cell>
          <cell r="AP67" t="str">
            <v>אלתא</v>
          </cell>
          <cell r="AQ67" t="str">
            <v>BENHAMO AHARON</v>
          </cell>
          <cell r="AR67">
            <v>3.5</v>
          </cell>
          <cell r="AT67" t="str">
            <v xml:space="preserve">
</v>
          </cell>
          <cell r="AW67">
            <v>3.5</v>
          </cell>
          <cell r="AX67">
            <v>3.59</v>
          </cell>
          <cell r="AY67" t="str">
            <v>USD</v>
          </cell>
          <cell r="AZ67" t="str">
            <v>CL918 Wave Mechanics Private Limited</v>
          </cell>
          <cell r="BB67" t="str">
            <v>91-80-2839-8497</v>
          </cell>
          <cell r="BC67" t="str">
            <v>tnp@wave-mechanics.com</v>
          </cell>
        </row>
        <row r="68">
          <cell r="D68">
            <v>417679932</v>
          </cell>
          <cell r="F68" t="str">
            <v>INSIDE COVER</v>
          </cell>
          <cell r="G68" t="str">
            <v>EA</v>
          </cell>
          <cell r="H68">
            <v>1</v>
          </cell>
          <cell r="I68">
            <v>4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1</v>
          </cell>
          <cell r="R68">
            <v>0</v>
          </cell>
          <cell r="S68">
            <v>0</v>
          </cell>
          <cell r="T68">
            <v>1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1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1</v>
          </cell>
          <cell r="AK68">
            <v>0</v>
          </cell>
          <cell r="AL68">
            <v>1</v>
          </cell>
          <cell r="AM68">
            <v>7165</v>
          </cell>
          <cell r="AN68">
            <v>49.2</v>
          </cell>
          <cell r="AO68" t="e">
            <v>#N/A</v>
          </cell>
          <cell r="AP68" t="str">
            <v>אלתא</v>
          </cell>
          <cell r="AQ68">
            <v>1</v>
          </cell>
          <cell r="AR68">
            <v>24</v>
          </cell>
          <cell r="AT68" t="str">
            <v xml:space="preserve">
</v>
          </cell>
          <cell r="AW68">
            <v>24</v>
          </cell>
          <cell r="AX68">
            <v>24.6</v>
          </cell>
          <cell r="AY68" t="str">
            <v>USD</v>
          </cell>
          <cell r="AZ68" t="str">
            <v>CL918 Wave Mechanics Private Limited</v>
          </cell>
          <cell r="BB68" t="str">
            <v>91-80-2839-8497</v>
          </cell>
          <cell r="BC68" t="str">
            <v>tnp@wave-mechanics.com</v>
          </cell>
        </row>
        <row r="69">
          <cell r="D69">
            <v>418707643</v>
          </cell>
          <cell r="F69" t="str">
            <v>PC ASSY PA CR</v>
          </cell>
          <cell r="G69" t="str">
            <v>EA</v>
          </cell>
          <cell r="H69">
            <v>1</v>
          </cell>
          <cell r="I69">
            <v>1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1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625</v>
          </cell>
          <cell r="AN69">
            <v>0</v>
          </cell>
          <cell r="AO69" t="str">
            <v>ASSY</v>
          </cell>
          <cell r="AP69" t="str">
            <v>הרכבה</v>
          </cell>
          <cell r="AQ69" t="str">
            <v>ASSY</v>
          </cell>
          <cell r="AR69">
            <v>0</v>
          </cell>
          <cell r="AT69" t="str">
            <v xml:space="preserve">Y
</v>
          </cell>
          <cell r="AW69">
            <v>0</v>
          </cell>
          <cell r="AY69" t="str">
            <v>USD</v>
          </cell>
        </row>
        <row r="70">
          <cell r="D70">
            <v>418238655</v>
          </cell>
          <cell r="F70" t="str">
            <v>CAPASITORS CALIBRATION KIT</v>
          </cell>
          <cell r="G70" t="str">
            <v>EA</v>
          </cell>
          <cell r="H70">
            <v>1</v>
          </cell>
          <cell r="I70">
            <v>2</v>
          </cell>
          <cell r="J70">
            <v>0</v>
          </cell>
          <cell r="K70">
            <v>0</v>
          </cell>
          <cell r="L70">
            <v>0</v>
          </cell>
          <cell r="M70">
            <v>1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1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2775</v>
          </cell>
          <cell r="AN70">
            <v>0</v>
          </cell>
          <cell r="AO70" t="str">
            <v>ASSY</v>
          </cell>
          <cell r="AP70" t="str">
            <v>הרכבה</v>
          </cell>
          <cell r="AQ70" t="str">
            <v>ASSY</v>
          </cell>
          <cell r="AR70">
            <v>0</v>
          </cell>
          <cell r="AT70" t="str">
            <v xml:space="preserve">
</v>
          </cell>
          <cell r="AY70" t="str">
            <v>USD</v>
          </cell>
        </row>
        <row r="71">
          <cell r="D71">
            <v>411179618</v>
          </cell>
          <cell r="F71" t="str">
            <v>0-80 NUT</v>
          </cell>
          <cell r="G71" t="str">
            <v>EA</v>
          </cell>
          <cell r="H71">
            <v>1</v>
          </cell>
          <cell r="I71">
            <v>8</v>
          </cell>
          <cell r="J71">
            <v>0</v>
          </cell>
          <cell r="K71">
            <v>2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2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2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2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4</v>
          </cell>
          <cell r="AM71">
            <v>14330</v>
          </cell>
          <cell r="AN71">
            <v>4.92</v>
          </cell>
          <cell r="AO71" t="e">
            <v>#N/A</v>
          </cell>
          <cell r="AP71" t="str">
            <v>אלתא</v>
          </cell>
          <cell r="AQ71" t="str">
            <v>AHARAT LTD</v>
          </cell>
          <cell r="AR71">
            <v>1.2</v>
          </cell>
          <cell r="AT71" t="str">
            <v xml:space="preserve">
</v>
          </cell>
          <cell r="AW71">
            <v>1.2</v>
          </cell>
          <cell r="AX71">
            <v>1.23</v>
          </cell>
          <cell r="AY71" t="str">
            <v>USD</v>
          </cell>
          <cell r="AZ71" t="str">
            <v>CL918 Wave Mechanics Private Limited</v>
          </cell>
          <cell r="BB71" t="str">
            <v>91-80-2839-8497</v>
          </cell>
          <cell r="BC71" t="str">
            <v>tnp@wave-mechanics.com</v>
          </cell>
        </row>
        <row r="72">
          <cell r="D72">
            <v>411179617</v>
          </cell>
          <cell r="F72" t="str">
            <v>WEDGE</v>
          </cell>
          <cell r="G72" t="str">
            <v>EA</v>
          </cell>
          <cell r="H72">
            <v>1</v>
          </cell>
          <cell r="I72">
            <v>8</v>
          </cell>
          <cell r="J72">
            <v>0</v>
          </cell>
          <cell r="K72">
            <v>2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2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2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2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4</v>
          </cell>
          <cell r="AM72">
            <v>14330</v>
          </cell>
          <cell r="AN72">
            <v>9.24</v>
          </cell>
          <cell r="AO72" t="e">
            <v>#N/A</v>
          </cell>
          <cell r="AP72" t="str">
            <v>אלתא</v>
          </cell>
          <cell r="AQ72">
            <v>1</v>
          </cell>
          <cell r="AR72">
            <v>2.25</v>
          </cell>
          <cell r="AT72" t="str">
            <v xml:space="preserve">
</v>
          </cell>
          <cell r="AW72">
            <v>2.25</v>
          </cell>
          <cell r="AX72">
            <v>2.31</v>
          </cell>
          <cell r="AY72" t="str">
            <v>USD</v>
          </cell>
          <cell r="AZ72" t="str">
            <v>CL918 Wave Mechanics Private Limited</v>
          </cell>
          <cell r="BB72" t="str">
            <v>91-80-2839-8497</v>
          </cell>
          <cell r="BC72" t="str">
            <v>tnp@wave-mechanics.com</v>
          </cell>
        </row>
        <row r="73">
          <cell r="D73">
            <v>415630145</v>
          </cell>
          <cell r="F73" t="str">
            <v>DTRM CAPACITOR BANK CARD BRACKET</v>
          </cell>
          <cell r="G73" t="str">
            <v>EA</v>
          </cell>
          <cell r="H73">
            <v>1</v>
          </cell>
          <cell r="I73">
            <v>2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1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1</v>
          </cell>
          <cell r="AJ73">
            <v>0</v>
          </cell>
          <cell r="AK73">
            <v>0</v>
          </cell>
          <cell r="AL73">
            <v>0</v>
          </cell>
          <cell r="AM73">
            <v>2775</v>
          </cell>
          <cell r="AN73">
            <v>7.38</v>
          </cell>
          <cell r="AO73" t="e">
            <v>#N/A</v>
          </cell>
          <cell r="AP73" t="str">
            <v>אלתא</v>
          </cell>
          <cell r="AQ73">
            <v>1</v>
          </cell>
          <cell r="AR73">
            <v>7.2</v>
          </cell>
          <cell r="AT73" t="str">
            <v xml:space="preserve">
</v>
          </cell>
          <cell r="AW73">
            <v>7.2</v>
          </cell>
          <cell r="AX73">
            <v>7.38</v>
          </cell>
          <cell r="AY73" t="str">
            <v>USD</v>
          </cell>
          <cell r="AZ73" t="str">
            <v>CL918 Wave Mechanics Private Limited</v>
          </cell>
          <cell r="BB73" t="str">
            <v>91-80-2839-8497</v>
          </cell>
          <cell r="BC73" t="str">
            <v>tnp@wave-mechanics.com</v>
          </cell>
        </row>
        <row r="74">
          <cell r="D74">
            <v>408929148</v>
          </cell>
          <cell r="F74" t="str">
            <v>CONN 2 PIN</v>
          </cell>
          <cell r="G74" t="str">
            <v>EA</v>
          </cell>
          <cell r="H74">
            <v>1</v>
          </cell>
          <cell r="I74">
            <v>2</v>
          </cell>
          <cell r="J74">
            <v>0</v>
          </cell>
          <cell r="K74">
            <v>0</v>
          </cell>
          <cell r="L74">
            <v>1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1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2775</v>
          </cell>
          <cell r="AN74">
            <v>12.3</v>
          </cell>
          <cell r="AO74" t="e">
            <v>#N/A</v>
          </cell>
          <cell r="AP74" t="str">
            <v>אלתא</v>
          </cell>
          <cell r="AQ74" t="str">
            <v>ANDRE MACHINING LTD</v>
          </cell>
          <cell r="AR74">
            <v>12</v>
          </cell>
          <cell r="AT74" t="str">
            <v xml:space="preserve">
</v>
          </cell>
          <cell r="AW74">
            <v>12</v>
          </cell>
          <cell r="AX74">
            <v>12.3</v>
          </cell>
          <cell r="AY74" t="str">
            <v>USD</v>
          </cell>
          <cell r="AZ74" t="str">
            <v>CL918 Wave Mechanics Private Limited</v>
          </cell>
          <cell r="BB74" t="str">
            <v>91-80-2839-8497</v>
          </cell>
          <cell r="BC74" t="str">
            <v>tnp@wave-mechanics.com</v>
          </cell>
        </row>
        <row r="75">
          <cell r="D75">
            <v>2</v>
          </cell>
          <cell r="F75" t="str">
            <v>BLUE DTRM F/ASSY</v>
          </cell>
          <cell r="G75" t="str">
            <v>EA</v>
          </cell>
          <cell r="H75">
            <v>1</v>
          </cell>
          <cell r="I75">
            <v>1</v>
          </cell>
          <cell r="J75">
            <v>1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2150</v>
          </cell>
          <cell r="AN75">
            <v>0</v>
          </cell>
          <cell r="AO75" t="str">
            <v>ASSY</v>
          </cell>
          <cell r="AP75" t="str">
            <v>הרכבה</v>
          </cell>
          <cell r="AQ75" t="str">
            <v>ASSY</v>
          </cell>
          <cell r="AR75">
            <v>0</v>
          </cell>
          <cell r="AT75" t="str">
            <v xml:space="preserve">
</v>
          </cell>
          <cell r="AY75" t="str">
            <v>USD</v>
          </cell>
        </row>
        <row r="76">
          <cell r="D76">
            <v>3</v>
          </cell>
          <cell r="F76" t="str">
            <v>BLUE DTRM PA ASSY</v>
          </cell>
          <cell r="G76" t="str">
            <v>EA</v>
          </cell>
          <cell r="H76">
            <v>1</v>
          </cell>
          <cell r="I76">
            <v>1</v>
          </cell>
          <cell r="J76">
            <v>0</v>
          </cell>
          <cell r="K76">
            <v>1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2150</v>
          </cell>
          <cell r="AN76">
            <v>0</v>
          </cell>
          <cell r="AO76" t="str">
            <v>ASSY</v>
          </cell>
          <cell r="AP76" t="str">
            <v>הרכבה</v>
          </cell>
          <cell r="AQ76" t="str">
            <v>ASSY</v>
          </cell>
          <cell r="AR76">
            <v>0</v>
          </cell>
          <cell r="AT76" t="str">
            <v xml:space="preserve">
</v>
          </cell>
          <cell r="AY76" t="str">
            <v>USD</v>
          </cell>
        </row>
        <row r="77">
          <cell r="D77">
            <v>4</v>
          </cell>
          <cell r="F77" t="str">
            <v>BLUE DTRM PA PC-ASSY</v>
          </cell>
          <cell r="G77" t="str">
            <v>EA</v>
          </cell>
          <cell r="H77">
            <v>1</v>
          </cell>
          <cell r="I77">
            <v>1</v>
          </cell>
          <cell r="J77">
            <v>0</v>
          </cell>
          <cell r="K77">
            <v>0</v>
          </cell>
          <cell r="L77">
            <v>1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2150</v>
          </cell>
          <cell r="AN77">
            <v>0</v>
          </cell>
          <cell r="AO77" t="str">
            <v>ASSY</v>
          </cell>
          <cell r="AP77" t="str">
            <v>הרכבה</v>
          </cell>
          <cell r="AQ77" t="str">
            <v>ASSY</v>
          </cell>
          <cell r="AR77">
            <v>0</v>
          </cell>
          <cell r="AT77" t="str">
            <v xml:space="preserve">
</v>
          </cell>
          <cell r="AY77" t="str">
            <v>USD</v>
          </cell>
        </row>
        <row r="78">
          <cell r="D78">
            <v>412298871</v>
          </cell>
          <cell r="F78" t="str">
            <v>SUPPORT</v>
          </cell>
          <cell r="G78" t="str">
            <v>EA</v>
          </cell>
          <cell r="H78">
            <v>1</v>
          </cell>
          <cell r="I78">
            <v>8</v>
          </cell>
          <cell r="J78">
            <v>0</v>
          </cell>
          <cell r="K78">
            <v>0</v>
          </cell>
          <cell r="L78">
            <v>4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4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11100</v>
          </cell>
          <cell r="AN78">
            <v>9.0399999999999991</v>
          </cell>
          <cell r="AO78" t="e">
            <v>#N/A</v>
          </cell>
          <cell r="AP78" t="str">
            <v>אלתא</v>
          </cell>
          <cell r="AQ78" t="str">
            <v>BENHAMO AHARON</v>
          </cell>
          <cell r="AR78">
            <v>2.2000000000000002</v>
          </cell>
          <cell r="AT78" t="str">
            <v xml:space="preserve">
</v>
          </cell>
          <cell r="AW78">
            <v>2.2000000000000002</v>
          </cell>
          <cell r="AX78">
            <v>2.2599999999999998</v>
          </cell>
          <cell r="AY78" t="str">
            <v>USD</v>
          </cell>
          <cell r="AZ78" t="str">
            <v>CL918 Wave Mechanics Private Limited</v>
          </cell>
          <cell r="BB78" t="str">
            <v>91-80-2839-8497</v>
          </cell>
          <cell r="BC78" t="str">
            <v>tnp@wave-mechanics.com</v>
          </cell>
        </row>
        <row r="79">
          <cell r="D79">
            <v>416606164</v>
          </cell>
          <cell r="F79" t="str">
            <v>IND SPACER</v>
          </cell>
          <cell r="G79" t="str">
            <v>EA</v>
          </cell>
          <cell r="H79">
            <v>1</v>
          </cell>
          <cell r="I79">
            <v>4</v>
          </cell>
          <cell r="J79">
            <v>0</v>
          </cell>
          <cell r="K79">
            <v>0</v>
          </cell>
          <cell r="L79">
            <v>2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2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5550</v>
          </cell>
          <cell r="AN79">
            <v>15.8</v>
          </cell>
          <cell r="AO79" t="e">
            <v>#N/A</v>
          </cell>
          <cell r="AP79" t="str">
            <v>אלתא</v>
          </cell>
          <cell r="AQ79" t="str">
            <v>NORTEC INTERNATIONAL LTD</v>
          </cell>
          <cell r="AR79">
            <v>1.65</v>
          </cell>
          <cell r="AT79" t="str">
            <v xml:space="preserve">
</v>
          </cell>
          <cell r="AW79">
            <v>1.65</v>
          </cell>
          <cell r="AX79">
            <v>7.9</v>
          </cell>
          <cell r="AY79" t="str">
            <v>USD</v>
          </cell>
          <cell r="AZ79" t="str">
            <v>IU032 פרונת תעשיות בע"מ</v>
          </cell>
          <cell r="BB79" t="str">
            <v>04-6286888</v>
          </cell>
          <cell r="BC79" t="str">
            <v>sales@pronat.co.il</v>
          </cell>
          <cell r="BD79" t="str">
            <v xml:space="preserve">לא להניע רכש עד קבלת אישור מניב. </v>
          </cell>
        </row>
        <row r="80">
          <cell r="D80">
            <v>10</v>
          </cell>
          <cell r="F80" t="str">
            <v>BLUE DRM F/ASSY</v>
          </cell>
          <cell r="G80" t="str">
            <v>EA</v>
          </cell>
          <cell r="H80">
            <v>1</v>
          </cell>
          <cell r="I80">
            <v>1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1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2460</v>
          </cell>
          <cell r="AN80">
            <v>0</v>
          </cell>
          <cell r="AO80" t="str">
            <v>ASSY</v>
          </cell>
          <cell r="AP80" t="str">
            <v>הרכבה</v>
          </cell>
          <cell r="AQ80" t="str">
            <v>ASSY</v>
          </cell>
          <cell r="AR80">
            <v>0</v>
          </cell>
          <cell r="AT80" t="str">
            <v xml:space="preserve">
</v>
          </cell>
          <cell r="AY80" t="str">
            <v>USD</v>
          </cell>
        </row>
        <row r="81">
          <cell r="D81">
            <v>11</v>
          </cell>
          <cell r="F81" t="str">
            <v>BLUE DRM RX ASSY</v>
          </cell>
          <cell r="G81" t="str">
            <v>EA</v>
          </cell>
          <cell r="H81">
            <v>1</v>
          </cell>
          <cell r="I81">
            <v>1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1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2460</v>
          </cell>
          <cell r="AN81">
            <v>0</v>
          </cell>
          <cell r="AO81" t="str">
            <v>ASSY</v>
          </cell>
          <cell r="AP81" t="str">
            <v>הרכבה</v>
          </cell>
          <cell r="AQ81" t="str">
            <v>ASSY</v>
          </cell>
          <cell r="AR81">
            <v>0</v>
          </cell>
          <cell r="AT81" t="str">
            <v xml:space="preserve">
</v>
          </cell>
          <cell r="AY81" t="str">
            <v>USD</v>
          </cell>
        </row>
        <row r="82">
          <cell r="D82">
            <v>12</v>
          </cell>
          <cell r="F82" t="str">
            <v>BLUE DRM RX PC-ASSY</v>
          </cell>
          <cell r="G82" t="str">
            <v>EA</v>
          </cell>
          <cell r="H82">
            <v>1</v>
          </cell>
          <cell r="I82">
            <v>1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1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2460</v>
          </cell>
          <cell r="AN82">
            <v>0</v>
          </cell>
          <cell r="AO82" t="str">
            <v>ASSY</v>
          </cell>
          <cell r="AP82" t="str">
            <v>הרכבה</v>
          </cell>
          <cell r="AQ82" t="str">
            <v>ASSY</v>
          </cell>
          <cell r="AR82">
            <v>0</v>
          </cell>
          <cell r="AT82" t="str">
            <v xml:space="preserve">
</v>
          </cell>
          <cell r="AY82" t="str">
            <v>USD</v>
          </cell>
        </row>
        <row r="83">
          <cell r="D83">
            <v>408602563</v>
          </cell>
          <cell r="F83" t="str">
            <v>F/A S-BAND 200W Limiter</v>
          </cell>
          <cell r="G83" t="str">
            <v>EA</v>
          </cell>
          <cell r="H83">
            <v>1</v>
          </cell>
          <cell r="I83">
            <v>4</v>
          </cell>
          <cell r="J83">
            <v>0</v>
          </cell>
          <cell r="K83">
            <v>0</v>
          </cell>
          <cell r="L83">
            <v>0</v>
          </cell>
          <cell r="M83">
            <v>2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2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9220</v>
          </cell>
          <cell r="AN83">
            <v>0</v>
          </cell>
          <cell r="AO83" t="str">
            <v>BFE</v>
          </cell>
          <cell r="AP83" t="str">
            <v>אלתא</v>
          </cell>
          <cell r="AQ83" t="str">
            <v>אלתא</v>
          </cell>
          <cell r="AR83">
            <v>0</v>
          </cell>
          <cell r="AT83" t="str">
            <v xml:space="preserve">
</v>
          </cell>
          <cell r="AY83" t="str">
            <v>USD</v>
          </cell>
        </row>
        <row r="84">
          <cell r="D84">
            <v>409419840</v>
          </cell>
          <cell r="F84" t="str">
            <v>PACKAGED ASSY 400W W</v>
          </cell>
          <cell r="G84" t="str">
            <v>EA</v>
          </cell>
          <cell r="H84">
            <v>1</v>
          </cell>
          <cell r="I84">
            <v>2</v>
          </cell>
          <cell r="J84">
            <v>0</v>
          </cell>
          <cell r="K84">
            <v>0</v>
          </cell>
          <cell r="L84">
            <v>2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4300</v>
          </cell>
          <cell r="AN84">
            <v>0</v>
          </cell>
          <cell r="AO84" t="str">
            <v>BFE</v>
          </cell>
          <cell r="AP84" t="str">
            <v>אלתא</v>
          </cell>
          <cell r="AQ84" t="str">
            <v>אלתא</v>
          </cell>
          <cell r="AR84">
            <v>307</v>
          </cell>
          <cell r="AT84" t="str">
            <v xml:space="preserve">
</v>
          </cell>
          <cell r="AY84" t="str">
            <v>USD</v>
          </cell>
        </row>
        <row r="85">
          <cell r="D85">
            <v>412594024</v>
          </cell>
          <cell r="F85" t="str">
            <v>S-BAND MFC F/ASSY</v>
          </cell>
          <cell r="G85" t="str">
            <v>EA</v>
          </cell>
          <cell r="H85">
            <v>1</v>
          </cell>
          <cell r="I85">
            <v>4</v>
          </cell>
          <cell r="J85">
            <v>0</v>
          </cell>
          <cell r="K85">
            <v>0</v>
          </cell>
          <cell r="L85">
            <v>0</v>
          </cell>
          <cell r="M85">
            <v>2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2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5550</v>
          </cell>
          <cell r="AN85">
            <v>0</v>
          </cell>
          <cell r="AO85" t="str">
            <v>BFE</v>
          </cell>
          <cell r="AP85" t="str">
            <v>אלתא</v>
          </cell>
          <cell r="AQ85" t="str">
            <v>אלתא</v>
          </cell>
          <cell r="AR85">
            <v>0</v>
          </cell>
          <cell r="AT85" t="str">
            <v xml:space="preserve">
</v>
          </cell>
          <cell r="AW85">
            <v>0</v>
          </cell>
          <cell r="AY85" t="str">
            <v>USD</v>
          </cell>
        </row>
        <row r="86">
          <cell r="D86">
            <v>412594026</v>
          </cell>
          <cell r="F86" t="str">
            <v>S-BAND DPS LS F/ASSY</v>
          </cell>
          <cell r="G86" t="str">
            <v>EA</v>
          </cell>
          <cell r="H86">
            <v>1</v>
          </cell>
          <cell r="I86">
            <v>4</v>
          </cell>
          <cell r="J86">
            <v>0</v>
          </cell>
          <cell r="K86">
            <v>0</v>
          </cell>
          <cell r="L86">
            <v>0</v>
          </cell>
          <cell r="M86">
            <v>2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2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5550</v>
          </cell>
          <cell r="AN86">
            <v>0</v>
          </cell>
          <cell r="AO86" t="str">
            <v>BFE</v>
          </cell>
          <cell r="AP86" t="str">
            <v>אלתא</v>
          </cell>
          <cell r="AQ86" t="str">
            <v>אלתא</v>
          </cell>
          <cell r="AR86">
            <v>0</v>
          </cell>
          <cell r="AT86" t="str">
            <v xml:space="preserve">
</v>
          </cell>
          <cell r="AW86">
            <v>0</v>
          </cell>
          <cell r="AY86" t="str">
            <v>USD</v>
          </cell>
        </row>
        <row r="87">
          <cell r="D87">
            <v>412779594</v>
          </cell>
          <cell r="F87" t="str">
            <v>F/ASSY LNA DCA</v>
          </cell>
          <cell r="G87" t="str">
            <v>EA</v>
          </cell>
          <cell r="H87">
            <v>1</v>
          </cell>
          <cell r="I87">
            <v>4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2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2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8780</v>
          </cell>
          <cell r="AN87">
            <v>0</v>
          </cell>
          <cell r="AO87" t="str">
            <v>BFE</v>
          </cell>
          <cell r="AP87" t="str">
            <v>אלתא</v>
          </cell>
          <cell r="AQ87" t="str">
            <v>אלתא</v>
          </cell>
          <cell r="AR87">
            <v>0</v>
          </cell>
          <cell r="AT87" t="str">
            <v xml:space="preserve">
</v>
          </cell>
          <cell r="AW87">
            <v>0</v>
          </cell>
          <cell r="AY87" t="str">
            <v>USD</v>
          </cell>
        </row>
        <row r="88">
          <cell r="D88">
            <v>412779595</v>
          </cell>
          <cell r="F88" t="str">
            <v>F/ASSY PH/SH</v>
          </cell>
          <cell r="G88" t="str">
            <v>EA</v>
          </cell>
          <cell r="H88">
            <v>1</v>
          </cell>
          <cell r="I88">
            <v>4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2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2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8780</v>
          </cell>
          <cell r="AN88">
            <v>0</v>
          </cell>
          <cell r="AO88" t="str">
            <v>BFE</v>
          </cell>
          <cell r="AP88" t="str">
            <v>אלתא</v>
          </cell>
          <cell r="AQ88" t="str">
            <v>אלתא</v>
          </cell>
          <cell r="AR88">
            <v>0</v>
          </cell>
          <cell r="AT88" t="str">
            <v xml:space="preserve">
</v>
          </cell>
          <cell r="AW88">
            <v>0</v>
          </cell>
          <cell r="AY88" t="str">
            <v>USD</v>
          </cell>
        </row>
        <row r="89">
          <cell r="D89">
            <v>404179667</v>
          </cell>
          <cell r="E89">
            <v>415712344</v>
          </cell>
          <cell r="F89" t="str">
            <v>CONN,RF,ADAPTER,RPC-SP PLUG/SMP PLUG,50</v>
          </cell>
          <cell r="G89" t="str">
            <v>EA</v>
          </cell>
          <cell r="H89">
            <v>2</v>
          </cell>
          <cell r="I89">
            <v>8</v>
          </cell>
          <cell r="J89">
            <v>0</v>
          </cell>
          <cell r="K89">
            <v>2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2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2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2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4</v>
          </cell>
          <cell r="AM89">
            <v>14330</v>
          </cell>
          <cell r="AN89">
            <v>12.68</v>
          </cell>
          <cell r="AO89" t="e">
            <v>#N/A</v>
          </cell>
          <cell r="AP89" t="str">
            <v>אלתא</v>
          </cell>
          <cell r="AQ89" t="str">
            <v>M.T.I.LTD</v>
          </cell>
          <cell r="AR89">
            <v>3.2928000000000002</v>
          </cell>
          <cell r="AT89" t="str">
            <v xml:space="preserve">
</v>
          </cell>
          <cell r="AV89">
            <v>15000</v>
          </cell>
          <cell r="AW89">
            <v>3.2928000000000002</v>
          </cell>
          <cell r="AX89">
            <v>3.17</v>
          </cell>
          <cell r="AY89" t="str">
            <v>EUR</v>
          </cell>
          <cell r="AZ89" t="str">
            <v>I6307 מ.ט.י. הנדסה בע"מ</v>
          </cell>
          <cell r="BA89" t="str">
            <v>לימור סלם</v>
          </cell>
          <cell r="BB89">
            <v>507415755</v>
          </cell>
          <cell r="BC89" t="str">
            <v>limors@mtisummit.co.il</v>
          </cell>
        </row>
        <row r="90">
          <cell r="D90">
            <v>405579850</v>
          </cell>
          <cell r="F90" t="str">
            <v>CONN RF BMA PLUG BULKHEAD SOLDER,22 GHZ</v>
          </cell>
          <cell r="G90" t="str">
            <v>EA</v>
          </cell>
          <cell r="H90">
            <v>1</v>
          </cell>
          <cell r="I90">
            <v>8</v>
          </cell>
          <cell r="J90">
            <v>0</v>
          </cell>
          <cell r="K90">
            <v>0</v>
          </cell>
          <cell r="L90">
            <v>2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2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2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2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14330</v>
          </cell>
          <cell r="AN90">
            <v>31.4</v>
          </cell>
          <cell r="AO90" t="e">
            <v>#N/A</v>
          </cell>
          <cell r="AP90" t="str">
            <v>אלתא</v>
          </cell>
          <cell r="AQ90" t="str">
            <v>M.T.I.LTD</v>
          </cell>
          <cell r="AR90">
            <v>8.2940000000000005</v>
          </cell>
          <cell r="AT90" t="str">
            <v xml:space="preserve">
</v>
          </cell>
          <cell r="AV90">
            <v>15000</v>
          </cell>
          <cell r="AW90">
            <v>8.2940000000000005</v>
          </cell>
          <cell r="AX90">
            <v>7.85</v>
          </cell>
          <cell r="AY90" t="str">
            <v>EUR</v>
          </cell>
          <cell r="AZ90" t="str">
            <v>I6307 מ.ט.י. הנדסה בע"מ</v>
          </cell>
          <cell r="BA90" t="str">
            <v>לימור סלם</v>
          </cell>
          <cell r="BB90">
            <v>507415755</v>
          </cell>
          <cell r="BC90" t="str">
            <v>limors@mtisummit.co.il</v>
          </cell>
        </row>
        <row r="91">
          <cell r="D91">
            <v>411067141</v>
          </cell>
          <cell r="F91" t="str">
            <v>CONN RF ADAPTER SPRING SMP(F)/SMP(F)</v>
          </cell>
          <cell r="G91" t="str">
            <v>EA</v>
          </cell>
          <cell r="H91">
            <v>1</v>
          </cell>
          <cell r="I91">
            <v>8</v>
          </cell>
          <cell r="J91">
            <v>0</v>
          </cell>
          <cell r="K91">
            <v>0</v>
          </cell>
          <cell r="L91">
            <v>2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2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2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2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14330</v>
          </cell>
          <cell r="AN91">
            <v>21</v>
          </cell>
          <cell r="AO91" t="e">
            <v>#N/A</v>
          </cell>
          <cell r="AP91" t="str">
            <v>אלתא</v>
          </cell>
          <cell r="AQ91" t="str">
            <v>starlight</v>
          </cell>
          <cell r="AR91">
            <v>5.25</v>
          </cell>
          <cell r="AT91" t="str">
            <v xml:space="preserve">
</v>
          </cell>
          <cell r="AV91">
            <v>14350</v>
          </cell>
          <cell r="AW91">
            <v>5.25</v>
          </cell>
          <cell r="AX91">
            <v>5.25</v>
          </cell>
          <cell r="AY91" t="str">
            <v>USD</v>
          </cell>
          <cell r="AZ91" t="str">
            <v>CQ976 HUANG LIANG TECHNOLOGIES CO.,LTD.</v>
          </cell>
          <cell r="BA91" t="str">
            <v>ADA KHAITOV</v>
          </cell>
          <cell r="BB91">
            <v>544514177</v>
          </cell>
          <cell r="BC91" t="str">
            <v>ada@starlight.co.iL</v>
          </cell>
        </row>
        <row r="92">
          <cell r="D92">
            <v>407566005</v>
          </cell>
          <cell r="F92" t="str">
            <v>CONN RF ADAPTER BMA(F)/BMA(F) STR</v>
          </cell>
          <cell r="G92" t="str">
            <v>EA</v>
          </cell>
          <cell r="H92">
            <v>1</v>
          </cell>
          <cell r="I92">
            <v>8</v>
          </cell>
          <cell r="J92">
            <v>0</v>
          </cell>
          <cell r="K92">
            <v>0</v>
          </cell>
          <cell r="L92">
            <v>2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2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2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2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14330</v>
          </cell>
          <cell r="AN92">
            <v>23</v>
          </cell>
          <cell r="AO92" t="e">
            <v>#N/A</v>
          </cell>
          <cell r="AP92" t="str">
            <v>אלתא</v>
          </cell>
          <cell r="AQ92">
            <v>1</v>
          </cell>
          <cell r="AR92">
            <v>5.75</v>
          </cell>
          <cell r="AT92" t="str">
            <v xml:space="preserve">
</v>
          </cell>
          <cell r="AV92">
            <v>16000</v>
          </cell>
          <cell r="AW92">
            <v>5.75</v>
          </cell>
          <cell r="AX92">
            <v>5.75</v>
          </cell>
          <cell r="AY92" t="str">
            <v>USD</v>
          </cell>
          <cell r="AZ92" t="str">
            <v>CQ976 HUANG LIANG TECHNOLOGIES CO.,LTD.</v>
          </cell>
          <cell r="BA92" t="str">
            <v>ADA KHAITOV</v>
          </cell>
          <cell r="BB92">
            <v>544514177</v>
          </cell>
          <cell r="BC92" t="str">
            <v>ada@starlight.co.iL</v>
          </cell>
        </row>
        <row r="93">
          <cell r="D93">
            <v>404492219</v>
          </cell>
          <cell r="F93" t="str">
            <v>CONN RF SMP STRT PLUG,50OHMS,DC TO 18GH</v>
          </cell>
          <cell r="G93" t="str">
            <v>EA</v>
          </cell>
          <cell r="H93">
            <v>2</v>
          </cell>
          <cell r="I93">
            <v>8</v>
          </cell>
          <cell r="J93">
            <v>0</v>
          </cell>
          <cell r="K93">
            <v>0</v>
          </cell>
          <cell r="L93">
            <v>0</v>
          </cell>
          <cell r="M93">
            <v>2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2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2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2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14330</v>
          </cell>
          <cell r="AN93">
            <v>13.24</v>
          </cell>
          <cell r="AO93" t="str">
            <v>ROSENBERGER</v>
          </cell>
          <cell r="AP93" t="str">
            <v>אופק</v>
          </cell>
          <cell r="AQ93" t="str">
            <v>M.T.I.LTD</v>
          </cell>
          <cell r="AR93">
            <v>2.9420000000000002</v>
          </cell>
          <cell r="AT93" t="str">
            <v xml:space="preserve">
</v>
          </cell>
          <cell r="AU93">
            <v>14400</v>
          </cell>
          <cell r="AV93">
            <v>100</v>
          </cell>
          <cell r="AW93">
            <v>2.9420000000000002</v>
          </cell>
          <cell r="AX93">
            <v>3.31</v>
          </cell>
          <cell r="AY93" t="str">
            <v>USD</v>
          </cell>
          <cell r="AZ93" t="str">
            <v>תומחר על ידי אופק</v>
          </cell>
          <cell r="BA93" t="str">
            <v>מ.ט.י הנדסה</v>
          </cell>
          <cell r="BD93" t="str">
            <v>NCNR
2.81 יורו
מחיר הסכם - כרגע יש מלאי</v>
          </cell>
        </row>
        <row r="94">
          <cell r="D94">
            <v>417983177</v>
          </cell>
          <cell r="E94">
            <v>418062769</v>
          </cell>
          <cell r="F94" t="str">
            <v>CHIP CAP 10UF 10% 16V TANTAL T&amp;R</v>
          </cell>
          <cell r="G94" t="str">
            <v>EA</v>
          </cell>
          <cell r="H94">
            <v>2</v>
          </cell>
          <cell r="I94">
            <v>4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1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1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1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1</v>
          </cell>
          <cell r="AL94">
            <v>0</v>
          </cell>
          <cell r="AM94">
            <v>7165</v>
          </cell>
          <cell r="AN94">
            <v>0.1</v>
          </cell>
          <cell r="AO94" t="str">
            <v>VISHAY SPRAGUE</v>
          </cell>
          <cell r="AP94" t="str">
            <v>אופק</v>
          </cell>
          <cell r="AQ94" t="str">
            <v>ECOMAL ISRAEL LTD</v>
          </cell>
          <cell r="AR94">
            <v>0.05</v>
          </cell>
          <cell r="AT94" t="str">
            <v xml:space="preserve">
</v>
          </cell>
          <cell r="AU94">
            <v>8000</v>
          </cell>
          <cell r="AV94">
            <v>1000</v>
          </cell>
          <cell r="AW94">
            <v>0.05</v>
          </cell>
          <cell r="AX94">
            <v>0.05</v>
          </cell>
          <cell r="AY94" t="str">
            <v>USD</v>
          </cell>
          <cell r="AZ94" t="str">
            <v>תומחר על ידי אופק</v>
          </cell>
          <cell r="BA94" t="str">
            <v>אקומל</v>
          </cell>
          <cell r="BD94" t="str">
            <v>3-4 wks. stock for today</v>
          </cell>
        </row>
        <row r="95">
          <cell r="D95">
            <v>417531784</v>
          </cell>
          <cell r="E95">
            <v>400341717</v>
          </cell>
          <cell r="F95" t="str">
            <v>CHIP CAP 4.7UF 10% 16V TANTAL T&amp;R</v>
          </cell>
          <cell r="G95" t="str">
            <v>EA</v>
          </cell>
          <cell r="H95">
            <v>2</v>
          </cell>
          <cell r="I95">
            <v>10</v>
          </cell>
          <cell r="J95">
            <v>0</v>
          </cell>
          <cell r="K95">
            <v>0</v>
          </cell>
          <cell r="L95">
            <v>0</v>
          </cell>
          <cell r="M95">
            <v>3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2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2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3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17105</v>
          </cell>
          <cell r="AN95">
            <v>0.25</v>
          </cell>
          <cell r="AO95" t="str">
            <v>VISHAY EUROPE SALE GMBH</v>
          </cell>
          <cell r="AP95" t="str">
            <v>אופק</v>
          </cell>
          <cell r="AQ95" t="str">
            <v>ECOMAL ISRAEL LTD</v>
          </cell>
          <cell r="AR95">
            <v>0.05</v>
          </cell>
          <cell r="AT95" t="str">
            <v xml:space="preserve">
</v>
          </cell>
          <cell r="AU95">
            <v>18000</v>
          </cell>
          <cell r="AV95">
            <v>1000</v>
          </cell>
          <cell r="AW95">
            <v>0.05</v>
          </cell>
          <cell r="AX95">
            <v>0.05</v>
          </cell>
          <cell r="AY95" t="str">
            <v>USD</v>
          </cell>
          <cell r="AZ95" t="str">
            <v>תומחר על ידי אופק</v>
          </cell>
          <cell r="BA95" t="str">
            <v>אקומל</v>
          </cell>
          <cell r="BD95" t="str">
            <v>3-4 wks. stock for today</v>
          </cell>
        </row>
        <row r="96">
          <cell r="D96">
            <v>417531783</v>
          </cell>
          <cell r="E96">
            <v>400481171</v>
          </cell>
          <cell r="F96" t="str">
            <v>CHIP CAP 47UF 20% 10V TANTAL T&amp;R</v>
          </cell>
          <cell r="G96" t="str">
            <v>EA</v>
          </cell>
          <cell r="H96">
            <v>2</v>
          </cell>
          <cell r="I96">
            <v>10</v>
          </cell>
          <cell r="J96">
            <v>0</v>
          </cell>
          <cell r="K96">
            <v>0</v>
          </cell>
          <cell r="L96">
            <v>0</v>
          </cell>
          <cell r="M96">
            <v>5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5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13875</v>
          </cell>
          <cell r="AN96">
            <v>0.42000000000000004</v>
          </cell>
          <cell r="AO96" t="str">
            <v>VISHAY EUROPE SALE GMBH</v>
          </cell>
          <cell r="AP96" t="str">
            <v>אופק</v>
          </cell>
          <cell r="AQ96" t="str">
            <v>ECOMAL ISRAEL LTD</v>
          </cell>
          <cell r="AR96">
            <v>8.4000000000000005E-2</v>
          </cell>
          <cell r="AT96" t="str">
            <v xml:space="preserve">
</v>
          </cell>
          <cell r="AU96">
            <v>14000</v>
          </cell>
          <cell r="AV96">
            <v>1000</v>
          </cell>
          <cell r="AW96">
            <v>8.4000000000000005E-2</v>
          </cell>
          <cell r="AX96">
            <v>8.4000000000000005E-2</v>
          </cell>
          <cell r="AY96" t="str">
            <v>USD</v>
          </cell>
          <cell r="AZ96" t="str">
            <v>תומחר על ידי אופק</v>
          </cell>
          <cell r="BA96" t="str">
            <v>אקומל</v>
          </cell>
          <cell r="BD96" t="str">
            <v>will be expedited</v>
          </cell>
        </row>
        <row r="97">
          <cell r="D97">
            <v>400306993</v>
          </cell>
          <cell r="F97" t="str">
            <v>FILTER LOW PASS 3.5GHZ T&amp;R</v>
          </cell>
          <cell r="G97" t="str">
            <v>EA</v>
          </cell>
          <cell r="H97">
            <v>2</v>
          </cell>
          <cell r="I97">
            <v>8</v>
          </cell>
          <cell r="J97">
            <v>0</v>
          </cell>
          <cell r="K97">
            <v>0</v>
          </cell>
          <cell r="L97">
            <v>0</v>
          </cell>
          <cell r="M97">
            <v>2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2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2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2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14330</v>
          </cell>
          <cell r="AN97">
            <v>0.94</v>
          </cell>
          <cell r="AO97" t="str">
            <v>JOHANSON TECHNOLOGY</v>
          </cell>
          <cell r="AP97" t="str">
            <v>אופק</v>
          </cell>
          <cell r="AQ97">
            <v>1</v>
          </cell>
          <cell r="AR97">
            <v>0.214</v>
          </cell>
          <cell r="AT97" t="str">
            <v xml:space="preserve">
</v>
          </cell>
          <cell r="AU97">
            <v>0</v>
          </cell>
          <cell r="AV97">
            <v>0</v>
          </cell>
          <cell r="AW97">
            <v>0.214</v>
          </cell>
          <cell r="AX97">
            <v>0.23499999999999999</v>
          </cell>
          <cell r="AY97" t="str">
            <v>USD</v>
          </cell>
          <cell r="AZ97" t="str">
            <v>תומחר על ידי אופק</v>
          </cell>
          <cell r="BA97" t="str">
            <v>מייקטלוג</v>
          </cell>
          <cell r="BD97" t="str">
            <v>WITH COC
כמות חלקית - 9614 במאוזר</v>
          </cell>
        </row>
        <row r="98">
          <cell r="D98" t="str">
            <v>N75300608</v>
          </cell>
          <cell r="E98" t="str">
            <v>FFF008184</v>
          </cell>
          <cell r="F98" t="str">
            <v>WIRE,18 AWG,STRANDED,XLETFE INSULATION,C</v>
          </cell>
          <cell r="G98" t="str">
            <v>M</v>
          </cell>
          <cell r="H98">
            <v>2</v>
          </cell>
          <cell r="I98">
            <v>0.08</v>
          </cell>
          <cell r="J98">
            <v>0</v>
          </cell>
          <cell r="K98">
            <v>0</v>
          </cell>
          <cell r="L98">
            <v>0.04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0.04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111</v>
          </cell>
          <cell r="AN98">
            <v>3.7471999999999998E-2</v>
          </cell>
          <cell r="AO98" t="str">
            <v>TE CONNECTIVITY</v>
          </cell>
          <cell r="AP98" t="str">
            <v>אופק</v>
          </cell>
          <cell r="AQ98" t="str">
            <v>RAY Q LTD.</v>
          </cell>
          <cell r="AR98">
            <v>0.84</v>
          </cell>
          <cell r="AT98" t="str">
            <v xml:space="preserve">
</v>
          </cell>
          <cell r="AU98">
            <v>0</v>
          </cell>
          <cell r="AV98">
            <v>100</v>
          </cell>
          <cell r="AW98">
            <v>0.84</v>
          </cell>
          <cell r="AX98">
            <v>0.93679999999999997</v>
          </cell>
          <cell r="AY98" t="str">
            <v>USD</v>
          </cell>
          <cell r="AZ98" t="str">
            <v>תומחר על ידי אופק</v>
          </cell>
          <cell r="BA98" t="str">
            <v>TTI</v>
          </cell>
          <cell r="BD98">
            <v>0</v>
          </cell>
        </row>
        <row r="99">
          <cell r="D99" t="str">
            <v>N75300038</v>
          </cell>
          <cell r="E99" t="str">
            <v>FFF008182</v>
          </cell>
          <cell r="F99" t="str">
            <v>WIRE,18 AWG,STRANDED,XLETFE INSULATION,C</v>
          </cell>
          <cell r="G99" t="str">
            <v>M</v>
          </cell>
          <cell r="H99">
            <v>2</v>
          </cell>
          <cell r="I99">
            <v>0.08</v>
          </cell>
          <cell r="J99">
            <v>0</v>
          </cell>
          <cell r="K99">
            <v>0</v>
          </cell>
          <cell r="L99">
            <v>0.04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0.04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111</v>
          </cell>
          <cell r="AN99">
            <v>2.4799999999999999E-2</v>
          </cell>
          <cell r="AO99" t="str">
            <v>TE CONNECTIVITY</v>
          </cell>
          <cell r="AP99" t="str">
            <v>אופק</v>
          </cell>
          <cell r="AQ99" t="str">
            <v>RAY Q LTD.</v>
          </cell>
          <cell r="AR99">
            <v>0.6</v>
          </cell>
          <cell r="AT99" t="str">
            <v xml:space="preserve">
</v>
          </cell>
          <cell r="AU99">
            <v>0</v>
          </cell>
          <cell r="AV99">
            <v>100</v>
          </cell>
          <cell r="AW99">
            <v>0.6</v>
          </cell>
          <cell r="AX99">
            <v>0.62</v>
          </cell>
          <cell r="AY99" t="str">
            <v>USD</v>
          </cell>
          <cell r="AZ99" t="str">
            <v>תומחר על ידי אופק</v>
          </cell>
          <cell r="BA99" t="str">
            <v>TTI</v>
          </cell>
          <cell r="BD99">
            <v>0</v>
          </cell>
        </row>
        <row r="100">
          <cell r="D100">
            <v>400339908</v>
          </cell>
          <cell r="F100" t="str">
            <v>CHIP CAP 220UF 20% 20V TANTALUM T&amp;R</v>
          </cell>
          <cell r="G100" t="str">
            <v>EA</v>
          </cell>
          <cell r="H100">
            <v>2</v>
          </cell>
          <cell r="I100">
            <v>4</v>
          </cell>
          <cell r="J100">
            <v>0</v>
          </cell>
          <cell r="K100">
            <v>0</v>
          </cell>
          <cell r="L100">
            <v>0</v>
          </cell>
          <cell r="M100">
            <v>2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2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5550</v>
          </cell>
          <cell r="AN100">
            <v>8.5</v>
          </cell>
          <cell r="AO100" t="str">
            <v>VISHAY SPRAGUE</v>
          </cell>
          <cell r="AP100" t="str">
            <v>אופק</v>
          </cell>
          <cell r="AQ100" t="str">
            <v>ECOMAL ISRAEL LTD</v>
          </cell>
          <cell r="AR100">
            <v>4.25</v>
          </cell>
          <cell r="AT100" t="str">
            <v xml:space="preserve">
</v>
          </cell>
          <cell r="AU100">
            <v>5700</v>
          </cell>
          <cell r="AV100">
            <v>0</v>
          </cell>
          <cell r="AW100">
            <v>4.25</v>
          </cell>
          <cell r="AX100">
            <v>4.25</v>
          </cell>
          <cell r="AY100" t="str">
            <v>USD</v>
          </cell>
          <cell r="AZ100" t="str">
            <v>תומחר על ידי אופק</v>
          </cell>
          <cell r="BA100" t="str">
            <v>אקומל</v>
          </cell>
          <cell r="BD100" t="str">
            <v>NCNR - will be expedited</v>
          </cell>
        </row>
        <row r="101">
          <cell r="D101">
            <v>421375236</v>
          </cell>
          <cell r="F101" t="str">
            <v>IC CYCLONE V FPGA</v>
          </cell>
          <cell r="G101" t="str">
            <v>EA</v>
          </cell>
          <cell r="H101">
            <v>1</v>
          </cell>
          <cell r="I101">
            <v>4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1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1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1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1</v>
          </cell>
          <cell r="AL101">
            <v>0</v>
          </cell>
          <cell r="AM101">
            <v>7165</v>
          </cell>
          <cell r="AN101">
            <v>50.6</v>
          </cell>
          <cell r="AO101" t="e">
            <v>#N/A</v>
          </cell>
          <cell r="AP101" t="str">
            <v>אלתא</v>
          </cell>
          <cell r="AQ101" t="str">
            <v>Eastronics</v>
          </cell>
          <cell r="AR101">
            <v>26.059000000000001</v>
          </cell>
          <cell r="AT101" t="str">
            <v xml:space="preserve">
</v>
          </cell>
          <cell r="AV101">
            <v>7200</v>
          </cell>
          <cell r="AW101">
            <v>26.059000000000001</v>
          </cell>
          <cell r="AX101">
            <v>25.3</v>
          </cell>
          <cell r="AY101" t="str">
            <v>USD</v>
          </cell>
          <cell r="AZ101" t="str">
            <v>איסטרוניקס</v>
          </cell>
          <cell r="BA101" t="str">
            <v xml:space="preserve">שלומי ביגי </v>
          </cell>
          <cell r="BB101">
            <v>505252790</v>
          </cell>
          <cell r="BC101" t="str">
            <v>Shlomi.bigi@easx.co.il</v>
          </cell>
        </row>
        <row r="102">
          <cell r="D102">
            <v>418270653</v>
          </cell>
          <cell r="F102" t="str">
            <v>CHIP CAP 1PF 200VOLT 5^</v>
          </cell>
          <cell r="G102" t="str">
            <v>EA</v>
          </cell>
          <cell r="H102">
            <v>2</v>
          </cell>
          <cell r="I102">
            <v>4</v>
          </cell>
          <cell r="J102">
            <v>0</v>
          </cell>
          <cell r="K102">
            <v>0</v>
          </cell>
          <cell r="L102">
            <v>0</v>
          </cell>
          <cell r="M102">
            <v>2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2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5550</v>
          </cell>
          <cell r="AN102">
            <v>0.77339999999999998</v>
          </cell>
          <cell r="AO102" t="str">
            <v>AMERICAN TECHNICAL CERAMICS DIV. OF</v>
          </cell>
          <cell r="AP102" t="str">
            <v>אופק</v>
          </cell>
          <cell r="AQ102" t="str">
            <v>Shirtech LTD</v>
          </cell>
          <cell r="AR102">
            <v>0.23</v>
          </cell>
          <cell r="AT102" t="str">
            <v xml:space="preserve">
</v>
          </cell>
          <cell r="AU102">
            <v>5500</v>
          </cell>
          <cell r="AV102">
            <v>500</v>
          </cell>
          <cell r="AW102">
            <v>0.23</v>
          </cell>
          <cell r="AX102">
            <v>0.38669999999999999</v>
          </cell>
          <cell r="AY102" t="str">
            <v>USD</v>
          </cell>
          <cell r="AZ102" t="str">
            <v>תומחר על ידי אופק</v>
          </cell>
          <cell r="BA102" t="str">
            <v>TTI</v>
          </cell>
          <cell r="BD102" t="str">
            <v>פריט NCNR</v>
          </cell>
        </row>
        <row r="103">
          <cell r="D103">
            <v>418270654</v>
          </cell>
          <cell r="F103" t="str">
            <v>CHIP CAP 4.7PF 200VOLT 2.1277^</v>
          </cell>
          <cell r="G103" t="str">
            <v>EA</v>
          </cell>
          <cell r="H103">
            <v>1</v>
          </cell>
          <cell r="I103">
            <v>72</v>
          </cell>
          <cell r="J103">
            <v>0</v>
          </cell>
          <cell r="K103">
            <v>0</v>
          </cell>
          <cell r="L103">
            <v>0</v>
          </cell>
          <cell r="M103">
            <v>36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36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99900</v>
          </cell>
          <cell r="AN103">
            <v>17.28</v>
          </cell>
          <cell r="AO103" t="str">
            <v>AMERICAN TECHNICAL CERAMICS DIV. OF</v>
          </cell>
          <cell r="AP103" t="str">
            <v>אופק</v>
          </cell>
          <cell r="AQ103" t="str">
            <v>Shirtech LTD</v>
          </cell>
          <cell r="AR103">
            <v>0.155</v>
          </cell>
          <cell r="AT103" t="str">
            <v xml:space="preserve">
</v>
          </cell>
          <cell r="AU103">
            <v>2000</v>
          </cell>
          <cell r="AV103">
            <v>2000</v>
          </cell>
          <cell r="AW103">
            <v>0.155</v>
          </cell>
          <cell r="AX103">
            <v>0.48</v>
          </cell>
          <cell r="AY103" t="str">
            <v>USD</v>
          </cell>
          <cell r="AZ103" t="str">
            <v>תומחר על ידי אופק</v>
          </cell>
          <cell r="BA103" t="str">
            <v>ארו</v>
          </cell>
          <cell r="BD103">
            <v>0</v>
          </cell>
        </row>
        <row r="104">
          <cell r="D104">
            <v>400472007</v>
          </cell>
          <cell r="F104" t="str">
            <v>O-RING,FLUOROSILICONE,40 SHORE A,BLUE,F/</v>
          </cell>
          <cell r="G104" t="str">
            <v>EA</v>
          </cell>
          <cell r="H104">
            <v>2</v>
          </cell>
          <cell r="I104">
            <v>4</v>
          </cell>
          <cell r="J104">
            <v>0</v>
          </cell>
          <cell r="K104">
            <v>1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1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1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1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2</v>
          </cell>
          <cell r="AM104">
            <v>7165</v>
          </cell>
          <cell r="AN104">
            <v>2.5</v>
          </cell>
          <cell r="AO104" t="str">
            <v>DCX-CHOL Entr. Inc</v>
          </cell>
          <cell r="AP104" t="str">
            <v>אופק</v>
          </cell>
          <cell r="AQ104" t="str">
            <v>Masterite Div.</v>
          </cell>
          <cell r="AR104">
            <v>1.25</v>
          </cell>
          <cell r="AT104" t="str">
            <v xml:space="preserve">
</v>
          </cell>
          <cell r="AU104">
            <v>0</v>
          </cell>
          <cell r="AV104">
            <v>0</v>
          </cell>
          <cell r="AW104">
            <v>1.25</v>
          </cell>
          <cell r="AX104">
            <v>1.25</v>
          </cell>
          <cell r="AY104" t="str">
            <v>USD</v>
          </cell>
          <cell r="AZ104" t="str">
            <v>תומחר על ידי אופק</v>
          </cell>
          <cell r="BA104" t="str">
            <v>DCX</v>
          </cell>
          <cell r="BD104" t="str">
            <v>QT-MAS5132</v>
          </cell>
        </row>
        <row r="105">
          <cell r="D105">
            <v>409331534</v>
          </cell>
          <cell r="F105" t="str">
            <v>INDUCTOR AIR CORE 12.5NH 2%</v>
          </cell>
          <cell r="G105" t="str">
            <v>EA</v>
          </cell>
          <cell r="H105">
            <v>2</v>
          </cell>
          <cell r="I105">
            <v>4</v>
          </cell>
          <cell r="J105">
            <v>0</v>
          </cell>
          <cell r="K105">
            <v>0</v>
          </cell>
          <cell r="L105">
            <v>0</v>
          </cell>
          <cell r="M105">
            <v>2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2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5550</v>
          </cell>
          <cell r="AN105">
            <v>0.3</v>
          </cell>
          <cell r="AO105" t="str">
            <v>COILCRAFT INC.</v>
          </cell>
          <cell r="AP105" t="str">
            <v>אופק</v>
          </cell>
          <cell r="AQ105" t="str">
            <v>ELINA</v>
          </cell>
          <cell r="AR105">
            <v>0.15</v>
          </cell>
          <cell r="AT105" t="str">
            <v xml:space="preserve">
</v>
          </cell>
          <cell r="AU105">
            <v>700</v>
          </cell>
          <cell r="AV105">
            <v>700</v>
          </cell>
          <cell r="AW105">
            <v>0.15</v>
          </cell>
          <cell r="AX105">
            <v>0.15</v>
          </cell>
          <cell r="AY105" t="str">
            <v>USD</v>
          </cell>
          <cell r="AZ105" t="str">
            <v>תומחר על ידי אופק</v>
          </cell>
          <cell r="BA105" t="str">
            <v>אלינה הנדסה</v>
          </cell>
          <cell r="BD105">
            <v>0</v>
          </cell>
        </row>
        <row r="106">
          <cell r="D106" t="str">
            <v>N87399713</v>
          </cell>
          <cell r="F106" t="str">
            <v>SIL-PAD A2000 15MIL-THICKNESS  WITH</v>
          </cell>
          <cell r="G106" t="str">
            <v>SH</v>
          </cell>
          <cell r="H106">
            <v>1</v>
          </cell>
          <cell r="I106">
            <v>2</v>
          </cell>
          <cell r="J106">
            <v>0</v>
          </cell>
          <cell r="K106">
            <v>0</v>
          </cell>
          <cell r="L106">
            <v>1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1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2775</v>
          </cell>
          <cell r="AN106">
            <v>1.46</v>
          </cell>
          <cell r="AO106" t="str">
            <v>RIT SOKHNUT ELECTRONICA LTD</v>
          </cell>
          <cell r="AP106" t="str">
            <v>אופק</v>
          </cell>
          <cell r="AQ106" t="str">
            <v>RIT SOKHNUT ELECTRONICA LTD</v>
          </cell>
          <cell r="AR106">
            <v>0.91</v>
          </cell>
          <cell r="AT106" t="str">
            <v xml:space="preserve">
</v>
          </cell>
          <cell r="AU106">
            <v>800</v>
          </cell>
          <cell r="AV106">
            <v>0</v>
          </cell>
          <cell r="AW106">
            <v>0.91</v>
          </cell>
          <cell r="AX106">
            <v>1.46</v>
          </cell>
          <cell r="AY106" t="str">
            <v>USD</v>
          </cell>
          <cell r="AZ106" t="str">
            <v>תומחר על ידי אופק</v>
          </cell>
          <cell r="BA106" t="str">
            <v>רית סוכנויות</v>
          </cell>
          <cell r="BD106" t="str">
            <v xml:space="preserve">תגובת רית - הלקוח קיבל את אותו המחיר שהצעתי בהצעה הנ"ל. </v>
          </cell>
        </row>
        <row r="107">
          <cell r="D107">
            <v>401349548</v>
          </cell>
          <cell r="E107">
            <v>421403401</v>
          </cell>
          <cell r="F107" t="str">
            <v>IC ADC 12-BIT 8 CHANNEL T&amp;R</v>
          </cell>
          <cell r="G107" t="str">
            <v>EA</v>
          </cell>
          <cell r="H107">
            <v>2</v>
          </cell>
          <cell r="I107">
            <v>8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2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2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2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2</v>
          </cell>
          <cell r="AL107">
            <v>0</v>
          </cell>
          <cell r="AM107">
            <v>14330</v>
          </cell>
          <cell r="AN107">
            <v>12.632</v>
          </cell>
          <cell r="AO107" t="str">
            <v>ANALOG DEVICES</v>
          </cell>
          <cell r="AP107" t="str">
            <v>אופק</v>
          </cell>
          <cell r="AQ107" t="str">
            <v>MICATALOG LTD</v>
          </cell>
          <cell r="AR107">
            <v>2.98</v>
          </cell>
          <cell r="AT107" t="str">
            <v xml:space="preserve">
</v>
          </cell>
          <cell r="AU107">
            <v>100</v>
          </cell>
          <cell r="AV107">
            <v>100</v>
          </cell>
          <cell r="AW107">
            <v>2.98</v>
          </cell>
          <cell r="AX107">
            <v>3.1579999999999999</v>
          </cell>
          <cell r="AY107" t="str">
            <v>USD</v>
          </cell>
          <cell r="AZ107" t="str">
            <v>תומחר על ידי אופק</v>
          </cell>
          <cell r="BA107" t="str">
            <v>אלבטק</v>
          </cell>
          <cell r="BD107">
            <v>0</v>
          </cell>
        </row>
        <row r="108">
          <cell r="D108">
            <v>401039812</v>
          </cell>
          <cell r="E108">
            <v>400481628</v>
          </cell>
          <cell r="F108" t="str">
            <v>DUAL, 16 MHZ, RAIL-TO-RAIL AMPLIFIER T&amp;R</v>
          </cell>
          <cell r="G108" t="str">
            <v>EA</v>
          </cell>
          <cell r="H108">
            <v>2</v>
          </cell>
          <cell r="I108">
            <v>8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2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2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2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2</v>
          </cell>
          <cell r="AL108">
            <v>0</v>
          </cell>
          <cell r="AM108">
            <v>14330</v>
          </cell>
          <cell r="AN108">
            <v>6.8239999999999998</v>
          </cell>
          <cell r="AO108" t="str">
            <v>ANALOG DEVICES</v>
          </cell>
          <cell r="AP108" t="str">
            <v>אופק</v>
          </cell>
          <cell r="AQ108">
            <v>1</v>
          </cell>
          <cell r="AR108">
            <v>1.65</v>
          </cell>
          <cell r="AT108" t="str">
            <v xml:space="preserve">
</v>
          </cell>
          <cell r="AU108">
            <v>750</v>
          </cell>
          <cell r="AV108">
            <v>750</v>
          </cell>
          <cell r="AW108">
            <v>1.6579999999999999</v>
          </cell>
          <cell r="AX108">
            <v>1.706</v>
          </cell>
          <cell r="AY108" t="str">
            <v>USD</v>
          </cell>
          <cell r="AZ108" t="str">
            <v>תומחר על ידי אופק</v>
          </cell>
          <cell r="BA108" t="str">
            <v>אלבטק</v>
          </cell>
          <cell r="BD108">
            <v>0</v>
          </cell>
        </row>
        <row r="109">
          <cell r="D109">
            <v>414282400</v>
          </cell>
          <cell r="E109">
            <v>414290600</v>
          </cell>
          <cell r="F109" t="str">
            <v>IC DUAL CHANNEL LVDS ISOLATOR T&amp;R</v>
          </cell>
          <cell r="G109" t="str">
            <v>EA</v>
          </cell>
          <cell r="H109">
            <v>1</v>
          </cell>
          <cell r="I109">
            <v>12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3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3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3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3</v>
          </cell>
          <cell r="AL109">
            <v>0</v>
          </cell>
          <cell r="AM109">
            <v>21495</v>
          </cell>
          <cell r="AN109">
            <v>27.006599999999999</v>
          </cell>
          <cell r="AO109" t="str">
            <v>ANALOG DEVICES</v>
          </cell>
          <cell r="AP109" t="str">
            <v>אופק</v>
          </cell>
          <cell r="AQ109">
            <v>1</v>
          </cell>
          <cell r="AR109">
            <v>4.37</v>
          </cell>
          <cell r="AT109" t="str">
            <v xml:space="preserve">
</v>
          </cell>
          <cell r="AV109">
            <v>66</v>
          </cell>
          <cell r="AW109">
            <v>4.37</v>
          </cell>
          <cell r="AX109">
            <v>4.5011000000000001</v>
          </cell>
          <cell r="AY109" t="str">
            <v>USD</v>
          </cell>
          <cell r="AZ109" t="str">
            <v>אלבטק</v>
          </cell>
          <cell r="BA109" t="str">
            <v>אלבטק</v>
          </cell>
        </row>
        <row r="110">
          <cell r="D110">
            <v>401499258</v>
          </cell>
          <cell r="F110" t="str">
            <v>IC QUAD DIFFERENTIAL LINE RECEIVER T&amp;R</v>
          </cell>
          <cell r="G110" t="str">
            <v>EA</v>
          </cell>
          <cell r="H110">
            <v>2</v>
          </cell>
          <cell r="I110">
            <v>4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1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1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1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1</v>
          </cell>
          <cell r="AL110">
            <v>0</v>
          </cell>
          <cell r="AM110">
            <v>7165</v>
          </cell>
          <cell r="AN110">
            <v>2.3740000000000001</v>
          </cell>
          <cell r="AO110" t="str">
            <v>TEXAS INSTRUMENTS INC</v>
          </cell>
          <cell r="AP110" t="str">
            <v>אופק</v>
          </cell>
          <cell r="AQ110">
            <v>1</v>
          </cell>
          <cell r="AR110">
            <v>0.97</v>
          </cell>
          <cell r="AT110" t="str">
            <v xml:space="preserve">
</v>
          </cell>
          <cell r="AU110">
            <v>2500</v>
          </cell>
          <cell r="AV110">
            <v>2500</v>
          </cell>
          <cell r="AW110">
            <v>1.1639999999999999</v>
          </cell>
          <cell r="AX110">
            <v>1.1870000000000001</v>
          </cell>
          <cell r="AY110" t="str">
            <v>USD</v>
          </cell>
          <cell r="AZ110" t="str">
            <v>תומחר על ידי אופק</v>
          </cell>
          <cell r="BA110" t="str">
            <v>אלבטק</v>
          </cell>
          <cell r="BD110">
            <v>0</v>
          </cell>
        </row>
        <row r="111">
          <cell r="D111">
            <v>413256946</v>
          </cell>
          <cell r="E111">
            <v>400481611</v>
          </cell>
          <cell r="F111" t="str">
            <v>TRANSISTOR NPN T&amp;R</v>
          </cell>
          <cell r="G111" t="str">
            <v>EA</v>
          </cell>
          <cell r="H111">
            <v>2</v>
          </cell>
          <cell r="I111">
            <v>12</v>
          </cell>
          <cell r="J111">
            <v>0</v>
          </cell>
          <cell r="K111">
            <v>0</v>
          </cell>
          <cell r="L111">
            <v>0</v>
          </cell>
          <cell r="M111">
            <v>2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2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2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2</v>
          </cell>
          <cell r="AC111">
            <v>0</v>
          </cell>
          <cell r="AD111">
            <v>0</v>
          </cell>
          <cell r="AE111">
            <v>0</v>
          </cell>
          <cell r="AF111">
            <v>2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2</v>
          </cell>
          <cell r="AL111">
            <v>0</v>
          </cell>
          <cell r="AM111">
            <v>19880</v>
          </cell>
          <cell r="AN111">
            <v>0.14400000000000002</v>
          </cell>
          <cell r="AO111" t="str">
            <v>ON SEMICONDUCTOR</v>
          </cell>
          <cell r="AP111" t="str">
            <v>אופק</v>
          </cell>
          <cell r="AQ111" t="str">
            <v>MICATALOG LTD</v>
          </cell>
          <cell r="AR111">
            <v>0.03</v>
          </cell>
          <cell r="AT111" t="str">
            <v xml:space="preserve">
</v>
          </cell>
          <cell r="AU111">
            <v>6000</v>
          </cell>
          <cell r="AV111">
            <v>3000</v>
          </cell>
          <cell r="AW111">
            <v>0.03</v>
          </cell>
          <cell r="AX111">
            <v>2.4E-2</v>
          </cell>
          <cell r="AY111" t="str">
            <v>USD</v>
          </cell>
          <cell r="AZ111" t="str">
            <v>תומחר על ידי אופק</v>
          </cell>
          <cell r="BA111" t="str">
            <v>Future</v>
          </cell>
          <cell r="BD111">
            <v>0</v>
          </cell>
        </row>
        <row r="112">
          <cell r="D112">
            <v>403834728</v>
          </cell>
          <cell r="E112" t="str">
            <v>FFF004621</v>
          </cell>
          <cell r="F112" t="str">
            <v>CHIP CAP 1.2PF +/-0.1PF 150VOLT 55X5</v>
          </cell>
          <cell r="G112" t="str">
            <v>EA</v>
          </cell>
          <cell r="H112">
            <v>2</v>
          </cell>
          <cell r="I112">
            <v>2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1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1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2775</v>
          </cell>
          <cell r="AN112">
            <v>2</v>
          </cell>
          <cell r="AO112" t="e">
            <v>#N/A</v>
          </cell>
          <cell r="AP112" t="str">
            <v>CALIBRATION KIT- לא לרכש</v>
          </cell>
          <cell r="AQ112" t="str">
            <v>PHOENIX TECHNOLOGIES LTD</v>
          </cell>
          <cell r="AR112">
            <v>0.4</v>
          </cell>
          <cell r="AT112" t="str">
            <v xml:space="preserve">
</v>
          </cell>
          <cell r="AU112">
            <v>2500</v>
          </cell>
          <cell r="AV112">
            <v>500</v>
          </cell>
          <cell r="AW112">
            <v>0.4</v>
          </cell>
          <cell r="AX112">
            <v>2</v>
          </cell>
          <cell r="AY112" t="str">
            <v>USD</v>
          </cell>
        </row>
        <row r="113">
          <cell r="D113">
            <v>403834737</v>
          </cell>
          <cell r="E113" t="str">
            <v>FFF004550</v>
          </cell>
          <cell r="F113" t="str">
            <v>CHIP CAP 1.3PF +/-0.1PF 150VOLT 55X5</v>
          </cell>
          <cell r="G113" t="str">
            <v>EA</v>
          </cell>
          <cell r="H113">
            <v>2</v>
          </cell>
          <cell r="I113">
            <v>2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1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1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2775</v>
          </cell>
          <cell r="AN113">
            <v>1.41</v>
          </cell>
          <cell r="AO113" t="e">
            <v>#N/A</v>
          </cell>
          <cell r="AP113" t="str">
            <v>CALIBRATION KIT- לא לרכש</v>
          </cell>
          <cell r="AQ113" t="str">
            <v>PHOENIX TECHNOLOGIES LTD</v>
          </cell>
          <cell r="AR113">
            <v>0.42</v>
          </cell>
          <cell r="AT113" t="str">
            <v xml:space="preserve">
</v>
          </cell>
          <cell r="AU113">
            <v>3000</v>
          </cell>
          <cell r="AV113">
            <v>3000</v>
          </cell>
          <cell r="AW113">
            <v>0.42</v>
          </cell>
          <cell r="AX113">
            <v>1.41</v>
          </cell>
          <cell r="AY113" t="str">
            <v>USD</v>
          </cell>
          <cell r="AZ113" t="str">
            <v>PHEONIX</v>
          </cell>
          <cell r="BA113" t="str">
            <v>TANYA</v>
          </cell>
          <cell r="BB113" t="str">
            <v>09-7644806</v>
          </cell>
          <cell r="BC113" t="str">
            <v>Tanyal@phnx.co.il</v>
          </cell>
          <cell r="BD113" t="str">
            <v>הצעת מחיר עבור פריט FFF - ‎0505P1R3BW151XTV‏</v>
          </cell>
        </row>
        <row r="114">
          <cell r="D114">
            <v>403834743</v>
          </cell>
          <cell r="E114">
            <v>403846544</v>
          </cell>
          <cell r="F114" t="str">
            <v>CHIP CAP 1.4PF +/-0.1PF 150VOLT 55X5</v>
          </cell>
          <cell r="G114" t="str">
            <v>EA</v>
          </cell>
          <cell r="H114">
            <v>1</v>
          </cell>
          <cell r="I114">
            <v>2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1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1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2775</v>
          </cell>
          <cell r="AN114">
            <v>1.41</v>
          </cell>
          <cell r="AO114" t="e">
            <v>#N/A</v>
          </cell>
          <cell r="AP114" t="str">
            <v>CALIBRATION KIT- לא לרכש</v>
          </cell>
          <cell r="AQ114" t="str">
            <v>PHOENIX TECHNOLOGIES LTD</v>
          </cell>
          <cell r="AR114">
            <v>0.44</v>
          </cell>
          <cell r="AT114" t="str">
            <v xml:space="preserve">
</v>
          </cell>
          <cell r="AU114">
            <v>3000</v>
          </cell>
          <cell r="AV114">
            <v>3000</v>
          </cell>
          <cell r="AW114">
            <v>0.44</v>
          </cell>
          <cell r="AX114">
            <v>1.41</v>
          </cell>
          <cell r="AY114" t="str">
            <v>USD</v>
          </cell>
          <cell r="AZ114" t="str">
            <v>PHEONIX</v>
          </cell>
          <cell r="BA114" t="str">
            <v>TANYA</v>
          </cell>
          <cell r="BB114" t="str">
            <v>09-7644806</v>
          </cell>
          <cell r="BC114" t="str">
            <v>Tanyal@phnx.co.il</v>
          </cell>
          <cell r="BD114" t="str">
            <v>הצעת מחיר עבור פריט FFF - ‎0505P1R4BW151XTV‏</v>
          </cell>
        </row>
        <row r="115">
          <cell r="D115">
            <v>403834732</v>
          </cell>
          <cell r="E115" t="str">
            <v>FFF300800</v>
          </cell>
          <cell r="F115" t="str">
            <v>CHIP CAP 1.5PF +/-0.1PF 150VOLT 55X5</v>
          </cell>
          <cell r="G115" t="str">
            <v>EA</v>
          </cell>
          <cell r="H115">
            <v>2</v>
          </cell>
          <cell r="I115">
            <v>2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1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1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2775</v>
          </cell>
          <cell r="AN115">
            <v>1.41</v>
          </cell>
          <cell r="AO115" t="e">
            <v>#N/A</v>
          </cell>
          <cell r="AP115" t="str">
            <v>CALIBRATION KIT- לא לרכש</v>
          </cell>
          <cell r="AQ115" t="str">
            <v>PHOENIX TECHNOLOGIES LTD</v>
          </cell>
          <cell r="AR115">
            <v>0.4</v>
          </cell>
          <cell r="AT115" t="str">
            <v xml:space="preserve">
</v>
          </cell>
          <cell r="AU115">
            <v>3000</v>
          </cell>
          <cell r="AV115">
            <v>3000</v>
          </cell>
          <cell r="AW115">
            <v>0.4</v>
          </cell>
          <cell r="AX115">
            <v>1.41</v>
          </cell>
          <cell r="AY115" t="str">
            <v>USD</v>
          </cell>
          <cell r="AZ115" t="str">
            <v>PHEONIX</v>
          </cell>
          <cell r="BA115" t="str">
            <v>TANYA</v>
          </cell>
          <cell r="BB115" t="str">
            <v>09-7644806</v>
          </cell>
          <cell r="BC115" t="str">
            <v>Tanyal@phnx.co.il</v>
          </cell>
          <cell r="BD115" t="str">
            <v>הצעת מחיר עבור פריט FFF - ‎0505P1R5BW151XTV‏</v>
          </cell>
        </row>
        <row r="116">
          <cell r="D116">
            <v>403834713</v>
          </cell>
          <cell r="E116" t="str">
            <v>FFF300787</v>
          </cell>
          <cell r="F116" t="str">
            <v>CHIP CAP 1.6PF +/-0.1PF 150VOLT 55X5</v>
          </cell>
          <cell r="G116" t="str">
            <v>EA</v>
          </cell>
          <cell r="H116">
            <v>2</v>
          </cell>
          <cell r="I116">
            <v>2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1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1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2775</v>
          </cell>
          <cell r="AN116">
            <v>1.41</v>
          </cell>
          <cell r="AO116" t="e">
            <v>#N/A</v>
          </cell>
          <cell r="AP116" t="str">
            <v>CALIBRATION KIT- לא לרכש</v>
          </cell>
          <cell r="AQ116" t="str">
            <v>PHOENIX TECHNOLOGIES LTD</v>
          </cell>
          <cell r="AR116">
            <v>0.42</v>
          </cell>
          <cell r="AT116" t="str">
            <v xml:space="preserve">
</v>
          </cell>
          <cell r="AU116">
            <v>3000</v>
          </cell>
          <cell r="AV116">
            <v>3000</v>
          </cell>
          <cell r="AW116">
            <v>0.42</v>
          </cell>
          <cell r="AX116">
            <v>1.41</v>
          </cell>
          <cell r="AY116" t="str">
            <v>USD</v>
          </cell>
          <cell r="AZ116" t="str">
            <v>PHEONIX</v>
          </cell>
          <cell r="BA116" t="str">
            <v>TANYA</v>
          </cell>
          <cell r="BB116" t="str">
            <v>09-7644806</v>
          </cell>
          <cell r="BC116" t="str">
            <v>Tanyal@phnx.co.il</v>
          </cell>
          <cell r="BD116" t="str">
            <v>הצעת מחיר עבור פריט FFF - ‎0505P1R6BW151XTV‏</v>
          </cell>
        </row>
        <row r="117">
          <cell r="D117" t="str">
            <v>N57140642</v>
          </cell>
          <cell r="E117">
            <v>400525702</v>
          </cell>
          <cell r="F117" t="str">
            <v>IC 2-IN AND GATE TAPE&amp;REEL</v>
          </cell>
          <cell r="G117" t="str">
            <v>EA</v>
          </cell>
          <cell r="H117">
            <v>2</v>
          </cell>
          <cell r="I117">
            <v>12</v>
          </cell>
          <cell r="J117">
            <v>0</v>
          </cell>
          <cell r="K117">
            <v>0</v>
          </cell>
          <cell r="L117">
            <v>0</v>
          </cell>
          <cell r="M117">
            <v>4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2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2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4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19880</v>
          </cell>
          <cell r="AN117">
            <v>0.135486</v>
          </cell>
          <cell r="AO117" t="str">
            <v>FAIRCHILD SEMICONDUCTOR</v>
          </cell>
          <cell r="AP117" t="str">
            <v>אופק</v>
          </cell>
          <cell r="AQ117">
            <v>1</v>
          </cell>
          <cell r="AR117">
            <v>5.6000000000000001E-2</v>
          </cell>
          <cell r="AT117" t="str">
            <v xml:space="preserve">
</v>
          </cell>
          <cell r="AU117">
            <v>3000</v>
          </cell>
          <cell r="AV117">
            <v>3000</v>
          </cell>
          <cell r="AW117">
            <v>5.6000000000000001E-2</v>
          </cell>
          <cell r="AX117">
            <v>2.2581E-2</v>
          </cell>
          <cell r="AY117" t="str">
            <v>USD</v>
          </cell>
          <cell r="AZ117" t="str">
            <v>תומחר על ידי אופק</v>
          </cell>
          <cell r="BA117" t="str">
            <v>ארו</v>
          </cell>
          <cell r="BD117">
            <v>0</v>
          </cell>
        </row>
        <row r="118">
          <cell r="D118">
            <v>410810011</v>
          </cell>
          <cell r="F118" t="str">
            <v>CONN RECT HEADER 100 PIN SMT, QUAD ROW</v>
          </cell>
          <cell r="G118" t="str">
            <v>EA</v>
          </cell>
          <cell r="H118">
            <v>1</v>
          </cell>
          <cell r="I118">
            <v>4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1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1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1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1</v>
          </cell>
          <cell r="AL118">
            <v>0</v>
          </cell>
          <cell r="AM118">
            <v>7165</v>
          </cell>
          <cell r="AN118">
            <v>15.16</v>
          </cell>
          <cell r="AO118" t="e">
            <v>#N/A</v>
          </cell>
          <cell r="AP118" t="str">
            <v>אלתא</v>
          </cell>
          <cell r="AQ118">
            <v>1</v>
          </cell>
          <cell r="AR118">
            <v>7.58</v>
          </cell>
          <cell r="AT118" t="str">
            <v xml:space="preserve">
</v>
          </cell>
          <cell r="AV118">
            <v>7200</v>
          </cell>
          <cell r="AW118">
            <v>7.58</v>
          </cell>
          <cell r="AX118">
            <v>7.58</v>
          </cell>
          <cell r="AY118" t="str">
            <v>USD</v>
          </cell>
          <cell r="AZ118" t="str">
            <v>SAMTEC</v>
          </cell>
          <cell r="BA118" t="str">
            <v>יפעת ליברמן</v>
          </cell>
          <cell r="BB118">
            <v>523551656</v>
          </cell>
          <cell r="BC118" t="str">
            <v>yifat.leberman@samtec.com</v>
          </cell>
        </row>
        <row r="119">
          <cell r="D119">
            <v>415416207</v>
          </cell>
          <cell r="F119" t="str">
            <v>CAP. RF, 4.7PF, 250V, LOW ESR, HIGH Q,</v>
          </cell>
          <cell r="G119" t="str">
            <v>EA</v>
          </cell>
          <cell r="H119">
            <v>2</v>
          </cell>
          <cell r="I119">
            <v>4</v>
          </cell>
          <cell r="J119">
            <v>0</v>
          </cell>
          <cell r="K119">
            <v>0</v>
          </cell>
          <cell r="L119">
            <v>0</v>
          </cell>
          <cell r="M119">
            <v>2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2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5550</v>
          </cell>
          <cell r="AN119">
            <v>0.91400000000000003</v>
          </cell>
          <cell r="AO119" t="str">
            <v>AMERICAN TECHNICAL CERAMICS DIV. OF</v>
          </cell>
          <cell r="AP119" t="str">
            <v>אופק</v>
          </cell>
          <cell r="AQ119" t="str">
            <v>Shirtech LTD</v>
          </cell>
          <cell r="AR119">
            <v>0.18</v>
          </cell>
          <cell r="AT119" t="str">
            <v xml:space="preserve">
</v>
          </cell>
          <cell r="AU119">
            <v>2000</v>
          </cell>
          <cell r="AV119">
            <v>2000</v>
          </cell>
          <cell r="AW119">
            <v>0.18</v>
          </cell>
          <cell r="AX119">
            <v>0.45700000000000002</v>
          </cell>
          <cell r="AY119" t="str">
            <v>USD</v>
          </cell>
          <cell r="AZ119" t="str">
            <v>תומחר על ידי אופק</v>
          </cell>
          <cell r="BA119" t="str">
            <v>ארו</v>
          </cell>
          <cell r="BD119">
            <v>0</v>
          </cell>
        </row>
        <row r="120">
          <cell r="D120" t="str">
            <v>N74195405</v>
          </cell>
          <cell r="F120" t="str">
            <v>TUBING HEATSHRINK 4:1 4MM BLK</v>
          </cell>
          <cell r="G120" t="str">
            <v>M</v>
          </cell>
          <cell r="H120">
            <v>2</v>
          </cell>
          <cell r="I120">
            <v>0.02</v>
          </cell>
          <cell r="J120">
            <v>0</v>
          </cell>
          <cell r="K120">
            <v>0</v>
          </cell>
          <cell r="L120">
            <v>0.01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0.01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27.75</v>
          </cell>
          <cell r="AN120">
            <v>2.6203000000000001E-2</v>
          </cell>
          <cell r="AO120" t="str">
            <v>TE CONNECTIVITY</v>
          </cell>
          <cell r="AP120" t="str">
            <v>אופק</v>
          </cell>
          <cell r="AQ120" t="str">
            <v>RAY Q LTD.</v>
          </cell>
          <cell r="AR120">
            <v>2.4500000000000002</v>
          </cell>
          <cell r="AT120" t="str">
            <v xml:space="preserve">
</v>
          </cell>
          <cell r="AU120">
            <v>0</v>
          </cell>
          <cell r="AV120">
            <v>25</v>
          </cell>
          <cell r="AW120">
            <v>2.4500000000000002</v>
          </cell>
          <cell r="AX120">
            <v>2.6202999999999999</v>
          </cell>
          <cell r="AY120" t="str">
            <v>USD</v>
          </cell>
          <cell r="AZ120" t="str">
            <v>תומחר על ידי אופק</v>
          </cell>
          <cell r="BA120" t="str">
            <v>TTI</v>
          </cell>
          <cell r="BD120">
            <v>0</v>
          </cell>
        </row>
        <row r="121">
          <cell r="D121">
            <v>400589051</v>
          </cell>
          <cell r="F121" t="str">
            <v>FILM VINYL TRANSPARENT GLOSS, MULTI PURP</v>
          </cell>
          <cell r="G121" t="str">
            <v>AR</v>
          </cell>
          <cell r="H121">
            <v>2</v>
          </cell>
          <cell r="I121">
            <v>0.05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0.05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123</v>
          </cell>
          <cell r="AN121">
            <v>0</v>
          </cell>
          <cell r="AO121" t="str">
            <v>AVERY DENNISON</v>
          </cell>
          <cell r="AP121" t="str">
            <v>אופק</v>
          </cell>
          <cell r="AQ121" t="str">
            <v>HAAS TCM OF ISRAEL</v>
          </cell>
          <cell r="AR121">
            <v>242.48400000000001</v>
          </cell>
          <cell r="AT121" t="str">
            <v xml:space="preserve">
</v>
          </cell>
          <cell r="AU121">
            <v>500</v>
          </cell>
          <cell r="AV121">
            <v>500</v>
          </cell>
          <cell r="AW121">
            <v>242.48400000000001</v>
          </cell>
          <cell r="AX121">
            <v>2.82</v>
          </cell>
          <cell r="AY121" t="str">
            <v>USD</v>
          </cell>
          <cell r="AZ121" t="str">
            <v>תומחר על ידי אופק</v>
          </cell>
          <cell r="BA121" t="str">
            <v>האס</v>
          </cell>
          <cell r="BD121" t="str">
            <v>תחת הסכם מסגרת</v>
          </cell>
        </row>
        <row r="122">
          <cell r="D122">
            <v>405928170</v>
          </cell>
          <cell r="F122" t="str">
            <v>BANDPASS FILTER 2720-3570 MHZ T&amp;R</v>
          </cell>
          <cell r="G122" t="str">
            <v>EA</v>
          </cell>
          <cell r="H122">
            <v>2</v>
          </cell>
          <cell r="I122">
            <v>8</v>
          </cell>
          <cell r="J122">
            <v>0</v>
          </cell>
          <cell r="K122">
            <v>0</v>
          </cell>
          <cell r="L122">
            <v>0</v>
          </cell>
          <cell r="M122">
            <v>2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2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2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2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14330</v>
          </cell>
          <cell r="AN122">
            <v>9.8800000000000008</v>
          </cell>
          <cell r="AO122" t="str">
            <v>MINI-CIRCUITS LABORATORY</v>
          </cell>
          <cell r="AP122" t="str">
            <v>אופק</v>
          </cell>
          <cell r="AQ122">
            <v>1</v>
          </cell>
          <cell r="AR122">
            <v>2.39</v>
          </cell>
          <cell r="AT122" t="str">
            <v xml:space="preserve">
</v>
          </cell>
          <cell r="AU122">
            <v>0</v>
          </cell>
          <cell r="AV122">
            <v>0</v>
          </cell>
          <cell r="AW122">
            <v>2.39</v>
          </cell>
          <cell r="AX122">
            <v>2.4700000000000002</v>
          </cell>
          <cell r="AY122" t="str">
            <v>USD</v>
          </cell>
          <cell r="AZ122" t="str">
            <v>תומחר על ידי אופק</v>
          </cell>
          <cell r="BA122" t="str">
            <v>MINI-CIRCUITS LABORATORY</v>
          </cell>
          <cell r="BD122" t="str">
            <v>מחיר לפי הסכם לא יכול להיות נמוך יותר זה הMOQ הגבוה ביותר - מלאי זמין</v>
          </cell>
        </row>
        <row r="123">
          <cell r="D123">
            <v>400112300</v>
          </cell>
          <cell r="F123" t="str">
            <v>CHIP EMIFIL INDUCTOR 26-OHM T&amp;R</v>
          </cell>
          <cell r="G123" t="str">
            <v>EA</v>
          </cell>
          <cell r="H123">
            <v>2</v>
          </cell>
          <cell r="I123">
            <v>64</v>
          </cell>
          <cell r="J123">
            <v>0</v>
          </cell>
          <cell r="K123">
            <v>0</v>
          </cell>
          <cell r="L123">
            <v>0</v>
          </cell>
          <cell r="M123">
            <v>2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14</v>
          </cell>
          <cell r="S123">
            <v>0</v>
          </cell>
          <cell r="T123">
            <v>0</v>
          </cell>
          <cell r="U123">
            <v>0</v>
          </cell>
          <cell r="V123">
            <v>2</v>
          </cell>
          <cell r="W123">
            <v>14</v>
          </cell>
          <cell r="X123">
            <v>0</v>
          </cell>
          <cell r="Y123">
            <v>0</v>
          </cell>
          <cell r="Z123">
            <v>0</v>
          </cell>
          <cell r="AA123">
            <v>2</v>
          </cell>
          <cell r="AB123">
            <v>14</v>
          </cell>
          <cell r="AC123">
            <v>0</v>
          </cell>
          <cell r="AD123">
            <v>0</v>
          </cell>
          <cell r="AE123">
            <v>0</v>
          </cell>
          <cell r="AF123">
            <v>2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14</v>
          </cell>
          <cell r="AL123">
            <v>0</v>
          </cell>
          <cell r="AM123">
            <v>114640</v>
          </cell>
          <cell r="AN123">
            <v>0.59840000000000004</v>
          </cell>
          <cell r="AO123" t="str">
            <v>MURATA MANUFACTURING CO. LTD</v>
          </cell>
          <cell r="AP123" t="str">
            <v>אופק</v>
          </cell>
          <cell r="AQ123" t="str">
            <v>STG INTERNATIONAL LTD</v>
          </cell>
          <cell r="AR123">
            <v>8.0000000000000002E-3</v>
          </cell>
          <cell r="AT123" t="str">
            <v xml:space="preserve">
</v>
          </cell>
          <cell r="AU123">
            <v>10000</v>
          </cell>
          <cell r="AV123">
            <v>10000</v>
          </cell>
          <cell r="AW123">
            <v>8.0000000000000002E-3</v>
          </cell>
          <cell r="AX123">
            <v>1.8700000000000001E-2</v>
          </cell>
          <cell r="AY123" t="str">
            <v>USD</v>
          </cell>
          <cell r="AZ123" t="str">
            <v>תומחר על ידי אופק</v>
          </cell>
          <cell r="BA123" t="str">
            <v>ארו</v>
          </cell>
          <cell r="BD123">
            <v>0</v>
          </cell>
        </row>
        <row r="124">
          <cell r="D124" t="str">
            <v>N62786405</v>
          </cell>
          <cell r="F124" t="str">
            <v>CHIP FILTER EMI 50-OHM 3.2X1.6MM  T&amp;</v>
          </cell>
          <cell r="G124" t="str">
            <v>EA</v>
          </cell>
          <cell r="H124">
            <v>2</v>
          </cell>
          <cell r="I124">
            <v>88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22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22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22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22</v>
          </cell>
          <cell r="AL124">
            <v>0</v>
          </cell>
          <cell r="AM124">
            <v>157630</v>
          </cell>
          <cell r="AN124">
            <v>2.4683999999999999</v>
          </cell>
          <cell r="AO124" t="str">
            <v>MURATA MANUFACTURING CO. LTD</v>
          </cell>
          <cell r="AP124" t="str">
            <v>אופק</v>
          </cell>
          <cell r="AQ124" t="str">
            <v>STG INTERNATIONAL LTD</v>
          </cell>
          <cell r="AR124">
            <v>3.1E-2</v>
          </cell>
          <cell r="AT124" t="str">
            <v xml:space="preserve">
</v>
          </cell>
          <cell r="AU124">
            <v>3000</v>
          </cell>
          <cell r="AV124">
            <v>3000</v>
          </cell>
          <cell r="AW124">
            <v>3.1E-2</v>
          </cell>
          <cell r="AX124">
            <v>5.6099999999999997E-2</v>
          </cell>
          <cell r="AY124" t="str">
            <v>USD</v>
          </cell>
          <cell r="AZ124" t="str">
            <v>תומחר על ידי אופק</v>
          </cell>
          <cell r="BA124" t="str">
            <v>ארו</v>
          </cell>
          <cell r="BD124">
            <v>0</v>
          </cell>
        </row>
        <row r="125">
          <cell r="D125">
            <v>400536577</v>
          </cell>
          <cell r="E125">
            <v>400326574</v>
          </cell>
          <cell r="F125" t="str">
            <v>CHIP CAP 100PF 5^ 25V C0G T&amp;R</v>
          </cell>
          <cell r="G125" t="str">
            <v>EA</v>
          </cell>
          <cell r="H125">
            <v>2</v>
          </cell>
          <cell r="I125">
            <v>28</v>
          </cell>
          <cell r="J125">
            <v>0</v>
          </cell>
          <cell r="K125">
            <v>0</v>
          </cell>
          <cell r="L125">
            <v>0</v>
          </cell>
          <cell r="M125">
            <v>8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6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6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8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48540</v>
          </cell>
          <cell r="AN125">
            <v>3.7673999999999999E-2</v>
          </cell>
          <cell r="AO125" t="str">
            <v>KEMET ELECTRONICS S A</v>
          </cell>
          <cell r="AP125" t="str">
            <v>אופק</v>
          </cell>
          <cell r="AQ125" t="str">
            <v>MICATALOG LTD</v>
          </cell>
          <cell r="AR125">
            <v>1.8E-3</v>
          </cell>
          <cell r="AT125" t="str">
            <v xml:space="preserve">
</v>
          </cell>
          <cell r="AU125">
            <v>10000</v>
          </cell>
          <cell r="AV125">
            <v>10000</v>
          </cell>
          <cell r="AW125">
            <v>1.8E-3</v>
          </cell>
          <cell r="AX125">
            <v>2.6909999999999998E-3</v>
          </cell>
          <cell r="AY125" t="str">
            <v>USD</v>
          </cell>
          <cell r="AZ125" t="str">
            <v>תומחר על ידי אופק</v>
          </cell>
          <cell r="BA125" t="str">
            <v>ארו</v>
          </cell>
          <cell r="BD125">
            <v>0</v>
          </cell>
        </row>
        <row r="126">
          <cell r="D126">
            <v>400984937</v>
          </cell>
          <cell r="E126">
            <v>400326577</v>
          </cell>
          <cell r="F126" t="str">
            <v>CHIP CAP 1000PF 10% 50VOLT X7R T&amp;R</v>
          </cell>
          <cell r="G126" t="str">
            <v>EA</v>
          </cell>
          <cell r="H126">
            <v>2</v>
          </cell>
          <cell r="I126">
            <v>32</v>
          </cell>
          <cell r="J126">
            <v>0</v>
          </cell>
          <cell r="K126">
            <v>0</v>
          </cell>
          <cell r="L126">
            <v>0</v>
          </cell>
          <cell r="M126">
            <v>12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2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2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2</v>
          </cell>
          <cell r="AC126">
            <v>0</v>
          </cell>
          <cell r="AD126">
            <v>0</v>
          </cell>
          <cell r="AE126">
            <v>0</v>
          </cell>
          <cell r="AF126">
            <v>12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2</v>
          </cell>
          <cell r="AL126">
            <v>0</v>
          </cell>
          <cell r="AM126">
            <v>47630</v>
          </cell>
          <cell r="AN126">
            <v>3.3695999999999997E-2</v>
          </cell>
          <cell r="AO126" t="str">
            <v>KEMET ELECTRONICS S A</v>
          </cell>
          <cell r="AP126" t="str">
            <v>אופק</v>
          </cell>
          <cell r="AQ126" t="str">
            <v>NISCO LTD</v>
          </cell>
          <cell r="AR126">
            <v>4.0000000000000001E-3</v>
          </cell>
          <cell r="AT126" t="str">
            <v xml:space="preserve">
</v>
          </cell>
          <cell r="AU126">
            <v>10000</v>
          </cell>
          <cell r="AV126">
            <v>10000</v>
          </cell>
          <cell r="AW126">
            <v>4.0000000000000001E-3</v>
          </cell>
          <cell r="AX126">
            <v>2.1059999999999998E-3</v>
          </cell>
          <cell r="AY126" t="str">
            <v>USD</v>
          </cell>
          <cell r="AZ126" t="str">
            <v>תומחר על ידי אופק</v>
          </cell>
          <cell r="BA126" t="str">
            <v>ארו</v>
          </cell>
          <cell r="BD126">
            <v>0</v>
          </cell>
        </row>
        <row r="127">
          <cell r="D127">
            <v>401246012</v>
          </cell>
          <cell r="E127">
            <v>400326580</v>
          </cell>
          <cell r="F127" t="str">
            <v>CHIP CAP 0.01UF 10^ 25V X7R T&amp;R</v>
          </cell>
          <cell r="G127" t="str">
            <v>EA</v>
          </cell>
          <cell r="H127">
            <v>2</v>
          </cell>
          <cell r="I127">
            <v>4</v>
          </cell>
          <cell r="J127">
            <v>0</v>
          </cell>
          <cell r="K127">
            <v>0</v>
          </cell>
          <cell r="L127">
            <v>0</v>
          </cell>
          <cell r="M127">
            <v>2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2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5550</v>
          </cell>
          <cell r="AN127">
            <v>4.6800000000000001E-3</v>
          </cell>
          <cell r="AO127" t="str">
            <v>KEMET ELECTRONICS S A</v>
          </cell>
          <cell r="AP127" t="str">
            <v>אופק</v>
          </cell>
          <cell r="AQ127" t="str">
            <v>NISCO LTD</v>
          </cell>
          <cell r="AR127">
            <v>1.8E-3</v>
          </cell>
          <cell r="AT127" t="str">
            <v xml:space="preserve">
</v>
          </cell>
          <cell r="AU127">
            <v>10000</v>
          </cell>
          <cell r="AV127">
            <v>10000</v>
          </cell>
          <cell r="AW127">
            <v>1.8E-3</v>
          </cell>
          <cell r="AX127">
            <v>2.3400000000000001E-3</v>
          </cell>
          <cell r="AY127" t="str">
            <v>USD</v>
          </cell>
          <cell r="AZ127" t="str">
            <v>תומחר על ידי אופק</v>
          </cell>
          <cell r="BA127" t="str">
            <v>ארו</v>
          </cell>
          <cell r="BD127">
            <v>0</v>
          </cell>
        </row>
        <row r="128">
          <cell r="D128">
            <v>400584360</v>
          </cell>
          <cell r="E128">
            <v>400856302</v>
          </cell>
          <cell r="F128" t="str">
            <v>CHIP CAP 0.01UF 10% 50V X7R T&amp;R</v>
          </cell>
          <cell r="G128" t="str">
            <v>EA</v>
          </cell>
          <cell r="H128">
            <v>2</v>
          </cell>
          <cell r="I128">
            <v>72</v>
          </cell>
          <cell r="J128">
            <v>0</v>
          </cell>
          <cell r="K128">
            <v>0</v>
          </cell>
          <cell r="L128">
            <v>0</v>
          </cell>
          <cell r="M128">
            <v>2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16</v>
          </cell>
          <cell r="S128">
            <v>0</v>
          </cell>
          <cell r="T128">
            <v>0</v>
          </cell>
          <cell r="U128">
            <v>0</v>
          </cell>
          <cell r="V128">
            <v>2</v>
          </cell>
          <cell r="W128">
            <v>16</v>
          </cell>
          <cell r="X128">
            <v>0</v>
          </cell>
          <cell r="Y128">
            <v>0</v>
          </cell>
          <cell r="Z128">
            <v>0</v>
          </cell>
          <cell r="AA128">
            <v>2</v>
          </cell>
          <cell r="AB128">
            <v>16</v>
          </cell>
          <cell r="AC128">
            <v>0</v>
          </cell>
          <cell r="AD128">
            <v>0</v>
          </cell>
          <cell r="AE128">
            <v>0</v>
          </cell>
          <cell r="AF128">
            <v>2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16</v>
          </cell>
          <cell r="AL128">
            <v>0</v>
          </cell>
          <cell r="AM128">
            <v>128970</v>
          </cell>
          <cell r="AN128">
            <v>1.2240000000000002</v>
          </cell>
          <cell r="AO128" t="str">
            <v>KEMET ELECTRONICS S A</v>
          </cell>
          <cell r="AP128" t="str">
            <v>אופק</v>
          </cell>
          <cell r="AQ128" t="str">
            <v>MICATALOG LTD</v>
          </cell>
          <cell r="AR128">
            <v>2.8E-3</v>
          </cell>
          <cell r="AT128" t="str">
            <v xml:space="preserve">
</v>
          </cell>
          <cell r="AU128">
            <v>30000</v>
          </cell>
          <cell r="AV128">
            <v>10000</v>
          </cell>
          <cell r="AW128">
            <v>2.8E-3</v>
          </cell>
          <cell r="AX128">
            <v>3.4000000000000002E-2</v>
          </cell>
          <cell r="AY128" t="str">
            <v>USD</v>
          </cell>
          <cell r="AZ128" t="str">
            <v>תומחר על ידי אופק</v>
          </cell>
          <cell r="BA128" t="str">
            <v>ניסקו</v>
          </cell>
          <cell r="BD128">
            <v>0</v>
          </cell>
        </row>
        <row r="129">
          <cell r="D129">
            <v>405592612</v>
          </cell>
          <cell r="E129">
            <v>401502416</v>
          </cell>
          <cell r="F129" t="str">
            <v>CHIP CAP 2.7PF +-0.25PF 50V C0G T&amp;R</v>
          </cell>
          <cell r="G129" t="str">
            <v>EA</v>
          </cell>
          <cell r="H129">
            <v>2</v>
          </cell>
          <cell r="I129">
            <v>48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12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12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12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12</v>
          </cell>
          <cell r="AL129">
            <v>0</v>
          </cell>
          <cell r="AM129">
            <v>85980</v>
          </cell>
          <cell r="AN129">
            <v>0.21599999999999997</v>
          </cell>
          <cell r="AO129" t="str">
            <v>KEMET ELECTRONICS S A</v>
          </cell>
          <cell r="AP129" t="str">
            <v>אופק</v>
          </cell>
          <cell r="AQ129" t="str">
            <v>NISCO LTD</v>
          </cell>
          <cell r="AR129">
            <v>0.01</v>
          </cell>
          <cell r="AT129" t="str">
            <v xml:space="preserve">
</v>
          </cell>
          <cell r="AU129">
            <v>40000</v>
          </cell>
          <cell r="AV129">
            <v>10000</v>
          </cell>
          <cell r="AW129">
            <v>0.01</v>
          </cell>
          <cell r="AX129">
            <v>8.9999999999999993E-3</v>
          </cell>
          <cell r="AY129" t="str">
            <v>USD</v>
          </cell>
          <cell r="AZ129" t="str">
            <v>תומחר על ידי אופק</v>
          </cell>
          <cell r="BA129" t="str">
            <v>ניסקו</v>
          </cell>
          <cell r="BD129">
            <v>0</v>
          </cell>
        </row>
        <row r="130">
          <cell r="D130">
            <v>401225087</v>
          </cell>
          <cell r="E130">
            <v>400481211</v>
          </cell>
          <cell r="F130" t="str">
            <v>CHIP CAP 4700PF 10^ 25V X7R T&amp;R</v>
          </cell>
          <cell r="G130" t="str">
            <v>EA</v>
          </cell>
          <cell r="H130">
            <v>2</v>
          </cell>
          <cell r="I130">
            <v>12</v>
          </cell>
          <cell r="J130">
            <v>0</v>
          </cell>
          <cell r="K130">
            <v>0</v>
          </cell>
          <cell r="L130">
            <v>0</v>
          </cell>
          <cell r="M130">
            <v>6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6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16650</v>
          </cell>
          <cell r="AN130">
            <v>1.8000000000000002E-2</v>
          </cell>
          <cell r="AO130" t="str">
            <v>KEMET ELECTRONICS S A</v>
          </cell>
          <cell r="AP130" t="str">
            <v>אופק</v>
          </cell>
          <cell r="AQ130" t="str">
            <v>ARROW RAPAC LTD</v>
          </cell>
          <cell r="AR130">
            <v>3.0000000000000001E-3</v>
          </cell>
          <cell r="AT130" t="str">
            <v xml:space="preserve">
</v>
          </cell>
          <cell r="AU130">
            <v>60000</v>
          </cell>
          <cell r="AV130">
            <v>10000</v>
          </cell>
          <cell r="AW130">
            <v>3.0000000000000001E-3</v>
          </cell>
          <cell r="AX130">
            <v>3.0000000000000001E-3</v>
          </cell>
          <cell r="AY130" t="str">
            <v>USD</v>
          </cell>
          <cell r="AZ130" t="str">
            <v>תומחר על ידי אופק</v>
          </cell>
          <cell r="BA130" t="str">
            <v>ניסקו</v>
          </cell>
          <cell r="BD130">
            <v>0</v>
          </cell>
        </row>
        <row r="131">
          <cell r="D131">
            <v>400950685</v>
          </cell>
          <cell r="E131">
            <v>400481357</v>
          </cell>
          <cell r="F131" t="str">
            <v>CHIP CAP 0.01UF 10^ 200V X7R T&amp;R</v>
          </cell>
          <cell r="G131" t="str">
            <v>EA</v>
          </cell>
          <cell r="H131">
            <v>2</v>
          </cell>
          <cell r="I131">
            <v>20</v>
          </cell>
          <cell r="J131">
            <v>0</v>
          </cell>
          <cell r="K131">
            <v>0</v>
          </cell>
          <cell r="L131">
            <v>0</v>
          </cell>
          <cell r="M131">
            <v>4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3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3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3</v>
          </cell>
          <cell r="AC131">
            <v>0</v>
          </cell>
          <cell r="AD131">
            <v>0</v>
          </cell>
          <cell r="AE131">
            <v>0</v>
          </cell>
          <cell r="AF131">
            <v>4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3</v>
          </cell>
          <cell r="AL131">
            <v>0</v>
          </cell>
          <cell r="AM131">
            <v>32595</v>
          </cell>
          <cell r="AN131">
            <v>0.82133999999999996</v>
          </cell>
          <cell r="AO131" t="str">
            <v>KEMET ELECTRONICS S A</v>
          </cell>
          <cell r="AP131" t="str">
            <v>אופק</v>
          </cell>
          <cell r="AQ131" t="str">
            <v>NISCO LTD</v>
          </cell>
          <cell r="AR131">
            <v>2.9000000000000001E-2</v>
          </cell>
          <cell r="AT131" t="str">
            <v xml:space="preserve">
</v>
          </cell>
          <cell r="AU131">
            <v>4000</v>
          </cell>
          <cell r="AV131">
            <v>4000</v>
          </cell>
          <cell r="AW131">
            <v>2.9000000000000001E-2</v>
          </cell>
          <cell r="AX131">
            <v>8.2133999999999999E-2</v>
          </cell>
          <cell r="AY131" t="str">
            <v>USD</v>
          </cell>
          <cell r="AZ131" t="str">
            <v>תומחר על ידי אופק</v>
          </cell>
          <cell r="BA131" t="str">
            <v>ארו</v>
          </cell>
          <cell r="BD131">
            <v>0</v>
          </cell>
        </row>
        <row r="132">
          <cell r="D132">
            <v>400713754</v>
          </cell>
          <cell r="E132">
            <v>400481229</v>
          </cell>
          <cell r="F132" t="str">
            <v>CHIP CAP 0.1UF 10% 50V X7R T&amp;R</v>
          </cell>
          <cell r="G132" t="str">
            <v>EA</v>
          </cell>
          <cell r="H132">
            <v>2</v>
          </cell>
          <cell r="I132">
            <v>28</v>
          </cell>
          <cell r="J132">
            <v>0</v>
          </cell>
          <cell r="K132">
            <v>0</v>
          </cell>
          <cell r="L132">
            <v>0</v>
          </cell>
          <cell r="M132">
            <v>14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14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38850</v>
          </cell>
          <cell r="AN132">
            <v>0.12612599999999999</v>
          </cell>
          <cell r="AO132" t="str">
            <v>KEMET ELECTRONICS S A</v>
          </cell>
          <cell r="AP132" t="str">
            <v>אופק</v>
          </cell>
          <cell r="AQ132" t="str">
            <v>ARROW RAPAC LTD</v>
          </cell>
          <cell r="AR132">
            <v>1.2E-2</v>
          </cell>
          <cell r="AT132" t="str">
            <v xml:space="preserve">
</v>
          </cell>
          <cell r="AU132">
            <v>4000</v>
          </cell>
          <cell r="AV132">
            <v>4000</v>
          </cell>
          <cell r="AW132">
            <v>1.2E-2</v>
          </cell>
          <cell r="AX132">
            <v>9.0089999999999996E-3</v>
          </cell>
          <cell r="AY132" t="str">
            <v>USD</v>
          </cell>
          <cell r="AZ132" t="str">
            <v>תומחר על ידי אופק</v>
          </cell>
          <cell r="BA132" t="str">
            <v>ארו</v>
          </cell>
          <cell r="BD132">
            <v>0</v>
          </cell>
        </row>
        <row r="133">
          <cell r="D133">
            <v>401504556</v>
          </cell>
          <cell r="E133">
            <v>401502386</v>
          </cell>
          <cell r="F133" t="str">
            <v>CHIP CAP 1UF 10% 25V X7R T&amp;R</v>
          </cell>
          <cell r="G133" t="str">
            <v>EA</v>
          </cell>
          <cell r="H133">
            <v>2</v>
          </cell>
          <cell r="I133">
            <v>80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20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20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20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20</v>
          </cell>
          <cell r="AL133">
            <v>0</v>
          </cell>
          <cell r="AM133">
            <v>143300</v>
          </cell>
          <cell r="AN133">
            <v>1.52</v>
          </cell>
          <cell r="AO133" t="str">
            <v>KEMET ELECTRONICS S A</v>
          </cell>
          <cell r="AP133" t="str">
            <v>אופק</v>
          </cell>
          <cell r="AQ133" t="str">
            <v>ARROW RAPAC LTD</v>
          </cell>
          <cell r="AR133">
            <v>3.5999999999999997E-2</v>
          </cell>
          <cell r="AT133" t="str">
            <v xml:space="preserve">
</v>
          </cell>
          <cell r="AU133">
            <v>24000</v>
          </cell>
          <cell r="AV133">
            <v>4000</v>
          </cell>
          <cell r="AW133">
            <v>3.5999999999999997E-2</v>
          </cell>
          <cell r="AX133">
            <v>3.7999999999999999E-2</v>
          </cell>
          <cell r="AY133" t="str">
            <v>USD</v>
          </cell>
          <cell r="AZ133" t="str">
            <v>תומחר על ידי אופק</v>
          </cell>
          <cell r="BA133" t="str">
            <v>ניסקו</v>
          </cell>
          <cell r="BD133">
            <v>0</v>
          </cell>
        </row>
        <row r="134">
          <cell r="D134">
            <v>422206914</v>
          </cell>
          <cell r="E134">
            <v>400481360</v>
          </cell>
          <cell r="F134" t="str">
            <v>CHIP CAP 0.012UF 10^ 16V X7R T&amp;R</v>
          </cell>
          <cell r="G134" t="str">
            <v>EA</v>
          </cell>
          <cell r="H134">
            <v>2</v>
          </cell>
          <cell r="I134">
            <v>8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2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2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2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2</v>
          </cell>
          <cell r="AL134">
            <v>0</v>
          </cell>
          <cell r="AM134">
            <v>14330</v>
          </cell>
          <cell r="AN134">
            <v>1.6847999999999998E-2</v>
          </cell>
          <cell r="AO134" t="str">
            <v>KEMET ELECTRONICS S A</v>
          </cell>
          <cell r="AP134" t="str">
            <v>אופק</v>
          </cell>
          <cell r="AQ134">
            <v>1</v>
          </cell>
          <cell r="AR134">
            <v>1.4999999999999999E-2</v>
          </cell>
          <cell r="AT134" t="str">
            <v xml:space="preserve">
</v>
          </cell>
          <cell r="AU134">
            <v>4000</v>
          </cell>
          <cell r="AV134">
            <v>4000</v>
          </cell>
          <cell r="AW134">
            <v>1.4999999999999999E-2</v>
          </cell>
          <cell r="AX134">
            <v>4.2119999999999996E-3</v>
          </cell>
          <cell r="AY134" t="str">
            <v>USD</v>
          </cell>
          <cell r="AZ134" t="str">
            <v>תומחר על ידי אופק</v>
          </cell>
          <cell r="BA134" t="str">
            <v>ארו</v>
          </cell>
          <cell r="BD134">
            <v>0</v>
          </cell>
        </row>
        <row r="135">
          <cell r="D135">
            <v>400538389</v>
          </cell>
          <cell r="E135">
            <v>400326624</v>
          </cell>
          <cell r="F135" t="str">
            <v>CHIP CAP 2700PF 10% 50V X7R T&amp;R</v>
          </cell>
          <cell r="G135" t="str">
            <v>EA</v>
          </cell>
          <cell r="H135">
            <v>2</v>
          </cell>
          <cell r="I135">
            <v>16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4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4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4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4</v>
          </cell>
          <cell r="AL135">
            <v>0</v>
          </cell>
          <cell r="AM135">
            <v>28660</v>
          </cell>
          <cell r="AN135">
            <v>2.2463999999999998E-2</v>
          </cell>
          <cell r="AO135" t="str">
            <v>KEMET ELECTRONICS S A</v>
          </cell>
          <cell r="AP135" t="str">
            <v>אופק</v>
          </cell>
          <cell r="AQ135">
            <v>1</v>
          </cell>
          <cell r="AR135">
            <v>8.9999999999999993E-3</v>
          </cell>
          <cell r="AT135" t="str">
            <v xml:space="preserve">
</v>
          </cell>
          <cell r="AU135">
            <v>4000</v>
          </cell>
          <cell r="AV135">
            <v>4000</v>
          </cell>
          <cell r="AW135">
            <v>8.9999999999999993E-3</v>
          </cell>
          <cell r="AX135">
            <v>2.8079999999999997E-3</v>
          </cell>
          <cell r="AY135" t="str">
            <v>USD</v>
          </cell>
          <cell r="AZ135" t="str">
            <v>תומחר על ידי אופק</v>
          </cell>
          <cell r="BA135" t="str">
            <v>ארו</v>
          </cell>
          <cell r="BD135">
            <v>0</v>
          </cell>
        </row>
        <row r="136">
          <cell r="D136">
            <v>400599824</v>
          </cell>
          <cell r="E136">
            <v>400905890</v>
          </cell>
          <cell r="F136" t="str">
            <v>CHIP RESIS 0.005 OHM 1% T&amp;R</v>
          </cell>
          <cell r="G136" t="str">
            <v>EA</v>
          </cell>
          <cell r="H136">
            <v>2</v>
          </cell>
          <cell r="I136">
            <v>4</v>
          </cell>
          <cell r="J136">
            <v>0</v>
          </cell>
          <cell r="K136">
            <v>0</v>
          </cell>
          <cell r="L136">
            <v>0</v>
          </cell>
          <cell r="M136">
            <v>2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2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5550</v>
          </cell>
          <cell r="AN136">
            <v>0.4</v>
          </cell>
          <cell r="AO136" t="str">
            <v>VISHAY DALE ELECTRONICS</v>
          </cell>
          <cell r="AP136" t="str">
            <v>אופק</v>
          </cell>
          <cell r="AQ136" t="str">
            <v>ECOMAL ISRAEL LTD</v>
          </cell>
          <cell r="AR136">
            <v>0.2</v>
          </cell>
          <cell r="AT136" t="str">
            <v xml:space="preserve">
</v>
          </cell>
          <cell r="AU136">
            <v>6000</v>
          </cell>
          <cell r="AV136">
            <v>1000</v>
          </cell>
          <cell r="AW136">
            <v>0.2</v>
          </cell>
          <cell r="AX136">
            <v>0.2</v>
          </cell>
          <cell r="AY136" t="str">
            <v>USD</v>
          </cell>
          <cell r="AZ136" t="str">
            <v>תומחר על ידי אופק</v>
          </cell>
          <cell r="BA136" t="str">
            <v>אקומל</v>
          </cell>
          <cell r="BD136" t="str">
            <v>qty 2k 3-4 wks. stock for today
אקומל - WSL25125L000FEA מאושר FFF</v>
          </cell>
        </row>
        <row r="137">
          <cell r="D137">
            <v>400950741</v>
          </cell>
          <cell r="E137">
            <v>400481258</v>
          </cell>
          <cell r="F137" t="str">
            <v>CHIP CAP 0.47UF 10^ 16V X7R T&amp;R</v>
          </cell>
          <cell r="G137" t="str">
            <v>EA</v>
          </cell>
          <cell r="H137">
            <v>2</v>
          </cell>
          <cell r="I137">
            <v>28</v>
          </cell>
          <cell r="J137">
            <v>0</v>
          </cell>
          <cell r="K137">
            <v>0</v>
          </cell>
          <cell r="L137">
            <v>0</v>
          </cell>
          <cell r="M137">
            <v>2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5</v>
          </cell>
          <cell r="S137">
            <v>0</v>
          </cell>
          <cell r="T137">
            <v>0</v>
          </cell>
          <cell r="U137">
            <v>0</v>
          </cell>
          <cell r="V137">
            <v>2</v>
          </cell>
          <cell r="W137">
            <v>5</v>
          </cell>
          <cell r="X137">
            <v>0</v>
          </cell>
          <cell r="Y137">
            <v>0</v>
          </cell>
          <cell r="Z137">
            <v>0</v>
          </cell>
          <cell r="AA137">
            <v>2</v>
          </cell>
          <cell r="AB137">
            <v>5</v>
          </cell>
          <cell r="AC137">
            <v>0</v>
          </cell>
          <cell r="AD137">
            <v>0</v>
          </cell>
          <cell r="AE137">
            <v>0</v>
          </cell>
          <cell r="AF137">
            <v>2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5</v>
          </cell>
          <cell r="AL137">
            <v>0</v>
          </cell>
          <cell r="AM137">
            <v>50155</v>
          </cell>
          <cell r="AN137">
            <v>1.5806699999999998</v>
          </cell>
          <cell r="AO137" t="str">
            <v>KEMET ELECTRONICS S A</v>
          </cell>
          <cell r="AP137" t="str">
            <v>אופק</v>
          </cell>
          <cell r="AQ137" t="str">
            <v>ARROW RAPAC LTD</v>
          </cell>
          <cell r="AR137">
            <v>7.0000000000000001E-3</v>
          </cell>
          <cell r="AT137" t="str">
            <v xml:space="preserve">
</v>
          </cell>
          <cell r="AU137">
            <v>4000</v>
          </cell>
          <cell r="AV137">
            <v>4000</v>
          </cell>
          <cell r="AW137">
            <v>7.0000000000000001E-3</v>
          </cell>
          <cell r="AX137">
            <v>0.11290499999999999</v>
          </cell>
          <cell r="AY137" t="str">
            <v>USD</v>
          </cell>
          <cell r="AZ137" t="str">
            <v>תומחר על ידי אופק</v>
          </cell>
          <cell r="BA137" t="str">
            <v>ארו</v>
          </cell>
          <cell r="BD137">
            <v>0</v>
          </cell>
        </row>
        <row r="138">
          <cell r="D138">
            <v>401775380</v>
          </cell>
          <cell r="E138">
            <v>400481299</v>
          </cell>
          <cell r="F138" t="str">
            <v>CHIP CAP  0.1UF 10^ 100V X7R T&amp;R</v>
          </cell>
          <cell r="G138" t="str">
            <v>EA</v>
          </cell>
          <cell r="H138">
            <v>2</v>
          </cell>
          <cell r="I138">
            <v>14</v>
          </cell>
          <cell r="J138">
            <v>0</v>
          </cell>
          <cell r="K138">
            <v>0</v>
          </cell>
          <cell r="L138">
            <v>0</v>
          </cell>
          <cell r="M138">
            <v>7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7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19425</v>
          </cell>
          <cell r="AN138">
            <v>0.12612599999999999</v>
          </cell>
          <cell r="AO138" t="str">
            <v>KEMET ELECTRONICS S A</v>
          </cell>
          <cell r="AP138" t="str">
            <v>אופק</v>
          </cell>
          <cell r="AQ138" t="str">
            <v>NISCO LTD</v>
          </cell>
          <cell r="AR138">
            <v>3.1E-2</v>
          </cell>
          <cell r="AT138" t="str">
            <v xml:space="preserve">
</v>
          </cell>
          <cell r="AU138">
            <v>2500</v>
          </cell>
          <cell r="AV138">
            <v>2500</v>
          </cell>
          <cell r="AW138">
            <v>3.1E-2</v>
          </cell>
          <cell r="AX138">
            <v>1.8017999999999999E-2</v>
          </cell>
          <cell r="AY138" t="str">
            <v>USD</v>
          </cell>
          <cell r="AZ138" t="str">
            <v>תומחר על ידי אופק</v>
          </cell>
          <cell r="BA138" t="str">
            <v>ארו</v>
          </cell>
          <cell r="BD138">
            <v>0</v>
          </cell>
        </row>
        <row r="139">
          <cell r="D139">
            <v>400539517</v>
          </cell>
          <cell r="E139" t="str">
            <v>FFF004711</v>
          </cell>
          <cell r="F139" t="str">
            <v>CHIP CAP 0.1UF 10% 50V X7R T&amp;R</v>
          </cell>
          <cell r="G139" t="str">
            <v>EA</v>
          </cell>
          <cell r="H139">
            <v>2</v>
          </cell>
          <cell r="I139">
            <v>12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3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3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3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3</v>
          </cell>
          <cell r="AL139">
            <v>0</v>
          </cell>
          <cell r="AM139">
            <v>21495</v>
          </cell>
          <cell r="AN139">
            <v>7.8E-2</v>
          </cell>
          <cell r="AO139" t="str">
            <v>KEMET ELECTRONICS S A</v>
          </cell>
          <cell r="AP139" t="str">
            <v>אופק</v>
          </cell>
          <cell r="AQ139" t="str">
            <v>NISCO LTD</v>
          </cell>
          <cell r="AR139">
            <v>1.7000000000000001E-2</v>
          </cell>
          <cell r="AT139" t="str">
            <v xml:space="preserve">
</v>
          </cell>
          <cell r="AU139">
            <v>12000</v>
          </cell>
          <cell r="AV139">
            <v>4000</v>
          </cell>
          <cell r="AW139">
            <v>1.7000000000000001E-2</v>
          </cell>
          <cell r="AX139">
            <v>1.2999999999999999E-2</v>
          </cell>
          <cell r="AY139" t="str">
            <v>USD</v>
          </cell>
          <cell r="AZ139" t="str">
            <v>תומחר על ידי אופק</v>
          </cell>
          <cell r="BA139" t="str">
            <v>ניסקו</v>
          </cell>
          <cell r="BD139">
            <v>0</v>
          </cell>
        </row>
        <row r="140">
          <cell r="D140">
            <v>401554938</v>
          </cell>
          <cell r="E140">
            <v>401502404</v>
          </cell>
          <cell r="F140" t="str">
            <v>CHIP CAP 4.7UF 10% 16V X7R T&amp;R</v>
          </cell>
          <cell r="G140" t="str">
            <v>EA</v>
          </cell>
          <cell r="H140">
            <v>2</v>
          </cell>
          <cell r="I140">
            <v>88</v>
          </cell>
          <cell r="J140">
            <v>0</v>
          </cell>
          <cell r="K140">
            <v>0</v>
          </cell>
          <cell r="L140">
            <v>0</v>
          </cell>
          <cell r="M140">
            <v>16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8</v>
          </cell>
          <cell r="S140">
            <v>0</v>
          </cell>
          <cell r="T140">
            <v>0</v>
          </cell>
          <cell r="U140">
            <v>0</v>
          </cell>
          <cell r="V140">
            <v>12</v>
          </cell>
          <cell r="W140">
            <v>8</v>
          </cell>
          <cell r="X140">
            <v>0</v>
          </cell>
          <cell r="Y140">
            <v>0</v>
          </cell>
          <cell r="Z140">
            <v>0</v>
          </cell>
          <cell r="AA140">
            <v>12</v>
          </cell>
          <cell r="AB140">
            <v>8</v>
          </cell>
          <cell r="AC140">
            <v>0</v>
          </cell>
          <cell r="AD140">
            <v>0</v>
          </cell>
          <cell r="AE140">
            <v>0</v>
          </cell>
          <cell r="AF140">
            <v>16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8</v>
          </cell>
          <cell r="AL140">
            <v>0</v>
          </cell>
          <cell r="AM140">
            <v>154400</v>
          </cell>
          <cell r="AN140">
            <v>1.5546959999999999</v>
          </cell>
          <cell r="AO140" t="str">
            <v>KEMET ELECTRONICS S A</v>
          </cell>
          <cell r="AP140" t="str">
            <v>אופק</v>
          </cell>
          <cell r="AQ140" t="str">
            <v>NISCO LTD</v>
          </cell>
          <cell r="AR140">
            <v>0.04</v>
          </cell>
          <cell r="AT140" t="str">
            <v xml:space="preserve">
</v>
          </cell>
          <cell r="AU140">
            <v>2500</v>
          </cell>
          <cell r="AV140">
            <v>2500</v>
          </cell>
          <cell r="AW140">
            <v>0.04</v>
          </cell>
          <cell r="AX140">
            <v>3.5333999999999997E-2</v>
          </cell>
          <cell r="AY140" t="str">
            <v>USD</v>
          </cell>
          <cell r="AZ140" t="str">
            <v>תומחר על ידי אופק</v>
          </cell>
          <cell r="BA140" t="str">
            <v>ארו</v>
          </cell>
          <cell r="BD140">
            <v>0</v>
          </cell>
        </row>
        <row r="141">
          <cell r="D141">
            <v>417983133</v>
          </cell>
          <cell r="E141">
            <v>401502358</v>
          </cell>
          <cell r="F141" t="str">
            <v>CHIP CAP 4700PF 10% 100V T&amp;R</v>
          </cell>
          <cell r="G141" t="str">
            <v>EA</v>
          </cell>
          <cell r="H141">
            <v>2</v>
          </cell>
          <cell r="I141">
            <v>8</v>
          </cell>
          <cell r="J141">
            <v>0</v>
          </cell>
          <cell r="K141">
            <v>0</v>
          </cell>
          <cell r="L141">
            <v>0</v>
          </cell>
          <cell r="M141">
            <v>4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4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11100</v>
          </cell>
          <cell r="AN141">
            <v>2.6675999999999998E-2</v>
          </cell>
          <cell r="AO141" t="str">
            <v>SAMSUNG</v>
          </cell>
          <cell r="AP141" t="str">
            <v>אופק</v>
          </cell>
          <cell r="AQ141">
            <v>1</v>
          </cell>
          <cell r="AR141">
            <v>0.03</v>
          </cell>
          <cell r="AT141" t="str">
            <v xml:space="preserve">
</v>
          </cell>
          <cell r="AU141">
            <v>4000</v>
          </cell>
          <cell r="AV141">
            <v>4000</v>
          </cell>
          <cell r="AW141">
            <v>0.03</v>
          </cell>
          <cell r="AX141">
            <v>6.6689999999999996E-3</v>
          </cell>
          <cell r="AY141" t="str">
            <v>USD</v>
          </cell>
          <cell r="AZ141" t="str">
            <v>תומחר על ידי אופק</v>
          </cell>
          <cell r="BA141" t="str">
            <v>ארו</v>
          </cell>
          <cell r="BD141">
            <v>0</v>
          </cell>
        </row>
        <row r="142">
          <cell r="D142">
            <v>409177478</v>
          </cell>
          <cell r="F142" t="str">
            <v>GAN HEMT 60W 2700-3800MHZ 50V</v>
          </cell>
          <cell r="G142" t="str">
            <v>EA</v>
          </cell>
          <cell r="H142">
            <v>1</v>
          </cell>
          <cell r="I142">
            <v>2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2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1250</v>
          </cell>
          <cell r="AN142">
            <v>0</v>
          </cell>
          <cell r="AO142" t="e">
            <v>#N/A</v>
          </cell>
          <cell r="AP142" t="str">
            <v>BFE</v>
          </cell>
          <cell r="AQ142" t="str">
            <v>NISCO LTD</v>
          </cell>
          <cell r="AR142">
            <v>0</v>
          </cell>
          <cell r="AT142" t="str">
            <v xml:space="preserve">
</v>
          </cell>
          <cell r="AU142">
            <v>1250</v>
          </cell>
          <cell r="AV142">
            <v>0</v>
          </cell>
          <cell r="AW142">
            <v>15</v>
          </cell>
          <cell r="AX142">
            <v>0</v>
          </cell>
          <cell r="AY142" t="str">
            <v>USD</v>
          </cell>
        </row>
        <row r="143">
          <cell r="D143">
            <v>402803473</v>
          </cell>
          <cell r="F143" t="str">
            <v>AMPL RF GAN 400W 2.9-3.5GHZ 11DB SMT</v>
          </cell>
          <cell r="G143" t="str">
            <v>EA</v>
          </cell>
          <cell r="H143">
            <v>1</v>
          </cell>
          <cell r="I143">
            <v>2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2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1250</v>
          </cell>
          <cell r="AN143">
            <v>0</v>
          </cell>
          <cell r="AO143" t="e">
            <v>#N/A</v>
          </cell>
          <cell r="AP143" t="str">
            <v>BFE</v>
          </cell>
          <cell r="AQ143" t="str">
            <v>M/A-COM TECHNOLOGY SOLUTIONS</v>
          </cell>
          <cell r="AR143">
            <v>0</v>
          </cell>
          <cell r="AT143" t="str">
            <v xml:space="preserve">Y
</v>
          </cell>
          <cell r="AU143">
            <v>1250</v>
          </cell>
          <cell r="AV143">
            <v>0</v>
          </cell>
          <cell r="AW143">
            <v>214</v>
          </cell>
          <cell r="AX143">
            <v>0</v>
          </cell>
          <cell r="AY143" t="str">
            <v>USD</v>
          </cell>
        </row>
        <row r="144">
          <cell r="D144">
            <v>417983113</v>
          </cell>
          <cell r="E144">
            <v>400326579</v>
          </cell>
          <cell r="F144" t="str">
            <v>CHIP CAP 6800PF 10^ 25V X7R T&amp;R</v>
          </cell>
          <cell r="G144" t="str">
            <v>EA</v>
          </cell>
          <cell r="H144">
            <v>2</v>
          </cell>
          <cell r="I144">
            <v>8</v>
          </cell>
          <cell r="J144">
            <v>0</v>
          </cell>
          <cell r="K144">
            <v>0</v>
          </cell>
          <cell r="L144">
            <v>0</v>
          </cell>
          <cell r="M144">
            <v>4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4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11100</v>
          </cell>
          <cell r="AN144">
            <v>8.8000000000000005E-3</v>
          </cell>
          <cell r="AO144" t="str">
            <v>SAMSUNG</v>
          </cell>
          <cell r="AP144" t="str">
            <v>אופק</v>
          </cell>
          <cell r="AQ144" t="str">
            <v>CIDEV GROUP LTD</v>
          </cell>
          <cell r="AR144">
            <v>2.2000000000000001E-3</v>
          </cell>
          <cell r="AT144" t="str">
            <v xml:space="preserve">
</v>
          </cell>
          <cell r="AU144">
            <v>10000</v>
          </cell>
          <cell r="AV144">
            <v>10000</v>
          </cell>
          <cell r="AW144">
            <v>2.2000000000000001E-3</v>
          </cell>
          <cell r="AX144">
            <v>2.2000000000000001E-3</v>
          </cell>
          <cell r="AY144" t="str">
            <v>USD</v>
          </cell>
          <cell r="AZ144" t="str">
            <v>תומחר על ידי אופק</v>
          </cell>
          <cell r="BA144" t="str">
            <v>סידב</v>
          </cell>
          <cell r="BD144" t="str">
            <v>DC 4/2023</v>
          </cell>
        </row>
        <row r="145">
          <cell r="D145">
            <v>417983111</v>
          </cell>
          <cell r="E145">
            <v>400481213</v>
          </cell>
          <cell r="F145" t="str">
            <v>CHIP CAP 4.7PF 10^ 50V C0G T&amp;R</v>
          </cell>
          <cell r="G145" t="str">
            <v>EA</v>
          </cell>
          <cell r="H145">
            <v>2</v>
          </cell>
          <cell r="I145">
            <v>56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28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28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122920</v>
          </cell>
          <cell r="AN145">
            <v>6.1600000000000002E-2</v>
          </cell>
          <cell r="AO145" t="str">
            <v>SAMSUNG</v>
          </cell>
          <cell r="AP145" t="str">
            <v>אופק</v>
          </cell>
          <cell r="AQ145" t="str">
            <v>CIDEV GROUP LTD</v>
          </cell>
          <cell r="AR145">
            <v>0.08</v>
          </cell>
          <cell r="AT145" t="str">
            <v xml:space="preserve">
</v>
          </cell>
          <cell r="AU145">
            <v>10000</v>
          </cell>
          <cell r="AV145">
            <v>10000</v>
          </cell>
          <cell r="AW145">
            <v>0.08</v>
          </cell>
          <cell r="AX145">
            <v>2.2000000000000001E-3</v>
          </cell>
          <cell r="AY145" t="str">
            <v>USD</v>
          </cell>
          <cell r="AZ145" t="str">
            <v>תומחר על ידי אופק</v>
          </cell>
          <cell r="BA145" t="str">
            <v>סידב</v>
          </cell>
          <cell r="BD145" t="str">
            <v>DC 1/2022 NCNR</v>
          </cell>
        </row>
        <row r="146">
          <cell r="D146">
            <v>405656805</v>
          </cell>
          <cell r="E146">
            <v>403175049</v>
          </cell>
          <cell r="F146" t="str">
            <v>CHIP CAP 10UF 10^ 50V X7R T&amp;R</v>
          </cell>
          <cell r="G146" t="str">
            <v>EA</v>
          </cell>
          <cell r="H146">
            <v>2</v>
          </cell>
          <cell r="I146">
            <v>56</v>
          </cell>
          <cell r="J146">
            <v>0</v>
          </cell>
          <cell r="K146">
            <v>0</v>
          </cell>
          <cell r="L146">
            <v>0</v>
          </cell>
          <cell r="M146">
            <v>4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12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12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12</v>
          </cell>
          <cell r="AC146">
            <v>0</v>
          </cell>
          <cell r="AD146">
            <v>0</v>
          </cell>
          <cell r="AE146">
            <v>0</v>
          </cell>
          <cell r="AF146">
            <v>4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12</v>
          </cell>
          <cell r="AL146">
            <v>0</v>
          </cell>
          <cell r="AM146">
            <v>97080</v>
          </cell>
          <cell r="AN146">
            <v>2.8000000000000003</v>
          </cell>
          <cell r="AO146" t="str">
            <v>KEMET ELECTRONICS S A</v>
          </cell>
          <cell r="AP146" t="str">
            <v>אופק</v>
          </cell>
          <cell r="AQ146" t="str">
            <v>LEVANON &amp; COGEN LTD</v>
          </cell>
          <cell r="AR146">
            <v>0.125</v>
          </cell>
          <cell r="AT146" t="str">
            <v xml:space="preserve">
</v>
          </cell>
          <cell r="AU146">
            <v>10000</v>
          </cell>
          <cell r="AV146">
            <v>1000</v>
          </cell>
          <cell r="AW146">
            <v>0.125</v>
          </cell>
          <cell r="AX146">
            <v>0.1</v>
          </cell>
          <cell r="AY146" t="str">
            <v>USD</v>
          </cell>
          <cell r="AZ146" t="str">
            <v>תומחר על ידי אופק</v>
          </cell>
          <cell r="BA146" t="str">
            <v>ניסקו</v>
          </cell>
          <cell r="BD146" t="str">
            <v>פריט שתומחר הוא GRM32ER71H106KA12L - בהמלצתו של אלון ברגר</v>
          </cell>
        </row>
        <row r="147">
          <cell r="D147">
            <v>417983120</v>
          </cell>
          <cell r="E147" t="str">
            <v>FFF004739</v>
          </cell>
          <cell r="F147" t="str">
            <v>CHIP CAP .1UF 10% 16V X7R T&amp;R</v>
          </cell>
          <cell r="G147" t="str">
            <v>EA</v>
          </cell>
          <cell r="H147">
            <v>2</v>
          </cell>
          <cell r="I147">
            <v>100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25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25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25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25</v>
          </cell>
          <cell r="AL147">
            <v>0</v>
          </cell>
          <cell r="AM147">
            <v>179125</v>
          </cell>
          <cell r="AN147">
            <v>0.1</v>
          </cell>
          <cell r="AO147" t="str">
            <v>SAMSUNG</v>
          </cell>
          <cell r="AP147" t="str">
            <v>אופק</v>
          </cell>
          <cell r="AQ147" t="str">
            <v>CIDEV GROUP LTD</v>
          </cell>
          <cell r="AR147">
            <v>3.0000000000000001E-3</v>
          </cell>
          <cell r="AT147" t="str">
            <v xml:space="preserve">
</v>
          </cell>
          <cell r="AU147">
            <v>4000</v>
          </cell>
          <cell r="AV147">
            <v>4000</v>
          </cell>
          <cell r="AW147">
            <v>3.0000000000000001E-3</v>
          </cell>
          <cell r="AX147">
            <v>2E-3</v>
          </cell>
          <cell r="AY147" t="str">
            <v>USD</v>
          </cell>
          <cell r="AZ147" t="str">
            <v>תומחר על ידי אופק</v>
          </cell>
          <cell r="BA147" t="str">
            <v>סידב</v>
          </cell>
          <cell r="BD147" t="str">
            <v>DC 6/2021</v>
          </cell>
        </row>
        <row r="148">
          <cell r="D148">
            <v>417983123</v>
          </cell>
          <cell r="E148">
            <v>400326635</v>
          </cell>
          <cell r="F148" t="str">
            <v>CHIP CAP 0.015UF 10% 50V X7R T&amp;R</v>
          </cell>
          <cell r="G148" t="str">
            <v>EA</v>
          </cell>
          <cell r="H148">
            <v>2</v>
          </cell>
          <cell r="I148">
            <v>4</v>
          </cell>
          <cell r="J148">
            <v>0</v>
          </cell>
          <cell r="K148">
            <v>0</v>
          </cell>
          <cell r="L148">
            <v>0</v>
          </cell>
          <cell r="M148">
            <v>2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2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5550</v>
          </cell>
          <cell r="AN148">
            <v>1.0763999999999999E-2</v>
          </cell>
          <cell r="AO148" t="str">
            <v>SAMSUNG</v>
          </cell>
          <cell r="AP148" t="str">
            <v>אופק</v>
          </cell>
          <cell r="AQ148" t="str">
            <v>CIDEV GROUP LTD</v>
          </cell>
          <cell r="AR148">
            <v>3.0000000000000001E-3</v>
          </cell>
          <cell r="AT148" t="str">
            <v xml:space="preserve">
</v>
          </cell>
          <cell r="AU148">
            <v>4000</v>
          </cell>
          <cell r="AV148">
            <v>4000</v>
          </cell>
          <cell r="AW148">
            <v>3.0000000000000001E-3</v>
          </cell>
          <cell r="AX148">
            <v>5.3819999999999996E-3</v>
          </cell>
          <cell r="AY148" t="str">
            <v>USD</v>
          </cell>
          <cell r="AZ148" t="str">
            <v>תומחר על ידי אופק</v>
          </cell>
          <cell r="BA148" t="str">
            <v>ארו</v>
          </cell>
          <cell r="BD148">
            <v>0</v>
          </cell>
        </row>
        <row r="149">
          <cell r="D149">
            <v>417983116</v>
          </cell>
          <cell r="E149" t="str">
            <v>FFF004709</v>
          </cell>
          <cell r="F149" t="str">
            <v>CHIP CAP 100PF 5 PER. 50VOLT COG TR</v>
          </cell>
          <cell r="G149" t="str">
            <v>EA</v>
          </cell>
          <cell r="H149">
            <v>2</v>
          </cell>
          <cell r="I149">
            <v>16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4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4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4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4</v>
          </cell>
          <cell r="AL149">
            <v>0</v>
          </cell>
          <cell r="AM149">
            <v>28660</v>
          </cell>
          <cell r="AN149">
            <v>2.9951999999999999E-2</v>
          </cell>
          <cell r="AO149" t="str">
            <v>SAMSUNG</v>
          </cell>
          <cell r="AP149" t="str">
            <v>אופק</v>
          </cell>
          <cell r="AQ149" t="str">
            <v>CIDEV GROUP LTD</v>
          </cell>
          <cell r="AR149">
            <v>3.8E-3</v>
          </cell>
          <cell r="AT149" t="str">
            <v xml:space="preserve">
</v>
          </cell>
          <cell r="AU149">
            <v>4000</v>
          </cell>
          <cell r="AV149">
            <v>4000</v>
          </cell>
          <cell r="AW149">
            <v>3.8E-3</v>
          </cell>
          <cell r="AX149">
            <v>3.7439999999999999E-3</v>
          </cell>
          <cell r="AY149" t="str">
            <v>USD</v>
          </cell>
          <cell r="AZ149" t="str">
            <v>תומחר על ידי אופק</v>
          </cell>
          <cell r="BA149" t="str">
            <v>ארו</v>
          </cell>
          <cell r="BD149">
            <v>0</v>
          </cell>
        </row>
        <row r="150">
          <cell r="D150">
            <v>417983138</v>
          </cell>
          <cell r="E150">
            <v>400095447</v>
          </cell>
          <cell r="F150" t="str">
            <v>CHIP CAP 1UF 10% 25V X7R T&amp;R</v>
          </cell>
          <cell r="G150" t="str">
            <v>EA</v>
          </cell>
          <cell r="H150">
            <v>2</v>
          </cell>
          <cell r="I150">
            <v>8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2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2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2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2</v>
          </cell>
          <cell r="AL150">
            <v>0</v>
          </cell>
          <cell r="AM150">
            <v>14330</v>
          </cell>
          <cell r="AN150">
            <v>0.01</v>
          </cell>
          <cell r="AO150" t="str">
            <v>SAMSUNG</v>
          </cell>
          <cell r="AP150" t="str">
            <v>אופק</v>
          </cell>
          <cell r="AQ150" t="str">
            <v>CIDEV GROUP LTD</v>
          </cell>
          <cell r="AR150">
            <v>2.5000000000000001E-2</v>
          </cell>
          <cell r="AT150" t="str">
            <v xml:space="preserve">
</v>
          </cell>
          <cell r="AU150">
            <v>2000</v>
          </cell>
          <cell r="AV150">
            <v>2000</v>
          </cell>
          <cell r="AW150">
            <v>2.5000000000000001E-2</v>
          </cell>
          <cell r="AX150">
            <v>2.5000000000000001E-3</v>
          </cell>
          <cell r="AY150" t="str">
            <v>USD</v>
          </cell>
          <cell r="AZ150" t="str">
            <v>תומחר על ידי אופק</v>
          </cell>
          <cell r="BA150" t="str">
            <v>סידב</v>
          </cell>
          <cell r="BD150">
            <v>0</v>
          </cell>
        </row>
        <row r="151">
          <cell r="D151">
            <v>417983139</v>
          </cell>
          <cell r="E151">
            <v>400326667</v>
          </cell>
          <cell r="F151" t="str">
            <v>CHIP CAP 10UF 10^ 16V X7R T&amp;R</v>
          </cell>
          <cell r="G151" t="str">
            <v>EA</v>
          </cell>
          <cell r="H151">
            <v>2</v>
          </cell>
          <cell r="I151">
            <v>64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16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16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16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16</v>
          </cell>
          <cell r="AL151">
            <v>0</v>
          </cell>
          <cell r="AM151">
            <v>114640</v>
          </cell>
          <cell r="AN151">
            <v>0.08</v>
          </cell>
          <cell r="AO151" t="str">
            <v>SAMSUNG</v>
          </cell>
          <cell r="AP151" t="str">
            <v>אופק</v>
          </cell>
          <cell r="AQ151" t="str">
            <v>CIDEV GROUP LTD</v>
          </cell>
          <cell r="AR151">
            <v>1.7999999999999999E-2</v>
          </cell>
          <cell r="AT151" t="str">
            <v xml:space="preserve">
</v>
          </cell>
          <cell r="AU151">
            <v>2000</v>
          </cell>
          <cell r="AV151">
            <v>2000</v>
          </cell>
          <cell r="AW151">
            <v>1.7999999999999999E-2</v>
          </cell>
          <cell r="AX151">
            <v>2.5000000000000001E-3</v>
          </cell>
          <cell r="AY151" t="str">
            <v>USD</v>
          </cell>
          <cell r="AZ151" t="str">
            <v>תומחר על ידי אופק</v>
          </cell>
          <cell r="BA151" t="str">
            <v>סידב</v>
          </cell>
          <cell r="BD151" t="str">
            <v>DC 8/2021</v>
          </cell>
        </row>
        <row r="152">
          <cell r="D152">
            <v>417983140</v>
          </cell>
          <cell r="E152">
            <v>400548944</v>
          </cell>
          <cell r="F152" t="str">
            <v>CHIP CAP 2.2UF 10% 16V X7R T&amp;R</v>
          </cell>
          <cell r="G152" t="str">
            <v>EA</v>
          </cell>
          <cell r="H152">
            <v>2</v>
          </cell>
          <cell r="I152">
            <v>4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1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1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1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1</v>
          </cell>
          <cell r="AL152">
            <v>0</v>
          </cell>
          <cell r="AM152">
            <v>7165</v>
          </cell>
          <cell r="AN152">
            <v>5.0000000000000001E-3</v>
          </cell>
          <cell r="AO152" t="str">
            <v>SAMSUNG</v>
          </cell>
          <cell r="AP152" t="str">
            <v>אופק</v>
          </cell>
          <cell r="AQ152">
            <v>1</v>
          </cell>
          <cell r="AR152">
            <v>2.5000000000000001E-2</v>
          </cell>
          <cell r="AT152" t="str">
            <v xml:space="preserve">
</v>
          </cell>
          <cell r="AU152">
            <v>2000</v>
          </cell>
          <cell r="AV152">
            <v>2000</v>
          </cell>
          <cell r="AW152">
            <v>2.5000000000000001E-2</v>
          </cell>
          <cell r="AX152">
            <v>2.5000000000000001E-3</v>
          </cell>
          <cell r="AY152" t="str">
            <v>USD</v>
          </cell>
          <cell r="AZ152" t="str">
            <v>תומחר על ידי אופק</v>
          </cell>
          <cell r="BA152" t="str">
            <v>סידב</v>
          </cell>
          <cell r="BD152" t="str">
            <v>DC 10/2021</v>
          </cell>
        </row>
        <row r="153">
          <cell r="D153">
            <v>411063876</v>
          </cell>
          <cell r="E153">
            <v>403846606</v>
          </cell>
          <cell r="F153" t="str">
            <v>CHIP CAP 4.7PF +/-0.1PF 150V 1.4MM2</v>
          </cell>
          <cell r="G153" t="str">
            <v>EA</v>
          </cell>
          <cell r="H153">
            <v>2</v>
          </cell>
          <cell r="I153">
            <v>60</v>
          </cell>
          <cell r="J153">
            <v>0</v>
          </cell>
          <cell r="K153">
            <v>0</v>
          </cell>
          <cell r="L153">
            <v>0</v>
          </cell>
          <cell r="M153">
            <v>14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3</v>
          </cell>
          <cell r="S153">
            <v>0</v>
          </cell>
          <cell r="T153">
            <v>0</v>
          </cell>
          <cell r="U153">
            <v>0</v>
          </cell>
          <cell r="V153">
            <v>10</v>
          </cell>
          <cell r="W153">
            <v>3</v>
          </cell>
          <cell r="X153">
            <v>0</v>
          </cell>
          <cell r="Y153">
            <v>0</v>
          </cell>
          <cell r="Z153">
            <v>0</v>
          </cell>
          <cell r="AA153">
            <v>10</v>
          </cell>
          <cell r="AB153">
            <v>3</v>
          </cell>
          <cell r="AC153">
            <v>0</v>
          </cell>
          <cell r="AD153">
            <v>0</v>
          </cell>
          <cell r="AE153">
            <v>0</v>
          </cell>
          <cell r="AF153">
            <v>14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3</v>
          </cell>
          <cell r="AL153">
            <v>0</v>
          </cell>
          <cell r="AM153">
            <v>104245</v>
          </cell>
          <cell r="AN153">
            <v>20.7</v>
          </cell>
          <cell r="AO153" t="str">
            <v>PASSIVE PLUS, LLC</v>
          </cell>
          <cell r="AP153" t="str">
            <v>אופק</v>
          </cell>
          <cell r="AQ153">
            <v>1</v>
          </cell>
          <cell r="AR153">
            <v>0.69</v>
          </cell>
          <cell r="AT153" t="str">
            <v xml:space="preserve">
</v>
          </cell>
          <cell r="AW153">
            <v>0.61</v>
          </cell>
          <cell r="AX153">
            <v>0.69</v>
          </cell>
          <cell r="AY153" t="str">
            <v>USD</v>
          </cell>
          <cell r="AZ153" t="str">
            <v>תומחר על ידי אופק</v>
          </cell>
          <cell r="BA153" t="str">
            <v>פיניקס</v>
          </cell>
          <cell r="BD153" t="str">
            <v>פריט NCNR</v>
          </cell>
        </row>
        <row r="154">
          <cell r="D154">
            <v>400656752</v>
          </cell>
          <cell r="E154">
            <v>400275213</v>
          </cell>
          <cell r="F154" t="str">
            <v>CHIP RESIS 100 KOHM 1%  T&amp;R</v>
          </cell>
          <cell r="G154" t="str">
            <v>EA</v>
          </cell>
          <cell r="H154">
            <v>2</v>
          </cell>
          <cell r="I154">
            <v>12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3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3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3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3</v>
          </cell>
          <cell r="AL154">
            <v>0</v>
          </cell>
          <cell r="AM154">
            <v>21495</v>
          </cell>
          <cell r="AN154">
            <v>8.4239999999999992E-3</v>
          </cell>
          <cell r="AO154" t="str">
            <v>VISHAY RESISTIVE SYSTEMS</v>
          </cell>
          <cell r="AP154" t="str">
            <v>אופק</v>
          </cell>
          <cell r="AQ154" t="str">
            <v>ECOMAL ISRAEL LTD</v>
          </cell>
          <cell r="AR154">
            <v>4.0000000000000001E-3</v>
          </cell>
          <cell r="AT154" t="str">
            <v xml:space="preserve">
</v>
          </cell>
          <cell r="AU154">
            <v>10000</v>
          </cell>
          <cell r="AV154">
            <v>10000</v>
          </cell>
          <cell r="AW154">
            <v>4.0000000000000001E-3</v>
          </cell>
          <cell r="AX154">
            <v>1.4039999999999999E-3</v>
          </cell>
          <cell r="AY154" t="str">
            <v>USD</v>
          </cell>
          <cell r="AZ154" t="str">
            <v>תומחר על ידי אופק</v>
          </cell>
          <cell r="BA154" t="str">
            <v>ארו</v>
          </cell>
          <cell r="BD154" t="str">
            <v>3-4 wks. stock for today</v>
          </cell>
        </row>
        <row r="155">
          <cell r="D155">
            <v>400656753</v>
          </cell>
          <cell r="E155">
            <v>400275214</v>
          </cell>
          <cell r="F155" t="str">
            <v>CHIP RESIS 100 OHM 1%  T&amp;R</v>
          </cell>
          <cell r="G155" t="str">
            <v>EA</v>
          </cell>
          <cell r="H155">
            <v>2</v>
          </cell>
          <cell r="I155">
            <v>52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13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13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13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13</v>
          </cell>
          <cell r="AL155">
            <v>0</v>
          </cell>
          <cell r="AM155">
            <v>93145</v>
          </cell>
          <cell r="AN155">
            <v>3.6503999999999995E-2</v>
          </cell>
          <cell r="AO155" t="str">
            <v>VISHAY RESISTIVE SYSTEMS</v>
          </cell>
          <cell r="AP155" t="str">
            <v>אופק</v>
          </cell>
          <cell r="AQ155" t="str">
            <v>ECOMAL ISRAEL LTD</v>
          </cell>
          <cell r="AR155">
            <v>4.0000000000000001E-3</v>
          </cell>
          <cell r="AT155" t="str">
            <v xml:space="preserve">
</v>
          </cell>
          <cell r="AU155">
            <v>10000</v>
          </cell>
          <cell r="AV155">
            <v>10000</v>
          </cell>
          <cell r="AW155">
            <v>4.0000000000000001E-3</v>
          </cell>
          <cell r="AX155">
            <v>1.4039999999999999E-3</v>
          </cell>
          <cell r="AY155" t="str">
            <v>USD</v>
          </cell>
          <cell r="AZ155" t="str">
            <v>תומחר על ידי אופק</v>
          </cell>
          <cell r="BA155" t="str">
            <v>ארו</v>
          </cell>
          <cell r="BD155" t="str">
            <v>3-4 wks. stock for today</v>
          </cell>
        </row>
        <row r="156">
          <cell r="D156">
            <v>400656755</v>
          </cell>
          <cell r="E156" t="str">
            <v>FFF004487</v>
          </cell>
          <cell r="F156" t="str">
            <v>CHIP RESIS 10 KOHM 1%  T&amp;R</v>
          </cell>
          <cell r="G156" t="str">
            <v>EA</v>
          </cell>
          <cell r="H156">
            <v>2</v>
          </cell>
          <cell r="I156">
            <v>218</v>
          </cell>
          <cell r="J156">
            <v>0</v>
          </cell>
          <cell r="K156">
            <v>0</v>
          </cell>
          <cell r="L156">
            <v>0</v>
          </cell>
          <cell r="M156">
            <v>9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49</v>
          </cell>
          <cell r="S156">
            <v>0</v>
          </cell>
          <cell r="T156">
            <v>0</v>
          </cell>
          <cell r="U156">
            <v>0</v>
          </cell>
          <cell r="V156">
            <v>2</v>
          </cell>
          <cell r="W156">
            <v>49</v>
          </cell>
          <cell r="X156">
            <v>0</v>
          </cell>
          <cell r="Y156">
            <v>0</v>
          </cell>
          <cell r="Z156">
            <v>0</v>
          </cell>
          <cell r="AA156">
            <v>2</v>
          </cell>
          <cell r="AB156">
            <v>49</v>
          </cell>
          <cell r="AC156">
            <v>0</v>
          </cell>
          <cell r="AD156">
            <v>0</v>
          </cell>
          <cell r="AE156">
            <v>0</v>
          </cell>
          <cell r="AF156">
            <v>9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49</v>
          </cell>
          <cell r="AL156">
            <v>0</v>
          </cell>
          <cell r="AM156">
            <v>384840</v>
          </cell>
          <cell r="AN156">
            <v>0.11987819999999999</v>
          </cell>
          <cell r="AO156" t="str">
            <v>VISHAY EUROPE SALE GMBH</v>
          </cell>
          <cell r="AP156" t="str">
            <v>אופק</v>
          </cell>
          <cell r="AQ156" t="str">
            <v>ECOMAL ISRAEL LTD</v>
          </cell>
          <cell r="AR156">
            <v>4.0000000000000001E-3</v>
          </cell>
          <cell r="AT156" t="str">
            <v xml:space="preserve">
</v>
          </cell>
          <cell r="AU156">
            <v>10000</v>
          </cell>
          <cell r="AV156">
            <v>10000</v>
          </cell>
          <cell r="AW156">
            <v>4.0000000000000001E-3</v>
          </cell>
          <cell r="AX156">
            <v>1.0998E-3</v>
          </cell>
          <cell r="AY156" t="str">
            <v>USD</v>
          </cell>
          <cell r="AZ156" t="str">
            <v>תומחר על ידי אופק</v>
          </cell>
          <cell r="BA156" t="str">
            <v>ארו</v>
          </cell>
          <cell r="BD156" t="str">
            <v>3-4 wks. stock for today</v>
          </cell>
        </row>
        <row r="157">
          <cell r="D157">
            <v>401281030</v>
          </cell>
          <cell r="E157">
            <v>400294083</v>
          </cell>
          <cell r="F157" t="str">
            <v>CHIP RESIS 150 OHM 1% .063W T&amp;R</v>
          </cell>
          <cell r="G157" t="str">
            <v>EA</v>
          </cell>
          <cell r="H157">
            <v>2</v>
          </cell>
          <cell r="I157">
            <v>4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1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1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1</v>
          </cell>
          <cell r="AL157">
            <v>0</v>
          </cell>
          <cell r="AM157">
            <v>7165</v>
          </cell>
          <cell r="AN157">
            <v>2.8079999999999997E-3</v>
          </cell>
          <cell r="AO157" t="str">
            <v>VISHAY RESISTIVE SYSTEMS</v>
          </cell>
          <cell r="AP157" t="str">
            <v>אופק</v>
          </cell>
          <cell r="AQ157" t="str">
            <v>ECOMAL ISRAEL LTD</v>
          </cell>
          <cell r="AR157">
            <v>4.0000000000000001E-3</v>
          </cell>
          <cell r="AT157" t="str">
            <v xml:space="preserve">
</v>
          </cell>
          <cell r="AU157">
            <v>10000</v>
          </cell>
          <cell r="AV157">
            <v>10000</v>
          </cell>
          <cell r="AW157">
            <v>4.0000000000000001E-3</v>
          </cell>
          <cell r="AX157">
            <v>1.4039999999999999E-3</v>
          </cell>
          <cell r="AY157" t="str">
            <v>USD</v>
          </cell>
          <cell r="AZ157" t="str">
            <v>תומחר על ידי אופק</v>
          </cell>
          <cell r="BA157" t="str">
            <v>ארו</v>
          </cell>
          <cell r="BD157" t="str">
            <v>3-4 wks. stock for today</v>
          </cell>
        </row>
        <row r="158">
          <cell r="D158">
            <v>401481540</v>
          </cell>
          <cell r="E158">
            <v>400275409</v>
          </cell>
          <cell r="F158" t="str">
            <v>CHIP RESIS 18.2KOHM 1^ .063W T&amp;R</v>
          </cell>
          <cell r="G158" t="str">
            <v>EA</v>
          </cell>
          <cell r="H158">
            <v>2</v>
          </cell>
          <cell r="I158">
            <v>8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2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2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2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2</v>
          </cell>
          <cell r="AL158">
            <v>0</v>
          </cell>
          <cell r="AM158">
            <v>14330</v>
          </cell>
          <cell r="AN158">
            <v>5.6159999999999995E-3</v>
          </cell>
          <cell r="AO158" t="str">
            <v>VISHAY RESISTIVE SYSTEMS</v>
          </cell>
          <cell r="AP158" t="str">
            <v>אופק</v>
          </cell>
          <cell r="AQ158" t="str">
            <v>ECOMAL ISRAEL LTD</v>
          </cell>
          <cell r="AR158">
            <v>3.0000000000000001E-3</v>
          </cell>
          <cell r="AT158" t="str">
            <v xml:space="preserve">
</v>
          </cell>
          <cell r="AU158">
            <v>10000</v>
          </cell>
          <cell r="AV158">
            <v>10000</v>
          </cell>
          <cell r="AW158">
            <v>3.0000000000000001E-3</v>
          </cell>
          <cell r="AX158">
            <v>1.4039999999999999E-3</v>
          </cell>
          <cell r="AY158" t="str">
            <v>USD</v>
          </cell>
          <cell r="AZ158" t="str">
            <v>תומחר על ידי אופק</v>
          </cell>
          <cell r="BA158" t="str">
            <v>ארו</v>
          </cell>
          <cell r="BD158" t="str">
            <v>3-4 wks. stock for today
לבדוק אם המחיר של ארו הוא ביורו</v>
          </cell>
        </row>
        <row r="159">
          <cell r="D159">
            <v>400656760</v>
          </cell>
          <cell r="E159" t="str">
            <v>FFF004408</v>
          </cell>
          <cell r="F159" t="str">
            <v>CHIP RESIS 1 KOHM 1% T&amp;R</v>
          </cell>
          <cell r="G159" t="str">
            <v>EA</v>
          </cell>
          <cell r="H159">
            <v>2</v>
          </cell>
          <cell r="I159">
            <v>184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46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46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46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46</v>
          </cell>
          <cell r="AL159">
            <v>0</v>
          </cell>
          <cell r="AM159">
            <v>329590</v>
          </cell>
          <cell r="AN159">
            <v>0.12916799999999998</v>
          </cell>
          <cell r="AO159" t="str">
            <v>VISHAY RESISTIVE SYSTEMS</v>
          </cell>
          <cell r="AP159" t="str">
            <v>אופק</v>
          </cell>
          <cell r="AQ159" t="str">
            <v>ECOMAL ISRAEL LTD</v>
          </cell>
          <cell r="AR159">
            <v>4.0000000000000001E-3</v>
          </cell>
          <cell r="AT159" t="str">
            <v xml:space="preserve">
</v>
          </cell>
          <cell r="AU159">
            <v>10000</v>
          </cell>
          <cell r="AV159">
            <v>10000</v>
          </cell>
          <cell r="AW159">
            <v>4.0000000000000001E-3</v>
          </cell>
          <cell r="AX159">
            <v>1.4039999999999999E-3</v>
          </cell>
          <cell r="AY159" t="str">
            <v>USD</v>
          </cell>
          <cell r="AZ159" t="str">
            <v>תומחר על ידי אופק</v>
          </cell>
          <cell r="BA159" t="str">
            <v>ארו</v>
          </cell>
          <cell r="BD159" t="str">
            <v>3-4 wks. stock for today</v>
          </cell>
        </row>
        <row r="160">
          <cell r="D160">
            <v>401234957</v>
          </cell>
          <cell r="E160">
            <v>400275219</v>
          </cell>
          <cell r="F160" t="str">
            <v>CHIP RESIS 1.21KOHM 1% .063W T&amp;R</v>
          </cell>
          <cell r="G160" t="str">
            <v>EA</v>
          </cell>
          <cell r="H160">
            <v>2</v>
          </cell>
          <cell r="I160">
            <v>4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1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1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1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1</v>
          </cell>
          <cell r="AL160">
            <v>0</v>
          </cell>
          <cell r="AM160">
            <v>7165</v>
          </cell>
          <cell r="AN160">
            <v>2.8079999999999997E-3</v>
          </cell>
          <cell r="AO160" t="str">
            <v>VISHAY RESISTIVE SYSTEMS</v>
          </cell>
          <cell r="AP160" t="str">
            <v>אופק</v>
          </cell>
          <cell r="AQ160" t="str">
            <v>ECOMAL ISRAEL LTD</v>
          </cell>
          <cell r="AR160">
            <v>4.0000000000000001E-3</v>
          </cell>
          <cell r="AT160" t="str">
            <v xml:space="preserve">
</v>
          </cell>
          <cell r="AU160">
            <v>10000</v>
          </cell>
          <cell r="AV160">
            <v>10000</v>
          </cell>
          <cell r="AW160">
            <v>4.0000000000000001E-3</v>
          </cell>
          <cell r="AX160">
            <v>1.4039999999999999E-3</v>
          </cell>
          <cell r="AY160" t="str">
            <v>USD</v>
          </cell>
          <cell r="AZ160" t="str">
            <v>תומחר על ידי אופק</v>
          </cell>
          <cell r="BA160" t="str">
            <v>ארו</v>
          </cell>
          <cell r="BD160" t="str">
            <v>3-4 wks. stock for today</v>
          </cell>
        </row>
        <row r="161">
          <cell r="D161">
            <v>401308899</v>
          </cell>
          <cell r="E161">
            <v>401240059</v>
          </cell>
          <cell r="F161" t="str">
            <v>CHIP RESISTOR 1.4KOHM 1% 0.063W T&amp;R</v>
          </cell>
          <cell r="G161" t="str">
            <v>EA</v>
          </cell>
          <cell r="H161">
            <v>2</v>
          </cell>
          <cell r="I161">
            <v>12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3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3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3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3</v>
          </cell>
          <cell r="AL161">
            <v>0</v>
          </cell>
          <cell r="AM161">
            <v>21495</v>
          </cell>
          <cell r="AN161">
            <v>8.4239999999999992E-3</v>
          </cell>
          <cell r="AO161" t="str">
            <v>VISHAY DALE ELECTRONICS</v>
          </cell>
          <cell r="AP161" t="str">
            <v>אופק</v>
          </cell>
          <cell r="AQ161" t="str">
            <v>ECOMAL ISRAEL LTD</v>
          </cell>
          <cell r="AR161">
            <v>4.0000000000000001E-3</v>
          </cell>
          <cell r="AT161" t="str">
            <v xml:space="preserve">
</v>
          </cell>
          <cell r="AU161">
            <v>10000</v>
          </cell>
          <cell r="AV161">
            <v>10000</v>
          </cell>
          <cell r="AW161">
            <v>4.0000000000000001E-3</v>
          </cell>
          <cell r="AX161">
            <v>1.4039999999999999E-3</v>
          </cell>
          <cell r="AY161" t="str">
            <v>USD</v>
          </cell>
          <cell r="AZ161" t="str">
            <v>תומחר על ידי אופק</v>
          </cell>
          <cell r="BA161" t="str">
            <v>ארו</v>
          </cell>
          <cell r="BD161" t="str">
            <v>3-4 wks. stock for today</v>
          </cell>
        </row>
        <row r="162">
          <cell r="D162">
            <v>400658318</v>
          </cell>
          <cell r="E162">
            <v>400275407</v>
          </cell>
          <cell r="F162" t="str">
            <v>CHIP RESIS 200 OHM 1% T&amp;R</v>
          </cell>
          <cell r="G162" t="str">
            <v>EA</v>
          </cell>
          <cell r="H162">
            <v>2</v>
          </cell>
          <cell r="I162">
            <v>4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1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1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1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1</v>
          </cell>
          <cell r="AL162">
            <v>0</v>
          </cell>
          <cell r="AM162">
            <v>7165</v>
          </cell>
          <cell r="AN162">
            <v>2.8079999999999997E-3</v>
          </cell>
          <cell r="AO162" t="str">
            <v>VISHAY RESISTIVE SYSTEMS</v>
          </cell>
          <cell r="AP162" t="str">
            <v>אופק</v>
          </cell>
          <cell r="AQ162" t="str">
            <v>ECOMAL ISRAEL LTD</v>
          </cell>
          <cell r="AR162">
            <v>4.0000000000000001E-3</v>
          </cell>
          <cell r="AT162" t="str">
            <v xml:space="preserve">
</v>
          </cell>
          <cell r="AU162">
            <v>10000</v>
          </cell>
          <cell r="AV162">
            <v>10000</v>
          </cell>
          <cell r="AW162">
            <v>4.0000000000000001E-3</v>
          </cell>
          <cell r="AX162">
            <v>1.4039999999999999E-3</v>
          </cell>
          <cell r="AY162" t="str">
            <v>USD</v>
          </cell>
          <cell r="AZ162" t="str">
            <v>תומחר על ידי אופק</v>
          </cell>
          <cell r="BA162" t="str">
            <v>ארו</v>
          </cell>
          <cell r="BD162" t="str">
            <v>3-4 wks. stock for today</v>
          </cell>
        </row>
        <row r="163">
          <cell r="D163">
            <v>405295603</v>
          </cell>
          <cell r="E163">
            <v>400275509</v>
          </cell>
          <cell r="F163" t="str">
            <v>CHIP RESIS 24.3 OHM 1% .063W T&amp;R</v>
          </cell>
          <cell r="G163" t="str">
            <v>EA</v>
          </cell>
          <cell r="H163">
            <v>2</v>
          </cell>
          <cell r="I163">
            <v>92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23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23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23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23</v>
          </cell>
          <cell r="AL163">
            <v>0</v>
          </cell>
          <cell r="AM163">
            <v>164795</v>
          </cell>
          <cell r="AN163">
            <v>5.0590799999999998E-2</v>
          </cell>
          <cell r="AO163" t="str">
            <v>VISHAY EUROPE SALE GMBH</v>
          </cell>
          <cell r="AP163" t="str">
            <v>אופק</v>
          </cell>
          <cell r="AQ163" t="str">
            <v>ECOMAL ISRAEL LTD</v>
          </cell>
          <cell r="AR163">
            <v>4.0000000000000001E-3</v>
          </cell>
          <cell r="AT163" t="str">
            <v xml:space="preserve">
</v>
          </cell>
          <cell r="AU163">
            <v>10000</v>
          </cell>
          <cell r="AV163">
            <v>10000</v>
          </cell>
          <cell r="AW163">
            <v>4.0000000000000001E-3</v>
          </cell>
          <cell r="AX163">
            <v>1.0998E-3</v>
          </cell>
          <cell r="AY163" t="str">
            <v>USD</v>
          </cell>
          <cell r="AZ163" t="str">
            <v>תומחר על ידי אופק</v>
          </cell>
          <cell r="BA163" t="str">
            <v>ארו</v>
          </cell>
          <cell r="BD163" t="str">
            <v>3-4 wks. stock for today</v>
          </cell>
        </row>
        <row r="164">
          <cell r="D164">
            <v>400658323</v>
          </cell>
          <cell r="E164">
            <v>400005121</v>
          </cell>
          <cell r="F164" t="str">
            <v>CHIP RESIS 2 KOHM 1%  PB-FREE T&amp;R</v>
          </cell>
          <cell r="G164" t="str">
            <v>EA</v>
          </cell>
          <cell r="H164">
            <v>2</v>
          </cell>
          <cell r="I164">
            <v>16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4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4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4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4</v>
          </cell>
          <cell r="AL164">
            <v>0</v>
          </cell>
          <cell r="AM164">
            <v>28660</v>
          </cell>
          <cell r="AN164">
            <v>1.5911999999999999E-2</v>
          </cell>
          <cell r="AO164" t="str">
            <v>VISHAY RESISTIVE SYSTEMS</v>
          </cell>
          <cell r="AP164" t="str">
            <v>אופק</v>
          </cell>
          <cell r="AQ164" t="str">
            <v>ECOMAL ISRAEL LTD</v>
          </cell>
          <cell r="AR164">
            <v>4.0000000000000001E-3</v>
          </cell>
          <cell r="AT164" t="str">
            <v xml:space="preserve">
</v>
          </cell>
          <cell r="AU164">
            <v>10000</v>
          </cell>
          <cell r="AV164">
            <v>10000</v>
          </cell>
          <cell r="AW164">
            <v>4.0000000000000001E-3</v>
          </cell>
          <cell r="AX164">
            <v>1.9889999999999999E-3</v>
          </cell>
          <cell r="AY164" t="str">
            <v>USD</v>
          </cell>
          <cell r="AZ164" t="str">
            <v>תומחר על ידי אופק</v>
          </cell>
          <cell r="BA164" t="str">
            <v>ארו</v>
          </cell>
          <cell r="BD164" t="str">
            <v>3-4 wks. stock for today</v>
          </cell>
        </row>
        <row r="165">
          <cell r="D165">
            <v>400658325</v>
          </cell>
          <cell r="E165">
            <v>400275524</v>
          </cell>
          <cell r="F165" t="str">
            <v>CHIP RESIS 332 OHM 1% PB-FREE T&amp;R</v>
          </cell>
          <cell r="G165" t="str">
            <v>EA</v>
          </cell>
          <cell r="H165">
            <v>2</v>
          </cell>
          <cell r="I165">
            <v>8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2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2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2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2</v>
          </cell>
          <cell r="AL165">
            <v>0</v>
          </cell>
          <cell r="AM165">
            <v>14330</v>
          </cell>
          <cell r="AN165">
            <v>7.9559999999999995E-3</v>
          </cell>
          <cell r="AO165" t="str">
            <v>VISHAY RESISTIVE SYSTEMS</v>
          </cell>
          <cell r="AP165" t="str">
            <v>אופק</v>
          </cell>
          <cell r="AQ165" t="str">
            <v>ECOMAL ISRAEL LTD</v>
          </cell>
          <cell r="AR165">
            <v>3.0000000000000001E-3</v>
          </cell>
          <cell r="AT165" t="str">
            <v xml:space="preserve">
</v>
          </cell>
          <cell r="AU165">
            <v>10000</v>
          </cell>
          <cell r="AV165">
            <v>10000</v>
          </cell>
          <cell r="AW165">
            <v>3.0000000000000001E-3</v>
          </cell>
          <cell r="AX165">
            <v>1.9889999999999999E-3</v>
          </cell>
          <cell r="AY165" t="str">
            <v>USD</v>
          </cell>
          <cell r="AZ165" t="str">
            <v>תומחר על ידי אופק</v>
          </cell>
          <cell r="BA165" t="str">
            <v>ארו</v>
          </cell>
          <cell r="BD165" t="str">
            <v>3-4 wks. stock for today
לבדוק אם המחיר של ארו הוא ביורו</v>
          </cell>
        </row>
        <row r="166">
          <cell r="D166">
            <v>402215679</v>
          </cell>
          <cell r="E166">
            <v>422391275</v>
          </cell>
          <cell r="F166" t="str">
            <v>CHIP RESIS 3.09KOHM 1^ .063W T&amp;R</v>
          </cell>
          <cell r="G166" t="str">
            <v>EA</v>
          </cell>
          <cell r="H166">
            <v>2</v>
          </cell>
          <cell r="I166">
            <v>20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5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5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5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5</v>
          </cell>
          <cell r="AL166">
            <v>0</v>
          </cell>
          <cell r="AM166">
            <v>35825</v>
          </cell>
          <cell r="AN166">
            <v>1.9889999999999998E-2</v>
          </cell>
          <cell r="AO166" t="str">
            <v>VISHAY RESISTIVE SYSTEMS</v>
          </cell>
          <cell r="AP166" t="str">
            <v>אופק</v>
          </cell>
          <cell r="AQ166">
            <v>1</v>
          </cell>
          <cell r="AR166">
            <v>3.0000000000000001E-3</v>
          </cell>
          <cell r="AT166" t="str">
            <v xml:space="preserve">
</v>
          </cell>
          <cell r="AU166">
            <v>10000</v>
          </cell>
          <cell r="AV166">
            <v>10000</v>
          </cell>
          <cell r="AW166">
            <v>3.0000000000000001E-3</v>
          </cell>
          <cell r="AX166">
            <v>1.9889999999999999E-3</v>
          </cell>
          <cell r="AY166" t="str">
            <v>USD</v>
          </cell>
          <cell r="AZ166" t="str">
            <v>תומחר על ידי אופק</v>
          </cell>
          <cell r="BA166" t="str">
            <v>ארו</v>
          </cell>
          <cell r="BD166" t="str">
            <v>3-4 wks. stock for today
לבדוק אם המחיר של ארו הוא ביורו</v>
          </cell>
        </row>
        <row r="167">
          <cell r="D167">
            <v>400658330</v>
          </cell>
          <cell r="E167">
            <v>400275755</v>
          </cell>
          <cell r="F167" t="str">
            <v>CHIP RESIS 49.9 OHM 1% PB-FREE T&amp;R</v>
          </cell>
          <cell r="G167" t="str">
            <v>EA</v>
          </cell>
          <cell r="H167">
            <v>2</v>
          </cell>
          <cell r="I167">
            <v>12</v>
          </cell>
          <cell r="J167">
            <v>0</v>
          </cell>
          <cell r="K167">
            <v>0</v>
          </cell>
          <cell r="L167">
            <v>0</v>
          </cell>
          <cell r="M167">
            <v>4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2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2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4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19880</v>
          </cell>
          <cell r="AN167">
            <v>1.1934E-2</v>
          </cell>
          <cell r="AO167" t="str">
            <v>VISHAY RESISTIVE SYSTEMS</v>
          </cell>
          <cell r="AP167" t="str">
            <v>אופק</v>
          </cell>
          <cell r="AQ167" t="str">
            <v>ECOMAL ISRAEL LTD</v>
          </cell>
          <cell r="AR167">
            <v>4.0000000000000001E-3</v>
          </cell>
          <cell r="AT167" t="str">
            <v xml:space="preserve">
</v>
          </cell>
          <cell r="AU167">
            <v>10000</v>
          </cell>
          <cell r="AV167">
            <v>10000</v>
          </cell>
          <cell r="AW167">
            <v>4.0000000000000001E-3</v>
          </cell>
          <cell r="AX167">
            <v>1.9889999999999999E-3</v>
          </cell>
          <cell r="AY167" t="str">
            <v>USD</v>
          </cell>
          <cell r="AZ167" t="str">
            <v>תומחר על ידי אופק</v>
          </cell>
          <cell r="BA167" t="str">
            <v>ארו</v>
          </cell>
          <cell r="BD167" t="str">
            <v>3-4 wks. stock for today</v>
          </cell>
        </row>
        <row r="168">
          <cell r="D168">
            <v>401246030</v>
          </cell>
          <cell r="E168">
            <v>400275761</v>
          </cell>
          <cell r="F168" t="str">
            <v>CHIP RESIS 4.02KOHM 1% .063W T&amp;R</v>
          </cell>
          <cell r="G168" t="str">
            <v>EA</v>
          </cell>
          <cell r="H168">
            <v>2</v>
          </cell>
          <cell r="I168">
            <v>4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1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1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1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1</v>
          </cell>
          <cell r="AL168">
            <v>0</v>
          </cell>
          <cell r="AM168">
            <v>7165</v>
          </cell>
          <cell r="AN168">
            <v>3.9779999999999998E-3</v>
          </cell>
          <cell r="AO168" t="str">
            <v>VISHAY RESISTIVE SYSTEMS</v>
          </cell>
          <cell r="AP168" t="str">
            <v>אופק</v>
          </cell>
          <cell r="AQ168" t="str">
            <v>ECOMAL ISRAEL LTD</v>
          </cell>
          <cell r="AR168">
            <v>4.0000000000000001E-3</v>
          </cell>
          <cell r="AT168" t="str">
            <v xml:space="preserve">
</v>
          </cell>
          <cell r="AU168">
            <v>10000</v>
          </cell>
          <cell r="AV168">
            <v>10000</v>
          </cell>
          <cell r="AW168">
            <v>4.0000000000000001E-3</v>
          </cell>
          <cell r="AX168">
            <v>1.9889999999999999E-3</v>
          </cell>
          <cell r="AY168" t="str">
            <v>USD</v>
          </cell>
          <cell r="AZ168" t="str">
            <v>תומחר על ידי אופק</v>
          </cell>
          <cell r="BA168" t="str">
            <v>ארו</v>
          </cell>
          <cell r="BD168" t="str">
            <v>3-4 wks. stock for today</v>
          </cell>
        </row>
        <row r="169">
          <cell r="D169">
            <v>401308902</v>
          </cell>
          <cell r="E169">
            <v>400275589</v>
          </cell>
          <cell r="F169" t="str">
            <v>CHIP RESISTOR 4.75KOHM 1% 0.063W T&amp;R L-F</v>
          </cell>
          <cell r="G169" t="str">
            <v>EA</v>
          </cell>
          <cell r="H169">
            <v>2</v>
          </cell>
          <cell r="I169">
            <v>4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1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1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1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1</v>
          </cell>
          <cell r="AL169">
            <v>0</v>
          </cell>
          <cell r="AM169">
            <v>7165</v>
          </cell>
          <cell r="AN169">
            <v>3.9779999999999998E-3</v>
          </cell>
          <cell r="AO169" t="str">
            <v>VISHAY DALE ELECTRONICS</v>
          </cell>
          <cell r="AP169" t="str">
            <v>אופק</v>
          </cell>
          <cell r="AQ169" t="str">
            <v>ECOMAL ISRAEL LTD</v>
          </cell>
          <cell r="AR169">
            <v>4.0000000000000001E-3</v>
          </cell>
          <cell r="AT169" t="str">
            <v xml:space="preserve">
</v>
          </cell>
          <cell r="AU169">
            <v>10000</v>
          </cell>
          <cell r="AV169">
            <v>10000</v>
          </cell>
          <cell r="AW169">
            <v>4.0000000000000001E-3</v>
          </cell>
          <cell r="AX169">
            <v>1.9889999999999999E-3</v>
          </cell>
          <cell r="AY169" t="str">
            <v>USD</v>
          </cell>
          <cell r="AZ169" t="str">
            <v>תומחר על ידי אופק</v>
          </cell>
          <cell r="BA169" t="str">
            <v>ארו</v>
          </cell>
          <cell r="BD169" t="str">
            <v>3-4 wks. stock for today</v>
          </cell>
        </row>
        <row r="170">
          <cell r="D170">
            <v>400658331</v>
          </cell>
          <cell r="E170">
            <v>400275598</v>
          </cell>
          <cell r="F170" t="str">
            <v>CHIP RESIS 4.99 KOHM 1% PB-FREE T&amp;R</v>
          </cell>
          <cell r="G170" t="str">
            <v>EA</v>
          </cell>
          <cell r="H170">
            <v>2</v>
          </cell>
          <cell r="I170">
            <v>8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2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2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2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2</v>
          </cell>
          <cell r="AL170">
            <v>0</v>
          </cell>
          <cell r="AM170">
            <v>14330</v>
          </cell>
          <cell r="AN170">
            <v>7.9559999999999995E-3</v>
          </cell>
          <cell r="AO170" t="str">
            <v>VISHAY RESISTIVE SYSTEMS</v>
          </cell>
          <cell r="AP170" t="str">
            <v>אופק</v>
          </cell>
          <cell r="AQ170" t="str">
            <v>ECOMAL ISRAEL LTD</v>
          </cell>
          <cell r="AR170">
            <v>4.0000000000000001E-3</v>
          </cell>
          <cell r="AT170" t="str">
            <v xml:space="preserve">
</v>
          </cell>
          <cell r="AU170">
            <v>10000</v>
          </cell>
          <cell r="AV170">
            <v>10000</v>
          </cell>
          <cell r="AW170">
            <v>4.0000000000000001E-3</v>
          </cell>
          <cell r="AX170">
            <v>1.9889999999999999E-3</v>
          </cell>
          <cell r="AY170" t="str">
            <v>USD</v>
          </cell>
          <cell r="AZ170" t="str">
            <v>תומחר על ידי אופק</v>
          </cell>
          <cell r="BA170" t="str">
            <v>ארו</v>
          </cell>
          <cell r="BD170" t="str">
            <v>3-4 wks. stock for today</v>
          </cell>
        </row>
        <row r="171">
          <cell r="D171">
            <v>401193607</v>
          </cell>
          <cell r="E171">
            <v>400275764</v>
          </cell>
          <cell r="F171" t="str">
            <v>CHIP RESIS 511 OHM 1% .063W T&amp;R</v>
          </cell>
          <cell r="G171" t="str">
            <v>EA</v>
          </cell>
          <cell r="H171">
            <v>2</v>
          </cell>
          <cell r="I171">
            <v>8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2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2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2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2</v>
          </cell>
          <cell r="AL171">
            <v>0</v>
          </cell>
          <cell r="AM171">
            <v>14330</v>
          </cell>
          <cell r="AN171">
            <v>7.9559999999999995E-3</v>
          </cell>
          <cell r="AO171" t="str">
            <v>VISHAY RESISTIVE SYSTEMS</v>
          </cell>
          <cell r="AP171" t="str">
            <v>אופק</v>
          </cell>
          <cell r="AQ171" t="str">
            <v>ECOMAL ISRAEL LTD</v>
          </cell>
          <cell r="AR171">
            <v>3.0000000000000001E-3</v>
          </cell>
          <cell r="AT171" t="str">
            <v xml:space="preserve">
</v>
          </cell>
          <cell r="AU171">
            <v>10000</v>
          </cell>
          <cell r="AV171">
            <v>10000</v>
          </cell>
          <cell r="AW171">
            <v>3.0000000000000001E-3</v>
          </cell>
          <cell r="AX171">
            <v>1.9889999999999999E-3</v>
          </cell>
          <cell r="AY171" t="str">
            <v>USD</v>
          </cell>
          <cell r="AZ171" t="str">
            <v>תומחר על ידי אופק</v>
          </cell>
          <cell r="BA171" t="str">
            <v>ארו</v>
          </cell>
          <cell r="BD171" t="str">
            <v>3-4 wks. stock for today
לבדוק אם המחיר של ארו הוא ביורו</v>
          </cell>
        </row>
        <row r="172">
          <cell r="D172">
            <v>401193608</v>
          </cell>
          <cell r="E172">
            <v>400275765</v>
          </cell>
          <cell r="F172" t="str">
            <v>CHIP RESIS 5.11KOHM 1^ .063W T&amp;R</v>
          </cell>
          <cell r="G172" t="str">
            <v>EA</v>
          </cell>
          <cell r="H172">
            <v>2</v>
          </cell>
          <cell r="I172">
            <v>8</v>
          </cell>
          <cell r="J172">
            <v>0</v>
          </cell>
          <cell r="K172">
            <v>0</v>
          </cell>
          <cell r="L172">
            <v>0</v>
          </cell>
          <cell r="M172">
            <v>2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2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2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2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14330</v>
          </cell>
          <cell r="AN172">
            <v>7.9559999999999995E-3</v>
          </cell>
          <cell r="AO172" t="str">
            <v>VISHAY RESISTIVE SYSTEMS</v>
          </cell>
          <cell r="AP172" t="str">
            <v>אופק</v>
          </cell>
          <cell r="AQ172" t="str">
            <v>ECOMAL ISRAEL LTD</v>
          </cell>
          <cell r="AR172">
            <v>4.0000000000000001E-3</v>
          </cell>
          <cell r="AT172" t="str">
            <v xml:space="preserve">
</v>
          </cell>
          <cell r="AU172">
            <v>10000</v>
          </cell>
          <cell r="AV172">
            <v>10000</v>
          </cell>
          <cell r="AW172">
            <v>4.0000000000000001E-3</v>
          </cell>
          <cell r="AX172">
            <v>1.9889999999999999E-3</v>
          </cell>
          <cell r="AY172" t="str">
            <v>USD</v>
          </cell>
          <cell r="AZ172" t="str">
            <v>תומחר על ידי אופק</v>
          </cell>
          <cell r="BA172" t="str">
            <v>ארו</v>
          </cell>
          <cell r="BD172" t="str">
            <v>3-4 wks. stock for today</v>
          </cell>
        </row>
        <row r="173">
          <cell r="D173">
            <v>401554157</v>
          </cell>
          <cell r="E173">
            <v>400275791</v>
          </cell>
          <cell r="F173" t="str">
            <v>CHIP RESIS 681 OHM 1^ .063W T&amp;R</v>
          </cell>
          <cell r="G173" t="str">
            <v>EA</v>
          </cell>
          <cell r="H173">
            <v>2</v>
          </cell>
          <cell r="I173">
            <v>8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2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2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2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2</v>
          </cell>
          <cell r="AL173">
            <v>0</v>
          </cell>
          <cell r="AM173">
            <v>14330</v>
          </cell>
          <cell r="AN173">
            <v>7.9559999999999995E-3</v>
          </cell>
          <cell r="AO173" t="str">
            <v>VISHAY RESISTIVE SYSTEMS</v>
          </cell>
          <cell r="AP173" t="str">
            <v>אופק</v>
          </cell>
          <cell r="AQ173" t="str">
            <v>MICATALOG LTD</v>
          </cell>
          <cell r="AR173">
            <v>3.0000000000000001E-3</v>
          </cell>
          <cell r="AT173" t="str">
            <v xml:space="preserve">
</v>
          </cell>
          <cell r="AU173">
            <v>10000</v>
          </cell>
          <cell r="AV173">
            <v>10000</v>
          </cell>
          <cell r="AW173">
            <v>3.0000000000000001E-3</v>
          </cell>
          <cell r="AX173">
            <v>1.9889999999999999E-3</v>
          </cell>
          <cell r="AY173" t="str">
            <v>USD</v>
          </cell>
          <cell r="AZ173" t="str">
            <v>תומחר על ידי אופק</v>
          </cell>
          <cell r="BA173" t="str">
            <v>ארו</v>
          </cell>
          <cell r="BD173" t="str">
            <v>3-4 wks. stock for today
לבדוק אם המחיר של ארו הוא ביורו</v>
          </cell>
        </row>
        <row r="174">
          <cell r="D174">
            <v>425994123</v>
          </cell>
          <cell r="E174">
            <v>400007534</v>
          </cell>
          <cell r="F174" t="str">
            <v>CHIP RESIS 732 OHM 1^ .063W T&amp;R</v>
          </cell>
          <cell r="G174" t="str">
            <v>EA</v>
          </cell>
          <cell r="H174">
            <v>2</v>
          </cell>
          <cell r="I174">
            <v>8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2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2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2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2</v>
          </cell>
          <cell r="AL174">
            <v>0</v>
          </cell>
          <cell r="AM174">
            <v>14330</v>
          </cell>
          <cell r="AN174">
            <v>7.9559999999999995E-3</v>
          </cell>
          <cell r="AO174" t="str">
            <v>VISHAY RESISTIVE SYSTEMS</v>
          </cell>
          <cell r="AP174" t="str">
            <v>אופק</v>
          </cell>
          <cell r="AQ174" t="str">
            <v>MICATALOG LTD</v>
          </cell>
          <cell r="AR174">
            <v>3.0000000000000001E-3</v>
          </cell>
          <cell r="AT174" t="str">
            <v xml:space="preserve">
</v>
          </cell>
          <cell r="AU174">
            <v>10000</v>
          </cell>
          <cell r="AV174">
            <v>10000</v>
          </cell>
          <cell r="AW174">
            <v>3.0000000000000001E-3</v>
          </cell>
          <cell r="AX174">
            <v>1.9889999999999999E-3</v>
          </cell>
          <cell r="AY174" t="str">
            <v>USD</v>
          </cell>
          <cell r="AZ174" t="str">
            <v>תומחר על ידי אופק</v>
          </cell>
          <cell r="BA174" t="str">
            <v>ארו</v>
          </cell>
          <cell r="BD174" t="str">
            <v>3-4 wks. stock for today
לבדוק אם המחיר של ארו הוא ביורו</v>
          </cell>
        </row>
        <row r="175">
          <cell r="D175">
            <v>401679598</v>
          </cell>
          <cell r="E175">
            <v>400294252</v>
          </cell>
          <cell r="F175" t="str">
            <v>CHIP RESIS 82.5 OHM 1% .063W T&amp;R</v>
          </cell>
          <cell r="G175" t="str">
            <v>EA</v>
          </cell>
          <cell r="H175">
            <v>2</v>
          </cell>
          <cell r="I175">
            <v>20</v>
          </cell>
          <cell r="J175">
            <v>0</v>
          </cell>
          <cell r="K175">
            <v>0</v>
          </cell>
          <cell r="L175">
            <v>0</v>
          </cell>
          <cell r="M175">
            <v>4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3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3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3</v>
          </cell>
          <cell r="AC175">
            <v>0</v>
          </cell>
          <cell r="AD175">
            <v>0</v>
          </cell>
          <cell r="AE175">
            <v>0</v>
          </cell>
          <cell r="AF175">
            <v>4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3</v>
          </cell>
          <cell r="AL175">
            <v>0</v>
          </cell>
          <cell r="AM175">
            <v>32595</v>
          </cell>
          <cell r="AN175">
            <v>1.9889999999999998E-2</v>
          </cell>
          <cell r="AO175" t="str">
            <v>VISHAY RESISTIVE SYSTEMS</v>
          </cell>
          <cell r="AP175" t="str">
            <v>אופק</v>
          </cell>
          <cell r="AQ175" t="str">
            <v>ECOMAL ISRAEL LTD</v>
          </cell>
          <cell r="AR175">
            <v>4.0000000000000001E-3</v>
          </cell>
          <cell r="AT175" t="str">
            <v xml:space="preserve">
</v>
          </cell>
          <cell r="AU175">
            <v>10000</v>
          </cell>
          <cell r="AV175">
            <v>10000</v>
          </cell>
          <cell r="AW175">
            <v>4.0000000000000001E-3</v>
          </cell>
          <cell r="AX175">
            <v>1.9889999999999999E-3</v>
          </cell>
          <cell r="AY175" t="str">
            <v>USD</v>
          </cell>
          <cell r="AZ175" t="str">
            <v>תומחר על ידי אופק</v>
          </cell>
          <cell r="BA175" t="str">
            <v>ארו</v>
          </cell>
          <cell r="BD175">
            <v>0</v>
          </cell>
        </row>
        <row r="176">
          <cell r="D176">
            <v>400679613</v>
          </cell>
          <cell r="E176" t="str">
            <v>FFF004838</v>
          </cell>
          <cell r="F176" t="str">
            <v>CHIP JUMPER 1.55X0.85MM T&amp;R</v>
          </cell>
          <cell r="G176" t="str">
            <v>EA</v>
          </cell>
          <cell r="H176">
            <v>2</v>
          </cell>
          <cell r="I176">
            <v>36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9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9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9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9</v>
          </cell>
          <cell r="AL176">
            <v>0</v>
          </cell>
          <cell r="AM176">
            <v>64485</v>
          </cell>
          <cell r="AN176">
            <v>3.3695999999999997E-2</v>
          </cell>
          <cell r="AO176" t="str">
            <v>VISHAY RESISTIVE SYSTEMS</v>
          </cell>
          <cell r="AP176" t="str">
            <v>אופק</v>
          </cell>
          <cell r="AQ176" t="str">
            <v>ECOMAL ISRAEL LTD</v>
          </cell>
          <cell r="AR176">
            <v>4.0000000000000001E-3</v>
          </cell>
          <cell r="AT176" t="str">
            <v xml:space="preserve">
</v>
          </cell>
          <cell r="AU176">
            <v>5000</v>
          </cell>
          <cell r="AV176">
            <v>5000</v>
          </cell>
          <cell r="AW176">
            <v>4.0000000000000001E-3</v>
          </cell>
          <cell r="AX176">
            <v>1.872E-3</v>
          </cell>
          <cell r="AY176" t="str">
            <v>USD</v>
          </cell>
          <cell r="AZ176" t="str">
            <v>תומחר על ידי אופק</v>
          </cell>
          <cell r="BA176" t="str">
            <v>ארו</v>
          </cell>
          <cell r="BD176" t="str">
            <v xml:space="preserve">3-4 wks. stock for today
</v>
          </cell>
        </row>
        <row r="177">
          <cell r="D177">
            <v>400693196</v>
          </cell>
          <cell r="E177" t="str">
            <v>FFF004188</v>
          </cell>
          <cell r="F177" t="str">
            <v>CHIP RESIS 100KOHM 1% .1W T&amp;R</v>
          </cell>
          <cell r="G177" t="str">
            <v>EA</v>
          </cell>
          <cell r="H177">
            <v>2</v>
          </cell>
          <cell r="I177">
            <v>2</v>
          </cell>
          <cell r="J177">
            <v>0</v>
          </cell>
          <cell r="K177">
            <v>0</v>
          </cell>
          <cell r="L177">
            <v>0</v>
          </cell>
          <cell r="M177">
            <v>1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1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2775</v>
          </cell>
          <cell r="AN177">
            <v>2.2229999999999997E-3</v>
          </cell>
          <cell r="AO177" t="str">
            <v>VISHAY RESISTIVE SYSTEMS</v>
          </cell>
          <cell r="AP177" t="str">
            <v>אופק</v>
          </cell>
          <cell r="AQ177" t="str">
            <v>ECOMAL ISRAEL LTD</v>
          </cell>
          <cell r="AR177">
            <v>4.0000000000000001E-3</v>
          </cell>
          <cell r="AT177" t="str">
            <v xml:space="preserve">
</v>
          </cell>
          <cell r="AU177">
            <v>5000</v>
          </cell>
          <cell r="AV177">
            <v>5000</v>
          </cell>
          <cell r="AW177">
            <v>4.0000000000000001E-3</v>
          </cell>
          <cell r="AX177">
            <v>2.2229999999999997E-3</v>
          </cell>
          <cell r="AY177" t="str">
            <v>USD</v>
          </cell>
          <cell r="AZ177" t="str">
            <v>תומחר על ידי אופק</v>
          </cell>
          <cell r="BA177" t="str">
            <v>ארו</v>
          </cell>
          <cell r="BD177" t="str">
            <v>3-4 wks. stock for today</v>
          </cell>
        </row>
        <row r="178">
          <cell r="D178">
            <v>401053474</v>
          </cell>
          <cell r="E178" t="str">
            <v>FFF003821</v>
          </cell>
          <cell r="F178" t="str">
            <v>CHIP RESIS 10KOHM 1% .1W T&amp;R</v>
          </cell>
          <cell r="G178" t="str">
            <v>EA</v>
          </cell>
          <cell r="H178">
            <v>2</v>
          </cell>
          <cell r="I178">
            <v>18</v>
          </cell>
          <cell r="J178">
            <v>0</v>
          </cell>
          <cell r="K178">
            <v>0</v>
          </cell>
          <cell r="L178">
            <v>0</v>
          </cell>
          <cell r="M178">
            <v>3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2</v>
          </cell>
          <cell r="S178">
            <v>0</v>
          </cell>
          <cell r="T178">
            <v>0</v>
          </cell>
          <cell r="U178">
            <v>0</v>
          </cell>
          <cell r="V178">
            <v>2</v>
          </cell>
          <cell r="W178">
            <v>2</v>
          </cell>
          <cell r="X178">
            <v>0</v>
          </cell>
          <cell r="Y178">
            <v>0</v>
          </cell>
          <cell r="Z178">
            <v>0</v>
          </cell>
          <cell r="AA178">
            <v>2</v>
          </cell>
          <cell r="AB178">
            <v>2</v>
          </cell>
          <cell r="AC178">
            <v>0</v>
          </cell>
          <cell r="AD178">
            <v>0</v>
          </cell>
          <cell r="AE178">
            <v>0</v>
          </cell>
          <cell r="AF178">
            <v>3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2</v>
          </cell>
          <cell r="AL178">
            <v>0</v>
          </cell>
          <cell r="AM178">
            <v>31435</v>
          </cell>
          <cell r="AN178">
            <v>2.0006999999999997E-2</v>
          </cell>
          <cell r="AO178" t="str">
            <v>VISHAY RESISTIVE SYSTEMS</v>
          </cell>
          <cell r="AP178" t="str">
            <v>אופק</v>
          </cell>
          <cell r="AQ178" t="str">
            <v>ECOMAL ISRAEL LTD</v>
          </cell>
          <cell r="AR178">
            <v>4.0000000000000001E-3</v>
          </cell>
          <cell r="AT178" t="str">
            <v xml:space="preserve">
</v>
          </cell>
          <cell r="AU178">
            <v>5000</v>
          </cell>
          <cell r="AV178">
            <v>5000</v>
          </cell>
          <cell r="AW178">
            <v>4.0000000000000001E-3</v>
          </cell>
          <cell r="AX178">
            <v>2.2229999999999997E-3</v>
          </cell>
          <cell r="AY178" t="str">
            <v>USD</v>
          </cell>
          <cell r="AZ178" t="str">
            <v>תומחר על ידי אופק</v>
          </cell>
          <cell r="BA178" t="str">
            <v>ארו</v>
          </cell>
          <cell r="BD178" t="str">
            <v>3-4 wks. stock for today</v>
          </cell>
        </row>
        <row r="179">
          <cell r="D179">
            <v>401235096</v>
          </cell>
          <cell r="E179" t="str">
            <v>FFF003825</v>
          </cell>
          <cell r="F179" t="str">
            <v>CHIP RESIS 10 OHM 1% .1W T&amp;R</v>
          </cell>
          <cell r="G179" t="str">
            <v>EA</v>
          </cell>
          <cell r="H179">
            <v>2</v>
          </cell>
          <cell r="I179">
            <v>2</v>
          </cell>
          <cell r="J179">
            <v>0</v>
          </cell>
          <cell r="K179">
            <v>0</v>
          </cell>
          <cell r="L179">
            <v>0</v>
          </cell>
          <cell r="M179">
            <v>1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1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2775</v>
          </cell>
          <cell r="AN179">
            <v>2.2229999999999997E-3</v>
          </cell>
          <cell r="AO179" t="str">
            <v>VISHAY RESISTIVE SYSTEMS</v>
          </cell>
          <cell r="AP179" t="str">
            <v>אופק</v>
          </cell>
          <cell r="AQ179" t="str">
            <v>ECOMAL ISRAEL LTD</v>
          </cell>
          <cell r="AR179">
            <v>4.0000000000000001E-3</v>
          </cell>
          <cell r="AT179" t="str">
            <v xml:space="preserve">
</v>
          </cell>
          <cell r="AU179">
            <v>5000</v>
          </cell>
          <cell r="AV179">
            <v>5000</v>
          </cell>
          <cell r="AW179">
            <v>4.0000000000000001E-3</v>
          </cell>
          <cell r="AX179">
            <v>2.2229999999999997E-3</v>
          </cell>
          <cell r="AY179" t="str">
            <v>USD</v>
          </cell>
          <cell r="AZ179" t="str">
            <v>תומחר על ידי אופק</v>
          </cell>
          <cell r="BA179" t="str">
            <v>ארו</v>
          </cell>
          <cell r="BD179" t="str">
            <v>3-4 wks. stock for today</v>
          </cell>
        </row>
        <row r="180">
          <cell r="D180">
            <v>401382482</v>
          </cell>
          <cell r="E180" t="str">
            <v>FFF004211</v>
          </cell>
          <cell r="F180" t="str">
            <v>CHIP RESIS 11.5KOHM 1% .1W T&amp;R</v>
          </cell>
          <cell r="G180" t="str">
            <v>EA</v>
          </cell>
          <cell r="H180">
            <v>2</v>
          </cell>
          <cell r="I180">
            <v>8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2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2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2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2</v>
          </cell>
          <cell r="AL180">
            <v>0</v>
          </cell>
          <cell r="AM180">
            <v>14330</v>
          </cell>
          <cell r="AN180">
            <v>8.8919999999999989E-3</v>
          </cell>
          <cell r="AO180" t="str">
            <v>VISHAY RESISTIVE SYSTEMS</v>
          </cell>
          <cell r="AP180" t="str">
            <v>אופק</v>
          </cell>
          <cell r="AQ180" t="str">
            <v>MICATALOG LTD</v>
          </cell>
          <cell r="AR180">
            <v>4.0000000000000001E-3</v>
          </cell>
          <cell r="AT180" t="str">
            <v xml:space="preserve">
</v>
          </cell>
          <cell r="AU180">
            <v>5000</v>
          </cell>
          <cell r="AV180">
            <v>5000</v>
          </cell>
          <cell r="AW180">
            <v>4.0000000000000001E-3</v>
          </cell>
          <cell r="AX180">
            <v>2.2229999999999997E-3</v>
          </cell>
          <cell r="AY180" t="str">
            <v>USD</v>
          </cell>
          <cell r="AZ180" t="str">
            <v>תומחר על ידי אופק</v>
          </cell>
          <cell r="BA180" t="str">
            <v>ארו</v>
          </cell>
          <cell r="BD180" t="str">
            <v>3-4 wks. stock for today</v>
          </cell>
        </row>
        <row r="181">
          <cell r="D181">
            <v>400700883</v>
          </cell>
          <cell r="E181" t="str">
            <v>FFF003813</v>
          </cell>
          <cell r="F181" t="str">
            <v>CHIP RESIS 12.1KOHM 1% .1W T&amp;R</v>
          </cell>
          <cell r="G181" t="str">
            <v>EA</v>
          </cell>
          <cell r="H181">
            <v>2</v>
          </cell>
          <cell r="I181">
            <v>2</v>
          </cell>
          <cell r="J181">
            <v>0</v>
          </cell>
          <cell r="K181">
            <v>0</v>
          </cell>
          <cell r="L181">
            <v>0</v>
          </cell>
          <cell r="M181">
            <v>1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1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2775</v>
          </cell>
          <cell r="AN181">
            <v>2.2229999999999997E-3</v>
          </cell>
          <cell r="AO181" t="str">
            <v>VISHAY RESISTIVE SYSTEMS</v>
          </cell>
          <cell r="AP181" t="str">
            <v>אופק</v>
          </cell>
          <cell r="AQ181" t="str">
            <v>ECOMAL ISRAEL LTD</v>
          </cell>
          <cell r="AR181">
            <v>3.5000000000000001E-3</v>
          </cell>
          <cell r="AT181" t="str">
            <v xml:space="preserve">
</v>
          </cell>
          <cell r="AU181">
            <v>5000</v>
          </cell>
          <cell r="AV181">
            <v>5000</v>
          </cell>
          <cell r="AW181">
            <v>3.5000000000000001E-3</v>
          </cell>
          <cell r="AX181">
            <v>2.2229999999999997E-3</v>
          </cell>
          <cell r="AY181" t="str">
            <v>USD</v>
          </cell>
          <cell r="AZ181" t="str">
            <v>תומחר על ידי אופק</v>
          </cell>
          <cell r="BA181" t="str">
            <v>ארו</v>
          </cell>
          <cell r="BD181" t="str">
            <v>6 wks. For today</v>
          </cell>
        </row>
        <row r="182">
          <cell r="D182">
            <v>401466051</v>
          </cell>
          <cell r="E182" t="str">
            <v>FFF003881</v>
          </cell>
          <cell r="F182" t="str">
            <v>CHIP RESIS 12.1 OHM 1% .1W T&amp;R</v>
          </cell>
          <cell r="G182" t="str">
            <v>EA</v>
          </cell>
          <cell r="H182">
            <v>2</v>
          </cell>
          <cell r="I182">
            <v>8</v>
          </cell>
          <cell r="J182">
            <v>0</v>
          </cell>
          <cell r="K182">
            <v>0</v>
          </cell>
          <cell r="L182">
            <v>0</v>
          </cell>
          <cell r="M182">
            <v>4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4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11100</v>
          </cell>
          <cell r="AN182">
            <v>8.8919999999999989E-3</v>
          </cell>
          <cell r="AO182" t="str">
            <v>VISHAY RESISTIVE SYSTEMS</v>
          </cell>
          <cell r="AP182" t="str">
            <v>אופק</v>
          </cell>
          <cell r="AQ182" t="str">
            <v>ECOMAL ISRAEL LTD</v>
          </cell>
          <cell r="AR182">
            <v>3.0000000000000001E-3</v>
          </cell>
          <cell r="AT182" t="str">
            <v xml:space="preserve">
</v>
          </cell>
          <cell r="AU182">
            <v>5000</v>
          </cell>
          <cell r="AV182">
            <v>5000</v>
          </cell>
          <cell r="AW182">
            <v>3.0000000000000001E-3</v>
          </cell>
          <cell r="AX182">
            <v>2.2229999999999997E-3</v>
          </cell>
          <cell r="AY182" t="str">
            <v>USD</v>
          </cell>
          <cell r="AZ182" t="str">
            <v>תומחר על ידי אופק</v>
          </cell>
          <cell r="BA182" t="str">
            <v>ארו</v>
          </cell>
          <cell r="BD182" t="str">
            <v>3-4 wks. stock for today</v>
          </cell>
        </row>
        <row r="183">
          <cell r="D183">
            <v>421088944</v>
          </cell>
          <cell r="E183">
            <v>404396922</v>
          </cell>
          <cell r="F183" t="str">
            <v>IC GATE DRIVER 100V 1.2A/5A T&amp;R</v>
          </cell>
          <cell r="G183" t="str">
            <v>EA</v>
          </cell>
          <cell r="H183">
            <v>2</v>
          </cell>
          <cell r="I183">
            <v>4</v>
          </cell>
          <cell r="J183">
            <v>0</v>
          </cell>
          <cell r="K183">
            <v>0</v>
          </cell>
          <cell r="L183">
            <v>0</v>
          </cell>
          <cell r="M183">
            <v>2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2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5550</v>
          </cell>
          <cell r="AN183">
            <v>4.1760000000000002</v>
          </cell>
          <cell r="AO183" t="str">
            <v>TEXAS INSTRUMENTS INC</v>
          </cell>
          <cell r="AP183" t="str">
            <v>אופק</v>
          </cell>
          <cell r="AQ183">
            <v>1</v>
          </cell>
          <cell r="AR183">
            <v>1.71</v>
          </cell>
          <cell r="AT183" t="str">
            <v xml:space="preserve">
</v>
          </cell>
          <cell r="AU183">
            <v>250</v>
          </cell>
          <cell r="AV183">
            <v>250</v>
          </cell>
          <cell r="AW183">
            <v>1.71</v>
          </cell>
          <cell r="AX183">
            <v>2.0880000000000001</v>
          </cell>
          <cell r="AY183" t="str">
            <v>USD</v>
          </cell>
          <cell r="AZ183" t="str">
            <v>תומחר על ידי אופק</v>
          </cell>
          <cell r="BA183" t="str">
            <v>אלבטק</v>
          </cell>
          <cell r="BD183">
            <v>0</v>
          </cell>
        </row>
        <row r="184">
          <cell r="D184">
            <v>400931576</v>
          </cell>
          <cell r="E184" t="str">
            <v>FFF004310</v>
          </cell>
          <cell r="F184" t="str">
            <v>CHIP RESIS 1KOHM 1% .1W T&amp;R</v>
          </cell>
          <cell r="G184" t="str">
            <v>EA</v>
          </cell>
          <cell r="H184">
            <v>2</v>
          </cell>
          <cell r="I184">
            <v>10</v>
          </cell>
          <cell r="J184">
            <v>0</v>
          </cell>
          <cell r="K184">
            <v>0</v>
          </cell>
          <cell r="L184">
            <v>0</v>
          </cell>
          <cell r="M184">
            <v>5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5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13875</v>
          </cell>
          <cell r="AN184">
            <v>1.1114999999999998E-2</v>
          </cell>
          <cell r="AO184" t="str">
            <v>VISHAY RESISTIVE SYSTEMS</v>
          </cell>
          <cell r="AP184" t="str">
            <v>אופק</v>
          </cell>
          <cell r="AQ184" t="str">
            <v>ECOMAL ISRAEL LTD</v>
          </cell>
          <cell r="AR184">
            <v>4.0000000000000001E-3</v>
          </cell>
          <cell r="AT184" t="str">
            <v xml:space="preserve">
</v>
          </cell>
          <cell r="AU184">
            <v>5000</v>
          </cell>
          <cell r="AV184">
            <v>5000</v>
          </cell>
          <cell r="AW184">
            <v>4.0000000000000001E-3</v>
          </cell>
          <cell r="AX184">
            <v>2.2229999999999997E-3</v>
          </cell>
          <cell r="AY184" t="str">
            <v>USD</v>
          </cell>
          <cell r="AZ184" t="str">
            <v>תומחר על ידי אופק</v>
          </cell>
          <cell r="BA184" t="str">
            <v>ארו</v>
          </cell>
          <cell r="BD184" t="str">
            <v>3-4 wks. stock for today</v>
          </cell>
        </row>
        <row r="185">
          <cell r="D185">
            <v>402515066</v>
          </cell>
          <cell r="E185" t="str">
            <v>FFF004388</v>
          </cell>
          <cell r="F185" t="str">
            <v>CHIP RESIS 1.3KOHM 1^ .1W T&amp;R</v>
          </cell>
          <cell r="G185" t="str">
            <v>EA</v>
          </cell>
          <cell r="H185">
            <v>2</v>
          </cell>
          <cell r="I185">
            <v>16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4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4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4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4</v>
          </cell>
          <cell r="AL185">
            <v>0</v>
          </cell>
          <cell r="AM185">
            <v>28660</v>
          </cell>
          <cell r="AN185">
            <v>1.7783999999999998E-2</v>
          </cell>
          <cell r="AO185" t="str">
            <v>VISHAY RESISTIVE SYSTEMS</v>
          </cell>
          <cell r="AP185" t="str">
            <v>אופק</v>
          </cell>
          <cell r="AQ185" t="str">
            <v>ECOMAL ISRAEL LTD</v>
          </cell>
          <cell r="AR185">
            <v>4.0000000000000001E-3</v>
          </cell>
          <cell r="AT185" t="str">
            <v xml:space="preserve">
</v>
          </cell>
          <cell r="AU185">
            <v>5000</v>
          </cell>
          <cell r="AV185">
            <v>5000</v>
          </cell>
          <cell r="AW185">
            <v>4.0000000000000001E-3</v>
          </cell>
          <cell r="AX185">
            <v>2.2229999999999997E-3</v>
          </cell>
          <cell r="AY185" t="str">
            <v>USD</v>
          </cell>
          <cell r="AZ185" t="str">
            <v>תומחר על ידי אופק</v>
          </cell>
          <cell r="BA185" t="str">
            <v>ארו</v>
          </cell>
          <cell r="BD185" t="str">
            <v>3-4 wks. stock for today</v>
          </cell>
        </row>
        <row r="186">
          <cell r="D186">
            <v>401466052</v>
          </cell>
          <cell r="E186" t="str">
            <v>FFF004308</v>
          </cell>
          <cell r="F186" t="str">
            <v>CHIP RESIS 200KOHM 1% .1W T&amp;R</v>
          </cell>
          <cell r="G186" t="str">
            <v>EA</v>
          </cell>
          <cell r="H186">
            <v>2</v>
          </cell>
          <cell r="I186">
            <v>2</v>
          </cell>
          <cell r="J186">
            <v>0</v>
          </cell>
          <cell r="K186">
            <v>0</v>
          </cell>
          <cell r="L186">
            <v>0</v>
          </cell>
          <cell r="M186">
            <v>1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1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2775</v>
          </cell>
          <cell r="AN186">
            <v>2.2229999999999997E-3</v>
          </cell>
          <cell r="AO186" t="str">
            <v>VISHAY RESISTIVE SYSTEMS</v>
          </cell>
          <cell r="AP186" t="str">
            <v>אופק</v>
          </cell>
          <cell r="AQ186" t="str">
            <v>ECOMAL ISRAEL LTD</v>
          </cell>
          <cell r="AR186">
            <v>4.0000000000000001E-3</v>
          </cell>
          <cell r="AT186" t="str">
            <v xml:space="preserve">
</v>
          </cell>
          <cell r="AU186">
            <v>5000</v>
          </cell>
          <cell r="AV186">
            <v>5000</v>
          </cell>
          <cell r="AW186">
            <v>4.0000000000000001E-3</v>
          </cell>
          <cell r="AX186">
            <v>2.2229999999999997E-3</v>
          </cell>
          <cell r="AY186" t="str">
            <v>USD</v>
          </cell>
          <cell r="AZ186" t="str">
            <v>תומחר על ידי אופק</v>
          </cell>
          <cell r="BA186" t="str">
            <v>ארו</v>
          </cell>
          <cell r="BD186" t="str">
            <v>3-4 wks. stock for today</v>
          </cell>
        </row>
        <row r="187">
          <cell r="D187">
            <v>400658342</v>
          </cell>
          <cell r="E187" t="str">
            <v>FFF004222</v>
          </cell>
          <cell r="F187" t="str">
            <v>CHIP RESIS 200 OHM 1% PB-FREE T&amp;R</v>
          </cell>
          <cell r="G187" t="str">
            <v>EA</v>
          </cell>
          <cell r="H187">
            <v>2</v>
          </cell>
          <cell r="I187">
            <v>16</v>
          </cell>
          <cell r="J187">
            <v>0</v>
          </cell>
          <cell r="K187">
            <v>0</v>
          </cell>
          <cell r="L187">
            <v>0</v>
          </cell>
          <cell r="M187">
            <v>8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8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22200</v>
          </cell>
          <cell r="AN187">
            <v>1.7783999999999998E-2</v>
          </cell>
          <cell r="AO187" t="str">
            <v>VISHAY RESISTIVE SYSTEMS</v>
          </cell>
          <cell r="AP187" t="str">
            <v>אופק</v>
          </cell>
          <cell r="AQ187">
            <v>1</v>
          </cell>
          <cell r="AR187">
            <v>4.0000000000000001E-3</v>
          </cell>
          <cell r="AT187" t="str">
            <v xml:space="preserve">
</v>
          </cell>
          <cell r="AU187">
            <v>5000</v>
          </cell>
          <cell r="AV187">
            <v>5000</v>
          </cell>
          <cell r="AW187">
            <v>4.0000000000000001E-3</v>
          </cell>
          <cell r="AX187">
            <v>2.2229999999999997E-3</v>
          </cell>
          <cell r="AY187" t="str">
            <v>USD</v>
          </cell>
          <cell r="AZ187" t="str">
            <v>תומחר על ידי אופק</v>
          </cell>
          <cell r="BA187" t="str">
            <v>ארו</v>
          </cell>
          <cell r="BD187" t="str">
            <v>3-4 wks. stock for today</v>
          </cell>
        </row>
        <row r="188">
          <cell r="D188">
            <v>401226566</v>
          </cell>
          <cell r="E188" t="str">
            <v>FFF004315</v>
          </cell>
          <cell r="F188" t="str">
            <v>CHIP RESIS 287KOHM 1^ .1W T&amp;R</v>
          </cell>
          <cell r="G188" t="str">
            <v>EA</v>
          </cell>
          <cell r="H188">
            <v>2</v>
          </cell>
          <cell r="I188">
            <v>8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2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2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2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2</v>
          </cell>
          <cell r="AL188">
            <v>0</v>
          </cell>
          <cell r="AM188">
            <v>14330</v>
          </cell>
          <cell r="AN188">
            <v>8.8919999999999989E-3</v>
          </cell>
          <cell r="AO188" t="str">
            <v>VISHAY RESISTIVE SYSTEMS</v>
          </cell>
          <cell r="AP188" t="str">
            <v>אופק</v>
          </cell>
          <cell r="AQ188" t="str">
            <v>ECOMAL ISRAEL LTD</v>
          </cell>
          <cell r="AR188">
            <v>3.0000000000000001E-3</v>
          </cell>
          <cell r="AT188" t="str">
            <v xml:space="preserve">
</v>
          </cell>
          <cell r="AU188">
            <v>5000</v>
          </cell>
          <cell r="AV188">
            <v>5000</v>
          </cell>
          <cell r="AW188">
            <v>3.0000000000000001E-3</v>
          </cell>
          <cell r="AX188">
            <v>2.2229999999999997E-3</v>
          </cell>
          <cell r="AY188" t="str">
            <v>USD</v>
          </cell>
          <cell r="AZ188" t="str">
            <v>תומחר על ידי אופק</v>
          </cell>
          <cell r="BA188" t="str">
            <v>ארו</v>
          </cell>
          <cell r="BD188" t="str">
            <v>3-4 wks. stock for today</v>
          </cell>
        </row>
        <row r="189">
          <cell r="D189">
            <v>401485719</v>
          </cell>
          <cell r="E189" t="str">
            <v>FFF004492</v>
          </cell>
          <cell r="F189" t="str">
            <v>CHIP RESIS 2.49KOHM 1% .1W T&amp;R</v>
          </cell>
          <cell r="G189" t="str">
            <v>EA</v>
          </cell>
          <cell r="H189">
            <v>2</v>
          </cell>
          <cell r="I189">
            <v>8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2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2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2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2</v>
          </cell>
          <cell r="AL189">
            <v>0</v>
          </cell>
          <cell r="AM189">
            <v>14330</v>
          </cell>
          <cell r="AN189">
            <v>8.8919999999999989E-3</v>
          </cell>
          <cell r="AO189" t="str">
            <v>VISHAY RESISTIVE SYSTEMS</v>
          </cell>
          <cell r="AP189" t="str">
            <v>אופק</v>
          </cell>
          <cell r="AQ189" t="str">
            <v>ECOMAL ISRAEL LTD</v>
          </cell>
          <cell r="AR189">
            <v>4.0000000000000001E-3</v>
          </cell>
          <cell r="AT189" t="str">
            <v xml:space="preserve">
</v>
          </cell>
          <cell r="AU189">
            <v>5000</v>
          </cell>
          <cell r="AV189">
            <v>5000</v>
          </cell>
          <cell r="AW189">
            <v>4.0000000000000001E-3</v>
          </cell>
          <cell r="AX189">
            <v>2.2229999999999997E-3</v>
          </cell>
          <cell r="AY189" t="str">
            <v>USD</v>
          </cell>
          <cell r="AZ189" t="str">
            <v>תומחר על ידי אופק</v>
          </cell>
          <cell r="BA189" t="str">
            <v>ארו</v>
          </cell>
          <cell r="BD189" t="str">
            <v>3-4 wks. stock for today</v>
          </cell>
        </row>
        <row r="190">
          <cell r="D190">
            <v>401235524</v>
          </cell>
          <cell r="E190" t="str">
            <v>FFF004270</v>
          </cell>
          <cell r="F190" t="str">
            <v>CHIP RESIS 33.2KOHM 1% .1W T&amp;R</v>
          </cell>
          <cell r="G190" t="str">
            <v>EA</v>
          </cell>
          <cell r="H190">
            <v>2</v>
          </cell>
          <cell r="I190">
            <v>8</v>
          </cell>
          <cell r="J190">
            <v>0</v>
          </cell>
          <cell r="K190">
            <v>0</v>
          </cell>
          <cell r="L190">
            <v>0</v>
          </cell>
          <cell r="M190">
            <v>2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2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2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2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14330</v>
          </cell>
          <cell r="AN190">
            <v>8.8919999999999989E-3</v>
          </cell>
          <cell r="AO190" t="str">
            <v>VISHAY RESISTIVE SYSTEMS</v>
          </cell>
          <cell r="AP190" t="str">
            <v>אופק</v>
          </cell>
          <cell r="AQ190" t="str">
            <v>ECOMAL ISRAEL LTD</v>
          </cell>
          <cell r="AR190">
            <v>3.0000000000000001E-3</v>
          </cell>
          <cell r="AT190" t="str">
            <v xml:space="preserve">
</v>
          </cell>
          <cell r="AU190">
            <v>5000</v>
          </cell>
          <cell r="AV190">
            <v>5000</v>
          </cell>
          <cell r="AW190">
            <v>3.0000000000000001E-3</v>
          </cell>
          <cell r="AX190">
            <v>2.2229999999999997E-3</v>
          </cell>
          <cell r="AY190" t="str">
            <v>USD</v>
          </cell>
          <cell r="AZ190" t="str">
            <v>תומחר על ידי אופק</v>
          </cell>
          <cell r="BA190" t="str">
            <v>ארו</v>
          </cell>
          <cell r="BD190" t="str">
            <v>3-4 wks. stock for today</v>
          </cell>
        </row>
        <row r="191">
          <cell r="D191">
            <v>401234951</v>
          </cell>
          <cell r="E191" t="str">
            <v>FFF004209</v>
          </cell>
          <cell r="F191" t="str">
            <v>CHIP RESIS 38.3KOHM 1^ .1W T&amp;R</v>
          </cell>
          <cell r="G191" t="str">
            <v>EA</v>
          </cell>
          <cell r="H191">
            <v>2</v>
          </cell>
          <cell r="I191">
            <v>8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2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2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2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2</v>
          </cell>
          <cell r="AL191">
            <v>0</v>
          </cell>
          <cell r="AM191">
            <v>14330</v>
          </cell>
          <cell r="AN191">
            <v>8.8919999999999989E-3</v>
          </cell>
          <cell r="AO191" t="str">
            <v>VISHAY RESISTIVE SYSTEMS</v>
          </cell>
          <cell r="AP191" t="str">
            <v>אופק</v>
          </cell>
          <cell r="AQ191" t="str">
            <v>ECOMAL ISRAEL LTD</v>
          </cell>
          <cell r="AR191">
            <v>3.0000000000000001E-3</v>
          </cell>
          <cell r="AT191" t="str">
            <v xml:space="preserve">
</v>
          </cell>
          <cell r="AU191">
            <v>5000</v>
          </cell>
          <cell r="AV191">
            <v>5000</v>
          </cell>
          <cell r="AW191">
            <v>3.0000000000000001E-3</v>
          </cell>
          <cell r="AX191">
            <v>2.2229999999999997E-3</v>
          </cell>
          <cell r="AY191" t="str">
            <v>USD</v>
          </cell>
          <cell r="AZ191" t="str">
            <v>תומחר על ידי אופק</v>
          </cell>
          <cell r="BA191" t="str">
            <v>ארו</v>
          </cell>
          <cell r="BD191" t="str">
            <v>3-4 wks. stock for today</v>
          </cell>
        </row>
        <row r="192">
          <cell r="D192">
            <v>401195892</v>
          </cell>
          <cell r="E192" t="str">
            <v>FFF004141</v>
          </cell>
          <cell r="F192" t="str">
            <v>CHIP RESIS 3.16KOHM 1% .1W T&amp;R</v>
          </cell>
          <cell r="G192" t="str">
            <v>EA</v>
          </cell>
          <cell r="H192">
            <v>2</v>
          </cell>
          <cell r="I192">
            <v>8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2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2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2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2</v>
          </cell>
          <cell r="AL192">
            <v>0</v>
          </cell>
          <cell r="AM192">
            <v>14330</v>
          </cell>
          <cell r="AN192">
            <v>8.8919999999999989E-3</v>
          </cell>
          <cell r="AO192" t="str">
            <v>VISHAY RESISTIVE SYSTEMS</v>
          </cell>
          <cell r="AP192" t="str">
            <v>אופק</v>
          </cell>
          <cell r="AQ192" t="str">
            <v>ECOMAL ISRAEL LTD</v>
          </cell>
          <cell r="AR192">
            <v>3.0000000000000001E-3</v>
          </cell>
          <cell r="AT192" t="str">
            <v xml:space="preserve">
</v>
          </cell>
          <cell r="AU192">
            <v>5000</v>
          </cell>
          <cell r="AV192">
            <v>5000</v>
          </cell>
          <cell r="AW192">
            <v>3.0000000000000001E-3</v>
          </cell>
          <cell r="AX192">
            <v>2.2229999999999997E-3</v>
          </cell>
          <cell r="AY192" t="str">
            <v>USD</v>
          </cell>
          <cell r="AZ192" t="str">
            <v>תומחר על ידי אופק</v>
          </cell>
          <cell r="BA192" t="str">
            <v>ארו</v>
          </cell>
          <cell r="BD192" t="str">
            <v>3-4 wks. stock for today</v>
          </cell>
        </row>
        <row r="193">
          <cell r="D193">
            <v>400658343</v>
          </cell>
          <cell r="E193" t="str">
            <v>FFF003932</v>
          </cell>
          <cell r="F193" t="str">
            <v>CHIP RESIS 3.32KOHM 1% PB-FREE T&amp;R</v>
          </cell>
          <cell r="G193" t="str">
            <v>EA</v>
          </cell>
          <cell r="H193">
            <v>2</v>
          </cell>
          <cell r="I193">
            <v>4</v>
          </cell>
          <cell r="J193">
            <v>0</v>
          </cell>
          <cell r="K193">
            <v>0</v>
          </cell>
          <cell r="L193">
            <v>0</v>
          </cell>
          <cell r="M193">
            <v>2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2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5550</v>
          </cell>
          <cell r="AN193">
            <v>4.4459999999999994E-3</v>
          </cell>
          <cell r="AO193" t="str">
            <v>VISHAY EUROPE SALE GMBH</v>
          </cell>
          <cell r="AP193" t="str">
            <v>אופק</v>
          </cell>
          <cell r="AQ193" t="str">
            <v>ECOMAL ISRAEL LTD</v>
          </cell>
          <cell r="AR193">
            <v>4.0000000000000001E-3</v>
          </cell>
          <cell r="AT193" t="str">
            <v xml:space="preserve">
</v>
          </cell>
          <cell r="AU193">
            <v>5000</v>
          </cell>
          <cell r="AV193">
            <v>5000</v>
          </cell>
          <cell r="AW193">
            <v>4.0000000000000001E-3</v>
          </cell>
          <cell r="AX193">
            <v>2.2229999999999997E-3</v>
          </cell>
          <cell r="AY193" t="str">
            <v>USD</v>
          </cell>
          <cell r="AZ193" t="str">
            <v>תומחר על ידי אופק</v>
          </cell>
          <cell r="BA193" t="str">
            <v>ארו</v>
          </cell>
          <cell r="BD193" t="str">
            <v>3-4 wks. stock for today</v>
          </cell>
        </row>
        <row r="194">
          <cell r="D194">
            <v>401519147</v>
          </cell>
          <cell r="E194" t="str">
            <v>FFF003849</v>
          </cell>
          <cell r="F194" t="str">
            <v>CHIP RESIS 43.2 OHM 1% .1W T&amp;R</v>
          </cell>
          <cell r="G194" t="str">
            <v>EA</v>
          </cell>
          <cell r="H194">
            <v>2</v>
          </cell>
          <cell r="I194">
            <v>6</v>
          </cell>
          <cell r="J194">
            <v>0</v>
          </cell>
          <cell r="K194">
            <v>0</v>
          </cell>
          <cell r="L194">
            <v>0</v>
          </cell>
          <cell r="M194">
            <v>4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2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9850</v>
          </cell>
          <cell r="AN194">
            <v>4.4459999999999994E-3</v>
          </cell>
          <cell r="AO194" t="str">
            <v>VISHAY RESISTIVE SYSTEMS</v>
          </cell>
          <cell r="AP194" t="str">
            <v>אופק</v>
          </cell>
          <cell r="AQ194" t="str">
            <v>ECOMAL ISRAEL LTD</v>
          </cell>
          <cell r="AR194">
            <v>4.0000000000000001E-3</v>
          </cell>
          <cell r="AT194" t="str">
            <v xml:space="preserve">
</v>
          </cell>
          <cell r="AU194">
            <v>5000</v>
          </cell>
          <cell r="AV194">
            <v>5000</v>
          </cell>
          <cell r="AW194">
            <v>4.0000000000000001E-3</v>
          </cell>
          <cell r="AX194">
            <v>2.2229999999999997E-3</v>
          </cell>
          <cell r="AY194" t="str">
            <v>USD</v>
          </cell>
          <cell r="AZ194" t="str">
            <v>תומחר על ידי אופק</v>
          </cell>
          <cell r="BA194" t="str">
            <v>ארו</v>
          </cell>
          <cell r="BD194" t="str">
            <v>3-4 wks. stock for today</v>
          </cell>
        </row>
        <row r="195">
          <cell r="D195">
            <v>400693204</v>
          </cell>
          <cell r="E195" t="str">
            <v>FFF003946</v>
          </cell>
          <cell r="F195" t="str">
            <v>CHIP RESIS 49.9 OHM 1% .1W T&amp;R</v>
          </cell>
          <cell r="G195" t="str">
            <v>EA</v>
          </cell>
          <cell r="H195">
            <v>2</v>
          </cell>
          <cell r="I195">
            <v>8</v>
          </cell>
          <cell r="J195">
            <v>0</v>
          </cell>
          <cell r="K195">
            <v>0</v>
          </cell>
          <cell r="L195">
            <v>0</v>
          </cell>
          <cell r="M195">
            <v>2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2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2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2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14330</v>
          </cell>
          <cell r="AN195">
            <v>8.8919999999999989E-3</v>
          </cell>
          <cell r="AO195" t="str">
            <v>VISHAY RESISTIVE SYSTEMS</v>
          </cell>
          <cell r="AP195" t="str">
            <v>אופק</v>
          </cell>
          <cell r="AQ195" t="str">
            <v>ECOMAL ISRAEL LTD</v>
          </cell>
          <cell r="AR195">
            <v>4.0000000000000001E-3</v>
          </cell>
          <cell r="AT195" t="str">
            <v xml:space="preserve">
</v>
          </cell>
          <cell r="AU195">
            <v>5000</v>
          </cell>
          <cell r="AV195">
            <v>5000</v>
          </cell>
          <cell r="AW195">
            <v>4.0000000000000001E-3</v>
          </cell>
          <cell r="AX195">
            <v>2.2229999999999997E-3</v>
          </cell>
          <cell r="AY195" t="str">
            <v>USD</v>
          </cell>
          <cell r="AZ195" t="str">
            <v>תומחר על ידי אופק</v>
          </cell>
          <cell r="BA195" t="str">
            <v>ארו</v>
          </cell>
          <cell r="BD195" t="str">
            <v>6 wks. For today</v>
          </cell>
        </row>
        <row r="196">
          <cell r="D196">
            <v>401053377</v>
          </cell>
          <cell r="E196" t="str">
            <v>FFF004174</v>
          </cell>
          <cell r="F196" t="str">
            <v>CHIP RESIS 4.75KOHM 1% .1W T&amp;R</v>
          </cell>
          <cell r="G196" t="str">
            <v>EA</v>
          </cell>
          <cell r="H196">
            <v>2</v>
          </cell>
          <cell r="I196">
            <v>2</v>
          </cell>
          <cell r="J196">
            <v>0</v>
          </cell>
          <cell r="K196">
            <v>0</v>
          </cell>
          <cell r="L196">
            <v>0</v>
          </cell>
          <cell r="M196">
            <v>1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1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2775</v>
          </cell>
          <cell r="AN196">
            <v>2.2229999999999997E-3</v>
          </cell>
          <cell r="AO196" t="str">
            <v>VISHAY RESISTIVE SYSTEMS</v>
          </cell>
          <cell r="AP196" t="str">
            <v>אופק</v>
          </cell>
          <cell r="AQ196" t="str">
            <v>ECOMAL ISRAEL LTD</v>
          </cell>
          <cell r="AR196">
            <v>4.0000000000000001E-3</v>
          </cell>
          <cell r="AT196" t="str">
            <v xml:space="preserve">
</v>
          </cell>
          <cell r="AU196">
            <v>5000</v>
          </cell>
          <cell r="AV196">
            <v>5000</v>
          </cell>
          <cell r="AW196">
            <v>4.0000000000000001E-3</v>
          </cell>
          <cell r="AX196">
            <v>2.2229999999999997E-3</v>
          </cell>
          <cell r="AY196" t="str">
            <v>USD</v>
          </cell>
          <cell r="AZ196" t="str">
            <v>תומחר על ידי אופק</v>
          </cell>
          <cell r="BA196" t="str">
            <v>ארו</v>
          </cell>
          <cell r="BD196" t="str">
            <v>3-4 wks. stock for today</v>
          </cell>
        </row>
        <row r="197">
          <cell r="D197">
            <v>400658345</v>
          </cell>
          <cell r="E197" t="str">
            <v>FFF004130</v>
          </cell>
          <cell r="F197" t="str">
            <v>CHIP RESIS 4.99KOHM 1% PB-FREE T&amp;</v>
          </cell>
          <cell r="G197" t="str">
            <v>EA</v>
          </cell>
          <cell r="H197">
            <v>2</v>
          </cell>
          <cell r="I197">
            <v>10</v>
          </cell>
          <cell r="J197">
            <v>0</v>
          </cell>
          <cell r="K197">
            <v>0</v>
          </cell>
          <cell r="L197">
            <v>0</v>
          </cell>
          <cell r="M197">
            <v>1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2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2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2</v>
          </cell>
          <cell r="AC197">
            <v>0</v>
          </cell>
          <cell r="AD197">
            <v>0</v>
          </cell>
          <cell r="AE197">
            <v>0</v>
          </cell>
          <cell r="AF197">
            <v>1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2</v>
          </cell>
          <cell r="AL197">
            <v>0</v>
          </cell>
          <cell r="AM197">
            <v>17105</v>
          </cell>
          <cell r="AN197">
            <v>1.1114999999999998E-2</v>
          </cell>
          <cell r="AO197" t="str">
            <v>VISHAY RESISTIVE SYSTEMS</v>
          </cell>
          <cell r="AP197" t="str">
            <v>אופק</v>
          </cell>
          <cell r="AQ197" t="str">
            <v>ECOMAL ISRAEL LTD</v>
          </cell>
          <cell r="AR197">
            <v>4.0000000000000001E-3</v>
          </cell>
          <cell r="AT197" t="str">
            <v xml:space="preserve">
</v>
          </cell>
          <cell r="AU197">
            <v>5000</v>
          </cell>
          <cell r="AV197">
            <v>5000</v>
          </cell>
          <cell r="AW197">
            <v>4.0000000000000001E-3</v>
          </cell>
          <cell r="AX197">
            <v>2.2229999999999997E-3</v>
          </cell>
          <cell r="AY197" t="str">
            <v>USD</v>
          </cell>
          <cell r="AZ197" t="str">
            <v>תומחר על ידי אופק</v>
          </cell>
          <cell r="BA197" t="str">
            <v>ארו</v>
          </cell>
          <cell r="BD197" t="str">
            <v>3-4 wks. stock for today</v>
          </cell>
        </row>
        <row r="198">
          <cell r="D198">
            <v>407184523</v>
          </cell>
          <cell r="E198">
            <v>407186491</v>
          </cell>
          <cell r="F198" t="str">
            <v>CHIP INDUCTOR 15NH 2^ T&amp;R</v>
          </cell>
          <cell r="G198" t="str">
            <v>EA</v>
          </cell>
          <cell r="H198">
            <v>1</v>
          </cell>
          <cell r="I198">
            <v>20</v>
          </cell>
          <cell r="J198">
            <v>0</v>
          </cell>
          <cell r="K198">
            <v>0</v>
          </cell>
          <cell r="L198">
            <v>0</v>
          </cell>
          <cell r="M198">
            <v>6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4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4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6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34210</v>
          </cell>
          <cell r="AN198">
            <v>0.68</v>
          </cell>
          <cell r="AO198" t="str">
            <v>COILCRAFT INC.</v>
          </cell>
          <cell r="AP198" t="str">
            <v>אופק</v>
          </cell>
          <cell r="AQ198" t="str">
            <v>ELINA</v>
          </cell>
          <cell r="AR198">
            <v>7.4999999999999997E-2</v>
          </cell>
          <cell r="AT198" t="str">
            <v xml:space="preserve">
</v>
          </cell>
          <cell r="AU198">
            <v>12000</v>
          </cell>
          <cell r="AV198">
            <v>2000</v>
          </cell>
          <cell r="AW198">
            <v>7.4999999999999997E-2</v>
          </cell>
          <cell r="AX198">
            <v>6.8000000000000005E-2</v>
          </cell>
          <cell r="AY198" t="str">
            <v>USD</v>
          </cell>
          <cell r="AZ198" t="str">
            <v>תומחר על ידי אופק</v>
          </cell>
          <cell r="BA198" t="str">
            <v>אלינה הנדסה</v>
          </cell>
          <cell r="BD198">
            <v>0</v>
          </cell>
        </row>
        <row r="199">
          <cell r="D199">
            <v>413012036</v>
          </cell>
          <cell r="E199">
            <v>400274911</v>
          </cell>
          <cell r="F199" t="str">
            <v>CHIP RESIS 53.6KOHM 1% .1W T&amp;R</v>
          </cell>
          <cell r="G199" t="str">
            <v>EA</v>
          </cell>
          <cell r="H199">
            <v>2</v>
          </cell>
          <cell r="I199">
            <v>8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2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2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2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2</v>
          </cell>
          <cell r="AL199">
            <v>0</v>
          </cell>
          <cell r="AM199">
            <v>14330</v>
          </cell>
          <cell r="AN199">
            <v>8.8919999999999989E-3</v>
          </cell>
          <cell r="AO199" t="str">
            <v>VISHAY RESISTIVE SYSTEMS</v>
          </cell>
          <cell r="AP199" t="str">
            <v>אופק</v>
          </cell>
          <cell r="AQ199" t="str">
            <v>ECOMAL ISRAEL LTD</v>
          </cell>
          <cell r="AR199">
            <v>3.0000000000000001E-3</v>
          </cell>
          <cell r="AT199" t="str">
            <v xml:space="preserve">
</v>
          </cell>
          <cell r="AU199">
            <v>5000</v>
          </cell>
          <cell r="AV199">
            <v>5000</v>
          </cell>
          <cell r="AW199">
            <v>3.0000000000000001E-3</v>
          </cell>
          <cell r="AX199">
            <v>2.2229999999999997E-3</v>
          </cell>
          <cell r="AY199" t="str">
            <v>USD</v>
          </cell>
          <cell r="AZ199" t="str">
            <v>תומחר על ידי אופק</v>
          </cell>
          <cell r="BA199" t="str">
            <v>ארו</v>
          </cell>
          <cell r="BD199" t="str">
            <v>3-4 wks. stock for today</v>
          </cell>
        </row>
        <row r="200">
          <cell r="D200">
            <v>414137917</v>
          </cell>
          <cell r="E200" t="str">
            <v>FFF004418</v>
          </cell>
          <cell r="F200" t="str">
            <v>CHIP RESIS 54.9 OHM 1^ .1W T&amp;R</v>
          </cell>
          <cell r="G200" t="str">
            <v>EA</v>
          </cell>
          <cell r="H200">
            <v>2</v>
          </cell>
          <cell r="I200">
            <v>2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2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1250</v>
          </cell>
          <cell r="AN200">
            <v>4.4459999999999994E-3</v>
          </cell>
          <cell r="AO200" t="str">
            <v>VISHAY RESISTIVE SYSTEMS</v>
          </cell>
          <cell r="AP200" t="str">
            <v>אופק</v>
          </cell>
          <cell r="AQ200" t="str">
            <v>ECOMAL ISRAEL LTD</v>
          </cell>
          <cell r="AR200">
            <v>4.0000000000000001E-3</v>
          </cell>
          <cell r="AT200" t="str">
            <v xml:space="preserve">
</v>
          </cell>
          <cell r="AU200">
            <v>5000</v>
          </cell>
          <cell r="AV200">
            <v>5000</v>
          </cell>
          <cell r="AW200">
            <v>4.0000000000000001E-3</v>
          </cell>
          <cell r="AX200">
            <v>2.2229999999999997E-3</v>
          </cell>
          <cell r="AY200" t="str">
            <v>USD</v>
          </cell>
          <cell r="AZ200" t="str">
            <v>תומחר על ידי אופק</v>
          </cell>
          <cell r="BA200" t="str">
            <v>ארו</v>
          </cell>
          <cell r="BD200" t="str">
            <v>3-4 wks. stock for today</v>
          </cell>
        </row>
        <row r="201">
          <cell r="D201">
            <v>401234952</v>
          </cell>
          <cell r="E201" t="str">
            <v>FFF004290</v>
          </cell>
          <cell r="F201" t="str">
            <v>CHIP RESIS 56.2KOHM 1% .1W T&amp;R</v>
          </cell>
          <cell r="G201" t="str">
            <v>EA</v>
          </cell>
          <cell r="H201">
            <v>2</v>
          </cell>
          <cell r="I201">
            <v>20</v>
          </cell>
          <cell r="J201">
            <v>0</v>
          </cell>
          <cell r="K201">
            <v>0</v>
          </cell>
          <cell r="L201">
            <v>0</v>
          </cell>
          <cell r="M201">
            <v>2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4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4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4</v>
          </cell>
          <cell r="AC201">
            <v>0</v>
          </cell>
          <cell r="AD201">
            <v>0</v>
          </cell>
          <cell r="AE201">
            <v>0</v>
          </cell>
          <cell r="AF201">
            <v>2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4</v>
          </cell>
          <cell r="AL201">
            <v>0</v>
          </cell>
          <cell r="AM201">
            <v>34210</v>
          </cell>
          <cell r="AN201">
            <v>2.2229999999999996E-2</v>
          </cell>
          <cell r="AO201" t="str">
            <v>VISHAY RESISTIVE SYSTEMS</v>
          </cell>
          <cell r="AP201" t="str">
            <v>אופק</v>
          </cell>
          <cell r="AQ201" t="str">
            <v>ECOMAL ISRAEL LTD</v>
          </cell>
          <cell r="AR201">
            <v>4.0000000000000001E-3</v>
          </cell>
          <cell r="AT201" t="str">
            <v xml:space="preserve">
</v>
          </cell>
          <cell r="AU201">
            <v>5000</v>
          </cell>
          <cell r="AV201">
            <v>5000</v>
          </cell>
          <cell r="AW201">
            <v>4.0000000000000001E-3</v>
          </cell>
          <cell r="AX201">
            <v>2.2229999999999997E-3</v>
          </cell>
          <cell r="AY201" t="str">
            <v>USD</v>
          </cell>
          <cell r="AZ201" t="str">
            <v>תומחר על ידי אופק</v>
          </cell>
          <cell r="BA201" t="str">
            <v>ארו</v>
          </cell>
          <cell r="BD201" t="str">
            <v>3-4 wks. stock for today</v>
          </cell>
        </row>
        <row r="202">
          <cell r="D202">
            <v>409286444</v>
          </cell>
          <cell r="E202" t="str">
            <v>FFF004005</v>
          </cell>
          <cell r="F202" t="str">
            <v>CHIP RESIS 71.5 OHM 1% .1W T&amp;R</v>
          </cell>
          <cell r="G202" t="str">
            <v>EA</v>
          </cell>
          <cell r="H202">
            <v>2</v>
          </cell>
          <cell r="I202">
            <v>6</v>
          </cell>
          <cell r="J202">
            <v>0</v>
          </cell>
          <cell r="K202">
            <v>0</v>
          </cell>
          <cell r="L202">
            <v>0</v>
          </cell>
          <cell r="M202">
            <v>4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2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9850</v>
          </cell>
          <cell r="AN202">
            <v>4.4459999999999994E-3</v>
          </cell>
          <cell r="AO202" t="str">
            <v>VISHAY RESISTIVE SYSTEMS</v>
          </cell>
          <cell r="AP202" t="str">
            <v>אופק</v>
          </cell>
          <cell r="AQ202" t="str">
            <v>ECOMAL ISRAEL LTD</v>
          </cell>
          <cell r="AR202">
            <v>4.0000000000000001E-3</v>
          </cell>
          <cell r="AT202" t="str">
            <v xml:space="preserve">
</v>
          </cell>
          <cell r="AU202">
            <v>5000</v>
          </cell>
          <cell r="AV202">
            <v>5000</v>
          </cell>
          <cell r="AW202">
            <v>4.0000000000000001E-3</v>
          </cell>
          <cell r="AX202">
            <v>2.2229999999999997E-3</v>
          </cell>
          <cell r="AY202" t="str">
            <v>USD</v>
          </cell>
          <cell r="AZ202" t="str">
            <v>תומחר על ידי אופק</v>
          </cell>
          <cell r="BA202" t="str">
            <v>ארו</v>
          </cell>
          <cell r="BD202" t="str">
            <v>3-4 wks. stock for today</v>
          </cell>
        </row>
        <row r="203">
          <cell r="D203">
            <v>401414922</v>
          </cell>
          <cell r="E203" t="str">
            <v>FFF004392</v>
          </cell>
          <cell r="F203" t="str">
            <v>CHIP RESIS 75 OHM 1% .1W T&amp;R</v>
          </cell>
          <cell r="G203" t="str">
            <v>EA</v>
          </cell>
          <cell r="H203">
            <v>2</v>
          </cell>
          <cell r="I203">
            <v>2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2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1250</v>
          </cell>
          <cell r="AN203">
            <v>4.4459999999999994E-3</v>
          </cell>
          <cell r="AO203" t="str">
            <v>VISHAY RESISTIVE SYSTEMS</v>
          </cell>
          <cell r="AP203" t="str">
            <v>אופק</v>
          </cell>
          <cell r="AQ203" t="str">
            <v>ECOMAL ISRAEL LTD</v>
          </cell>
          <cell r="AR203">
            <v>4.0000000000000001E-3</v>
          </cell>
          <cell r="AT203" t="str">
            <v xml:space="preserve">
</v>
          </cell>
          <cell r="AU203">
            <v>5000</v>
          </cell>
          <cell r="AV203">
            <v>5000</v>
          </cell>
          <cell r="AW203">
            <v>4.0000000000000001E-3</v>
          </cell>
          <cell r="AX203">
            <v>2.2229999999999997E-3</v>
          </cell>
          <cell r="AY203" t="str">
            <v>USD</v>
          </cell>
          <cell r="AZ203" t="str">
            <v>תומחר על ידי אופק</v>
          </cell>
          <cell r="BA203" t="str">
            <v>ארו</v>
          </cell>
          <cell r="BD203" t="str">
            <v>3-4 wks. stock for today</v>
          </cell>
        </row>
        <row r="204">
          <cell r="D204">
            <v>401282464</v>
          </cell>
          <cell r="E204" t="str">
            <v>FFF004108</v>
          </cell>
          <cell r="F204" t="str">
            <v>CHIP RESIS 806 OHM 1% .1W T&amp;R</v>
          </cell>
          <cell r="G204" t="str">
            <v>EA</v>
          </cell>
          <cell r="H204">
            <v>2</v>
          </cell>
          <cell r="I204">
            <v>16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4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4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4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4</v>
          </cell>
          <cell r="AL204">
            <v>0</v>
          </cell>
          <cell r="AM204">
            <v>28660</v>
          </cell>
          <cell r="AN204">
            <v>1.7783999999999998E-2</v>
          </cell>
          <cell r="AO204" t="str">
            <v>VISHAY RESISTIVE SYSTEMS</v>
          </cell>
          <cell r="AP204" t="str">
            <v>אופק</v>
          </cell>
          <cell r="AQ204" t="str">
            <v>ECOMAL ISRAEL LTD</v>
          </cell>
          <cell r="AR204">
            <v>4.0000000000000001E-3</v>
          </cell>
          <cell r="AT204" t="str">
            <v xml:space="preserve">
</v>
          </cell>
          <cell r="AU204">
            <v>5000</v>
          </cell>
          <cell r="AV204">
            <v>5000</v>
          </cell>
          <cell r="AW204">
            <v>4.0000000000000001E-3</v>
          </cell>
          <cell r="AX204">
            <v>2.2229999999999997E-3</v>
          </cell>
          <cell r="AY204" t="str">
            <v>USD</v>
          </cell>
          <cell r="AZ204" t="str">
            <v>תומחר על ידי אופק</v>
          </cell>
          <cell r="BA204" t="str">
            <v>ארו</v>
          </cell>
          <cell r="BD204" t="str">
            <v>3-4 wks. stock for today</v>
          </cell>
        </row>
        <row r="205">
          <cell r="D205">
            <v>408260904</v>
          </cell>
          <cell r="E205">
            <v>408269977</v>
          </cell>
          <cell r="F205" t="str">
            <v>INDUCTOR CHIP 5.6NH 2^ 0.76A 0402 T&amp;R</v>
          </cell>
          <cell r="G205" t="str">
            <v>EA</v>
          </cell>
          <cell r="H205">
            <v>1</v>
          </cell>
          <cell r="I205">
            <v>8</v>
          </cell>
          <cell r="J205">
            <v>0</v>
          </cell>
          <cell r="K205">
            <v>0</v>
          </cell>
          <cell r="L205">
            <v>0</v>
          </cell>
          <cell r="M205">
            <v>2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2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2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2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14330</v>
          </cell>
          <cell r="AN205">
            <v>0.34</v>
          </cell>
          <cell r="AO205" t="str">
            <v>COILCRAFT INC.</v>
          </cell>
          <cell r="AP205" t="str">
            <v>אופק</v>
          </cell>
          <cell r="AQ205" t="str">
            <v>ELINA</v>
          </cell>
          <cell r="AR205">
            <v>7.5999999999999998E-2</v>
          </cell>
          <cell r="AT205" t="str">
            <v xml:space="preserve">
</v>
          </cell>
          <cell r="AU205">
            <v>12000</v>
          </cell>
          <cell r="AV205">
            <v>2000</v>
          </cell>
          <cell r="AW205">
            <v>7.5999999999999998E-2</v>
          </cell>
          <cell r="AX205">
            <v>8.5000000000000006E-2</v>
          </cell>
          <cell r="AY205" t="str">
            <v>USD</v>
          </cell>
          <cell r="AZ205" t="str">
            <v>תומחר על ידי אופק</v>
          </cell>
          <cell r="BA205" t="str">
            <v>אלינה הנדסה</v>
          </cell>
          <cell r="BD205">
            <v>0</v>
          </cell>
        </row>
        <row r="206">
          <cell r="D206">
            <v>417983248</v>
          </cell>
          <cell r="E206">
            <v>400632302</v>
          </cell>
          <cell r="F206" t="str">
            <v>CHIP RESIS 75 OHM 5^ 1W T&amp;R</v>
          </cell>
          <cell r="G206" t="str">
            <v>EA</v>
          </cell>
          <cell r="H206">
            <v>2</v>
          </cell>
          <cell r="I206">
            <v>32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8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8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8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8</v>
          </cell>
          <cell r="AL206">
            <v>0</v>
          </cell>
          <cell r="AM206">
            <v>57320</v>
          </cell>
          <cell r="AN206">
            <v>0.56000000000000005</v>
          </cell>
          <cell r="AO206" t="str">
            <v>VISHAY RESISTIVE SYSTEMS</v>
          </cell>
          <cell r="AP206" t="str">
            <v>אופק</v>
          </cell>
          <cell r="AQ206" t="str">
            <v>MICATALOG LTD</v>
          </cell>
          <cell r="AR206">
            <v>0.03</v>
          </cell>
          <cell r="AT206" t="str">
            <v xml:space="preserve">
</v>
          </cell>
          <cell r="AU206">
            <v>58000</v>
          </cell>
          <cell r="AV206">
            <v>0</v>
          </cell>
          <cell r="AW206">
            <v>0.03</v>
          </cell>
          <cell r="AX206">
            <v>3.5000000000000003E-2</v>
          </cell>
          <cell r="AY206" t="str">
            <v>USD</v>
          </cell>
          <cell r="AZ206" t="str">
            <v>תומחר על ידי אופק</v>
          </cell>
          <cell r="BA206" t="str">
            <v>אקומל</v>
          </cell>
          <cell r="BD206" t="str">
            <v>3-4 wks. stock for today</v>
          </cell>
        </row>
        <row r="207">
          <cell r="D207">
            <v>400561082</v>
          </cell>
          <cell r="F207" t="str">
            <v>IC D/A CONVERTER 8 BIT T&amp;R</v>
          </cell>
          <cell r="G207" t="str">
            <v>EA</v>
          </cell>
          <cell r="H207">
            <v>2</v>
          </cell>
          <cell r="I207">
            <v>8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2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2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2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2</v>
          </cell>
          <cell r="AL207">
            <v>0</v>
          </cell>
          <cell r="AM207">
            <v>14330</v>
          </cell>
          <cell r="AN207">
            <v>2.88</v>
          </cell>
          <cell r="AO207" t="str">
            <v>TEXAS INSTRUMENTS INC</v>
          </cell>
          <cell r="AP207" t="str">
            <v>אופק</v>
          </cell>
          <cell r="AQ207">
            <v>1</v>
          </cell>
          <cell r="AR207">
            <v>0.68</v>
          </cell>
          <cell r="AT207" t="str">
            <v xml:space="preserve">
</v>
          </cell>
          <cell r="AU207">
            <v>2500</v>
          </cell>
          <cell r="AV207">
            <v>2500</v>
          </cell>
          <cell r="AW207">
            <v>0.68</v>
          </cell>
          <cell r="AX207">
            <v>0.72</v>
          </cell>
          <cell r="AY207" t="str">
            <v>USD</v>
          </cell>
          <cell r="AZ207" t="str">
            <v>תומחר על ידי אופק</v>
          </cell>
          <cell r="BA207" t="str">
            <v>אלבטק</v>
          </cell>
          <cell r="BD207">
            <v>0</v>
          </cell>
        </row>
        <row r="208">
          <cell r="D208">
            <v>400929924</v>
          </cell>
          <cell r="E208">
            <v>400930961</v>
          </cell>
          <cell r="F208" t="str">
            <v>IC DIGITAL THERMOMETER T&amp;R</v>
          </cell>
          <cell r="G208" t="str">
            <v>EA</v>
          </cell>
          <cell r="H208">
            <v>2</v>
          </cell>
          <cell r="I208">
            <v>20</v>
          </cell>
          <cell r="J208">
            <v>0</v>
          </cell>
          <cell r="K208">
            <v>0</v>
          </cell>
          <cell r="L208">
            <v>0</v>
          </cell>
          <cell r="M208">
            <v>6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1</v>
          </cell>
          <cell r="S208">
            <v>0</v>
          </cell>
          <cell r="T208">
            <v>0</v>
          </cell>
          <cell r="U208">
            <v>0</v>
          </cell>
          <cell r="V208">
            <v>2</v>
          </cell>
          <cell r="W208">
            <v>1</v>
          </cell>
          <cell r="X208">
            <v>0</v>
          </cell>
          <cell r="Y208">
            <v>0</v>
          </cell>
          <cell r="Z208">
            <v>0</v>
          </cell>
          <cell r="AA208">
            <v>2</v>
          </cell>
          <cell r="AB208">
            <v>1</v>
          </cell>
          <cell r="AC208">
            <v>0</v>
          </cell>
          <cell r="AD208">
            <v>0</v>
          </cell>
          <cell r="AE208">
            <v>0</v>
          </cell>
          <cell r="AF208">
            <v>6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1</v>
          </cell>
          <cell r="AL208">
            <v>0</v>
          </cell>
          <cell r="AM208">
            <v>32595</v>
          </cell>
          <cell r="AN208">
            <v>15.02</v>
          </cell>
          <cell r="AO208" t="e">
            <v>#N/A</v>
          </cell>
          <cell r="AP208" t="str">
            <v>אלתא</v>
          </cell>
          <cell r="AQ208" t="str">
            <v>ARROW RAPAC LTD</v>
          </cell>
          <cell r="AR208">
            <v>1.502</v>
          </cell>
          <cell r="AT208" t="str">
            <v xml:space="preserve">
</v>
          </cell>
          <cell r="AV208">
            <v>3000</v>
          </cell>
          <cell r="AW208">
            <v>1.502</v>
          </cell>
          <cell r="AX208">
            <v>1.502</v>
          </cell>
          <cell r="AY208" t="str">
            <v>USD</v>
          </cell>
          <cell r="AZ208" t="str">
            <v>ARROW</v>
          </cell>
          <cell r="BA208" t="str">
            <v>אלון שגיב</v>
          </cell>
          <cell r="BB208" t="str">
            <v>053-7704117</v>
          </cell>
          <cell r="BC208" t="str">
            <v>alon.sagiv@arrow.com</v>
          </cell>
        </row>
        <row r="209">
          <cell r="D209">
            <v>411359913</v>
          </cell>
          <cell r="F209" t="str">
            <v>IC QUAD-SERIAL CONFIGURATION DEVICE</v>
          </cell>
          <cell r="G209" t="str">
            <v>EA</v>
          </cell>
          <cell r="H209">
            <v>2</v>
          </cell>
          <cell r="I209">
            <v>4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1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1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1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1</v>
          </cell>
          <cell r="AL209">
            <v>0</v>
          </cell>
          <cell r="AM209">
            <v>7165</v>
          </cell>
          <cell r="AN209">
            <v>7.64</v>
          </cell>
          <cell r="AO209" t="str">
            <v>INTEL CORP</v>
          </cell>
          <cell r="AP209" t="str">
            <v>אופק</v>
          </cell>
          <cell r="AQ209" t="str">
            <v>Eastronics</v>
          </cell>
          <cell r="AR209">
            <v>3.677</v>
          </cell>
          <cell r="AT209" t="str">
            <v xml:space="preserve">
</v>
          </cell>
          <cell r="AU209">
            <v>0</v>
          </cell>
          <cell r="AV209">
            <v>44</v>
          </cell>
          <cell r="AW209">
            <v>3.677</v>
          </cell>
          <cell r="AX209">
            <v>3.82</v>
          </cell>
          <cell r="AY209" t="str">
            <v>USD</v>
          </cell>
          <cell r="AZ209" t="str">
            <v>תומחר על ידי אופק</v>
          </cell>
          <cell r="BA209" t="str">
            <v>איסטרוניקס</v>
          </cell>
          <cell r="BD209" t="str">
            <v>תגובת אסטרוניקס למחיר
זהו מחיר סופר מיוחד עבור אלתא  ואתם רכשתם את הפריט ביולי 25 באותו מחיר</v>
          </cell>
        </row>
        <row r="210">
          <cell r="D210">
            <v>405043942</v>
          </cell>
          <cell r="E210">
            <v>405046714</v>
          </cell>
          <cell r="F210" t="str">
            <v>IC 2MB SERIAL F-RAM MEMORY</v>
          </cell>
          <cell r="G210" t="str">
            <v>EA</v>
          </cell>
          <cell r="H210">
            <v>1</v>
          </cell>
          <cell r="I210">
            <v>8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2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2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2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2</v>
          </cell>
          <cell r="AL210">
            <v>0</v>
          </cell>
          <cell r="AM210">
            <v>14330</v>
          </cell>
          <cell r="AN210">
            <v>20.32</v>
          </cell>
          <cell r="AO210" t="e">
            <v>#N/A</v>
          </cell>
          <cell r="AP210" t="str">
            <v>אלתא</v>
          </cell>
          <cell r="AQ210" t="str">
            <v>ARROW RAPAC LTD</v>
          </cell>
          <cell r="AR210">
            <v>13.276</v>
          </cell>
          <cell r="AT210" t="str">
            <v xml:space="preserve">
</v>
          </cell>
          <cell r="AV210">
            <v>14330</v>
          </cell>
          <cell r="AW210">
            <v>13.276</v>
          </cell>
          <cell r="AX210">
            <v>5.08</v>
          </cell>
          <cell r="AY210" t="str">
            <v>USD</v>
          </cell>
          <cell r="AZ210" t="str">
            <v>RFMW</v>
          </cell>
          <cell r="BA210" t="str">
            <v>טלי וייסברג</v>
          </cell>
          <cell r="BB210" t="str">
            <v>072-2150902</v>
          </cell>
          <cell r="BC210" t="str">
            <v>tali.weisberg@rfmw.com</v>
          </cell>
        </row>
        <row r="211">
          <cell r="D211">
            <v>409187956</v>
          </cell>
          <cell r="F211" t="str">
            <v>CHIP CAP 4.7PF +/-0.05 500V CERAMIC T&amp;R</v>
          </cell>
          <cell r="G211" t="str">
            <v>EA</v>
          </cell>
          <cell r="H211">
            <v>2</v>
          </cell>
          <cell r="I211">
            <v>24</v>
          </cell>
          <cell r="J211">
            <v>0</v>
          </cell>
          <cell r="K211">
            <v>0</v>
          </cell>
          <cell r="L211">
            <v>0</v>
          </cell>
          <cell r="M211">
            <v>12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12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33300</v>
          </cell>
          <cell r="AN211">
            <v>3.3480000000000003</v>
          </cell>
          <cell r="AO211" t="str">
            <v>MURATA MANUFACTURING CO. LTD</v>
          </cell>
          <cell r="AP211" t="str">
            <v>אופק</v>
          </cell>
          <cell r="AQ211" t="str">
            <v>STG INTERNATIONAL LTD</v>
          </cell>
          <cell r="AR211">
            <v>0.28999999999999998</v>
          </cell>
          <cell r="AT211" t="str">
            <v xml:space="preserve">
</v>
          </cell>
          <cell r="AU211">
            <v>4000</v>
          </cell>
          <cell r="AV211">
            <v>4000</v>
          </cell>
          <cell r="AW211">
            <v>0.28999999999999998</v>
          </cell>
          <cell r="AX211">
            <v>0.27900000000000003</v>
          </cell>
          <cell r="AY211" t="str">
            <v>USD</v>
          </cell>
          <cell r="AZ211" t="str">
            <v>תומחר על ידי אופק</v>
          </cell>
          <cell r="BA211" t="str">
            <v>ארו</v>
          </cell>
          <cell r="BD211">
            <v>0</v>
          </cell>
        </row>
        <row r="212">
          <cell r="D212">
            <v>402125924</v>
          </cell>
          <cell r="E212">
            <v>417493482</v>
          </cell>
          <cell r="F212" t="str">
            <v>CHIP CAP 1UF 10% 6.3V X7R T&amp;R</v>
          </cell>
          <cell r="G212" t="str">
            <v>EA</v>
          </cell>
          <cell r="H212">
            <v>2</v>
          </cell>
          <cell r="I212">
            <v>60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15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15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15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15</v>
          </cell>
          <cell r="AL212">
            <v>0</v>
          </cell>
          <cell r="AM212">
            <v>107475</v>
          </cell>
          <cell r="AN212">
            <v>0.21300000000000002</v>
          </cell>
          <cell r="AO212" t="str">
            <v>MURATA MANUFACTURING CO. LTD</v>
          </cell>
          <cell r="AP212" t="str">
            <v>אופק</v>
          </cell>
          <cell r="AQ212" t="str">
            <v>STG INTERNATIONAL LTD</v>
          </cell>
          <cell r="AR212">
            <v>4.7999999999999996E-3</v>
          </cell>
          <cell r="AT212" t="str">
            <v xml:space="preserve">
</v>
          </cell>
          <cell r="AU212">
            <v>10000</v>
          </cell>
          <cell r="AV212">
            <v>10000</v>
          </cell>
          <cell r="AW212">
            <v>4.7999999999999996E-3</v>
          </cell>
          <cell r="AX212">
            <v>7.1000000000000004E-3</v>
          </cell>
          <cell r="AY212" t="str">
            <v>USD</v>
          </cell>
          <cell r="AZ212" t="str">
            <v>תומחר על ידי אופק</v>
          </cell>
          <cell r="BA212" t="str">
            <v>ארו</v>
          </cell>
          <cell r="BD212">
            <v>0</v>
          </cell>
        </row>
        <row r="213">
          <cell r="D213">
            <v>400292801</v>
          </cell>
          <cell r="E213" t="str">
            <v>FFF003967</v>
          </cell>
          <cell r="F213" t="str">
            <v>CHIP RESIS 7.15KOHM 1% .25W T&amp;R</v>
          </cell>
          <cell r="G213" t="str">
            <v>EA</v>
          </cell>
          <cell r="H213">
            <v>2</v>
          </cell>
          <cell r="I213">
            <v>2</v>
          </cell>
          <cell r="J213">
            <v>0</v>
          </cell>
          <cell r="K213">
            <v>0</v>
          </cell>
          <cell r="L213">
            <v>0</v>
          </cell>
          <cell r="M213">
            <v>1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1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2775</v>
          </cell>
          <cell r="AN213">
            <v>4.2938999999999998E-2</v>
          </cell>
          <cell r="AO213" t="str">
            <v>VISHAY RESISTIVE SYSTEMS</v>
          </cell>
          <cell r="AP213" t="str">
            <v>אופק</v>
          </cell>
          <cell r="AQ213" t="str">
            <v>ECOMAL ISRAEL LTD</v>
          </cell>
          <cell r="AR213">
            <v>7.0000000000000001E-3</v>
          </cell>
          <cell r="AT213" t="str">
            <v xml:space="preserve">
</v>
          </cell>
          <cell r="AU213">
            <v>5000</v>
          </cell>
          <cell r="AV213">
            <v>5000</v>
          </cell>
          <cell r="AW213">
            <v>7.0000000000000001E-3</v>
          </cell>
          <cell r="AX213">
            <v>4.2938999999999998E-2</v>
          </cell>
          <cell r="AY213" t="str">
            <v>USD</v>
          </cell>
          <cell r="AZ213" t="str">
            <v>תומחר על ידי אופק</v>
          </cell>
          <cell r="BA213" t="str">
            <v>ארו</v>
          </cell>
          <cell r="BD213" t="str">
            <v>3-4 wks. stock for today
אקומל - CRCW12067K15FKEA</v>
          </cell>
        </row>
        <row r="214">
          <cell r="D214">
            <v>410434088</v>
          </cell>
          <cell r="F214" t="str">
            <v>CHIP CAP 22UF 20% 10V X7R T&amp;R</v>
          </cell>
          <cell r="G214" t="str">
            <v>EA</v>
          </cell>
          <cell r="H214">
            <v>2</v>
          </cell>
          <cell r="I214">
            <v>8</v>
          </cell>
          <cell r="J214">
            <v>0</v>
          </cell>
          <cell r="K214">
            <v>0</v>
          </cell>
          <cell r="L214">
            <v>0</v>
          </cell>
          <cell r="M214">
            <v>4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4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11100</v>
          </cell>
          <cell r="AN214">
            <v>0.2268</v>
          </cell>
          <cell r="AO214" t="str">
            <v>MURATA MANUFACTURING CO. LTD</v>
          </cell>
          <cell r="AP214" t="str">
            <v>אופק</v>
          </cell>
          <cell r="AQ214" t="str">
            <v>STG INTERNATIONAL LTD</v>
          </cell>
          <cell r="AR214">
            <v>4.2000000000000003E-2</v>
          </cell>
          <cell r="AT214" t="str">
            <v xml:space="preserve">
</v>
          </cell>
          <cell r="AU214">
            <v>3000</v>
          </cell>
          <cell r="AV214">
            <v>3000</v>
          </cell>
          <cell r="AW214">
            <v>4.2000000000000003E-2</v>
          </cell>
          <cell r="AX214">
            <v>5.67E-2</v>
          </cell>
          <cell r="AY214" t="str">
            <v>USD</v>
          </cell>
          <cell r="AZ214" t="str">
            <v>תומחר על ידי אופק</v>
          </cell>
          <cell r="BA214" t="str">
            <v>ארו</v>
          </cell>
          <cell r="BD214">
            <v>0</v>
          </cell>
        </row>
        <row r="215">
          <cell r="D215">
            <v>411048246</v>
          </cell>
          <cell r="F215" t="str">
            <v>CHIP CAP 10UF 22^ 100V X7S CERAMIC T&amp;R</v>
          </cell>
          <cell r="G215" t="str">
            <v>EA</v>
          </cell>
          <cell r="H215">
            <v>2</v>
          </cell>
          <cell r="I215">
            <v>32</v>
          </cell>
          <cell r="J215">
            <v>0</v>
          </cell>
          <cell r="K215">
            <v>0</v>
          </cell>
          <cell r="L215">
            <v>0</v>
          </cell>
          <cell r="M215">
            <v>16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16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44400</v>
          </cell>
          <cell r="AN215">
            <v>4.2880000000000003</v>
          </cell>
          <cell r="AO215" t="str">
            <v>MURATA MANUFACTURING CO. LTD</v>
          </cell>
          <cell r="AP215" t="str">
            <v>אופק</v>
          </cell>
          <cell r="AQ215" t="str">
            <v>STG INTERNATIONAL LTD</v>
          </cell>
          <cell r="AR215">
            <v>0.17</v>
          </cell>
          <cell r="AT215" t="str">
            <v xml:space="preserve">
</v>
          </cell>
          <cell r="AU215">
            <v>1000</v>
          </cell>
          <cell r="AV215">
            <v>1000</v>
          </cell>
          <cell r="AW215">
            <v>0.17</v>
          </cell>
          <cell r="AX215">
            <v>0.26800000000000002</v>
          </cell>
          <cell r="AY215" t="str">
            <v>USD</v>
          </cell>
          <cell r="AZ215" t="str">
            <v>תומחר על ידי אופק</v>
          </cell>
          <cell r="BA215" t="str">
            <v>ארו</v>
          </cell>
          <cell r="BD215">
            <v>0</v>
          </cell>
        </row>
        <row r="216">
          <cell r="D216">
            <v>400416555</v>
          </cell>
          <cell r="E216">
            <v>417372705</v>
          </cell>
          <cell r="F216" t="str">
            <v>CHIP CAP 22UF 10% 25V CERAMIC T&amp;R</v>
          </cell>
          <cell r="G216" t="str">
            <v>EA</v>
          </cell>
          <cell r="H216">
            <v>2</v>
          </cell>
          <cell r="I216">
            <v>48</v>
          </cell>
          <cell r="J216">
            <v>0</v>
          </cell>
          <cell r="K216">
            <v>0</v>
          </cell>
          <cell r="L216">
            <v>0</v>
          </cell>
          <cell r="M216">
            <v>8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8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8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8</v>
          </cell>
          <cell r="AC216">
            <v>0</v>
          </cell>
          <cell r="AD216">
            <v>0</v>
          </cell>
          <cell r="AE216">
            <v>0</v>
          </cell>
          <cell r="AF216">
            <v>8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8</v>
          </cell>
          <cell r="AL216">
            <v>0</v>
          </cell>
          <cell r="AM216">
            <v>79520</v>
          </cell>
          <cell r="AN216">
            <v>4.8000000000000007</v>
          </cell>
          <cell r="AO216" t="str">
            <v>MURATA MANUFACTURING CO. LTD</v>
          </cell>
          <cell r="AP216" t="str">
            <v>אופק</v>
          </cell>
          <cell r="AQ216" t="str">
            <v>STG INTERNATIONAL LTD</v>
          </cell>
          <cell r="AR216">
            <v>6.5000000000000002E-2</v>
          </cell>
          <cell r="AT216" t="str">
            <v xml:space="preserve">
</v>
          </cell>
          <cell r="AU216">
            <v>1000</v>
          </cell>
          <cell r="AV216">
            <v>1000</v>
          </cell>
          <cell r="AW216">
            <v>6.5000000000000002E-2</v>
          </cell>
          <cell r="AX216">
            <v>0.2</v>
          </cell>
          <cell r="AY216" t="str">
            <v>USD</v>
          </cell>
          <cell r="AZ216" t="str">
            <v>תומחר על ידי אופק</v>
          </cell>
          <cell r="BA216" t="str">
            <v>ארו</v>
          </cell>
          <cell r="BD216">
            <v>0</v>
          </cell>
        </row>
        <row r="217">
          <cell r="D217">
            <v>401229464</v>
          </cell>
          <cell r="E217" t="str">
            <v>FFF004038</v>
          </cell>
          <cell r="F217" t="str">
            <v>CHIP RESIS 383KOHM 1^ .1W T&amp;R</v>
          </cell>
          <cell r="G217" t="str">
            <v>EA</v>
          </cell>
          <cell r="H217">
            <v>2</v>
          </cell>
          <cell r="I217">
            <v>2</v>
          </cell>
          <cell r="J217">
            <v>0</v>
          </cell>
          <cell r="K217">
            <v>0</v>
          </cell>
          <cell r="L217">
            <v>0</v>
          </cell>
          <cell r="M217">
            <v>1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1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2775</v>
          </cell>
          <cell r="AN217">
            <v>2.2229999999999997E-3</v>
          </cell>
          <cell r="AO217" t="str">
            <v>VISHAY RESISTIVE SYSTEMS</v>
          </cell>
          <cell r="AP217" t="str">
            <v>אופק</v>
          </cell>
          <cell r="AQ217">
            <v>1</v>
          </cell>
          <cell r="AR217">
            <v>3.0000000000000001E-3</v>
          </cell>
          <cell r="AT217" t="str">
            <v xml:space="preserve">
</v>
          </cell>
          <cell r="AU217">
            <v>5000</v>
          </cell>
          <cell r="AV217">
            <v>5000</v>
          </cell>
          <cell r="AW217">
            <v>3.0000000000000001E-3</v>
          </cell>
          <cell r="AX217">
            <v>2.2229999999999997E-3</v>
          </cell>
          <cell r="AY217" t="str">
            <v>USD</v>
          </cell>
          <cell r="AZ217" t="str">
            <v>תומחר על ידי אופק</v>
          </cell>
          <cell r="BA217" t="str">
            <v>ארו</v>
          </cell>
          <cell r="BD217" t="str">
            <v>3-4 wks. stock for today</v>
          </cell>
        </row>
        <row r="218">
          <cell r="D218">
            <v>409331535</v>
          </cell>
          <cell r="F218" t="str">
            <v>CHIP CAP 4.7UF 10% 80V CERAMIC T&amp;R</v>
          </cell>
          <cell r="G218" t="str">
            <v>EA</v>
          </cell>
          <cell r="H218">
            <v>2</v>
          </cell>
          <cell r="I218">
            <v>58</v>
          </cell>
          <cell r="J218">
            <v>0</v>
          </cell>
          <cell r="K218">
            <v>0</v>
          </cell>
          <cell r="L218">
            <v>0</v>
          </cell>
          <cell r="M218">
            <v>13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8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8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8</v>
          </cell>
          <cell r="AC218">
            <v>0</v>
          </cell>
          <cell r="AD218">
            <v>0</v>
          </cell>
          <cell r="AE218">
            <v>0</v>
          </cell>
          <cell r="AF218">
            <v>13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8</v>
          </cell>
          <cell r="AL218">
            <v>0</v>
          </cell>
          <cell r="AM218">
            <v>93395</v>
          </cell>
          <cell r="AN218">
            <v>6.09</v>
          </cell>
          <cell r="AO218" t="str">
            <v>MURATA MANUFACTURING CO. LTD</v>
          </cell>
          <cell r="AP218" t="str">
            <v>אופק</v>
          </cell>
          <cell r="AQ218" t="str">
            <v>STG INTERNATIONAL LTD</v>
          </cell>
          <cell r="AR218">
            <v>0.19</v>
          </cell>
          <cell r="AT218" t="str">
            <v xml:space="preserve">
</v>
          </cell>
          <cell r="AU218">
            <v>1000</v>
          </cell>
          <cell r="AV218">
            <v>1000</v>
          </cell>
          <cell r="AW218">
            <v>0.19</v>
          </cell>
          <cell r="AX218">
            <v>0.21</v>
          </cell>
          <cell r="AY218" t="str">
            <v>USD</v>
          </cell>
          <cell r="AZ218" t="str">
            <v>תומחר על ידי אופק</v>
          </cell>
          <cell r="BA218" t="str">
            <v>ארו</v>
          </cell>
          <cell r="BD218">
            <v>0</v>
          </cell>
        </row>
        <row r="219">
          <cell r="D219">
            <v>400120842</v>
          </cell>
          <cell r="F219" t="str">
            <v>CHIP CERAMIC HIGH PASS FILTER T&amp;R</v>
          </cell>
          <cell r="G219" t="str">
            <v>EA</v>
          </cell>
          <cell r="H219">
            <v>2</v>
          </cell>
          <cell r="I219">
            <v>8</v>
          </cell>
          <cell r="J219">
            <v>0</v>
          </cell>
          <cell r="K219">
            <v>0</v>
          </cell>
          <cell r="L219">
            <v>0</v>
          </cell>
          <cell r="M219">
            <v>2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2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2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2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14330</v>
          </cell>
          <cell r="AN219">
            <v>2.56</v>
          </cell>
          <cell r="AO219" t="str">
            <v>MINI-CIRCUITS LABORATORY</v>
          </cell>
          <cell r="AP219" t="str">
            <v>אופק</v>
          </cell>
          <cell r="AQ219">
            <v>1</v>
          </cell>
          <cell r="AR219">
            <v>0.67</v>
          </cell>
          <cell r="AT219" t="str">
            <v xml:space="preserve">
</v>
          </cell>
          <cell r="AU219">
            <v>0</v>
          </cell>
          <cell r="AV219">
            <v>0</v>
          </cell>
          <cell r="AW219">
            <v>0.67</v>
          </cell>
          <cell r="AX219">
            <v>0.64</v>
          </cell>
          <cell r="AY219" t="str">
            <v>USD</v>
          </cell>
          <cell r="AZ219" t="str">
            <v>תומחר על ידי אופק</v>
          </cell>
          <cell r="BA219" t="str">
            <v>MINI-CIRCUITS LABORATORY</v>
          </cell>
          <cell r="BD219" t="str">
            <v>מלאי זמין</v>
          </cell>
        </row>
        <row r="220">
          <cell r="D220">
            <v>403115907</v>
          </cell>
          <cell r="F220" t="str">
            <v>IC GAAS SPDT SWITCH DC-4GHZ T&amp;R</v>
          </cell>
          <cell r="G220" t="str">
            <v>EA</v>
          </cell>
          <cell r="H220">
            <v>2</v>
          </cell>
          <cell r="I220">
            <v>4</v>
          </cell>
          <cell r="J220">
            <v>0</v>
          </cell>
          <cell r="K220">
            <v>0</v>
          </cell>
          <cell r="L220">
            <v>0</v>
          </cell>
          <cell r="M220">
            <v>2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2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5550</v>
          </cell>
          <cell r="AN220">
            <v>4.09</v>
          </cell>
          <cell r="AO220" t="str">
            <v>ANALOG DEVICES</v>
          </cell>
          <cell r="AP220" t="str">
            <v>אופק</v>
          </cell>
          <cell r="AQ220">
            <v>1</v>
          </cell>
          <cell r="AR220">
            <v>1.93</v>
          </cell>
          <cell r="AT220" t="str">
            <v xml:space="preserve">
</v>
          </cell>
          <cell r="AU220">
            <v>500</v>
          </cell>
          <cell r="AV220">
            <v>500</v>
          </cell>
          <cell r="AW220">
            <v>1.93</v>
          </cell>
          <cell r="AX220">
            <v>2.0449999999999999</v>
          </cell>
          <cell r="AY220" t="str">
            <v>USD</v>
          </cell>
          <cell r="AZ220" t="str">
            <v>תומחר על ידי אופק</v>
          </cell>
          <cell r="BA220" t="str">
            <v>אלבטק</v>
          </cell>
          <cell r="BD220">
            <v>0</v>
          </cell>
        </row>
        <row r="221">
          <cell r="D221">
            <v>400951927</v>
          </cell>
          <cell r="F221" t="str">
            <v>CHIP LED RED T&amp;R</v>
          </cell>
          <cell r="G221" t="str">
            <v>EA</v>
          </cell>
          <cell r="H221">
            <v>2</v>
          </cell>
          <cell r="I221">
            <v>4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1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1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1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1</v>
          </cell>
          <cell r="AL221">
            <v>0</v>
          </cell>
          <cell r="AM221">
            <v>7165</v>
          </cell>
          <cell r="AN221">
            <v>0.32400000000000001</v>
          </cell>
          <cell r="AO221" t="str">
            <v>BROADCOM LIMITED</v>
          </cell>
          <cell r="AP221" t="str">
            <v>אופק</v>
          </cell>
          <cell r="AQ221" t="str">
            <v>MICATALOG LTD</v>
          </cell>
          <cell r="AR221">
            <v>0.06</v>
          </cell>
          <cell r="AT221" t="str">
            <v xml:space="preserve">
</v>
          </cell>
          <cell r="AU221">
            <v>0</v>
          </cell>
          <cell r="AV221">
            <v>0</v>
          </cell>
          <cell r="AW221">
            <v>0.06</v>
          </cell>
          <cell r="AX221">
            <v>0.16200000000000001</v>
          </cell>
          <cell r="AY221" t="str">
            <v>USD</v>
          </cell>
          <cell r="AZ221" t="str">
            <v>תומחר על ידי אופק</v>
          </cell>
          <cell r="BA221" t="str">
            <v>מייקטלוג</v>
          </cell>
          <cell r="BD221" t="str">
            <v>RS - 0.69 ש"ח</v>
          </cell>
        </row>
        <row r="222">
          <cell r="D222">
            <v>400615818</v>
          </cell>
          <cell r="F222" t="str">
            <v>CHIP LED GREEN</v>
          </cell>
          <cell r="G222" t="str">
            <v>EA</v>
          </cell>
          <cell r="H222">
            <v>2</v>
          </cell>
          <cell r="I222">
            <v>8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2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2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2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2</v>
          </cell>
          <cell r="AL222">
            <v>0</v>
          </cell>
          <cell r="AM222">
            <v>14330</v>
          </cell>
          <cell r="AN222">
            <v>0.48</v>
          </cell>
          <cell r="AO222" t="str">
            <v>BROADCOM LIMITED</v>
          </cell>
          <cell r="AP222" t="str">
            <v>אופק</v>
          </cell>
          <cell r="AQ222" t="str">
            <v>MICATALOG LTD</v>
          </cell>
          <cell r="AR222">
            <v>0.05</v>
          </cell>
          <cell r="AT222" t="str">
            <v xml:space="preserve">
</v>
          </cell>
          <cell r="AU222">
            <v>0</v>
          </cell>
          <cell r="AV222">
            <v>0</v>
          </cell>
          <cell r="AW222">
            <v>0.05</v>
          </cell>
          <cell r="AX222">
            <v>0.12</v>
          </cell>
          <cell r="AY222" t="str">
            <v>USD</v>
          </cell>
          <cell r="AZ222" t="str">
            <v>תומחר על ידי אופק</v>
          </cell>
          <cell r="BA222" t="str">
            <v>RS</v>
          </cell>
          <cell r="BD222" t="str">
            <v>RS - 0.4 ש"ח</v>
          </cell>
        </row>
        <row r="223">
          <cell r="D223">
            <v>400479535</v>
          </cell>
          <cell r="E223">
            <v>400481605</v>
          </cell>
          <cell r="F223" t="str">
            <v>INDUCTOR 1UH 20PC SHIELDED T&amp;R</v>
          </cell>
          <cell r="G223" t="str">
            <v>EA</v>
          </cell>
          <cell r="H223">
            <v>2</v>
          </cell>
          <cell r="I223">
            <v>4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1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1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1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1</v>
          </cell>
          <cell r="AL223">
            <v>0</v>
          </cell>
          <cell r="AM223">
            <v>7165</v>
          </cell>
          <cell r="AN223">
            <v>0.49841999999999997</v>
          </cell>
          <cell r="AO223" t="str">
            <v>VISHAY DALE MAGNETICS AND INDUCTORS</v>
          </cell>
          <cell r="AP223" t="str">
            <v>אופק</v>
          </cell>
          <cell r="AQ223" t="str">
            <v>RAY Q LTD.</v>
          </cell>
          <cell r="AR223">
            <v>0.28399999999999997</v>
          </cell>
          <cell r="AT223" t="str">
            <v xml:space="preserve">
</v>
          </cell>
          <cell r="AU223">
            <v>2000</v>
          </cell>
          <cell r="AV223">
            <v>2000</v>
          </cell>
          <cell r="AW223">
            <v>0.28399999999999997</v>
          </cell>
          <cell r="AX223">
            <v>0.24920999999999999</v>
          </cell>
          <cell r="AY223" t="str">
            <v>USD</v>
          </cell>
          <cell r="AZ223" t="str">
            <v>תומחר על ידי אופק</v>
          </cell>
          <cell r="BA223" t="str">
            <v>ארו</v>
          </cell>
          <cell r="BD223">
            <v>0</v>
          </cell>
        </row>
        <row r="224">
          <cell r="D224">
            <v>411346444</v>
          </cell>
          <cell r="F224" t="str">
            <v>HYBRID CAPACITOR 63V 9400UF</v>
          </cell>
          <cell r="G224" t="str">
            <v>EA</v>
          </cell>
          <cell r="H224">
            <v>1</v>
          </cell>
          <cell r="I224">
            <v>2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1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1</v>
          </cell>
          <cell r="AJ224">
            <v>0</v>
          </cell>
          <cell r="AK224">
            <v>0</v>
          </cell>
          <cell r="AL224">
            <v>0</v>
          </cell>
          <cell r="AM224">
            <v>2775</v>
          </cell>
          <cell r="AN224">
            <v>298</v>
          </cell>
          <cell r="AO224" t="e">
            <v>#N/A</v>
          </cell>
          <cell r="AP224" t="str">
            <v>אלתא</v>
          </cell>
          <cell r="AQ224">
            <v>1</v>
          </cell>
          <cell r="AR224">
            <v>280</v>
          </cell>
          <cell r="AT224" t="str">
            <v xml:space="preserve">
</v>
          </cell>
          <cell r="AU224" t="e">
            <v>#N/A</v>
          </cell>
          <cell r="AV224">
            <v>400</v>
          </cell>
          <cell r="AW224">
            <v>280</v>
          </cell>
          <cell r="AX224">
            <v>298</v>
          </cell>
          <cell r="AY224" t="str">
            <v>USD</v>
          </cell>
          <cell r="AZ224" t="str">
            <v>EVANS</v>
          </cell>
          <cell r="BA224" t="str">
            <v xml:space="preserve">חיים </v>
          </cell>
          <cell r="BB224">
            <v>547709603</v>
          </cell>
          <cell r="BD224" t="str">
            <v>צריך לעדכן אותנו לגבי תאריכי אספקה</v>
          </cell>
        </row>
        <row r="225">
          <cell r="D225">
            <v>411048244</v>
          </cell>
          <cell r="F225" t="str">
            <v>HEXFET POWER MOSFET 100V  180A</v>
          </cell>
          <cell r="G225" t="str">
            <v>EA</v>
          </cell>
          <cell r="H225">
            <v>1</v>
          </cell>
          <cell r="I225">
            <v>2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1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1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2775</v>
          </cell>
          <cell r="AN225">
            <v>1.1100000000000001</v>
          </cell>
          <cell r="AO225" t="str">
            <v>INFINEON TECHNOLOGIES AG</v>
          </cell>
          <cell r="AP225" t="str">
            <v>אופק</v>
          </cell>
          <cell r="AQ225" t="str">
            <v>MICATALOG LTD</v>
          </cell>
          <cell r="AR225">
            <v>1.587</v>
          </cell>
          <cell r="AT225" t="str">
            <v xml:space="preserve">
</v>
          </cell>
          <cell r="AU225">
            <v>1000</v>
          </cell>
          <cell r="AV225">
            <v>50</v>
          </cell>
          <cell r="AW225">
            <v>1.587</v>
          </cell>
          <cell r="AX225">
            <v>1.1100000000000001</v>
          </cell>
          <cell r="AY225" t="str">
            <v>USD</v>
          </cell>
          <cell r="AZ225" t="str">
            <v>תומחר על ידי אופק</v>
          </cell>
          <cell r="BA225" t="str">
            <v>Future</v>
          </cell>
          <cell r="BD225" t="str">
            <v>TUBE</v>
          </cell>
        </row>
        <row r="226">
          <cell r="D226">
            <v>405852894</v>
          </cell>
          <cell r="E226">
            <v>405876630</v>
          </cell>
          <cell r="F226" t="str">
            <v>IC PROG.P.S SUPERVISOR&amp;SEQUENC.CONTR T&amp;R</v>
          </cell>
          <cell r="G226" t="str">
            <v>EA</v>
          </cell>
          <cell r="H226">
            <v>2</v>
          </cell>
          <cell r="I226">
            <v>4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1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1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1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1</v>
          </cell>
          <cell r="AL226">
            <v>0</v>
          </cell>
          <cell r="AM226">
            <v>7165</v>
          </cell>
          <cell r="AN226">
            <v>16.28</v>
          </cell>
          <cell r="AO226" t="str">
            <v>LATTICE SEMICONDUCTOR CORPORATION</v>
          </cell>
          <cell r="AP226" t="str">
            <v>אופק</v>
          </cell>
          <cell r="AQ226" t="str">
            <v>MICATALOG LTD</v>
          </cell>
          <cell r="AR226">
            <v>5.97</v>
          </cell>
          <cell r="AT226" t="str">
            <v xml:space="preserve">
</v>
          </cell>
          <cell r="AU226">
            <v>1250</v>
          </cell>
          <cell r="AV226">
            <v>1250</v>
          </cell>
          <cell r="AW226">
            <v>5.97</v>
          </cell>
          <cell r="AX226">
            <v>8.14</v>
          </cell>
          <cell r="AY226" t="str">
            <v>USD</v>
          </cell>
          <cell r="AZ226" t="str">
            <v>תומחר על ידי אופק</v>
          </cell>
          <cell r="BA226" t="str">
            <v>ארו</v>
          </cell>
          <cell r="BD226">
            <v>0</v>
          </cell>
        </row>
        <row r="227">
          <cell r="D227">
            <v>409177480</v>
          </cell>
          <cell r="F227" t="str">
            <v>CIRCULATOR SMT 3.100-3.500GHZ</v>
          </cell>
          <cell r="G227" t="str">
            <v>EA</v>
          </cell>
          <cell r="H227">
            <v>1</v>
          </cell>
          <cell r="I227">
            <v>2</v>
          </cell>
          <cell r="J227">
            <v>0</v>
          </cell>
          <cell r="K227">
            <v>0</v>
          </cell>
          <cell r="L227">
            <v>0</v>
          </cell>
          <cell r="M227">
            <v>1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1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2775</v>
          </cell>
          <cell r="AN227">
            <v>22.5</v>
          </cell>
          <cell r="AO227" t="e">
            <v>#N/A</v>
          </cell>
          <cell r="AP227" t="str">
            <v>אלתא</v>
          </cell>
          <cell r="AQ227" t="str">
            <v>ASCOTECH ELECTRONICS LTD</v>
          </cell>
          <cell r="AR227">
            <v>22.5</v>
          </cell>
          <cell r="AT227" t="str">
            <v xml:space="preserve">
</v>
          </cell>
          <cell r="AU227" t="e">
            <v>#N/A</v>
          </cell>
          <cell r="AV227">
            <v>2775</v>
          </cell>
          <cell r="AW227">
            <v>22.5</v>
          </cell>
          <cell r="AX227">
            <v>22.5</v>
          </cell>
          <cell r="AY227" t="str">
            <v>USD</v>
          </cell>
          <cell r="AZ227" t="str">
            <v xml:space="preserve"> אסקוטק אלקטרוניקה בע"מ</v>
          </cell>
          <cell r="BA227" t="str">
            <v>רינה</v>
          </cell>
          <cell r="BC227" t="str">
            <v>rinah@asco.co.il</v>
          </cell>
        </row>
        <row r="228">
          <cell r="D228">
            <v>409187951</v>
          </cell>
          <cell r="F228" t="str">
            <v>CIRCULATOR SMT 3.100-3.500GHZ</v>
          </cell>
          <cell r="G228" t="str">
            <v>EA</v>
          </cell>
          <cell r="H228">
            <v>1</v>
          </cell>
          <cell r="I228">
            <v>2</v>
          </cell>
          <cell r="J228">
            <v>0</v>
          </cell>
          <cell r="K228">
            <v>0</v>
          </cell>
          <cell r="L228">
            <v>0</v>
          </cell>
          <cell r="M228">
            <v>1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1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2775</v>
          </cell>
          <cell r="AN228">
            <v>22.5</v>
          </cell>
          <cell r="AO228" t="e">
            <v>#N/A</v>
          </cell>
          <cell r="AP228" t="str">
            <v>אלתא</v>
          </cell>
          <cell r="AQ228" t="str">
            <v>ASCOTECH ELECTRONICS LTD</v>
          </cell>
          <cell r="AR228">
            <v>22.5</v>
          </cell>
          <cell r="AT228" t="str">
            <v xml:space="preserve">
</v>
          </cell>
          <cell r="AU228" t="e">
            <v>#N/A</v>
          </cell>
          <cell r="AV228">
            <v>2775</v>
          </cell>
          <cell r="AW228">
            <v>22.5</v>
          </cell>
          <cell r="AX228">
            <v>22.5</v>
          </cell>
          <cell r="AY228" t="str">
            <v>USD</v>
          </cell>
          <cell r="AZ228" t="str">
            <v xml:space="preserve"> אסקוטק אלקטרוניקה בע"מ</v>
          </cell>
          <cell r="BA228" t="str">
            <v>רינה</v>
          </cell>
          <cell r="BC228" t="str">
            <v>rinah@asco.co.il</v>
          </cell>
        </row>
        <row r="229">
          <cell r="D229">
            <v>412830310</v>
          </cell>
          <cell r="F229" t="str">
            <v>CIRCULATOR SMT</v>
          </cell>
          <cell r="G229" t="str">
            <v>EA</v>
          </cell>
          <cell r="H229">
            <v>1</v>
          </cell>
          <cell r="I229">
            <v>2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1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1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4390</v>
          </cell>
          <cell r="AN229">
            <v>16.95</v>
          </cell>
          <cell r="AO229" t="e">
            <v>#N/A</v>
          </cell>
          <cell r="AP229" t="str">
            <v>אלתא</v>
          </cell>
          <cell r="AQ229" t="str">
            <v>ASCOTECH ELECTRONICS LTD</v>
          </cell>
          <cell r="AR229">
            <v>16.850000000000001</v>
          </cell>
          <cell r="AT229" t="str">
            <v xml:space="preserve">
</v>
          </cell>
          <cell r="AU229" t="e">
            <v>#N/A</v>
          </cell>
          <cell r="AV229">
            <v>4390</v>
          </cell>
          <cell r="AW229">
            <v>16.850000000000001</v>
          </cell>
          <cell r="AX229">
            <v>16.95</v>
          </cell>
          <cell r="AY229" t="str">
            <v>USD</v>
          </cell>
          <cell r="AZ229" t="str">
            <v xml:space="preserve"> אסקוטק אלקטרוניקה בע"מ</v>
          </cell>
          <cell r="BA229" t="str">
            <v>רינה</v>
          </cell>
          <cell r="BC229" t="str">
            <v>rinah@asco.co.il</v>
          </cell>
        </row>
        <row r="230">
          <cell r="D230">
            <v>412830309</v>
          </cell>
          <cell r="F230" t="str">
            <v>CIRCULATOR SMT</v>
          </cell>
          <cell r="G230" t="str">
            <v>EA</v>
          </cell>
          <cell r="H230">
            <v>1</v>
          </cell>
          <cell r="I230">
            <v>2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1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1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4390</v>
          </cell>
          <cell r="AN230">
            <v>16.850000000000001</v>
          </cell>
          <cell r="AO230" t="e">
            <v>#N/A</v>
          </cell>
          <cell r="AP230" t="str">
            <v>אלתא</v>
          </cell>
          <cell r="AQ230" t="str">
            <v>ASCOTECH ELECTRONICS LTD</v>
          </cell>
          <cell r="AR230">
            <v>16.850000000000001</v>
          </cell>
          <cell r="AT230" t="str">
            <v xml:space="preserve">
</v>
          </cell>
          <cell r="AU230" t="e">
            <v>#N/A</v>
          </cell>
          <cell r="AV230">
            <v>4390</v>
          </cell>
          <cell r="AW230">
            <v>16.850000000000001</v>
          </cell>
          <cell r="AX230">
            <v>16.850000000000001</v>
          </cell>
          <cell r="AY230" t="str">
            <v>USD</v>
          </cell>
          <cell r="AZ230" t="str">
            <v xml:space="preserve"> אסקוטק אלקטרוניקה בע"מ</v>
          </cell>
          <cell r="BA230" t="str">
            <v>רינה</v>
          </cell>
          <cell r="BC230" t="str">
            <v>rinah@asco.co.il</v>
          </cell>
        </row>
        <row r="231">
          <cell r="D231">
            <v>401225496</v>
          </cell>
          <cell r="E231" t="str">
            <v>FFF004105</v>
          </cell>
          <cell r="F231" t="str">
            <v>CHIP RESIS 13.3KOHM 1^ .1W T&amp;R</v>
          </cell>
          <cell r="G231" t="str">
            <v>EA</v>
          </cell>
          <cell r="H231">
            <v>2</v>
          </cell>
          <cell r="I231">
            <v>2</v>
          </cell>
          <cell r="J231">
            <v>0</v>
          </cell>
          <cell r="K231">
            <v>0</v>
          </cell>
          <cell r="L231">
            <v>0</v>
          </cell>
          <cell r="M231">
            <v>1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1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2775</v>
          </cell>
          <cell r="AN231">
            <v>2.2229999999999997E-3</v>
          </cell>
          <cell r="AO231" t="str">
            <v>VISHAY RESISTIVE SYSTEMS</v>
          </cell>
          <cell r="AP231" t="str">
            <v>אופק</v>
          </cell>
          <cell r="AQ231" t="str">
            <v>ECOMAL ISRAEL LTD</v>
          </cell>
          <cell r="AR231">
            <v>3.0000000000000001E-3</v>
          </cell>
          <cell r="AT231" t="str">
            <v xml:space="preserve">
</v>
          </cell>
          <cell r="AU231">
            <v>5000</v>
          </cell>
          <cell r="AV231">
            <v>5000</v>
          </cell>
          <cell r="AW231">
            <v>3.0000000000000001E-3</v>
          </cell>
          <cell r="AX231">
            <v>2.2229999999999997E-3</v>
          </cell>
          <cell r="AY231" t="str">
            <v>USD</v>
          </cell>
          <cell r="AZ231" t="str">
            <v>תומחר על ידי אופק</v>
          </cell>
          <cell r="BA231" t="str">
            <v>ארו</v>
          </cell>
          <cell r="BD231" t="str">
            <v>3-4 wks. stock for today</v>
          </cell>
        </row>
        <row r="232">
          <cell r="D232">
            <v>732684436</v>
          </cell>
          <cell r="E232" t="str">
            <v>FFF016923</v>
          </cell>
          <cell r="F232" t="str">
            <v>SEALING LOCKING ANAEROBIC COMPOUND, SING</v>
          </cell>
          <cell r="G232" t="str">
            <v>AR</v>
          </cell>
          <cell r="H232">
            <v>2</v>
          </cell>
          <cell r="I232">
            <v>0.2</v>
          </cell>
          <cell r="J232">
            <v>0</v>
          </cell>
          <cell r="K232">
            <v>0.05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0.05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0.05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0.05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0.1</v>
          </cell>
          <cell r="AM232">
            <v>358.25</v>
          </cell>
          <cell r="AN232">
            <v>1.5600000000000001E-2</v>
          </cell>
          <cell r="AO232" t="str">
            <v>HENKEL CORPORATION AEROSPACE GROUP</v>
          </cell>
          <cell r="AP232" t="str">
            <v>אופק</v>
          </cell>
          <cell r="AQ232" t="str">
            <v>BOEING</v>
          </cell>
          <cell r="AR232">
            <v>0.156</v>
          </cell>
          <cell r="AT232" t="str">
            <v xml:space="preserve">
</v>
          </cell>
          <cell r="AU232">
            <v>0</v>
          </cell>
          <cell r="AV232">
            <v>0</v>
          </cell>
          <cell r="AW232">
            <v>0.156</v>
          </cell>
          <cell r="AX232">
            <v>0.156</v>
          </cell>
          <cell r="AY232" t="str">
            <v>USD</v>
          </cell>
          <cell r="AZ232" t="str">
            <v>תומחר על ידי אופק</v>
          </cell>
          <cell r="BA232" t="str">
            <v>רוטל</v>
          </cell>
          <cell r="BD232" t="str">
            <v>הזמנה אחרונה 9/25 כמות של 2 יח'</v>
          </cell>
        </row>
        <row r="233">
          <cell r="D233">
            <v>401020862</v>
          </cell>
          <cell r="E233" t="str">
            <v>FFF016910</v>
          </cell>
          <cell r="F233" t="str">
            <v>THREADLOCKING COMPOUND,DIMETHACRYLATE ES</v>
          </cell>
          <cell r="G233" t="str">
            <v>AR</v>
          </cell>
          <cell r="H233">
            <v>2</v>
          </cell>
          <cell r="I233">
            <v>0.2</v>
          </cell>
          <cell r="J233">
            <v>0</v>
          </cell>
          <cell r="K233">
            <v>0.05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0.05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0.05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0.05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0.1</v>
          </cell>
          <cell r="AM233">
            <v>358.25</v>
          </cell>
          <cell r="AN233">
            <v>1.7000000000000001E-2</v>
          </cell>
          <cell r="AO233" t="str">
            <v>HENKEL CORPORATION</v>
          </cell>
          <cell r="AP233" t="str">
            <v>אופק</v>
          </cell>
          <cell r="AQ233" t="str">
            <v>BOEING</v>
          </cell>
          <cell r="AR233">
            <v>0.17616000000000001</v>
          </cell>
          <cell r="AT233" t="str">
            <v xml:space="preserve">
</v>
          </cell>
          <cell r="AU233">
            <v>0</v>
          </cell>
          <cell r="AV233">
            <v>0</v>
          </cell>
          <cell r="AW233">
            <v>0.1762</v>
          </cell>
          <cell r="AX233">
            <v>0.17</v>
          </cell>
          <cell r="AY233" t="str">
            <v>USD</v>
          </cell>
          <cell r="AZ233" t="str">
            <v>תומחר על ידי אופק</v>
          </cell>
          <cell r="BA233" t="str">
            <v>רוטל</v>
          </cell>
          <cell r="BD233" t="str">
            <v>הזמנה אחרונה 9/25 כמות של 2 יח'</v>
          </cell>
        </row>
        <row r="234">
          <cell r="D234">
            <v>409604723</v>
          </cell>
          <cell r="F234" t="str">
            <v>CHIP COIL 15NH +/-2% T&amp;R</v>
          </cell>
          <cell r="G234" t="str">
            <v>EA</v>
          </cell>
          <cell r="H234">
            <v>2</v>
          </cell>
          <cell r="I234">
            <v>4</v>
          </cell>
          <cell r="J234">
            <v>0</v>
          </cell>
          <cell r="K234">
            <v>0</v>
          </cell>
          <cell r="L234">
            <v>0</v>
          </cell>
          <cell r="M234">
            <v>2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2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5550</v>
          </cell>
          <cell r="AN234">
            <v>0.1</v>
          </cell>
          <cell r="AO234" t="str">
            <v>MURATA MANUFACTURING CO. LTD</v>
          </cell>
          <cell r="AP234" t="str">
            <v>אופק</v>
          </cell>
          <cell r="AQ234" t="str">
            <v>STG INTERNATIONAL LTD</v>
          </cell>
          <cell r="AR234">
            <v>2.81E-2</v>
          </cell>
          <cell r="AT234" t="str">
            <v xml:space="preserve">
</v>
          </cell>
          <cell r="AU234">
            <v>10000</v>
          </cell>
          <cell r="AV234">
            <v>10000</v>
          </cell>
          <cell r="AW234">
            <v>2.81E-2</v>
          </cell>
          <cell r="AX234">
            <v>0.05</v>
          </cell>
          <cell r="AY234" t="str">
            <v>USD</v>
          </cell>
          <cell r="AZ234" t="str">
            <v>תומחר על ידי אופק</v>
          </cell>
          <cell r="BA234" t="str">
            <v>סידב</v>
          </cell>
          <cell r="BD234">
            <v>0</v>
          </cell>
        </row>
        <row r="235">
          <cell r="D235">
            <v>401359639</v>
          </cell>
          <cell r="E235">
            <v>400510825</v>
          </cell>
          <cell r="F235" t="str">
            <v>IC VOL. REG. ADJ. T&amp;R</v>
          </cell>
          <cell r="G235" t="str">
            <v>EA</v>
          </cell>
          <cell r="H235">
            <v>2</v>
          </cell>
          <cell r="I235">
            <v>16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4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4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4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4</v>
          </cell>
          <cell r="AL235">
            <v>0</v>
          </cell>
          <cell r="AM235">
            <v>28660</v>
          </cell>
          <cell r="AN235">
            <v>28.84</v>
          </cell>
          <cell r="AO235" t="str">
            <v>ANALOG DEVICES</v>
          </cell>
          <cell r="AP235" t="str">
            <v>אופק</v>
          </cell>
          <cell r="AQ235" t="str">
            <v>MICATALOG LTD</v>
          </cell>
          <cell r="AR235">
            <v>6.05</v>
          </cell>
          <cell r="AT235" t="str">
            <v xml:space="preserve">
</v>
          </cell>
          <cell r="AU235" t="e">
            <v>#N/A</v>
          </cell>
          <cell r="AV235">
            <v>50</v>
          </cell>
          <cell r="AW235">
            <v>6.05</v>
          </cell>
          <cell r="AX235">
            <v>3.605</v>
          </cell>
          <cell r="AY235" t="str">
            <v>USD</v>
          </cell>
          <cell r="AZ235" t="str">
            <v>אלבטק</v>
          </cell>
          <cell r="BA235" t="str">
            <v>אלבטק</v>
          </cell>
        </row>
        <row r="236">
          <cell r="D236">
            <v>400319690</v>
          </cell>
          <cell r="F236" t="str">
            <v>IC HIGH VOLTAGE SURGE STOPPER</v>
          </cell>
          <cell r="G236" t="str">
            <v>EA</v>
          </cell>
          <cell r="H236">
            <v>1</v>
          </cell>
          <cell r="I236">
            <v>2</v>
          </cell>
          <cell r="J236">
            <v>0</v>
          </cell>
          <cell r="K236">
            <v>0</v>
          </cell>
          <cell r="L236">
            <v>0</v>
          </cell>
          <cell r="M236">
            <v>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1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2775</v>
          </cell>
          <cell r="AN236">
            <v>6.2110000000000003</v>
          </cell>
          <cell r="AO236" t="str">
            <v>ANALOG DEVICES</v>
          </cell>
          <cell r="AP236" t="str">
            <v>אופק</v>
          </cell>
          <cell r="AQ236">
            <v>1</v>
          </cell>
          <cell r="AR236">
            <v>5.86</v>
          </cell>
          <cell r="AT236" t="str">
            <v xml:space="preserve">
</v>
          </cell>
          <cell r="AU236">
            <v>50</v>
          </cell>
          <cell r="AV236">
            <v>50</v>
          </cell>
          <cell r="AW236">
            <v>5.86</v>
          </cell>
          <cell r="AX236">
            <v>6.2110000000000003</v>
          </cell>
          <cell r="AY236" t="str">
            <v>USD</v>
          </cell>
          <cell r="AZ236" t="str">
            <v>תומחר על ידי אופק</v>
          </cell>
          <cell r="BA236" t="str">
            <v>אלבטק</v>
          </cell>
          <cell r="BD236">
            <v>0</v>
          </cell>
        </row>
        <row r="237">
          <cell r="D237">
            <v>401681605</v>
          </cell>
          <cell r="F237" t="str">
            <v>IC N-CHANNEL MOSFET DRIVER T&amp;R</v>
          </cell>
          <cell r="G237" t="str">
            <v>EA</v>
          </cell>
          <cell r="H237">
            <v>2</v>
          </cell>
          <cell r="I237">
            <v>8</v>
          </cell>
          <cell r="J237">
            <v>0</v>
          </cell>
          <cell r="K237">
            <v>0</v>
          </cell>
          <cell r="L237">
            <v>0</v>
          </cell>
          <cell r="M237">
            <v>4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4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11100</v>
          </cell>
          <cell r="AN237">
            <v>7.3760000000000003</v>
          </cell>
          <cell r="AO237" t="str">
            <v>ANALOG DEVICES</v>
          </cell>
          <cell r="AP237" t="str">
            <v>אופק</v>
          </cell>
          <cell r="AQ237">
            <v>1</v>
          </cell>
          <cell r="AR237">
            <v>1.74</v>
          </cell>
          <cell r="AT237" t="str">
            <v xml:space="preserve">
</v>
          </cell>
          <cell r="AU237">
            <v>2500</v>
          </cell>
          <cell r="AV237">
            <v>2500</v>
          </cell>
          <cell r="AW237">
            <v>1.74</v>
          </cell>
          <cell r="AX237">
            <v>1.8440000000000001</v>
          </cell>
          <cell r="AY237" t="str">
            <v>USD</v>
          </cell>
          <cell r="AZ237" t="str">
            <v>תומחר על ידי אופק</v>
          </cell>
          <cell r="BA237" t="str">
            <v>אלבטק</v>
          </cell>
          <cell r="BD237">
            <v>0</v>
          </cell>
        </row>
        <row r="238">
          <cell r="D238">
            <v>405670656</v>
          </cell>
          <cell r="F238" t="str">
            <v>CONNECTOR,ELECTRIC,RECTANGULAR,QTH,GROUN</v>
          </cell>
          <cell r="G238" t="str">
            <v>EA</v>
          </cell>
          <cell r="H238">
            <v>2</v>
          </cell>
          <cell r="I238">
            <v>4</v>
          </cell>
          <cell r="J238">
            <v>0</v>
          </cell>
          <cell r="K238">
            <v>0</v>
          </cell>
          <cell r="L238">
            <v>0</v>
          </cell>
          <cell r="M238">
            <v>2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2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5550</v>
          </cell>
          <cell r="AN238">
            <v>7.22</v>
          </cell>
          <cell r="AO238" t="str">
            <v>HARWIN PIC</v>
          </cell>
          <cell r="AP238" t="str">
            <v>אופק</v>
          </cell>
          <cell r="AQ238" t="str">
            <v>Shirtech LTD</v>
          </cell>
          <cell r="AR238">
            <v>3.1152000000000002</v>
          </cell>
          <cell r="AT238" t="str">
            <v xml:space="preserve">
</v>
          </cell>
          <cell r="AU238">
            <v>0</v>
          </cell>
          <cell r="AV238">
            <v>0</v>
          </cell>
          <cell r="AW238">
            <v>3.1152000000000002</v>
          </cell>
          <cell r="AX238">
            <v>3.61</v>
          </cell>
          <cell r="AY238" t="str">
            <v>USD</v>
          </cell>
          <cell r="AZ238" t="str">
            <v>תומחר על ידי אופק</v>
          </cell>
          <cell r="BA238" t="str">
            <v>שירטק</v>
          </cell>
          <cell r="BD238" t="str">
            <v>מחיר בהצעת מחיר 2.67 GBP</v>
          </cell>
        </row>
        <row r="239">
          <cell r="D239">
            <v>413047332</v>
          </cell>
          <cell r="E239">
            <v>413064801</v>
          </cell>
          <cell r="F239" t="str">
            <v>PIN DIODE HIGH POWER 50MHZ-4GHZ T&amp;R</v>
          </cell>
          <cell r="G239" t="str">
            <v>EA</v>
          </cell>
          <cell r="H239">
            <v>1</v>
          </cell>
          <cell r="I239">
            <v>8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4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4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17560</v>
          </cell>
          <cell r="AN239">
            <v>24</v>
          </cell>
          <cell r="AO239" t="e">
            <v>#N/A</v>
          </cell>
          <cell r="AP239" t="str">
            <v>אלתא</v>
          </cell>
          <cell r="AQ239" t="str">
            <v>Shirtech LTD</v>
          </cell>
          <cell r="AR239">
            <v>6</v>
          </cell>
          <cell r="AT239" t="str">
            <v xml:space="preserve">
</v>
          </cell>
          <cell r="AU239" t="e">
            <v>#N/A</v>
          </cell>
          <cell r="AV239">
            <v>18000</v>
          </cell>
          <cell r="AW239">
            <v>6</v>
          </cell>
          <cell r="AX239">
            <v>6</v>
          </cell>
          <cell r="AY239" t="str">
            <v>USD</v>
          </cell>
          <cell r="AZ239" t="str">
            <v>שירטק</v>
          </cell>
          <cell r="BA239" t="str">
            <v>ליזה כהן</v>
          </cell>
          <cell r="BB239" t="str">
            <v>03-9516495</v>
          </cell>
          <cell r="BC239" t="str">
            <v>Liza@Shirtech.co.il</v>
          </cell>
        </row>
        <row r="240">
          <cell r="D240">
            <v>400339840</v>
          </cell>
          <cell r="E240">
            <v>400649782</v>
          </cell>
          <cell r="F240" t="str">
            <v>IC VOLTAGE REGULATOR ADJ. 4A T&amp;R</v>
          </cell>
          <cell r="G240" t="str">
            <v>EA</v>
          </cell>
          <cell r="H240">
            <v>1</v>
          </cell>
          <cell r="I240">
            <v>12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3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3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3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3</v>
          </cell>
          <cell r="AL240">
            <v>0</v>
          </cell>
          <cell r="AM240">
            <v>21495</v>
          </cell>
          <cell r="AN240">
            <v>25.68</v>
          </cell>
          <cell r="AO240" t="e">
            <v>#N/A</v>
          </cell>
          <cell r="AP240" t="str">
            <v>אלתא</v>
          </cell>
          <cell r="AQ240" t="str">
            <v>ARROW RAPAC LTD</v>
          </cell>
          <cell r="AR240">
            <v>2.17</v>
          </cell>
          <cell r="AT240" t="str">
            <v xml:space="preserve">
</v>
          </cell>
          <cell r="AU240" t="e">
            <v>#N/A</v>
          </cell>
          <cell r="AV240">
            <v>22500</v>
          </cell>
          <cell r="AW240">
            <v>2.17</v>
          </cell>
          <cell r="AX240">
            <v>4.28</v>
          </cell>
          <cell r="AY240" t="str">
            <v>USD</v>
          </cell>
          <cell r="AZ240" t="str">
            <v>ARROW</v>
          </cell>
          <cell r="BA240" t="str">
            <v>אלון שגיב</v>
          </cell>
          <cell r="BB240">
            <v>537704117</v>
          </cell>
          <cell r="BC240" t="str">
            <v>alon.sagiv@arrow.com</v>
          </cell>
          <cell r="BD240" t="str">
            <v xml:space="preserve">לא להניע רכש עד קבלת אישור מניב. </v>
          </cell>
        </row>
        <row r="241">
          <cell r="D241">
            <v>412449735</v>
          </cell>
          <cell r="F241" t="str">
            <v>CHIP PIN DIODE</v>
          </cell>
          <cell r="G241" t="str">
            <v>EA</v>
          </cell>
          <cell r="H241">
            <v>1</v>
          </cell>
          <cell r="I241">
            <v>8</v>
          </cell>
          <cell r="J241">
            <v>0</v>
          </cell>
          <cell r="K241">
            <v>0</v>
          </cell>
          <cell r="L241">
            <v>0</v>
          </cell>
          <cell r="M241">
            <v>4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4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11100</v>
          </cell>
          <cell r="AN241">
            <v>34</v>
          </cell>
          <cell r="AO241" t="e">
            <v>#N/A</v>
          </cell>
          <cell r="AP241" t="str">
            <v>אלתא</v>
          </cell>
          <cell r="AQ241">
            <v>1</v>
          </cell>
          <cell r="AR241">
            <v>6</v>
          </cell>
          <cell r="AT241" t="str">
            <v xml:space="preserve">
</v>
          </cell>
          <cell r="AU241" t="e">
            <v>#N/A</v>
          </cell>
          <cell r="AV241">
            <v>12000</v>
          </cell>
          <cell r="AW241">
            <v>6</v>
          </cell>
          <cell r="AX241">
            <v>8.5</v>
          </cell>
          <cell r="AY241" t="str">
            <v>USD</v>
          </cell>
          <cell r="AZ241" t="str">
            <v>MTI</v>
          </cell>
          <cell r="BA241" t="str">
            <v>אושרת שלום</v>
          </cell>
          <cell r="BB241">
            <v>507454147</v>
          </cell>
          <cell r="BC241" t="str">
            <v>OshratS@mtisummit.co.il</v>
          </cell>
          <cell r="BD241" t="str">
            <v>נשלחה בקשה להצעת מחיר</v>
          </cell>
        </row>
        <row r="242">
          <cell r="D242">
            <v>400149265</v>
          </cell>
          <cell r="F242" t="str">
            <v>EMI FERRITE CHIP BEAD</v>
          </cell>
          <cell r="G242" t="str">
            <v>EA</v>
          </cell>
          <cell r="H242">
            <v>2</v>
          </cell>
          <cell r="I242">
            <v>96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24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24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24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24</v>
          </cell>
          <cell r="AL242">
            <v>0</v>
          </cell>
          <cell r="AM242">
            <v>171960</v>
          </cell>
          <cell r="AN242">
            <v>1.0726559999999998</v>
          </cell>
          <cell r="AO242" t="str">
            <v>LAIRD TECHNOLOGIES SRO</v>
          </cell>
          <cell r="AP242" t="str">
            <v>אופק</v>
          </cell>
          <cell r="AQ242" t="str">
            <v>LEVANON &amp; COGEN LTD</v>
          </cell>
          <cell r="AR242">
            <v>0.02</v>
          </cell>
          <cell r="AT242" t="str">
            <v xml:space="preserve">
</v>
          </cell>
          <cell r="AU242">
            <v>20000</v>
          </cell>
          <cell r="AV242">
            <v>20000</v>
          </cell>
          <cell r="AW242">
            <v>0.02</v>
          </cell>
          <cell r="AX242">
            <v>2.2346999999999999E-2</v>
          </cell>
          <cell r="AY242" t="str">
            <v>USD</v>
          </cell>
          <cell r="AZ242" t="str">
            <v>תומחר על ידי אופק</v>
          </cell>
          <cell r="BA242" t="str">
            <v>ארו</v>
          </cell>
          <cell r="BD242">
            <v>0</v>
          </cell>
        </row>
        <row r="243">
          <cell r="D243">
            <v>401348252</v>
          </cell>
          <cell r="E243">
            <v>401349439</v>
          </cell>
          <cell r="F243" t="str">
            <v>IC DUAL MOSFET DRIVER</v>
          </cell>
          <cell r="G243" t="str">
            <v>EA</v>
          </cell>
          <cell r="H243">
            <v>2</v>
          </cell>
          <cell r="I243">
            <v>4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1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1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1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1</v>
          </cell>
          <cell r="AL243">
            <v>0</v>
          </cell>
          <cell r="AM243">
            <v>7165</v>
          </cell>
          <cell r="AN243">
            <v>0.46800000000000003</v>
          </cell>
          <cell r="AO243" t="str">
            <v>MICROCHIP TECHNOLOGY INC</v>
          </cell>
          <cell r="AP243" t="str">
            <v>אופק</v>
          </cell>
          <cell r="AQ243" t="str">
            <v>EBV ELEKTRONIK ISRAEL 2008 LTD</v>
          </cell>
          <cell r="AR243">
            <v>0.62</v>
          </cell>
          <cell r="AT243" t="str">
            <v xml:space="preserve">
</v>
          </cell>
          <cell r="AU243">
            <v>2500</v>
          </cell>
          <cell r="AV243">
            <v>2500</v>
          </cell>
          <cell r="AW243">
            <v>0.62</v>
          </cell>
          <cell r="AX243">
            <v>0.23400000000000001</v>
          </cell>
          <cell r="AY243" t="str">
            <v>USD</v>
          </cell>
          <cell r="AZ243" t="str">
            <v>תומחר על ידי אופק</v>
          </cell>
          <cell r="BA243" t="str">
            <v>ארו</v>
          </cell>
          <cell r="BD243">
            <v>0</v>
          </cell>
        </row>
        <row r="244">
          <cell r="D244">
            <v>400068581</v>
          </cell>
          <cell r="E244">
            <v>400856511</v>
          </cell>
          <cell r="F244" t="str">
            <v>DIODE  ZENER 5.1V T&amp;R LEAD-FREE</v>
          </cell>
          <cell r="G244" t="str">
            <v>EA</v>
          </cell>
          <cell r="H244">
            <v>2</v>
          </cell>
          <cell r="I244">
            <v>12</v>
          </cell>
          <cell r="J244">
            <v>0</v>
          </cell>
          <cell r="K244">
            <v>0</v>
          </cell>
          <cell r="L244">
            <v>0</v>
          </cell>
          <cell r="M244">
            <v>2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2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2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2</v>
          </cell>
          <cell r="AC244">
            <v>0</v>
          </cell>
          <cell r="AD244">
            <v>0</v>
          </cell>
          <cell r="AE244">
            <v>0</v>
          </cell>
          <cell r="AF244">
            <v>2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2</v>
          </cell>
          <cell r="AL244">
            <v>0</v>
          </cell>
          <cell r="AM244">
            <v>19880</v>
          </cell>
          <cell r="AN244">
            <v>7.0901999999999993E-2</v>
          </cell>
          <cell r="AO244" t="str">
            <v>ON SEMICONDUCTOR</v>
          </cell>
          <cell r="AP244" t="str">
            <v>אופק</v>
          </cell>
          <cell r="AQ244" t="str">
            <v>ARROW RAPAC LTD</v>
          </cell>
          <cell r="AR244">
            <v>1.29E-2</v>
          </cell>
          <cell r="AT244" t="str">
            <v xml:space="preserve">
</v>
          </cell>
          <cell r="AU244">
            <v>3000</v>
          </cell>
          <cell r="AV244">
            <v>3000</v>
          </cell>
          <cell r="AW244">
            <v>1.29E-2</v>
          </cell>
          <cell r="AX244">
            <v>1.1816999999999999E-2</v>
          </cell>
          <cell r="AY244" t="str">
            <v>USD</v>
          </cell>
          <cell r="AZ244" t="str">
            <v>תומחר על ידי אופק</v>
          </cell>
          <cell r="BA244" t="str">
            <v>ארו</v>
          </cell>
          <cell r="BD244">
            <v>0</v>
          </cell>
        </row>
        <row r="245">
          <cell r="D245">
            <v>512306754</v>
          </cell>
          <cell r="F245" t="str">
            <v>SCREW,CAP HEAD,HEX SOCKET RECESS,FULL SH</v>
          </cell>
          <cell r="G245" t="str">
            <v>EA</v>
          </cell>
          <cell r="H245">
            <v>2</v>
          </cell>
          <cell r="I245">
            <v>8</v>
          </cell>
          <cell r="J245">
            <v>0</v>
          </cell>
          <cell r="K245">
            <v>2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2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2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2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4</v>
          </cell>
          <cell r="AM245">
            <v>14330</v>
          </cell>
          <cell r="AN245">
            <v>1.04</v>
          </cell>
          <cell r="AO245" t="str">
            <v>NAS/NASM NATIONAL AEROSPACE STD</v>
          </cell>
          <cell r="AP245" t="str">
            <v>אופק</v>
          </cell>
          <cell r="AQ245">
            <v>1</v>
          </cell>
          <cell r="AR245">
            <v>7.4999999999999997E-2</v>
          </cell>
          <cell r="AT245" t="str">
            <v xml:space="preserve">
</v>
          </cell>
          <cell r="AU245">
            <v>0</v>
          </cell>
          <cell r="AV245">
            <v>0</v>
          </cell>
          <cell r="AW245">
            <v>7.4999999999999997E-2</v>
          </cell>
          <cell r="AX245">
            <v>0.26</v>
          </cell>
          <cell r="AY245" t="str">
            <v>USD</v>
          </cell>
          <cell r="AZ245" t="str">
            <v>תומחר על ידי אופק</v>
          </cell>
          <cell r="BA245" t="str">
            <v>PROJECT35</v>
          </cell>
          <cell r="BD245" t="str">
            <v>שיברוג מחיר בשקל - 0.2ש"ח</v>
          </cell>
        </row>
        <row r="246">
          <cell r="D246">
            <v>512306770</v>
          </cell>
          <cell r="E246">
            <v>413820561</v>
          </cell>
          <cell r="F246" t="str">
            <v>SCREW,CAP HEAD,HEX SOCKET RECESS,FULL SH</v>
          </cell>
          <cell r="G246" t="str">
            <v>EA</v>
          </cell>
          <cell r="H246">
            <v>2</v>
          </cell>
          <cell r="I246">
            <v>20</v>
          </cell>
          <cell r="J246">
            <v>0</v>
          </cell>
          <cell r="K246">
            <v>0</v>
          </cell>
          <cell r="L246">
            <v>5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5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5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5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35825</v>
          </cell>
          <cell r="AN246">
            <v>1.7000000000000002</v>
          </cell>
          <cell r="AO246" t="str">
            <v>NAS/NASM NATIONAL AEROSPACE STD</v>
          </cell>
          <cell r="AP246" t="str">
            <v>אופק</v>
          </cell>
          <cell r="AQ246">
            <v>1</v>
          </cell>
          <cell r="AR246">
            <v>0.11</v>
          </cell>
          <cell r="AT246" t="str">
            <v xml:space="preserve">
</v>
          </cell>
          <cell r="AU246">
            <v>0</v>
          </cell>
          <cell r="AV246">
            <v>0</v>
          </cell>
          <cell r="AW246">
            <v>0.11</v>
          </cell>
          <cell r="AX246">
            <v>0.17</v>
          </cell>
          <cell r="AY246" t="str">
            <v>USD</v>
          </cell>
          <cell r="AZ246" t="str">
            <v>תומחר על ידי אופק</v>
          </cell>
          <cell r="BA246" t="str">
            <v>PROJECT35</v>
          </cell>
          <cell r="BD246" t="str">
            <v>שיברוג מחיר בשקל - 0.2ש"ח</v>
          </cell>
        </row>
        <row r="247">
          <cell r="D247">
            <v>514301548</v>
          </cell>
          <cell r="F247" t="str">
            <v>WASHER,LOCK,HELICAL SPRING,REGULAR (MEDI</v>
          </cell>
          <cell r="G247" t="str">
            <v>EA</v>
          </cell>
          <cell r="H247">
            <v>2</v>
          </cell>
          <cell r="I247">
            <v>238</v>
          </cell>
          <cell r="J247">
            <v>0</v>
          </cell>
          <cell r="K247">
            <v>50</v>
          </cell>
          <cell r="L247">
            <v>17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50</v>
          </cell>
          <cell r="U247">
            <v>2</v>
          </cell>
          <cell r="V247">
            <v>0</v>
          </cell>
          <cell r="W247">
            <v>0</v>
          </cell>
          <cell r="X247">
            <v>0</v>
          </cell>
          <cell r="Y247">
            <v>50</v>
          </cell>
          <cell r="Z247">
            <v>2</v>
          </cell>
          <cell r="AA247">
            <v>0</v>
          </cell>
          <cell r="AB247">
            <v>0</v>
          </cell>
          <cell r="AC247">
            <v>0</v>
          </cell>
          <cell r="AD247">
            <v>50</v>
          </cell>
          <cell r="AE247">
            <v>17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100</v>
          </cell>
          <cell r="AM247">
            <v>414205</v>
          </cell>
          <cell r="AN247">
            <v>1.16025</v>
          </cell>
          <cell r="AO247" t="str">
            <v>NAS/NASM NATIONAL AEROSPACE STD</v>
          </cell>
          <cell r="AP247" t="str">
            <v>אופק</v>
          </cell>
          <cell r="AQ247">
            <v>1</v>
          </cell>
          <cell r="AR247">
            <v>6.7499999999999999E-3</v>
          </cell>
          <cell r="AT247" t="str">
            <v xml:space="preserve">
</v>
          </cell>
          <cell r="AU247">
            <v>0</v>
          </cell>
          <cell r="AV247">
            <v>0</v>
          </cell>
          <cell r="AW247">
            <v>6.7499999999999999E-3</v>
          </cell>
          <cell r="AX247">
            <v>9.75E-3</v>
          </cell>
          <cell r="AY247" t="str">
            <v>USD</v>
          </cell>
          <cell r="AZ247" t="str">
            <v>תומחר על ידי אופק</v>
          </cell>
          <cell r="BA247" t="str">
            <v>שיברוג</v>
          </cell>
          <cell r="BD247">
            <v>0</v>
          </cell>
        </row>
        <row r="248">
          <cell r="D248">
            <v>514301316</v>
          </cell>
          <cell r="F248" t="str">
            <v>WASHER,LOCK,HELICAL SPRING,REGULAR (MEDI</v>
          </cell>
          <cell r="G248" t="str">
            <v>EA</v>
          </cell>
          <cell r="H248">
            <v>2</v>
          </cell>
          <cell r="I248">
            <v>52</v>
          </cell>
          <cell r="J248">
            <v>0</v>
          </cell>
          <cell r="K248">
            <v>13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13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13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13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26</v>
          </cell>
          <cell r="AM248">
            <v>93145</v>
          </cell>
          <cell r="AN248">
            <v>0.182</v>
          </cell>
          <cell r="AO248" t="str">
            <v>NAS/NASM NATIONAL AEROSPACE STD</v>
          </cell>
          <cell r="AP248" t="str">
            <v>אופק</v>
          </cell>
          <cell r="AQ248">
            <v>1</v>
          </cell>
          <cell r="AR248">
            <v>8.0000000000000002E-3</v>
          </cell>
          <cell r="AT248" t="str">
            <v xml:space="preserve">
</v>
          </cell>
          <cell r="AU248">
            <v>0</v>
          </cell>
          <cell r="AV248">
            <v>0</v>
          </cell>
          <cell r="AW248">
            <v>8.0000000000000002E-3</v>
          </cell>
          <cell r="AX248">
            <v>7.0000000000000001E-3</v>
          </cell>
          <cell r="AY248" t="str">
            <v>USD</v>
          </cell>
          <cell r="AZ248" t="str">
            <v>תומחר על ידי אופק</v>
          </cell>
          <cell r="BA248" t="str">
            <v>שיברוג</v>
          </cell>
          <cell r="BD248">
            <v>0</v>
          </cell>
        </row>
        <row r="249">
          <cell r="D249">
            <v>512326521</v>
          </cell>
          <cell r="F249" t="str">
            <v>SCREW,MACHINE,PAN HEAD,CRUCIFORM RECESS</v>
          </cell>
          <cell r="G249" t="str">
            <v>EA</v>
          </cell>
          <cell r="H249">
            <v>2</v>
          </cell>
          <cell r="I249">
            <v>156</v>
          </cell>
          <cell r="J249">
            <v>0</v>
          </cell>
          <cell r="K249">
            <v>39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39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39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39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78</v>
          </cell>
          <cell r="AM249">
            <v>279435</v>
          </cell>
          <cell r="AN249">
            <v>2.5037999999999996</v>
          </cell>
          <cell r="AO249" t="str">
            <v>MS MILITARY STANDARDS</v>
          </cell>
          <cell r="AP249" t="str">
            <v>אופק</v>
          </cell>
          <cell r="AQ249">
            <v>1</v>
          </cell>
          <cell r="AR249">
            <v>2.5000000000000001E-2</v>
          </cell>
          <cell r="AT249" t="str">
            <v xml:space="preserve">
</v>
          </cell>
          <cell r="AU249">
            <v>0</v>
          </cell>
          <cell r="AV249">
            <v>0</v>
          </cell>
          <cell r="AW249">
            <v>3.1E-2</v>
          </cell>
          <cell r="AX249">
            <v>3.2099999999999997E-2</v>
          </cell>
          <cell r="AY249" t="str">
            <v>USD</v>
          </cell>
          <cell r="AZ249" t="str">
            <v>תומחר על ידי אופק</v>
          </cell>
          <cell r="BA249" t="str">
            <v>KAYTECH</v>
          </cell>
          <cell r="BD249">
            <v>0</v>
          </cell>
        </row>
        <row r="250">
          <cell r="D250">
            <v>512305368</v>
          </cell>
          <cell r="F250" t="str">
            <v>SCREW MACHINE PAN HEAD CRUCIFORM RECESS</v>
          </cell>
          <cell r="G250" t="str">
            <v>EA</v>
          </cell>
          <cell r="H250">
            <v>2</v>
          </cell>
          <cell r="I250">
            <v>44</v>
          </cell>
          <cell r="J250">
            <v>0</v>
          </cell>
          <cell r="K250">
            <v>11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11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11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11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22</v>
          </cell>
          <cell r="AM250">
            <v>78815</v>
          </cell>
          <cell r="AN250">
            <v>0.72599999999999998</v>
          </cell>
          <cell r="AO250" t="str">
            <v>MS MILITARY STANDARDS</v>
          </cell>
          <cell r="AP250" t="str">
            <v>אופק</v>
          </cell>
          <cell r="AQ250">
            <v>1</v>
          </cell>
          <cell r="AR250">
            <v>3.1E-2</v>
          </cell>
          <cell r="AT250" t="str">
            <v xml:space="preserve">
</v>
          </cell>
          <cell r="AU250">
            <v>0</v>
          </cell>
          <cell r="AV250">
            <v>0</v>
          </cell>
          <cell r="AW250">
            <v>3.1E-2</v>
          </cell>
          <cell r="AX250">
            <v>3.3000000000000002E-2</v>
          </cell>
          <cell r="AY250" t="str">
            <v>USD</v>
          </cell>
          <cell r="AZ250" t="str">
            <v>תומחר על ידי אופק</v>
          </cell>
          <cell r="BA250" t="str">
            <v>שיברוג</v>
          </cell>
          <cell r="BD250">
            <v>0</v>
          </cell>
        </row>
        <row r="251">
          <cell r="D251">
            <v>512308669</v>
          </cell>
          <cell r="F251" t="str">
            <v>SCREW,MACHINE,PAN HEAD,CRUCIFORM RECESS</v>
          </cell>
          <cell r="G251" t="str">
            <v>EA</v>
          </cell>
          <cell r="H251">
            <v>2</v>
          </cell>
          <cell r="I251">
            <v>48</v>
          </cell>
          <cell r="J251">
            <v>0</v>
          </cell>
          <cell r="K251">
            <v>10</v>
          </cell>
          <cell r="L251">
            <v>2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10</v>
          </cell>
          <cell r="U251">
            <v>2</v>
          </cell>
          <cell r="V251">
            <v>0</v>
          </cell>
          <cell r="W251">
            <v>0</v>
          </cell>
          <cell r="X251">
            <v>0</v>
          </cell>
          <cell r="Y251">
            <v>10</v>
          </cell>
          <cell r="Z251">
            <v>2</v>
          </cell>
          <cell r="AA251">
            <v>0</v>
          </cell>
          <cell r="AB251">
            <v>0</v>
          </cell>
          <cell r="AC251">
            <v>0</v>
          </cell>
          <cell r="AD251">
            <v>10</v>
          </cell>
          <cell r="AE251">
            <v>2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20</v>
          </cell>
          <cell r="AM251">
            <v>85980</v>
          </cell>
          <cell r="AN251">
            <v>0.78</v>
          </cell>
          <cell r="AO251" t="str">
            <v>MS MILITARY STANDARDS</v>
          </cell>
          <cell r="AP251" t="str">
            <v>אופק</v>
          </cell>
          <cell r="AQ251">
            <v>1</v>
          </cell>
          <cell r="AR251">
            <v>0.03</v>
          </cell>
          <cell r="AT251" t="str">
            <v xml:space="preserve">
</v>
          </cell>
          <cell r="AU251">
            <v>0</v>
          </cell>
          <cell r="AV251">
            <v>0</v>
          </cell>
          <cell r="AW251">
            <v>0.03</v>
          </cell>
          <cell r="AX251">
            <v>3.2500000000000001E-2</v>
          </cell>
          <cell r="AY251" t="str">
            <v>USD</v>
          </cell>
          <cell r="AZ251" t="str">
            <v>תומחר על ידי אופק</v>
          </cell>
          <cell r="BA251" t="str">
            <v>KAYTECH</v>
          </cell>
          <cell r="BD251">
            <v>0</v>
          </cell>
        </row>
        <row r="252">
          <cell r="D252">
            <v>512308677</v>
          </cell>
          <cell r="F252" t="str">
            <v>SCREW,MACHINE,PAN HEAD,CRUCIFORM RECESS</v>
          </cell>
          <cell r="G252" t="str">
            <v>EA</v>
          </cell>
          <cell r="H252">
            <v>2</v>
          </cell>
          <cell r="I252">
            <v>8</v>
          </cell>
          <cell r="J252">
            <v>0</v>
          </cell>
          <cell r="K252">
            <v>0</v>
          </cell>
          <cell r="L252">
            <v>4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4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11100</v>
          </cell>
          <cell r="AN252">
            <v>0.13200000000000001</v>
          </cell>
          <cell r="AO252" t="str">
            <v>MS MILITARY STANDARDS</v>
          </cell>
          <cell r="AP252" t="str">
            <v>אופק</v>
          </cell>
          <cell r="AQ252">
            <v>1</v>
          </cell>
          <cell r="AR252">
            <v>0.04</v>
          </cell>
          <cell r="AT252" t="str">
            <v xml:space="preserve">
</v>
          </cell>
          <cell r="AU252">
            <v>0</v>
          </cell>
          <cell r="AV252">
            <v>0</v>
          </cell>
          <cell r="AW252">
            <v>0.04</v>
          </cell>
          <cell r="AX252">
            <v>3.3000000000000002E-2</v>
          </cell>
          <cell r="AY252" t="str">
            <v>USD</v>
          </cell>
          <cell r="AZ252" t="str">
            <v>תומחר על ידי אופק</v>
          </cell>
          <cell r="BA252" t="str">
            <v>שיברוג</v>
          </cell>
          <cell r="BD252">
            <v>0</v>
          </cell>
        </row>
        <row r="253">
          <cell r="D253">
            <v>512307984</v>
          </cell>
          <cell r="F253" t="str">
            <v>SCREW MACHINE PAN HEAD CRUCIFORM RECESS</v>
          </cell>
          <cell r="G253" t="str">
            <v>EA</v>
          </cell>
          <cell r="H253">
            <v>2</v>
          </cell>
          <cell r="I253">
            <v>2</v>
          </cell>
          <cell r="J253">
            <v>0</v>
          </cell>
          <cell r="K253">
            <v>0</v>
          </cell>
          <cell r="L253">
            <v>1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1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2775</v>
          </cell>
          <cell r="AN253">
            <v>3.5999999999999997E-2</v>
          </cell>
          <cell r="AO253" t="str">
            <v>MS MILITARY STANDARDS</v>
          </cell>
          <cell r="AP253" t="str">
            <v>אופק</v>
          </cell>
          <cell r="AQ253">
            <v>1</v>
          </cell>
          <cell r="AR253">
            <v>3.1E-2</v>
          </cell>
          <cell r="AT253" t="str">
            <v xml:space="preserve">
</v>
          </cell>
          <cell r="AU253">
            <v>0</v>
          </cell>
          <cell r="AV253">
            <v>0</v>
          </cell>
          <cell r="AW253">
            <v>3.1E-2</v>
          </cell>
          <cell r="AX253">
            <v>3.5999999999999997E-2</v>
          </cell>
          <cell r="AY253" t="str">
            <v>USD</v>
          </cell>
          <cell r="AZ253" t="str">
            <v>תומחר על ידי אופק</v>
          </cell>
          <cell r="BA253" t="str">
            <v>שיברוג</v>
          </cell>
          <cell r="BD253">
            <v>0</v>
          </cell>
        </row>
        <row r="254">
          <cell r="D254">
            <v>512317975</v>
          </cell>
          <cell r="F254" t="str">
            <v>SCREW MACHINE PAN HEAD CRUCIFORM RECESS</v>
          </cell>
          <cell r="G254" t="str">
            <v>EA</v>
          </cell>
          <cell r="H254">
            <v>2</v>
          </cell>
          <cell r="I254">
            <v>20</v>
          </cell>
          <cell r="J254">
            <v>0</v>
          </cell>
          <cell r="K254">
            <v>0</v>
          </cell>
          <cell r="L254">
            <v>10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10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27750</v>
          </cell>
          <cell r="AN254">
            <v>0.33</v>
          </cell>
          <cell r="AO254" t="str">
            <v>MS MILITARY STANDARDS</v>
          </cell>
          <cell r="AP254" t="str">
            <v>אופק</v>
          </cell>
          <cell r="AQ254" t="str">
            <v>Consumables Management</v>
          </cell>
          <cell r="AR254">
            <v>2.6100000000000002E-2</v>
          </cell>
          <cell r="AT254" t="str">
            <v xml:space="preserve">
</v>
          </cell>
          <cell r="AU254">
            <v>0</v>
          </cell>
          <cell r="AV254">
            <v>0</v>
          </cell>
          <cell r="AW254">
            <v>2.6100000000000002E-2</v>
          </cell>
          <cell r="AX254">
            <v>3.3000000000000002E-2</v>
          </cell>
          <cell r="AY254" t="str">
            <v>USD</v>
          </cell>
          <cell r="AZ254" t="str">
            <v>תומחר על ידי אופק</v>
          </cell>
          <cell r="BA254" t="str">
            <v>שיברוג</v>
          </cell>
          <cell r="BD254">
            <v>0</v>
          </cell>
        </row>
        <row r="255">
          <cell r="D255">
            <v>512310954</v>
          </cell>
          <cell r="F255" t="str">
            <v>SCREW,MACHINE,PAN HEAD,CRUCIFORM RECESS</v>
          </cell>
          <cell r="G255" t="str">
            <v>EA</v>
          </cell>
          <cell r="H255">
            <v>2</v>
          </cell>
          <cell r="I255">
            <v>4</v>
          </cell>
          <cell r="J255">
            <v>0</v>
          </cell>
          <cell r="K255">
            <v>1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1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1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1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2</v>
          </cell>
          <cell r="AM255">
            <v>7165</v>
          </cell>
          <cell r="AN255">
            <v>7.1999999999999995E-2</v>
          </cell>
          <cell r="AO255" t="str">
            <v>MS MILITARY STANDARDS</v>
          </cell>
          <cell r="AP255" t="str">
            <v>אופק</v>
          </cell>
          <cell r="AQ255">
            <v>1</v>
          </cell>
          <cell r="AR255">
            <v>2.9499999999999998E-2</v>
          </cell>
          <cell r="AT255" t="str">
            <v xml:space="preserve">
</v>
          </cell>
          <cell r="AU255">
            <v>0</v>
          </cell>
          <cell r="AV255">
            <v>0</v>
          </cell>
          <cell r="AW255">
            <v>2.9499999999999998E-2</v>
          </cell>
          <cell r="AX255">
            <v>3.5999999999999997E-2</v>
          </cell>
          <cell r="AY255" t="str">
            <v>USD</v>
          </cell>
          <cell r="AZ255" t="str">
            <v>תומחר על ידי אופק</v>
          </cell>
          <cell r="BA255" t="str">
            <v>שיברוג</v>
          </cell>
          <cell r="BD255">
            <v>0</v>
          </cell>
        </row>
        <row r="256">
          <cell r="D256">
            <v>411123562</v>
          </cell>
          <cell r="F256" t="str">
            <v>IC PARALLEL NOR FLASH 1GB</v>
          </cell>
          <cell r="G256" t="str">
            <v>EA</v>
          </cell>
          <cell r="H256">
            <v>2</v>
          </cell>
          <cell r="I256">
            <v>4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1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1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1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1</v>
          </cell>
          <cell r="AL256">
            <v>0</v>
          </cell>
          <cell r="AM256">
            <v>7165</v>
          </cell>
          <cell r="AN256">
            <v>27.52</v>
          </cell>
          <cell r="AO256" t="e">
            <v>#N/A</v>
          </cell>
          <cell r="AP256" t="str">
            <v>אלתא</v>
          </cell>
          <cell r="AQ256" t="str">
            <v>AVNET COMPONENTS ISRAEL LTD</v>
          </cell>
          <cell r="AR256">
            <v>13.76</v>
          </cell>
          <cell r="AT256" t="str">
            <v xml:space="preserve">
</v>
          </cell>
          <cell r="AU256" t="e">
            <v>#N/A</v>
          </cell>
          <cell r="AV256">
            <v>7728</v>
          </cell>
          <cell r="AW256">
            <v>13.76</v>
          </cell>
          <cell r="AX256">
            <v>13.76</v>
          </cell>
          <cell r="AY256" t="str">
            <v>USD</v>
          </cell>
          <cell r="AZ256" t="str">
            <v>מייקטלוג</v>
          </cell>
          <cell r="BA256" t="str">
            <v>חן ליס</v>
          </cell>
          <cell r="BB256" t="str">
            <v>09-7783020</v>
          </cell>
          <cell r="BC256" t="str">
            <v>Chen@mouser-israel.com</v>
          </cell>
        </row>
        <row r="257">
          <cell r="D257">
            <v>513206482</v>
          </cell>
          <cell r="F257" t="str">
            <v>NUT,HEX,FLANGED,SELF-LOCKING,ELLIPTICALL</v>
          </cell>
          <cell r="G257" t="str">
            <v>EA</v>
          </cell>
          <cell r="H257">
            <v>2</v>
          </cell>
          <cell r="I257">
            <v>8</v>
          </cell>
          <cell r="J257">
            <v>0</v>
          </cell>
          <cell r="K257">
            <v>2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2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2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2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4</v>
          </cell>
          <cell r="AM257">
            <v>14330</v>
          </cell>
          <cell r="AN257">
            <v>2.38</v>
          </cell>
          <cell r="AO257" t="str">
            <v>NAS/NASM NATIONAL AEROSPACE STD</v>
          </cell>
          <cell r="AP257" t="str">
            <v>אופק</v>
          </cell>
          <cell r="AQ257">
            <v>1</v>
          </cell>
          <cell r="AR257">
            <v>0.47899999999999998</v>
          </cell>
          <cell r="AT257" t="str">
            <v xml:space="preserve">
</v>
          </cell>
          <cell r="AU257">
            <v>0</v>
          </cell>
          <cell r="AV257">
            <v>0</v>
          </cell>
          <cell r="AW257">
            <v>0.47899999999999998</v>
          </cell>
          <cell r="AX257">
            <v>0.59499999999999997</v>
          </cell>
          <cell r="AY257" t="str">
            <v>USD</v>
          </cell>
          <cell r="AZ257" t="str">
            <v>תומחר על ידי אופק</v>
          </cell>
          <cell r="BA257" t="str">
            <v>KAYTECH</v>
          </cell>
          <cell r="BD257">
            <v>0</v>
          </cell>
        </row>
        <row r="258">
          <cell r="D258">
            <v>514202720</v>
          </cell>
          <cell r="F258" t="str">
            <v>WASHER,SPRING LOCK,HELICAL,HI-COLLAR, 0</v>
          </cell>
          <cell r="G258" t="str">
            <v>EA</v>
          </cell>
          <cell r="H258">
            <v>2</v>
          </cell>
          <cell r="I258">
            <v>8</v>
          </cell>
          <cell r="J258">
            <v>0</v>
          </cell>
          <cell r="K258">
            <v>2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2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2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2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4</v>
          </cell>
          <cell r="AM258">
            <v>14330</v>
          </cell>
          <cell r="AN258">
            <v>0.35599999999999998</v>
          </cell>
          <cell r="AO258" t="str">
            <v>NAS/NASM NATIONAL AEROSPACE STD</v>
          </cell>
          <cell r="AP258" t="str">
            <v>אופק</v>
          </cell>
          <cell r="AQ258">
            <v>1</v>
          </cell>
          <cell r="AR258">
            <v>5.7000000000000002E-2</v>
          </cell>
          <cell r="AT258" t="str">
            <v xml:space="preserve">
</v>
          </cell>
          <cell r="AU258">
            <v>0</v>
          </cell>
          <cell r="AV258">
            <v>0</v>
          </cell>
          <cell r="AW258">
            <v>5.7000000000000002E-2</v>
          </cell>
          <cell r="AX258">
            <v>8.8999999999999996E-2</v>
          </cell>
          <cell r="AY258" t="str">
            <v>USD</v>
          </cell>
          <cell r="AZ258" t="str">
            <v>תומחר על ידי אופק</v>
          </cell>
          <cell r="BA258" t="str">
            <v>KAYTECH</v>
          </cell>
          <cell r="BD258">
            <v>0</v>
          </cell>
        </row>
        <row r="259">
          <cell r="D259">
            <v>514203538</v>
          </cell>
          <cell r="F259" t="str">
            <v>WASHER,SPRING LOCK,HELICAL,HI-COLLAR,#2</v>
          </cell>
          <cell r="G259" t="str">
            <v>EA</v>
          </cell>
          <cell r="H259">
            <v>2</v>
          </cell>
          <cell r="I259">
            <v>28</v>
          </cell>
          <cell r="J259">
            <v>0</v>
          </cell>
          <cell r="K259">
            <v>2</v>
          </cell>
          <cell r="L259">
            <v>5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2</v>
          </cell>
          <cell r="U259">
            <v>5</v>
          </cell>
          <cell r="V259">
            <v>0</v>
          </cell>
          <cell r="W259">
            <v>0</v>
          </cell>
          <cell r="X259">
            <v>0</v>
          </cell>
          <cell r="Y259">
            <v>2</v>
          </cell>
          <cell r="Z259">
            <v>5</v>
          </cell>
          <cell r="AA259">
            <v>0</v>
          </cell>
          <cell r="AB259">
            <v>0</v>
          </cell>
          <cell r="AC259">
            <v>0</v>
          </cell>
          <cell r="AD259">
            <v>2</v>
          </cell>
          <cell r="AE259">
            <v>5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4</v>
          </cell>
          <cell r="AM259">
            <v>50155</v>
          </cell>
          <cell r="AN259">
            <v>0.68600000000000005</v>
          </cell>
          <cell r="AO259" t="str">
            <v>NAS/NASM NATIONAL AEROSPACE STD</v>
          </cell>
          <cell r="AP259" t="str">
            <v>אופק</v>
          </cell>
          <cell r="AQ259">
            <v>1</v>
          </cell>
          <cell r="AR259">
            <v>3.7999999999999999E-2</v>
          </cell>
          <cell r="AT259" t="str">
            <v xml:space="preserve">
</v>
          </cell>
          <cell r="AU259">
            <v>0</v>
          </cell>
          <cell r="AV259">
            <v>0</v>
          </cell>
          <cell r="AW259">
            <v>3.7999999999999999E-2</v>
          </cell>
          <cell r="AX259">
            <v>4.9000000000000002E-2</v>
          </cell>
          <cell r="AY259" t="str">
            <v>USD</v>
          </cell>
          <cell r="AZ259" t="str">
            <v>תומחר על ידי אופק</v>
          </cell>
          <cell r="BA259" t="str">
            <v>KAYTECH</v>
          </cell>
          <cell r="BD259">
            <v>0</v>
          </cell>
        </row>
        <row r="260">
          <cell r="D260">
            <v>514204148</v>
          </cell>
          <cell r="F260" t="str">
            <v>WASHER,FLAT,PLAIN,REDUCED OD,#0 SIZE,.01</v>
          </cell>
          <cell r="G260" t="str">
            <v>EA</v>
          </cell>
          <cell r="H260">
            <v>2</v>
          </cell>
          <cell r="I260">
            <v>8</v>
          </cell>
          <cell r="J260">
            <v>0</v>
          </cell>
          <cell r="K260">
            <v>2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2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2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2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4</v>
          </cell>
          <cell r="AM260">
            <v>14330</v>
          </cell>
          <cell r="AN260">
            <v>7.5999999999999998E-2</v>
          </cell>
          <cell r="AO260" t="str">
            <v>NAS/NASM NATIONAL AEROSPACE STD</v>
          </cell>
          <cell r="AP260" t="str">
            <v>אופק</v>
          </cell>
          <cell r="AQ260" t="str">
            <v>DUSAR</v>
          </cell>
          <cell r="AR260">
            <v>0.02</v>
          </cell>
          <cell r="AT260" t="str">
            <v xml:space="preserve">
</v>
          </cell>
          <cell r="AU260">
            <v>0</v>
          </cell>
          <cell r="AV260">
            <v>0</v>
          </cell>
          <cell r="AW260">
            <v>0.02</v>
          </cell>
          <cell r="AX260">
            <v>1.9E-2</v>
          </cell>
          <cell r="AY260" t="str">
            <v>USD</v>
          </cell>
          <cell r="AZ260" t="str">
            <v>תומחר על ידי אופק</v>
          </cell>
          <cell r="BA260" t="str">
            <v>KAYTECH</v>
          </cell>
          <cell r="BD260">
            <v>0</v>
          </cell>
        </row>
        <row r="261">
          <cell r="D261">
            <v>514201177</v>
          </cell>
          <cell r="F261" t="str">
            <v>WASHER,FLAT,PLAIN,REDUCED OD, 2 SIZE,.01</v>
          </cell>
          <cell r="G261" t="str">
            <v>EA</v>
          </cell>
          <cell r="H261">
            <v>2</v>
          </cell>
          <cell r="I261">
            <v>258</v>
          </cell>
          <cell r="J261">
            <v>0</v>
          </cell>
          <cell r="K261">
            <v>50</v>
          </cell>
          <cell r="L261">
            <v>22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50</v>
          </cell>
          <cell r="U261">
            <v>7</v>
          </cell>
          <cell r="V261">
            <v>0</v>
          </cell>
          <cell r="W261">
            <v>0</v>
          </cell>
          <cell r="X261">
            <v>0</v>
          </cell>
          <cell r="Y261">
            <v>50</v>
          </cell>
          <cell r="Z261">
            <v>7</v>
          </cell>
          <cell r="AA261">
            <v>0</v>
          </cell>
          <cell r="AB261">
            <v>0</v>
          </cell>
          <cell r="AC261">
            <v>0</v>
          </cell>
          <cell r="AD261">
            <v>50</v>
          </cell>
          <cell r="AE261">
            <v>22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100</v>
          </cell>
          <cell r="AM261">
            <v>450030</v>
          </cell>
          <cell r="AN261">
            <v>1.9349999999999998</v>
          </cell>
          <cell r="AO261" t="str">
            <v>NAS/NASM NATIONAL AEROSPACE STD</v>
          </cell>
          <cell r="AP261" t="str">
            <v>אופק</v>
          </cell>
          <cell r="AQ261">
            <v>1</v>
          </cell>
          <cell r="AR261">
            <v>7.7000000000000002E-3</v>
          </cell>
          <cell r="AT261" t="str">
            <v xml:space="preserve">
</v>
          </cell>
          <cell r="AU261">
            <v>0</v>
          </cell>
          <cell r="AV261">
            <v>0</v>
          </cell>
          <cell r="AW261">
            <v>7.7000000000000002E-3</v>
          </cell>
          <cell r="AX261">
            <v>1.4999999999999999E-2</v>
          </cell>
          <cell r="AY261" t="str">
            <v>USD</v>
          </cell>
          <cell r="AZ261" t="str">
            <v>תומחר על ידי אופק</v>
          </cell>
          <cell r="BA261" t="str">
            <v>KAYTECH</v>
          </cell>
          <cell r="BD261">
            <v>0</v>
          </cell>
        </row>
        <row r="262">
          <cell r="D262">
            <v>514200799</v>
          </cell>
          <cell r="F262" t="str">
            <v>WASHER,FLAT,PLAIN,REDUCED OD, 4 SIZE,.03</v>
          </cell>
          <cell r="G262" t="str">
            <v>EA</v>
          </cell>
          <cell r="H262">
            <v>2</v>
          </cell>
          <cell r="I262">
            <v>52</v>
          </cell>
          <cell r="J262">
            <v>0</v>
          </cell>
          <cell r="K262">
            <v>13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13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13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13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26</v>
          </cell>
          <cell r="AM262">
            <v>93145</v>
          </cell>
          <cell r="AN262">
            <v>0.377</v>
          </cell>
          <cell r="AO262" t="str">
            <v>NAS/NASM NATIONAL AEROSPACE STD</v>
          </cell>
          <cell r="AP262" t="str">
            <v>אופק</v>
          </cell>
          <cell r="AQ262">
            <v>1</v>
          </cell>
          <cell r="AR262">
            <v>9.6999999999999986E-3</v>
          </cell>
          <cell r="AT262" t="str">
            <v xml:space="preserve">
</v>
          </cell>
          <cell r="AU262">
            <v>0</v>
          </cell>
          <cell r="AV262">
            <v>0</v>
          </cell>
          <cell r="AW262">
            <v>9.6999999999999986E-3</v>
          </cell>
          <cell r="AX262">
            <v>1.4500000000000001E-2</v>
          </cell>
          <cell r="AY262" t="str">
            <v>USD</v>
          </cell>
          <cell r="AZ262" t="str">
            <v>תומחר על ידי אופק</v>
          </cell>
          <cell r="BA262" t="str">
            <v>KAYTECH</v>
          </cell>
          <cell r="BD262">
            <v>0</v>
          </cell>
        </row>
        <row r="263">
          <cell r="D263">
            <v>514200518</v>
          </cell>
          <cell r="F263" t="str">
            <v>WASHER,FLAT,PLAIN,REDUCED OD, 6 SIZE,.03</v>
          </cell>
          <cell r="G263" t="str">
            <v>EA</v>
          </cell>
          <cell r="H263">
            <v>2</v>
          </cell>
          <cell r="I263">
            <v>2</v>
          </cell>
          <cell r="J263">
            <v>0</v>
          </cell>
          <cell r="K263">
            <v>0</v>
          </cell>
          <cell r="L263">
            <v>1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1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2775</v>
          </cell>
          <cell r="AN263">
            <v>1.4999999999999999E-2</v>
          </cell>
          <cell r="AO263" t="str">
            <v>NAS/NASM NATIONAL AEROSPACE STD</v>
          </cell>
          <cell r="AP263" t="str">
            <v>אופק</v>
          </cell>
          <cell r="AQ263">
            <v>1</v>
          </cell>
          <cell r="AR263">
            <v>1.7999999999999999E-2</v>
          </cell>
          <cell r="AT263" t="str">
            <v xml:space="preserve">
</v>
          </cell>
          <cell r="AU263">
            <v>0</v>
          </cell>
          <cell r="AV263">
            <v>0</v>
          </cell>
          <cell r="AW263">
            <v>1.7999999999999999E-2</v>
          </cell>
          <cell r="AX263">
            <v>1.4999999999999999E-2</v>
          </cell>
          <cell r="AY263" t="str">
            <v>USD</v>
          </cell>
          <cell r="AZ263" t="str">
            <v>תומחר על ידי אופק</v>
          </cell>
          <cell r="BA263" t="str">
            <v>HS</v>
          </cell>
          <cell r="BD263">
            <v>0</v>
          </cell>
        </row>
        <row r="264">
          <cell r="D264">
            <v>521633578</v>
          </cell>
          <cell r="F264" t="str">
            <v>SCREW,MACHINE,100 DEG. FLUSH HEAD,CRUCIF</v>
          </cell>
          <cell r="G264" t="str">
            <v>EA</v>
          </cell>
          <cell r="H264">
            <v>1</v>
          </cell>
          <cell r="I264">
            <v>8</v>
          </cell>
          <cell r="J264">
            <v>0</v>
          </cell>
          <cell r="K264">
            <v>2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2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2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2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4</v>
          </cell>
          <cell r="AM264">
            <v>14330</v>
          </cell>
          <cell r="AN264">
            <v>0.20399999999999999</v>
          </cell>
          <cell r="AO264" t="str">
            <v>NAS/NASM NATIONAL AEROSPACE STD</v>
          </cell>
          <cell r="AP264" t="str">
            <v>אופק</v>
          </cell>
          <cell r="AQ264">
            <v>1</v>
          </cell>
          <cell r="AR264">
            <v>2.29E-2</v>
          </cell>
          <cell r="AT264" t="str">
            <v xml:space="preserve">
</v>
          </cell>
          <cell r="AU264">
            <v>0</v>
          </cell>
          <cell r="AV264">
            <v>0</v>
          </cell>
          <cell r="AW264">
            <v>2.29E-2</v>
          </cell>
          <cell r="AX264">
            <v>5.0999999999999997E-2</v>
          </cell>
          <cell r="AY264" t="str">
            <v>USD</v>
          </cell>
          <cell r="AZ264" t="str">
            <v>תומחר על ידי אופק</v>
          </cell>
          <cell r="BA264" t="str">
            <v>KAYTECH</v>
          </cell>
          <cell r="BD264" t="str">
            <v>HS -מחיר מיוחד -25K 0.052$</v>
          </cell>
        </row>
        <row r="265">
          <cell r="D265" t="str">
            <v>N57177495</v>
          </cell>
          <cell r="E265">
            <v>406426682</v>
          </cell>
          <cell r="F265" t="str">
            <v>IC DIG INVERTER TAPE &amp; REEL</v>
          </cell>
          <cell r="G265" t="str">
            <v>EA</v>
          </cell>
          <cell r="H265">
            <v>2</v>
          </cell>
          <cell r="I265">
            <v>6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6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3750</v>
          </cell>
          <cell r="AN265">
            <v>0.12839999999999999</v>
          </cell>
          <cell r="AO265" t="str">
            <v>FAIRCHILD SEMICONDUCTOR</v>
          </cell>
          <cell r="AP265" t="str">
            <v>אופק</v>
          </cell>
          <cell r="AQ265" t="str">
            <v>ARROW RAPAC LTD</v>
          </cell>
          <cell r="AR265">
            <v>3.5597700000000003E-2</v>
          </cell>
          <cell r="AT265" t="str">
            <v xml:space="preserve">
</v>
          </cell>
          <cell r="AU265">
            <v>6000</v>
          </cell>
          <cell r="AV265">
            <v>3000</v>
          </cell>
          <cell r="AW265">
            <v>3.5597700000000003E-2</v>
          </cell>
          <cell r="AX265">
            <v>2.1399999999999999E-2</v>
          </cell>
          <cell r="AY265" t="str">
            <v>USD</v>
          </cell>
          <cell r="AZ265" t="str">
            <v>תומחר על ידי אופק</v>
          </cell>
          <cell r="BA265" t="str">
            <v>Future</v>
          </cell>
          <cell r="BD265">
            <v>0</v>
          </cell>
        </row>
        <row r="266">
          <cell r="D266">
            <v>401197282</v>
          </cell>
          <cell r="E266" t="str">
            <v>FFF004327</v>
          </cell>
          <cell r="F266" t="str">
            <v>CHIP RESIS 511 OHM 1^ .1W T&amp;R</v>
          </cell>
          <cell r="G266" t="str">
            <v>EA</v>
          </cell>
          <cell r="H266">
            <v>2</v>
          </cell>
          <cell r="I266">
            <v>4</v>
          </cell>
          <cell r="J266">
            <v>0</v>
          </cell>
          <cell r="K266">
            <v>0</v>
          </cell>
          <cell r="L266">
            <v>0</v>
          </cell>
          <cell r="M266">
            <v>2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2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5550</v>
          </cell>
          <cell r="AN266">
            <v>4.4459999999999994E-3</v>
          </cell>
          <cell r="AO266" t="str">
            <v>VISHAY RESISTIVE SYSTEMS</v>
          </cell>
          <cell r="AP266" t="str">
            <v>אופק</v>
          </cell>
          <cell r="AQ266" t="str">
            <v>ECOMAL ISRAEL LTD</v>
          </cell>
          <cell r="AR266">
            <v>3.2000000000000002E-3</v>
          </cell>
          <cell r="AT266" t="str">
            <v xml:space="preserve">
</v>
          </cell>
          <cell r="AU266">
            <v>5000</v>
          </cell>
          <cell r="AV266">
            <v>5000</v>
          </cell>
          <cell r="AW266">
            <v>3.2000000000000002E-3</v>
          </cell>
          <cell r="AX266">
            <v>2.2229999999999997E-3</v>
          </cell>
          <cell r="AY266" t="str">
            <v>USD</v>
          </cell>
          <cell r="AZ266" t="str">
            <v>תומחר על ידי אופק</v>
          </cell>
          <cell r="BA266" t="str">
            <v>ארו</v>
          </cell>
          <cell r="BD266">
            <v>0</v>
          </cell>
        </row>
        <row r="267">
          <cell r="D267">
            <v>400359927</v>
          </cell>
          <cell r="F267" t="str">
            <v>CHIP EMI FILTER T&amp;R</v>
          </cell>
          <cell r="G267" t="str">
            <v>EA</v>
          </cell>
          <cell r="H267">
            <v>1</v>
          </cell>
          <cell r="I267">
            <v>48</v>
          </cell>
          <cell r="J267">
            <v>0</v>
          </cell>
          <cell r="K267">
            <v>0</v>
          </cell>
          <cell r="L267">
            <v>0</v>
          </cell>
          <cell r="M267">
            <v>12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12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12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12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85980</v>
          </cell>
          <cell r="AN267">
            <v>0</v>
          </cell>
          <cell r="AO267" t="str">
            <v>BFE</v>
          </cell>
          <cell r="AP267" t="str">
            <v>אלתא</v>
          </cell>
          <cell r="AQ267">
            <v>1</v>
          </cell>
          <cell r="AR267">
            <v>0.04</v>
          </cell>
          <cell r="AT267" t="str">
            <v xml:space="preserve">
</v>
          </cell>
          <cell r="AW267">
            <v>0</v>
          </cell>
          <cell r="AX267">
            <v>0</v>
          </cell>
          <cell r="AY267" t="str">
            <v>USD</v>
          </cell>
        </row>
        <row r="268">
          <cell r="D268">
            <v>400123225</v>
          </cell>
          <cell r="F268" t="str">
            <v>CHIP FILTER EMI T&amp;R</v>
          </cell>
          <cell r="G268" t="str">
            <v>EA</v>
          </cell>
          <cell r="H268">
            <v>1</v>
          </cell>
          <cell r="I268">
            <v>96</v>
          </cell>
          <cell r="J268">
            <v>0</v>
          </cell>
          <cell r="K268">
            <v>0</v>
          </cell>
          <cell r="L268">
            <v>0</v>
          </cell>
          <cell r="M268">
            <v>28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20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20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28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165500</v>
          </cell>
          <cell r="AN268">
            <v>0</v>
          </cell>
          <cell r="AO268" t="str">
            <v>BFE</v>
          </cell>
          <cell r="AP268" t="str">
            <v>אלתא</v>
          </cell>
          <cell r="AQ268">
            <v>1</v>
          </cell>
          <cell r="AR268">
            <v>0.04</v>
          </cell>
          <cell r="AT268" t="str">
            <v xml:space="preserve">
</v>
          </cell>
          <cell r="AW268">
            <v>0</v>
          </cell>
          <cell r="AX268">
            <v>0</v>
          </cell>
          <cell r="AY268" t="str">
            <v>USD</v>
          </cell>
        </row>
        <row r="269">
          <cell r="D269">
            <v>409017833</v>
          </cell>
          <cell r="F269" t="str">
            <v>CHIP EMIFIL 2.2UF 10V T&amp;R</v>
          </cell>
          <cell r="G269" t="str">
            <v>EA</v>
          </cell>
          <cell r="H269">
            <v>1</v>
          </cell>
          <cell r="I269">
            <v>104</v>
          </cell>
          <cell r="J269">
            <v>0</v>
          </cell>
          <cell r="K269">
            <v>0</v>
          </cell>
          <cell r="L269">
            <v>0</v>
          </cell>
          <cell r="M269">
            <v>28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1</v>
          </cell>
          <cell r="S269">
            <v>0</v>
          </cell>
          <cell r="T269">
            <v>0</v>
          </cell>
          <cell r="U269">
            <v>0</v>
          </cell>
          <cell r="V269">
            <v>22</v>
          </cell>
          <cell r="W269">
            <v>1</v>
          </cell>
          <cell r="X269">
            <v>0</v>
          </cell>
          <cell r="Y269">
            <v>0</v>
          </cell>
          <cell r="Z269">
            <v>0</v>
          </cell>
          <cell r="AA269">
            <v>22</v>
          </cell>
          <cell r="AB269">
            <v>1</v>
          </cell>
          <cell r="AC269">
            <v>0</v>
          </cell>
          <cell r="AD269">
            <v>0</v>
          </cell>
          <cell r="AE269">
            <v>0</v>
          </cell>
          <cell r="AF269">
            <v>28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1</v>
          </cell>
          <cell r="AL269">
            <v>0</v>
          </cell>
          <cell r="AM269">
            <v>181445</v>
          </cell>
          <cell r="AN269">
            <v>0</v>
          </cell>
          <cell r="AO269" t="str">
            <v>BFE</v>
          </cell>
          <cell r="AP269" t="str">
            <v>אלתא</v>
          </cell>
          <cell r="AQ269" t="str">
            <v>STG INTERNATIONAL LTD</v>
          </cell>
          <cell r="AR269">
            <v>0.04</v>
          </cell>
          <cell r="AT269" t="str">
            <v xml:space="preserve">
</v>
          </cell>
          <cell r="AW269">
            <v>0</v>
          </cell>
          <cell r="AX269">
            <v>0</v>
          </cell>
          <cell r="AY269" t="str">
            <v>USD</v>
          </cell>
        </row>
        <row r="270">
          <cell r="D270">
            <v>409017834</v>
          </cell>
          <cell r="F270" t="str">
            <v>CHIP EMIFIL 0.1UF 100V T&amp;R</v>
          </cell>
          <cell r="G270" t="str">
            <v>EA</v>
          </cell>
          <cell r="H270">
            <v>2</v>
          </cell>
          <cell r="I270">
            <v>12</v>
          </cell>
          <cell r="J270">
            <v>0</v>
          </cell>
          <cell r="K270">
            <v>0</v>
          </cell>
          <cell r="L270">
            <v>0</v>
          </cell>
          <cell r="M270">
            <v>6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6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16650</v>
          </cell>
          <cell r="AN270">
            <v>2.976</v>
          </cell>
          <cell r="AO270" t="str">
            <v>MURATA MANUFACTURING CO. LTD</v>
          </cell>
          <cell r="AP270" t="str">
            <v>אופק</v>
          </cell>
          <cell r="AQ270" t="str">
            <v>STG INTERNATIONAL LTD</v>
          </cell>
          <cell r="AR270">
            <v>0.32200000000000001</v>
          </cell>
          <cell r="AT270" t="str">
            <v xml:space="preserve">
</v>
          </cell>
          <cell r="AU270">
            <v>3000</v>
          </cell>
          <cell r="AV270">
            <v>3000</v>
          </cell>
          <cell r="AW270">
            <v>0.32200000000000001</v>
          </cell>
          <cell r="AX270">
            <v>0.496</v>
          </cell>
          <cell r="AY270" t="str">
            <v>USD</v>
          </cell>
          <cell r="AZ270" t="str">
            <v>תומחר על ידי אופק</v>
          </cell>
          <cell r="BA270" t="str">
            <v>ארו</v>
          </cell>
          <cell r="BD270">
            <v>0</v>
          </cell>
        </row>
        <row r="271">
          <cell r="D271">
            <v>411188824</v>
          </cell>
          <cell r="F271" t="str">
            <v>CHIP  EMI FILTER 1.5UF 50VDC T&amp;R</v>
          </cell>
          <cell r="G271" t="str">
            <v>EA</v>
          </cell>
          <cell r="H271">
            <v>2</v>
          </cell>
          <cell r="I271">
            <v>8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2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2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2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2</v>
          </cell>
          <cell r="AL271">
            <v>0</v>
          </cell>
          <cell r="AM271">
            <v>14330</v>
          </cell>
          <cell r="AN271">
            <v>4.5999999999999996</v>
          </cell>
          <cell r="AO271" t="str">
            <v>MURATA ERIE NORTH AMERICA INC.</v>
          </cell>
          <cell r="AP271" t="str">
            <v>אופק</v>
          </cell>
          <cell r="AQ271" t="str">
            <v>STG INTERNATIONAL LTD</v>
          </cell>
          <cell r="AR271">
            <v>0.98</v>
          </cell>
          <cell r="AT271" t="str">
            <v xml:space="preserve">
</v>
          </cell>
          <cell r="AU271">
            <v>4000</v>
          </cell>
          <cell r="AV271">
            <v>4000</v>
          </cell>
          <cell r="AW271">
            <v>0.98</v>
          </cell>
          <cell r="AX271">
            <v>1.1499999999999999</v>
          </cell>
          <cell r="AY271" t="str">
            <v>USD</v>
          </cell>
          <cell r="AZ271" t="str">
            <v>תומחר על ידי אופק</v>
          </cell>
          <cell r="BA271" t="str">
            <v>סידב</v>
          </cell>
          <cell r="BD271">
            <v>0</v>
          </cell>
        </row>
        <row r="272">
          <cell r="D272">
            <v>401354460</v>
          </cell>
          <cell r="E272">
            <v>401424469</v>
          </cell>
          <cell r="F272" t="str">
            <v>CHIP RESISTOR HIGH POWER 50 OHM 2%</v>
          </cell>
          <cell r="G272" t="str">
            <v>EA</v>
          </cell>
          <cell r="H272">
            <v>2</v>
          </cell>
          <cell r="I272">
            <v>4</v>
          </cell>
          <cell r="J272">
            <v>0</v>
          </cell>
          <cell r="K272">
            <v>0</v>
          </cell>
          <cell r="L272">
            <v>0</v>
          </cell>
          <cell r="M272">
            <v>2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2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5550</v>
          </cell>
          <cell r="AN272">
            <v>4.18</v>
          </cell>
          <cell r="AO272" t="str">
            <v>INTERNATIONAL MANUFACTURING SERVICE</v>
          </cell>
          <cell r="AP272" t="str">
            <v>אופק</v>
          </cell>
          <cell r="AQ272">
            <v>1</v>
          </cell>
          <cell r="AR272">
            <v>1.27</v>
          </cell>
          <cell r="AT272" t="str">
            <v xml:space="preserve">
</v>
          </cell>
          <cell r="AU272">
            <v>0</v>
          </cell>
          <cell r="AV272">
            <v>0</v>
          </cell>
          <cell r="AW272">
            <v>1.27</v>
          </cell>
          <cell r="AX272">
            <v>2.09</v>
          </cell>
          <cell r="AY272" t="str">
            <v>USD</v>
          </cell>
          <cell r="AZ272" t="str">
            <v>תומחר על ידי אופק</v>
          </cell>
          <cell r="BA272" t="str">
            <v>נקסטיוב</v>
          </cell>
          <cell r="BD272" t="str">
            <v>נקסטיוב: ה.מחיר NQ250303
המחיר 1.27 הוא בגין כמות של 10500 יח'נדרש תשלום מראש.</v>
          </cell>
        </row>
        <row r="273">
          <cell r="D273">
            <v>400157870</v>
          </cell>
          <cell r="F273" t="str">
            <v>SCHOTTKY RECTIFIER 2.0A 100V T&amp;R</v>
          </cell>
          <cell r="G273" t="str">
            <v>EA</v>
          </cell>
          <cell r="H273">
            <v>2</v>
          </cell>
          <cell r="I273">
            <v>8</v>
          </cell>
          <cell r="J273">
            <v>0</v>
          </cell>
          <cell r="K273">
            <v>0</v>
          </cell>
          <cell r="L273">
            <v>0</v>
          </cell>
          <cell r="M273">
            <v>4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4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11100</v>
          </cell>
          <cell r="AN273">
            <v>1.2</v>
          </cell>
          <cell r="AO273" t="str">
            <v>ON SEMICONDUCTOR</v>
          </cell>
          <cell r="AP273" t="str">
            <v>אופק</v>
          </cell>
          <cell r="AQ273">
            <v>1</v>
          </cell>
          <cell r="AR273">
            <v>0.27200000000000002</v>
          </cell>
          <cell r="AT273" t="str">
            <v xml:space="preserve">
</v>
          </cell>
          <cell r="AU273">
            <v>12000</v>
          </cell>
          <cell r="AV273">
            <v>12000</v>
          </cell>
          <cell r="AW273">
            <v>0.27200000000000002</v>
          </cell>
          <cell r="AX273">
            <v>0.3</v>
          </cell>
          <cell r="AY273" t="str">
            <v>USD</v>
          </cell>
          <cell r="AZ273" t="str">
            <v>תומחר על ידי אופק</v>
          </cell>
          <cell r="BA273" t="str">
            <v>Future</v>
          </cell>
          <cell r="BD273">
            <v>0</v>
          </cell>
        </row>
        <row r="274">
          <cell r="D274">
            <v>405530594</v>
          </cell>
          <cell r="E274">
            <v>405536567</v>
          </cell>
          <cell r="F274" t="str">
            <v>HIGH TEMPERATURE POLYIMIDE LABEL,WIDE</v>
          </cell>
          <cell r="G274" t="str">
            <v>EA</v>
          </cell>
          <cell r="H274">
            <v>2</v>
          </cell>
          <cell r="I274">
            <v>12</v>
          </cell>
          <cell r="J274">
            <v>0</v>
          </cell>
          <cell r="K274">
            <v>0</v>
          </cell>
          <cell r="L274">
            <v>1</v>
          </cell>
          <cell r="M274">
            <v>1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1</v>
          </cell>
          <cell r="S274">
            <v>0</v>
          </cell>
          <cell r="T274">
            <v>0</v>
          </cell>
          <cell r="U274">
            <v>1</v>
          </cell>
          <cell r="V274">
            <v>1</v>
          </cell>
          <cell r="W274">
            <v>1</v>
          </cell>
          <cell r="X274">
            <v>0</v>
          </cell>
          <cell r="Y274">
            <v>0</v>
          </cell>
          <cell r="Z274">
            <v>1</v>
          </cell>
          <cell r="AA274">
            <v>1</v>
          </cell>
          <cell r="AB274">
            <v>1</v>
          </cell>
          <cell r="AC274">
            <v>0</v>
          </cell>
          <cell r="AD274">
            <v>0</v>
          </cell>
          <cell r="AE274">
            <v>1</v>
          </cell>
          <cell r="AF274">
            <v>1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1</v>
          </cell>
          <cell r="AL274">
            <v>0</v>
          </cell>
          <cell r="AM274">
            <v>21495</v>
          </cell>
          <cell r="AN274">
            <v>0.156</v>
          </cell>
          <cell r="AO274" t="str">
            <v>BRADY W.H. INDUSTRIAL PRODUCTS DIV.</v>
          </cell>
          <cell r="AP274" t="str">
            <v>אופק</v>
          </cell>
          <cell r="AQ274" t="str">
            <v>AVDOR HELET LTD</v>
          </cell>
          <cell r="AR274">
            <v>0.28000000000000003</v>
          </cell>
          <cell r="AT274" t="str">
            <v xml:space="preserve">
</v>
          </cell>
          <cell r="AU274">
            <v>0</v>
          </cell>
          <cell r="AV274">
            <v>0</v>
          </cell>
          <cell r="AW274">
            <v>0.28000000000000003</v>
          </cell>
          <cell r="AX274">
            <v>2.5999999999999999E-2</v>
          </cell>
          <cell r="AY274" t="str">
            <v>USD</v>
          </cell>
          <cell r="AZ274" t="str">
            <v>תומחר על ידי אופק</v>
          </cell>
          <cell r="BA274" t="str">
            <v>נורטק</v>
          </cell>
          <cell r="BD274">
            <v>0</v>
          </cell>
        </row>
        <row r="275">
          <cell r="D275">
            <v>409547020</v>
          </cell>
          <cell r="F275" t="str">
            <v>COUPLER HYBRID 3300-3800MHZ 3DB 90DE T&amp;R</v>
          </cell>
          <cell r="G275" t="str">
            <v>EA</v>
          </cell>
          <cell r="H275">
            <v>2</v>
          </cell>
          <cell r="I275">
            <v>16</v>
          </cell>
          <cell r="J275">
            <v>0</v>
          </cell>
          <cell r="K275">
            <v>0</v>
          </cell>
          <cell r="L275">
            <v>0</v>
          </cell>
          <cell r="M275">
            <v>4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4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4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4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28660</v>
          </cell>
          <cell r="AN275">
            <v>15.12</v>
          </cell>
          <cell r="AO275" t="e">
            <v>#N/A</v>
          </cell>
          <cell r="AP275" t="str">
            <v>אלתא</v>
          </cell>
          <cell r="AQ275" t="str">
            <v>ASCOTECH ELECTRONICS LTD</v>
          </cell>
          <cell r="AR275">
            <v>1.89</v>
          </cell>
          <cell r="AT275" t="str">
            <v xml:space="preserve">
</v>
          </cell>
          <cell r="AU275" t="e">
            <v>#N/A</v>
          </cell>
          <cell r="AV275">
            <v>29000</v>
          </cell>
          <cell r="AW275">
            <v>1.89</v>
          </cell>
          <cell r="AX275">
            <v>1.89</v>
          </cell>
          <cell r="AY275" t="str">
            <v>USD</v>
          </cell>
          <cell r="AZ275" t="str">
            <v xml:space="preserve"> אסקוטק אלקטרוניקה בע"מ</v>
          </cell>
          <cell r="BA275" t="str">
            <v>רינה</v>
          </cell>
          <cell r="BB275" t="str">
            <v>03-6496891</v>
          </cell>
          <cell r="BC275" t="str">
            <v>rinah@asco.co.il</v>
          </cell>
        </row>
        <row r="276">
          <cell r="D276">
            <v>400567121</v>
          </cell>
          <cell r="E276">
            <v>400856507</v>
          </cell>
          <cell r="F276" t="str">
            <v>IC VOLTAGE REF. 2.5V T&amp;R</v>
          </cell>
          <cell r="G276" t="str">
            <v>EA</v>
          </cell>
          <cell r="H276">
            <v>2</v>
          </cell>
          <cell r="I276">
            <v>8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2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2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2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2</v>
          </cell>
          <cell r="AL276">
            <v>0</v>
          </cell>
          <cell r="AM276">
            <v>14330</v>
          </cell>
          <cell r="AN276">
            <v>11.192</v>
          </cell>
          <cell r="AO276" t="str">
            <v>ANALOG DEVICES</v>
          </cell>
          <cell r="AP276" t="str">
            <v>אופק</v>
          </cell>
          <cell r="AQ276" t="str">
            <v>ELBATECH TRADE AND LOGISTICS</v>
          </cell>
          <cell r="AR276">
            <v>2.64</v>
          </cell>
          <cell r="AT276" t="str">
            <v xml:space="preserve">
</v>
          </cell>
          <cell r="AU276">
            <v>1000</v>
          </cell>
          <cell r="AV276">
            <v>1000</v>
          </cell>
          <cell r="AW276">
            <v>2.64</v>
          </cell>
          <cell r="AX276">
            <v>2.798</v>
          </cell>
          <cell r="AY276" t="str">
            <v>USD</v>
          </cell>
          <cell r="AZ276" t="str">
            <v>תומחר על ידי אופק</v>
          </cell>
          <cell r="BA276" t="str">
            <v>אלבטק</v>
          </cell>
          <cell r="BD276">
            <v>0</v>
          </cell>
        </row>
        <row r="277">
          <cell r="D277">
            <v>732400080</v>
          </cell>
          <cell r="F277" t="str">
            <v>SEALANT,SILICONE ADHESIVE,HIGH STRENGTH,</v>
          </cell>
          <cell r="G277" t="str">
            <v>AR</v>
          </cell>
          <cell r="H277">
            <v>2</v>
          </cell>
          <cell r="I277">
            <v>0.20000000000000004</v>
          </cell>
          <cell r="J277">
            <v>0</v>
          </cell>
          <cell r="K277">
            <v>0</v>
          </cell>
          <cell r="L277">
            <v>0.05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5.000000000000001E-2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0.05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5.000000000000001E-2</v>
          </cell>
          <cell r="AK277">
            <v>0</v>
          </cell>
          <cell r="AL277">
            <v>0</v>
          </cell>
          <cell r="AM277">
            <v>277.5</v>
          </cell>
          <cell r="AN277">
            <v>9</v>
          </cell>
          <cell r="AO277" t="str">
            <v>MOMENTIV PERFORMENCE MATERIALS QUAR</v>
          </cell>
          <cell r="AP277" t="str">
            <v>אופק</v>
          </cell>
          <cell r="AQ277" t="str">
            <v>BOEING</v>
          </cell>
          <cell r="AR277">
            <v>61.82</v>
          </cell>
          <cell r="AT277" t="str">
            <v xml:space="preserve">
</v>
          </cell>
          <cell r="AU277">
            <v>0</v>
          </cell>
          <cell r="AV277">
            <v>0</v>
          </cell>
          <cell r="AW277">
            <v>61.82</v>
          </cell>
          <cell r="AX277">
            <v>90</v>
          </cell>
          <cell r="AY277" t="str">
            <v>USD</v>
          </cell>
          <cell r="AZ277" t="str">
            <v>תומחר על ידי אופק</v>
          </cell>
          <cell r="BA277" t="str">
            <v>Aerospheres Inc.</v>
          </cell>
          <cell r="BD277" t="str">
            <v>הזמנה אחרונה 7/25 כמות של 6 יח'</v>
          </cell>
        </row>
        <row r="278">
          <cell r="D278">
            <v>401351649</v>
          </cell>
          <cell r="F278" t="str">
            <v>TRANSISTOR N-CHANNEL 60V  MOSFET T&amp;R</v>
          </cell>
          <cell r="G278" t="str">
            <v>EA</v>
          </cell>
          <cell r="H278">
            <v>1</v>
          </cell>
          <cell r="I278">
            <v>18</v>
          </cell>
          <cell r="J278">
            <v>0</v>
          </cell>
          <cell r="K278">
            <v>0</v>
          </cell>
          <cell r="L278">
            <v>0</v>
          </cell>
          <cell r="M278">
            <v>1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4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4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4</v>
          </cell>
          <cell r="AC278">
            <v>0</v>
          </cell>
          <cell r="AD278">
            <v>0</v>
          </cell>
          <cell r="AE278">
            <v>0</v>
          </cell>
          <cell r="AF278">
            <v>1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4</v>
          </cell>
          <cell r="AL278">
            <v>0</v>
          </cell>
          <cell r="AM278">
            <v>31435</v>
          </cell>
          <cell r="AN278">
            <v>3.15</v>
          </cell>
          <cell r="AO278" t="str">
            <v>VISHAY - SILICONIX</v>
          </cell>
          <cell r="AP278" t="str">
            <v>אופק</v>
          </cell>
          <cell r="AQ278" t="str">
            <v>ECOMAL ISRAEL LTD</v>
          </cell>
          <cell r="AR278">
            <v>0.3</v>
          </cell>
          <cell r="AT278" t="str">
            <v xml:space="preserve">
</v>
          </cell>
          <cell r="AU278">
            <v>32500</v>
          </cell>
          <cell r="AV278">
            <v>0</v>
          </cell>
          <cell r="AW278">
            <v>0.3</v>
          </cell>
          <cell r="AX278">
            <v>0.35</v>
          </cell>
          <cell r="AY278" t="str">
            <v>USD</v>
          </cell>
          <cell r="AZ278" t="str">
            <v>תומחר על ידי אופק</v>
          </cell>
          <cell r="BA278" t="str">
            <v>אקומל</v>
          </cell>
          <cell r="BD278" t="str">
            <v>25kpcs 3-4 wks. stock for today
7500pcs 6-8 wks.</v>
          </cell>
        </row>
        <row r="279">
          <cell r="D279">
            <v>409729294</v>
          </cell>
          <cell r="F279" t="str">
            <v>MOSFET DUAL N-CHANNEL  100V T&amp;R</v>
          </cell>
          <cell r="G279" t="str">
            <v>EA</v>
          </cell>
          <cell r="H279">
            <v>2</v>
          </cell>
          <cell r="I279">
            <v>8</v>
          </cell>
          <cell r="J279">
            <v>0</v>
          </cell>
          <cell r="K279">
            <v>0</v>
          </cell>
          <cell r="L279">
            <v>0</v>
          </cell>
          <cell r="M279">
            <v>4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4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11100</v>
          </cell>
          <cell r="AN279">
            <v>2.6</v>
          </cell>
          <cell r="AO279" t="str">
            <v>VISHAY - SILICONIX</v>
          </cell>
          <cell r="AP279" t="str">
            <v>אופק</v>
          </cell>
          <cell r="AQ279" t="str">
            <v>ECOMAL ISRAEL LTD</v>
          </cell>
          <cell r="AR279">
            <v>0.65</v>
          </cell>
          <cell r="AT279" t="str">
            <v xml:space="preserve">
</v>
          </cell>
          <cell r="AU279">
            <v>12000</v>
          </cell>
          <cell r="AV279">
            <v>0</v>
          </cell>
          <cell r="AW279">
            <v>0.55600000000000005</v>
          </cell>
          <cell r="AX279">
            <v>0.65</v>
          </cell>
          <cell r="AY279" t="str">
            <v>USD</v>
          </cell>
          <cell r="AZ279" t="str">
            <v>תומחר על ידי אופק</v>
          </cell>
          <cell r="BA279" t="str">
            <v>אקומל</v>
          </cell>
          <cell r="BD279" t="str">
            <v>3-4 wks. stock for today</v>
          </cell>
        </row>
        <row r="280">
          <cell r="D280">
            <v>411011051</v>
          </cell>
          <cell r="F280" t="str">
            <v>TRANSISTOR MOSFET DUAL N CHANNEL 30V T&amp;R</v>
          </cell>
          <cell r="G280" t="str">
            <v>EA</v>
          </cell>
          <cell r="H280">
            <v>2</v>
          </cell>
          <cell r="I280">
            <v>4</v>
          </cell>
          <cell r="J280">
            <v>0</v>
          </cell>
          <cell r="K280">
            <v>0</v>
          </cell>
          <cell r="L280">
            <v>0</v>
          </cell>
          <cell r="M280">
            <v>2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2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5550</v>
          </cell>
          <cell r="AN280">
            <v>0.6</v>
          </cell>
          <cell r="AO280" t="str">
            <v>VISHAY - SILICONIX</v>
          </cell>
          <cell r="AP280" t="str">
            <v>אופק</v>
          </cell>
          <cell r="AQ280" t="str">
            <v>LEVANON &amp; COGEN LTD</v>
          </cell>
          <cell r="AR280">
            <v>0.28999999999999998</v>
          </cell>
          <cell r="AT280" t="str">
            <v xml:space="preserve">
</v>
          </cell>
          <cell r="AU280">
            <v>6000</v>
          </cell>
          <cell r="AV280">
            <v>0</v>
          </cell>
          <cell r="AW280">
            <v>0.28999999999999998</v>
          </cell>
          <cell r="AX280">
            <v>0.3</v>
          </cell>
          <cell r="AY280" t="str">
            <v>USD</v>
          </cell>
          <cell r="AZ280" t="str">
            <v>תומחר על ידי אופק</v>
          </cell>
          <cell r="BA280" t="str">
            <v>אקומל</v>
          </cell>
          <cell r="BD280" t="str">
            <v>3-4 wks. stock for today</v>
          </cell>
        </row>
        <row r="281">
          <cell r="D281">
            <v>401480774</v>
          </cell>
          <cell r="E281" t="str">
            <v>FFF002027</v>
          </cell>
          <cell r="F281" t="str">
            <v>DIODE TRANSIENT SUPRESSOR 5V T&amp;R</v>
          </cell>
          <cell r="G281" t="str">
            <v>EA</v>
          </cell>
          <cell r="H281">
            <v>2</v>
          </cell>
          <cell r="I281">
            <v>8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2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2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2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2</v>
          </cell>
          <cell r="AL281">
            <v>0</v>
          </cell>
          <cell r="AM281">
            <v>14330</v>
          </cell>
          <cell r="AN281">
            <v>0.195156</v>
          </cell>
          <cell r="AO281" t="str">
            <v>VISHAY SEMICONDUCTORS GMBH</v>
          </cell>
          <cell r="AP281" t="str">
            <v>אופק</v>
          </cell>
          <cell r="AQ281" t="str">
            <v>ECOMAL ISRAEL LTD</v>
          </cell>
          <cell r="AR281">
            <v>0.05</v>
          </cell>
          <cell r="AT281" t="str">
            <v xml:space="preserve">
</v>
          </cell>
          <cell r="AU281">
            <v>750</v>
          </cell>
          <cell r="AV281">
            <v>750</v>
          </cell>
          <cell r="AW281">
            <v>0.05</v>
          </cell>
          <cell r="AX281">
            <v>4.8788999999999999E-2</v>
          </cell>
          <cell r="AY281" t="str">
            <v>USD</v>
          </cell>
          <cell r="AZ281" t="str">
            <v>תומחר על ידי אופק</v>
          </cell>
          <cell r="BA281" t="str">
            <v>ארו</v>
          </cell>
          <cell r="BD281" t="str">
            <v>3-4 wks. stock for today</v>
          </cell>
        </row>
        <row r="282">
          <cell r="D282">
            <v>401533494</v>
          </cell>
          <cell r="E282">
            <v>401534525</v>
          </cell>
          <cell r="F282" t="str">
            <v>TRANSIENT ABSORPTION ZENER 8V,600W T&amp;R</v>
          </cell>
          <cell r="G282" t="str">
            <v>EA</v>
          </cell>
          <cell r="H282">
            <v>2</v>
          </cell>
          <cell r="I282">
            <v>8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2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2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2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2</v>
          </cell>
          <cell r="AL282">
            <v>0</v>
          </cell>
          <cell r="AM282">
            <v>14330</v>
          </cell>
          <cell r="AN282">
            <v>0.19188</v>
          </cell>
          <cell r="AO282" t="str">
            <v>VISHAY EUROPE SALE GMBH</v>
          </cell>
          <cell r="AP282" t="str">
            <v>אופק</v>
          </cell>
          <cell r="AQ282" t="str">
            <v>ECOMAL ISRAEL LTD</v>
          </cell>
          <cell r="AR282">
            <v>0.06</v>
          </cell>
          <cell r="AT282" t="str">
            <v xml:space="preserve">
</v>
          </cell>
          <cell r="AU282">
            <v>3000</v>
          </cell>
          <cell r="AV282">
            <v>750</v>
          </cell>
          <cell r="AW282">
            <v>0.06</v>
          </cell>
          <cell r="AX282">
            <v>4.7969999999999999E-2</v>
          </cell>
          <cell r="AY282" t="str">
            <v>USD</v>
          </cell>
          <cell r="AZ282" t="str">
            <v>תומחר על ידי אופק</v>
          </cell>
          <cell r="BA282" t="str">
            <v>ארו</v>
          </cell>
          <cell r="BD282" t="str">
            <v>2250pcs stock; balance 12 wks.</v>
          </cell>
        </row>
        <row r="283">
          <cell r="D283">
            <v>421264840</v>
          </cell>
          <cell r="E283">
            <v>421264894</v>
          </cell>
          <cell r="F283" t="str">
            <v>DIODE TVS 200W T&amp;R</v>
          </cell>
          <cell r="G283" t="str">
            <v>EA</v>
          </cell>
          <cell r="H283">
            <v>2</v>
          </cell>
          <cell r="I283">
            <v>4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1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1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1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1</v>
          </cell>
          <cell r="AL283">
            <v>0</v>
          </cell>
          <cell r="AM283">
            <v>7165</v>
          </cell>
          <cell r="AN283">
            <v>0.1226</v>
          </cell>
          <cell r="AO283" t="str">
            <v>LITTELFUSE INC</v>
          </cell>
          <cell r="AP283" t="str">
            <v>אופק</v>
          </cell>
          <cell r="AQ283" t="str">
            <v>MICATALOG LTD</v>
          </cell>
          <cell r="AR283">
            <v>0.75800000000000001</v>
          </cell>
          <cell r="AT283" t="str">
            <v xml:space="preserve">
</v>
          </cell>
          <cell r="AU283">
            <v>3000</v>
          </cell>
          <cell r="AV283">
            <v>3000</v>
          </cell>
          <cell r="AW283">
            <v>0.75800000000000001</v>
          </cell>
          <cell r="AX283">
            <v>6.13E-2</v>
          </cell>
          <cell r="AY283" t="str">
            <v>USD</v>
          </cell>
          <cell r="AZ283" t="str">
            <v>תומחר על ידי אופק</v>
          </cell>
          <cell r="BA283" t="str">
            <v>Future</v>
          </cell>
          <cell r="BD283">
            <v>0</v>
          </cell>
        </row>
        <row r="284">
          <cell r="D284">
            <v>411063844</v>
          </cell>
          <cell r="E284" t="str">
            <v>FFF004628</v>
          </cell>
          <cell r="F284" t="str">
            <v>CHIP CAP 1.1PF +/-0.1PF 150V 1.4MM2</v>
          </cell>
          <cell r="G284" t="str">
            <v>EA</v>
          </cell>
          <cell r="H284">
            <v>2</v>
          </cell>
          <cell r="I284">
            <v>8</v>
          </cell>
          <cell r="J284">
            <v>0</v>
          </cell>
          <cell r="K284">
            <v>0</v>
          </cell>
          <cell r="L284">
            <v>0</v>
          </cell>
          <cell r="M284">
            <v>4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4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11100</v>
          </cell>
          <cell r="AN284">
            <v>2.2400000000000002</v>
          </cell>
          <cell r="AO284" t="str">
            <v>PASSIVE PLUS, LLC</v>
          </cell>
          <cell r="AP284" t="str">
            <v>אופק</v>
          </cell>
          <cell r="AQ284">
            <v>1</v>
          </cell>
          <cell r="AR284">
            <v>0.56000000000000005</v>
          </cell>
          <cell r="AT284" t="str">
            <v xml:space="preserve">
</v>
          </cell>
          <cell r="AU284">
            <v>11500</v>
          </cell>
          <cell r="AV284">
            <v>500</v>
          </cell>
          <cell r="AW284">
            <v>0.56000000000000005</v>
          </cell>
          <cell r="AX284">
            <v>0.56000000000000005</v>
          </cell>
          <cell r="AY284" t="str">
            <v>USD</v>
          </cell>
          <cell r="AZ284" t="str">
            <v>תומחר על ידי אופק</v>
          </cell>
          <cell r="BA284" t="str">
            <v>פיניקס</v>
          </cell>
          <cell r="BD284" t="str">
            <v>פריט NCNR</v>
          </cell>
        </row>
        <row r="285">
          <cell r="D285">
            <v>401050320</v>
          </cell>
          <cell r="F285" t="str">
            <v>SURFACE MOUNT TERMINATION DC-4GHZ</v>
          </cell>
          <cell r="G285" t="str">
            <v>EA</v>
          </cell>
          <cell r="H285">
            <v>1</v>
          </cell>
          <cell r="I285">
            <v>8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4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4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17560</v>
          </cell>
          <cell r="AN285">
            <v>4.04</v>
          </cell>
          <cell r="AO285" t="str">
            <v>SMITHS INTERCONNECT AMERICAS,</v>
          </cell>
          <cell r="AP285" t="str">
            <v>אופק</v>
          </cell>
          <cell r="AQ285">
            <v>1</v>
          </cell>
          <cell r="AR285">
            <v>0.89</v>
          </cell>
          <cell r="AT285" t="str">
            <v xml:space="preserve">Y
</v>
          </cell>
          <cell r="AU285">
            <v>0</v>
          </cell>
          <cell r="AV285">
            <v>0</v>
          </cell>
          <cell r="AW285">
            <v>0.89</v>
          </cell>
          <cell r="AX285">
            <v>1.01</v>
          </cell>
          <cell r="AY285" t="str">
            <v>USD</v>
          </cell>
          <cell r="AZ285" t="str">
            <v>תומחר על ידי אופק</v>
          </cell>
          <cell r="BA285" t="str">
            <v>RMFW</v>
          </cell>
          <cell r="BD285" t="str">
            <v>RMFW - 70$ משלוח
+10$ גלילה לפריט</v>
          </cell>
        </row>
        <row r="286">
          <cell r="D286">
            <v>401693175</v>
          </cell>
          <cell r="F286" t="str">
            <v>SURFACE MOUNT TERMINATION DC-4GHZ T&amp;R</v>
          </cell>
          <cell r="G286" t="str">
            <v>EA</v>
          </cell>
          <cell r="H286">
            <v>1</v>
          </cell>
          <cell r="I286">
            <v>8</v>
          </cell>
          <cell r="J286">
            <v>0</v>
          </cell>
          <cell r="K286">
            <v>0</v>
          </cell>
          <cell r="L286">
            <v>0</v>
          </cell>
          <cell r="M286">
            <v>2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2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2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2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14330</v>
          </cell>
          <cell r="AN286">
            <v>4.4000000000000004</v>
          </cell>
          <cell r="AO286" t="str">
            <v>SMITHS INTERCONNECT AMERICAS,</v>
          </cell>
          <cell r="AP286" t="str">
            <v>אופק</v>
          </cell>
          <cell r="AQ286" t="str">
            <v>R.F.M.W. ISRAEL LTD</v>
          </cell>
          <cell r="AR286">
            <v>0.99</v>
          </cell>
          <cell r="AT286" t="str">
            <v xml:space="preserve">Y
</v>
          </cell>
          <cell r="AU286">
            <v>0</v>
          </cell>
          <cell r="AV286">
            <v>0</v>
          </cell>
          <cell r="AW286">
            <v>0.99</v>
          </cell>
          <cell r="AX286">
            <v>1.1000000000000001</v>
          </cell>
          <cell r="AY286" t="str">
            <v>USD</v>
          </cell>
          <cell r="AZ286" t="str">
            <v>תומחר על ידי אופק</v>
          </cell>
          <cell r="BA286" t="str">
            <v>RMFW</v>
          </cell>
          <cell r="BD286" t="str">
            <v>RMFW - 70$ משלוח
+10$ גלילה לפריט</v>
          </cell>
        </row>
        <row r="287">
          <cell r="D287">
            <v>405584339</v>
          </cell>
          <cell r="E287">
            <v>406483066</v>
          </cell>
          <cell r="F287" t="str">
            <v>IC QUADRUPLE BUFFER TRANSLATOR T&amp;R</v>
          </cell>
          <cell r="G287" t="str">
            <v>EA</v>
          </cell>
          <cell r="H287">
            <v>2</v>
          </cell>
          <cell r="I287">
            <v>4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1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1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1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1</v>
          </cell>
          <cell r="AL287">
            <v>0</v>
          </cell>
          <cell r="AM287">
            <v>7165</v>
          </cell>
          <cell r="AN287">
            <v>0.42399999999999999</v>
          </cell>
          <cell r="AO287" t="str">
            <v>TEXAS INSTRUMENTS INC</v>
          </cell>
          <cell r="AP287" t="str">
            <v>אופק</v>
          </cell>
          <cell r="AQ287">
            <v>1</v>
          </cell>
          <cell r="AR287">
            <v>0.2</v>
          </cell>
          <cell r="AT287" t="str">
            <v xml:space="preserve">
</v>
          </cell>
          <cell r="AU287">
            <v>2000</v>
          </cell>
          <cell r="AV287">
            <v>2000</v>
          </cell>
          <cell r="AW287">
            <v>0.2</v>
          </cell>
          <cell r="AX287">
            <v>0.21199999999999999</v>
          </cell>
          <cell r="AY287" t="str">
            <v>USD</v>
          </cell>
          <cell r="AZ287" t="str">
            <v>תומחר על ידי אופק</v>
          </cell>
          <cell r="BA287" t="str">
            <v>אלבטק</v>
          </cell>
          <cell r="BD287">
            <v>0</v>
          </cell>
        </row>
        <row r="288">
          <cell r="D288">
            <v>406639527</v>
          </cell>
          <cell r="F288" t="str">
            <v>IC SINGLE INVERTER GATE T&amp;R</v>
          </cell>
          <cell r="G288" t="str">
            <v>EA</v>
          </cell>
          <cell r="H288">
            <v>2</v>
          </cell>
          <cell r="I288">
            <v>6</v>
          </cell>
          <cell r="J288">
            <v>0</v>
          </cell>
          <cell r="K288">
            <v>0</v>
          </cell>
          <cell r="L288">
            <v>0</v>
          </cell>
          <cell r="M288">
            <v>6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12900</v>
          </cell>
          <cell r="AN288">
            <v>0</v>
          </cell>
          <cell r="AO288" t="str">
            <v>TEXAS INSTRUMENTS INC</v>
          </cell>
          <cell r="AP288" t="str">
            <v>אופק</v>
          </cell>
          <cell r="AQ288">
            <v>1</v>
          </cell>
          <cell r="AR288">
            <v>0.05</v>
          </cell>
          <cell r="AT288" t="str">
            <v xml:space="preserve">
</v>
          </cell>
          <cell r="AU288">
            <v>3000</v>
          </cell>
          <cell r="AV288">
            <v>3000</v>
          </cell>
          <cell r="AW288">
            <v>0.05</v>
          </cell>
          <cell r="AX288">
            <v>2.12E-2</v>
          </cell>
          <cell r="AY288" t="str">
            <v>USD</v>
          </cell>
          <cell r="AZ288" t="str">
            <v>תומחר על ידי אופק</v>
          </cell>
          <cell r="BA288" t="str">
            <v>אלבטק</v>
          </cell>
          <cell r="BD288">
            <v>0</v>
          </cell>
        </row>
        <row r="289">
          <cell r="D289">
            <v>405072786</v>
          </cell>
          <cell r="E289">
            <v>402527757</v>
          </cell>
          <cell r="F289" t="str">
            <v>IC OCTAL BUFFERS/DRIVERS</v>
          </cell>
          <cell r="G289" t="str">
            <v>EA</v>
          </cell>
          <cell r="H289">
            <v>2</v>
          </cell>
          <cell r="I289">
            <v>4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1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1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1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1</v>
          </cell>
          <cell r="AL289">
            <v>0</v>
          </cell>
          <cell r="AM289">
            <v>7165</v>
          </cell>
          <cell r="AN289">
            <v>0.7</v>
          </cell>
          <cell r="AO289" t="str">
            <v>TEXAS INSTRUMENTS INC</v>
          </cell>
          <cell r="AP289" t="str">
            <v>אופק</v>
          </cell>
          <cell r="AQ289">
            <v>1</v>
          </cell>
          <cell r="AR289">
            <v>0.25</v>
          </cell>
          <cell r="AT289" t="str">
            <v xml:space="preserve">
</v>
          </cell>
          <cell r="AU289">
            <v>3000</v>
          </cell>
          <cell r="AV289">
            <v>3000</v>
          </cell>
          <cell r="AW289">
            <v>0.25</v>
          </cell>
          <cell r="AX289">
            <v>0.35</v>
          </cell>
          <cell r="AY289" t="str">
            <v>USD</v>
          </cell>
          <cell r="AZ289" t="str">
            <v>תומחר על ידי אופק</v>
          </cell>
          <cell r="BA289" t="str">
            <v>אלבטק</v>
          </cell>
          <cell r="BD289">
            <v>0</v>
          </cell>
        </row>
        <row r="290">
          <cell r="D290">
            <v>400793320</v>
          </cell>
          <cell r="F290" t="str">
            <v>CONN RCET MISC 100 SKT SMT, QUAD ROW,</v>
          </cell>
          <cell r="G290" t="str">
            <v>EA</v>
          </cell>
          <cell r="H290">
            <v>2</v>
          </cell>
          <cell r="I290">
            <v>4</v>
          </cell>
          <cell r="J290">
            <v>0</v>
          </cell>
          <cell r="K290">
            <v>0</v>
          </cell>
          <cell r="L290">
            <v>0</v>
          </cell>
          <cell r="M290">
            <v>1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1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1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1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7165</v>
          </cell>
          <cell r="AN290">
            <v>14.975999999999999</v>
          </cell>
          <cell r="AO290" t="str">
            <v>SAMTEC</v>
          </cell>
          <cell r="AP290" t="str">
            <v>אופק</v>
          </cell>
          <cell r="AQ290">
            <v>1</v>
          </cell>
          <cell r="AR290">
            <v>4.9000000000000004</v>
          </cell>
          <cell r="AT290" t="str">
            <v xml:space="preserve">
</v>
          </cell>
          <cell r="AU290">
            <v>1</v>
          </cell>
          <cell r="AV290">
            <v>1</v>
          </cell>
          <cell r="AW290">
            <v>4.9000000000000004</v>
          </cell>
          <cell r="AX290">
            <v>7.4879999999999995</v>
          </cell>
          <cell r="AY290" t="str">
            <v>USD</v>
          </cell>
          <cell r="AZ290" t="str">
            <v>תומחר על ידי אופק</v>
          </cell>
          <cell r="BA290" t="str">
            <v>ארו</v>
          </cell>
          <cell r="BD290">
            <v>0</v>
          </cell>
        </row>
        <row r="291">
          <cell r="D291">
            <v>732350392</v>
          </cell>
          <cell r="F291" t="str">
            <v>PRIMER FOR RTV SILICONE RUBBER ADHESIVE</v>
          </cell>
          <cell r="G291" t="str">
            <v>AR</v>
          </cell>
          <cell r="H291">
            <v>2</v>
          </cell>
          <cell r="I291">
            <v>0.10000000000000002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5.000000000000001E-2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5.000000000000001E-2</v>
          </cell>
          <cell r="AK291">
            <v>0</v>
          </cell>
          <cell r="AL291">
            <v>0</v>
          </cell>
          <cell r="AM291">
            <v>138.75000000000003</v>
          </cell>
          <cell r="AN291">
            <v>4.5000000000000012E-2</v>
          </cell>
          <cell r="AO291" t="str">
            <v>MOMENTIVE PERFORMANCE MATERIALS</v>
          </cell>
          <cell r="AP291" t="str">
            <v>אופק</v>
          </cell>
          <cell r="AQ291" t="str">
            <v>BOEING</v>
          </cell>
          <cell r="AR291">
            <v>0.1473906633906634</v>
          </cell>
          <cell r="AT291" t="str">
            <v xml:space="preserve">
</v>
          </cell>
          <cell r="AU291">
            <v>0</v>
          </cell>
          <cell r="AV291">
            <v>0</v>
          </cell>
          <cell r="AW291">
            <v>0.1474</v>
          </cell>
          <cell r="AX291">
            <v>0.9</v>
          </cell>
          <cell r="AY291" t="str">
            <v>USD</v>
          </cell>
          <cell r="AZ291" t="str">
            <v>תומחר על ידי אופק</v>
          </cell>
          <cell r="BA291" t="str">
            <v>האס</v>
          </cell>
          <cell r="BD291" t="str">
            <v>הזמנה אחרונה 5/25 כמות של 10 יח'</v>
          </cell>
        </row>
        <row r="292">
          <cell r="D292">
            <v>417531785</v>
          </cell>
          <cell r="E292">
            <v>411160889</v>
          </cell>
          <cell r="F292" t="str">
            <v>CHIP CAP TANT TA2O5 100UF 6.3VDC 20^ T&amp;R</v>
          </cell>
          <cell r="G292" t="str">
            <v>EA</v>
          </cell>
          <cell r="H292">
            <v>2</v>
          </cell>
          <cell r="I292">
            <v>8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2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2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2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2</v>
          </cell>
          <cell r="AL292">
            <v>0</v>
          </cell>
          <cell r="AM292">
            <v>14330</v>
          </cell>
          <cell r="AN292">
            <v>0.76</v>
          </cell>
          <cell r="AO292" t="str">
            <v>VISHAY EUROPE SALE GMBH</v>
          </cell>
          <cell r="AP292" t="str">
            <v>אופק</v>
          </cell>
          <cell r="AQ292" t="str">
            <v>ECOMAL ISRAEL LTD</v>
          </cell>
          <cell r="AR292">
            <v>0.19</v>
          </cell>
          <cell r="AT292" t="str">
            <v xml:space="preserve">
</v>
          </cell>
          <cell r="AU292">
            <v>16000</v>
          </cell>
          <cell r="AV292">
            <v>0</v>
          </cell>
          <cell r="AW292">
            <v>0.19</v>
          </cell>
          <cell r="AX292">
            <v>0.19</v>
          </cell>
          <cell r="AY292" t="str">
            <v>USD</v>
          </cell>
          <cell r="AZ292" t="str">
            <v>תומחר על ידי אופק</v>
          </cell>
          <cell r="BA292" t="str">
            <v>אקומל</v>
          </cell>
          <cell r="BD292" t="str">
            <v>3-4 wks. stock for today</v>
          </cell>
        </row>
        <row r="293">
          <cell r="D293">
            <v>425577966</v>
          </cell>
          <cell r="F293" t="str">
            <v>CHIP CAP TANTALUM 220UF 10^ 16V 2924 T&amp;R</v>
          </cell>
          <cell r="G293" t="str">
            <v>EA</v>
          </cell>
          <cell r="H293">
            <v>1</v>
          </cell>
          <cell r="I293">
            <v>14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7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7</v>
          </cell>
          <cell r="AL293">
            <v>0</v>
          </cell>
          <cell r="AM293">
            <v>19425</v>
          </cell>
          <cell r="AN293">
            <v>28</v>
          </cell>
          <cell r="AO293" t="e">
            <v>#N/A</v>
          </cell>
          <cell r="AP293" t="str">
            <v>אלתא</v>
          </cell>
          <cell r="AQ293" t="str">
            <v>PHOENIX TECHNOLOGIES LTD</v>
          </cell>
          <cell r="AR293">
            <v>3.75</v>
          </cell>
          <cell r="AT293" t="str">
            <v xml:space="preserve">
</v>
          </cell>
          <cell r="AU293" t="e">
            <v>#N/A</v>
          </cell>
          <cell r="AV293">
            <v>19500</v>
          </cell>
          <cell r="AW293">
            <v>3.75</v>
          </cell>
          <cell r="AX293">
            <v>4</v>
          </cell>
          <cell r="AY293" t="str">
            <v>USD</v>
          </cell>
          <cell r="AZ293" t="str">
            <v>PHEONIX</v>
          </cell>
          <cell r="BA293" t="str">
            <v>אדית</v>
          </cell>
          <cell r="BB293" t="str">
            <v>09-7644874</v>
          </cell>
          <cell r="BC293" t="str">
            <v>Adith@phnx.co.il</v>
          </cell>
        </row>
        <row r="294">
          <cell r="D294">
            <v>404179731</v>
          </cell>
          <cell r="F294" t="str">
            <v>MW AMPLIFIER DRIVER 2.7-4.0GHZ</v>
          </cell>
          <cell r="G294" t="str">
            <v>EA</v>
          </cell>
          <cell r="H294">
            <v>2</v>
          </cell>
          <cell r="I294">
            <v>2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2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1250</v>
          </cell>
          <cell r="AN294">
            <v>17</v>
          </cell>
          <cell r="AO294" t="e">
            <v>#N/A</v>
          </cell>
          <cell r="AP294" t="str">
            <v>אלתא</v>
          </cell>
          <cell r="AQ294">
            <v>1</v>
          </cell>
          <cell r="AR294">
            <v>8.5</v>
          </cell>
          <cell r="AT294" t="str">
            <v xml:space="preserve">
</v>
          </cell>
          <cell r="AU294" t="e">
            <v>#N/A</v>
          </cell>
          <cell r="AV294">
            <v>2000</v>
          </cell>
          <cell r="AW294">
            <v>8.5</v>
          </cell>
          <cell r="AX294">
            <v>8.5</v>
          </cell>
          <cell r="AY294" t="str">
            <v>USD</v>
          </cell>
          <cell r="AZ294" t="str">
            <v>QORVO</v>
          </cell>
          <cell r="BA294" t="str">
            <v>שאולי רונין</v>
          </cell>
          <cell r="BB294">
            <v>546651066</v>
          </cell>
          <cell r="BC294" t="str">
            <v>shuli.ronin@qorvo.com</v>
          </cell>
        </row>
        <row r="295">
          <cell r="D295">
            <v>409604724</v>
          </cell>
          <cell r="F295" t="str">
            <v>VPIN LIMITER 200W 2-4GHZ</v>
          </cell>
          <cell r="G295" t="str">
            <v>EA</v>
          </cell>
          <cell r="H295">
            <v>2</v>
          </cell>
          <cell r="I295">
            <v>4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2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2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5110</v>
          </cell>
          <cell r="AN295">
            <v>64</v>
          </cell>
          <cell r="AO295" t="e">
            <v>#N/A</v>
          </cell>
          <cell r="AP295" t="str">
            <v>אלתא</v>
          </cell>
          <cell r="AQ295">
            <v>1</v>
          </cell>
          <cell r="AR295">
            <v>16.5</v>
          </cell>
          <cell r="AT295" t="str">
            <v xml:space="preserve">
</v>
          </cell>
          <cell r="AU295" t="e">
            <v>#N/A</v>
          </cell>
          <cell r="AV295">
            <v>5500</v>
          </cell>
          <cell r="AW295">
            <v>16.5</v>
          </cell>
          <cell r="AX295">
            <v>16</v>
          </cell>
          <cell r="AY295" t="str">
            <v>USD</v>
          </cell>
          <cell r="AZ295" t="str">
            <v>QORVO</v>
          </cell>
          <cell r="BA295" t="str">
            <v>שאולי רונין</v>
          </cell>
          <cell r="BB295">
            <v>546651066</v>
          </cell>
          <cell r="BC295" t="str">
            <v>shuli.ronin@qorvo.com</v>
          </cell>
        </row>
        <row r="296">
          <cell r="D296">
            <v>401461708</v>
          </cell>
          <cell r="E296">
            <v>405816828</v>
          </cell>
          <cell r="F296" t="str">
            <v>IC LINEAR REGULATOR NEGATIVE ADJ. T&amp;R</v>
          </cell>
          <cell r="G296" t="str">
            <v>EA</v>
          </cell>
          <cell r="H296">
            <v>2</v>
          </cell>
          <cell r="I296">
            <v>8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2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2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2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2</v>
          </cell>
          <cell r="AL296">
            <v>0</v>
          </cell>
          <cell r="AM296">
            <v>14330</v>
          </cell>
          <cell r="AN296">
            <v>7.3760000000000003</v>
          </cell>
          <cell r="AO296" t="str">
            <v>TEXAS INSTRUMENTS INC</v>
          </cell>
          <cell r="AP296" t="str">
            <v>אופק</v>
          </cell>
          <cell r="AQ296">
            <v>1</v>
          </cell>
          <cell r="AR296">
            <v>1.35</v>
          </cell>
          <cell r="AT296" t="str">
            <v xml:space="preserve">
</v>
          </cell>
          <cell r="AU296">
            <v>250</v>
          </cell>
          <cell r="AV296">
            <v>250</v>
          </cell>
          <cell r="AW296">
            <v>1.35</v>
          </cell>
          <cell r="AX296">
            <v>1.8440000000000001</v>
          </cell>
          <cell r="AY296" t="str">
            <v>USD</v>
          </cell>
          <cell r="AZ296" t="str">
            <v>תומחר על ידי אופק</v>
          </cell>
          <cell r="BA296" t="str">
            <v>אלבטק</v>
          </cell>
          <cell r="BD296">
            <v>0</v>
          </cell>
        </row>
        <row r="297">
          <cell r="D297">
            <v>406564380</v>
          </cell>
          <cell r="E297">
            <v>406565026</v>
          </cell>
          <cell r="F297" t="str">
            <v>IC VOLTAGE REGULATOR 1A T&amp;R</v>
          </cell>
          <cell r="G297" t="str">
            <v>EA</v>
          </cell>
          <cell r="H297">
            <v>2</v>
          </cell>
          <cell r="I297">
            <v>4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1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1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1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1</v>
          </cell>
          <cell r="AL297">
            <v>0</v>
          </cell>
          <cell r="AM297">
            <v>7165</v>
          </cell>
          <cell r="AN297">
            <v>1.1020000000000001</v>
          </cell>
          <cell r="AO297" t="str">
            <v>TEXAS INSTRUMENTS INC</v>
          </cell>
          <cell r="AP297" t="str">
            <v>אופק</v>
          </cell>
          <cell r="AQ297">
            <v>1</v>
          </cell>
          <cell r="AR297">
            <v>0.63</v>
          </cell>
          <cell r="AT297" t="str">
            <v xml:space="preserve">
</v>
          </cell>
          <cell r="AU297">
            <v>3000</v>
          </cell>
          <cell r="AV297">
            <v>3000</v>
          </cell>
          <cell r="AW297">
            <v>0.63</v>
          </cell>
          <cell r="AX297">
            <v>0.55100000000000005</v>
          </cell>
          <cell r="AY297" t="str">
            <v>USD</v>
          </cell>
          <cell r="AZ297" t="str">
            <v>תומחר על ידי אופק</v>
          </cell>
          <cell r="BA297" t="str">
            <v>אלבטק</v>
          </cell>
          <cell r="BD297">
            <v>0</v>
          </cell>
        </row>
        <row r="298">
          <cell r="D298">
            <v>421575553</v>
          </cell>
          <cell r="F298" t="str">
            <v>ULTRA LOW NOISE FLAT GAIN LNA 0.6-4.2GHZ</v>
          </cell>
          <cell r="G298" t="str">
            <v>EA</v>
          </cell>
          <cell r="H298">
            <v>1</v>
          </cell>
          <cell r="I298">
            <v>8</v>
          </cell>
          <cell r="J298">
            <v>0</v>
          </cell>
          <cell r="K298">
            <v>0</v>
          </cell>
          <cell r="L298">
            <v>0</v>
          </cell>
          <cell r="M298">
            <v>2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2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2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2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14330</v>
          </cell>
          <cell r="AN298">
            <v>4.5999999999999996</v>
          </cell>
          <cell r="AO298" t="str">
            <v>QORVO US, INC</v>
          </cell>
          <cell r="AP298" t="str">
            <v>אופק</v>
          </cell>
          <cell r="AQ298">
            <v>1</v>
          </cell>
          <cell r="AR298">
            <v>1.1499999999999999</v>
          </cell>
          <cell r="AT298" t="str">
            <v xml:space="preserve">
</v>
          </cell>
          <cell r="AU298">
            <v>0</v>
          </cell>
          <cell r="AV298">
            <v>0</v>
          </cell>
          <cell r="AW298">
            <v>1.1499999999999999</v>
          </cell>
          <cell r="AX298">
            <v>1.1499999999999999</v>
          </cell>
          <cell r="AY298" t="str">
            <v>USD</v>
          </cell>
          <cell r="AZ298" t="str">
            <v>תומחר על ידי אופק</v>
          </cell>
          <cell r="BA298" t="str">
            <v>QORVO</v>
          </cell>
          <cell r="BD298">
            <v>980056878</v>
          </cell>
        </row>
        <row r="299">
          <cell r="D299" t="str">
            <v>N80407885</v>
          </cell>
          <cell r="F299" t="str">
            <v>ATTENUATOR DC-15GHZ 1DB 2WATT 50 OHM</v>
          </cell>
          <cell r="G299" t="str">
            <v>EA</v>
          </cell>
          <cell r="H299">
            <v>1</v>
          </cell>
          <cell r="I299">
            <v>2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2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1250</v>
          </cell>
          <cell r="AN299">
            <v>8.74</v>
          </cell>
          <cell r="AO299" t="str">
            <v>SMITHS INTERCONNECT AMERICAS,</v>
          </cell>
          <cell r="AP299" t="str">
            <v>אופק</v>
          </cell>
          <cell r="AQ299" t="str">
            <v>R.F.M.W. ISRAEL LTD</v>
          </cell>
          <cell r="AR299">
            <v>2.68</v>
          </cell>
          <cell r="AT299" t="str">
            <v xml:space="preserve">Y
</v>
          </cell>
          <cell r="AU299">
            <v>0</v>
          </cell>
          <cell r="AV299">
            <v>0</v>
          </cell>
          <cell r="AW299">
            <v>2.68</v>
          </cell>
          <cell r="AX299">
            <v>4.37</v>
          </cell>
          <cell r="AY299" t="str">
            <v>USD</v>
          </cell>
          <cell r="AZ299" t="str">
            <v>תומחר על ידי אופק</v>
          </cell>
          <cell r="BA299" t="str">
            <v>RMFW</v>
          </cell>
          <cell r="BD299" t="str">
            <v>RMFW - 70$ משלוח
+10$ גלילה לפריט</v>
          </cell>
        </row>
        <row r="300">
          <cell r="D300" t="str">
            <v>N80408594</v>
          </cell>
          <cell r="F300" t="str">
            <v>ATTENUATOR DC-15GHZ 2DB 2WATT 50 OHM</v>
          </cell>
          <cell r="G300" t="str">
            <v>EA</v>
          </cell>
          <cell r="H300">
            <v>1</v>
          </cell>
          <cell r="I300">
            <v>4</v>
          </cell>
          <cell r="J300">
            <v>0</v>
          </cell>
          <cell r="K300">
            <v>0</v>
          </cell>
          <cell r="L300">
            <v>0</v>
          </cell>
          <cell r="M300">
            <v>2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2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5550</v>
          </cell>
          <cell r="AN300">
            <v>9</v>
          </cell>
          <cell r="AO300" t="str">
            <v>SMITHS INTERCONNECT AMERICAS,</v>
          </cell>
          <cell r="AP300" t="str">
            <v>אופק</v>
          </cell>
          <cell r="AQ300" t="str">
            <v>R.F.M.W. ISRAEL LTD</v>
          </cell>
          <cell r="AR300">
            <v>4.07</v>
          </cell>
          <cell r="AT300" t="str">
            <v xml:space="preserve">Y
</v>
          </cell>
          <cell r="AU300">
            <v>0</v>
          </cell>
          <cell r="AV300">
            <v>0</v>
          </cell>
          <cell r="AW300">
            <v>4.5</v>
          </cell>
          <cell r="AX300">
            <v>4.5</v>
          </cell>
          <cell r="AY300" t="str">
            <v>USD</v>
          </cell>
          <cell r="AZ300" t="str">
            <v>תומחר על ידי אופק</v>
          </cell>
          <cell r="BA300" t="str">
            <v>RMFW</v>
          </cell>
          <cell r="BD300" t="str">
            <v>RMFW - 70$ משלוח
+10$ גלילה לפריט</v>
          </cell>
        </row>
        <row r="301">
          <cell r="D301" t="str">
            <v>N80406887</v>
          </cell>
          <cell r="F301" t="str">
            <v>ATTENUATOR DC-15GHZ 3DB 2WATT 50 OHM</v>
          </cell>
          <cell r="G301" t="str">
            <v>EA</v>
          </cell>
          <cell r="H301">
            <v>1</v>
          </cell>
          <cell r="I301">
            <v>2</v>
          </cell>
          <cell r="J301">
            <v>0</v>
          </cell>
          <cell r="K301">
            <v>0</v>
          </cell>
          <cell r="L301">
            <v>0</v>
          </cell>
          <cell r="M301">
            <v>2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4300</v>
          </cell>
          <cell r="AN301">
            <v>0</v>
          </cell>
          <cell r="AO301" t="str">
            <v>SMITHS INTERCONNECT AMERICAS,</v>
          </cell>
          <cell r="AP301" t="str">
            <v>אופק</v>
          </cell>
          <cell r="AQ301" t="str">
            <v>R.F.M.W. ISRAEL LTD</v>
          </cell>
          <cell r="AR301">
            <v>4.33</v>
          </cell>
          <cell r="AT301" t="str">
            <v xml:space="preserve">Y
</v>
          </cell>
          <cell r="AU301">
            <v>0</v>
          </cell>
          <cell r="AV301">
            <v>0</v>
          </cell>
          <cell r="AW301">
            <v>5.8</v>
          </cell>
          <cell r="AX301">
            <v>5.8</v>
          </cell>
          <cell r="AY301" t="str">
            <v>USD</v>
          </cell>
          <cell r="AZ301" t="str">
            <v>תומחר על ידי אופק</v>
          </cell>
          <cell r="BA301" t="str">
            <v>RMFW</v>
          </cell>
          <cell r="BD301" t="str">
            <v>RMFW - 70$ משלוח
+10$ גלילה לפריט</v>
          </cell>
        </row>
        <row r="302">
          <cell r="D302">
            <v>400048227</v>
          </cell>
          <cell r="E302">
            <v>400508538</v>
          </cell>
          <cell r="F302" t="str">
            <v>CHIP ATT. 1DB DC-18GHZ 0.1W 50OHM T&amp;R</v>
          </cell>
          <cell r="G302" t="str">
            <v>EA</v>
          </cell>
          <cell r="H302">
            <v>1</v>
          </cell>
          <cell r="I302">
            <v>8</v>
          </cell>
          <cell r="J302">
            <v>0</v>
          </cell>
          <cell r="K302">
            <v>0</v>
          </cell>
          <cell r="L302">
            <v>0</v>
          </cell>
          <cell r="M302">
            <v>3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1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1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3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12715</v>
          </cell>
          <cell r="AN302">
            <v>12.72</v>
          </cell>
          <cell r="AO302" t="str">
            <v>SMITHS INTERCONNECT AMERICAS,</v>
          </cell>
          <cell r="AP302" t="str">
            <v>אופק</v>
          </cell>
          <cell r="AQ302" t="str">
            <v>R.F.M.W. ISRAEL LTD</v>
          </cell>
          <cell r="AR302">
            <v>1.8</v>
          </cell>
          <cell r="AT302" t="str">
            <v xml:space="preserve">Y
</v>
          </cell>
          <cell r="AU302">
            <v>0</v>
          </cell>
          <cell r="AV302">
            <v>0</v>
          </cell>
          <cell r="AW302">
            <v>1.8</v>
          </cell>
          <cell r="AX302">
            <v>3.18</v>
          </cell>
          <cell r="AY302" t="str">
            <v>USD</v>
          </cell>
          <cell r="AZ302" t="str">
            <v>תומחר על ידי אופק</v>
          </cell>
          <cell r="BA302" t="str">
            <v>RMFW</v>
          </cell>
          <cell r="BD302" t="str">
            <v>RMFW - 70$ משלוח
+10$ גלילה לפריט</v>
          </cell>
        </row>
        <row r="303">
          <cell r="D303" t="str">
            <v>N80416613</v>
          </cell>
          <cell r="F303" t="str">
            <v>ATTENUATOR DC-15GHZ 2DB .1WATT 50 OH</v>
          </cell>
          <cell r="G303" t="str">
            <v>EA</v>
          </cell>
          <cell r="H303">
            <v>1</v>
          </cell>
          <cell r="I303">
            <v>16</v>
          </cell>
          <cell r="J303">
            <v>0</v>
          </cell>
          <cell r="K303">
            <v>0</v>
          </cell>
          <cell r="L303">
            <v>0</v>
          </cell>
          <cell r="M303">
            <v>3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5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5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3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30275</v>
          </cell>
          <cell r="AN303">
            <v>25.44</v>
          </cell>
          <cell r="AO303" t="e">
            <v>#N/A</v>
          </cell>
          <cell r="AP303" t="str">
            <v>אלתא</v>
          </cell>
          <cell r="AQ303" t="str">
            <v>R.F.M.W. ISRAEL LTD</v>
          </cell>
          <cell r="AR303">
            <v>1.8</v>
          </cell>
          <cell r="AT303" t="str">
            <v xml:space="preserve">Y
</v>
          </cell>
          <cell r="AU303" t="e">
            <v>#N/A</v>
          </cell>
          <cell r="AV303">
            <v>35</v>
          </cell>
          <cell r="AW303">
            <v>1.8</v>
          </cell>
          <cell r="AX303">
            <v>3.18</v>
          </cell>
          <cell r="AY303" t="str">
            <v>USD</v>
          </cell>
          <cell r="AZ303" t="str">
            <v>RFMW</v>
          </cell>
          <cell r="BA303" t="str">
            <v>טלי וייסברג</v>
          </cell>
          <cell r="BB303" t="str">
            <v>072-2150902</v>
          </cell>
          <cell r="BD303" t="str">
            <v>תחת הסכם מסגרת</v>
          </cell>
        </row>
        <row r="304">
          <cell r="D304" t="str">
            <v>N80413149</v>
          </cell>
          <cell r="F304" t="str">
            <v>ATTENUATOR DC-15GHZ 3DB .1WATT 50 OH</v>
          </cell>
          <cell r="G304" t="str">
            <v>EA</v>
          </cell>
          <cell r="H304">
            <v>1</v>
          </cell>
          <cell r="I304">
            <v>8</v>
          </cell>
          <cell r="J304">
            <v>0</v>
          </cell>
          <cell r="K304">
            <v>0</v>
          </cell>
          <cell r="L304">
            <v>0</v>
          </cell>
          <cell r="M304">
            <v>2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2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2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2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14330</v>
          </cell>
          <cell r="AN304">
            <v>12.72</v>
          </cell>
          <cell r="AO304" t="str">
            <v>SMITHS INTERCONNECT AMERICAS,</v>
          </cell>
          <cell r="AP304" t="str">
            <v>אופק</v>
          </cell>
          <cell r="AQ304" t="str">
            <v>R.F.M.W. ISRAEL LTD</v>
          </cell>
          <cell r="AR304">
            <v>1.8</v>
          </cell>
          <cell r="AT304" t="str">
            <v xml:space="preserve">Y
</v>
          </cell>
          <cell r="AU304">
            <v>0</v>
          </cell>
          <cell r="AV304">
            <v>0</v>
          </cell>
          <cell r="AW304">
            <v>1.8</v>
          </cell>
          <cell r="AX304">
            <v>3.18</v>
          </cell>
          <cell r="AY304" t="str">
            <v>USD</v>
          </cell>
          <cell r="AZ304" t="str">
            <v>תומחר על ידי אופק</v>
          </cell>
          <cell r="BA304" t="str">
            <v>RMFW</v>
          </cell>
          <cell r="BD304" t="str">
            <v>RMFW - 70$ משלוח
+10$ גלילה לפריט</v>
          </cell>
        </row>
        <row r="305">
          <cell r="D305" t="str">
            <v>N80411176</v>
          </cell>
          <cell r="F305" t="str">
            <v>ATTENUATOR DC-15GHZ 6DB .1WATT 50 OH</v>
          </cell>
          <cell r="G305" t="str">
            <v>EA</v>
          </cell>
          <cell r="H305">
            <v>1</v>
          </cell>
          <cell r="I305">
            <v>8</v>
          </cell>
          <cell r="J305">
            <v>0</v>
          </cell>
          <cell r="K305">
            <v>0</v>
          </cell>
          <cell r="L305">
            <v>0</v>
          </cell>
          <cell r="M305">
            <v>2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2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2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2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14330</v>
          </cell>
          <cell r="AN305">
            <v>12.72</v>
          </cell>
          <cell r="AO305" t="str">
            <v>SMITHS INTERCONNECT AMERICAS,</v>
          </cell>
          <cell r="AP305" t="str">
            <v>אופק</v>
          </cell>
          <cell r="AQ305" t="str">
            <v>R.F.M.W. ISRAEL LTD</v>
          </cell>
          <cell r="AR305">
            <v>2.6</v>
          </cell>
          <cell r="AT305" t="str">
            <v xml:space="preserve">Y
</v>
          </cell>
          <cell r="AU305">
            <v>0</v>
          </cell>
          <cell r="AV305">
            <v>0</v>
          </cell>
          <cell r="AW305">
            <v>2.6</v>
          </cell>
          <cell r="AX305">
            <v>3.18</v>
          </cell>
          <cell r="AY305" t="str">
            <v>USD</v>
          </cell>
          <cell r="AZ305" t="str">
            <v>תומחר על ידי אופק</v>
          </cell>
          <cell r="BA305" t="str">
            <v>RMFW</v>
          </cell>
          <cell r="BD305" t="str">
            <v>RMFW - 70$ משלוח
+10$ גלילה לפריט</v>
          </cell>
        </row>
        <row r="306">
          <cell r="D306">
            <v>417983155</v>
          </cell>
          <cell r="E306" t="str">
            <v>FFF300776</v>
          </cell>
          <cell r="F306" t="str">
            <v>CHIP CAP 1000PF 10^ 50VOLT 55X55 NPO</v>
          </cell>
          <cell r="G306" t="str">
            <v>EA</v>
          </cell>
          <cell r="H306">
            <v>2</v>
          </cell>
          <cell r="I306">
            <v>8</v>
          </cell>
          <cell r="J306">
            <v>0</v>
          </cell>
          <cell r="K306">
            <v>0</v>
          </cell>
          <cell r="L306">
            <v>0</v>
          </cell>
          <cell r="M306">
            <v>4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4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11100</v>
          </cell>
          <cell r="AN306">
            <v>29.68</v>
          </cell>
          <cell r="AO306" t="str">
            <v>AMERICAN TECHNICAL CERAMICS DIV. OF</v>
          </cell>
          <cell r="AP306" t="str">
            <v>אופק</v>
          </cell>
          <cell r="AQ306" t="str">
            <v>Shirtech LTD</v>
          </cell>
          <cell r="AR306">
            <v>0.73</v>
          </cell>
          <cell r="AT306" t="str">
            <v xml:space="preserve">
</v>
          </cell>
          <cell r="AU306">
            <v>11500</v>
          </cell>
          <cell r="AV306">
            <v>500</v>
          </cell>
          <cell r="AW306">
            <v>7.42</v>
          </cell>
          <cell r="AX306">
            <v>7.42</v>
          </cell>
          <cell r="AY306" t="str">
            <v>USD</v>
          </cell>
          <cell r="AZ306" t="str">
            <v>תומחר על ידי אופק</v>
          </cell>
          <cell r="BA306" t="str">
            <v>פיניקס</v>
          </cell>
          <cell r="BD306" t="str">
            <v>פריט NCNR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CBA_DTRM"/>
      <sheetName val="PCBA_DRM"/>
      <sheetName val="DTRM"/>
      <sheetName val="DRM"/>
      <sheetName val="AVL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אב טיפוס+סדרתי"/>
      <sheetName val="עלות מפורטת 2008"/>
      <sheetName val="עלות 2009+ 2010"/>
      <sheetName val="מודול עלות AA"/>
      <sheetName val="מודול עלות ל20 כרטיסים בMW"/>
      <sheetName val="התנעת כרטיסי TRA"/>
      <sheetName val="רכש 20 כרטיסים"/>
      <sheetName val="עלות EXC_REC"/>
      <sheetName val="IMAN_TRS_PRICES_5940953_18_08_1"/>
      <sheetName val="פילטרים"/>
      <sheetName val="עלות ישן 2008"/>
      <sheetName val="סה&quot;כ מעיל רו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/>
      <sheetData sheetId="10" refreshError="1"/>
      <sheetData sheetId="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כנון שרון חדש"/>
      <sheetName val="תכנון שרון"/>
      <sheetName val="תכנון לסוף פיתוח תלות זמן"/>
      <sheetName val="DB בניה של תלות זמן"/>
      <sheetName val="תכנון לסוף הפרויקט נמר אדום"/>
      <sheetName val="תכנון לסוף הפרויקט לפיתוח"/>
      <sheetName val="DB תלות זמן"/>
    </sheetNames>
    <sheetDataSet>
      <sheetData sheetId="0"/>
      <sheetData sheetId="1"/>
      <sheetData sheetId="2"/>
      <sheetData sheetId="3">
        <row r="5">
          <cell r="J5">
            <v>0</v>
          </cell>
          <cell r="K5">
            <v>0</v>
          </cell>
          <cell r="L5">
            <v>0</v>
          </cell>
          <cell r="M5">
            <v>0</v>
          </cell>
        </row>
        <row r="6">
          <cell r="I6" t="str">
            <v>ה.מערכת</v>
          </cell>
          <cell r="J6">
            <v>0.01</v>
          </cell>
          <cell r="K6">
            <v>0.01</v>
          </cell>
          <cell r="L6">
            <v>4</v>
          </cell>
          <cell r="M6">
            <v>4</v>
          </cell>
        </row>
        <row r="7">
          <cell r="I7" t="str">
            <v>התנעה</v>
          </cell>
          <cell r="J7">
            <v>0.02</v>
          </cell>
          <cell r="K7">
            <v>0.03</v>
          </cell>
          <cell r="L7">
            <v>8</v>
          </cell>
          <cell r="M7">
            <v>12</v>
          </cell>
        </row>
        <row r="8">
          <cell r="I8" t="str">
            <v>SRR</v>
          </cell>
          <cell r="J8">
            <v>0.08</v>
          </cell>
          <cell r="K8">
            <v>0.11</v>
          </cell>
          <cell r="L8">
            <v>32</v>
          </cell>
          <cell r="M8">
            <v>44</v>
          </cell>
        </row>
        <row r="9">
          <cell r="I9" t="str">
            <v>הכנה לPDR</v>
          </cell>
          <cell r="J9">
            <v>0.06</v>
          </cell>
          <cell r="K9">
            <v>0.16999999999999998</v>
          </cell>
          <cell r="L9">
            <v>24</v>
          </cell>
          <cell r="M9">
            <v>68</v>
          </cell>
        </row>
        <row r="10">
          <cell r="I10" t="str">
            <v>PDR</v>
          </cell>
          <cell r="J10">
            <v>0.1</v>
          </cell>
          <cell r="K10">
            <v>0.27</v>
          </cell>
          <cell r="L10">
            <v>40</v>
          </cell>
          <cell r="M10">
            <v>108</v>
          </cell>
        </row>
        <row r="11">
          <cell r="I11" t="str">
            <v>הכנה לCDR</v>
          </cell>
          <cell r="J11">
            <v>0.09</v>
          </cell>
          <cell r="K11">
            <v>0.36</v>
          </cell>
          <cell r="L11">
            <v>36</v>
          </cell>
          <cell r="M11">
            <v>144</v>
          </cell>
        </row>
        <row r="12">
          <cell r="I12" t="str">
            <v>CDR</v>
          </cell>
          <cell r="J12">
            <v>0.1</v>
          </cell>
          <cell r="K12">
            <v>0.45999999999999996</v>
          </cell>
          <cell r="L12">
            <v>40</v>
          </cell>
          <cell r="M12">
            <v>184</v>
          </cell>
        </row>
        <row r="13">
          <cell r="I13" t="str">
            <v>ע.מעגלים</v>
          </cell>
          <cell r="J13">
            <v>4.9999999999999933E-2</v>
          </cell>
          <cell r="K13">
            <v>0.5099999999999999</v>
          </cell>
          <cell r="L13">
            <v>19.999999999999972</v>
          </cell>
          <cell r="M13">
            <v>203.99999999999997</v>
          </cell>
        </row>
        <row r="14">
          <cell r="I14" t="str">
            <v>ה. א"ט</v>
          </cell>
          <cell r="J14">
            <v>0.1</v>
          </cell>
          <cell r="K14">
            <v>0.60999999999999988</v>
          </cell>
          <cell r="L14">
            <v>40</v>
          </cell>
          <cell r="M14">
            <v>243.99999999999997</v>
          </cell>
        </row>
        <row r="15">
          <cell r="I15" t="str">
            <v>ב.פיתוח</v>
          </cell>
          <cell r="J15">
            <v>7.0000000000000007E-2</v>
          </cell>
          <cell r="K15">
            <v>0.67999999999999994</v>
          </cell>
          <cell r="L15">
            <v>28.000000000000004</v>
          </cell>
          <cell r="M15">
            <v>272</v>
          </cell>
        </row>
        <row r="16">
          <cell r="I16" t="str">
            <v>אספ' א"ט</v>
          </cell>
          <cell r="J16">
            <v>7.0000000000000007E-2</v>
          </cell>
          <cell r="K16">
            <v>0.75</v>
          </cell>
          <cell r="L16">
            <v>28.000000000000004</v>
          </cell>
          <cell r="M16">
            <v>300</v>
          </cell>
        </row>
        <row r="17">
          <cell r="I17" t="str">
            <v>פיתוח סבב 2</v>
          </cell>
          <cell r="J17">
            <v>0.05</v>
          </cell>
          <cell r="K17">
            <v>0.8</v>
          </cell>
          <cell r="L17">
            <v>20</v>
          </cell>
          <cell r="M17">
            <v>320</v>
          </cell>
        </row>
        <row r="18">
          <cell r="I18" t="str">
            <v>EMDR</v>
          </cell>
          <cell r="J18">
            <v>0.05</v>
          </cell>
          <cell r="K18">
            <v>0.85000000000000009</v>
          </cell>
          <cell r="L18">
            <v>20</v>
          </cell>
          <cell r="M18">
            <v>340</v>
          </cell>
        </row>
        <row r="19">
          <cell r="I19" t="str">
            <v>ה. לPRR</v>
          </cell>
          <cell r="J19">
            <v>0.04</v>
          </cell>
          <cell r="K19">
            <v>0.89000000000000012</v>
          </cell>
          <cell r="L19">
            <v>16</v>
          </cell>
          <cell r="M19">
            <v>356</v>
          </cell>
        </row>
        <row r="20">
          <cell r="I20" t="str">
            <v>PRR</v>
          </cell>
          <cell r="J20">
            <v>0.05</v>
          </cell>
          <cell r="K20">
            <v>0.94000000000000017</v>
          </cell>
          <cell r="L20">
            <v>20</v>
          </cell>
          <cell r="M20">
            <v>376</v>
          </cell>
        </row>
        <row r="21">
          <cell r="I21" t="str">
            <v>QUAL</v>
          </cell>
          <cell r="J21">
            <v>0.04</v>
          </cell>
          <cell r="K21">
            <v>0.9800000000000002</v>
          </cell>
          <cell r="L21">
            <v>16</v>
          </cell>
          <cell r="M21">
            <v>392</v>
          </cell>
        </row>
        <row r="26">
          <cell r="G26" t="str">
            <v>ה.מערכת</v>
          </cell>
          <cell r="H26" t="str">
            <v>התנעה</v>
          </cell>
          <cell r="I26" t="str">
            <v>SRR</v>
          </cell>
          <cell r="J26" t="str">
            <v>הכנה לPDR</v>
          </cell>
          <cell r="K26" t="str">
            <v>PDR</v>
          </cell>
          <cell r="L26" t="str">
            <v>הכנה לCDR</v>
          </cell>
          <cell r="M26" t="str">
            <v>CDR</v>
          </cell>
          <cell r="N26" t="str">
            <v>ע.מעגלים</v>
          </cell>
          <cell r="O26" t="str">
            <v>ה. א"ט</v>
          </cell>
          <cell r="P26" t="str">
            <v>ב.פיתוח</v>
          </cell>
          <cell r="Q26" t="str">
            <v>אספ' א"ט</v>
          </cell>
          <cell r="R26" t="str">
            <v>פיתוח סבב 2</v>
          </cell>
          <cell r="S26" t="str">
            <v>EMDR</v>
          </cell>
          <cell r="T26" t="str">
            <v>ה. לPRR</v>
          </cell>
          <cell r="U26" t="str">
            <v>PRR</v>
          </cell>
          <cell r="V26" t="str">
            <v>QUAL</v>
          </cell>
          <cell r="W26">
            <v>0</v>
          </cell>
        </row>
        <row r="27">
          <cell r="F27">
            <v>0</v>
          </cell>
          <cell r="G27">
            <v>0.01</v>
          </cell>
          <cell r="H27">
            <v>0.02</v>
          </cell>
          <cell r="I27">
            <v>0.08</v>
          </cell>
          <cell r="J27">
            <v>0.06</v>
          </cell>
          <cell r="K27">
            <v>0.1</v>
          </cell>
          <cell r="L27">
            <v>0.09</v>
          </cell>
          <cell r="M27">
            <v>0.1</v>
          </cell>
          <cell r="N27">
            <v>4.9999999999999933E-2</v>
          </cell>
          <cell r="O27">
            <v>0.1</v>
          </cell>
          <cell r="P27">
            <v>7.0000000000000007E-2</v>
          </cell>
          <cell r="Q27">
            <v>7.0000000000000007E-2</v>
          </cell>
          <cell r="R27">
            <v>0.05</v>
          </cell>
          <cell r="S27">
            <v>0.05</v>
          </cell>
          <cell r="T27">
            <v>0.04</v>
          </cell>
          <cell r="U27">
            <v>0.05</v>
          </cell>
          <cell r="V27">
            <v>0.04</v>
          </cell>
        </row>
        <row r="28">
          <cell r="F28">
            <v>0</v>
          </cell>
          <cell r="G28">
            <v>0.01</v>
          </cell>
          <cell r="H28">
            <v>0.03</v>
          </cell>
          <cell r="I28">
            <v>0.11</v>
          </cell>
          <cell r="J28">
            <v>0.16999999999999998</v>
          </cell>
          <cell r="K28">
            <v>0.27</v>
          </cell>
          <cell r="L28">
            <v>0.36</v>
          </cell>
          <cell r="M28">
            <v>0.45999999999999996</v>
          </cell>
          <cell r="N28">
            <v>0.5099999999999999</v>
          </cell>
          <cell r="O28">
            <v>0.60999999999999988</v>
          </cell>
          <cell r="P28">
            <v>0.67999999999999994</v>
          </cell>
          <cell r="Q28">
            <v>0.75</v>
          </cell>
          <cell r="R28">
            <v>0.8</v>
          </cell>
          <cell r="S28">
            <v>0.85000000000000009</v>
          </cell>
          <cell r="T28">
            <v>0.89000000000000012</v>
          </cell>
          <cell r="U28">
            <v>0.94000000000000017</v>
          </cell>
          <cell r="V28">
            <v>0.9800000000000002</v>
          </cell>
        </row>
        <row r="29">
          <cell r="F29">
            <v>0</v>
          </cell>
          <cell r="G29">
            <v>4</v>
          </cell>
          <cell r="H29">
            <v>8</v>
          </cell>
          <cell r="I29">
            <v>32</v>
          </cell>
          <cell r="J29">
            <v>24</v>
          </cell>
          <cell r="K29">
            <v>40</v>
          </cell>
          <cell r="L29">
            <v>36</v>
          </cell>
          <cell r="M29">
            <v>40</v>
          </cell>
          <cell r="N29">
            <v>19.999999999999972</v>
          </cell>
          <cell r="O29">
            <v>40</v>
          </cell>
          <cell r="P29">
            <v>28.000000000000004</v>
          </cell>
          <cell r="Q29">
            <v>28.000000000000004</v>
          </cell>
          <cell r="R29">
            <v>20</v>
          </cell>
          <cell r="S29">
            <v>20</v>
          </cell>
          <cell r="T29">
            <v>16</v>
          </cell>
          <cell r="U29">
            <v>20</v>
          </cell>
          <cell r="V29">
            <v>16</v>
          </cell>
        </row>
        <row r="30">
          <cell r="F30">
            <v>0</v>
          </cell>
          <cell r="G30">
            <v>4</v>
          </cell>
          <cell r="H30">
            <v>12</v>
          </cell>
          <cell r="I30">
            <v>44</v>
          </cell>
          <cell r="J30">
            <v>68</v>
          </cell>
          <cell r="K30">
            <v>108</v>
          </cell>
          <cell r="L30">
            <v>144</v>
          </cell>
          <cell r="M30">
            <v>184</v>
          </cell>
          <cell r="N30">
            <v>203.99999999999997</v>
          </cell>
          <cell r="O30">
            <v>243.99999999999997</v>
          </cell>
          <cell r="P30">
            <v>272</v>
          </cell>
          <cell r="Q30">
            <v>300</v>
          </cell>
          <cell r="R30">
            <v>320</v>
          </cell>
          <cell r="S30">
            <v>340</v>
          </cell>
          <cell r="T30">
            <v>356</v>
          </cell>
          <cell r="U30">
            <v>376</v>
          </cell>
          <cell r="V30">
            <v>392</v>
          </cell>
        </row>
        <row r="33">
          <cell r="F33">
            <v>0.1</v>
          </cell>
          <cell r="G33">
            <v>0.09</v>
          </cell>
          <cell r="H33">
            <v>0.1</v>
          </cell>
          <cell r="I33">
            <v>0.05</v>
          </cell>
          <cell r="J33">
            <v>0.09</v>
          </cell>
          <cell r="K33">
            <v>0.1</v>
          </cell>
          <cell r="L33">
            <v>0.1</v>
          </cell>
          <cell r="M33">
            <v>0.05</v>
          </cell>
          <cell r="N33">
            <v>0.08</v>
          </cell>
          <cell r="O33">
            <v>0.03</v>
          </cell>
          <cell r="P33">
            <v>0.1</v>
          </cell>
          <cell r="Q33">
            <v>0.11</v>
          </cell>
        </row>
        <row r="40">
          <cell r="F40">
            <v>0</v>
          </cell>
          <cell r="G40">
            <v>0.01</v>
          </cell>
          <cell r="H40">
            <v>0.03</v>
          </cell>
          <cell r="I40">
            <v>0.11</v>
          </cell>
          <cell r="J40">
            <v>0.16999999999999998</v>
          </cell>
          <cell r="K40">
            <v>0.27</v>
          </cell>
          <cell r="L40">
            <v>0.36</v>
          </cell>
          <cell r="M40">
            <v>0.45999999999999996</v>
          </cell>
          <cell r="N40">
            <v>0.5099999999999999</v>
          </cell>
          <cell r="O40">
            <v>0.60999999999999988</v>
          </cell>
          <cell r="P40">
            <v>0.67999999999999994</v>
          </cell>
          <cell r="Q40">
            <v>0.75</v>
          </cell>
          <cell r="R40">
            <v>0.8</v>
          </cell>
          <cell r="S40">
            <v>0.85000000000000009</v>
          </cell>
          <cell r="T40">
            <v>0.89000000000000012</v>
          </cell>
          <cell r="U40">
            <v>0.94000000000000017</v>
          </cell>
          <cell r="V40">
            <v>0.9800000000000002</v>
          </cell>
        </row>
        <row r="41">
          <cell r="G41" t="str">
            <v>ה.מערכת</v>
          </cell>
          <cell r="H41" t="str">
            <v>התנעה</v>
          </cell>
          <cell r="I41" t="str">
            <v>SRR</v>
          </cell>
          <cell r="J41" t="str">
            <v>הכנה לPDR</v>
          </cell>
          <cell r="K41" t="str">
            <v>PDR</v>
          </cell>
          <cell r="L41" t="str">
            <v>הכנה לCDR</v>
          </cell>
          <cell r="M41" t="str">
            <v>CDR</v>
          </cell>
          <cell r="N41" t="str">
            <v>ע.מעגלים</v>
          </cell>
          <cell r="O41" t="str">
            <v>ה. א"ט</v>
          </cell>
          <cell r="P41" t="str">
            <v>ב.פיתוח</v>
          </cell>
          <cell r="Q41" t="str">
            <v>אספ' א"ט</v>
          </cell>
          <cell r="R41" t="str">
            <v>פיתוח סבב 2</v>
          </cell>
          <cell r="S41" t="str">
            <v>EMDR</v>
          </cell>
          <cell r="T41" t="str">
            <v>ה. לPRR</v>
          </cell>
          <cell r="U41" t="str">
            <v>PRR</v>
          </cell>
          <cell r="V41" t="str">
            <v>QUAL</v>
          </cell>
        </row>
      </sheetData>
      <sheetData sheetId="4"/>
      <sheetData sheetId="5">
        <row r="1">
          <cell r="BM1" t="str">
            <v>נתוני פיתוח:</v>
          </cell>
          <cell r="BN1">
            <v>39979.498389236112</v>
          </cell>
          <cell r="BO1" t="str">
            <v>משך הפרויקט:</v>
          </cell>
          <cell r="BP1">
            <v>484</v>
          </cell>
        </row>
        <row r="2">
          <cell r="BM2">
            <v>0</v>
          </cell>
          <cell r="BN2" t="str">
            <v>הנדסת מערכת</v>
          </cell>
          <cell r="BO2">
            <v>0</v>
          </cell>
          <cell r="BP2">
            <v>0</v>
          </cell>
        </row>
        <row r="3">
          <cell r="BM3">
            <v>1</v>
          </cell>
          <cell r="BN3" t="str">
            <v>התנעה</v>
          </cell>
          <cell r="BO3">
            <v>0.02</v>
          </cell>
          <cell r="BP3">
            <v>0.02</v>
          </cell>
        </row>
        <row r="4">
          <cell r="BM4">
            <v>2</v>
          </cell>
          <cell r="BN4" t="str">
            <v>SRR</v>
          </cell>
          <cell r="BO4">
            <v>0.1</v>
          </cell>
          <cell r="BP4">
            <v>0.08</v>
          </cell>
        </row>
        <row r="5">
          <cell r="BM5">
            <v>3</v>
          </cell>
          <cell r="BN5" t="str">
            <v>הכנה ל PDR</v>
          </cell>
          <cell r="BO5">
            <v>0.15</v>
          </cell>
          <cell r="BP5">
            <v>4.9999999999999989E-2</v>
          </cell>
        </row>
        <row r="6">
          <cell r="BM6">
            <v>4</v>
          </cell>
          <cell r="BN6" t="str">
            <v>PDR</v>
          </cell>
          <cell r="BO6">
            <v>0.25</v>
          </cell>
          <cell r="BP6">
            <v>0.1</v>
          </cell>
        </row>
        <row r="7">
          <cell r="BM7">
            <v>5</v>
          </cell>
          <cell r="BN7" t="str">
            <v>הכנה ל CDR</v>
          </cell>
          <cell r="BO7">
            <v>0.35</v>
          </cell>
          <cell r="BP7">
            <v>9.9999999999999978E-2</v>
          </cell>
        </row>
        <row r="8">
          <cell r="BM8">
            <v>6</v>
          </cell>
          <cell r="BN8" t="str">
            <v>CDR</v>
          </cell>
          <cell r="BO8">
            <v>0.45</v>
          </cell>
          <cell r="BP8">
            <v>0.10000000000000003</v>
          </cell>
        </row>
        <row r="9">
          <cell r="BM9">
            <v>7</v>
          </cell>
          <cell r="BN9" t="str">
            <v>עריכת מעגלים</v>
          </cell>
          <cell r="BO9">
            <v>0.55000000000000004</v>
          </cell>
          <cell r="BP9">
            <v>0.10000000000000003</v>
          </cell>
        </row>
        <row r="10">
          <cell r="BM10">
            <v>8</v>
          </cell>
          <cell r="BN10" t="str">
            <v>הרכבת א"ט</v>
          </cell>
          <cell r="BO10">
            <v>0.6</v>
          </cell>
          <cell r="BP10">
            <v>4.9999999999999933E-2</v>
          </cell>
        </row>
        <row r="11">
          <cell r="BM11">
            <v>9</v>
          </cell>
          <cell r="BN11" t="str">
            <v>בדיקות פיתוח</v>
          </cell>
          <cell r="BO11">
            <v>0.7</v>
          </cell>
          <cell r="BP11">
            <v>9.9999999999999978E-2</v>
          </cell>
        </row>
        <row r="12">
          <cell r="BM12">
            <v>10</v>
          </cell>
          <cell r="BN12" t="str">
            <v>אספקת א"ט</v>
          </cell>
          <cell r="BO12">
            <v>0.75</v>
          </cell>
          <cell r="BP12">
            <v>5.0000000000000044E-2</v>
          </cell>
        </row>
        <row r="13">
          <cell r="BM13">
            <v>11</v>
          </cell>
          <cell r="BN13" t="str">
            <v>פיתוח סבב 2</v>
          </cell>
          <cell r="BO13">
            <v>0.8</v>
          </cell>
          <cell r="BP13">
            <v>5.0000000000000044E-2</v>
          </cell>
        </row>
        <row r="15">
          <cell r="BM15">
            <v>11</v>
          </cell>
          <cell r="BN15" t="str">
            <v>EMDR</v>
          </cell>
          <cell r="BO15">
            <v>0.85</v>
          </cell>
          <cell r="BP15">
            <v>9.9999999999999978E-2</v>
          </cell>
        </row>
        <row r="16">
          <cell r="BM16">
            <v>12</v>
          </cell>
          <cell r="BN16" t="str">
            <v>הכנה ל PRR</v>
          </cell>
          <cell r="BO16">
            <v>0.95</v>
          </cell>
          <cell r="BP16">
            <v>9.9999999999999978E-2</v>
          </cell>
        </row>
        <row r="17">
          <cell r="BM17">
            <v>13</v>
          </cell>
          <cell r="BN17" t="str">
            <v>PRR</v>
          </cell>
          <cell r="BO17">
            <v>1</v>
          </cell>
          <cell r="BP17">
            <v>5.0000000000000044E-2</v>
          </cell>
        </row>
        <row r="18">
          <cell r="BM18">
            <v>14</v>
          </cell>
          <cell r="BN18" t="str">
            <v>QUAL</v>
          </cell>
          <cell r="BO18">
            <v>1</v>
          </cell>
          <cell r="BP18">
            <v>0</v>
          </cell>
        </row>
      </sheetData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גשת הצעה ללקוח"/>
      <sheetName val="1 הנדסת מערכת"/>
      <sheetName val="הנדסה אלקטרונית 2"/>
      <sheetName val="מודל עלות לייצור"/>
      <sheetName val="TOTAL"/>
    </sheetNames>
    <sheetDataSet>
      <sheetData sheetId="0">
        <row r="4">
          <cell r="N4" t="str">
            <v>מודול 6.1</v>
          </cell>
          <cell r="O4" t="str">
            <v>SYNT</v>
          </cell>
          <cell r="P4" t="str">
            <v>EXC/REC</v>
          </cell>
          <cell r="Q4" t="str">
            <v>DTRM</v>
          </cell>
          <cell r="R4">
            <v>0</v>
          </cell>
          <cell r="S4" t="str">
            <v>הקמת קו</v>
          </cell>
          <cell r="T4" t="str">
            <v>ניסוי</v>
          </cell>
          <cell r="U4" t="str">
            <v>מבדק</v>
          </cell>
        </row>
        <row r="5">
          <cell r="N5">
            <v>3</v>
          </cell>
          <cell r="O5">
            <v>10</v>
          </cell>
          <cell r="P5">
            <v>6</v>
          </cell>
          <cell r="Q5">
            <v>8</v>
          </cell>
          <cell r="R5">
            <v>0</v>
          </cell>
        </row>
        <row r="6">
          <cell r="N6">
            <v>475</v>
          </cell>
          <cell r="O6">
            <v>700</v>
          </cell>
          <cell r="P6">
            <v>575</v>
          </cell>
          <cell r="Q6">
            <v>250</v>
          </cell>
          <cell r="R6">
            <v>0</v>
          </cell>
        </row>
        <row r="7">
          <cell r="N7">
            <v>1600</v>
          </cell>
          <cell r="O7">
            <v>1010</v>
          </cell>
          <cell r="P7">
            <v>850</v>
          </cell>
          <cell r="Q7">
            <v>1800</v>
          </cell>
          <cell r="R7">
            <v>0</v>
          </cell>
        </row>
        <row r="26">
          <cell r="P26" t="str">
            <v>חגית רוסו</v>
          </cell>
          <cell r="Q26" t="str">
            <v>08-869-8858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eltweb04.elta.iai/pls/iman_Production/link_to_iman?item_id=CL05B682KB5NNNC" TargetMode="External"/><Relationship Id="rId299" Type="http://schemas.openxmlformats.org/officeDocument/2006/relationships/hyperlink" Target="mailto:Adam@kaytech.com" TargetMode="External"/><Relationship Id="rId303" Type="http://schemas.openxmlformats.org/officeDocument/2006/relationships/hyperlink" Target="mailto:Clo@clo.co.il" TargetMode="External"/><Relationship Id="rId21" Type="http://schemas.openxmlformats.org/officeDocument/2006/relationships/hyperlink" Target="http://eltweb04.elta.iai/pls/iman_Production/link_to_iman?item_id=1094L925-001" TargetMode="External"/><Relationship Id="rId42" Type="http://schemas.openxmlformats.org/officeDocument/2006/relationships/hyperlink" Target="http://eltweb04.elta.iai/pls/iman_Production/link_to_iman?item_id=1094N791-002" TargetMode="External"/><Relationship Id="rId63" Type="http://schemas.openxmlformats.org/officeDocument/2006/relationships/hyperlink" Target="http://eltweb04.elta.iai/pls/iman_Production/link_to_iman?item_id=10S523-8H0S5" TargetMode="External"/><Relationship Id="rId84" Type="http://schemas.openxmlformats.org/officeDocument/2006/relationships/hyperlink" Target="http://eltweb04.elta.iai/pls/iman_Production/link_to_iman?item_id=AQ125A102KAJME/500V" TargetMode="External"/><Relationship Id="rId138" Type="http://schemas.openxmlformats.org/officeDocument/2006/relationships/hyperlink" Target="http://eltweb04.elta.iai/pls/iman_Production/link_to_iman?item_id=CRCW0402332RFKED" TargetMode="External"/><Relationship Id="rId159" Type="http://schemas.openxmlformats.org/officeDocument/2006/relationships/hyperlink" Target="http://eltweb04.elta.iai/pls/iman_Production/link_to_iman?item_id=CRCW0603200KFKEA" TargetMode="External"/><Relationship Id="rId324" Type="http://schemas.openxmlformats.org/officeDocument/2006/relationships/hyperlink" Target="mailto:Chen@mouser-israel.com" TargetMode="External"/><Relationship Id="rId345" Type="http://schemas.openxmlformats.org/officeDocument/2006/relationships/hyperlink" Target="mailto:Irefael@tti.ray-q.com" TargetMode="External"/><Relationship Id="rId170" Type="http://schemas.openxmlformats.org/officeDocument/2006/relationships/hyperlink" Target="http://eltweb04.elta.iai/pls/iman_Production/link_to_iman?item_id=CRCW06034K75FKEA" TargetMode="External"/><Relationship Id="rId191" Type="http://schemas.openxmlformats.org/officeDocument/2006/relationships/hyperlink" Target="http://eltweb04.elta.iai/pls/iman_Production/link_to_iman?item_id=GRM32ER71K475KE14L" TargetMode="External"/><Relationship Id="rId205" Type="http://schemas.openxmlformats.org/officeDocument/2006/relationships/hyperlink" Target="http://eltweb04.elta.iai/pls/iman_Production/link_to_iman?item_id=LOCTITE%20222-50CC" TargetMode="External"/><Relationship Id="rId226" Type="http://schemas.openxmlformats.org/officeDocument/2006/relationships/hyperlink" Target="http://eltweb04.elta.iai/pls/iman_Production/link_to_iman?item_id=MS51957-6" TargetMode="External"/><Relationship Id="rId247" Type="http://schemas.openxmlformats.org/officeDocument/2006/relationships/hyperlink" Target="http://eltweb04.elta.iai/pls/iman_Production/link_to_iman?item_id=PTL-9-724" TargetMode="External"/><Relationship Id="rId107" Type="http://schemas.openxmlformats.org/officeDocument/2006/relationships/hyperlink" Target="http://eltweb04.elta.iai/pls/iman_Production/link_to_iman?item_id=C0603C105K3RACTU" TargetMode="External"/><Relationship Id="rId268" Type="http://schemas.openxmlformats.org/officeDocument/2006/relationships/hyperlink" Target="http://eltweb04.elta.iai/pls/iman_Production/link_to_iman?item_id=TPS7A3001DGNT" TargetMode="External"/><Relationship Id="rId289" Type="http://schemas.openxmlformats.org/officeDocument/2006/relationships/hyperlink" Target="mailto:Tanyal@phnx.co.il" TargetMode="External"/><Relationship Id="rId11" Type="http://schemas.openxmlformats.org/officeDocument/2006/relationships/hyperlink" Target="http://eltweb04.elta.iai/pls/iman_Production/link_to_iman?item_id=1093G277-001" TargetMode="External"/><Relationship Id="rId32" Type="http://schemas.openxmlformats.org/officeDocument/2006/relationships/hyperlink" Target="http://eltweb04.elta.iai/pls/iman_Production/link_to_iman?item_id=1094N766-001" TargetMode="External"/><Relationship Id="rId53" Type="http://schemas.openxmlformats.org/officeDocument/2006/relationships/hyperlink" Target="http://eltweb04.elta.iai/pls/iman_Production/link_to_iman?item_id=1094T060-002" TargetMode="External"/><Relationship Id="rId74" Type="http://schemas.openxmlformats.org/officeDocument/2006/relationships/hyperlink" Target="http://eltweb04.elta.iai/pls/iman_Production/link_to_iman?item_id=5CEFA4U19I7" TargetMode="External"/><Relationship Id="rId128" Type="http://schemas.openxmlformats.org/officeDocument/2006/relationships/hyperlink" Target="http://eltweb04.elta.iai/pls/iman_Production/link_to_iman?item_id=CRCW0402100RFKED" TargetMode="External"/><Relationship Id="rId149" Type="http://schemas.openxmlformats.org/officeDocument/2006/relationships/hyperlink" Target="http://eltweb04.elta.iai/pls/iman_Production/link_to_iman?item_id=CRCW06030000Z0EA" TargetMode="External"/><Relationship Id="rId314" Type="http://schemas.openxmlformats.org/officeDocument/2006/relationships/hyperlink" Target="mailto:liatbakal@cidev.co.il" TargetMode="External"/><Relationship Id="rId335" Type="http://schemas.openxmlformats.org/officeDocument/2006/relationships/hyperlink" Target="mailto:Tanyal@phnx.co.il" TargetMode="External"/><Relationship Id="rId5" Type="http://schemas.openxmlformats.org/officeDocument/2006/relationships/hyperlink" Target="http://eltweb04.elta.iai/pls/iman_Production/link_to_iman?item_id=0402CS-5N6XGRW" TargetMode="External"/><Relationship Id="rId95" Type="http://schemas.openxmlformats.org/officeDocument/2006/relationships/hyperlink" Target="http://eltweb04.elta.iai/pls/iman_Production/link_to_iman?item_id=BFCN-3115+" TargetMode="External"/><Relationship Id="rId160" Type="http://schemas.openxmlformats.org/officeDocument/2006/relationships/hyperlink" Target="http://eltweb04.elta.iai/pls/iman_Production/link_to_iman?item_id=CRCW0603200RFKEA" TargetMode="External"/><Relationship Id="rId181" Type="http://schemas.openxmlformats.org/officeDocument/2006/relationships/hyperlink" Target="http://eltweb04.elta.iai/pls/iman_Production/link_to_iman?item_id=DAC0808LCMX/NOPB" TargetMode="External"/><Relationship Id="rId216" Type="http://schemas.openxmlformats.org/officeDocument/2006/relationships/hyperlink" Target="http://eltweb04.elta.iai/pls/iman_Production/link_to_iman?item_id=MM3Z5V1T1G" TargetMode="External"/><Relationship Id="rId237" Type="http://schemas.openxmlformats.org/officeDocument/2006/relationships/hyperlink" Target="http://eltweb04.elta.iai/pls/iman_Production/link_to_iman?item_id=NC7SZ04P5X" TargetMode="External"/><Relationship Id="rId258" Type="http://schemas.openxmlformats.org/officeDocument/2006/relationships/hyperlink" Target="http://eltweb04.elta.iai/pls/iman_Production/link_to_iman?item_id=SMT2010TALN" TargetMode="External"/><Relationship Id="rId279" Type="http://schemas.openxmlformats.org/officeDocument/2006/relationships/hyperlink" Target="mailto:Orit@ackerman-printing.com" TargetMode="External"/><Relationship Id="rId22" Type="http://schemas.openxmlformats.org/officeDocument/2006/relationships/hyperlink" Target="http://eltweb04.elta.iai/pls/iman_Production/link_to_iman?item_id=1094L926-001" TargetMode="External"/><Relationship Id="rId43" Type="http://schemas.openxmlformats.org/officeDocument/2006/relationships/hyperlink" Target="http://eltweb04.elta.iai/pls/iman_Production/link_to_iman?item_id=1094N792-002" TargetMode="External"/><Relationship Id="rId64" Type="http://schemas.openxmlformats.org/officeDocument/2006/relationships/hyperlink" Target="http://eltweb04.elta.iai/pls/iman_Production/link_to_iman?item_id=145-A01H/118" TargetMode="External"/><Relationship Id="rId118" Type="http://schemas.openxmlformats.org/officeDocument/2006/relationships/hyperlink" Target="http://eltweb04.elta.iai/pls/iman_Production/link_to_iman?item_id=CL05C4R7CB5NNNC" TargetMode="External"/><Relationship Id="rId139" Type="http://schemas.openxmlformats.org/officeDocument/2006/relationships/hyperlink" Target="http://eltweb04.elta.iai/pls/iman_Production/link_to_iman?item_id=CRCW04023K09FKED" TargetMode="External"/><Relationship Id="rId290" Type="http://schemas.openxmlformats.org/officeDocument/2006/relationships/hyperlink" Target="mailto:Shlomi.bigi@easx.co.il" TargetMode="External"/><Relationship Id="rId304" Type="http://schemas.openxmlformats.org/officeDocument/2006/relationships/hyperlink" Target="mailto:Clo@clo.co.il" TargetMode="External"/><Relationship Id="rId325" Type="http://schemas.openxmlformats.org/officeDocument/2006/relationships/hyperlink" Target="mailto:Chen@mouser-israel.com" TargetMode="External"/><Relationship Id="rId346" Type="http://schemas.openxmlformats.org/officeDocument/2006/relationships/hyperlink" Target="mailto:Irefael@tti.ray-q.com" TargetMode="External"/><Relationship Id="rId85" Type="http://schemas.openxmlformats.org/officeDocument/2006/relationships/hyperlink" Target="http://eltweb04.elta.iai/pls/iman_Production/link_to_iman?item_id=AQ12EM1R1BAJME/500V" TargetMode="External"/><Relationship Id="rId150" Type="http://schemas.openxmlformats.org/officeDocument/2006/relationships/hyperlink" Target="http://eltweb04.elta.iai/pls/iman_Production/link_to_iman?item_id=CRCW0603100KFKEA" TargetMode="External"/><Relationship Id="rId171" Type="http://schemas.openxmlformats.org/officeDocument/2006/relationships/hyperlink" Target="http://eltweb04.elta.iai/pls/iman_Production/link_to_iman?item_id=CRCW06034K99FKEA" TargetMode="External"/><Relationship Id="rId192" Type="http://schemas.openxmlformats.org/officeDocument/2006/relationships/hyperlink" Target="http://eltweb04.elta.iai/pls/iman_Production/link_to_iman?item_id=HFCN-2700+TR" TargetMode="External"/><Relationship Id="rId206" Type="http://schemas.openxmlformats.org/officeDocument/2006/relationships/hyperlink" Target="http://eltweb04.elta.iai/pls/iman_Production/link_to_iman?item_id=LOCTITE%20263-50CC" TargetMode="External"/><Relationship Id="rId227" Type="http://schemas.openxmlformats.org/officeDocument/2006/relationships/hyperlink" Target="http://eltweb04.elta.iai/pls/iman_Production/link_to_iman?item_id=MS51957-7" TargetMode="External"/><Relationship Id="rId248" Type="http://schemas.openxmlformats.org/officeDocument/2006/relationships/hyperlink" Target="http://eltweb04.elta.iai/pls/iman_Production/link_to_iman?item_id=RCP3500Q03" TargetMode="External"/><Relationship Id="rId269" Type="http://schemas.openxmlformats.org/officeDocument/2006/relationships/hyperlink" Target="http://eltweb04.elta.iai/pls/iman_Production/link_to_iman?item_id=TPS7A8001DRBR" TargetMode="External"/><Relationship Id="rId12" Type="http://schemas.openxmlformats.org/officeDocument/2006/relationships/hyperlink" Target="http://eltweb04.elta.iai/pls/iman_Production/link_to_iman?item_id=1093H504-001" TargetMode="External"/><Relationship Id="rId33" Type="http://schemas.openxmlformats.org/officeDocument/2006/relationships/hyperlink" Target="http://eltweb04.elta.iai/pls/iman_Production/link_to_iman?item_id=1094N769-001" TargetMode="External"/><Relationship Id="rId108" Type="http://schemas.openxmlformats.org/officeDocument/2006/relationships/hyperlink" Target="http://eltweb04.elta.iai/pls/iman_Production/link_to_iman?item_id=C0603C123K4RACTU" TargetMode="External"/><Relationship Id="rId129" Type="http://schemas.openxmlformats.org/officeDocument/2006/relationships/hyperlink" Target="http://eltweb04.elta.iai/pls/iman_Production/link_to_iman?item_id=CRCW040210K0FKED" TargetMode="External"/><Relationship Id="rId280" Type="http://schemas.openxmlformats.org/officeDocument/2006/relationships/hyperlink" Target="mailto:Orit@ackerman-printing.com" TargetMode="External"/><Relationship Id="rId315" Type="http://schemas.openxmlformats.org/officeDocument/2006/relationships/hyperlink" Target="mailto:Sigal@stggroup.co.il" TargetMode="External"/><Relationship Id="rId336" Type="http://schemas.openxmlformats.org/officeDocument/2006/relationships/hyperlink" Target="mailto:Lauraa@Dcxchol.com" TargetMode="External"/><Relationship Id="rId54" Type="http://schemas.openxmlformats.org/officeDocument/2006/relationships/hyperlink" Target="http://eltweb04.elta.iai/pls/iman_Production/link_to_iman?item_id=1094T062-002" TargetMode="External"/><Relationship Id="rId75" Type="http://schemas.openxmlformats.org/officeDocument/2006/relationships/hyperlink" Target="http://eltweb04.elta.iai/pls/iman_Production/link_to_iman?item_id=600L1R0AW200T" TargetMode="External"/><Relationship Id="rId96" Type="http://schemas.openxmlformats.org/officeDocument/2006/relationships/hyperlink" Target="http://eltweb04.elta.iai/pls/iman_Production/link_to_iman?item_id=BLM18SG260TN1D" TargetMode="External"/><Relationship Id="rId140" Type="http://schemas.openxmlformats.org/officeDocument/2006/relationships/hyperlink" Target="http://eltweb04.elta.iai/pls/iman_Production/link_to_iman?item_id=CRCW040249R9FKED" TargetMode="External"/><Relationship Id="rId161" Type="http://schemas.openxmlformats.org/officeDocument/2006/relationships/hyperlink" Target="http://eltweb04.elta.iai/pls/iman_Production/link_to_iman?item_id=CRCW0603287KFKEA" TargetMode="External"/><Relationship Id="rId182" Type="http://schemas.openxmlformats.org/officeDocument/2006/relationships/hyperlink" Target="http://eltweb04.elta.iai/pls/iman_Production/link_to_iman?item_id=DS620U+TR" TargetMode="External"/><Relationship Id="rId217" Type="http://schemas.openxmlformats.org/officeDocument/2006/relationships/hyperlink" Target="http://eltweb04.elta.iai/pls/iman_Production/link_to_iman?item_id=MS16995-1" TargetMode="External"/><Relationship Id="rId6" Type="http://schemas.openxmlformats.org/officeDocument/2006/relationships/hyperlink" Target="http://eltweb04.elta.iai/pls/iman_Production/link_to_iman?item_id=0505P4R7BW151XTV" TargetMode="External"/><Relationship Id="rId238" Type="http://schemas.openxmlformats.org/officeDocument/2006/relationships/hyperlink" Target="http://eltweb04.elta.iai/pls/iman_Production/link_to_iman?item_id=NC7SZ08M5X" TargetMode="External"/><Relationship Id="rId259" Type="http://schemas.openxmlformats.org/officeDocument/2006/relationships/hyperlink" Target="http://eltweb04.elta.iai/pls/iman_Production/link_to_iman?item_id=SMT252503ALN2F" TargetMode="External"/><Relationship Id="rId23" Type="http://schemas.openxmlformats.org/officeDocument/2006/relationships/hyperlink" Target="http://eltweb04.elta.iai/pls/iman_Production/link_to_iman?item_id=1094L935-001" TargetMode="External"/><Relationship Id="rId119" Type="http://schemas.openxmlformats.org/officeDocument/2006/relationships/hyperlink" Target="http://eltweb04.elta.iai/pls/iman_Production/link_to_iman?item_id=CL10B102KD8NNNC" TargetMode="External"/><Relationship Id="rId270" Type="http://schemas.openxmlformats.org/officeDocument/2006/relationships/hyperlink" Target="http://eltweb04.elta.iai/pls/iman_Production/link_to_iman?item_id=TQL9092" TargetMode="External"/><Relationship Id="rId291" Type="http://schemas.openxmlformats.org/officeDocument/2006/relationships/hyperlink" Target="mailto:anat@elbatech.co.il" TargetMode="External"/><Relationship Id="rId305" Type="http://schemas.openxmlformats.org/officeDocument/2006/relationships/hyperlink" Target="mailto:Lea@ryt.co.il" TargetMode="External"/><Relationship Id="rId326" Type="http://schemas.openxmlformats.org/officeDocument/2006/relationships/hyperlink" Target="mailto:nivk@mtisummit.co.il" TargetMode="External"/><Relationship Id="rId347" Type="http://schemas.openxmlformats.org/officeDocument/2006/relationships/hyperlink" Target="mailto:Irefael@tti.ray-q.com" TargetMode="External"/><Relationship Id="rId44" Type="http://schemas.openxmlformats.org/officeDocument/2006/relationships/hyperlink" Target="http://eltweb04.elta.iai/pls/iman_Production/link_to_iman?item_id=1094N795-001" TargetMode="External"/><Relationship Id="rId65" Type="http://schemas.openxmlformats.org/officeDocument/2006/relationships/hyperlink" Target="http://eltweb04.elta.iai/pls/iman_Production/link_to_iman?item_id=160-A62Q/188(SF162)" TargetMode="External"/><Relationship Id="rId86" Type="http://schemas.openxmlformats.org/officeDocument/2006/relationships/hyperlink" Target="http://eltweb04.elta.iai/pls/iman_Production/link_to_iman?item_id=AQ12EM1R2BAJME/500V" TargetMode="External"/><Relationship Id="rId130" Type="http://schemas.openxmlformats.org/officeDocument/2006/relationships/hyperlink" Target="http://eltweb04.elta.iai/pls/iman_Production/link_to_iman?item_id=CRCW0402150RFKED" TargetMode="External"/><Relationship Id="rId151" Type="http://schemas.openxmlformats.org/officeDocument/2006/relationships/hyperlink" Target="http://eltweb04.elta.iai/pls/iman_Production/link_to_iman?item_id=CRCW060310K0FKEA" TargetMode="External"/><Relationship Id="rId172" Type="http://schemas.openxmlformats.org/officeDocument/2006/relationships/hyperlink" Target="http://eltweb04.elta.iai/pls/iman_Production/link_to_iman?item_id=CRCW0603511RFKTA" TargetMode="External"/><Relationship Id="rId193" Type="http://schemas.openxmlformats.org/officeDocument/2006/relationships/hyperlink" Target="http://eltweb04.elta.iai/pls/iman_Production/link_to_iman?item_id=HMC349ALP4CETR" TargetMode="External"/><Relationship Id="rId207" Type="http://schemas.openxmlformats.org/officeDocument/2006/relationships/hyperlink" Target="http://eltweb04.elta.iai/pls/iman_Production/link_to_iman?item_id=LQW15AN15NG80D" TargetMode="External"/><Relationship Id="rId228" Type="http://schemas.openxmlformats.org/officeDocument/2006/relationships/hyperlink" Target="http://eltweb04.elta.iai/pls/iman_Production/link_to_iman?item_id=MT28EW01GABA1HPC-0SIT" TargetMode="External"/><Relationship Id="rId249" Type="http://schemas.openxmlformats.org/officeDocument/2006/relationships/hyperlink" Target="http://eltweb04.elta.iai/pls/iman_Production/link_to_iman?item_id=REF192ESZ-REEL7" TargetMode="External"/><Relationship Id="rId13" Type="http://schemas.openxmlformats.org/officeDocument/2006/relationships/hyperlink" Target="http://eltweb04.elta.iai/pls/iman_Production/link_to_iman?item_id=1093J361-002" TargetMode="External"/><Relationship Id="rId109" Type="http://schemas.openxmlformats.org/officeDocument/2006/relationships/hyperlink" Target="http://eltweb04.elta.iai/pls/iman_Production/link_to_iman?item_id=C0603C272K5RACTU" TargetMode="External"/><Relationship Id="rId260" Type="http://schemas.openxmlformats.org/officeDocument/2006/relationships/hyperlink" Target="http://eltweb04.elta.iai/pls/iman_Production/link_to_iman?item_id=SN74LV4T125PWR" TargetMode="External"/><Relationship Id="rId281" Type="http://schemas.openxmlformats.org/officeDocument/2006/relationships/hyperlink" Target="mailto:Orit@ackerman-printing.com" TargetMode="External"/><Relationship Id="rId316" Type="http://schemas.openxmlformats.org/officeDocument/2006/relationships/hyperlink" Target="mailto:Sigal@stggroup.co.il" TargetMode="External"/><Relationship Id="rId337" Type="http://schemas.openxmlformats.org/officeDocument/2006/relationships/hyperlink" Target="mailto:elad.zafrir@emet.co.il" TargetMode="External"/><Relationship Id="rId34" Type="http://schemas.openxmlformats.org/officeDocument/2006/relationships/hyperlink" Target="http://eltweb04.elta.iai/pls/iman_Production/link_to_iman?item_id=1094N771-001" TargetMode="External"/><Relationship Id="rId55" Type="http://schemas.openxmlformats.org/officeDocument/2006/relationships/hyperlink" Target="http://eltweb04.elta.iai/pls/iman_Production/link_to_iman?item_id=1094Y026-001" TargetMode="External"/><Relationship Id="rId76" Type="http://schemas.openxmlformats.org/officeDocument/2006/relationships/hyperlink" Target="http://eltweb04.elta.iai/pls/iman_Production/link_to_iman?item_id=600L4R7BW200T" TargetMode="External"/><Relationship Id="rId97" Type="http://schemas.openxmlformats.org/officeDocument/2006/relationships/hyperlink" Target="http://eltweb04.elta.iai/pls/iman_Production/link_to_iman?item_id=BLM31PG500SN1L" TargetMode="External"/><Relationship Id="rId120" Type="http://schemas.openxmlformats.org/officeDocument/2006/relationships/hyperlink" Target="http://eltweb04.elta.iai/pls/iman_Production/link_to_iman?item_id=CL10B153KB8NNNC" TargetMode="External"/><Relationship Id="rId141" Type="http://schemas.openxmlformats.org/officeDocument/2006/relationships/hyperlink" Target="http://eltweb04.elta.iai/pls/iman_Production/link_to_iman?item_id=CRCW04024K02FKED" TargetMode="External"/><Relationship Id="rId7" Type="http://schemas.openxmlformats.org/officeDocument/2006/relationships/hyperlink" Target="http://eltweb04.elta.iai/pls/iman_Production/link_to_iman?item_id=0603CS-15NXGRW" TargetMode="External"/><Relationship Id="rId162" Type="http://schemas.openxmlformats.org/officeDocument/2006/relationships/hyperlink" Target="http://eltweb04.elta.iai/pls/iman_Production/link_to_iman?item_id=CRCW06032K49FKEA" TargetMode="External"/><Relationship Id="rId183" Type="http://schemas.openxmlformats.org/officeDocument/2006/relationships/hyperlink" Target="http://eltweb04.elta.iai/pls/iman_Production/link_to_iman?item_id=EPCQ64ASI16N" TargetMode="External"/><Relationship Id="rId218" Type="http://schemas.openxmlformats.org/officeDocument/2006/relationships/hyperlink" Target="http://eltweb04.elta.iai/pls/iman_Production/link_to_iman?item_id=MS16995-3" TargetMode="External"/><Relationship Id="rId239" Type="http://schemas.openxmlformats.org/officeDocument/2006/relationships/hyperlink" Target="http://eltweb04.elta.iai/pls/iman_Production/link_to_iman?item_id=NC7SZ08M5X-L22090" TargetMode="External"/><Relationship Id="rId250" Type="http://schemas.openxmlformats.org/officeDocument/2006/relationships/hyperlink" Target="http://eltweb04.elta.iai/pls/iman_Production/link_to_iman?item_id=RTV%20167-2.8%20FL/OZ" TargetMode="External"/><Relationship Id="rId271" Type="http://schemas.openxmlformats.org/officeDocument/2006/relationships/hyperlink" Target="http://eltweb04.elta.iai/pls/iman_Production/link_to_iman?item_id=TS0301W3" TargetMode="External"/><Relationship Id="rId292" Type="http://schemas.openxmlformats.org/officeDocument/2006/relationships/hyperlink" Target="mailto:Avi@elina.co.il" TargetMode="External"/><Relationship Id="rId306" Type="http://schemas.openxmlformats.org/officeDocument/2006/relationships/hyperlink" Target="mailto:Lenova@asco.co.il" TargetMode="External"/><Relationship Id="rId24" Type="http://schemas.openxmlformats.org/officeDocument/2006/relationships/hyperlink" Target="http://eltweb04.elta.iai/pls/iman_Production/link_to_iman?item_id=1094N749-001" TargetMode="External"/><Relationship Id="rId45" Type="http://schemas.openxmlformats.org/officeDocument/2006/relationships/hyperlink" Target="http://eltweb04.elta.iai/pls/iman_Production/link_to_iman?item_id=1094N799-001" TargetMode="External"/><Relationship Id="rId66" Type="http://schemas.openxmlformats.org/officeDocument/2006/relationships/hyperlink" Target="http://eltweb04.elta.iai/pls/iman_Production/link_to_iman?item_id=19S16D-400L5" TargetMode="External"/><Relationship Id="rId87" Type="http://schemas.openxmlformats.org/officeDocument/2006/relationships/hyperlink" Target="http://eltweb04.elta.iai/pls/iman_Production/link_to_iman?item_id=AQ12EM1R3BAJME/500V" TargetMode="External"/><Relationship Id="rId110" Type="http://schemas.openxmlformats.org/officeDocument/2006/relationships/hyperlink" Target="http://eltweb04.elta.iai/pls/iman_Production/link_to_iman?item_id=C0603C474K4RAL7867" TargetMode="External"/><Relationship Id="rId131" Type="http://schemas.openxmlformats.org/officeDocument/2006/relationships/hyperlink" Target="http://eltweb04.elta.iai/pls/iman_Production/link_to_iman?item_id=CRCW040218K2FKED" TargetMode="External"/><Relationship Id="rId327" Type="http://schemas.openxmlformats.org/officeDocument/2006/relationships/hyperlink" Target="mailto:nivk@mtisummit.co.il" TargetMode="External"/><Relationship Id="rId348" Type="http://schemas.openxmlformats.org/officeDocument/2006/relationships/hyperlink" Target="mailto:Irefael@tti.ray-q.com" TargetMode="External"/><Relationship Id="rId152" Type="http://schemas.openxmlformats.org/officeDocument/2006/relationships/hyperlink" Target="http://eltweb04.elta.iai/pls/iman_Production/link_to_iman?item_id=CRCW060310R0FKEA" TargetMode="External"/><Relationship Id="rId173" Type="http://schemas.openxmlformats.org/officeDocument/2006/relationships/hyperlink" Target="http://eltweb04.elta.iai/pls/iman_Production/link_to_iman?item_id=CRCW060353K6FKEA" TargetMode="External"/><Relationship Id="rId194" Type="http://schemas.openxmlformats.org/officeDocument/2006/relationships/hyperlink" Target="http://eltweb04.elta.iai/pls/iman_Production/link_to_iman?item_id=HSMC-C120" TargetMode="External"/><Relationship Id="rId208" Type="http://schemas.openxmlformats.org/officeDocument/2006/relationships/hyperlink" Target="http://eltweb04.elta.iai/pls/iman_Production/link_to_iman?item_id=LT1764EQ" TargetMode="External"/><Relationship Id="rId229" Type="http://schemas.openxmlformats.org/officeDocument/2006/relationships/hyperlink" Target="http://eltweb04.elta.iai/pls/iman_Production/link_to_iman?item_id=NAS1291C04M" TargetMode="External"/><Relationship Id="rId240" Type="http://schemas.openxmlformats.org/officeDocument/2006/relationships/hyperlink" Target="http://eltweb04.elta.iai/pls/iman_Production/link_to_iman?item_id=NFL18ST207X1C3D" TargetMode="External"/><Relationship Id="rId261" Type="http://schemas.openxmlformats.org/officeDocument/2006/relationships/hyperlink" Target="http://eltweb04.elta.iai/pls/iman_Production/link_to_iman?item_id=SN74LVCH244APW" TargetMode="External"/><Relationship Id="rId14" Type="http://schemas.openxmlformats.org/officeDocument/2006/relationships/hyperlink" Target="http://eltweb04.elta.iai/pls/iman_Production/link_to_iman?item_id=1093J364-002" TargetMode="External"/><Relationship Id="rId35" Type="http://schemas.openxmlformats.org/officeDocument/2006/relationships/hyperlink" Target="http://eltweb04.elta.iai/pls/iman_Production/link_to_iman?item_id=1094N772-001" TargetMode="External"/><Relationship Id="rId56" Type="http://schemas.openxmlformats.org/officeDocument/2006/relationships/hyperlink" Target="http://eltweb04.elta.iai/pls/iman_Production/link_to_iman?item_id=1094Y030-002" TargetMode="External"/><Relationship Id="rId77" Type="http://schemas.openxmlformats.org/officeDocument/2006/relationships/hyperlink" Target="http://eltweb04.elta.iai/pls/iman_Production/link_to_iman?item_id=980-0064-005" TargetMode="External"/><Relationship Id="rId100" Type="http://schemas.openxmlformats.org/officeDocument/2006/relationships/hyperlink" Target="http://eltweb04.elta.iai/pls/iman_Production/link_to_iman?item_id=C0402C103K3RAC7867" TargetMode="External"/><Relationship Id="rId282" Type="http://schemas.openxmlformats.org/officeDocument/2006/relationships/hyperlink" Target="mailto:Tanyal@phnx.co.il" TargetMode="External"/><Relationship Id="rId317" Type="http://schemas.openxmlformats.org/officeDocument/2006/relationships/hyperlink" Target="mailto:ifat@nextwave.co.il" TargetMode="External"/><Relationship Id="rId338" Type="http://schemas.openxmlformats.org/officeDocument/2006/relationships/hyperlink" Target="mailto:elad.zafrir@emet.co.il" TargetMode="External"/><Relationship Id="rId8" Type="http://schemas.openxmlformats.org/officeDocument/2006/relationships/hyperlink" Target="http://eltweb04.elta.iai/pls/iman_Production/link_to_iman?item_id=0603CS-8N7XGLW" TargetMode="External"/><Relationship Id="rId98" Type="http://schemas.openxmlformats.org/officeDocument/2006/relationships/hyperlink" Target="http://eltweb04.elta.iai/pls/iman_Production/link_to_iman?item_id=C0402C101J3GACTU" TargetMode="External"/><Relationship Id="rId121" Type="http://schemas.openxmlformats.org/officeDocument/2006/relationships/hyperlink" Target="http://eltweb04.elta.iai/pls/iman_Production/link_to_iman?item_id=CL10B472KC8NNNC" TargetMode="External"/><Relationship Id="rId142" Type="http://schemas.openxmlformats.org/officeDocument/2006/relationships/hyperlink" Target="http://eltweb04.elta.iai/pls/iman_Production/link_to_iman?item_id=CRCW04024K75FKED" TargetMode="External"/><Relationship Id="rId163" Type="http://schemas.openxmlformats.org/officeDocument/2006/relationships/hyperlink" Target="http://eltweb04.elta.iai/pls/iman_Production/link_to_iman?item_id=CRCW060333K2FKEA" TargetMode="External"/><Relationship Id="rId184" Type="http://schemas.openxmlformats.org/officeDocument/2006/relationships/hyperlink" Target="http://eltweb04.elta.iai/pls/iman_Production/link_to_iman?item_id=FM25V20A-DG" TargetMode="External"/><Relationship Id="rId219" Type="http://schemas.openxmlformats.org/officeDocument/2006/relationships/hyperlink" Target="http://eltweb04.elta.iai/pls/iman_Production/link_to_iman?item_id=MS35338-134" TargetMode="External"/><Relationship Id="rId230" Type="http://schemas.openxmlformats.org/officeDocument/2006/relationships/hyperlink" Target="http://eltweb04.elta.iai/pls/iman_Production/link_to_iman?item_id=NAS1640-0" TargetMode="External"/><Relationship Id="rId251" Type="http://schemas.openxmlformats.org/officeDocument/2006/relationships/hyperlink" Target="http://eltweb04.elta.iai/pls/iman_Production/link_to_iman?item_id=SI4559ADY-T1-GE3" TargetMode="External"/><Relationship Id="rId25" Type="http://schemas.openxmlformats.org/officeDocument/2006/relationships/hyperlink" Target="http://eltweb04.elta.iai/pls/iman_Production/link_to_iman?item_id=1094N750-003" TargetMode="External"/><Relationship Id="rId46" Type="http://schemas.openxmlformats.org/officeDocument/2006/relationships/hyperlink" Target="http://eltweb04.elta.iai/pls/iman_Production/link_to_iman?item_id=1094N993-001" TargetMode="External"/><Relationship Id="rId67" Type="http://schemas.openxmlformats.org/officeDocument/2006/relationships/hyperlink" Target="http://eltweb04.elta.iai/pls/iman_Production/link_to_iman?item_id=293D106X9016A2TE3" TargetMode="External"/><Relationship Id="rId272" Type="http://schemas.openxmlformats.org/officeDocument/2006/relationships/hyperlink" Target="http://eltweb04.elta.iai/pls/iman_Production/link_to_iman?item_id=TS0302W3" TargetMode="External"/><Relationship Id="rId293" Type="http://schemas.openxmlformats.org/officeDocument/2006/relationships/hyperlink" Target="mailto:Polina.rashkovsky@ecomal.com" TargetMode="External"/><Relationship Id="rId307" Type="http://schemas.openxmlformats.org/officeDocument/2006/relationships/hyperlink" Target="mailto:Tanyal@phnx.co.il" TargetMode="External"/><Relationship Id="rId328" Type="http://schemas.openxmlformats.org/officeDocument/2006/relationships/hyperlink" Target="mailto:nivk@mtisummit.co.il" TargetMode="External"/><Relationship Id="rId349" Type="http://schemas.openxmlformats.org/officeDocument/2006/relationships/hyperlink" Target="mailto:Daniela@nisko.com" TargetMode="External"/><Relationship Id="rId88" Type="http://schemas.openxmlformats.org/officeDocument/2006/relationships/hyperlink" Target="http://eltweb04.elta.iai/pls/iman_Production/link_to_iman?item_id=AQ12EM1R4BAJME/500V" TargetMode="External"/><Relationship Id="rId111" Type="http://schemas.openxmlformats.org/officeDocument/2006/relationships/hyperlink" Target="http://eltweb04.elta.iai/pls/iman_Production/link_to_iman?item_id=C0805C104K1RAC7025" TargetMode="External"/><Relationship Id="rId132" Type="http://schemas.openxmlformats.org/officeDocument/2006/relationships/hyperlink" Target="http://eltweb04.elta.iai/pls/iman_Production/link_to_iman?item_id=CRCW04021K00FKED" TargetMode="External"/><Relationship Id="rId153" Type="http://schemas.openxmlformats.org/officeDocument/2006/relationships/hyperlink" Target="http://eltweb04.elta.iai/pls/iman_Production/link_to_iman?item_id=CRCW060311K5FKEA" TargetMode="External"/><Relationship Id="rId174" Type="http://schemas.openxmlformats.org/officeDocument/2006/relationships/hyperlink" Target="http://eltweb04.elta.iai/pls/iman_Production/link_to_iman?item_id=CRCW060354R9FKEA" TargetMode="External"/><Relationship Id="rId195" Type="http://schemas.openxmlformats.org/officeDocument/2006/relationships/hyperlink" Target="http://eltweb04.elta.iai/pls/iman_Production/link_to_iman?item_id=HSMG-C150" TargetMode="External"/><Relationship Id="rId209" Type="http://schemas.openxmlformats.org/officeDocument/2006/relationships/hyperlink" Target="http://eltweb04.elta.iai/pls/iman_Production/link_to_iman?item_id=LT4363MPS-2" TargetMode="External"/><Relationship Id="rId190" Type="http://schemas.openxmlformats.org/officeDocument/2006/relationships/hyperlink" Target="http://eltweb04.elta.iai/pls/iman_Production/link_to_iman?item_id=GRM32ER71E226KE15L" TargetMode="External"/><Relationship Id="rId204" Type="http://schemas.openxmlformats.org/officeDocument/2006/relationships/hyperlink" Target="http://eltweb04.elta.iai/pls/iman_Production/link_to_iman?item_id=LM5113SDE/NOPB" TargetMode="External"/><Relationship Id="rId220" Type="http://schemas.openxmlformats.org/officeDocument/2006/relationships/hyperlink" Target="http://eltweb04.elta.iai/pls/iman_Production/link_to_iman?item_id=MS35338-135" TargetMode="External"/><Relationship Id="rId225" Type="http://schemas.openxmlformats.org/officeDocument/2006/relationships/hyperlink" Target="http://eltweb04.elta.iai/pls/iman_Production/link_to_iman?item_id=MS51957-5" TargetMode="External"/><Relationship Id="rId241" Type="http://schemas.openxmlformats.org/officeDocument/2006/relationships/hyperlink" Target="http://eltweb04.elta.iai/pls/iman_Production/link_to_iman?item_id=NFL18ST507X1C3D" TargetMode="External"/><Relationship Id="rId246" Type="http://schemas.openxmlformats.org/officeDocument/2006/relationships/hyperlink" Target="http://eltweb04.elta.iai/pls/iman_Production/link_to_iman?item_id=NRVBM2H100T3G" TargetMode="External"/><Relationship Id="rId267" Type="http://schemas.openxmlformats.org/officeDocument/2006/relationships/hyperlink" Target="http://eltweb04.elta.iai/pls/iman_Production/link_to_iman?item_id=TGL2927-SM" TargetMode="External"/><Relationship Id="rId288" Type="http://schemas.openxmlformats.org/officeDocument/2006/relationships/hyperlink" Target="mailto:Orit@ackerman-printing.com" TargetMode="External"/><Relationship Id="rId15" Type="http://schemas.openxmlformats.org/officeDocument/2006/relationships/hyperlink" Target="http://eltweb04.elta.iai/pls/iman_Production/link_to_iman?item_id=1093J365-002" TargetMode="External"/><Relationship Id="rId36" Type="http://schemas.openxmlformats.org/officeDocument/2006/relationships/hyperlink" Target="http://eltweb04.elta.iai/pls/iman_Production/link_to_iman?item_id=1094N773-003" TargetMode="External"/><Relationship Id="rId57" Type="http://schemas.openxmlformats.org/officeDocument/2006/relationships/hyperlink" Target="http://eltweb04.elta.iai/pls/iman_Production/link_to_iman?item_id=1094Y038-001" TargetMode="External"/><Relationship Id="rId106" Type="http://schemas.openxmlformats.org/officeDocument/2006/relationships/hyperlink" Target="http://eltweb04.elta.iai/pls/iman_Production/link_to_iman?item_id=C0603C104K5RAC7867" TargetMode="External"/><Relationship Id="rId127" Type="http://schemas.openxmlformats.org/officeDocument/2006/relationships/hyperlink" Target="http://eltweb04.elta.iai/pls/iman_Production/link_to_iman?item_id=CRCW0402100KFKED" TargetMode="External"/><Relationship Id="rId262" Type="http://schemas.openxmlformats.org/officeDocument/2006/relationships/hyperlink" Target="http://eltweb04.elta.iai/pls/iman_Production/link_to_iman?item_id=SOLC-125-02-S-Q-A-K-TR" TargetMode="External"/><Relationship Id="rId283" Type="http://schemas.openxmlformats.org/officeDocument/2006/relationships/hyperlink" Target="mailto:Polina.rashkovsky@ecomal.com" TargetMode="External"/><Relationship Id="rId313" Type="http://schemas.openxmlformats.org/officeDocument/2006/relationships/hyperlink" Target="mailto:liatbakal@cidev.co.il" TargetMode="External"/><Relationship Id="rId318" Type="http://schemas.openxmlformats.org/officeDocument/2006/relationships/hyperlink" Target="mailto:Avi@nisko.co.il" TargetMode="External"/><Relationship Id="rId339" Type="http://schemas.openxmlformats.org/officeDocument/2006/relationships/hyperlink" Target="mailto:Chen@mouser-israel.com" TargetMode="External"/><Relationship Id="rId10" Type="http://schemas.openxmlformats.org/officeDocument/2006/relationships/hyperlink" Target="http://eltweb04.elta.iai/pls/iman_Production/link_to_iman?item_id=097-0227-893" TargetMode="External"/><Relationship Id="rId31" Type="http://schemas.openxmlformats.org/officeDocument/2006/relationships/hyperlink" Target="http://eltweb04.elta.iai/pls/iman_Production/link_to_iman?item_id=1094N765-001" TargetMode="External"/><Relationship Id="rId52" Type="http://schemas.openxmlformats.org/officeDocument/2006/relationships/hyperlink" Target="http://eltweb04.elta.iai/pls/iman_Production/link_to_iman?item_id=1094T052-001" TargetMode="External"/><Relationship Id="rId73" Type="http://schemas.openxmlformats.org/officeDocument/2006/relationships/hyperlink" Target="http://eltweb04.elta.iai/pls/iman_Production/link_to_iman?item_id=597D227X0020R2T" TargetMode="External"/><Relationship Id="rId78" Type="http://schemas.openxmlformats.org/officeDocument/2006/relationships/hyperlink" Target="http://eltweb04.elta.iai/pls/iman_Production/link_to_iman?item_id=A04TGLC" TargetMode="External"/><Relationship Id="rId94" Type="http://schemas.openxmlformats.org/officeDocument/2006/relationships/hyperlink" Target="http://eltweb04.elta.iai/pls/iman_Production/link_to_iman?item_id=AVERY%20MPI%203041" TargetMode="External"/><Relationship Id="rId99" Type="http://schemas.openxmlformats.org/officeDocument/2006/relationships/hyperlink" Target="http://eltweb04.elta.iai/pls/iman_Production/link_to_iman?item_id=C0402C102K5RAC7867" TargetMode="External"/><Relationship Id="rId101" Type="http://schemas.openxmlformats.org/officeDocument/2006/relationships/hyperlink" Target="http://eltweb04.elta.iai/pls/iman_Production/link_to_iman?item_id=C0402C103K5RALTU" TargetMode="External"/><Relationship Id="rId122" Type="http://schemas.openxmlformats.org/officeDocument/2006/relationships/hyperlink" Target="http://eltweb04.elta.iai/pls/iman_Production/link_to_iman?item_id=CL10C101JB8NNNC" TargetMode="External"/><Relationship Id="rId143" Type="http://schemas.openxmlformats.org/officeDocument/2006/relationships/hyperlink" Target="http://eltweb04.elta.iai/pls/iman_Production/link_to_iman?item_id=CRCW04024K99FKED" TargetMode="External"/><Relationship Id="rId148" Type="http://schemas.openxmlformats.org/officeDocument/2006/relationships/hyperlink" Target="http://eltweb04.elta.iai/pls/iman_Production/link_to_iman?item_id=CRCW040282R5FKED" TargetMode="External"/><Relationship Id="rId164" Type="http://schemas.openxmlformats.org/officeDocument/2006/relationships/hyperlink" Target="http://eltweb04.elta.iai/pls/iman_Production/link_to_iman?item_id=CRCW0603383KFKTA" TargetMode="External"/><Relationship Id="rId169" Type="http://schemas.openxmlformats.org/officeDocument/2006/relationships/hyperlink" Target="http://eltweb04.elta.iai/pls/iman_Production/link_to_iman?item_id=CRCW060349R9FKEA" TargetMode="External"/><Relationship Id="rId185" Type="http://schemas.openxmlformats.org/officeDocument/2006/relationships/hyperlink" Target="http://eltweb04.elta.iai/pls/iman_Production/link_to_iman?item_id=GQM2195G2H4R7WB12D" TargetMode="External"/><Relationship Id="rId334" Type="http://schemas.openxmlformats.org/officeDocument/2006/relationships/hyperlink" Target="mailto:tali.weisberg@rfmw.com" TargetMode="External"/><Relationship Id="rId350" Type="http://schemas.openxmlformats.org/officeDocument/2006/relationships/hyperlink" Target="mailto:Gal.balash@futureelectronics.com" TargetMode="External"/><Relationship Id="rId355" Type="http://schemas.openxmlformats.org/officeDocument/2006/relationships/printerSettings" Target="../printerSettings/printerSettings1.bin"/><Relationship Id="rId4" Type="http://schemas.openxmlformats.org/officeDocument/2006/relationships/hyperlink" Target="http://eltweb04.elta.iai/pls/iman_Production/link_to_iman?item_id=04021J0R3PBSTR" TargetMode="External"/><Relationship Id="rId9" Type="http://schemas.openxmlformats.org/officeDocument/2006/relationships/hyperlink" Target="http://eltweb04.elta.iai/pls/iman_Production/link_to_iman?item_id=0805ZC106KAT2A" TargetMode="External"/><Relationship Id="rId180" Type="http://schemas.openxmlformats.org/officeDocument/2006/relationships/hyperlink" Target="http://eltweb04.elta.iai/pls/iman_Production/link_to_iman?item_id=CRCW251275R0FKEG" TargetMode="External"/><Relationship Id="rId210" Type="http://schemas.openxmlformats.org/officeDocument/2006/relationships/hyperlink" Target="http://eltweb04.elta.iai/pls/iman_Production/link_to_iman?item_id=LTC4444HMS8E-5" TargetMode="External"/><Relationship Id="rId215" Type="http://schemas.openxmlformats.org/officeDocument/2006/relationships/hyperlink" Target="http://eltweb04.elta.iai/pls/iman_Production/link_to_iman?item_id=MIC4427YM%20TR" TargetMode="External"/><Relationship Id="rId236" Type="http://schemas.openxmlformats.org/officeDocument/2006/relationships/hyperlink" Target="http://eltweb04.elta.iai/pls/iman_Production/link_to_iman?item_id=NAS662C0R5" TargetMode="External"/><Relationship Id="rId257" Type="http://schemas.openxmlformats.org/officeDocument/2006/relationships/hyperlink" Target="http://eltweb04.elta.iai/pls/iman_Production/link_to_iman?item_id=SMMBT2222ALT1G" TargetMode="External"/><Relationship Id="rId278" Type="http://schemas.openxmlformats.org/officeDocument/2006/relationships/hyperlink" Target="http://eltweb04.elta.iai/pls/iman_Production/link_to_iman?item_id=WSL25125L000FTA" TargetMode="External"/><Relationship Id="rId26" Type="http://schemas.openxmlformats.org/officeDocument/2006/relationships/hyperlink" Target="http://eltweb04.elta.iai/pls/iman_Production/link_to_iman?item_id=1094N754-001" TargetMode="External"/><Relationship Id="rId231" Type="http://schemas.openxmlformats.org/officeDocument/2006/relationships/hyperlink" Target="http://eltweb04.elta.iai/pls/iman_Production/link_to_iman?item_id=NAS1676C2" TargetMode="External"/><Relationship Id="rId252" Type="http://schemas.openxmlformats.org/officeDocument/2006/relationships/hyperlink" Target="http://eltweb04.elta.iai/pls/iman_Production/link_to_iman?item_id=SI7252DP-T1-GE3" TargetMode="External"/><Relationship Id="rId273" Type="http://schemas.openxmlformats.org/officeDocument/2006/relationships/hyperlink" Target="http://eltweb04.elta.iai/pls/iman_Production/link_to_iman?item_id=TS0501W3S/TR" TargetMode="External"/><Relationship Id="rId294" Type="http://schemas.openxmlformats.org/officeDocument/2006/relationships/hyperlink" Target="mailto:anat@elbatech.co.il" TargetMode="External"/><Relationship Id="rId308" Type="http://schemas.openxmlformats.org/officeDocument/2006/relationships/hyperlink" Target="mailto:Tanyal@phnx.co.il" TargetMode="External"/><Relationship Id="rId329" Type="http://schemas.openxmlformats.org/officeDocument/2006/relationships/hyperlink" Target="mailto:nivk@mtisummit.co.il" TargetMode="External"/><Relationship Id="rId47" Type="http://schemas.openxmlformats.org/officeDocument/2006/relationships/hyperlink" Target="http://eltweb04.elta.iai/pls/iman_Production/link_to_iman?item_id=1094T037-001" TargetMode="External"/><Relationship Id="rId68" Type="http://schemas.openxmlformats.org/officeDocument/2006/relationships/hyperlink" Target="http://eltweb04.elta.iai/pls/iman_Production/link_to_iman?item_id=293D475X9016A2TE3" TargetMode="External"/><Relationship Id="rId89" Type="http://schemas.openxmlformats.org/officeDocument/2006/relationships/hyperlink" Target="http://eltweb04.elta.iai/pls/iman_Production/link_to_iman?item_id=AQ12EM1R5BAJME/500V" TargetMode="External"/><Relationship Id="rId112" Type="http://schemas.openxmlformats.org/officeDocument/2006/relationships/hyperlink" Target="http://eltweb04.elta.iai/pls/iman_Production/link_to_iman?item_id=C0805C104K5RACTU" TargetMode="External"/><Relationship Id="rId133" Type="http://schemas.openxmlformats.org/officeDocument/2006/relationships/hyperlink" Target="http://eltweb04.elta.iai/pls/iman_Production/link_to_iman?item_id=CRCW04021K21FKED" TargetMode="External"/><Relationship Id="rId154" Type="http://schemas.openxmlformats.org/officeDocument/2006/relationships/hyperlink" Target="http://eltweb04.elta.iai/pls/iman_Production/link_to_iman?item_id=CRCW060312K1FKEA" TargetMode="External"/><Relationship Id="rId175" Type="http://schemas.openxmlformats.org/officeDocument/2006/relationships/hyperlink" Target="http://eltweb04.elta.iai/pls/iman_Production/link_to_iman?item_id=CRCW060356K2FKEA" TargetMode="External"/><Relationship Id="rId340" Type="http://schemas.openxmlformats.org/officeDocument/2006/relationships/hyperlink" Target="mailto:Chen@mouser-israel.com" TargetMode="External"/><Relationship Id="rId196" Type="http://schemas.openxmlformats.org/officeDocument/2006/relationships/hyperlink" Target="http://eltweb04.elta.iai/pls/iman_Production/link_to_iman?item_id=IHLP2525CZER1R0M01" TargetMode="External"/><Relationship Id="rId200" Type="http://schemas.openxmlformats.org/officeDocument/2006/relationships/hyperlink" Target="http://eltweb04.elta.iai/pls/iman_Production/link_to_iman?item_id=JCM3100T3500S10-ASC" TargetMode="External"/><Relationship Id="rId16" Type="http://schemas.openxmlformats.org/officeDocument/2006/relationships/hyperlink" Target="http://eltweb04.elta.iai/pls/iman_Production/link_to_iman?item_id=1093L791-001" TargetMode="External"/><Relationship Id="rId221" Type="http://schemas.openxmlformats.org/officeDocument/2006/relationships/hyperlink" Target="http://eltweb04.elta.iai/pls/iman_Production/link_to_iman?item_id=MS51957-141" TargetMode="External"/><Relationship Id="rId242" Type="http://schemas.openxmlformats.org/officeDocument/2006/relationships/hyperlink" Target="http://eltweb04.elta.iai/pls/iman_Production/link_to_iman?item_id=NFM18PC225B1A3D" TargetMode="External"/><Relationship Id="rId263" Type="http://schemas.openxmlformats.org/officeDocument/2006/relationships/hyperlink" Target="http://eltweb04.elta.iai/pls/iman_Production/link_to_iman?item_id=SS4155%201PT" TargetMode="External"/><Relationship Id="rId284" Type="http://schemas.openxmlformats.org/officeDocument/2006/relationships/hyperlink" Target="mailto:Polina.rashkovsky@ecomal.com" TargetMode="External"/><Relationship Id="rId319" Type="http://schemas.openxmlformats.org/officeDocument/2006/relationships/hyperlink" Target="mailto:sales@avdor.com" TargetMode="External"/><Relationship Id="rId37" Type="http://schemas.openxmlformats.org/officeDocument/2006/relationships/hyperlink" Target="http://eltweb04.elta.iai/pls/iman_Production/link_to_iman?item_id=1094N776-001" TargetMode="External"/><Relationship Id="rId58" Type="http://schemas.openxmlformats.org/officeDocument/2006/relationships/hyperlink" Target="http://eltweb04.elta.iai/pls/iman_Production/link_to_iman?item_id=1097U145-001" TargetMode="External"/><Relationship Id="rId79" Type="http://schemas.openxmlformats.org/officeDocument/2006/relationships/hyperlink" Target="http://eltweb04.elta.iai/pls/iman_Production/link_to_iman?item_id=A2015AC-58" TargetMode="External"/><Relationship Id="rId102" Type="http://schemas.openxmlformats.org/officeDocument/2006/relationships/hyperlink" Target="http://eltweb04.elta.iai/pls/iman_Production/link_to_iman?item_id=C0402C279C5GACTU" TargetMode="External"/><Relationship Id="rId123" Type="http://schemas.openxmlformats.org/officeDocument/2006/relationships/hyperlink" Target="http://eltweb04.elta.iai/pls/iman_Production/link_to_iman?item_id=CL31B105KAHNNNE" TargetMode="External"/><Relationship Id="rId144" Type="http://schemas.openxmlformats.org/officeDocument/2006/relationships/hyperlink" Target="http://eltweb04.elta.iai/pls/iman_Production/link_to_iman?item_id=CRCW0402511RFKED" TargetMode="External"/><Relationship Id="rId330" Type="http://schemas.openxmlformats.org/officeDocument/2006/relationships/hyperlink" Target="mailto:nivk@mtisummit.co.il" TargetMode="External"/><Relationship Id="rId90" Type="http://schemas.openxmlformats.org/officeDocument/2006/relationships/hyperlink" Target="http://eltweb04.elta.iai/pls/iman_Production/link_to_iman?item_id=AQ12EM1R6BAJME/500V" TargetMode="External"/><Relationship Id="rId165" Type="http://schemas.openxmlformats.org/officeDocument/2006/relationships/hyperlink" Target="http://eltweb04.elta.iai/pls/iman_Production/link_to_iman?item_id=CRCW060338K3FKEA" TargetMode="External"/><Relationship Id="rId186" Type="http://schemas.openxmlformats.org/officeDocument/2006/relationships/hyperlink" Target="http://eltweb04.elta.iai/pls/iman_Production/link_to_iman?item_id=GRM155R70J105KA12D" TargetMode="External"/><Relationship Id="rId351" Type="http://schemas.openxmlformats.org/officeDocument/2006/relationships/hyperlink" Target="mailto:Gal.balash@futureelectronics.com" TargetMode="External"/><Relationship Id="rId211" Type="http://schemas.openxmlformats.org/officeDocument/2006/relationships/hyperlink" Target="http://eltweb04.elta.iai/pls/iman_Production/link_to_iman?item_id=M80-331" TargetMode="External"/><Relationship Id="rId232" Type="http://schemas.openxmlformats.org/officeDocument/2006/relationships/hyperlink" Target="http://eltweb04.elta.iai/pls/iman_Production/link_to_iman?item_id=NAS620-0" TargetMode="External"/><Relationship Id="rId253" Type="http://schemas.openxmlformats.org/officeDocument/2006/relationships/hyperlink" Target="http://eltweb04.elta.iai/pls/iman_Production/link_to_iman?item_id=SIZ340DT-T1-GE3" TargetMode="External"/><Relationship Id="rId274" Type="http://schemas.openxmlformats.org/officeDocument/2006/relationships/hyperlink" Target="http://eltweb04.elta.iai/pls/iman_Production/link_to_iman?item_id=TS0502W3S" TargetMode="External"/><Relationship Id="rId295" Type="http://schemas.openxmlformats.org/officeDocument/2006/relationships/hyperlink" Target="mailto:alon.sagiv@arrow.com" TargetMode="External"/><Relationship Id="rId309" Type="http://schemas.openxmlformats.org/officeDocument/2006/relationships/hyperlink" Target="mailto:liatbakal@cidev.co.il" TargetMode="External"/><Relationship Id="rId27" Type="http://schemas.openxmlformats.org/officeDocument/2006/relationships/hyperlink" Target="http://eltweb04.elta.iai/pls/iman_Production/link_to_iman?item_id=1094N759-001" TargetMode="External"/><Relationship Id="rId48" Type="http://schemas.openxmlformats.org/officeDocument/2006/relationships/hyperlink" Target="http://eltweb04.elta.iai/pls/iman_Production/link_to_iman?item_id=1094T039-002" TargetMode="External"/><Relationship Id="rId69" Type="http://schemas.openxmlformats.org/officeDocument/2006/relationships/hyperlink" Target="http://eltweb04.elta.iai/pls/iman_Production/link_to_iman?item_id=293D476X0010B2TE3" TargetMode="External"/><Relationship Id="rId113" Type="http://schemas.openxmlformats.org/officeDocument/2006/relationships/hyperlink" Target="http://eltweb04.elta.iai/pls/iman_Production/link_to_iman?item_id=C0805C475K4RAC7025" TargetMode="External"/><Relationship Id="rId134" Type="http://schemas.openxmlformats.org/officeDocument/2006/relationships/hyperlink" Target="http://eltweb04.elta.iai/pls/iman_Production/link_to_iman?item_id=CRCW04021K40FKED" TargetMode="External"/><Relationship Id="rId320" Type="http://schemas.openxmlformats.org/officeDocument/2006/relationships/hyperlink" Target="mailto:michael@avdor.com" TargetMode="External"/><Relationship Id="rId80" Type="http://schemas.openxmlformats.org/officeDocument/2006/relationships/hyperlink" Target="http://eltweb04.elta.iai/pls/iman_Production/link_to_iman?item_id=AD7928BRUZ-REEL7" TargetMode="External"/><Relationship Id="rId155" Type="http://schemas.openxmlformats.org/officeDocument/2006/relationships/hyperlink" Target="http://eltweb04.elta.iai/pls/iman_Production/link_to_iman?item_id=CRCW060312R1FKEA" TargetMode="External"/><Relationship Id="rId176" Type="http://schemas.openxmlformats.org/officeDocument/2006/relationships/hyperlink" Target="http://eltweb04.elta.iai/pls/iman_Production/link_to_iman?item_id=CRCW060371R5FKEA" TargetMode="External"/><Relationship Id="rId197" Type="http://schemas.openxmlformats.org/officeDocument/2006/relationships/hyperlink" Target="http://eltweb04.elta.iai/pls/iman_Production/link_to_iman?item_id=IHQ2063942" TargetMode="External"/><Relationship Id="rId341" Type="http://schemas.openxmlformats.org/officeDocument/2006/relationships/hyperlink" Target="mailto:Daniela@nisko.com" TargetMode="External"/><Relationship Id="rId201" Type="http://schemas.openxmlformats.org/officeDocument/2006/relationships/hyperlink" Target="http://eltweb04.elta.iai/pls/iman_Production/link_to_iman?item_id=JCM3100T3500S10C-ASC" TargetMode="External"/><Relationship Id="rId222" Type="http://schemas.openxmlformats.org/officeDocument/2006/relationships/hyperlink" Target="http://eltweb04.elta.iai/pls/iman_Production/link_to_iman?item_id=MS51957-15" TargetMode="External"/><Relationship Id="rId243" Type="http://schemas.openxmlformats.org/officeDocument/2006/relationships/hyperlink" Target="http://eltweb04.elta.iai/pls/iman_Production/link_to_iman?item_id=NFM31KC104R2A3L" TargetMode="External"/><Relationship Id="rId264" Type="http://schemas.openxmlformats.org/officeDocument/2006/relationships/hyperlink" Target="http://eltweb04.elta.iai/pls/iman_Production/link_to_iman?item_id=T55B107M6R3C0040" TargetMode="External"/><Relationship Id="rId285" Type="http://schemas.openxmlformats.org/officeDocument/2006/relationships/hyperlink" Target="mailto:Polina.rashkovsky@ecomal.com" TargetMode="External"/><Relationship Id="rId17" Type="http://schemas.openxmlformats.org/officeDocument/2006/relationships/hyperlink" Target="http://eltweb04.elta.iai/pls/iman_Production/link_to_iman?item_id=1093N721-001" TargetMode="External"/><Relationship Id="rId38" Type="http://schemas.openxmlformats.org/officeDocument/2006/relationships/hyperlink" Target="http://eltweb04.elta.iai/pls/iman_Production/link_to_iman?item_id=1094N777-001" TargetMode="External"/><Relationship Id="rId59" Type="http://schemas.openxmlformats.org/officeDocument/2006/relationships/hyperlink" Target="http://eltweb04.elta.iai/pls/iman_Production/link_to_iman?item_id=1097U147-001" TargetMode="External"/><Relationship Id="rId103" Type="http://schemas.openxmlformats.org/officeDocument/2006/relationships/hyperlink" Target="http://eltweb04.elta.iai/pls/iman_Production/link_to_iman?item_id=C0402C472K3RAC7867" TargetMode="External"/><Relationship Id="rId124" Type="http://schemas.openxmlformats.org/officeDocument/2006/relationships/hyperlink" Target="http://eltweb04.elta.iai/pls/iman_Production/link_to_iman?item_id=CL31B106KOHNNNE" TargetMode="External"/><Relationship Id="rId310" Type="http://schemas.openxmlformats.org/officeDocument/2006/relationships/hyperlink" Target="mailto:liatbakal@cidev.co.il" TargetMode="External"/><Relationship Id="rId70" Type="http://schemas.openxmlformats.org/officeDocument/2006/relationships/hyperlink" Target="http://eltweb04.elta.iai/pls/iman_Production/link_to_iman?item_id=3550LP14A300T" TargetMode="External"/><Relationship Id="rId91" Type="http://schemas.openxmlformats.org/officeDocument/2006/relationships/hyperlink" Target="http://eltweb04.elta.iai/pls/iman_Production/link_to_iman?item_id=ASP-200323-01" TargetMode="External"/><Relationship Id="rId145" Type="http://schemas.openxmlformats.org/officeDocument/2006/relationships/hyperlink" Target="http://eltweb04.elta.iai/pls/iman_Production/link_to_iman?item_id=CRCW04025K11FKED" TargetMode="External"/><Relationship Id="rId166" Type="http://schemas.openxmlformats.org/officeDocument/2006/relationships/hyperlink" Target="http://eltweb04.elta.iai/pls/iman_Production/link_to_iman?item_id=CRCW06033K16FKEA" TargetMode="External"/><Relationship Id="rId187" Type="http://schemas.openxmlformats.org/officeDocument/2006/relationships/hyperlink" Target="http://eltweb04.elta.iai/pls/iman_Production/link_to_iman?item_id=GRM155R71C104KA88D" TargetMode="External"/><Relationship Id="rId331" Type="http://schemas.openxmlformats.org/officeDocument/2006/relationships/hyperlink" Target="mailto:nivk@mtisummit.co.il" TargetMode="External"/><Relationship Id="rId352" Type="http://schemas.openxmlformats.org/officeDocument/2006/relationships/hyperlink" Target="mailto:Gal.balash@futureelectronics.com" TargetMode="External"/><Relationship Id="rId1" Type="http://schemas.openxmlformats.org/officeDocument/2006/relationships/hyperlink" Target="http://eltweb04.elta.iai/pls/iman_Production/link_to_iman?item_id=1094N740-001" TargetMode="External"/><Relationship Id="rId212" Type="http://schemas.openxmlformats.org/officeDocument/2006/relationships/hyperlink" Target="http://eltweb04.elta.iai/pls/iman_Production/link_to_iman?item_id=MADP-011104-TR0500" TargetMode="External"/><Relationship Id="rId233" Type="http://schemas.openxmlformats.org/officeDocument/2006/relationships/hyperlink" Target="http://eltweb04.elta.iai/pls/iman_Production/link_to_iman?item_id=NAS620C2" TargetMode="External"/><Relationship Id="rId254" Type="http://schemas.openxmlformats.org/officeDocument/2006/relationships/hyperlink" Target="http://eltweb04.elta.iai/pls/iman_Production/link_to_iman?item_id=SMBJ5.0AE3/52" TargetMode="External"/><Relationship Id="rId28" Type="http://schemas.openxmlformats.org/officeDocument/2006/relationships/hyperlink" Target="http://eltweb04.elta.iai/pls/iman_Production/link_to_iman?item_id=1094N761-002" TargetMode="External"/><Relationship Id="rId49" Type="http://schemas.openxmlformats.org/officeDocument/2006/relationships/hyperlink" Target="http://eltweb04.elta.iai/pls/iman_Production/link_to_iman?item_id=1094T040-001" TargetMode="External"/><Relationship Id="rId114" Type="http://schemas.openxmlformats.org/officeDocument/2006/relationships/hyperlink" Target="http://eltweb04.elta.iai/pls/iman_Production/link_to_iman?item_id=C1210C106K5RACTU" TargetMode="External"/><Relationship Id="rId275" Type="http://schemas.openxmlformats.org/officeDocument/2006/relationships/hyperlink" Target="http://eltweb04.elta.iai/pls/iman_Production/link_to_iman?item_id=TS0503W3S" TargetMode="External"/><Relationship Id="rId296" Type="http://schemas.openxmlformats.org/officeDocument/2006/relationships/hyperlink" Target="mailto:erez@chemograf.com" TargetMode="External"/><Relationship Id="rId300" Type="http://schemas.openxmlformats.org/officeDocument/2006/relationships/hyperlink" Target="mailto:Adam@kaytech.com" TargetMode="External"/><Relationship Id="rId60" Type="http://schemas.openxmlformats.org/officeDocument/2006/relationships/hyperlink" Target="http://eltweb04.elta.iai/pls/iman_Production/link_to_iman?item_id=1097U217-001" TargetMode="External"/><Relationship Id="rId81" Type="http://schemas.openxmlformats.org/officeDocument/2006/relationships/hyperlink" Target="http://eltweb04.elta.iai/pls/iman_Production/link_to_iman?item_id=AD823ARZ-R7" TargetMode="External"/><Relationship Id="rId135" Type="http://schemas.openxmlformats.org/officeDocument/2006/relationships/hyperlink" Target="http://eltweb04.elta.iai/pls/iman_Production/link_to_iman?item_id=CRCW0402200RFKED" TargetMode="External"/><Relationship Id="rId156" Type="http://schemas.openxmlformats.org/officeDocument/2006/relationships/hyperlink" Target="http://eltweb04.elta.iai/pls/iman_Production/link_to_iman?item_id=CRCW060313K3FKTA" TargetMode="External"/><Relationship Id="rId177" Type="http://schemas.openxmlformats.org/officeDocument/2006/relationships/hyperlink" Target="http://eltweb04.elta.iai/pls/iman_Production/link_to_iman?item_id=CRCW060375R0FKEA" TargetMode="External"/><Relationship Id="rId198" Type="http://schemas.openxmlformats.org/officeDocument/2006/relationships/hyperlink" Target="http://eltweb04.elta.iai/pls/iman_Production/link_to_iman?item_id=IRLB4030PBF" TargetMode="External"/><Relationship Id="rId321" Type="http://schemas.openxmlformats.org/officeDocument/2006/relationships/hyperlink" Target="mailto:Haimk@militram.com" TargetMode="External"/><Relationship Id="rId342" Type="http://schemas.openxmlformats.org/officeDocument/2006/relationships/hyperlink" Target="mailto:Rep@mcdi-ltd.com" TargetMode="External"/><Relationship Id="rId202" Type="http://schemas.openxmlformats.org/officeDocument/2006/relationships/hyperlink" Target="http://eltweb04.elta.iai/pls/iman_Production/link_to_iman?item_id=JCM3100T3500VM5R-ASC" TargetMode="External"/><Relationship Id="rId223" Type="http://schemas.openxmlformats.org/officeDocument/2006/relationships/hyperlink" Target="http://eltweb04.elta.iai/pls/iman_Production/link_to_iman?item_id=MS51957-3" TargetMode="External"/><Relationship Id="rId244" Type="http://schemas.openxmlformats.org/officeDocument/2006/relationships/hyperlink" Target="http://eltweb04.elta.iai/pls/iman_Production/link_to_iman?item_id=NFM41PC155B1H3L" TargetMode="External"/><Relationship Id="rId18" Type="http://schemas.openxmlformats.org/officeDocument/2006/relationships/hyperlink" Target="http://eltweb04.elta.iai/pls/iman_Production/link_to_iman?item_id=1093N746-001" TargetMode="External"/><Relationship Id="rId39" Type="http://schemas.openxmlformats.org/officeDocument/2006/relationships/hyperlink" Target="http://eltweb04.elta.iai/pls/iman_Production/link_to_iman?item_id=1094N781-005" TargetMode="External"/><Relationship Id="rId265" Type="http://schemas.openxmlformats.org/officeDocument/2006/relationships/hyperlink" Target="http://eltweb04.elta.iai/pls/iman_Production/link_to_iman?item_id=TBJV227K016LSLC0H24" TargetMode="External"/><Relationship Id="rId286" Type="http://schemas.openxmlformats.org/officeDocument/2006/relationships/hyperlink" Target="mailto:Polina.rashkovsky@ecomal.com" TargetMode="External"/><Relationship Id="rId50" Type="http://schemas.openxmlformats.org/officeDocument/2006/relationships/hyperlink" Target="http://eltweb04.elta.iai/pls/iman_Production/link_to_iman?item_id=1094T050-002" TargetMode="External"/><Relationship Id="rId104" Type="http://schemas.openxmlformats.org/officeDocument/2006/relationships/hyperlink" Target="http://eltweb04.elta.iai/pls/iman_Production/link_to_iman?item_id=C0603C102K2RACTU" TargetMode="External"/><Relationship Id="rId125" Type="http://schemas.openxmlformats.org/officeDocument/2006/relationships/hyperlink" Target="http://eltweb04.elta.iai/pls/iman_Production/link_to_iman?item_id=CL31B225KOHNNNE" TargetMode="External"/><Relationship Id="rId146" Type="http://schemas.openxmlformats.org/officeDocument/2006/relationships/hyperlink" Target="http://eltweb04.elta.iai/pls/iman_Production/link_to_iman?item_id=CRCW0402681RFKED" TargetMode="External"/><Relationship Id="rId167" Type="http://schemas.openxmlformats.org/officeDocument/2006/relationships/hyperlink" Target="http://eltweb04.elta.iai/pls/iman_Production/link_to_iman?item_id=CRCW06033K32FKEA" TargetMode="External"/><Relationship Id="rId188" Type="http://schemas.openxmlformats.org/officeDocument/2006/relationships/hyperlink" Target="http://eltweb04.elta.iai/pls/iman_Production/link_to_iman?item_id=GRM21BZ71A226ME15L" TargetMode="External"/><Relationship Id="rId311" Type="http://schemas.openxmlformats.org/officeDocument/2006/relationships/hyperlink" Target="mailto:liatbakal@cidev.co.il" TargetMode="External"/><Relationship Id="rId332" Type="http://schemas.openxmlformats.org/officeDocument/2006/relationships/hyperlink" Target="mailto:Orit@ackerman-printing.com" TargetMode="External"/><Relationship Id="rId353" Type="http://schemas.openxmlformats.org/officeDocument/2006/relationships/hyperlink" Target="http://eltweb04.elta.iai/pls/iman_Production/link_to_iman?item_id=MAX8556ETE+T" TargetMode="External"/><Relationship Id="rId71" Type="http://schemas.openxmlformats.org/officeDocument/2006/relationships/hyperlink" Target="http://eltweb04.elta.iai/pls/iman_Production/link_to_iman?item_id=55A0111-18-0" TargetMode="External"/><Relationship Id="rId92" Type="http://schemas.openxmlformats.org/officeDocument/2006/relationships/hyperlink" Target="http://eltweb04.elta.iai/pls/iman_Production/link_to_iman?item_id=ATC600S4R7BW250XTV" TargetMode="External"/><Relationship Id="rId213" Type="http://schemas.openxmlformats.org/officeDocument/2006/relationships/hyperlink" Target="http://eltweb04.elta.iai/pls/iman_Production/link_to_iman?item_id=MBT10644" TargetMode="External"/><Relationship Id="rId234" Type="http://schemas.openxmlformats.org/officeDocument/2006/relationships/hyperlink" Target="http://eltweb04.elta.iai/pls/iman_Production/link_to_iman?item_id=NAS620C4" TargetMode="External"/><Relationship Id="rId2" Type="http://schemas.openxmlformats.org/officeDocument/2006/relationships/hyperlink" Target="http://eltweb04.elta.iai/pls/iman_Production/link_to_iman?item_id=1094T030-002" TargetMode="External"/><Relationship Id="rId29" Type="http://schemas.openxmlformats.org/officeDocument/2006/relationships/hyperlink" Target="http://eltweb04.elta.iai/pls/iman_Production/link_to_iman?item_id=1094N762-001" TargetMode="External"/><Relationship Id="rId255" Type="http://schemas.openxmlformats.org/officeDocument/2006/relationships/hyperlink" Target="http://eltweb04.elta.iai/pls/iman_Production/link_to_iman?item_id=SMBJ8.0A-E3/52" TargetMode="External"/><Relationship Id="rId276" Type="http://schemas.openxmlformats.org/officeDocument/2006/relationships/hyperlink" Target="http://eltweb04.elta.iai/pls/iman_Production/link_to_iman?item_id=TS0506W3S" TargetMode="External"/><Relationship Id="rId297" Type="http://schemas.openxmlformats.org/officeDocument/2006/relationships/hyperlink" Target="mailto:Liza@Shirtech.co.il" TargetMode="External"/><Relationship Id="rId40" Type="http://schemas.openxmlformats.org/officeDocument/2006/relationships/hyperlink" Target="http://eltweb04.elta.iai/pls/iman_Production/link_to_iman?item_id=1094N782-003" TargetMode="External"/><Relationship Id="rId115" Type="http://schemas.openxmlformats.org/officeDocument/2006/relationships/hyperlink" Target="http://eltweb04.elta.iai/pls/iman_Production/link_to_iman?item_id=CGHV35060MP" TargetMode="External"/><Relationship Id="rId136" Type="http://schemas.openxmlformats.org/officeDocument/2006/relationships/hyperlink" Target="http://eltweb04.elta.iai/pls/iman_Production/link_to_iman?item_id=CRCW040224R3FKED" TargetMode="External"/><Relationship Id="rId157" Type="http://schemas.openxmlformats.org/officeDocument/2006/relationships/hyperlink" Target="http://eltweb04.elta.iai/pls/iman_Production/link_to_iman?item_id=CRCW06031K00FKEA" TargetMode="External"/><Relationship Id="rId178" Type="http://schemas.openxmlformats.org/officeDocument/2006/relationships/hyperlink" Target="http://eltweb04.elta.iai/pls/iman_Production/link_to_iman?item_id=CRCW0603806RFKEA" TargetMode="External"/><Relationship Id="rId301" Type="http://schemas.openxmlformats.org/officeDocument/2006/relationships/hyperlink" Target="mailto:Adam@kaytech.com" TargetMode="External"/><Relationship Id="rId322" Type="http://schemas.openxmlformats.org/officeDocument/2006/relationships/hyperlink" Target="mailto:Adam@kaytech.com" TargetMode="External"/><Relationship Id="rId343" Type="http://schemas.openxmlformats.org/officeDocument/2006/relationships/hyperlink" Target="mailto:Rep@mcdi-ltd.com" TargetMode="External"/><Relationship Id="rId61" Type="http://schemas.openxmlformats.org/officeDocument/2006/relationships/hyperlink" Target="http://eltweb04.elta.iai/pls/iman_Production/link_to_iman?item_id=1097U219-001" TargetMode="External"/><Relationship Id="rId82" Type="http://schemas.openxmlformats.org/officeDocument/2006/relationships/hyperlink" Target="http://eltweb04.elta.iai/pls/iman_Production/link_to_iman?item_id=ADN4650BRSZ-RL7" TargetMode="External"/><Relationship Id="rId199" Type="http://schemas.openxmlformats.org/officeDocument/2006/relationships/hyperlink" Target="http://eltweb04.elta.iai/pls/iman_Production/link_to_iman?item_id=ISPPACPOWR1014A01TN48ITR" TargetMode="External"/><Relationship Id="rId203" Type="http://schemas.openxmlformats.org/officeDocument/2006/relationships/hyperlink" Target="http://eltweb04.elta.iai/pls/iman_Production/link_to_iman?item_id=JCM3100T3500VM5RC-ASC" TargetMode="External"/><Relationship Id="rId19" Type="http://schemas.openxmlformats.org/officeDocument/2006/relationships/hyperlink" Target="http://eltweb04.elta.iai/pls/iman_Production/link_to_iman?item_id=1094B532-001" TargetMode="External"/><Relationship Id="rId224" Type="http://schemas.openxmlformats.org/officeDocument/2006/relationships/hyperlink" Target="http://eltweb04.elta.iai/pls/iman_Production/link_to_iman?item_id=MS51957-4" TargetMode="External"/><Relationship Id="rId245" Type="http://schemas.openxmlformats.org/officeDocument/2006/relationships/hyperlink" Target="http://eltweb04.elta.iai/pls/iman_Production/link_to_iman?item_id=NGC-1206CS50R0G" TargetMode="External"/><Relationship Id="rId266" Type="http://schemas.openxmlformats.org/officeDocument/2006/relationships/hyperlink" Target="http://eltweb04.elta.iai/pls/iman_Production/link_to_iman?item_id=TGA2731-SM" TargetMode="External"/><Relationship Id="rId287" Type="http://schemas.openxmlformats.org/officeDocument/2006/relationships/hyperlink" Target="mailto:Orit@ackerman-printing.com" TargetMode="External"/><Relationship Id="rId30" Type="http://schemas.openxmlformats.org/officeDocument/2006/relationships/hyperlink" Target="http://eltweb04.elta.iai/pls/iman_Production/link_to_iman?item_id=1094N764-001" TargetMode="External"/><Relationship Id="rId105" Type="http://schemas.openxmlformats.org/officeDocument/2006/relationships/hyperlink" Target="http://eltweb04.elta.iai/pls/iman_Production/link_to_iman?item_id=C0603C103K2RAL7867" TargetMode="External"/><Relationship Id="rId126" Type="http://schemas.openxmlformats.org/officeDocument/2006/relationships/hyperlink" Target="http://eltweb04.elta.iai/pls/iman_Production/link_to_iman?item_id=CRCW04020000ZSED" TargetMode="External"/><Relationship Id="rId147" Type="http://schemas.openxmlformats.org/officeDocument/2006/relationships/hyperlink" Target="http://eltweb04.elta.iai/pls/iman_Production/link_to_iman?item_id=CRCW0402732RFKED" TargetMode="External"/><Relationship Id="rId168" Type="http://schemas.openxmlformats.org/officeDocument/2006/relationships/hyperlink" Target="http://eltweb04.elta.iai/pls/iman_Production/link_to_iman?item_id=CRCW060343R2FKEA" TargetMode="External"/><Relationship Id="rId312" Type="http://schemas.openxmlformats.org/officeDocument/2006/relationships/hyperlink" Target="mailto:liatbakal@cidev.co.il" TargetMode="External"/><Relationship Id="rId333" Type="http://schemas.openxmlformats.org/officeDocument/2006/relationships/hyperlink" Target="mailto:Clo@clo.co.il" TargetMode="External"/><Relationship Id="rId354" Type="http://schemas.openxmlformats.org/officeDocument/2006/relationships/hyperlink" Target="http://eltweb04.elta.iai/pls/iman_Production/link_to_iman?item_id=1094T040-001" TargetMode="External"/><Relationship Id="rId51" Type="http://schemas.openxmlformats.org/officeDocument/2006/relationships/hyperlink" Target="http://eltweb04.elta.iai/pls/iman_Production/link_to_iman?item_id=1094T051-001" TargetMode="External"/><Relationship Id="rId72" Type="http://schemas.openxmlformats.org/officeDocument/2006/relationships/hyperlink" Target="http://eltweb04.elta.iai/pls/iman_Production/link_to_iman?item_id=55A0111-18-9" TargetMode="External"/><Relationship Id="rId93" Type="http://schemas.openxmlformats.org/officeDocument/2006/relationships/hyperlink" Target="http://eltweb04.elta.iai/pls/iman_Production/link_to_iman?item_id=ATUM%204/1-0" TargetMode="External"/><Relationship Id="rId189" Type="http://schemas.openxmlformats.org/officeDocument/2006/relationships/hyperlink" Target="http://eltweb04.elta.iai/pls/iman_Production/link_to_iman?item_id=GRM32EC72A106KE05L" TargetMode="External"/><Relationship Id="rId3" Type="http://schemas.openxmlformats.org/officeDocument/2006/relationships/hyperlink" Target="http://eltweb04.elta.iai/pls/iman_Production/link_to_iman?item_id=000800-0826" TargetMode="External"/><Relationship Id="rId214" Type="http://schemas.openxmlformats.org/officeDocument/2006/relationships/hyperlink" Target="http://eltweb04.elta.iai/pls/iman_Production/link_to_iman?item_id=MI0603J601R-10" TargetMode="External"/><Relationship Id="rId235" Type="http://schemas.openxmlformats.org/officeDocument/2006/relationships/hyperlink" Target="http://eltweb04.elta.iai/pls/iman_Production/link_to_iman?item_id=NAS620C6" TargetMode="External"/><Relationship Id="rId256" Type="http://schemas.openxmlformats.org/officeDocument/2006/relationships/hyperlink" Target="http://eltweb04.elta.iai/pls/iman_Production/link_to_iman?item_id=SMF45A" TargetMode="External"/><Relationship Id="rId277" Type="http://schemas.openxmlformats.org/officeDocument/2006/relationships/hyperlink" Target="http://eltweb04.elta.iai/pls/iman_Production/link_to_iman?item_id=VJ1210Y334KXBAT" TargetMode="External"/><Relationship Id="rId298" Type="http://schemas.openxmlformats.org/officeDocument/2006/relationships/hyperlink" Target="mailto:Adam@kaytech.com" TargetMode="External"/><Relationship Id="rId116" Type="http://schemas.openxmlformats.org/officeDocument/2006/relationships/hyperlink" Target="http://eltweb04.elta.iai/pls/iman_Production/link_to_iman?item_id=CGHV35400F1" TargetMode="External"/><Relationship Id="rId137" Type="http://schemas.openxmlformats.org/officeDocument/2006/relationships/hyperlink" Target="http://eltweb04.elta.iai/pls/iman_Production/link_to_iman?item_id=CRCW04022K00FKED" TargetMode="External"/><Relationship Id="rId158" Type="http://schemas.openxmlformats.org/officeDocument/2006/relationships/hyperlink" Target="http://eltweb04.elta.iai/pls/iman_Production/link_to_iman?item_id=CRCW06031K30FKEA" TargetMode="External"/><Relationship Id="rId302" Type="http://schemas.openxmlformats.org/officeDocument/2006/relationships/hyperlink" Target="mailto:Adam@kaytech.com" TargetMode="External"/><Relationship Id="rId323" Type="http://schemas.openxmlformats.org/officeDocument/2006/relationships/hyperlink" Target="mailto:alon.sagiv@arrow.com" TargetMode="External"/><Relationship Id="rId344" Type="http://schemas.openxmlformats.org/officeDocument/2006/relationships/hyperlink" Target="mailto:sales@rsisrael.co.il" TargetMode="External"/><Relationship Id="rId20" Type="http://schemas.openxmlformats.org/officeDocument/2006/relationships/hyperlink" Target="http://eltweb04.elta.iai/pls/iman_Production/link_to_iman?item_id=1094L913-001" TargetMode="External"/><Relationship Id="rId41" Type="http://schemas.openxmlformats.org/officeDocument/2006/relationships/hyperlink" Target="http://eltweb04.elta.iai/pls/iman_Production/link_to_iman?item_id=1094N790-003" TargetMode="External"/><Relationship Id="rId62" Type="http://schemas.openxmlformats.org/officeDocument/2006/relationships/hyperlink" Target="http://eltweb04.elta.iai/pls/iman_Production/link_to_iman?item_id=10S519-S60N3" TargetMode="External"/><Relationship Id="rId83" Type="http://schemas.openxmlformats.org/officeDocument/2006/relationships/hyperlink" Target="http://eltweb04.elta.iai/pls/iman_Production/link_to_iman?item_id=AM26LV32EMDREP" TargetMode="External"/><Relationship Id="rId179" Type="http://schemas.openxmlformats.org/officeDocument/2006/relationships/hyperlink" Target="http://eltweb04.elta.iai/pls/iman_Production/link_to_iman?item_id=CRCW12067K15FK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88C34-04CA-4695-8B98-8AF689A4EF4E}">
  <sheetPr codeName="Sheet5"/>
  <dimension ref="A1:CQ303"/>
  <sheetViews>
    <sheetView tabSelected="1" topLeftCell="AB15" workbookViewId="0">
      <selection activeCell="AH19" sqref="AH19"/>
    </sheetView>
  </sheetViews>
  <sheetFormatPr defaultRowHeight="13.2" x14ac:dyDescent="0.25"/>
  <cols>
    <col min="1" max="1" width="3.5" style="1" bestFit="1" customWidth="1"/>
    <col min="2" max="2" width="27.8984375" style="1" bestFit="1" customWidth="1"/>
    <col min="3" max="3" width="5.09765625" style="1" customWidth="1"/>
    <col min="4" max="5" width="9" style="1" customWidth="1"/>
    <col min="6" max="6" width="25.09765625" style="1" customWidth="1"/>
    <col min="7" max="7" width="4.59765625" style="1" customWidth="1"/>
    <col min="8" max="8" width="8.5" style="1" customWidth="1"/>
    <col min="9" max="13" width="15" style="1" bestFit="1" customWidth="1"/>
    <col min="14" max="19" width="15.19921875" style="1" bestFit="1" customWidth="1"/>
    <col min="20" max="20" width="15.5" style="1" bestFit="1" customWidth="1"/>
    <col min="21" max="22" width="15.19921875" style="1" bestFit="1" customWidth="1"/>
    <col min="23" max="23" width="9" style="24" customWidth="1"/>
    <col min="24" max="24" width="14.59765625" style="1" customWidth="1"/>
    <col min="25" max="25" width="15" style="1" customWidth="1"/>
    <col min="26" max="26" width="8.59765625" style="1" bestFit="1" customWidth="1"/>
    <col min="27" max="27" width="8.69921875" style="1" bestFit="1" customWidth="1"/>
    <col min="28" max="28" width="25.09765625" style="1" bestFit="1" customWidth="1"/>
    <col min="29" max="29" width="14.5" style="1" customWidth="1"/>
    <col min="30" max="30" width="23.8984375" style="1" bestFit="1" customWidth="1"/>
    <col min="31" max="31" width="22.8984375" style="1" bestFit="1" customWidth="1"/>
    <col min="32" max="32" width="32.69921875" style="1" customWidth="1"/>
    <col min="33" max="33" width="22.8984375" style="1" bestFit="1" customWidth="1"/>
    <col min="34" max="34" width="43.796875" style="1" customWidth="1"/>
    <col min="35" max="76" width="8.796875" style="1"/>
    <col min="77" max="96" width="0" style="1" hidden="1" customWidth="1"/>
    <col min="97" max="16384" width="8.796875" style="1"/>
  </cols>
  <sheetData>
    <row r="1" spans="1:95" ht="21" thickBot="1" x14ac:dyDescent="0.3">
      <c r="AI1" s="29" t="s">
        <v>1725</v>
      </c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C1" s="29" t="s">
        <v>1723</v>
      </c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 t="s">
        <v>1726</v>
      </c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</row>
    <row r="2" spans="1:95" ht="16.2" thickBot="1" x14ac:dyDescent="0.3"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2"/>
      <c r="AT2" s="32"/>
      <c r="AU2" s="32"/>
      <c r="AV2" s="32"/>
      <c r="AW2" s="32"/>
      <c r="AX2" s="32"/>
      <c r="AY2" s="32"/>
      <c r="AZ2" s="32"/>
      <c r="BC2" s="1" t="s">
        <v>38</v>
      </c>
      <c r="BD2" s="1">
        <v>0</v>
      </c>
      <c r="BE2" s="1" t="s">
        <v>8</v>
      </c>
      <c r="BP2" s="26">
        <v>100</v>
      </c>
      <c r="BQ2" s="26">
        <v>150</v>
      </c>
      <c r="BR2" s="26">
        <v>250</v>
      </c>
      <c r="BS2" s="26">
        <v>220</v>
      </c>
      <c r="BT2" s="26">
        <v>200</v>
      </c>
      <c r="BU2" s="26">
        <v>150</v>
      </c>
      <c r="BV2" s="26">
        <v>240</v>
      </c>
      <c r="BW2" s="26">
        <v>240</v>
      </c>
      <c r="CI2" s="26">
        <v>100</v>
      </c>
      <c r="CJ2" s="26">
        <v>150</v>
      </c>
      <c r="CK2" s="26">
        <v>250</v>
      </c>
      <c r="CL2" s="26">
        <v>220</v>
      </c>
      <c r="CM2" s="26">
        <v>200</v>
      </c>
      <c r="CN2" s="26">
        <v>150</v>
      </c>
      <c r="CO2" s="26">
        <v>240</v>
      </c>
      <c r="CP2" s="26">
        <v>240</v>
      </c>
    </row>
    <row r="3" spans="1:95" ht="16.2" thickBot="1" x14ac:dyDescent="0.3"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2"/>
      <c r="AT3" s="32"/>
      <c r="AU3" s="32"/>
      <c r="AV3" s="32"/>
      <c r="AW3" s="32"/>
      <c r="AX3" s="32"/>
      <c r="AY3" s="32"/>
      <c r="AZ3" s="32"/>
      <c r="BC3" s="1" t="s">
        <v>38</v>
      </c>
      <c r="BD3" s="1">
        <v>1</v>
      </c>
      <c r="BE3" s="1" t="s">
        <v>9</v>
      </c>
      <c r="BP3" s="26">
        <v>100</v>
      </c>
      <c r="BQ3" s="26">
        <v>150</v>
      </c>
      <c r="BR3" s="26">
        <v>250</v>
      </c>
      <c r="BS3" s="26">
        <v>220</v>
      </c>
      <c r="BT3" s="26">
        <v>200</v>
      </c>
      <c r="BU3" s="26">
        <v>150</v>
      </c>
      <c r="BV3" s="26">
        <v>240</v>
      </c>
      <c r="BW3" s="26">
        <v>240</v>
      </c>
      <c r="CI3" s="26">
        <v>100</v>
      </c>
      <c r="CJ3" s="26">
        <v>150</v>
      </c>
      <c r="CK3" s="26">
        <v>250</v>
      </c>
      <c r="CL3" s="26">
        <v>220</v>
      </c>
      <c r="CM3" s="26">
        <v>200</v>
      </c>
      <c r="CN3" s="26">
        <v>150</v>
      </c>
      <c r="CO3" s="26">
        <v>240</v>
      </c>
      <c r="CP3" s="26">
        <v>240</v>
      </c>
    </row>
    <row r="4" spans="1:95" ht="16.2" thickBot="1" x14ac:dyDescent="0.3">
      <c r="AI4" s="31"/>
      <c r="AJ4" s="31"/>
      <c r="AK4" s="31"/>
      <c r="AL4" s="31"/>
      <c r="AM4" s="31"/>
      <c r="AN4" s="31"/>
      <c r="AO4" s="31"/>
      <c r="AP4" s="31"/>
      <c r="AQ4" s="31"/>
      <c r="AR4" s="32"/>
      <c r="AS4" s="32"/>
      <c r="AT4" s="32"/>
      <c r="AU4" s="32"/>
      <c r="AV4" s="32"/>
      <c r="AW4" s="32"/>
      <c r="AX4" s="32"/>
      <c r="AY4" s="32"/>
      <c r="AZ4" s="31"/>
      <c r="BC4" s="1" t="s">
        <v>726</v>
      </c>
      <c r="BD4" s="1">
        <v>2</v>
      </c>
      <c r="BE4" s="1" t="s">
        <v>10</v>
      </c>
      <c r="BO4" s="26">
        <v>100</v>
      </c>
      <c r="BP4" s="26">
        <v>150</v>
      </c>
      <c r="BQ4" s="26">
        <v>250</v>
      </c>
      <c r="BR4" s="26">
        <v>220</v>
      </c>
      <c r="BS4" s="26">
        <v>200</v>
      </c>
      <c r="BT4" s="26">
        <v>150</v>
      </c>
      <c r="BU4" s="26">
        <v>240</v>
      </c>
      <c r="BV4" s="26">
        <v>240</v>
      </c>
      <c r="CH4" s="26">
        <v>100</v>
      </c>
      <c r="CI4" s="26">
        <v>150</v>
      </c>
      <c r="CJ4" s="26">
        <v>250</v>
      </c>
      <c r="CK4" s="26">
        <v>220</v>
      </c>
      <c r="CL4" s="26">
        <v>200</v>
      </c>
      <c r="CM4" s="26">
        <v>150</v>
      </c>
      <c r="CN4" s="26">
        <v>240</v>
      </c>
      <c r="CO4" s="26">
        <v>240</v>
      </c>
    </row>
    <row r="5" spans="1:95" ht="16.2" thickBot="1" x14ac:dyDescent="0.3">
      <c r="AI5" s="31"/>
      <c r="AJ5" s="31"/>
      <c r="AK5" s="31"/>
      <c r="AL5" s="31"/>
      <c r="AM5" s="31"/>
      <c r="AN5" s="31"/>
      <c r="AO5" s="31"/>
      <c r="AP5" s="31"/>
      <c r="AQ5" s="32"/>
      <c r="AR5" s="32"/>
      <c r="AS5" s="32"/>
      <c r="AT5" s="32"/>
      <c r="AU5" s="32"/>
      <c r="AV5" s="32"/>
      <c r="AW5" s="32"/>
      <c r="AX5" s="32"/>
      <c r="AY5" s="31"/>
      <c r="AZ5" s="31"/>
      <c r="BC5" s="1" t="s">
        <v>39</v>
      </c>
      <c r="BD5" s="1">
        <v>3</v>
      </c>
      <c r="BE5" s="1" t="s">
        <v>11</v>
      </c>
      <c r="BN5" s="26">
        <v>100</v>
      </c>
      <c r="BO5" s="26">
        <v>150</v>
      </c>
      <c r="BP5" s="26">
        <v>250</v>
      </c>
      <c r="BQ5" s="26">
        <v>220</v>
      </c>
      <c r="BR5" s="26">
        <v>200</v>
      </c>
      <c r="BS5" s="26">
        <v>150</v>
      </c>
      <c r="BT5" s="26">
        <v>240</v>
      </c>
      <c r="BU5" s="26">
        <v>240</v>
      </c>
      <c r="CG5" s="26">
        <v>100</v>
      </c>
      <c r="CH5" s="26">
        <v>150</v>
      </c>
      <c r="CI5" s="26">
        <v>250</v>
      </c>
      <c r="CJ5" s="26">
        <v>220</v>
      </c>
      <c r="CK5" s="26">
        <v>200</v>
      </c>
      <c r="CL5" s="26">
        <v>150</v>
      </c>
      <c r="CM5" s="26">
        <v>240</v>
      </c>
      <c r="CN5" s="26">
        <v>240</v>
      </c>
    </row>
    <row r="6" spans="1:95" ht="16.2" thickBot="1" x14ac:dyDescent="0.3">
      <c r="AI6" s="31"/>
      <c r="AJ6" s="31"/>
      <c r="AK6" s="31"/>
      <c r="AL6" s="31"/>
      <c r="AM6" s="31"/>
      <c r="AN6" s="31"/>
      <c r="AO6" s="31"/>
      <c r="AP6" s="31"/>
      <c r="AQ6" s="32"/>
      <c r="AR6" s="32"/>
      <c r="AS6" s="32"/>
      <c r="AT6" s="32"/>
      <c r="AU6" s="32"/>
      <c r="AV6" s="32"/>
      <c r="AW6" s="32"/>
      <c r="AX6" s="32"/>
      <c r="AY6" s="31"/>
      <c r="AZ6" s="31"/>
      <c r="BC6" s="1" t="s">
        <v>723</v>
      </c>
      <c r="BD6" s="1">
        <v>2</v>
      </c>
      <c r="BE6" s="1" t="s">
        <v>12</v>
      </c>
      <c r="BN6" s="26">
        <v>100</v>
      </c>
      <c r="BO6" s="26">
        <v>150</v>
      </c>
      <c r="BP6" s="26">
        <v>250</v>
      </c>
      <c r="BQ6" s="26">
        <v>220</v>
      </c>
      <c r="BR6" s="26">
        <v>200</v>
      </c>
      <c r="BS6" s="26">
        <v>150</v>
      </c>
      <c r="BT6" s="26">
        <v>240</v>
      </c>
      <c r="BU6" s="26">
        <v>240</v>
      </c>
      <c r="CG6" s="26">
        <v>100</v>
      </c>
      <c r="CH6" s="26">
        <v>150</v>
      </c>
      <c r="CI6" s="26">
        <v>250</v>
      </c>
      <c r="CJ6" s="26">
        <v>220</v>
      </c>
      <c r="CK6" s="26">
        <v>200</v>
      </c>
      <c r="CL6" s="26">
        <v>150</v>
      </c>
      <c r="CM6" s="26">
        <v>240</v>
      </c>
      <c r="CN6" s="26">
        <v>240</v>
      </c>
    </row>
    <row r="7" spans="1:95" ht="16.2" thickBot="1" x14ac:dyDescent="0.3"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2"/>
      <c r="AT7" s="32"/>
      <c r="AU7" s="32"/>
      <c r="AV7" s="32"/>
      <c r="AW7" s="32"/>
      <c r="AX7" s="32"/>
      <c r="AY7" s="32"/>
      <c r="AZ7" s="32"/>
      <c r="BC7" s="1" t="s">
        <v>34</v>
      </c>
      <c r="BD7" s="1">
        <v>0</v>
      </c>
      <c r="BE7" s="1" t="s">
        <v>13</v>
      </c>
      <c r="BP7" s="26">
        <v>100</v>
      </c>
      <c r="BQ7" s="26">
        <v>150</v>
      </c>
      <c r="BR7" s="26">
        <v>250</v>
      </c>
      <c r="BS7" s="26">
        <v>200</v>
      </c>
      <c r="BT7" s="26">
        <v>200</v>
      </c>
      <c r="BU7" s="26">
        <v>200</v>
      </c>
      <c r="BV7" s="26">
        <v>300</v>
      </c>
      <c r="BW7" s="26">
        <v>260</v>
      </c>
      <c r="CI7" s="26">
        <v>100</v>
      </c>
      <c r="CJ7" s="26">
        <v>150</v>
      </c>
      <c r="CK7" s="26">
        <v>250</v>
      </c>
      <c r="CL7" s="26">
        <v>200</v>
      </c>
      <c r="CM7" s="26">
        <v>200</v>
      </c>
      <c r="CN7" s="26">
        <v>200</v>
      </c>
      <c r="CO7" s="26">
        <v>300</v>
      </c>
      <c r="CP7" s="26">
        <v>260</v>
      </c>
    </row>
    <row r="8" spans="1:95" ht="16.2" thickBot="1" x14ac:dyDescent="0.3">
      <c r="AI8" s="31"/>
      <c r="AJ8" s="31"/>
      <c r="AK8" s="31"/>
      <c r="AL8" s="31"/>
      <c r="AM8" s="31"/>
      <c r="AN8" s="31"/>
      <c r="AO8" s="31"/>
      <c r="AP8" s="31"/>
      <c r="AQ8" s="31"/>
      <c r="AR8" s="33"/>
      <c r="AS8" s="32"/>
      <c r="AT8" s="32"/>
      <c r="AU8" s="32"/>
      <c r="AV8" s="32"/>
      <c r="AW8" s="32"/>
      <c r="AX8" s="32"/>
      <c r="AY8" s="32"/>
      <c r="AZ8" s="32"/>
      <c r="BC8" s="1" t="s">
        <v>34</v>
      </c>
      <c r="BD8" s="1">
        <v>1</v>
      </c>
      <c r="BE8" s="1" t="s">
        <v>14</v>
      </c>
      <c r="BO8" s="28"/>
      <c r="BP8" s="26">
        <v>100</v>
      </c>
      <c r="BQ8" s="26">
        <v>150</v>
      </c>
      <c r="BR8" s="26">
        <v>250</v>
      </c>
      <c r="BS8" s="26">
        <v>200</v>
      </c>
      <c r="BT8" s="26">
        <v>200</v>
      </c>
      <c r="BU8" s="26">
        <v>200</v>
      </c>
      <c r="BV8" s="26">
        <v>300</v>
      </c>
      <c r="BW8" s="26">
        <v>260</v>
      </c>
      <c r="CH8" s="28"/>
      <c r="CI8" s="26">
        <v>100</v>
      </c>
      <c r="CJ8" s="26">
        <v>150</v>
      </c>
      <c r="CK8" s="26">
        <v>250</v>
      </c>
      <c r="CL8" s="26">
        <v>200</v>
      </c>
      <c r="CM8" s="26">
        <v>200</v>
      </c>
      <c r="CN8" s="26">
        <v>200</v>
      </c>
      <c r="CO8" s="26">
        <v>300</v>
      </c>
      <c r="CP8" s="26">
        <v>260</v>
      </c>
    </row>
    <row r="9" spans="1:95" ht="16.2" thickBot="1" x14ac:dyDescent="0.3">
      <c r="AI9" s="31"/>
      <c r="AJ9" s="31"/>
      <c r="AK9" s="31"/>
      <c r="AL9" s="31"/>
      <c r="AM9" s="31"/>
      <c r="AN9" s="31"/>
      <c r="AO9" s="31"/>
      <c r="AP9" s="31"/>
      <c r="AQ9" s="31"/>
      <c r="AR9" s="32"/>
      <c r="AS9" s="32"/>
      <c r="AT9" s="32"/>
      <c r="AU9" s="32"/>
      <c r="AV9" s="32"/>
      <c r="AW9" s="32"/>
      <c r="AX9" s="32"/>
      <c r="AY9" s="32"/>
      <c r="AZ9" s="31"/>
      <c r="BC9" s="1" t="s">
        <v>72</v>
      </c>
      <c r="BD9" s="1">
        <v>2</v>
      </c>
      <c r="BE9" s="1" t="s">
        <v>15</v>
      </c>
      <c r="BO9" s="27">
        <v>100</v>
      </c>
      <c r="BP9" s="26">
        <v>150</v>
      </c>
      <c r="BQ9" s="26">
        <v>250</v>
      </c>
      <c r="BR9" s="26">
        <v>200</v>
      </c>
      <c r="BS9" s="26">
        <v>200</v>
      </c>
      <c r="BT9" s="26">
        <v>200</v>
      </c>
      <c r="BU9" s="26">
        <v>300</v>
      </c>
      <c r="BV9" s="26">
        <v>260</v>
      </c>
      <c r="CH9" s="27">
        <v>100</v>
      </c>
      <c r="CI9" s="26">
        <v>150</v>
      </c>
      <c r="CJ9" s="26">
        <v>250</v>
      </c>
      <c r="CK9" s="26">
        <v>200</v>
      </c>
      <c r="CL9" s="26">
        <v>200</v>
      </c>
      <c r="CM9" s="26">
        <v>200</v>
      </c>
      <c r="CN9" s="26">
        <v>300</v>
      </c>
      <c r="CO9" s="26">
        <v>260</v>
      </c>
    </row>
    <row r="10" spans="1:95" ht="16.2" thickBot="1" x14ac:dyDescent="0.3">
      <c r="AI10" s="31"/>
      <c r="AJ10" s="31"/>
      <c r="AK10" s="31"/>
      <c r="AL10" s="31"/>
      <c r="AM10" s="31"/>
      <c r="AN10" s="31"/>
      <c r="AO10" s="31"/>
      <c r="AP10" s="31"/>
      <c r="AQ10" s="32"/>
      <c r="AR10" s="32"/>
      <c r="AS10" s="32"/>
      <c r="AT10" s="32"/>
      <c r="AU10" s="32"/>
      <c r="AV10" s="32"/>
      <c r="AW10" s="32"/>
      <c r="AX10" s="32"/>
      <c r="AY10" s="31"/>
      <c r="AZ10" s="31"/>
      <c r="BC10" s="1" t="s">
        <v>75</v>
      </c>
      <c r="BD10" s="1">
        <v>3</v>
      </c>
      <c r="BE10" s="1" t="s">
        <v>16</v>
      </c>
      <c r="BN10" s="27">
        <v>100</v>
      </c>
      <c r="BO10" s="26">
        <v>150</v>
      </c>
      <c r="BP10" s="26">
        <v>250</v>
      </c>
      <c r="BQ10" s="26">
        <v>200</v>
      </c>
      <c r="BR10" s="26">
        <v>200</v>
      </c>
      <c r="BS10" s="26">
        <v>200</v>
      </c>
      <c r="BT10" s="26">
        <v>300</v>
      </c>
      <c r="BU10" s="26">
        <v>260</v>
      </c>
      <c r="CG10" s="27">
        <v>100</v>
      </c>
      <c r="CH10" s="26">
        <v>150</v>
      </c>
      <c r="CI10" s="26">
        <v>250</v>
      </c>
      <c r="CJ10" s="26">
        <v>200</v>
      </c>
      <c r="CK10" s="26">
        <v>200</v>
      </c>
      <c r="CL10" s="26">
        <v>200</v>
      </c>
      <c r="CM10" s="26">
        <v>300</v>
      </c>
      <c r="CN10" s="26">
        <v>260</v>
      </c>
    </row>
    <row r="11" spans="1:95" ht="16.2" thickBot="1" x14ac:dyDescent="0.3">
      <c r="AI11" s="31"/>
      <c r="AJ11" s="31"/>
      <c r="AK11" s="31"/>
      <c r="AL11" s="31"/>
      <c r="AM11" s="31"/>
      <c r="AN11" s="31"/>
      <c r="AO11" s="31"/>
      <c r="AP11" s="31"/>
      <c r="AQ11" s="32"/>
      <c r="AR11" s="32"/>
      <c r="AS11" s="32"/>
      <c r="AT11" s="32"/>
      <c r="AU11" s="32"/>
      <c r="AV11" s="32"/>
      <c r="AW11" s="32"/>
      <c r="AX11" s="32"/>
      <c r="AY11" s="31"/>
      <c r="AZ11" s="31"/>
      <c r="BC11" s="1" t="s">
        <v>727</v>
      </c>
      <c r="BD11" s="1">
        <v>4</v>
      </c>
      <c r="BE11" s="1" t="s">
        <v>17</v>
      </c>
      <c r="BN11" s="27">
        <v>100</v>
      </c>
      <c r="BO11" s="26">
        <v>150</v>
      </c>
      <c r="BP11" s="26">
        <v>250</v>
      </c>
      <c r="BQ11" s="26">
        <v>200</v>
      </c>
      <c r="BR11" s="26">
        <v>200</v>
      </c>
      <c r="BS11" s="26">
        <v>200</v>
      </c>
      <c r="BT11" s="26">
        <v>300</v>
      </c>
      <c r="BU11" s="26">
        <v>260</v>
      </c>
      <c r="CG11" s="27">
        <v>100</v>
      </c>
      <c r="CH11" s="26">
        <v>150</v>
      </c>
      <c r="CI11" s="26">
        <v>250</v>
      </c>
      <c r="CJ11" s="26">
        <v>200</v>
      </c>
      <c r="CK11" s="26">
        <v>200</v>
      </c>
      <c r="CL11" s="26">
        <v>200</v>
      </c>
      <c r="CM11" s="26">
        <v>300</v>
      </c>
      <c r="CN11" s="26">
        <v>260</v>
      </c>
    </row>
    <row r="12" spans="1:95" ht="16.2" thickBot="1" x14ac:dyDescent="0.3">
      <c r="AI12" s="31"/>
      <c r="AJ12" s="31"/>
      <c r="AK12" s="31"/>
      <c r="AL12" s="31"/>
      <c r="AM12" s="31"/>
      <c r="AN12" s="31"/>
      <c r="AO12" s="31"/>
      <c r="AP12" s="31"/>
      <c r="AQ12" s="32"/>
      <c r="AR12" s="32"/>
      <c r="AS12" s="32"/>
      <c r="AT12" s="32"/>
      <c r="AU12" s="32"/>
      <c r="AV12" s="32"/>
      <c r="AW12" s="32"/>
      <c r="AX12" s="32"/>
      <c r="AY12" s="31"/>
      <c r="AZ12" s="31"/>
      <c r="BC12" s="1" t="s">
        <v>721</v>
      </c>
      <c r="BD12" s="1">
        <v>3</v>
      </c>
      <c r="BE12" s="1" t="s">
        <v>18</v>
      </c>
      <c r="BN12" s="27">
        <v>100</v>
      </c>
      <c r="BO12" s="26">
        <v>150</v>
      </c>
      <c r="BP12" s="26">
        <v>250</v>
      </c>
      <c r="BQ12" s="26">
        <v>200</v>
      </c>
      <c r="BR12" s="26">
        <v>200</v>
      </c>
      <c r="BS12" s="26">
        <v>200</v>
      </c>
      <c r="BT12" s="26">
        <v>300</v>
      </c>
      <c r="BU12" s="26">
        <v>260</v>
      </c>
      <c r="CG12" s="27">
        <v>100</v>
      </c>
      <c r="CH12" s="26">
        <v>150</v>
      </c>
      <c r="CI12" s="26">
        <v>250</v>
      </c>
      <c r="CJ12" s="26">
        <v>200</v>
      </c>
      <c r="CK12" s="26">
        <v>200</v>
      </c>
      <c r="CL12" s="26">
        <v>200</v>
      </c>
      <c r="CM12" s="26">
        <v>300</v>
      </c>
      <c r="CN12" s="26">
        <v>260</v>
      </c>
    </row>
    <row r="13" spans="1:95" ht="16.2" thickBot="1" x14ac:dyDescent="0.3">
      <c r="H13" s="1" t="s">
        <v>1728</v>
      </c>
      <c r="I13" s="3">
        <v>1550</v>
      </c>
      <c r="J13" s="3">
        <v>1550</v>
      </c>
      <c r="K13" s="3">
        <v>1550</v>
      </c>
      <c r="L13" s="3">
        <v>1550</v>
      </c>
      <c r="M13" s="3">
        <v>1550</v>
      </c>
      <c r="N13" s="3">
        <v>1660</v>
      </c>
      <c r="O13" s="3">
        <v>1660</v>
      </c>
      <c r="P13" s="3">
        <v>1660</v>
      </c>
      <c r="Q13" s="3">
        <v>1660</v>
      </c>
      <c r="R13" s="3">
        <v>1660</v>
      </c>
      <c r="S13" s="3">
        <v>1660</v>
      </c>
      <c r="T13" s="3">
        <v>1660</v>
      </c>
      <c r="U13" s="3">
        <v>1660</v>
      </c>
      <c r="V13" s="3">
        <v>1660</v>
      </c>
      <c r="W13" s="1"/>
      <c r="AI13" s="31"/>
      <c r="AJ13" s="31"/>
      <c r="AK13" s="31"/>
      <c r="AL13" s="31"/>
      <c r="AM13" s="31"/>
      <c r="AN13" s="31"/>
      <c r="AO13" s="31"/>
      <c r="AP13" s="31"/>
      <c r="AQ13" s="32"/>
      <c r="AR13" s="32"/>
      <c r="AS13" s="32"/>
      <c r="AT13" s="32"/>
      <c r="AU13" s="32"/>
      <c r="AV13" s="32"/>
      <c r="AW13" s="32"/>
      <c r="AX13" s="32"/>
      <c r="AY13" s="31"/>
      <c r="AZ13" s="31"/>
      <c r="BC13" s="1" t="s">
        <v>718</v>
      </c>
      <c r="BD13" s="1">
        <v>3</v>
      </c>
      <c r="BE13" s="1" t="s">
        <v>19</v>
      </c>
      <c r="BN13" s="27">
        <v>100</v>
      </c>
      <c r="BO13" s="26">
        <v>150</v>
      </c>
      <c r="BP13" s="26">
        <v>250</v>
      </c>
      <c r="BQ13" s="26">
        <v>200</v>
      </c>
      <c r="BR13" s="26">
        <v>200</v>
      </c>
      <c r="BS13" s="26">
        <v>200</v>
      </c>
      <c r="BT13" s="26">
        <v>300</v>
      </c>
      <c r="BU13" s="26">
        <v>260</v>
      </c>
      <c r="CG13" s="27">
        <v>100</v>
      </c>
      <c r="CH13" s="26">
        <v>150</v>
      </c>
      <c r="CI13" s="26">
        <v>250</v>
      </c>
      <c r="CJ13" s="26">
        <v>200</v>
      </c>
      <c r="CK13" s="26">
        <v>200</v>
      </c>
      <c r="CL13" s="26">
        <v>200</v>
      </c>
      <c r="CM13" s="26">
        <v>300</v>
      </c>
      <c r="CN13" s="26">
        <v>260</v>
      </c>
    </row>
    <row r="14" spans="1:95" ht="40.200000000000003" thickBot="1" x14ac:dyDescent="0.3">
      <c r="A14" s="1">
        <v>34</v>
      </c>
      <c r="H14" s="1" t="s">
        <v>1717</v>
      </c>
      <c r="I14" s="3" t="str">
        <f>VLOOKUP(I17,$B$18:$F$297,5,)</f>
        <v>DRM F/ASSY</v>
      </c>
      <c r="J14" s="3" t="str">
        <f t="shared" ref="J14:V14" si="0">VLOOKUP(J17,$B$18:$F$297,5,)</f>
        <v>DRM F/ASSY</v>
      </c>
      <c r="K14" s="3" t="str">
        <f t="shared" si="0"/>
        <v>PS ASSY RX</v>
      </c>
      <c r="L14" s="3" t="str">
        <f t="shared" si="0"/>
        <v>RX ASSY</v>
      </c>
      <c r="M14" s="3" t="str">
        <f t="shared" si="0"/>
        <v>PC ASSY DRM CONTROLER NG 400</v>
      </c>
      <c r="N14" s="3" t="str">
        <f t="shared" si="0"/>
        <v>DTRM F/ASSY</v>
      </c>
      <c r="O14" s="3" t="str">
        <f t="shared" si="0"/>
        <v>DTRM F/ASSY</v>
      </c>
      <c r="P14" s="3" t="str">
        <f t="shared" si="0"/>
        <v>POWER AMP ASSY</v>
      </c>
      <c r="Q14" s="3" t="str">
        <f t="shared" si="0"/>
        <v>PC ASSY PA CR</v>
      </c>
      <c r="R14" s="3" t="str">
        <f t="shared" si="0"/>
        <v>CAPASITORS CALIBRATION KIT</v>
      </c>
      <c r="S14" s="3" t="str">
        <f t="shared" si="0"/>
        <v>BEND OF TRANSISTOR</v>
      </c>
      <c r="T14" s="3" t="str">
        <f t="shared" si="0"/>
        <v>EV CAP WITH BRACKET</v>
      </c>
      <c r="U14" s="3" t="str">
        <f t="shared" si="0"/>
        <v>INSIDE COVER ASSY</v>
      </c>
      <c r="V14" s="3" t="str">
        <f t="shared" si="0"/>
        <v>PC ASSY CONTROLLER 400</v>
      </c>
      <c r="W14" s="1"/>
      <c r="AI14" s="31"/>
      <c r="AJ14" s="31"/>
      <c r="AK14" s="31"/>
      <c r="AL14" s="31"/>
      <c r="AM14" s="31"/>
      <c r="AN14" s="31"/>
      <c r="AO14" s="31"/>
      <c r="AP14" s="31"/>
      <c r="AQ14" s="31"/>
      <c r="AR14" s="32"/>
      <c r="AS14" s="32"/>
      <c r="AT14" s="32"/>
      <c r="AU14" s="32"/>
      <c r="AV14" s="32"/>
      <c r="AW14" s="32"/>
      <c r="AX14" s="32"/>
      <c r="AY14" s="32"/>
      <c r="AZ14" s="31"/>
      <c r="BC14" s="1" t="s">
        <v>719</v>
      </c>
      <c r="BD14" s="1">
        <v>2</v>
      </c>
      <c r="BE14" s="1" t="s">
        <v>20</v>
      </c>
      <c r="BO14" s="26">
        <v>100</v>
      </c>
      <c r="BP14" s="26">
        <v>150</v>
      </c>
      <c r="BQ14" s="26">
        <v>250</v>
      </c>
      <c r="BR14" s="26">
        <v>200</v>
      </c>
      <c r="BS14" s="26">
        <v>200</v>
      </c>
      <c r="BT14" s="26">
        <v>200</v>
      </c>
      <c r="BU14" s="26">
        <v>300</v>
      </c>
      <c r="BV14" s="26">
        <v>260</v>
      </c>
      <c r="CH14" s="26">
        <v>100</v>
      </c>
      <c r="CI14" s="26">
        <v>150</v>
      </c>
      <c r="CJ14" s="26">
        <v>250</v>
      </c>
      <c r="CK14" s="26">
        <v>200</v>
      </c>
      <c r="CL14" s="26">
        <v>200</v>
      </c>
      <c r="CM14" s="26">
        <v>200</v>
      </c>
      <c r="CN14" s="26">
        <v>300</v>
      </c>
      <c r="CO14" s="26">
        <v>260</v>
      </c>
    </row>
    <row r="15" spans="1:95" ht="16.2" thickBot="1" x14ac:dyDescent="0.3">
      <c r="A15" s="1">
        <v>1</v>
      </c>
      <c r="H15" s="1" t="s">
        <v>1727</v>
      </c>
      <c r="I15" s="3">
        <f t="shared" ref="I15:V15" si="1">COUNTIF(I18:I293,"&gt;0")</f>
        <v>3</v>
      </c>
      <c r="J15" s="3">
        <f t="shared" si="1"/>
        <v>32</v>
      </c>
      <c r="K15" s="3">
        <f t="shared" si="1"/>
        <v>13</v>
      </c>
      <c r="L15" s="3">
        <f t="shared" si="1"/>
        <v>47</v>
      </c>
      <c r="M15" s="3">
        <f t="shared" si="1"/>
        <v>97</v>
      </c>
      <c r="N15" s="3">
        <f t="shared" si="1"/>
        <v>4</v>
      </c>
      <c r="O15" s="3">
        <f t="shared" si="1"/>
        <v>34</v>
      </c>
      <c r="P15" s="3">
        <f t="shared" si="1"/>
        <v>30</v>
      </c>
      <c r="Q15" s="3">
        <f t="shared" si="1"/>
        <v>114</v>
      </c>
      <c r="R15" s="3">
        <f t="shared" si="1"/>
        <v>5</v>
      </c>
      <c r="S15" s="3">
        <f t="shared" si="1"/>
        <v>1</v>
      </c>
      <c r="T15" s="3">
        <f t="shared" si="1"/>
        <v>2</v>
      </c>
      <c r="U15" s="3">
        <f t="shared" si="1"/>
        <v>4</v>
      </c>
      <c r="V15" s="3">
        <f t="shared" si="1"/>
        <v>98</v>
      </c>
      <c r="W15" s="1"/>
      <c r="AI15" s="31"/>
      <c r="AJ15" s="31"/>
      <c r="AK15" s="31"/>
      <c r="AL15" s="31"/>
      <c r="AM15" s="31"/>
      <c r="AN15" s="31"/>
      <c r="AO15" s="31"/>
      <c r="AP15" s="31"/>
      <c r="AQ15" s="31"/>
      <c r="AR15" s="32"/>
      <c r="AS15" s="32"/>
      <c r="AT15" s="32"/>
      <c r="AU15" s="32"/>
      <c r="AV15" s="32"/>
      <c r="AW15" s="32"/>
      <c r="AX15" s="32"/>
      <c r="AY15" s="32"/>
      <c r="AZ15" s="31"/>
      <c r="BC15" s="1" t="s">
        <v>722</v>
      </c>
      <c r="BD15" s="1">
        <v>2</v>
      </c>
      <c r="BE15" s="1" t="s">
        <v>21</v>
      </c>
      <c r="BO15" s="26">
        <v>100</v>
      </c>
      <c r="BP15" s="26">
        <v>150</v>
      </c>
      <c r="BQ15" s="26">
        <v>250</v>
      </c>
      <c r="BR15" s="26">
        <v>200</v>
      </c>
      <c r="BS15" s="26">
        <v>200</v>
      </c>
      <c r="BT15" s="26">
        <v>200</v>
      </c>
      <c r="BU15" s="26">
        <v>300</v>
      </c>
      <c r="BV15" s="26">
        <v>260</v>
      </c>
      <c r="CH15" s="26">
        <v>100</v>
      </c>
      <c r="CI15" s="26">
        <v>150</v>
      </c>
      <c r="CJ15" s="26">
        <v>250</v>
      </c>
      <c r="CK15" s="26">
        <v>200</v>
      </c>
      <c r="CL15" s="26">
        <v>200</v>
      </c>
      <c r="CM15" s="26">
        <v>200</v>
      </c>
      <c r="CN15" s="26">
        <v>300</v>
      </c>
      <c r="CO15" s="26">
        <v>260</v>
      </c>
    </row>
    <row r="16" spans="1:95" ht="13.8" thickBot="1" x14ac:dyDescent="0.3">
      <c r="H16" s="1" t="s">
        <v>1721</v>
      </c>
      <c r="I16" s="3">
        <f>VLOOKUP(I17,'[1]הזנת נתונים'!$K$2:$L$50,2,)</f>
        <v>0</v>
      </c>
      <c r="J16" s="3">
        <f>VLOOKUP(J17,'[1]הזנת נתונים'!$K$2:$L$50,2,)</f>
        <v>1</v>
      </c>
      <c r="K16" s="3">
        <f>VLOOKUP(K17,'[1]הזנת נתונים'!$K$2:$L$50,2,)</f>
        <v>2</v>
      </c>
      <c r="L16" s="3">
        <f>VLOOKUP(L17,'[1]הזנת נתונים'!$K$2:$L$50,2,)</f>
        <v>3</v>
      </c>
      <c r="M16" s="3">
        <f>VLOOKUP(M17,'[1]הזנת נתונים'!$K$2:$L$50,2,)</f>
        <v>2</v>
      </c>
      <c r="N16" s="3">
        <f>VLOOKUP(N17,'[1]הזנת נתונים'!$K$2:$L$50,2,)</f>
        <v>0</v>
      </c>
      <c r="O16" s="3">
        <f>VLOOKUP(O17,'[1]הזנת נתונים'!$K$2:$L$50,2,)</f>
        <v>1</v>
      </c>
      <c r="P16" s="3">
        <f>VLOOKUP(P17,'[1]הזנת נתונים'!$K$2:$L$50,2,)</f>
        <v>2</v>
      </c>
      <c r="Q16" s="3">
        <f>VLOOKUP(Q17,'[1]הזנת נתונים'!$K$2:$L$50,2,)</f>
        <v>3</v>
      </c>
      <c r="R16" s="3">
        <f>VLOOKUP(R17,'[1]הזנת נתונים'!$K$2:$L$50,2,)</f>
        <v>4</v>
      </c>
      <c r="S16" s="3">
        <f>VLOOKUP(S17,'[1]הזנת נתונים'!$K$2:$L$50,2,)</f>
        <v>3</v>
      </c>
      <c r="T16" s="3">
        <f>VLOOKUP(T17,'[1]הזנת נתונים'!$K$2:$L$50,2,)</f>
        <v>3</v>
      </c>
      <c r="U16" s="3">
        <f>VLOOKUP(U17,'[1]הזנת נתונים'!$K$2:$L$50,2,)</f>
        <v>2</v>
      </c>
      <c r="V16" s="3">
        <f>VLOOKUP(V17,'[1]הזנת נתונים'!$K$2:$L$50,2,)</f>
        <v>2</v>
      </c>
      <c r="W16" s="2"/>
    </row>
    <row r="17" spans="1:95" ht="18" thickBot="1" x14ac:dyDescent="0.3">
      <c r="A17" s="4" t="s">
        <v>0</v>
      </c>
      <c r="B17" s="4" t="s">
        <v>1</v>
      </c>
      <c r="C17" s="4" t="s">
        <v>2</v>
      </c>
      <c r="D17" s="4" t="s">
        <v>3</v>
      </c>
      <c r="E17" s="4" t="s">
        <v>4</v>
      </c>
      <c r="F17" s="4" t="s">
        <v>5</v>
      </c>
      <c r="G17" s="4" t="s">
        <v>6</v>
      </c>
      <c r="H17" s="4" t="s">
        <v>7</v>
      </c>
      <c r="I17" s="3" t="s">
        <v>8</v>
      </c>
      <c r="J17" s="3" t="s">
        <v>9</v>
      </c>
      <c r="K17" s="3" t="s">
        <v>10</v>
      </c>
      <c r="L17" s="3" t="s">
        <v>11</v>
      </c>
      <c r="M17" s="3" t="s">
        <v>12</v>
      </c>
      <c r="N17" s="3" t="s">
        <v>13</v>
      </c>
      <c r="O17" s="3" t="s">
        <v>14</v>
      </c>
      <c r="P17" s="3" t="s">
        <v>15</v>
      </c>
      <c r="Q17" s="3" t="s">
        <v>16</v>
      </c>
      <c r="R17" s="3" t="s">
        <v>17</v>
      </c>
      <c r="S17" s="3" t="s">
        <v>18</v>
      </c>
      <c r="T17" s="3" t="s">
        <v>19</v>
      </c>
      <c r="U17" s="3" t="s">
        <v>20</v>
      </c>
      <c r="V17" s="3" t="s">
        <v>21</v>
      </c>
      <c r="W17" s="5" t="s">
        <v>22</v>
      </c>
      <c r="X17" s="4" t="s">
        <v>23</v>
      </c>
      <c r="Y17" s="4" t="s">
        <v>24</v>
      </c>
      <c r="Z17" s="5" t="s">
        <v>25</v>
      </c>
      <c r="AA17" s="5" t="s">
        <v>26</v>
      </c>
      <c r="AB17" s="5" t="s">
        <v>27</v>
      </c>
      <c r="AC17" s="5" t="s">
        <v>1720</v>
      </c>
      <c r="AD17" s="5" t="s">
        <v>28</v>
      </c>
      <c r="AE17" s="5" t="s">
        <v>29</v>
      </c>
      <c r="AF17" s="5" t="s">
        <v>30</v>
      </c>
      <c r="AG17" s="5" t="s">
        <v>31</v>
      </c>
      <c r="AH17" s="5" t="s">
        <v>32</v>
      </c>
      <c r="AI17" s="25">
        <v>46174</v>
      </c>
      <c r="AJ17" s="25">
        <v>46204</v>
      </c>
      <c r="AK17" s="25">
        <v>46235</v>
      </c>
      <c r="AL17" s="25">
        <v>46266</v>
      </c>
      <c r="AM17" s="25">
        <v>46296</v>
      </c>
      <c r="AN17" s="25">
        <v>46327</v>
      </c>
      <c r="AO17" s="25">
        <v>46357</v>
      </c>
      <c r="AP17" s="25">
        <v>46388</v>
      </c>
      <c r="AQ17" s="25">
        <v>46419</v>
      </c>
      <c r="AR17" s="25">
        <v>46447</v>
      </c>
      <c r="AS17" s="25">
        <v>46478</v>
      </c>
      <c r="AT17" s="25">
        <v>46508</v>
      </c>
      <c r="AU17" s="25">
        <v>46539</v>
      </c>
      <c r="AV17" s="25">
        <v>46569</v>
      </c>
      <c r="AW17" s="25">
        <v>46600</v>
      </c>
      <c r="AX17" s="25">
        <v>46631</v>
      </c>
      <c r="AY17" s="25">
        <v>46661</v>
      </c>
      <c r="AZ17" s="25">
        <v>46692</v>
      </c>
      <c r="BA17" s="25">
        <v>46722</v>
      </c>
      <c r="BB17" s="30" t="s">
        <v>1724</v>
      </c>
      <c r="BC17" s="1" t="s">
        <v>1717</v>
      </c>
      <c r="BD17" s="1" t="s">
        <v>1721</v>
      </c>
      <c r="BE17" s="1" t="s">
        <v>1722</v>
      </c>
      <c r="BF17" s="25">
        <v>46174</v>
      </c>
      <c r="BG17" s="25">
        <v>46204</v>
      </c>
      <c r="BH17" s="25">
        <v>46235</v>
      </c>
      <c r="BI17" s="25">
        <v>46266</v>
      </c>
      <c r="BJ17" s="25">
        <v>46296</v>
      </c>
      <c r="BK17" s="25">
        <v>46327</v>
      </c>
      <c r="BL17" s="25">
        <v>46357</v>
      </c>
      <c r="BM17" s="25">
        <v>46388</v>
      </c>
      <c r="BN17" s="25">
        <v>46419</v>
      </c>
      <c r="BO17" s="25">
        <v>46447</v>
      </c>
      <c r="BP17" s="25">
        <v>46478</v>
      </c>
      <c r="BQ17" s="25">
        <v>46508</v>
      </c>
      <c r="BR17" s="25">
        <v>46539</v>
      </c>
      <c r="BS17" s="25">
        <v>46569</v>
      </c>
      <c r="BT17" s="25">
        <v>46600</v>
      </c>
      <c r="BU17" s="25">
        <v>46631</v>
      </c>
      <c r="BV17" s="25">
        <v>46661</v>
      </c>
      <c r="BW17" s="25">
        <v>46692</v>
      </c>
      <c r="BX17" s="25">
        <v>46722</v>
      </c>
      <c r="BY17" s="25">
        <v>46174</v>
      </c>
      <c r="BZ17" s="25">
        <v>46204</v>
      </c>
      <c r="CA17" s="25">
        <v>46235</v>
      </c>
      <c r="CB17" s="25">
        <v>46266</v>
      </c>
      <c r="CC17" s="25">
        <v>46296</v>
      </c>
      <c r="CD17" s="25">
        <v>46327</v>
      </c>
      <c r="CE17" s="25">
        <v>46357</v>
      </c>
      <c r="CF17" s="25">
        <v>46388</v>
      </c>
      <c r="CG17" s="25">
        <v>46419</v>
      </c>
      <c r="CH17" s="25">
        <v>46447</v>
      </c>
      <c r="CI17" s="25">
        <v>46478</v>
      </c>
      <c r="CJ17" s="25">
        <v>46508</v>
      </c>
      <c r="CK17" s="25">
        <v>46539</v>
      </c>
      <c r="CL17" s="25">
        <v>46569</v>
      </c>
      <c r="CM17" s="25">
        <v>46600</v>
      </c>
      <c r="CN17" s="25">
        <v>46631</v>
      </c>
      <c r="CO17" s="25">
        <v>46661</v>
      </c>
      <c r="CP17" s="25">
        <v>46692</v>
      </c>
      <c r="CQ17" s="25">
        <v>46722</v>
      </c>
    </row>
    <row r="18" spans="1:95" s="8" customFormat="1" x14ac:dyDescent="0.25">
      <c r="A18" s="6">
        <v>1</v>
      </c>
      <c r="B18" s="7" t="s">
        <v>13</v>
      </c>
      <c r="C18" s="6" t="s">
        <v>33</v>
      </c>
      <c r="D18" s="6">
        <v>409547026</v>
      </c>
      <c r="E18" s="6"/>
      <c r="F18" s="6" t="s">
        <v>34</v>
      </c>
      <c r="G18" s="6" t="s">
        <v>35</v>
      </c>
      <c r="H18" s="6">
        <v>1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1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f>SUMPRODUCT(I18:V18,$I$13:$V$13)</f>
        <v>1660</v>
      </c>
      <c r="X18" s="6">
        <f>SUM(I18:V18)*AC18</f>
        <v>0</v>
      </c>
      <c r="Y18" s="6" t="s">
        <v>36</v>
      </c>
      <c r="Z18" s="6" t="s">
        <v>36</v>
      </c>
      <c r="AA18" s="6" t="s">
        <v>36</v>
      </c>
      <c r="AB18" s="6" t="s">
        <v>36</v>
      </c>
      <c r="AC18" s="6">
        <v>0</v>
      </c>
      <c r="AD18" s="6" t="s">
        <v>36</v>
      </c>
      <c r="AE18" s="6" t="s">
        <v>36</v>
      </c>
      <c r="AF18" s="6" t="s">
        <v>36</v>
      </c>
      <c r="AG18" s="6" t="s">
        <v>36</v>
      </c>
      <c r="AH18" s="6"/>
      <c r="BG18" s="8">
        <f>SUM($BB18,$AI18:AI18)-SUM($BY18:BZ18)</f>
        <v>0</v>
      </c>
      <c r="BH18" s="8">
        <f>SUM($BB18,$AI18:AJ18)-SUM($BY18:CA18)</f>
        <v>0</v>
      </c>
      <c r="BI18" s="8">
        <f>SUM($BB18,$AI18:AK18)-SUM($BY18:CB18)</f>
        <v>0</v>
      </c>
      <c r="BJ18" s="8">
        <f>SUM($BB18,$AI18:AL18)-SUM($BY18:CC18)</f>
        <v>0</v>
      </c>
      <c r="BK18" s="8">
        <f>SUM($BB18,$AI18:AM18)-SUM($BY18:CD18)</f>
        <v>0</v>
      </c>
      <c r="BL18" s="8">
        <f>SUM($BB18,$AI18:AN18)-SUM($BY18:CE18)</f>
        <v>0</v>
      </c>
      <c r="BM18" s="8">
        <f>SUM($BB18,$AI18:AO18)-SUM($BY18:CF18)</f>
        <v>0</v>
      </c>
      <c r="BN18" s="8">
        <f>SUM($BB18,$AI18:AP18)-SUM($BY18:CG18)</f>
        <v>0</v>
      </c>
      <c r="BO18" s="8">
        <f>SUM($BB18,$AI18:AQ18)-SUM($BY18:CH18)</f>
        <v>0</v>
      </c>
      <c r="BP18" s="8">
        <f>SUM($BB18,$AI18:AR18)-SUM($BY18:CI18)</f>
        <v>-100</v>
      </c>
      <c r="BQ18" s="8">
        <f>SUM($BB18,$AI18:AS18)-SUM($BY18:CJ18)</f>
        <v>-250</v>
      </c>
      <c r="BR18" s="8">
        <f>SUM($BB18,$AI18:AT18)-SUM($BY18:CK18)</f>
        <v>-500</v>
      </c>
      <c r="BS18" s="8">
        <f>SUM($BB18,$AI18:AU18)-SUM($BY18:CL18)</f>
        <v>-700</v>
      </c>
      <c r="BT18" s="8">
        <f>SUM($BB18,$AI18:AV18)-SUM($BY18:CM18)</f>
        <v>-900</v>
      </c>
      <c r="BU18" s="8">
        <f>SUM($BB18,$AI18:AW18)-SUM($BY18:CN18)</f>
        <v>-1100</v>
      </c>
      <c r="BV18" s="8">
        <f>SUM($BB18,$AI18:AX18)-SUM($BY18:CO18)</f>
        <v>-1400</v>
      </c>
      <c r="BW18" s="8">
        <f>SUM($BB18,$AI18:AY18)-SUM($BY18:CP18)</f>
        <v>-1660</v>
      </c>
      <c r="BX18" s="8">
        <f>SUM($BB18,$AI18:AZ18)-SUM($BY18:CQ18)</f>
        <v>-1660</v>
      </c>
      <c r="BY18" s="8" cm="1">
        <f t="array" ref="BY18">SUMPRODUCT(TRANSPOSE(BY$2:BY$15),$I18:$V18)</f>
        <v>0</v>
      </c>
      <c r="BZ18" s="8" cm="1">
        <f t="array" ref="BZ18">SUMPRODUCT(TRANSPOSE(BZ$2:BZ$15),$I18:$V18)</f>
        <v>0</v>
      </c>
      <c r="CA18" s="8" cm="1">
        <f t="array" ref="CA18">SUMPRODUCT(TRANSPOSE(CA$2:CA$15),$I18:$V18)</f>
        <v>0</v>
      </c>
      <c r="CB18" s="8" cm="1">
        <f t="array" ref="CB18">SUMPRODUCT(TRANSPOSE(CB$2:CB$15),$I18:$V18)</f>
        <v>0</v>
      </c>
      <c r="CC18" s="8" cm="1">
        <f t="array" ref="CC18">SUMPRODUCT(TRANSPOSE(CC$2:CC$15),$I18:$V18)</f>
        <v>0</v>
      </c>
      <c r="CD18" s="8" cm="1">
        <f t="array" ref="CD18">SUMPRODUCT(TRANSPOSE(CD$2:CD$15),$I18:$V18)</f>
        <v>0</v>
      </c>
      <c r="CE18" s="8" cm="1">
        <f t="array" ref="CE18">SUMPRODUCT(TRANSPOSE(CE$2:CE$15),$I18:$V18)</f>
        <v>0</v>
      </c>
      <c r="CF18" s="8" cm="1">
        <f t="array" ref="CF18">SUMPRODUCT(TRANSPOSE(CF$2:CF$15),$I18:$V18)</f>
        <v>0</v>
      </c>
      <c r="CG18" s="8" cm="1">
        <f t="array" ref="CG18">SUMPRODUCT(TRANSPOSE(CG$2:CG$15),$I18:$V18)</f>
        <v>0</v>
      </c>
      <c r="CH18" s="8" cm="1">
        <f t="array" ref="CH18">SUMPRODUCT(TRANSPOSE(CH$2:CH$15),$I18:$V18)</f>
        <v>0</v>
      </c>
      <c r="CI18" s="8" cm="1">
        <f t="array" ref="CI18">SUMPRODUCT(TRANSPOSE(CI$2:CI$15),$I18:$V18)</f>
        <v>100</v>
      </c>
      <c r="CJ18" s="8" cm="1">
        <f t="array" ref="CJ18">SUMPRODUCT(TRANSPOSE(CJ$2:CJ$15),$I18:$V18)</f>
        <v>150</v>
      </c>
      <c r="CK18" s="8" cm="1">
        <f t="array" ref="CK18">SUMPRODUCT(TRANSPOSE(CK$2:CK$15),$I18:$V18)</f>
        <v>250</v>
      </c>
      <c r="CL18" s="8" cm="1">
        <f t="array" ref="CL18">SUMPRODUCT(TRANSPOSE(CL$2:CL$15),$I18:$V18)</f>
        <v>200</v>
      </c>
      <c r="CM18" s="8" cm="1">
        <f t="array" ref="CM18">SUMPRODUCT(TRANSPOSE(CM$2:CM$15),$I18:$V18)</f>
        <v>200</v>
      </c>
      <c r="CN18" s="8" cm="1">
        <f t="array" ref="CN18">SUMPRODUCT(TRANSPOSE(CN$2:CN$15),$I18:$V18)</f>
        <v>200</v>
      </c>
      <c r="CO18" s="8" cm="1">
        <f t="array" ref="CO18">SUMPRODUCT(TRANSPOSE(CO$2:CO$15),$I18:$V18)</f>
        <v>300</v>
      </c>
      <c r="CP18" s="8" cm="1">
        <f t="array" ref="CP18">SUMPRODUCT(TRANSPOSE(CP$2:CP$15),$I18:$V18)</f>
        <v>260</v>
      </c>
      <c r="CQ18" s="8" cm="1">
        <f t="array" ref="CQ18">SUMPRODUCT(TRANSPOSE(CQ$2:CQ$15),$I18:$V18)</f>
        <v>0</v>
      </c>
    </row>
    <row r="19" spans="1:95" s="8" customFormat="1" x14ac:dyDescent="0.25">
      <c r="A19" s="6">
        <v>2</v>
      </c>
      <c r="B19" s="7" t="s">
        <v>8</v>
      </c>
      <c r="C19" s="6" t="s">
        <v>37</v>
      </c>
      <c r="D19" s="6">
        <v>421530806</v>
      </c>
      <c r="E19" s="6"/>
      <c r="F19" s="6" t="s">
        <v>38</v>
      </c>
      <c r="G19" s="6" t="s">
        <v>35</v>
      </c>
      <c r="H19" s="6">
        <v>1</v>
      </c>
      <c r="I19" s="6">
        <v>1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f>SUMPRODUCT(I19:V19,$I$13:$V$13)</f>
        <v>1550</v>
      </c>
      <c r="X19" s="6">
        <f t="shared" ref="X19:X82" si="2">SUM(I19:V19)*AC19</f>
        <v>0</v>
      </c>
      <c r="Y19" s="6" t="s">
        <v>36</v>
      </c>
      <c r="Z19" s="6" t="s">
        <v>36</v>
      </c>
      <c r="AA19" s="6" t="s">
        <v>36</v>
      </c>
      <c r="AB19" s="6" t="s">
        <v>36</v>
      </c>
      <c r="AC19" s="6">
        <v>0</v>
      </c>
      <c r="AD19" s="6" t="s">
        <v>36</v>
      </c>
      <c r="AE19" s="6" t="s">
        <v>36</v>
      </c>
      <c r="AF19" s="6" t="s">
        <v>36</v>
      </c>
      <c r="AG19" s="6" t="s">
        <v>36</v>
      </c>
      <c r="AH19" s="6"/>
      <c r="BG19" s="8">
        <f>SUM($BB19,$AI19:AI19)-SUM($BY19:BZ19)</f>
        <v>0</v>
      </c>
      <c r="BH19" s="8">
        <f>SUM($BB19,$AI19:AJ19)-SUM($BY19:CA19)</f>
        <v>0</v>
      </c>
      <c r="BI19" s="8">
        <f>SUM($BB19,$AI19:AK19)-SUM($BY19:CB19)</f>
        <v>0</v>
      </c>
      <c r="BJ19" s="8">
        <f>SUM($BB19,$AI19:AL19)-SUM($BY19:CC19)</f>
        <v>0</v>
      </c>
      <c r="BK19" s="8">
        <f>SUM($BB19,$AI19:AM19)-SUM($BY19:CD19)</f>
        <v>0</v>
      </c>
      <c r="BL19" s="8">
        <f>SUM($BB19,$AI19:AN19)-SUM($BY19:CE19)</f>
        <v>0</v>
      </c>
      <c r="BM19" s="8">
        <f>SUM($BB19,$AI19:AO19)-SUM($BY19:CF19)</f>
        <v>0</v>
      </c>
      <c r="BN19" s="8">
        <f>SUM($BB19,$AI19:AP19)-SUM($BY19:CG19)</f>
        <v>0</v>
      </c>
      <c r="BO19" s="8">
        <f>SUM($BB19,$AI19:AQ19)-SUM($BY19:CH19)</f>
        <v>0</v>
      </c>
      <c r="BP19" s="8">
        <f>SUM($BB19,$AI19:AR19)-SUM($BY19:CI19)</f>
        <v>-100</v>
      </c>
      <c r="BQ19" s="8">
        <f>SUM($BB19,$AI19:AS19)-SUM($BY19:CJ19)</f>
        <v>-250</v>
      </c>
      <c r="BR19" s="8">
        <f>SUM($BB19,$AI19:AT19)-SUM($BY19:CK19)</f>
        <v>-500</v>
      </c>
      <c r="BS19" s="8">
        <f>SUM($BB19,$AI19:AU19)-SUM($BY19:CL19)</f>
        <v>-720</v>
      </c>
      <c r="BT19" s="8">
        <f>SUM($BB19,$AI19:AV19)-SUM($BY19:CM19)</f>
        <v>-920</v>
      </c>
      <c r="BU19" s="8">
        <f>SUM($BB19,$AI19:AW19)-SUM($BY19:CN19)</f>
        <v>-1070</v>
      </c>
      <c r="BV19" s="8">
        <f>SUM($BB19,$AI19:AX19)-SUM($BY19:CO19)</f>
        <v>-1310</v>
      </c>
      <c r="BW19" s="8">
        <f>SUM($BB19,$AI19:AY19)-SUM($BY19:CP19)</f>
        <v>-1550</v>
      </c>
      <c r="BX19" s="8">
        <f>SUM($BB19,$AI19:AZ19)-SUM($BY19:CQ19)</f>
        <v>-1550</v>
      </c>
      <c r="BY19" s="8" cm="1">
        <f t="array" ref="BY19">SUMPRODUCT(TRANSPOSE(BY$2:BY$15),$I19:$V19)</f>
        <v>0</v>
      </c>
      <c r="BZ19" s="8" cm="1">
        <f t="array" ref="BZ19">SUMPRODUCT(TRANSPOSE(BZ$2:BZ$15),$I19:$V19)</f>
        <v>0</v>
      </c>
      <c r="CA19" s="8" cm="1">
        <f t="array" ref="CA19">SUMPRODUCT(TRANSPOSE(CA$2:CA$15),$I19:$V19)</f>
        <v>0</v>
      </c>
      <c r="CB19" s="8" cm="1">
        <f t="array" ref="CB19">SUMPRODUCT(TRANSPOSE(CB$2:CB$15),$I19:$V19)</f>
        <v>0</v>
      </c>
      <c r="CC19" s="8" cm="1">
        <f t="array" ref="CC19">SUMPRODUCT(TRANSPOSE(CC$2:CC$15),$I19:$V19)</f>
        <v>0</v>
      </c>
      <c r="CD19" s="8" cm="1">
        <f t="array" ref="CD19">SUMPRODUCT(TRANSPOSE(CD$2:CD$15),$I19:$V19)</f>
        <v>0</v>
      </c>
      <c r="CE19" s="8" cm="1">
        <f t="array" ref="CE19">SUMPRODUCT(TRANSPOSE(CE$2:CE$15),$I19:$V19)</f>
        <v>0</v>
      </c>
      <c r="CF19" s="8" cm="1">
        <f t="array" ref="CF19">SUMPRODUCT(TRANSPOSE(CF$2:CF$15),$I19:$V19)</f>
        <v>0</v>
      </c>
      <c r="CG19" s="8" cm="1">
        <f t="array" ref="CG19">SUMPRODUCT(TRANSPOSE(CG$2:CG$15),$I19:$V19)</f>
        <v>0</v>
      </c>
      <c r="CH19" s="8" cm="1">
        <f t="array" ref="CH19">SUMPRODUCT(TRANSPOSE(CH$2:CH$15),$I19:$V19)</f>
        <v>0</v>
      </c>
      <c r="CI19" s="8" cm="1">
        <f t="array" ref="CI19">SUMPRODUCT(TRANSPOSE(CI$2:CI$15),$I19:$V19)</f>
        <v>100</v>
      </c>
      <c r="CJ19" s="8" cm="1">
        <f t="array" ref="CJ19">SUMPRODUCT(TRANSPOSE(CJ$2:CJ$15),$I19:$V19)</f>
        <v>150</v>
      </c>
      <c r="CK19" s="8" cm="1">
        <f t="array" ref="CK19">SUMPRODUCT(TRANSPOSE(CK$2:CK$15),$I19:$V19)</f>
        <v>250</v>
      </c>
      <c r="CL19" s="8" cm="1">
        <f t="array" ref="CL19">SUMPRODUCT(TRANSPOSE(CL$2:CL$15),$I19:$V19)</f>
        <v>220</v>
      </c>
      <c r="CM19" s="8" cm="1">
        <f t="array" ref="CM19">SUMPRODUCT(TRANSPOSE(CM$2:CM$15),$I19:$V19)</f>
        <v>200</v>
      </c>
      <c r="CN19" s="8" cm="1">
        <f t="array" ref="CN19">SUMPRODUCT(TRANSPOSE(CN$2:CN$15),$I19:$V19)</f>
        <v>150</v>
      </c>
      <c r="CO19" s="8" cm="1">
        <f t="array" ref="CO19">SUMPRODUCT(TRANSPOSE(CO$2:CO$15),$I19:$V19)</f>
        <v>240</v>
      </c>
      <c r="CP19" s="8" cm="1">
        <f t="array" ref="CP19">SUMPRODUCT(TRANSPOSE(CP$2:CP$15),$I19:$V19)</f>
        <v>240</v>
      </c>
      <c r="CQ19" s="8" cm="1">
        <f t="array" ref="CQ19">SUMPRODUCT(TRANSPOSE(CQ$2:CQ$15),$I19:$V19)</f>
        <v>0</v>
      </c>
    </row>
    <row r="20" spans="1:95" x14ac:dyDescent="0.25">
      <c r="A20" s="6">
        <v>60</v>
      </c>
      <c r="B20" s="7" t="s">
        <v>11</v>
      </c>
      <c r="C20" s="6" t="s">
        <v>33</v>
      </c>
      <c r="D20" s="6">
        <v>411235298</v>
      </c>
      <c r="E20" s="6"/>
      <c r="F20" s="6" t="s">
        <v>39</v>
      </c>
      <c r="G20" s="6" t="s">
        <v>35</v>
      </c>
      <c r="H20" s="6">
        <v>1</v>
      </c>
      <c r="I20" s="6">
        <v>0</v>
      </c>
      <c r="J20" s="6">
        <v>0</v>
      </c>
      <c r="K20" s="6">
        <v>1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f>SUMPRODUCT(I20:V20,$I$13:$V$13)</f>
        <v>1550</v>
      </c>
      <c r="X20" s="6">
        <f t="shared" si="2"/>
        <v>0</v>
      </c>
      <c r="Y20" s="6" t="s">
        <v>36</v>
      </c>
      <c r="Z20" s="6" t="s">
        <v>36</v>
      </c>
      <c r="AA20" s="6" t="s">
        <v>36</v>
      </c>
      <c r="AB20" s="6" t="s">
        <v>36</v>
      </c>
      <c r="AC20" s="6">
        <v>0</v>
      </c>
      <c r="AD20" s="6" t="s">
        <v>36</v>
      </c>
      <c r="AE20" s="6" t="s">
        <v>36</v>
      </c>
      <c r="AF20" s="6" t="s">
        <v>36</v>
      </c>
      <c r="AG20" s="6" t="s">
        <v>36</v>
      </c>
      <c r="AH20" s="6"/>
      <c r="BG20" s="8">
        <f>SUM($BB20,$AI20:AI20)-SUM($BY20:BZ20)</f>
        <v>0</v>
      </c>
      <c r="BH20" s="8">
        <f>SUM($BB20,$AI20:AJ20)-SUM($BY20:CA20)</f>
        <v>0</v>
      </c>
      <c r="BI20" s="8">
        <f>SUM($BB20,$AI20:AK20)-SUM($BY20:CB20)</f>
        <v>0</v>
      </c>
      <c r="BJ20" s="8">
        <f>SUM($BB20,$AI20:AL20)-SUM($BY20:CC20)</f>
        <v>0</v>
      </c>
      <c r="BK20" s="8">
        <f>SUM($BB20,$AI20:AM20)-SUM($BY20:CD20)</f>
        <v>0</v>
      </c>
      <c r="BL20" s="8">
        <f>SUM($BB20,$AI20:AN20)-SUM($BY20:CE20)</f>
        <v>0</v>
      </c>
      <c r="BM20" s="8">
        <f>SUM($BB20,$AI20:AO20)-SUM($BY20:CF20)</f>
        <v>0</v>
      </c>
      <c r="BN20" s="8">
        <f>SUM($BB20,$AI20:AP20)-SUM($BY20:CG20)</f>
        <v>0</v>
      </c>
      <c r="BO20" s="8">
        <f>SUM($BB20,$AI20:AQ20)-SUM($BY20:CH20)</f>
        <v>-100</v>
      </c>
      <c r="BP20" s="8">
        <f>SUM($BB20,$AI20:AR20)-SUM($BY20:CI20)</f>
        <v>-250</v>
      </c>
      <c r="BQ20" s="8">
        <f>SUM($BB20,$AI20:AS20)-SUM($BY20:CJ20)</f>
        <v>-500</v>
      </c>
      <c r="BR20" s="8">
        <f>SUM($BB20,$AI20:AT20)-SUM($BY20:CK20)</f>
        <v>-720</v>
      </c>
      <c r="BS20" s="8">
        <f>SUM($BB20,$AI20:AU20)-SUM($BY20:CL20)</f>
        <v>-920</v>
      </c>
      <c r="BT20" s="8">
        <f>SUM($BB20,$AI20:AV20)-SUM($BY20:CM20)</f>
        <v>-1070</v>
      </c>
      <c r="BU20" s="8">
        <f>SUM($BB20,$AI20:AW20)-SUM($BY20:CN20)</f>
        <v>-1310</v>
      </c>
      <c r="BV20" s="8">
        <f>SUM($BB20,$AI20:AX20)-SUM($BY20:CO20)</f>
        <v>-1550</v>
      </c>
      <c r="BW20" s="8">
        <f>SUM($BB20,$AI20:AY20)-SUM($BY20:CP20)</f>
        <v>-1550</v>
      </c>
      <c r="BX20" s="8">
        <f>SUM($BB20,$AI20:AZ20)-SUM($BY20:CQ20)</f>
        <v>-1550</v>
      </c>
      <c r="BY20" s="8" cm="1">
        <f t="array" ref="BY20">SUMPRODUCT(TRANSPOSE(BY$2:BY$15),$I20:$V20)</f>
        <v>0</v>
      </c>
      <c r="BZ20" s="8" cm="1">
        <f t="array" ref="BZ20">SUMPRODUCT(TRANSPOSE(BZ$2:BZ$15),$I20:$V20)</f>
        <v>0</v>
      </c>
      <c r="CA20" s="8" cm="1">
        <f t="array" ref="CA20">SUMPRODUCT(TRANSPOSE(CA$2:CA$15),$I20:$V20)</f>
        <v>0</v>
      </c>
      <c r="CB20" s="8" cm="1">
        <f t="array" ref="CB20">SUMPRODUCT(TRANSPOSE(CB$2:CB$15),$I20:$V20)</f>
        <v>0</v>
      </c>
      <c r="CC20" s="8" cm="1">
        <f t="array" ref="CC20">SUMPRODUCT(TRANSPOSE(CC$2:CC$15),$I20:$V20)</f>
        <v>0</v>
      </c>
      <c r="CD20" s="8" cm="1">
        <f t="array" ref="CD20">SUMPRODUCT(TRANSPOSE(CD$2:CD$15),$I20:$V20)</f>
        <v>0</v>
      </c>
      <c r="CE20" s="8" cm="1">
        <f t="array" ref="CE20">SUMPRODUCT(TRANSPOSE(CE$2:CE$15),$I20:$V20)</f>
        <v>0</v>
      </c>
      <c r="CF20" s="8" cm="1">
        <f t="array" ref="CF20">SUMPRODUCT(TRANSPOSE(CF$2:CF$15),$I20:$V20)</f>
        <v>0</v>
      </c>
      <c r="CG20" s="8" cm="1">
        <f t="array" ref="CG20">SUMPRODUCT(TRANSPOSE(CG$2:CG$15),$I20:$V20)</f>
        <v>0</v>
      </c>
      <c r="CH20" s="8" cm="1">
        <f t="array" ref="CH20">SUMPRODUCT(TRANSPOSE(CH$2:CH$15),$I20:$V20)</f>
        <v>100</v>
      </c>
      <c r="CI20" s="8" cm="1">
        <f t="array" ref="CI20">SUMPRODUCT(TRANSPOSE(CI$2:CI$15),$I20:$V20)</f>
        <v>150</v>
      </c>
      <c r="CJ20" s="8" cm="1">
        <f t="array" ref="CJ20">SUMPRODUCT(TRANSPOSE(CJ$2:CJ$15),$I20:$V20)</f>
        <v>250</v>
      </c>
      <c r="CK20" s="8" cm="1">
        <f t="array" ref="CK20">SUMPRODUCT(TRANSPOSE(CK$2:CK$15),$I20:$V20)</f>
        <v>220</v>
      </c>
      <c r="CL20" s="8" cm="1">
        <f t="array" ref="CL20">SUMPRODUCT(TRANSPOSE(CL$2:CL$15),$I20:$V20)</f>
        <v>200</v>
      </c>
      <c r="CM20" s="8" cm="1">
        <f t="array" ref="CM20">SUMPRODUCT(TRANSPOSE(CM$2:CM$15),$I20:$V20)</f>
        <v>150</v>
      </c>
      <c r="CN20" s="8" cm="1">
        <f t="array" ref="CN20">SUMPRODUCT(TRANSPOSE(CN$2:CN$15),$I20:$V20)</f>
        <v>240</v>
      </c>
      <c r="CO20" s="8" cm="1">
        <f t="array" ref="CO20">SUMPRODUCT(TRANSPOSE(CO$2:CO$15),$I20:$V20)</f>
        <v>240</v>
      </c>
      <c r="CP20" s="8" cm="1">
        <f t="array" ref="CP20">SUMPRODUCT(TRANSPOSE(CP$2:CP$15),$I20:$V20)</f>
        <v>0</v>
      </c>
      <c r="CQ20" s="8" cm="1">
        <f t="array" ref="CQ20">SUMPRODUCT(TRANSPOSE(CQ$2:CQ$15),$I20:$V20)</f>
        <v>0</v>
      </c>
    </row>
    <row r="21" spans="1:95" x14ac:dyDescent="0.25">
      <c r="A21" s="9">
        <v>66</v>
      </c>
      <c r="B21" s="10" t="s">
        <v>40</v>
      </c>
      <c r="C21" s="9" t="s">
        <v>41</v>
      </c>
      <c r="D21" s="9">
        <v>412594024</v>
      </c>
      <c r="E21" s="6"/>
      <c r="F21" s="9" t="s">
        <v>42</v>
      </c>
      <c r="G21" s="9" t="s">
        <v>35</v>
      </c>
      <c r="H21" s="9">
        <v>2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2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f>SUMPRODUCT(I21:V21,$I$13:$V$13)</f>
        <v>3320</v>
      </c>
      <c r="X21" s="6">
        <f t="shared" si="2"/>
        <v>1258</v>
      </c>
      <c r="Y21" s="9" t="str">
        <f>VLOOKUP(D21,[1]PARTS!$A$1:$G$65536,7,0)</f>
        <v/>
      </c>
      <c r="Z21" s="9"/>
      <c r="AA21" s="9">
        <v>3280</v>
      </c>
      <c r="AB21" s="9">
        <v>3208</v>
      </c>
      <c r="AC21" s="9">
        <f>620+9</f>
        <v>629</v>
      </c>
      <c r="AD21" s="9"/>
      <c r="AE21" s="9"/>
      <c r="AF21" s="9"/>
      <c r="AG21" s="9"/>
      <c r="AH21" s="9"/>
      <c r="BG21" s="8">
        <f>SUM($BB21,$AI21:AI21)-SUM($BY21:BZ21)</f>
        <v>0</v>
      </c>
      <c r="BH21" s="8">
        <f>SUM($BB21,$AI21:AJ21)-SUM($BY21:CA21)</f>
        <v>0</v>
      </c>
      <c r="BI21" s="8">
        <f>SUM($BB21,$AI21:AK21)-SUM($BY21:CB21)</f>
        <v>0</v>
      </c>
      <c r="BJ21" s="8">
        <f>SUM($BB21,$AI21:AL21)-SUM($BY21:CC21)</f>
        <v>0</v>
      </c>
      <c r="BK21" s="8">
        <f>SUM($BB21,$AI21:AM21)-SUM($BY21:CD21)</f>
        <v>0</v>
      </c>
      <c r="BL21" s="8">
        <f>SUM($BB21,$AI21:AN21)-SUM($BY21:CE21)</f>
        <v>0</v>
      </c>
      <c r="BM21" s="8">
        <f>SUM($BB21,$AI21:AO21)-SUM($BY21:CF21)</f>
        <v>0</v>
      </c>
      <c r="BN21" s="8">
        <f>SUM($BB21,$AI21:AP21)-SUM($BY21:CG21)</f>
        <v>-200</v>
      </c>
      <c r="BO21" s="8">
        <f>SUM($BB21,$AI21:AQ21)-SUM($BY21:CH21)</f>
        <v>-500</v>
      </c>
      <c r="BP21" s="8">
        <f>SUM($BB21,$AI21:AR21)-SUM($BY21:CI21)</f>
        <v>-1000</v>
      </c>
      <c r="BQ21" s="8">
        <f>SUM($BB21,$AI21:AS21)-SUM($BY21:CJ21)</f>
        <v>-1400</v>
      </c>
      <c r="BR21" s="8">
        <f>SUM($BB21,$AI21:AT21)-SUM($BY21:CK21)</f>
        <v>-1800</v>
      </c>
      <c r="BS21" s="8">
        <f>SUM($BB21,$AI21:AU21)-SUM($BY21:CL21)</f>
        <v>-2200</v>
      </c>
      <c r="BT21" s="8">
        <f>SUM($BB21,$AI21:AV21)-SUM($BY21:CM21)</f>
        <v>-2800</v>
      </c>
      <c r="BU21" s="8">
        <f>SUM($BB21,$AI21:AW21)-SUM($BY21:CN21)</f>
        <v>-3320</v>
      </c>
      <c r="BV21" s="8">
        <f>SUM($BB21,$AI21:AX21)-SUM($BY21:CO21)</f>
        <v>-3320</v>
      </c>
      <c r="BW21" s="8">
        <f>SUM($BB21,$AI21:AY21)-SUM($BY21:CP21)</f>
        <v>-3320</v>
      </c>
      <c r="BX21" s="8">
        <f>SUM($BB21,$AI21:AZ21)-SUM($BY21:CQ21)</f>
        <v>-3320</v>
      </c>
      <c r="BY21" s="8" cm="1">
        <f t="array" ref="BY21">SUMPRODUCT(TRANSPOSE(BY$2:BY$15),$I21:$V21)</f>
        <v>0</v>
      </c>
      <c r="BZ21" s="8" cm="1">
        <f t="array" ref="BZ21">SUMPRODUCT(TRANSPOSE(BZ$2:BZ$15),$I21:$V21)</f>
        <v>0</v>
      </c>
      <c r="CA21" s="8" cm="1">
        <f t="array" ref="CA21">SUMPRODUCT(TRANSPOSE(CA$2:CA$15),$I21:$V21)</f>
        <v>0</v>
      </c>
      <c r="CB21" s="8" cm="1">
        <f t="array" ref="CB21">SUMPRODUCT(TRANSPOSE(CB$2:CB$15),$I21:$V21)</f>
        <v>0</v>
      </c>
      <c r="CC21" s="8" cm="1">
        <f t="array" ref="CC21">SUMPRODUCT(TRANSPOSE(CC$2:CC$15),$I21:$V21)</f>
        <v>0</v>
      </c>
      <c r="CD21" s="8" cm="1">
        <f t="array" ref="CD21">SUMPRODUCT(TRANSPOSE(CD$2:CD$15),$I21:$V21)</f>
        <v>0</v>
      </c>
      <c r="CE21" s="8" cm="1">
        <f t="array" ref="CE21">SUMPRODUCT(TRANSPOSE(CE$2:CE$15),$I21:$V21)</f>
        <v>0</v>
      </c>
      <c r="CF21" s="8" cm="1">
        <f t="array" ref="CF21">SUMPRODUCT(TRANSPOSE(CF$2:CF$15),$I21:$V21)</f>
        <v>0</v>
      </c>
      <c r="CG21" s="8" cm="1">
        <f t="array" ref="CG21">SUMPRODUCT(TRANSPOSE(CG$2:CG$15),$I21:$V21)</f>
        <v>200</v>
      </c>
      <c r="CH21" s="8" cm="1">
        <f t="array" ref="CH21">SUMPRODUCT(TRANSPOSE(CH$2:CH$15),$I21:$V21)</f>
        <v>300</v>
      </c>
      <c r="CI21" s="8" cm="1">
        <f t="array" ref="CI21">SUMPRODUCT(TRANSPOSE(CI$2:CI$15),$I21:$V21)</f>
        <v>500</v>
      </c>
      <c r="CJ21" s="8" cm="1">
        <f t="array" ref="CJ21">SUMPRODUCT(TRANSPOSE(CJ$2:CJ$15),$I21:$V21)</f>
        <v>400</v>
      </c>
      <c r="CK21" s="8" cm="1">
        <f t="array" ref="CK21">SUMPRODUCT(TRANSPOSE(CK$2:CK$15),$I21:$V21)</f>
        <v>400</v>
      </c>
      <c r="CL21" s="8" cm="1">
        <f t="array" ref="CL21">SUMPRODUCT(TRANSPOSE(CL$2:CL$15),$I21:$V21)</f>
        <v>400</v>
      </c>
      <c r="CM21" s="8" cm="1">
        <f t="array" ref="CM21">SUMPRODUCT(TRANSPOSE(CM$2:CM$15),$I21:$V21)</f>
        <v>600</v>
      </c>
      <c r="CN21" s="8" cm="1">
        <f t="array" ref="CN21">SUMPRODUCT(TRANSPOSE(CN$2:CN$15),$I21:$V21)</f>
        <v>520</v>
      </c>
      <c r="CO21" s="8" cm="1">
        <f t="array" ref="CO21">SUMPRODUCT(TRANSPOSE(CO$2:CO$15),$I21:$V21)</f>
        <v>0</v>
      </c>
      <c r="CP21" s="8" cm="1">
        <f t="array" ref="CP21">SUMPRODUCT(TRANSPOSE(CP$2:CP$15),$I21:$V21)</f>
        <v>0</v>
      </c>
      <c r="CQ21" s="8" cm="1">
        <f t="array" ref="CQ21">SUMPRODUCT(TRANSPOSE(CQ$2:CQ$15),$I21:$V21)</f>
        <v>0</v>
      </c>
    </row>
    <row r="22" spans="1:95" x14ac:dyDescent="0.25">
      <c r="A22" s="9">
        <v>68</v>
      </c>
      <c r="B22" s="10" t="s">
        <v>43</v>
      </c>
      <c r="C22" s="9" t="s">
        <v>41</v>
      </c>
      <c r="D22" s="9">
        <v>412594026</v>
      </c>
      <c r="E22" s="6"/>
      <c r="F22" s="9" t="s">
        <v>44</v>
      </c>
      <c r="G22" s="9" t="s">
        <v>35</v>
      </c>
      <c r="H22" s="9">
        <v>2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2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f>SUMPRODUCT(I22:V22,$I$13:$V$13)</f>
        <v>3320</v>
      </c>
      <c r="X22" s="6">
        <f t="shared" si="2"/>
        <v>1180</v>
      </c>
      <c r="Y22" s="9" t="str">
        <f>VLOOKUP(D22,[1]PARTS!$A$1:$G$65536,7,0)</f>
        <v/>
      </c>
      <c r="Z22" s="9"/>
      <c r="AA22" s="9">
        <v>3280</v>
      </c>
      <c r="AB22" s="9">
        <v>3208</v>
      </c>
      <c r="AC22" s="9">
        <f>551.59+38.41</f>
        <v>590</v>
      </c>
      <c r="AD22" s="9"/>
      <c r="AE22" s="9"/>
      <c r="AF22" s="9"/>
      <c r="AG22" s="9"/>
      <c r="AH22" s="9"/>
      <c r="BG22" s="8">
        <f>SUM($BB22,$AI22:AI22)-SUM($BY22:BZ22)</f>
        <v>0</v>
      </c>
      <c r="BH22" s="8">
        <f>SUM($BB22,$AI22:AJ22)-SUM($BY22:CA22)</f>
        <v>0</v>
      </c>
      <c r="BI22" s="8">
        <f>SUM($BB22,$AI22:AK22)-SUM($BY22:CB22)</f>
        <v>0</v>
      </c>
      <c r="BJ22" s="8">
        <f>SUM($BB22,$AI22:AL22)-SUM($BY22:CC22)</f>
        <v>0</v>
      </c>
      <c r="BK22" s="8">
        <f>SUM($BB22,$AI22:AM22)-SUM($BY22:CD22)</f>
        <v>0</v>
      </c>
      <c r="BL22" s="8">
        <f>SUM($BB22,$AI22:AN22)-SUM($BY22:CE22)</f>
        <v>0</v>
      </c>
      <c r="BM22" s="8">
        <f>SUM($BB22,$AI22:AO22)-SUM($BY22:CF22)</f>
        <v>0</v>
      </c>
      <c r="BN22" s="8">
        <f>SUM($BB22,$AI22:AP22)-SUM($BY22:CG22)</f>
        <v>-200</v>
      </c>
      <c r="BO22" s="8">
        <f>SUM($BB22,$AI22:AQ22)-SUM($BY22:CH22)</f>
        <v>-500</v>
      </c>
      <c r="BP22" s="8">
        <f>SUM($BB22,$AI22:AR22)-SUM($BY22:CI22)</f>
        <v>-1000</v>
      </c>
      <c r="BQ22" s="8">
        <f>SUM($BB22,$AI22:AS22)-SUM($BY22:CJ22)</f>
        <v>-1400</v>
      </c>
      <c r="BR22" s="8">
        <f>SUM($BB22,$AI22:AT22)-SUM($BY22:CK22)</f>
        <v>-1800</v>
      </c>
      <c r="BS22" s="8">
        <f>SUM($BB22,$AI22:AU22)-SUM($BY22:CL22)</f>
        <v>-2200</v>
      </c>
      <c r="BT22" s="8">
        <f>SUM($BB22,$AI22:AV22)-SUM($BY22:CM22)</f>
        <v>-2800</v>
      </c>
      <c r="BU22" s="8">
        <f>SUM($BB22,$AI22:AW22)-SUM($BY22:CN22)</f>
        <v>-3320</v>
      </c>
      <c r="BV22" s="8">
        <f>SUM($BB22,$AI22:AX22)-SUM($BY22:CO22)</f>
        <v>-3320</v>
      </c>
      <c r="BW22" s="8">
        <f>SUM($BB22,$AI22:AY22)-SUM($BY22:CP22)</f>
        <v>-3320</v>
      </c>
      <c r="BX22" s="8">
        <f>SUM($BB22,$AI22:AZ22)-SUM($BY22:CQ22)</f>
        <v>-3320</v>
      </c>
      <c r="BY22" s="8" cm="1">
        <f t="array" ref="BY22">SUMPRODUCT(TRANSPOSE(BY$2:BY$15),$I22:$V22)</f>
        <v>0</v>
      </c>
      <c r="BZ22" s="8" cm="1">
        <f t="array" ref="BZ22">SUMPRODUCT(TRANSPOSE(BZ$2:BZ$15),$I22:$V22)</f>
        <v>0</v>
      </c>
      <c r="CA22" s="8" cm="1">
        <f t="array" ref="CA22">SUMPRODUCT(TRANSPOSE(CA$2:CA$15),$I22:$V22)</f>
        <v>0</v>
      </c>
      <c r="CB22" s="8" cm="1">
        <f t="array" ref="CB22">SUMPRODUCT(TRANSPOSE(CB$2:CB$15),$I22:$V22)</f>
        <v>0</v>
      </c>
      <c r="CC22" s="8" cm="1">
        <f t="array" ref="CC22">SUMPRODUCT(TRANSPOSE(CC$2:CC$15),$I22:$V22)</f>
        <v>0</v>
      </c>
      <c r="CD22" s="8" cm="1">
        <f t="array" ref="CD22">SUMPRODUCT(TRANSPOSE(CD$2:CD$15),$I22:$V22)</f>
        <v>0</v>
      </c>
      <c r="CE22" s="8" cm="1">
        <f t="array" ref="CE22">SUMPRODUCT(TRANSPOSE(CE$2:CE$15),$I22:$V22)</f>
        <v>0</v>
      </c>
      <c r="CF22" s="8" cm="1">
        <f t="array" ref="CF22">SUMPRODUCT(TRANSPOSE(CF$2:CF$15),$I22:$V22)</f>
        <v>0</v>
      </c>
      <c r="CG22" s="8" cm="1">
        <f t="array" ref="CG22">SUMPRODUCT(TRANSPOSE(CG$2:CG$15),$I22:$V22)</f>
        <v>200</v>
      </c>
      <c r="CH22" s="8" cm="1">
        <f t="array" ref="CH22">SUMPRODUCT(TRANSPOSE(CH$2:CH$15),$I22:$V22)</f>
        <v>300</v>
      </c>
      <c r="CI22" s="8" cm="1">
        <f t="array" ref="CI22">SUMPRODUCT(TRANSPOSE(CI$2:CI$15),$I22:$V22)</f>
        <v>500</v>
      </c>
      <c r="CJ22" s="8" cm="1">
        <f t="array" ref="CJ22">SUMPRODUCT(TRANSPOSE(CJ$2:CJ$15),$I22:$V22)</f>
        <v>400</v>
      </c>
      <c r="CK22" s="8" cm="1">
        <f t="array" ref="CK22">SUMPRODUCT(TRANSPOSE(CK$2:CK$15),$I22:$V22)</f>
        <v>400</v>
      </c>
      <c r="CL22" s="8" cm="1">
        <f t="array" ref="CL22">SUMPRODUCT(TRANSPOSE(CL$2:CL$15),$I22:$V22)</f>
        <v>400</v>
      </c>
      <c r="CM22" s="8" cm="1">
        <f t="array" ref="CM22">SUMPRODUCT(TRANSPOSE(CM$2:CM$15),$I22:$V22)</f>
        <v>600</v>
      </c>
      <c r="CN22" s="8" cm="1">
        <f t="array" ref="CN22">SUMPRODUCT(TRANSPOSE(CN$2:CN$15),$I22:$V22)</f>
        <v>520</v>
      </c>
      <c r="CO22" s="8" cm="1">
        <f t="array" ref="CO22">SUMPRODUCT(TRANSPOSE(CO$2:CO$15),$I22:$V22)</f>
        <v>0</v>
      </c>
      <c r="CP22" s="8" cm="1">
        <f t="array" ref="CP22">SUMPRODUCT(TRANSPOSE(CP$2:CP$15),$I22:$V22)</f>
        <v>0</v>
      </c>
      <c r="CQ22" s="8" cm="1">
        <f t="array" ref="CQ22">SUMPRODUCT(TRANSPOSE(CQ$2:CQ$15),$I22:$V22)</f>
        <v>0</v>
      </c>
    </row>
    <row r="23" spans="1:95" x14ac:dyDescent="0.25">
      <c r="A23" s="1">
        <v>47</v>
      </c>
      <c r="B23" s="11" t="s">
        <v>45</v>
      </c>
      <c r="C23" s="1" t="s">
        <v>41</v>
      </c>
      <c r="D23" s="1">
        <v>414338971</v>
      </c>
      <c r="E23" s="6"/>
      <c r="F23" s="1" t="s">
        <v>46</v>
      </c>
      <c r="G23" s="1" t="s">
        <v>35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1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f>SUMPRODUCT(I23:V23,$I$13:$V$13)</f>
        <v>1660</v>
      </c>
      <c r="X23" s="6">
        <f t="shared" si="2"/>
        <v>200</v>
      </c>
      <c r="Y23" s="1" t="str">
        <f>VLOOKUP(D23,[1]PARTS!$A$1:$G$65536,7,0)</f>
        <v/>
      </c>
      <c r="Z23" s="1">
        <v>1</v>
      </c>
      <c r="AA23" s="1">
        <v>1640</v>
      </c>
      <c r="AB23" s="1">
        <f>CEILING(W23,Z23)</f>
        <v>1660</v>
      </c>
      <c r="AC23" s="1">
        <v>200</v>
      </c>
      <c r="AD23" s="1" t="s">
        <v>47</v>
      </c>
      <c r="AE23" s="1" t="s">
        <v>47</v>
      </c>
      <c r="AF23" s="1" t="s">
        <v>47</v>
      </c>
      <c r="AG23" s="1" t="s">
        <v>47</v>
      </c>
      <c r="AH23" s="1" t="s">
        <v>47</v>
      </c>
      <c r="BG23" s="8">
        <f>SUM($BB23,$AI23:AI23)-SUM($BY23:BZ23)</f>
        <v>0</v>
      </c>
      <c r="BH23" s="8">
        <f>SUM($BB23,$AI23:AJ23)-SUM($BY23:CA23)</f>
        <v>0</v>
      </c>
      <c r="BI23" s="8">
        <f>SUM($BB23,$AI23:AK23)-SUM($BY23:CB23)</f>
        <v>0</v>
      </c>
      <c r="BJ23" s="8">
        <f>SUM($BB23,$AI23:AL23)-SUM($BY23:CC23)</f>
        <v>0</v>
      </c>
      <c r="BK23" s="8">
        <f>SUM($BB23,$AI23:AM23)-SUM($BY23:CD23)</f>
        <v>0</v>
      </c>
      <c r="BL23" s="8">
        <f>SUM($BB23,$AI23:AN23)-SUM($BY23:CE23)</f>
        <v>0</v>
      </c>
      <c r="BM23" s="8">
        <f>SUM($BB23,$AI23:AO23)-SUM($BY23:CF23)</f>
        <v>0</v>
      </c>
      <c r="BN23" s="8">
        <f>SUM($BB23,$AI23:AP23)-SUM($BY23:CG23)</f>
        <v>-100</v>
      </c>
      <c r="BO23" s="8">
        <f>SUM($BB23,$AI23:AQ23)-SUM($BY23:CH23)</f>
        <v>-250</v>
      </c>
      <c r="BP23" s="8">
        <f>SUM($BB23,$AI23:AR23)-SUM($BY23:CI23)</f>
        <v>-500</v>
      </c>
      <c r="BQ23" s="8">
        <f>SUM($BB23,$AI23:AS23)-SUM($BY23:CJ23)</f>
        <v>-700</v>
      </c>
      <c r="BR23" s="8">
        <f>SUM($BB23,$AI23:AT23)-SUM($BY23:CK23)</f>
        <v>-900</v>
      </c>
      <c r="BS23" s="8">
        <f>SUM($BB23,$AI23:AU23)-SUM($BY23:CL23)</f>
        <v>-1100</v>
      </c>
      <c r="BT23" s="8">
        <f>SUM($BB23,$AI23:AV23)-SUM($BY23:CM23)</f>
        <v>-1400</v>
      </c>
      <c r="BU23" s="8">
        <f>SUM($BB23,$AI23:AW23)-SUM($BY23:CN23)</f>
        <v>-1660</v>
      </c>
      <c r="BV23" s="8">
        <f>SUM($BB23,$AI23:AX23)-SUM($BY23:CO23)</f>
        <v>-1660</v>
      </c>
      <c r="BW23" s="8">
        <f>SUM($BB23,$AI23:AY23)-SUM($BY23:CP23)</f>
        <v>-1660</v>
      </c>
      <c r="BX23" s="8">
        <f>SUM($BB23,$AI23:AZ23)-SUM($BY23:CQ23)</f>
        <v>-1660</v>
      </c>
      <c r="BY23" s="8" cm="1">
        <f t="array" ref="BY23">SUMPRODUCT(TRANSPOSE(BY$2:BY$15),$I23:$V23)</f>
        <v>0</v>
      </c>
      <c r="BZ23" s="8" cm="1">
        <f t="array" ref="BZ23">SUMPRODUCT(TRANSPOSE(BZ$2:BZ$15),$I23:$V23)</f>
        <v>0</v>
      </c>
      <c r="CA23" s="8" cm="1">
        <f t="array" ref="CA23">SUMPRODUCT(TRANSPOSE(CA$2:CA$15),$I23:$V23)</f>
        <v>0</v>
      </c>
      <c r="CB23" s="8" cm="1">
        <f t="array" ref="CB23">SUMPRODUCT(TRANSPOSE(CB$2:CB$15),$I23:$V23)</f>
        <v>0</v>
      </c>
      <c r="CC23" s="8" cm="1">
        <f t="array" ref="CC23">SUMPRODUCT(TRANSPOSE(CC$2:CC$15),$I23:$V23)</f>
        <v>0</v>
      </c>
      <c r="CD23" s="8" cm="1">
        <f t="array" ref="CD23">SUMPRODUCT(TRANSPOSE(CD$2:CD$15),$I23:$V23)</f>
        <v>0</v>
      </c>
      <c r="CE23" s="8" cm="1">
        <f t="array" ref="CE23">SUMPRODUCT(TRANSPOSE(CE$2:CE$15),$I23:$V23)</f>
        <v>0</v>
      </c>
      <c r="CF23" s="8" cm="1">
        <f t="array" ref="CF23">SUMPRODUCT(TRANSPOSE(CF$2:CF$15),$I23:$V23)</f>
        <v>0</v>
      </c>
      <c r="CG23" s="8" cm="1">
        <f t="array" ref="CG23">SUMPRODUCT(TRANSPOSE(CG$2:CG$15),$I23:$V23)</f>
        <v>100</v>
      </c>
      <c r="CH23" s="8" cm="1">
        <f t="array" ref="CH23">SUMPRODUCT(TRANSPOSE(CH$2:CH$15),$I23:$V23)</f>
        <v>150</v>
      </c>
      <c r="CI23" s="8" cm="1">
        <f t="array" ref="CI23">SUMPRODUCT(TRANSPOSE(CI$2:CI$15),$I23:$V23)</f>
        <v>250</v>
      </c>
      <c r="CJ23" s="8" cm="1">
        <f t="array" ref="CJ23">SUMPRODUCT(TRANSPOSE(CJ$2:CJ$15),$I23:$V23)</f>
        <v>200</v>
      </c>
      <c r="CK23" s="8" cm="1">
        <f t="array" ref="CK23">SUMPRODUCT(TRANSPOSE(CK$2:CK$15),$I23:$V23)</f>
        <v>200</v>
      </c>
      <c r="CL23" s="8" cm="1">
        <f t="array" ref="CL23">SUMPRODUCT(TRANSPOSE(CL$2:CL$15),$I23:$V23)</f>
        <v>200</v>
      </c>
      <c r="CM23" s="8" cm="1">
        <f t="array" ref="CM23">SUMPRODUCT(TRANSPOSE(CM$2:CM$15),$I23:$V23)</f>
        <v>300</v>
      </c>
      <c r="CN23" s="8" cm="1">
        <f t="array" ref="CN23">SUMPRODUCT(TRANSPOSE(CN$2:CN$15),$I23:$V23)</f>
        <v>260</v>
      </c>
      <c r="CO23" s="8" cm="1">
        <f t="array" ref="CO23">SUMPRODUCT(TRANSPOSE(CO$2:CO$15),$I23:$V23)</f>
        <v>0</v>
      </c>
      <c r="CP23" s="8" cm="1">
        <f t="array" ref="CP23">SUMPRODUCT(TRANSPOSE(CP$2:CP$15),$I23:$V23)</f>
        <v>0</v>
      </c>
      <c r="CQ23" s="8" cm="1">
        <f t="array" ref="CQ23">SUMPRODUCT(TRANSPOSE(CQ$2:CQ$15),$I23:$V23)</f>
        <v>0</v>
      </c>
    </row>
    <row r="24" spans="1:95" x14ac:dyDescent="0.25">
      <c r="A24" s="1">
        <v>137</v>
      </c>
      <c r="B24" s="11" t="s">
        <v>48</v>
      </c>
      <c r="C24" s="1" t="s">
        <v>49</v>
      </c>
      <c r="D24" s="1">
        <v>402803473</v>
      </c>
      <c r="E24" s="6"/>
      <c r="F24" s="1" t="s">
        <v>50</v>
      </c>
      <c r="G24" s="1" t="s">
        <v>35</v>
      </c>
      <c r="H24" s="1">
        <v>2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2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f>SUMPRODUCT(I24:V24,$I$13:$V$13)</f>
        <v>3320</v>
      </c>
      <c r="X24" s="6">
        <f t="shared" si="2"/>
        <v>428</v>
      </c>
      <c r="Y24" s="1" t="str">
        <f>VLOOKUP(D24,[1]PARTS!$A$1:$G$65536,7,0)</f>
        <v>Wolfspeed</v>
      </c>
      <c r="Z24" s="1">
        <v>50</v>
      </c>
      <c r="AA24" s="1">
        <v>3280</v>
      </c>
      <c r="AB24" s="1">
        <f>CEILING(W24,Z24)</f>
        <v>3350</v>
      </c>
      <c r="AC24" s="1">
        <v>214</v>
      </c>
      <c r="AD24" s="1" t="s">
        <v>51</v>
      </c>
      <c r="AE24" s="1" t="s">
        <v>52</v>
      </c>
      <c r="AF24" s="12" t="s">
        <v>53</v>
      </c>
      <c r="AG24" s="1" t="s">
        <v>54</v>
      </c>
      <c r="BG24" s="8">
        <f>SUM($BB24,$AI24:AI24)-SUM($BY24:BZ24)</f>
        <v>0</v>
      </c>
      <c r="BH24" s="8">
        <f>SUM($BB24,$AI24:AJ24)-SUM($BY24:CA24)</f>
        <v>0</v>
      </c>
      <c r="BI24" s="8">
        <f>SUM($BB24,$AI24:AK24)-SUM($BY24:CB24)</f>
        <v>0</v>
      </c>
      <c r="BJ24" s="8">
        <f>SUM($BB24,$AI24:AL24)-SUM($BY24:CC24)</f>
        <v>0</v>
      </c>
      <c r="BK24" s="8">
        <f>SUM($BB24,$AI24:AM24)-SUM($BY24:CD24)</f>
        <v>0</v>
      </c>
      <c r="BL24" s="8">
        <f>SUM($BB24,$AI24:AN24)-SUM($BY24:CE24)</f>
        <v>0</v>
      </c>
      <c r="BM24" s="8">
        <f>SUM($BB24,$AI24:AO24)-SUM($BY24:CF24)</f>
        <v>0</v>
      </c>
      <c r="BN24" s="8">
        <f>SUM($BB24,$AI24:AP24)-SUM($BY24:CG24)</f>
        <v>0</v>
      </c>
      <c r="BO24" s="8">
        <f>SUM($BB24,$AI24:AQ24)-SUM($BY24:CH24)</f>
        <v>-200</v>
      </c>
      <c r="BP24" s="8">
        <f>SUM($BB24,$AI24:AR24)-SUM($BY24:CI24)</f>
        <v>-500</v>
      </c>
      <c r="BQ24" s="8">
        <f>SUM($BB24,$AI24:AS24)-SUM($BY24:CJ24)</f>
        <v>-1000</v>
      </c>
      <c r="BR24" s="8">
        <f>SUM($BB24,$AI24:AT24)-SUM($BY24:CK24)</f>
        <v>-1400</v>
      </c>
      <c r="BS24" s="8">
        <f>SUM($BB24,$AI24:AU24)-SUM($BY24:CL24)</f>
        <v>-1800</v>
      </c>
      <c r="BT24" s="8">
        <f>SUM($BB24,$AI24:AV24)-SUM($BY24:CM24)</f>
        <v>-2200</v>
      </c>
      <c r="BU24" s="8">
        <f>SUM($BB24,$AI24:AW24)-SUM($BY24:CN24)</f>
        <v>-2800</v>
      </c>
      <c r="BV24" s="8">
        <f>SUM($BB24,$AI24:AX24)-SUM($BY24:CO24)</f>
        <v>-3320</v>
      </c>
      <c r="BW24" s="8">
        <f>SUM($BB24,$AI24:AY24)-SUM($BY24:CP24)</f>
        <v>-3320</v>
      </c>
      <c r="BX24" s="8">
        <f>SUM($BB24,$AI24:AZ24)-SUM($BY24:CQ24)</f>
        <v>-3320</v>
      </c>
      <c r="BY24" s="8" cm="1">
        <f t="array" ref="BY24">SUMPRODUCT(TRANSPOSE(BY$2:BY$15),$I24:$V24)</f>
        <v>0</v>
      </c>
      <c r="BZ24" s="8" cm="1">
        <f t="array" ref="BZ24">SUMPRODUCT(TRANSPOSE(BZ$2:BZ$15),$I24:$V24)</f>
        <v>0</v>
      </c>
      <c r="CA24" s="8" cm="1">
        <f t="array" ref="CA24">SUMPRODUCT(TRANSPOSE(CA$2:CA$15),$I24:$V24)</f>
        <v>0</v>
      </c>
      <c r="CB24" s="8" cm="1">
        <f t="array" ref="CB24">SUMPRODUCT(TRANSPOSE(CB$2:CB$15),$I24:$V24)</f>
        <v>0</v>
      </c>
      <c r="CC24" s="8" cm="1">
        <f t="array" ref="CC24">SUMPRODUCT(TRANSPOSE(CC$2:CC$15),$I24:$V24)</f>
        <v>0</v>
      </c>
      <c r="CD24" s="8" cm="1">
        <f t="array" ref="CD24">SUMPRODUCT(TRANSPOSE(CD$2:CD$15),$I24:$V24)</f>
        <v>0</v>
      </c>
      <c r="CE24" s="8" cm="1">
        <f t="array" ref="CE24">SUMPRODUCT(TRANSPOSE(CE$2:CE$15),$I24:$V24)</f>
        <v>0</v>
      </c>
      <c r="CF24" s="8" cm="1">
        <f t="array" ref="CF24">SUMPRODUCT(TRANSPOSE(CF$2:CF$15),$I24:$V24)</f>
        <v>0</v>
      </c>
      <c r="CG24" s="8" cm="1">
        <f t="array" ref="CG24">SUMPRODUCT(TRANSPOSE(CG$2:CG$15),$I24:$V24)</f>
        <v>0</v>
      </c>
      <c r="CH24" s="8" cm="1">
        <f t="array" ref="CH24">SUMPRODUCT(TRANSPOSE(CH$2:CH$15),$I24:$V24)</f>
        <v>200</v>
      </c>
      <c r="CI24" s="8" cm="1">
        <f t="array" ref="CI24">SUMPRODUCT(TRANSPOSE(CI$2:CI$15),$I24:$V24)</f>
        <v>300</v>
      </c>
      <c r="CJ24" s="8" cm="1">
        <f t="array" ref="CJ24">SUMPRODUCT(TRANSPOSE(CJ$2:CJ$15),$I24:$V24)</f>
        <v>500</v>
      </c>
      <c r="CK24" s="8" cm="1">
        <f t="array" ref="CK24">SUMPRODUCT(TRANSPOSE(CK$2:CK$15),$I24:$V24)</f>
        <v>400</v>
      </c>
      <c r="CL24" s="8" cm="1">
        <f t="array" ref="CL24">SUMPRODUCT(TRANSPOSE(CL$2:CL$15),$I24:$V24)</f>
        <v>400</v>
      </c>
      <c r="CM24" s="8" cm="1">
        <f t="array" ref="CM24">SUMPRODUCT(TRANSPOSE(CM$2:CM$15),$I24:$V24)</f>
        <v>400</v>
      </c>
      <c r="CN24" s="8" cm="1">
        <f t="array" ref="CN24">SUMPRODUCT(TRANSPOSE(CN$2:CN$15),$I24:$V24)</f>
        <v>600</v>
      </c>
      <c r="CO24" s="8" cm="1">
        <f t="array" ref="CO24">SUMPRODUCT(TRANSPOSE(CO$2:CO$15),$I24:$V24)</f>
        <v>520</v>
      </c>
      <c r="CP24" s="8" cm="1">
        <f t="array" ref="CP24">SUMPRODUCT(TRANSPOSE(CP$2:CP$15),$I24:$V24)</f>
        <v>0</v>
      </c>
      <c r="CQ24" s="8" cm="1">
        <f t="array" ref="CQ24">SUMPRODUCT(TRANSPOSE(CQ$2:CQ$15),$I24:$V24)</f>
        <v>0</v>
      </c>
    </row>
    <row r="25" spans="1:95" s="13" customFormat="1" x14ac:dyDescent="0.25">
      <c r="A25" s="9">
        <v>70</v>
      </c>
      <c r="B25" s="10" t="s">
        <v>55</v>
      </c>
      <c r="C25" s="9" t="s">
        <v>41</v>
      </c>
      <c r="D25" s="9">
        <v>412779594</v>
      </c>
      <c r="E25" s="6"/>
      <c r="F25" s="9" t="s">
        <v>56</v>
      </c>
      <c r="G25" s="9" t="s">
        <v>35</v>
      </c>
      <c r="H25" s="9">
        <v>2</v>
      </c>
      <c r="I25" s="9">
        <v>0</v>
      </c>
      <c r="J25" s="9">
        <v>0</v>
      </c>
      <c r="K25" s="9">
        <v>0</v>
      </c>
      <c r="L25" s="9">
        <v>2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f>SUMPRODUCT(I25:V25,$I$13:$V$13)</f>
        <v>3100</v>
      </c>
      <c r="X25" s="6">
        <f t="shared" si="2"/>
        <v>654</v>
      </c>
      <c r="Y25" s="9" t="str">
        <f>VLOOKUP(D25,[1]PARTS!$A$1:$G$65536,7,0)</f>
        <v/>
      </c>
      <c r="Z25" s="9"/>
      <c r="AA25" s="9">
        <v>3060</v>
      </c>
      <c r="AB25" s="9">
        <v>3060</v>
      </c>
      <c r="AC25" s="9">
        <f>310+17</f>
        <v>327</v>
      </c>
      <c r="AD25" s="9"/>
      <c r="AE25" s="9"/>
      <c r="AF25" s="9"/>
      <c r="AG25" s="9"/>
      <c r="AH25" s="9"/>
      <c r="BG25" s="8">
        <f>SUM($BB25,$AI25:AI25)-SUM($BY25:BZ25)</f>
        <v>0</v>
      </c>
      <c r="BH25" s="8">
        <f>SUM($BB25,$AI25:AJ25)-SUM($BY25:CA25)</f>
        <v>0</v>
      </c>
      <c r="BI25" s="8">
        <f>SUM($BB25,$AI25:AK25)-SUM($BY25:CB25)</f>
        <v>0</v>
      </c>
      <c r="BJ25" s="8">
        <f>SUM($BB25,$AI25:AL25)-SUM($BY25:CC25)</f>
        <v>0</v>
      </c>
      <c r="BK25" s="8">
        <f>SUM($BB25,$AI25:AM25)-SUM($BY25:CD25)</f>
        <v>0</v>
      </c>
      <c r="BL25" s="8">
        <f>SUM($BB25,$AI25:AN25)-SUM($BY25:CE25)</f>
        <v>0</v>
      </c>
      <c r="BM25" s="8">
        <f>SUM($BB25,$AI25:AO25)-SUM($BY25:CF25)</f>
        <v>0</v>
      </c>
      <c r="BN25" s="8">
        <f>SUM($BB25,$AI25:AP25)-SUM($BY25:CG25)</f>
        <v>-200</v>
      </c>
      <c r="BO25" s="8">
        <f>SUM($BB25,$AI25:AQ25)-SUM($BY25:CH25)</f>
        <v>-500</v>
      </c>
      <c r="BP25" s="8">
        <f>SUM($BB25,$AI25:AR25)-SUM($BY25:CI25)</f>
        <v>-1000</v>
      </c>
      <c r="BQ25" s="8">
        <f>SUM($BB25,$AI25:AS25)-SUM($BY25:CJ25)</f>
        <v>-1440</v>
      </c>
      <c r="BR25" s="8">
        <f>SUM($BB25,$AI25:AT25)-SUM($BY25:CK25)</f>
        <v>-1840</v>
      </c>
      <c r="BS25" s="8">
        <f>SUM($BB25,$AI25:AU25)-SUM($BY25:CL25)</f>
        <v>-2140</v>
      </c>
      <c r="BT25" s="8">
        <f>SUM($BB25,$AI25:AV25)-SUM($BY25:CM25)</f>
        <v>-2620</v>
      </c>
      <c r="BU25" s="8">
        <f>SUM($BB25,$AI25:AW25)-SUM($BY25:CN25)</f>
        <v>-3100</v>
      </c>
      <c r="BV25" s="8">
        <f>SUM($BB25,$AI25:AX25)-SUM($BY25:CO25)</f>
        <v>-3100</v>
      </c>
      <c r="BW25" s="8">
        <f>SUM($BB25,$AI25:AY25)-SUM($BY25:CP25)</f>
        <v>-3100</v>
      </c>
      <c r="BX25" s="8">
        <f>SUM($BB25,$AI25:AZ25)-SUM($BY25:CQ25)</f>
        <v>-3100</v>
      </c>
      <c r="BY25" s="8" cm="1">
        <f t="array" ref="BY25">SUMPRODUCT(TRANSPOSE(BY$2:BY$15),$I25:$V25)</f>
        <v>0</v>
      </c>
      <c r="BZ25" s="8" cm="1">
        <f t="array" ref="BZ25">SUMPRODUCT(TRANSPOSE(BZ$2:BZ$15),$I25:$V25)</f>
        <v>0</v>
      </c>
      <c r="CA25" s="8" cm="1">
        <f t="array" ref="CA25">SUMPRODUCT(TRANSPOSE(CA$2:CA$15),$I25:$V25)</f>
        <v>0</v>
      </c>
      <c r="CB25" s="8" cm="1">
        <f t="array" ref="CB25">SUMPRODUCT(TRANSPOSE(CB$2:CB$15),$I25:$V25)</f>
        <v>0</v>
      </c>
      <c r="CC25" s="8" cm="1">
        <f t="array" ref="CC25">SUMPRODUCT(TRANSPOSE(CC$2:CC$15),$I25:$V25)</f>
        <v>0</v>
      </c>
      <c r="CD25" s="8" cm="1">
        <f t="array" ref="CD25">SUMPRODUCT(TRANSPOSE(CD$2:CD$15),$I25:$V25)</f>
        <v>0</v>
      </c>
      <c r="CE25" s="8" cm="1">
        <f t="array" ref="CE25">SUMPRODUCT(TRANSPOSE(CE$2:CE$15),$I25:$V25)</f>
        <v>0</v>
      </c>
      <c r="CF25" s="8" cm="1">
        <f t="array" ref="CF25">SUMPRODUCT(TRANSPOSE(CF$2:CF$15),$I25:$V25)</f>
        <v>0</v>
      </c>
      <c r="CG25" s="8" cm="1">
        <f t="array" ref="CG25">SUMPRODUCT(TRANSPOSE(CG$2:CG$15),$I25:$V25)</f>
        <v>200</v>
      </c>
      <c r="CH25" s="8" cm="1">
        <f t="array" ref="CH25">SUMPRODUCT(TRANSPOSE(CH$2:CH$15),$I25:$V25)</f>
        <v>300</v>
      </c>
      <c r="CI25" s="8" cm="1">
        <f t="array" ref="CI25">SUMPRODUCT(TRANSPOSE(CI$2:CI$15),$I25:$V25)</f>
        <v>500</v>
      </c>
      <c r="CJ25" s="8" cm="1">
        <f t="array" ref="CJ25">SUMPRODUCT(TRANSPOSE(CJ$2:CJ$15),$I25:$V25)</f>
        <v>440</v>
      </c>
      <c r="CK25" s="8" cm="1">
        <f t="array" ref="CK25">SUMPRODUCT(TRANSPOSE(CK$2:CK$15),$I25:$V25)</f>
        <v>400</v>
      </c>
      <c r="CL25" s="8" cm="1">
        <f t="array" ref="CL25">SUMPRODUCT(TRANSPOSE(CL$2:CL$15),$I25:$V25)</f>
        <v>300</v>
      </c>
      <c r="CM25" s="8" cm="1">
        <f t="array" ref="CM25">SUMPRODUCT(TRANSPOSE(CM$2:CM$15),$I25:$V25)</f>
        <v>480</v>
      </c>
      <c r="CN25" s="8" cm="1">
        <f t="array" ref="CN25">SUMPRODUCT(TRANSPOSE(CN$2:CN$15),$I25:$V25)</f>
        <v>480</v>
      </c>
      <c r="CO25" s="8" cm="1">
        <f t="array" ref="CO25">SUMPRODUCT(TRANSPOSE(CO$2:CO$15),$I25:$V25)</f>
        <v>0</v>
      </c>
      <c r="CP25" s="8" cm="1">
        <f t="array" ref="CP25">SUMPRODUCT(TRANSPOSE(CP$2:CP$15),$I25:$V25)</f>
        <v>0</v>
      </c>
      <c r="CQ25" s="8" cm="1">
        <f t="array" ref="CQ25">SUMPRODUCT(TRANSPOSE(CQ$2:CQ$15),$I25:$V25)</f>
        <v>0</v>
      </c>
    </row>
    <row r="26" spans="1:95" x14ac:dyDescent="0.25">
      <c r="A26" s="9">
        <v>72</v>
      </c>
      <c r="B26" s="10" t="s">
        <v>57</v>
      </c>
      <c r="C26" s="9" t="s">
        <v>41</v>
      </c>
      <c r="D26" s="9">
        <v>412779595</v>
      </c>
      <c r="E26" s="6"/>
      <c r="F26" s="9" t="s">
        <v>58</v>
      </c>
      <c r="G26" s="9" t="s">
        <v>35</v>
      </c>
      <c r="H26" s="9">
        <v>2</v>
      </c>
      <c r="I26" s="9">
        <v>0</v>
      </c>
      <c r="J26" s="9">
        <v>0</v>
      </c>
      <c r="K26" s="9">
        <v>0</v>
      </c>
      <c r="L26" s="9">
        <v>2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f>SUMPRODUCT(I26:V26,$I$13:$V$13)</f>
        <v>3100</v>
      </c>
      <c r="X26" s="6">
        <f t="shared" si="2"/>
        <v>626</v>
      </c>
      <c r="Y26" s="9" t="str">
        <f>VLOOKUP(D26,[1]PARTS!$A$1:$G$65536,7,0)</f>
        <v/>
      </c>
      <c r="Z26" s="9"/>
      <c r="AA26" s="9">
        <v>3060</v>
      </c>
      <c r="AB26" s="9">
        <v>3060</v>
      </c>
      <c r="AC26" s="9">
        <f>296+17</f>
        <v>313</v>
      </c>
      <c r="AD26" s="9"/>
      <c r="AE26" s="9"/>
      <c r="AF26" s="9"/>
      <c r="AG26" s="9"/>
      <c r="AH26" s="9"/>
      <c r="BG26" s="8">
        <f>SUM($BB26,$AI26:AI26)-SUM($BY26:BZ26)</f>
        <v>0</v>
      </c>
      <c r="BH26" s="8">
        <f>SUM($BB26,$AI26:AJ26)-SUM($BY26:CA26)</f>
        <v>0</v>
      </c>
      <c r="BI26" s="8">
        <f>SUM($BB26,$AI26:AK26)-SUM($BY26:CB26)</f>
        <v>0</v>
      </c>
      <c r="BJ26" s="8">
        <f>SUM($BB26,$AI26:AL26)-SUM($BY26:CC26)</f>
        <v>0</v>
      </c>
      <c r="BK26" s="8">
        <f>SUM($BB26,$AI26:AM26)-SUM($BY26:CD26)</f>
        <v>0</v>
      </c>
      <c r="BL26" s="8">
        <f>SUM($BB26,$AI26:AN26)-SUM($BY26:CE26)</f>
        <v>0</v>
      </c>
      <c r="BM26" s="8">
        <f>SUM($BB26,$AI26:AO26)-SUM($BY26:CF26)</f>
        <v>0</v>
      </c>
      <c r="BN26" s="8">
        <f>SUM($BB26,$AI26:AP26)-SUM($BY26:CG26)</f>
        <v>-200</v>
      </c>
      <c r="BO26" s="8">
        <f>SUM($BB26,$AI26:AQ26)-SUM($BY26:CH26)</f>
        <v>-500</v>
      </c>
      <c r="BP26" s="8">
        <f>SUM($BB26,$AI26:AR26)-SUM($BY26:CI26)</f>
        <v>-1000</v>
      </c>
      <c r="BQ26" s="8">
        <f>SUM($BB26,$AI26:AS26)-SUM($BY26:CJ26)</f>
        <v>-1440</v>
      </c>
      <c r="BR26" s="8">
        <f>SUM($BB26,$AI26:AT26)-SUM($BY26:CK26)</f>
        <v>-1840</v>
      </c>
      <c r="BS26" s="8">
        <f>SUM($BB26,$AI26:AU26)-SUM($BY26:CL26)</f>
        <v>-2140</v>
      </c>
      <c r="BT26" s="8">
        <f>SUM($BB26,$AI26:AV26)-SUM($BY26:CM26)</f>
        <v>-2620</v>
      </c>
      <c r="BU26" s="8">
        <f>SUM($BB26,$AI26:AW26)-SUM($BY26:CN26)</f>
        <v>-3100</v>
      </c>
      <c r="BV26" s="8">
        <f>SUM($BB26,$AI26:AX26)-SUM($BY26:CO26)</f>
        <v>-3100</v>
      </c>
      <c r="BW26" s="8">
        <f>SUM($BB26,$AI26:AY26)-SUM($BY26:CP26)</f>
        <v>-3100</v>
      </c>
      <c r="BX26" s="8">
        <f>SUM($BB26,$AI26:AZ26)-SUM($BY26:CQ26)</f>
        <v>-3100</v>
      </c>
      <c r="BY26" s="8" cm="1">
        <f t="array" ref="BY26">SUMPRODUCT(TRANSPOSE(BY$2:BY$15),$I26:$V26)</f>
        <v>0</v>
      </c>
      <c r="BZ26" s="8" cm="1">
        <f t="array" ref="BZ26">SUMPRODUCT(TRANSPOSE(BZ$2:BZ$15),$I26:$V26)</f>
        <v>0</v>
      </c>
      <c r="CA26" s="8" cm="1">
        <f t="array" ref="CA26">SUMPRODUCT(TRANSPOSE(CA$2:CA$15),$I26:$V26)</f>
        <v>0</v>
      </c>
      <c r="CB26" s="8" cm="1">
        <f t="array" ref="CB26">SUMPRODUCT(TRANSPOSE(CB$2:CB$15),$I26:$V26)</f>
        <v>0</v>
      </c>
      <c r="CC26" s="8" cm="1">
        <f t="array" ref="CC26">SUMPRODUCT(TRANSPOSE(CC$2:CC$15),$I26:$V26)</f>
        <v>0</v>
      </c>
      <c r="CD26" s="8" cm="1">
        <f t="array" ref="CD26">SUMPRODUCT(TRANSPOSE(CD$2:CD$15),$I26:$V26)</f>
        <v>0</v>
      </c>
      <c r="CE26" s="8" cm="1">
        <f t="array" ref="CE26">SUMPRODUCT(TRANSPOSE(CE$2:CE$15),$I26:$V26)</f>
        <v>0</v>
      </c>
      <c r="CF26" s="8" cm="1">
        <f t="array" ref="CF26">SUMPRODUCT(TRANSPOSE(CF$2:CF$15),$I26:$V26)</f>
        <v>0</v>
      </c>
      <c r="CG26" s="8" cm="1">
        <f t="array" ref="CG26">SUMPRODUCT(TRANSPOSE(CG$2:CG$15),$I26:$V26)</f>
        <v>200</v>
      </c>
      <c r="CH26" s="8" cm="1">
        <f t="array" ref="CH26">SUMPRODUCT(TRANSPOSE(CH$2:CH$15),$I26:$V26)</f>
        <v>300</v>
      </c>
      <c r="CI26" s="8" cm="1">
        <f t="array" ref="CI26">SUMPRODUCT(TRANSPOSE(CI$2:CI$15),$I26:$V26)</f>
        <v>500</v>
      </c>
      <c r="CJ26" s="8" cm="1">
        <f t="array" ref="CJ26">SUMPRODUCT(TRANSPOSE(CJ$2:CJ$15),$I26:$V26)</f>
        <v>440</v>
      </c>
      <c r="CK26" s="8" cm="1">
        <f t="array" ref="CK26">SUMPRODUCT(TRANSPOSE(CK$2:CK$15),$I26:$V26)</f>
        <v>400</v>
      </c>
      <c r="CL26" s="8" cm="1">
        <f t="array" ref="CL26">SUMPRODUCT(TRANSPOSE(CL$2:CL$15),$I26:$V26)</f>
        <v>300</v>
      </c>
      <c r="CM26" s="8" cm="1">
        <f t="array" ref="CM26">SUMPRODUCT(TRANSPOSE(CM$2:CM$15),$I26:$V26)</f>
        <v>480</v>
      </c>
      <c r="CN26" s="8" cm="1">
        <f t="array" ref="CN26">SUMPRODUCT(TRANSPOSE(CN$2:CN$15),$I26:$V26)</f>
        <v>480</v>
      </c>
      <c r="CO26" s="8" cm="1">
        <f t="array" ref="CO26">SUMPRODUCT(TRANSPOSE(CO$2:CO$15),$I26:$V26)</f>
        <v>0</v>
      </c>
      <c r="CP26" s="8" cm="1">
        <f t="array" ref="CP26">SUMPRODUCT(TRANSPOSE(CP$2:CP$15),$I26:$V26)</f>
        <v>0</v>
      </c>
      <c r="CQ26" s="8" cm="1">
        <f t="array" ref="CQ26">SUMPRODUCT(TRANSPOSE(CQ$2:CQ$15),$I26:$V26)</f>
        <v>0</v>
      </c>
    </row>
    <row r="27" spans="1:95" x14ac:dyDescent="0.25">
      <c r="A27" s="1">
        <v>225</v>
      </c>
      <c r="B27" s="11" t="s">
        <v>59</v>
      </c>
      <c r="C27" s="1" t="s">
        <v>49</v>
      </c>
      <c r="D27" s="1">
        <v>411346444</v>
      </c>
      <c r="E27" s="6"/>
      <c r="F27" s="1" t="s">
        <v>60</v>
      </c>
      <c r="G27" s="1" t="s">
        <v>35</v>
      </c>
      <c r="H27" s="1">
        <v>1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1</v>
      </c>
      <c r="U27" s="1">
        <v>0</v>
      </c>
      <c r="V27" s="1">
        <v>0</v>
      </c>
      <c r="W27" s="1">
        <f>SUMPRODUCT(I27:V27,$I$13:$V$13)</f>
        <v>1660</v>
      </c>
      <c r="X27" s="6">
        <f t="shared" si="2"/>
        <v>298</v>
      </c>
      <c r="Y27" s="1" t="str">
        <f>VLOOKUP(D27,[1]PARTS!$A$1:$G$65536,7,0)</f>
        <v>EVANS CAPACITOR COMPANY</v>
      </c>
      <c r="Z27" s="1">
        <v>1</v>
      </c>
      <c r="AA27" s="1">
        <v>1640</v>
      </c>
      <c r="AB27" s="1">
        <f>CEILING(W27,Z27)</f>
        <v>1660</v>
      </c>
      <c r="AC27" s="1">
        <f>VLOOKUP(D27,[2]pareto!$D$12:$AX$306,47,0)</f>
        <v>298</v>
      </c>
      <c r="AD27" s="1" t="s">
        <v>61</v>
      </c>
      <c r="AE27" s="1" t="s">
        <v>62</v>
      </c>
      <c r="AF27" s="12" t="s">
        <v>63</v>
      </c>
      <c r="AG27" s="1" t="s">
        <v>64</v>
      </c>
      <c r="BG27" s="8">
        <f>SUM($BB27,$AI27:AI27)-SUM($BY27:BZ27)</f>
        <v>0</v>
      </c>
      <c r="BH27" s="8">
        <f>SUM($BB27,$AI27:AJ27)-SUM($BY27:CA27)</f>
        <v>0</v>
      </c>
      <c r="BI27" s="8">
        <f>SUM($BB27,$AI27:AK27)-SUM($BY27:CB27)</f>
        <v>0</v>
      </c>
      <c r="BJ27" s="8">
        <f>SUM($BB27,$AI27:AL27)-SUM($BY27:CC27)</f>
        <v>0</v>
      </c>
      <c r="BK27" s="8">
        <f>SUM($BB27,$AI27:AM27)-SUM($BY27:CD27)</f>
        <v>0</v>
      </c>
      <c r="BL27" s="8">
        <f>SUM($BB27,$AI27:AN27)-SUM($BY27:CE27)</f>
        <v>0</v>
      </c>
      <c r="BM27" s="8">
        <f>SUM($BB27,$AI27:AO27)-SUM($BY27:CF27)</f>
        <v>0</v>
      </c>
      <c r="BN27" s="8">
        <f>SUM($BB27,$AI27:AP27)-SUM($BY27:CG27)</f>
        <v>-100</v>
      </c>
      <c r="BO27" s="8">
        <f>SUM($BB27,$AI27:AQ27)-SUM($BY27:CH27)</f>
        <v>-250</v>
      </c>
      <c r="BP27" s="8">
        <f>SUM($BB27,$AI27:AR27)-SUM($BY27:CI27)</f>
        <v>-500</v>
      </c>
      <c r="BQ27" s="8">
        <f>SUM($BB27,$AI27:AS27)-SUM($BY27:CJ27)</f>
        <v>-700</v>
      </c>
      <c r="BR27" s="8">
        <f>SUM($BB27,$AI27:AT27)-SUM($BY27:CK27)</f>
        <v>-900</v>
      </c>
      <c r="BS27" s="8">
        <f>SUM($BB27,$AI27:AU27)-SUM($BY27:CL27)</f>
        <v>-1100</v>
      </c>
      <c r="BT27" s="8">
        <f>SUM($BB27,$AI27:AV27)-SUM($BY27:CM27)</f>
        <v>-1400</v>
      </c>
      <c r="BU27" s="8">
        <f>SUM($BB27,$AI27:AW27)-SUM($BY27:CN27)</f>
        <v>-1660</v>
      </c>
      <c r="BV27" s="8">
        <f>SUM($BB27,$AI27:AX27)-SUM($BY27:CO27)</f>
        <v>-1660</v>
      </c>
      <c r="BW27" s="8">
        <f>SUM($BB27,$AI27:AY27)-SUM($BY27:CP27)</f>
        <v>-1660</v>
      </c>
      <c r="BX27" s="8">
        <f>SUM($BB27,$AI27:AZ27)-SUM($BY27:CQ27)</f>
        <v>-1660</v>
      </c>
      <c r="BY27" s="8" cm="1">
        <f t="array" ref="BY27">SUMPRODUCT(TRANSPOSE(BY$2:BY$15),$I27:$V27)</f>
        <v>0</v>
      </c>
      <c r="BZ27" s="8" cm="1">
        <f t="array" ref="BZ27">SUMPRODUCT(TRANSPOSE(BZ$2:BZ$15),$I27:$V27)</f>
        <v>0</v>
      </c>
      <c r="CA27" s="8" cm="1">
        <f t="array" ref="CA27">SUMPRODUCT(TRANSPOSE(CA$2:CA$15),$I27:$V27)</f>
        <v>0</v>
      </c>
      <c r="CB27" s="8" cm="1">
        <f t="array" ref="CB27">SUMPRODUCT(TRANSPOSE(CB$2:CB$15),$I27:$V27)</f>
        <v>0</v>
      </c>
      <c r="CC27" s="8" cm="1">
        <f t="array" ref="CC27">SUMPRODUCT(TRANSPOSE(CC$2:CC$15),$I27:$V27)</f>
        <v>0</v>
      </c>
      <c r="CD27" s="8" cm="1">
        <f t="array" ref="CD27">SUMPRODUCT(TRANSPOSE(CD$2:CD$15),$I27:$V27)</f>
        <v>0</v>
      </c>
      <c r="CE27" s="8" cm="1">
        <f t="array" ref="CE27">SUMPRODUCT(TRANSPOSE(CE$2:CE$15),$I27:$V27)</f>
        <v>0</v>
      </c>
      <c r="CF27" s="8" cm="1">
        <f t="array" ref="CF27">SUMPRODUCT(TRANSPOSE(CF$2:CF$15),$I27:$V27)</f>
        <v>0</v>
      </c>
      <c r="CG27" s="8" cm="1">
        <f t="array" ref="CG27">SUMPRODUCT(TRANSPOSE(CG$2:CG$15),$I27:$V27)</f>
        <v>100</v>
      </c>
      <c r="CH27" s="8" cm="1">
        <f t="array" ref="CH27">SUMPRODUCT(TRANSPOSE(CH$2:CH$15),$I27:$V27)</f>
        <v>150</v>
      </c>
      <c r="CI27" s="8" cm="1">
        <f t="array" ref="CI27">SUMPRODUCT(TRANSPOSE(CI$2:CI$15),$I27:$V27)</f>
        <v>250</v>
      </c>
      <c r="CJ27" s="8" cm="1">
        <f t="array" ref="CJ27">SUMPRODUCT(TRANSPOSE(CJ$2:CJ$15),$I27:$V27)</f>
        <v>200</v>
      </c>
      <c r="CK27" s="8" cm="1">
        <f t="array" ref="CK27">SUMPRODUCT(TRANSPOSE(CK$2:CK$15),$I27:$V27)</f>
        <v>200</v>
      </c>
      <c r="CL27" s="8" cm="1">
        <f t="array" ref="CL27">SUMPRODUCT(TRANSPOSE(CL$2:CL$15),$I27:$V27)</f>
        <v>200</v>
      </c>
      <c r="CM27" s="8" cm="1">
        <f t="array" ref="CM27">SUMPRODUCT(TRANSPOSE(CM$2:CM$15),$I27:$V27)</f>
        <v>300</v>
      </c>
      <c r="CN27" s="8" cm="1">
        <f t="array" ref="CN27">SUMPRODUCT(TRANSPOSE(CN$2:CN$15),$I27:$V27)</f>
        <v>260</v>
      </c>
      <c r="CO27" s="8" cm="1">
        <f t="array" ref="CO27">SUMPRODUCT(TRANSPOSE(CO$2:CO$15),$I27:$V27)</f>
        <v>0</v>
      </c>
      <c r="CP27" s="8" cm="1">
        <f t="array" ref="CP27">SUMPRODUCT(TRANSPOSE(CP$2:CP$15),$I27:$V27)</f>
        <v>0</v>
      </c>
      <c r="CQ27" s="8" cm="1">
        <f t="array" ref="CQ27">SUMPRODUCT(TRANSPOSE(CQ$2:CQ$15),$I27:$V27)</f>
        <v>0</v>
      </c>
    </row>
    <row r="28" spans="1:95" s="13" customFormat="1" x14ac:dyDescent="0.25">
      <c r="A28" s="1">
        <v>61</v>
      </c>
      <c r="B28" s="11" t="s">
        <v>65</v>
      </c>
      <c r="C28" s="1">
        <v>-1</v>
      </c>
      <c r="D28" s="1">
        <v>411235297</v>
      </c>
      <c r="E28" s="6"/>
      <c r="F28" s="1" t="s">
        <v>66</v>
      </c>
      <c r="G28" s="1" t="s">
        <v>35</v>
      </c>
      <c r="H28" s="1">
        <v>1</v>
      </c>
      <c r="I28" s="1">
        <v>0</v>
      </c>
      <c r="J28" s="1">
        <v>0</v>
      </c>
      <c r="K28" s="1">
        <v>0</v>
      </c>
      <c r="L28" s="1">
        <v>1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f>SUMPRODUCT(I28:V28,$I$13:$V$13)</f>
        <v>1550</v>
      </c>
      <c r="X28" s="6">
        <f t="shared" si="2"/>
        <v>68</v>
      </c>
      <c r="Y28" s="1" t="str">
        <f>VLOOKUP(D28,[1]PARTS!$A$1:$G$65536,7,0)</f>
        <v/>
      </c>
      <c r="Z28" s="1">
        <v>1</v>
      </c>
      <c r="AA28" s="1">
        <v>1530</v>
      </c>
      <c r="AB28" s="1">
        <f>CEILING(W28,Z28)</f>
        <v>1550</v>
      </c>
      <c r="AC28" s="1">
        <v>68</v>
      </c>
      <c r="AD28" s="1" t="s">
        <v>47</v>
      </c>
      <c r="AE28" s="1" t="s">
        <v>47</v>
      </c>
      <c r="AF28" s="1" t="s">
        <v>47</v>
      </c>
      <c r="AG28" s="1" t="s">
        <v>47</v>
      </c>
      <c r="AH28" s="1" t="s">
        <v>47</v>
      </c>
      <c r="BG28" s="8">
        <f>SUM($BB28,$AI28:AI28)-SUM($BY28:BZ28)</f>
        <v>0</v>
      </c>
      <c r="BH28" s="8">
        <f>SUM($BB28,$AI28:AJ28)-SUM($BY28:CA28)</f>
        <v>0</v>
      </c>
      <c r="BI28" s="8">
        <f>SUM($BB28,$AI28:AK28)-SUM($BY28:CB28)</f>
        <v>0</v>
      </c>
      <c r="BJ28" s="8">
        <f>SUM($BB28,$AI28:AL28)-SUM($BY28:CC28)</f>
        <v>0</v>
      </c>
      <c r="BK28" s="8">
        <f>SUM($BB28,$AI28:AM28)-SUM($BY28:CD28)</f>
        <v>0</v>
      </c>
      <c r="BL28" s="8">
        <f>SUM($BB28,$AI28:AN28)-SUM($BY28:CE28)</f>
        <v>0</v>
      </c>
      <c r="BM28" s="8">
        <f>SUM($BB28,$AI28:AO28)-SUM($BY28:CF28)</f>
        <v>0</v>
      </c>
      <c r="BN28" s="8">
        <f>SUM($BB28,$AI28:AP28)-SUM($BY28:CG28)</f>
        <v>-100</v>
      </c>
      <c r="BO28" s="8">
        <f>SUM($BB28,$AI28:AQ28)-SUM($BY28:CH28)</f>
        <v>-250</v>
      </c>
      <c r="BP28" s="8">
        <f>SUM($BB28,$AI28:AR28)-SUM($BY28:CI28)</f>
        <v>-500</v>
      </c>
      <c r="BQ28" s="8">
        <f>SUM($BB28,$AI28:AS28)-SUM($BY28:CJ28)</f>
        <v>-720</v>
      </c>
      <c r="BR28" s="8">
        <f>SUM($BB28,$AI28:AT28)-SUM($BY28:CK28)</f>
        <v>-920</v>
      </c>
      <c r="BS28" s="8">
        <f>SUM($BB28,$AI28:AU28)-SUM($BY28:CL28)</f>
        <v>-1070</v>
      </c>
      <c r="BT28" s="8">
        <f>SUM($BB28,$AI28:AV28)-SUM($BY28:CM28)</f>
        <v>-1310</v>
      </c>
      <c r="BU28" s="8">
        <f>SUM($BB28,$AI28:AW28)-SUM($BY28:CN28)</f>
        <v>-1550</v>
      </c>
      <c r="BV28" s="8">
        <f>SUM($BB28,$AI28:AX28)-SUM($BY28:CO28)</f>
        <v>-1550</v>
      </c>
      <c r="BW28" s="8">
        <f>SUM($BB28,$AI28:AY28)-SUM($BY28:CP28)</f>
        <v>-1550</v>
      </c>
      <c r="BX28" s="8">
        <f>SUM($BB28,$AI28:AZ28)-SUM($BY28:CQ28)</f>
        <v>-1550</v>
      </c>
      <c r="BY28" s="8" cm="1">
        <f t="array" ref="BY28">SUMPRODUCT(TRANSPOSE(BY$2:BY$15),$I28:$V28)</f>
        <v>0</v>
      </c>
      <c r="BZ28" s="8" cm="1">
        <f t="array" ref="BZ28">SUMPRODUCT(TRANSPOSE(BZ$2:BZ$15),$I28:$V28)</f>
        <v>0</v>
      </c>
      <c r="CA28" s="8" cm="1">
        <f t="array" ref="CA28">SUMPRODUCT(TRANSPOSE(CA$2:CA$15),$I28:$V28)</f>
        <v>0</v>
      </c>
      <c r="CB28" s="8" cm="1">
        <f t="array" ref="CB28">SUMPRODUCT(TRANSPOSE(CB$2:CB$15),$I28:$V28)</f>
        <v>0</v>
      </c>
      <c r="CC28" s="8" cm="1">
        <f t="array" ref="CC28">SUMPRODUCT(TRANSPOSE(CC$2:CC$15),$I28:$V28)</f>
        <v>0</v>
      </c>
      <c r="CD28" s="8" cm="1">
        <f t="array" ref="CD28">SUMPRODUCT(TRANSPOSE(CD$2:CD$15),$I28:$V28)</f>
        <v>0</v>
      </c>
      <c r="CE28" s="8" cm="1">
        <f t="array" ref="CE28">SUMPRODUCT(TRANSPOSE(CE$2:CE$15),$I28:$V28)</f>
        <v>0</v>
      </c>
      <c r="CF28" s="8" cm="1">
        <f t="array" ref="CF28">SUMPRODUCT(TRANSPOSE(CF$2:CF$15),$I28:$V28)</f>
        <v>0</v>
      </c>
      <c r="CG28" s="8" cm="1">
        <f t="array" ref="CG28">SUMPRODUCT(TRANSPOSE(CG$2:CG$15),$I28:$V28)</f>
        <v>100</v>
      </c>
      <c r="CH28" s="8" cm="1">
        <f t="array" ref="CH28">SUMPRODUCT(TRANSPOSE(CH$2:CH$15),$I28:$V28)</f>
        <v>150</v>
      </c>
      <c r="CI28" s="8" cm="1">
        <f t="array" ref="CI28">SUMPRODUCT(TRANSPOSE(CI$2:CI$15),$I28:$V28)</f>
        <v>250</v>
      </c>
      <c r="CJ28" s="8" cm="1">
        <f t="array" ref="CJ28">SUMPRODUCT(TRANSPOSE(CJ$2:CJ$15),$I28:$V28)</f>
        <v>220</v>
      </c>
      <c r="CK28" s="8" cm="1">
        <f t="array" ref="CK28">SUMPRODUCT(TRANSPOSE(CK$2:CK$15),$I28:$V28)</f>
        <v>200</v>
      </c>
      <c r="CL28" s="8" cm="1">
        <f t="array" ref="CL28">SUMPRODUCT(TRANSPOSE(CL$2:CL$15),$I28:$V28)</f>
        <v>150</v>
      </c>
      <c r="CM28" s="8" cm="1">
        <f t="array" ref="CM28">SUMPRODUCT(TRANSPOSE(CM$2:CM$15),$I28:$V28)</f>
        <v>240</v>
      </c>
      <c r="CN28" s="8" cm="1">
        <f t="array" ref="CN28">SUMPRODUCT(TRANSPOSE(CN$2:CN$15),$I28:$V28)</f>
        <v>240</v>
      </c>
      <c r="CO28" s="8" cm="1">
        <f t="array" ref="CO28">SUMPRODUCT(TRANSPOSE(CO$2:CO$15),$I28:$V28)</f>
        <v>0</v>
      </c>
      <c r="CP28" s="8" cm="1">
        <f t="array" ref="CP28">SUMPRODUCT(TRANSPOSE(CP$2:CP$15),$I28:$V28)</f>
        <v>0</v>
      </c>
      <c r="CQ28" s="8" cm="1">
        <f t="array" ref="CQ28">SUMPRODUCT(TRANSPOSE(CQ$2:CQ$15),$I28:$V28)</f>
        <v>0</v>
      </c>
    </row>
    <row r="29" spans="1:95" x14ac:dyDescent="0.25">
      <c r="A29" s="1">
        <v>35</v>
      </c>
      <c r="B29" s="11" t="s">
        <v>67</v>
      </c>
      <c r="C29" s="1" t="s">
        <v>68</v>
      </c>
      <c r="D29" s="1">
        <v>411160563</v>
      </c>
      <c r="E29" s="6"/>
      <c r="F29" s="1" t="s">
        <v>69</v>
      </c>
      <c r="G29" s="1" t="s">
        <v>35</v>
      </c>
      <c r="H29" s="1">
        <v>2</v>
      </c>
      <c r="I29" s="1">
        <v>0</v>
      </c>
      <c r="J29" s="1">
        <v>0</v>
      </c>
      <c r="K29" s="1">
        <v>1</v>
      </c>
      <c r="L29" s="1">
        <v>0</v>
      </c>
      <c r="M29" s="1">
        <v>0</v>
      </c>
      <c r="N29" s="1">
        <v>0</v>
      </c>
      <c r="O29" s="1">
        <v>0</v>
      </c>
      <c r="P29" s="1">
        <v>1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f>SUMPRODUCT(I29:V29,$I$13:$V$13)</f>
        <v>3210</v>
      </c>
      <c r="X29" s="6">
        <f t="shared" si="2"/>
        <v>94.3</v>
      </c>
      <c r="Y29" s="1" t="str">
        <f>VLOOKUP(D29,[1]PARTS!$A$1:$G$65536,7,0)</f>
        <v/>
      </c>
      <c r="Z29" s="1">
        <v>1</v>
      </c>
      <c r="AA29" s="1">
        <v>3170</v>
      </c>
      <c r="AB29" s="1">
        <f>CEILING(W29,Z29)</f>
        <v>3210</v>
      </c>
      <c r="AC29" s="1">
        <f>VLOOKUP(D29,[2]pareto!$D$12:$AX$306,47,0)</f>
        <v>47.15</v>
      </c>
      <c r="AD29" s="1" t="s">
        <v>70</v>
      </c>
      <c r="AE29" s="1" t="s">
        <v>70</v>
      </c>
      <c r="AF29" s="1" t="str">
        <f>VLOOKUP(D29,[2]pareto!$D$11:$BD$306,52,0)</f>
        <v>tnp@wave-mechanics.com</v>
      </c>
      <c r="AG29" s="1" t="e">
        <f>VLOOKUP(D29,[2]pareto!$D$11:$BD$306,51)</f>
        <v>#REF!</v>
      </c>
      <c r="BG29" s="8">
        <f>SUM($BB29,$AI29:AI29)-SUM($BY29:BZ29)</f>
        <v>0</v>
      </c>
      <c r="BH29" s="8">
        <f>SUM($BB29,$AI29:AJ29)-SUM($BY29:CA29)</f>
        <v>0</v>
      </c>
      <c r="BI29" s="8">
        <f>SUM($BB29,$AI29:AK29)-SUM($BY29:CB29)</f>
        <v>0</v>
      </c>
      <c r="BJ29" s="8">
        <f>SUM($BB29,$AI29:AL29)-SUM($BY29:CC29)</f>
        <v>0</v>
      </c>
      <c r="BK29" s="8">
        <f>SUM($BB29,$AI29:AM29)-SUM($BY29:CD29)</f>
        <v>0</v>
      </c>
      <c r="BL29" s="8">
        <f>SUM($BB29,$AI29:AN29)-SUM($BY29:CE29)</f>
        <v>0</v>
      </c>
      <c r="BM29" s="8">
        <f>SUM($BB29,$AI29:AO29)-SUM($BY29:CF29)</f>
        <v>0</v>
      </c>
      <c r="BN29" s="8">
        <f>SUM($BB29,$AI29:AP29)-SUM($BY29:CG29)</f>
        <v>0</v>
      </c>
      <c r="BO29" s="8">
        <f>SUM($BB29,$AI29:AQ29)-SUM($BY29:CH29)</f>
        <v>-200</v>
      </c>
      <c r="BP29" s="8">
        <f>SUM($BB29,$AI29:AR29)-SUM($BY29:CI29)</f>
        <v>-500</v>
      </c>
      <c r="BQ29" s="8">
        <f>SUM($BB29,$AI29:AS29)-SUM($BY29:CJ29)</f>
        <v>-1000</v>
      </c>
      <c r="BR29" s="8">
        <f>SUM($BB29,$AI29:AT29)-SUM($BY29:CK29)</f>
        <v>-1420</v>
      </c>
      <c r="BS29" s="8">
        <f>SUM($BB29,$AI29:AU29)-SUM($BY29:CL29)</f>
        <v>-1820</v>
      </c>
      <c r="BT29" s="8">
        <f>SUM($BB29,$AI29:AV29)-SUM($BY29:CM29)</f>
        <v>-2170</v>
      </c>
      <c r="BU29" s="8">
        <f>SUM($BB29,$AI29:AW29)-SUM($BY29:CN29)</f>
        <v>-2710</v>
      </c>
      <c r="BV29" s="8">
        <f>SUM($BB29,$AI29:AX29)-SUM($BY29:CO29)</f>
        <v>-3210</v>
      </c>
      <c r="BW29" s="8">
        <f>SUM($BB29,$AI29:AY29)-SUM($BY29:CP29)</f>
        <v>-3210</v>
      </c>
      <c r="BX29" s="8">
        <f>SUM($BB29,$AI29:AZ29)-SUM($BY29:CQ29)</f>
        <v>-3210</v>
      </c>
      <c r="BY29" s="8" cm="1">
        <f t="array" ref="BY29">SUMPRODUCT(TRANSPOSE(BY$2:BY$15),$I29:$V29)</f>
        <v>0</v>
      </c>
      <c r="BZ29" s="8" cm="1">
        <f t="array" ref="BZ29">SUMPRODUCT(TRANSPOSE(BZ$2:BZ$15),$I29:$V29)</f>
        <v>0</v>
      </c>
      <c r="CA29" s="8" cm="1">
        <f t="array" ref="CA29">SUMPRODUCT(TRANSPOSE(CA$2:CA$15),$I29:$V29)</f>
        <v>0</v>
      </c>
      <c r="CB29" s="8" cm="1">
        <f t="array" ref="CB29">SUMPRODUCT(TRANSPOSE(CB$2:CB$15),$I29:$V29)</f>
        <v>0</v>
      </c>
      <c r="CC29" s="8" cm="1">
        <f t="array" ref="CC29">SUMPRODUCT(TRANSPOSE(CC$2:CC$15),$I29:$V29)</f>
        <v>0</v>
      </c>
      <c r="CD29" s="8" cm="1">
        <f t="array" ref="CD29">SUMPRODUCT(TRANSPOSE(CD$2:CD$15),$I29:$V29)</f>
        <v>0</v>
      </c>
      <c r="CE29" s="8" cm="1">
        <f t="array" ref="CE29">SUMPRODUCT(TRANSPOSE(CE$2:CE$15),$I29:$V29)</f>
        <v>0</v>
      </c>
      <c r="CF29" s="8" cm="1">
        <f t="array" ref="CF29">SUMPRODUCT(TRANSPOSE(CF$2:CF$15),$I29:$V29)</f>
        <v>0</v>
      </c>
      <c r="CG29" s="8" cm="1">
        <f t="array" ref="CG29">SUMPRODUCT(TRANSPOSE(CG$2:CG$15),$I29:$V29)</f>
        <v>0</v>
      </c>
      <c r="CH29" s="8" cm="1">
        <f t="array" ref="CH29">SUMPRODUCT(TRANSPOSE(CH$2:CH$15),$I29:$V29)</f>
        <v>200</v>
      </c>
      <c r="CI29" s="8" cm="1">
        <f t="array" ref="CI29">SUMPRODUCT(TRANSPOSE(CI$2:CI$15),$I29:$V29)</f>
        <v>300</v>
      </c>
      <c r="CJ29" s="8" cm="1">
        <f t="array" ref="CJ29">SUMPRODUCT(TRANSPOSE(CJ$2:CJ$15),$I29:$V29)</f>
        <v>500</v>
      </c>
      <c r="CK29" s="8" cm="1">
        <f t="array" ref="CK29">SUMPRODUCT(TRANSPOSE(CK$2:CK$15),$I29:$V29)</f>
        <v>420</v>
      </c>
      <c r="CL29" s="8" cm="1">
        <f t="array" ref="CL29">SUMPRODUCT(TRANSPOSE(CL$2:CL$15),$I29:$V29)</f>
        <v>400</v>
      </c>
      <c r="CM29" s="8" cm="1">
        <f t="array" ref="CM29">SUMPRODUCT(TRANSPOSE(CM$2:CM$15),$I29:$V29)</f>
        <v>350</v>
      </c>
      <c r="CN29" s="8" cm="1">
        <f t="array" ref="CN29">SUMPRODUCT(TRANSPOSE(CN$2:CN$15),$I29:$V29)</f>
        <v>540</v>
      </c>
      <c r="CO29" s="8" cm="1">
        <f t="array" ref="CO29">SUMPRODUCT(TRANSPOSE(CO$2:CO$15),$I29:$V29)</f>
        <v>500</v>
      </c>
      <c r="CP29" s="8" cm="1">
        <f t="array" ref="CP29">SUMPRODUCT(TRANSPOSE(CP$2:CP$15),$I29:$V29)</f>
        <v>0</v>
      </c>
      <c r="CQ29" s="8" cm="1">
        <f t="array" ref="CQ29">SUMPRODUCT(TRANSPOSE(CQ$2:CQ$15),$I29:$V29)</f>
        <v>0</v>
      </c>
    </row>
    <row r="30" spans="1:95" x14ac:dyDescent="0.25">
      <c r="A30" s="6">
        <v>46</v>
      </c>
      <c r="B30" s="7" t="s">
        <v>15</v>
      </c>
      <c r="C30" s="6" t="s">
        <v>71</v>
      </c>
      <c r="D30" s="6">
        <v>405170958</v>
      </c>
      <c r="E30" s="6"/>
      <c r="F30" s="6" t="s">
        <v>72</v>
      </c>
      <c r="G30" s="6" t="s">
        <v>35</v>
      </c>
      <c r="H30" s="6">
        <v>1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1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f>SUMPRODUCT(I30:V30,$I$13:$V$13)</f>
        <v>1660</v>
      </c>
      <c r="X30" s="6">
        <f t="shared" si="2"/>
        <v>0</v>
      </c>
      <c r="Y30" s="6" t="s">
        <v>36</v>
      </c>
      <c r="Z30" s="6" t="s">
        <v>36</v>
      </c>
      <c r="AA30" s="6" t="s">
        <v>36</v>
      </c>
      <c r="AB30" s="6" t="s">
        <v>36</v>
      </c>
      <c r="AC30" s="6">
        <v>0</v>
      </c>
      <c r="AD30" s="6" t="s">
        <v>36</v>
      </c>
      <c r="AE30" s="6" t="s">
        <v>36</v>
      </c>
      <c r="AF30" s="6" t="s">
        <v>36</v>
      </c>
      <c r="AG30" s="6" t="s">
        <v>36</v>
      </c>
      <c r="AH30" s="6"/>
      <c r="BG30" s="8">
        <f>SUM($BB30,$AI30:AI30)-SUM($BY30:BZ30)</f>
        <v>0</v>
      </c>
      <c r="BH30" s="8">
        <f>SUM($BB30,$AI30:AJ30)-SUM($BY30:CA30)</f>
        <v>0</v>
      </c>
      <c r="BI30" s="8">
        <f>SUM($BB30,$AI30:AK30)-SUM($BY30:CB30)</f>
        <v>0</v>
      </c>
      <c r="BJ30" s="8">
        <f>SUM($BB30,$AI30:AL30)-SUM($BY30:CC30)</f>
        <v>0</v>
      </c>
      <c r="BK30" s="8">
        <f>SUM($BB30,$AI30:AM30)-SUM($BY30:CD30)</f>
        <v>0</v>
      </c>
      <c r="BL30" s="8">
        <f>SUM($BB30,$AI30:AN30)-SUM($BY30:CE30)</f>
        <v>0</v>
      </c>
      <c r="BM30" s="8">
        <f>SUM($BB30,$AI30:AO30)-SUM($BY30:CF30)</f>
        <v>0</v>
      </c>
      <c r="BN30" s="8">
        <f>SUM($BB30,$AI30:AP30)-SUM($BY30:CG30)</f>
        <v>0</v>
      </c>
      <c r="BO30" s="8">
        <f>SUM($BB30,$AI30:AQ30)-SUM($BY30:CH30)</f>
        <v>0</v>
      </c>
      <c r="BP30" s="8">
        <f>SUM($BB30,$AI30:AR30)-SUM($BY30:CI30)</f>
        <v>-100</v>
      </c>
      <c r="BQ30" s="8">
        <f>SUM($BB30,$AI30:AS30)-SUM($BY30:CJ30)</f>
        <v>-250</v>
      </c>
      <c r="BR30" s="8">
        <f>SUM($BB30,$AI30:AT30)-SUM($BY30:CK30)</f>
        <v>-500</v>
      </c>
      <c r="BS30" s="8">
        <f>SUM($BB30,$AI30:AU30)-SUM($BY30:CL30)</f>
        <v>-700</v>
      </c>
      <c r="BT30" s="8">
        <f>SUM($BB30,$AI30:AV30)-SUM($BY30:CM30)</f>
        <v>-900</v>
      </c>
      <c r="BU30" s="8">
        <f>SUM($BB30,$AI30:AW30)-SUM($BY30:CN30)</f>
        <v>-1100</v>
      </c>
      <c r="BV30" s="8">
        <f>SUM($BB30,$AI30:AX30)-SUM($BY30:CO30)</f>
        <v>-1400</v>
      </c>
      <c r="BW30" s="8">
        <f>SUM($BB30,$AI30:AY30)-SUM($BY30:CP30)</f>
        <v>-1660</v>
      </c>
      <c r="BX30" s="8">
        <f>SUM($BB30,$AI30:AZ30)-SUM($BY30:CQ30)</f>
        <v>-1660</v>
      </c>
      <c r="BY30" s="8" cm="1">
        <f t="array" ref="BY30">SUMPRODUCT(TRANSPOSE(BY$2:BY$15),$I30:$V30)</f>
        <v>0</v>
      </c>
      <c r="BZ30" s="8" cm="1">
        <f t="array" ref="BZ30">SUMPRODUCT(TRANSPOSE(BZ$2:BZ$15),$I30:$V30)</f>
        <v>0</v>
      </c>
      <c r="CA30" s="8" cm="1">
        <f t="array" ref="CA30">SUMPRODUCT(TRANSPOSE(CA$2:CA$15),$I30:$V30)</f>
        <v>0</v>
      </c>
      <c r="CB30" s="8" cm="1">
        <f t="array" ref="CB30">SUMPRODUCT(TRANSPOSE(CB$2:CB$15),$I30:$V30)</f>
        <v>0</v>
      </c>
      <c r="CC30" s="8" cm="1">
        <f t="array" ref="CC30">SUMPRODUCT(TRANSPOSE(CC$2:CC$15),$I30:$V30)</f>
        <v>0</v>
      </c>
      <c r="CD30" s="8" cm="1">
        <f t="array" ref="CD30">SUMPRODUCT(TRANSPOSE(CD$2:CD$15),$I30:$V30)</f>
        <v>0</v>
      </c>
      <c r="CE30" s="8" cm="1">
        <f t="array" ref="CE30">SUMPRODUCT(TRANSPOSE(CE$2:CE$15),$I30:$V30)</f>
        <v>0</v>
      </c>
      <c r="CF30" s="8" cm="1">
        <f t="array" ref="CF30">SUMPRODUCT(TRANSPOSE(CF$2:CF$15),$I30:$V30)</f>
        <v>0</v>
      </c>
      <c r="CG30" s="8" cm="1">
        <f t="array" ref="CG30">SUMPRODUCT(TRANSPOSE(CG$2:CG$15),$I30:$V30)</f>
        <v>0</v>
      </c>
      <c r="CH30" s="8" cm="1">
        <f t="array" ref="CH30">SUMPRODUCT(TRANSPOSE(CH$2:CH$15),$I30:$V30)</f>
        <v>0</v>
      </c>
      <c r="CI30" s="8" cm="1">
        <f t="array" ref="CI30">SUMPRODUCT(TRANSPOSE(CI$2:CI$15),$I30:$V30)</f>
        <v>100</v>
      </c>
      <c r="CJ30" s="8" cm="1">
        <f t="array" ref="CJ30">SUMPRODUCT(TRANSPOSE(CJ$2:CJ$15),$I30:$V30)</f>
        <v>150</v>
      </c>
      <c r="CK30" s="8" cm="1">
        <f t="array" ref="CK30">SUMPRODUCT(TRANSPOSE(CK$2:CK$15),$I30:$V30)</f>
        <v>250</v>
      </c>
      <c r="CL30" s="8" cm="1">
        <f t="array" ref="CL30">SUMPRODUCT(TRANSPOSE(CL$2:CL$15),$I30:$V30)</f>
        <v>200</v>
      </c>
      <c r="CM30" s="8" cm="1">
        <f t="array" ref="CM30">SUMPRODUCT(TRANSPOSE(CM$2:CM$15),$I30:$V30)</f>
        <v>200</v>
      </c>
      <c r="CN30" s="8" cm="1">
        <f t="array" ref="CN30">SUMPRODUCT(TRANSPOSE(CN$2:CN$15),$I30:$V30)</f>
        <v>200</v>
      </c>
      <c r="CO30" s="8" cm="1">
        <f t="array" ref="CO30">SUMPRODUCT(TRANSPOSE(CO$2:CO$15),$I30:$V30)</f>
        <v>300</v>
      </c>
      <c r="CP30" s="8" cm="1">
        <f t="array" ref="CP30">SUMPRODUCT(TRANSPOSE(CP$2:CP$15),$I30:$V30)</f>
        <v>260</v>
      </c>
      <c r="CQ30" s="8" cm="1">
        <f t="array" ref="CQ30">SUMPRODUCT(TRANSPOSE(CQ$2:CQ$15),$I30:$V30)</f>
        <v>0</v>
      </c>
    </row>
    <row r="31" spans="1:95" x14ac:dyDescent="0.25">
      <c r="A31" s="1">
        <v>22</v>
      </c>
      <c r="B31" s="11" t="s">
        <v>73</v>
      </c>
      <c r="C31" s="1" t="s">
        <v>68</v>
      </c>
      <c r="D31" s="1">
        <v>417083200</v>
      </c>
      <c r="E31" s="6"/>
      <c r="F31" s="1" t="s">
        <v>74</v>
      </c>
      <c r="G31" s="1" t="s">
        <v>35</v>
      </c>
      <c r="H31" s="1">
        <v>2</v>
      </c>
      <c r="I31" s="1">
        <v>0</v>
      </c>
      <c r="J31" s="1">
        <v>1</v>
      </c>
      <c r="K31" s="1">
        <v>0</v>
      </c>
      <c r="L31" s="1">
        <v>0</v>
      </c>
      <c r="M31" s="1">
        <v>0</v>
      </c>
      <c r="N31" s="1">
        <v>0</v>
      </c>
      <c r="O31" s="1">
        <v>1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f>SUMPRODUCT(I31:V31,$I$13:$V$13)</f>
        <v>3210</v>
      </c>
      <c r="X31" s="6">
        <f t="shared" si="2"/>
        <v>75.900000000000006</v>
      </c>
      <c r="Y31" s="1" t="str">
        <f>VLOOKUP(D31,[1]PARTS!$A$1:$G$65536,7,0)</f>
        <v/>
      </c>
      <c r="Z31" s="1">
        <v>1</v>
      </c>
      <c r="AA31" s="1">
        <v>3170</v>
      </c>
      <c r="AB31" s="1">
        <f>CEILING(W31,Z31)</f>
        <v>3210</v>
      </c>
      <c r="AC31" s="1">
        <f>VLOOKUP(D31,[2]pareto!$D$12:$AX$306,47,0)</f>
        <v>37.950000000000003</v>
      </c>
      <c r="AD31" s="1" t="s">
        <v>70</v>
      </c>
      <c r="AE31" s="1" t="s">
        <v>70</v>
      </c>
      <c r="AF31" s="1" t="str">
        <f>VLOOKUP(D31,[2]pareto!$D$11:$BD$306,52,0)</f>
        <v>tnp@wave-mechanics.com</v>
      </c>
      <c r="AG31" s="1" t="e">
        <f>VLOOKUP(D31,[2]pareto!$D$11:$BD$306,51)</f>
        <v>#REF!</v>
      </c>
      <c r="BG31" s="8">
        <f>SUM($BB31,$AI31:AI31)-SUM($BY31:BZ31)</f>
        <v>0</v>
      </c>
      <c r="BH31" s="8">
        <f>SUM($BB31,$AI31:AJ31)-SUM($BY31:CA31)</f>
        <v>0</v>
      </c>
      <c r="BI31" s="8">
        <f>SUM($BB31,$AI31:AK31)-SUM($BY31:CB31)</f>
        <v>0</v>
      </c>
      <c r="BJ31" s="8">
        <f>SUM($BB31,$AI31:AL31)-SUM($BY31:CC31)</f>
        <v>0</v>
      </c>
      <c r="BK31" s="8">
        <f>SUM($BB31,$AI31:AM31)-SUM($BY31:CD31)</f>
        <v>0</v>
      </c>
      <c r="BL31" s="8">
        <f>SUM($BB31,$AI31:AN31)-SUM($BY31:CE31)</f>
        <v>0</v>
      </c>
      <c r="BM31" s="8">
        <f>SUM($BB31,$AI31:AO31)-SUM($BY31:CF31)</f>
        <v>0</v>
      </c>
      <c r="BN31" s="8">
        <f>SUM($BB31,$AI31:AP31)-SUM($BY31:CG31)</f>
        <v>0</v>
      </c>
      <c r="BO31" s="8">
        <f>SUM($BB31,$AI31:AQ31)-SUM($BY31:CH31)</f>
        <v>0</v>
      </c>
      <c r="BP31" s="8">
        <f>SUM($BB31,$AI31:AR31)-SUM($BY31:CI31)</f>
        <v>-200</v>
      </c>
      <c r="BQ31" s="8">
        <f>SUM($BB31,$AI31:AS31)-SUM($BY31:CJ31)</f>
        <v>-500</v>
      </c>
      <c r="BR31" s="8">
        <f>SUM($BB31,$AI31:AT31)-SUM($BY31:CK31)</f>
        <v>-1000</v>
      </c>
      <c r="BS31" s="8">
        <f>SUM($BB31,$AI31:AU31)-SUM($BY31:CL31)</f>
        <v>-1420</v>
      </c>
      <c r="BT31" s="8">
        <f>SUM($BB31,$AI31:AV31)-SUM($BY31:CM31)</f>
        <v>-1820</v>
      </c>
      <c r="BU31" s="8">
        <f>SUM($BB31,$AI31:AW31)-SUM($BY31:CN31)</f>
        <v>-2170</v>
      </c>
      <c r="BV31" s="8">
        <f>SUM($BB31,$AI31:AX31)-SUM($BY31:CO31)</f>
        <v>-2710</v>
      </c>
      <c r="BW31" s="8">
        <f>SUM($BB31,$AI31:AY31)-SUM($BY31:CP31)</f>
        <v>-3210</v>
      </c>
      <c r="BX31" s="8">
        <f>SUM($BB31,$AI31:AZ31)-SUM($BY31:CQ31)</f>
        <v>-3210</v>
      </c>
      <c r="BY31" s="8" cm="1">
        <f t="array" ref="BY31">SUMPRODUCT(TRANSPOSE(BY$2:BY$15),$I31:$V31)</f>
        <v>0</v>
      </c>
      <c r="BZ31" s="8" cm="1">
        <f t="array" ref="BZ31">SUMPRODUCT(TRANSPOSE(BZ$2:BZ$15),$I31:$V31)</f>
        <v>0</v>
      </c>
      <c r="CA31" s="8" cm="1">
        <f t="array" ref="CA31">SUMPRODUCT(TRANSPOSE(CA$2:CA$15),$I31:$V31)</f>
        <v>0</v>
      </c>
      <c r="CB31" s="8" cm="1">
        <f t="array" ref="CB31">SUMPRODUCT(TRANSPOSE(CB$2:CB$15),$I31:$V31)</f>
        <v>0</v>
      </c>
      <c r="CC31" s="8" cm="1">
        <f t="array" ref="CC31">SUMPRODUCT(TRANSPOSE(CC$2:CC$15),$I31:$V31)</f>
        <v>0</v>
      </c>
      <c r="CD31" s="8" cm="1">
        <f t="array" ref="CD31">SUMPRODUCT(TRANSPOSE(CD$2:CD$15),$I31:$V31)</f>
        <v>0</v>
      </c>
      <c r="CE31" s="8" cm="1">
        <f t="array" ref="CE31">SUMPRODUCT(TRANSPOSE(CE$2:CE$15),$I31:$V31)</f>
        <v>0</v>
      </c>
      <c r="CF31" s="8" cm="1">
        <f t="array" ref="CF31">SUMPRODUCT(TRANSPOSE(CF$2:CF$15),$I31:$V31)</f>
        <v>0</v>
      </c>
      <c r="CG31" s="8" cm="1">
        <f t="array" ref="CG31">SUMPRODUCT(TRANSPOSE(CG$2:CG$15),$I31:$V31)</f>
        <v>0</v>
      </c>
      <c r="CH31" s="8" cm="1">
        <f t="array" ref="CH31">SUMPRODUCT(TRANSPOSE(CH$2:CH$15),$I31:$V31)</f>
        <v>0</v>
      </c>
      <c r="CI31" s="8" cm="1">
        <f t="array" ref="CI31">SUMPRODUCT(TRANSPOSE(CI$2:CI$15),$I31:$V31)</f>
        <v>200</v>
      </c>
      <c r="CJ31" s="8" cm="1">
        <f t="array" ref="CJ31">SUMPRODUCT(TRANSPOSE(CJ$2:CJ$15),$I31:$V31)</f>
        <v>300</v>
      </c>
      <c r="CK31" s="8" cm="1">
        <f t="array" ref="CK31">SUMPRODUCT(TRANSPOSE(CK$2:CK$15),$I31:$V31)</f>
        <v>500</v>
      </c>
      <c r="CL31" s="8" cm="1">
        <f t="array" ref="CL31">SUMPRODUCT(TRANSPOSE(CL$2:CL$15),$I31:$V31)</f>
        <v>420</v>
      </c>
      <c r="CM31" s="8" cm="1">
        <f t="array" ref="CM31">SUMPRODUCT(TRANSPOSE(CM$2:CM$15),$I31:$V31)</f>
        <v>400</v>
      </c>
      <c r="CN31" s="8" cm="1">
        <f t="array" ref="CN31">SUMPRODUCT(TRANSPOSE(CN$2:CN$15),$I31:$V31)</f>
        <v>350</v>
      </c>
      <c r="CO31" s="8" cm="1">
        <f t="array" ref="CO31">SUMPRODUCT(TRANSPOSE(CO$2:CO$15),$I31:$V31)</f>
        <v>540</v>
      </c>
      <c r="CP31" s="8" cm="1">
        <f t="array" ref="CP31">SUMPRODUCT(TRANSPOSE(CP$2:CP$15),$I31:$V31)</f>
        <v>500</v>
      </c>
      <c r="CQ31" s="8" cm="1">
        <f t="array" ref="CQ31">SUMPRODUCT(TRANSPOSE(CQ$2:CQ$15),$I31:$V31)</f>
        <v>0</v>
      </c>
    </row>
    <row r="32" spans="1:95" x14ac:dyDescent="0.25">
      <c r="A32" s="6">
        <v>64</v>
      </c>
      <c r="B32" s="7" t="s">
        <v>16</v>
      </c>
      <c r="C32" s="6">
        <v>-1</v>
      </c>
      <c r="D32" s="6">
        <v>418707643</v>
      </c>
      <c r="E32" s="6"/>
      <c r="F32" s="6" t="s">
        <v>75</v>
      </c>
      <c r="G32" s="6" t="s">
        <v>35</v>
      </c>
      <c r="H32" s="6">
        <v>1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1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f>SUMPRODUCT(I32:V32,$I$13:$V$13)</f>
        <v>1660</v>
      </c>
      <c r="X32" s="6">
        <f t="shared" si="2"/>
        <v>0</v>
      </c>
      <c r="Y32" s="6" t="s">
        <v>36</v>
      </c>
      <c r="Z32" s="6" t="s">
        <v>36</v>
      </c>
      <c r="AA32" s="6" t="s">
        <v>36</v>
      </c>
      <c r="AB32" s="6" t="s">
        <v>36</v>
      </c>
      <c r="AC32" s="6">
        <v>0</v>
      </c>
      <c r="AD32" s="6" t="s">
        <v>36</v>
      </c>
      <c r="AE32" s="6" t="s">
        <v>36</v>
      </c>
      <c r="AF32" s="6" t="s">
        <v>36</v>
      </c>
      <c r="AG32" s="6" t="s">
        <v>36</v>
      </c>
      <c r="AH32" s="6"/>
      <c r="BG32" s="8">
        <f>SUM($BB32,$AI32:AI32)-SUM($BY32:BZ32)</f>
        <v>0</v>
      </c>
      <c r="BH32" s="8">
        <f>SUM($BB32,$AI32:AJ32)-SUM($BY32:CA32)</f>
        <v>0</v>
      </c>
      <c r="BI32" s="8">
        <f>SUM($BB32,$AI32:AK32)-SUM($BY32:CB32)</f>
        <v>0</v>
      </c>
      <c r="BJ32" s="8">
        <f>SUM($BB32,$AI32:AL32)-SUM($BY32:CC32)</f>
        <v>0</v>
      </c>
      <c r="BK32" s="8">
        <f>SUM($BB32,$AI32:AM32)-SUM($BY32:CD32)</f>
        <v>0</v>
      </c>
      <c r="BL32" s="8">
        <f>SUM($BB32,$AI32:AN32)-SUM($BY32:CE32)</f>
        <v>0</v>
      </c>
      <c r="BM32" s="8">
        <f>SUM($BB32,$AI32:AO32)-SUM($BY32:CF32)</f>
        <v>0</v>
      </c>
      <c r="BN32" s="8">
        <f>SUM($BB32,$AI32:AP32)-SUM($BY32:CG32)</f>
        <v>0</v>
      </c>
      <c r="BO32" s="8">
        <f>SUM($BB32,$AI32:AQ32)-SUM($BY32:CH32)</f>
        <v>-100</v>
      </c>
      <c r="BP32" s="8">
        <f>SUM($BB32,$AI32:AR32)-SUM($BY32:CI32)</f>
        <v>-250</v>
      </c>
      <c r="BQ32" s="8">
        <f>SUM($BB32,$AI32:AS32)-SUM($BY32:CJ32)</f>
        <v>-500</v>
      </c>
      <c r="BR32" s="8">
        <f>SUM($BB32,$AI32:AT32)-SUM($BY32:CK32)</f>
        <v>-700</v>
      </c>
      <c r="BS32" s="8">
        <f>SUM($BB32,$AI32:AU32)-SUM($BY32:CL32)</f>
        <v>-900</v>
      </c>
      <c r="BT32" s="8">
        <f>SUM($BB32,$AI32:AV32)-SUM($BY32:CM32)</f>
        <v>-1100</v>
      </c>
      <c r="BU32" s="8">
        <f>SUM($BB32,$AI32:AW32)-SUM($BY32:CN32)</f>
        <v>-1400</v>
      </c>
      <c r="BV32" s="8">
        <f>SUM($BB32,$AI32:AX32)-SUM($BY32:CO32)</f>
        <v>-1660</v>
      </c>
      <c r="BW32" s="8">
        <f>SUM($BB32,$AI32:AY32)-SUM($BY32:CP32)</f>
        <v>-1660</v>
      </c>
      <c r="BX32" s="8">
        <f>SUM($BB32,$AI32:AZ32)-SUM($BY32:CQ32)</f>
        <v>-1660</v>
      </c>
      <c r="BY32" s="8" cm="1">
        <f t="array" ref="BY32">SUMPRODUCT(TRANSPOSE(BY$2:BY$15),$I32:$V32)</f>
        <v>0</v>
      </c>
      <c r="BZ32" s="8" cm="1">
        <f t="array" ref="BZ32">SUMPRODUCT(TRANSPOSE(BZ$2:BZ$15),$I32:$V32)</f>
        <v>0</v>
      </c>
      <c r="CA32" s="8" cm="1">
        <f t="array" ref="CA32">SUMPRODUCT(TRANSPOSE(CA$2:CA$15),$I32:$V32)</f>
        <v>0</v>
      </c>
      <c r="CB32" s="8" cm="1">
        <f t="array" ref="CB32">SUMPRODUCT(TRANSPOSE(CB$2:CB$15),$I32:$V32)</f>
        <v>0</v>
      </c>
      <c r="CC32" s="8" cm="1">
        <f t="array" ref="CC32">SUMPRODUCT(TRANSPOSE(CC$2:CC$15),$I32:$V32)</f>
        <v>0</v>
      </c>
      <c r="CD32" s="8" cm="1">
        <f t="array" ref="CD32">SUMPRODUCT(TRANSPOSE(CD$2:CD$15),$I32:$V32)</f>
        <v>0</v>
      </c>
      <c r="CE32" s="8" cm="1">
        <f t="array" ref="CE32">SUMPRODUCT(TRANSPOSE(CE$2:CE$15),$I32:$V32)</f>
        <v>0</v>
      </c>
      <c r="CF32" s="8" cm="1">
        <f t="array" ref="CF32">SUMPRODUCT(TRANSPOSE(CF$2:CF$15),$I32:$V32)</f>
        <v>0</v>
      </c>
      <c r="CG32" s="8" cm="1">
        <f t="array" ref="CG32">SUMPRODUCT(TRANSPOSE(CG$2:CG$15),$I32:$V32)</f>
        <v>0</v>
      </c>
      <c r="CH32" s="8" cm="1">
        <f t="array" ref="CH32">SUMPRODUCT(TRANSPOSE(CH$2:CH$15),$I32:$V32)</f>
        <v>100</v>
      </c>
      <c r="CI32" s="8" cm="1">
        <f t="array" ref="CI32">SUMPRODUCT(TRANSPOSE(CI$2:CI$15),$I32:$V32)</f>
        <v>150</v>
      </c>
      <c r="CJ32" s="8" cm="1">
        <f t="array" ref="CJ32">SUMPRODUCT(TRANSPOSE(CJ$2:CJ$15),$I32:$V32)</f>
        <v>250</v>
      </c>
      <c r="CK32" s="8" cm="1">
        <f t="array" ref="CK32">SUMPRODUCT(TRANSPOSE(CK$2:CK$15),$I32:$V32)</f>
        <v>200</v>
      </c>
      <c r="CL32" s="8" cm="1">
        <f t="array" ref="CL32">SUMPRODUCT(TRANSPOSE(CL$2:CL$15),$I32:$V32)</f>
        <v>200</v>
      </c>
      <c r="CM32" s="8" cm="1">
        <f t="array" ref="CM32">SUMPRODUCT(TRANSPOSE(CM$2:CM$15),$I32:$V32)</f>
        <v>200</v>
      </c>
      <c r="CN32" s="8" cm="1">
        <f t="array" ref="CN32">SUMPRODUCT(TRANSPOSE(CN$2:CN$15),$I32:$V32)</f>
        <v>300</v>
      </c>
      <c r="CO32" s="8" cm="1">
        <f t="array" ref="CO32">SUMPRODUCT(TRANSPOSE(CO$2:CO$15),$I32:$V32)</f>
        <v>260</v>
      </c>
      <c r="CP32" s="8" cm="1">
        <f t="array" ref="CP32">SUMPRODUCT(TRANSPOSE(CP$2:CP$15),$I32:$V32)</f>
        <v>0</v>
      </c>
      <c r="CQ32" s="8" cm="1">
        <f t="array" ref="CQ32">SUMPRODUCT(TRANSPOSE(CQ$2:CQ$15),$I32:$V32)</f>
        <v>0</v>
      </c>
    </row>
    <row r="33" spans="1:95" x14ac:dyDescent="0.25">
      <c r="A33" s="1">
        <v>308</v>
      </c>
      <c r="B33" s="11" t="s">
        <v>76</v>
      </c>
      <c r="C33" s="1" t="s">
        <v>49</v>
      </c>
      <c r="D33" s="1">
        <v>409604724</v>
      </c>
      <c r="E33" s="6"/>
      <c r="F33" s="1" t="s">
        <v>77</v>
      </c>
      <c r="G33" s="1" t="s">
        <v>35</v>
      </c>
      <c r="H33" s="1">
        <v>4</v>
      </c>
      <c r="I33" s="1">
        <v>0</v>
      </c>
      <c r="J33" s="1">
        <v>0</v>
      </c>
      <c r="K33" s="1">
        <v>0</v>
      </c>
      <c r="L33" s="1">
        <v>2</v>
      </c>
      <c r="M33" s="1">
        <v>0</v>
      </c>
      <c r="N33" s="1">
        <v>0</v>
      </c>
      <c r="O33" s="1">
        <v>0</v>
      </c>
      <c r="P33" s="1">
        <v>0</v>
      </c>
      <c r="Q33" s="1">
        <v>2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f>SUMPRODUCT(I33:V33,$I$13:$V$13)</f>
        <v>6420</v>
      </c>
      <c r="X33" s="6">
        <f t="shared" si="2"/>
        <v>64</v>
      </c>
      <c r="Y33" s="1" t="str">
        <f>VLOOKUP(D33,[1]PARTS!$A$1:$G$65536,7,0)</f>
        <v>QORVO US, INC</v>
      </c>
      <c r="Z33" s="1">
        <v>500</v>
      </c>
      <c r="AA33" s="1">
        <f>VLOOKUP(D33,[2]pareto!$D$12:$AX$306,45,0)</f>
        <v>5500</v>
      </c>
      <c r="AB33" s="1">
        <f>CEILING(W33,Z33)</f>
        <v>6500</v>
      </c>
      <c r="AC33" s="1">
        <f>VLOOKUP(D33,[2]pareto!$D$12:$AX$306,47,0)</f>
        <v>16</v>
      </c>
      <c r="AD33" s="1" t="s">
        <v>78</v>
      </c>
      <c r="AE33" s="1" t="s">
        <v>79</v>
      </c>
      <c r="AF33" s="1" t="str">
        <f>VLOOKUP(D33,[2]pareto!$D$11:$BD$306,52,0)</f>
        <v>shuli.ronin@qorvo.com</v>
      </c>
      <c r="AG33" s="1" t="s">
        <v>80</v>
      </c>
      <c r="BG33" s="8">
        <f>SUM($BB33,$AI33:AI33)-SUM($BY33:BZ33)</f>
        <v>0</v>
      </c>
      <c r="BH33" s="8">
        <f>SUM($BB33,$AI33:AJ33)-SUM($BY33:CA33)</f>
        <v>0</v>
      </c>
      <c r="BI33" s="8">
        <f>SUM($BB33,$AI33:AK33)-SUM($BY33:CB33)</f>
        <v>0</v>
      </c>
      <c r="BJ33" s="8">
        <f>SUM($BB33,$AI33:AL33)-SUM($BY33:CC33)</f>
        <v>0</v>
      </c>
      <c r="BK33" s="8">
        <f>SUM($BB33,$AI33:AM33)-SUM($BY33:CD33)</f>
        <v>0</v>
      </c>
      <c r="BL33" s="8">
        <f>SUM($BB33,$AI33:AN33)-SUM($BY33:CE33)</f>
        <v>0</v>
      </c>
      <c r="BM33" s="8">
        <f>SUM($BB33,$AI33:AO33)-SUM($BY33:CF33)</f>
        <v>0</v>
      </c>
      <c r="BN33" s="8">
        <f>SUM($BB33,$AI33:AP33)-SUM($BY33:CG33)</f>
        <v>-400</v>
      </c>
      <c r="BO33" s="8">
        <f>SUM($BB33,$AI33:AQ33)-SUM($BY33:CH33)</f>
        <v>-1000</v>
      </c>
      <c r="BP33" s="8">
        <f>SUM($BB33,$AI33:AR33)-SUM($BY33:CI33)</f>
        <v>-2000</v>
      </c>
      <c r="BQ33" s="8">
        <f>SUM($BB33,$AI33:AS33)-SUM($BY33:CJ33)</f>
        <v>-2840</v>
      </c>
      <c r="BR33" s="8">
        <f>SUM($BB33,$AI33:AT33)-SUM($BY33:CK33)</f>
        <v>-3640</v>
      </c>
      <c r="BS33" s="8">
        <f>SUM($BB33,$AI33:AU33)-SUM($BY33:CL33)</f>
        <v>-4340</v>
      </c>
      <c r="BT33" s="8">
        <f>SUM($BB33,$AI33:AV33)-SUM($BY33:CM33)</f>
        <v>-5420</v>
      </c>
      <c r="BU33" s="8">
        <f>SUM($BB33,$AI33:AW33)-SUM($BY33:CN33)</f>
        <v>-6420</v>
      </c>
      <c r="BV33" s="8">
        <f>SUM($BB33,$AI33:AX33)-SUM($BY33:CO33)</f>
        <v>-6420</v>
      </c>
      <c r="BW33" s="8">
        <f>SUM($BB33,$AI33:AY33)-SUM($BY33:CP33)</f>
        <v>-6420</v>
      </c>
      <c r="BX33" s="8">
        <f>SUM($BB33,$AI33:AZ33)-SUM($BY33:CQ33)</f>
        <v>-6420</v>
      </c>
      <c r="BY33" s="8" cm="1">
        <f t="array" ref="BY33">SUMPRODUCT(TRANSPOSE(BY$2:BY$15),$I33:$V33)</f>
        <v>0</v>
      </c>
      <c r="BZ33" s="8" cm="1">
        <f t="array" ref="BZ33">SUMPRODUCT(TRANSPOSE(BZ$2:BZ$15),$I33:$V33)</f>
        <v>0</v>
      </c>
      <c r="CA33" s="8" cm="1">
        <f t="array" ref="CA33">SUMPRODUCT(TRANSPOSE(CA$2:CA$15),$I33:$V33)</f>
        <v>0</v>
      </c>
      <c r="CB33" s="8" cm="1">
        <f t="array" ref="CB33">SUMPRODUCT(TRANSPOSE(CB$2:CB$15),$I33:$V33)</f>
        <v>0</v>
      </c>
      <c r="CC33" s="8" cm="1">
        <f t="array" ref="CC33">SUMPRODUCT(TRANSPOSE(CC$2:CC$15),$I33:$V33)</f>
        <v>0</v>
      </c>
      <c r="CD33" s="8" cm="1">
        <f t="array" ref="CD33">SUMPRODUCT(TRANSPOSE(CD$2:CD$15),$I33:$V33)</f>
        <v>0</v>
      </c>
      <c r="CE33" s="8" cm="1">
        <f t="array" ref="CE33">SUMPRODUCT(TRANSPOSE(CE$2:CE$15),$I33:$V33)</f>
        <v>0</v>
      </c>
      <c r="CF33" s="8" cm="1">
        <f t="array" ref="CF33">SUMPRODUCT(TRANSPOSE(CF$2:CF$15),$I33:$V33)</f>
        <v>0</v>
      </c>
      <c r="CG33" s="8" cm="1">
        <f t="array" ref="CG33">SUMPRODUCT(TRANSPOSE(CG$2:CG$15),$I33:$V33)</f>
        <v>400</v>
      </c>
      <c r="CH33" s="8" cm="1">
        <f t="array" ref="CH33">SUMPRODUCT(TRANSPOSE(CH$2:CH$15),$I33:$V33)</f>
        <v>600</v>
      </c>
      <c r="CI33" s="8" cm="1">
        <f t="array" ref="CI33">SUMPRODUCT(TRANSPOSE(CI$2:CI$15),$I33:$V33)</f>
        <v>1000</v>
      </c>
      <c r="CJ33" s="8" cm="1">
        <f t="array" ref="CJ33">SUMPRODUCT(TRANSPOSE(CJ$2:CJ$15),$I33:$V33)</f>
        <v>840</v>
      </c>
      <c r="CK33" s="8" cm="1">
        <f t="array" ref="CK33">SUMPRODUCT(TRANSPOSE(CK$2:CK$15),$I33:$V33)</f>
        <v>800</v>
      </c>
      <c r="CL33" s="8" cm="1">
        <f t="array" ref="CL33">SUMPRODUCT(TRANSPOSE(CL$2:CL$15),$I33:$V33)</f>
        <v>700</v>
      </c>
      <c r="CM33" s="8" cm="1">
        <f t="array" ref="CM33">SUMPRODUCT(TRANSPOSE(CM$2:CM$15),$I33:$V33)</f>
        <v>1080</v>
      </c>
      <c r="CN33" s="8" cm="1">
        <f t="array" ref="CN33">SUMPRODUCT(TRANSPOSE(CN$2:CN$15),$I33:$V33)</f>
        <v>1000</v>
      </c>
      <c r="CO33" s="8" cm="1">
        <f t="array" ref="CO33">SUMPRODUCT(TRANSPOSE(CO$2:CO$15),$I33:$V33)</f>
        <v>0</v>
      </c>
      <c r="CP33" s="8" cm="1">
        <f t="array" ref="CP33">SUMPRODUCT(TRANSPOSE(CP$2:CP$15),$I33:$V33)</f>
        <v>0</v>
      </c>
      <c r="CQ33" s="8" cm="1">
        <f t="array" ref="CQ33">SUMPRODUCT(TRANSPOSE(CQ$2:CQ$15),$I33:$V33)</f>
        <v>0</v>
      </c>
    </row>
    <row r="34" spans="1:95" x14ac:dyDescent="0.25">
      <c r="A34" s="1">
        <v>41</v>
      </c>
      <c r="B34" s="11" t="s">
        <v>81</v>
      </c>
      <c r="C34" s="1" t="s">
        <v>68</v>
      </c>
      <c r="D34" s="1">
        <v>410773154</v>
      </c>
      <c r="E34" s="6"/>
      <c r="F34" s="1" t="s">
        <v>82</v>
      </c>
      <c r="G34" s="1" t="s">
        <v>35</v>
      </c>
      <c r="H34" s="1">
        <v>9</v>
      </c>
      <c r="I34" s="1">
        <v>0</v>
      </c>
      <c r="J34" s="1">
        <v>0</v>
      </c>
      <c r="K34" s="1">
        <v>5</v>
      </c>
      <c r="L34" s="1">
        <v>0</v>
      </c>
      <c r="M34" s="1">
        <v>0</v>
      </c>
      <c r="N34" s="1">
        <v>0</v>
      </c>
      <c r="O34" s="1">
        <v>0</v>
      </c>
      <c r="P34" s="1">
        <v>4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f>SUMPRODUCT(I34:V34,$I$13:$V$13)</f>
        <v>14390</v>
      </c>
      <c r="X34" s="6">
        <f t="shared" si="2"/>
        <v>4.59</v>
      </c>
      <c r="Y34" s="1" t="str">
        <f>VLOOKUP(D34,[1]PARTS!$A$1:$G$65536,7,0)</f>
        <v/>
      </c>
      <c r="Z34" s="1">
        <v>1</v>
      </c>
      <c r="AA34" s="1">
        <v>14210</v>
      </c>
      <c r="AB34" s="1">
        <f>CEILING(W34,Z34)</f>
        <v>14390</v>
      </c>
      <c r="AC34" s="1">
        <f>VLOOKUP(D34,[2]pareto!$D$12:$AX$306,47,0)</f>
        <v>0.51</v>
      </c>
      <c r="AD34" s="1" t="s">
        <v>70</v>
      </c>
      <c r="AE34" s="1" t="s">
        <v>70</v>
      </c>
      <c r="AF34" s="1" t="str">
        <f>VLOOKUP(D34,[2]pareto!$D$11:$BD$306,52,0)</f>
        <v>tnp@wave-mechanics.com</v>
      </c>
      <c r="AG34" s="1" t="e">
        <f>VLOOKUP(D34,[2]pareto!$D$11:$BD$306,51)</f>
        <v>#REF!</v>
      </c>
      <c r="BG34" s="8">
        <f>SUM($BB34,$AI34:AI34)-SUM($BY34:BZ34)</f>
        <v>0</v>
      </c>
      <c r="BH34" s="8">
        <f>SUM($BB34,$AI34:AJ34)-SUM($BY34:CA34)</f>
        <v>0</v>
      </c>
      <c r="BI34" s="8">
        <f>SUM($BB34,$AI34:AK34)-SUM($BY34:CB34)</f>
        <v>0</v>
      </c>
      <c r="BJ34" s="8">
        <f>SUM($BB34,$AI34:AL34)-SUM($BY34:CC34)</f>
        <v>0</v>
      </c>
      <c r="BK34" s="8">
        <f>SUM($BB34,$AI34:AM34)-SUM($BY34:CD34)</f>
        <v>0</v>
      </c>
      <c r="BL34" s="8">
        <f>SUM($BB34,$AI34:AN34)-SUM($BY34:CE34)</f>
        <v>0</v>
      </c>
      <c r="BM34" s="8">
        <f>SUM($BB34,$AI34:AO34)-SUM($BY34:CF34)</f>
        <v>0</v>
      </c>
      <c r="BN34" s="8">
        <f>SUM($BB34,$AI34:AP34)-SUM($BY34:CG34)</f>
        <v>0</v>
      </c>
      <c r="BO34" s="8">
        <f>SUM($BB34,$AI34:AQ34)-SUM($BY34:CH34)</f>
        <v>-900</v>
      </c>
      <c r="BP34" s="8">
        <f>SUM($BB34,$AI34:AR34)-SUM($BY34:CI34)</f>
        <v>-2250</v>
      </c>
      <c r="BQ34" s="8">
        <f>SUM($BB34,$AI34:AS34)-SUM($BY34:CJ34)</f>
        <v>-4500</v>
      </c>
      <c r="BR34" s="8">
        <f>SUM($BB34,$AI34:AT34)-SUM($BY34:CK34)</f>
        <v>-6400</v>
      </c>
      <c r="BS34" s="8">
        <f>SUM($BB34,$AI34:AU34)-SUM($BY34:CL34)</f>
        <v>-8200</v>
      </c>
      <c r="BT34" s="8">
        <f>SUM($BB34,$AI34:AV34)-SUM($BY34:CM34)</f>
        <v>-9750</v>
      </c>
      <c r="BU34" s="8">
        <f>SUM($BB34,$AI34:AW34)-SUM($BY34:CN34)</f>
        <v>-12150</v>
      </c>
      <c r="BV34" s="8">
        <f>SUM($BB34,$AI34:AX34)-SUM($BY34:CO34)</f>
        <v>-14390</v>
      </c>
      <c r="BW34" s="8">
        <f>SUM($BB34,$AI34:AY34)-SUM($BY34:CP34)</f>
        <v>-14390</v>
      </c>
      <c r="BX34" s="8">
        <f>SUM($BB34,$AI34:AZ34)-SUM($BY34:CQ34)</f>
        <v>-14390</v>
      </c>
      <c r="BY34" s="8" cm="1">
        <f t="array" ref="BY34">SUMPRODUCT(TRANSPOSE(BY$2:BY$15),$I34:$V34)</f>
        <v>0</v>
      </c>
      <c r="BZ34" s="8" cm="1">
        <f t="array" ref="BZ34">SUMPRODUCT(TRANSPOSE(BZ$2:BZ$15),$I34:$V34)</f>
        <v>0</v>
      </c>
      <c r="CA34" s="8" cm="1">
        <f t="array" ref="CA34">SUMPRODUCT(TRANSPOSE(CA$2:CA$15),$I34:$V34)</f>
        <v>0</v>
      </c>
      <c r="CB34" s="8" cm="1">
        <f t="array" ref="CB34">SUMPRODUCT(TRANSPOSE(CB$2:CB$15),$I34:$V34)</f>
        <v>0</v>
      </c>
      <c r="CC34" s="8" cm="1">
        <f t="array" ref="CC34">SUMPRODUCT(TRANSPOSE(CC$2:CC$15),$I34:$V34)</f>
        <v>0</v>
      </c>
      <c r="CD34" s="8" cm="1">
        <f t="array" ref="CD34">SUMPRODUCT(TRANSPOSE(CD$2:CD$15),$I34:$V34)</f>
        <v>0</v>
      </c>
      <c r="CE34" s="8" cm="1">
        <f t="array" ref="CE34">SUMPRODUCT(TRANSPOSE(CE$2:CE$15),$I34:$V34)</f>
        <v>0</v>
      </c>
      <c r="CF34" s="8" cm="1">
        <f t="array" ref="CF34">SUMPRODUCT(TRANSPOSE(CF$2:CF$15),$I34:$V34)</f>
        <v>0</v>
      </c>
      <c r="CG34" s="8" cm="1">
        <f t="array" ref="CG34">SUMPRODUCT(TRANSPOSE(CG$2:CG$15),$I34:$V34)</f>
        <v>0</v>
      </c>
      <c r="CH34" s="8" cm="1">
        <f t="array" ref="CH34">SUMPRODUCT(TRANSPOSE(CH$2:CH$15),$I34:$V34)</f>
        <v>900</v>
      </c>
      <c r="CI34" s="8" cm="1">
        <f t="array" ref="CI34">SUMPRODUCT(TRANSPOSE(CI$2:CI$15),$I34:$V34)</f>
        <v>1350</v>
      </c>
      <c r="CJ34" s="8" cm="1">
        <f t="array" ref="CJ34">SUMPRODUCT(TRANSPOSE(CJ$2:CJ$15),$I34:$V34)</f>
        <v>2250</v>
      </c>
      <c r="CK34" s="8" cm="1">
        <f t="array" ref="CK34">SUMPRODUCT(TRANSPOSE(CK$2:CK$15),$I34:$V34)</f>
        <v>1900</v>
      </c>
      <c r="CL34" s="8" cm="1">
        <f t="array" ref="CL34">SUMPRODUCT(TRANSPOSE(CL$2:CL$15),$I34:$V34)</f>
        <v>1800</v>
      </c>
      <c r="CM34" s="8" cm="1">
        <f t="array" ref="CM34">SUMPRODUCT(TRANSPOSE(CM$2:CM$15),$I34:$V34)</f>
        <v>1550</v>
      </c>
      <c r="CN34" s="8" cm="1">
        <f t="array" ref="CN34">SUMPRODUCT(TRANSPOSE(CN$2:CN$15),$I34:$V34)</f>
        <v>2400</v>
      </c>
      <c r="CO34" s="8" cm="1">
        <f t="array" ref="CO34">SUMPRODUCT(TRANSPOSE(CO$2:CO$15),$I34:$V34)</f>
        <v>2240</v>
      </c>
      <c r="CP34" s="8" cm="1">
        <f t="array" ref="CP34">SUMPRODUCT(TRANSPOSE(CP$2:CP$15),$I34:$V34)</f>
        <v>0</v>
      </c>
      <c r="CQ34" s="8" cm="1">
        <f t="array" ref="CQ34">SUMPRODUCT(TRANSPOSE(CQ$2:CQ$15),$I34:$V34)</f>
        <v>0</v>
      </c>
    </row>
    <row r="35" spans="1:95" s="8" customFormat="1" x14ac:dyDescent="0.25">
      <c r="A35" s="1">
        <v>211</v>
      </c>
      <c r="B35" s="11" t="s">
        <v>83</v>
      </c>
      <c r="C35" s="1" t="s">
        <v>49</v>
      </c>
      <c r="D35" s="1">
        <v>405043942</v>
      </c>
      <c r="E35" s="6">
        <f>VLOOKUP(D35,FFF!$A$2:$B$674,2,)</f>
        <v>405046714</v>
      </c>
      <c r="F35" s="1" t="s">
        <v>84</v>
      </c>
      <c r="G35" s="1" t="s">
        <v>35</v>
      </c>
      <c r="H35" s="1">
        <v>4</v>
      </c>
      <c r="I35" s="1">
        <v>0</v>
      </c>
      <c r="J35" s="1">
        <v>0</v>
      </c>
      <c r="K35" s="1">
        <v>0</v>
      </c>
      <c r="L35" s="1">
        <v>0</v>
      </c>
      <c r="M35" s="1">
        <v>2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2</v>
      </c>
      <c r="W35" s="1">
        <f>SUMPRODUCT(I35:V35,$I$13:$V$13)</f>
        <v>6420</v>
      </c>
      <c r="X35" s="6">
        <f t="shared" si="2"/>
        <v>57.36</v>
      </c>
      <c r="Y35" s="1" t="str">
        <f>VLOOKUP(D35,[1]PARTS!$A$1:$G$65536,7,0)</f>
        <v>INFINEON TECHNOLOGIES AG</v>
      </c>
      <c r="Z35" s="1">
        <v>74</v>
      </c>
      <c r="AA35" s="1">
        <v>6340</v>
      </c>
      <c r="AB35" s="1">
        <v>6660</v>
      </c>
      <c r="AC35" s="1">
        <v>14.34</v>
      </c>
      <c r="AD35" s="1" t="s">
        <v>85</v>
      </c>
      <c r="AE35" s="1" t="s">
        <v>86</v>
      </c>
      <c r="AF35" s="12" t="s">
        <v>87</v>
      </c>
      <c r="AG35" s="1" t="s">
        <v>88</v>
      </c>
      <c r="AH35" s="1"/>
      <c r="BG35" s="8">
        <f>SUM($BB35,$AI35:AI35)-SUM($BY35:BZ35)</f>
        <v>0</v>
      </c>
      <c r="BH35" s="8">
        <f>SUM($BB35,$AI35:AJ35)-SUM($BY35:CA35)</f>
        <v>0</v>
      </c>
      <c r="BI35" s="8">
        <f>SUM($BB35,$AI35:AK35)-SUM($BY35:CB35)</f>
        <v>0</v>
      </c>
      <c r="BJ35" s="8">
        <f>SUM($BB35,$AI35:AL35)-SUM($BY35:CC35)</f>
        <v>0</v>
      </c>
      <c r="BK35" s="8">
        <f>SUM($BB35,$AI35:AM35)-SUM($BY35:CD35)</f>
        <v>0</v>
      </c>
      <c r="BL35" s="8">
        <f>SUM($BB35,$AI35:AN35)-SUM($BY35:CE35)</f>
        <v>0</v>
      </c>
      <c r="BM35" s="8">
        <f>SUM($BB35,$AI35:AO35)-SUM($BY35:CF35)</f>
        <v>0</v>
      </c>
      <c r="BN35" s="8">
        <f>SUM($BB35,$AI35:AP35)-SUM($BY35:CG35)</f>
        <v>-200</v>
      </c>
      <c r="BO35" s="8">
        <f>SUM($BB35,$AI35:AQ35)-SUM($BY35:CH35)</f>
        <v>-700</v>
      </c>
      <c r="BP35" s="8">
        <f>SUM($BB35,$AI35:AR35)-SUM($BY35:CI35)</f>
        <v>-1500</v>
      </c>
      <c r="BQ35" s="8">
        <f>SUM($BB35,$AI35:AS35)-SUM($BY35:CJ35)</f>
        <v>-2440</v>
      </c>
      <c r="BR35" s="8">
        <f>SUM($BB35,$AI35:AT35)-SUM($BY35:CK35)</f>
        <v>-3240</v>
      </c>
      <c r="BS35" s="8">
        <f>SUM($BB35,$AI35:AU35)-SUM($BY35:CL35)</f>
        <v>-3940</v>
      </c>
      <c r="BT35" s="8">
        <f>SUM($BB35,$AI35:AV35)-SUM($BY35:CM35)</f>
        <v>-4820</v>
      </c>
      <c r="BU35" s="8">
        <f>SUM($BB35,$AI35:AW35)-SUM($BY35:CN35)</f>
        <v>-5900</v>
      </c>
      <c r="BV35" s="8">
        <f>SUM($BB35,$AI35:AX35)-SUM($BY35:CO35)</f>
        <v>-6420</v>
      </c>
      <c r="BW35" s="8">
        <f>SUM($BB35,$AI35:AY35)-SUM($BY35:CP35)</f>
        <v>-6420</v>
      </c>
      <c r="BX35" s="8">
        <f>SUM($BB35,$AI35:AZ35)-SUM($BY35:CQ35)</f>
        <v>-6420</v>
      </c>
      <c r="BY35" s="8" cm="1">
        <f t="array" ref="BY35">SUMPRODUCT(TRANSPOSE(BY$2:BY$15),$I35:$V35)</f>
        <v>0</v>
      </c>
      <c r="BZ35" s="8" cm="1">
        <f t="array" ref="BZ35">SUMPRODUCT(TRANSPOSE(BZ$2:BZ$15),$I35:$V35)</f>
        <v>0</v>
      </c>
      <c r="CA35" s="8" cm="1">
        <f t="array" ref="CA35">SUMPRODUCT(TRANSPOSE(CA$2:CA$15),$I35:$V35)</f>
        <v>0</v>
      </c>
      <c r="CB35" s="8" cm="1">
        <f t="array" ref="CB35">SUMPRODUCT(TRANSPOSE(CB$2:CB$15),$I35:$V35)</f>
        <v>0</v>
      </c>
      <c r="CC35" s="8" cm="1">
        <f t="array" ref="CC35">SUMPRODUCT(TRANSPOSE(CC$2:CC$15),$I35:$V35)</f>
        <v>0</v>
      </c>
      <c r="CD35" s="8" cm="1">
        <f t="array" ref="CD35">SUMPRODUCT(TRANSPOSE(CD$2:CD$15),$I35:$V35)</f>
        <v>0</v>
      </c>
      <c r="CE35" s="8" cm="1">
        <f t="array" ref="CE35">SUMPRODUCT(TRANSPOSE(CE$2:CE$15),$I35:$V35)</f>
        <v>0</v>
      </c>
      <c r="CF35" s="8" cm="1">
        <f t="array" ref="CF35">SUMPRODUCT(TRANSPOSE(CF$2:CF$15),$I35:$V35)</f>
        <v>0</v>
      </c>
      <c r="CG35" s="8" cm="1">
        <f t="array" ref="CG35">SUMPRODUCT(TRANSPOSE(CG$2:CG$15),$I35:$V35)</f>
        <v>200</v>
      </c>
      <c r="CH35" s="8" cm="1">
        <f t="array" ref="CH35">SUMPRODUCT(TRANSPOSE(CH$2:CH$15),$I35:$V35)</f>
        <v>500</v>
      </c>
      <c r="CI35" s="8" cm="1">
        <f t="array" ref="CI35">SUMPRODUCT(TRANSPOSE(CI$2:CI$15),$I35:$V35)</f>
        <v>800</v>
      </c>
      <c r="CJ35" s="8" cm="1">
        <f t="array" ref="CJ35">SUMPRODUCT(TRANSPOSE(CJ$2:CJ$15),$I35:$V35)</f>
        <v>940</v>
      </c>
      <c r="CK35" s="8" cm="1">
        <f t="array" ref="CK35">SUMPRODUCT(TRANSPOSE(CK$2:CK$15),$I35:$V35)</f>
        <v>800</v>
      </c>
      <c r="CL35" s="8" cm="1">
        <f t="array" ref="CL35">SUMPRODUCT(TRANSPOSE(CL$2:CL$15),$I35:$V35)</f>
        <v>700</v>
      </c>
      <c r="CM35" s="8" cm="1">
        <f t="array" ref="CM35">SUMPRODUCT(TRANSPOSE(CM$2:CM$15),$I35:$V35)</f>
        <v>880</v>
      </c>
      <c r="CN35" s="8" cm="1">
        <f t="array" ref="CN35">SUMPRODUCT(TRANSPOSE(CN$2:CN$15),$I35:$V35)</f>
        <v>1080</v>
      </c>
      <c r="CO35" s="8" cm="1">
        <f t="array" ref="CO35">SUMPRODUCT(TRANSPOSE(CO$2:CO$15),$I35:$V35)</f>
        <v>520</v>
      </c>
      <c r="CP35" s="8" cm="1">
        <f t="array" ref="CP35">SUMPRODUCT(TRANSPOSE(CP$2:CP$15),$I35:$V35)</f>
        <v>0</v>
      </c>
      <c r="CQ35" s="8" cm="1">
        <f t="array" ref="CQ35">SUMPRODUCT(TRANSPOSE(CQ$2:CQ$15),$I35:$V35)</f>
        <v>0</v>
      </c>
    </row>
    <row r="36" spans="1:95" x14ac:dyDescent="0.25">
      <c r="A36" s="1">
        <v>3</v>
      </c>
      <c r="B36" s="11" t="s">
        <v>89</v>
      </c>
      <c r="C36" s="1" t="s">
        <v>49</v>
      </c>
      <c r="D36" s="1">
        <v>400550300</v>
      </c>
      <c r="E36" s="6"/>
      <c r="F36" s="1" t="s">
        <v>90</v>
      </c>
      <c r="G36" s="1" t="s">
        <v>35</v>
      </c>
      <c r="H36" s="1">
        <v>2</v>
      </c>
      <c r="I36" s="1">
        <v>0</v>
      </c>
      <c r="J36" s="1">
        <v>0</v>
      </c>
      <c r="K36" s="1">
        <v>0</v>
      </c>
      <c r="L36" s="1">
        <v>0</v>
      </c>
      <c r="M36" s="1">
        <v>1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1</v>
      </c>
      <c r="W36" s="1">
        <f>SUMPRODUCT(I36:V36,$I$13:$V$13)</f>
        <v>3210</v>
      </c>
      <c r="X36" s="6">
        <f t="shared" si="2"/>
        <v>54</v>
      </c>
      <c r="Y36" s="1" t="str">
        <f>VLOOKUP(D36,[1]PARTS!$A$1:$G$65536,7,0)</f>
        <v>DCX-CHOL Entr. Inc</v>
      </c>
      <c r="Z36" s="1">
        <v>1</v>
      </c>
      <c r="AA36" s="1">
        <v>3170</v>
      </c>
      <c r="AB36" s="1">
        <f>CEILING(W36,Z36)</f>
        <v>3210</v>
      </c>
      <c r="AC36" s="1">
        <f>VLOOKUP(D36,[2]pareto!$D$12:$AX$306,47,0)</f>
        <v>27</v>
      </c>
      <c r="AD36" s="1" t="s">
        <v>91</v>
      </c>
      <c r="AE36" s="1" t="s">
        <v>92</v>
      </c>
      <c r="AF36" s="14" t="s">
        <v>93</v>
      </c>
      <c r="AG36" s="1" t="s">
        <v>94</v>
      </c>
      <c r="BG36" s="8">
        <f>SUM($BB36,$AI36:AI36)-SUM($BY36:BZ36)</f>
        <v>0</v>
      </c>
      <c r="BH36" s="8">
        <f>SUM($BB36,$AI36:AJ36)-SUM($BY36:CA36)</f>
        <v>0</v>
      </c>
      <c r="BI36" s="8">
        <f>SUM($BB36,$AI36:AK36)-SUM($BY36:CB36)</f>
        <v>0</v>
      </c>
      <c r="BJ36" s="8">
        <f>SUM($BB36,$AI36:AL36)-SUM($BY36:CC36)</f>
        <v>0</v>
      </c>
      <c r="BK36" s="8">
        <f>SUM($BB36,$AI36:AM36)-SUM($BY36:CD36)</f>
        <v>0</v>
      </c>
      <c r="BL36" s="8">
        <f>SUM($BB36,$AI36:AN36)-SUM($BY36:CE36)</f>
        <v>0</v>
      </c>
      <c r="BM36" s="8">
        <f>SUM($BB36,$AI36:AO36)-SUM($BY36:CF36)</f>
        <v>0</v>
      </c>
      <c r="BN36" s="8">
        <f>SUM($BB36,$AI36:AP36)-SUM($BY36:CG36)</f>
        <v>-100</v>
      </c>
      <c r="BO36" s="8">
        <f>SUM($BB36,$AI36:AQ36)-SUM($BY36:CH36)</f>
        <v>-350</v>
      </c>
      <c r="BP36" s="8">
        <f>SUM($BB36,$AI36:AR36)-SUM($BY36:CI36)</f>
        <v>-750</v>
      </c>
      <c r="BQ36" s="8">
        <f>SUM($BB36,$AI36:AS36)-SUM($BY36:CJ36)</f>
        <v>-1220</v>
      </c>
      <c r="BR36" s="8">
        <f>SUM($BB36,$AI36:AT36)-SUM($BY36:CK36)</f>
        <v>-1620</v>
      </c>
      <c r="BS36" s="8">
        <f>SUM($BB36,$AI36:AU36)-SUM($BY36:CL36)</f>
        <v>-1970</v>
      </c>
      <c r="BT36" s="8">
        <f>SUM($BB36,$AI36:AV36)-SUM($BY36:CM36)</f>
        <v>-2410</v>
      </c>
      <c r="BU36" s="8">
        <f>SUM($BB36,$AI36:AW36)-SUM($BY36:CN36)</f>
        <v>-2950</v>
      </c>
      <c r="BV36" s="8">
        <f>SUM($BB36,$AI36:AX36)-SUM($BY36:CO36)</f>
        <v>-3210</v>
      </c>
      <c r="BW36" s="8">
        <f>SUM($BB36,$AI36:AY36)-SUM($BY36:CP36)</f>
        <v>-3210</v>
      </c>
      <c r="BX36" s="8">
        <f>SUM($BB36,$AI36:AZ36)-SUM($BY36:CQ36)</f>
        <v>-3210</v>
      </c>
      <c r="BY36" s="8" cm="1">
        <f t="array" ref="BY36">SUMPRODUCT(TRANSPOSE(BY$2:BY$15),$I36:$V36)</f>
        <v>0</v>
      </c>
      <c r="BZ36" s="8" cm="1">
        <f t="array" ref="BZ36">SUMPRODUCT(TRANSPOSE(BZ$2:BZ$15),$I36:$V36)</f>
        <v>0</v>
      </c>
      <c r="CA36" s="8" cm="1">
        <f t="array" ref="CA36">SUMPRODUCT(TRANSPOSE(CA$2:CA$15),$I36:$V36)</f>
        <v>0</v>
      </c>
      <c r="CB36" s="8" cm="1">
        <f t="array" ref="CB36">SUMPRODUCT(TRANSPOSE(CB$2:CB$15),$I36:$V36)</f>
        <v>0</v>
      </c>
      <c r="CC36" s="8" cm="1">
        <f t="array" ref="CC36">SUMPRODUCT(TRANSPOSE(CC$2:CC$15),$I36:$V36)</f>
        <v>0</v>
      </c>
      <c r="CD36" s="8" cm="1">
        <f t="array" ref="CD36">SUMPRODUCT(TRANSPOSE(CD$2:CD$15),$I36:$V36)</f>
        <v>0</v>
      </c>
      <c r="CE36" s="8" cm="1">
        <f t="array" ref="CE36">SUMPRODUCT(TRANSPOSE(CE$2:CE$15),$I36:$V36)</f>
        <v>0</v>
      </c>
      <c r="CF36" s="8" cm="1">
        <f t="array" ref="CF36">SUMPRODUCT(TRANSPOSE(CF$2:CF$15),$I36:$V36)</f>
        <v>0</v>
      </c>
      <c r="CG36" s="8" cm="1">
        <f t="array" ref="CG36">SUMPRODUCT(TRANSPOSE(CG$2:CG$15),$I36:$V36)</f>
        <v>100</v>
      </c>
      <c r="CH36" s="8" cm="1">
        <f t="array" ref="CH36">SUMPRODUCT(TRANSPOSE(CH$2:CH$15),$I36:$V36)</f>
        <v>250</v>
      </c>
      <c r="CI36" s="8" cm="1">
        <f t="array" ref="CI36">SUMPRODUCT(TRANSPOSE(CI$2:CI$15),$I36:$V36)</f>
        <v>400</v>
      </c>
      <c r="CJ36" s="8" cm="1">
        <f t="array" ref="CJ36">SUMPRODUCT(TRANSPOSE(CJ$2:CJ$15),$I36:$V36)</f>
        <v>470</v>
      </c>
      <c r="CK36" s="8" cm="1">
        <f t="array" ref="CK36">SUMPRODUCT(TRANSPOSE(CK$2:CK$15),$I36:$V36)</f>
        <v>400</v>
      </c>
      <c r="CL36" s="8" cm="1">
        <f t="array" ref="CL36">SUMPRODUCT(TRANSPOSE(CL$2:CL$15),$I36:$V36)</f>
        <v>350</v>
      </c>
      <c r="CM36" s="8" cm="1">
        <f t="array" ref="CM36">SUMPRODUCT(TRANSPOSE(CM$2:CM$15),$I36:$V36)</f>
        <v>440</v>
      </c>
      <c r="CN36" s="8" cm="1">
        <f t="array" ref="CN36">SUMPRODUCT(TRANSPOSE(CN$2:CN$15),$I36:$V36)</f>
        <v>540</v>
      </c>
      <c r="CO36" s="8" cm="1">
        <f t="array" ref="CO36">SUMPRODUCT(TRANSPOSE(CO$2:CO$15),$I36:$V36)</f>
        <v>260</v>
      </c>
      <c r="CP36" s="8" cm="1">
        <f t="array" ref="CP36">SUMPRODUCT(TRANSPOSE(CP$2:CP$15),$I36:$V36)</f>
        <v>0</v>
      </c>
      <c r="CQ36" s="8" cm="1">
        <f t="array" ref="CQ36">SUMPRODUCT(TRANSPOSE(CQ$2:CQ$15),$I36:$V36)</f>
        <v>0</v>
      </c>
    </row>
    <row r="37" spans="1:95" x14ac:dyDescent="0.25">
      <c r="A37" s="1">
        <v>62</v>
      </c>
      <c r="B37" s="11" t="s">
        <v>95</v>
      </c>
      <c r="C37" s="1" t="s">
        <v>49</v>
      </c>
      <c r="D37" s="1">
        <v>409704332</v>
      </c>
      <c r="E37" s="6"/>
      <c r="F37" s="1" t="s">
        <v>96</v>
      </c>
      <c r="G37" s="1" t="s">
        <v>35</v>
      </c>
      <c r="H37" s="1">
        <v>2</v>
      </c>
      <c r="I37" s="1">
        <v>0</v>
      </c>
      <c r="J37" s="1">
        <v>0</v>
      </c>
      <c r="K37" s="1">
        <v>0</v>
      </c>
      <c r="L37" s="1">
        <v>0</v>
      </c>
      <c r="M37" s="1">
        <v>1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1</v>
      </c>
      <c r="W37" s="1">
        <f>SUMPRODUCT(I37:V37,$I$13:$V$13)</f>
        <v>3210</v>
      </c>
      <c r="X37" s="6">
        <f t="shared" si="2"/>
        <v>0</v>
      </c>
      <c r="Y37" s="1" t="e">
        <f>VLOOKUP(D37,[1]PARTS!$A$1:$G$65536,7,0)</f>
        <v>#N/A</v>
      </c>
      <c r="Z37" s="1">
        <v>1</v>
      </c>
      <c r="AA37" s="1">
        <v>3170</v>
      </c>
      <c r="AB37" s="1">
        <v>3170</v>
      </c>
      <c r="AC37" s="8"/>
      <c r="AD37" s="8"/>
      <c r="AE37" s="8"/>
      <c r="AF37" s="15"/>
      <c r="AG37" s="8"/>
      <c r="BG37" s="8">
        <f>SUM($BB37,$AI37:AI37)-SUM($BY37:BZ37)</f>
        <v>0</v>
      </c>
      <c r="BH37" s="8">
        <f>SUM($BB37,$AI37:AJ37)-SUM($BY37:CA37)</f>
        <v>0</v>
      </c>
      <c r="BI37" s="8">
        <f>SUM($BB37,$AI37:AK37)-SUM($BY37:CB37)</f>
        <v>0</v>
      </c>
      <c r="BJ37" s="8">
        <f>SUM($BB37,$AI37:AL37)-SUM($BY37:CC37)</f>
        <v>0</v>
      </c>
      <c r="BK37" s="8">
        <f>SUM($BB37,$AI37:AM37)-SUM($BY37:CD37)</f>
        <v>0</v>
      </c>
      <c r="BL37" s="8">
        <f>SUM($BB37,$AI37:AN37)-SUM($BY37:CE37)</f>
        <v>0</v>
      </c>
      <c r="BM37" s="8">
        <f>SUM($BB37,$AI37:AO37)-SUM($BY37:CF37)</f>
        <v>0</v>
      </c>
      <c r="BN37" s="8">
        <f>SUM($BB37,$AI37:AP37)-SUM($BY37:CG37)</f>
        <v>-100</v>
      </c>
      <c r="BO37" s="8">
        <f>SUM($BB37,$AI37:AQ37)-SUM($BY37:CH37)</f>
        <v>-350</v>
      </c>
      <c r="BP37" s="8">
        <f>SUM($BB37,$AI37:AR37)-SUM($BY37:CI37)</f>
        <v>-750</v>
      </c>
      <c r="BQ37" s="8">
        <f>SUM($BB37,$AI37:AS37)-SUM($BY37:CJ37)</f>
        <v>-1220</v>
      </c>
      <c r="BR37" s="8">
        <f>SUM($BB37,$AI37:AT37)-SUM($BY37:CK37)</f>
        <v>-1620</v>
      </c>
      <c r="BS37" s="8">
        <f>SUM($BB37,$AI37:AU37)-SUM($BY37:CL37)</f>
        <v>-1970</v>
      </c>
      <c r="BT37" s="8">
        <f>SUM($BB37,$AI37:AV37)-SUM($BY37:CM37)</f>
        <v>-2410</v>
      </c>
      <c r="BU37" s="8">
        <f>SUM($BB37,$AI37:AW37)-SUM($BY37:CN37)</f>
        <v>-2950</v>
      </c>
      <c r="BV37" s="8">
        <f>SUM($BB37,$AI37:AX37)-SUM($BY37:CO37)</f>
        <v>-3210</v>
      </c>
      <c r="BW37" s="8">
        <f>SUM($BB37,$AI37:AY37)-SUM($BY37:CP37)</f>
        <v>-3210</v>
      </c>
      <c r="BX37" s="8">
        <f>SUM($BB37,$AI37:AZ37)-SUM($BY37:CQ37)</f>
        <v>-3210</v>
      </c>
      <c r="BY37" s="8" cm="1">
        <f t="array" ref="BY37">SUMPRODUCT(TRANSPOSE(BY$2:BY$15),$I37:$V37)</f>
        <v>0</v>
      </c>
      <c r="BZ37" s="8" cm="1">
        <f t="array" ref="BZ37">SUMPRODUCT(TRANSPOSE(BZ$2:BZ$15),$I37:$V37)</f>
        <v>0</v>
      </c>
      <c r="CA37" s="8" cm="1">
        <f t="array" ref="CA37">SUMPRODUCT(TRANSPOSE(CA$2:CA$15),$I37:$V37)</f>
        <v>0</v>
      </c>
      <c r="CB37" s="8" cm="1">
        <f t="array" ref="CB37">SUMPRODUCT(TRANSPOSE(CB$2:CB$15),$I37:$V37)</f>
        <v>0</v>
      </c>
      <c r="CC37" s="8" cm="1">
        <f t="array" ref="CC37">SUMPRODUCT(TRANSPOSE(CC$2:CC$15),$I37:$V37)</f>
        <v>0</v>
      </c>
      <c r="CD37" s="8" cm="1">
        <f t="array" ref="CD37">SUMPRODUCT(TRANSPOSE(CD$2:CD$15),$I37:$V37)</f>
        <v>0</v>
      </c>
      <c r="CE37" s="8" cm="1">
        <f t="array" ref="CE37">SUMPRODUCT(TRANSPOSE(CE$2:CE$15),$I37:$V37)</f>
        <v>0</v>
      </c>
      <c r="CF37" s="8" cm="1">
        <f t="array" ref="CF37">SUMPRODUCT(TRANSPOSE(CF$2:CF$15),$I37:$V37)</f>
        <v>0</v>
      </c>
      <c r="CG37" s="8" cm="1">
        <f t="array" ref="CG37">SUMPRODUCT(TRANSPOSE(CG$2:CG$15),$I37:$V37)</f>
        <v>100</v>
      </c>
      <c r="CH37" s="8" cm="1">
        <f t="array" ref="CH37">SUMPRODUCT(TRANSPOSE(CH$2:CH$15),$I37:$V37)</f>
        <v>250</v>
      </c>
      <c r="CI37" s="8" cm="1">
        <f t="array" ref="CI37">SUMPRODUCT(TRANSPOSE(CI$2:CI$15),$I37:$V37)</f>
        <v>400</v>
      </c>
      <c r="CJ37" s="8" cm="1">
        <f t="array" ref="CJ37">SUMPRODUCT(TRANSPOSE(CJ$2:CJ$15),$I37:$V37)</f>
        <v>470</v>
      </c>
      <c r="CK37" s="8" cm="1">
        <f t="array" ref="CK37">SUMPRODUCT(TRANSPOSE(CK$2:CK$15),$I37:$V37)</f>
        <v>400</v>
      </c>
      <c r="CL37" s="8" cm="1">
        <f t="array" ref="CL37">SUMPRODUCT(TRANSPOSE(CL$2:CL$15),$I37:$V37)</f>
        <v>350</v>
      </c>
      <c r="CM37" s="8" cm="1">
        <f t="array" ref="CM37">SUMPRODUCT(TRANSPOSE(CM$2:CM$15),$I37:$V37)</f>
        <v>440</v>
      </c>
      <c r="CN37" s="8" cm="1">
        <f t="array" ref="CN37">SUMPRODUCT(TRANSPOSE(CN$2:CN$15),$I37:$V37)</f>
        <v>540</v>
      </c>
      <c r="CO37" s="8" cm="1">
        <f t="array" ref="CO37">SUMPRODUCT(TRANSPOSE(CO$2:CO$15),$I37:$V37)</f>
        <v>260</v>
      </c>
      <c r="CP37" s="8" cm="1">
        <f t="array" ref="CP37">SUMPRODUCT(TRANSPOSE(CP$2:CP$15),$I37:$V37)</f>
        <v>0</v>
      </c>
      <c r="CQ37" s="8" cm="1">
        <f t="array" ref="CQ37">SUMPRODUCT(TRANSPOSE(CQ$2:CQ$15),$I37:$V37)</f>
        <v>0</v>
      </c>
    </row>
    <row r="38" spans="1:95" x14ac:dyDescent="0.25">
      <c r="A38" s="1">
        <v>92</v>
      </c>
      <c r="B38" s="11" t="s">
        <v>97</v>
      </c>
      <c r="C38" s="1" t="s">
        <v>49</v>
      </c>
      <c r="D38" s="1">
        <v>421375236</v>
      </c>
      <c r="E38" s="6"/>
      <c r="F38" s="1" t="s">
        <v>98</v>
      </c>
      <c r="G38" s="1" t="s">
        <v>35</v>
      </c>
      <c r="H38" s="1">
        <v>2</v>
      </c>
      <c r="I38" s="1">
        <v>0</v>
      </c>
      <c r="J38" s="1">
        <v>0</v>
      </c>
      <c r="K38" s="1">
        <v>0</v>
      </c>
      <c r="L38" s="1">
        <v>0</v>
      </c>
      <c r="M38" s="1">
        <v>1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1</v>
      </c>
      <c r="W38" s="1">
        <f>SUMPRODUCT(I38:V38,$I$13:$V$13)</f>
        <v>3210</v>
      </c>
      <c r="X38" s="6">
        <f t="shared" si="2"/>
        <v>50.6</v>
      </c>
      <c r="Y38" s="1" t="str">
        <f>VLOOKUP(D38,[1]PARTS!$A$1:$G$65536,7,0)</f>
        <v>Intel Prgrammable SolutionsGroup(AL</v>
      </c>
      <c r="Z38" s="1">
        <v>240</v>
      </c>
      <c r="AA38" s="1">
        <v>3170</v>
      </c>
      <c r="AB38" s="1">
        <f>CEILING(W38,Z38)</f>
        <v>3360</v>
      </c>
      <c r="AC38" s="1">
        <f>VLOOKUP(D38,[2]pareto!$D$12:$AX$306,47,0)</f>
        <v>25.3</v>
      </c>
      <c r="AD38" s="1" t="s">
        <v>99</v>
      </c>
      <c r="AE38" s="1" t="s">
        <v>100</v>
      </c>
      <c r="AF38" s="1" t="str">
        <f>VLOOKUP(D38,[2]pareto!$D$11:$BD$306,52,0)</f>
        <v>Shlomi.bigi@easx.co.il</v>
      </c>
      <c r="AG38" s="1" t="s">
        <v>101</v>
      </c>
      <c r="BG38" s="8">
        <f>SUM($BB38,$AI38:AI38)-SUM($BY38:BZ38)</f>
        <v>0</v>
      </c>
      <c r="BH38" s="8">
        <f>SUM($BB38,$AI38:AJ38)-SUM($BY38:CA38)</f>
        <v>0</v>
      </c>
      <c r="BI38" s="8">
        <f>SUM($BB38,$AI38:AK38)-SUM($BY38:CB38)</f>
        <v>0</v>
      </c>
      <c r="BJ38" s="8">
        <f>SUM($BB38,$AI38:AL38)-SUM($BY38:CC38)</f>
        <v>0</v>
      </c>
      <c r="BK38" s="8">
        <f>SUM($BB38,$AI38:AM38)-SUM($BY38:CD38)</f>
        <v>0</v>
      </c>
      <c r="BL38" s="8">
        <f>SUM($BB38,$AI38:AN38)-SUM($BY38:CE38)</f>
        <v>0</v>
      </c>
      <c r="BM38" s="8">
        <f>SUM($BB38,$AI38:AO38)-SUM($BY38:CF38)</f>
        <v>0</v>
      </c>
      <c r="BN38" s="8">
        <f>SUM($BB38,$AI38:AP38)-SUM($BY38:CG38)</f>
        <v>-100</v>
      </c>
      <c r="BO38" s="8">
        <f>SUM($BB38,$AI38:AQ38)-SUM($BY38:CH38)</f>
        <v>-350</v>
      </c>
      <c r="BP38" s="8">
        <f>SUM($BB38,$AI38:AR38)-SUM($BY38:CI38)</f>
        <v>-750</v>
      </c>
      <c r="BQ38" s="8">
        <f>SUM($BB38,$AI38:AS38)-SUM($BY38:CJ38)</f>
        <v>-1220</v>
      </c>
      <c r="BR38" s="8">
        <f>SUM($BB38,$AI38:AT38)-SUM($BY38:CK38)</f>
        <v>-1620</v>
      </c>
      <c r="BS38" s="8">
        <f>SUM($BB38,$AI38:AU38)-SUM($BY38:CL38)</f>
        <v>-1970</v>
      </c>
      <c r="BT38" s="8">
        <f>SUM($BB38,$AI38:AV38)-SUM($BY38:CM38)</f>
        <v>-2410</v>
      </c>
      <c r="BU38" s="8">
        <f>SUM($BB38,$AI38:AW38)-SUM($BY38:CN38)</f>
        <v>-2950</v>
      </c>
      <c r="BV38" s="8">
        <f>SUM($BB38,$AI38:AX38)-SUM($BY38:CO38)</f>
        <v>-3210</v>
      </c>
      <c r="BW38" s="8">
        <f>SUM($BB38,$AI38:AY38)-SUM($BY38:CP38)</f>
        <v>-3210</v>
      </c>
      <c r="BX38" s="8">
        <f>SUM($BB38,$AI38:AZ38)-SUM($BY38:CQ38)</f>
        <v>-3210</v>
      </c>
      <c r="BY38" s="8" cm="1">
        <f t="array" ref="BY38">SUMPRODUCT(TRANSPOSE(BY$2:BY$15),$I38:$V38)</f>
        <v>0</v>
      </c>
      <c r="BZ38" s="8" cm="1">
        <f t="array" ref="BZ38">SUMPRODUCT(TRANSPOSE(BZ$2:BZ$15),$I38:$V38)</f>
        <v>0</v>
      </c>
      <c r="CA38" s="8" cm="1">
        <f t="array" ref="CA38">SUMPRODUCT(TRANSPOSE(CA$2:CA$15),$I38:$V38)</f>
        <v>0</v>
      </c>
      <c r="CB38" s="8" cm="1">
        <f t="array" ref="CB38">SUMPRODUCT(TRANSPOSE(CB$2:CB$15),$I38:$V38)</f>
        <v>0</v>
      </c>
      <c r="CC38" s="8" cm="1">
        <f t="array" ref="CC38">SUMPRODUCT(TRANSPOSE(CC$2:CC$15),$I38:$V38)</f>
        <v>0</v>
      </c>
      <c r="CD38" s="8" cm="1">
        <f t="array" ref="CD38">SUMPRODUCT(TRANSPOSE(CD$2:CD$15),$I38:$V38)</f>
        <v>0</v>
      </c>
      <c r="CE38" s="8" cm="1">
        <f t="array" ref="CE38">SUMPRODUCT(TRANSPOSE(CE$2:CE$15),$I38:$V38)</f>
        <v>0</v>
      </c>
      <c r="CF38" s="8" cm="1">
        <f t="array" ref="CF38">SUMPRODUCT(TRANSPOSE(CF$2:CF$15),$I38:$V38)</f>
        <v>0</v>
      </c>
      <c r="CG38" s="8" cm="1">
        <f t="array" ref="CG38">SUMPRODUCT(TRANSPOSE(CG$2:CG$15),$I38:$V38)</f>
        <v>100</v>
      </c>
      <c r="CH38" s="8" cm="1">
        <f t="array" ref="CH38">SUMPRODUCT(TRANSPOSE(CH$2:CH$15),$I38:$V38)</f>
        <v>250</v>
      </c>
      <c r="CI38" s="8" cm="1">
        <f t="array" ref="CI38">SUMPRODUCT(TRANSPOSE(CI$2:CI$15),$I38:$V38)</f>
        <v>400</v>
      </c>
      <c r="CJ38" s="8" cm="1">
        <f t="array" ref="CJ38">SUMPRODUCT(TRANSPOSE(CJ$2:CJ$15),$I38:$V38)</f>
        <v>470</v>
      </c>
      <c r="CK38" s="8" cm="1">
        <f t="array" ref="CK38">SUMPRODUCT(TRANSPOSE(CK$2:CK$15),$I38:$V38)</f>
        <v>400</v>
      </c>
      <c r="CL38" s="8" cm="1">
        <f t="array" ref="CL38">SUMPRODUCT(TRANSPOSE(CL$2:CL$15),$I38:$V38)</f>
        <v>350</v>
      </c>
      <c r="CM38" s="8" cm="1">
        <f t="array" ref="CM38">SUMPRODUCT(TRANSPOSE(CM$2:CM$15),$I38:$V38)</f>
        <v>440</v>
      </c>
      <c r="CN38" s="8" cm="1">
        <f t="array" ref="CN38">SUMPRODUCT(TRANSPOSE(CN$2:CN$15),$I38:$V38)</f>
        <v>540</v>
      </c>
      <c r="CO38" s="8" cm="1">
        <f t="array" ref="CO38">SUMPRODUCT(TRANSPOSE(CO$2:CO$15),$I38:$V38)</f>
        <v>260</v>
      </c>
      <c r="CP38" s="8" cm="1">
        <f t="array" ref="CP38">SUMPRODUCT(TRANSPOSE(CP$2:CP$15),$I38:$V38)</f>
        <v>0</v>
      </c>
      <c r="CQ38" s="8" cm="1">
        <f t="array" ref="CQ38">SUMPRODUCT(TRANSPOSE(CQ$2:CQ$15),$I38:$V38)</f>
        <v>0</v>
      </c>
    </row>
    <row r="39" spans="1:95" x14ac:dyDescent="0.25">
      <c r="A39" s="1">
        <v>43</v>
      </c>
      <c r="B39" s="11" t="s">
        <v>102</v>
      </c>
      <c r="C39" s="1">
        <v>-1</v>
      </c>
      <c r="D39" s="1">
        <v>417679932</v>
      </c>
      <c r="E39" s="6"/>
      <c r="F39" s="1" t="s">
        <v>103</v>
      </c>
      <c r="G39" s="1" t="s">
        <v>35</v>
      </c>
      <c r="H39" s="1">
        <v>2</v>
      </c>
      <c r="I39" s="1">
        <v>0</v>
      </c>
      <c r="J39" s="1">
        <v>1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1</v>
      </c>
      <c r="V39" s="1">
        <v>0</v>
      </c>
      <c r="W39" s="1">
        <f>SUMPRODUCT(I39:V39,$I$13:$V$13)</f>
        <v>3210</v>
      </c>
      <c r="X39" s="6">
        <f t="shared" si="2"/>
        <v>49.2</v>
      </c>
      <c r="Y39" s="1" t="str">
        <f>VLOOKUP(D39,[1]PARTS!$A$1:$G$65536,7,0)</f>
        <v/>
      </c>
      <c r="Z39" s="1">
        <v>1</v>
      </c>
      <c r="AA39" s="1">
        <v>3170</v>
      </c>
      <c r="AB39" s="1">
        <f>CEILING(W39,Z39)</f>
        <v>3210</v>
      </c>
      <c r="AC39" s="1">
        <f>VLOOKUP(D39,[2]pareto!$D$12:$AX$306,47,0)</f>
        <v>24.6</v>
      </c>
      <c r="AD39" s="1" t="s">
        <v>70</v>
      </c>
      <c r="AE39" s="1" t="s">
        <v>70</v>
      </c>
      <c r="AF39" s="1" t="str">
        <f>VLOOKUP(D39,[2]pareto!$D$11:$BD$306,52,0)</f>
        <v>tnp@wave-mechanics.com</v>
      </c>
      <c r="AG39" s="1" t="e">
        <f>VLOOKUP(D39,[2]pareto!$D$11:$BD$306,51)</f>
        <v>#REF!</v>
      </c>
      <c r="BG39" s="8">
        <f>SUM($BB39,$AI39:AI39)-SUM($BY39:BZ39)</f>
        <v>0</v>
      </c>
      <c r="BH39" s="8">
        <f>SUM($BB39,$AI39:AJ39)-SUM($BY39:CA39)</f>
        <v>0</v>
      </c>
      <c r="BI39" s="8">
        <f>SUM($BB39,$AI39:AK39)-SUM($BY39:CB39)</f>
        <v>0</v>
      </c>
      <c r="BJ39" s="8">
        <f>SUM($BB39,$AI39:AL39)-SUM($BY39:CC39)</f>
        <v>0</v>
      </c>
      <c r="BK39" s="8">
        <f>SUM($BB39,$AI39:AM39)-SUM($BY39:CD39)</f>
        <v>0</v>
      </c>
      <c r="BL39" s="8">
        <f>SUM($BB39,$AI39:AN39)-SUM($BY39:CE39)</f>
        <v>0</v>
      </c>
      <c r="BM39" s="8">
        <f>SUM($BB39,$AI39:AO39)-SUM($BY39:CF39)</f>
        <v>0</v>
      </c>
      <c r="BN39" s="8">
        <f>SUM($BB39,$AI39:AP39)-SUM($BY39:CG39)</f>
        <v>0</v>
      </c>
      <c r="BO39" s="8">
        <f>SUM($BB39,$AI39:AQ39)-SUM($BY39:CH39)</f>
        <v>-100</v>
      </c>
      <c r="BP39" s="8">
        <f>SUM($BB39,$AI39:AR39)-SUM($BY39:CI39)</f>
        <v>-350</v>
      </c>
      <c r="BQ39" s="8">
        <f>SUM($BB39,$AI39:AS39)-SUM($BY39:CJ39)</f>
        <v>-750</v>
      </c>
      <c r="BR39" s="8">
        <f>SUM($BB39,$AI39:AT39)-SUM($BY39:CK39)</f>
        <v>-1200</v>
      </c>
      <c r="BS39" s="8">
        <f>SUM($BB39,$AI39:AU39)-SUM($BY39:CL39)</f>
        <v>-1620</v>
      </c>
      <c r="BT39" s="8">
        <f>SUM($BB39,$AI39:AV39)-SUM($BY39:CM39)</f>
        <v>-2020</v>
      </c>
      <c r="BU39" s="8">
        <f>SUM($BB39,$AI39:AW39)-SUM($BY39:CN39)</f>
        <v>-2470</v>
      </c>
      <c r="BV39" s="8">
        <f>SUM($BB39,$AI39:AX39)-SUM($BY39:CO39)</f>
        <v>-2970</v>
      </c>
      <c r="BW39" s="8">
        <f>SUM($BB39,$AI39:AY39)-SUM($BY39:CP39)</f>
        <v>-3210</v>
      </c>
      <c r="BX39" s="8">
        <f>SUM($BB39,$AI39:AZ39)-SUM($BY39:CQ39)</f>
        <v>-3210</v>
      </c>
      <c r="BY39" s="8" cm="1">
        <f t="array" ref="BY39">SUMPRODUCT(TRANSPOSE(BY$2:BY$15),$I39:$V39)</f>
        <v>0</v>
      </c>
      <c r="BZ39" s="8" cm="1">
        <f t="array" ref="BZ39">SUMPRODUCT(TRANSPOSE(BZ$2:BZ$15),$I39:$V39)</f>
        <v>0</v>
      </c>
      <c r="CA39" s="8" cm="1">
        <f t="array" ref="CA39">SUMPRODUCT(TRANSPOSE(CA$2:CA$15),$I39:$V39)</f>
        <v>0</v>
      </c>
      <c r="CB39" s="8" cm="1">
        <f t="array" ref="CB39">SUMPRODUCT(TRANSPOSE(CB$2:CB$15),$I39:$V39)</f>
        <v>0</v>
      </c>
      <c r="CC39" s="8" cm="1">
        <f t="array" ref="CC39">SUMPRODUCT(TRANSPOSE(CC$2:CC$15),$I39:$V39)</f>
        <v>0</v>
      </c>
      <c r="CD39" s="8" cm="1">
        <f t="array" ref="CD39">SUMPRODUCT(TRANSPOSE(CD$2:CD$15),$I39:$V39)</f>
        <v>0</v>
      </c>
      <c r="CE39" s="8" cm="1">
        <f t="array" ref="CE39">SUMPRODUCT(TRANSPOSE(CE$2:CE$15),$I39:$V39)</f>
        <v>0</v>
      </c>
      <c r="CF39" s="8" cm="1">
        <f t="array" ref="CF39">SUMPRODUCT(TRANSPOSE(CF$2:CF$15),$I39:$V39)</f>
        <v>0</v>
      </c>
      <c r="CG39" s="8" cm="1">
        <f t="array" ref="CG39">SUMPRODUCT(TRANSPOSE(CG$2:CG$15),$I39:$V39)</f>
        <v>0</v>
      </c>
      <c r="CH39" s="8" cm="1">
        <f t="array" ref="CH39">SUMPRODUCT(TRANSPOSE(CH$2:CH$15),$I39:$V39)</f>
        <v>100</v>
      </c>
      <c r="CI39" s="8" cm="1">
        <f t="array" ref="CI39">SUMPRODUCT(TRANSPOSE(CI$2:CI$15),$I39:$V39)</f>
        <v>250</v>
      </c>
      <c r="CJ39" s="8" cm="1">
        <f t="array" ref="CJ39">SUMPRODUCT(TRANSPOSE(CJ$2:CJ$15),$I39:$V39)</f>
        <v>400</v>
      </c>
      <c r="CK39" s="8" cm="1">
        <f t="array" ref="CK39">SUMPRODUCT(TRANSPOSE(CK$2:CK$15),$I39:$V39)</f>
        <v>450</v>
      </c>
      <c r="CL39" s="8" cm="1">
        <f t="array" ref="CL39">SUMPRODUCT(TRANSPOSE(CL$2:CL$15),$I39:$V39)</f>
        <v>420</v>
      </c>
      <c r="CM39" s="8" cm="1">
        <f t="array" ref="CM39">SUMPRODUCT(TRANSPOSE(CM$2:CM$15),$I39:$V39)</f>
        <v>400</v>
      </c>
      <c r="CN39" s="8" cm="1">
        <f t="array" ref="CN39">SUMPRODUCT(TRANSPOSE(CN$2:CN$15),$I39:$V39)</f>
        <v>450</v>
      </c>
      <c r="CO39" s="8" cm="1">
        <f t="array" ref="CO39">SUMPRODUCT(TRANSPOSE(CO$2:CO$15),$I39:$V39)</f>
        <v>500</v>
      </c>
      <c r="CP39" s="8" cm="1">
        <f t="array" ref="CP39">SUMPRODUCT(TRANSPOSE(CP$2:CP$15),$I39:$V39)</f>
        <v>240</v>
      </c>
      <c r="CQ39" s="8" cm="1">
        <f t="array" ref="CQ39">SUMPRODUCT(TRANSPOSE(CQ$2:CQ$15),$I39:$V39)</f>
        <v>0</v>
      </c>
    </row>
    <row r="40" spans="1:95" x14ac:dyDescent="0.25">
      <c r="A40" s="1">
        <v>236</v>
      </c>
      <c r="B40" s="11" t="s">
        <v>104</v>
      </c>
      <c r="C40" s="1" t="s">
        <v>105</v>
      </c>
      <c r="D40" s="1">
        <v>401359639</v>
      </c>
      <c r="E40" s="6">
        <f>VLOOKUP(D40,FFF!$A$2:$B$674,2,)</f>
        <v>400510825</v>
      </c>
      <c r="F40" s="1" t="s">
        <v>106</v>
      </c>
      <c r="G40" s="1" t="s">
        <v>35</v>
      </c>
      <c r="H40" s="1">
        <v>8</v>
      </c>
      <c r="I40" s="1">
        <v>0</v>
      </c>
      <c r="J40" s="1">
        <v>0</v>
      </c>
      <c r="K40" s="1">
        <v>0</v>
      </c>
      <c r="L40" s="1">
        <v>0</v>
      </c>
      <c r="M40" s="1">
        <v>4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4</v>
      </c>
      <c r="W40" s="1">
        <f>SUMPRODUCT(I40:V40,$I$13:$V$13)</f>
        <v>12840</v>
      </c>
      <c r="X40" s="6">
        <f t="shared" si="2"/>
        <v>28.84</v>
      </c>
      <c r="Y40" s="1" t="str">
        <f>VLOOKUP(D40,[1]PARTS!$A$1:$G$65536,7,0)</f>
        <v>ANALOG DEVICES</v>
      </c>
      <c r="Z40" s="1">
        <v>750</v>
      </c>
      <c r="AA40" s="1">
        <f>VLOOKUP(D40,[2]pareto!$D$12:$AX$306,45,0)</f>
        <v>50</v>
      </c>
      <c r="AB40" s="1">
        <f>CEILING(W40,Z40)</f>
        <v>13500</v>
      </c>
      <c r="AC40" s="1">
        <f>VLOOKUP(D40,[2]pareto!$D$12:$AX$306,47,0)</f>
        <v>3.605</v>
      </c>
      <c r="AD40" s="1" t="s">
        <v>107</v>
      </c>
      <c r="AE40" s="1" t="s">
        <v>108</v>
      </c>
      <c r="AF40" s="12" t="s">
        <v>109</v>
      </c>
      <c r="AG40" s="1" t="s">
        <v>110</v>
      </c>
      <c r="BG40" s="8">
        <f>SUM($BB40,$AI40:AI40)-SUM($BY40:BZ40)</f>
        <v>0</v>
      </c>
      <c r="BH40" s="8">
        <f>SUM($BB40,$AI40:AJ40)-SUM($BY40:CA40)</f>
        <v>0</v>
      </c>
      <c r="BI40" s="8">
        <f>SUM($BB40,$AI40:AK40)-SUM($BY40:CB40)</f>
        <v>0</v>
      </c>
      <c r="BJ40" s="8">
        <f>SUM($BB40,$AI40:AL40)-SUM($BY40:CC40)</f>
        <v>0</v>
      </c>
      <c r="BK40" s="8">
        <f>SUM($BB40,$AI40:AM40)-SUM($BY40:CD40)</f>
        <v>0</v>
      </c>
      <c r="BL40" s="8">
        <f>SUM($BB40,$AI40:AN40)-SUM($BY40:CE40)</f>
        <v>0</v>
      </c>
      <c r="BM40" s="8">
        <f>SUM($BB40,$AI40:AO40)-SUM($BY40:CF40)</f>
        <v>0</v>
      </c>
      <c r="BN40" s="8">
        <f>SUM($BB40,$AI40:AP40)-SUM($BY40:CG40)</f>
        <v>-400</v>
      </c>
      <c r="BO40" s="8">
        <f>SUM($BB40,$AI40:AQ40)-SUM($BY40:CH40)</f>
        <v>-1400</v>
      </c>
      <c r="BP40" s="8">
        <f>SUM($BB40,$AI40:AR40)-SUM($BY40:CI40)</f>
        <v>-3000</v>
      </c>
      <c r="BQ40" s="8">
        <f>SUM($BB40,$AI40:AS40)-SUM($BY40:CJ40)</f>
        <v>-4880</v>
      </c>
      <c r="BR40" s="8">
        <f>SUM($BB40,$AI40:AT40)-SUM($BY40:CK40)</f>
        <v>-6480</v>
      </c>
      <c r="BS40" s="8">
        <f>SUM($BB40,$AI40:AU40)-SUM($BY40:CL40)</f>
        <v>-7880</v>
      </c>
      <c r="BT40" s="8">
        <f>SUM($BB40,$AI40:AV40)-SUM($BY40:CM40)</f>
        <v>-9640</v>
      </c>
      <c r="BU40" s="8">
        <f>SUM($BB40,$AI40:AW40)-SUM($BY40:CN40)</f>
        <v>-11800</v>
      </c>
      <c r="BV40" s="8">
        <f>SUM($BB40,$AI40:AX40)-SUM($BY40:CO40)</f>
        <v>-12840</v>
      </c>
      <c r="BW40" s="8">
        <f>SUM($BB40,$AI40:AY40)-SUM($BY40:CP40)</f>
        <v>-12840</v>
      </c>
      <c r="BX40" s="8">
        <f>SUM($BB40,$AI40:AZ40)-SUM($BY40:CQ40)</f>
        <v>-12840</v>
      </c>
      <c r="BY40" s="8" cm="1">
        <f t="array" ref="BY40">SUMPRODUCT(TRANSPOSE(BY$2:BY$15),$I40:$V40)</f>
        <v>0</v>
      </c>
      <c r="BZ40" s="8" cm="1">
        <f t="array" ref="BZ40">SUMPRODUCT(TRANSPOSE(BZ$2:BZ$15),$I40:$V40)</f>
        <v>0</v>
      </c>
      <c r="CA40" s="8" cm="1">
        <f t="array" ref="CA40">SUMPRODUCT(TRANSPOSE(CA$2:CA$15),$I40:$V40)</f>
        <v>0</v>
      </c>
      <c r="CB40" s="8" cm="1">
        <f t="array" ref="CB40">SUMPRODUCT(TRANSPOSE(CB$2:CB$15),$I40:$V40)</f>
        <v>0</v>
      </c>
      <c r="CC40" s="8" cm="1">
        <f t="array" ref="CC40">SUMPRODUCT(TRANSPOSE(CC$2:CC$15),$I40:$V40)</f>
        <v>0</v>
      </c>
      <c r="CD40" s="8" cm="1">
        <f t="array" ref="CD40">SUMPRODUCT(TRANSPOSE(CD$2:CD$15),$I40:$V40)</f>
        <v>0</v>
      </c>
      <c r="CE40" s="8" cm="1">
        <f t="array" ref="CE40">SUMPRODUCT(TRANSPOSE(CE$2:CE$15),$I40:$V40)</f>
        <v>0</v>
      </c>
      <c r="CF40" s="8" cm="1">
        <f t="array" ref="CF40">SUMPRODUCT(TRANSPOSE(CF$2:CF$15),$I40:$V40)</f>
        <v>0</v>
      </c>
      <c r="CG40" s="8" cm="1">
        <f t="array" ref="CG40">SUMPRODUCT(TRANSPOSE(CG$2:CG$15),$I40:$V40)</f>
        <v>400</v>
      </c>
      <c r="CH40" s="8" cm="1">
        <f t="array" ref="CH40">SUMPRODUCT(TRANSPOSE(CH$2:CH$15),$I40:$V40)</f>
        <v>1000</v>
      </c>
      <c r="CI40" s="8" cm="1">
        <f t="array" ref="CI40">SUMPRODUCT(TRANSPOSE(CI$2:CI$15),$I40:$V40)</f>
        <v>1600</v>
      </c>
      <c r="CJ40" s="8" cm="1">
        <f t="array" ref="CJ40">SUMPRODUCT(TRANSPOSE(CJ$2:CJ$15),$I40:$V40)</f>
        <v>1880</v>
      </c>
      <c r="CK40" s="8" cm="1">
        <f t="array" ref="CK40">SUMPRODUCT(TRANSPOSE(CK$2:CK$15),$I40:$V40)</f>
        <v>1600</v>
      </c>
      <c r="CL40" s="8" cm="1">
        <f t="array" ref="CL40">SUMPRODUCT(TRANSPOSE(CL$2:CL$15),$I40:$V40)</f>
        <v>1400</v>
      </c>
      <c r="CM40" s="8" cm="1">
        <f t="array" ref="CM40">SUMPRODUCT(TRANSPOSE(CM$2:CM$15),$I40:$V40)</f>
        <v>1760</v>
      </c>
      <c r="CN40" s="8" cm="1">
        <f t="array" ref="CN40">SUMPRODUCT(TRANSPOSE(CN$2:CN$15),$I40:$V40)</f>
        <v>2160</v>
      </c>
      <c r="CO40" s="8" cm="1">
        <f t="array" ref="CO40">SUMPRODUCT(TRANSPOSE(CO$2:CO$15),$I40:$V40)</f>
        <v>1040</v>
      </c>
      <c r="CP40" s="8" cm="1">
        <f t="array" ref="CP40">SUMPRODUCT(TRANSPOSE(CP$2:CP$15),$I40:$V40)</f>
        <v>0</v>
      </c>
      <c r="CQ40" s="8" cm="1">
        <f t="array" ref="CQ40">SUMPRODUCT(TRANSPOSE(CQ$2:CQ$15),$I40:$V40)</f>
        <v>0</v>
      </c>
    </row>
    <row r="41" spans="1:95" x14ac:dyDescent="0.25">
      <c r="A41" s="1">
        <v>50</v>
      </c>
      <c r="B41" s="11" t="s">
        <v>111</v>
      </c>
      <c r="C41" s="1" t="s">
        <v>37</v>
      </c>
      <c r="D41" s="1">
        <v>411330925</v>
      </c>
      <c r="E41" s="6"/>
      <c r="F41" s="1" t="s">
        <v>112</v>
      </c>
      <c r="G41" s="1" t="s">
        <v>35</v>
      </c>
      <c r="H41" s="1">
        <v>2</v>
      </c>
      <c r="I41" s="1">
        <v>0</v>
      </c>
      <c r="J41" s="1">
        <v>0</v>
      </c>
      <c r="K41" s="1">
        <v>0</v>
      </c>
      <c r="L41" s="1">
        <v>0</v>
      </c>
      <c r="M41" s="1">
        <v>1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1</v>
      </c>
      <c r="W41" s="1">
        <f>SUMPRODUCT(I41:V41,$I$13:$V$13)</f>
        <v>3210</v>
      </c>
      <c r="X41" s="6">
        <f t="shared" si="2"/>
        <v>42.24</v>
      </c>
      <c r="Y41" s="1" t="str">
        <f>VLOOKUP(D41,[1]PARTS!$A$1:$G$65536,7,0)</f>
        <v/>
      </c>
      <c r="Z41" s="1">
        <v>1</v>
      </c>
      <c r="AA41" s="1">
        <v>3170</v>
      </c>
      <c r="AB41" s="1">
        <f>CEILING(W41,Z41)</f>
        <v>3210</v>
      </c>
      <c r="AC41" s="1">
        <v>21.12</v>
      </c>
      <c r="AD41" s="1" t="s">
        <v>47</v>
      </c>
      <c r="AE41" s="1" t="s">
        <v>47</v>
      </c>
      <c r="AF41" s="1" t="s">
        <v>47</v>
      </c>
      <c r="AG41" s="1" t="s">
        <v>47</v>
      </c>
      <c r="AH41" s="1" t="s">
        <v>47</v>
      </c>
      <c r="BG41" s="8">
        <f>SUM($BB41,$AI41:AI41)-SUM($BY41:BZ41)</f>
        <v>0</v>
      </c>
      <c r="BH41" s="8">
        <f>SUM($BB41,$AI41:AJ41)-SUM($BY41:CA41)</f>
        <v>0</v>
      </c>
      <c r="BI41" s="8">
        <f>SUM($BB41,$AI41:AK41)-SUM($BY41:CB41)</f>
        <v>0</v>
      </c>
      <c r="BJ41" s="8">
        <f>SUM($BB41,$AI41:AL41)-SUM($BY41:CC41)</f>
        <v>0</v>
      </c>
      <c r="BK41" s="8">
        <f>SUM($BB41,$AI41:AM41)-SUM($BY41:CD41)</f>
        <v>0</v>
      </c>
      <c r="BL41" s="8">
        <f>SUM($BB41,$AI41:AN41)-SUM($BY41:CE41)</f>
        <v>0</v>
      </c>
      <c r="BM41" s="8">
        <f>SUM($BB41,$AI41:AO41)-SUM($BY41:CF41)</f>
        <v>0</v>
      </c>
      <c r="BN41" s="8">
        <f>SUM($BB41,$AI41:AP41)-SUM($BY41:CG41)</f>
        <v>-100</v>
      </c>
      <c r="BO41" s="8">
        <f>SUM($BB41,$AI41:AQ41)-SUM($BY41:CH41)</f>
        <v>-350</v>
      </c>
      <c r="BP41" s="8">
        <f>SUM($BB41,$AI41:AR41)-SUM($BY41:CI41)</f>
        <v>-750</v>
      </c>
      <c r="BQ41" s="8">
        <f>SUM($BB41,$AI41:AS41)-SUM($BY41:CJ41)</f>
        <v>-1220</v>
      </c>
      <c r="BR41" s="8">
        <f>SUM($BB41,$AI41:AT41)-SUM($BY41:CK41)</f>
        <v>-1620</v>
      </c>
      <c r="BS41" s="8">
        <f>SUM($BB41,$AI41:AU41)-SUM($BY41:CL41)</f>
        <v>-1970</v>
      </c>
      <c r="BT41" s="8">
        <f>SUM($BB41,$AI41:AV41)-SUM($BY41:CM41)</f>
        <v>-2410</v>
      </c>
      <c r="BU41" s="8">
        <f>SUM($BB41,$AI41:AW41)-SUM($BY41:CN41)</f>
        <v>-2950</v>
      </c>
      <c r="BV41" s="8">
        <f>SUM($BB41,$AI41:AX41)-SUM($BY41:CO41)</f>
        <v>-3210</v>
      </c>
      <c r="BW41" s="8">
        <f>SUM($BB41,$AI41:AY41)-SUM($BY41:CP41)</f>
        <v>-3210</v>
      </c>
      <c r="BX41" s="8">
        <f>SUM($BB41,$AI41:AZ41)-SUM($BY41:CQ41)</f>
        <v>-3210</v>
      </c>
      <c r="BY41" s="8" cm="1">
        <f t="array" ref="BY41">SUMPRODUCT(TRANSPOSE(BY$2:BY$15),$I41:$V41)</f>
        <v>0</v>
      </c>
      <c r="BZ41" s="8" cm="1">
        <f t="array" ref="BZ41">SUMPRODUCT(TRANSPOSE(BZ$2:BZ$15),$I41:$V41)</f>
        <v>0</v>
      </c>
      <c r="CA41" s="8" cm="1">
        <f t="array" ref="CA41">SUMPRODUCT(TRANSPOSE(CA$2:CA$15),$I41:$V41)</f>
        <v>0</v>
      </c>
      <c r="CB41" s="8" cm="1">
        <f t="array" ref="CB41">SUMPRODUCT(TRANSPOSE(CB$2:CB$15),$I41:$V41)</f>
        <v>0</v>
      </c>
      <c r="CC41" s="8" cm="1">
        <f t="array" ref="CC41">SUMPRODUCT(TRANSPOSE(CC$2:CC$15),$I41:$V41)</f>
        <v>0</v>
      </c>
      <c r="CD41" s="8" cm="1">
        <f t="array" ref="CD41">SUMPRODUCT(TRANSPOSE(CD$2:CD$15),$I41:$V41)</f>
        <v>0</v>
      </c>
      <c r="CE41" s="8" cm="1">
        <f t="array" ref="CE41">SUMPRODUCT(TRANSPOSE(CE$2:CE$15),$I41:$V41)</f>
        <v>0</v>
      </c>
      <c r="CF41" s="8" cm="1">
        <f t="array" ref="CF41">SUMPRODUCT(TRANSPOSE(CF$2:CF$15),$I41:$V41)</f>
        <v>0</v>
      </c>
      <c r="CG41" s="8" cm="1">
        <f t="array" ref="CG41">SUMPRODUCT(TRANSPOSE(CG$2:CG$15),$I41:$V41)</f>
        <v>100</v>
      </c>
      <c r="CH41" s="8" cm="1">
        <f t="array" ref="CH41">SUMPRODUCT(TRANSPOSE(CH$2:CH$15),$I41:$V41)</f>
        <v>250</v>
      </c>
      <c r="CI41" s="8" cm="1">
        <f t="array" ref="CI41">SUMPRODUCT(TRANSPOSE(CI$2:CI$15),$I41:$V41)</f>
        <v>400</v>
      </c>
      <c r="CJ41" s="8" cm="1">
        <f t="array" ref="CJ41">SUMPRODUCT(TRANSPOSE(CJ$2:CJ$15),$I41:$V41)</f>
        <v>470</v>
      </c>
      <c r="CK41" s="8" cm="1">
        <f t="array" ref="CK41">SUMPRODUCT(TRANSPOSE(CK$2:CK$15),$I41:$V41)</f>
        <v>400</v>
      </c>
      <c r="CL41" s="8" cm="1">
        <f t="array" ref="CL41">SUMPRODUCT(TRANSPOSE(CL$2:CL$15),$I41:$V41)</f>
        <v>350</v>
      </c>
      <c r="CM41" s="8" cm="1">
        <f t="array" ref="CM41">SUMPRODUCT(TRANSPOSE(CM$2:CM$15),$I41:$V41)</f>
        <v>440</v>
      </c>
      <c r="CN41" s="8" cm="1">
        <f t="array" ref="CN41">SUMPRODUCT(TRANSPOSE(CN$2:CN$15),$I41:$V41)</f>
        <v>540</v>
      </c>
      <c r="CO41" s="8" cm="1">
        <f t="array" ref="CO41">SUMPRODUCT(TRANSPOSE(CO$2:CO$15),$I41:$V41)</f>
        <v>260</v>
      </c>
      <c r="CP41" s="8" cm="1">
        <f t="array" ref="CP41">SUMPRODUCT(TRANSPOSE(CP$2:CP$15),$I41:$V41)</f>
        <v>0</v>
      </c>
      <c r="CQ41" s="8" cm="1">
        <f t="array" ref="CQ41">SUMPRODUCT(TRANSPOSE(CQ$2:CQ$15),$I41:$V41)</f>
        <v>0</v>
      </c>
    </row>
    <row r="42" spans="1:95" s="8" customFormat="1" x14ac:dyDescent="0.25">
      <c r="A42" s="1">
        <v>79</v>
      </c>
      <c r="B42" s="11" t="s">
        <v>113</v>
      </c>
      <c r="C42" s="1" t="s">
        <v>49</v>
      </c>
      <c r="D42" s="1">
        <v>407566005</v>
      </c>
      <c r="E42" s="6"/>
      <c r="F42" s="1" t="s">
        <v>114</v>
      </c>
      <c r="G42" s="1" t="s">
        <v>35</v>
      </c>
      <c r="H42" s="1">
        <v>4</v>
      </c>
      <c r="I42" s="1">
        <v>0</v>
      </c>
      <c r="J42" s="1">
        <v>0</v>
      </c>
      <c r="K42" s="1">
        <v>2</v>
      </c>
      <c r="L42" s="1">
        <v>0</v>
      </c>
      <c r="M42" s="1">
        <v>0</v>
      </c>
      <c r="N42" s="1">
        <v>0</v>
      </c>
      <c r="O42" s="1">
        <v>0</v>
      </c>
      <c r="P42" s="1">
        <v>2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f>SUMPRODUCT(I42:V42,$I$13:$V$13)</f>
        <v>6420</v>
      </c>
      <c r="X42" s="6">
        <f t="shared" si="2"/>
        <v>23</v>
      </c>
      <c r="Y42" s="1" t="str">
        <f>VLOOKUP(D42,[1]PARTS!$A$1:$G$65536,7,0)</f>
        <v>HUANG LIANG TECHNOLOGIES CO.,LTD.</v>
      </c>
      <c r="Z42" s="1">
        <v>1</v>
      </c>
      <c r="AA42" s="1">
        <v>6340</v>
      </c>
      <c r="AB42" s="1">
        <f>CEILING(W42,Z42)</f>
        <v>6420</v>
      </c>
      <c r="AC42" s="1">
        <f>VLOOKUP(D42,[2]pareto!$D$12:$AX$306,47,0)</f>
        <v>5.75</v>
      </c>
      <c r="AD42" s="1" t="s">
        <v>115</v>
      </c>
      <c r="AE42" s="1" t="s">
        <v>116</v>
      </c>
      <c r="AF42" s="1" t="str">
        <f>VLOOKUP(D42,[2]pareto!$D$11:$BD$306,52,0)</f>
        <v>ada@starlight.co.iL</v>
      </c>
      <c r="AG42" s="1" t="e">
        <f>VLOOKUP(D42,[2]pareto!$D$11:$BD$306,51)</f>
        <v>#REF!</v>
      </c>
      <c r="AH42" s="1"/>
      <c r="BG42" s="8">
        <f>SUM($BB42,$AI42:AI42)-SUM($BY42:BZ42)</f>
        <v>0</v>
      </c>
      <c r="BH42" s="8">
        <f>SUM($BB42,$AI42:AJ42)-SUM($BY42:CA42)</f>
        <v>0</v>
      </c>
      <c r="BI42" s="8">
        <f>SUM($BB42,$AI42:AK42)-SUM($BY42:CB42)</f>
        <v>0</v>
      </c>
      <c r="BJ42" s="8">
        <f>SUM($BB42,$AI42:AL42)-SUM($BY42:CC42)</f>
        <v>0</v>
      </c>
      <c r="BK42" s="8">
        <f>SUM($BB42,$AI42:AM42)-SUM($BY42:CD42)</f>
        <v>0</v>
      </c>
      <c r="BL42" s="8">
        <f>SUM($BB42,$AI42:AN42)-SUM($BY42:CE42)</f>
        <v>0</v>
      </c>
      <c r="BM42" s="8">
        <f>SUM($BB42,$AI42:AO42)-SUM($BY42:CF42)</f>
        <v>0</v>
      </c>
      <c r="BN42" s="8">
        <f>SUM($BB42,$AI42:AP42)-SUM($BY42:CG42)</f>
        <v>0</v>
      </c>
      <c r="BO42" s="8">
        <f>SUM($BB42,$AI42:AQ42)-SUM($BY42:CH42)</f>
        <v>-400</v>
      </c>
      <c r="BP42" s="8">
        <f>SUM($BB42,$AI42:AR42)-SUM($BY42:CI42)</f>
        <v>-1000</v>
      </c>
      <c r="BQ42" s="8">
        <f>SUM($BB42,$AI42:AS42)-SUM($BY42:CJ42)</f>
        <v>-2000</v>
      </c>
      <c r="BR42" s="8">
        <f>SUM($BB42,$AI42:AT42)-SUM($BY42:CK42)</f>
        <v>-2840</v>
      </c>
      <c r="BS42" s="8">
        <f>SUM($BB42,$AI42:AU42)-SUM($BY42:CL42)</f>
        <v>-3640</v>
      </c>
      <c r="BT42" s="8">
        <f>SUM($BB42,$AI42:AV42)-SUM($BY42:CM42)</f>
        <v>-4340</v>
      </c>
      <c r="BU42" s="8">
        <f>SUM($BB42,$AI42:AW42)-SUM($BY42:CN42)</f>
        <v>-5420</v>
      </c>
      <c r="BV42" s="8">
        <f>SUM($BB42,$AI42:AX42)-SUM($BY42:CO42)</f>
        <v>-6420</v>
      </c>
      <c r="BW42" s="8">
        <f>SUM($BB42,$AI42:AY42)-SUM($BY42:CP42)</f>
        <v>-6420</v>
      </c>
      <c r="BX42" s="8">
        <f>SUM($BB42,$AI42:AZ42)-SUM($BY42:CQ42)</f>
        <v>-6420</v>
      </c>
      <c r="BY42" s="8" cm="1">
        <f t="array" ref="BY42">SUMPRODUCT(TRANSPOSE(BY$2:BY$15),$I42:$V42)</f>
        <v>0</v>
      </c>
      <c r="BZ42" s="8" cm="1">
        <f t="array" ref="BZ42">SUMPRODUCT(TRANSPOSE(BZ$2:BZ$15),$I42:$V42)</f>
        <v>0</v>
      </c>
      <c r="CA42" s="8" cm="1">
        <f t="array" ref="CA42">SUMPRODUCT(TRANSPOSE(CA$2:CA$15),$I42:$V42)</f>
        <v>0</v>
      </c>
      <c r="CB42" s="8" cm="1">
        <f t="array" ref="CB42">SUMPRODUCT(TRANSPOSE(CB$2:CB$15),$I42:$V42)</f>
        <v>0</v>
      </c>
      <c r="CC42" s="8" cm="1">
        <f t="array" ref="CC42">SUMPRODUCT(TRANSPOSE(CC$2:CC$15),$I42:$V42)</f>
        <v>0</v>
      </c>
      <c r="CD42" s="8" cm="1">
        <f t="array" ref="CD42">SUMPRODUCT(TRANSPOSE(CD$2:CD$15),$I42:$V42)</f>
        <v>0</v>
      </c>
      <c r="CE42" s="8" cm="1">
        <f t="array" ref="CE42">SUMPRODUCT(TRANSPOSE(CE$2:CE$15),$I42:$V42)</f>
        <v>0</v>
      </c>
      <c r="CF42" s="8" cm="1">
        <f t="array" ref="CF42">SUMPRODUCT(TRANSPOSE(CF$2:CF$15),$I42:$V42)</f>
        <v>0</v>
      </c>
      <c r="CG42" s="8" cm="1">
        <f t="array" ref="CG42">SUMPRODUCT(TRANSPOSE(CG$2:CG$15),$I42:$V42)</f>
        <v>0</v>
      </c>
      <c r="CH42" s="8" cm="1">
        <f t="array" ref="CH42">SUMPRODUCT(TRANSPOSE(CH$2:CH$15),$I42:$V42)</f>
        <v>400</v>
      </c>
      <c r="CI42" s="8" cm="1">
        <f t="array" ref="CI42">SUMPRODUCT(TRANSPOSE(CI$2:CI$15),$I42:$V42)</f>
        <v>600</v>
      </c>
      <c r="CJ42" s="8" cm="1">
        <f t="array" ref="CJ42">SUMPRODUCT(TRANSPOSE(CJ$2:CJ$15),$I42:$V42)</f>
        <v>1000</v>
      </c>
      <c r="CK42" s="8" cm="1">
        <f t="array" ref="CK42">SUMPRODUCT(TRANSPOSE(CK$2:CK$15),$I42:$V42)</f>
        <v>840</v>
      </c>
      <c r="CL42" s="8" cm="1">
        <f t="array" ref="CL42">SUMPRODUCT(TRANSPOSE(CL$2:CL$15),$I42:$V42)</f>
        <v>800</v>
      </c>
      <c r="CM42" s="8" cm="1">
        <f t="array" ref="CM42">SUMPRODUCT(TRANSPOSE(CM$2:CM$15),$I42:$V42)</f>
        <v>700</v>
      </c>
      <c r="CN42" s="8" cm="1">
        <f t="array" ref="CN42">SUMPRODUCT(TRANSPOSE(CN$2:CN$15),$I42:$V42)</f>
        <v>1080</v>
      </c>
      <c r="CO42" s="8" cm="1">
        <f t="array" ref="CO42">SUMPRODUCT(TRANSPOSE(CO$2:CO$15),$I42:$V42)</f>
        <v>1000</v>
      </c>
      <c r="CP42" s="8" cm="1">
        <f t="array" ref="CP42">SUMPRODUCT(TRANSPOSE(CP$2:CP$15),$I42:$V42)</f>
        <v>0</v>
      </c>
      <c r="CQ42" s="8" cm="1">
        <f t="array" ref="CQ42">SUMPRODUCT(TRANSPOSE(CQ$2:CQ$15),$I42:$V42)</f>
        <v>0</v>
      </c>
    </row>
    <row r="43" spans="1:95" s="8" customFormat="1" x14ac:dyDescent="0.25">
      <c r="A43" s="1">
        <v>136</v>
      </c>
      <c r="B43" s="11" t="s">
        <v>117</v>
      </c>
      <c r="C43" s="1" t="s">
        <v>49</v>
      </c>
      <c r="D43" s="1">
        <v>409177478</v>
      </c>
      <c r="E43" s="6"/>
      <c r="F43" s="1" t="s">
        <v>118</v>
      </c>
      <c r="G43" s="1" t="s">
        <v>35</v>
      </c>
      <c r="H43" s="1">
        <v>2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2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f>SUMPRODUCT(I43:V43,$I$13:$V$13)</f>
        <v>3320</v>
      </c>
      <c r="X43" s="6">
        <f t="shared" si="2"/>
        <v>30</v>
      </c>
      <c r="Y43" s="1" t="str">
        <f>VLOOKUP(D43,[1]PARTS!$A$1:$G$65536,7,0)</f>
        <v>M/A-COM TECHNOLOGY SOLUTIONS</v>
      </c>
      <c r="Z43" s="1">
        <v>110</v>
      </c>
      <c r="AA43" s="1">
        <v>3280</v>
      </c>
      <c r="AB43" s="1">
        <f>CEILING(W43,Z43)</f>
        <v>3410</v>
      </c>
      <c r="AC43" s="1">
        <v>15</v>
      </c>
      <c r="AD43" s="1" t="s">
        <v>119</v>
      </c>
      <c r="AE43" s="1" t="s">
        <v>52</v>
      </c>
      <c r="AF43" s="12" t="s">
        <v>53</v>
      </c>
      <c r="AG43" s="1" t="s">
        <v>54</v>
      </c>
      <c r="AH43" s="1"/>
      <c r="BG43" s="8">
        <f>SUM($BB43,$AI43:AI43)-SUM($BY43:BZ43)</f>
        <v>0</v>
      </c>
      <c r="BH43" s="8">
        <f>SUM($BB43,$AI43:AJ43)-SUM($BY43:CA43)</f>
        <v>0</v>
      </c>
      <c r="BI43" s="8">
        <f>SUM($BB43,$AI43:AK43)-SUM($BY43:CB43)</f>
        <v>0</v>
      </c>
      <c r="BJ43" s="8">
        <f>SUM($BB43,$AI43:AL43)-SUM($BY43:CC43)</f>
        <v>0</v>
      </c>
      <c r="BK43" s="8">
        <f>SUM($BB43,$AI43:AM43)-SUM($BY43:CD43)</f>
        <v>0</v>
      </c>
      <c r="BL43" s="8">
        <f>SUM($BB43,$AI43:AN43)-SUM($BY43:CE43)</f>
        <v>0</v>
      </c>
      <c r="BM43" s="8">
        <f>SUM($BB43,$AI43:AO43)-SUM($BY43:CF43)</f>
        <v>0</v>
      </c>
      <c r="BN43" s="8">
        <f>SUM($BB43,$AI43:AP43)-SUM($BY43:CG43)</f>
        <v>-200</v>
      </c>
      <c r="BO43" s="8">
        <f>SUM($BB43,$AI43:AQ43)-SUM($BY43:CH43)</f>
        <v>-500</v>
      </c>
      <c r="BP43" s="8">
        <f>SUM($BB43,$AI43:AR43)-SUM($BY43:CI43)</f>
        <v>-1000</v>
      </c>
      <c r="BQ43" s="8">
        <f>SUM($BB43,$AI43:AS43)-SUM($BY43:CJ43)</f>
        <v>-1400</v>
      </c>
      <c r="BR43" s="8">
        <f>SUM($BB43,$AI43:AT43)-SUM($BY43:CK43)</f>
        <v>-1800</v>
      </c>
      <c r="BS43" s="8">
        <f>SUM($BB43,$AI43:AU43)-SUM($BY43:CL43)</f>
        <v>-2200</v>
      </c>
      <c r="BT43" s="8">
        <f>SUM($BB43,$AI43:AV43)-SUM($BY43:CM43)</f>
        <v>-2800</v>
      </c>
      <c r="BU43" s="8">
        <f>SUM($BB43,$AI43:AW43)-SUM($BY43:CN43)</f>
        <v>-3320</v>
      </c>
      <c r="BV43" s="8">
        <f>SUM($BB43,$AI43:AX43)-SUM($BY43:CO43)</f>
        <v>-3320</v>
      </c>
      <c r="BW43" s="8">
        <f>SUM($BB43,$AI43:AY43)-SUM($BY43:CP43)</f>
        <v>-3320</v>
      </c>
      <c r="BX43" s="8">
        <f>SUM($BB43,$AI43:AZ43)-SUM($BY43:CQ43)</f>
        <v>-3320</v>
      </c>
      <c r="BY43" s="8" cm="1">
        <f t="array" ref="BY43">SUMPRODUCT(TRANSPOSE(BY$2:BY$15),$I43:$V43)</f>
        <v>0</v>
      </c>
      <c r="BZ43" s="8" cm="1">
        <f t="array" ref="BZ43">SUMPRODUCT(TRANSPOSE(BZ$2:BZ$15),$I43:$V43)</f>
        <v>0</v>
      </c>
      <c r="CA43" s="8" cm="1">
        <f t="array" ref="CA43">SUMPRODUCT(TRANSPOSE(CA$2:CA$15),$I43:$V43)</f>
        <v>0</v>
      </c>
      <c r="CB43" s="8" cm="1">
        <f t="array" ref="CB43">SUMPRODUCT(TRANSPOSE(CB$2:CB$15),$I43:$V43)</f>
        <v>0</v>
      </c>
      <c r="CC43" s="8" cm="1">
        <f t="array" ref="CC43">SUMPRODUCT(TRANSPOSE(CC$2:CC$15),$I43:$V43)</f>
        <v>0</v>
      </c>
      <c r="CD43" s="8" cm="1">
        <f t="array" ref="CD43">SUMPRODUCT(TRANSPOSE(CD$2:CD$15),$I43:$V43)</f>
        <v>0</v>
      </c>
      <c r="CE43" s="8" cm="1">
        <f t="array" ref="CE43">SUMPRODUCT(TRANSPOSE(CE$2:CE$15),$I43:$V43)</f>
        <v>0</v>
      </c>
      <c r="CF43" s="8" cm="1">
        <f t="array" ref="CF43">SUMPRODUCT(TRANSPOSE(CF$2:CF$15),$I43:$V43)</f>
        <v>0</v>
      </c>
      <c r="CG43" s="8" cm="1">
        <f t="array" ref="CG43">SUMPRODUCT(TRANSPOSE(CG$2:CG$15),$I43:$V43)</f>
        <v>200</v>
      </c>
      <c r="CH43" s="8" cm="1">
        <f t="array" ref="CH43">SUMPRODUCT(TRANSPOSE(CH$2:CH$15),$I43:$V43)</f>
        <v>300</v>
      </c>
      <c r="CI43" s="8" cm="1">
        <f t="array" ref="CI43">SUMPRODUCT(TRANSPOSE(CI$2:CI$15),$I43:$V43)</f>
        <v>500</v>
      </c>
      <c r="CJ43" s="8" cm="1">
        <f t="array" ref="CJ43">SUMPRODUCT(TRANSPOSE(CJ$2:CJ$15),$I43:$V43)</f>
        <v>400</v>
      </c>
      <c r="CK43" s="8" cm="1">
        <f t="array" ref="CK43">SUMPRODUCT(TRANSPOSE(CK$2:CK$15),$I43:$V43)</f>
        <v>400</v>
      </c>
      <c r="CL43" s="8" cm="1">
        <f t="array" ref="CL43">SUMPRODUCT(TRANSPOSE(CL$2:CL$15),$I43:$V43)</f>
        <v>400</v>
      </c>
      <c r="CM43" s="8" cm="1">
        <f t="array" ref="CM43">SUMPRODUCT(TRANSPOSE(CM$2:CM$15),$I43:$V43)</f>
        <v>600</v>
      </c>
      <c r="CN43" s="8" cm="1">
        <f t="array" ref="CN43">SUMPRODUCT(TRANSPOSE(CN$2:CN$15),$I43:$V43)</f>
        <v>520</v>
      </c>
      <c r="CO43" s="8" cm="1">
        <f t="array" ref="CO43">SUMPRODUCT(TRANSPOSE(CO$2:CO$15),$I43:$V43)</f>
        <v>0</v>
      </c>
      <c r="CP43" s="8" cm="1">
        <f t="array" ref="CP43">SUMPRODUCT(TRANSPOSE(CP$2:CP$15),$I43:$V43)</f>
        <v>0</v>
      </c>
      <c r="CQ43" s="8" cm="1">
        <f t="array" ref="CQ43">SUMPRODUCT(TRANSPOSE(CQ$2:CQ$15),$I43:$V43)</f>
        <v>0</v>
      </c>
    </row>
    <row r="44" spans="1:95" x14ac:dyDescent="0.25">
      <c r="A44" s="1">
        <v>243</v>
      </c>
      <c r="B44" s="11" t="s">
        <v>120</v>
      </c>
      <c r="C44" s="1" t="s">
        <v>49</v>
      </c>
      <c r="D44" s="1">
        <v>412449735</v>
      </c>
      <c r="E44" s="6"/>
      <c r="F44" s="1" t="s">
        <v>121</v>
      </c>
      <c r="G44" s="1" t="s">
        <v>35</v>
      </c>
      <c r="H44" s="1">
        <v>4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4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f>SUMPRODUCT(I44:V44,$I$13:$V$13)</f>
        <v>6640</v>
      </c>
      <c r="X44" s="6">
        <f t="shared" si="2"/>
        <v>34</v>
      </c>
      <c r="Y44" s="1" t="str">
        <f>VLOOKUP(D44,[1]PARTS!$A$1:$G$65536,7,0)</f>
        <v>MASSACHUSETTS BAY TECHNOLOGIE</v>
      </c>
      <c r="Z44" s="1">
        <v>1000</v>
      </c>
      <c r="AA44" s="1">
        <v>6560</v>
      </c>
      <c r="AB44" s="1">
        <f>CEILING(W44,Z44)</f>
        <v>7000</v>
      </c>
      <c r="AC44" s="1">
        <f>VLOOKUP(D44,[2]pareto!$D$12:$AX$306,47,0)</f>
        <v>8.5</v>
      </c>
      <c r="AD44" s="1" t="s">
        <v>122</v>
      </c>
      <c r="AE44" s="1" t="s">
        <v>123</v>
      </c>
      <c r="AF44" s="12" t="s">
        <v>124</v>
      </c>
      <c r="AG44" s="1" t="e">
        <f>VLOOKUP(D44,[2]pareto!$D$11:$BD$306,51)</f>
        <v>#REF!</v>
      </c>
      <c r="BG44" s="8">
        <f>SUM($BB44,$AI44:AI44)-SUM($BY44:BZ44)</f>
        <v>0</v>
      </c>
      <c r="BH44" s="8">
        <f>SUM($BB44,$AI44:AJ44)-SUM($BY44:CA44)</f>
        <v>0</v>
      </c>
      <c r="BI44" s="8">
        <f>SUM($BB44,$AI44:AK44)-SUM($BY44:CB44)</f>
        <v>0</v>
      </c>
      <c r="BJ44" s="8">
        <f>SUM($BB44,$AI44:AL44)-SUM($BY44:CC44)</f>
        <v>0</v>
      </c>
      <c r="BK44" s="8">
        <f>SUM($BB44,$AI44:AM44)-SUM($BY44:CD44)</f>
        <v>0</v>
      </c>
      <c r="BL44" s="8">
        <f>SUM($BB44,$AI44:AN44)-SUM($BY44:CE44)</f>
        <v>0</v>
      </c>
      <c r="BM44" s="8">
        <f>SUM($BB44,$AI44:AO44)-SUM($BY44:CF44)</f>
        <v>0</v>
      </c>
      <c r="BN44" s="8">
        <f>SUM($BB44,$AI44:AP44)-SUM($BY44:CG44)</f>
        <v>-400</v>
      </c>
      <c r="BO44" s="8">
        <f>SUM($BB44,$AI44:AQ44)-SUM($BY44:CH44)</f>
        <v>-1000</v>
      </c>
      <c r="BP44" s="8">
        <f>SUM($BB44,$AI44:AR44)-SUM($BY44:CI44)</f>
        <v>-2000</v>
      </c>
      <c r="BQ44" s="8">
        <f>SUM($BB44,$AI44:AS44)-SUM($BY44:CJ44)</f>
        <v>-2800</v>
      </c>
      <c r="BR44" s="8">
        <f>SUM($BB44,$AI44:AT44)-SUM($BY44:CK44)</f>
        <v>-3600</v>
      </c>
      <c r="BS44" s="8">
        <f>SUM($BB44,$AI44:AU44)-SUM($BY44:CL44)</f>
        <v>-4400</v>
      </c>
      <c r="BT44" s="8">
        <f>SUM($BB44,$AI44:AV44)-SUM($BY44:CM44)</f>
        <v>-5600</v>
      </c>
      <c r="BU44" s="8">
        <f>SUM($BB44,$AI44:AW44)-SUM($BY44:CN44)</f>
        <v>-6640</v>
      </c>
      <c r="BV44" s="8">
        <f>SUM($BB44,$AI44:AX44)-SUM($BY44:CO44)</f>
        <v>-6640</v>
      </c>
      <c r="BW44" s="8">
        <f>SUM($BB44,$AI44:AY44)-SUM($BY44:CP44)</f>
        <v>-6640</v>
      </c>
      <c r="BX44" s="8">
        <f>SUM($BB44,$AI44:AZ44)-SUM($BY44:CQ44)</f>
        <v>-6640</v>
      </c>
      <c r="BY44" s="8" cm="1">
        <f t="array" ref="BY44">SUMPRODUCT(TRANSPOSE(BY$2:BY$15),$I44:$V44)</f>
        <v>0</v>
      </c>
      <c r="BZ44" s="8" cm="1">
        <f t="array" ref="BZ44">SUMPRODUCT(TRANSPOSE(BZ$2:BZ$15),$I44:$V44)</f>
        <v>0</v>
      </c>
      <c r="CA44" s="8" cm="1">
        <f t="array" ref="CA44">SUMPRODUCT(TRANSPOSE(CA$2:CA$15),$I44:$V44)</f>
        <v>0</v>
      </c>
      <c r="CB44" s="8" cm="1">
        <f t="array" ref="CB44">SUMPRODUCT(TRANSPOSE(CB$2:CB$15),$I44:$V44)</f>
        <v>0</v>
      </c>
      <c r="CC44" s="8" cm="1">
        <f t="array" ref="CC44">SUMPRODUCT(TRANSPOSE(CC$2:CC$15),$I44:$V44)</f>
        <v>0</v>
      </c>
      <c r="CD44" s="8" cm="1">
        <f t="array" ref="CD44">SUMPRODUCT(TRANSPOSE(CD$2:CD$15),$I44:$V44)</f>
        <v>0</v>
      </c>
      <c r="CE44" s="8" cm="1">
        <f t="array" ref="CE44">SUMPRODUCT(TRANSPOSE(CE$2:CE$15),$I44:$V44)</f>
        <v>0</v>
      </c>
      <c r="CF44" s="8" cm="1">
        <f t="array" ref="CF44">SUMPRODUCT(TRANSPOSE(CF$2:CF$15),$I44:$V44)</f>
        <v>0</v>
      </c>
      <c r="CG44" s="8" cm="1">
        <f t="array" ref="CG44">SUMPRODUCT(TRANSPOSE(CG$2:CG$15),$I44:$V44)</f>
        <v>400</v>
      </c>
      <c r="CH44" s="8" cm="1">
        <f t="array" ref="CH44">SUMPRODUCT(TRANSPOSE(CH$2:CH$15),$I44:$V44)</f>
        <v>600</v>
      </c>
      <c r="CI44" s="8" cm="1">
        <f t="array" ref="CI44">SUMPRODUCT(TRANSPOSE(CI$2:CI$15),$I44:$V44)</f>
        <v>1000</v>
      </c>
      <c r="CJ44" s="8" cm="1">
        <f t="array" ref="CJ44">SUMPRODUCT(TRANSPOSE(CJ$2:CJ$15),$I44:$V44)</f>
        <v>800</v>
      </c>
      <c r="CK44" s="8" cm="1">
        <f t="array" ref="CK44">SUMPRODUCT(TRANSPOSE(CK$2:CK$15),$I44:$V44)</f>
        <v>800</v>
      </c>
      <c r="CL44" s="8" cm="1">
        <f t="array" ref="CL44">SUMPRODUCT(TRANSPOSE(CL$2:CL$15),$I44:$V44)</f>
        <v>800</v>
      </c>
      <c r="CM44" s="8" cm="1">
        <f t="array" ref="CM44">SUMPRODUCT(TRANSPOSE(CM$2:CM$15),$I44:$V44)</f>
        <v>1200</v>
      </c>
      <c r="CN44" s="8" cm="1">
        <f t="array" ref="CN44">SUMPRODUCT(TRANSPOSE(CN$2:CN$15),$I44:$V44)</f>
        <v>1040</v>
      </c>
      <c r="CO44" s="8" cm="1">
        <f t="array" ref="CO44">SUMPRODUCT(TRANSPOSE(CO$2:CO$15),$I44:$V44)</f>
        <v>0</v>
      </c>
      <c r="CP44" s="8" cm="1">
        <f t="array" ref="CP44">SUMPRODUCT(TRANSPOSE(CP$2:CP$15),$I44:$V44)</f>
        <v>0</v>
      </c>
      <c r="CQ44" s="8" cm="1">
        <f t="array" ref="CQ44">SUMPRODUCT(TRANSPOSE(CQ$2:CQ$15),$I44:$V44)</f>
        <v>0</v>
      </c>
    </row>
    <row r="45" spans="1:95" x14ac:dyDescent="0.25">
      <c r="A45" s="1">
        <v>24</v>
      </c>
      <c r="B45" s="11" t="s">
        <v>125</v>
      </c>
      <c r="C45" s="1" t="s">
        <v>68</v>
      </c>
      <c r="D45" s="1">
        <v>400969533</v>
      </c>
      <c r="E45" s="6"/>
      <c r="F45" s="1" t="s">
        <v>126</v>
      </c>
      <c r="G45" s="1" t="s">
        <v>35</v>
      </c>
      <c r="H45" s="1">
        <v>1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1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f>SUMPRODUCT(I45:V45,$I$13:$V$13)</f>
        <v>1660</v>
      </c>
      <c r="X45" s="6">
        <f t="shared" si="2"/>
        <v>1.03</v>
      </c>
      <c r="Y45" s="1" t="str">
        <f>VLOOKUP(D45,[1]PARTS!$A$1:$G$65536,7,0)</f>
        <v/>
      </c>
      <c r="Z45" s="1">
        <v>1</v>
      </c>
      <c r="AA45" s="1">
        <v>1640</v>
      </c>
      <c r="AB45" s="1">
        <f>CEILING(W45,Z45)</f>
        <v>1660</v>
      </c>
      <c r="AC45" s="1">
        <f>VLOOKUP(D45,[2]pareto!$D$12:$AX$306,47,0)</f>
        <v>1.03</v>
      </c>
      <c r="AD45" s="1" t="s">
        <v>70</v>
      </c>
      <c r="AE45" s="1" t="s">
        <v>70</v>
      </c>
      <c r="AF45" s="1" t="str">
        <f>VLOOKUP(D45,[2]pareto!$D$11:$BD$306,52,0)</f>
        <v>tnp@wave-mechanics.com</v>
      </c>
      <c r="AG45" s="1" t="e">
        <f>VLOOKUP(D45,[2]pareto!$D$11:$BD$306,51)</f>
        <v>#REF!</v>
      </c>
      <c r="BG45" s="8">
        <f>SUM($BB45,$AI45:AI45)-SUM($BY45:BZ45)</f>
        <v>0</v>
      </c>
      <c r="BH45" s="8">
        <f>SUM($BB45,$AI45:AJ45)-SUM($BY45:CA45)</f>
        <v>0</v>
      </c>
      <c r="BI45" s="8">
        <f>SUM($BB45,$AI45:AK45)-SUM($BY45:CB45)</f>
        <v>0</v>
      </c>
      <c r="BJ45" s="8">
        <f>SUM($BB45,$AI45:AL45)-SUM($BY45:CC45)</f>
        <v>0</v>
      </c>
      <c r="BK45" s="8">
        <f>SUM($BB45,$AI45:AM45)-SUM($BY45:CD45)</f>
        <v>0</v>
      </c>
      <c r="BL45" s="8">
        <f>SUM($BB45,$AI45:AN45)-SUM($BY45:CE45)</f>
        <v>0</v>
      </c>
      <c r="BM45" s="8">
        <f>SUM($BB45,$AI45:AO45)-SUM($BY45:CF45)</f>
        <v>0</v>
      </c>
      <c r="BN45" s="8">
        <f>SUM($BB45,$AI45:AP45)-SUM($BY45:CG45)</f>
        <v>0</v>
      </c>
      <c r="BO45" s="8">
        <f>SUM($BB45,$AI45:AQ45)-SUM($BY45:CH45)</f>
        <v>-100</v>
      </c>
      <c r="BP45" s="8">
        <f>SUM($BB45,$AI45:AR45)-SUM($BY45:CI45)</f>
        <v>-250</v>
      </c>
      <c r="BQ45" s="8">
        <f>SUM($BB45,$AI45:AS45)-SUM($BY45:CJ45)</f>
        <v>-500</v>
      </c>
      <c r="BR45" s="8">
        <f>SUM($BB45,$AI45:AT45)-SUM($BY45:CK45)</f>
        <v>-700</v>
      </c>
      <c r="BS45" s="8">
        <f>SUM($BB45,$AI45:AU45)-SUM($BY45:CL45)</f>
        <v>-900</v>
      </c>
      <c r="BT45" s="8">
        <f>SUM($BB45,$AI45:AV45)-SUM($BY45:CM45)</f>
        <v>-1100</v>
      </c>
      <c r="BU45" s="8">
        <f>SUM($BB45,$AI45:AW45)-SUM($BY45:CN45)</f>
        <v>-1400</v>
      </c>
      <c r="BV45" s="8">
        <f>SUM($BB45,$AI45:AX45)-SUM($BY45:CO45)</f>
        <v>-1660</v>
      </c>
      <c r="BW45" s="8">
        <f>SUM($BB45,$AI45:AY45)-SUM($BY45:CP45)</f>
        <v>-1660</v>
      </c>
      <c r="BX45" s="8">
        <f>SUM($BB45,$AI45:AZ45)-SUM($BY45:CQ45)</f>
        <v>-1660</v>
      </c>
      <c r="BY45" s="8" cm="1">
        <f t="array" ref="BY45">SUMPRODUCT(TRANSPOSE(BY$2:BY$15),$I45:$V45)</f>
        <v>0</v>
      </c>
      <c r="BZ45" s="8" cm="1">
        <f t="array" ref="BZ45">SUMPRODUCT(TRANSPOSE(BZ$2:BZ$15),$I45:$V45)</f>
        <v>0</v>
      </c>
      <c r="CA45" s="8" cm="1">
        <f t="array" ref="CA45">SUMPRODUCT(TRANSPOSE(CA$2:CA$15),$I45:$V45)</f>
        <v>0</v>
      </c>
      <c r="CB45" s="8" cm="1">
        <f t="array" ref="CB45">SUMPRODUCT(TRANSPOSE(CB$2:CB$15),$I45:$V45)</f>
        <v>0</v>
      </c>
      <c r="CC45" s="8" cm="1">
        <f t="array" ref="CC45">SUMPRODUCT(TRANSPOSE(CC$2:CC$15),$I45:$V45)</f>
        <v>0</v>
      </c>
      <c r="CD45" s="8" cm="1">
        <f t="array" ref="CD45">SUMPRODUCT(TRANSPOSE(CD$2:CD$15),$I45:$V45)</f>
        <v>0</v>
      </c>
      <c r="CE45" s="8" cm="1">
        <f t="array" ref="CE45">SUMPRODUCT(TRANSPOSE(CE$2:CE$15),$I45:$V45)</f>
        <v>0</v>
      </c>
      <c r="CF45" s="8" cm="1">
        <f t="array" ref="CF45">SUMPRODUCT(TRANSPOSE(CF$2:CF$15),$I45:$V45)</f>
        <v>0</v>
      </c>
      <c r="CG45" s="8" cm="1">
        <f t="array" ref="CG45">SUMPRODUCT(TRANSPOSE(CG$2:CG$15),$I45:$V45)</f>
        <v>0</v>
      </c>
      <c r="CH45" s="8" cm="1">
        <f t="array" ref="CH45">SUMPRODUCT(TRANSPOSE(CH$2:CH$15),$I45:$V45)</f>
        <v>100</v>
      </c>
      <c r="CI45" s="8" cm="1">
        <f t="array" ref="CI45">SUMPRODUCT(TRANSPOSE(CI$2:CI$15),$I45:$V45)</f>
        <v>150</v>
      </c>
      <c r="CJ45" s="8" cm="1">
        <f t="array" ref="CJ45">SUMPRODUCT(TRANSPOSE(CJ$2:CJ$15),$I45:$V45)</f>
        <v>250</v>
      </c>
      <c r="CK45" s="8" cm="1">
        <f t="array" ref="CK45">SUMPRODUCT(TRANSPOSE(CK$2:CK$15),$I45:$V45)</f>
        <v>200</v>
      </c>
      <c r="CL45" s="8" cm="1">
        <f t="array" ref="CL45">SUMPRODUCT(TRANSPOSE(CL$2:CL$15),$I45:$V45)</f>
        <v>200</v>
      </c>
      <c r="CM45" s="8" cm="1">
        <f t="array" ref="CM45">SUMPRODUCT(TRANSPOSE(CM$2:CM$15),$I45:$V45)</f>
        <v>200</v>
      </c>
      <c r="CN45" s="8" cm="1">
        <f t="array" ref="CN45">SUMPRODUCT(TRANSPOSE(CN$2:CN$15),$I45:$V45)</f>
        <v>300</v>
      </c>
      <c r="CO45" s="8" cm="1">
        <f t="array" ref="CO45">SUMPRODUCT(TRANSPOSE(CO$2:CO$15),$I45:$V45)</f>
        <v>260</v>
      </c>
      <c r="CP45" s="8" cm="1">
        <f t="array" ref="CP45">SUMPRODUCT(TRANSPOSE(CP$2:CP$15),$I45:$V45)</f>
        <v>0</v>
      </c>
      <c r="CQ45" s="8" cm="1">
        <f t="array" ref="CQ45">SUMPRODUCT(TRANSPOSE(CQ$2:CQ$15),$I45:$V45)</f>
        <v>0</v>
      </c>
    </row>
    <row r="46" spans="1:95" x14ac:dyDescent="0.25">
      <c r="A46" s="1">
        <v>77</v>
      </c>
      <c r="B46" s="11" t="s">
        <v>127</v>
      </c>
      <c r="C46" s="1" t="s">
        <v>49</v>
      </c>
      <c r="D46" s="1">
        <v>405579850</v>
      </c>
      <c r="E46" s="6"/>
      <c r="F46" s="1" t="s">
        <v>128</v>
      </c>
      <c r="G46" s="1" t="s">
        <v>35</v>
      </c>
      <c r="H46" s="1">
        <v>4</v>
      </c>
      <c r="I46" s="1">
        <v>0</v>
      </c>
      <c r="J46" s="1">
        <v>0</v>
      </c>
      <c r="K46" s="1">
        <v>2</v>
      </c>
      <c r="L46" s="1">
        <v>0</v>
      </c>
      <c r="M46" s="1">
        <v>0</v>
      </c>
      <c r="N46" s="1">
        <v>0</v>
      </c>
      <c r="O46" s="1">
        <v>0</v>
      </c>
      <c r="P46" s="1">
        <v>2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f>SUMPRODUCT(I46:V46,$I$13:$V$13)</f>
        <v>6420</v>
      </c>
      <c r="X46" s="6">
        <f t="shared" si="2"/>
        <v>36.423999999999999</v>
      </c>
      <c r="Y46" s="1" t="str">
        <f>VLOOKUP(D46,[1]PARTS!$A$1:$G$65536,7,0)</f>
        <v>ROSENBERGER</v>
      </c>
      <c r="Z46" s="1">
        <v>1</v>
      </c>
      <c r="AA46" s="1">
        <v>6340</v>
      </c>
      <c r="AB46" s="1">
        <f>CEILING(W46,Z46)</f>
        <v>6420</v>
      </c>
      <c r="AC46" s="1">
        <v>9.1059999999999999</v>
      </c>
      <c r="AD46" s="1" t="s">
        <v>122</v>
      </c>
      <c r="AE46" s="1" t="s">
        <v>123</v>
      </c>
      <c r="AF46" s="12" t="s">
        <v>124</v>
      </c>
      <c r="AG46" s="1" t="e">
        <f>VLOOKUP(D46,[2]pareto!$D$11:$BD$306,51)</f>
        <v>#REF!</v>
      </c>
      <c r="BG46" s="8">
        <f>SUM($BB46,$AI46:AI46)-SUM($BY46:BZ46)</f>
        <v>0</v>
      </c>
      <c r="BH46" s="8">
        <f>SUM($BB46,$AI46:AJ46)-SUM($BY46:CA46)</f>
        <v>0</v>
      </c>
      <c r="BI46" s="8">
        <f>SUM($BB46,$AI46:AK46)-SUM($BY46:CB46)</f>
        <v>0</v>
      </c>
      <c r="BJ46" s="8">
        <f>SUM($BB46,$AI46:AL46)-SUM($BY46:CC46)</f>
        <v>0</v>
      </c>
      <c r="BK46" s="8">
        <f>SUM($BB46,$AI46:AM46)-SUM($BY46:CD46)</f>
        <v>0</v>
      </c>
      <c r="BL46" s="8">
        <f>SUM($BB46,$AI46:AN46)-SUM($BY46:CE46)</f>
        <v>0</v>
      </c>
      <c r="BM46" s="8">
        <f>SUM($BB46,$AI46:AO46)-SUM($BY46:CF46)</f>
        <v>0</v>
      </c>
      <c r="BN46" s="8">
        <f>SUM($BB46,$AI46:AP46)-SUM($BY46:CG46)</f>
        <v>0</v>
      </c>
      <c r="BO46" s="8">
        <f>SUM($BB46,$AI46:AQ46)-SUM($BY46:CH46)</f>
        <v>-400</v>
      </c>
      <c r="BP46" s="8">
        <f>SUM($BB46,$AI46:AR46)-SUM($BY46:CI46)</f>
        <v>-1000</v>
      </c>
      <c r="BQ46" s="8">
        <f>SUM($BB46,$AI46:AS46)-SUM($BY46:CJ46)</f>
        <v>-2000</v>
      </c>
      <c r="BR46" s="8">
        <f>SUM($BB46,$AI46:AT46)-SUM($BY46:CK46)</f>
        <v>-2840</v>
      </c>
      <c r="BS46" s="8">
        <f>SUM($BB46,$AI46:AU46)-SUM($BY46:CL46)</f>
        <v>-3640</v>
      </c>
      <c r="BT46" s="8">
        <f>SUM($BB46,$AI46:AV46)-SUM($BY46:CM46)</f>
        <v>-4340</v>
      </c>
      <c r="BU46" s="8">
        <f>SUM($BB46,$AI46:AW46)-SUM($BY46:CN46)</f>
        <v>-5420</v>
      </c>
      <c r="BV46" s="8">
        <f>SUM($BB46,$AI46:AX46)-SUM($BY46:CO46)</f>
        <v>-6420</v>
      </c>
      <c r="BW46" s="8">
        <f>SUM($BB46,$AI46:AY46)-SUM($BY46:CP46)</f>
        <v>-6420</v>
      </c>
      <c r="BX46" s="8">
        <f>SUM($BB46,$AI46:AZ46)-SUM($BY46:CQ46)</f>
        <v>-6420</v>
      </c>
      <c r="BY46" s="8" cm="1">
        <f t="array" ref="BY46">SUMPRODUCT(TRANSPOSE(BY$2:BY$15),$I46:$V46)</f>
        <v>0</v>
      </c>
      <c r="BZ46" s="8" cm="1">
        <f t="array" ref="BZ46">SUMPRODUCT(TRANSPOSE(BZ$2:BZ$15),$I46:$V46)</f>
        <v>0</v>
      </c>
      <c r="CA46" s="8" cm="1">
        <f t="array" ref="CA46">SUMPRODUCT(TRANSPOSE(CA$2:CA$15),$I46:$V46)</f>
        <v>0</v>
      </c>
      <c r="CB46" s="8" cm="1">
        <f t="array" ref="CB46">SUMPRODUCT(TRANSPOSE(CB$2:CB$15),$I46:$V46)</f>
        <v>0</v>
      </c>
      <c r="CC46" s="8" cm="1">
        <f t="array" ref="CC46">SUMPRODUCT(TRANSPOSE(CC$2:CC$15),$I46:$V46)</f>
        <v>0</v>
      </c>
      <c r="CD46" s="8" cm="1">
        <f t="array" ref="CD46">SUMPRODUCT(TRANSPOSE(CD$2:CD$15),$I46:$V46)</f>
        <v>0</v>
      </c>
      <c r="CE46" s="8" cm="1">
        <f t="array" ref="CE46">SUMPRODUCT(TRANSPOSE(CE$2:CE$15),$I46:$V46)</f>
        <v>0</v>
      </c>
      <c r="CF46" s="8" cm="1">
        <f t="array" ref="CF46">SUMPRODUCT(TRANSPOSE(CF$2:CF$15),$I46:$V46)</f>
        <v>0</v>
      </c>
      <c r="CG46" s="8" cm="1">
        <f t="array" ref="CG46">SUMPRODUCT(TRANSPOSE(CG$2:CG$15),$I46:$V46)</f>
        <v>0</v>
      </c>
      <c r="CH46" s="8" cm="1">
        <f t="array" ref="CH46">SUMPRODUCT(TRANSPOSE(CH$2:CH$15),$I46:$V46)</f>
        <v>400</v>
      </c>
      <c r="CI46" s="8" cm="1">
        <f t="array" ref="CI46">SUMPRODUCT(TRANSPOSE(CI$2:CI$15),$I46:$V46)</f>
        <v>600</v>
      </c>
      <c r="CJ46" s="8" cm="1">
        <f t="array" ref="CJ46">SUMPRODUCT(TRANSPOSE(CJ$2:CJ$15),$I46:$V46)</f>
        <v>1000</v>
      </c>
      <c r="CK46" s="8" cm="1">
        <f t="array" ref="CK46">SUMPRODUCT(TRANSPOSE(CK$2:CK$15),$I46:$V46)</f>
        <v>840</v>
      </c>
      <c r="CL46" s="8" cm="1">
        <f t="array" ref="CL46">SUMPRODUCT(TRANSPOSE(CL$2:CL$15),$I46:$V46)</f>
        <v>800</v>
      </c>
      <c r="CM46" s="8" cm="1">
        <f t="array" ref="CM46">SUMPRODUCT(TRANSPOSE(CM$2:CM$15),$I46:$V46)</f>
        <v>700</v>
      </c>
      <c r="CN46" s="8" cm="1">
        <f t="array" ref="CN46">SUMPRODUCT(TRANSPOSE(CN$2:CN$15),$I46:$V46)</f>
        <v>1080</v>
      </c>
      <c r="CO46" s="8" cm="1">
        <f t="array" ref="CO46">SUMPRODUCT(TRANSPOSE(CO$2:CO$15),$I46:$V46)</f>
        <v>1000</v>
      </c>
      <c r="CP46" s="8" cm="1">
        <f t="array" ref="CP46">SUMPRODUCT(TRANSPOSE(CP$2:CP$15),$I46:$V46)</f>
        <v>0</v>
      </c>
      <c r="CQ46" s="8" cm="1">
        <f t="array" ref="CQ46">SUMPRODUCT(TRANSPOSE(CQ$2:CQ$15),$I46:$V46)</f>
        <v>0</v>
      </c>
    </row>
    <row r="47" spans="1:95" x14ac:dyDescent="0.25">
      <c r="A47" s="13">
        <v>273</v>
      </c>
      <c r="B47" s="16" t="s">
        <v>129</v>
      </c>
      <c r="C47" s="13" t="s">
        <v>49</v>
      </c>
      <c r="D47" s="13">
        <v>400123225</v>
      </c>
      <c r="E47" s="6"/>
      <c r="F47" s="13" t="s">
        <v>130</v>
      </c>
      <c r="G47" s="17" t="s">
        <v>35</v>
      </c>
      <c r="H47" s="17">
        <v>48</v>
      </c>
      <c r="I47" s="17">
        <v>0</v>
      </c>
      <c r="J47" s="17">
        <v>0</v>
      </c>
      <c r="K47" s="17">
        <v>0</v>
      </c>
      <c r="L47" s="17">
        <v>20</v>
      </c>
      <c r="M47" s="17">
        <v>0</v>
      </c>
      <c r="N47" s="17">
        <v>0</v>
      </c>
      <c r="O47" s="17">
        <v>0</v>
      </c>
      <c r="P47" s="17">
        <v>0</v>
      </c>
      <c r="Q47" s="17">
        <v>28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3">
        <f>SUMPRODUCT(I47:V47,$I$13:$V$13)</f>
        <v>77480</v>
      </c>
      <c r="X47" s="6">
        <f t="shared" si="2"/>
        <v>0</v>
      </c>
      <c r="Y47" s="17" t="str">
        <f>VLOOKUP(D47,[1]PARTS!$A$1:$G$65536,7,0)</f>
        <v>MURATA MANUFACTURING CO. LTD</v>
      </c>
      <c r="Z47" s="13" t="s">
        <v>131</v>
      </c>
      <c r="AA47" s="13" t="s">
        <v>131</v>
      </c>
      <c r="AB47" s="13">
        <v>76520</v>
      </c>
      <c r="AC47" s="13">
        <v>0</v>
      </c>
      <c r="AD47" s="13" t="s">
        <v>131</v>
      </c>
      <c r="AE47" s="13" t="s">
        <v>131</v>
      </c>
      <c r="AF47" s="13" t="s">
        <v>131</v>
      </c>
      <c r="AG47" s="13" t="s">
        <v>131</v>
      </c>
      <c r="AH47" s="13" t="s">
        <v>131</v>
      </c>
      <c r="BG47" s="8">
        <f>SUM($BB47,$AI47:AI47)-SUM($BY47:BZ47)</f>
        <v>0</v>
      </c>
      <c r="BH47" s="8">
        <f>SUM($BB47,$AI47:AJ47)-SUM($BY47:CA47)</f>
        <v>0</v>
      </c>
      <c r="BI47" s="8">
        <f>SUM($BB47,$AI47:AK47)-SUM($BY47:CB47)</f>
        <v>0</v>
      </c>
      <c r="BJ47" s="8">
        <f>SUM($BB47,$AI47:AL47)-SUM($BY47:CC47)</f>
        <v>0</v>
      </c>
      <c r="BK47" s="8">
        <f>SUM($BB47,$AI47:AM47)-SUM($BY47:CD47)</f>
        <v>0</v>
      </c>
      <c r="BL47" s="8">
        <f>SUM($BB47,$AI47:AN47)-SUM($BY47:CE47)</f>
        <v>0</v>
      </c>
      <c r="BM47" s="8">
        <f>SUM($BB47,$AI47:AO47)-SUM($BY47:CF47)</f>
        <v>0</v>
      </c>
      <c r="BN47" s="8">
        <f>SUM($BB47,$AI47:AP47)-SUM($BY47:CG47)</f>
        <v>-4800</v>
      </c>
      <c r="BO47" s="8">
        <f>SUM($BB47,$AI47:AQ47)-SUM($BY47:CH47)</f>
        <v>-12000</v>
      </c>
      <c r="BP47" s="8">
        <f>SUM($BB47,$AI47:AR47)-SUM($BY47:CI47)</f>
        <v>-24000</v>
      </c>
      <c r="BQ47" s="8">
        <f>SUM($BB47,$AI47:AS47)-SUM($BY47:CJ47)</f>
        <v>-34000</v>
      </c>
      <c r="BR47" s="8">
        <f>SUM($BB47,$AI47:AT47)-SUM($BY47:CK47)</f>
        <v>-43600</v>
      </c>
      <c r="BS47" s="8">
        <f>SUM($BB47,$AI47:AU47)-SUM($BY47:CL47)</f>
        <v>-52200</v>
      </c>
      <c r="BT47" s="8">
        <f>SUM($BB47,$AI47:AV47)-SUM($BY47:CM47)</f>
        <v>-65400</v>
      </c>
      <c r="BU47" s="8">
        <f>SUM($BB47,$AI47:AW47)-SUM($BY47:CN47)</f>
        <v>-77480</v>
      </c>
      <c r="BV47" s="8">
        <f>SUM($BB47,$AI47:AX47)-SUM($BY47:CO47)</f>
        <v>-77480</v>
      </c>
      <c r="BW47" s="8">
        <f>SUM($BB47,$AI47:AY47)-SUM($BY47:CP47)</f>
        <v>-77480</v>
      </c>
      <c r="BX47" s="8">
        <f>SUM($BB47,$AI47:AZ47)-SUM($BY47:CQ47)</f>
        <v>-77480</v>
      </c>
      <c r="BY47" s="8" cm="1">
        <f t="array" ref="BY47">SUMPRODUCT(TRANSPOSE(BY$2:BY$15),$I47:$V47)</f>
        <v>0</v>
      </c>
      <c r="BZ47" s="8" cm="1">
        <f t="array" ref="BZ47">SUMPRODUCT(TRANSPOSE(BZ$2:BZ$15),$I47:$V47)</f>
        <v>0</v>
      </c>
      <c r="CA47" s="8" cm="1">
        <f t="array" ref="CA47">SUMPRODUCT(TRANSPOSE(CA$2:CA$15),$I47:$V47)</f>
        <v>0</v>
      </c>
      <c r="CB47" s="8" cm="1">
        <f t="array" ref="CB47">SUMPRODUCT(TRANSPOSE(CB$2:CB$15),$I47:$V47)</f>
        <v>0</v>
      </c>
      <c r="CC47" s="8" cm="1">
        <f t="array" ref="CC47">SUMPRODUCT(TRANSPOSE(CC$2:CC$15),$I47:$V47)</f>
        <v>0</v>
      </c>
      <c r="CD47" s="8" cm="1">
        <f t="array" ref="CD47">SUMPRODUCT(TRANSPOSE(CD$2:CD$15),$I47:$V47)</f>
        <v>0</v>
      </c>
      <c r="CE47" s="8" cm="1">
        <f t="array" ref="CE47">SUMPRODUCT(TRANSPOSE(CE$2:CE$15),$I47:$V47)</f>
        <v>0</v>
      </c>
      <c r="CF47" s="8" cm="1">
        <f t="array" ref="CF47">SUMPRODUCT(TRANSPOSE(CF$2:CF$15),$I47:$V47)</f>
        <v>0</v>
      </c>
      <c r="CG47" s="8" cm="1">
        <f t="array" ref="CG47">SUMPRODUCT(TRANSPOSE(CG$2:CG$15),$I47:$V47)</f>
        <v>4800</v>
      </c>
      <c r="CH47" s="8" cm="1">
        <f t="array" ref="CH47">SUMPRODUCT(TRANSPOSE(CH$2:CH$15),$I47:$V47)</f>
        <v>7200</v>
      </c>
      <c r="CI47" s="8" cm="1">
        <f t="array" ref="CI47">SUMPRODUCT(TRANSPOSE(CI$2:CI$15),$I47:$V47)</f>
        <v>12000</v>
      </c>
      <c r="CJ47" s="8" cm="1">
        <f t="array" ref="CJ47">SUMPRODUCT(TRANSPOSE(CJ$2:CJ$15),$I47:$V47)</f>
        <v>10000</v>
      </c>
      <c r="CK47" s="8" cm="1">
        <f t="array" ref="CK47">SUMPRODUCT(TRANSPOSE(CK$2:CK$15),$I47:$V47)</f>
        <v>9600</v>
      </c>
      <c r="CL47" s="8" cm="1">
        <f t="array" ref="CL47">SUMPRODUCT(TRANSPOSE(CL$2:CL$15),$I47:$V47)</f>
        <v>8600</v>
      </c>
      <c r="CM47" s="8" cm="1">
        <f t="array" ref="CM47">SUMPRODUCT(TRANSPOSE(CM$2:CM$15),$I47:$V47)</f>
        <v>13200</v>
      </c>
      <c r="CN47" s="8" cm="1">
        <f t="array" ref="CN47">SUMPRODUCT(TRANSPOSE(CN$2:CN$15),$I47:$V47)</f>
        <v>12080</v>
      </c>
      <c r="CO47" s="8" cm="1">
        <f t="array" ref="CO47">SUMPRODUCT(TRANSPOSE(CO$2:CO$15),$I47:$V47)</f>
        <v>0</v>
      </c>
      <c r="CP47" s="8" cm="1">
        <f t="array" ref="CP47">SUMPRODUCT(TRANSPOSE(CP$2:CP$15),$I47:$V47)</f>
        <v>0</v>
      </c>
      <c r="CQ47" s="8" cm="1">
        <f t="array" ref="CQ47">SUMPRODUCT(TRANSPOSE(CQ$2:CQ$15),$I47:$V47)</f>
        <v>0</v>
      </c>
    </row>
    <row r="48" spans="1:95" x14ac:dyDescent="0.25">
      <c r="A48" s="13">
        <v>272</v>
      </c>
      <c r="B48" s="18" t="s">
        <v>132</v>
      </c>
      <c r="C48" s="13" t="s">
        <v>49</v>
      </c>
      <c r="D48" s="13">
        <v>400359927</v>
      </c>
      <c r="E48" s="6">
        <f>VLOOKUP(D48,FFF!$A$2:$B$674,2,)</f>
        <v>415895808</v>
      </c>
      <c r="F48" s="13" t="s">
        <v>133</v>
      </c>
      <c r="G48" s="17" t="s">
        <v>35</v>
      </c>
      <c r="H48" s="17">
        <v>24</v>
      </c>
      <c r="I48" s="17">
        <v>0</v>
      </c>
      <c r="J48" s="17">
        <v>0</v>
      </c>
      <c r="K48" s="17">
        <v>0</v>
      </c>
      <c r="L48" s="17">
        <v>12</v>
      </c>
      <c r="M48" s="17">
        <v>0</v>
      </c>
      <c r="N48" s="17">
        <v>0</v>
      </c>
      <c r="O48" s="17">
        <v>0</v>
      </c>
      <c r="P48" s="17">
        <v>0</v>
      </c>
      <c r="Q48" s="17">
        <v>12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3">
        <f>SUMPRODUCT(I48:V48,$I$13:$V$13)</f>
        <v>38520</v>
      </c>
      <c r="X48" s="6">
        <f t="shared" si="2"/>
        <v>0</v>
      </c>
      <c r="Y48" s="17" t="str">
        <f>VLOOKUP(D48,[1]PARTS!$A$1:$G$65536,7,0)</f>
        <v>MURATA MANUFACTURING CO. LTD</v>
      </c>
      <c r="Z48" s="13" t="s">
        <v>131</v>
      </c>
      <c r="AA48" s="13" t="s">
        <v>131</v>
      </c>
      <c r="AB48" s="13">
        <v>38040</v>
      </c>
      <c r="AC48" s="13">
        <v>0</v>
      </c>
      <c r="AD48" s="13" t="s">
        <v>131</v>
      </c>
      <c r="AE48" s="13" t="s">
        <v>131</v>
      </c>
      <c r="AF48" s="13" t="s">
        <v>131</v>
      </c>
      <c r="AG48" s="13" t="s">
        <v>131</v>
      </c>
      <c r="AH48" s="13" t="s">
        <v>131</v>
      </c>
      <c r="BG48" s="8">
        <f>SUM($BB48,$AI48:AI48)-SUM($BY48:BZ48)</f>
        <v>0</v>
      </c>
      <c r="BH48" s="8">
        <f>SUM($BB48,$AI48:AJ48)-SUM($BY48:CA48)</f>
        <v>0</v>
      </c>
      <c r="BI48" s="8">
        <f>SUM($BB48,$AI48:AK48)-SUM($BY48:CB48)</f>
        <v>0</v>
      </c>
      <c r="BJ48" s="8">
        <f>SUM($BB48,$AI48:AL48)-SUM($BY48:CC48)</f>
        <v>0</v>
      </c>
      <c r="BK48" s="8">
        <f>SUM($BB48,$AI48:AM48)-SUM($BY48:CD48)</f>
        <v>0</v>
      </c>
      <c r="BL48" s="8">
        <f>SUM($BB48,$AI48:AN48)-SUM($BY48:CE48)</f>
        <v>0</v>
      </c>
      <c r="BM48" s="8">
        <f>SUM($BB48,$AI48:AO48)-SUM($BY48:CF48)</f>
        <v>0</v>
      </c>
      <c r="BN48" s="8">
        <f>SUM($BB48,$AI48:AP48)-SUM($BY48:CG48)</f>
        <v>-2400</v>
      </c>
      <c r="BO48" s="8">
        <f>SUM($BB48,$AI48:AQ48)-SUM($BY48:CH48)</f>
        <v>-6000</v>
      </c>
      <c r="BP48" s="8">
        <f>SUM($BB48,$AI48:AR48)-SUM($BY48:CI48)</f>
        <v>-12000</v>
      </c>
      <c r="BQ48" s="8">
        <f>SUM($BB48,$AI48:AS48)-SUM($BY48:CJ48)</f>
        <v>-17040</v>
      </c>
      <c r="BR48" s="8">
        <f>SUM($BB48,$AI48:AT48)-SUM($BY48:CK48)</f>
        <v>-21840</v>
      </c>
      <c r="BS48" s="8">
        <f>SUM($BB48,$AI48:AU48)-SUM($BY48:CL48)</f>
        <v>-26040</v>
      </c>
      <c r="BT48" s="8">
        <f>SUM($BB48,$AI48:AV48)-SUM($BY48:CM48)</f>
        <v>-32520</v>
      </c>
      <c r="BU48" s="8">
        <f>SUM($BB48,$AI48:AW48)-SUM($BY48:CN48)</f>
        <v>-38520</v>
      </c>
      <c r="BV48" s="8">
        <f>SUM($BB48,$AI48:AX48)-SUM($BY48:CO48)</f>
        <v>-38520</v>
      </c>
      <c r="BW48" s="8">
        <f>SUM($BB48,$AI48:AY48)-SUM($BY48:CP48)</f>
        <v>-38520</v>
      </c>
      <c r="BX48" s="8">
        <f>SUM($BB48,$AI48:AZ48)-SUM($BY48:CQ48)</f>
        <v>-38520</v>
      </c>
      <c r="BY48" s="8" cm="1">
        <f t="array" ref="BY48">SUMPRODUCT(TRANSPOSE(BY$2:BY$15),$I48:$V48)</f>
        <v>0</v>
      </c>
      <c r="BZ48" s="8" cm="1">
        <f t="array" ref="BZ48">SUMPRODUCT(TRANSPOSE(BZ$2:BZ$15),$I48:$V48)</f>
        <v>0</v>
      </c>
      <c r="CA48" s="8" cm="1">
        <f t="array" ref="CA48">SUMPRODUCT(TRANSPOSE(CA$2:CA$15),$I48:$V48)</f>
        <v>0</v>
      </c>
      <c r="CB48" s="8" cm="1">
        <f t="array" ref="CB48">SUMPRODUCT(TRANSPOSE(CB$2:CB$15),$I48:$V48)</f>
        <v>0</v>
      </c>
      <c r="CC48" s="8" cm="1">
        <f t="array" ref="CC48">SUMPRODUCT(TRANSPOSE(CC$2:CC$15),$I48:$V48)</f>
        <v>0</v>
      </c>
      <c r="CD48" s="8" cm="1">
        <f t="array" ref="CD48">SUMPRODUCT(TRANSPOSE(CD$2:CD$15),$I48:$V48)</f>
        <v>0</v>
      </c>
      <c r="CE48" s="8" cm="1">
        <f t="array" ref="CE48">SUMPRODUCT(TRANSPOSE(CE$2:CE$15),$I48:$V48)</f>
        <v>0</v>
      </c>
      <c r="CF48" s="8" cm="1">
        <f t="array" ref="CF48">SUMPRODUCT(TRANSPOSE(CF$2:CF$15),$I48:$V48)</f>
        <v>0</v>
      </c>
      <c r="CG48" s="8" cm="1">
        <f t="array" ref="CG48">SUMPRODUCT(TRANSPOSE(CG$2:CG$15),$I48:$V48)</f>
        <v>2400</v>
      </c>
      <c r="CH48" s="8" cm="1">
        <f t="array" ref="CH48">SUMPRODUCT(TRANSPOSE(CH$2:CH$15),$I48:$V48)</f>
        <v>3600</v>
      </c>
      <c r="CI48" s="8" cm="1">
        <f t="array" ref="CI48">SUMPRODUCT(TRANSPOSE(CI$2:CI$15),$I48:$V48)</f>
        <v>6000</v>
      </c>
      <c r="CJ48" s="8" cm="1">
        <f t="array" ref="CJ48">SUMPRODUCT(TRANSPOSE(CJ$2:CJ$15),$I48:$V48)</f>
        <v>5040</v>
      </c>
      <c r="CK48" s="8" cm="1">
        <f t="array" ref="CK48">SUMPRODUCT(TRANSPOSE(CK$2:CK$15),$I48:$V48)</f>
        <v>4800</v>
      </c>
      <c r="CL48" s="8" cm="1">
        <f t="array" ref="CL48">SUMPRODUCT(TRANSPOSE(CL$2:CL$15),$I48:$V48)</f>
        <v>4200</v>
      </c>
      <c r="CM48" s="8" cm="1">
        <f t="array" ref="CM48">SUMPRODUCT(TRANSPOSE(CM$2:CM$15),$I48:$V48)</f>
        <v>6480</v>
      </c>
      <c r="CN48" s="8" cm="1">
        <f t="array" ref="CN48">SUMPRODUCT(TRANSPOSE(CN$2:CN$15),$I48:$V48)</f>
        <v>6000</v>
      </c>
      <c r="CO48" s="8" cm="1">
        <f t="array" ref="CO48">SUMPRODUCT(TRANSPOSE(CO$2:CO$15),$I48:$V48)</f>
        <v>0</v>
      </c>
      <c r="CP48" s="8" cm="1">
        <f t="array" ref="CP48">SUMPRODUCT(TRANSPOSE(CP$2:CP$15),$I48:$V48)</f>
        <v>0</v>
      </c>
      <c r="CQ48" s="8" cm="1">
        <f t="array" ref="CQ48">SUMPRODUCT(TRANSPOSE(CQ$2:CQ$15),$I48:$V48)</f>
        <v>0</v>
      </c>
    </row>
    <row r="49" spans="1:95" s="13" customFormat="1" x14ac:dyDescent="0.25">
      <c r="A49" s="1">
        <v>260</v>
      </c>
      <c r="B49" s="11" t="s">
        <v>134</v>
      </c>
      <c r="C49" s="1" t="s">
        <v>49</v>
      </c>
      <c r="D49" s="1">
        <v>411123562</v>
      </c>
      <c r="E49" s="6"/>
      <c r="F49" s="1" t="s">
        <v>135</v>
      </c>
      <c r="G49" s="1" t="s">
        <v>35</v>
      </c>
      <c r="H49" s="1">
        <v>2</v>
      </c>
      <c r="I49" s="1">
        <v>0</v>
      </c>
      <c r="J49" s="1">
        <v>0</v>
      </c>
      <c r="K49" s="1">
        <v>0</v>
      </c>
      <c r="L49" s="1">
        <v>0</v>
      </c>
      <c r="M49" s="1">
        <v>1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1</v>
      </c>
      <c r="W49" s="1">
        <f>SUMPRODUCT(I49:V49,$I$13:$V$13)</f>
        <v>3210</v>
      </c>
      <c r="X49" s="6">
        <f t="shared" si="2"/>
        <v>24.74</v>
      </c>
      <c r="Y49" s="1" t="str">
        <f>VLOOKUP(D49,[1]PARTS!$A$1:$G$65536,7,0)</f>
        <v>MICRON TECHNOLOGY</v>
      </c>
      <c r="Z49" s="1">
        <v>1104</v>
      </c>
      <c r="AA49" s="1">
        <v>3170</v>
      </c>
      <c r="AB49" s="1">
        <f>CEILING(AA49,Z49)</f>
        <v>3312</v>
      </c>
      <c r="AC49" s="1">
        <v>12.37</v>
      </c>
      <c r="AD49" s="1" t="s">
        <v>85</v>
      </c>
      <c r="AE49" s="1" t="s">
        <v>86</v>
      </c>
      <c r="AF49" s="19" t="s">
        <v>87</v>
      </c>
      <c r="AG49" s="1" t="s">
        <v>88</v>
      </c>
      <c r="AH49" s="1"/>
      <c r="BG49" s="8">
        <f>SUM($BB49,$AI49:AI49)-SUM($BY49:BZ49)</f>
        <v>0</v>
      </c>
      <c r="BH49" s="8">
        <f>SUM($BB49,$AI49:AJ49)-SUM($BY49:CA49)</f>
        <v>0</v>
      </c>
      <c r="BI49" s="8">
        <f>SUM($BB49,$AI49:AK49)-SUM($BY49:CB49)</f>
        <v>0</v>
      </c>
      <c r="BJ49" s="8">
        <f>SUM($BB49,$AI49:AL49)-SUM($BY49:CC49)</f>
        <v>0</v>
      </c>
      <c r="BK49" s="8">
        <f>SUM($BB49,$AI49:AM49)-SUM($BY49:CD49)</f>
        <v>0</v>
      </c>
      <c r="BL49" s="8">
        <f>SUM($BB49,$AI49:AN49)-SUM($BY49:CE49)</f>
        <v>0</v>
      </c>
      <c r="BM49" s="8">
        <f>SUM($BB49,$AI49:AO49)-SUM($BY49:CF49)</f>
        <v>0</v>
      </c>
      <c r="BN49" s="8">
        <f>SUM($BB49,$AI49:AP49)-SUM($BY49:CG49)</f>
        <v>-100</v>
      </c>
      <c r="BO49" s="8">
        <f>SUM($BB49,$AI49:AQ49)-SUM($BY49:CH49)</f>
        <v>-350</v>
      </c>
      <c r="BP49" s="8">
        <f>SUM($BB49,$AI49:AR49)-SUM($BY49:CI49)</f>
        <v>-750</v>
      </c>
      <c r="BQ49" s="8">
        <f>SUM($BB49,$AI49:AS49)-SUM($BY49:CJ49)</f>
        <v>-1220</v>
      </c>
      <c r="BR49" s="8">
        <f>SUM($BB49,$AI49:AT49)-SUM($BY49:CK49)</f>
        <v>-1620</v>
      </c>
      <c r="BS49" s="8">
        <f>SUM($BB49,$AI49:AU49)-SUM($BY49:CL49)</f>
        <v>-1970</v>
      </c>
      <c r="BT49" s="8">
        <f>SUM($BB49,$AI49:AV49)-SUM($BY49:CM49)</f>
        <v>-2410</v>
      </c>
      <c r="BU49" s="8">
        <f>SUM($BB49,$AI49:AW49)-SUM($BY49:CN49)</f>
        <v>-2950</v>
      </c>
      <c r="BV49" s="8">
        <f>SUM($BB49,$AI49:AX49)-SUM($BY49:CO49)</f>
        <v>-3210</v>
      </c>
      <c r="BW49" s="8">
        <f>SUM($BB49,$AI49:AY49)-SUM($BY49:CP49)</f>
        <v>-3210</v>
      </c>
      <c r="BX49" s="8">
        <f>SUM($BB49,$AI49:AZ49)-SUM($BY49:CQ49)</f>
        <v>-3210</v>
      </c>
      <c r="BY49" s="8" cm="1">
        <f t="array" ref="BY49">SUMPRODUCT(TRANSPOSE(BY$2:BY$15),$I49:$V49)</f>
        <v>0</v>
      </c>
      <c r="BZ49" s="8" cm="1">
        <f t="array" ref="BZ49">SUMPRODUCT(TRANSPOSE(BZ$2:BZ$15),$I49:$V49)</f>
        <v>0</v>
      </c>
      <c r="CA49" s="8" cm="1">
        <f t="array" ref="CA49">SUMPRODUCT(TRANSPOSE(CA$2:CA$15),$I49:$V49)</f>
        <v>0</v>
      </c>
      <c r="CB49" s="8" cm="1">
        <f t="array" ref="CB49">SUMPRODUCT(TRANSPOSE(CB$2:CB$15),$I49:$V49)</f>
        <v>0</v>
      </c>
      <c r="CC49" s="8" cm="1">
        <f t="array" ref="CC49">SUMPRODUCT(TRANSPOSE(CC$2:CC$15),$I49:$V49)</f>
        <v>0</v>
      </c>
      <c r="CD49" s="8" cm="1">
        <f t="array" ref="CD49">SUMPRODUCT(TRANSPOSE(CD$2:CD$15),$I49:$V49)</f>
        <v>0</v>
      </c>
      <c r="CE49" s="8" cm="1">
        <f t="array" ref="CE49">SUMPRODUCT(TRANSPOSE(CE$2:CE$15),$I49:$V49)</f>
        <v>0</v>
      </c>
      <c r="CF49" s="8" cm="1">
        <f t="array" ref="CF49">SUMPRODUCT(TRANSPOSE(CF$2:CF$15),$I49:$V49)</f>
        <v>0</v>
      </c>
      <c r="CG49" s="8" cm="1">
        <f t="array" ref="CG49">SUMPRODUCT(TRANSPOSE(CG$2:CG$15),$I49:$V49)</f>
        <v>100</v>
      </c>
      <c r="CH49" s="8" cm="1">
        <f t="array" ref="CH49">SUMPRODUCT(TRANSPOSE(CH$2:CH$15),$I49:$V49)</f>
        <v>250</v>
      </c>
      <c r="CI49" s="8" cm="1">
        <f t="array" ref="CI49">SUMPRODUCT(TRANSPOSE(CI$2:CI$15),$I49:$V49)</f>
        <v>400</v>
      </c>
      <c r="CJ49" s="8" cm="1">
        <f t="array" ref="CJ49">SUMPRODUCT(TRANSPOSE(CJ$2:CJ$15),$I49:$V49)</f>
        <v>470</v>
      </c>
      <c r="CK49" s="8" cm="1">
        <f t="array" ref="CK49">SUMPRODUCT(TRANSPOSE(CK$2:CK$15),$I49:$V49)</f>
        <v>400</v>
      </c>
      <c r="CL49" s="8" cm="1">
        <f t="array" ref="CL49">SUMPRODUCT(TRANSPOSE(CL$2:CL$15),$I49:$V49)</f>
        <v>350</v>
      </c>
      <c r="CM49" s="8" cm="1">
        <f t="array" ref="CM49">SUMPRODUCT(TRANSPOSE(CM$2:CM$15),$I49:$V49)</f>
        <v>440</v>
      </c>
      <c r="CN49" s="8" cm="1">
        <f t="array" ref="CN49">SUMPRODUCT(TRANSPOSE(CN$2:CN$15),$I49:$V49)</f>
        <v>540</v>
      </c>
      <c r="CO49" s="8" cm="1">
        <f t="array" ref="CO49">SUMPRODUCT(TRANSPOSE(CO$2:CO$15),$I49:$V49)</f>
        <v>260</v>
      </c>
      <c r="CP49" s="8" cm="1">
        <f t="array" ref="CP49">SUMPRODUCT(TRANSPOSE(CP$2:CP$15),$I49:$V49)</f>
        <v>0</v>
      </c>
      <c r="CQ49" s="8" cm="1">
        <f t="array" ref="CQ49">SUMPRODUCT(TRANSPOSE(CQ$2:CQ$15),$I49:$V49)</f>
        <v>0</v>
      </c>
    </row>
    <row r="50" spans="1:95" x14ac:dyDescent="0.25">
      <c r="A50" s="1">
        <v>100</v>
      </c>
      <c r="B50" s="11" t="s">
        <v>136</v>
      </c>
      <c r="C50" s="1" t="s">
        <v>49</v>
      </c>
      <c r="D50" s="1">
        <v>414282400</v>
      </c>
      <c r="E50" s="6">
        <f>VLOOKUP(D50,FFF!$A$2:$B$674,2,)</f>
        <v>414290600</v>
      </c>
      <c r="F50" s="1" t="s">
        <v>137</v>
      </c>
      <c r="G50" s="1" t="s">
        <v>35</v>
      </c>
      <c r="H50" s="1">
        <v>6</v>
      </c>
      <c r="I50" s="1">
        <v>0</v>
      </c>
      <c r="J50" s="1">
        <v>0</v>
      </c>
      <c r="K50" s="1">
        <v>0</v>
      </c>
      <c r="L50" s="1">
        <v>0</v>
      </c>
      <c r="M50" s="1">
        <v>3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3</v>
      </c>
      <c r="W50" s="1">
        <f>SUMPRODUCT(I50:V50,$I$13:$V$13)</f>
        <v>9630</v>
      </c>
      <c r="X50" s="6">
        <f t="shared" si="2"/>
        <v>17.180399999999999</v>
      </c>
      <c r="Y50" s="1" t="str">
        <f>VLOOKUP(D50,[1]PARTS!$A$1:$G$65536,7,0)</f>
        <v>ANALOG DEVICES</v>
      </c>
      <c r="Z50" s="1">
        <v>1</v>
      </c>
      <c r="AA50" s="1">
        <f>VLOOKUP(D50,[2]pareto!$D$12:$AX$306,45,0)</f>
        <v>66</v>
      </c>
      <c r="AB50" s="1">
        <f>CEILING(W50,Z50)</f>
        <v>9630</v>
      </c>
      <c r="AC50" s="1">
        <v>2.8633999999999999</v>
      </c>
      <c r="AD50" s="1" t="s">
        <v>107</v>
      </c>
      <c r="AE50" s="1" t="s">
        <v>108</v>
      </c>
      <c r="AF50" s="19" t="s">
        <v>109</v>
      </c>
      <c r="AG50" s="1" t="s">
        <v>110</v>
      </c>
      <c r="BG50" s="8">
        <f>SUM($BB50,$AI50:AI50)-SUM($BY50:BZ50)</f>
        <v>0</v>
      </c>
      <c r="BH50" s="8">
        <f>SUM($BB50,$AI50:AJ50)-SUM($BY50:CA50)</f>
        <v>0</v>
      </c>
      <c r="BI50" s="8">
        <f>SUM($BB50,$AI50:AK50)-SUM($BY50:CB50)</f>
        <v>0</v>
      </c>
      <c r="BJ50" s="8">
        <f>SUM($BB50,$AI50:AL50)-SUM($BY50:CC50)</f>
        <v>0</v>
      </c>
      <c r="BK50" s="8">
        <f>SUM($BB50,$AI50:AM50)-SUM($BY50:CD50)</f>
        <v>0</v>
      </c>
      <c r="BL50" s="8">
        <f>SUM($BB50,$AI50:AN50)-SUM($BY50:CE50)</f>
        <v>0</v>
      </c>
      <c r="BM50" s="8">
        <f>SUM($BB50,$AI50:AO50)-SUM($BY50:CF50)</f>
        <v>0</v>
      </c>
      <c r="BN50" s="8">
        <f>SUM($BB50,$AI50:AP50)-SUM($BY50:CG50)</f>
        <v>-300</v>
      </c>
      <c r="BO50" s="8">
        <f>SUM($BB50,$AI50:AQ50)-SUM($BY50:CH50)</f>
        <v>-1050</v>
      </c>
      <c r="BP50" s="8">
        <f>SUM($BB50,$AI50:AR50)-SUM($BY50:CI50)</f>
        <v>-2250</v>
      </c>
      <c r="BQ50" s="8">
        <f>SUM($BB50,$AI50:AS50)-SUM($BY50:CJ50)</f>
        <v>-3660</v>
      </c>
      <c r="BR50" s="8">
        <f>SUM($BB50,$AI50:AT50)-SUM($BY50:CK50)</f>
        <v>-4860</v>
      </c>
      <c r="BS50" s="8">
        <f>SUM($BB50,$AI50:AU50)-SUM($BY50:CL50)</f>
        <v>-5910</v>
      </c>
      <c r="BT50" s="8">
        <f>SUM($BB50,$AI50:AV50)-SUM($BY50:CM50)</f>
        <v>-7230</v>
      </c>
      <c r="BU50" s="8">
        <f>SUM($BB50,$AI50:AW50)-SUM($BY50:CN50)</f>
        <v>-8850</v>
      </c>
      <c r="BV50" s="8">
        <f>SUM($BB50,$AI50:AX50)-SUM($BY50:CO50)</f>
        <v>-9630</v>
      </c>
      <c r="BW50" s="8">
        <f>SUM($BB50,$AI50:AY50)-SUM($BY50:CP50)</f>
        <v>-9630</v>
      </c>
      <c r="BX50" s="8">
        <f>SUM($BB50,$AI50:AZ50)-SUM($BY50:CQ50)</f>
        <v>-9630</v>
      </c>
      <c r="BY50" s="8" cm="1">
        <f t="array" ref="BY50">SUMPRODUCT(TRANSPOSE(BY$2:BY$15),$I50:$V50)</f>
        <v>0</v>
      </c>
      <c r="BZ50" s="8" cm="1">
        <f t="array" ref="BZ50">SUMPRODUCT(TRANSPOSE(BZ$2:BZ$15),$I50:$V50)</f>
        <v>0</v>
      </c>
      <c r="CA50" s="8" cm="1">
        <f t="array" ref="CA50">SUMPRODUCT(TRANSPOSE(CA$2:CA$15),$I50:$V50)</f>
        <v>0</v>
      </c>
      <c r="CB50" s="8" cm="1">
        <f t="array" ref="CB50">SUMPRODUCT(TRANSPOSE(CB$2:CB$15),$I50:$V50)</f>
        <v>0</v>
      </c>
      <c r="CC50" s="8" cm="1">
        <f t="array" ref="CC50">SUMPRODUCT(TRANSPOSE(CC$2:CC$15),$I50:$V50)</f>
        <v>0</v>
      </c>
      <c r="CD50" s="8" cm="1">
        <f t="array" ref="CD50">SUMPRODUCT(TRANSPOSE(CD$2:CD$15),$I50:$V50)</f>
        <v>0</v>
      </c>
      <c r="CE50" s="8" cm="1">
        <f t="array" ref="CE50">SUMPRODUCT(TRANSPOSE(CE$2:CE$15),$I50:$V50)</f>
        <v>0</v>
      </c>
      <c r="CF50" s="8" cm="1">
        <f t="array" ref="CF50">SUMPRODUCT(TRANSPOSE(CF$2:CF$15),$I50:$V50)</f>
        <v>0</v>
      </c>
      <c r="CG50" s="8" cm="1">
        <f t="array" ref="CG50">SUMPRODUCT(TRANSPOSE(CG$2:CG$15),$I50:$V50)</f>
        <v>300</v>
      </c>
      <c r="CH50" s="8" cm="1">
        <f t="array" ref="CH50">SUMPRODUCT(TRANSPOSE(CH$2:CH$15),$I50:$V50)</f>
        <v>750</v>
      </c>
      <c r="CI50" s="8" cm="1">
        <f t="array" ref="CI50">SUMPRODUCT(TRANSPOSE(CI$2:CI$15),$I50:$V50)</f>
        <v>1200</v>
      </c>
      <c r="CJ50" s="8" cm="1">
        <f t="array" ref="CJ50">SUMPRODUCT(TRANSPOSE(CJ$2:CJ$15),$I50:$V50)</f>
        <v>1410</v>
      </c>
      <c r="CK50" s="8" cm="1">
        <f t="array" ref="CK50">SUMPRODUCT(TRANSPOSE(CK$2:CK$15),$I50:$V50)</f>
        <v>1200</v>
      </c>
      <c r="CL50" s="8" cm="1">
        <f t="array" ref="CL50">SUMPRODUCT(TRANSPOSE(CL$2:CL$15),$I50:$V50)</f>
        <v>1050</v>
      </c>
      <c r="CM50" s="8" cm="1">
        <f t="array" ref="CM50">SUMPRODUCT(TRANSPOSE(CM$2:CM$15),$I50:$V50)</f>
        <v>1320</v>
      </c>
      <c r="CN50" s="8" cm="1">
        <f t="array" ref="CN50">SUMPRODUCT(TRANSPOSE(CN$2:CN$15),$I50:$V50)</f>
        <v>1620</v>
      </c>
      <c r="CO50" s="8" cm="1">
        <f t="array" ref="CO50">SUMPRODUCT(TRANSPOSE(CO$2:CO$15),$I50:$V50)</f>
        <v>780</v>
      </c>
      <c r="CP50" s="8" cm="1">
        <f t="array" ref="CP50">SUMPRODUCT(TRANSPOSE(CP$2:CP$15),$I50:$V50)</f>
        <v>0</v>
      </c>
      <c r="CQ50" s="8" cm="1">
        <f t="array" ref="CQ50">SUMPRODUCT(TRANSPOSE(CQ$2:CQ$15),$I50:$V50)</f>
        <v>0</v>
      </c>
    </row>
    <row r="51" spans="1:95" x14ac:dyDescent="0.25">
      <c r="A51" s="1">
        <v>306</v>
      </c>
      <c r="B51" s="11" t="s">
        <v>138</v>
      </c>
      <c r="C51" s="1" t="s">
        <v>49</v>
      </c>
      <c r="D51" s="1">
        <v>425577966</v>
      </c>
      <c r="E51" s="6"/>
      <c r="F51" s="1" t="s">
        <v>139</v>
      </c>
      <c r="G51" s="1" t="s">
        <v>35</v>
      </c>
      <c r="H51" s="1">
        <v>7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7</v>
      </c>
      <c r="W51" s="1">
        <f>SUMPRODUCT(I51:V51,$I$13:$V$13)</f>
        <v>11620</v>
      </c>
      <c r="X51" s="6">
        <f t="shared" si="2"/>
        <v>28</v>
      </c>
      <c r="Y51" s="1" t="str">
        <f>VLOOKUP(D51,[1]PARTS!$A$1:$G$65536,7,0)</f>
        <v>AVX</v>
      </c>
      <c r="Z51" s="1">
        <v>1500</v>
      </c>
      <c r="AA51" s="1">
        <v>1</v>
      </c>
      <c r="AB51" s="1">
        <f>CEILING(W51,Z51)</f>
        <v>12000</v>
      </c>
      <c r="AC51" s="1">
        <f>VLOOKUP(D51,[2]pareto!$D$12:$AX$306,47,0)</f>
        <v>4</v>
      </c>
      <c r="AD51" s="1" t="s">
        <v>140</v>
      </c>
      <c r="AE51" s="1" t="s">
        <v>141</v>
      </c>
      <c r="AF51" s="12" t="s">
        <v>142</v>
      </c>
      <c r="AG51" s="1" t="s">
        <v>143</v>
      </c>
      <c r="BG51" s="8">
        <f>SUM($BB51,$AI51:AI51)-SUM($BY51:BZ51)</f>
        <v>0</v>
      </c>
      <c r="BH51" s="8">
        <f>SUM($BB51,$AI51:AJ51)-SUM($BY51:CA51)</f>
        <v>0</v>
      </c>
      <c r="BI51" s="8">
        <f>SUM($BB51,$AI51:AK51)-SUM($BY51:CB51)</f>
        <v>0</v>
      </c>
      <c r="BJ51" s="8">
        <f>SUM($BB51,$AI51:AL51)-SUM($BY51:CC51)</f>
        <v>0</v>
      </c>
      <c r="BK51" s="8">
        <f>SUM($BB51,$AI51:AM51)-SUM($BY51:CD51)</f>
        <v>0</v>
      </c>
      <c r="BL51" s="8">
        <f>SUM($BB51,$AI51:AN51)-SUM($BY51:CE51)</f>
        <v>0</v>
      </c>
      <c r="BM51" s="8">
        <f>SUM($BB51,$AI51:AO51)-SUM($BY51:CF51)</f>
        <v>0</v>
      </c>
      <c r="BN51" s="8">
        <f>SUM($BB51,$AI51:AP51)-SUM($BY51:CG51)</f>
        <v>0</v>
      </c>
      <c r="BO51" s="8">
        <f>SUM($BB51,$AI51:AQ51)-SUM($BY51:CH51)</f>
        <v>-700</v>
      </c>
      <c r="BP51" s="8">
        <f>SUM($BB51,$AI51:AR51)-SUM($BY51:CI51)</f>
        <v>-1750</v>
      </c>
      <c r="BQ51" s="8">
        <f>SUM($BB51,$AI51:AS51)-SUM($BY51:CJ51)</f>
        <v>-3500</v>
      </c>
      <c r="BR51" s="8">
        <f>SUM($BB51,$AI51:AT51)-SUM($BY51:CK51)</f>
        <v>-4900</v>
      </c>
      <c r="BS51" s="8">
        <f>SUM($BB51,$AI51:AU51)-SUM($BY51:CL51)</f>
        <v>-6300</v>
      </c>
      <c r="BT51" s="8">
        <f>SUM($BB51,$AI51:AV51)-SUM($BY51:CM51)</f>
        <v>-7700</v>
      </c>
      <c r="BU51" s="8">
        <f>SUM($BB51,$AI51:AW51)-SUM($BY51:CN51)</f>
        <v>-9800</v>
      </c>
      <c r="BV51" s="8">
        <f>SUM($BB51,$AI51:AX51)-SUM($BY51:CO51)</f>
        <v>-11620</v>
      </c>
      <c r="BW51" s="8">
        <f>SUM($BB51,$AI51:AY51)-SUM($BY51:CP51)</f>
        <v>-11620</v>
      </c>
      <c r="BX51" s="8">
        <f>SUM($BB51,$AI51:AZ51)-SUM($BY51:CQ51)</f>
        <v>-11620</v>
      </c>
      <c r="BY51" s="8" cm="1">
        <f t="array" ref="BY51">SUMPRODUCT(TRANSPOSE(BY$2:BY$15),$I51:$V51)</f>
        <v>0</v>
      </c>
      <c r="BZ51" s="8" cm="1">
        <f t="array" ref="BZ51">SUMPRODUCT(TRANSPOSE(BZ$2:BZ$15),$I51:$V51)</f>
        <v>0</v>
      </c>
      <c r="CA51" s="8" cm="1">
        <f t="array" ref="CA51">SUMPRODUCT(TRANSPOSE(CA$2:CA$15),$I51:$V51)</f>
        <v>0</v>
      </c>
      <c r="CB51" s="8" cm="1">
        <f t="array" ref="CB51">SUMPRODUCT(TRANSPOSE(CB$2:CB$15),$I51:$V51)</f>
        <v>0</v>
      </c>
      <c r="CC51" s="8" cm="1">
        <f t="array" ref="CC51">SUMPRODUCT(TRANSPOSE(CC$2:CC$15),$I51:$V51)</f>
        <v>0</v>
      </c>
      <c r="CD51" s="8" cm="1">
        <f t="array" ref="CD51">SUMPRODUCT(TRANSPOSE(CD$2:CD$15),$I51:$V51)</f>
        <v>0</v>
      </c>
      <c r="CE51" s="8" cm="1">
        <f t="array" ref="CE51">SUMPRODUCT(TRANSPOSE(CE$2:CE$15),$I51:$V51)</f>
        <v>0</v>
      </c>
      <c r="CF51" s="8" cm="1">
        <f t="array" ref="CF51">SUMPRODUCT(TRANSPOSE(CF$2:CF$15),$I51:$V51)</f>
        <v>0</v>
      </c>
      <c r="CG51" s="8" cm="1">
        <f t="array" ref="CG51">SUMPRODUCT(TRANSPOSE(CG$2:CG$15),$I51:$V51)</f>
        <v>0</v>
      </c>
      <c r="CH51" s="8" cm="1">
        <f t="array" ref="CH51">SUMPRODUCT(TRANSPOSE(CH$2:CH$15),$I51:$V51)</f>
        <v>700</v>
      </c>
      <c r="CI51" s="8" cm="1">
        <f t="array" ref="CI51">SUMPRODUCT(TRANSPOSE(CI$2:CI$15),$I51:$V51)</f>
        <v>1050</v>
      </c>
      <c r="CJ51" s="8" cm="1">
        <f t="array" ref="CJ51">SUMPRODUCT(TRANSPOSE(CJ$2:CJ$15),$I51:$V51)</f>
        <v>1750</v>
      </c>
      <c r="CK51" s="8" cm="1">
        <f t="array" ref="CK51">SUMPRODUCT(TRANSPOSE(CK$2:CK$15),$I51:$V51)</f>
        <v>1400</v>
      </c>
      <c r="CL51" s="8" cm="1">
        <f t="array" ref="CL51">SUMPRODUCT(TRANSPOSE(CL$2:CL$15),$I51:$V51)</f>
        <v>1400</v>
      </c>
      <c r="CM51" s="8" cm="1">
        <f t="array" ref="CM51">SUMPRODUCT(TRANSPOSE(CM$2:CM$15),$I51:$V51)</f>
        <v>1400</v>
      </c>
      <c r="CN51" s="8" cm="1">
        <f t="array" ref="CN51">SUMPRODUCT(TRANSPOSE(CN$2:CN$15),$I51:$V51)</f>
        <v>2100</v>
      </c>
      <c r="CO51" s="8" cm="1">
        <f t="array" ref="CO51">SUMPRODUCT(TRANSPOSE(CO$2:CO$15),$I51:$V51)</f>
        <v>1820</v>
      </c>
      <c r="CP51" s="8" cm="1">
        <f t="array" ref="CP51">SUMPRODUCT(TRANSPOSE(CP$2:CP$15),$I51:$V51)</f>
        <v>0</v>
      </c>
      <c r="CQ51" s="8" cm="1">
        <f t="array" ref="CQ51">SUMPRODUCT(TRANSPOSE(CQ$2:CQ$15),$I51:$V51)</f>
        <v>0</v>
      </c>
    </row>
    <row r="52" spans="1:95" x14ac:dyDescent="0.25">
      <c r="A52" s="1">
        <v>36</v>
      </c>
      <c r="B52" s="11" t="s">
        <v>144</v>
      </c>
      <c r="C52" s="1" t="s">
        <v>41</v>
      </c>
      <c r="D52" s="1">
        <v>421436480</v>
      </c>
      <c r="E52" s="6"/>
      <c r="F52" s="1" t="s">
        <v>145</v>
      </c>
      <c r="G52" s="1" t="s">
        <v>35</v>
      </c>
      <c r="H52" s="1">
        <v>2</v>
      </c>
      <c r="I52" s="1">
        <v>0</v>
      </c>
      <c r="J52" s="1">
        <v>1</v>
      </c>
      <c r="K52" s="1">
        <v>0</v>
      </c>
      <c r="L52" s="1">
        <v>0</v>
      </c>
      <c r="M52" s="1">
        <v>0</v>
      </c>
      <c r="N52" s="1">
        <v>0</v>
      </c>
      <c r="O52" s="1">
        <v>1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f>SUMPRODUCT(I52:V52,$I$13:$V$13)</f>
        <v>3210</v>
      </c>
      <c r="X52" s="6">
        <f t="shared" si="2"/>
        <v>27</v>
      </c>
      <c r="Y52" s="1" t="str">
        <f>VLOOKUP(D52,[1]PARTS!$A$1:$G$65536,7,0)</f>
        <v/>
      </c>
      <c r="Z52" s="1">
        <v>1</v>
      </c>
      <c r="AA52" s="1">
        <v>3170</v>
      </c>
      <c r="AB52" s="1">
        <f>CEILING(W52,Z52)</f>
        <v>3210</v>
      </c>
      <c r="AC52" s="1">
        <f>VLOOKUP(D52,[2]pareto!$D$12:$AX$306,47,0)</f>
        <v>13.5</v>
      </c>
      <c r="AD52" s="1" t="s">
        <v>146</v>
      </c>
      <c r="AE52" s="1" t="s">
        <v>147</v>
      </c>
      <c r="AF52" s="1" t="str">
        <f>VLOOKUP(D52,[2]pareto!$D$11:$BD$306,52,0)</f>
        <v>avi@gumiyan.co.il</v>
      </c>
      <c r="AG52" s="1" t="s">
        <v>148</v>
      </c>
      <c r="BG52" s="8">
        <f>SUM($BB52,$AI52:AI52)-SUM($BY52:BZ52)</f>
        <v>0</v>
      </c>
      <c r="BH52" s="8">
        <f>SUM($BB52,$AI52:AJ52)-SUM($BY52:CA52)</f>
        <v>0</v>
      </c>
      <c r="BI52" s="8">
        <f>SUM($BB52,$AI52:AK52)-SUM($BY52:CB52)</f>
        <v>0</v>
      </c>
      <c r="BJ52" s="8">
        <f>SUM($BB52,$AI52:AL52)-SUM($BY52:CC52)</f>
        <v>0</v>
      </c>
      <c r="BK52" s="8">
        <f>SUM($BB52,$AI52:AM52)-SUM($BY52:CD52)</f>
        <v>0</v>
      </c>
      <c r="BL52" s="8">
        <f>SUM($BB52,$AI52:AN52)-SUM($BY52:CE52)</f>
        <v>0</v>
      </c>
      <c r="BM52" s="8">
        <f>SUM($BB52,$AI52:AO52)-SUM($BY52:CF52)</f>
        <v>0</v>
      </c>
      <c r="BN52" s="8">
        <f>SUM($BB52,$AI52:AP52)-SUM($BY52:CG52)</f>
        <v>0</v>
      </c>
      <c r="BO52" s="8">
        <f>SUM($BB52,$AI52:AQ52)-SUM($BY52:CH52)</f>
        <v>0</v>
      </c>
      <c r="BP52" s="8">
        <f>SUM($BB52,$AI52:AR52)-SUM($BY52:CI52)</f>
        <v>-200</v>
      </c>
      <c r="BQ52" s="8">
        <f>SUM($BB52,$AI52:AS52)-SUM($BY52:CJ52)</f>
        <v>-500</v>
      </c>
      <c r="BR52" s="8">
        <f>SUM($BB52,$AI52:AT52)-SUM($BY52:CK52)</f>
        <v>-1000</v>
      </c>
      <c r="BS52" s="8">
        <f>SUM($BB52,$AI52:AU52)-SUM($BY52:CL52)</f>
        <v>-1420</v>
      </c>
      <c r="BT52" s="8">
        <f>SUM($BB52,$AI52:AV52)-SUM($BY52:CM52)</f>
        <v>-1820</v>
      </c>
      <c r="BU52" s="8">
        <f>SUM($BB52,$AI52:AW52)-SUM($BY52:CN52)</f>
        <v>-2170</v>
      </c>
      <c r="BV52" s="8">
        <f>SUM($BB52,$AI52:AX52)-SUM($BY52:CO52)</f>
        <v>-2710</v>
      </c>
      <c r="BW52" s="8">
        <f>SUM($BB52,$AI52:AY52)-SUM($BY52:CP52)</f>
        <v>-3210</v>
      </c>
      <c r="BX52" s="8">
        <f>SUM($BB52,$AI52:AZ52)-SUM($BY52:CQ52)</f>
        <v>-3210</v>
      </c>
      <c r="BY52" s="8" cm="1">
        <f t="array" ref="BY52">SUMPRODUCT(TRANSPOSE(BY$2:BY$15),$I52:$V52)</f>
        <v>0</v>
      </c>
      <c r="BZ52" s="8" cm="1">
        <f t="array" ref="BZ52">SUMPRODUCT(TRANSPOSE(BZ$2:BZ$15),$I52:$V52)</f>
        <v>0</v>
      </c>
      <c r="CA52" s="8" cm="1">
        <f t="array" ref="CA52">SUMPRODUCT(TRANSPOSE(CA$2:CA$15),$I52:$V52)</f>
        <v>0</v>
      </c>
      <c r="CB52" s="8" cm="1">
        <f t="array" ref="CB52">SUMPRODUCT(TRANSPOSE(CB$2:CB$15),$I52:$V52)</f>
        <v>0</v>
      </c>
      <c r="CC52" s="8" cm="1">
        <f t="array" ref="CC52">SUMPRODUCT(TRANSPOSE(CC$2:CC$15),$I52:$V52)</f>
        <v>0</v>
      </c>
      <c r="CD52" s="8" cm="1">
        <f t="array" ref="CD52">SUMPRODUCT(TRANSPOSE(CD$2:CD$15),$I52:$V52)</f>
        <v>0</v>
      </c>
      <c r="CE52" s="8" cm="1">
        <f t="array" ref="CE52">SUMPRODUCT(TRANSPOSE(CE$2:CE$15),$I52:$V52)</f>
        <v>0</v>
      </c>
      <c r="CF52" s="8" cm="1">
        <f t="array" ref="CF52">SUMPRODUCT(TRANSPOSE(CF$2:CF$15),$I52:$V52)</f>
        <v>0</v>
      </c>
      <c r="CG52" s="8" cm="1">
        <f t="array" ref="CG52">SUMPRODUCT(TRANSPOSE(CG$2:CG$15),$I52:$V52)</f>
        <v>0</v>
      </c>
      <c r="CH52" s="8" cm="1">
        <f t="array" ref="CH52">SUMPRODUCT(TRANSPOSE(CH$2:CH$15),$I52:$V52)</f>
        <v>0</v>
      </c>
      <c r="CI52" s="8" cm="1">
        <f t="array" ref="CI52">SUMPRODUCT(TRANSPOSE(CI$2:CI$15),$I52:$V52)</f>
        <v>200</v>
      </c>
      <c r="CJ52" s="8" cm="1">
        <f t="array" ref="CJ52">SUMPRODUCT(TRANSPOSE(CJ$2:CJ$15),$I52:$V52)</f>
        <v>300</v>
      </c>
      <c r="CK52" s="8" cm="1">
        <f t="array" ref="CK52">SUMPRODUCT(TRANSPOSE(CK$2:CK$15),$I52:$V52)</f>
        <v>500</v>
      </c>
      <c r="CL52" s="8" cm="1">
        <f t="array" ref="CL52">SUMPRODUCT(TRANSPOSE(CL$2:CL$15),$I52:$V52)</f>
        <v>420</v>
      </c>
      <c r="CM52" s="8" cm="1">
        <f t="array" ref="CM52">SUMPRODUCT(TRANSPOSE(CM$2:CM$15),$I52:$V52)</f>
        <v>400</v>
      </c>
      <c r="CN52" s="8" cm="1">
        <f t="array" ref="CN52">SUMPRODUCT(TRANSPOSE(CN$2:CN$15),$I52:$V52)</f>
        <v>350</v>
      </c>
      <c r="CO52" s="8" cm="1">
        <f t="array" ref="CO52">SUMPRODUCT(TRANSPOSE(CO$2:CO$15),$I52:$V52)</f>
        <v>540</v>
      </c>
      <c r="CP52" s="8" cm="1">
        <f t="array" ref="CP52">SUMPRODUCT(TRANSPOSE(CP$2:CP$15),$I52:$V52)</f>
        <v>500</v>
      </c>
      <c r="CQ52" s="8" cm="1">
        <f t="array" ref="CQ52">SUMPRODUCT(TRANSPOSE(CQ$2:CQ$15),$I52:$V52)</f>
        <v>0</v>
      </c>
    </row>
    <row r="53" spans="1:95" x14ac:dyDescent="0.25">
      <c r="A53" s="1">
        <v>241</v>
      </c>
      <c r="B53" s="11" t="s">
        <v>149</v>
      </c>
      <c r="C53" s="1" t="s">
        <v>49</v>
      </c>
      <c r="D53" s="1">
        <v>413047332</v>
      </c>
      <c r="E53" s="6">
        <f>VLOOKUP(D53,FFF!$A$2:$B$674,2,)</f>
        <v>413064801</v>
      </c>
      <c r="F53" s="1" t="s">
        <v>150</v>
      </c>
      <c r="G53" s="1" t="s">
        <v>35</v>
      </c>
      <c r="H53" s="1">
        <v>4</v>
      </c>
      <c r="I53" s="1">
        <v>0</v>
      </c>
      <c r="J53" s="1">
        <v>0</v>
      </c>
      <c r="K53" s="1">
        <v>0</v>
      </c>
      <c r="L53" s="1">
        <v>4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f>SUMPRODUCT(I53:V53,$I$13:$V$13)</f>
        <v>6200</v>
      </c>
      <c r="X53" s="6">
        <f t="shared" si="2"/>
        <v>24</v>
      </c>
      <c r="Y53" s="1" t="str">
        <f>VLOOKUP(D53,[1]PARTS!$A$1:$G$65536,7,0)</f>
        <v>M/A-COM TECHNOLOGY SOLUTIONS</v>
      </c>
      <c r="Z53" s="1">
        <v>500</v>
      </c>
      <c r="AA53" s="1">
        <v>6120</v>
      </c>
      <c r="AB53" s="1">
        <f>CEILING(W53,Z53)</f>
        <v>6500</v>
      </c>
      <c r="AC53" s="1">
        <f>VLOOKUP(D53,[2]pareto!$D$12:$AX$306,47,0)</f>
        <v>6</v>
      </c>
      <c r="AD53" s="1" t="s">
        <v>151</v>
      </c>
      <c r="AE53" s="1" t="s">
        <v>152</v>
      </c>
      <c r="AF53" s="1" t="str">
        <f>VLOOKUP(D53,[2]pareto!$D$11:$BD$306,52,0)</f>
        <v>Liza@Shirtech.co.il</v>
      </c>
      <c r="AG53" s="1" t="s">
        <v>153</v>
      </c>
      <c r="BG53" s="8">
        <f>SUM($BB53,$AI53:AI53)-SUM($BY53:BZ53)</f>
        <v>0</v>
      </c>
      <c r="BH53" s="8">
        <f>SUM($BB53,$AI53:AJ53)-SUM($BY53:CA53)</f>
        <v>0</v>
      </c>
      <c r="BI53" s="8">
        <f>SUM($BB53,$AI53:AK53)-SUM($BY53:CB53)</f>
        <v>0</v>
      </c>
      <c r="BJ53" s="8">
        <f>SUM($BB53,$AI53:AL53)-SUM($BY53:CC53)</f>
        <v>0</v>
      </c>
      <c r="BK53" s="8">
        <f>SUM($BB53,$AI53:AM53)-SUM($BY53:CD53)</f>
        <v>0</v>
      </c>
      <c r="BL53" s="8">
        <f>SUM($BB53,$AI53:AN53)-SUM($BY53:CE53)</f>
        <v>0</v>
      </c>
      <c r="BM53" s="8">
        <f>SUM($BB53,$AI53:AO53)-SUM($BY53:CF53)</f>
        <v>0</v>
      </c>
      <c r="BN53" s="8">
        <f>SUM($BB53,$AI53:AP53)-SUM($BY53:CG53)</f>
        <v>-400</v>
      </c>
      <c r="BO53" s="8">
        <f>SUM($BB53,$AI53:AQ53)-SUM($BY53:CH53)</f>
        <v>-1000</v>
      </c>
      <c r="BP53" s="8">
        <f>SUM($BB53,$AI53:AR53)-SUM($BY53:CI53)</f>
        <v>-2000</v>
      </c>
      <c r="BQ53" s="8">
        <f>SUM($BB53,$AI53:AS53)-SUM($BY53:CJ53)</f>
        <v>-2880</v>
      </c>
      <c r="BR53" s="8">
        <f>SUM($BB53,$AI53:AT53)-SUM($BY53:CK53)</f>
        <v>-3680</v>
      </c>
      <c r="BS53" s="8">
        <f>SUM($BB53,$AI53:AU53)-SUM($BY53:CL53)</f>
        <v>-4280</v>
      </c>
      <c r="BT53" s="8">
        <f>SUM($BB53,$AI53:AV53)-SUM($BY53:CM53)</f>
        <v>-5240</v>
      </c>
      <c r="BU53" s="8">
        <f>SUM($BB53,$AI53:AW53)-SUM($BY53:CN53)</f>
        <v>-6200</v>
      </c>
      <c r="BV53" s="8">
        <f>SUM($BB53,$AI53:AX53)-SUM($BY53:CO53)</f>
        <v>-6200</v>
      </c>
      <c r="BW53" s="8">
        <f>SUM($BB53,$AI53:AY53)-SUM($BY53:CP53)</f>
        <v>-6200</v>
      </c>
      <c r="BX53" s="8">
        <f>SUM($BB53,$AI53:AZ53)-SUM($BY53:CQ53)</f>
        <v>-6200</v>
      </c>
      <c r="BY53" s="8" cm="1">
        <f t="array" ref="BY53">SUMPRODUCT(TRANSPOSE(BY$2:BY$15),$I53:$V53)</f>
        <v>0</v>
      </c>
      <c r="BZ53" s="8" cm="1">
        <f t="array" ref="BZ53">SUMPRODUCT(TRANSPOSE(BZ$2:BZ$15),$I53:$V53)</f>
        <v>0</v>
      </c>
      <c r="CA53" s="8" cm="1">
        <f t="array" ref="CA53">SUMPRODUCT(TRANSPOSE(CA$2:CA$15),$I53:$V53)</f>
        <v>0</v>
      </c>
      <c r="CB53" s="8" cm="1">
        <f t="array" ref="CB53">SUMPRODUCT(TRANSPOSE(CB$2:CB$15),$I53:$V53)</f>
        <v>0</v>
      </c>
      <c r="CC53" s="8" cm="1">
        <f t="array" ref="CC53">SUMPRODUCT(TRANSPOSE(CC$2:CC$15),$I53:$V53)</f>
        <v>0</v>
      </c>
      <c r="CD53" s="8" cm="1">
        <f t="array" ref="CD53">SUMPRODUCT(TRANSPOSE(CD$2:CD$15),$I53:$V53)</f>
        <v>0</v>
      </c>
      <c r="CE53" s="8" cm="1">
        <f t="array" ref="CE53">SUMPRODUCT(TRANSPOSE(CE$2:CE$15),$I53:$V53)</f>
        <v>0</v>
      </c>
      <c r="CF53" s="8" cm="1">
        <f t="array" ref="CF53">SUMPRODUCT(TRANSPOSE(CF$2:CF$15),$I53:$V53)</f>
        <v>0</v>
      </c>
      <c r="CG53" s="8" cm="1">
        <f t="array" ref="CG53">SUMPRODUCT(TRANSPOSE(CG$2:CG$15),$I53:$V53)</f>
        <v>400</v>
      </c>
      <c r="CH53" s="8" cm="1">
        <f t="array" ref="CH53">SUMPRODUCT(TRANSPOSE(CH$2:CH$15),$I53:$V53)</f>
        <v>600</v>
      </c>
      <c r="CI53" s="8" cm="1">
        <f t="array" ref="CI53">SUMPRODUCT(TRANSPOSE(CI$2:CI$15),$I53:$V53)</f>
        <v>1000</v>
      </c>
      <c r="CJ53" s="8" cm="1">
        <f t="array" ref="CJ53">SUMPRODUCT(TRANSPOSE(CJ$2:CJ$15),$I53:$V53)</f>
        <v>880</v>
      </c>
      <c r="CK53" s="8" cm="1">
        <f t="array" ref="CK53">SUMPRODUCT(TRANSPOSE(CK$2:CK$15),$I53:$V53)</f>
        <v>800</v>
      </c>
      <c r="CL53" s="8" cm="1">
        <f t="array" ref="CL53">SUMPRODUCT(TRANSPOSE(CL$2:CL$15),$I53:$V53)</f>
        <v>600</v>
      </c>
      <c r="CM53" s="8" cm="1">
        <f t="array" ref="CM53">SUMPRODUCT(TRANSPOSE(CM$2:CM$15),$I53:$V53)</f>
        <v>960</v>
      </c>
      <c r="CN53" s="8" cm="1">
        <f t="array" ref="CN53">SUMPRODUCT(TRANSPOSE(CN$2:CN$15),$I53:$V53)</f>
        <v>960</v>
      </c>
      <c r="CO53" s="8" cm="1">
        <f t="array" ref="CO53">SUMPRODUCT(TRANSPOSE(CO$2:CO$15),$I53:$V53)</f>
        <v>0</v>
      </c>
      <c r="CP53" s="8" cm="1">
        <f t="array" ref="CP53">SUMPRODUCT(TRANSPOSE(CP$2:CP$15),$I53:$V53)</f>
        <v>0</v>
      </c>
      <c r="CQ53" s="8" cm="1">
        <f t="array" ref="CQ53">SUMPRODUCT(TRANSPOSE(CQ$2:CQ$15),$I53:$V53)</f>
        <v>0</v>
      </c>
    </row>
    <row r="54" spans="1:95" x14ac:dyDescent="0.25">
      <c r="A54" s="1">
        <v>228</v>
      </c>
      <c r="B54" s="11" t="s">
        <v>154</v>
      </c>
      <c r="C54" s="1" t="s">
        <v>49</v>
      </c>
      <c r="D54" s="1">
        <v>409177480</v>
      </c>
      <c r="E54" s="6"/>
      <c r="F54" s="1" t="s">
        <v>155</v>
      </c>
      <c r="G54" s="1" t="s">
        <v>35</v>
      </c>
      <c r="H54" s="1">
        <v>1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1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f>SUMPRODUCT(I54:V54,$I$13:$V$13)</f>
        <v>1660</v>
      </c>
      <c r="X54" s="6">
        <f t="shared" si="2"/>
        <v>22.5</v>
      </c>
      <c r="Y54" s="1" t="str">
        <f>VLOOKUP(D54,[1]PARTS!$A$1:$G$65536,7,0)</f>
        <v>JQL  ELECTRONICS</v>
      </c>
      <c r="Z54" s="1">
        <v>1</v>
      </c>
      <c r="AA54" s="1">
        <v>0</v>
      </c>
      <c r="AB54" s="1">
        <f>CEILING(W54,Z54)</f>
        <v>1660</v>
      </c>
      <c r="AC54" s="1">
        <f>VLOOKUP(D54,[2]pareto!$D$12:$AX$306,47,0)</f>
        <v>22.5</v>
      </c>
      <c r="AD54" s="1" t="s">
        <v>156</v>
      </c>
      <c r="AE54" s="1" t="s">
        <v>157</v>
      </c>
      <c r="AF54" s="19" t="s">
        <v>158</v>
      </c>
      <c r="AG54" s="1" t="s">
        <v>159</v>
      </c>
      <c r="BG54" s="8">
        <f>SUM($BB54,$AI54:AI54)-SUM($BY54:BZ54)</f>
        <v>0</v>
      </c>
      <c r="BH54" s="8">
        <f>SUM($BB54,$AI54:AJ54)-SUM($BY54:CA54)</f>
        <v>0</v>
      </c>
      <c r="BI54" s="8">
        <f>SUM($BB54,$AI54:AK54)-SUM($BY54:CB54)</f>
        <v>0</v>
      </c>
      <c r="BJ54" s="8">
        <f>SUM($BB54,$AI54:AL54)-SUM($BY54:CC54)</f>
        <v>0</v>
      </c>
      <c r="BK54" s="8">
        <f>SUM($BB54,$AI54:AM54)-SUM($BY54:CD54)</f>
        <v>0</v>
      </c>
      <c r="BL54" s="8">
        <f>SUM($BB54,$AI54:AN54)-SUM($BY54:CE54)</f>
        <v>0</v>
      </c>
      <c r="BM54" s="8">
        <f>SUM($BB54,$AI54:AO54)-SUM($BY54:CF54)</f>
        <v>0</v>
      </c>
      <c r="BN54" s="8">
        <f>SUM($BB54,$AI54:AP54)-SUM($BY54:CG54)</f>
        <v>-100</v>
      </c>
      <c r="BO54" s="8">
        <f>SUM($BB54,$AI54:AQ54)-SUM($BY54:CH54)</f>
        <v>-250</v>
      </c>
      <c r="BP54" s="8">
        <f>SUM($BB54,$AI54:AR54)-SUM($BY54:CI54)</f>
        <v>-500</v>
      </c>
      <c r="BQ54" s="8">
        <f>SUM($BB54,$AI54:AS54)-SUM($BY54:CJ54)</f>
        <v>-700</v>
      </c>
      <c r="BR54" s="8">
        <f>SUM($BB54,$AI54:AT54)-SUM($BY54:CK54)</f>
        <v>-900</v>
      </c>
      <c r="BS54" s="8">
        <f>SUM($BB54,$AI54:AU54)-SUM($BY54:CL54)</f>
        <v>-1100</v>
      </c>
      <c r="BT54" s="8">
        <f>SUM($BB54,$AI54:AV54)-SUM($BY54:CM54)</f>
        <v>-1400</v>
      </c>
      <c r="BU54" s="8">
        <f>SUM($BB54,$AI54:AW54)-SUM($BY54:CN54)</f>
        <v>-1660</v>
      </c>
      <c r="BV54" s="8">
        <f>SUM($BB54,$AI54:AX54)-SUM($BY54:CO54)</f>
        <v>-1660</v>
      </c>
      <c r="BW54" s="8">
        <f>SUM($BB54,$AI54:AY54)-SUM($BY54:CP54)</f>
        <v>-1660</v>
      </c>
      <c r="BX54" s="8">
        <f>SUM($BB54,$AI54:AZ54)-SUM($BY54:CQ54)</f>
        <v>-1660</v>
      </c>
      <c r="BY54" s="8" cm="1">
        <f t="array" ref="BY54">SUMPRODUCT(TRANSPOSE(BY$2:BY$15),$I54:$V54)</f>
        <v>0</v>
      </c>
      <c r="BZ54" s="8" cm="1">
        <f t="array" ref="BZ54">SUMPRODUCT(TRANSPOSE(BZ$2:BZ$15),$I54:$V54)</f>
        <v>0</v>
      </c>
      <c r="CA54" s="8" cm="1">
        <f t="array" ref="CA54">SUMPRODUCT(TRANSPOSE(CA$2:CA$15),$I54:$V54)</f>
        <v>0</v>
      </c>
      <c r="CB54" s="8" cm="1">
        <f t="array" ref="CB54">SUMPRODUCT(TRANSPOSE(CB$2:CB$15),$I54:$V54)</f>
        <v>0</v>
      </c>
      <c r="CC54" s="8" cm="1">
        <f t="array" ref="CC54">SUMPRODUCT(TRANSPOSE(CC$2:CC$15),$I54:$V54)</f>
        <v>0</v>
      </c>
      <c r="CD54" s="8" cm="1">
        <f t="array" ref="CD54">SUMPRODUCT(TRANSPOSE(CD$2:CD$15),$I54:$V54)</f>
        <v>0</v>
      </c>
      <c r="CE54" s="8" cm="1">
        <f t="array" ref="CE54">SUMPRODUCT(TRANSPOSE(CE$2:CE$15),$I54:$V54)</f>
        <v>0</v>
      </c>
      <c r="CF54" s="8" cm="1">
        <f t="array" ref="CF54">SUMPRODUCT(TRANSPOSE(CF$2:CF$15),$I54:$V54)</f>
        <v>0</v>
      </c>
      <c r="CG54" s="8" cm="1">
        <f t="array" ref="CG54">SUMPRODUCT(TRANSPOSE(CG$2:CG$15),$I54:$V54)</f>
        <v>100</v>
      </c>
      <c r="CH54" s="8" cm="1">
        <f t="array" ref="CH54">SUMPRODUCT(TRANSPOSE(CH$2:CH$15),$I54:$V54)</f>
        <v>150</v>
      </c>
      <c r="CI54" s="8" cm="1">
        <f t="array" ref="CI54">SUMPRODUCT(TRANSPOSE(CI$2:CI$15),$I54:$V54)</f>
        <v>250</v>
      </c>
      <c r="CJ54" s="8" cm="1">
        <f t="array" ref="CJ54">SUMPRODUCT(TRANSPOSE(CJ$2:CJ$15),$I54:$V54)</f>
        <v>200</v>
      </c>
      <c r="CK54" s="8" cm="1">
        <f t="array" ref="CK54">SUMPRODUCT(TRANSPOSE(CK$2:CK$15),$I54:$V54)</f>
        <v>200</v>
      </c>
      <c r="CL54" s="8" cm="1">
        <f t="array" ref="CL54">SUMPRODUCT(TRANSPOSE(CL$2:CL$15),$I54:$V54)</f>
        <v>200</v>
      </c>
      <c r="CM54" s="8" cm="1">
        <f t="array" ref="CM54">SUMPRODUCT(TRANSPOSE(CM$2:CM$15),$I54:$V54)</f>
        <v>300</v>
      </c>
      <c r="CN54" s="8" cm="1">
        <f t="array" ref="CN54">SUMPRODUCT(TRANSPOSE(CN$2:CN$15),$I54:$V54)</f>
        <v>260</v>
      </c>
      <c r="CO54" s="8" cm="1">
        <f t="array" ref="CO54">SUMPRODUCT(TRANSPOSE(CO$2:CO$15),$I54:$V54)</f>
        <v>0</v>
      </c>
      <c r="CP54" s="8" cm="1">
        <f t="array" ref="CP54">SUMPRODUCT(TRANSPOSE(CP$2:CP$15),$I54:$V54)</f>
        <v>0</v>
      </c>
      <c r="CQ54" s="8" cm="1">
        <f t="array" ref="CQ54">SUMPRODUCT(TRANSPOSE(CQ$2:CQ$15),$I54:$V54)</f>
        <v>0</v>
      </c>
    </row>
    <row r="55" spans="1:95" x14ac:dyDescent="0.25">
      <c r="A55" s="1">
        <v>229</v>
      </c>
      <c r="B55" s="11" t="s">
        <v>160</v>
      </c>
      <c r="C55" s="1" t="s">
        <v>49</v>
      </c>
      <c r="D55" s="1">
        <v>409187951</v>
      </c>
      <c r="E55" s="6"/>
      <c r="F55" s="1" t="s">
        <v>155</v>
      </c>
      <c r="G55" s="1" t="s">
        <v>35</v>
      </c>
      <c r="H55" s="1">
        <v>1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1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f>SUMPRODUCT(I55:V55,$I$13:$V$13)</f>
        <v>1660</v>
      </c>
      <c r="X55" s="6">
        <f t="shared" si="2"/>
        <v>22.5</v>
      </c>
      <c r="Y55" s="1" t="str">
        <f>VLOOKUP(D55,[1]PARTS!$A$1:$G$65536,7,0)</f>
        <v>JQL  ELECTRONICS</v>
      </c>
      <c r="Z55" s="1">
        <v>1</v>
      </c>
      <c r="AA55" s="1">
        <v>0</v>
      </c>
      <c r="AB55" s="1">
        <f>CEILING(W55,Z55)</f>
        <v>1660</v>
      </c>
      <c r="AC55" s="1">
        <f>VLOOKUP(D55,[2]pareto!$D$12:$AX$306,47,0)</f>
        <v>22.5</v>
      </c>
      <c r="AD55" s="1" t="s">
        <v>156</v>
      </c>
      <c r="AE55" s="1" t="s">
        <v>157</v>
      </c>
      <c r="AF55" s="19" t="s">
        <v>158</v>
      </c>
      <c r="AG55" s="1" t="s">
        <v>159</v>
      </c>
      <c r="BG55" s="8">
        <f>SUM($BB55,$AI55:AI55)-SUM($BY55:BZ55)</f>
        <v>0</v>
      </c>
      <c r="BH55" s="8">
        <f>SUM($BB55,$AI55:AJ55)-SUM($BY55:CA55)</f>
        <v>0</v>
      </c>
      <c r="BI55" s="8">
        <f>SUM($BB55,$AI55:AK55)-SUM($BY55:CB55)</f>
        <v>0</v>
      </c>
      <c r="BJ55" s="8">
        <f>SUM($BB55,$AI55:AL55)-SUM($BY55:CC55)</f>
        <v>0</v>
      </c>
      <c r="BK55" s="8">
        <f>SUM($BB55,$AI55:AM55)-SUM($BY55:CD55)</f>
        <v>0</v>
      </c>
      <c r="BL55" s="8">
        <f>SUM($BB55,$AI55:AN55)-SUM($BY55:CE55)</f>
        <v>0</v>
      </c>
      <c r="BM55" s="8">
        <f>SUM($BB55,$AI55:AO55)-SUM($BY55:CF55)</f>
        <v>0</v>
      </c>
      <c r="BN55" s="8">
        <f>SUM($BB55,$AI55:AP55)-SUM($BY55:CG55)</f>
        <v>-100</v>
      </c>
      <c r="BO55" s="8">
        <f>SUM($BB55,$AI55:AQ55)-SUM($BY55:CH55)</f>
        <v>-250</v>
      </c>
      <c r="BP55" s="8">
        <f>SUM($BB55,$AI55:AR55)-SUM($BY55:CI55)</f>
        <v>-500</v>
      </c>
      <c r="BQ55" s="8">
        <f>SUM($BB55,$AI55:AS55)-SUM($BY55:CJ55)</f>
        <v>-700</v>
      </c>
      <c r="BR55" s="8">
        <f>SUM($BB55,$AI55:AT55)-SUM($BY55:CK55)</f>
        <v>-900</v>
      </c>
      <c r="BS55" s="8">
        <f>SUM($BB55,$AI55:AU55)-SUM($BY55:CL55)</f>
        <v>-1100</v>
      </c>
      <c r="BT55" s="8">
        <f>SUM($BB55,$AI55:AV55)-SUM($BY55:CM55)</f>
        <v>-1400</v>
      </c>
      <c r="BU55" s="8">
        <f>SUM($BB55,$AI55:AW55)-SUM($BY55:CN55)</f>
        <v>-1660</v>
      </c>
      <c r="BV55" s="8">
        <f>SUM($BB55,$AI55:AX55)-SUM($BY55:CO55)</f>
        <v>-1660</v>
      </c>
      <c r="BW55" s="8">
        <f>SUM($BB55,$AI55:AY55)-SUM($BY55:CP55)</f>
        <v>-1660</v>
      </c>
      <c r="BX55" s="8">
        <f>SUM($BB55,$AI55:AZ55)-SUM($BY55:CQ55)</f>
        <v>-1660</v>
      </c>
      <c r="BY55" s="8" cm="1">
        <f t="array" ref="BY55">SUMPRODUCT(TRANSPOSE(BY$2:BY$15),$I55:$V55)</f>
        <v>0</v>
      </c>
      <c r="BZ55" s="8" cm="1">
        <f t="array" ref="BZ55">SUMPRODUCT(TRANSPOSE(BZ$2:BZ$15),$I55:$V55)</f>
        <v>0</v>
      </c>
      <c r="CA55" s="8" cm="1">
        <f t="array" ref="CA55">SUMPRODUCT(TRANSPOSE(CA$2:CA$15),$I55:$V55)</f>
        <v>0</v>
      </c>
      <c r="CB55" s="8" cm="1">
        <f t="array" ref="CB55">SUMPRODUCT(TRANSPOSE(CB$2:CB$15),$I55:$V55)</f>
        <v>0</v>
      </c>
      <c r="CC55" s="8" cm="1">
        <f t="array" ref="CC55">SUMPRODUCT(TRANSPOSE(CC$2:CC$15),$I55:$V55)</f>
        <v>0</v>
      </c>
      <c r="CD55" s="8" cm="1">
        <f t="array" ref="CD55">SUMPRODUCT(TRANSPOSE(CD$2:CD$15),$I55:$V55)</f>
        <v>0</v>
      </c>
      <c r="CE55" s="8" cm="1">
        <f t="array" ref="CE55">SUMPRODUCT(TRANSPOSE(CE$2:CE$15),$I55:$V55)</f>
        <v>0</v>
      </c>
      <c r="CF55" s="8" cm="1">
        <f t="array" ref="CF55">SUMPRODUCT(TRANSPOSE(CF$2:CF$15),$I55:$V55)</f>
        <v>0</v>
      </c>
      <c r="CG55" s="8" cm="1">
        <f t="array" ref="CG55">SUMPRODUCT(TRANSPOSE(CG$2:CG$15),$I55:$V55)</f>
        <v>100</v>
      </c>
      <c r="CH55" s="8" cm="1">
        <f t="array" ref="CH55">SUMPRODUCT(TRANSPOSE(CH$2:CH$15),$I55:$V55)</f>
        <v>150</v>
      </c>
      <c r="CI55" s="8" cm="1">
        <f t="array" ref="CI55">SUMPRODUCT(TRANSPOSE(CI$2:CI$15),$I55:$V55)</f>
        <v>250</v>
      </c>
      <c r="CJ55" s="8" cm="1">
        <f t="array" ref="CJ55">SUMPRODUCT(TRANSPOSE(CJ$2:CJ$15),$I55:$V55)</f>
        <v>200</v>
      </c>
      <c r="CK55" s="8" cm="1">
        <f t="array" ref="CK55">SUMPRODUCT(TRANSPOSE(CK$2:CK$15),$I55:$V55)</f>
        <v>200</v>
      </c>
      <c r="CL55" s="8" cm="1">
        <f t="array" ref="CL55">SUMPRODUCT(TRANSPOSE(CL$2:CL$15),$I55:$V55)</f>
        <v>200</v>
      </c>
      <c r="CM55" s="8" cm="1">
        <f t="array" ref="CM55">SUMPRODUCT(TRANSPOSE(CM$2:CM$15),$I55:$V55)</f>
        <v>300</v>
      </c>
      <c r="CN55" s="8" cm="1">
        <f t="array" ref="CN55">SUMPRODUCT(TRANSPOSE(CN$2:CN$15),$I55:$V55)</f>
        <v>260</v>
      </c>
      <c r="CO55" s="8" cm="1">
        <f t="array" ref="CO55">SUMPRODUCT(TRANSPOSE(CO$2:CO$15),$I55:$V55)</f>
        <v>0</v>
      </c>
      <c r="CP55" s="8" cm="1">
        <f t="array" ref="CP55">SUMPRODUCT(TRANSPOSE(CP$2:CP$15),$I55:$V55)</f>
        <v>0</v>
      </c>
      <c r="CQ55" s="8" cm="1">
        <f t="array" ref="CQ55">SUMPRODUCT(TRANSPOSE(CQ$2:CQ$15),$I55:$V55)</f>
        <v>0</v>
      </c>
    </row>
    <row r="56" spans="1:95" s="8" customFormat="1" x14ac:dyDescent="0.25">
      <c r="A56" s="1">
        <v>78</v>
      </c>
      <c r="B56" s="11" t="s">
        <v>161</v>
      </c>
      <c r="C56" s="1" t="s">
        <v>49</v>
      </c>
      <c r="D56" s="1">
        <v>411067141</v>
      </c>
      <c r="E56" s="6"/>
      <c r="F56" s="1" t="s">
        <v>162</v>
      </c>
      <c r="G56" s="1" t="s">
        <v>35</v>
      </c>
      <c r="H56" s="1">
        <v>4</v>
      </c>
      <c r="I56" s="1">
        <v>0</v>
      </c>
      <c r="J56" s="1">
        <v>0</v>
      </c>
      <c r="K56" s="1">
        <v>2</v>
      </c>
      <c r="L56" s="1">
        <v>0</v>
      </c>
      <c r="M56" s="1">
        <v>0</v>
      </c>
      <c r="N56" s="1">
        <v>0</v>
      </c>
      <c r="O56" s="1">
        <v>0</v>
      </c>
      <c r="P56" s="1">
        <v>2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f>SUMPRODUCT(I56:V56,$I$13:$V$13)</f>
        <v>6420</v>
      </c>
      <c r="X56" s="6">
        <f t="shared" si="2"/>
        <v>21</v>
      </c>
      <c r="Y56" s="1" t="str">
        <f>VLOOKUP(D56,[1]PARTS!$A$1:$G$65536,7,0)</f>
        <v>HUANG LIANG TECHNOLOGIES CO.,LTD.</v>
      </c>
      <c r="Z56" s="1">
        <v>1</v>
      </c>
      <c r="AA56" s="1">
        <v>6340</v>
      </c>
      <c r="AB56" s="1">
        <f>CEILING(W56,Z56)</f>
        <v>6420</v>
      </c>
      <c r="AC56" s="1">
        <f>VLOOKUP(D56,[2]pareto!$D$12:$AX$306,47,0)</f>
        <v>5.25</v>
      </c>
      <c r="AD56" s="1" t="s">
        <v>115</v>
      </c>
      <c r="AE56" s="1" t="s">
        <v>116</v>
      </c>
      <c r="AF56" s="1" t="str">
        <f>VLOOKUP(D56,[2]pareto!$D$11:$BD$306,52,0)</f>
        <v>ada@starlight.co.iL</v>
      </c>
      <c r="AG56" s="1" t="e">
        <f>VLOOKUP(D56,[2]pareto!$D$11:$BD$306,51)</f>
        <v>#REF!</v>
      </c>
      <c r="AH56" s="1"/>
      <c r="BG56" s="8">
        <f>SUM($BB56,$AI56:AI56)-SUM($BY56:BZ56)</f>
        <v>0</v>
      </c>
      <c r="BH56" s="8">
        <f>SUM($BB56,$AI56:AJ56)-SUM($BY56:CA56)</f>
        <v>0</v>
      </c>
      <c r="BI56" s="8">
        <f>SUM($BB56,$AI56:AK56)-SUM($BY56:CB56)</f>
        <v>0</v>
      </c>
      <c r="BJ56" s="8">
        <f>SUM($BB56,$AI56:AL56)-SUM($BY56:CC56)</f>
        <v>0</v>
      </c>
      <c r="BK56" s="8">
        <f>SUM($BB56,$AI56:AM56)-SUM($BY56:CD56)</f>
        <v>0</v>
      </c>
      <c r="BL56" s="8">
        <f>SUM($BB56,$AI56:AN56)-SUM($BY56:CE56)</f>
        <v>0</v>
      </c>
      <c r="BM56" s="8">
        <f>SUM($BB56,$AI56:AO56)-SUM($BY56:CF56)</f>
        <v>0</v>
      </c>
      <c r="BN56" s="8">
        <f>SUM($BB56,$AI56:AP56)-SUM($BY56:CG56)</f>
        <v>0</v>
      </c>
      <c r="BO56" s="8">
        <f>SUM($BB56,$AI56:AQ56)-SUM($BY56:CH56)</f>
        <v>-400</v>
      </c>
      <c r="BP56" s="8">
        <f>SUM($BB56,$AI56:AR56)-SUM($BY56:CI56)</f>
        <v>-1000</v>
      </c>
      <c r="BQ56" s="8">
        <f>SUM($BB56,$AI56:AS56)-SUM($BY56:CJ56)</f>
        <v>-2000</v>
      </c>
      <c r="BR56" s="8">
        <f>SUM($BB56,$AI56:AT56)-SUM($BY56:CK56)</f>
        <v>-2840</v>
      </c>
      <c r="BS56" s="8">
        <f>SUM($BB56,$AI56:AU56)-SUM($BY56:CL56)</f>
        <v>-3640</v>
      </c>
      <c r="BT56" s="8">
        <f>SUM($BB56,$AI56:AV56)-SUM($BY56:CM56)</f>
        <v>-4340</v>
      </c>
      <c r="BU56" s="8">
        <f>SUM($BB56,$AI56:AW56)-SUM($BY56:CN56)</f>
        <v>-5420</v>
      </c>
      <c r="BV56" s="8">
        <f>SUM($BB56,$AI56:AX56)-SUM($BY56:CO56)</f>
        <v>-6420</v>
      </c>
      <c r="BW56" s="8">
        <f>SUM($BB56,$AI56:AY56)-SUM($BY56:CP56)</f>
        <v>-6420</v>
      </c>
      <c r="BX56" s="8">
        <f>SUM($BB56,$AI56:AZ56)-SUM($BY56:CQ56)</f>
        <v>-6420</v>
      </c>
      <c r="BY56" s="8" cm="1">
        <f t="array" ref="BY56">SUMPRODUCT(TRANSPOSE(BY$2:BY$15),$I56:$V56)</f>
        <v>0</v>
      </c>
      <c r="BZ56" s="8" cm="1">
        <f t="array" ref="BZ56">SUMPRODUCT(TRANSPOSE(BZ$2:BZ$15),$I56:$V56)</f>
        <v>0</v>
      </c>
      <c r="CA56" s="8" cm="1">
        <f t="array" ref="CA56">SUMPRODUCT(TRANSPOSE(CA$2:CA$15),$I56:$V56)</f>
        <v>0</v>
      </c>
      <c r="CB56" s="8" cm="1">
        <f t="array" ref="CB56">SUMPRODUCT(TRANSPOSE(CB$2:CB$15),$I56:$V56)</f>
        <v>0</v>
      </c>
      <c r="CC56" s="8" cm="1">
        <f t="array" ref="CC56">SUMPRODUCT(TRANSPOSE(CC$2:CC$15),$I56:$V56)</f>
        <v>0</v>
      </c>
      <c r="CD56" s="8" cm="1">
        <f t="array" ref="CD56">SUMPRODUCT(TRANSPOSE(CD$2:CD$15),$I56:$V56)</f>
        <v>0</v>
      </c>
      <c r="CE56" s="8" cm="1">
        <f t="array" ref="CE56">SUMPRODUCT(TRANSPOSE(CE$2:CE$15),$I56:$V56)</f>
        <v>0</v>
      </c>
      <c r="CF56" s="8" cm="1">
        <f t="array" ref="CF56">SUMPRODUCT(TRANSPOSE(CF$2:CF$15),$I56:$V56)</f>
        <v>0</v>
      </c>
      <c r="CG56" s="8" cm="1">
        <f t="array" ref="CG56">SUMPRODUCT(TRANSPOSE(CG$2:CG$15),$I56:$V56)</f>
        <v>0</v>
      </c>
      <c r="CH56" s="8" cm="1">
        <f t="array" ref="CH56">SUMPRODUCT(TRANSPOSE(CH$2:CH$15),$I56:$V56)</f>
        <v>400</v>
      </c>
      <c r="CI56" s="8" cm="1">
        <f t="array" ref="CI56">SUMPRODUCT(TRANSPOSE(CI$2:CI$15),$I56:$V56)</f>
        <v>600</v>
      </c>
      <c r="CJ56" s="8" cm="1">
        <f t="array" ref="CJ56">SUMPRODUCT(TRANSPOSE(CJ$2:CJ$15),$I56:$V56)</f>
        <v>1000</v>
      </c>
      <c r="CK56" s="8" cm="1">
        <f t="array" ref="CK56">SUMPRODUCT(TRANSPOSE(CK$2:CK$15),$I56:$V56)</f>
        <v>840</v>
      </c>
      <c r="CL56" s="8" cm="1">
        <f t="array" ref="CL56">SUMPRODUCT(TRANSPOSE(CL$2:CL$15),$I56:$V56)</f>
        <v>800</v>
      </c>
      <c r="CM56" s="8" cm="1">
        <f t="array" ref="CM56">SUMPRODUCT(TRANSPOSE(CM$2:CM$15),$I56:$V56)</f>
        <v>700</v>
      </c>
      <c r="CN56" s="8" cm="1">
        <f t="array" ref="CN56">SUMPRODUCT(TRANSPOSE(CN$2:CN$15),$I56:$V56)</f>
        <v>1080</v>
      </c>
      <c r="CO56" s="8" cm="1">
        <f t="array" ref="CO56">SUMPRODUCT(TRANSPOSE(CO$2:CO$15),$I56:$V56)</f>
        <v>1000</v>
      </c>
      <c r="CP56" s="8" cm="1">
        <f t="array" ref="CP56">SUMPRODUCT(TRANSPOSE(CP$2:CP$15),$I56:$V56)</f>
        <v>0</v>
      </c>
      <c r="CQ56" s="8" cm="1">
        <f t="array" ref="CQ56">SUMPRODUCT(TRANSPOSE(CQ$2:CQ$15),$I56:$V56)</f>
        <v>0</v>
      </c>
    </row>
    <row r="57" spans="1:95" x14ac:dyDescent="0.25">
      <c r="A57" s="1">
        <v>316</v>
      </c>
      <c r="B57" s="11" t="s">
        <v>163</v>
      </c>
      <c r="C57" s="1" t="s">
        <v>164</v>
      </c>
      <c r="D57" s="1" t="s">
        <v>165</v>
      </c>
      <c r="E57" s="6"/>
      <c r="F57" s="1" t="s">
        <v>166</v>
      </c>
      <c r="G57" s="1" t="s">
        <v>35</v>
      </c>
      <c r="H57" s="1">
        <v>8</v>
      </c>
      <c r="I57" s="1">
        <v>0</v>
      </c>
      <c r="J57" s="1">
        <v>0</v>
      </c>
      <c r="K57" s="1">
        <v>0</v>
      </c>
      <c r="L57" s="1">
        <v>5</v>
      </c>
      <c r="M57" s="1">
        <v>0</v>
      </c>
      <c r="N57" s="1">
        <v>0</v>
      </c>
      <c r="O57" s="1">
        <v>0</v>
      </c>
      <c r="P57" s="1">
        <v>0</v>
      </c>
      <c r="Q57" s="1">
        <v>3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f>SUMPRODUCT(I57:V57,$I$13:$V$13)</f>
        <v>12730</v>
      </c>
      <c r="X57" s="6">
        <f t="shared" si="2"/>
        <v>25.44</v>
      </c>
      <c r="Y57" s="1" t="str">
        <f>VLOOKUP(D57,[1]PARTS!$A$1:$G$65536,7,0)</f>
        <v>SMITHS INTERCONNECT AMERICAS,</v>
      </c>
      <c r="Z57" s="1">
        <v>1</v>
      </c>
      <c r="AA57" s="1">
        <f>VLOOKUP(D57,[2]pareto!$D$12:$AX$306,45,0)</f>
        <v>35</v>
      </c>
      <c r="AB57" s="1">
        <f>CEILING(W57,Z57)</f>
        <v>12730</v>
      </c>
      <c r="AC57" s="1">
        <f>VLOOKUP(D57,[2]pareto!$D$12:$AX$306,47,0)</f>
        <v>3.18</v>
      </c>
      <c r="AD57" s="1" t="s">
        <v>167</v>
      </c>
      <c r="AE57" s="1" t="s">
        <v>168</v>
      </c>
      <c r="AF57" s="12" t="s">
        <v>169</v>
      </c>
      <c r="AG57" s="1" t="s">
        <v>170</v>
      </c>
      <c r="BG57" s="8">
        <f>SUM($BB57,$AI57:AI57)-SUM($BY57:BZ57)</f>
        <v>0</v>
      </c>
      <c r="BH57" s="8">
        <f>SUM($BB57,$AI57:AJ57)-SUM($BY57:CA57)</f>
        <v>0</v>
      </c>
      <c r="BI57" s="8">
        <f>SUM($BB57,$AI57:AK57)-SUM($BY57:CB57)</f>
        <v>0</v>
      </c>
      <c r="BJ57" s="8">
        <f>SUM($BB57,$AI57:AL57)-SUM($BY57:CC57)</f>
        <v>0</v>
      </c>
      <c r="BK57" s="8">
        <f>SUM($BB57,$AI57:AM57)-SUM($BY57:CD57)</f>
        <v>0</v>
      </c>
      <c r="BL57" s="8">
        <f>SUM($BB57,$AI57:AN57)-SUM($BY57:CE57)</f>
        <v>0</v>
      </c>
      <c r="BM57" s="8">
        <f>SUM($BB57,$AI57:AO57)-SUM($BY57:CF57)</f>
        <v>0</v>
      </c>
      <c r="BN57" s="8">
        <f>SUM($BB57,$AI57:AP57)-SUM($BY57:CG57)</f>
        <v>-800</v>
      </c>
      <c r="BO57" s="8">
        <f>SUM($BB57,$AI57:AQ57)-SUM($BY57:CH57)</f>
        <v>-2000</v>
      </c>
      <c r="BP57" s="8">
        <f>SUM($BB57,$AI57:AR57)-SUM($BY57:CI57)</f>
        <v>-4000</v>
      </c>
      <c r="BQ57" s="8">
        <f>SUM($BB57,$AI57:AS57)-SUM($BY57:CJ57)</f>
        <v>-5700</v>
      </c>
      <c r="BR57" s="8">
        <f>SUM($BB57,$AI57:AT57)-SUM($BY57:CK57)</f>
        <v>-7300</v>
      </c>
      <c r="BS57" s="8">
        <f>SUM($BB57,$AI57:AU57)-SUM($BY57:CL57)</f>
        <v>-8650</v>
      </c>
      <c r="BT57" s="8">
        <f>SUM($BB57,$AI57:AV57)-SUM($BY57:CM57)</f>
        <v>-10750</v>
      </c>
      <c r="BU57" s="8">
        <f>SUM($BB57,$AI57:AW57)-SUM($BY57:CN57)</f>
        <v>-12730</v>
      </c>
      <c r="BV57" s="8">
        <f>SUM($BB57,$AI57:AX57)-SUM($BY57:CO57)</f>
        <v>-12730</v>
      </c>
      <c r="BW57" s="8">
        <f>SUM($BB57,$AI57:AY57)-SUM($BY57:CP57)</f>
        <v>-12730</v>
      </c>
      <c r="BX57" s="8">
        <f>SUM($BB57,$AI57:AZ57)-SUM($BY57:CQ57)</f>
        <v>-12730</v>
      </c>
      <c r="BY57" s="8" cm="1">
        <f t="array" ref="BY57">SUMPRODUCT(TRANSPOSE(BY$2:BY$15),$I57:$V57)</f>
        <v>0</v>
      </c>
      <c r="BZ57" s="8" cm="1">
        <f t="array" ref="BZ57">SUMPRODUCT(TRANSPOSE(BZ$2:BZ$15),$I57:$V57)</f>
        <v>0</v>
      </c>
      <c r="CA57" s="8" cm="1">
        <f t="array" ref="CA57">SUMPRODUCT(TRANSPOSE(CA$2:CA$15),$I57:$V57)</f>
        <v>0</v>
      </c>
      <c r="CB57" s="8" cm="1">
        <f t="array" ref="CB57">SUMPRODUCT(TRANSPOSE(CB$2:CB$15),$I57:$V57)</f>
        <v>0</v>
      </c>
      <c r="CC57" s="8" cm="1">
        <f t="array" ref="CC57">SUMPRODUCT(TRANSPOSE(CC$2:CC$15),$I57:$V57)</f>
        <v>0</v>
      </c>
      <c r="CD57" s="8" cm="1">
        <f t="array" ref="CD57">SUMPRODUCT(TRANSPOSE(CD$2:CD$15),$I57:$V57)</f>
        <v>0</v>
      </c>
      <c r="CE57" s="8" cm="1">
        <f t="array" ref="CE57">SUMPRODUCT(TRANSPOSE(CE$2:CE$15),$I57:$V57)</f>
        <v>0</v>
      </c>
      <c r="CF57" s="8" cm="1">
        <f t="array" ref="CF57">SUMPRODUCT(TRANSPOSE(CF$2:CF$15),$I57:$V57)</f>
        <v>0</v>
      </c>
      <c r="CG57" s="8" cm="1">
        <f t="array" ref="CG57">SUMPRODUCT(TRANSPOSE(CG$2:CG$15),$I57:$V57)</f>
        <v>800</v>
      </c>
      <c r="CH57" s="8" cm="1">
        <f t="array" ref="CH57">SUMPRODUCT(TRANSPOSE(CH$2:CH$15),$I57:$V57)</f>
        <v>1200</v>
      </c>
      <c r="CI57" s="8" cm="1">
        <f t="array" ref="CI57">SUMPRODUCT(TRANSPOSE(CI$2:CI$15),$I57:$V57)</f>
        <v>2000</v>
      </c>
      <c r="CJ57" s="8" cm="1">
        <f t="array" ref="CJ57">SUMPRODUCT(TRANSPOSE(CJ$2:CJ$15),$I57:$V57)</f>
        <v>1700</v>
      </c>
      <c r="CK57" s="8" cm="1">
        <f t="array" ref="CK57">SUMPRODUCT(TRANSPOSE(CK$2:CK$15),$I57:$V57)</f>
        <v>1600</v>
      </c>
      <c r="CL57" s="8" cm="1">
        <f t="array" ref="CL57">SUMPRODUCT(TRANSPOSE(CL$2:CL$15),$I57:$V57)</f>
        <v>1350</v>
      </c>
      <c r="CM57" s="8" cm="1">
        <f t="array" ref="CM57">SUMPRODUCT(TRANSPOSE(CM$2:CM$15),$I57:$V57)</f>
        <v>2100</v>
      </c>
      <c r="CN57" s="8" cm="1">
        <f t="array" ref="CN57">SUMPRODUCT(TRANSPOSE(CN$2:CN$15),$I57:$V57)</f>
        <v>1980</v>
      </c>
      <c r="CO57" s="8" cm="1">
        <f t="array" ref="CO57">SUMPRODUCT(TRANSPOSE(CO$2:CO$15),$I57:$V57)</f>
        <v>0</v>
      </c>
      <c r="CP57" s="8" cm="1">
        <f t="array" ref="CP57">SUMPRODUCT(TRANSPOSE(CP$2:CP$15),$I57:$V57)</f>
        <v>0</v>
      </c>
      <c r="CQ57" s="8" cm="1">
        <f t="array" ref="CQ57">SUMPRODUCT(TRANSPOSE(CQ$2:CQ$15),$I57:$V57)</f>
        <v>0</v>
      </c>
    </row>
    <row r="58" spans="1:95" s="8" customFormat="1" x14ac:dyDescent="0.25">
      <c r="A58" s="1">
        <v>21</v>
      </c>
      <c r="B58" s="11" t="s">
        <v>171</v>
      </c>
      <c r="C58" s="1" t="s">
        <v>41</v>
      </c>
      <c r="D58" s="1">
        <v>401321735</v>
      </c>
      <c r="E58" s="6"/>
      <c r="F58" s="1" t="s">
        <v>172</v>
      </c>
      <c r="G58" s="1" t="s">
        <v>35</v>
      </c>
      <c r="H58" s="1">
        <v>4</v>
      </c>
      <c r="I58" s="1">
        <v>0</v>
      </c>
      <c r="J58" s="1">
        <v>0</v>
      </c>
      <c r="K58" s="1">
        <v>0</v>
      </c>
      <c r="L58" s="1">
        <v>2</v>
      </c>
      <c r="M58" s="1">
        <v>0</v>
      </c>
      <c r="N58" s="1">
        <v>0</v>
      </c>
      <c r="O58" s="1">
        <v>0</v>
      </c>
      <c r="P58" s="1">
        <v>0</v>
      </c>
      <c r="Q58" s="1">
        <v>2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f>SUMPRODUCT(I58:V58,$I$13:$V$13)</f>
        <v>6420</v>
      </c>
      <c r="X58" s="6">
        <f t="shared" si="2"/>
        <v>18.32</v>
      </c>
      <c r="Y58" s="1" t="str">
        <f>VLOOKUP(D58,[1]PARTS!$A$1:$G$65536,7,0)</f>
        <v/>
      </c>
      <c r="Z58" s="1">
        <v>1</v>
      </c>
      <c r="AA58" s="1">
        <v>6340</v>
      </c>
      <c r="AB58" s="1">
        <f>CEILING(W58,Z58)</f>
        <v>6420</v>
      </c>
      <c r="AC58" s="1">
        <f>VLOOKUP(D58,[2]pareto!$D$12:$AX$306,47,0)</f>
        <v>4.58</v>
      </c>
      <c r="AD58" s="1" t="s">
        <v>173</v>
      </c>
      <c r="AE58" s="1" t="s">
        <v>174</v>
      </c>
      <c r="AF58" s="1" t="str">
        <f>VLOOKUP(D58,[2]pareto!$D$11:$BD$306,52,0)</f>
        <v>itay@impactel.co.il</v>
      </c>
      <c r="AG58" s="1" t="s">
        <v>175</v>
      </c>
      <c r="AH58" s="1"/>
      <c r="BG58" s="8">
        <f>SUM($BB58,$AI58:AI58)-SUM($BY58:BZ58)</f>
        <v>0</v>
      </c>
      <c r="BH58" s="8">
        <f>SUM($BB58,$AI58:AJ58)-SUM($BY58:CA58)</f>
        <v>0</v>
      </c>
      <c r="BI58" s="8">
        <f>SUM($BB58,$AI58:AK58)-SUM($BY58:CB58)</f>
        <v>0</v>
      </c>
      <c r="BJ58" s="8">
        <f>SUM($BB58,$AI58:AL58)-SUM($BY58:CC58)</f>
        <v>0</v>
      </c>
      <c r="BK58" s="8">
        <f>SUM($BB58,$AI58:AM58)-SUM($BY58:CD58)</f>
        <v>0</v>
      </c>
      <c r="BL58" s="8">
        <f>SUM($BB58,$AI58:AN58)-SUM($BY58:CE58)</f>
        <v>0</v>
      </c>
      <c r="BM58" s="8">
        <f>SUM($BB58,$AI58:AO58)-SUM($BY58:CF58)</f>
        <v>0</v>
      </c>
      <c r="BN58" s="8">
        <f>SUM($BB58,$AI58:AP58)-SUM($BY58:CG58)</f>
        <v>-400</v>
      </c>
      <c r="BO58" s="8">
        <f>SUM($BB58,$AI58:AQ58)-SUM($BY58:CH58)</f>
        <v>-1000</v>
      </c>
      <c r="BP58" s="8">
        <f>SUM($BB58,$AI58:AR58)-SUM($BY58:CI58)</f>
        <v>-2000</v>
      </c>
      <c r="BQ58" s="8">
        <f>SUM($BB58,$AI58:AS58)-SUM($BY58:CJ58)</f>
        <v>-2840</v>
      </c>
      <c r="BR58" s="8">
        <f>SUM($BB58,$AI58:AT58)-SUM($BY58:CK58)</f>
        <v>-3640</v>
      </c>
      <c r="BS58" s="8">
        <f>SUM($BB58,$AI58:AU58)-SUM($BY58:CL58)</f>
        <v>-4340</v>
      </c>
      <c r="BT58" s="8">
        <f>SUM($BB58,$AI58:AV58)-SUM($BY58:CM58)</f>
        <v>-5420</v>
      </c>
      <c r="BU58" s="8">
        <f>SUM($BB58,$AI58:AW58)-SUM($BY58:CN58)</f>
        <v>-6420</v>
      </c>
      <c r="BV58" s="8">
        <f>SUM($BB58,$AI58:AX58)-SUM($BY58:CO58)</f>
        <v>-6420</v>
      </c>
      <c r="BW58" s="8">
        <f>SUM($BB58,$AI58:AY58)-SUM($BY58:CP58)</f>
        <v>-6420</v>
      </c>
      <c r="BX58" s="8">
        <f>SUM($BB58,$AI58:AZ58)-SUM($BY58:CQ58)</f>
        <v>-6420</v>
      </c>
      <c r="BY58" s="8" cm="1">
        <f t="array" ref="BY58">SUMPRODUCT(TRANSPOSE(BY$2:BY$15),$I58:$V58)</f>
        <v>0</v>
      </c>
      <c r="BZ58" s="8" cm="1">
        <f t="array" ref="BZ58">SUMPRODUCT(TRANSPOSE(BZ$2:BZ$15),$I58:$V58)</f>
        <v>0</v>
      </c>
      <c r="CA58" s="8" cm="1">
        <f t="array" ref="CA58">SUMPRODUCT(TRANSPOSE(CA$2:CA$15),$I58:$V58)</f>
        <v>0</v>
      </c>
      <c r="CB58" s="8" cm="1">
        <f t="array" ref="CB58">SUMPRODUCT(TRANSPOSE(CB$2:CB$15),$I58:$V58)</f>
        <v>0</v>
      </c>
      <c r="CC58" s="8" cm="1">
        <f t="array" ref="CC58">SUMPRODUCT(TRANSPOSE(CC$2:CC$15),$I58:$V58)</f>
        <v>0</v>
      </c>
      <c r="CD58" s="8" cm="1">
        <f t="array" ref="CD58">SUMPRODUCT(TRANSPOSE(CD$2:CD$15),$I58:$V58)</f>
        <v>0</v>
      </c>
      <c r="CE58" s="8" cm="1">
        <f t="array" ref="CE58">SUMPRODUCT(TRANSPOSE(CE$2:CE$15),$I58:$V58)</f>
        <v>0</v>
      </c>
      <c r="CF58" s="8" cm="1">
        <f t="array" ref="CF58">SUMPRODUCT(TRANSPOSE(CF$2:CF$15),$I58:$V58)</f>
        <v>0</v>
      </c>
      <c r="CG58" s="8" cm="1">
        <f t="array" ref="CG58">SUMPRODUCT(TRANSPOSE(CG$2:CG$15),$I58:$V58)</f>
        <v>400</v>
      </c>
      <c r="CH58" s="8" cm="1">
        <f t="array" ref="CH58">SUMPRODUCT(TRANSPOSE(CH$2:CH$15),$I58:$V58)</f>
        <v>600</v>
      </c>
      <c r="CI58" s="8" cm="1">
        <f t="array" ref="CI58">SUMPRODUCT(TRANSPOSE(CI$2:CI$15),$I58:$V58)</f>
        <v>1000</v>
      </c>
      <c r="CJ58" s="8" cm="1">
        <f t="array" ref="CJ58">SUMPRODUCT(TRANSPOSE(CJ$2:CJ$15),$I58:$V58)</f>
        <v>840</v>
      </c>
      <c r="CK58" s="8" cm="1">
        <f t="array" ref="CK58">SUMPRODUCT(TRANSPOSE(CK$2:CK$15),$I58:$V58)</f>
        <v>800</v>
      </c>
      <c r="CL58" s="8" cm="1">
        <f t="array" ref="CL58">SUMPRODUCT(TRANSPOSE(CL$2:CL$15),$I58:$V58)</f>
        <v>700</v>
      </c>
      <c r="CM58" s="8" cm="1">
        <f t="array" ref="CM58">SUMPRODUCT(TRANSPOSE(CM$2:CM$15),$I58:$V58)</f>
        <v>1080</v>
      </c>
      <c r="CN58" s="8" cm="1">
        <f t="array" ref="CN58">SUMPRODUCT(TRANSPOSE(CN$2:CN$15),$I58:$V58)</f>
        <v>1000</v>
      </c>
      <c r="CO58" s="8" cm="1">
        <f t="array" ref="CO58">SUMPRODUCT(TRANSPOSE(CO$2:CO$15),$I58:$V58)</f>
        <v>0</v>
      </c>
      <c r="CP58" s="8" cm="1">
        <f t="array" ref="CP58">SUMPRODUCT(TRANSPOSE(CP$2:CP$15),$I58:$V58)</f>
        <v>0</v>
      </c>
      <c r="CQ58" s="8" cm="1">
        <f t="array" ref="CQ58">SUMPRODUCT(TRANSPOSE(CQ$2:CQ$15),$I58:$V58)</f>
        <v>0</v>
      </c>
    </row>
    <row r="59" spans="1:95" x14ac:dyDescent="0.25">
      <c r="A59" s="6">
        <v>49</v>
      </c>
      <c r="B59" s="7" t="s">
        <v>176</v>
      </c>
      <c r="C59" s="6" t="s">
        <v>41</v>
      </c>
      <c r="D59" s="6">
        <v>415630145</v>
      </c>
      <c r="E59" s="6"/>
      <c r="F59" s="6" t="s">
        <v>177</v>
      </c>
      <c r="G59" s="6" t="s">
        <v>35</v>
      </c>
      <c r="H59" s="6">
        <v>1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1</v>
      </c>
      <c r="U59" s="6">
        <v>0</v>
      </c>
      <c r="V59" s="6">
        <v>0</v>
      </c>
      <c r="W59" s="6">
        <f>SUMPRODUCT(I59:V59,$I$13:$V$13)</f>
        <v>1660</v>
      </c>
      <c r="X59" s="6">
        <f t="shared" si="2"/>
        <v>0</v>
      </c>
      <c r="Y59" s="6" t="str">
        <f>VLOOKUP(D59,[1]PARTS!$A$1:$G$65536,7,0)</f>
        <v/>
      </c>
      <c r="Z59" s="6" t="s">
        <v>36</v>
      </c>
      <c r="AA59" s="6">
        <v>1640</v>
      </c>
      <c r="AB59" s="6" t="s">
        <v>36</v>
      </c>
      <c r="AC59" s="6">
        <v>0</v>
      </c>
      <c r="AD59" s="6" t="s">
        <v>36</v>
      </c>
      <c r="AE59" s="6" t="s">
        <v>36</v>
      </c>
      <c r="AF59" s="6" t="s">
        <v>36</v>
      </c>
      <c r="AG59" s="6" t="s">
        <v>36</v>
      </c>
      <c r="AH59" s="6"/>
      <c r="BG59" s="8">
        <f>SUM($BB59,$AI59:AI59)-SUM($BY59:BZ59)</f>
        <v>0</v>
      </c>
      <c r="BH59" s="8">
        <f>SUM($BB59,$AI59:AJ59)-SUM($BY59:CA59)</f>
        <v>0</v>
      </c>
      <c r="BI59" s="8">
        <f>SUM($BB59,$AI59:AK59)-SUM($BY59:CB59)</f>
        <v>0</v>
      </c>
      <c r="BJ59" s="8">
        <f>SUM($BB59,$AI59:AL59)-SUM($BY59:CC59)</f>
        <v>0</v>
      </c>
      <c r="BK59" s="8">
        <f>SUM($BB59,$AI59:AM59)-SUM($BY59:CD59)</f>
        <v>0</v>
      </c>
      <c r="BL59" s="8">
        <f>SUM($BB59,$AI59:AN59)-SUM($BY59:CE59)</f>
        <v>0</v>
      </c>
      <c r="BM59" s="8">
        <f>SUM($BB59,$AI59:AO59)-SUM($BY59:CF59)</f>
        <v>0</v>
      </c>
      <c r="BN59" s="8">
        <f>SUM($BB59,$AI59:AP59)-SUM($BY59:CG59)</f>
        <v>-100</v>
      </c>
      <c r="BO59" s="8">
        <f>SUM($BB59,$AI59:AQ59)-SUM($BY59:CH59)</f>
        <v>-250</v>
      </c>
      <c r="BP59" s="8">
        <f>SUM($BB59,$AI59:AR59)-SUM($BY59:CI59)</f>
        <v>-500</v>
      </c>
      <c r="BQ59" s="8">
        <f>SUM($BB59,$AI59:AS59)-SUM($BY59:CJ59)</f>
        <v>-700</v>
      </c>
      <c r="BR59" s="8">
        <f>SUM($BB59,$AI59:AT59)-SUM($BY59:CK59)</f>
        <v>-900</v>
      </c>
      <c r="BS59" s="8">
        <f>SUM($BB59,$AI59:AU59)-SUM($BY59:CL59)</f>
        <v>-1100</v>
      </c>
      <c r="BT59" s="8">
        <f>SUM($BB59,$AI59:AV59)-SUM($BY59:CM59)</f>
        <v>-1400</v>
      </c>
      <c r="BU59" s="8">
        <f>SUM($BB59,$AI59:AW59)-SUM($BY59:CN59)</f>
        <v>-1660</v>
      </c>
      <c r="BV59" s="8">
        <f>SUM($BB59,$AI59:AX59)-SUM($BY59:CO59)</f>
        <v>-1660</v>
      </c>
      <c r="BW59" s="8">
        <f>SUM($BB59,$AI59:AY59)-SUM($BY59:CP59)</f>
        <v>-1660</v>
      </c>
      <c r="BX59" s="8">
        <f>SUM($BB59,$AI59:AZ59)-SUM($BY59:CQ59)</f>
        <v>-1660</v>
      </c>
      <c r="BY59" s="8" cm="1">
        <f t="array" ref="BY59">SUMPRODUCT(TRANSPOSE(BY$2:BY$15),$I59:$V59)</f>
        <v>0</v>
      </c>
      <c r="BZ59" s="8" cm="1">
        <f t="array" ref="BZ59">SUMPRODUCT(TRANSPOSE(BZ$2:BZ$15),$I59:$V59)</f>
        <v>0</v>
      </c>
      <c r="CA59" s="8" cm="1">
        <f t="array" ref="CA59">SUMPRODUCT(TRANSPOSE(CA$2:CA$15),$I59:$V59)</f>
        <v>0</v>
      </c>
      <c r="CB59" s="8" cm="1">
        <f t="array" ref="CB59">SUMPRODUCT(TRANSPOSE(CB$2:CB$15),$I59:$V59)</f>
        <v>0</v>
      </c>
      <c r="CC59" s="8" cm="1">
        <f t="array" ref="CC59">SUMPRODUCT(TRANSPOSE(CC$2:CC$15),$I59:$V59)</f>
        <v>0</v>
      </c>
      <c r="CD59" s="8" cm="1">
        <f t="array" ref="CD59">SUMPRODUCT(TRANSPOSE(CD$2:CD$15),$I59:$V59)</f>
        <v>0</v>
      </c>
      <c r="CE59" s="8" cm="1">
        <f t="array" ref="CE59">SUMPRODUCT(TRANSPOSE(CE$2:CE$15),$I59:$V59)</f>
        <v>0</v>
      </c>
      <c r="CF59" s="8" cm="1">
        <f t="array" ref="CF59">SUMPRODUCT(TRANSPOSE(CF$2:CF$15),$I59:$V59)</f>
        <v>0</v>
      </c>
      <c r="CG59" s="8" cm="1">
        <f t="array" ref="CG59">SUMPRODUCT(TRANSPOSE(CG$2:CG$15),$I59:$V59)</f>
        <v>100</v>
      </c>
      <c r="CH59" s="8" cm="1">
        <f t="array" ref="CH59">SUMPRODUCT(TRANSPOSE(CH$2:CH$15),$I59:$V59)</f>
        <v>150</v>
      </c>
      <c r="CI59" s="8" cm="1">
        <f t="array" ref="CI59">SUMPRODUCT(TRANSPOSE(CI$2:CI$15),$I59:$V59)</f>
        <v>250</v>
      </c>
      <c r="CJ59" s="8" cm="1">
        <f t="array" ref="CJ59">SUMPRODUCT(TRANSPOSE(CJ$2:CJ$15),$I59:$V59)</f>
        <v>200</v>
      </c>
      <c r="CK59" s="8" cm="1">
        <f t="array" ref="CK59">SUMPRODUCT(TRANSPOSE(CK$2:CK$15),$I59:$V59)</f>
        <v>200</v>
      </c>
      <c r="CL59" s="8" cm="1">
        <f t="array" ref="CL59">SUMPRODUCT(TRANSPOSE(CL$2:CL$15),$I59:$V59)</f>
        <v>200</v>
      </c>
      <c r="CM59" s="8" cm="1">
        <f t="array" ref="CM59">SUMPRODUCT(TRANSPOSE(CM$2:CM$15),$I59:$V59)</f>
        <v>300</v>
      </c>
      <c r="CN59" s="8" cm="1">
        <f t="array" ref="CN59">SUMPRODUCT(TRANSPOSE(CN$2:CN$15),$I59:$V59)</f>
        <v>260</v>
      </c>
      <c r="CO59" s="8" cm="1">
        <f t="array" ref="CO59">SUMPRODUCT(TRANSPOSE(CO$2:CO$15),$I59:$V59)</f>
        <v>0</v>
      </c>
      <c r="CP59" s="8" cm="1">
        <f t="array" ref="CP59">SUMPRODUCT(TRANSPOSE(CP$2:CP$15),$I59:$V59)</f>
        <v>0</v>
      </c>
      <c r="CQ59" s="8" cm="1">
        <f t="array" ref="CQ59">SUMPRODUCT(TRANSPOSE(CQ$2:CQ$15),$I59:$V59)</f>
        <v>0</v>
      </c>
    </row>
    <row r="60" spans="1:95" x14ac:dyDescent="0.25">
      <c r="A60" s="1">
        <v>42</v>
      </c>
      <c r="B60" s="11" t="s">
        <v>178</v>
      </c>
      <c r="C60" s="1" t="s">
        <v>68</v>
      </c>
      <c r="D60" s="1">
        <v>411179616</v>
      </c>
      <c r="E60" s="6"/>
      <c r="F60" s="1" t="s">
        <v>179</v>
      </c>
      <c r="G60" s="1" t="s">
        <v>35</v>
      </c>
      <c r="H60" s="1">
        <v>2</v>
      </c>
      <c r="I60" s="1">
        <v>0</v>
      </c>
      <c r="J60" s="1">
        <v>1</v>
      </c>
      <c r="K60" s="1">
        <v>0</v>
      </c>
      <c r="L60" s="1">
        <v>0</v>
      </c>
      <c r="M60" s="1">
        <v>0</v>
      </c>
      <c r="N60" s="1">
        <v>0</v>
      </c>
      <c r="O60" s="1">
        <v>1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f>SUMPRODUCT(I60:V60,$I$13:$V$13)</f>
        <v>3210</v>
      </c>
      <c r="X60" s="6">
        <f t="shared" si="2"/>
        <v>7.18</v>
      </c>
      <c r="Y60" s="1" t="str">
        <f>VLOOKUP(D60,[1]PARTS!$A$1:$G$65536,7,0)</f>
        <v/>
      </c>
      <c r="Z60" s="1">
        <v>1</v>
      </c>
      <c r="AA60" s="1">
        <v>3170</v>
      </c>
      <c r="AB60" s="1">
        <f>CEILING(W60,Z60)</f>
        <v>3210</v>
      </c>
      <c r="AC60" s="1">
        <f>VLOOKUP(D60,[2]pareto!$D$12:$AX$306,47,0)</f>
        <v>3.59</v>
      </c>
      <c r="AD60" s="1" t="s">
        <v>70</v>
      </c>
      <c r="AE60" s="1" t="s">
        <v>70</v>
      </c>
      <c r="AF60" s="1" t="str">
        <f>VLOOKUP(D60,[2]pareto!$D$11:$BD$306,52,0)</f>
        <v>tnp@wave-mechanics.com</v>
      </c>
      <c r="AG60" s="1" t="e">
        <f>VLOOKUP(D60,[2]pareto!$D$11:$BD$306,51)</f>
        <v>#REF!</v>
      </c>
      <c r="BG60" s="8">
        <f>SUM($BB60,$AI60:AI60)-SUM($BY60:BZ60)</f>
        <v>0</v>
      </c>
      <c r="BH60" s="8">
        <f>SUM($BB60,$AI60:AJ60)-SUM($BY60:CA60)</f>
        <v>0</v>
      </c>
      <c r="BI60" s="8">
        <f>SUM($BB60,$AI60:AK60)-SUM($BY60:CB60)</f>
        <v>0</v>
      </c>
      <c r="BJ60" s="8">
        <f>SUM($BB60,$AI60:AL60)-SUM($BY60:CC60)</f>
        <v>0</v>
      </c>
      <c r="BK60" s="8">
        <f>SUM($BB60,$AI60:AM60)-SUM($BY60:CD60)</f>
        <v>0</v>
      </c>
      <c r="BL60" s="8">
        <f>SUM($BB60,$AI60:AN60)-SUM($BY60:CE60)</f>
        <v>0</v>
      </c>
      <c r="BM60" s="8">
        <f>SUM($BB60,$AI60:AO60)-SUM($BY60:CF60)</f>
        <v>0</v>
      </c>
      <c r="BN60" s="8">
        <f>SUM($BB60,$AI60:AP60)-SUM($BY60:CG60)</f>
        <v>0</v>
      </c>
      <c r="BO60" s="8">
        <f>SUM($BB60,$AI60:AQ60)-SUM($BY60:CH60)</f>
        <v>0</v>
      </c>
      <c r="BP60" s="8">
        <f>SUM($BB60,$AI60:AR60)-SUM($BY60:CI60)</f>
        <v>-200</v>
      </c>
      <c r="BQ60" s="8">
        <f>SUM($BB60,$AI60:AS60)-SUM($BY60:CJ60)</f>
        <v>-500</v>
      </c>
      <c r="BR60" s="8">
        <f>SUM($BB60,$AI60:AT60)-SUM($BY60:CK60)</f>
        <v>-1000</v>
      </c>
      <c r="BS60" s="8">
        <f>SUM($BB60,$AI60:AU60)-SUM($BY60:CL60)</f>
        <v>-1420</v>
      </c>
      <c r="BT60" s="8">
        <f>SUM($BB60,$AI60:AV60)-SUM($BY60:CM60)</f>
        <v>-1820</v>
      </c>
      <c r="BU60" s="8">
        <f>SUM($BB60,$AI60:AW60)-SUM($BY60:CN60)</f>
        <v>-2170</v>
      </c>
      <c r="BV60" s="8">
        <f>SUM($BB60,$AI60:AX60)-SUM($BY60:CO60)</f>
        <v>-2710</v>
      </c>
      <c r="BW60" s="8">
        <f>SUM($BB60,$AI60:AY60)-SUM($BY60:CP60)</f>
        <v>-3210</v>
      </c>
      <c r="BX60" s="8">
        <f>SUM($BB60,$AI60:AZ60)-SUM($BY60:CQ60)</f>
        <v>-3210</v>
      </c>
      <c r="BY60" s="8" cm="1">
        <f t="array" ref="BY60">SUMPRODUCT(TRANSPOSE(BY$2:BY$15),$I60:$V60)</f>
        <v>0</v>
      </c>
      <c r="BZ60" s="8" cm="1">
        <f t="array" ref="BZ60">SUMPRODUCT(TRANSPOSE(BZ$2:BZ$15),$I60:$V60)</f>
        <v>0</v>
      </c>
      <c r="CA60" s="8" cm="1">
        <f t="array" ref="CA60">SUMPRODUCT(TRANSPOSE(CA$2:CA$15),$I60:$V60)</f>
        <v>0</v>
      </c>
      <c r="CB60" s="8" cm="1">
        <f t="array" ref="CB60">SUMPRODUCT(TRANSPOSE(CB$2:CB$15),$I60:$V60)</f>
        <v>0</v>
      </c>
      <c r="CC60" s="8" cm="1">
        <f t="array" ref="CC60">SUMPRODUCT(TRANSPOSE(CC$2:CC$15),$I60:$V60)</f>
        <v>0</v>
      </c>
      <c r="CD60" s="8" cm="1">
        <f t="array" ref="CD60">SUMPRODUCT(TRANSPOSE(CD$2:CD$15),$I60:$V60)</f>
        <v>0</v>
      </c>
      <c r="CE60" s="8" cm="1">
        <f t="array" ref="CE60">SUMPRODUCT(TRANSPOSE(CE$2:CE$15),$I60:$V60)</f>
        <v>0</v>
      </c>
      <c r="CF60" s="8" cm="1">
        <f t="array" ref="CF60">SUMPRODUCT(TRANSPOSE(CF$2:CF$15),$I60:$V60)</f>
        <v>0</v>
      </c>
      <c r="CG60" s="8" cm="1">
        <f t="array" ref="CG60">SUMPRODUCT(TRANSPOSE(CG$2:CG$15),$I60:$V60)</f>
        <v>0</v>
      </c>
      <c r="CH60" s="8" cm="1">
        <f t="array" ref="CH60">SUMPRODUCT(TRANSPOSE(CH$2:CH$15),$I60:$V60)</f>
        <v>0</v>
      </c>
      <c r="CI60" s="8" cm="1">
        <f t="array" ref="CI60">SUMPRODUCT(TRANSPOSE(CI$2:CI$15),$I60:$V60)</f>
        <v>200</v>
      </c>
      <c r="CJ60" s="8" cm="1">
        <f t="array" ref="CJ60">SUMPRODUCT(TRANSPOSE(CJ$2:CJ$15),$I60:$V60)</f>
        <v>300</v>
      </c>
      <c r="CK60" s="8" cm="1">
        <f t="array" ref="CK60">SUMPRODUCT(TRANSPOSE(CK$2:CK$15),$I60:$V60)</f>
        <v>500</v>
      </c>
      <c r="CL60" s="8" cm="1">
        <f t="array" ref="CL60">SUMPRODUCT(TRANSPOSE(CL$2:CL$15),$I60:$V60)</f>
        <v>420</v>
      </c>
      <c r="CM60" s="8" cm="1">
        <f t="array" ref="CM60">SUMPRODUCT(TRANSPOSE(CM$2:CM$15),$I60:$V60)</f>
        <v>400</v>
      </c>
      <c r="CN60" s="8" cm="1">
        <f t="array" ref="CN60">SUMPRODUCT(TRANSPOSE(CN$2:CN$15),$I60:$V60)</f>
        <v>350</v>
      </c>
      <c r="CO60" s="8" cm="1">
        <f t="array" ref="CO60">SUMPRODUCT(TRANSPOSE(CO$2:CO$15),$I60:$V60)</f>
        <v>540</v>
      </c>
      <c r="CP60" s="8" cm="1">
        <f t="array" ref="CP60">SUMPRODUCT(TRANSPOSE(CP$2:CP$15),$I60:$V60)</f>
        <v>500</v>
      </c>
      <c r="CQ60" s="8" cm="1">
        <f t="array" ref="CQ60">SUMPRODUCT(TRANSPOSE(CQ$2:CQ$15),$I60:$V60)</f>
        <v>0</v>
      </c>
    </row>
    <row r="61" spans="1:95" x14ac:dyDescent="0.25">
      <c r="A61" s="1">
        <v>307</v>
      </c>
      <c r="B61" s="11" t="s">
        <v>180</v>
      </c>
      <c r="C61" s="1" t="s">
        <v>49</v>
      </c>
      <c r="D61" s="1">
        <v>404179731</v>
      </c>
      <c r="E61" s="6"/>
      <c r="F61" s="1" t="s">
        <v>181</v>
      </c>
      <c r="G61" s="1" t="s">
        <v>35</v>
      </c>
      <c r="H61" s="1">
        <v>2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2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f>SUMPRODUCT(I61:V61,$I$13:$V$13)</f>
        <v>3320</v>
      </c>
      <c r="X61" s="6">
        <f t="shared" si="2"/>
        <v>17</v>
      </c>
      <c r="Y61" s="1" t="str">
        <f>VLOOKUP(D61,[1]PARTS!$A$1:$G$65536,7,0)</f>
        <v>QORVO US, INC</v>
      </c>
      <c r="Z61" s="1">
        <v>1000</v>
      </c>
      <c r="AA61" s="1">
        <f>VLOOKUP(D61,[2]pareto!$D$12:$AX$306,45,0)</f>
        <v>2000</v>
      </c>
      <c r="AB61" s="1">
        <f>CEILING(W61,Z61)</f>
        <v>4000</v>
      </c>
      <c r="AC61" s="1">
        <f>VLOOKUP(D61,[2]pareto!$D$12:$AX$306,47,0)</f>
        <v>8.5</v>
      </c>
      <c r="AD61" s="1" t="s">
        <v>78</v>
      </c>
      <c r="AE61" s="1" t="s">
        <v>79</v>
      </c>
      <c r="AF61" s="1" t="str">
        <f>VLOOKUP(D61,[2]pareto!$D$11:$BD$306,52,0)</f>
        <v>shuli.ronin@qorvo.com</v>
      </c>
      <c r="AG61" s="1" t="s">
        <v>80</v>
      </c>
      <c r="BG61" s="8">
        <f>SUM($BB61,$AI61:AI61)-SUM($BY61:BZ61)</f>
        <v>0</v>
      </c>
      <c r="BH61" s="8">
        <f>SUM($BB61,$AI61:AJ61)-SUM($BY61:CA61)</f>
        <v>0</v>
      </c>
      <c r="BI61" s="8">
        <f>SUM($BB61,$AI61:AK61)-SUM($BY61:CB61)</f>
        <v>0</v>
      </c>
      <c r="BJ61" s="8">
        <f>SUM($BB61,$AI61:AL61)-SUM($BY61:CC61)</f>
        <v>0</v>
      </c>
      <c r="BK61" s="8">
        <f>SUM($BB61,$AI61:AM61)-SUM($BY61:CD61)</f>
        <v>0</v>
      </c>
      <c r="BL61" s="8">
        <f>SUM($BB61,$AI61:AN61)-SUM($BY61:CE61)</f>
        <v>0</v>
      </c>
      <c r="BM61" s="8">
        <f>SUM($BB61,$AI61:AO61)-SUM($BY61:CF61)</f>
        <v>0</v>
      </c>
      <c r="BN61" s="8">
        <f>SUM($BB61,$AI61:AP61)-SUM($BY61:CG61)</f>
        <v>-200</v>
      </c>
      <c r="BO61" s="8">
        <f>SUM($BB61,$AI61:AQ61)-SUM($BY61:CH61)</f>
        <v>-500</v>
      </c>
      <c r="BP61" s="8">
        <f>SUM($BB61,$AI61:AR61)-SUM($BY61:CI61)</f>
        <v>-1000</v>
      </c>
      <c r="BQ61" s="8">
        <f>SUM($BB61,$AI61:AS61)-SUM($BY61:CJ61)</f>
        <v>-1400</v>
      </c>
      <c r="BR61" s="8">
        <f>SUM($BB61,$AI61:AT61)-SUM($BY61:CK61)</f>
        <v>-1800</v>
      </c>
      <c r="BS61" s="8">
        <f>SUM($BB61,$AI61:AU61)-SUM($BY61:CL61)</f>
        <v>-2200</v>
      </c>
      <c r="BT61" s="8">
        <f>SUM($BB61,$AI61:AV61)-SUM($BY61:CM61)</f>
        <v>-2800</v>
      </c>
      <c r="BU61" s="8">
        <f>SUM($BB61,$AI61:AW61)-SUM($BY61:CN61)</f>
        <v>-3320</v>
      </c>
      <c r="BV61" s="8">
        <f>SUM($BB61,$AI61:AX61)-SUM($BY61:CO61)</f>
        <v>-3320</v>
      </c>
      <c r="BW61" s="8">
        <f>SUM($BB61,$AI61:AY61)-SUM($BY61:CP61)</f>
        <v>-3320</v>
      </c>
      <c r="BX61" s="8">
        <f>SUM($BB61,$AI61:AZ61)-SUM($BY61:CQ61)</f>
        <v>-3320</v>
      </c>
      <c r="BY61" s="8" cm="1">
        <f t="array" ref="BY61">SUMPRODUCT(TRANSPOSE(BY$2:BY$15),$I61:$V61)</f>
        <v>0</v>
      </c>
      <c r="BZ61" s="8" cm="1">
        <f t="array" ref="BZ61">SUMPRODUCT(TRANSPOSE(BZ$2:BZ$15),$I61:$V61)</f>
        <v>0</v>
      </c>
      <c r="CA61" s="8" cm="1">
        <f t="array" ref="CA61">SUMPRODUCT(TRANSPOSE(CA$2:CA$15),$I61:$V61)</f>
        <v>0</v>
      </c>
      <c r="CB61" s="8" cm="1">
        <f t="array" ref="CB61">SUMPRODUCT(TRANSPOSE(CB$2:CB$15),$I61:$V61)</f>
        <v>0</v>
      </c>
      <c r="CC61" s="8" cm="1">
        <f t="array" ref="CC61">SUMPRODUCT(TRANSPOSE(CC$2:CC$15),$I61:$V61)</f>
        <v>0</v>
      </c>
      <c r="CD61" s="8" cm="1">
        <f t="array" ref="CD61">SUMPRODUCT(TRANSPOSE(CD$2:CD$15),$I61:$V61)</f>
        <v>0</v>
      </c>
      <c r="CE61" s="8" cm="1">
        <f t="array" ref="CE61">SUMPRODUCT(TRANSPOSE(CE$2:CE$15),$I61:$V61)</f>
        <v>0</v>
      </c>
      <c r="CF61" s="8" cm="1">
        <f t="array" ref="CF61">SUMPRODUCT(TRANSPOSE(CF$2:CF$15),$I61:$V61)</f>
        <v>0</v>
      </c>
      <c r="CG61" s="8" cm="1">
        <f t="array" ref="CG61">SUMPRODUCT(TRANSPOSE(CG$2:CG$15),$I61:$V61)</f>
        <v>200</v>
      </c>
      <c r="CH61" s="8" cm="1">
        <f t="array" ref="CH61">SUMPRODUCT(TRANSPOSE(CH$2:CH$15),$I61:$V61)</f>
        <v>300</v>
      </c>
      <c r="CI61" s="8" cm="1">
        <f t="array" ref="CI61">SUMPRODUCT(TRANSPOSE(CI$2:CI$15),$I61:$V61)</f>
        <v>500</v>
      </c>
      <c r="CJ61" s="8" cm="1">
        <f t="array" ref="CJ61">SUMPRODUCT(TRANSPOSE(CJ$2:CJ$15),$I61:$V61)</f>
        <v>400</v>
      </c>
      <c r="CK61" s="8" cm="1">
        <f t="array" ref="CK61">SUMPRODUCT(TRANSPOSE(CK$2:CK$15),$I61:$V61)</f>
        <v>400</v>
      </c>
      <c r="CL61" s="8" cm="1">
        <f t="array" ref="CL61">SUMPRODUCT(TRANSPOSE(CL$2:CL$15),$I61:$V61)</f>
        <v>400</v>
      </c>
      <c r="CM61" s="8" cm="1">
        <f t="array" ref="CM61">SUMPRODUCT(TRANSPOSE(CM$2:CM$15),$I61:$V61)</f>
        <v>600</v>
      </c>
      <c r="CN61" s="8" cm="1">
        <f t="array" ref="CN61">SUMPRODUCT(TRANSPOSE(CN$2:CN$15),$I61:$V61)</f>
        <v>520</v>
      </c>
      <c r="CO61" s="8" cm="1">
        <f t="array" ref="CO61">SUMPRODUCT(TRANSPOSE(CO$2:CO$15),$I61:$V61)</f>
        <v>0</v>
      </c>
      <c r="CP61" s="8" cm="1">
        <f t="array" ref="CP61">SUMPRODUCT(TRANSPOSE(CP$2:CP$15),$I61:$V61)</f>
        <v>0</v>
      </c>
      <c r="CQ61" s="8" cm="1">
        <f t="array" ref="CQ61">SUMPRODUCT(TRANSPOSE(CQ$2:CQ$15),$I61:$V61)</f>
        <v>0</v>
      </c>
    </row>
    <row r="62" spans="1:95" x14ac:dyDescent="0.25">
      <c r="A62" s="1">
        <v>230</v>
      </c>
      <c r="B62" s="11" t="s">
        <v>182</v>
      </c>
      <c r="C62" s="1" t="s">
        <v>49</v>
      </c>
      <c r="D62" s="1">
        <v>412830310</v>
      </c>
      <c r="E62" s="6"/>
      <c r="F62" s="1" t="s">
        <v>183</v>
      </c>
      <c r="G62" s="1" t="s">
        <v>35</v>
      </c>
      <c r="H62" s="1">
        <v>1</v>
      </c>
      <c r="I62" s="1">
        <v>0</v>
      </c>
      <c r="J62" s="1">
        <v>0</v>
      </c>
      <c r="K62" s="1">
        <v>0</v>
      </c>
      <c r="L62" s="1">
        <v>1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f>SUMPRODUCT(I62:V62,$I$13:$V$13)</f>
        <v>1550</v>
      </c>
      <c r="X62" s="6">
        <f t="shared" si="2"/>
        <v>16.95</v>
      </c>
      <c r="Y62" s="1" t="str">
        <f>VLOOKUP(D62,[1]PARTS!$A$1:$G$65536,7,0)</f>
        <v>JQL  ELECTRONICS</v>
      </c>
      <c r="Z62" s="1">
        <v>1</v>
      </c>
      <c r="AA62" s="1">
        <v>0</v>
      </c>
      <c r="AB62" s="1">
        <f>CEILING(W62,Z62)</f>
        <v>1550</v>
      </c>
      <c r="AC62" s="1">
        <f>VLOOKUP(D62,[2]pareto!$D$12:$AX$306,47,0)</f>
        <v>16.95</v>
      </c>
      <c r="AD62" s="1" t="s">
        <v>156</v>
      </c>
      <c r="AE62" s="1" t="s">
        <v>157</v>
      </c>
      <c r="AF62" s="19" t="s">
        <v>158</v>
      </c>
      <c r="AG62" s="1" t="s">
        <v>159</v>
      </c>
      <c r="BG62" s="8">
        <f>SUM($BB62,$AI62:AI62)-SUM($BY62:BZ62)</f>
        <v>0</v>
      </c>
      <c r="BH62" s="8">
        <f>SUM($BB62,$AI62:AJ62)-SUM($BY62:CA62)</f>
        <v>0</v>
      </c>
      <c r="BI62" s="8">
        <f>SUM($BB62,$AI62:AK62)-SUM($BY62:CB62)</f>
        <v>0</v>
      </c>
      <c r="BJ62" s="8">
        <f>SUM($BB62,$AI62:AL62)-SUM($BY62:CC62)</f>
        <v>0</v>
      </c>
      <c r="BK62" s="8">
        <f>SUM($BB62,$AI62:AM62)-SUM($BY62:CD62)</f>
        <v>0</v>
      </c>
      <c r="BL62" s="8">
        <f>SUM($BB62,$AI62:AN62)-SUM($BY62:CE62)</f>
        <v>0</v>
      </c>
      <c r="BM62" s="8">
        <f>SUM($BB62,$AI62:AO62)-SUM($BY62:CF62)</f>
        <v>0</v>
      </c>
      <c r="BN62" s="8">
        <f>SUM($BB62,$AI62:AP62)-SUM($BY62:CG62)</f>
        <v>-100</v>
      </c>
      <c r="BO62" s="8">
        <f>SUM($BB62,$AI62:AQ62)-SUM($BY62:CH62)</f>
        <v>-250</v>
      </c>
      <c r="BP62" s="8">
        <f>SUM($BB62,$AI62:AR62)-SUM($BY62:CI62)</f>
        <v>-500</v>
      </c>
      <c r="BQ62" s="8">
        <f>SUM($BB62,$AI62:AS62)-SUM($BY62:CJ62)</f>
        <v>-720</v>
      </c>
      <c r="BR62" s="8">
        <f>SUM($BB62,$AI62:AT62)-SUM($BY62:CK62)</f>
        <v>-920</v>
      </c>
      <c r="BS62" s="8">
        <f>SUM($BB62,$AI62:AU62)-SUM($BY62:CL62)</f>
        <v>-1070</v>
      </c>
      <c r="BT62" s="8">
        <f>SUM($BB62,$AI62:AV62)-SUM($BY62:CM62)</f>
        <v>-1310</v>
      </c>
      <c r="BU62" s="8">
        <f>SUM($BB62,$AI62:AW62)-SUM($BY62:CN62)</f>
        <v>-1550</v>
      </c>
      <c r="BV62" s="8">
        <f>SUM($BB62,$AI62:AX62)-SUM($BY62:CO62)</f>
        <v>-1550</v>
      </c>
      <c r="BW62" s="8">
        <f>SUM($BB62,$AI62:AY62)-SUM($BY62:CP62)</f>
        <v>-1550</v>
      </c>
      <c r="BX62" s="8">
        <f>SUM($BB62,$AI62:AZ62)-SUM($BY62:CQ62)</f>
        <v>-1550</v>
      </c>
      <c r="BY62" s="8" cm="1">
        <f t="array" ref="BY62">SUMPRODUCT(TRANSPOSE(BY$2:BY$15),$I62:$V62)</f>
        <v>0</v>
      </c>
      <c r="BZ62" s="8" cm="1">
        <f t="array" ref="BZ62">SUMPRODUCT(TRANSPOSE(BZ$2:BZ$15),$I62:$V62)</f>
        <v>0</v>
      </c>
      <c r="CA62" s="8" cm="1">
        <f t="array" ref="CA62">SUMPRODUCT(TRANSPOSE(CA$2:CA$15),$I62:$V62)</f>
        <v>0</v>
      </c>
      <c r="CB62" s="8" cm="1">
        <f t="array" ref="CB62">SUMPRODUCT(TRANSPOSE(CB$2:CB$15),$I62:$V62)</f>
        <v>0</v>
      </c>
      <c r="CC62" s="8" cm="1">
        <f t="array" ref="CC62">SUMPRODUCT(TRANSPOSE(CC$2:CC$15),$I62:$V62)</f>
        <v>0</v>
      </c>
      <c r="CD62" s="8" cm="1">
        <f t="array" ref="CD62">SUMPRODUCT(TRANSPOSE(CD$2:CD$15),$I62:$V62)</f>
        <v>0</v>
      </c>
      <c r="CE62" s="8" cm="1">
        <f t="array" ref="CE62">SUMPRODUCT(TRANSPOSE(CE$2:CE$15),$I62:$V62)</f>
        <v>0</v>
      </c>
      <c r="CF62" s="8" cm="1">
        <f t="array" ref="CF62">SUMPRODUCT(TRANSPOSE(CF$2:CF$15),$I62:$V62)</f>
        <v>0</v>
      </c>
      <c r="CG62" s="8" cm="1">
        <f t="array" ref="CG62">SUMPRODUCT(TRANSPOSE(CG$2:CG$15),$I62:$V62)</f>
        <v>100</v>
      </c>
      <c r="CH62" s="8" cm="1">
        <f t="array" ref="CH62">SUMPRODUCT(TRANSPOSE(CH$2:CH$15),$I62:$V62)</f>
        <v>150</v>
      </c>
      <c r="CI62" s="8" cm="1">
        <f t="array" ref="CI62">SUMPRODUCT(TRANSPOSE(CI$2:CI$15),$I62:$V62)</f>
        <v>250</v>
      </c>
      <c r="CJ62" s="8" cm="1">
        <f t="array" ref="CJ62">SUMPRODUCT(TRANSPOSE(CJ$2:CJ$15),$I62:$V62)</f>
        <v>220</v>
      </c>
      <c r="CK62" s="8" cm="1">
        <f t="array" ref="CK62">SUMPRODUCT(TRANSPOSE(CK$2:CK$15),$I62:$V62)</f>
        <v>200</v>
      </c>
      <c r="CL62" s="8" cm="1">
        <f t="array" ref="CL62">SUMPRODUCT(TRANSPOSE(CL$2:CL$15),$I62:$V62)</f>
        <v>150</v>
      </c>
      <c r="CM62" s="8" cm="1">
        <f t="array" ref="CM62">SUMPRODUCT(TRANSPOSE(CM$2:CM$15),$I62:$V62)</f>
        <v>240</v>
      </c>
      <c r="CN62" s="8" cm="1">
        <f t="array" ref="CN62">SUMPRODUCT(TRANSPOSE(CN$2:CN$15),$I62:$V62)</f>
        <v>240</v>
      </c>
      <c r="CO62" s="8" cm="1">
        <f t="array" ref="CO62">SUMPRODUCT(TRANSPOSE(CO$2:CO$15),$I62:$V62)</f>
        <v>0</v>
      </c>
      <c r="CP62" s="8" cm="1">
        <f t="array" ref="CP62">SUMPRODUCT(TRANSPOSE(CP$2:CP$15),$I62:$V62)</f>
        <v>0</v>
      </c>
      <c r="CQ62" s="8" cm="1">
        <f t="array" ref="CQ62">SUMPRODUCT(TRANSPOSE(CQ$2:CQ$15),$I62:$V62)</f>
        <v>0</v>
      </c>
    </row>
    <row r="63" spans="1:95" x14ac:dyDescent="0.25">
      <c r="A63" s="1">
        <v>231</v>
      </c>
      <c r="B63" s="11" t="s">
        <v>184</v>
      </c>
      <c r="C63" s="1" t="s">
        <v>49</v>
      </c>
      <c r="D63" s="1">
        <v>412830309</v>
      </c>
      <c r="E63" s="6"/>
      <c r="F63" s="1" t="s">
        <v>183</v>
      </c>
      <c r="G63" s="1" t="s">
        <v>35</v>
      </c>
      <c r="H63" s="1">
        <v>1</v>
      </c>
      <c r="I63" s="1">
        <v>0</v>
      </c>
      <c r="J63" s="1">
        <v>0</v>
      </c>
      <c r="K63" s="1">
        <v>0</v>
      </c>
      <c r="L63" s="1">
        <v>1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f>SUMPRODUCT(I63:V63,$I$13:$V$13)</f>
        <v>1550</v>
      </c>
      <c r="X63" s="6">
        <f t="shared" si="2"/>
        <v>16.850000000000001</v>
      </c>
      <c r="Y63" s="1" t="str">
        <f>VLOOKUP(D63,[1]PARTS!$A$1:$G$65536,7,0)</f>
        <v>JQL  ELECTRONICS</v>
      </c>
      <c r="Z63" s="1">
        <v>1</v>
      </c>
      <c r="AA63" s="1">
        <v>0</v>
      </c>
      <c r="AB63" s="1">
        <f>CEILING(W63,Z63)</f>
        <v>1550</v>
      </c>
      <c r="AC63" s="1">
        <f>VLOOKUP(D63,[2]pareto!$D$12:$AX$306,47,0)</f>
        <v>16.850000000000001</v>
      </c>
      <c r="AD63" s="1" t="s">
        <v>156</v>
      </c>
      <c r="AE63" s="1" t="s">
        <v>157</v>
      </c>
      <c r="AF63" s="19" t="s">
        <v>158</v>
      </c>
      <c r="AG63" s="1" t="s">
        <v>159</v>
      </c>
      <c r="BG63" s="8">
        <f>SUM($BB63,$AI63:AI63)-SUM($BY63:BZ63)</f>
        <v>0</v>
      </c>
      <c r="BH63" s="8">
        <f>SUM($BB63,$AI63:AJ63)-SUM($BY63:CA63)</f>
        <v>0</v>
      </c>
      <c r="BI63" s="8">
        <f>SUM($BB63,$AI63:AK63)-SUM($BY63:CB63)</f>
        <v>0</v>
      </c>
      <c r="BJ63" s="8">
        <f>SUM($BB63,$AI63:AL63)-SUM($BY63:CC63)</f>
        <v>0</v>
      </c>
      <c r="BK63" s="8">
        <f>SUM($BB63,$AI63:AM63)-SUM($BY63:CD63)</f>
        <v>0</v>
      </c>
      <c r="BL63" s="8">
        <f>SUM($BB63,$AI63:AN63)-SUM($BY63:CE63)</f>
        <v>0</v>
      </c>
      <c r="BM63" s="8">
        <f>SUM($BB63,$AI63:AO63)-SUM($BY63:CF63)</f>
        <v>0</v>
      </c>
      <c r="BN63" s="8">
        <f>SUM($BB63,$AI63:AP63)-SUM($BY63:CG63)</f>
        <v>-100</v>
      </c>
      <c r="BO63" s="8">
        <f>SUM($BB63,$AI63:AQ63)-SUM($BY63:CH63)</f>
        <v>-250</v>
      </c>
      <c r="BP63" s="8">
        <f>SUM($BB63,$AI63:AR63)-SUM($BY63:CI63)</f>
        <v>-500</v>
      </c>
      <c r="BQ63" s="8">
        <f>SUM($BB63,$AI63:AS63)-SUM($BY63:CJ63)</f>
        <v>-720</v>
      </c>
      <c r="BR63" s="8">
        <f>SUM($BB63,$AI63:AT63)-SUM($BY63:CK63)</f>
        <v>-920</v>
      </c>
      <c r="BS63" s="8">
        <f>SUM($BB63,$AI63:AU63)-SUM($BY63:CL63)</f>
        <v>-1070</v>
      </c>
      <c r="BT63" s="8">
        <f>SUM($BB63,$AI63:AV63)-SUM($BY63:CM63)</f>
        <v>-1310</v>
      </c>
      <c r="BU63" s="8">
        <f>SUM($BB63,$AI63:AW63)-SUM($BY63:CN63)</f>
        <v>-1550</v>
      </c>
      <c r="BV63" s="8">
        <f>SUM($BB63,$AI63:AX63)-SUM($BY63:CO63)</f>
        <v>-1550</v>
      </c>
      <c r="BW63" s="8">
        <f>SUM($BB63,$AI63:AY63)-SUM($BY63:CP63)</f>
        <v>-1550</v>
      </c>
      <c r="BX63" s="8">
        <f>SUM($BB63,$AI63:AZ63)-SUM($BY63:CQ63)</f>
        <v>-1550</v>
      </c>
      <c r="BY63" s="8" cm="1">
        <f t="array" ref="BY63">SUMPRODUCT(TRANSPOSE(BY$2:BY$15),$I63:$V63)</f>
        <v>0</v>
      </c>
      <c r="BZ63" s="8" cm="1">
        <f t="array" ref="BZ63">SUMPRODUCT(TRANSPOSE(BZ$2:BZ$15),$I63:$V63)</f>
        <v>0</v>
      </c>
      <c r="CA63" s="8" cm="1">
        <f t="array" ref="CA63">SUMPRODUCT(TRANSPOSE(CA$2:CA$15),$I63:$V63)</f>
        <v>0</v>
      </c>
      <c r="CB63" s="8" cm="1">
        <f t="array" ref="CB63">SUMPRODUCT(TRANSPOSE(CB$2:CB$15),$I63:$V63)</f>
        <v>0</v>
      </c>
      <c r="CC63" s="8" cm="1">
        <f t="array" ref="CC63">SUMPRODUCT(TRANSPOSE(CC$2:CC$15),$I63:$V63)</f>
        <v>0</v>
      </c>
      <c r="CD63" s="8" cm="1">
        <f t="array" ref="CD63">SUMPRODUCT(TRANSPOSE(CD$2:CD$15),$I63:$V63)</f>
        <v>0</v>
      </c>
      <c r="CE63" s="8" cm="1">
        <f t="array" ref="CE63">SUMPRODUCT(TRANSPOSE(CE$2:CE$15),$I63:$V63)</f>
        <v>0</v>
      </c>
      <c r="CF63" s="8" cm="1">
        <f t="array" ref="CF63">SUMPRODUCT(TRANSPOSE(CF$2:CF$15),$I63:$V63)</f>
        <v>0</v>
      </c>
      <c r="CG63" s="8" cm="1">
        <f t="array" ref="CG63">SUMPRODUCT(TRANSPOSE(CG$2:CG$15),$I63:$V63)</f>
        <v>100</v>
      </c>
      <c r="CH63" s="8" cm="1">
        <f t="array" ref="CH63">SUMPRODUCT(TRANSPOSE(CH$2:CH$15),$I63:$V63)</f>
        <v>150</v>
      </c>
      <c r="CI63" s="8" cm="1">
        <f t="array" ref="CI63">SUMPRODUCT(TRANSPOSE(CI$2:CI$15),$I63:$V63)</f>
        <v>250</v>
      </c>
      <c r="CJ63" s="8" cm="1">
        <f t="array" ref="CJ63">SUMPRODUCT(TRANSPOSE(CJ$2:CJ$15),$I63:$V63)</f>
        <v>220</v>
      </c>
      <c r="CK63" s="8" cm="1">
        <f t="array" ref="CK63">SUMPRODUCT(TRANSPOSE(CK$2:CK$15),$I63:$V63)</f>
        <v>200</v>
      </c>
      <c r="CL63" s="8" cm="1">
        <f t="array" ref="CL63">SUMPRODUCT(TRANSPOSE(CL$2:CL$15),$I63:$V63)</f>
        <v>150</v>
      </c>
      <c r="CM63" s="8" cm="1">
        <f t="array" ref="CM63">SUMPRODUCT(TRANSPOSE(CM$2:CM$15),$I63:$V63)</f>
        <v>240</v>
      </c>
      <c r="CN63" s="8" cm="1">
        <f t="array" ref="CN63">SUMPRODUCT(TRANSPOSE(CN$2:CN$15),$I63:$V63)</f>
        <v>240</v>
      </c>
      <c r="CO63" s="8" cm="1">
        <f t="array" ref="CO63">SUMPRODUCT(TRANSPOSE(CO$2:CO$15),$I63:$V63)</f>
        <v>0</v>
      </c>
      <c r="CP63" s="8" cm="1">
        <f t="array" ref="CP63">SUMPRODUCT(TRANSPOSE(CP$2:CP$15),$I63:$V63)</f>
        <v>0</v>
      </c>
      <c r="CQ63" s="8" cm="1">
        <f t="array" ref="CQ63">SUMPRODUCT(TRANSPOSE(CQ$2:CQ$15),$I63:$V63)</f>
        <v>0</v>
      </c>
    </row>
    <row r="64" spans="1:95" s="8" customFormat="1" x14ac:dyDescent="0.25">
      <c r="A64" s="1">
        <v>242</v>
      </c>
      <c r="B64" s="11" t="s">
        <v>185</v>
      </c>
      <c r="C64" s="1" t="s">
        <v>164</v>
      </c>
      <c r="D64" s="1">
        <v>400330009</v>
      </c>
      <c r="E64" s="6"/>
      <c r="F64" s="1" t="s">
        <v>186</v>
      </c>
      <c r="G64" s="1" t="s">
        <v>35</v>
      </c>
      <c r="H64" s="1">
        <v>6</v>
      </c>
      <c r="I64" s="1">
        <v>0</v>
      </c>
      <c r="J64" s="1">
        <v>0</v>
      </c>
      <c r="K64" s="1">
        <v>0</v>
      </c>
      <c r="L64" s="1">
        <v>0</v>
      </c>
      <c r="M64" s="1">
        <v>3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3</v>
      </c>
      <c r="W64" s="1">
        <f>SUMPRODUCT(I64:V64,$I$13:$V$13)</f>
        <v>9630</v>
      </c>
      <c r="X64" s="6">
        <f t="shared" si="2"/>
        <v>0</v>
      </c>
      <c r="Y64" s="1" t="e">
        <f>VLOOKUP(D64,[1]PARTS!$A$1:$G$65536,7,0)</f>
        <v>#N/A</v>
      </c>
      <c r="Z64" s="1">
        <v>2500</v>
      </c>
      <c r="AA64" s="1">
        <v>9510</v>
      </c>
      <c r="AB64" s="1">
        <f>CEILING(W64,Z64)</f>
        <v>10000</v>
      </c>
      <c r="AC64" s="1"/>
      <c r="AD64" s="1" t="s">
        <v>85</v>
      </c>
      <c r="AE64" s="1" t="s">
        <v>86</v>
      </c>
      <c r="AF64" s="19" t="s">
        <v>87</v>
      </c>
      <c r="AG64" s="1" t="s">
        <v>88</v>
      </c>
      <c r="AH64" s="1"/>
      <c r="BG64" s="8">
        <f>SUM($BB64,$AI64:AI64)-SUM($BY64:BZ64)</f>
        <v>0</v>
      </c>
      <c r="BH64" s="8">
        <f>SUM($BB64,$AI64:AJ64)-SUM($BY64:CA64)</f>
        <v>0</v>
      </c>
      <c r="BI64" s="8">
        <f>SUM($BB64,$AI64:AK64)-SUM($BY64:CB64)</f>
        <v>0</v>
      </c>
      <c r="BJ64" s="8">
        <f>SUM($BB64,$AI64:AL64)-SUM($BY64:CC64)</f>
        <v>0</v>
      </c>
      <c r="BK64" s="8">
        <f>SUM($BB64,$AI64:AM64)-SUM($BY64:CD64)</f>
        <v>0</v>
      </c>
      <c r="BL64" s="8">
        <f>SUM($BB64,$AI64:AN64)-SUM($BY64:CE64)</f>
        <v>0</v>
      </c>
      <c r="BM64" s="8">
        <f>SUM($BB64,$AI64:AO64)-SUM($BY64:CF64)</f>
        <v>0</v>
      </c>
      <c r="BN64" s="8">
        <f>SUM($BB64,$AI64:AP64)-SUM($BY64:CG64)</f>
        <v>-300</v>
      </c>
      <c r="BO64" s="8">
        <f>SUM($BB64,$AI64:AQ64)-SUM($BY64:CH64)</f>
        <v>-1050</v>
      </c>
      <c r="BP64" s="8">
        <f>SUM($BB64,$AI64:AR64)-SUM($BY64:CI64)</f>
        <v>-2250</v>
      </c>
      <c r="BQ64" s="8">
        <f>SUM($BB64,$AI64:AS64)-SUM($BY64:CJ64)</f>
        <v>-3660</v>
      </c>
      <c r="BR64" s="8">
        <f>SUM($BB64,$AI64:AT64)-SUM($BY64:CK64)</f>
        <v>-4860</v>
      </c>
      <c r="BS64" s="8">
        <f>SUM($BB64,$AI64:AU64)-SUM($BY64:CL64)</f>
        <v>-5910</v>
      </c>
      <c r="BT64" s="8">
        <f>SUM($BB64,$AI64:AV64)-SUM($BY64:CM64)</f>
        <v>-7230</v>
      </c>
      <c r="BU64" s="8">
        <f>SUM($BB64,$AI64:AW64)-SUM($BY64:CN64)</f>
        <v>-8850</v>
      </c>
      <c r="BV64" s="8">
        <f>SUM($BB64,$AI64:AX64)-SUM($BY64:CO64)</f>
        <v>-9630</v>
      </c>
      <c r="BW64" s="8">
        <f>SUM($BB64,$AI64:AY64)-SUM($BY64:CP64)</f>
        <v>-9630</v>
      </c>
      <c r="BX64" s="8">
        <f>SUM($BB64,$AI64:AZ64)-SUM($BY64:CQ64)</f>
        <v>-9630</v>
      </c>
      <c r="BY64" s="8" cm="1">
        <f t="array" ref="BY64">SUMPRODUCT(TRANSPOSE(BY$2:BY$15),$I64:$V64)</f>
        <v>0</v>
      </c>
      <c r="BZ64" s="8" cm="1">
        <f t="array" ref="BZ64">SUMPRODUCT(TRANSPOSE(BZ$2:BZ$15),$I64:$V64)</f>
        <v>0</v>
      </c>
      <c r="CA64" s="8" cm="1">
        <f t="array" ref="CA64">SUMPRODUCT(TRANSPOSE(CA$2:CA$15),$I64:$V64)</f>
        <v>0</v>
      </c>
      <c r="CB64" s="8" cm="1">
        <f t="array" ref="CB64">SUMPRODUCT(TRANSPOSE(CB$2:CB$15),$I64:$V64)</f>
        <v>0</v>
      </c>
      <c r="CC64" s="8" cm="1">
        <f t="array" ref="CC64">SUMPRODUCT(TRANSPOSE(CC$2:CC$15),$I64:$V64)</f>
        <v>0</v>
      </c>
      <c r="CD64" s="8" cm="1">
        <f t="array" ref="CD64">SUMPRODUCT(TRANSPOSE(CD$2:CD$15),$I64:$V64)</f>
        <v>0</v>
      </c>
      <c r="CE64" s="8" cm="1">
        <f t="array" ref="CE64">SUMPRODUCT(TRANSPOSE(CE$2:CE$15),$I64:$V64)</f>
        <v>0</v>
      </c>
      <c r="CF64" s="8" cm="1">
        <f t="array" ref="CF64">SUMPRODUCT(TRANSPOSE(CF$2:CF$15),$I64:$V64)</f>
        <v>0</v>
      </c>
      <c r="CG64" s="8" cm="1">
        <f t="array" ref="CG64">SUMPRODUCT(TRANSPOSE(CG$2:CG$15),$I64:$V64)</f>
        <v>300</v>
      </c>
      <c r="CH64" s="8" cm="1">
        <f t="array" ref="CH64">SUMPRODUCT(TRANSPOSE(CH$2:CH$15),$I64:$V64)</f>
        <v>750</v>
      </c>
      <c r="CI64" s="8" cm="1">
        <f t="array" ref="CI64">SUMPRODUCT(TRANSPOSE(CI$2:CI$15),$I64:$V64)</f>
        <v>1200</v>
      </c>
      <c r="CJ64" s="8" cm="1">
        <f t="array" ref="CJ64">SUMPRODUCT(TRANSPOSE(CJ$2:CJ$15),$I64:$V64)</f>
        <v>1410</v>
      </c>
      <c r="CK64" s="8" cm="1">
        <f t="array" ref="CK64">SUMPRODUCT(TRANSPOSE(CK$2:CK$15),$I64:$V64)</f>
        <v>1200</v>
      </c>
      <c r="CL64" s="8" cm="1">
        <f t="array" ref="CL64">SUMPRODUCT(TRANSPOSE(CL$2:CL$15),$I64:$V64)</f>
        <v>1050</v>
      </c>
      <c r="CM64" s="8" cm="1">
        <f t="array" ref="CM64">SUMPRODUCT(TRANSPOSE(CM$2:CM$15),$I64:$V64)</f>
        <v>1320</v>
      </c>
      <c r="CN64" s="8" cm="1">
        <f t="array" ref="CN64">SUMPRODUCT(TRANSPOSE(CN$2:CN$15),$I64:$V64)</f>
        <v>1620</v>
      </c>
      <c r="CO64" s="8" cm="1">
        <f t="array" ref="CO64">SUMPRODUCT(TRANSPOSE(CO$2:CO$15),$I64:$V64)</f>
        <v>780</v>
      </c>
      <c r="CP64" s="8" cm="1">
        <f t="array" ref="CP64">SUMPRODUCT(TRANSPOSE(CP$2:CP$15),$I64:$V64)</f>
        <v>0</v>
      </c>
      <c r="CQ64" s="8" cm="1">
        <f t="array" ref="CQ64">SUMPRODUCT(TRANSPOSE(CQ$2:CQ$15),$I64:$V64)</f>
        <v>0</v>
      </c>
    </row>
    <row r="65" spans="1:95" x14ac:dyDescent="0.25">
      <c r="A65" s="1">
        <v>63</v>
      </c>
      <c r="B65" s="11" t="s">
        <v>187</v>
      </c>
      <c r="C65" s="1" t="s">
        <v>41</v>
      </c>
      <c r="D65" s="1">
        <v>416606164</v>
      </c>
      <c r="E65" s="6"/>
      <c r="F65" s="1" t="s">
        <v>188</v>
      </c>
      <c r="G65" s="1" t="s">
        <v>35</v>
      </c>
      <c r="H65" s="1">
        <v>2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2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f>SUMPRODUCT(I65:V65,$I$13:$V$13)</f>
        <v>3320</v>
      </c>
      <c r="X65" s="6">
        <f t="shared" si="2"/>
        <v>15.8</v>
      </c>
      <c r="Y65" s="1" t="str">
        <f>VLOOKUP(D65,[1]PARTS!$A$1:$G$65536,7,0)</f>
        <v/>
      </c>
      <c r="Z65" s="1">
        <v>1</v>
      </c>
      <c r="AA65" s="1">
        <v>3280</v>
      </c>
      <c r="AB65" s="1">
        <v>3280</v>
      </c>
      <c r="AC65" s="1">
        <f>VLOOKUP(D65,[2]pareto!$D$12:$AX$306,47,0)</f>
        <v>7.9</v>
      </c>
      <c r="AD65" s="1" t="s">
        <v>189</v>
      </c>
      <c r="AE65" s="1" t="s">
        <v>190</v>
      </c>
      <c r="AF65" s="1" t="str">
        <f>VLOOKUP(D65,[2]pareto!$D$11:$BD$306,52,0)</f>
        <v>sales@pronat.co.il</v>
      </c>
      <c r="AG65" s="1" t="s">
        <v>191</v>
      </c>
      <c r="BG65" s="8">
        <f>SUM($BB65,$AI65:AI65)-SUM($BY65:BZ65)</f>
        <v>0</v>
      </c>
      <c r="BH65" s="8">
        <f>SUM($BB65,$AI65:AJ65)-SUM($BY65:CA65)</f>
        <v>0</v>
      </c>
      <c r="BI65" s="8">
        <f>SUM($BB65,$AI65:AK65)-SUM($BY65:CB65)</f>
        <v>0</v>
      </c>
      <c r="BJ65" s="8">
        <f>SUM($BB65,$AI65:AL65)-SUM($BY65:CC65)</f>
        <v>0</v>
      </c>
      <c r="BK65" s="8">
        <f>SUM($BB65,$AI65:AM65)-SUM($BY65:CD65)</f>
        <v>0</v>
      </c>
      <c r="BL65" s="8">
        <f>SUM($BB65,$AI65:AN65)-SUM($BY65:CE65)</f>
        <v>0</v>
      </c>
      <c r="BM65" s="8">
        <f>SUM($BB65,$AI65:AO65)-SUM($BY65:CF65)</f>
        <v>0</v>
      </c>
      <c r="BN65" s="8">
        <f>SUM($BB65,$AI65:AP65)-SUM($BY65:CG65)</f>
        <v>0</v>
      </c>
      <c r="BO65" s="8">
        <f>SUM($BB65,$AI65:AQ65)-SUM($BY65:CH65)</f>
        <v>-200</v>
      </c>
      <c r="BP65" s="8">
        <f>SUM($BB65,$AI65:AR65)-SUM($BY65:CI65)</f>
        <v>-500</v>
      </c>
      <c r="BQ65" s="8">
        <f>SUM($BB65,$AI65:AS65)-SUM($BY65:CJ65)</f>
        <v>-1000</v>
      </c>
      <c r="BR65" s="8">
        <f>SUM($BB65,$AI65:AT65)-SUM($BY65:CK65)</f>
        <v>-1400</v>
      </c>
      <c r="BS65" s="8">
        <f>SUM($BB65,$AI65:AU65)-SUM($BY65:CL65)</f>
        <v>-1800</v>
      </c>
      <c r="BT65" s="8">
        <f>SUM($BB65,$AI65:AV65)-SUM($BY65:CM65)</f>
        <v>-2200</v>
      </c>
      <c r="BU65" s="8">
        <f>SUM($BB65,$AI65:AW65)-SUM($BY65:CN65)</f>
        <v>-2800</v>
      </c>
      <c r="BV65" s="8">
        <f>SUM($BB65,$AI65:AX65)-SUM($BY65:CO65)</f>
        <v>-3320</v>
      </c>
      <c r="BW65" s="8">
        <f>SUM($BB65,$AI65:AY65)-SUM($BY65:CP65)</f>
        <v>-3320</v>
      </c>
      <c r="BX65" s="8">
        <f>SUM($BB65,$AI65:AZ65)-SUM($BY65:CQ65)</f>
        <v>-3320</v>
      </c>
      <c r="BY65" s="8" cm="1">
        <f t="array" ref="BY65">SUMPRODUCT(TRANSPOSE(BY$2:BY$15),$I65:$V65)</f>
        <v>0</v>
      </c>
      <c r="BZ65" s="8" cm="1">
        <f t="array" ref="BZ65">SUMPRODUCT(TRANSPOSE(BZ$2:BZ$15),$I65:$V65)</f>
        <v>0</v>
      </c>
      <c r="CA65" s="8" cm="1">
        <f t="array" ref="CA65">SUMPRODUCT(TRANSPOSE(CA$2:CA$15),$I65:$V65)</f>
        <v>0</v>
      </c>
      <c r="CB65" s="8" cm="1">
        <f t="array" ref="CB65">SUMPRODUCT(TRANSPOSE(CB$2:CB$15),$I65:$V65)</f>
        <v>0</v>
      </c>
      <c r="CC65" s="8" cm="1">
        <f t="array" ref="CC65">SUMPRODUCT(TRANSPOSE(CC$2:CC$15),$I65:$V65)</f>
        <v>0</v>
      </c>
      <c r="CD65" s="8" cm="1">
        <f t="array" ref="CD65">SUMPRODUCT(TRANSPOSE(CD$2:CD$15),$I65:$V65)</f>
        <v>0</v>
      </c>
      <c r="CE65" s="8" cm="1">
        <f t="array" ref="CE65">SUMPRODUCT(TRANSPOSE(CE$2:CE$15),$I65:$V65)</f>
        <v>0</v>
      </c>
      <c r="CF65" s="8" cm="1">
        <f t="array" ref="CF65">SUMPRODUCT(TRANSPOSE(CF$2:CF$15),$I65:$V65)</f>
        <v>0</v>
      </c>
      <c r="CG65" s="8" cm="1">
        <f t="array" ref="CG65">SUMPRODUCT(TRANSPOSE(CG$2:CG$15),$I65:$V65)</f>
        <v>0</v>
      </c>
      <c r="CH65" s="8" cm="1">
        <f t="array" ref="CH65">SUMPRODUCT(TRANSPOSE(CH$2:CH$15),$I65:$V65)</f>
        <v>200</v>
      </c>
      <c r="CI65" s="8" cm="1">
        <f t="array" ref="CI65">SUMPRODUCT(TRANSPOSE(CI$2:CI$15),$I65:$V65)</f>
        <v>300</v>
      </c>
      <c r="CJ65" s="8" cm="1">
        <f t="array" ref="CJ65">SUMPRODUCT(TRANSPOSE(CJ$2:CJ$15),$I65:$V65)</f>
        <v>500</v>
      </c>
      <c r="CK65" s="8" cm="1">
        <f t="array" ref="CK65">SUMPRODUCT(TRANSPOSE(CK$2:CK$15),$I65:$V65)</f>
        <v>400</v>
      </c>
      <c r="CL65" s="8" cm="1">
        <f t="array" ref="CL65">SUMPRODUCT(TRANSPOSE(CL$2:CL$15),$I65:$V65)</f>
        <v>400</v>
      </c>
      <c r="CM65" s="8" cm="1">
        <f t="array" ref="CM65">SUMPRODUCT(TRANSPOSE(CM$2:CM$15),$I65:$V65)</f>
        <v>400</v>
      </c>
      <c r="CN65" s="8" cm="1">
        <f t="array" ref="CN65">SUMPRODUCT(TRANSPOSE(CN$2:CN$15),$I65:$V65)</f>
        <v>600</v>
      </c>
      <c r="CO65" s="8" cm="1">
        <f t="array" ref="CO65">SUMPRODUCT(TRANSPOSE(CO$2:CO$15),$I65:$V65)</f>
        <v>520</v>
      </c>
      <c r="CP65" s="8" cm="1">
        <f t="array" ref="CP65">SUMPRODUCT(TRANSPOSE(CP$2:CP$15),$I65:$V65)</f>
        <v>0</v>
      </c>
      <c r="CQ65" s="8" cm="1">
        <f t="array" ref="CQ65">SUMPRODUCT(TRANSPOSE(CQ$2:CQ$15),$I65:$V65)</f>
        <v>0</v>
      </c>
    </row>
    <row r="66" spans="1:95" s="8" customFormat="1" x14ac:dyDescent="0.25">
      <c r="A66" s="1">
        <v>110</v>
      </c>
      <c r="B66" s="11" t="s">
        <v>192</v>
      </c>
      <c r="C66" s="1" t="s">
        <v>49</v>
      </c>
      <c r="D66" s="1">
        <v>410810011</v>
      </c>
      <c r="E66" s="6"/>
      <c r="F66" s="1" t="s">
        <v>193</v>
      </c>
      <c r="G66" s="1" t="s">
        <v>35</v>
      </c>
      <c r="H66" s="1">
        <v>2</v>
      </c>
      <c r="I66" s="1">
        <v>0</v>
      </c>
      <c r="J66" s="1">
        <v>0</v>
      </c>
      <c r="K66" s="1">
        <v>0</v>
      </c>
      <c r="L66" s="1">
        <v>0</v>
      </c>
      <c r="M66" s="1">
        <v>1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1</v>
      </c>
      <c r="W66" s="1">
        <f>SUMPRODUCT(I66:V66,$I$13:$V$13)</f>
        <v>3210</v>
      </c>
      <c r="X66" s="6">
        <f t="shared" si="2"/>
        <v>15.62</v>
      </c>
      <c r="Y66" s="1" t="str">
        <f>VLOOKUP(D66,[1]PARTS!$A$1:$G$65536,7,0)</f>
        <v>SAMTEC</v>
      </c>
      <c r="Z66" s="1">
        <v>1</v>
      </c>
      <c r="AA66" s="1">
        <v>0</v>
      </c>
      <c r="AB66" s="1">
        <f>CEILING(W66,Z66)</f>
        <v>3210</v>
      </c>
      <c r="AC66" s="1">
        <v>7.81</v>
      </c>
      <c r="AD66" s="1" t="s">
        <v>194</v>
      </c>
      <c r="AE66" s="1" t="s">
        <v>195</v>
      </c>
      <c r="AF66" s="1" t="str">
        <f>VLOOKUP(D66,[2]pareto!$D$11:$BD$306,52,0)</f>
        <v>yifat.leberman@samtec.com</v>
      </c>
      <c r="AG66" s="1" t="s">
        <v>196</v>
      </c>
      <c r="AH66" s="1"/>
      <c r="BG66" s="8">
        <f>SUM($BB66,$AI66:AI66)-SUM($BY66:BZ66)</f>
        <v>0</v>
      </c>
      <c r="BH66" s="8">
        <f>SUM($BB66,$AI66:AJ66)-SUM($BY66:CA66)</f>
        <v>0</v>
      </c>
      <c r="BI66" s="8">
        <f>SUM($BB66,$AI66:AK66)-SUM($BY66:CB66)</f>
        <v>0</v>
      </c>
      <c r="BJ66" s="8">
        <f>SUM($BB66,$AI66:AL66)-SUM($BY66:CC66)</f>
        <v>0</v>
      </c>
      <c r="BK66" s="8">
        <f>SUM($BB66,$AI66:AM66)-SUM($BY66:CD66)</f>
        <v>0</v>
      </c>
      <c r="BL66" s="8">
        <f>SUM($BB66,$AI66:AN66)-SUM($BY66:CE66)</f>
        <v>0</v>
      </c>
      <c r="BM66" s="8">
        <f>SUM($BB66,$AI66:AO66)-SUM($BY66:CF66)</f>
        <v>0</v>
      </c>
      <c r="BN66" s="8">
        <f>SUM($BB66,$AI66:AP66)-SUM($BY66:CG66)</f>
        <v>-100</v>
      </c>
      <c r="BO66" s="8">
        <f>SUM($BB66,$AI66:AQ66)-SUM($BY66:CH66)</f>
        <v>-350</v>
      </c>
      <c r="BP66" s="8">
        <f>SUM($BB66,$AI66:AR66)-SUM($BY66:CI66)</f>
        <v>-750</v>
      </c>
      <c r="BQ66" s="8">
        <f>SUM($BB66,$AI66:AS66)-SUM($BY66:CJ66)</f>
        <v>-1220</v>
      </c>
      <c r="BR66" s="8">
        <f>SUM($BB66,$AI66:AT66)-SUM($BY66:CK66)</f>
        <v>-1620</v>
      </c>
      <c r="BS66" s="8">
        <f>SUM($BB66,$AI66:AU66)-SUM($BY66:CL66)</f>
        <v>-1970</v>
      </c>
      <c r="BT66" s="8">
        <f>SUM($BB66,$AI66:AV66)-SUM($BY66:CM66)</f>
        <v>-2410</v>
      </c>
      <c r="BU66" s="8">
        <f>SUM($BB66,$AI66:AW66)-SUM($BY66:CN66)</f>
        <v>-2950</v>
      </c>
      <c r="BV66" s="8">
        <f>SUM($BB66,$AI66:AX66)-SUM($BY66:CO66)</f>
        <v>-3210</v>
      </c>
      <c r="BW66" s="8">
        <f>SUM($BB66,$AI66:AY66)-SUM($BY66:CP66)</f>
        <v>-3210</v>
      </c>
      <c r="BX66" s="8">
        <f>SUM($BB66,$AI66:AZ66)-SUM($BY66:CQ66)</f>
        <v>-3210</v>
      </c>
      <c r="BY66" s="8" cm="1">
        <f t="array" ref="BY66">SUMPRODUCT(TRANSPOSE(BY$2:BY$15),$I66:$V66)</f>
        <v>0</v>
      </c>
      <c r="BZ66" s="8" cm="1">
        <f t="array" ref="BZ66">SUMPRODUCT(TRANSPOSE(BZ$2:BZ$15),$I66:$V66)</f>
        <v>0</v>
      </c>
      <c r="CA66" s="8" cm="1">
        <f t="array" ref="CA66">SUMPRODUCT(TRANSPOSE(CA$2:CA$15),$I66:$V66)</f>
        <v>0</v>
      </c>
      <c r="CB66" s="8" cm="1">
        <f t="array" ref="CB66">SUMPRODUCT(TRANSPOSE(CB$2:CB$15),$I66:$V66)</f>
        <v>0</v>
      </c>
      <c r="CC66" s="8" cm="1">
        <f t="array" ref="CC66">SUMPRODUCT(TRANSPOSE(CC$2:CC$15),$I66:$V66)</f>
        <v>0</v>
      </c>
      <c r="CD66" s="8" cm="1">
        <f t="array" ref="CD66">SUMPRODUCT(TRANSPOSE(CD$2:CD$15),$I66:$V66)</f>
        <v>0</v>
      </c>
      <c r="CE66" s="8" cm="1">
        <f t="array" ref="CE66">SUMPRODUCT(TRANSPOSE(CE$2:CE$15),$I66:$V66)</f>
        <v>0</v>
      </c>
      <c r="CF66" s="8" cm="1">
        <f t="array" ref="CF66">SUMPRODUCT(TRANSPOSE(CF$2:CF$15),$I66:$V66)</f>
        <v>0</v>
      </c>
      <c r="CG66" s="8" cm="1">
        <f t="array" ref="CG66">SUMPRODUCT(TRANSPOSE(CG$2:CG$15),$I66:$V66)</f>
        <v>100</v>
      </c>
      <c r="CH66" s="8" cm="1">
        <f t="array" ref="CH66">SUMPRODUCT(TRANSPOSE(CH$2:CH$15),$I66:$V66)</f>
        <v>250</v>
      </c>
      <c r="CI66" s="8" cm="1">
        <f t="array" ref="CI66">SUMPRODUCT(TRANSPOSE(CI$2:CI$15),$I66:$V66)</f>
        <v>400</v>
      </c>
      <c r="CJ66" s="8" cm="1">
        <f t="array" ref="CJ66">SUMPRODUCT(TRANSPOSE(CJ$2:CJ$15),$I66:$V66)</f>
        <v>470</v>
      </c>
      <c r="CK66" s="8" cm="1">
        <f t="array" ref="CK66">SUMPRODUCT(TRANSPOSE(CK$2:CK$15),$I66:$V66)</f>
        <v>400</v>
      </c>
      <c r="CL66" s="8" cm="1">
        <f t="array" ref="CL66">SUMPRODUCT(TRANSPOSE(CL$2:CL$15),$I66:$V66)</f>
        <v>350</v>
      </c>
      <c r="CM66" s="8" cm="1">
        <f t="array" ref="CM66">SUMPRODUCT(TRANSPOSE(CM$2:CM$15),$I66:$V66)</f>
        <v>440</v>
      </c>
      <c r="CN66" s="8" cm="1">
        <f t="array" ref="CN66">SUMPRODUCT(TRANSPOSE(CN$2:CN$15),$I66:$V66)</f>
        <v>540</v>
      </c>
      <c r="CO66" s="8" cm="1">
        <f t="array" ref="CO66">SUMPRODUCT(TRANSPOSE(CO$2:CO$15),$I66:$V66)</f>
        <v>260</v>
      </c>
      <c r="CP66" s="8" cm="1">
        <f t="array" ref="CP66">SUMPRODUCT(TRANSPOSE(CP$2:CP$15),$I66:$V66)</f>
        <v>0</v>
      </c>
      <c r="CQ66" s="8" cm="1">
        <f t="array" ref="CQ66">SUMPRODUCT(TRANSPOSE(CQ$2:CQ$15),$I66:$V66)</f>
        <v>0</v>
      </c>
    </row>
    <row r="67" spans="1:95" s="8" customFormat="1" x14ac:dyDescent="0.25">
      <c r="A67" s="1">
        <v>287</v>
      </c>
      <c r="B67" s="11" t="s">
        <v>197</v>
      </c>
      <c r="C67" s="1" t="s">
        <v>49</v>
      </c>
      <c r="D67" s="1">
        <v>409547020</v>
      </c>
      <c r="E67" s="6"/>
      <c r="F67" s="1" t="s">
        <v>198</v>
      </c>
      <c r="G67" s="1" t="s">
        <v>35</v>
      </c>
      <c r="H67" s="1">
        <v>8</v>
      </c>
      <c r="I67" s="1">
        <v>0</v>
      </c>
      <c r="J67" s="1">
        <v>0</v>
      </c>
      <c r="K67" s="1">
        <v>0</v>
      </c>
      <c r="L67" s="1">
        <v>4</v>
      </c>
      <c r="M67" s="1">
        <v>0</v>
      </c>
      <c r="N67" s="1">
        <v>0</v>
      </c>
      <c r="O67" s="1">
        <v>0</v>
      </c>
      <c r="P67" s="1">
        <v>0</v>
      </c>
      <c r="Q67" s="1">
        <v>4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f>SUMPRODUCT(I67:V67,$I$13:$V$13)</f>
        <v>12840</v>
      </c>
      <c r="X67" s="6">
        <f t="shared" si="2"/>
        <v>15.12</v>
      </c>
      <c r="Y67" s="1" t="str">
        <f>VLOOKUP(D67,[1]PARTS!$A$1:$G$65536,7,0)</f>
        <v>RN2 TECHNOLOGIES CO., LTD.</v>
      </c>
      <c r="Z67" s="1">
        <v>1000</v>
      </c>
      <c r="AA67" s="1">
        <v>12680</v>
      </c>
      <c r="AB67" s="1">
        <f>CEILING(W67,Z67)</f>
        <v>13000</v>
      </c>
      <c r="AC67" s="1">
        <f>VLOOKUP(D67,[2]pareto!$D$12:$AX$306,47,0)</f>
        <v>1.89</v>
      </c>
      <c r="AD67" s="1" t="s">
        <v>156</v>
      </c>
      <c r="AE67" s="1" t="s">
        <v>157</v>
      </c>
      <c r="AF67" s="12" t="s">
        <v>158</v>
      </c>
      <c r="AG67" s="1" t="s">
        <v>159</v>
      </c>
      <c r="AH67" s="1"/>
      <c r="BG67" s="8">
        <f>SUM($BB67,$AI67:AI67)-SUM($BY67:BZ67)</f>
        <v>0</v>
      </c>
      <c r="BH67" s="8">
        <f>SUM($BB67,$AI67:AJ67)-SUM($BY67:CA67)</f>
        <v>0</v>
      </c>
      <c r="BI67" s="8">
        <f>SUM($BB67,$AI67:AK67)-SUM($BY67:CB67)</f>
        <v>0</v>
      </c>
      <c r="BJ67" s="8">
        <f>SUM($BB67,$AI67:AL67)-SUM($BY67:CC67)</f>
        <v>0</v>
      </c>
      <c r="BK67" s="8">
        <f>SUM($BB67,$AI67:AM67)-SUM($BY67:CD67)</f>
        <v>0</v>
      </c>
      <c r="BL67" s="8">
        <f>SUM($BB67,$AI67:AN67)-SUM($BY67:CE67)</f>
        <v>0</v>
      </c>
      <c r="BM67" s="8">
        <f>SUM($BB67,$AI67:AO67)-SUM($BY67:CF67)</f>
        <v>0</v>
      </c>
      <c r="BN67" s="8">
        <f>SUM($BB67,$AI67:AP67)-SUM($BY67:CG67)</f>
        <v>-800</v>
      </c>
      <c r="BO67" s="8">
        <f>SUM($BB67,$AI67:AQ67)-SUM($BY67:CH67)</f>
        <v>-2000</v>
      </c>
      <c r="BP67" s="8">
        <f>SUM($BB67,$AI67:AR67)-SUM($BY67:CI67)</f>
        <v>-4000</v>
      </c>
      <c r="BQ67" s="8">
        <f>SUM($BB67,$AI67:AS67)-SUM($BY67:CJ67)</f>
        <v>-5680</v>
      </c>
      <c r="BR67" s="8">
        <f>SUM($BB67,$AI67:AT67)-SUM($BY67:CK67)</f>
        <v>-7280</v>
      </c>
      <c r="BS67" s="8">
        <f>SUM($BB67,$AI67:AU67)-SUM($BY67:CL67)</f>
        <v>-8680</v>
      </c>
      <c r="BT67" s="8">
        <f>SUM($BB67,$AI67:AV67)-SUM($BY67:CM67)</f>
        <v>-10840</v>
      </c>
      <c r="BU67" s="8">
        <f>SUM($BB67,$AI67:AW67)-SUM($BY67:CN67)</f>
        <v>-12840</v>
      </c>
      <c r="BV67" s="8">
        <f>SUM($BB67,$AI67:AX67)-SUM($BY67:CO67)</f>
        <v>-12840</v>
      </c>
      <c r="BW67" s="8">
        <f>SUM($BB67,$AI67:AY67)-SUM($BY67:CP67)</f>
        <v>-12840</v>
      </c>
      <c r="BX67" s="8">
        <f>SUM($BB67,$AI67:AZ67)-SUM($BY67:CQ67)</f>
        <v>-12840</v>
      </c>
      <c r="BY67" s="8" cm="1">
        <f t="array" ref="BY67">SUMPRODUCT(TRANSPOSE(BY$2:BY$15),$I67:$V67)</f>
        <v>0</v>
      </c>
      <c r="BZ67" s="8" cm="1">
        <f t="array" ref="BZ67">SUMPRODUCT(TRANSPOSE(BZ$2:BZ$15),$I67:$V67)</f>
        <v>0</v>
      </c>
      <c r="CA67" s="8" cm="1">
        <f t="array" ref="CA67">SUMPRODUCT(TRANSPOSE(CA$2:CA$15),$I67:$V67)</f>
        <v>0</v>
      </c>
      <c r="CB67" s="8" cm="1">
        <f t="array" ref="CB67">SUMPRODUCT(TRANSPOSE(CB$2:CB$15),$I67:$V67)</f>
        <v>0</v>
      </c>
      <c r="CC67" s="8" cm="1">
        <f t="array" ref="CC67">SUMPRODUCT(TRANSPOSE(CC$2:CC$15),$I67:$V67)</f>
        <v>0</v>
      </c>
      <c r="CD67" s="8" cm="1">
        <f t="array" ref="CD67">SUMPRODUCT(TRANSPOSE(CD$2:CD$15),$I67:$V67)</f>
        <v>0</v>
      </c>
      <c r="CE67" s="8" cm="1">
        <f t="array" ref="CE67">SUMPRODUCT(TRANSPOSE(CE$2:CE$15),$I67:$V67)</f>
        <v>0</v>
      </c>
      <c r="CF67" s="8" cm="1">
        <f t="array" ref="CF67">SUMPRODUCT(TRANSPOSE(CF$2:CF$15),$I67:$V67)</f>
        <v>0</v>
      </c>
      <c r="CG67" s="8" cm="1">
        <f t="array" ref="CG67">SUMPRODUCT(TRANSPOSE(CG$2:CG$15),$I67:$V67)</f>
        <v>800</v>
      </c>
      <c r="CH67" s="8" cm="1">
        <f t="array" ref="CH67">SUMPRODUCT(TRANSPOSE(CH$2:CH$15),$I67:$V67)</f>
        <v>1200</v>
      </c>
      <c r="CI67" s="8" cm="1">
        <f t="array" ref="CI67">SUMPRODUCT(TRANSPOSE(CI$2:CI$15),$I67:$V67)</f>
        <v>2000</v>
      </c>
      <c r="CJ67" s="8" cm="1">
        <f t="array" ref="CJ67">SUMPRODUCT(TRANSPOSE(CJ$2:CJ$15),$I67:$V67)</f>
        <v>1680</v>
      </c>
      <c r="CK67" s="8" cm="1">
        <f t="array" ref="CK67">SUMPRODUCT(TRANSPOSE(CK$2:CK$15),$I67:$V67)</f>
        <v>1600</v>
      </c>
      <c r="CL67" s="8" cm="1">
        <f t="array" ref="CL67">SUMPRODUCT(TRANSPOSE(CL$2:CL$15),$I67:$V67)</f>
        <v>1400</v>
      </c>
      <c r="CM67" s="8" cm="1">
        <f t="array" ref="CM67">SUMPRODUCT(TRANSPOSE(CM$2:CM$15),$I67:$V67)</f>
        <v>2160</v>
      </c>
      <c r="CN67" s="8" cm="1">
        <f t="array" ref="CN67">SUMPRODUCT(TRANSPOSE(CN$2:CN$15),$I67:$V67)</f>
        <v>2000</v>
      </c>
      <c r="CO67" s="8" cm="1">
        <f t="array" ref="CO67">SUMPRODUCT(TRANSPOSE(CO$2:CO$15),$I67:$V67)</f>
        <v>0</v>
      </c>
      <c r="CP67" s="8" cm="1">
        <f t="array" ref="CP67">SUMPRODUCT(TRANSPOSE(CP$2:CP$15),$I67:$V67)</f>
        <v>0</v>
      </c>
      <c r="CQ67" s="8" cm="1">
        <f t="array" ref="CQ67">SUMPRODUCT(TRANSPOSE(CQ$2:CQ$15),$I67:$V67)</f>
        <v>0</v>
      </c>
    </row>
    <row r="68" spans="1:95" x14ac:dyDescent="0.25">
      <c r="A68" s="1">
        <v>207</v>
      </c>
      <c r="B68" s="11" t="s">
        <v>199</v>
      </c>
      <c r="C68" s="1" t="s">
        <v>164</v>
      </c>
      <c r="D68" s="1">
        <v>400929924</v>
      </c>
      <c r="E68" s="6">
        <f>VLOOKUP(D68,FFF!$A$2:$B$674,2,)</f>
        <v>400930961</v>
      </c>
      <c r="F68" s="1" t="s">
        <v>200</v>
      </c>
      <c r="G68" s="1" t="s">
        <v>35</v>
      </c>
      <c r="H68" s="1">
        <v>10</v>
      </c>
      <c r="I68" s="1">
        <v>0</v>
      </c>
      <c r="J68" s="1">
        <v>0</v>
      </c>
      <c r="K68" s="1">
        <v>0</v>
      </c>
      <c r="L68" s="1">
        <v>2</v>
      </c>
      <c r="M68" s="1">
        <v>1</v>
      </c>
      <c r="N68" s="1">
        <v>0</v>
      </c>
      <c r="O68" s="1">
        <v>0</v>
      </c>
      <c r="P68" s="1">
        <v>0</v>
      </c>
      <c r="Q68" s="1">
        <v>6</v>
      </c>
      <c r="R68" s="1">
        <v>0</v>
      </c>
      <c r="S68" s="1">
        <v>0</v>
      </c>
      <c r="T68" s="1">
        <v>0</v>
      </c>
      <c r="U68" s="1">
        <v>0</v>
      </c>
      <c r="V68" s="1">
        <v>1</v>
      </c>
      <c r="W68" s="1">
        <f>SUMPRODUCT(I68:V68,$I$13:$V$13)</f>
        <v>16270</v>
      </c>
      <c r="X68" s="6">
        <f t="shared" si="2"/>
        <v>15.02</v>
      </c>
      <c r="Y68" s="1" t="str">
        <f>VLOOKUP(D68,[1]PARTS!$A$1:$G$65536,7,0)</f>
        <v>MAXIM INTEGRATED PRODUCTS, INC</v>
      </c>
      <c r="Z68" s="1">
        <v>3000</v>
      </c>
      <c r="AA68" s="1">
        <f>VLOOKUP(D68,[2]pareto!$D$12:$AX$306,45,0)</f>
        <v>3000</v>
      </c>
      <c r="AB68" s="1">
        <f>CEILING(W68,Z68)</f>
        <v>18000</v>
      </c>
      <c r="AC68" s="1">
        <f>VLOOKUP(D68,[2]pareto!$D$12:$AX$306,47,0)</f>
        <v>1.502</v>
      </c>
      <c r="AD68" s="1" t="s">
        <v>85</v>
      </c>
      <c r="AE68" s="1" t="s">
        <v>86</v>
      </c>
      <c r="AF68" s="19" t="s">
        <v>87</v>
      </c>
      <c r="AG68" s="1" t="s">
        <v>88</v>
      </c>
      <c r="BG68" s="8">
        <f>SUM($BB68,$AI68:AI68)-SUM($BY68:BZ68)</f>
        <v>0</v>
      </c>
      <c r="BH68" s="8">
        <f>SUM($BB68,$AI68:AJ68)-SUM($BY68:CA68)</f>
        <v>0</v>
      </c>
      <c r="BI68" s="8">
        <f>SUM($BB68,$AI68:AK68)-SUM($BY68:CB68)</f>
        <v>0</v>
      </c>
      <c r="BJ68" s="8">
        <f>SUM($BB68,$AI68:AL68)-SUM($BY68:CC68)</f>
        <v>0</v>
      </c>
      <c r="BK68" s="8">
        <f>SUM($BB68,$AI68:AM68)-SUM($BY68:CD68)</f>
        <v>0</v>
      </c>
      <c r="BL68" s="8">
        <f>SUM($BB68,$AI68:AN68)-SUM($BY68:CE68)</f>
        <v>0</v>
      </c>
      <c r="BM68" s="8">
        <f>SUM($BB68,$AI68:AO68)-SUM($BY68:CF68)</f>
        <v>0</v>
      </c>
      <c r="BN68" s="8">
        <f>SUM($BB68,$AI68:AP68)-SUM($BY68:CG68)</f>
        <v>-900</v>
      </c>
      <c r="BO68" s="8">
        <f>SUM($BB68,$AI68:AQ68)-SUM($BY68:CH68)</f>
        <v>-2350</v>
      </c>
      <c r="BP68" s="8">
        <f>SUM($BB68,$AI68:AR68)-SUM($BY68:CI68)</f>
        <v>-4750</v>
      </c>
      <c r="BQ68" s="8">
        <f>SUM($BB68,$AI68:AS68)-SUM($BY68:CJ68)</f>
        <v>-6860</v>
      </c>
      <c r="BR68" s="8">
        <f>SUM($BB68,$AI68:AT68)-SUM($BY68:CK68)</f>
        <v>-8860</v>
      </c>
      <c r="BS68" s="8">
        <f>SUM($BB68,$AI68:AU68)-SUM($BY68:CL68)</f>
        <v>-10710</v>
      </c>
      <c r="BT68" s="8">
        <f>SUM($BB68,$AI68:AV68)-SUM($BY68:CM68)</f>
        <v>-13430</v>
      </c>
      <c r="BU68" s="8">
        <f>SUM($BB68,$AI68:AW68)-SUM($BY68:CN68)</f>
        <v>-16010</v>
      </c>
      <c r="BV68" s="8">
        <f>SUM($BB68,$AI68:AX68)-SUM($BY68:CO68)</f>
        <v>-16270</v>
      </c>
      <c r="BW68" s="8">
        <f>SUM($BB68,$AI68:AY68)-SUM($BY68:CP68)</f>
        <v>-16270</v>
      </c>
      <c r="BX68" s="8">
        <f>SUM($BB68,$AI68:AZ68)-SUM($BY68:CQ68)</f>
        <v>-16270</v>
      </c>
      <c r="BY68" s="8" cm="1">
        <f t="array" ref="BY68">SUMPRODUCT(TRANSPOSE(BY$2:BY$15),$I68:$V68)</f>
        <v>0</v>
      </c>
      <c r="BZ68" s="8" cm="1">
        <f t="array" ref="BZ68">SUMPRODUCT(TRANSPOSE(BZ$2:BZ$15),$I68:$V68)</f>
        <v>0</v>
      </c>
      <c r="CA68" s="8" cm="1">
        <f t="array" ref="CA68">SUMPRODUCT(TRANSPOSE(CA$2:CA$15),$I68:$V68)</f>
        <v>0</v>
      </c>
      <c r="CB68" s="8" cm="1">
        <f t="array" ref="CB68">SUMPRODUCT(TRANSPOSE(CB$2:CB$15),$I68:$V68)</f>
        <v>0</v>
      </c>
      <c r="CC68" s="8" cm="1">
        <f t="array" ref="CC68">SUMPRODUCT(TRANSPOSE(CC$2:CC$15),$I68:$V68)</f>
        <v>0</v>
      </c>
      <c r="CD68" s="8" cm="1">
        <f t="array" ref="CD68">SUMPRODUCT(TRANSPOSE(CD$2:CD$15),$I68:$V68)</f>
        <v>0</v>
      </c>
      <c r="CE68" s="8" cm="1">
        <f t="array" ref="CE68">SUMPRODUCT(TRANSPOSE(CE$2:CE$15),$I68:$V68)</f>
        <v>0</v>
      </c>
      <c r="CF68" s="8" cm="1">
        <f t="array" ref="CF68">SUMPRODUCT(TRANSPOSE(CF$2:CF$15),$I68:$V68)</f>
        <v>0</v>
      </c>
      <c r="CG68" s="8" cm="1">
        <f t="array" ref="CG68">SUMPRODUCT(TRANSPOSE(CG$2:CG$15),$I68:$V68)</f>
        <v>900</v>
      </c>
      <c r="CH68" s="8" cm="1">
        <f t="array" ref="CH68">SUMPRODUCT(TRANSPOSE(CH$2:CH$15),$I68:$V68)</f>
        <v>1450</v>
      </c>
      <c r="CI68" s="8" cm="1">
        <f t="array" ref="CI68">SUMPRODUCT(TRANSPOSE(CI$2:CI$15),$I68:$V68)</f>
        <v>2400</v>
      </c>
      <c r="CJ68" s="8" cm="1">
        <f t="array" ref="CJ68">SUMPRODUCT(TRANSPOSE(CJ$2:CJ$15),$I68:$V68)</f>
        <v>2110</v>
      </c>
      <c r="CK68" s="8" cm="1">
        <f t="array" ref="CK68">SUMPRODUCT(TRANSPOSE(CK$2:CK$15),$I68:$V68)</f>
        <v>2000</v>
      </c>
      <c r="CL68" s="8" cm="1">
        <f t="array" ref="CL68">SUMPRODUCT(TRANSPOSE(CL$2:CL$15),$I68:$V68)</f>
        <v>1850</v>
      </c>
      <c r="CM68" s="8" cm="1">
        <f t="array" ref="CM68">SUMPRODUCT(TRANSPOSE(CM$2:CM$15),$I68:$V68)</f>
        <v>2720</v>
      </c>
      <c r="CN68" s="8" cm="1">
        <f t="array" ref="CN68">SUMPRODUCT(TRANSPOSE(CN$2:CN$15),$I68:$V68)</f>
        <v>2580</v>
      </c>
      <c r="CO68" s="8" cm="1">
        <f t="array" ref="CO68">SUMPRODUCT(TRANSPOSE(CO$2:CO$15),$I68:$V68)</f>
        <v>260</v>
      </c>
      <c r="CP68" s="8" cm="1">
        <f t="array" ref="CP68">SUMPRODUCT(TRANSPOSE(CP$2:CP$15),$I68:$V68)</f>
        <v>0</v>
      </c>
      <c r="CQ68" s="8" cm="1">
        <f t="array" ref="CQ68">SUMPRODUCT(TRANSPOSE(CQ$2:CQ$15),$I68:$V68)</f>
        <v>0</v>
      </c>
    </row>
    <row r="69" spans="1:95" x14ac:dyDescent="0.25">
      <c r="A69" s="1">
        <v>28</v>
      </c>
      <c r="B69" s="11" t="s">
        <v>201</v>
      </c>
      <c r="C69" s="1" t="s">
        <v>68</v>
      </c>
      <c r="D69" s="1">
        <v>403581656</v>
      </c>
      <c r="E69" s="6"/>
      <c r="F69" s="1" t="s">
        <v>202</v>
      </c>
      <c r="G69" s="1" t="s">
        <v>35</v>
      </c>
      <c r="H69" s="1">
        <v>4</v>
      </c>
      <c r="I69" s="1">
        <v>0</v>
      </c>
      <c r="J69" s="1">
        <v>2</v>
      </c>
      <c r="K69" s="1">
        <v>0</v>
      </c>
      <c r="L69" s="1">
        <v>0</v>
      </c>
      <c r="M69" s="1">
        <v>0</v>
      </c>
      <c r="N69" s="1">
        <v>0</v>
      </c>
      <c r="O69" s="1">
        <v>2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f>SUMPRODUCT(I69:V69,$I$13:$V$13)</f>
        <v>6420</v>
      </c>
      <c r="X69" s="6">
        <f t="shared" si="2"/>
        <v>13.52</v>
      </c>
      <c r="Y69" s="1" t="str">
        <f>VLOOKUP(D69,[1]PARTS!$A$1:$G$65536,7,0)</f>
        <v/>
      </c>
      <c r="Z69" s="1">
        <v>1</v>
      </c>
      <c r="AA69" s="1">
        <v>6340</v>
      </c>
      <c r="AB69" s="1">
        <f>CEILING(W69,Z69)</f>
        <v>6420</v>
      </c>
      <c r="AC69" s="1">
        <f>VLOOKUP(D69,[2]pareto!$D$12:$AX$306,47,0)</f>
        <v>3.38</v>
      </c>
      <c r="AD69" s="1" t="s">
        <v>70</v>
      </c>
      <c r="AE69" s="1" t="s">
        <v>70</v>
      </c>
      <c r="AF69" s="1" t="str">
        <f>VLOOKUP(D69,[2]pareto!$D$11:$BD$306,52,0)</f>
        <v>tnp@wave-mechanics.com</v>
      </c>
      <c r="AG69" s="1" t="e">
        <f>VLOOKUP(D69,[2]pareto!$D$11:$BD$306,51)</f>
        <v>#REF!</v>
      </c>
      <c r="BG69" s="8">
        <f>SUM($BB69,$AI69:AI69)-SUM($BY69:BZ69)</f>
        <v>0</v>
      </c>
      <c r="BH69" s="8">
        <f>SUM($BB69,$AI69:AJ69)-SUM($BY69:CA69)</f>
        <v>0</v>
      </c>
      <c r="BI69" s="8">
        <f>SUM($BB69,$AI69:AK69)-SUM($BY69:CB69)</f>
        <v>0</v>
      </c>
      <c r="BJ69" s="8">
        <f>SUM($BB69,$AI69:AL69)-SUM($BY69:CC69)</f>
        <v>0</v>
      </c>
      <c r="BK69" s="8">
        <f>SUM($BB69,$AI69:AM69)-SUM($BY69:CD69)</f>
        <v>0</v>
      </c>
      <c r="BL69" s="8">
        <f>SUM($BB69,$AI69:AN69)-SUM($BY69:CE69)</f>
        <v>0</v>
      </c>
      <c r="BM69" s="8">
        <f>SUM($BB69,$AI69:AO69)-SUM($BY69:CF69)</f>
        <v>0</v>
      </c>
      <c r="BN69" s="8">
        <f>SUM($BB69,$AI69:AP69)-SUM($BY69:CG69)</f>
        <v>0</v>
      </c>
      <c r="BO69" s="8">
        <f>SUM($BB69,$AI69:AQ69)-SUM($BY69:CH69)</f>
        <v>0</v>
      </c>
      <c r="BP69" s="8">
        <f>SUM($BB69,$AI69:AR69)-SUM($BY69:CI69)</f>
        <v>-400</v>
      </c>
      <c r="BQ69" s="8">
        <f>SUM($BB69,$AI69:AS69)-SUM($BY69:CJ69)</f>
        <v>-1000</v>
      </c>
      <c r="BR69" s="8">
        <f>SUM($BB69,$AI69:AT69)-SUM($BY69:CK69)</f>
        <v>-2000</v>
      </c>
      <c r="BS69" s="8">
        <f>SUM($BB69,$AI69:AU69)-SUM($BY69:CL69)</f>
        <v>-2840</v>
      </c>
      <c r="BT69" s="8">
        <f>SUM($BB69,$AI69:AV69)-SUM($BY69:CM69)</f>
        <v>-3640</v>
      </c>
      <c r="BU69" s="8">
        <f>SUM($BB69,$AI69:AW69)-SUM($BY69:CN69)</f>
        <v>-4340</v>
      </c>
      <c r="BV69" s="8">
        <f>SUM($BB69,$AI69:AX69)-SUM($BY69:CO69)</f>
        <v>-5420</v>
      </c>
      <c r="BW69" s="8">
        <f>SUM($BB69,$AI69:AY69)-SUM($BY69:CP69)</f>
        <v>-6420</v>
      </c>
      <c r="BX69" s="8">
        <f>SUM($BB69,$AI69:AZ69)-SUM($BY69:CQ69)</f>
        <v>-6420</v>
      </c>
      <c r="BY69" s="8" cm="1">
        <f t="array" ref="BY69">SUMPRODUCT(TRANSPOSE(BY$2:BY$15),$I69:$V69)</f>
        <v>0</v>
      </c>
      <c r="BZ69" s="8" cm="1">
        <f t="array" ref="BZ69">SUMPRODUCT(TRANSPOSE(BZ$2:BZ$15),$I69:$V69)</f>
        <v>0</v>
      </c>
      <c r="CA69" s="8" cm="1">
        <f t="array" ref="CA69">SUMPRODUCT(TRANSPOSE(CA$2:CA$15),$I69:$V69)</f>
        <v>0</v>
      </c>
      <c r="CB69" s="8" cm="1">
        <f t="array" ref="CB69">SUMPRODUCT(TRANSPOSE(CB$2:CB$15),$I69:$V69)</f>
        <v>0</v>
      </c>
      <c r="CC69" s="8" cm="1">
        <f t="array" ref="CC69">SUMPRODUCT(TRANSPOSE(CC$2:CC$15),$I69:$V69)</f>
        <v>0</v>
      </c>
      <c r="CD69" s="8" cm="1">
        <f t="array" ref="CD69">SUMPRODUCT(TRANSPOSE(CD$2:CD$15),$I69:$V69)</f>
        <v>0</v>
      </c>
      <c r="CE69" s="8" cm="1">
        <f t="array" ref="CE69">SUMPRODUCT(TRANSPOSE(CE$2:CE$15),$I69:$V69)</f>
        <v>0</v>
      </c>
      <c r="CF69" s="8" cm="1">
        <f t="array" ref="CF69">SUMPRODUCT(TRANSPOSE(CF$2:CF$15),$I69:$V69)</f>
        <v>0</v>
      </c>
      <c r="CG69" s="8" cm="1">
        <f t="array" ref="CG69">SUMPRODUCT(TRANSPOSE(CG$2:CG$15),$I69:$V69)</f>
        <v>0</v>
      </c>
      <c r="CH69" s="8" cm="1">
        <f t="array" ref="CH69">SUMPRODUCT(TRANSPOSE(CH$2:CH$15),$I69:$V69)</f>
        <v>0</v>
      </c>
      <c r="CI69" s="8" cm="1">
        <f t="array" ref="CI69">SUMPRODUCT(TRANSPOSE(CI$2:CI$15),$I69:$V69)</f>
        <v>400</v>
      </c>
      <c r="CJ69" s="8" cm="1">
        <f t="array" ref="CJ69">SUMPRODUCT(TRANSPOSE(CJ$2:CJ$15),$I69:$V69)</f>
        <v>600</v>
      </c>
      <c r="CK69" s="8" cm="1">
        <f t="array" ref="CK69">SUMPRODUCT(TRANSPOSE(CK$2:CK$15),$I69:$V69)</f>
        <v>1000</v>
      </c>
      <c r="CL69" s="8" cm="1">
        <f t="array" ref="CL69">SUMPRODUCT(TRANSPOSE(CL$2:CL$15),$I69:$V69)</f>
        <v>840</v>
      </c>
      <c r="CM69" s="8" cm="1">
        <f t="array" ref="CM69">SUMPRODUCT(TRANSPOSE(CM$2:CM$15),$I69:$V69)</f>
        <v>800</v>
      </c>
      <c r="CN69" s="8" cm="1">
        <f t="array" ref="CN69">SUMPRODUCT(TRANSPOSE(CN$2:CN$15),$I69:$V69)</f>
        <v>700</v>
      </c>
      <c r="CO69" s="8" cm="1">
        <f t="array" ref="CO69">SUMPRODUCT(TRANSPOSE(CO$2:CO$15),$I69:$V69)</f>
        <v>1080</v>
      </c>
      <c r="CP69" s="8" cm="1">
        <f t="array" ref="CP69">SUMPRODUCT(TRANSPOSE(CP$2:CP$15),$I69:$V69)</f>
        <v>1000</v>
      </c>
      <c r="CQ69" s="8" cm="1">
        <f t="array" ref="CQ69">SUMPRODUCT(TRANSPOSE(CQ$2:CQ$15),$I69:$V69)</f>
        <v>0</v>
      </c>
    </row>
    <row r="70" spans="1:95" s="8" customFormat="1" x14ac:dyDescent="0.25">
      <c r="A70" s="1">
        <v>76</v>
      </c>
      <c r="B70" s="11" t="s">
        <v>203</v>
      </c>
      <c r="C70" s="1" t="s">
        <v>49</v>
      </c>
      <c r="D70" s="1">
        <v>404179667</v>
      </c>
      <c r="E70" s="6">
        <f>VLOOKUP(D70,FFF!$A$2:$B$674,2,)</f>
        <v>415712344</v>
      </c>
      <c r="F70" s="1" t="s">
        <v>204</v>
      </c>
      <c r="G70" s="1" t="s">
        <v>35</v>
      </c>
      <c r="H70" s="1">
        <v>4</v>
      </c>
      <c r="I70" s="1">
        <v>0</v>
      </c>
      <c r="J70" s="1">
        <v>2</v>
      </c>
      <c r="K70" s="1">
        <v>0</v>
      </c>
      <c r="L70" s="1">
        <v>0</v>
      </c>
      <c r="M70" s="1">
        <v>0</v>
      </c>
      <c r="N70" s="1">
        <v>0</v>
      </c>
      <c r="O70" s="1">
        <v>2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f>SUMPRODUCT(I70:V70,$I$13:$V$13)</f>
        <v>6420</v>
      </c>
      <c r="X70" s="6">
        <f t="shared" si="2"/>
        <v>14.7088</v>
      </c>
      <c r="Y70" s="1" t="str">
        <f>VLOOKUP(D70,[1]PARTS!$A$1:$G$65536,7,0)</f>
        <v>ROSENBERGER</v>
      </c>
      <c r="Z70" s="1">
        <v>1</v>
      </c>
      <c r="AA70" s="1">
        <v>6340</v>
      </c>
      <c r="AB70" s="1">
        <f>CEILING(W70,Z70)</f>
        <v>6420</v>
      </c>
      <c r="AC70" s="1">
        <v>3.6772</v>
      </c>
      <c r="AD70" s="1" t="s">
        <v>122</v>
      </c>
      <c r="AE70" s="1" t="s">
        <v>123</v>
      </c>
      <c r="AF70" s="12" t="s">
        <v>124</v>
      </c>
      <c r="AG70" s="1" t="e">
        <f>VLOOKUP(D70,[2]pareto!$D$11:$BD$306,51)</f>
        <v>#REF!</v>
      </c>
      <c r="AH70" s="1"/>
      <c r="BG70" s="8">
        <f>SUM($BB70,$AI70:AI70)-SUM($BY70:BZ70)</f>
        <v>0</v>
      </c>
      <c r="BH70" s="8">
        <f>SUM($BB70,$AI70:AJ70)-SUM($BY70:CA70)</f>
        <v>0</v>
      </c>
      <c r="BI70" s="8">
        <f>SUM($BB70,$AI70:AK70)-SUM($BY70:CB70)</f>
        <v>0</v>
      </c>
      <c r="BJ70" s="8">
        <f>SUM($BB70,$AI70:AL70)-SUM($BY70:CC70)</f>
        <v>0</v>
      </c>
      <c r="BK70" s="8">
        <f>SUM($BB70,$AI70:AM70)-SUM($BY70:CD70)</f>
        <v>0</v>
      </c>
      <c r="BL70" s="8">
        <f>SUM($BB70,$AI70:AN70)-SUM($BY70:CE70)</f>
        <v>0</v>
      </c>
      <c r="BM70" s="8">
        <f>SUM($BB70,$AI70:AO70)-SUM($BY70:CF70)</f>
        <v>0</v>
      </c>
      <c r="BN70" s="8">
        <f>SUM($BB70,$AI70:AP70)-SUM($BY70:CG70)</f>
        <v>0</v>
      </c>
      <c r="BO70" s="8">
        <f>SUM($BB70,$AI70:AQ70)-SUM($BY70:CH70)</f>
        <v>0</v>
      </c>
      <c r="BP70" s="8">
        <f>SUM($BB70,$AI70:AR70)-SUM($BY70:CI70)</f>
        <v>-400</v>
      </c>
      <c r="BQ70" s="8">
        <f>SUM($BB70,$AI70:AS70)-SUM($BY70:CJ70)</f>
        <v>-1000</v>
      </c>
      <c r="BR70" s="8">
        <f>SUM($BB70,$AI70:AT70)-SUM($BY70:CK70)</f>
        <v>-2000</v>
      </c>
      <c r="BS70" s="8">
        <f>SUM($BB70,$AI70:AU70)-SUM($BY70:CL70)</f>
        <v>-2840</v>
      </c>
      <c r="BT70" s="8">
        <f>SUM($BB70,$AI70:AV70)-SUM($BY70:CM70)</f>
        <v>-3640</v>
      </c>
      <c r="BU70" s="8">
        <f>SUM($BB70,$AI70:AW70)-SUM($BY70:CN70)</f>
        <v>-4340</v>
      </c>
      <c r="BV70" s="8">
        <f>SUM($BB70,$AI70:AX70)-SUM($BY70:CO70)</f>
        <v>-5420</v>
      </c>
      <c r="BW70" s="8">
        <f>SUM($BB70,$AI70:AY70)-SUM($BY70:CP70)</f>
        <v>-6420</v>
      </c>
      <c r="BX70" s="8">
        <f>SUM($BB70,$AI70:AZ70)-SUM($BY70:CQ70)</f>
        <v>-6420</v>
      </c>
      <c r="BY70" s="8" cm="1">
        <f t="array" ref="BY70">SUMPRODUCT(TRANSPOSE(BY$2:BY$15),$I70:$V70)</f>
        <v>0</v>
      </c>
      <c r="BZ70" s="8" cm="1">
        <f t="array" ref="BZ70">SUMPRODUCT(TRANSPOSE(BZ$2:BZ$15),$I70:$V70)</f>
        <v>0</v>
      </c>
      <c r="CA70" s="8" cm="1">
        <f t="array" ref="CA70">SUMPRODUCT(TRANSPOSE(CA$2:CA$15),$I70:$V70)</f>
        <v>0</v>
      </c>
      <c r="CB70" s="8" cm="1">
        <f t="array" ref="CB70">SUMPRODUCT(TRANSPOSE(CB$2:CB$15),$I70:$V70)</f>
        <v>0</v>
      </c>
      <c r="CC70" s="8" cm="1">
        <f t="array" ref="CC70">SUMPRODUCT(TRANSPOSE(CC$2:CC$15),$I70:$V70)</f>
        <v>0</v>
      </c>
      <c r="CD70" s="8" cm="1">
        <f t="array" ref="CD70">SUMPRODUCT(TRANSPOSE(CD$2:CD$15),$I70:$V70)</f>
        <v>0</v>
      </c>
      <c r="CE70" s="8" cm="1">
        <f t="array" ref="CE70">SUMPRODUCT(TRANSPOSE(CE$2:CE$15),$I70:$V70)</f>
        <v>0</v>
      </c>
      <c r="CF70" s="8" cm="1">
        <f t="array" ref="CF70">SUMPRODUCT(TRANSPOSE(CF$2:CF$15),$I70:$V70)</f>
        <v>0</v>
      </c>
      <c r="CG70" s="8" cm="1">
        <f t="array" ref="CG70">SUMPRODUCT(TRANSPOSE(CG$2:CG$15),$I70:$V70)</f>
        <v>0</v>
      </c>
      <c r="CH70" s="8" cm="1">
        <f t="array" ref="CH70">SUMPRODUCT(TRANSPOSE(CH$2:CH$15),$I70:$V70)</f>
        <v>0</v>
      </c>
      <c r="CI70" s="8" cm="1">
        <f t="array" ref="CI70">SUMPRODUCT(TRANSPOSE(CI$2:CI$15),$I70:$V70)</f>
        <v>400</v>
      </c>
      <c r="CJ70" s="8" cm="1">
        <f t="array" ref="CJ70">SUMPRODUCT(TRANSPOSE(CJ$2:CJ$15),$I70:$V70)</f>
        <v>600</v>
      </c>
      <c r="CK70" s="8" cm="1">
        <f t="array" ref="CK70">SUMPRODUCT(TRANSPOSE(CK$2:CK$15),$I70:$V70)</f>
        <v>1000</v>
      </c>
      <c r="CL70" s="8" cm="1">
        <f t="array" ref="CL70">SUMPRODUCT(TRANSPOSE(CL$2:CL$15),$I70:$V70)</f>
        <v>840</v>
      </c>
      <c r="CM70" s="8" cm="1">
        <f t="array" ref="CM70">SUMPRODUCT(TRANSPOSE(CM$2:CM$15),$I70:$V70)</f>
        <v>800</v>
      </c>
      <c r="CN70" s="8" cm="1">
        <f t="array" ref="CN70">SUMPRODUCT(TRANSPOSE(CN$2:CN$15),$I70:$V70)</f>
        <v>700</v>
      </c>
      <c r="CO70" s="8" cm="1">
        <f t="array" ref="CO70">SUMPRODUCT(TRANSPOSE(CO$2:CO$15),$I70:$V70)</f>
        <v>1080</v>
      </c>
      <c r="CP70" s="8" cm="1">
        <f t="array" ref="CP70">SUMPRODUCT(TRANSPOSE(CP$2:CP$15),$I70:$V70)</f>
        <v>1000</v>
      </c>
      <c r="CQ70" s="8" cm="1">
        <f t="array" ref="CQ70">SUMPRODUCT(TRANSPOSE(CQ$2:CQ$15),$I70:$V70)</f>
        <v>0</v>
      </c>
    </row>
    <row r="71" spans="1:95" x14ac:dyDescent="0.25">
      <c r="A71" s="1">
        <v>38</v>
      </c>
      <c r="B71" s="11" t="s">
        <v>205</v>
      </c>
      <c r="C71" s="1" t="s">
        <v>206</v>
      </c>
      <c r="D71" s="1">
        <v>400951274</v>
      </c>
      <c r="E71" s="6"/>
      <c r="F71" s="1" t="s">
        <v>207</v>
      </c>
      <c r="G71" s="1" t="s">
        <v>35</v>
      </c>
      <c r="H71" s="1">
        <v>2</v>
      </c>
      <c r="I71" s="1">
        <v>0</v>
      </c>
      <c r="J71" s="1">
        <v>1</v>
      </c>
      <c r="K71" s="1">
        <v>0</v>
      </c>
      <c r="L71" s="1">
        <v>0</v>
      </c>
      <c r="M71" s="1">
        <v>0</v>
      </c>
      <c r="N71" s="1">
        <v>0</v>
      </c>
      <c r="O71" s="1">
        <v>1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f>SUMPRODUCT(I71:V71,$I$13:$V$13)</f>
        <v>3210</v>
      </c>
      <c r="X71" s="6">
        <f t="shared" si="2"/>
        <v>11.6</v>
      </c>
      <c r="Y71" s="1" t="str">
        <f>VLOOKUP(D71,[1]PARTS!$A$1:$G$65536,7,0)</f>
        <v/>
      </c>
      <c r="Z71" s="1">
        <v>1</v>
      </c>
      <c r="AA71" s="1">
        <v>3170</v>
      </c>
      <c r="AB71" s="1">
        <f>CEILING(W71,Z71)</f>
        <v>3210</v>
      </c>
      <c r="AC71" s="1">
        <f>VLOOKUP(D71,[2]pareto!$D$12:$AX$306,47,0)</f>
        <v>5.8</v>
      </c>
      <c r="AD71" s="1" t="s">
        <v>122</v>
      </c>
      <c r="AE71" s="1" t="s">
        <v>123</v>
      </c>
      <c r="AF71" s="12" t="s">
        <v>124</v>
      </c>
      <c r="AG71" s="1" t="e">
        <f>VLOOKUP(D71,[2]pareto!$D$11:$BD$306,51)</f>
        <v>#REF!</v>
      </c>
      <c r="BG71" s="8">
        <f>SUM($BB71,$AI71:AI71)-SUM($BY71:BZ71)</f>
        <v>0</v>
      </c>
      <c r="BH71" s="8">
        <f>SUM($BB71,$AI71:AJ71)-SUM($BY71:CA71)</f>
        <v>0</v>
      </c>
      <c r="BI71" s="8">
        <f>SUM($BB71,$AI71:AK71)-SUM($BY71:CB71)</f>
        <v>0</v>
      </c>
      <c r="BJ71" s="8">
        <f>SUM($BB71,$AI71:AL71)-SUM($BY71:CC71)</f>
        <v>0</v>
      </c>
      <c r="BK71" s="8">
        <f>SUM($BB71,$AI71:AM71)-SUM($BY71:CD71)</f>
        <v>0</v>
      </c>
      <c r="BL71" s="8">
        <f>SUM($BB71,$AI71:AN71)-SUM($BY71:CE71)</f>
        <v>0</v>
      </c>
      <c r="BM71" s="8">
        <f>SUM($BB71,$AI71:AO71)-SUM($BY71:CF71)</f>
        <v>0</v>
      </c>
      <c r="BN71" s="8">
        <f>SUM($BB71,$AI71:AP71)-SUM($BY71:CG71)</f>
        <v>0</v>
      </c>
      <c r="BO71" s="8">
        <f>SUM($BB71,$AI71:AQ71)-SUM($BY71:CH71)</f>
        <v>0</v>
      </c>
      <c r="BP71" s="8">
        <f>SUM($BB71,$AI71:AR71)-SUM($BY71:CI71)</f>
        <v>-200</v>
      </c>
      <c r="BQ71" s="8">
        <f>SUM($BB71,$AI71:AS71)-SUM($BY71:CJ71)</f>
        <v>-500</v>
      </c>
      <c r="BR71" s="8">
        <f>SUM($BB71,$AI71:AT71)-SUM($BY71:CK71)</f>
        <v>-1000</v>
      </c>
      <c r="BS71" s="8">
        <f>SUM($BB71,$AI71:AU71)-SUM($BY71:CL71)</f>
        <v>-1420</v>
      </c>
      <c r="BT71" s="8">
        <f>SUM($BB71,$AI71:AV71)-SUM($BY71:CM71)</f>
        <v>-1820</v>
      </c>
      <c r="BU71" s="8">
        <f>SUM($BB71,$AI71:AW71)-SUM($BY71:CN71)</f>
        <v>-2170</v>
      </c>
      <c r="BV71" s="8">
        <f>SUM($BB71,$AI71:AX71)-SUM($BY71:CO71)</f>
        <v>-2710</v>
      </c>
      <c r="BW71" s="8">
        <f>SUM($BB71,$AI71:AY71)-SUM($BY71:CP71)</f>
        <v>-3210</v>
      </c>
      <c r="BX71" s="8">
        <f>SUM($BB71,$AI71:AZ71)-SUM($BY71:CQ71)</f>
        <v>-3210</v>
      </c>
      <c r="BY71" s="8" cm="1">
        <f t="array" ref="BY71">SUMPRODUCT(TRANSPOSE(BY$2:BY$15),$I71:$V71)</f>
        <v>0</v>
      </c>
      <c r="BZ71" s="8" cm="1">
        <f t="array" ref="BZ71">SUMPRODUCT(TRANSPOSE(BZ$2:BZ$15),$I71:$V71)</f>
        <v>0</v>
      </c>
      <c r="CA71" s="8" cm="1">
        <f t="array" ref="CA71">SUMPRODUCT(TRANSPOSE(CA$2:CA$15),$I71:$V71)</f>
        <v>0</v>
      </c>
      <c r="CB71" s="8" cm="1">
        <f t="array" ref="CB71">SUMPRODUCT(TRANSPOSE(CB$2:CB$15),$I71:$V71)</f>
        <v>0</v>
      </c>
      <c r="CC71" s="8" cm="1">
        <f t="array" ref="CC71">SUMPRODUCT(TRANSPOSE(CC$2:CC$15),$I71:$V71)</f>
        <v>0</v>
      </c>
      <c r="CD71" s="8" cm="1">
        <f t="array" ref="CD71">SUMPRODUCT(TRANSPOSE(CD$2:CD$15),$I71:$V71)</f>
        <v>0</v>
      </c>
      <c r="CE71" s="8" cm="1">
        <f t="array" ref="CE71">SUMPRODUCT(TRANSPOSE(CE$2:CE$15),$I71:$V71)</f>
        <v>0</v>
      </c>
      <c r="CF71" s="8" cm="1">
        <f t="array" ref="CF71">SUMPRODUCT(TRANSPOSE(CF$2:CF$15),$I71:$V71)</f>
        <v>0</v>
      </c>
      <c r="CG71" s="8" cm="1">
        <f t="array" ref="CG71">SUMPRODUCT(TRANSPOSE(CG$2:CG$15),$I71:$V71)</f>
        <v>0</v>
      </c>
      <c r="CH71" s="8" cm="1">
        <f t="array" ref="CH71">SUMPRODUCT(TRANSPOSE(CH$2:CH$15),$I71:$V71)</f>
        <v>0</v>
      </c>
      <c r="CI71" s="8" cm="1">
        <f t="array" ref="CI71">SUMPRODUCT(TRANSPOSE(CI$2:CI$15),$I71:$V71)</f>
        <v>200</v>
      </c>
      <c r="CJ71" s="8" cm="1">
        <f t="array" ref="CJ71">SUMPRODUCT(TRANSPOSE(CJ$2:CJ$15),$I71:$V71)</f>
        <v>300</v>
      </c>
      <c r="CK71" s="8" cm="1">
        <f t="array" ref="CK71">SUMPRODUCT(TRANSPOSE(CK$2:CK$15),$I71:$V71)</f>
        <v>500</v>
      </c>
      <c r="CL71" s="8" cm="1">
        <f t="array" ref="CL71">SUMPRODUCT(TRANSPOSE(CL$2:CL$15),$I71:$V71)</f>
        <v>420</v>
      </c>
      <c r="CM71" s="8" cm="1">
        <f t="array" ref="CM71">SUMPRODUCT(TRANSPOSE(CM$2:CM$15),$I71:$V71)</f>
        <v>400</v>
      </c>
      <c r="CN71" s="8" cm="1">
        <f t="array" ref="CN71">SUMPRODUCT(TRANSPOSE(CN$2:CN$15),$I71:$V71)</f>
        <v>350</v>
      </c>
      <c r="CO71" s="8" cm="1">
        <f t="array" ref="CO71">SUMPRODUCT(TRANSPOSE(CO$2:CO$15),$I71:$V71)</f>
        <v>540</v>
      </c>
      <c r="CP71" s="8" cm="1">
        <f t="array" ref="CP71">SUMPRODUCT(TRANSPOSE(CP$2:CP$15),$I71:$V71)</f>
        <v>500</v>
      </c>
      <c r="CQ71" s="8" cm="1">
        <f t="array" ref="CQ71">SUMPRODUCT(TRANSPOSE(CQ$2:CQ$15),$I71:$V71)</f>
        <v>0</v>
      </c>
    </row>
    <row r="72" spans="1:95" x14ac:dyDescent="0.25">
      <c r="A72" s="1">
        <v>37</v>
      </c>
      <c r="B72" s="11" t="s">
        <v>208</v>
      </c>
      <c r="C72" s="1">
        <v>-2</v>
      </c>
      <c r="D72" s="1">
        <v>400951273</v>
      </c>
      <c r="E72" s="6"/>
      <c r="F72" s="1" t="s">
        <v>209</v>
      </c>
      <c r="G72" s="1" t="s">
        <v>35</v>
      </c>
      <c r="H72" s="1">
        <v>2</v>
      </c>
      <c r="I72" s="1">
        <v>0</v>
      </c>
      <c r="J72" s="1">
        <v>1</v>
      </c>
      <c r="K72" s="1">
        <v>0</v>
      </c>
      <c r="L72" s="1">
        <v>0</v>
      </c>
      <c r="M72" s="1">
        <v>0</v>
      </c>
      <c r="N72" s="1">
        <v>0</v>
      </c>
      <c r="O72" s="1">
        <v>1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f>SUMPRODUCT(I72:V72,$I$13:$V$13)</f>
        <v>3210</v>
      </c>
      <c r="X72" s="6">
        <f t="shared" si="2"/>
        <v>11.6</v>
      </c>
      <c r="Y72" s="1" t="str">
        <f>VLOOKUP(D72,[1]PARTS!$A$1:$G$65536,7,0)</f>
        <v/>
      </c>
      <c r="Z72" s="1">
        <v>1</v>
      </c>
      <c r="AA72" s="1">
        <v>3170</v>
      </c>
      <c r="AB72" s="1">
        <f>CEILING(W72,Z72)</f>
        <v>3210</v>
      </c>
      <c r="AC72" s="1">
        <f>VLOOKUP(D72,[2]pareto!$D$12:$AX$306,47,0)</f>
        <v>5.8</v>
      </c>
      <c r="AD72" s="1" t="s">
        <v>122</v>
      </c>
      <c r="AE72" s="1" t="s">
        <v>123</v>
      </c>
      <c r="AF72" s="12" t="s">
        <v>124</v>
      </c>
      <c r="AG72" s="1" t="e">
        <f>VLOOKUP(D72,[2]pareto!$D$11:$BD$306,51)</f>
        <v>#REF!</v>
      </c>
      <c r="BG72" s="8">
        <f>SUM($BB72,$AI72:AI72)-SUM($BY72:BZ72)</f>
        <v>0</v>
      </c>
      <c r="BH72" s="8">
        <f>SUM($BB72,$AI72:AJ72)-SUM($BY72:CA72)</f>
        <v>0</v>
      </c>
      <c r="BI72" s="8">
        <f>SUM($BB72,$AI72:AK72)-SUM($BY72:CB72)</f>
        <v>0</v>
      </c>
      <c r="BJ72" s="8">
        <f>SUM($BB72,$AI72:AL72)-SUM($BY72:CC72)</f>
        <v>0</v>
      </c>
      <c r="BK72" s="8">
        <f>SUM($BB72,$AI72:AM72)-SUM($BY72:CD72)</f>
        <v>0</v>
      </c>
      <c r="BL72" s="8">
        <f>SUM($BB72,$AI72:AN72)-SUM($BY72:CE72)</f>
        <v>0</v>
      </c>
      <c r="BM72" s="8">
        <f>SUM($BB72,$AI72:AO72)-SUM($BY72:CF72)</f>
        <v>0</v>
      </c>
      <c r="BN72" s="8">
        <f>SUM($BB72,$AI72:AP72)-SUM($BY72:CG72)</f>
        <v>0</v>
      </c>
      <c r="BO72" s="8">
        <f>SUM($BB72,$AI72:AQ72)-SUM($BY72:CH72)</f>
        <v>0</v>
      </c>
      <c r="BP72" s="8">
        <f>SUM($BB72,$AI72:AR72)-SUM($BY72:CI72)</f>
        <v>-200</v>
      </c>
      <c r="BQ72" s="8">
        <f>SUM($BB72,$AI72:AS72)-SUM($BY72:CJ72)</f>
        <v>-500</v>
      </c>
      <c r="BR72" s="8">
        <f>SUM($BB72,$AI72:AT72)-SUM($BY72:CK72)</f>
        <v>-1000</v>
      </c>
      <c r="BS72" s="8">
        <f>SUM($BB72,$AI72:AU72)-SUM($BY72:CL72)</f>
        <v>-1420</v>
      </c>
      <c r="BT72" s="8">
        <f>SUM($BB72,$AI72:AV72)-SUM($BY72:CM72)</f>
        <v>-1820</v>
      </c>
      <c r="BU72" s="8">
        <f>SUM($BB72,$AI72:AW72)-SUM($BY72:CN72)</f>
        <v>-2170</v>
      </c>
      <c r="BV72" s="8">
        <f>SUM($BB72,$AI72:AX72)-SUM($BY72:CO72)</f>
        <v>-2710</v>
      </c>
      <c r="BW72" s="8">
        <f>SUM($BB72,$AI72:AY72)-SUM($BY72:CP72)</f>
        <v>-3210</v>
      </c>
      <c r="BX72" s="8">
        <f>SUM($BB72,$AI72:AZ72)-SUM($BY72:CQ72)</f>
        <v>-3210</v>
      </c>
      <c r="BY72" s="8" cm="1">
        <f t="array" ref="BY72">SUMPRODUCT(TRANSPOSE(BY$2:BY$15),$I72:$V72)</f>
        <v>0</v>
      </c>
      <c r="BZ72" s="8" cm="1">
        <f t="array" ref="BZ72">SUMPRODUCT(TRANSPOSE(BZ$2:BZ$15),$I72:$V72)</f>
        <v>0</v>
      </c>
      <c r="CA72" s="8" cm="1">
        <f t="array" ref="CA72">SUMPRODUCT(TRANSPOSE(CA$2:CA$15),$I72:$V72)</f>
        <v>0</v>
      </c>
      <c r="CB72" s="8" cm="1">
        <f t="array" ref="CB72">SUMPRODUCT(TRANSPOSE(CB$2:CB$15),$I72:$V72)</f>
        <v>0</v>
      </c>
      <c r="CC72" s="8" cm="1">
        <f t="array" ref="CC72">SUMPRODUCT(TRANSPOSE(CC$2:CC$15),$I72:$V72)</f>
        <v>0</v>
      </c>
      <c r="CD72" s="8" cm="1">
        <f t="array" ref="CD72">SUMPRODUCT(TRANSPOSE(CD$2:CD$15),$I72:$V72)</f>
        <v>0</v>
      </c>
      <c r="CE72" s="8" cm="1">
        <f t="array" ref="CE72">SUMPRODUCT(TRANSPOSE(CE$2:CE$15),$I72:$V72)</f>
        <v>0</v>
      </c>
      <c r="CF72" s="8" cm="1">
        <f t="array" ref="CF72">SUMPRODUCT(TRANSPOSE(CF$2:CF$15),$I72:$V72)</f>
        <v>0</v>
      </c>
      <c r="CG72" s="8" cm="1">
        <f t="array" ref="CG72">SUMPRODUCT(TRANSPOSE(CG$2:CG$15),$I72:$V72)</f>
        <v>0</v>
      </c>
      <c r="CH72" s="8" cm="1">
        <f t="array" ref="CH72">SUMPRODUCT(TRANSPOSE(CH$2:CH$15),$I72:$V72)</f>
        <v>0</v>
      </c>
      <c r="CI72" s="8" cm="1">
        <f t="array" ref="CI72">SUMPRODUCT(TRANSPOSE(CI$2:CI$15),$I72:$V72)</f>
        <v>200</v>
      </c>
      <c r="CJ72" s="8" cm="1">
        <f t="array" ref="CJ72">SUMPRODUCT(TRANSPOSE(CJ$2:CJ$15),$I72:$V72)</f>
        <v>300</v>
      </c>
      <c r="CK72" s="8" cm="1">
        <f t="array" ref="CK72">SUMPRODUCT(TRANSPOSE(CK$2:CK$15),$I72:$V72)</f>
        <v>500</v>
      </c>
      <c r="CL72" s="8" cm="1">
        <f t="array" ref="CL72">SUMPRODUCT(TRANSPOSE(CL$2:CL$15),$I72:$V72)</f>
        <v>420</v>
      </c>
      <c r="CM72" s="8" cm="1">
        <f t="array" ref="CM72">SUMPRODUCT(TRANSPOSE(CM$2:CM$15),$I72:$V72)</f>
        <v>400</v>
      </c>
      <c r="CN72" s="8" cm="1">
        <f t="array" ref="CN72">SUMPRODUCT(TRANSPOSE(CN$2:CN$15),$I72:$V72)</f>
        <v>350</v>
      </c>
      <c r="CO72" s="8" cm="1">
        <f t="array" ref="CO72">SUMPRODUCT(TRANSPOSE(CO$2:CO$15),$I72:$V72)</f>
        <v>540</v>
      </c>
      <c r="CP72" s="8" cm="1">
        <f t="array" ref="CP72">SUMPRODUCT(TRANSPOSE(CP$2:CP$15),$I72:$V72)</f>
        <v>500</v>
      </c>
      <c r="CQ72" s="8" cm="1">
        <f t="array" ref="CQ72">SUMPRODUCT(TRANSPOSE(CQ$2:CQ$15),$I72:$V72)</f>
        <v>0</v>
      </c>
    </row>
    <row r="73" spans="1:95" x14ac:dyDescent="0.25">
      <c r="A73" s="1">
        <v>26</v>
      </c>
      <c r="B73" s="11" t="s">
        <v>210</v>
      </c>
      <c r="C73" s="1" t="s">
        <v>68</v>
      </c>
      <c r="D73" s="1">
        <v>403581663</v>
      </c>
      <c r="E73" s="6"/>
      <c r="F73" s="1" t="s">
        <v>211</v>
      </c>
      <c r="G73" s="1" t="s">
        <v>35</v>
      </c>
      <c r="H73" s="1">
        <v>4</v>
      </c>
      <c r="I73" s="1">
        <v>0</v>
      </c>
      <c r="J73" s="1">
        <v>2</v>
      </c>
      <c r="K73" s="1">
        <v>0</v>
      </c>
      <c r="L73" s="1">
        <v>0</v>
      </c>
      <c r="M73" s="1">
        <v>0</v>
      </c>
      <c r="N73" s="1">
        <v>0</v>
      </c>
      <c r="O73" s="1">
        <v>2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f>SUMPRODUCT(I73:V73,$I$13:$V$13)</f>
        <v>6420</v>
      </c>
      <c r="X73" s="6">
        <f t="shared" si="2"/>
        <v>6.96</v>
      </c>
      <c r="Y73" s="1" t="str">
        <f>VLOOKUP(D73,[1]PARTS!$A$1:$G$65536,7,0)</f>
        <v/>
      </c>
      <c r="Z73" s="1">
        <v>1</v>
      </c>
      <c r="AA73" s="1">
        <v>6340</v>
      </c>
      <c r="AB73" s="1">
        <f>CEILING(W73,Z73)</f>
        <v>6420</v>
      </c>
      <c r="AC73" s="1">
        <f>VLOOKUP(D73,[2]pareto!$D$12:$AX$306,47,0)</f>
        <v>1.74</v>
      </c>
      <c r="AD73" s="1" t="s">
        <v>70</v>
      </c>
      <c r="AE73" s="1" t="s">
        <v>70</v>
      </c>
      <c r="AF73" s="1" t="str">
        <f>VLOOKUP(D73,[2]pareto!$D$11:$BD$306,52,0)</f>
        <v>tnp@wave-mechanics.com</v>
      </c>
      <c r="AG73" s="1" t="e">
        <f>VLOOKUP(D73,[2]pareto!$D$11:$BD$306,51)</f>
        <v>#REF!</v>
      </c>
      <c r="BG73" s="8">
        <f>SUM($BB73,$AI73:AI73)-SUM($BY73:BZ73)</f>
        <v>0</v>
      </c>
      <c r="BH73" s="8">
        <f>SUM($BB73,$AI73:AJ73)-SUM($BY73:CA73)</f>
        <v>0</v>
      </c>
      <c r="BI73" s="8">
        <f>SUM($BB73,$AI73:AK73)-SUM($BY73:CB73)</f>
        <v>0</v>
      </c>
      <c r="BJ73" s="8">
        <f>SUM($BB73,$AI73:AL73)-SUM($BY73:CC73)</f>
        <v>0</v>
      </c>
      <c r="BK73" s="8">
        <f>SUM($BB73,$AI73:AM73)-SUM($BY73:CD73)</f>
        <v>0</v>
      </c>
      <c r="BL73" s="8">
        <f>SUM($BB73,$AI73:AN73)-SUM($BY73:CE73)</f>
        <v>0</v>
      </c>
      <c r="BM73" s="8">
        <f>SUM($BB73,$AI73:AO73)-SUM($BY73:CF73)</f>
        <v>0</v>
      </c>
      <c r="BN73" s="8">
        <f>SUM($BB73,$AI73:AP73)-SUM($BY73:CG73)</f>
        <v>0</v>
      </c>
      <c r="BO73" s="8">
        <f>SUM($BB73,$AI73:AQ73)-SUM($BY73:CH73)</f>
        <v>0</v>
      </c>
      <c r="BP73" s="8">
        <f>SUM($BB73,$AI73:AR73)-SUM($BY73:CI73)</f>
        <v>-400</v>
      </c>
      <c r="BQ73" s="8">
        <f>SUM($BB73,$AI73:AS73)-SUM($BY73:CJ73)</f>
        <v>-1000</v>
      </c>
      <c r="BR73" s="8">
        <f>SUM($BB73,$AI73:AT73)-SUM($BY73:CK73)</f>
        <v>-2000</v>
      </c>
      <c r="BS73" s="8">
        <f>SUM($BB73,$AI73:AU73)-SUM($BY73:CL73)</f>
        <v>-2840</v>
      </c>
      <c r="BT73" s="8">
        <f>SUM($BB73,$AI73:AV73)-SUM($BY73:CM73)</f>
        <v>-3640</v>
      </c>
      <c r="BU73" s="8">
        <f>SUM($BB73,$AI73:AW73)-SUM($BY73:CN73)</f>
        <v>-4340</v>
      </c>
      <c r="BV73" s="8">
        <f>SUM($BB73,$AI73:AX73)-SUM($BY73:CO73)</f>
        <v>-5420</v>
      </c>
      <c r="BW73" s="8">
        <f>SUM($BB73,$AI73:AY73)-SUM($BY73:CP73)</f>
        <v>-6420</v>
      </c>
      <c r="BX73" s="8">
        <f>SUM($BB73,$AI73:AZ73)-SUM($BY73:CQ73)</f>
        <v>-6420</v>
      </c>
      <c r="BY73" s="8" cm="1">
        <f t="array" ref="BY73">SUMPRODUCT(TRANSPOSE(BY$2:BY$15),$I73:$V73)</f>
        <v>0</v>
      </c>
      <c r="BZ73" s="8" cm="1">
        <f t="array" ref="BZ73">SUMPRODUCT(TRANSPOSE(BZ$2:BZ$15),$I73:$V73)</f>
        <v>0</v>
      </c>
      <c r="CA73" s="8" cm="1">
        <f t="array" ref="CA73">SUMPRODUCT(TRANSPOSE(CA$2:CA$15),$I73:$V73)</f>
        <v>0</v>
      </c>
      <c r="CB73" s="8" cm="1">
        <f t="array" ref="CB73">SUMPRODUCT(TRANSPOSE(CB$2:CB$15),$I73:$V73)</f>
        <v>0</v>
      </c>
      <c r="CC73" s="8" cm="1">
        <f t="array" ref="CC73">SUMPRODUCT(TRANSPOSE(CC$2:CC$15),$I73:$V73)</f>
        <v>0</v>
      </c>
      <c r="CD73" s="8" cm="1">
        <f t="array" ref="CD73">SUMPRODUCT(TRANSPOSE(CD$2:CD$15),$I73:$V73)</f>
        <v>0</v>
      </c>
      <c r="CE73" s="8" cm="1">
        <f t="array" ref="CE73">SUMPRODUCT(TRANSPOSE(CE$2:CE$15),$I73:$V73)</f>
        <v>0</v>
      </c>
      <c r="CF73" s="8" cm="1">
        <f t="array" ref="CF73">SUMPRODUCT(TRANSPOSE(CF$2:CF$15),$I73:$V73)</f>
        <v>0</v>
      </c>
      <c r="CG73" s="8" cm="1">
        <f t="array" ref="CG73">SUMPRODUCT(TRANSPOSE(CG$2:CG$15),$I73:$V73)</f>
        <v>0</v>
      </c>
      <c r="CH73" s="8" cm="1">
        <f t="array" ref="CH73">SUMPRODUCT(TRANSPOSE(CH$2:CH$15),$I73:$V73)</f>
        <v>0</v>
      </c>
      <c r="CI73" s="8" cm="1">
        <f t="array" ref="CI73">SUMPRODUCT(TRANSPOSE(CI$2:CI$15),$I73:$V73)</f>
        <v>400</v>
      </c>
      <c r="CJ73" s="8" cm="1">
        <f t="array" ref="CJ73">SUMPRODUCT(TRANSPOSE(CJ$2:CJ$15),$I73:$V73)</f>
        <v>600</v>
      </c>
      <c r="CK73" s="8" cm="1">
        <f t="array" ref="CK73">SUMPRODUCT(TRANSPOSE(CK$2:CK$15),$I73:$V73)</f>
        <v>1000</v>
      </c>
      <c r="CL73" s="8" cm="1">
        <f t="array" ref="CL73">SUMPRODUCT(TRANSPOSE(CL$2:CL$15),$I73:$V73)</f>
        <v>840</v>
      </c>
      <c r="CM73" s="8" cm="1">
        <f t="array" ref="CM73">SUMPRODUCT(TRANSPOSE(CM$2:CM$15),$I73:$V73)</f>
        <v>800</v>
      </c>
      <c r="CN73" s="8" cm="1">
        <f t="array" ref="CN73">SUMPRODUCT(TRANSPOSE(CN$2:CN$15),$I73:$V73)</f>
        <v>700</v>
      </c>
      <c r="CO73" s="8" cm="1">
        <f t="array" ref="CO73">SUMPRODUCT(TRANSPOSE(CO$2:CO$15),$I73:$V73)</f>
        <v>1080</v>
      </c>
      <c r="CP73" s="8" cm="1">
        <f t="array" ref="CP73">SUMPRODUCT(TRANSPOSE(CP$2:CP$15),$I73:$V73)</f>
        <v>1000</v>
      </c>
      <c r="CQ73" s="8" cm="1">
        <f t="array" ref="CQ73">SUMPRODUCT(TRANSPOSE(CQ$2:CQ$15),$I73:$V73)</f>
        <v>0</v>
      </c>
    </row>
    <row r="74" spans="1:95" s="8" customFormat="1" x14ac:dyDescent="0.25">
      <c r="A74" s="1">
        <v>227</v>
      </c>
      <c r="B74" s="11" t="s">
        <v>212</v>
      </c>
      <c r="C74" s="1" t="s">
        <v>49</v>
      </c>
      <c r="D74" s="1">
        <v>405852894</v>
      </c>
      <c r="E74" s="6">
        <f>VLOOKUP(D74,FFF!$A$2:$B$674,2,)</f>
        <v>405876630</v>
      </c>
      <c r="F74" s="1" t="s">
        <v>213</v>
      </c>
      <c r="G74" s="1" t="s">
        <v>35</v>
      </c>
      <c r="H74" s="1">
        <v>2</v>
      </c>
      <c r="I74" s="1">
        <v>0</v>
      </c>
      <c r="J74" s="1">
        <v>0</v>
      </c>
      <c r="K74" s="1">
        <v>0</v>
      </c>
      <c r="L74" s="1">
        <v>0</v>
      </c>
      <c r="M74" s="1">
        <v>1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1</v>
      </c>
      <c r="W74" s="1">
        <f>SUMPRODUCT(I74:V74,$I$13:$V$13)</f>
        <v>3210</v>
      </c>
      <c r="X74" s="6">
        <f t="shared" si="2"/>
        <v>16.28</v>
      </c>
      <c r="Y74" s="1" t="str">
        <f>VLOOKUP(D74,[1]PARTS!$A$1:$G$65536,7,0)</f>
        <v>LATTICE SEMICONDUCTOR CORPORATION</v>
      </c>
      <c r="Z74" s="1">
        <v>500</v>
      </c>
      <c r="AA74" s="1">
        <f>VLOOKUP(D74,[2]pareto!$D$12:$AX$306,45,0)</f>
        <v>1250</v>
      </c>
      <c r="AB74" s="1">
        <f>CEILING(W74,Z74)</f>
        <v>3500</v>
      </c>
      <c r="AC74" s="1">
        <f>VLOOKUP(D74,[2]pareto!$D$12:$AX$306,47,0)</f>
        <v>8.14</v>
      </c>
      <c r="AD74" s="1" t="s">
        <v>85</v>
      </c>
      <c r="AE74" s="1" t="s">
        <v>86</v>
      </c>
      <c r="AF74" s="19" t="s">
        <v>87</v>
      </c>
      <c r="AG74" s="1" t="s">
        <v>88</v>
      </c>
      <c r="AH74" s="1"/>
      <c r="BG74" s="8">
        <f>SUM($BB74,$AI74:AI74)-SUM($BY74:BZ74)</f>
        <v>0</v>
      </c>
      <c r="BH74" s="8">
        <f>SUM($BB74,$AI74:AJ74)-SUM($BY74:CA74)</f>
        <v>0</v>
      </c>
      <c r="BI74" s="8">
        <f>SUM($BB74,$AI74:AK74)-SUM($BY74:CB74)</f>
        <v>0</v>
      </c>
      <c r="BJ74" s="8">
        <f>SUM($BB74,$AI74:AL74)-SUM($BY74:CC74)</f>
        <v>0</v>
      </c>
      <c r="BK74" s="8">
        <f>SUM($BB74,$AI74:AM74)-SUM($BY74:CD74)</f>
        <v>0</v>
      </c>
      <c r="BL74" s="8">
        <f>SUM($BB74,$AI74:AN74)-SUM($BY74:CE74)</f>
        <v>0</v>
      </c>
      <c r="BM74" s="8">
        <f>SUM($BB74,$AI74:AO74)-SUM($BY74:CF74)</f>
        <v>0</v>
      </c>
      <c r="BN74" s="8">
        <f>SUM($BB74,$AI74:AP74)-SUM($BY74:CG74)</f>
        <v>-100</v>
      </c>
      <c r="BO74" s="8">
        <f>SUM($BB74,$AI74:AQ74)-SUM($BY74:CH74)</f>
        <v>-350</v>
      </c>
      <c r="BP74" s="8">
        <f>SUM($BB74,$AI74:AR74)-SUM($BY74:CI74)</f>
        <v>-750</v>
      </c>
      <c r="BQ74" s="8">
        <f>SUM($BB74,$AI74:AS74)-SUM($BY74:CJ74)</f>
        <v>-1220</v>
      </c>
      <c r="BR74" s="8">
        <f>SUM($BB74,$AI74:AT74)-SUM($BY74:CK74)</f>
        <v>-1620</v>
      </c>
      <c r="BS74" s="8">
        <f>SUM($BB74,$AI74:AU74)-SUM($BY74:CL74)</f>
        <v>-1970</v>
      </c>
      <c r="BT74" s="8">
        <f>SUM($BB74,$AI74:AV74)-SUM($BY74:CM74)</f>
        <v>-2410</v>
      </c>
      <c r="BU74" s="8">
        <f>SUM($BB74,$AI74:AW74)-SUM($BY74:CN74)</f>
        <v>-2950</v>
      </c>
      <c r="BV74" s="8">
        <f>SUM($BB74,$AI74:AX74)-SUM($BY74:CO74)</f>
        <v>-3210</v>
      </c>
      <c r="BW74" s="8">
        <f>SUM($BB74,$AI74:AY74)-SUM($BY74:CP74)</f>
        <v>-3210</v>
      </c>
      <c r="BX74" s="8">
        <f>SUM($BB74,$AI74:AZ74)-SUM($BY74:CQ74)</f>
        <v>-3210</v>
      </c>
      <c r="BY74" s="8" cm="1">
        <f t="array" ref="BY74">SUMPRODUCT(TRANSPOSE(BY$2:BY$15),$I74:$V74)</f>
        <v>0</v>
      </c>
      <c r="BZ74" s="8" cm="1">
        <f t="array" ref="BZ74">SUMPRODUCT(TRANSPOSE(BZ$2:BZ$15),$I74:$V74)</f>
        <v>0</v>
      </c>
      <c r="CA74" s="8" cm="1">
        <f t="array" ref="CA74">SUMPRODUCT(TRANSPOSE(CA$2:CA$15),$I74:$V74)</f>
        <v>0</v>
      </c>
      <c r="CB74" s="8" cm="1">
        <f t="array" ref="CB74">SUMPRODUCT(TRANSPOSE(CB$2:CB$15),$I74:$V74)</f>
        <v>0</v>
      </c>
      <c r="CC74" s="8" cm="1">
        <f t="array" ref="CC74">SUMPRODUCT(TRANSPOSE(CC$2:CC$15),$I74:$V74)</f>
        <v>0</v>
      </c>
      <c r="CD74" s="8" cm="1">
        <f t="array" ref="CD74">SUMPRODUCT(TRANSPOSE(CD$2:CD$15),$I74:$V74)</f>
        <v>0</v>
      </c>
      <c r="CE74" s="8" cm="1">
        <f t="array" ref="CE74">SUMPRODUCT(TRANSPOSE(CE$2:CE$15),$I74:$V74)</f>
        <v>0</v>
      </c>
      <c r="CF74" s="8" cm="1">
        <f t="array" ref="CF74">SUMPRODUCT(TRANSPOSE(CF$2:CF$15),$I74:$V74)</f>
        <v>0</v>
      </c>
      <c r="CG74" s="8" cm="1">
        <f t="array" ref="CG74">SUMPRODUCT(TRANSPOSE(CG$2:CG$15),$I74:$V74)</f>
        <v>100</v>
      </c>
      <c r="CH74" s="8" cm="1">
        <f t="array" ref="CH74">SUMPRODUCT(TRANSPOSE(CH$2:CH$15),$I74:$V74)</f>
        <v>250</v>
      </c>
      <c r="CI74" s="8" cm="1">
        <f t="array" ref="CI74">SUMPRODUCT(TRANSPOSE(CI$2:CI$15),$I74:$V74)</f>
        <v>400</v>
      </c>
      <c r="CJ74" s="8" cm="1">
        <f t="array" ref="CJ74">SUMPRODUCT(TRANSPOSE(CJ$2:CJ$15),$I74:$V74)</f>
        <v>470</v>
      </c>
      <c r="CK74" s="8" cm="1">
        <f t="array" ref="CK74">SUMPRODUCT(TRANSPOSE(CK$2:CK$15),$I74:$V74)</f>
        <v>400</v>
      </c>
      <c r="CL74" s="8" cm="1">
        <f t="array" ref="CL74">SUMPRODUCT(TRANSPOSE(CL$2:CL$15),$I74:$V74)</f>
        <v>350</v>
      </c>
      <c r="CM74" s="8" cm="1">
        <f t="array" ref="CM74">SUMPRODUCT(TRANSPOSE(CM$2:CM$15),$I74:$V74)</f>
        <v>440</v>
      </c>
      <c r="CN74" s="8" cm="1">
        <f t="array" ref="CN74">SUMPRODUCT(TRANSPOSE(CN$2:CN$15),$I74:$V74)</f>
        <v>540</v>
      </c>
      <c r="CO74" s="8" cm="1">
        <f t="array" ref="CO74">SUMPRODUCT(TRANSPOSE(CO$2:CO$15),$I74:$V74)</f>
        <v>260</v>
      </c>
      <c r="CP74" s="8" cm="1">
        <f t="array" ref="CP74">SUMPRODUCT(TRANSPOSE(CP$2:CP$15),$I74:$V74)</f>
        <v>0</v>
      </c>
      <c r="CQ74" s="8" cm="1">
        <f t="array" ref="CQ74">SUMPRODUCT(TRANSPOSE(CQ$2:CQ$15),$I74:$V74)</f>
        <v>0</v>
      </c>
    </row>
    <row r="75" spans="1:95" s="8" customFormat="1" x14ac:dyDescent="0.25">
      <c r="A75" s="1">
        <v>114</v>
      </c>
      <c r="B75" s="11" t="s">
        <v>214</v>
      </c>
      <c r="C75" s="1" t="s">
        <v>164</v>
      </c>
      <c r="D75" s="1">
        <v>405928170</v>
      </c>
      <c r="E75" s="6"/>
      <c r="F75" s="1" t="s">
        <v>215</v>
      </c>
      <c r="G75" s="1" t="s">
        <v>35</v>
      </c>
      <c r="H75" s="1">
        <v>4</v>
      </c>
      <c r="I75" s="1">
        <v>0</v>
      </c>
      <c r="J75" s="1">
        <v>0</v>
      </c>
      <c r="K75" s="1">
        <v>0</v>
      </c>
      <c r="L75" s="1">
        <v>2</v>
      </c>
      <c r="M75" s="1">
        <v>0</v>
      </c>
      <c r="N75" s="1">
        <v>0</v>
      </c>
      <c r="O75" s="1">
        <v>0</v>
      </c>
      <c r="P75" s="1">
        <v>0</v>
      </c>
      <c r="Q75" s="1">
        <v>2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f>SUMPRODUCT(I75:V75,$I$13:$V$13)</f>
        <v>6420</v>
      </c>
      <c r="X75" s="6">
        <f t="shared" si="2"/>
        <v>9.8800000000000008</v>
      </c>
      <c r="Y75" s="1" t="str">
        <f>VLOOKUP(D75,[1]PARTS!$A$1:$G$65536,7,0)</f>
        <v>MINI-CIRCUITS LABORATORY</v>
      </c>
      <c r="Z75" s="1">
        <v>1</v>
      </c>
      <c r="AA75" s="1">
        <v>6340</v>
      </c>
      <c r="AB75" s="1">
        <f>CEILING(W75,Z75)</f>
        <v>6420</v>
      </c>
      <c r="AC75" s="1">
        <f>VLOOKUP(D75,[2]pareto!$D$12:$AX$306,47,0)</f>
        <v>2.4700000000000002</v>
      </c>
      <c r="AD75" s="1" t="str">
        <f>VLOOKUP(D75,[2]pareto!$D$11:$BD$306,50,0)</f>
        <v>MINI-CIRCUITS LABORATORY</v>
      </c>
      <c r="AE75" s="1" t="s">
        <v>216</v>
      </c>
      <c r="AF75" s="12" t="s">
        <v>217</v>
      </c>
      <c r="AG75" s="1" t="e">
        <f>VLOOKUP(D75,[2]pareto!$D$11:$BD$306,51)</f>
        <v>#REF!</v>
      </c>
      <c r="AH75" s="1"/>
      <c r="BG75" s="8">
        <f>SUM($BB75,$AI75:AI75)-SUM($BY75:BZ75)</f>
        <v>0</v>
      </c>
      <c r="BH75" s="8">
        <f>SUM($BB75,$AI75:AJ75)-SUM($BY75:CA75)</f>
        <v>0</v>
      </c>
      <c r="BI75" s="8">
        <f>SUM($BB75,$AI75:AK75)-SUM($BY75:CB75)</f>
        <v>0</v>
      </c>
      <c r="BJ75" s="8">
        <f>SUM($BB75,$AI75:AL75)-SUM($BY75:CC75)</f>
        <v>0</v>
      </c>
      <c r="BK75" s="8">
        <f>SUM($BB75,$AI75:AM75)-SUM($BY75:CD75)</f>
        <v>0</v>
      </c>
      <c r="BL75" s="8">
        <f>SUM($BB75,$AI75:AN75)-SUM($BY75:CE75)</f>
        <v>0</v>
      </c>
      <c r="BM75" s="8">
        <f>SUM($BB75,$AI75:AO75)-SUM($BY75:CF75)</f>
        <v>0</v>
      </c>
      <c r="BN75" s="8">
        <f>SUM($BB75,$AI75:AP75)-SUM($BY75:CG75)</f>
        <v>-400</v>
      </c>
      <c r="BO75" s="8">
        <f>SUM($BB75,$AI75:AQ75)-SUM($BY75:CH75)</f>
        <v>-1000</v>
      </c>
      <c r="BP75" s="8">
        <f>SUM($BB75,$AI75:AR75)-SUM($BY75:CI75)</f>
        <v>-2000</v>
      </c>
      <c r="BQ75" s="8">
        <f>SUM($BB75,$AI75:AS75)-SUM($BY75:CJ75)</f>
        <v>-2840</v>
      </c>
      <c r="BR75" s="8">
        <f>SUM($BB75,$AI75:AT75)-SUM($BY75:CK75)</f>
        <v>-3640</v>
      </c>
      <c r="BS75" s="8">
        <f>SUM($BB75,$AI75:AU75)-SUM($BY75:CL75)</f>
        <v>-4340</v>
      </c>
      <c r="BT75" s="8">
        <f>SUM($BB75,$AI75:AV75)-SUM($BY75:CM75)</f>
        <v>-5420</v>
      </c>
      <c r="BU75" s="8">
        <f>SUM($BB75,$AI75:AW75)-SUM($BY75:CN75)</f>
        <v>-6420</v>
      </c>
      <c r="BV75" s="8">
        <f>SUM($BB75,$AI75:AX75)-SUM($BY75:CO75)</f>
        <v>-6420</v>
      </c>
      <c r="BW75" s="8">
        <f>SUM($BB75,$AI75:AY75)-SUM($BY75:CP75)</f>
        <v>-6420</v>
      </c>
      <c r="BX75" s="8">
        <f>SUM($BB75,$AI75:AZ75)-SUM($BY75:CQ75)</f>
        <v>-6420</v>
      </c>
      <c r="BY75" s="8" cm="1">
        <f t="array" ref="BY75">SUMPRODUCT(TRANSPOSE(BY$2:BY$15),$I75:$V75)</f>
        <v>0</v>
      </c>
      <c r="BZ75" s="8" cm="1">
        <f t="array" ref="BZ75">SUMPRODUCT(TRANSPOSE(BZ$2:BZ$15),$I75:$V75)</f>
        <v>0</v>
      </c>
      <c r="CA75" s="8" cm="1">
        <f t="array" ref="CA75">SUMPRODUCT(TRANSPOSE(CA$2:CA$15),$I75:$V75)</f>
        <v>0</v>
      </c>
      <c r="CB75" s="8" cm="1">
        <f t="array" ref="CB75">SUMPRODUCT(TRANSPOSE(CB$2:CB$15),$I75:$V75)</f>
        <v>0</v>
      </c>
      <c r="CC75" s="8" cm="1">
        <f t="array" ref="CC75">SUMPRODUCT(TRANSPOSE(CC$2:CC$15),$I75:$V75)</f>
        <v>0</v>
      </c>
      <c r="CD75" s="8" cm="1">
        <f t="array" ref="CD75">SUMPRODUCT(TRANSPOSE(CD$2:CD$15),$I75:$V75)</f>
        <v>0</v>
      </c>
      <c r="CE75" s="8" cm="1">
        <f t="array" ref="CE75">SUMPRODUCT(TRANSPOSE(CE$2:CE$15),$I75:$V75)</f>
        <v>0</v>
      </c>
      <c r="CF75" s="8" cm="1">
        <f t="array" ref="CF75">SUMPRODUCT(TRANSPOSE(CF$2:CF$15),$I75:$V75)</f>
        <v>0</v>
      </c>
      <c r="CG75" s="8" cm="1">
        <f t="array" ref="CG75">SUMPRODUCT(TRANSPOSE(CG$2:CG$15),$I75:$V75)</f>
        <v>400</v>
      </c>
      <c r="CH75" s="8" cm="1">
        <f t="array" ref="CH75">SUMPRODUCT(TRANSPOSE(CH$2:CH$15),$I75:$V75)</f>
        <v>600</v>
      </c>
      <c r="CI75" s="8" cm="1">
        <f t="array" ref="CI75">SUMPRODUCT(TRANSPOSE(CI$2:CI$15),$I75:$V75)</f>
        <v>1000</v>
      </c>
      <c r="CJ75" s="8" cm="1">
        <f t="array" ref="CJ75">SUMPRODUCT(TRANSPOSE(CJ$2:CJ$15),$I75:$V75)</f>
        <v>840</v>
      </c>
      <c r="CK75" s="8" cm="1">
        <f t="array" ref="CK75">SUMPRODUCT(TRANSPOSE(CK$2:CK$15),$I75:$V75)</f>
        <v>800</v>
      </c>
      <c r="CL75" s="8" cm="1">
        <f t="array" ref="CL75">SUMPRODUCT(TRANSPOSE(CL$2:CL$15),$I75:$V75)</f>
        <v>700</v>
      </c>
      <c r="CM75" s="8" cm="1">
        <f t="array" ref="CM75">SUMPRODUCT(TRANSPOSE(CM$2:CM$15),$I75:$V75)</f>
        <v>1080</v>
      </c>
      <c r="CN75" s="8" cm="1">
        <f t="array" ref="CN75">SUMPRODUCT(TRANSPOSE(CN$2:CN$15),$I75:$V75)</f>
        <v>1000</v>
      </c>
      <c r="CO75" s="8" cm="1">
        <f t="array" ref="CO75">SUMPRODUCT(TRANSPOSE(CO$2:CO$15),$I75:$V75)</f>
        <v>0</v>
      </c>
      <c r="CP75" s="8" cm="1">
        <f t="array" ref="CP75">SUMPRODUCT(TRANSPOSE(CP$2:CP$15),$I75:$V75)</f>
        <v>0</v>
      </c>
      <c r="CQ75" s="8" cm="1">
        <f t="array" ref="CQ75">SUMPRODUCT(TRANSPOSE(CQ$2:CQ$15),$I75:$V75)</f>
        <v>0</v>
      </c>
    </row>
    <row r="76" spans="1:95" x14ac:dyDescent="0.25">
      <c r="A76" s="1">
        <v>53</v>
      </c>
      <c r="B76" s="11" t="s">
        <v>218</v>
      </c>
      <c r="C76" s="1" t="s">
        <v>68</v>
      </c>
      <c r="D76" s="1">
        <v>412298871</v>
      </c>
      <c r="E76" s="6"/>
      <c r="F76" s="1" t="s">
        <v>219</v>
      </c>
      <c r="G76" s="1" t="s">
        <v>35</v>
      </c>
      <c r="H76" s="1">
        <v>4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4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f>SUMPRODUCT(I76:V76,$I$13:$V$13)</f>
        <v>6640</v>
      </c>
      <c r="X76" s="6">
        <f t="shared" si="2"/>
        <v>9.0399999999999991</v>
      </c>
      <c r="Y76" s="1" t="str">
        <f>VLOOKUP(D76,[1]PARTS!$A$1:$G$65536,7,0)</f>
        <v/>
      </c>
      <c r="Z76" s="1">
        <v>1</v>
      </c>
      <c r="AA76" s="1">
        <v>6560</v>
      </c>
      <c r="AB76" s="1">
        <f>CEILING(W76,Z76)</f>
        <v>6640</v>
      </c>
      <c r="AC76" s="1">
        <f>VLOOKUP(D76,[2]pareto!$D$12:$AX$306,47,0)</f>
        <v>2.2599999999999998</v>
      </c>
      <c r="AD76" s="1" t="s">
        <v>70</v>
      </c>
      <c r="AE76" s="1" t="s">
        <v>70</v>
      </c>
      <c r="AF76" s="1" t="str">
        <f>VLOOKUP(D76,[2]pareto!$D$11:$BD$306,52,0)</f>
        <v>tnp@wave-mechanics.com</v>
      </c>
      <c r="AG76" s="1" t="e">
        <f>VLOOKUP(D76,[2]pareto!$D$11:$BD$306,51)</f>
        <v>#REF!</v>
      </c>
      <c r="BG76" s="8">
        <f>SUM($BB76,$AI76:AI76)-SUM($BY76:BZ76)</f>
        <v>0</v>
      </c>
      <c r="BH76" s="8">
        <f>SUM($BB76,$AI76:AJ76)-SUM($BY76:CA76)</f>
        <v>0</v>
      </c>
      <c r="BI76" s="8">
        <f>SUM($BB76,$AI76:AK76)-SUM($BY76:CB76)</f>
        <v>0</v>
      </c>
      <c r="BJ76" s="8">
        <f>SUM($BB76,$AI76:AL76)-SUM($BY76:CC76)</f>
        <v>0</v>
      </c>
      <c r="BK76" s="8">
        <f>SUM($BB76,$AI76:AM76)-SUM($BY76:CD76)</f>
        <v>0</v>
      </c>
      <c r="BL76" s="8">
        <f>SUM($BB76,$AI76:AN76)-SUM($BY76:CE76)</f>
        <v>0</v>
      </c>
      <c r="BM76" s="8">
        <f>SUM($BB76,$AI76:AO76)-SUM($BY76:CF76)</f>
        <v>0</v>
      </c>
      <c r="BN76" s="8">
        <f>SUM($BB76,$AI76:AP76)-SUM($BY76:CG76)</f>
        <v>0</v>
      </c>
      <c r="BO76" s="8">
        <f>SUM($BB76,$AI76:AQ76)-SUM($BY76:CH76)</f>
        <v>-400</v>
      </c>
      <c r="BP76" s="8">
        <f>SUM($BB76,$AI76:AR76)-SUM($BY76:CI76)</f>
        <v>-1000</v>
      </c>
      <c r="BQ76" s="8">
        <f>SUM($BB76,$AI76:AS76)-SUM($BY76:CJ76)</f>
        <v>-2000</v>
      </c>
      <c r="BR76" s="8">
        <f>SUM($BB76,$AI76:AT76)-SUM($BY76:CK76)</f>
        <v>-2800</v>
      </c>
      <c r="BS76" s="8">
        <f>SUM($BB76,$AI76:AU76)-SUM($BY76:CL76)</f>
        <v>-3600</v>
      </c>
      <c r="BT76" s="8">
        <f>SUM($BB76,$AI76:AV76)-SUM($BY76:CM76)</f>
        <v>-4400</v>
      </c>
      <c r="BU76" s="8">
        <f>SUM($BB76,$AI76:AW76)-SUM($BY76:CN76)</f>
        <v>-5600</v>
      </c>
      <c r="BV76" s="8">
        <f>SUM($BB76,$AI76:AX76)-SUM($BY76:CO76)</f>
        <v>-6640</v>
      </c>
      <c r="BW76" s="8">
        <f>SUM($BB76,$AI76:AY76)-SUM($BY76:CP76)</f>
        <v>-6640</v>
      </c>
      <c r="BX76" s="8">
        <f>SUM($BB76,$AI76:AZ76)-SUM($BY76:CQ76)</f>
        <v>-6640</v>
      </c>
      <c r="BY76" s="8" cm="1">
        <f t="array" ref="BY76">SUMPRODUCT(TRANSPOSE(BY$2:BY$15),$I76:$V76)</f>
        <v>0</v>
      </c>
      <c r="BZ76" s="8" cm="1">
        <f t="array" ref="BZ76">SUMPRODUCT(TRANSPOSE(BZ$2:BZ$15),$I76:$V76)</f>
        <v>0</v>
      </c>
      <c r="CA76" s="8" cm="1">
        <f t="array" ref="CA76">SUMPRODUCT(TRANSPOSE(CA$2:CA$15),$I76:$V76)</f>
        <v>0</v>
      </c>
      <c r="CB76" s="8" cm="1">
        <f t="array" ref="CB76">SUMPRODUCT(TRANSPOSE(CB$2:CB$15),$I76:$V76)</f>
        <v>0</v>
      </c>
      <c r="CC76" s="8" cm="1">
        <f t="array" ref="CC76">SUMPRODUCT(TRANSPOSE(CC$2:CC$15),$I76:$V76)</f>
        <v>0</v>
      </c>
      <c r="CD76" s="8" cm="1">
        <f t="array" ref="CD76">SUMPRODUCT(TRANSPOSE(CD$2:CD$15),$I76:$V76)</f>
        <v>0</v>
      </c>
      <c r="CE76" s="8" cm="1">
        <f t="array" ref="CE76">SUMPRODUCT(TRANSPOSE(CE$2:CE$15),$I76:$V76)</f>
        <v>0</v>
      </c>
      <c r="CF76" s="8" cm="1">
        <f t="array" ref="CF76">SUMPRODUCT(TRANSPOSE(CF$2:CF$15),$I76:$V76)</f>
        <v>0</v>
      </c>
      <c r="CG76" s="8" cm="1">
        <f t="array" ref="CG76">SUMPRODUCT(TRANSPOSE(CG$2:CG$15),$I76:$V76)</f>
        <v>0</v>
      </c>
      <c r="CH76" s="8" cm="1">
        <f t="array" ref="CH76">SUMPRODUCT(TRANSPOSE(CH$2:CH$15),$I76:$V76)</f>
        <v>400</v>
      </c>
      <c r="CI76" s="8" cm="1">
        <f t="array" ref="CI76">SUMPRODUCT(TRANSPOSE(CI$2:CI$15),$I76:$V76)</f>
        <v>600</v>
      </c>
      <c r="CJ76" s="8" cm="1">
        <f t="array" ref="CJ76">SUMPRODUCT(TRANSPOSE(CJ$2:CJ$15),$I76:$V76)</f>
        <v>1000</v>
      </c>
      <c r="CK76" s="8" cm="1">
        <f t="array" ref="CK76">SUMPRODUCT(TRANSPOSE(CK$2:CK$15),$I76:$V76)</f>
        <v>800</v>
      </c>
      <c r="CL76" s="8" cm="1">
        <f t="array" ref="CL76">SUMPRODUCT(TRANSPOSE(CL$2:CL$15),$I76:$V76)</f>
        <v>800</v>
      </c>
      <c r="CM76" s="8" cm="1">
        <f t="array" ref="CM76">SUMPRODUCT(TRANSPOSE(CM$2:CM$15),$I76:$V76)</f>
        <v>800</v>
      </c>
      <c r="CN76" s="8" cm="1">
        <f t="array" ref="CN76">SUMPRODUCT(TRANSPOSE(CN$2:CN$15),$I76:$V76)</f>
        <v>1200</v>
      </c>
      <c r="CO76" s="8" cm="1">
        <f t="array" ref="CO76">SUMPRODUCT(TRANSPOSE(CO$2:CO$15),$I76:$V76)</f>
        <v>1040</v>
      </c>
      <c r="CP76" s="8" cm="1">
        <f t="array" ref="CP76">SUMPRODUCT(TRANSPOSE(CP$2:CP$15),$I76:$V76)</f>
        <v>0</v>
      </c>
      <c r="CQ76" s="8" cm="1">
        <f t="array" ref="CQ76">SUMPRODUCT(TRANSPOSE(CQ$2:CQ$15),$I76:$V76)</f>
        <v>0</v>
      </c>
    </row>
    <row r="77" spans="1:95" x14ac:dyDescent="0.25">
      <c r="A77" s="1">
        <v>81</v>
      </c>
      <c r="B77" s="11" t="s">
        <v>220</v>
      </c>
      <c r="C77" s="1" t="s">
        <v>49</v>
      </c>
      <c r="D77" s="1">
        <v>404492219</v>
      </c>
      <c r="E77" s="6"/>
      <c r="F77" s="1" t="s">
        <v>221</v>
      </c>
      <c r="G77" s="1" t="s">
        <v>35</v>
      </c>
      <c r="H77" s="1">
        <v>4</v>
      </c>
      <c r="I77" s="1">
        <v>0</v>
      </c>
      <c r="J77" s="1">
        <v>0</v>
      </c>
      <c r="K77" s="1">
        <v>0</v>
      </c>
      <c r="L77" s="1">
        <v>2</v>
      </c>
      <c r="M77" s="1">
        <v>0</v>
      </c>
      <c r="N77" s="1">
        <v>0</v>
      </c>
      <c r="O77" s="1">
        <v>0</v>
      </c>
      <c r="P77" s="1">
        <v>0</v>
      </c>
      <c r="Q77" s="1">
        <v>2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f>SUMPRODUCT(I77:V77,$I$13:$V$13)</f>
        <v>6420</v>
      </c>
      <c r="X77" s="6">
        <f t="shared" si="2"/>
        <v>13.24</v>
      </c>
      <c r="Y77" s="1" t="str">
        <f>VLOOKUP(D77,[1]PARTS!$A$1:$G$65536,7,0)</f>
        <v>ROSENBERGER</v>
      </c>
      <c r="Z77" s="1">
        <v>1</v>
      </c>
      <c r="AA77" s="1">
        <v>6340</v>
      </c>
      <c r="AB77" s="1">
        <f>CEILING(W77,Z77)</f>
        <v>6420</v>
      </c>
      <c r="AC77" s="1">
        <f>VLOOKUP(D77,[2]pareto!$D$12:$AX$306,47,0)</f>
        <v>3.31</v>
      </c>
      <c r="AD77" s="1" t="s">
        <v>122</v>
      </c>
      <c r="AE77" s="1" t="s">
        <v>123</v>
      </c>
      <c r="AF77" s="12" t="s">
        <v>124</v>
      </c>
      <c r="AG77" s="1" t="e">
        <f>VLOOKUP(D77,[2]pareto!$D$11:$BD$306,51)</f>
        <v>#REF!</v>
      </c>
      <c r="BG77" s="8">
        <f>SUM($BB77,$AI77:AI77)-SUM($BY77:BZ77)</f>
        <v>0</v>
      </c>
      <c r="BH77" s="8">
        <f>SUM($BB77,$AI77:AJ77)-SUM($BY77:CA77)</f>
        <v>0</v>
      </c>
      <c r="BI77" s="8">
        <f>SUM($BB77,$AI77:AK77)-SUM($BY77:CB77)</f>
        <v>0</v>
      </c>
      <c r="BJ77" s="8">
        <f>SUM($BB77,$AI77:AL77)-SUM($BY77:CC77)</f>
        <v>0</v>
      </c>
      <c r="BK77" s="8">
        <f>SUM($BB77,$AI77:AM77)-SUM($BY77:CD77)</f>
        <v>0</v>
      </c>
      <c r="BL77" s="8">
        <f>SUM($BB77,$AI77:AN77)-SUM($BY77:CE77)</f>
        <v>0</v>
      </c>
      <c r="BM77" s="8">
        <f>SUM($BB77,$AI77:AO77)-SUM($BY77:CF77)</f>
        <v>0</v>
      </c>
      <c r="BN77" s="8">
        <f>SUM($BB77,$AI77:AP77)-SUM($BY77:CG77)</f>
        <v>-400</v>
      </c>
      <c r="BO77" s="8">
        <f>SUM($BB77,$AI77:AQ77)-SUM($BY77:CH77)</f>
        <v>-1000</v>
      </c>
      <c r="BP77" s="8">
        <f>SUM($BB77,$AI77:AR77)-SUM($BY77:CI77)</f>
        <v>-2000</v>
      </c>
      <c r="BQ77" s="8">
        <f>SUM($BB77,$AI77:AS77)-SUM($BY77:CJ77)</f>
        <v>-2840</v>
      </c>
      <c r="BR77" s="8">
        <f>SUM($BB77,$AI77:AT77)-SUM($BY77:CK77)</f>
        <v>-3640</v>
      </c>
      <c r="BS77" s="8">
        <f>SUM($BB77,$AI77:AU77)-SUM($BY77:CL77)</f>
        <v>-4340</v>
      </c>
      <c r="BT77" s="8">
        <f>SUM($BB77,$AI77:AV77)-SUM($BY77:CM77)</f>
        <v>-5420</v>
      </c>
      <c r="BU77" s="8">
        <f>SUM($BB77,$AI77:AW77)-SUM($BY77:CN77)</f>
        <v>-6420</v>
      </c>
      <c r="BV77" s="8">
        <f>SUM($BB77,$AI77:AX77)-SUM($BY77:CO77)</f>
        <v>-6420</v>
      </c>
      <c r="BW77" s="8">
        <f>SUM($BB77,$AI77:AY77)-SUM($BY77:CP77)</f>
        <v>-6420</v>
      </c>
      <c r="BX77" s="8">
        <f>SUM($BB77,$AI77:AZ77)-SUM($BY77:CQ77)</f>
        <v>-6420</v>
      </c>
      <c r="BY77" s="8" cm="1">
        <f t="array" ref="BY77">SUMPRODUCT(TRANSPOSE(BY$2:BY$15),$I77:$V77)</f>
        <v>0</v>
      </c>
      <c r="BZ77" s="8" cm="1">
        <f t="array" ref="BZ77">SUMPRODUCT(TRANSPOSE(BZ$2:BZ$15),$I77:$V77)</f>
        <v>0</v>
      </c>
      <c r="CA77" s="8" cm="1">
        <f t="array" ref="CA77">SUMPRODUCT(TRANSPOSE(CA$2:CA$15),$I77:$V77)</f>
        <v>0</v>
      </c>
      <c r="CB77" s="8" cm="1">
        <f t="array" ref="CB77">SUMPRODUCT(TRANSPOSE(CB$2:CB$15),$I77:$V77)</f>
        <v>0</v>
      </c>
      <c r="CC77" s="8" cm="1">
        <f t="array" ref="CC77">SUMPRODUCT(TRANSPOSE(CC$2:CC$15),$I77:$V77)</f>
        <v>0</v>
      </c>
      <c r="CD77" s="8" cm="1">
        <f t="array" ref="CD77">SUMPRODUCT(TRANSPOSE(CD$2:CD$15),$I77:$V77)</f>
        <v>0</v>
      </c>
      <c r="CE77" s="8" cm="1">
        <f t="array" ref="CE77">SUMPRODUCT(TRANSPOSE(CE$2:CE$15),$I77:$V77)</f>
        <v>0</v>
      </c>
      <c r="CF77" s="8" cm="1">
        <f t="array" ref="CF77">SUMPRODUCT(TRANSPOSE(CF$2:CF$15),$I77:$V77)</f>
        <v>0</v>
      </c>
      <c r="CG77" s="8" cm="1">
        <f t="array" ref="CG77">SUMPRODUCT(TRANSPOSE(CG$2:CG$15),$I77:$V77)</f>
        <v>400</v>
      </c>
      <c r="CH77" s="8" cm="1">
        <f t="array" ref="CH77">SUMPRODUCT(TRANSPOSE(CH$2:CH$15),$I77:$V77)</f>
        <v>600</v>
      </c>
      <c r="CI77" s="8" cm="1">
        <f t="array" ref="CI77">SUMPRODUCT(TRANSPOSE(CI$2:CI$15),$I77:$V77)</f>
        <v>1000</v>
      </c>
      <c r="CJ77" s="8" cm="1">
        <f t="array" ref="CJ77">SUMPRODUCT(TRANSPOSE(CJ$2:CJ$15),$I77:$V77)</f>
        <v>840</v>
      </c>
      <c r="CK77" s="8" cm="1">
        <f t="array" ref="CK77">SUMPRODUCT(TRANSPOSE(CK$2:CK$15),$I77:$V77)</f>
        <v>800</v>
      </c>
      <c r="CL77" s="8" cm="1">
        <f t="array" ref="CL77">SUMPRODUCT(TRANSPOSE(CL$2:CL$15),$I77:$V77)</f>
        <v>700</v>
      </c>
      <c r="CM77" s="8" cm="1">
        <f t="array" ref="CM77">SUMPRODUCT(TRANSPOSE(CM$2:CM$15),$I77:$V77)</f>
        <v>1080</v>
      </c>
      <c r="CN77" s="8" cm="1">
        <f t="array" ref="CN77">SUMPRODUCT(TRANSPOSE(CN$2:CN$15),$I77:$V77)</f>
        <v>1000</v>
      </c>
      <c r="CO77" s="8" cm="1">
        <f t="array" ref="CO77">SUMPRODUCT(TRANSPOSE(CO$2:CO$15),$I77:$V77)</f>
        <v>0</v>
      </c>
      <c r="CP77" s="8" cm="1">
        <f t="array" ref="CP77">SUMPRODUCT(TRANSPOSE(CP$2:CP$15),$I77:$V77)</f>
        <v>0</v>
      </c>
      <c r="CQ77" s="8" cm="1">
        <f t="array" ref="CQ77">SUMPRODUCT(TRANSPOSE(CQ$2:CQ$15),$I77:$V77)</f>
        <v>0</v>
      </c>
    </row>
    <row r="78" spans="1:95" x14ac:dyDescent="0.25">
      <c r="A78" s="1">
        <v>40</v>
      </c>
      <c r="B78" s="11" t="s">
        <v>222</v>
      </c>
      <c r="C78" s="1" t="s">
        <v>68</v>
      </c>
      <c r="D78" s="1">
        <v>415607915</v>
      </c>
      <c r="E78" s="6"/>
      <c r="F78" s="1" t="s">
        <v>223</v>
      </c>
      <c r="G78" s="1" t="s">
        <v>35</v>
      </c>
      <c r="H78" s="1">
        <v>1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1</v>
      </c>
      <c r="V78" s="1">
        <v>0</v>
      </c>
      <c r="W78" s="1">
        <f>SUMPRODUCT(I78:V78,$I$13:$V$13)</f>
        <v>1660</v>
      </c>
      <c r="X78" s="6">
        <f t="shared" si="2"/>
        <v>11</v>
      </c>
      <c r="Y78" s="1" t="str">
        <f>VLOOKUP(D78,[1]PARTS!$A$1:$G$65536,7,0)</f>
        <v/>
      </c>
      <c r="Z78" s="1">
        <v>1</v>
      </c>
      <c r="AA78" s="1">
        <v>1640</v>
      </c>
      <c r="AB78" s="1">
        <f>CEILING(W78,Z78)</f>
        <v>1660</v>
      </c>
      <c r="AC78" s="1">
        <f>VLOOKUP(D78,[2]pareto!$D$12:$AX$306,47,0)</f>
        <v>11</v>
      </c>
      <c r="AD78" s="1" t="s">
        <v>146</v>
      </c>
      <c r="AE78" s="1" t="s">
        <v>147</v>
      </c>
      <c r="AF78" s="1" t="str">
        <f>VLOOKUP(D78,[2]pareto!$D$11:$BD$306,52,0)</f>
        <v>avi@gumiyan.co.il</v>
      </c>
      <c r="AG78" s="1" t="s">
        <v>148</v>
      </c>
      <c r="BG78" s="8">
        <f>SUM($BB78,$AI78:AI78)-SUM($BY78:BZ78)</f>
        <v>0</v>
      </c>
      <c r="BH78" s="8">
        <f>SUM($BB78,$AI78:AJ78)-SUM($BY78:CA78)</f>
        <v>0</v>
      </c>
      <c r="BI78" s="8">
        <f>SUM($BB78,$AI78:AK78)-SUM($BY78:CB78)</f>
        <v>0</v>
      </c>
      <c r="BJ78" s="8">
        <f>SUM($BB78,$AI78:AL78)-SUM($BY78:CC78)</f>
        <v>0</v>
      </c>
      <c r="BK78" s="8">
        <f>SUM($BB78,$AI78:AM78)-SUM($BY78:CD78)</f>
        <v>0</v>
      </c>
      <c r="BL78" s="8">
        <f>SUM($BB78,$AI78:AN78)-SUM($BY78:CE78)</f>
        <v>0</v>
      </c>
      <c r="BM78" s="8">
        <f>SUM($BB78,$AI78:AO78)-SUM($BY78:CF78)</f>
        <v>0</v>
      </c>
      <c r="BN78" s="8">
        <f>SUM($BB78,$AI78:AP78)-SUM($BY78:CG78)</f>
        <v>0</v>
      </c>
      <c r="BO78" s="8">
        <f>SUM($BB78,$AI78:AQ78)-SUM($BY78:CH78)</f>
        <v>-100</v>
      </c>
      <c r="BP78" s="8">
        <f>SUM($BB78,$AI78:AR78)-SUM($BY78:CI78)</f>
        <v>-250</v>
      </c>
      <c r="BQ78" s="8">
        <f>SUM($BB78,$AI78:AS78)-SUM($BY78:CJ78)</f>
        <v>-500</v>
      </c>
      <c r="BR78" s="8">
        <f>SUM($BB78,$AI78:AT78)-SUM($BY78:CK78)</f>
        <v>-700</v>
      </c>
      <c r="BS78" s="8">
        <f>SUM($BB78,$AI78:AU78)-SUM($BY78:CL78)</f>
        <v>-900</v>
      </c>
      <c r="BT78" s="8">
        <f>SUM($BB78,$AI78:AV78)-SUM($BY78:CM78)</f>
        <v>-1100</v>
      </c>
      <c r="BU78" s="8">
        <f>SUM($BB78,$AI78:AW78)-SUM($BY78:CN78)</f>
        <v>-1400</v>
      </c>
      <c r="BV78" s="8">
        <f>SUM($BB78,$AI78:AX78)-SUM($BY78:CO78)</f>
        <v>-1660</v>
      </c>
      <c r="BW78" s="8">
        <f>SUM($BB78,$AI78:AY78)-SUM($BY78:CP78)</f>
        <v>-1660</v>
      </c>
      <c r="BX78" s="8">
        <f>SUM($BB78,$AI78:AZ78)-SUM($BY78:CQ78)</f>
        <v>-1660</v>
      </c>
      <c r="BY78" s="8" cm="1">
        <f t="array" ref="BY78">SUMPRODUCT(TRANSPOSE(BY$2:BY$15),$I78:$V78)</f>
        <v>0</v>
      </c>
      <c r="BZ78" s="8" cm="1">
        <f t="array" ref="BZ78">SUMPRODUCT(TRANSPOSE(BZ$2:BZ$15),$I78:$V78)</f>
        <v>0</v>
      </c>
      <c r="CA78" s="8" cm="1">
        <f t="array" ref="CA78">SUMPRODUCT(TRANSPOSE(CA$2:CA$15),$I78:$V78)</f>
        <v>0</v>
      </c>
      <c r="CB78" s="8" cm="1">
        <f t="array" ref="CB78">SUMPRODUCT(TRANSPOSE(CB$2:CB$15),$I78:$V78)</f>
        <v>0</v>
      </c>
      <c r="CC78" s="8" cm="1">
        <f t="array" ref="CC78">SUMPRODUCT(TRANSPOSE(CC$2:CC$15),$I78:$V78)</f>
        <v>0</v>
      </c>
      <c r="CD78" s="8" cm="1">
        <f t="array" ref="CD78">SUMPRODUCT(TRANSPOSE(CD$2:CD$15),$I78:$V78)</f>
        <v>0</v>
      </c>
      <c r="CE78" s="8" cm="1">
        <f t="array" ref="CE78">SUMPRODUCT(TRANSPOSE(CE$2:CE$15),$I78:$V78)</f>
        <v>0</v>
      </c>
      <c r="CF78" s="8" cm="1">
        <f t="array" ref="CF78">SUMPRODUCT(TRANSPOSE(CF$2:CF$15),$I78:$V78)</f>
        <v>0</v>
      </c>
      <c r="CG78" s="8" cm="1">
        <f t="array" ref="CG78">SUMPRODUCT(TRANSPOSE(CG$2:CG$15),$I78:$V78)</f>
        <v>0</v>
      </c>
      <c r="CH78" s="8" cm="1">
        <f t="array" ref="CH78">SUMPRODUCT(TRANSPOSE(CH$2:CH$15),$I78:$V78)</f>
        <v>100</v>
      </c>
      <c r="CI78" s="8" cm="1">
        <f t="array" ref="CI78">SUMPRODUCT(TRANSPOSE(CI$2:CI$15),$I78:$V78)</f>
        <v>150</v>
      </c>
      <c r="CJ78" s="8" cm="1">
        <f t="array" ref="CJ78">SUMPRODUCT(TRANSPOSE(CJ$2:CJ$15),$I78:$V78)</f>
        <v>250</v>
      </c>
      <c r="CK78" s="8" cm="1">
        <f t="array" ref="CK78">SUMPRODUCT(TRANSPOSE(CK$2:CK$15),$I78:$V78)</f>
        <v>200</v>
      </c>
      <c r="CL78" s="8" cm="1">
        <f t="array" ref="CL78">SUMPRODUCT(TRANSPOSE(CL$2:CL$15),$I78:$V78)</f>
        <v>200</v>
      </c>
      <c r="CM78" s="8" cm="1">
        <f t="array" ref="CM78">SUMPRODUCT(TRANSPOSE(CM$2:CM$15),$I78:$V78)</f>
        <v>200</v>
      </c>
      <c r="CN78" s="8" cm="1">
        <f t="array" ref="CN78">SUMPRODUCT(TRANSPOSE(CN$2:CN$15),$I78:$V78)</f>
        <v>300</v>
      </c>
      <c r="CO78" s="8" cm="1">
        <f t="array" ref="CO78">SUMPRODUCT(TRANSPOSE(CO$2:CO$15),$I78:$V78)</f>
        <v>260</v>
      </c>
      <c r="CP78" s="8" cm="1">
        <f t="array" ref="CP78">SUMPRODUCT(TRANSPOSE(CP$2:CP$15),$I78:$V78)</f>
        <v>0</v>
      </c>
      <c r="CQ78" s="8" cm="1">
        <f t="array" ref="CQ78">SUMPRODUCT(TRANSPOSE(CQ$2:CQ$15),$I78:$V78)</f>
        <v>0</v>
      </c>
    </row>
    <row r="79" spans="1:95" x14ac:dyDescent="0.25">
      <c r="A79" s="1">
        <v>25</v>
      </c>
      <c r="B79" s="11" t="s">
        <v>224</v>
      </c>
      <c r="C79" s="1" t="s">
        <v>68</v>
      </c>
      <c r="D79" s="1">
        <v>403572964</v>
      </c>
      <c r="E79" s="6"/>
      <c r="F79" s="1" t="s">
        <v>179</v>
      </c>
      <c r="G79" s="1" t="s">
        <v>35</v>
      </c>
      <c r="H79" s="1">
        <v>2</v>
      </c>
      <c r="I79" s="1">
        <v>0</v>
      </c>
      <c r="J79" s="1">
        <v>0</v>
      </c>
      <c r="K79" s="1">
        <v>1</v>
      </c>
      <c r="L79" s="1">
        <v>0</v>
      </c>
      <c r="M79" s="1">
        <v>0</v>
      </c>
      <c r="N79" s="1">
        <v>0</v>
      </c>
      <c r="O79" s="1">
        <v>0</v>
      </c>
      <c r="P79" s="1">
        <v>1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f>SUMPRODUCT(I79:V79,$I$13:$V$13)</f>
        <v>3210</v>
      </c>
      <c r="X79" s="6">
        <f t="shared" si="2"/>
        <v>6.16</v>
      </c>
      <c r="Y79" s="1" t="str">
        <f>VLOOKUP(D79,[1]PARTS!$A$1:$G$65536,7,0)</f>
        <v/>
      </c>
      <c r="Z79" s="1">
        <v>1</v>
      </c>
      <c r="AA79" s="1">
        <v>3170</v>
      </c>
      <c r="AB79" s="1">
        <f>CEILING(W79,Z79)</f>
        <v>3210</v>
      </c>
      <c r="AC79" s="1">
        <f>VLOOKUP(D79,[2]pareto!$D$12:$AX$306,47,0)</f>
        <v>3.08</v>
      </c>
      <c r="AD79" s="1" t="s">
        <v>70</v>
      </c>
      <c r="AE79" s="1" t="s">
        <v>70</v>
      </c>
      <c r="AF79" s="1" t="str">
        <f>VLOOKUP(D79,[2]pareto!$D$11:$BD$306,52,0)</f>
        <v>tnp@wave-mechanics.com</v>
      </c>
      <c r="AG79" s="1" t="e">
        <f>VLOOKUP(D79,[2]pareto!$D$11:$BD$306,51)</f>
        <v>#REF!</v>
      </c>
      <c r="BG79" s="8">
        <f>SUM($BB79,$AI79:AI79)-SUM($BY79:BZ79)</f>
        <v>0</v>
      </c>
      <c r="BH79" s="8">
        <f>SUM($BB79,$AI79:AJ79)-SUM($BY79:CA79)</f>
        <v>0</v>
      </c>
      <c r="BI79" s="8">
        <f>SUM($BB79,$AI79:AK79)-SUM($BY79:CB79)</f>
        <v>0</v>
      </c>
      <c r="BJ79" s="8">
        <f>SUM($BB79,$AI79:AL79)-SUM($BY79:CC79)</f>
        <v>0</v>
      </c>
      <c r="BK79" s="8">
        <f>SUM($BB79,$AI79:AM79)-SUM($BY79:CD79)</f>
        <v>0</v>
      </c>
      <c r="BL79" s="8">
        <f>SUM($BB79,$AI79:AN79)-SUM($BY79:CE79)</f>
        <v>0</v>
      </c>
      <c r="BM79" s="8">
        <f>SUM($BB79,$AI79:AO79)-SUM($BY79:CF79)</f>
        <v>0</v>
      </c>
      <c r="BN79" s="8">
        <f>SUM($BB79,$AI79:AP79)-SUM($BY79:CG79)</f>
        <v>0</v>
      </c>
      <c r="BO79" s="8">
        <f>SUM($BB79,$AI79:AQ79)-SUM($BY79:CH79)</f>
        <v>-200</v>
      </c>
      <c r="BP79" s="8">
        <f>SUM($BB79,$AI79:AR79)-SUM($BY79:CI79)</f>
        <v>-500</v>
      </c>
      <c r="BQ79" s="8">
        <f>SUM($BB79,$AI79:AS79)-SUM($BY79:CJ79)</f>
        <v>-1000</v>
      </c>
      <c r="BR79" s="8">
        <f>SUM($BB79,$AI79:AT79)-SUM($BY79:CK79)</f>
        <v>-1420</v>
      </c>
      <c r="BS79" s="8">
        <f>SUM($BB79,$AI79:AU79)-SUM($BY79:CL79)</f>
        <v>-1820</v>
      </c>
      <c r="BT79" s="8">
        <f>SUM($BB79,$AI79:AV79)-SUM($BY79:CM79)</f>
        <v>-2170</v>
      </c>
      <c r="BU79" s="8">
        <f>SUM($BB79,$AI79:AW79)-SUM($BY79:CN79)</f>
        <v>-2710</v>
      </c>
      <c r="BV79" s="8">
        <f>SUM($BB79,$AI79:AX79)-SUM($BY79:CO79)</f>
        <v>-3210</v>
      </c>
      <c r="BW79" s="8">
        <f>SUM($BB79,$AI79:AY79)-SUM($BY79:CP79)</f>
        <v>-3210</v>
      </c>
      <c r="BX79" s="8">
        <f>SUM($BB79,$AI79:AZ79)-SUM($BY79:CQ79)</f>
        <v>-3210</v>
      </c>
      <c r="BY79" s="8" cm="1">
        <f t="array" ref="BY79">SUMPRODUCT(TRANSPOSE(BY$2:BY$15),$I79:$V79)</f>
        <v>0</v>
      </c>
      <c r="BZ79" s="8" cm="1">
        <f t="array" ref="BZ79">SUMPRODUCT(TRANSPOSE(BZ$2:BZ$15),$I79:$V79)</f>
        <v>0</v>
      </c>
      <c r="CA79" s="8" cm="1">
        <f t="array" ref="CA79">SUMPRODUCT(TRANSPOSE(CA$2:CA$15),$I79:$V79)</f>
        <v>0</v>
      </c>
      <c r="CB79" s="8" cm="1">
        <f t="array" ref="CB79">SUMPRODUCT(TRANSPOSE(CB$2:CB$15),$I79:$V79)</f>
        <v>0</v>
      </c>
      <c r="CC79" s="8" cm="1">
        <f t="array" ref="CC79">SUMPRODUCT(TRANSPOSE(CC$2:CC$15),$I79:$V79)</f>
        <v>0</v>
      </c>
      <c r="CD79" s="8" cm="1">
        <f t="array" ref="CD79">SUMPRODUCT(TRANSPOSE(CD$2:CD$15),$I79:$V79)</f>
        <v>0</v>
      </c>
      <c r="CE79" s="8" cm="1">
        <f t="array" ref="CE79">SUMPRODUCT(TRANSPOSE(CE$2:CE$15),$I79:$V79)</f>
        <v>0</v>
      </c>
      <c r="CF79" s="8" cm="1">
        <f t="array" ref="CF79">SUMPRODUCT(TRANSPOSE(CF$2:CF$15),$I79:$V79)</f>
        <v>0</v>
      </c>
      <c r="CG79" s="8" cm="1">
        <f t="array" ref="CG79">SUMPRODUCT(TRANSPOSE(CG$2:CG$15),$I79:$V79)</f>
        <v>0</v>
      </c>
      <c r="CH79" s="8" cm="1">
        <f t="array" ref="CH79">SUMPRODUCT(TRANSPOSE(CH$2:CH$15),$I79:$V79)</f>
        <v>200</v>
      </c>
      <c r="CI79" s="8" cm="1">
        <f t="array" ref="CI79">SUMPRODUCT(TRANSPOSE(CI$2:CI$15),$I79:$V79)</f>
        <v>300</v>
      </c>
      <c r="CJ79" s="8" cm="1">
        <f t="array" ref="CJ79">SUMPRODUCT(TRANSPOSE(CJ$2:CJ$15),$I79:$V79)</f>
        <v>500</v>
      </c>
      <c r="CK79" s="8" cm="1">
        <f t="array" ref="CK79">SUMPRODUCT(TRANSPOSE(CK$2:CK$15),$I79:$V79)</f>
        <v>420</v>
      </c>
      <c r="CL79" s="8" cm="1">
        <f t="array" ref="CL79">SUMPRODUCT(TRANSPOSE(CL$2:CL$15),$I79:$V79)</f>
        <v>400</v>
      </c>
      <c r="CM79" s="8" cm="1">
        <f t="array" ref="CM79">SUMPRODUCT(TRANSPOSE(CM$2:CM$15),$I79:$V79)</f>
        <v>350</v>
      </c>
      <c r="CN79" s="8" cm="1">
        <f t="array" ref="CN79">SUMPRODUCT(TRANSPOSE(CN$2:CN$15),$I79:$V79)</f>
        <v>540</v>
      </c>
      <c r="CO79" s="8" cm="1">
        <f t="array" ref="CO79">SUMPRODUCT(TRANSPOSE(CO$2:CO$15),$I79:$V79)</f>
        <v>500</v>
      </c>
      <c r="CP79" s="8" cm="1">
        <f t="array" ref="CP79">SUMPRODUCT(TRANSPOSE(CP$2:CP$15),$I79:$V79)</f>
        <v>0</v>
      </c>
      <c r="CQ79" s="8" cm="1">
        <f t="array" ref="CQ79">SUMPRODUCT(TRANSPOSE(CQ$2:CQ$15),$I79:$V79)</f>
        <v>0</v>
      </c>
    </row>
    <row r="80" spans="1:95" x14ac:dyDescent="0.25">
      <c r="A80" s="1">
        <v>98</v>
      </c>
      <c r="B80" s="11" t="s">
        <v>225</v>
      </c>
      <c r="C80" s="1" t="s">
        <v>49</v>
      </c>
      <c r="D80" s="1">
        <v>401349548</v>
      </c>
      <c r="E80" s="6">
        <f>VLOOKUP(D80,FFF!$A$2:$B$674,2,)</f>
        <v>421403401</v>
      </c>
      <c r="F80" s="1" t="s">
        <v>226</v>
      </c>
      <c r="G80" s="1" t="s">
        <v>35</v>
      </c>
      <c r="H80" s="1">
        <v>4</v>
      </c>
      <c r="I80" s="1">
        <v>0</v>
      </c>
      <c r="J80" s="1">
        <v>0</v>
      </c>
      <c r="K80" s="1">
        <v>0</v>
      </c>
      <c r="L80" s="1">
        <v>0</v>
      </c>
      <c r="M80" s="1">
        <v>2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2</v>
      </c>
      <c r="W80" s="1">
        <f>SUMPRODUCT(I80:V80,$I$13:$V$13)</f>
        <v>6420</v>
      </c>
      <c r="X80" s="6">
        <f t="shared" si="2"/>
        <v>12.2776</v>
      </c>
      <c r="Y80" s="1" t="str">
        <f>VLOOKUP(D80,[1]PARTS!$A$1:$G$65536,7,0)</f>
        <v>ANALOG DEVICES</v>
      </c>
      <c r="Z80" s="1">
        <v>1000</v>
      </c>
      <c r="AA80" s="1">
        <v>6340</v>
      </c>
      <c r="AB80" s="1">
        <f>CEILING(W80,Z80)</f>
        <v>7000</v>
      </c>
      <c r="AC80" s="1">
        <v>3.0693999999999999</v>
      </c>
      <c r="AD80" s="1" t="s">
        <v>107</v>
      </c>
      <c r="AE80" s="1" t="s">
        <v>108</v>
      </c>
      <c r="AF80" s="19" t="s">
        <v>109</v>
      </c>
      <c r="AG80" s="1" t="s">
        <v>110</v>
      </c>
      <c r="BG80" s="8">
        <f>SUM($BB80,$AI80:AI80)-SUM($BY80:BZ80)</f>
        <v>0</v>
      </c>
      <c r="BH80" s="8">
        <f>SUM($BB80,$AI80:AJ80)-SUM($BY80:CA80)</f>
        <v>0</v>
      </c>
      <c r="BI80" s="8">
        <f>SUM($BB80,$AI80:AK80)-SUM($BY80:CB80)</f>
        <v>0</v>
      </c>
      <c r="BJ80" s="8">
        <f>SUM($BB80,$AI80:AL80)-SUM($BY80:CC80)</f>
        <v>0</v>
      </c>
      <c r="BK80" s="8">
        <f>SUM($BB80,$AI80:AM80)-SUM($BY80:CD80)</f>
        <v>0</v>
      </c>
      <c r="BL80" s="8">
        <f>SUM($BB80,$AI80:AN80)-SUM($BY80:CE80)</f>
        <v>0</v>
      </c>
      <c r="BM80" s="8">
        <f>SUM($BB80,$AI80:AO80)-SUM($BY80:CF80)</f>
        <v>0</v>
      </c>
      <c r="BN80" s="8">
        <f>SUM($BB80,$AI80:AP80)-SUM($BY80:CG80)</f>
        <v>-200</v>
      </c>
      <c r="BO80" s="8">
        <f>SUM($BB80,$AI80:AQ80)-SUM($BY80:CH80)</f>
        <v>-700</v>
      </c>
      <c r="BP80" s="8">
        <f>SUM($BB80,$AI80:AR80)-SUM($BY80:CI80)</f>
        <v>-1500</v>
      </c>
      <c r="BQ80" s="8">
        <f>SUM($BB80,$AI80:AS80)-SUM($BY80:CJ80)</f>
        <v>-2440</v>
      </c>
      <c r="BR80" s="8">
        <f>SUM($BB80,$AI80:AT80)-SUM($BY80:CK80)</f>
        <v>-3240</v>
      </c>
      <c r="BS80" s="8">
        <f>SUM($BB80,$AI80:AU80)-SUM($BY80:CL80)</f>
        <v>-3940</v>
      </c>
      <c r="BT80" s="8">
        <f>SUM($BB80,$AI80:AV80)-SUM($BY80:CM80)</f>
        <v>-4820</v>
      </c>
      <c r="BU80" s="8">
        <f>SUM($BB80,$AI80:AW80)-SUM($BY80:CN80)</f>
        <v>-5900</v>
      </c>
      <c r="BV80" s="8">
        <f>SUM($BB80,$AI80:AX80)-SUM($BY80:CO80)</f>
        <v>-6420</v>
      </c>
      <c r="BW80" s="8">
        <f>SUM($BB80,$AI80:AY80)-SUM($BY80:CP80)</f>
        <v>-6420</v>
      </c>
      <c r="BX80" s="8">
        <f>SUM($BB80,$AI80:AZ80)-SUM($BY80:CQ80)</f>
        <v>-6420</v>
      </c>
      <c r="BY80" s="8" cm="1">
        <f t="array" ref="BY80">SUMPRODUCT(TRANSPOSE(BY$2:BY$15),$I80:$V80)</f>
        <v>0</v>
      </c>
      <c r="BZ80" s="8" cm="1">
        <f t="array" ref="BZ80">SUMPRODUCT(TRANSPOSE(BZ$2:BZ$15),$I80:$V80)</f>
        <v>0</v>
      </c>
      <c r="CA80" s="8" cm="1">
        <f t="array" ref="CA80">SUMPRODUCT(TRANSPOSE(CA$2:CA$15),$I80:$V80)</f>
        <v>0</v>
      </c>
      <c r="CB80" s="8" cm="1">
        <f t="array" ref="CB80">SUMPRODUCT(TRANSPOSE(CB$2:CB$15),$I80:$V80)</f>
        <v>0</v>
      </c>
      <c r="CC80" s="8" cm="1">
        <f t="array" ref="CC80">SUMPRODUCT(TRANSPOSE(CC$2:CC$15),$I80:$V80)</f>
        <v>0</v>
      </c>
      <c r="CD80" s="8" cm="1">
        <f t="array" ref="CD80">SUMPRODUCT(TRANSPOSE(CD$2:CD$15),$I80:$V80)</f>
        <v>0</v>
      </c>
      <c r="CE80" s="8" cm="1">
        <f t="array" ref="CE80">SUMPRODUCT(TRANSPOSE(CE$2:CE$15),$I80:$V80)</f>
        <v>0</v>
      </c>
      <c r="CF80" s="8" cm="1">
        <f t="array" ref="CF80">SUMPRODUCT(TRANSPOSE(CF$2:CF$15),$I80:$V80)</f>
        <v>0</v>
      </c>
      <c r="CG80" s="8" cm="1">
        <f t="array" ref="CG80">SUMPRODUCT(TRANSPOSE(CG$2:CG$15),$I80:$V80)</f>
        <v>200</v>
      </c>
      <c r="CH80" s="8" cm="1">
        <f t="array" ref="CH80">SUMPRODUCT(TRANSPOSE(CH$2:CH$15),$I80:$V80)</f>
        <v>500</v>
      </c>
      <c r="CI80" s="8" cm="1">
        <f t="array" ref="CI80">SUMPRODUCT(TRANSPOSE(CI$2:CI$15),$I80:$V80)</f>
        <v>800</v>
      </c>
      <c r="CJ80" s="8" cm="1">
        <f t="array" ref="CJ80">SUMPRODUCT(TRANSPOSE(CJ$2:CJ$15),$I80:$V80)</f>
        <v>940</v>
      </c>
      <c r="CK80" s="8" cm="1">
        <f t="array" ref="CK80">SUMPRODUCT(TRANSPOSE(CK$2:CK$15),$I80:$V80)</f>
        <v>800</v>
      </c>
      <c r="CL80" s="8" cm="1">
        <f t="array" ref="CL80">SUMPRODUCT(TRANSPOSE(CL$2:CL$15),$I80:$V80)</f>
        <v>700</v>
      </c>
      <c r="CM80" s="8" cm="1">
        <f t="array" ref="CM80">SUMPRODUCT(TRANSPOSE(CM$2:CM$15),$I80:$V80)</f>
        <v>880</v>
      </c>
      <c r="CN80" s="8" cm="1">
        <f t="array" ref="CN80">SUMPRODUCT(TRANSPOSE(CN$2:CN$15),$I80:$V80)</f>
        <v>1080</v>
      </c>
      <c r="CO80" s="8" cm="1">
        <f t="array" ref="CO80">SUMPRODUCT(TRANSPOSE(CO$2:CO$15),$I80:$V80)</f>
        <v>520</v>
      </c>
      <c r="CP80" s="8" cm="1">
        <f t="array" ref="CP80">SUMPRODUCT(TRANSPOSE(CP$2:CP$15),$I80:$V80)</f>
        <v>0</v>
      </c>
      <c r="CQ80" s="8" cm="1">
        <f t="array" ref="CQ80">SUMPRODUCT(TRANSPOSE(CQ$2:CQ$15),$I80:$V80)</f>
        <v>0</v>
      </c>
    </row>
    <row r="81" spans="1:95" x14ac:dyDescent="0.25">
      <c r="A81" s="1">
        <v>302</v>
      </c>
      <c r="B81" s="11" t="s">
        <v>227</v>
      </c>
      <c r="C81" s="1" t="s">
        <v>49</v>
      </c>
      <c r="D81" s="1">
        <v>400793320</v>
      </c>
      <c r="E81" s="6"/>
      <c r="F81" s="1" t="s">
        <v>228</v>
      </c>
      <c r="G81" s="1" t="s">
        <v>35</v>
      </c>
      <c r="H81" s="1">
        <v>2</v>
      </c>
      <c r="I81" s="1">
        <v>0</v>
      </c>
      <c r="J81" s="1">
        <v>0</v>
      </c>
      <c r="K81" s="1">
        <v>0</v>
      </c>
      <c r="L81" s="1">
        <v>1</v>
      </c>
      <c r="M81" s="1">
        <v>0</v>
      </c>
      <c r="N81" s="1">
        <v>0</v>
      </c>
      <c r="O81" s="1">
        <v>0</v>
      </c>
      <c r="P81" s="1">
        <v>0</v>
      </c>
      <c r="Q81" s="1">
        <v>1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f>SUMPRODUCT(I81:V81,$I$13:$V$13)</f>
        <v>3210</v>
      </c>
      <c r="X81" s="6">
        <f t="shared" si="2"/>
        <v>14.975999999999999</v>
      </c>
      <c r="Y81" s="1" t="str">
        <f>VLOOKUP(D81,[1]PARTS!$A$1:$G$65536,7,0)</f>
        <v>SAMTEC</v>
      </c>
      <c r="Z81" s="1">
        <f>VLOOKUP(D81,[2]pareto!$D$12:$AX$306,44,0)</f>
        <v>1</v>
      </c>
      <c r="AA81" s="1">
        <f>VLOOKUP(D81,[2]pareto!$D$12:$AX$306,45,0)</f>
        <v>1</v>
      </c>
      <c r="AB81" s="1">
        <f>CEILING(W81,Z81)</f>
        <v>3210</v>
      </c>
      <c r="AC81" s="1">
        <f>VLOOKUP(D81,[2]pareto!$D$12:$AX$306,47,0)</f>
        <v>7.4879999999999995</v>
      </c>
      <c r="AD81" s="1" t="s">
        <v>85</v>
      </c>
      <c r="AE81" s="1" t="s">
        <v>86</v>
      </c>
      <c r="AF81" s="19" t="s">
        <v>87</v>
      </c>
      <c r="AG81" s="1" t="s">
        <v>88</v>
      </c>
      <c r="BG81" s="8">
        <f>SUM($BB81,$AI81:AI81)-SUM($BY81:BZ81)</f>
        <v>0</v>
      </c>
      <c r="BH81" s="8">
        <f>SUM($BB81,$AI81:AJ81)-SUM($BY81:CA81)</f>
        <v>0</v>
      </c>
      <c r="BI81" s="8">
        <f>SUM($BB81,$AI81:AK81)-SUM($BY81:CB81)</f>
        <v>0</v>
      </c>
      <c r="BJ81" s="8">
        <f>SUM($BB81,$AI81:AL81)-SUM($BY81:CC81)</f>
        <v>0</v>
      </c>
      <c r="BK81" s="8">
        <f>SUM($BB81,$AI81:AM81)-SUM($BY81:CD81)</f>
        <v>0</v>
      </c>
      <c r="BL81" s="8">
        <f>SUM($BB81,$AI81:AN81)-SUM($BY81:CE81)</f>
        <v>0</v>
      </c>
      <c r="BM81" s="8">
        <f>SUM($BB81,$AI81:AO81)-SUM($BY81:CF81)</f>
        <v>0</v>
      </c>
      <c r="BN81" s="8">
        <f>SUM($BB81,$AI81:AP81)-SUM($BY81:CG81)</f>
        <v>-200</v>
      </c>
      <c r="BO81" s="8">
        <f>SUM($BB81,$AI81:AQ81)-SUM($BY81:CH81)</f>
        <v>-500</v>
      </c>
      <c r="BP81" s="8">
        <f>SUM($BB81,$AI81:AR81)-SUM($BY81:CI81)</f>
        <v>-1000</v>
      </c>
      <c r="BQ81" s="8">
        <f>SUM($BB81,$AI81:AS81)-SUM($BY81:CJ81)</f>
        <v>-1420</v>
      </c>
      <c r="BR81" s="8">
        <f>SUM($BB81,$AI81:AT81)-SUM($BY81:CK81)</f>
        <v>-1820</v>
      </c>
      <c r="BS81" s="8">
        <f>SUM($BB81,$AI81:AU81)-SUM($BY81:CL81)</f>
        <v>-2170</v>
      </c>
      <c r="BT81" s="8">
        <f>SUM($BB81,$AI81:AV81)-SUM($BY81:CM81)</f>
        <v>-2710</v>
      </c>
      <c r="BU81" s="8">
        <f>SUM($BB81,$AI81:AW81)-SUM($BY81:CN81)</f>
        <v>-3210</v>
      </c>
      <c r="BV81" s="8">
        <f>SUM($BB81,$AI81:AX81)-SUM($BY81:CO81)</f>
        <v>-3210</v>
      </c>
      <c r="BW81" s="8">
        <f>SUM($BB81,$AI81:AY81)-SUM($BY81:CP81)</f>
        <v>-3210</v>
      </c>
      <c r="BX81" s="8">
        <f>SUM($BB81,$AI81:AZ81)-SUM($BY81:CQ81)</f>
        <v>-3210</v>
      </c>
      <c r="BY81" s="8" cm="1">
        <f t="array" ref="BY81">SUMPRODUCT(TRANSPOSE(BY$2:BY$15),$I81:$V81)</f>
        <v>0</v>
      </c>
      <c r="BZ81" s="8" cm="1">
        <f t="array" ref="BZ81">SUMPRODUCT(TRANSPOSE(BZ$2:BZ$15),$I81:$V81)</f>
        <v>0</v>
      </c>
      <c r="CA81" s="8" cm="1">
        <f t="array" ref="CA81">SUMPRODUCT(TRANSPOSE(CA$2:CA$15),$I81:$V81)</f>
        <v>0</v>
      </c>
      <c r="CB81" s="8" cm="1">
        <f t="array" ref="CB81">SUMPRODUCT(TRANSPOSE(CB$2:CB$15),$I81:$V81)</f>
        <v>0</v>
      </c>
      <c r="CC81" s="8" cm="1">
        <f t="array" ref="CC81">SUMPRODUCT(TRANSPOSE(CC$2:CC$15),$I81:$V81)</f>
        <v>0</v>
      </c>
      <c r="CD81" s="8" cm="1">
        <f t="array" ref="CD81">SUMPRODUCT(TRANSPOSE(CD$2:CD$15),$I81:$V81)</f>
        <v>0</v>
      </c>
      <c r="CE81" s="8" cm="1">
        <f t="array" ref="CE81">SUMPRODUCT(TRANSPOSE(CE$2:CE$15),$I81:$V81)</f>
        <v>0</v>
      </c>
      <c r="CF81" s="8" cm="1">
        <f t="array" ref="CF81">SUMPRODUCT(TRANSPOSE(CF$2:CF$15),$I81:$V81)</f>
        <v>0</v>
      </c>
      <c r="CG81" s="8" cm="1">
        <f t="array" ref="CG81">SUMPRODUCT(TRANSPOSE(CG$2:CG$15),$I81:$V81)</f>
        <v>200</v>
      </c>
      <c r="CH81" s="8" cm="1">
        <f t="array" ref="CH81">SUMPRODUCT(TRANSPOSE(CH$2:CH$15),$I81:$V81)</f>
        <v>300</v>
      </c>
      <c r="CI81" s="8" cm="1">
        <f t="array" ref="CI81">SUMPRODUCT(TRANSPOSE(CI$2:CI$15),$I81:$V81)</f>
        <v>500</v>
      </c>
      <c r="CJ81" s="8" cm="1">
        <f t="array" ref="CJ81">SUMPRODUCT(TRANSPOSE(CJ$2:CJ$15),$I81:$V81)</f>
        <v>420</v>
      </c>
      <c r="CK81" s="8" cm="1">
        <f t="array" ref="CK81">SUMPRODUCT(TRANSPOSE(CK$2:CK$15),$I81:$V81)</f>
        <v>400</v>
      </c>
      <c r="CL81" s="8" cm="1">
        <f t="array" ref="CL81">SUMPRODUCT(TRANSPOSE(CL$2:CL$15),$I81:$V81)</f>
        <v>350</v>
      </c>
      <c r="CM81" s="8" cm="1">
        <f t="array" ref="CM81">SUMPRODUCT(TRANSPOSE(CM$2:CM$15),$I81:$V81)</f>
        <v>540</v>
      </c>
      <c r="CN81" s="8" cm="1">
        <f t="array" ref="CN81">SUMPRODUCT(TRANSPOSE(CN$2:CN$15),$I81:$V81)</f>
        <v>500</v>
      </c>
      <c r="CO81" s="8" cm="1">
        <f t="array" ref="CO81">SUMPRODUCT(TRANSPOSE(CO$2:CO$15),$I81:$V81)</f>
        <v>0</v>
      </c>
      <c r="CP81" s="8" cm="1">
        <f t="array" ref="CP81">SUMPRODUCT(TRANSPOSE(CP$2:CP$15),$I81:$V81)</f>
        <v>0</v>
      </c>
      <c r="CQ81" s="8" cm="1">
        <f t="array" ref="CQ81">SUMPRODUCT(TRANSPOSE(CQ$2:CQ$15),$I81:$V81)</f>
        <v>0</v>
      </c>
    </row>
    <row r="82" spans="1:95" x14ac:dyDescent="0.25">
      <c r="A82" s="1">
        <v>315</v>
      </c>
      <c r="B82" s="11" t="s">
        <v>229</v>
      </c>
      <c r="C82" s="1" t="s">
        <v>49</v>
      </c>
      <c r="D82" s="1">
        <v>400048227</v>
      </c>
      <c r="E82" s="6">
        <f>VLOOKUP(D82,FFF!$A$2:$B$674,2,)</f>
        <v>400508538</v>
      </c>
      <c r="F82" s="1" t="s">
        <v>230</v>
      </c>
      <c r="G82" s="1" t="s">
        <v>35</v>
      </c>
      <c r="H82" s="1">
        <v>4</v>
      </c>
      <c r="I82" s="1">
        <v>0</v>
      </c>
      <c r="J82" s="1">
        <v>0</v>
      </c>
      <c r="K82" s="1">
        <v>0</v>
      </c>
      <c r="L82" s="1">
        <v>1</v>
      </c>
      <c r="M82" s="1">
        <v>0</v>
      </c>
      <c r="N82" s="1">
        <v>0</v>
      </c>
      <c r="O82" s="1">
        <v>0</v>
      </c>
      <c r="P82" s="1">
        <v>0</v>
      </c>
      <c r="Q82" s="1">
        <v>3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f>SUMPRODUCT(I82:V82,$I$13:$V$13)</f>
        <v>6530</v>
      </c>
      <c r="X82" s="6">
        <f t="shared" si="2"/>
        <v>12.72</v>
      </c>
      <c r="Y82" s="1" t="str">
        <f>VLOOKUP(D82,[1]PARTS!$A$1:$G$65536,7,0)</f>
        <v>SMITHS INTERCONNECT AMERICAS,</v>
      </c>
      <c r="Z82" s="1">
        <v>1</v>
      </c>
      <c r="AA82" s="1">
        <f>CEILING(W82,Z82)</f>
        <v>6530</v>
      </c>
      <c r="AB82" s="1">
        <f>CEILING(W82,Z82)</f>
        <v>6530</v>
      </c>
      <c r="AC82" s="1">
        <f>VLOOKUP(D82,[2]pareto!$D$12:$AX$306,47,0)</f>
        <v>3.18</v>
      </c>
      <c r="AD82" s="1" t="str">
        <f>VLOOKUP(D82,[2]pareto!$D$11:$BD$306,50,0)</f>
        <v>RMFW</v>
      </c>
      <c r="AE82" s="1" t="s">
        <v>168</v>
      </c>
      <c r="AF82" s="19" t="s">
        <v>169</v>
      </c>
      <c r="AG82" s="1" t="s">
        <v>170</v>
      </c>
      <c r="BG82" s="8">
        <f>SUM($BB82,$AI82:AI82)-SUM($BY82:BZ82)</f>
        <v>0</v>
      </c>
      <c r="BH82" s="8">
        <f>SUM($BB82,$AI82:AJ82)-SUM($BY82:CA82)</f>
        <v>0</v>
      </c>
      <c r="BI82" s="8">
        <f>SUM($BB82,$AI82:AK82)-SUM($BY82:CB82)</f>
        <v>0</v>
      </c>
      <c r="BJ82" s="8">
        <f>SUM($BB82,$AI82:AL82)-SUM($BY82:CC82)</f>
        <v>0</v>
      </c>
      <c r="BK82" s="8">
        <f>SUM($BB82,$AI82:AM82)-SUM($BY82:CD82)</f>
        <v>0</v>
      </c>
      <c r="BL82" s="8">
        <f>SUM($BB82,$AI82:AN82)-SUM($BY82:CE82)</f>
        <v>0</v>
      </c>
      <c r="BM82" s="8">
        <f>SUM($BB82,$AI82:AO82)-SUM($BY82:CF82)</f>
        <v>0</v>
      </c>
      <c r="BN82" s="8">
        <f>SUM($BB82,$AI82:AP82)-SUM($BY82:CG82)</f>
        <v>-400</v>
      </c>
      <c r="BO82" s="8">
        <f>SUM($BB82,$AI82:AQ82)-SUM($BY82:CH82)</f>
        <v>-1000</v>
      </c>
      <c r="BP82" s="8">
        <f>SUM($BB82,$AI82:AR82)-SUM($BY82:CI82)</f>
        <v>-2000</v>
      </c>
      <c r="BQ82" s="8">
        <f>SUM($BB82,$AI82:AS82)-SUM($BY82:CJ82)</f>
        <v>-2820</v>
      </c>
      <c r="BR82" s="8">
        <f>SUM($BB82,$AI82:AT82)-SUM($BY82:CK82)</f>
        <v>-3620</v>
      </c>
      <c r="BS82" s="8">
        <f>SUM($BB82,$AI82:AU82)-SUM($BY82:CL82)</f>
        <v>-4370</v>
      </c>
      <c r="BT82" s="8">
        <f>SUM($BB82,$AI82:AV82)-SUM($BY82:CM82)</f>
        <v>-5510</v>
      </c>
      <c r="BU82" s="8">
        <f>SUM($BB82,$AI82:AW82)-SUM($BY82:CN82)</f>
        <v>-6530</v>
      </c>
      <c r="BV82" s="8">
        <f>SUM($BB82,$AI82:AX82)-SUM($BY82:CO82)</f>
        <v>-6530</v>
      </c>
      <c r="BW82" s="8">
        <f>SUM($BB82,$AI82:AY82)-SUM($BY82:CP82)</f>
        <v>-6530</v>
      </c>
      <c r="BX82" s="8">
        <f>SUM($BB82,$AI82:AZ82)-SUM($BY82:CQ82)</f>
        <v>-6530</v>
      </c>
      <c r="BY82" s="8" cm="1">
        <f t="array" ref="BY82">SUMPRODUCT(TRANSPOSE(BY$2:BY$15),$I82:$V82)</f>
        <v>0</v>
      </c>
      <c r="BZ82" s="8" cm="1">
        <f t="array" ref="BZ82">SUMPRODUCT(TRANSPOSE(BZ$2:BZ$15),$I82:$V82)</f>
        <v>0</v>
      </c>
      <c r="CA82" s="8" cm="1">
        <f t="array" ref="CA82">SUMPRODUCT(TRANSPOSE(CA$2:CA$15),$I82:$V82)</f>
        <v>0</v>
      </c>
      <c r="CB82" s="8" cm="1">
        <f t="array" ref="CB82">SUMPRODUCT(TRANSPOSE(CB$2:CB$15),$I82:$V82)</f>
        <v>0</v>
      </c>
      <c r="CC82" s="8" cm="1">
        <f t="array" ref="CC82">SUMPRODUCT(TRANSPOSE(CC$2:CC$15),$I82:$V82)</f>
        <v>0</v>
      </c>
      <c r="CD82" s="8" cm="1">
        <f t="array" ref="CD82">SUMPRODUCT(TRANSPOSE(CD$2:CD$15),$I82:$V82)</f>
        <v>0</v>
      </c>
      <c r="CE82" s="8" cm="1">
        <f t="array" ref="CE82">SUMPRODUCT(TRANSPOSE(CE$2:CE$15),$I82:$V82)</f>
        <v>0</v>
      </c>
      <c r="CF82" s="8" cm="1">
        <f t="array" ref="CF82">SUMPRODUCT(TRANSPOSE(CF$2:CF$15),$I82:$V82)</f>
        <v>0</v>
      </c>
      <c r="CG82" s="8" cm="1">
        <f t="array" ref="CG82">SUMPRODUCT(TRANSPOSE(CG$2:CG$15),$I82:$V82)</f>
        <v>400</v>
      </c>
      <c r="CH82" s="8" cm="1">
        <f t="array" ref="CH82">SUMPRODUCT(TRANSPOSE(CH$2:CH$15),$I82:$V82)</f>
        <v>600</v>
      </c>
      <c r="CI82" s="8" cm="1">
        <f t="array" ref="CI82">SUMPRODUCT(TRANSPOSE(CI$2:CI$15),$I82:$V82)</f>
        <v>1000</v>
      </c>
      <c r="CJ82" s="8" cm="1">
        <f t="array" ref="CJ82">SUMPRODUCT(TRANSPOSE(CJ$2:CJ$15),$I82:$V82)</f>
        <v>820</v>
      </c>
      <c r="CK82" s="8" cm="1">
        <f t="array" ref="CK82">SUMPRODUCT(TRANSPOSE(CK$2:CK$15),$I82:$V82)</f>
        <v>800</v>
      </c>
      <c r="CL82" s="8" cm="1">
        <f t="array" ref="CL82">SUMPRODUCT(TRANSPOSE(CL$2:CL$15),$I82:$V82)</f>
        <v>750</v>
      </c>
      <c r="CM82" s="8" cm="1">
        <f t="array" ref="CM82">SUMPRODUCT(TRANSPOSE(CM$2:CM$15),$I82:$V82)</f>
        <v>1140</v>
      </c>
      <c r="CN82" s="8" cm="1">
        <f t="array" ref="CN82">SUMPRODUCT(TRANSPOSE(CN$2:CN$15),$I82:$V82)</f>
        <v>1020</v>
      </c>
      <c r="CO82" s="8" cm="1">
        <f t="array" ref="CO82">SUMPRODUCT(TRANSPOSE(CO$2:CO$15),$I82:$V82)</f>
        <v>0</v>
      </c>
      <c r="CP82" s="8" cm="1">
        <f t="array" ref="CP82">SUMPRODUCT(TRANSPOSE(CP$2:CP$15),$I82:$V82)</f>
        <v>0</v>
      </c>
      <c r="CQ82" s="8" cm="1">
        <f t="array" ref="CQ82">SUMPRODUCT(TRANSPOSE(CQ$2:CQ$15),$I82:$V82)</f>
        <v>0</v>
      </c>
    </row>
    <row r="83" spans="1:95" x14ac:dyDescent="0.25">
      <c r="A83" s="1">
        <v>318</v>
      </c>
      <c r="B83" s="11" t="s">
        <v>231</v>
      </c>
      <c r="C83" s="1" t="s">
        <v>164</v>
      </c>
      <c r="D83" s="1" t="s">
        <v>232</v>
      </c>
      <c r="E83" s="6"/>
      <c r="F83" s="1" t="s">
        <v>233</v>
      </c>
      <c r="G83" s="1" t="s">
        <v>35</v>
      </c>
      <c r="H83" s="1">
        <v>4</v>
      </c>
      <c r="I83" s="1">
        <v>0</v>
      </c>
      <c r="J83" s="1">
        <v>0</v>
      </c>
      <c r="K83" s="1">
        <v>0</v>
      </c>
      <c r="L83" s="1">
        <v>2</v>
      </c>
      <c r="M83" s="1">
        <v>0</v>
      </c>
      <c r="N83" s="1">
        <v>0</v>
      </c>
      <c r="O83" s="1">
        <v>0</v>
      </c>
      <c r="P83" s="1">
        <v>0</v>
      </c>
      <c r="Q83" s="1">
        <v>2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f>SUMPRODUCT(I83:V83,$I$13:$V$13)</f>
        <v>6420</v>
      </c>
      <c r="X83" s="6">
        <f t="shared" ref="X83:X146" si="3">SUM(I83:V83)*AC83</f>
        <v>12.72</v>
      </c>
      <c r="Y83" s="1" t="str">
        <f>VLOOKUP(D83,[1]PARTS!$A$1:$G$65536,7,0)</f>
        <v>SMITHS INTERCONNECT AMERICAS,</v>
      </c>
      <c r="Z83" s="1">
        <v>1</v>
      </c>
      <c r="AA83" s="1">
        <f>CEILING(W83,Z83)</f>
        <v>6420</v>
      </c>
      <c r="AB83" s="1">
        <f>CEILING(W83,Z83)</f>
        <v>6420</v>
      </c>
      <c r="AC83" s="1">
        <f>VLOOKUP(D83,[2]pareto!$D$12:$AX$306,47,0)</f>
        <v>3.18</v>
      </c>
      <c r="AD83" s="1" t="str">
        <f>VLOOKUP(D83,[2]pareto!$D$11:$BD$306,50,0)</f>
        <v>RMFW</v>
      </c>
      <c r="AE83" s="1" t="s">
        <v>168</v>
      </c>
      <c r="AF83" s="19" t="s">
        <v>169</v>
      </c>
      <c r="AG83" s="1" t="s">
        <v>170</v>
      </c>
      <c r="BG83" s="8">
        <f>SUM($BB83,$AI83:AI83)-SUM($BY83:BZ83)</f>
        <v>0</v>
      </c>
      <c r="BH83" s="8">
        <f>SUM($BB83,$AI83:AJ83)-SUM($BY83:CA83)</f>
        <v>0</v>
      </c>
      <c r="BI83" s="8">
        <f>SUM($BB83,$AI83:AK83)-SUM($BY83:CB83)</f>
        <v>0</v>
      </c>
      <c r="BJ83" s="8">
        <f>SUM($BB83,$AI83:AL83)-SUM($BY83:CC83)</f>
        <v>0</v>
      </c>
      <c r="BK83" s="8">
        <f>SUM($BB83,$AI83:AM83)-SUM($BY83:CD83)</f>
        <v>0</v>
      </c>
      <c r="BL83" s="8">
        <f>SUM($BB83,$AI83:AN83)-SUM($BY83:CE83)</f>
        <v>0</v>
      </c>
      <c r="BM83" s="8">
        <f>SUM($BB83,$AI83:AO83)-SUM($BY83:CF83)</f>
        <v>0</v>
      </c>
      <c r="BN83" s="8">
        <f>SUM($BB83,$AI83:AP83)-SUM($BY83:CG83)</f>
        <v>-400</v>
      </c>
      <c r="BO83" s="8">
        <f>SUM($BB83,$AI83:AQ83)-SUM($BY83:CH83)</f>
        <v>-1000</v>
      </c>
      <c r="BP83" s="8">
        <f>SUM($BB83,$AI83:AR83)-SUM($BY83:CI83)</f>
        <v>-2000</v>
      </c>
      <c r="BQ83" s="8">
        <f>SUM($BB83,$AI83:AS83)-SUM($BY83:CJ83)</f>
        <v>-2840</v>
      </c>
      <c r="BR83" s="8">
        <f>SUM($BB83,$AI83:AT83)-SUM($BY83:CK83)</f>
        <v>-3640</v>
      </c>
      <c r="BS83" s="8">
        <f>SUM($BB83,$AI83:AU83)-SUM($BY83:CL83)</f>
        <v>-4340</v>
      </c>
      <c r="BT83" s="8">
        <f>SUM($BB83,$AI83:AV83)-SUM($BY83:CM83)</f>
        <v>-5420</v>
      </c>
      <c r="BU83" s="8">
        <f>SUM($BB83,$AI83:AW83)-SUM($BY83:CN83)</f>
        <v>-6420</v>
      </c>
      <c r="BV83" s="8">
        <f>SUM($BB83,$AI83:AX83)-SUM($BY83:CO83)</f>
        <v>-6420</v>
      </c>
      <c r="BW83" s="8">
        <f>SUM($BB83,$AI83:AY83)-SUM($BY83:CP83)</f>
        <v>-6420</v>
      </c>
      <c r="BX83" s="8">
        <f>SUM($BB83,$AI83:AZ83)-SUM($BY83:CQ83)</f>
        <v>-6420</v>
      </c>
      <c r="BY83" s="8" cm="1">
        <f t="array" ref="BY83">SUMPRODUCT(TRANSPOSE(BY$2:BY$15),$I83:$V83)</f>
        <v>0</v>
      </c>
      <c r="BZ83" s="8" cm="1">
        <f t="array" ref="BZ83">SUMPRODUCT(TRANSPOSE(BZ$2:BZ$15),$I83:$V83)</f>
        <v>0</v>
      </c>
      <c r="CA83" s="8" cm="1">
        <f t="array" ref="CA83">SUMPRODUCT(TRANSPOSE(CA$2:CA$15),$I83:$V83)</f>
        <v>0</v>
      </c>
      <c r="CB83" s="8" cm="1">
        <f t="array" ref="CB83">SUMPRODUCT(TRANSPOSE(CB$2:CB$15),$I83:$V83)</f>
        <v>0</v>
      </c>
      <c r="CC83" s="8" cm="1">
        <f t="array" ref="CC83">SUMPRODUCT(TRANSPOSE(CC$2:CC$15),$I83:$V83)</f>
        <v>0</v>
      </c>
      <c r="CD83" s="8" cm="1">
        <f t="array" ref="CD83">SUMPRODUCT(TRANSPOSE(CD$2:CD$15),$I83:$V83)</f>
        <v>0</v>
      </c>
      <c r="CE83" s="8" cm="1">
        <f t="array" ref="CE83">SUMPRODUCT(TRANSPOSE(CE$2:CE$15),$I83:$V83)</f>
        <v>0</v>
      </c>
      <c r="CF83" s="8" cm="1">
        <f t="array" ref="CF83">SUMPRODUCT(TRANSPOSE(CF$2:CF$15),$I83:$V83)</f>
        <v>0</v>
      </c>
      <c r="CG83" s="8" cm="1">
        <f t="array" ref="CG83">SUMPRODUCT(TRANSPOSE(CG$2:CG$15),$I83:$V83)</f>
        <v>400</v>
      </c>
      <c r="CH83" s="8" cm="1">
        <f t="array" ref="CH83">SUMPRODUCT(TRANSPOSE(CH$2:CH$15),$I83:$V83)</f>
        <v>600</v>
      </c>
      <c r="CI83" s="8" cm="1">
        <f t="array" ref="CI83">SUMPRODUCT(TRANSPOSE(CI$2:CI$15),$I83:$V83)</f>
        <v>1000</v>
      </c>
      <c r="CJ83" s="8" cm="1">
        <f t="array" ref="CJ83">SUMPRODUCT(TRANSPOSE(CJ$2:CJ$15),$I83:$V83)</f>
        <v>840</v>
      </c>
      <c r="CK83" s="8" cm="1">
        <f t="array" ref="CK83">SUMPRODUCT(TRANSPOSE(CK$2:CK$15),$I83:$V83)</f>
        <v>800</v>
      </c>
      <c r="CL83" s="8" cm="1">
        <f t="array" ref="CL83">SUMPRODUCT(TRANSPOSE(CL$2:CL$15),$I83:$V83)</f>
        <v>700</v>
      </c>
      <c r="CM83" s="8" cm="1">
        <f t="array" ref="CM83">SUMPRODUCT(TRANSPOSE(CM$2:CM$15),$I83:$V83)</f>
        <v>1080</v>
      </c>
      <c r="CN83" s="8" cm="1">
        <f t="array" ref="CN83">SUMPRODUCT(TRANSPOSE(CN$2:CN$15),$I83:$V83)</f>
        <v>1000</v>
      </c>
      <c r="CO83" s="8" cm="1">
        <f t="array" ref="CO83">SUMPRODUCT(TRANSPOSE(CO$2:CO$15),$I83:$V83)</f>
        <v>0</v>
      </c>
      <c r="CP83" s="8" cm="1">
        <f t="array" ref="CP83">SUMPRODUCT(TRANSPOSE(CP$2:CP$15),$I83:$V83)</f>
        <v>0</v>
      </c>
      <c r="CQ83" s="8" cm="1">
        <f t="array" ref="CQ83">SUMPRODUCT(TRANSPOSE(CQ$2:CQ$15),$I83:$V83)</f>
        <v>0</v>
      </c>
    </row>
    <row r="84" spans="1:95" x14ac:dyDescent="0.25">
      <c r="A84" s="1">
        <v>232</v>
      </c>
      <c r="B84" s="11" t="s">
        <v>234</v>
      </c>
      <c r="C84" s="1" t="s">
        <v>49</v>
      </c>
      <c r="D84" s="1">
        <v>421088944</v>
      </c>
      <c r="E84" s="6">
        <f>VLOOKUP(D84,FFF!$A$2:$B$674,2,)</f>
        <v>404396922</v>
      </c>
      <c r="F84" s="1" t="s">
        <v>235</v>
      </c>
      <c r="G84" s="1" t="s">
        <v>35</v>
      </c>
      <c r="H84" s="1">
        <v>2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2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f>SUMPRODUCT(I84:V84,$I$13:$V$13)</f>
        <v>3320</v>
      </c>
      <c r="X84" s="6">
        <f t="shared" si="3"/>
        <v>4.0975999999999999</v>
      </c>
      <c r="Y84" s="1" t="str">
        <f>VLOOKUP(D84,[1]PARTS!$A$1:$G$65536,7,0)</f>
        <v>TEXAS INSTRUMENTS INC</v>
      </c>
      <c r="Z84" s="1">
        <f>VLOOKUP(D84,[2]pareto!$D$12:$AX$306,44,0)</f>
        <v>250</v>
      </c>
      <c r="AA84" s="1">
        <f>VLOOKUP(D84,[2]pareto!$D$12:$AX$306,45,0)</f>
        <v>250</v>
      </c>
      <c r="AB84" s="1">
        <f>CEILING(W84,Z84)</f>
        <v>3500</v>
      </c>
      <c r="AC84" s="1">
        <v>2.0488</v>
      </c>
      <c r="AD84" s="1" t="s">
        <v>107</v>
      </c>
      <c r="AE84" s="1" t="s">
        <v>108</v>
      </c>
      <c r="AF84" s="19" t="s">
        <v>109</v>
      </c>
      <c r="AG84" s="1" t="s">
        <v>110</v>
      </c>
      <c r="BG84" s="8">
        <f>SUM($BB84,$AI84:AI84)-SUM($BY84:BZ84)</f>
        <v>0</v>
      </c>
      <c r="BH84" s="8">
        <f>SUM($BB84,$AI84:AJ84)-SUM($BY84:CA84)</f>
        <v>0</v>
      </c>
      <c r="BI84" s="8">
        <f>SUM($BB84,$AI84:AK84)-SUM($BY84:CB84)</f>
        <v>0</v>
      </c>
      <c r="BJ84" s="8">
        <f>SUM($BB84,$AI84:AL84)-SUM($BY84:CC84)</f>
        <v>0</v>
      </c>
      <c r="BK84" s="8">
        <f>SUM($BB84,$AI84:AM84)-SUM($BY84:CD84)</f>
        <v>0</v>
      </c>
      <c r="BL84" s="8">
        <f>SUM($BB84,$AI84:AN84)-SUM($BY84:CE84)</f>
        <v>0</v>
      </c>
      <c r="BM84" s="8">
        <f>SUM($BB84,$AI84:AO84)-SUM($BY84:CF84)</f>
        <v>0</v>
      </c>
      <c r="BN84" s="8">
        <f>SUM($BB84,$AI84:AP84)-SUM($BY84:CG84)</f>
        <v>-200</v>
      </c>
      <c r="BO84" s="8">
        <f>SUM($BB84,$AI84:AQ84)-SUM($BY84:CH84)</f>
        <v>-500</v>
      </c>
      <c r="BP84" s="8">
        <f>SUM($BB84,$AI84:AR84)-SUM($BY84:CI84)</f>
        <v>-1000</v>
      </c>
      <c r="BQ84" s="8">
        <f>SUM($BB84,$AI84:AS84)-SUM($BY84:CJ84)</f>
        <v>-1400</v>
      </c>
      <c r="BR84" s="8">
        <f>SUM($BB84,$AI84:AT84)-SUM($BY84:CK84)</f>
        <v>-1800</v>
      </c>
      <c r="BS84" s="8">
        <f>SUM($BB84,$AI84:AU84)-SUM($BY84:CL84)</f>
        <v>-2200</v>
      </c>
      <c r="BT84" s="8">
        <f>SUM($BB84,$AI84:AV84)-SUM($BY84:CM84)</f>
        <v>-2800</v>
      </c>
      <c r="BU84" s="8">
        <f>SUM($BB84,$AI84:AW84)-SUM($BY84:CN84)</f>
        <v>-3320</v>
      </c>
      <c r="BV84" s="8">
        <f>SUM($BB84,$AI84:AX84)-SUM($BY84:CO84)</f>
        <v>-3320</v>
      </c>
      <c r="BW84" s="8">
        <f>SUM($BB84,$AI84:AY84)-SUM($BY84:CP84)</f>
        <v>-3320</v>
      </c>
      <c r="BX84" s="8">
        <f>SUM($BB84,$AI84:AZ84)-SUM($BY84:CQ84)</f>
        <v>-3320</v>
      </c>
      <c r="BY84" s="8" cm="1">
        <f t="array" ref="BY84">SUMPRODUCT(TRANSPOSE(BY$2:BY$15),$I84:$V84)</f>
        <v>0</v>
      </c>
      <c r="BZ84" s="8" cm="1">
        <f t="array" ref="BZ84">SUMPRODUCT(TRANSPOSE(BZ$2:BZ$15),$I84:$V84)</f>
        <v>0</v>
      </c>
      <c r="CA84" s="8" cm="1">
        <f t="array" ref="CA84">SUMPRODUCT(TRANSPOSE(CA$2:CA$15),$I84:$V84)</f>
        <v>0</v>
      </c>
      <c r="CB84" s="8" cm="1">
        <f t="array" ref="CB84">SUMPRODUCT(TRANSPOSE(CB$2:CB$15),$I84:$V84)</f>
        <v>0</v>
      </c>
      <c r="CC84" s="8" cm="1">
        <f t="array" ref="CC84">SUMPRODUCT(TRANSPOSE(CC$2:CC$15),$I84:$V84)</f>
        <v>0</v>
      </c>
      <c r="CD84" s="8" cm="1">
        <f t="array" ref="CD84">SUMPRODUCT(TRANSPOSE(CD$2:CD$15),$I84:$V84)</f>
        <v>0</v>
      </c>
      <c r="CE84" s="8" cm="1">
        <f t="array" ref="CE84">SUMPRODUCT(TRANSPOSE(CE$2:CE$15),$I84:$V84)</f>
        <v>0</v>
      </c>
      <c r="CF84" s="8" cm="1">
        <f t="array" ref="CF84">SUMPRODUCT(TRANSPOSE(CF$2:CF$15),$I84:$V84)</f>
        <v>0</v>
      </c>
      <c r="CG84" s="8" cm="1">
        <f t="array" ref="CG84">SUMPRODUCT(TRANSPOSE(CG$2:CG$15),$I84:$V84)</f>
        <v>200</v>
      </c>
      <c r="CH84" s="8" cm="1">
        <f t="array" ref="CH84">SUMPRODUCT(TRANSPOSE(CH$2:CH$15),$I84:$V84)</f>
        <v>300</v>
      </c>
      <c r="CI84" s="8" cm="1">
        <f t="array" ref="CI84">SUMPRODUCT(TRANSPOSE(CI$2:CI$15),$I84:$V84)</f>
        <v>500</v>
      </c>
      <c r="CJ84" s="8" cm="1">
        <f t="array" ref="CJ84">SUMPRODUCT(TRANSPOSE(CJ$2:CJ$15),$I84:$V84)</f>
        <v>400</v>
      </c>
      <c r="CK84" s="8" cm="1">
        <f t="array" ref="CK84">SUMPRODUCT(TRANSPOSE(CK$2:CK$15),$I84:$V84)</f>
        <v>400</v>
      </c>
      <c r="CL84" s="8" cm="1">
        <f t="array" ref="CL84">SUMPRODUCT(TRANSPOSE(CL$2:CL$15),$I84:$V84)</f>
        <v>400</v>
      </c>
      <c r="CM84" s="8" cm="1">
        <f t="array" ref="CM84">SUMPRODUCT(TRANSPOSE(CM$2:CM$15),$I84:$V84)</f>
        <v>600</v>
      </c>
      <c r="CN84" s="8" cm="1">
        <f t="array" ref="CN84">SUMPRODUCT(TRANSPOSE(CN$2:CN$15),$I84:$V84)</f>
        <v>520</v>
      </c>
      <c r="CO84" s="8" cm="1">
        <f t="array" ref="CO84">SUMPRODUCT(TRANSPOSE(CO$2:CO$15),$I84:$V84)</f>
        <v>0</v>
      </c>
      <c r="CP84" s="8" cm="1">
        <f t="array" ref="CP84">SUMPRODUCT(TRANSPOSE(CP$2:CP$15),$I84:$V84)</f>
        <v>0</v>
      </c>
      <c r="CQ84" s="8" cm="1">
        <f t="array" ref="CQ84">SUMPRODUCT(TRANSPOSE(CQ$2:CQ$15),$I84:$V84)</f>
        <v>0</v>
      </c>
    </row>
    <row r="85" spans="1:95" x14ac:dyDescent="0.25">
      <c r="A85" s="1">
        <v>317</v>
      </c>
      <c r="B85" s="11" t="s">
        <v>236</v>
      </c>
      <c r="C85" s="1" t="s">
        <v>164</v>
      </c>
      <c r="D85" s="1" t="s">
        <v>237</v>
      </c>
      <c r="E85" s="6"/>
      <c r="F85" s="1" t="s">
        <v>238</v>
      </c>
      <c r="G85" s="1" t="s">
        <v>35</v>
      </c>
      <c r="H85" s="1">
        <v>4</v>
      </c>
      <c r="I85" s="1">
        <v>0</v>
      </c>
      <c r="J85" s="1">
        <v>0</v>
      </c>
      <c r="K85" s="1">
        <v>0</v>
      </c>
      <c r="L85" s="1">
        <v>2</v>
      </c>
      <c r="M85" s="1">
        <v>0</v>
      </c>
      <c r="N85" s="1">
        <v>0</v>
      </c>
      <c r="O85" s="1">
        <v>0</v>
      </c>
      <c r="P85" s="1">
        <v>0</v>
      </c>
      <c r="Q85" s="1">
        <v>2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f>SUMPRODUCT(I85:V85,$I$13:$V$13)</f>
        <v>6420</v>
      </c>
      <c r="X85" s="6">
        <f t="shared" si="3"/>
        <v>12.72</v>
      </c>
      <c r="Y85" s="1" t="str">
        <f>VLOOKUP(D85,[1]PARTS!$A$1:$G$65536,7,0)</f>
        <v>SMITHS INTERCONNECT AMERICAS,</v>
      </c>
      <c r="Z85" s="1">
        <v>1</v>
      </c>
      <c r="AA85" s="1">
        <f>CEILING(W85,Z85)</f>
        <v>6420</v>
      </c>
      <c r="AB85" s="1">
        <f>CEILING(W85,Z85)</f>
        <v>6420</v>
      </c>
      <c r="AC85" s="1">
        <f>VLOOKUP(D85,[2]pareto!$D$12:$AX$306,47,0)</f>
        <v>3.18</v>
      </c>
      <c r="AD85" s="1" t="str">
        <f>VLOOKUP(D85,[2]pareto!$D$11:$BD$306,50,0)</f>
        <v>RMFW</v>
      </c>
      <c r="AE85" s="1" t="s">
        <v>168</v>
      </c>
      <c r="AF85" s="19" t="s">
        <v>169</v>
      </c>
      <c r="AG85" s="1" t="s">
        <v>170</v>
      </c>
      <c r="BG85" s="8">
        <f>SUM($BB85,$AI85:AI85)-SUM($BY85:BZ85)</f>
        <v>0</v>
      </c>
      <c r="BH85" s="8">
        <f>SUM($BB85,$AI85:AJ85)-SUM($BY85:CA85)</f>
        <v>0</v>
      </c>
      <c r="BI85" s="8">
        <f>SUM($BB85,$AI85:AK85)-SUM($BY85:CB85)</f>
        <v>0</v>
      </c>
      <c r="BJ85" s="8">
        <f>SUM($BB85,$AI85:AL85)-SUM($BY85:CC85)</f>
        <v>0</v>
      </c>
      <c r="BK85" s="8">
        <f>SUM($BB85,$AI85:AM85)-SUM($BY85:CD85)</f>
        <v>0</v>
      </c>
      <c r="BL85" s="8">
        <f>SUM($BB85,$AI85:AN85)-SUM($BY85:CE85)</f>
        <v>0</v>
      </c>
      <c r="BM85" s="8">
        <f>SUM($BB85,$AI85:AO85)-SUM($BY85:CF85)</f>
        <v>0</v>
      </c>
      <c r="BN85" s="8">
        <f>SUM($BB85,$AI85:AP85)-SUM($BY85:CG85)</f>
        <v>-400</v>
      </c>
      <c r="BO85" s="8">
        <f>SUM($BB85,$AI85:AQ85)-SUM($BY85:CH85)</f>
        <v>-1000</v>
      </c>
      <c r="BP85" s="8">
        <f>SUM($BB85,$AI85:AR85)-SUM($BY85:CI85)</f>
        <v>-2000</v>
      </c>
      <c r="BQ85" s="8">
        <f>SUM($BB85,$AI85:AS85)-SUM($BY85:CJ85)</f>
        <v>-2840</v>
      </c>
      <c r="BR85" s="8">
        <f>SUM($BB85,$AI85:AT85)-SUM($BY85:CK85)</f>
        <v>-3640</v>
      </c>
      <c r="BS85" s="8">
        <f>SUM($BB85,$AI85:AU85)-SUM($BY85:CL85)</f>
        <v>-4340</v>
      </c>
      <c r="BT85" s="8">
        <f>SUM($BB85,$AI85:AV85)-SUM($BY85:CM85)</f>
        <v>-5420</v>
      </c>
      <c r="BU85" s="8">
        <f>SUM($BB85,$AI85:AW85)-SUM($BY85:CN85)</f>
        <v>-6420</v>
      </c>
      <c r="BV85" s="8">
        <f>SUM($BB85,$AI85:AX85)-SUM($BY85:CO85)</f>
        <v>-6420</v>
      </c>
      <c r="BW85" s="8">
        <f>SUM($BB85,$AI85:AY85)-SUM($BY85:CP85)</f>
        <v>-6420</v>
      </c>
      <c r="BX85" s="8">
        <f>SUM($BB85,$AI85:AZ85)-SUM($BY85:CQ85)</f>
        <v>-6420</v>
      </c>
      <c r="BY85" s="8" cm="1">
        <f t="array" ref="BY85">SUMPRODUCT(TRANSPOSE(BY$2:BY$15),$I85:$V85)</f>
        <v>0</v>
      </c>
      <c r="BZ85" s="8" cm="1">
        <f t="array" ref="BZ85">SUMPRODUCT(TRANSPOSE(BZ$2:BZ$15),$I85:$V85)</f>
        <v>0</v>
      </c>
      <c r="CA85" s="8" cm="1">
        <f t="array" ref="CA85">SUMPRODUCT(TRANSPOSE(CA$2:CA$15),$I85:$V85)</f>
        <v>0</v>
      </c>
      <c r="CB85" s="8" cm="1">
        <f t="array" ref="CB85">SUMPRODUCT(TRANSPOSE(CB$2:CB$15),$I85:$V85)</f>
        <v>0</v>
      </c>
      <c r="CC85" s="8" cm="1">
        <f t="array" ref="CC85">SUMPRODUCT(TRANSPOSE(CC$2:CC$15),$I85:$V85)</f>
        <v>0</v>
      </c>
      <c r="CD85" s="8" cm="1">
        <f t="array" ref="CD85">SUMPRODUCT(TRANSPOSE(CD$2:CD$15),$I85:$V85)</f>
        <v>0</v>
      </c>
      <c r="CE85" s="8" cm="1">
        <f t="array" ref="CE85">SUMPRODUCT(TRANSPOSE(CE$2:CE$15),$I85:$V85)</f>
        <v>0</v>
      </c>
      <c r="CF85" s="8" cm="1">
        <f t="array" ref="CF85">SUMPRODUCT(TRANSPOSE(CF$2:CF$15),$I85:$V85)</f>
        <v>0</v>
      </c>
      <c r="CG85" s="8" cm="1">
        <f t="array" ref="CG85">SUMPRODUCT(TRANSPOSE(CG$2:CG$15),$I85:$V85)</f>
        <v>400</v>
      </c>
      <c r="CH85" s="8" cm="1">
        <f t="array" ref="CH85">SUMPRODUCT(TRANSPOSE(CH$2:CH$15),$I85:$V85)</f>
        <v>600</v>
      </c>
      <c r="CI85" s="8" cm="1">
        <f t="array" ref="CI85">SUMPRODUCT(TRANSPOSE(CI$2:CI$15),$I85:$V85)</f>
        <v>1000</v>
      </c>
      <c r="CJ85" s="8" cm="1">
        <f t="array" ref="CJ85">SUMPRODUCT(TRANSPOSE(CJ$2:CJ$15),$I85:$V85)</f>
        <v>840</v>
      </c>
      <c r="CK85" s="8" cm="1">
        <f t="array" ref="CK85">SUMPRODUCT(TRANSPOSE(CK$2:CK$15),$I85:$V85)</f>
        <v>800</v>
      </c>
      <c r="CL85" s="8" cm="1">
        <f t="array" ref="CL85">SUMPRODUCT(TRANSPOSE(CL$2:CL$15),$I85:$V85)</f>
        <v>700</v>
      </c>
      <c r="CM85" s="8" cm="1">
        <f t="array" ref="CM85">SUMPRODUCT(TRANSPOSE(CM$2:CM$15),$I85:$V85)</f>
        <v>1080</v>
      </c>
      <c r="CN85" s="8" cm="1">
        <f t="array" ref="CN85">SUMPRODUCT(TRANSPOSE(CN$2:CN$15),$I85:$V85)</f>
        <v>1000</v>
      </c>
      <c r="CO85" s="8" cm="1">
        <f t="array" ref="CO85">SUMPRODUCT(TRANSPOSE(CO$2:CO$15),$I85:$V85)</f>
        <v>0</v>
      </c>
      <c r="CP85" s="8" cm="1">
        <f t="array" ref="CP85">SUMPRODUCT(TRANSPOSE(CP$2:CP$15),$I85:$V85)</f>
        <v>0</v>
      </c>
      <c r="CQ85" s="8" cm="1">
        <f t="array" ref="CQ85">SUMPRODUCT(TRANSPOSE(CQ$2:CQ$15),$I85:$V85)</f>
        <v>0</v>
      </c>
    </row>
    <row r="86" spans="1:95" x14ac:dyDescent="0.25">
      <c r="A86" s="1">
        <v>45</v>
      </c>
      <c r="B86" s="11" t="s">
        <v>239</v>
      </c>
      <c r="C86" s="1" t="s">
        <v>68</v>
      </c>
      <c r="D86" s="1">
        <v>411179617</v>
      </c>
      <c r="E86" s="6"/>
      <c r="F86" s="1" t="s">
        <v>240</v>
      </c>
      <c r="G86" s="1" t="s">
        <v>35</v>
      </c>
      <c r="H86" s="1">
        <v>4</v>
      </c>
      <c r="I86" s="1">
        <v>0</v>
      </c>
      <c r="J86" s="1">
        <v>2</v>
      </c>
      <c r="K86" s="1">
        <v>0</v>
      </c>
      <c r="L86" s="1">
        <v>0</v>
      </c>
      <c r="M86" s="1">
        <v>0</v>
      </c>
      <c r="N86" s="1">
        <v>0</v>
      </c>
      <c r="O86" s="1">
        <v>2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f>SUMPRODUCT(I86:V86,$I$13:$V$13)</f>
        <v>6420</v>
      </c>
      <c r="X86" s="6">
        <f t="shared" si="3"/>
        <v>9.24</v>
      </c>
      <c r="Y86" s="1" t="str">
        <f>VLOOKUP(D86,[1]PARTS!$A$1:$G$65536,7,0)</f>
        <v/>
      </c>
      <c r="Z86" s="1">
        <v>1</v>
      </c>
      <c r="AA86" s="1">
        <v>6340</v>
      </c>
      <c r="AB86" s="1">
        <f>CEILING(W86,Z86)</f>
        <v>6420</v>
      </c>
      <c r="AC86" s="1">
        <f>VLOOKUP(D86,[2]pareto!$D$12:$AX$306,47,0)</f>
        <v>2.31</v>
      </c>
      <c r="AD86" s="1" t="s">
        <v>70</v>
      </c>
      <c r="AE86" s="1" t="s">
        <v>70</v>
      </c>
      <c r="AF86" s="1" t="str">
        <f>VLOOKUP(D86,[2]pareto!$D$11:$BD$306,52,0)</f>
        <v>tnp@wave-mechanics.com</v>
      </c>
      <c r="AG86" s="1" t="e">
        <f>VLOOKUP(D86,[2]pareto!$D$11:$BD$306,51)</f>
        <v>#REF!</v>
      </c>
      <c r="BG86" s="8">
        <f>SUM($BB86,$AI86:AI86)-SUM($BY86:BZ86)</f>
        <v>0</v>
      </c>
      <c r="BH86" s="8">
        <f>SUM($BB86,$AI86:AJ86)-SUM($BY86:CA86)</f>
        <v>0</v>
      </c>
      <c r="BI86" s="8">
        <f>SUM($BB86,$AI86:AK86)-SUM($BY86:CB86)</f>
        <v>0</v>
      </c>
      <c r="BJ86" s="8">
        <f>SUM($BB86,$AI86:AL86)-SUM($BY86:CC86)</f>
        <v>0</v>
      </c>
      <c r="BK86" s="8">
        <f>SUM($BB86,$AI86:AM86)-SUM($BY86:CD86)</f>
        <v>0</v>
      </c>
      <c r="BL86" s="8">
        <f>SUM($BB86,$AI86:AN86)-SUM($BY86:CE86)</f>
        <v>0</v>
      </c>
      <c r="BM86" s="8">
        <f>SUM($BB86,$AI86:AO86)-SUM($BY86:CF86)</f>
        <v>0</v>
      </c>
      <c r="BN86" s="8">
        <f>SUM($BB86,$AI86:AP86)-SUM($BY86:CG86)</f>
        <v>0</v>
      </c>
      <c r="BO86" s="8">
        <f>SUM($BB86,$AI86:AQ86)-SUM($BY86:CH86)</f>
        <v>0</v>
      </c>
      <c r="BP86" s="8">
        <f>SUM($BB86,$AI86:AR86)-SUM($BY86:CI86)</f>
        <v>-400</v>
      </c>
      <c r="BQ86" s="8">
        <f>SUM($BB86,$AI86:AS86)-SUM($BY86:CJ86)</f>
        <v>-1000</v>
      </c>
      <c r="BR86" s="8">
        <f>SUM($BB86,$AI86:AT86)-SUM($BY86:CK86)</f>
        <v>-2000</v>
      </c>
      <c r="BS86" s="8">
        <f>SUM($BB86,$AI86:AU86)-SUM($BY86:CL86)</f>
        <v>-2840</v>
      </c>
      <c r="BT86" s="8">
        <f>SUM($BB86,$AI86:AV86)-SUM($BY86:CM86)</f>
        <v>-3640</v>
      </c>
      <c r="BU86" s="8">
        <f>SUM($BB86,$AI86:AW86)-SUM($BY86:CN86)</f>
        <v>-4340</v>
      </c>
      <c r="BV86" s="8">
        <f>SUM($BB86,$AI86:AX86)-SUM($BY86:CO86)</f>
        <v>-5420</v>
      </c>
      <c r="BW86" s="8">
        <f>SUM($BB86,$AI86:AY86)-SUM($BY86:CP86)</f>
        <v>-6420</v>
      </c>
      <c r="BX86" s="8">
        <f>SUM($BB86,$AI86:AZ86)-SUM($BY86:CQ86)</f>
        <v>-6420</v>
      </c>
      <c r="BY86" s="8" cm="1">
        <f t="array" ref="BY86">SUMPRODUCT(TRANSPOSE(BY$2:BY$15),$I86:$V86)</f>
        <v>0</v>
      </c>
      <c r="BZ86" s="8" cm="1">
        <f t="array" ref="BZ86">SUMPRODUCT(TRANSPOSE(BZ$2:BZ$15),$I86:$V86)</f>
        <v>0</v>
      </c>
      <c r="CA86" s="8" cm="1">
        <f t="array" ref="CA86">SUMPRODUCT(TRANSPOSE(CA$2:CA$15),$I86:$V86)</f>
        <v>0</v>
      </c>
      <c r="CB86" s="8" cm="1">
        <f t="array" ref="CB86">SUMPRODUCT(TRANSPOSE(CB$2:CB$15),$I86:$V86)</f>
        <v>0</v>
      </c>
      <c r="CC86" s="8" cm="1">
        <f t="array" ref="CC86">SUMPRODUCT(TRANSPOSE(CC$2:CC$15),$I86:$V86)</f>
        <v>0</v>
      </c>
      <c r="CD86" s="8" cm="1">
        <f t="array" ref="CD86">SUMPRODUCT(TRANSPOSE(CD$2:CD$15),$I86:$V86)</f>
        <v>0</v>
      </c>
      <c r="CE86" s="8" cm="1">
        <f t="array" ref="CE86">SUMPRODUCT(TRANSPOSE(CE$2:CE$15),$I86:$V86)</f>
        <v>0</v>
      </c>
      <c r="CF86" s="8" cm="1">
        <f t="array" ref="CF86">SUMPRODUCT(TRANSPOSE(CF$2:CF$15),$I86:$V86)</f>
        <v>0</v>
      </c>
      <c r="CG86" s="8" cm="1">
        <f t="array" ref="CG86">SUMPRODUCT(TRANSPOSE(CG$2:CG$15),$I86:$V86)</f>
        <v>0</v>
      </c>
      <c r="CH86" s="8" cm="1">
        <f t="array" ref="CH86">SUMPRODUCT(TRANSPOSE(CH$2:CH$15),$I86:$V86)</f>
        <v>0</v>
      </c>
      <c r="CI86" s="8" cm="1">
        <f t="array" ref="CI86">SUMPRODUCT(TRANSPOSE(CI$2:CI$15),$I86:$V86)</f>
        <v>400</v>
      </c>
      <c r="CJ86" s="8" cm="1">
        <f t="array" ref="CJ86">SUMPRODUCT(TRANSPOSE(CJ$2:CJ$15),$I86:$V86)</f>
        <v>600</v>
      </c>
      <c r="CK86" s="8" cm="1">
        <f t="array" ref="CK86">SUMPRODUCT(TRANSPOSE(CK$2:CK$15),$I86:$V86)</f>
        <v>1000</v>
      </c>
      <c r="CL86" s="8" cm="1">
        <f t="array" ref="CL86">SUMPRODUCT(TRANSPOSE(CL$2:CL$15),$I86:$V86)</f>
        <v>840</v>
      </c>
      <c r="CM86" s="8" cm="1">
        <f t="array" ref="CM86">SUMPRODUCT(TRANSPOSE(CM$2:CM$15),$I86:$V86)</f>
        <v>800</v>
      </c>
      <c r="CN86" s="8" cm="1">
        <f t="array" ref="CN86">SUMPRODUCT(TRANSPOSE(CN$2:CN$15),$I86:$V86)</f>
        <v>700</v>
      </c>
      <c r="CO86" s="8" cm="1">
        <f t="array" ref="CO86">SUMPRODUCT(TRANSPOSE(CO$2:CO$15),$I86:$V86)</f>
        <v>1080</v>
      </c>
      <c r="CP86" s="8" cm="1">
        <f t="array" ref="CP86">SUMPRODUCT(TRANSPOSE(CP$2:CP$15),$I86:$V86)</f>
        <v>1000</v>
      </c>
      <c r="CQ86" s="8" cm="1">
        <f t="array" ref="CQ86">SUMPRODUCT(TRANSPOSE(CQ$2:CQ$15),$I86:$V86)</f>
        <v>0</v>
      </c>
    </row>
    <row r="87" spans="1:95" x14ac:dyDescent="0.25">
      <c r="A87" s="1">
        <v>135</v>
      </c>
      <c r="B87" s="11" t="s">
        <v>241</v>
      </c>
      <c r="C87" s="1" t="s">
        <v>49</v>
      </c>
      <c r="D87" s="1">
        <v>405656805</v>
      </c>
      <c r="E87" s="6">
        <f>VLOOKUP(D87,FFF!$A$2:$B$674,2,)</f>
        <v>403175049</v>
      </c>
      <c r="F87" s="1" t="s">
        <v>242</v>
      </c>
      <c r="G87" s="1" t="s">
        <v>35</v>
      </c>
      <c r="H87" s="1">
        <v>24</v>
      </c>
      <c r="I87" s="1">
        <v>0</v>
      </c>
      <c r="J87" s="1">
        <v>0</v>
      </c>
      <c r="K87" s="1">
        <v>0</v>
      </c>
      <c r="L87" s="1">
        <v>0</v>
      </c>
      <c r="M87" s="1">
        <v>12</v>
      </c>
      <c r="N87" s="1">
        <v>0</v>
      </c>
      <c r="O87" s="1">
        <v>0</v>
      </c>
      <c r="P87" s="1">
        <v>0</v>
      </c>
      <c r="Q87" s="1">
        <v>4</v>
      </c>
      <c r="R87" s="1">
        <v>0</v>
      </c>
      <c r="S87" s="1">
        <v>0</v>
      </c>
      <c r="T87" s="1">
        <v>0</v>
      </c>
      <c r="U87" s="1">
        <v>0</v>
      </c>
      <c r="V87" s="1">
        <v>12</v>
      </c>
      <c r="W87" s="1">
        <f>SUMPRODUCT(I87:V87,$I$13:$V$13)</f>
        <v>45160</v>
      </c>
      <c r="X87" s="6">
        <f t="shared" si="3"/>
        <v>2.8000000000000003</v>
      </c>
      <c r="Y87" s="1" t="str">
        <f>VLOOKUP(D87,[1]PARTS!$A$1:$G$65536,7,0)</f>
        <v>KEMET ELECTRONICS S A</v>
      </c>
      <c r="Z87" s="1">
        <f>VLOOKUP(D87,[2]pareto!$D$12:$AX$306,44,0)</f>
        <v>10000</v>
      </c>
      <c r="AA87" s="1">
        <v>44600</v>
      </c>
      <c r="AB87" s="1">
        <f>CEILING(W87,Z87)</f>
        <v>50000</v>
      </c>
      <c r="AC87" s="1">
        <f>VLOOKUP(D87,[2]pareto!$D$12:$AX$306,47,0)</f>
        <v>0.1</v>
      </c>
      <c r="AD87" s="1" t="s">
        <v>119</v>
      </c>
      <c r="AE87" s="1" t="s">
        <v>243</v>
      </c>
      <c r="AF87" s="19" t="s">
        <v>244</v>
      </c>
      <c r="AG87" s="1" t="s">
        <v>245</v>
      </c>
      <c r="BG87" s="8">
        <f>SUM($BB87,$AI87:AI87)-SUM($BY87:BZ87)</f>
        <v>0</v>
      </c>
      <c r="BH87" s="8">
        <f>SUM($BB87,$AI87:AJ87)-SUM($BY87:CA87)</f>
        <v>0</v>
      </c>
      <c r="BI87" s="8">
        <f>SUM($BB87,$AI87:AK87)-SUM($BY87:CB87)</f>
        <v>0</v>
      </c>
      <c r="BJ87" s="8">
        <f>SUM($BB87,$AI87:AL87)-SUM($BY87:CC87)</f>
        <v>0</v>
      </c>
      <c r="BK87" s="8">
        <f>SUM($BB87,$AI87:AM87)-SUM($BY87:CD87)</f>
        <v>0</v>
      </c>
      <c r="BL87" s="8">
        <f>SUM($BB87,$AI87:AN87)-SUM($BY87:CE87)</f>
        <v>0</v>
      </c>
      <c r="BM87" s="8">
        <f>SUM($BB87,$AI87:AO87)-SUM($BY87:CF87)</f>
        <v>0</v>
      </c>
      <c r="BN87" s="8">
        <f>SUM($BB87,$AI87:AP87)-SUM($BY87:CG87)</f>
        <v>-1600</v>
      </c>
      <c r="BO87" s="8">
        <f>SUM($BB87,$AI87:AQ87)-SUM($BY87:CH87)</f>
        <v>-5200</v>
      </c>
      <c r="BP87" s="8">
        <f>SUM($BB87,$AI87:AR87)-SUM($BY87:CI87)</f>
        <v>-11000</v>
      </c>
      <c r="BQ87" s="8">
        <f>SUM($BB87,$AI87:AS87)-SUM($BY87:CJ87)</f>
        <v>-17440</v>
      </c>
      <c r="BR87" s="8">
        <f>SUM($BB87,$AI87:AT87)-SUM($BY87:CK87)</f>
        <v>-23040</v>
      </c>
      <c r="BS87" s="8">
        <f>SUM($BB87,$AI87:AU87)-SUM($BY87:CL87)</f>
        <v>-28040</v>
      </c>
      <c r="BT87" s="8">
        <f>SUM($BB87,$AI87:AV87)-SUM($BY87:CM87)</f>
        <v>-34520</v>
      </c>
      <c r="BU87" s="8">
        <f>SUM($BB87,$AI87:AW87)-SUM($BY87:CN87)</f>
        <v>-42040</v>
      </c>
      <c r="BV87" s="8">
        <f>SUM($BB87,$AI87:AX87)-SUM($BY87:CO87)</f>
        <v>-45160</v>
      </c>
      <c r="BW87" s="8">
        <f>SUM($BB87,$AI87:AY87)-SUM($BY87:CP87)</f>
        <v>-45160</v>
      </c>
      <c r="BX87" s="8">
        <f>SUM($BB87,$AI87:AZ87)-SUM($BY87:CQ87)</f>
        <v>-45160</v>
      </c>
      <c r="BY87" s="8" cm="1">
        <f t="array" ref="BY87">SUMPRODUCT(TRANSPOSE(BY$2:BY$15),$I87:$V87)</f>
        <v>0</v>
      </c>
      <c r="BZ87" s="8" cm="1">
        <f t="array" ref="BZ87">SUMPRODUCT(TRANSPOSE(BZ$2:BZ$15),$I87:$V87)</f>
        <v>0</v>
      </c>
      <c r="CA87" s="8" cm="1">
        <f t="array" ref="CA87">SUMPRODUCT(TRANSPOSE(CA$2:CA$15),$I87:$V87)</f>
        <v>0</v>
      </c>
      <c r="CB87" s="8" cm="1">
        <f t="array" ref="CB87">SUMPRODUCT(TRANSPOSE(CB$2:CB$15),$I87:$V87)</f>
        <v>0</v>
      </c>
      <c r="CC87" s="8" cm="1">
        <f t="array" ref="CC87">SUMPRODUCT(TRANSPOSE(CC$2:CC$15),$I87:$V87)</f>
        <v>0</v>
      </c>
      <c r="CD87" s="8" cm="1">
        <f t="array" ref="CD87">SUMPRODUCT(TRANSPOSE(CD$2:CD$15),$I87:$V87)</f>
        <v>0</v>
      </c>
      <c r="CE87" s="8" cm="1">
        <f t="array" ref="CE87">SUMPRODUCT(TRANSPOSE(CE$2:CE$15),$I87:$V87)</f>
        <v>0</v>
      </c>
      <c r="CF87" s="8" cm="1">
        <f t="array" ref="CF87">SUMPRODUCT(TRANSPOSE(CF$2:CF$15),$I87:$V87)</f>
        <v>0</v>
      </c>
      <c r="CG87" s="8" cm="1">
        <f t="array" ref="CG87">SUMPRODUCT(TRANSPOSE(CG$2:CG$15),$I87:$V87)</f>
        <v>1600</v>
      </c>
      <c r="CH87" s="8" cm="1">
        <f t="array" ref="CH87">SUMPRODUCT(TRANSPOSE(CH$2:CH$15),$I87:$V87)</f>
        <v>3600</v>
      </c>
      <c r="CI87" s="8" cm="1">
        <f t="array" ref="CI87">SUMPRODUCT(TRANSPOSE(CI$2:CI$15),$I87:$V87)</f>
        <v>5800</v>
      </c>
      <c r="CJ87" s="8" cm="1">
        <f t="array" ref="CJ87">SUMPRODUCT(TRANSPOSE(CJ$2:CJ$15),$I87:$V87)</f>
        <v>6440</v>
      </c>
      <c r="CK87" s="8" cm="1">
        <f t="array" ref="CK87">SUMPRODUCT(TRANSPOSE(CK$2:CK$15),$I87:$V87)</f>
        <v>5600</v>
      </c>
      <c r="CL87" s="8" cm="1">
        <f t="array" ref="CL87">SUMPRODUCT(TRANSPOSE(CL$2:CL$15),$I87:$V87)</f>
        <v>5000</v>
      </c>
      <c r="CM87" s="8" cm="1">
        <f t="array" ref="CM87">SUMPRODUCT(TRANSPOSE(CM$2:CM$15),$I87:$V87)</f>
        <v>6480</v>
      </c>
      <c r="CN87" s="8" cm="1">
        <f t="array" ref="CN87">SUMPRODUCT(TRANSPOSE(CN$2:CN$15),$I87:$V87)</f>
        <v>7520</v>
      </c>
      <c r="CO87" s="8" cm="1">
        <f t="array" ref="CO87">SUMPRODUCT(TRANSPOSE(CO$2:CO$15),$I87:$V87)</f>
        <v>3120</v>
      </c>
      <c r="CP87" s="8" cm="1">
        <f t="array" ref="CP87">SUMPRODUCT(TRANSPOSE(CP$2:CP$15),$I87:$V87)</f>
        <v>0</v>
      </c>
      <c r="CQ87" s="8" cm="1">
        <f t="array" ref="CQ87">SUMPRODUCT(TRANSPOSE(CQ$2:CQ$15),$I87:$V87)</f>
        <v>0</v>
      </c>
    </row>
    <row r="88" spans="1:95" x14ac:dyDescent="0.25">
      <c r="A88" s="1">
        <v>288</v>
      </c>
      <c r="B88" s="11" t="s">
        <v>246</v>
      </c>
      <c r="C88" s="1" t="s">
        <v>49</v>
      </c>
      <c r="D88" s="1">
        <v>400567121</v>
      </c>
      <c r="E88" s="6">
        <f>VLOOKUP(D88,FFF!$A$2:$B$674,2,)</f>
        <v>400856507</v>
      </c>
      <c r="F88" s="1" t="s">
        <v>247</v>
      </c>
      <c r="G88" s="1" t="s">
        <v>35</v>
      </c>
      <c r="H88" s="1">
        <v>4</v>
      </c>
      <c r="I88" s="1">
        <v>0</v>
      </c>
      <c r="J88" s="1">
        <v>0</v>
      </c>
      <c r="K88" s="1">
        <v>0</v>
      </c>
      <c r="L88" s="1">
        <v>0</v>
      </c>
      <c r="M88" s="1">
        <v>2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2</v>
      </c>
      <c r="W88" s="1">
        <f>SUMPRODUCT(I88:V88,$I$13:$V$13)</f>
        <v>6420</v>
      </c>
      <c r="X88" s="6">
        <f t="shared" si="3"/>
        <v>10.836</v>
      </c>
      <c r="Y88" s="1" t="str">
        <f>VLOOKUP(D88,[1]PARTS!$A$1:$G$65536,7,0)</f>
        <v>ANALOG DEVICES</v>
      </c>
      <c r="Z88" s="1">
        <f>VLOOKUP(D88,[2]pareto!$D$12:$AX$306,44,0)</f>
        <v>1000</v>
      </c>
      <c r="AA88" s="1">
        <f>VLOOKUP(D88,[2]pareto!$D$12:$AX$306,45,0)</f>
        <v>1000</v>
      </c>
      <c r="AB88" s="1">
        <f>CEILING(W88,Z88)</f>
        <v>7000</v>
      </c>
      <c r="AC88" s="1">
        <v>2.7090000000000001</v>
      </c>
      <c r="AD88" s="1" t="s">
        <v>107</v>
      </c>
      <c r="AE88" s="1" t="s">
        <v>108</v>
      </c>
      <c r="AF88" s="19" t="s">
        <v>109</v>
      </c>
      <c r="AG88" s="1" t="s">
        <v>110</v>
      </c>
      <c r="BG88" s="8">
        <f>SUM($BB88,$AI88:AI88)-SUM($BY88:BZ88)</f>
        <v>0</v>
      </c>
      <c r="BH88" s="8">
        <f>SUM($BB88,$AI88:AJ88)-SUM($BY88:CA88)</f>
        <v>0</v>
      </c>
      <c r="BI88" s="8">
        <f>SUM($BB88,$AI88:AK88)-SUM($BY88:CB88)</f>
        <v>0</v>
      </c>
      <c r="BJ88" s="8">
        <f>SUM($BB88,$AI88:AL88)-SUM($BY88:CC88)</f>
        <v>0</v>
      </c>
      <c r="BK88" s="8">
        <f>SUM($BB88,$AI88:AM88)-SUM($BY88:CD88)</f>
        <v>0</v>
      </c>
      <c r="BL88" s="8">
        <f>SUM($BB88,$AI88:AN88)-SUM($BY88:CE88)</f>
        <v>0</v>
      </c>
      <c r="BM88" s="8">
        <f>SUM($BB88,$AI88:AO88)-SUM($BY88:CF88)</f>
        <v>0</v>
      </c>
      <c r="BN88" s="8">
        <f>SUM($BB88,$AI88:AP88)-SUM($BY88:CG88)</f>
        <v>-200</v>
      </c>
      <c r="BO88" s="8">
        <f>SUM($BB88,$AI88:AQ88)-SUM($BY88:CH88)</f>
        <v>-700</v>
      </c>
      <c r="BP88" s="8">
        <f>SUM($BB88,$AI88:AR88)-SUM($BY88:CI88)</f>
        <v>-1500</v>
      </c>
      <c r="BQ88" s="8">
        <f>SUM($BB88,$AI88:AS88)-SUM($BY88:CJ88)</f>
        <v>-2440</v>
      </c>
      <c r="BR88" s="8">
        <f>SUM($BB88,$AI88:AT88)-SUM($BY88:CK88)</f>
        <v>-3240</v>
      </c>
      <c r="BS88" s="8">
        <f>SUM($BB88,$AI88:AU88)-SUM($BY88:CL88)</f>
        <v>-3940</v>
      </c>
      <c r="BT88" s="8">
        <f>SUM($BB88,$AI88:AV88)-SUM($BY88:CM88)</f>
        <v>-4820</v>
      </c>
      <c r="BU88" s="8">
        <f>SUM($BB88,$AI88:AW88)-SUM($BY88:CN88)</f>
        <v>-5900</v>
      </c>
      <c r="BV88" s="8">
        <f>SUM($BB88,$AI88:AX88)-SUM($BY88:CO88)</f>
        <v>-6420</v>
      </c>
      <c r="BW88" s="8">
        <f>SUM($BB88,$AI88:AY88)-SUM($BY88:CP88)</f>
        <v>-6420</v>
      </c>
      <c r="BX88" s="8">
        <f>SUM($BB88,$AI88:AZ88)-SUM($BY88:CQ88)</f>
        <v>-6420</v>
      </c>
      <c r="BY88" s="8" cm="1">
        <f t="array" ref="BY88">SUMPRODUCT(TRANSPOSE(BY$2:BY$15),$I88:$V88)</f>
        <v>0</v>
      </c>
      <c r="BZ88" s="8" cm="1">
        <f t="array" ref="BZ88">SUMPRODUCT(TRANSPOSE(BZ$2:BZ$15),$I88:$V88)</f>
        <v>0</v>
      </c>
      <c r="CA88" s="8" cm="1">
        <f t="array" ref="CA88">SUMPRODUCT(TRANSPOSE(CA$2:CA$15),$I88:$V88)</f>
        <v>0</v>
      </c>
      <c r="CB88" s="8" cm="1">
        <f t="array" ref="CB88">SUMPRODUCT(TRANSPOSE(CB$2:CB$15),$I88:$V88)</f>
        <v>0</v>
      </c>
      <c r="CC88" s="8" cm="1">
        <f t="array" ref="CC88">SUMPRODUCT(TRANSPOSE(CC$2:CC$15),$I88:$V88)</f>
        <v>0</v>
      </c>
      <c r="CD88" s="8" cm="1">
        <f t="array" ref="CD88">SUMPRODUCT(TRANSPOSE(CD$2:CD$15),$I88:$V88)</f>
        <v>0</v>
      </c>
      <c r="CE88" s="8" cm="1">
        <f t="array" ref="CE88">SUMPRODUCT(TRANSPOSE(CE$2:CE$15),$I88:$V88)</f>
        <v>0</v>
      </c>
      <c r="CF88" s="8" cm="1">
        <f t="array" ref="CF88">SUMPRODUCT(TRANSPOSE(CF$2:CF$15),$I88:$V88)</f>
        <v>0</v>
      </c>
      <c r="CG88" s="8" cm="1">
        <f t="array" ref="CG88">SUMPRODUCT(TRANSPOSE(CG$2:CG$15),$I88:$V88)</f>
        <v>200</v>
      </c>
      <c r="CH88" s="8" cm="1">
        <f t="array" ref="CH88">SUMPRODUCT(TRANSPOSE(CH$2:CH$15),$I88:$V88)</f>
        <v>500</v>
      </c>
      <c r="CI88" s="8" cm="1">
        <f t="array" ref="CI88">SUMPRODUCT(TRANSPOSE(CI$2:CI$15),$I88:$V88)</f>
        <v>800</v>
      </c>
      <c r="CJ88" s="8" cm="1">
        <f t="array" ref="CJ88">SUMPRODUCT(TRANSPOSE(CJ$2:CJ$15),$I88:$V88)</f>
        <v>940</v>
      </c>
      <c r="CK88" s="8" cm="1">
        <f t="array" ref="CK88">SUMPRODUCT(TRANSPOSE(CK$2:CK$15),$I88:$V88)</f>
        <v>800</v>
      </c>
      <c r="CL88" s="8" cm="1">
        <f t="array" ref="CL88">SUMPRODUCT(TRANSPOSE(CL$2:CL$15),$I88:$V88)</f>
        <v>700</v>
      </c>
      <c r="CM88" s="8" cm="1">
        <f t="array" ref="CM88">SUMPRODUCT(TRANSPOSE(CM$2:CM$15),$I88:$V88)</f>
        <v>880</v>
      </c>
      <c r="CN88" s="8" cm="1">
        <f t="array" ref="CN88">SUMPRODUCT(TRANSPOSE(CN$2:CN$15),$I88:$V88)</f>
        <v>1080</v>
      </c>
      <c r="CO88" s="8" cm="1">
        <f t="array" ref="CO88">SUMPRODUCT(TRANSPOSE(CO$2:CO$15),$I88:$V88)</f>
        <v>520</v>
      </c>
      <c r="CP88" s="8" cm="1">
        <f t="array" ref="CP88">SUMPRODUCT(TRANSPOSE(CP$2:CP$15),$I88:$V88)</f>
        <v>0</v>
      </c>
      <c r="CQ88" s="8" cm="1">
        <f t="array" ref="CQ88">SUMPRODUCT(TRANSPOSE(CQ$2:CQ$15),$I88:$V88)</f>
        <v>0</v>
      </c>
    </row>
    <row r="89" spans="1:95" x14ac:dyDescent="0.25">
      <c r="A89" s="1">
        <v>91</v>
      </c>
      <c r="B89" s="11" t="s">
        <v>248</v>
      </c>
      <c r="C89" s="1" t="s">
        <v>49</v>
      </c>
      <c r="D89" s="1">
        <v>400339908</v>
      </c>
      <c r="E89" s="6"/>
      <c r="F89" s="1" t="s">
        <v>249</v>
      </c>
      <c r="G89" s="1" t="s">
        <v>35</v>
      </c>
      <c r="H89" s="1">
        <v>2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2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f>SUMPRODUCT(I89:V89,$I$13:$V$13)</f>
        <v>3320</v>
      </c>
      <c r="X89" s="6">
        <f t="shared" si="3"/>
        <v>8.5</v>
      </c>
      <c r="Y89" s="1" t="str">
        <f>VLOOKUP(D89,[1]PARTS!$A$1:$G$65536,7,0)</f>
        <v>VISHAY SPRAGUE</v>
      </c>
      <c r="Z89" s="1">
        <v>300</v>
      </c>
      <c r="AA89" s="1">
        <v>3280</v>
      </c>
      <c r="AB89" s="1">
        <f>CEILING(W89,Z89)</f>
        <v>3600</v>
      </c>
      <c r="AC89" s="1">
        <f>VLOOKUP(D89,[2]pareto!$D$12:$AX$306,47,0)</f>
        <v>4.25</v>
      </c>
      <c r="AD89" s="1" t="s">
        <v>250</v>
      </c>
      <c r="AE89" s="1" t="s">
        <v>251</v>
      </c>
      <c r="AF89" s="19" t="s">
        <v>252</v>
      </c>
      <c r="AG89" s="1" t="s">
        <v>253</v>
      </c>
      <c r="BG89" s="8">
        <f>SUM($BB89,$AI89:AI89)-SUM($BY89:BZ89)</f>
        <v>0</v>
      </c>
      <c r="BH89" s="8">
        <f>SUM($BB89,$AI89:AJ89)-SUM($BY89:CA89)</f>
        <v>0</v>
      </c>
      <c r="BI89" s="8">
        <f>SUM($BB89,$AI89:AK89)-SUM($BY89:CB89)</f>
        <v>0</v>
      </c>
      <c r="BJ89" s="8">
        <f>SUM($BB89,$AI89:AL89)-SUM($BY89:CC89)</f>
        <v>0</v>
      </c>
      <c r="BK89" s="8">
        <f>SUM($BB89,$AI89:AM89)-SUM($BY89:CD89)</f>
        <v>0</v>
      </c>
      <c r="BL89" s="8">
        <f>SUM($BB89,$AI89:AN89)-SUM($BY89:CE89)</f>
        <v>0</v>
      </c>
      <c r="BM89" s="8">
        <f>SUM($BB89,$AI89:AO89)-SUM($BY89:CF89)</f>
        <v>0</v>
      </c>
      <c r="BN89" s="8">
        <f>SUM($BB89,$AI89:AP89)-SUM($BY89:CG89)</f>
        <v>-200</v>
      </c>
      <c r="BO89" s="8">
        <f>SUM($BB89,$AI89:AQ89)-SUM($BY89:CH89)</f>
        <v>-500</v>
      </c>
      <c r="BP89" s="8">
        <f>SUM($BB89,$AI89:AR89)-SUM($BY89:CI89)</f>
        <v>-1000</v>
      </c>
      <c r="BQ89" s="8">
        <f>SUM($BB89,$AI89:AS89)-SUM($BY89:CJ89)</f>
        <v>-1400</v>
      </c>
      <c r="BR89" s="8">
        <f>SUM($BB89,$AI89:AT89)-SUM($BY89:CK89)</f>
        <v>-1800</v>
      </c>
      <c r="BS89" s="8">
        <f>SUM($BB89,$AI89:AU89)-SUM($BY89:CL89)</f>
        <v>-2200</v>
      </c>
      <c r="BT89" s="8">
        <f>SUM($BB89,$AI89:AV89)-SUM($BY89:CM89)</f>
        <v>-2800</v>
      </c>
      <c r="BU89" s="8">
        <f>SUM($BB89,$AI89:AW89)-SUM($BY89:CN89)</f>
        <v>-3320</v>
      </c>
      <c r="BV89" s="8">
        <f>SUM($BB89,$AI89:AX89)-SUM($BY89:CO89)</f>
        <v>-3320</v>
      </c>
      <c r="BW89" s="8">
        <f>SUM($BB89,$AI89:AY89)-SUM($BY89:CP89)</f>
        <v>-3320</v>
      </c>
      <c r="BX89" s="8">
        <f>SUM($BB89,$AI89:AZ89)-SUM($BY89:CQ89)</f>
        <v>-3320</v>
      </c>
      <c r="BY89" s="8" cm="1">
        <f t="array" ref="BY89">SUMPRODUCT(TRANSPOSE(BY$2:BY$15),$I89:$V89)</f>
        <v>0</v>
      </c>
      <c r="BZ89" s="8" cm="1">
        <f t="array" ref="BZ89">SUMPRODUCT(TRANSPOSE(BZ$2:BZ$15),$I89:$V89)</f>
        <v>0</v>
      </c>
      <c r="CA89" s="8" cm="1">
        <f t="array" ref="CA89">SUMPRODUCT(TRANSPOSE(CA$2:CA$15),$I89:$V89)</f>
        <v>0</v>
      </c>
      <c r="CB89" s="8" cm="1">
        <f t="array" ref="CB89">SUMPRODUCT(TRANSPOSE(CB$2:CB$15),$I89:$V89)</f>
        <v>0</v>
      </c>
      <c r="CC89" s="8" cm="1">
        <f t="array" ref="CC89">SUMPRODUCT(TRANSPOSE(CC$2:CC$15),$I89:$V89)</f>
        <v>0</v>
      </c>
      <c r="CD89" s="8" cm="1">
        <f t="array" ref="CD89">SUMPRODUCT(TRANSPOSE(CD$2:CD$15),$I89:$V89)</f>
        <v>0</v>
      </c>
      <c r="CE89" s="8" cm="1">
        <f t="array" ref="CE89">SUMPRODUCT(TRANSPOSE(CE$2:CE$15),$I89:$V89)</f>
        <v>0</v>
      </c>
      <c r="CF89" s="8" cm="1">
        <f t="array" ref="CF89">SUMPRODUCT(TRANSPOSE(CF$2:CF$15),$I89:$V89)</f>
        <v>0</v>
      </c>
      <c r="CG89" s="8" cm="1">
        <f t="array" ref="CG89">SUMPRODUCT(TRANSPOSE(CG$2:CG$15),$I89:$V89)</f>
        <v>200</v>
      </c>
      <c r="CH89" s="8" cm="1">
        <f t="array" ref="CH89">SUMPRODUCT(TRANSPOSE(CH$2:CH$15),$I89:$V89)</f>
        <v>300</v>
      </c>
      <c r="CI89" s="8" cm="1">
        <f t="array" ref="CI89">SUMPRODUCT(TRANSPOSE(CI$2:CI$15),$I89:$V89)</f>
        <v>500</v>
      </c>
      <c r="CJ89" s="8" cm="1">
        <f t="array" ref="CJ89">SUMPRODUCT(TRANSPOSE(CJ$2:CJ$15),$I89:$V89)</f>
        <v>400</v>
      </c>
      <c r="CK89" s="8" cm="1">
        <f t="array" ref="CK89">SUMPRODUCT(TRANSPOSE(CK$2:CK$15),$I89:$V89)</f>
        <v>400</v>
      </c>
      <c r="CL89" s="8" cm="1">
        <f t="array" ref="CL89">SUMPRODUCT(TRANSPOSE(CL$2:CL$15),$I89:$V89)</f>
        <v>400</v>
      </c>
      <c r="CM89" s="8" cm="1">
        <f t="array" ref="CM89">SUMPRODUCT(TRANSPOSE(CM$2:CM$15),$I89:$V89)</f>
        <v>600</v>
      </c>
      <c r="CN89" s="8" cm="1">
        <f t="array" ref="CN89">SUMPRODUCT(TRANSPOSE(CN$2:CN$15),$I89:$V89)</f>
        <v>520</v>
      </c>
      <c r="CO89" s="8" cm="1">
        <f t="array" ref="CO89">SUMPRODUCT(TRANSPOSE(CO$2:CO$15),$I89:$V89)</f>
        <v>0</v>
      </c>
      <c r="CP89" s="8" cm="1">
        <f t="array" ref="CP89">SUMPRODUCT(TRANSPOSE(CP$2:CP$15),$I89:$V89)</f>
        <v>0</v>
      </c>
      <c r="CQ89" s="8" cm="1">
        <f t="array" ref="CQ89">SUMPRODUCT(TRANSPOSE(CQ$2:CQ$15),$I89:$V89)</f>
        <v>0</v>
      </c>
    </row>
    <row r="90" spans="1:95" x14ac:dyDescent="0.25">
      <c r="A90" s="1">
        <v>303</v>
      </c>
      <c r="B90" s="11" t="s">
        <v>254</v>
      </c>
      <c r="C90" s="1" t="s">
        <v>164</v>
      </c>
      <c r="D90" s="1">
        <v>732350392</v>
      </c>
      <c r="E90" s="6"/>
      <c r="F90" s="1" t="s">
        <v>255</v>
      </c>
      <c r="G90" s="1" t="s">
        <v>256</v>
      </c>
      <c r="H90" s="1" t="s">
        <v>257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0.05</v>
      </c>
      <c r="V90" s="1">
        <v>0</v>
      </c>
      <c r="W90" s="1">
        <f>SUMPRODUCT(I90:V90,$I$13:$V$13)</f>
        <v>83</v>
      </c>
      <c r="X90" s="6">
        <f t="shared" si="3"/>
        <v>4.5000000000000005E-2</v>
      </c>
      <c r="Y90" s="1" t="str">
        <f>VLOOKUP(D90,[1]PARTS!$A$1:$G$65536,7,0)</f>
        <v>MOMENTIVE PERFORMANCE MATERIALS</v>
      </c>
      <c r="Z90" s="1">
        <v>1</v>
      </c>
      <c r="AA90" s="1">
        <f>VLOOKUP(D90,[2]pareto!$D$12:$AX$306,45,0)</f>
        <v>0</v>
      </c>
      <c r="AB90" s="1">
        <f>CEILING(W90,Z90)</f>
        <v>83</v>
      </c>
      <c r="AC90" s="1">
        <f>VLOOKUP(D90,[2]pareto!$D$12:$AX$306,47,0)</f>
        <v>0.9</v>
      </c>
      <c r="AD90" s="1" t="s">
        <v>258</v>
      </c>
      <c r="AE90" s="1" t="s">
        <v>258</v>
      </c>
      <c r="AF90" s="1" t="s">
        <v>258</v>
      </c>
      <c r="AG90" s="1" t="s">
        <v>258</v>
      </c>
      <c r="BG90" s="8">
        <f>SUM($BB90,$AI90:AI90)-SUM($BY90:BZ90)</f>
        <v>0</v>
      </c>
      <c r="BH90" s="8">
        <f>SUM($BB90,$AI90:AJ90)-SUM($BY90:CA90)</f>
        <v>0</v>
      </c>
      <c r="BI90" s="8">
        <f>SUM($BB90,$AI90:AK90)-SUM($BY90:CB90)</f>
        <v>0</v>
      </c>
      <c r="BJ90" s="8">
        <f>SUM($BB90,$AI90:AL90)-SUM($BY90:CC90)</f>
        <v>0</v>
      </c>
      <c r="BK90" s="8">
        <f>SUM($BB90,$AI90:AM90)-SUM($BY90:CD90)</f>
        <v>0</v>
      </c>
      <c r="BL90" s="8">
        <f>SUM($BB90,$AI90:AN90)-SUM($BY90:CE90)</f>
        <v>0</v>
      </c>
      <c r="BM90" s="8">
        <f>SUM($BB90,$AI90:AO90)-SUM($BY90:CF90)</f>
        <v>0</v>
      </c>
      <c r="BN90" s="8">
        <f>SUM($BB90,$AI90:AP90)-SUM($BY90:CG90)</f>
        <v>0</v>
      </c>
      <c r="BO90" s="8">
        <f>SUM($BB90,$AI90:AQ90)-SUM($BY90:CH90)</f>
        <v>-5</v>
      </c>
      <c r="BP90" s="8">
        <f>SUM($BB90,$AI90:AR90)-SUM($BY90:CI90)</f>
        <v>-12.5</v>
      </c>
      <c r="BQ90" s="8">
        <f>SUM($BB90,$AI90:AS90)-SUM($BY90:CJ90)</f>
        <v>-25</v>
      </c>
      <c r="BR90" s="8">
        <f>SUM($BB90,$AI90:AT90)-SUM($BY90:CK90)</f>
        <v>-35</v>
      </c>
      <c r="BS90" s="8">
        <f>SUM($BB90,$AI90:AU90)-SUM($BY90:CL90)</f>
        <v>-45</v>
      </c>
      <c r="BT90" s="8">
        <f>SUM($BB90,$AI90:AV90)-SUM($BY90:CM90)</f>
        <v>-55</v>
      </c>
      <c r="BU90" s="8">
        <f>SUM($BB90,$AI90:AW90)-SUM($BY90:CN90)</f>
        <v>-70</v>
      </c>
      <c r="BV90" s="8">
        <f>SUM($BB90,$AI90:AX90)-SUM($BY90:CO90)</f>
        <v>-83</v>
      </c>
      <c r="BW90" s="8">
        <f>SUM($BB90,$AI90:AY90)-SUM($BY90:CP90)</f>
        <v>-83</v>
      </c>
      <c r="BX90" s="8">
        <f>SUM($BB90,$AI90:AZ90)-SUM($BY90:CQ90)</f>
        <v>-83</v>
      </c>
      <c r="BY90" s="8" cm="1">
        <f t="array" ref="BY90">SUMPRODUCT(TRANSPOSE(BY$2:BY$15),$I90:$V90)</f>
        <v>0</v>
      </c>
      <c r="BZ90" s="8" cm="1">
        <f t="array" ref="BZ90">SUMPRODUCT(TRANSPOSE(BZ$2:BZ$15),$I90:$V90)</f>
        <v>0</v>
      </c>
      <c r="CA90" s="8" cm="1">
        <f t="array" ref="CA90">SUMPRODUCT(TRANSPOSE(CA$2:CA$15),$I90:$V90)</f>
        <v>0</v>
      </c>
      <c r="CB90" s="8" cm="1">
        <f t="array" ref="CB90">SUMPRODUCT(TRANSPOSE(CB$2:CB$15),$I90:$V90)</f>
        <v>0</v>
      </c>
      <c r="CC90" s="8" cm="1">
        <f t="array" ref="CC90">SUMPRODUCT(TRANSPOSE(CC$2:CC$15),$I90:$V90)</f>
        <v>0</v>
      </c>
      <c r="CD90" s="8" cm="1">
        <f t="array" ref="CD90">SUMPRODUCT(TRANSPOSE(CD$2:CD$15),$I90:$V90)</f>
        <v>0</v>
      </c>
      <c r="CE90" s="8" cm="1">
        <f t="array" ref="CE90">SUMPRODUCT(TRANSPOSE(CE$2:CE$15),$I90:$V90)</f>
        <v>0</v>
      </c>
      <c r="CF90" s="8" cm="1">
        <f t="array" ref="CF90">SUMPRODUCT(TRANSPOSE(CF$2:CF$15),$I90:$V90)</f>
        <v>0</v>
      </c>
      <c r="CG90" s="8" cm="1">
        <f t="array" ref="CG90">SUMPRODUCT(TRANSPOSE(CG$2:CG$15),$I90:$V90)</f>
        <v>0</v>
      </c>
      <c r="CH90" s="8" cm="1">
        <f t="array" ref="CH90">SUMPRODUCT(TRANSPOSE(CH$2:CH$15),$I90:$V90)</f>
        <v>5</v>
      </c>
      <c r="CI90" s="8" cm="1">
        <f t="array" ref="CI90">SUMPRODUCT(TRANSPOSE(CI$2:CI$15),$I90:$V90)</f>
        <v>7.5</v>
      </c>
      <c r="CJ90" s="8" cm="1">
        <f t="array" ref="CJ90">SUMPRODUCT(TRANSPOSE(CJ$2:CJ$15),$I90:$V90)</f>
        <v>12.5</v>
      </c>
      <c r="CK90" s="8" cm="1">
        <f t="array" ref="CK90">SUMPRODUCT(TRANSPOSE(CK$2:CK$15),$I90:$V90)</f>
        <v>10</v>
      </c>
      <c r="CL90" s="8" cm="1">
        <f t="array" ref="CL90">SUMPRODUCT(TRANSPOSE(CL$2:CL$15),$I90:$V90)</f>
        <v>10</v>
      </c>
      <c r="CM90" s="8" cm="1">
        <f t="array" ref="CM90">SUMPRODUCT(TRANSPOSE(CM$2:CM$15),$I90:$V90)</f>
        <v>10</v>
      </c>
      <c r="CN90" s="8" cm="1">
        <f t="array" ref="CN90">SUMPRODUCT(TRANSPOSE(CN$2:CN$15),$I90:$V90)</f>
        <v>15</v>
      </c>
      <c r="CO90" s="8" cm="1">
        <f t="array" ref="CO90">SUMPRODUCT(TRANSPOSE(CO$2:CO$15),$I90:$V90)</f>
        <v>13</v>
      </c>
      <c r="CP90" s="8" cm="1">
        <f t="array" ref="CP90">SUMPRODUCT(TRANSPOSE(CP$2:CP$15),$I90:$V90)</f>
        <v>0</v>
      </c>
      <c r="CQ90" s="8" cm="1">
        <f t="array" ref="CQ90">SUMPRODUCT(TRANSPOSE(CQ$2:CQ$15),$I90:$V90)</f>
        <v>0</v>
      </c>
    </row>
    <row r="91" spans="1:95" x14ac:dyDescent="0.25">
      <c r="A91" s="1">
        <v>314</v>
      </c>
      <c r="B91" s="11" t="s">
        <v>259</v>
      </c>
      <c r="C91" s="1" t="s">
        <v>49</v>
      </c>
      <c r="D91" s="1" t="s">
        <v>260</v>
      </c>
      <c r="E91" s="6"/>
      <c r="F91" s="1" t="s">
        <v>261</v>
      </c>
      <c r="G91" s="1" t="s">
        <v>35</v>
      </c>
      <c r="H91" s="1">
        <v>2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2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f>SUMPRODUCT(I91:V91,$I$13:$V$13)</f>
        <v>3320</v>
      </c>
      <c r="X91" s="6">
        <f t="shared" si="3"/>
        <v>9</v>
      </c>
      <c r="Y91" s="1" t="str">
        <f>VLOOKUP(D91,[1]PARTS!$A$1:$G$65536,7,0)</f>
        <v>SMITHS INTERCONNECT AMERICAS,</v>
      </c>
      <c r="Z91" s="1">
        <v>1</v>
      </c>
      <c r="AA91" s="1">
        <v>35</v>
      </c>
      <c r="AB91" s="1">
        <f>CEILING(W91,Z91)*0.5</f>
        <v>1660</v>
      </c>
      <c r="AC91" s="1">
        <f>VLOOKUP(D91,[2]pareto!$D$12:$AX$306,47,0)</f>
        <v>4.5</v>
      </c>
      <c r="AD91" s="1" t="str">
        <f>VLOOKUP(D91,[2]pareto!$D$11:$BD$306,50,0)</f>
        <v>RMFW</v>
      </c>
      <c r="AE91" s="1" t="s">
        <v>168</v>
      </c>
      <c r="AF91" s="19" t="s">
        <v>169</v>
      </c>
      <c r="AG91" s="1" t="s">
        <v>170</v>
      </c>
      <c r="AH91" s="1" t="s">
        <v>262</v>
      </c>
      <c r="BG91" s="8">
        <f>SUM($BB91,$AI91:AI91)-SUM($BY91:BZ91)</f>
        <v>0</v>
      </c>
      <c r="BH91" s="8">
        <f>SUM($BB91,$AI91:AJ91)-SUM($BY91:CA91)</f>
        <v>0</v>
      </c>
      <c r="BI91" s="8">
        <f>SUM($BB91,$AI91:AK91)-SUM($BY91:CB91)</f>
        <v>0</v>
      </c>
      <c r="BJ91" s="8">
        <f>SUM($BB91,$AI91:AL91)-SUM($BY91:CC91)</f>
        <v>0</v>
      </c>
      <c r="BK91" s="8">
        <f>SUM($BB91,$AI91:AM91)-SUM($BY91:CD91)</f>
        <v>0</v>
      </c>
      <c r="BL91" s="8">
        <f>SUM($BB91,$AI91:AN91)-SUM($BY91:CE91)</f>
        <v>0</v>
      </c>
      <c r="BM91" s="8">
        <f>SUM($BB91,$AI91:AO91)-SUM($BY91:CF91)</f>
        <v>0</v>
      </c>
      <c r="BN91" s="8">
        <f>SUM($BB91,$AI91:AP91)-SUM($BY91:CG91)</f>
        <v>-200</v>
      </c>
      <c r="BO91" s="8">
        <f>SUM($BB91,$AI91:AQ91)-SUM($BY91:CH91)</f>
        <v>-500</v>
      </c>
      <c r="BP91" s="8">
        <f>SUM($BB91,$AI91:AR91)-SUM($BY91:CI91)</f>
        <v>-1000</v>
      </c>
      <c r="BQ91" s="8">
        <f>SUM($BB91,$AI91:AS91)-SUM($BY91:CJ91)</f>
        <v>-1400</v>
      </c>
      <c r="BR91" s="8">
        <f>SUM($BB91,$AI91:AT91)-SUM($BY91:CK91)</f>
        <v>-1800</v>
      </c>
      <c r="BS91" s="8">
        <f>SUM($BB91,$AI91:AU91)-SUM($BY91:CL91)</f>
        <v>-2200</v>
      </c>
      <c r="BT91" s="8">
        <f>SUM($BB91,$AI91:AV91)-SUM($BY91:CM91)</f>
        <v>-2800</v>
      </c>
      <c r="BU91" s="8">
        <f>SUM($BB91,$AI91:AW91)-SUM($BY91:CN91)</f>
        <v>-3320</v>
      </c>
      <c r="BV91" s="8">
        <f>SUM($BB91,$AI91:AX91)-SUM($BY91:CO91)</f>
        <v>-3320</v>
      </c>
      <c r="BW91" s="8">
        <f>SUM($BB91,$AI91:AY91)-SUM($BY91:CP91)</f>
        <v>-3320</v>
      </c>
      <c r="BX91" s="8">
        <f>SUM($BB91,$AI91:AZ91)-SUM($BY91:CQ91)</f>
        <v>-3320</v>
      </c>
      <c r="BY91" s="8" cm="1">
        <f t="array" ref="BY91">SUMPRODUCT(TRANSPOSE(BY$2:BY$15),$I91:$V91)</f>
        <v>0</v>
      </c>
      <c r="BZ91" s="8" cm="1">
        <f t="array" ref="BZ91">SUMPRODUCT(TRANSPOSE(BZ$2:BZ$15),$I91:$V91)</f>
        <v>0</v>
      </c>
      <c r="CA91" s="8" cm="1">
        <f t="array" ref="CA91">SUMPRODUCT(TRANSPOSE(CA$2:CA$15),$I91:$V91)</f>
        <v>0</v>
      </c>
      <c r="CB91" s="8" cm="1">
        <f t="array" ref="CB91">SUMPRODUCT(TRANSPOSE(CB$2:CB$15),$I91:$V91)</f>
        <v>0</v>
      </c>
      <c r="CC91" s="8" cm="1">
        <f t="array" ref="CC91">SUMPRODUCT(TRANSPOSE(CC$2:CC$15),$I91:$V91)</f>
        <v>0</v>
      </c>
      <c r="CD91" s="8" cm="1">
        <f t="array" ref="CD91">SUMPRODUCT(TRANSPOSE(CD$2:CD$15),$I91:$V91)</f>
        <v>0</v>
      </c>
      <c r="CE91" s="8" cm="1">
        <f t="array" ref="CE91">SUMPRODUCT(TRANSPOSE(CE$2:CE$15),$I91:$V91)</f>
        <v>0</v>
      </c>
      <c r="CF91" s="8" cm="1">
        <f t="array" ref="CF91">SUMPRODUCT(TRANSPOSE(CF$2:CF$15),$I91:$V91)</f>
        <v>0</v>
      </c>
      <c r="CG91" s="8" cm="1">
        <f t="array" ref="CG91">SUMPRODUCT(TRANSPOSE(CG$2:CG$15),$I91:$V91)</f>
        <v>200</v>
      </c>
      <c r="CH91" s="8" cm="1">
        <f t="array" ref="CH91">SUMPRODUCT(TRANSPOSE(CH$2:CH$15),$I91:$V91)</f>
        <v>300</v>
      </c>
      <c r="CI91" s="8" cm="1">
        <f t="array" ref="CI91">SUMPRODUCT(TRANSPOSE(CI$2:CI$15),$I91:$V91)</f>
        <v>500</v>
      </c>
      <c r="CJ91" s="8" cm="1">
        <f t="array" ref="CJ91">SUMPRODUCT(TRANSPOSE(CJ$2:CJ$15),$I91:$V91)</f>
        <v>400</v>
      </c>
      <c r="CK91" s="8" cm="1">
        <f t="array" ref="CK91">SUMPRODUCT(TRANSPOSE(CK$2:CK$15),$I91:$V91)</f>
        <v>400</v>
      </c>
      <c r="CL91" s="8" cm="1">
        <f t="array" ref="CL91">SUMPRODUCT(TRANSPOSE(CL$2:CL$15),$I91:$V91)</f>
        <v>400</v>
      </c>
      <c r="CM91" s="8" cm="1">
        <f t="array" ref="CM91">SUMPRODUCT(TRANSPOSE(CM$2:CM$15),$I91:$V91)</f>
        <v>600</v>
      </c>
      <c r="CN91" s="8" cm="1">
        <f t="array" ref="CN91">SUMPRODUCT(TRANSPOSE(CN$2:CN$15),$I91:$V91)</f>
        <v>520</v>
      </c>
      <c r="CO91" s="8" cm="1">
        <f t="array" ref="CO91">SUMPRODUCT(TRANSPOSE(CO$2:CO$15),$I91:$V91)</f>
        <v>0</v>
      </c>
      <c r="CP91" s="8" cm="1">
        <f t="array" ref="CP91">SUMPRODUCT(TRANSPOSE(CP$2:CP$15),$I91:$V91)</f>
        <v>0</v>
      </c>
      <c r="CQ91" s="8" cm="1">
        <f t="array" ref="CQ91">SUMPRODUCT(TRANSPOSE(CQ$2:CQ$15),$I91:$V91)</f>
        <v>0</v>
      </c>
    </row>
    <row r="92" spans="1:95" x14ac:dyDescent="0.25">
      <c r="A92" s="1">
        <v>27</v>
      </c>
      <c r="B92" s="11" t="s">
        <v>263</v>
      </c>
      <c r="C92" s="1" t="s">
        <v>68</v>
      </c>
      <c r="D92" s="1">
        <v>403581662</v>
      </c>
      <c r="E92" s="6"/>
      <c r="F92" s="1" t="s">
        <v>264</v>
      </c>
      <c r="G92" s="1" t="s">
        <v>35</v>
      </c>
      <c r="H92" s="1">
        <v>4</v>
      </c>
      <c r="I92" s="1">
        <v>0</v>
      </c>
      <c r="J92" s="1">
        <v>2</v>
      </c>
      <c r="K92" s="1">
        <v>0</v>
      </c>
      <c r="L92" s="1">
        <v>0</v>
      </c>
      <c r="M92" s="1">
        <v>0</v>
      </c>
      <c r="N92" s="1">
        <v>0</v>
      </c>
      <c r="O92" s="1">
        <v>2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f>SUMPRODUCT(I92:V92,$I$13:$V$13)</f>
        <v>6420</v>
      </c>
      <c r="X92" s="6">
        <f t="shared" si="3"/>
        <v>6.04</v>
      </c>
      <c r="Y92" s="1" t="str">
        <f>VLOOKUP(D92,[1]PARTS!$A$1:$G$65536,7,0)</f>
        <v/>
      </c>
      <c r="Z92" s="1">
        <v>1</v>
      </c>
      <c r="AA92" s="1">
        <v>6340</v>
      </c>
      <c r="AB92" s="1">
        <f>CEILING(W92,Z92)</f>
        <v>6420</v>
      </c>
      <c r="AC92" s="1">
        <f>VLOOKUP(D92,[2]pareto!$D$12:$AX$306,47,0)</f>
        <v>1.51</v>
      </c>
      <c r="AD92" s="1" t="s">
        <v>70</v>
      </c>
      <c r="AE92" s="1" t="s">
        <v>70</v>
      </c>
      <c r="AF92" s="1" t="str">
        <f>VLOOKUP(D92,[2]pareto!$D$11:$BD$306,52,0)</f>
        <v>tnp@wave-mechanics.com</v>
      </c>
      <c r="AG92" s="1" t="e">
        <f>VLOOKUP(D92,[2]pareto!$D$11:$BD$306,51)</f>
        <v>#REF!</v>
      </c>
      <c r="BG92" s="8">
        <f>SUM($BB92,$AI92:AI92)-SUM($BY92:BZ92)</f>
        <v>0</v>
      </c>
      <c r="BH92" s="8">
        <f>SUM($BB92,$AI92:AJ92)-SUM($BY92:CA92)</f>
        <v>0</v>
      </c>
      <c r="BI92" s="8">
        <f>SUM($BB92,$AI92:AK92)-SUM($BY92:CB92)</f>
        <v>0</v>
      </c>
      <c r="BJ92" s="8">
        <f>SUM($BB92,$AI92:AL92)-SUM($BY92:CC92)</f>
        <v>0</v>
      </c>
      <c r="BK92" s="8">
        <f>SUM($BB92,$AI92:AM92)-SUM($BY92:CD92)</f>
        <v>0</v>
      </c>
      <c r="BL92" s="8">
        <f>SUM($BB92,$AI92:AN92)-SUM($BY92:CE92)</f>
        <v>0</v>
      </c>
      <c r="BM92" s="8">
        <f>SUM($BB92,$AI92:AO92)-SUM($BY92:CF92)</f>
        <v>0</v>
      </c>
      <c r="BN92" s="8">
        <f>SUM($BB92,$AI92:AP92)-SUM($BY92:CG92)</f>
        <v>0</v>
      </c>
      <c r="BO92" s="8">
        <f>SUM($BB92,$AI92:AQ92)-SUM($BY92:CH92)</f>
        <v>0</v>
      </c>
      <c r="BP92" s="8">
        <f>SUM($BB92,$AI92:AR92)-SUM($BY92:CI92)</f>
        <v>-400</v>
      </c>
      <c r="BQ92" s="8">
        <f>SUM($BB92,$AI92:AS92)-SUM($BY92:CJ92)</f>
        <v>-1000</v>
      </c>
      <c r="BR92" s="8">
        <f>SUM($BB92,$AI92:AT92)-SUM($BY92:CK92)</f>
        <v>-2000</v>
      </c>
      <c r="BS92" s="8">
        <f>SUM($BB92,$AI92:AU92)-SUM($BY92:CL92)</f>
        <v>-2840</v>
      </c>
      <c r="BT92" s="8">
        <f>SUM($BB92,$AI92:AV92)-SUM($BY92:CM92)</f>
        <v>-3640</v>
      </c>
      <c r="BU92" s="8">
        <f>SUM($BB92,$AI92:AW92)-SUM($BY92:CN92)</f>
        <v>-4340</v>
      </c>
      <c r="BV92" s="8">
        <f>SUM($BB92,$AI92:AX92)-SUM($BY92:CO92)</f>
        <v>-5420</v>
      </c>
      <c r="BW92" s="8">
        <f>SUM($BB92,$AI92:AY92)-SUM($BY92:CP92)</f>
        <v>-6420</v>
      </c>
      <c r="BX92" s="8">
        <f>SUM($BB92,$AI92:AZ92)-SUM($BY92:CQ92)</f>
        <v>-6420</v>
      </c>
      <c r="BY92" s="8" cm="1">
        <f t="array" ref="BY92">SUMPRODUCT(TRANSPOSE(BY$2:BY$15),$I92:$V92)</f>
        <v>0</v>
      </c>
      <c r="BZ92" s="8" cm="1">
        <f t="array" ref="BZ92">SUMPRODUCT(TRANSPOSE(BZ$2:BZ$15),$I92:$V92)</f>
        <v>0</v>
      </c>
      <c r="CA92" s="8" cm="1">
        <f t="array" ref="CA92">SUMPRODUCT(TRANSPOSE(CA$2:CA$15),$I92:$V92)</f>
        <v>0</v>
      </c>
      <c r="CB92" s="8" cm="1">
        <f t="array" ref="CB92">SUMPRODUCT(TRANSPOSE(CB$2:CB$15),$I92:$V92)</f>
        <v>0</v>
      </c>
      <c r="CC92" s="8" cm="1">
        <f t="array" ref="CC92">SUMPRODUCT(TRANSPOSE(CC$2:CC$15),$I92:$V92)</f>
        <v>0</v>
      </c>
      <c r="CD92" s="8" cm="1">
        <f t="array" ref="CD92">SUMPRODUCT(TRANSPOSE(CD$2:CD$15),$I92:$V92)</f>
        <v>0</v>
      </c>
      <c r="CE92" s="8" cm="1">
        <f t="array" ref="CE92">SUMPRODUCT(TRANSPOSE(CE$2:CE$15),$I92:$V92)</f>
        <v>0</v>
      </c>
      <c r="CF92" s="8" cm="1">
        <f t="array" ref="CF92">SUMPRODUCT(TRANSPOSE(CF$2:CF$15),$I92:$V92)</f>
        <v>0</v>
      </c>
      <c r="CG92" s="8" cm="1">
        <f t="array" ref="CG92">SUMPRODUCT(TRANSPOSE(CG$2:CG$15),$I92:$V92)</f>
        <v>0</v>
      </c>
      <c r="CH92" s="8" cm="1">
        <f t="array" ref="CH92">SUMPRODUCT(TRANSPOSE(CH$2:CH$15),$I92:$V92)</f>
        <v>0</v>
      </c>
      <c r="CI92" s="8" cm="1">
        <f t="array" ref="CI92">SUMPRODUCT(TRANSPOSE(CI$2:CI$15),$I92:$V92)</f>
        <v>400</v>
      </c>
      <c r="CJ92" s="8" cm="1">
        <f t="array" ref="CJ92">SUMPRODUCT(TRANSPOSE(CJ$2:CJ$15),$I92:$V92)</f>
        <v>600</v>
      </c>
      <c r="CK92" s="8" cm="1">
        <f t="array" ref="CK92">SUMPRODUCT(TRANSPOSE(CK$2:CK$15),$I92:$V92)</f>
        <v>1000</v>
      </c>
      <c r="CL92" s="8" cm="1">
        <f t="array" ref="CL92">SUMPRODUCT(TRANSPOSE(CL$2:CL$15),$I92:$V92)</f>
        <v>840</v>
      </c>
      <c r="CM92" s="8" cm="1">
        <f t="array" ref="CM92">SUMPRODUCT(TRANSPOSE(CM$2:CM$15),$I92:$V92)</f>
        <v>800</v>
      </c>
      <c r="CN92" s="8" cm="1">
        <f t="array" ref="CN92">SUMPRODUCT(TRANSPOSE(CN$2:CN$15),$I92:$V92)</f>
        <v>700</v>
      </c>
      <c r="CO92" s="8" cm="1">
        <f t="array" ref="CO92">SUMPRODUCT(TRANSPOSE(CO$2:CO$15),$I92:$V92)</f>
        <v>1080</v>
      </c>
      <c r="CP92" s="8" cm="1">
        <f t="array" ref="CP92">SUMPRODUCT(TRANSPOSE(CP$2:CP$15),$I92:$V92)</f>
        <v>1000</v>
      </c>
      <c r="CQ92" s="8" cm="1">
        <f t="array" ref="CQ92">SUMPRODUCT(TRANSPOSE(CQ$2:CQ$15),$I92:$V92)</f>
        <v>0</v>
      </c>
    </row>
    <row r="93" spans="1:95" x14ac:dyDescent="0.25">
      <c r="A93" s="6">
        <v>51</v>
      </c>
      <c r="B93" s="7" t="s">
        <v>265</v>
      </c>
      <c r="C93" s="6" t="s">
        <v>68</v>
      </c>
      <c r="D93" s="6">
        <v>408929148</v>
      </c>
      <c r="E93" s="6"/>
      <c r="F93" s="6" t="s">
        <v>266</v>
      </c>
      <c r="G93" s="6" t="s">
        <v>35</v>
      </c>
      <c r="H93" s="6">
        <v>1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1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f>SUMPRODUCT(I93:V93,$I$13:$V$13)</f>
        <v>1660</v>
      </c>
      <c r="X93" s="6">
        <f t="shared" si="3"/>
        <v>0</v>
      </c>
      <c r="Y93" s="6" t="str">
        <f>VLOOKUP(D93,[1]PARTS!$A$1:$G$65536,7,0)</f>
        <v/>
      </c>
      <c r="Z93" s="6" t="s">
        <v>36</v>
      </c>
      <c r="AA93" s="6">
        <v>1640</v>
      </c>
      <c r="AB93" s="6" t="s">
        <v>36</v>
      </c>
      <c r="AC93" s="6">
        <v>0</v>
      </c>
      <c r="AD93" s="6" t="s">
        <v>36</v>
      </c>
      <c r="AE93" s="6" t="s">
        <v>36</v>
      </c>
      <c r="AF93" s="6" t="s">
        <v>36</v>
      </c>
      <c r="AG93" s="6" t="s">
        <v>36</v>
      </c>
      <c r="AH93" s="6"/>
      <c r="BG93" s="8">
        <f>SUM($BB93,$AI93:AI93)-SUM($BY93:BZ93)</f>
        <v>0</v>
      </c>
      <c r="BH93" s="8">
        <f>SUM($BB93,$AI93:AJ93)-SUM($BY93:CA93)</f>
        <v>0</v>
      </c>
      <c r="BI93" s="8">
        <f>SUM($BB93,$AI93:AK93)-SUM($BY93:CB93)</f>
        <v>0</v>
      </c>
      <c r="BJ93" s="8">
        <f>SUM($BB93,$AI93:AL93)-SUM($BY93:CC93)</f>
        <v>0</v>
      </c>
      <c r="BK93" s="8">
        <f>SUM($BB93,$AI93:AM93)-SUM($BY93:CD93)</f>
        <v>0</v>
      </c>
      <c r="BL93" s="8">
        <f>SUM($BB93,$AI93:AN93)-SUM($BY93:CE93)</f>
        <v>0</v>
      </c>
      <c r="BM93" s="8">
        <f>SUM($BB93,$AI93:AO93)-SUM($BY93:CF93)</f>
        <v>0</v>
      </c>
      <c r="BN93" s="8">
        <f>SUM($BB93,$AI93:AP93)-SUM($BY93:CG93)</f>
        <v>0</v>
      </c>
      <c r="BO93" s="8">
        <f>SUM($BB93,$AI93:AQ93)-SUM($BY93:CH93)</f>
        <v>-100</v>
      </c>
      <c r="BP93" s="8">
        <f>SUM($BB93,$AI93:AR93)-SUM($BY93:CI93)</f>
        <v>-250</v>
      </c>
      <c r="BQ93" s="8">
        <f>SUM($BB93,$AI93:AS93)-SUM($BY93:CJ93)</f>
        <v>-500</v>
      </c>
      <c r="BR93" s="8">
        <f>SUM($BB93,$AI93:AT93)-SUM($BY93:CK93)</f>
        <v>-700</v>
      </c>
      <c r="BS93" s="8">
        <f>SUM($BB93,$AI93:AU93)-SUM($BY93:CL93)</f>
        <v>-900</v>
      </c>
      <c r="BT93" s="8">
        <f>SUM($BB93,$AI93:AV93)-SUM($BY93:CM93)</f>
        <v>-1100</v>
      </c>
      <c r="BU93" s="8">
        <f>SUM($BB93,$AI93:AW93)-SUM($BY93:CN93)</f>
        <v>-1400</v>
      </c>
      <c r="BV93" s="8">
        <f>SUM($BB93,$AI93:AX93)-SUM($BY93:CO93)</f>
        <v>-1660</v>
      </c>
      <c r="BW93" s="8">
        <f>SUM($BB93,$AI93:AY93)-SUM($BY93:CP93)</f>
        <v>-1660</v>
      </c>
      <c r="BX93" s="8">
        <f>SUM($BB93,$AI93:AZ93)-SUM($BY93:CQ93)</f>
        <v>-1660</v>
      </c>
      <c r="BY93" s="8" cm="1">
        <f t="array" ref="BY93">SUMPRODUCT(TRANSPOSE(BY$2:BY$15),$I93:$V93)</f>
        <v>0</v>
      </c>
      <c r="BZ93" s="8" cm="1">
        <f t="array" ref="BZ93">SUMPRODUCT(TRANSPOSE(BZ$2:BZ$15),$I93:$V93)</f>
        <v>0</v>
      </c>
      <c r="CA93" s="8" cm="1">
        <f t="array" ref="CA93">SUMPRODUCT(TRANSPOSE(CA$2:CA$15),$I93:$V93)</f>
        <v>0</v>
      </c>
      <c r="CB93" s="8" cm="1">
        <f t="array" ref="CB93">SUMPRODUCT(TRANSPOSE(CB$2:CB$15),$I93:$V93)</f>
        <v>0</v>
      </c>
      <c r="CC93" s="8" cm="1">
        <f t="array" ref="CC93">SUMPRODUCT(TRANSPOSE(CC$2:CC$15),$I93:$V93)</f>
        <v>0</v>
      </c>
      <c r="CD93" s="8" cm="1">
        <f t="array" ref="CD93">SUMPRODUCT(TRANSPOSE(CD$2:CD$15),$I93:$V93)</f>
        <v>0</v>
      </c>
      <c r="CE93" s="8" cm="1">
        <f t="array" ref="CE93">SUMPRODUCT(TRANSPOSE(CE$2:CE$15),$I93:$V93)</f>
        <v>0</v>
      </c>
      <c r="CF93" s="8" cm="1">
        <f t="array" ref="CF93">SUMPRODUCT(TRANSPOSE(CF$2:CF$15),$I93:$V93)</f>
        <v>0</v>
      </c>
      <c r="CG93" s="8" cm="1">
        <f t="array" ref="CG93">SUMPRODUCT(TRANSPOSE(CG$2:CG$15),$I93:$V93)</f>
        <v>0</v>
      </c>
      <c r="CH93" s="8" cm="1">
        <f t="array" ref="CH93">SUMPRODUCT(TRANSPOSE(CH$2:CH$15),$I93:$V93)</f>
        <v>100</v>
      </c>
      <c r="CI93" s="8" cm="1">
        <f t="array" ref="CI93">SUMPRODUCT(TRANSPOSE(CI$2:CI$15),$I93:$V93)</f>
        <v>150</v>
      </c>
      <c r="CJ93" s="8" cm="1">
        <f t="array" ref="CJ93">SUMPRODUCT(TRANSPOSE(CJ$2:CJ$15),$I93:$V93)</f>
        <v>250</v>
      </c>
      <c r="CK93" s="8" cm="1">
        <f t="array" ref="CK93">SUMPRODUCT(TRANSPOSE(CK$2:CK$15),$I93:$V93)</f>
        <v>200</v>
      </c>
      <c r="CL93" s="8" cm="1">
        <f t="array" ref="CL93">SUMPRODUCT(TRANSPOSE(CL$2:CL$15),$I93:$V93)</f>
        <v>200</v>
      </c>
      <c r="CM93" s="8" cm="1">
        <f t="array" ref="CM93">SUMPRODUCT(TRANSPOSE(CM$2:CM$15),$I93:$V93)</f>
        <v>200</v>
      </c>
      <c r="CN93" s="8" cm="1">
        <f t="array" ref="CN93">SUMPRODUCT(TRANSPOSE(CN$2:CN$15),$I93:$V93)</f>
        <v>300</v>
      </c>
      <c r="CO93" s="8" cm="1">
        <f t="array" ref="CO93">SUMPRODUCT(TRANSPOSE(CO$2:CO$15),$I93:$V93)</f>
        <v>260</v>
      </c>
      <c r="CP93" s="8" cm="1">
        <f t="array" ref="CP93">SUMPRODUCT(TRANSPOSE(CP$2:CP$15),$I93:$V93)</f>
        <v>0</v>
      </c>
      <c r="CQ93" s="8" cm="1">
        <f t="array" ref="CQ93">SUMPRODUCT(TRANSPOSE(CQ$2:CQ$15),$I93:$V93)</f>
        <v>0</v>
      </c>
    </row>
    <row r="94" spans="1:95" x14ac:dyDescent="0.25">
      <c r="A94" s="1">
        <v>219</v>
      </c>
      <c r="B94" s="11" t="s">
        <v>267</v>
      </c>
      <c r="C94" s="1" t="s">
        <v>49</v>
      </c>
      <c r="D94" s="1">
        <v>409331535</v>
      </c>
      <c r="E94" s="6"/>
      <c r="F94" s="1" t="s">
        <v>268</v>
      </c>
      <c r="G94" s="1" t="s">
        <v>35</v>
      </c>
      <c r="H94" s="1">
        <v>29</v>
      </c>
      <c r="I94" s="1">
        <v>0</v>
      </c>
      <c r="J94" s="1">
        <v>0</v>
      </c>
      <c r="K94" s="1">
        <v>0</v>
      </c>
      <c r="L94" s="1">
        <v>0</v>
      </c>
      <c r="M94" s="1">
        <v>8</v>
      </c>
      <c r="N94" s="1">
        <v>0</v>
      </c>
      <c r="O94" s="1">
        <v>0</v>
      </c>
      <c r="P94" s="1">
        <v>0</v>
      </c>
      <c r="Q94" s="1">
        <v>13</v>
      </c>
      <c r="R94" s="1">
        <v>0</v>
      </c>
      <c r="S94" s="1">
        <v>0</v>
      </c>
      <c r="T94" s="1">
        <v>0</v>
      </c>
      <c r="U94" s="1">
        <v>0</v>
      </c>
      <c r="V94" s="1">
        <v>8</v>
      </c>
      <c r="W94" s="1">
        <f>SUMPRODUCT(I94:V94,$I$13:$V$13)</f>
        <v>47260</v>
      </c>
      <c r="X94" s="6">
        <f t="shared" si="3"/>
        <v>6.09</v>
      </c>
      <c r="Y94" s="1" t="str">
        <f>VLOOKUP(D94,[1]PARTS!$A$1:$G$65536,7,0)</f>
        <v>MURATA MANUFACTURING CO. LTD</v>
      </c>
      <c r="Z94" s="1">
        <f>VLOOKUP(D94,[2]pareto!$D$12:$AX$306,44,0)</f>
        <v>1000</v>
      </c>
      <c r="AA94" s="1">
        <v>46680</v>
      </c>
      <c r="AB94" s="1">
        <f>CEILING(W94,Z94)</f>
        <v>48000</v>
      </c>
      <c r="AC94" s="1">
        <f>VLOOKUP(D94,[2]pareto!$D$12:$AX$306,47,0)</f>
        <v>0.21</v>
      </c>
      <c r="AD94" s="1" t="s">
        <v>85</v>
      </c>
      <c r="AE94" s="1" t="s">
        <v>86</v>
      </c>
      <c r="AF94" s="19" t="s">
        <v>87</v>
      </c>
      <c r="AG94" s="1" t="s">
        <v>88</v>
      </c>
      <c r="BG94" s="8">
        <f>SUM($BB94,$AI94:AI94)-SUM($BY94:BZ94)</f>
        <v>0</v>
      </c>
      <c r="BH94" s="8">
        <f>SUM($BB94,$AI94:AJ94)-SUM($BY94:CA94)</f>
        <v>0</v>
      </c>
      <c r="BI94" s="8">
        <f>SUM($BB94,$AI94:AK94)-SUM($BY94:CB94)</f>
        <v>0</v>
      </c>
      <c r="BJ94" s="8">
        <f>SUM($BB94,$AI94:AL94)-SUM($BY94:CC94)</f>
        <v>0</v>
      </c>
      <c r="BK94" s="8">
        <f>SUM($BB94,$AI94:AM94)-SUM($BY94:CD94)</f>
        <v>0</v>
      </c>
      <c r="BL94" s="8">
        <f>SUM($BB94,$AI94:AN94)-SUM($BY94:CE94)</f>
        <v>0</v>
      </c>
      <c r="BM94" s="8">
        <f>SUM($BB94,$AI94:AO94)-SUM($BY94:CF94)</f>
        <v>0</v>
      </c>
      <c r="BN94" s="8">
        <f>SUM($BB94,$AI94:AP94)-SUM($BY94:CG94)</f>
        <v>-2100</v>
      </c>
      <c r="BO94" s="8">
        <f>SUM($BB94,$AI94:AQ94)-SUM($BY94:CH94)</f>
        <v>-6050</v>
      </c>
      <c r="BP94" s="8">
        <f>SUM($BB94,$AI94:AR94)-SUM($BY94:CI94)</f>
        <v>-12500</v>
      </c>
      <c r="BQ94" s="8">
        <f>SUM($BB94,$AI94:AS94)-SUM($BY94:CJ94)</f>
        <v>-18860</v>
      </c>
      <c r="BR94" s="8">
        <f>SUM($BB94,$AI94:AT94)-SUM($BY94:CK94)</f>
        <v>-24660</v>
      </c>
      <c r="BS94" s="8">
        <f>SUM($BB94,$AI94:AU94)-SUM($BY94:CL94)</f>
        <v>-30060</v>
      </c>
      <c r="BT94" s="8">
        <f>SUM($BB94,$AI94:AV94)-SUM($BY94:CM94)</f>
        <v>-37480</v>
      </c>
      <c r="BU94" s="8">
        <f>SUM($BB94,$AI94:AW94)-SUM($BY94:CN94)</f>
        <v>-45180</v>
      </c>
      <c r="BV94" s="8">
        <f>SUM($BB94,$AI94:AX94)-SUM($BY94:CO94)</f>
        <v>-47260</v>
      </c>
      <c r="BW94" s="8">
        <f>SUM($BB94,$AI94:AY94)-SUM($BY94:CP94)</f>
        <v>-47260</v>
      </c>
      <c r="BX94" s="8">
        <f>SUM($BB94,$AI94:AZ94)-SUM($BY94:CQ94)</f>
        <v>-47260</v>
      </c>
      <c r="BY94" s="8" cm="1">
        <f t="array" ref="BY94">SUMPRODUCT(TRANSPOSE(BY$2:BY$15),$I94:$V94)</f>
        <v>0</v>
      </c>
      <c r="BZ94" s="8" cm="1">
        <f t="array" ref="BZ94">SUMPRODUCT(TRANSPOSE(BZ$2:BZ$15),$I94:$V94)</f>
        <v>0</v>
      </c>
      <c r="CA94" s="8" cm="1">
        <f t="array" ref="CA94">SUMPRODUCT(TRANSPOSE(CA$2:CA$15),$I94:$V94)</f>
        <v>0</v>
      </c>
      <c r="CB94" s="8" cm="1">
        <f t="array" ref="CB94">SUMPRODUCT(TRANSPOSE(CB$2:CB$15),$I94:$V94)</f>
        <v>0</v>
      </c>
      <c r="CC94" s="8" cm="1">
        <f t="array" ref="CC94">SUMPRODUCT(TRANSPOSE(CC$2:CC$15),$I94:$V94)</f>
        <v>0</v>
      </c>
      <c r="CD94" s="8" cm="1">
        <f t="array" ref="CD94">SUMPRODUCT(TRANSPOSE(CD$2:CD$15),$I94:$V94)</f>
        <v>0</v>
      </c>
      <c r="CE94" s="8" cm="1">
        <f t="array" ref="CE94">SUMPRODUCT(TRANSPOSE(CE$2:CE$15),$I94:$V94)</f>
        <v>0</v>
      </c>
      <c r="CF94" s="8" cm="1">
        <f t="array" ref="CF94">SUMPRODUCT(TRANSPOSE(CF$2:CF$15),$I94:$V94)</f>
        <v>0</v>
      </c>
      <c r="CG94" s="8" cm="1">
        <f t="array" ref="CG94">SUMPRODUCT(TRANSPOSE(CG$2:CG$15),$I94:$V94)</f>
        <v>2100</v>
      </c>
      <c r="CH94" s="8" cm="1">
        <f t="array" ref="CH94">SUMPRODUCT(TRANSPOSE(CH$2:CH$15),$I94:$V94)</f>
        <v>3950</v>
      </c>
      <c r="CI94" s="8" cm="1">
        <f t="array" ref="CI94">SUMPRODUCT(TRANSPOSE(CI$2:CI$15),$I94:$V94)</f>
        <v>6450</v>
      </c>
      <c r="CJ94" s="8" cm="1">
        <f t="array" ref="CJ94">SUMPRODUCT(TRANSPOSE(CJ$2:CJ$15),$I94:$V94)</f>
        <v>6360</v>
      </c>
      <c r="CK94" s="8" cm="1">
        <f t="array" ref="CK94">SUMPRODUCT(TRANSPOSE(CK$2:CK$15),$I94:$V94)</f>
        <v>5800</v>
      </c>
      <c r="CL94" s="8" cm="1">
        <f t="array" ref="CL94">SUMPRODUCT(TRANSPOSE(CL$2:CL$15),$I94:$V94)</f>
        <v>5400</v>
      </c>
      <c r="CM94" s="8" cm="1">
        <f t="array" ref="CM94">SUMPRODUCT(TRANSPOSE(CM$2:CM$15),$I94:$V94)</f>
        <v>7420</v>
      </c>
      <c r="CN94" s="8" cm="1">
        <f t="array" ref="CN94">SUMPRODUCT(TRANSPOSE(CN$2:CN$15),$I94:$V94)</f>
        <v>7700</v>
      </c>
      <c r="CO94" s="8" cm="1">
        <f t="array" ref="CO94">SUMPRODUCT(TRANSPOSE(CO$2:CO$15),$I94:$V94)</f>
        <v>2080</v>
      </c>
      <c r="CP94" s="8" cm="1">
        <f t="array" ref="CP94">SUMPRODUCT(TRANSPOSE(CP$2:CP$15),$I94:$V94)</f>
        <v>0</v>
      </c>
      <c r="CQ94" s="8" cm="1">
        <f t="array" ref="CQ94">SUMPRODUCT(TRANSPOSE(CQ$2:CQ$15),$I94:$V94)</f>
        <v>0</v>
      </c>
    </row>
    <row r="95" spans="1:95" x14ac:dyDescent="0.25">
      <c r="A95" s="1">
        <v>208</v>
      </c>
      <c r="B95" s="11" t="s">
        <v>269</v>
      </c>
      <c r="C95" s="1" t="s">
        <v>49</v>
      </c>
      <c r="D95" s="1">
        <v>411359913</v>
      </c>
      <c r="E95" s="6"/>
      <c r="F95" s="1" t="s">
        <v>270</v>
      </c>
      <c r="G95" s="1" t="s">
        <v>35</v>
      </c>
      <c r="H95" s="1">
        <v>2</v>
      </c>
      <c r="I95" s="1">
        <v>0</v>
      </c>
      <c r="J95" s="1">
        <v>0</v>
      </c>
      <c r="K95" s="1">
        <v>0</v>
      </c>
      <c r="L95" s="1">
        <v>0</v>
      </c>
      <c r="M95" s="1">
        <v>1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1</v>
      </c>
      <c r="W95" s="1">
        <f>SUMPRODUCT(I95:V95,$I$13:$V$13)</f>
        <v>3210</v>
      </c>
      <c r="X95" s="6">
        <f t="shared" si="3"/>
        <v>7.64</v>
      </c>
      <c r="Y95" s="1" t="str">
        <f>VLOOKUP(D95,[1]PARTS!$A$1:$G$65536,7,0)</f>
        <v>INTEL CORP</v>
      </c>
      <c r="Z95" s="1">
        <v>44</v>
      </c>
      <c r="AA95" s="1">
        <f>VLOOKUP(D95,[2]pareto!$D$12:$AX$306,45,0)</f>
        <v>44</v>
      </c>
      <c r="AB95" s="1">
        <f>CEILING(W95,Z95)</f>
        <v>3212</v>
      </c>
      <c r="AC95" s="1">
        <f>VLOOKUP(D95,[2]pareto!$D$12:$AX$306,47,0)</f>
        <v>3.82</v>
      </c>
      <c r="AD95" s="1" t="s">
        <v>99</v>
      </c>
      <c r="AE95" s="1" t="s">
        <v>100</v>
      </c>
      <c r="AF95" s="12" t="s">
        <v>271</v>
      </c>
      <c r="AG95" s="1" t="s">
        <v>101</v>
      </c>
      <c r="BG95" s="8">
        <f>SUM($BB95,$AI95:AI95)-SUM($BY95:BZ95)</f>
        <v>0</v>
      </c>
      <c r="BH95" s="8">
        <f>SUM($BB95,$AI95:AJ95)-SUM($BY95:CA95)</f>
        <v>0</v>
      </c>
      <c r="BI95" s="8">
        <f>SUM($BB95,$AI95:AK95)-SUM($BY95:CB95)</f>
        <v>0</v>
      </c>
      <c r="BJ95" s="8">
        <f>SUM($BB95,$AI95:AL95)-SUM($BY95:CC95)</f>
        <v>0</v>
      </c>
      <c r="BK95" s="8">
        <f>SUM($BB95,$AI95:AM95)-SUM($BY95:CD95)</f>
        <v>0</v>
      </c>
      <c r="BL95" s="8">
        <f>SUM($BB95,$AI95:AN95)-SUM($BY95:CE95)</f>
        <v>0</v>
      </c>
      <c r="BM95" s="8">
        <f>SUM($BB95,$AI95:AO95)-SUM($BY95:CF95)</f>
        <v>0</v>
      </c>
      <c r="BN95" s="8">
        <f>SUM($BB95,$AI95:AP95)-SUM($BY95:CG95)</f>
        <v>-100</v>
      </c>
      <c r="BO95" s="8">
        <f>SUM($BB95,$AI95:AQ95)-SUM($BY95:CH95)</f>
        <v>-350</v>
      </c>
      <c r="BP95" s="8">
        <f>SUM($BB95,$AI95:AR95)-SUM($BY95:CI95)</f>
        <v>-750</v>
      </c>
      <c r="BQ95" s="8">
        <f>SUM($BB95,$AI95:AS95)-SUM($BY95:CJ95)</f>
        <v>-1220</v>
      </c>
      <c r="BR95" s="8">
        <f>SUM($BB95,$AI95:AT95)-SUM($BY95:CK95)</f>
        <v>-1620</v>
      </c>
      <c r="BS95" s="8">
        <f>SUM($BB95,$AI95:AU95)-SUM($BY95:CL95)</f>
        <v>-1970</v>
      </c>
      <c r="BT95" s="8">
        <f>SUM($BB95,$AI95:AV95)-SUM($BY95:CM95)</f>
        <v>-2410</v>
      </c>
      <c r="BU95" s="8">
        <f>SUM($BB95,$AI95:AW95)-SUM($BY95:CN95)</f>
        <v>-2950</v>
      </c>
      <c r="BV95" s="8">
        <f>SUM($BB95,$AI95:AX95)-SUM($BY95:CO95)</f>
        <v>-3210</v>
      </c>
      <c r="BW95" s="8">
        <f>SUM($BB95,$AI95:AY95)-SUM($BY95:CP95)</f>
        <v>-3210</v>
      </c>
      <c r="BX95" s="8">
        <f>SUM($BB95,$AI95:AZ95)-SUM($BY95:CQ95)</f>
        <v>-3210</v>
      </c>
      <c r="BY95" s="8" cm="1">
        <f t="array" ref="BY95">SUMPRODUCT(TRANSPOSE(BY$2:BY$15),$I95:$V95)</f>
        <v>0</v>
      </c>
      <c r="BZ95" s="8" cm="1">
        <f t="array" ref="BZ95">SUMPRODUCT(TRANSPOSE(BZ$2:BZ$15),$I95:$V95)</f>
        <v>0</v>
      </c>
      <c r="CA95" s="8" cm="1">
        <f t="array" ref="CA95">SUMPRODUCT(TRANSPOSE(CA$2:CA$15),$I95:$V95)</f>
        <v>0</v>
      </c>
      <c r="CB95" s="8" cm="1">
        <f t="array" ref="CB95">SUMPRODUCT(TRANSPOSE(CB$2:CB$15),$I95:$V95)</f>
        <v>0</v>
      </c>
      <c r="CC95" s="8" cm="1">
        <f t="array" ref="CC95">SUMPRODUCT(TRANSPOSE(CC$2:CC$15),$I95:$V95)</f>
        <v>0</v>
      </c>
      <c r="CD95" s="8" cm="1">
        <f t="array" ref="CD95">SUMPRODUCT(TRANSPOSE(CD$2:CD$15),$I95:$V95)</f>
        <v>0</v>
      </c>
      <c r="CE95" s="8" cm="1">
        <f t="array" ref="CE95">SUMPRODUCT(TRANSPOSE(CE$2:CE$15),$I95:$V95)</f>
        <v>0</v>
      </c>
      <c r="CF95" s="8" cm="1">
        <f t="array" ref="CF95">SUMPRODUCT(TRANSPOSE(CF$2:CF$15),$I95:$V95)</f>
        <v>0</v>
      </c>
      <c r="CG95" s="8" cm="1">
        <f t="array" ref="CG95">SUMPRODUCT(TRANSPOSE(CG$2:CG$15),$I95:$V95)</f>
        <v>100</v>
      </c>
      <c r="CH95" s="8" cm="1">
        <f t="array" ref="CH95">SUMPRODUCT(TRANSPOSE(CH$2:CH$15),$I95:$V95)</f>
        <v>250</v>
      </c>
      <c r="CI95" s="8" cm="1">
        <f t="array" ref="CI95">SUMPRODUCT(TRANSPOSE(CI$2:CI$15),$I95:$V95)</f>
        <v>400</v>
      </c>
      <c r="CJ95" s="8" cm="1">
        <f t="array" ref="CJ95">SUMPRODUCT(TRANSPOSE(CJ$2:CJ$15),$I95:$V95)</f>
        <v>470</v>
      </c>
      <c r="CK95" s="8" cm="1">
        <f t="array" ref="CK95">SUMPRODUCT(TRANSPOSE(CK$2:CK$15),$I95:$V95)</f>
        <v>400</v>
      </c>
      <c r="CL95" s="8" cm="1">
        <f t="array" ref="CL95">SUMPRODUCT(TRANSPOSE(CL$2:CL$15),$I95:$V95)</f>
        <v>350</v>
      </c>
      <c r="CM95" s="8" cm="1">
        <f t="array" ref="CM95">SUMPRODUCT(TRANSPOSE(CM$2:CM$15),$I95:$V95)</f>
        <v>440</v>
      </c>
      <c r="CN95" s="8" cm="1">
        <f t="array" ref="CN95">SUMPRODUCT(TRANSPOSE(CN$2:CN$15),$I95:$V95)</f>
        <v>540</v>
      </c>
      <c r="CO95" s="8" cm="1">
        <f t="array" ref="CO95">SUMPRODUCT(TRANSPOSE(CO$2:CO$15),$I95:$V95)</f>
        <v>260</v>
      </c>
      <c r="CP95" s="8" cm="1">
        <f t="array" ref="CP95">SUMPRODUCT(TRANSPOSE(CP$2:CP$15),$I95:$V95)</f>
        <v>0</v>
      </c>
      <c r="CQ95" s="8" cm="1">
        <f t="array" ref="CQ95">SUMPRODUCT(TRANSPOSE(CQ$2:CQ$15),$I95:$V95)</f>
        <v>0</v>
      </c>
    </row>
    <row r="96" spans="1:95" x14ac:dyDescent="0.25">
      <c r="A96" s="1">
        <v>238</v>
      </c>
      <c r="B96" s="11" t="s">
        <v>272</v>
      </c>
      <c r="C96" s="1" t="s">
        <v>49</v>
      </c>
      <c r="D96" s="1">
        <v>401681605</v>
      </c>
      <c r="E96" s="6"/>
      <c r="F96" s="1" t="s">
        <v>273</v>
      </c>
      <c r="G96" s="1" t="s">
        <v>35</v>
      </c>
      <c r="H96" s="1">
        <v>4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4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f>SUMPRODUCT(I96:V96,$I$13:$V$13)</f>
        <v>6640</v>
      </c>
      <c r="X96" s="6">
        <f t="shared" si="3"/>
        <v>7.1688000000000001</v>
      </c>
      <c r="Y96" s="1" t="str">
        <f>VLOOKUP(D96,[1]PARTS!$A$1:$G$65536,7,0)</f>
        <v>ANALOG DEVICES</v>
      </c>
      <c r="Z96" s="1">
        <f>VLOOKUP(D96,[2]pareto!$D$12:$AX$306,44,0)</f>
        <v>2500</v>
      </c>
      <c r="AA96" s="1">
        <f>VLOOKUP(D96,[2]pareto!$D$12:$AX$306,45,0)</f>
        <v>2500</v>
      </c>
      <c r="AB96" s="1">
        <f>CEILING(W96,Z96)</f>
        <v>7500</v>
      </c>
      <c r="AC96" s="1">
        <v>1.7922</v>
      </c>
      <c r="AD96" s="1" t="s">
        <v>107</v>
      </c>
      <c r="AE96" s="1" t="s">
        <v>108</v>
      </c>
      <c r="AF96" s="19" t="s">
        <v>109</v>
      </c>
      <c r="AG96" s="1" t="s">
        <v>110</v>
      </c>
      <c r="BG96" s="8">
        <f>SUM($BB96,$AI96:AI96)-SUM($BY96:BZ96)</f>
        <v>0</v>
      </c>
      <c r="BH96" s="8">
        <f>SUM($BB96,$AI96:AJ96)-SUM($BY96:CA96)</f>
        <v>0</v>
      </c>
      <c r="BI96" s="8">
        <f>SUM($BB96,$AI96:AK96)-SUM($BY96:CB96)</f>
        <v>0</v>
      </c>
      <c r="BJ96" s="8">
        <f>SUM($BB96,$AI96:AL96)-SUM($BY96:CC96)</f>
        <v>0</v>
      </c>
      <c r="BK96" s="8">
        <f>SUM($BB96,$AI96:AM96)-SUM($BY96:CD96)</f>
        <v>0</v>
      </c>
      <c r="BL96" s="8">
        <f>SUM($BB96,$AI96:AN96)-SUM($BY96:CE96)</f>
        <v>0</v>
      </c>
      <c r="BM96" s="8">
        <f>SUM($BB96,$AI96:AO96)-SUM($BY96:CF96)</f>
        <v>0</v>
      </c>
      <c r="BN96" s="8">
        <f>SUM($BB96,$AI96:AP96)-SUM($BY96:CG96)</f>
        <v>-400</v>
      </c>
      <c r="BO96" s="8">
        <f>SUM($BB96,$AI96:AQ96)-SUM($BY96:CH96)</f>
        <v>-1000</v>
      </c>
      <c r="BP96" s="8">
        <f>SUM($BB96,$AI96:AR96)-SUM($BY96:CI96)</f>
        <v>-2000</v>
      </c>
      <c r="BQ96" s="8">
        <f>SUM($BB96,$AI96:AS96)-SUM($BY96:CJ96)</f>
        <v>-2800</v>
      </c>
      <c r="BR96" s="8">
        <f>SUM($BB96,$AI96:AT96)-SUM($BY96:CK96)</f>
        <v>-3600</v>
      </c>
      <c r="BS96" s="8">
        <f>SUM($BB96,$AI96:AU96)-SUM($BY96:CL96)</f>
        <v>-4400</v>
      </c>
      <c r="BT96" s="8">
        <f>SUM($BB96,$AI96:AV96)-SUM($BY96:CM96)</f>
        <v>-5600</v>
      </c>
      <c r="BU96" s="8">
        <f>SUM($BB96,$AI96:AW96)-SUM($BY96:CN96)</f>
        <v>-6640</v>
      </c>
      <c r="BV96" s="8">
        <f>SUM($BB96,$AI96:AX96)-SUM($BY96:CO96)</f>
        <v>-6640</v>
      </c>
      <c r="BW96" s="8">
        <f>SUM($BB96,$AI96:AY96)-SUM($BY96:CP96)</f>
        <v>-6640</v>
      </c>
      <c r="BX96" s="8">
        <f>SUM($BB96,$AI96:AZ96)-SUM($BY96:CQ96)</f>
        <v>-6640</v>
      </c>
      <c r="BY96" s="8" cm="1">
        <f t="array" ref="BY96">SUMPRODUCT(TRANSPOSE(BY$2:BY$15),$I96:$V96)</f>
        <v>0</v>
      </c>
      <c r="BZ96" s="8" cm="1">
        <f t="array" ref="BZ96">SUMPRODUCT(TRANSPOSE(BZ$2:BZ$15),$I96:$V96)</f>
        <v>0</v>
      </c>
      <c r="CA96" s="8" cm="1">
        <f t="array" ref="CA96">SUMPRODUCT(TRANSPOSE(CA$2:CA$15),$I96:$V96)</f>
        <v>0</v>
      </c>
      <c r="CB96" s="8" cm="1">
        <f t="array" ref="CB96">SUMPRODUCT(TRANSPOSE(CB$2:CB$15),$I96:$V96)</f>
        <v>0</v>
      </c>
      <c r="CC96" s="8" cm="1">
        <f t="array" ref="CC96">SUMPRODUCT(TRANSPOSE(CC$2:CC$15),$I96:$V96)</f>
        <v>0</v>
      </c>
      <c r="CD96" s="8" cm="1">
        <f t="array" ref="CD96">SUMPRODUCT(TRANSPOSE(CD$2:CD$15),$I96:$V96)</f>
        <v>0</v>
      </c>
      <c r="CE96" s="8" cm="1">
        <f t="array" ref="CE96">SUMPRODUCT(TRANSPOSE(CE$2:CE$15),$I96:$V96)</f>
        <v>0</v>
      </c>
      <c r="CF96" s="8" cm="1">
        <f t="array" ref="CF96">SUMPRODUCT(TRANSPOSE(CF$2:CF$15),$I96:$V96)</f>
        <v>0</v>
      </c>
      <c r="CG96" s="8" cm="1">
        <f t="array" ref="CG96">SUMPRODUCT(TRANSPOSE(CG$2:CG$15),$I96:$V96)</f>
        <v>400</v>
      </c>
      <c r="CH96" s="8" cm="1">
        <f t="array" ref="CH96">SUMPRODUCT(TRANSPOSE(CH$2:CH$15),$I96:$V96)</f>
        <v>600</v>
      </c>
      <c r="CI96" s="8" cm="1">
        <f t="array" ref="CI96">SUMPRODUCT(TRANSPOSE(CI$2:CI$15),$I96:$V96)</f>
        <v>1000</v>
      </c>
      <c r="CJ96" s="8" cm="1">
        <f t="array" ref="CJ96">SUMPRODUCT(TRANSPOSE(CJ$2:CJ$15),$I96:$V96)</f>
        <v>800</v>
      </c>
      <c r="CK96" s="8" cm="1">
        <f t="array" ref="CK96">SUMPRODUCT(TRANSPOSE(CK$2:CK$15),$I96:$V96)</f>
        <v>800</v>
      </c>
      <c r="CL96" s="8" cm="1">
        <f t="array" ref="CL96">SUMPRODUCT(TRANSPOSE(CL$2:CL$15),$I96:$V96)</f>
        <v>800</v>
      </c>
      <c r="CM96" s="8" cm="1">
        <f t="array" ref="CM96">SUMPRODUCT(TRANSPOSE(CM$2:CM$15),$I96:$V96)</f>
        <v>1200</v>
      </c>
      <c r="CN96" s="8" cm="1">
        <f t="array" ref="CN96">SUMPRODUCT(TRANSPOSE(CN$2:CN$15),$I96:$V96)</f>
        <v>1040</v>
      </c>
      <c r="CO96" s="8" cm="1">
        <f t="array" ref="CO96">SUMPRODUCT(TRANSPOSE(CO$2:CO$15),$I96:$V96)</f>
        <v>0</v>
      </c>
      <c r="CP96" s="8" cm="1">
        <f t="array" ref="CP96">SUMPRODUCT(TRANSPOSE(CP$2:CP$15),$I96:$V96)</f>
        <v>0</v>
      </c>
      <c r="CQ96" s="8" cm="1">
        <f t="array" ref="CQ96">SUMPRODUCT(TRANSPOSE(CQ$2:CQ$15),$I96:$V96)</f>
        <v>0</v>
      </c>
    </row>
    <row r="97" spans="1:95" x14ac:dyDescent="0.25">
      <c r="A97" s="1">
        <v>99</v>
      </c>
      <c r="B97" s="11" t="s">
        <v>274</v>
      </c>
      <c r="C97" s="1" t="s">
        <v>49</v>
      </c>
      <c r="D97" s="1">
        <v>401039812</v>
      </c>
      <c r="E97" s="6">
        <f>VLOOKUP(D97,FFF!$A$2:$B$674,2,)</f>
        <v>400481628</v>
      </c>
      <c r="F97" s="1" t="s">
        <v>275</v>
      </c>
      <c r="G97" s="1" t="s">
        <v>35</v>
      </c>
      <c r="H97" s="1">
        <v>4</v>
      </c>
      <c r="I97" s="1">
        <v>0</v>
      </c>
      <c r="J97" s="1">
        <v>0</v>
      </c>
      <c r="K97" s="1">
        <v>0</v>
      </c>
      <c r="L97" s="1">
        <v>0</v>
      </c>
      <c r="M97" s="1">
        <v>2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2</v>
      </c>
      <c r="W97" s="1">
        <f>SUMPRODUCT(I97:V97,$I$13:$V$13)</f>
        <v>6420</v>
      </c>
      <c r="X97" s="6">
        <f t="shared" si="3"/>
        <v>6.6332000000000004</v>
      </c>
      <c r="Y97" s="1" t="str">
        <f>VLOOKUP(D97,[1]PARTS!$A$1:$G$65536,7,0)</f>
        <v>ANALOG DEVICES</v>
      </c>
      <c r="Z97" s="1">
        <f>VLOOKUP(D97,[2]pareto!$D$12:$AX$306,44,0)</f>
        <v>750</v>
      </c>
      <c r="AA97" s="1">
        <v>6340</v>
      </c>
      <c r="AB97" s="1">
        <f>CEILING(W97,Z97)</f>
        <v>6750</v>
      </c>
      <c r="AC97" s="1">
        <v>1.6583000000000001</v>
      </c>
      <c r="AD97" s="1" t="s">
        <v>107</v>
      </c>
      <c r="AE97" s="1" t="s">
        <v>108</v>
      </c>
      <c r="AF97" s="19" t="s">
        <v>109</v>
      </c>
      <c r="AG97" s="1" t="s">
        <v>110</v>
      </c>
      <c r="BG97" s="8">
        <f>SUM($BB97,$AI97:AI97)-SUM($BY97:BZ97)</f>
        <v>0</v>
      </c>
      <c r="BH97" s="8">
        <f>SUM($BB97,$AI97:AJ97)-SUM($BY97:CA97)</f>
        <v>0</v>
      </c>
      <c r="BI97" s="8">
        <f>SUM($BB97,$AI97:AK97)-SUM($BY97:CB97)</f>
        <v>0</v>
      </c>
      <c r="BJ97" s="8">
        <f>SUM($BB97,$AI97:AL97)-SUM($BY97:CC97)</f>
        <v>0</v>
      </c>
      <c r="BK97" s="8">
        <f>SUM($BB97,$AI97:AM97)-SUM($BY97:CD97)</f>
        <v>0</v>
      </c>
      <c r="BL97" s="8">
        <f>SUM($BB97,$AI97:AN97)-SUM($BY97:CE97)</f>
        <v>0</v>
      </c>
      <c r="BM97" s="8">
        <f>SUM($BB97,$AI97:AO97)-SUM($BY97:CF97)</f>
        <v>0</v>
      </c>
      <c r="BN97" s="8">
        <f>SUM($BB97,$AI97:AP97)-SUM($BY97:CG97)</f>
        <v>-200</v>
      </c>
      <c r="BO97" s="8">
        <f>SUM($BB97,$AI97:AQ97)-SUM($BY97:CH97)</f>
        <v>-700</v>
      </c>
      <c r="BP97" s="8">
        <f>SUM($BB97,$AI97:AR97)-SUM($BY97:CI97)</f>
        <v>-1500</v>
      </c>
      <c r="BQ97" s="8">
        <f>SUM($BB97,$AI97:AS97)-SUM($BY97:CJ97)</f>
        <v>-2440</v>
      </c>
      <c r="BR97" s="8">
        <f>SUM($BB97,$AI97:AT97)-SUM($BY97:CK97)</f>
        <v>-3240</v>
      </c>
      <c r="BS97" s="8">
        <f>SUM($BB97,$AI97:AU97)-SUM($BY97:CL97)</f>
        <v>-3940</v>
      </c>
      <c r="BT97" s="8">
        <f>SUM($BB97,$AI97:AV97)-SUM($BY97:CM97)</f>
        <v>-4820</v>
      </c>
      <c r="BU97" s="8">
        <f>SUM($BB97,$AI97:AW97)-SUM($BY97:CN97)</f>
        <v>-5900</v>
      </c>
      <c r="BV97" s="8">
        <f>SUM($BB97,$AI97:AX97)-SUM($BY97:CO97)</f>
        <v>-6420</v>
      </c>
      <c r="BW97" s="8">
        <f>SUM($BB97,$AI97:AY97)-SUM($BY97:CP97)</f>
        <v>-6420</v>
      </c>
      <c r="BX97" s="8">
        <f>SUM($BB97,$AI97:AZ97)-SUM($BY97:CQ97)</f>
        <v>-6420</v>
      </c>
      <c r="BY97" s="8" cm="1">
        <f t="array" ref="BY97">SUMPRODUCT(TRANSPOSE(BY$2:BY$15),$I97:$V97)</f>
        <v>0</v>
      </c>
      <c r="BZ97" s="8" cm="1">
        <f t="array" ref="BZ97">SUMPRODUCT(TRANSPOSE(BZ$2:BZ$15),$I97:$V97)</f>
        <v>0</v>
      </c>
      <c r="CA97" s="8" cm="1">
        <f t="array" ref="CA97">SUMPRODUCT(TRANSPOSE(CA$2:CA$15),$I97:$V97)</f>
        <v>0</v>
      </c>
      <c r="CB97" s="8" cm="1">
        <f t="array" ref="CB97">SUMPRODUCT(TRANSPOSE(CB$2:CB$15),$I97:$V97)</f>
        <v>0</v>
      </c>
      <c r="CC97" s="8" cm="1">
        <f t="array" ref="CC97">SUMPRODUCT(TRANSPOSE(CC$2:CC$15),$I97:$V97)</f>
        <v>0</v>
      </c>
      <c r="CD97" s="8" cm="1">
        <f t="array" ref="CD97">SUMPRODUCT(TRANSPOSE(CD$2:CD$15),$I97:$V97)</f>
        <v>0</v>
      </c>
      <c r="CE97" s="8" cm="1">
        <f t="array" ref="CE97">SUMPRODUCT(TRANSPOSE(CE$2:CE$15),$I97:$V97)</f>
        <v>0</v>
      </c>
      <c r="CF97" s="8" cm="1">
        <f t="array" ref="CF97">SUMPRODUCT(TRANSPOSE(CF$2:CF$15),$I97:$V97)</f>
        <v>0</v>
      </c>
      <c r="CG97" s="8" cm="1">
        <f t="array" ref="CG97">SUMPRODUCT(TRANSPOSE(CG$2:CG$15),$I97:$V97)</f>
        <v>200</v>
      </c>
      <c r="CH97" s="8" cm="1">
        <f t="array" ref="CH97">SUMPRODUCT(TRANSPOSE(CH$2:CH$15),$I97:$V97)</f>
        <v>500</v>
      </c>
      <c r="CI97" s="8" cm="1">
        <f t="array" ref="CI97">SUMPRODUCT(TRANSPOSE(CI$2:CI$15),$I97:$V97)</f>
        <v>800</v>
      </c>
      <c r="CJ97" s="8" cm="1">
        <f t="array" ref="CJ97">SUMPRODUCT(TRANSPOSE(CJ$2:CJ$15),$I97:$V97)</f>
        <v>940</v>
      </c>
      <c r="CK97" s="8" cm="1">
        <f t="array" ref="CK97">SUMPRODUCT(TRANSPOSE(CK$2:CK$15),$I97:$V97)</f>
        <v>800</v>
      </c>
      <c r="CL97" s="8" cm="1">
        <f t="array" ref="CL97">SUMPRODUCT(TRANSPOSE(CL$2:CL$15),$I97:$V97)</f>
        <v>700</v>
      </c>
      <c r="CM97" s="8" cm="1">
        <f t="array" ref="CM97">SUMPRODUCT(TRANSPOSE(CM$2:CM$15),$I97:$V97)</f>
        <v>880</v>
      </c>
      <c r="CN97" s="8" cm="1">
        <f t="array" ref="CN97">SUMPRODUCT(TRANSPOSE(CN$2:CN$15),$I97:$V97)</f>
        <v>1080</v>
      </c>
      <c r="CO97" s="8" cm="1">
        <f t="array" ref="CO97">SUMPRODUCT(TRANSPOSE(CO$2:CO$15),$I97:$V97)</f>
        <v>520</v>
      </c>
      <c r="CP97" s="8" cm="1">
        <f t="array" ref="CP97">SUMPRODUCT(TRANSPOSE(CP$2:CP$15),$I97:$V97)</f>
        <v>0</v>
      </c>
      <c r="CQ97" s="8" cm="1">
        <f t="array" ref="CQ97">SUMPRODUCT(TRANSPOSE(CQ$2:CQ$15),$I97:$V97)</f>
        <v>0</v>
      </c>
    </row>
    <row r="98" spans="1:95" x14ac:dyDescent="0.25">
      <c r="A98" s="1">
        <v>94</v>
      </c>
      <c r="B98" s="11" t="s">
        <v>276</v>
      </c>
      <c r="C98" s="1" t="s">
        <v>49</v>
      </c>
      <c r="D98" s="1">
        <v>418270654</v>
      </c>
      <c r="E98" s="6"/>
      <c r="F98" s="1" t="s">
        <v>277</v>
      </c>
      <c r="G98" s="1" t="s">
        <v>35</v>
      </c>
      <c r="H98" s="1">
        <v>36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36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f>SUMPRODUCT(I98:V98,$I$13:$V$13)</f>
        <v>59760</v>
      </c>
      <c r="X98" s="6">
        <f t="shared" si="3"/>
        <v>17.28</v>
      </c>
      <c r="Y98" s="1" t="str">
        <f>VLOOKUP(D98,[1]PARTS!$A$1:$G$65536,7,0)</f>
        <v>AMERICAN TECHNICAL CERAMICS DIV. OF</v>
      </c>
      <c r="Z98" s="1">
        <f>VLOOKUP(D98,[2]pareto!$D$12:$AX$306,44,0)</f>
        <v>2000</v>
      </c>
      <c r="AA98" s="1">
        <f>VLOOKUP(D98,[2]pareto!$D$12:$AX$306,45,0)</f>
        <v>2000</v>
      </c>
      <c r="AB98" s="1">
        <f>CEILING(W98,Z98)</f>
        <v>60000</v>
      </c>
      <c r="AC98" s="1">
        <f>VLOOKUP(D98,[2]pareto!$D$12:$AX$306,47,0)</f>
        <v>0.48</v>
      </c>
      <c r="AD98" s="1" t="s">
        <v>85</v>
      </c>
      <c r="AE98" s="1" t="s">
        <v>86</v>
      </c>
      <c r="AF98" s="19" t="s">
        <v>87</v>
      </c>
      <c r="AG98" s="1" t="s">
        <v>88</v>
      </c>
      <c r="BG98" s="8">
        <f>SUM($BB98,$AI98:AI98)-SUM($BY98:BZ98)</f>
        <v>0</v>
      </c>
      <c r="BH98" s="8">
        <f>SUM($BB98,$AI98:AJ98)-SUM($BY98:CA98)</f>
        <v>0</v>
      </c>
      <c r="BI98" s="8">
        <f>SUM($BB98,$AI98:AK98)-SUM($BY98:CB98)</f>
        <v>0</v>
      </c>
      <c r="BJ98" s="8">
        <f>SUM($BB98,$AI98:AL98)-SUM($BY98:CC98)</f>
        <v>0</v>
      </c>
      <c r="BK98" s="8">
        <f>SUM($BB98,$AI98:AM98)-SUM($BY98:CD98)</f>
        <v>0</v>
      </c>
      <c r="BL98" s="8">
        <f>SUM($BB98,$AI98:AN98)-SUM($BY98:CE98)</f>
        <v>0</v>
      </c>
      <c r="BM98" s="8">
        <f>SUM($BB98,$AI98:AO98)-SUM($BY98:CF98)</f>
        <v>0</v>
      </c>
      <c r="BN98" s="8">
        <f>SUM($BB98,$AI98:AP98)-SUM($BY98:CG98)</f>
        <v>-3600</v>
      </c>
      <c r="BO98" s="8">
        <f>SUM($BB98,$AI98:AQ98)-SUM($BY98:CH98)</f>
        <v>-9000</v>
      </c>
      <c r="BP98" s="8">
        <f>SUM($BB98,$AI98:AR98)-SUM($BY98:CI98)</f>
        <v>-18000</v>
      </c>
      <c r="BQ98" s="8">
        <f>SUM($BB98,$AI98:AS98)-SUM($BY98:CJ98)</f>
        <v>-25200</v>
      </c>
      <c r="BR98" s="8">
        <f>SUM($BB98,$AI98:AT98)-SUM($BY98:CK98)</f>
        <v>-32400</v>
      </c>
      <c r="BS98" s="8">
        <f>SUM($BB98,$AI98:AU98)-SUM($BY98:CL98)</f>
        <v>-39600</v>
      </c>
      <c r="BT98" s="8">
        <f>SUM($BB98,$AI98:AV98)-SUM($BY98:CM98)</f>
        <v>-50400</v>
      </c>
      <c r="BU98" s="8">
        <f>SUM($BB98,$AI98:AW98)-SUM($BY98:CN98)</f>
        <v>-59760</v>
      </c>
      <c r="BV98" s="8">
        <f>SUM($BB98,$AI98:AX98)-SUM($BY98:CO98)</f>
        <v>-59760</v>
      </c>
      <c r="BW98" s="8">
        <f>SUM($BB98,$AI98:AY98)-SUM($BY98:CP98)</f>
        <v>-59760</v>
      </c>
      <c r="BX98" s="8">
        <f>SUM($BB98,$AI98:AZ98)-SUM($BY98:CQ98)</f>
        <v>-59760</v>
      </c>
      <c r="BY98" s="8" cm="1">
        <f t="array" ref="BY98">SUMPRODUCT(TRANSPOSE(BY$2:BY$15),$I98:$V98)</f>
        <v>0</v>
      </c>
      <c r="BZ98" s="8" cm="1">
        <f t="array" ref="BZ98">SUMPRODUCT(TRANSPOSE(BZ$2:BZ$15),$I98:$V98)</f>
        <v>0</v>
      </c>
      <c r="CA98" s="8" cm="1">
        <f t="array" ref="CA98">SUMPRODUCT(TRANSPOSE(CA$2:CA$15),$I98:$V98)</f>
        <v>0</v>
      </c>
      <c r="CB98" s="8" cm="1">
        <f t="array" ref="CB98">SUMPRODUCT(TRANSPOSE(CB$2:CB$15),$I98:$V98)</f>
        <v>0</v>
      </c>
      <c r="CC98" s="8" cm="1">
        <f t="array" ref="CC98">SUMPRODUCT(TRANSPOSE(CC$2:CC$15),$I98:$V98)</f>
        <v>0</v>
      </c>
      <c r="CD98" s="8" cm="1">
        <f t="array" ref="CD98">SUMPRODUCT(TRANSPOSE(CD$2:CD$15),$I98:$V98)</f>
        <v>0</v>
      </c>
      <c r="CE98" s="8" cm="1">
        <f t="array" ref="CE98">SUMPRODUCT(TRANSPOSE(CE$2:CE$15),$I98:$V98)</f>
        <v>0</v>
      </c>
      <c r="CF98" s="8" cm="1">
        <f t="array" ref="CF98">SUMPRODUCT(TRANSPOSE(CF$2:CF$15),$I98:$V98)</f>
        <v>0</v>
      </c>
      <c r="CG98" s="8" cm="1">
        <f t="array" ref="CG98">SUMPRODUCT(TRANSPOSE(CG$2:CG$15),$I98:$V98)</f>
        <v>3600</v>
      </c>
      <c r="CH98" s="8" cm="1">
        <f t="array" ref="CH98">SUMPRODUCT(TRANSPOSE(CH$2:CH$15),$I98:$V98)</f>
        <v>5400</v>
      </c>
      <c r="CI98" s="8" cm="1">
        <f t="array" ref="CI98">SUMPRODUCT(TRANSPOSE(CI$2:CI$15),$I98:$V98)</f>
        <v>9000</v>
      </c>
      <c r="CJ98" s="8" cm="1">
        <f t="array" ref="CJ98">SUMPRODUCT(TRANSPOSE(CJ$2:CJ$15),$I98:$V98)</f>
        <v>7200</v>
      </c>
      <c r="CK98" s="8" cm="1">
        <f t="array" ref="CK98">SUMPRODUCT(TRANSPOSE(CK$2:CK$15),$I98:$V98)</f>
        <v>7200</v>
      </c>
      <c r="CL98" s="8" cm="1">
        <f t="array" ref="CL98">SUMPRODUCT(TRANSPOSE(CL$2:CL$15),$I98:$V98)</f>
        <v>7200</v>
      </c>
      <c r="CM98" s="8" cm="1">
        <f t="array" ref="CM98">SUMPRODUCT(TRANSPOSE(CM$2:CM$15),$I98:$V98)</f>
        <v>10800</v>
      </c>
      <c r="CN98" s="8" cm="1">
        <f t="array" ref="CN98">SUMPRODUCT(TRANSPOSE(CN$2:CN$15),$I98:$V98)</f>
        <v>9360</v>
      </c>
      <c r="CO98" s="8" cm="1">
        <f t="array" ref="CO98">SUMPRODUCT(TRANSPOSE(CO$2:CO$15),$I98:$V98)</f>
        <v>0</v>
      </c>
      <c r="CP98" s="8" cm="1">
        <f t="array" ref="CP98">SUMPRODUCT(TRANSPOSE(CP$2:CP$15),$I98:$V98)</f>
        <v>0</v>
      </c>
      <c r="CQ98" s="8" cm="1">
        <f t="array" ref="CQ98">SUMPRODUCT(TRANSPOSE(CQ$2:CQ$15),$I98:$V98)</f>
        <v>0</v>
      </c>
    </row>
    <row r="99" spans="1:95" x14ac:dyDescent="0.25">
      <c r="A99" s="1">
        <v>15</v>
      </c>
      <c r="B99" s="11" t="s">
        <v>278</v>
      </c>
      <c r="C99" s="1" t="s">
        <v>68</v>
      </c>
      <c r="D99" s="1" t="s">
        <v>279</v>
      </c>
      <c r="E99" s="6"/>
      <c r="F99" s="1" t="s">
        <v>280</v>
      </c>
      <c r="G99" s="1" t="s">
        <v>35</v>
      </c>
      <c r="H99" s="1">
        <v>2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2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f>SUMPRODUCT(I99:V99,$I$13:$V$13)</f>
        <v>3320</v>
      </c>
      <c r="X99" s="6">
        <f t="shared" si="3"/>
        <v>6.3</v>
      </c>
      <c r="Y99" s="1" t="str">
        <f>VLOOKUP(D99,[1]PARTS!$A$1:$G$65536,7,0)</f>
        <v/>
      </c>
      <c r="Z99" s="1">
        <v>3000</v>
      </c>
      <c r="AA99" s="1">
        <v>3280</v>
      </c>
      <c r="AB99" s="1">
        <f>CEILING(W99,Z99)</f>
        <v>6000</v>
      </c>
      <c r="AC99" s="1">
        <f>VLOOKUP(D99,[2]pareto!$D$12:$AX$306,47,0)</f>
        <v>3.15</v>
      </c>
      <c r="AD99" s="1" t="s">
        <v>156</v>
      </c>
      <c r="AE99" s="1" t="s">
        <v>157</v>
      </c>
      <c r="AF99" s="19" t="s">
        <v>158</v>
      </c>
      <c r="AG99" s="1" t="s">
        <v>159</v>
      </c>
      <c r="BG99" s="8">
        <f>SUM($BB99,$AI99:AI99)-SUM($BY99:BZ99)</f>
        <v>0</v>
      </c>
      <c r="BH99" s="8">
        <f>SUM($BB99,$AI99:AJ99)-SUM($BY99:CA99)</f>
        <v>0</v>
      </c>
      <c r="BI99" s="8">
        <f>SUM($BB99,$AI99:AK99)-SUM($BY99:CB99)</f>
        <v>0</v>
      </c>
      <c r="BJ99" s="8">
        <f>SUM($BB99,$AI99:AL99)-SUM($BY99:CC99)</f>
        <v>0</v>
      </c>
      <c r="BK99" s="8">
        <f>SUM($BB99,$AI99:AM99)-SUM($BY99:CD99)</f>
        <v>0</v>
      </c>
      <c r="BL99" s="8">
        <f>SUM($BB99,$AI99:AN99)-SUM($BY99:CE99)</f>
        <v>0</v>
      </c>
      <c r="BM99" s="8">
        <f>SUM($BB99,$AI99:AO99)-SUM($BY99:CF99)</f>
        <v>0</v>
      </c>
      <c r="BN99" s="8">
        <f>SUM($BB99,$AI99:AP99)-SUM($BY99:CG99)</f>
        <v>-200</v>
      </c>
      <c r="BO99" s="8">
        <f>SUM($BB99,$AI99:AQ99)-SUM($BY99:CH99)</f>
        <v>-500</v>
      </c>
      <c r="BP99" s="8">
        <f>SUM($BB99,$AI99:AR99)-SUM($BY99:CI99)</f>
        <v>-1000</v>
      </c>
      <c r="BQ99" s="8">
        <f>SUM($BB99,$AI99:AS99)-SUM($BY99:CJ99)</f>
        <v>-1400</v>
      </c>
      <c r="BR99" s="8">
        <f>SUM($BB99,$AI99:AT99)-SUM($BY99:CK99)</f>
        <v>-1800</v>
      </c>
      <c r="BS99" s="8">
        <f>SUM($BB99,$AI99:AU99)-SUM($BY99:CL99)</f>
        <v>-2200</v>
      </c>
      <c r="BT99" s="8">
        <f>SUM($BB99,$AI99:AV99)-SUM($BY99:CM99)</f>
        <v>-2800</v>
      </c>
      <c r="BU99" s="8">
        <f>SUM($BB99,$AI99:AW99)-SUM($BY99:CN99)</f>
        <v>-3320</v>
      </c>
      <c r="BV99" s="8">
        <f>SUM($BB99,$AI99:AX99)-SUM($BY99:CO99)</f>
        <v>-3320</v>
      </c>
      <c r="BW99" s="8">
        <f>SUM($BB99,$AI99:AY99)-SUM($BY99:CP99)</f>
        <v>-3320</v>
      </c>
      <c r="BX99" s="8">
        <f>SUM($BB99,$AI99:AZ99)-SUM($BY99:CQ99)</f>
        <v>-3320</v>
      </c>
      <c r="BY99" s="8" cm="1">
        <f t="array" ref="BY99">SUMPRODUCT(TRANSPOSE(BY$2:BY$15),$I99:$V99)</f>
        <v>0</v>
      </c>
      <c r="BZ99" s="8" cm="1">
        <f t="array" ref="BZ99">SUMPRODUCT(TRANSPOSE(BZ$2:BZ$15),$I99:$V99)</f>
        <v>0</v>
      </c>
      <c r="CA99" s="8" cm="1">
        <f t="array" ref="CA99">SUMPRODUCT(TRANSPOSE(CA$2:CA$15),$I99:$V99)</f>
        <v>0</v>
      </c>
      <c r="CB99" s="8" cm="1">
        <f t="array" ref="CB99">SUMPRODUCT(TRANSPOSE(CB$2:CB$15),$I99:$V99)</f>
        <v>0</v>
      </c>
      <c r="CC99" s="8" cm="1">
        <f t="array" ref="CC99">SUMPRODUCT(TRANSPOSE(CC$2:CC$15),$I99:$V99)</f>
        <v>0</v>
      </c>
      <c r="CD99" s="8" cm="1">
        <f t="array" ref="CD99">SUMPRODUCT(TRANSPOSE(CD$2:CD$15),$I99:$V99)</f>
        <v>0</v>
      </c>
      <c r="CE99" s="8" cm="1">
        <f t="array" ref="CE99">SUMPRODUCT(TRANSPOSE(CE$2:CE$15),$I99:$V99)</f>
        <v>0</v>
      </c>
      <c r="CF99" s="8" cm="1">
        <f t="array" ref="CF99">SUMPRODUCT(TRANSPOSE(CF$2:CF$15),$I99:$V99)</f>
        <v>0</v>
      </c>
      <c r="CG99" s="8" cm="1">
        <f t="array" ref="CG99">SUMPRODUCT(TRANSPOSE(CG$2:CG$15),$I99:$V99)</f>
        <v>200</v>
      </c>
      <c r="CH99" s="8" cm="1">
        <f t="array" ref="CH99">SUMPRODUCT(TRANSPOSE(CH$2:CH$15),$I99:$V99)</f>
        <v>300</v>
      </c>
      <c r="CI99" s="8" cm="1">
        <f t="array" ref="CI99">SUMPRODUCT(TRANSPOSE(CI$2:CI$15),$I99:$V99)</f>
        <v>500</v>
      </c>
      <c r="CJ99" s="8" cm="1">
        <f t="array" ref="CJ99">SUMPRODUCT(TRANSPOSE(CJ$2:CJ$15),$I99:$V99)</f>
        <v>400</v>
      </c>
      <c r="CK99" s="8" cm="1">
        <f t="array" ref="CK99">SUMPRODUCT(TRANSPOSE(CK$2:CK$15),$I99:$V99)</f>
        <v>400</v>
      </c>
      <c r="CL99" s="8" cm="1">
        <f t="array" ref="CL99">SUMPRODUCT(TRANSPOSE(CL$2:CL$15),$I99:$V99)</f>
        <v>400</v>
      </c>
      <c r="CM99" s="8" cm="1">
        <f t="array" ref="CM99">SUMPRODUCT(TRANSPOSE(CM$2:CM$15),$I99:$V99)</f>
        <v>600</v>
      </c>
      <c r="CN99" s="8" cm="1">
        <f t="array" ref="CN99">SUMPRODUCT(TRANSPOSE(CN$2:CN$15),$I99:$V99)</f>
        <v>520</v>
      </c>
      <c r="CO99" s="8" cm="1">
        <f t="array" ref="CO99">SUMPRODUCT(TRANSPOSE(CO$2:CO$15),$I99:$V99)</f>
        <v>0</v>
      </c>
      <c r="CP99" s="8" cm="1">
        <f t="array" ref="CP99">SUMPRODUCT(TRANSPOSE(CP$2:CP$15),$I99:$V99)</f>
        <v>0</v>
      </c>
      <c r="CQ99" s="8" cm="1">
        <f t="array" ref="CQ99">SUMPRODUCT(TRANSPOSE(CQ$2:CQ$15),$I99:$V99)</f>
        <v>0</v>
      </c>
    </row>
    <row r="100" spans="1:95" x14ac:dyDescent="0.25">
      <c r="A100" s="1">
        <v>313</v>
      </c>
      <c r="B100" s="11" t="s">
        <v>281</v>
      </c>
      <c r="C100" s="1" t="s">
        <v>49</v>
      </c>
      <c r="D100" s="1" t="s">
        <v>282</v>
      </c>
      <c r="E100" s="6"/>
      <c r="F100" s="1" t="s">
        <v>283</v>
      </c>
      <c r="G100" s="1" t="s">
        <v>35</v>
      </c>
      <c r="H100" s="1">
        <v>2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2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f>SUMPRODUCT(I100:V100,$I$13:$V$13)</f>
        <v>3320</v>
      </c>
      <c r="X100" s="6">
        <f t="shared" si="3"/>
        <v>8.74</v>
      </c>
      <c r="Y100" s="1" t="str">
        <f>VLOOKUP(D100,[1]PARTS!$A$1:$G$65536,7,0)</f>
        <v>SMITHS INTERCONNECT AMERICAS,</v>
      </c>
      <c r="Z100" s="1">
        <v>1</v>
      </c>
      <c r="AA100" s="1">
        <v>35</v>
      </c>
      <c r="AB100" s="1">
        <f>CEILING(W100,Z100)*0.5</f>
        <v>1660</v>
      </c>
      <c r="AC100" s="1">
        <f>VLOOKUP(D100,[2]pareto!$D$12:$AX$306,47,0)</f>
        <v>4.37</v>
      </c>
      <c r="AD100" s="1" t="str">
        <f>VLOOKUP(D100,[2]pareto!$D$11:$BD$306,50,0)</f>
        <v>RMFW</v>
      </c>
      <c r="AE100" s="1" t="s">
        <v>168</v>
      </c>
      <c r="AF100" s="19" t="s">
        <v>169</v>
      </c>
      <c r="AG100" s="1" t="s">
        <v>170</v>
      </c>
      <c r="AH100" s="1" t="s">
        <v>262</v>
      </c>
      <c r="BG100" s="8">
        <f>SUM($BB100,$AI100:AI100)-SUM($BY100:BZ100)</f>
        <v>0</v>
      </c>
      <c r="BH100" s="8">
        <f>SUM($BB100,$AI100:AJ100)-SUM($BY100:CA100)</f>
        <v>0</v>
      </c>
      <c r="BI100" s="8">
        <f>SUM($BB100,$AI100:AK100)-SUM($BY100:CB100)</f>
        <v>0</v>
      </c>
      <c r="BJ100" s="8">
        <f>SUM($BB100,$AI100:AL100)-SUM($BY100:CC100)</f>
        <v>0</v>
      </c>
      <c r="BK100" s="8">
        <f>SUM($BB100,$AI100:AM100)-SUM($BY100:CD100)</f>
        <v>0</v>
      </c>
      <c r="BL100" s="8">
        <f>SUM($BB100,$AI100:AN100)-SUM($BY100:CE100)</f>
        <v>0</v>
      </c>
      <c r="BM100" s="8">
        <f>SUM($BB100,$AI100:AO100)-SUM($BY100:CF100)</f>
        <v>0</v>
      </c>
      <c r="BN100" s="8">
        <f>SUM($BB100,$AI100:AP100)-SUM($BY100:CG100)</f>
        <v>-200</v>
      </c>
      <c r="BO100" s="8">
        <f>SUM($BB100,$AI100:AQ100)-SUM($BY100:CH100)</f>
        <v>-500</v>
      </c>
      <c r="BP100" s="8">
        <f>SUM($BB100,$AI100:AR100)-SUM($BY100:CI100)</f>
        <v>-1000</v>
      </c>
      <c r="BQ100" s="8">
        <f>SUM($BB100,$AI100:AS100)-SUM($BY100:CJ100)</f>
        <v>-1400</v>
      </c>
      <c r="BR100" s="8">
        <f>SUM($BB100,$AI100:AT100)-SUM($BY100:CK100)</f>
        <v>-1800</v>
      </c>
      <c r="BS100" s="8">
        <f>SUM($BB100,$AI100:AU100)-SUM($BY100:CL100)</f>
        <v>-2200</v>
      </c>
      <c r="BT100" s="8">
        <f>SUM($BB100,$AI100:AV100)-SUM($BY100:CM100)</f>
        <v>-2800</v>
      </c>
      <c r="BU100" s="8">
        <f>SUM($BB100,$AI100:AW100)-SUM($BY100:CN100)</f>
        <v>-3320</v>
      </c>
      <c r="BV100" s="8">
        <f>SUM($BB100,$AI100:AX100)-SUM($BY100:CO100)</f>
        <v>-3320</v>
      </c>
      <c r="BW100" s="8">
        <f>SUM($BB100,$AI100:AY100)-SUM($BY100:CP100)</f>
        <v>-3320</v>
      </c>
      <c r="BX100" s="8">
        <f>SUM($BB100,$AI100:AZ100)-SUM($BY100:CQ100)</f>
        <v>-3320</v>
      </c>
      <c r="BY100" s="8" cm="1">
        <f t="array" ref="BY100">SUMPRODUCT(TRANSPOSE(BY$2:BY$15),$I100:$V100)</f>
        <v>0</v>
      </c>
      <c r="BZ100" s="8" cm="1">
        <f t="array" ref="BZ100">SUMPRODUCT(TRANSPOSE(BZ$2:BZ$15),$I100:$V100)</f>
        <v>0</v>
      </c>
      <c r="CA100" s="8" cm="1">
        <f t="array" ref="CA100">SUMPRODUCT(TRANSPOSE(CA$2:CA$15),$I100:$V100)</f>
        <v>0</v>
      </c>
      <c r="CB100" s="8" cm="1">
        <f t="array" ref="CB100">SUMPRODUCT(TRANSPOSE(CB$2:CB$15),$I100:$V100)</f>
        <v>0</v>
      </c>
      <c r="CC100" s="8" cm="1">
        <f t="array" ref="CC100">SUMPRODUCT(TRANSPOSE(CC$2:CC$15),$I100:$V100)</f>
        <v>0</v>
      </c>
      <c r="CD100" s="8" cm="1">
        <f t="array" ref="CD100">SUMPRODUCT(TRANSPOSE(CD$2:CD$15),$I100:$V100)</f>
        <v>0</v>
      </c>
      <c r="CE100" s="8" cm="1">
        <f t="array" ref="CE100">SUMPRODUCT(TRANSPOSE(CE$2:CE$15),$I100:$V100)</f>
        <v>0</v>
      </c>
      <c r="CF100" s="8" cm="1">
        <f t="array" ref="CF100">SUMPRODUCT(TRANSPOSE(CF$2:CF$15),$I100:$V100)</f>
        <v>0</v>
      </c>
      <c r="CG100" s="8" cm="1">
        <f t="array" ref="CG100">SUMPRODUCT(TRANSPOSE(CG$2:CG$15),$I100:$V100)</f>
        <v>200</v>
      </c>
      <c r="CH100" s="8" cm="1">
        <f t="array" ref="CH100">SUMPRODUCT(TRANSPOSE(CH$2:CH$15),$I100:$V100)</f>
        <v>300</v>
      </c>
      <c r="CI100" s="8" cm="1">
        <f t="array" ref="CI100">SUMPRODUCT(TRANSPOSE(CI$2:CI$15),$I100:$V100)</f>
        <v>500</v>
      </c>
      <c r="CJ100" s="8" cm="1">
        <f t="array" ref="CJ100">SUMPRODUCT(TRANSPOSE(CJ$2:CJ$15),$I100:$V100)</f>
        <v>400</v>
      </c>
      <c r="CK100" s="8" cm="1">
        <f t="array" ref="CK100">SUMPRODUCT(TRANSPOSE(CK$2:CK$15),$I100:$V100)</f>
        <v>400</v>
      </c>
      <c r="CL100" s="8" cm="1">
        <f t="array" ref="CL100">SUMPRODUCT(TRANSPOSE(CL$2:CL$15),$I100:$V100)</f>
        <v>400</v>
      </c>
      <c r="CM100" s="8" cm="1">
        <f t="array" ref="CM100">SUMPRODUCT(TRANSPOSE(CM$2:CM$15),$I100:$V100)</f>
        <v>600</v>
      </c>
      <c r="CN100" s="8" cm="1">
        <f t="array" ref="CN100">SUMPRODUCT(TRANSPOSE(CN$2:CN$15),$I100:$V100)</f>
        <v>520</v>
      </c>
      <c r="CO100" s="8" cm="1">
        <f t="array" ref="CO100">SUMPRODUCT(TRANSPOSE(CO$2:CO$15),$I100:$V100)</f>
        <v>0</v>
      </c>
      <c r="CP100" s="8" cm="1">
        <f t="array" ref="CP100">SUMPRODUCT(TRANSPOSE(CP$2:CP$15),$I100:$V100)</f>
        <v>0</v>
      </c>
      <c r="CQ100" s="8" cm="1">
        <f t="array" ref="CQ100">SUMPRODUCT(TRANSPOSE(CQ$2:CQ$15),$I100:$V100)</f>
        <v>0</v>
      </c>
    </row>
    <row r="101" spans="1:95" x14ac:dyDescent="0.25">
      <c r="A101" s="1">
        <v>240</v>
      </c>
      <c r="B101" s="11" t="s">
        <v>284</v>
      </c>
      <c r="C101" s="1" t="s">
        <v>49</v>
      </c>
      <c r="D101" s="1">
        <v>405670656</v>
      </c>
      <c r="E101" s="6"/>
      <c r="F101" s="1" t="s">
        <v>285</v>
      </c>
      <c r="G101" s="1" t="s">
        <v>35</v>
      </c>
      <c r="H101" s="1">
        <v>2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2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f>SUMPRODUCT(I101:V101,$I$13:$V$13)</f>
        <v>3320</v>
      </c>
      <c r="X101" s="6">
        <f t="shared" si="3"/>
        <v>7.22</v>
      </c>
      <c r="Y101" s="1" t="str">
        <f>VLOOKUP(D101,[1]PARTS!$A$1:$G$65536,7,0)</f>
        <v>HARWIN PIC</v>
      </c>
      <c r="Z101" s="1">
        <v>125</v>
      </c>
      <c r="AA101" s="1">
        <v>125</v>
      </c>
      <c r="AB101" s="1">
        <f>CEILING(W101,Z101)</f>
        <v>3375</v>
      </c>
      <c r="AC101" s="1">
        <f>VLOOKUP(D101,[2]pareto!$D$12:$AX$306,47,0)</f>
        <v>3.61</v>
      </c>
      <c r="AD101" s="1" t="s">
        <v>151</v>
      </c>
      <c r="AE101" s="1" t="s">
        <v>152</v>
      </c>
      <c r="AF101" s="12" t="s">
        <v>286</v>
      </c>
      <c r="AG101" s="1" t="s">
        <v>153</v>
      </c>
      <c r="BG101" s="8">
        <f>SUM($BB101,$AI101:AI101)-SUM($BY101:BZ101)</f>
        <v>0</v>
      </c>
      <c r="BH101" s="8">
        <f>SUM($BB101,$AI101:AJ101)-SUM($BY101:CA101)</f>
        <v>0</v>
      </c>
      <c r="BI101" s="8">
        <f>SUM($BB101,$AI101:AK101)-SUM($BY101:CB101)</f>
        <v>0</v>
      </c>
      <c r="BJ101" s="8">
        <f>SUM($BB101,$AI101:AL101)-SUM($BY101:CC101)</f>
        <v>0</v>
      </c>
      <c r="BK101" s="8">
        <f>SUM($BB101,$AI101:AM101)-SUM($BY101:CD101)</f>
        <v>0</v>
      </c>
      <c r="BL101" s="8">
        <f>SUM($BB101,$AI101:AN101)-SUM($BY101:CE101)</f>
        <v>0</v>
      </c>
      <c r="BM101" s="8">
        <f>SUM($BB101,$AI101:AO101)-SUM($BY101:CF101)</f>
        <v>0</v>
      </c>
      <c r="BN101" s="8">
        <f>SUM($BB101,$AI101:AP101)-SUM($BY101:CG101)</f>
        <v>-200</v>
      </c>
      <c r="BO101" s="8">
        <f>SUM($BB101,$AI101:AQ101)-SUM($BY101:CH101)</f>
        <v>-500</v>
      </c>
      <c r="BP101" s="8">
        <f>SUM($BB101,$AI101:AR101)-SUM($BY101:CI101)</f>
        <v>-1000</v>
      </c>
      <c r="BQ101" s="8">
        <f>SUM($BB101,$AI101:AS101)-SUM($BY101:CJ101)</f>
        <v>-1400</v>
      </c>
      <c r="BR101" s="8">
        <f>SUM($BB101,$AI101:AT101)-SUM($BY101:CK101)</f>
        <v>-1800</v>
      </c>
      <c r="BS101" s="8">
        <f>SUM($BB101,$AI101:AU101)-SUM($BY101:CL101)</f>
        <v>-2200</v>
      </c>
      <c r="BT101" s="8">
        <f>SUM($BB101,$AI101:AV101)-SUM($BY101:CM101)</f>
        <v>-2800</v>
      </c>
      <c r="BU101" s="8">
        <f>SUM($BB101,$AI101:AW101)-SUM($BY101:CN101)</f>
        <v>-3320</v>
      </c>
      <c r="BV101" s="8">
        <f>SUM($BB101,$AI101:AX101)-SUM($BY101:CO101)</f>
        <v>-3320</v>
      </c>
      <c r="BW101" s="8">
        <f>SUM($BB101,$AI101:AY101)-SUM($BY101:CP101)</f>
        <v>-3320</v>
      </c>
      <c r="BX101" s="8">
        <f>SUM($BB101,$AI101:AZ101)-SUM($BY101:CQ101)</f>
        <v>-3320</v>
      </c>
      <c r="BY101" s="8" cm="1">
        <f t="array" ref="BY101">SUMPRODUCT(TRANSPOSE(BY$2:BY$15),$I101:$V101)</f>
        <v>0</v>
      </c>
      <c r="BZ101" s="8" cm="1">
        <f t="array" ref="BZ101">SUMPRODUCT(TRANSPOSE(BZ$2:BZ$15),$I101:$V101)</f>
        <v>0</v>
      </c>
      <c r="CA101" s="8" cm="1">
        <f t="array" ref="CA101">SUMPRODUCT(TRANSPOSE(CA$2:CA$15),$I101:$V101)</f>
        <v>0</v>
      </c>
      <c r="CB101" s="8" cm="1">
        <f t="array" ref="CB101">SUMPRODUCT(TRANSPOSE(CB$2:CB$15),$I101:$V101)</f>
        <v>0</v>
      </c>
      <c r="CC101" s="8" cm="1">
        <f t="array" ref="CC101">SUMPRODUCT(TRANSPOSE(CC$2:CC$15),$I101:$V101)</f>
        <v>0</v>
      </c>
      <c r="CD101" s="8" cm="1">
        <f t="array" ref="CD101">SUMPRODUCT(TRANSPOSE(CD$2:CD$15),$I101:$V101)</f>
        <v>0</v>
      </c>
      <c r="CE101" s="8" cm="1">
        <f t="array" ref="CE101">SUMPRODUCT(TRANSPOSE(CE$2:CE$15),$I101:$V101)</f>
        <v>0</v>
      </c>
      <c r="CF101" s="8" cm="1">
        <f t="array" ref="CF101">SUMPRODUCT(TRANSPOSE(CF$2:CF$15),$I101:$V101)</f>
        <v>0</v>
      </c>
      <c r="CG101" s="8" cm="1">
        <f t="array" ref="CG101">SUMPRODUCT(TRANSPOSE(CG$2:CG$15),$I101:$V101)</f>
        <v>200</v>
      </c>
      <c r="CH101" s="8" cm="1">
        <f t="array" ref="CH101">SUMPRODUCT(TRANSPOSE(CH$2:CH$15),$I101:$V101)</f>
        <v>300</v>
      </c>
      <c r="CI101" s="8" cm="1">
        <f t="array" ref="CI101">SUMPRODUCT(TRANSPOSE(CI$2:CI$15),$I101:$V101)</f>
        <v>500</v>
      </c>
      <c r="CJ101" s="8" cm="1">
        <f t="array" ref="CJ101">SUMPRODUCT(TRANSPOSE(CJ$2:CJ$15),$I101:$V101)</f>
        <v>400</v>
      </c>
      <c r="CK101" s="8" cm="1">
        <f t="array" ref="CK101">SUMPRODUCT(TRANSPOSE(CK$2:CK$15),$I101:$V101)</f>
        <v>400</v>
      </c>
      <c r="CL101" s="8" cm="1">
        <f t="array" ref="CL101">SUMPRODUCT(TRANSPOSE(CL$2:CL$15),$I101:$V101)</f>
        <v>400</v>
      </c>
      <c r="CM101" s="8" cm="1">
        <f t="array" ref="CM101">SUMPRODUCT(TRANSPOSE(CM$2:CM$15),$I101:$V101)</f>
        <v>600</v>
      </c>
      <c r="CN101" s="8" cm="1">
        <f t="array" ref="CN101">SUMPRODUCT(TRANSPOSE(CN$2:CN$15),$I101:$V101)</f>
        <v>520</v>
      </c>
      <c r="CO101" s="8" cm="1">
        <f t="array" ref="CO101">SUMPRODUCT(TRANSPOSE(CO$2:CO$15),$I101:$V101)</f>
        <v>0</v>
      </c>
      <c r="CP101" s="8" cm="1">
        <f t="array" ref="CP101">SUMPRODUCT(TRANSPOSE(CP$2:CP$15),$I101:$V101)</f>
        <v>0</v>
      </c>
      <c r="CQ101" s="8" cm="1">
        <f t="array" ref="CQ101">SUMPRODUCT(TRANSPOSE(CQ$2:CQ$15),$I101:$V101)</f>
        <v>0</v>
      </c>
    </row>
    <row r="102" spans="1:95" x14ac:dyDescent="0.25">
      <c r="A102" s="1">
        <v>237</v>
      </c>
      <c r="B102" s="11" t="s">
        <v>287</v>
      </c>
      <c r="C102" s="1" t="s">
        <v>164</v>
      </c>
      <c r="D102" s="1">
        <v>400319690</v>
      </c>
      <c r="E102" s="6"/>
      <c r="F102" s="1" t="s">
        <v>288</v>
      </c>
      <c r="G102" s="1" t="s">
        <v>35</v>
      </c>
      <c r="H102" s="1">
        <v>1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1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f>SUMPRODUCT(I102:V102,$I$13:$V$13)</f>
        <v>1660</v>
      </c>
      <c r="X102" s="6">
        <f t="shared" si="3"/>
        <v>6.01</v>
      </c>
      <c r="Y102" s="1" t="str">
        <f>VLOOKUP(D102,[1]PARTS!$A$1:$G$65536,7,0)</f>
        <v>ANALOG DEVICES</v>
      </c>
      <c r="Z102" s="1">
        <f>VLOOKUP(D102,[2]pareto!$D$12:$AX$306,44,0)</f>
        <v>50</v>
      </c>
      <c r="AA102" s="1">
        <f>VLOOKUP(D102,[2]pareto!$D$12:$AX$306,45,0)</f>
        <v>50</v>
      </c>
      <c r="AB102" s="1">
        <f>CEILING(W102,Z102)</f>
        <v>1700</v>
      </c>
      <c r="AC102" s="1">
        <v>6.01</v>
      </c>
      <c r="AD102" s="1" t="s">
        <v>107</v>
      </c>
      <c r="AE102" s="1" t="s">
        <v>108</v>
      </c>
      <c r="AF102" s="19" t="s">
        <v>109</v>
      </c>
      <c r="AG102" s="1" t="s">
        <v>110</v>
      </c>
      <c r="BG102" s="8">
        <f>SUM($BB102,$AI102:AI102)-SUM($BY102:BZ102)</f>
        <v>0</v>
      </c>
      <c r="BH102" s="8">
        <f>SUM($BB102,$AI102:AJ102)-SUM($BY102:CA102)</f>
        <v>0</v>
      </c>
      <c r="BI102" s="8">
        <f>SUM($BB102,$AI102:AK102)-SUM($BY102:CB102)</f>
        <v>0</v>
      </c>
      <c r="BJ102" s="8">
        <f>SUM($BB102,$AI102:AL102)-SUM($BY102:CC102)</f>
        <v>0</v>
      </c>
      <c r="BK102" s="8">
        <f>SUM($BB102,$AI102:AM102)-SUM($BY102:CD102)</f>
        <v>0</v>
      </c>
      <c r="BL102" s="8">
        <f>SUM($BB102,$AI102:AN102)-SUM($BY102:CE102)</f>
        <v>0</v>
      </c>
      <c r="BM102" s="8">
        <f>SUM($BB102,$AI102:AO102)-SUM($BY102:CF102)</f>
        <v>0</v>
      </c>
      <c r="BN102" s="8">
        <f>SUM($BB102,$AI102:AP102)-SUM($BY102:CG102)</f>
        <v>-100</v>
      </c>
      <c r="BO102" s="8">
        <f>SUM($BB102,$AI102:AQ102)-SUM($BY102:CH102)</f>
        <v>-250</v>
      </c>
      <c r="BP102" s="8">
        <f>SUM($BB102,$AI102:AR102)-SUM($BY102:CI102)</f>
        <v>-500</v>
      </c>
      <c r="BQ102" s="8">
        <f>SUM($BB102,$AI102:AS102)-SUM($BY102:CJ102)</f>
        <v>-700</v>
      </c>
      <c r="BR102" s="8">
        <f>SUM($BB102,$AI102:AT102)-SUM($BY102:CK102)</f>
        <v>-900</v>
      </c>
      <c r="BS102" s="8">
        <f>SUM($BB102,$AI102:AU102)-SUM($BY102:CL102)</f>
        <v>-1100</v>
      </c>
      <c r="BT102" s="8">
        <f>SUM($BB102,$AI102:AV102)-SUM($BY102:CM102)</f>
        <v>-1400</v>
      </c>
      <c r="BU102" s="8">
        <f>SUM($BB102,$AI102:AW102)-SUM($BY102:CN102)</f>
        <v>-1660</v>
      </c>
      <c r="BV102" s="8">
        <f>SUM($BB102,$AI102:AX102)-SUM($BY102:CO102)</f>
        <v>-1660</v>
      </c>
      <c r="BW102" s="8">
        <f>SUM($BB102,$AI102:AY102)-SUM($BY102:CP102)</f>
        <v>-1660</v>
      </c>
      <c r="BX102" s="8">
        <f>SUM($BB102,$AI102:AZ102)-SUM($BY102:CQ102)</f>
        <v>-1660</v>
      </c>
      <c r="BY102" s="8" cm="1">
        <f t="array" ref="BY102">SUMPRODUCT(TRANSPOSE(BY$2:BY$15),$I102:$V102)</f>
        <v>0</v>
      </c>
      <c r="BZ102" s="8" cm="1">
        <f t="array" ref="BZ102">SUMPRODUCT(TRANSPOSE(BZ$2:BZ$15),$I102:$V102)</f>
        <v>0</v>
      </c>
      <c r="CA102" s="8" cm="1">
        <f t="array" ref="CA102">SUMPRODUCT(TRANSPOSE(CA$2:CA$15),$I102:$V102)</f>
        <v>0</v>
      </c>
      <c r="CB102" s="8" cm="1">
        <f t="array" ref="CB102">SUMPRODUCT(TRANSPOSE(CB$2:CB$15),$I102:$V102)</f>
        <v>0</v>
      </c>
      <c r="CC102" s="8" cm="1">
        <f t="array" ref="CC102">SUMPRODUCT(TRANSPOSE(CC$2:CC$15),$I102:$V102)</f>
        <v>0</v>
      </c>
      <c r="CD102" s="8" cm="1">
        <f t="array" ref="CD102">SUMPRODUCT(TRANSPOSE(CD$2:CD$15),$I102:$V102)</f>
        <v>0</v>
      </c>
      <c r="CE102" s="8" cm="1">
        <f t="array" ref="CE102">SUMPRODUCT(TRANSPOSE(CE$2:CE$15),$I102:$V102)</f>
        <v>0</v>
      </c>
      <c r="CF102" s="8" cm="1">
        <f t="array" ref="CF102">SUMPRODUCT(TRANSPOSE(CF$2:CF$15),$I102:$V102)</f>
        <v>0</v>
      </c>
      <c r="CG102" s="8" cm="1">
        <f t="array" ref="CG102">SUMPRODUCT(TRANSPOSE(CG$2:CG$15),$I102:$V102)</f>
        <v>100</v>
      </c>
      <c r="CH102" s="8" cm="1">
        <f t="array" ref="CH102">SUMPRODUCT(TRANSPOSE(CH$2:CH$15),$I102:$V102)</f>
        <v>150</v>
      </c>
      <c r="CI102" s="8" cm="1">
        <f t="array" ref="CI102">SUMPRODUCT(TRANSPOSE(CI$2:CI$15),$I102:$V102)</f>
        <v>250</v>
      </c>
      <c r="CJ102" s="8" cm="1">
        <f t="array" ref="CJ102">SUMPRODUCT(TRANSPOSE(CJ$2:CJ$15),$I102:$V102)</f>
        <v>200</v>
      </c>
      <c r="CK102" s="8" cm="1">
        <f t="array" ref="CK102">SUMPRODUCT(TRANSPOSE(CK$2:CK$15),$I102:$V102)</f>
        <v>200</v>
      </c>
      <c r="CL102" s="8" cm="1">
        <f t="array" ref="CL102">SUMPRODUCT(TRANSPOSE(CL$2:CL$15),$I102:$V102)</f>
        <v>200</v>
      </c>
      <c r="CM102" s="8" cm="1">
        <f t="array" ref="CM102">SUMPRODUCT(TRANSPOSE(CM$2:CM$15),$I102:$V102)</f>
        <v>300</v>
      </c>
      <c r="CN102" s="8" cm="1">
        <f t="array" ref="CN102">SUMPRODUCT(TRANSPOSE(CN$2:CN$15),$I102:$V102)</f>
        <v>260</v>
      </c>
      <c r="CO102" s="8" cm="1">
        <f t="array" ref="CO102">SUMPRODUCT(TRANSPOSE(CO$2:CO$15),$I102:$V102)</f>
        <v>0</v>
      </c>
      <c r="CP102" s="8" cm="1">
        <f t="array" ref="CP102">SUMPRODUCT(TRANSPOSE(CP$2:CP$15),$I102:$V102)</f>
        <v>0</v>
      </c>
      <c r="CQ102" s="8" cm="1">
        <f t="array" ref="CQ102">SUMPRODUCT(TRANSPOSE(CQ$2:CQ$15),$I102:$V102)</f>
        <v>0</v>
      </c>
    </row>
    <row r="103" spans="1:95" x14ac:dyDescent="0.25">
      <c r="A103" s="1">
        <v>310</v>
      </c>
      <c r="B103" s="11" t="s">
        <v>289</v>
      </c>
      <c r="C103" s="1" t="s">
        <v>49</v>
      </c>
      <c r="D103" s="1">
        <v>401461708</v>
      </c>
      <c r="E103" s="6">
        <f>VLOOKUP(D103,FFF!$A$2:$B$674,2,)</f>
        <v>405816828</v>
      </c>
      <c r="F103" s="1" t="s">
        <v>290</v>
      </c>
      <c r="G103" s="1" t="s">
        <v>35</v>
      </c>
      <c r="H103" s="1">
        <v>4</v>
      </c>
      <c r="I103" s="1">
        <v>0</v>
      </c>
      <c r="J103" s="1">
        <v>0</v>
      </c>
      <c r="K103" s="1">
        <v>0</v>
      </c>
      <c r="L103" s="1">
        <v>0</v>
      </c>
      <c r="M103" s="1">
        <v>2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2</v>
      </c>
      <c r="W103" s="1">
        <f>SUMPRODUCT(I103:V103,$I$13:$V$13)</f>
        <v>6420</v>
      </c>
      <c r="X103" s="6">
        <f t="shared" si="3"/>
        <v>7.2384000000000004</v>
      </c>
      <c r="Y103" s="1" t="str">
        <f>VLOOKUP(D103,[1]PARTS!$A$1:$G$65536,7,0)</f>
        <v>TEXAS INSTRUMENTS INC</v>
      </c>
      <c r="Z103" s="1">
        <f>VLOOKUP(D103,[2]pareto!$D$12:$AX$306,44,0)</f>
        <v>250</v>
      </c>
      <c r="AA103" s="1">
        <f>VLOOKUP(D103,[2]pareto!$D$12:$AX$306,45,0)</f>
        <v>250</v>
      </c>
      <c r="AB103" s="1">
        <f>CEILING(W103,Z103)</f>
        <v>6500</v>
      </c>
      <c r="AC103" s="1">
        <v>1.8096000000000001</v>
      </c>
      <c r="AD103" s="1" t="s">
        <v>107</v>
      </c>
      <c r="AE103" s="1" t="s">
        <v>108</v>
      </c>
      <c r="AF103" s="19" t="s">
        <v>109</v>
      </c>
      <c r="AG103" s="1" t="s">
        <v>110</v>
      </c>
      <c r="BG103" s="8">
        <f>SUM($BB103,$AI103:AI103)-SUM($BY103:BZ103)</f>
        <v>0</v>
      </c>
      <c r="BH103" s="8">
        <f>SUM($BB103,$AI103:AJ103)-SUM($BY103:CA103)</f>
        <v>0</v>
      </c>
      <c r="BI103" s="8">
        <f>SUM($BB103,$AI103:AK103)-SUM($BY103:CB103)</f>
        <v>0</v>
      </c>
      <c r="BJ103" s="8">
        <f>SUM($BB103,$AI103:AL103)-SUM($BY103:CC103)</f>
        <v>0</v>
      </c>
      <c r="BK103" s="8">
        <f>SUM($BB103,$AI103:AM103)-SUM($BY103:CD103)</f>
        <v>0</v>
      </c>
      <c r="BL103" s="8">
        <f>SUM($BB103,$AI103:AN103)-SUM($BY103:CE103)</f>
        <v>0</v>
      </c>
      <c r="BM103" s="8">
        <f>SUM($BB103,$AI103:AO103)-SUM($BY103:CF103)</f>
        <v>0</v>
      </c>
      <c r="BN103" s="8">
        <f>SUM($BB103,$AI103:AP103)-SUM($BY103:CG103)</f>
        <v>-200</v>
      </c>
      <c r="BO103" s="8">
        <f>SUM($BB103,$AI103:AQ103)-SUM($BY103:CH103)</f>
        <v>-700</v>
      </c>
      <c r="BP103" s="8">
        <f>SUM($BB103,$AI103:AR103)-SUM($BY103:CI103)</f>
        <v>-1500</v>
      </c>
      <c r="BQ103" s="8">
        <f>SUM($BB103,$AI103:AS103)-SUM($BY103:CJ103)</f>
        <v>-2440</v>
      </c>
      <c r="BR103" s="8">
        <f>SUM($BB103,$AI103:AT103)-SUM($BY103:CK103)</f>
        <v>-3240</v>
      </c>
      <c r="BS103" s="8">
        <f>SUM($BB103,$AI103:AU103)-SUM($BY103:CL103)</f>
        <v>-3940</v>
      </c>
      <c r="BT103" s="8">
        <f>SUM($BB103,$AI103:AV103)-SUM($BY103:CM103)</f>
        <v>-4820</v>
      </c>
      <c r="BU103" s="8">
        <f>SUM($BB103,$AI103:AW103)-SUM($BY103:CN103)</f>
        <v>-5900</v>
      </c>
      <c r="BV103" s="8">
        <f>SUM($BB103,$AI103:AX103)-SUM($BY103:CO103)</f>
        <v>-6420</v>
      </c>
      <c r="BW103" s="8">
        <f>SUM($BB103,$AI103:AY103)-SUM($BY103:CP103)</f>
        <v>-6420</v>
      </c>
      <c r="BX103" s="8">
        <f>SUM($BB103,$AI103:AZ103)-SUM($BY103:CQ103)</f>
        <v>-6420</v>
      </c>
      <c r="BY103" s="8" cm="1">
        <f t="array" ref="BY103">SUMPRODUCT(TRANSPOSE(BY$2:BY$15),$I103:$V103)</f>
        <v>0</v>
      </c>
      <c r="BZ103" s="8" cm="1">
        <f t="array" ref="BZ103">SUMPRODUCT(TRANSPOSE(BZ$2:BZ$15),$I103:$V103)</f>
        <v>0</v>
      </c>
      <c r="CA103" s="8" cm="1">
        <f t="array" ref="CA103">SUMPRODUCT(TRANSPOSE(CA$2:CA$15),$I103:$V103)</f>
        <v>0</v>
      </c>
      <c r="CB103" s="8" cm="1">
        <f t="array" ref="CB103">SUMPRODUCT(TRANSPOSE(CB$2:CB$15),$I103:$V103)</f>
        <v>0</v>
      </c>
      <c r="CC103" s="8" cm="1">
        <f t="array" ref="CC103">SUMPRODUCT(TRANSPOSE(CC$2:CC$15),$I103:$V103)</f>
        <v>0</v>
      </c>
      <c r="CD103" s="8" cm="1">
        <f t="array" ref="CD103">SUMPRODUCT(TRANSPOSE(CD$2:CD$15),$I103:$V103)</f>
        <v>0</v>
      </c>
      <c r="CE103" s="8" cm="1">
        <f t="array" ref="CE103">SUMPRODUCT(TRANSPOSE(CE$2:CE$15),$I103:$V103)</f>
        <v>0</v>
      </c>
      <c r="CF103" s="8" cm="1">
        <f t="array" ref="CF103">SUMPRODUCT(TRANSPOSE(CF$2:CF$15),$I103:$V103)</f>
        <v>0</v>
      </c>
      <c r="CG103" s="8" cm="1">
        <f t="array" ref="CG103">SUMPRODUCT(TRANSPOSE(CG$2:CG$15),$I103:$V103)</f>
        <v>200</v>
      </c>
      <c r="CH103" s="8" cm="1">
        <f t="array" ref="CH103">SUMPRODUCT(TRANSPOSE(CH$2:CH$15),$I103:$V103)</f>
        <v>500</v>
      </c>
      <c r="CI103" s="8" cm="1">
        <f t="array" ref="CI103">SUMPRODUCT(TRANSPOSE(CI$2:CI$15),$I103:$V103)</f>
        <v>800</v>
      </c>
      <c r="CJ103" s="8" cm="1">
        <f t="array" ref="CJ103">SUMPRODUCT(TRANSPOSE(CJ$2:CJ$15),$I103:$V103)</f>
        <v>940</v>
      </c>
      <c r="CK103" s="8" cm="1">
        <f t="array" ref="CK103">SUMPRODUCT(TRANSPOSE(CK$2:CK$15),$I103:$V103)</f>
        <v>800</v>
      </c>
      <c r="CL103" s="8" cm="1">
        <f t="array" ref="CL103">SUMPRODUCT(TRANSPOSE(CL$2:CL$15),$I103:$V103)</f>
        <v>700</v>
      </c>
      <c r="CM103" s="8" cm="1">
        <f t="array" ref="CM103">SUMPRODUCT(TRANSPOSE(CM$2:CM$15),$I103:$V103)</f>
        <v>880</v>
      </c>
      <c r="CN103" s="8" cm="1">
        <f t="array" ref="CN103">SUMPRODUCT(TRANSPOSE(CN$2:CN$15),$I103:$V103)</f>
        <v>1080</v>
      </c>
      <c r="CO103" s="8" cm="1">
        <f t="array" ref="CO103">SUMPRODUCT(TRANSPOSE(CO$2:CO$15),$I103:$V103)</f>
        <v>520</v>
      </c>
      <c r="CP103" s="8" cm="1">
        <f t="array" ref="CP103">SUMPRODUCT(TRANSPOSE(CP$2:CP$15),$I103:$V103)</f>
        <v>0</v>
      </c>
      <c r="CQ103" s="8" cm="1">
        <f t="array" ref="CQ103">SUMPRODUCT(TRANSPOSE(CQ$2:CQ$15),$I103:$V103)</f>
        <v>0</v>
      </c>
    </row>
    <row r="104" spans="1:95" x14ac:dyDescent="0.25">
      <c r="A104" s="1">
        <v>233</v>
      </c>
      <c r="B104" s="11" t="s">
        <v>291</v>
      </c>
      <c r="C104" s="1" t="s">
        <v>164</v>
      </c>
      <c r="D104" s="1">
        <v>732684436</v>
      </c>
      <c r="E104" s="6" t="str">
        <f>VLOOKUP(D104,FFF!$A$2:$B$674,2,)</f>
        <v>FFF016923</v>
      </c>
      <c r="F104" s="1" t="s">
        <v>292</v>
      </c>
      <c r="G104" s="1" t="s">
        <v>256</v>
      </c>
      <c r="H104" s="1" t="s">
        <v>257</v>
      </c>
      <c r="I104" s="1">
        <v>0</v>
      </c>
      <c r="J104" s="1">
        <v>0.05</v>
      </c>
      <c r="K104" s="1">
        <v>0</v>
      </c>
      <c r="L104" s="1">
        <v>0</v>
      </c>
      <c r="M104" s="1">
        <v>0</v>
      </c>
      <c r="N104" s="1">
        <v>0</v>
      </c>
      <c r="O104" s="1">
        <v>0.05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f>SUMPRODUCT(I104:V104,$I$13:$V$13)</f>
        <v>160.5</v>
      </c>
      <c r="X104" s="6">
        <f t="shared" si="3"/>
        <v>1.5600000000000001E-2</v>
      </c>
      <c r="Y104" s="1" t="str">
        <f>VLOOKUP(D104,[1]PARTS!$A$1:$G$65536,7,0)</f>
        <v>HENKEL CORPORATION AEROSPACE GROUP</v>
      </c>
      <c r="Z104" s="1">
        <f>VLOOKUP(D104,[2]pareto!$D$12:$AX$306,44,0)</f>
        <v>0</v>
      </c>
      <c r="AA104" s="1">
        <f>VLOOKUP(D104,[2]pareto!$D$12:$AX$306,45,0)</f>
        <v>0</v>
      </c>
      <c r="AB104" s="1">
        <f>CEILING(W104,Z104)</f>
        <v>0</v>
      </c>
      <c r="AC104" s="1">
        <f>VLOOKUP(D104,[2]pareto!$D$12:$AX$306,47,0)</f>
        <v>0.156</v>
      </c>
      <c r="AD104" s="1" t="s">
        <v>258</v>
      </c>
      <c r="AE104" s="1" t="s">
        <v>258</v>
      </c>
      <c r="AF104" s="1" t="s">
        <v>258</v>
      </c>
      <c r="AG104" s="1" t="s">
        <v>258</v>
      </c>
      <c r="BG104" s="8">
        <f>SUM($BB104,$AI104:AI104)-SUM($BY104:BZ104)</f>
        <v>0</v>
      </c>
      <c r="BH104" s="8">
        <f>SUM($BB104,$AI104:AJ104)-SUM($BY104:CA104)</f>
        <v>0</v>
      </c>
      <c r="BI104" s="8">
        <f>SUM($BB104,$AI104:AK104)-SUM($BY104:CB104)</f>
        <v>0</v>
      </c>
      <c r="BJ104" s="8">
        <f>SUM($BB104,$AI104:AL104)-SUM($BY104:CC104)</f>
        <v>0</v>
      </c>
      <c r="BK104" s="8">
        <f>SUM($BB104,$AI104:AM104)-SUM($BY104:CD104)</f>
        <v>0</v>
      </c>
      <c r="BL104" s="8">
        <f>SUM($BB104,$AI104:AN104)-SUM($BY104:CE104)</f>
        <v>0</v>
      </c>
      <c r="BM104" s="8">
        <f>SUM($BB104,$AI104:AO104)-SUM($BY104:CF104)</f>
        <v>0</v>
      </c>
      <c r="BN104" s="8">
        <f>SUM($BB104,$AI104:AP104)-SUM($BY104:CG104)</f>
        <v>0</v>
      </c>
      <c r="BO104" s="8">
        <f>SUM($BB104,$AI104:AQ104)-SUM($BY104:CH104)</f>
        <v>0</v>
      </c>
      <c r="BP104" s="8">
        <f>SUM($BB104,$AI104:AR104)-SUM($BY104:CI104)</f>
        <v>-10</v>
      </c>
      <c r="BQ104" s="8">
        <f>SUM($BB104,$AI104:AS104)-SUM($BY104:CJ104)</f>
        <v>-25</v>
      </c>
      <c r="BR104" s="8">
        <f>SUM($BB104,$AI104:AT104)-SUM($BY104:CK104)</f>
        <v>-50</v>
      </c>
      <c r="BS104" s="8">
        <f>SUM($BB104,$AI104:AU104)-SUM($BY104:CL104)</f>
        <v>-71</v>
      </c>
      <c r="BT104" s="8">
        <f>SUM($BB104,$AI104:AV104)-SUM($BY104:CM104)</f>
        <v>-91</v>
      </c>
      <c r="BU104" s="8">
        <f>SUM($BB104,$AI104:AW104)-SUM($BY104:CN104)</f>
        <v>-108.5</v>
      </c>
      <c r="BV104" s="8">
        <f>SUM($BB104,$AI104:AX104)-SUM($BY104:CO104)</f>
        <v>-135.5</v>
      </c>
      <c r="BW104" s="8">
        <f>SUM($BB104,$AI104:AY104)-SUM($BY104:CP104)</f>
        <v>-160.5</v>
      </c>
      <c r="BX104" s="8">
        <f>SUM($BB104,$AI104:AZ104)-SUM($BY104:CQ104)</f>
        <v>-160.5</v>
      </c>
      <c r="BY104" s="8" cm="1">
        <f t="array" ref="BY104">SUMPRODUCT(TRANSPOSE(BY$2:BY$15),$I104:$V104)</f>
        <v>0</v>
      </c>
      <c r="BZ104" s="8" cm="1">
        <f t="array" ref="BZ104">SUMPRODUCT(TRANSPOSE(BZ$2:BZ$15),$I104:$V104)</f>
        <v>0</v>
      </c>
      <c r="CA104" s="8" cm="1">
        <f t="array" ref="CA104">SUMPRODUCT(TRANSPOSE(CA$2:CA$15),$I104:$V104)</f>
        <v>0</v>
      </c>
      <c r="CB104" s="8" cm="1">
        <f t="array" ref="CB104">SUMPRODUCT(TRANSPOSE(CB$2:CB$15),$I104:$V104)</f>
        <v>0</v>
      </c>
      <c r="CC104" s="8" cm="1">
        <f t="array" ref="CC104">SUMPRODUCT(TRANSPOSE(CC$2:CC$15),$I104:$V104)</f>
        <v>0</v>
      </c>
      <c r="CD104" s="8" cm="1">
        <f t="array" ref="CD104">SUMPRODUCT(TRANSPOSE(CD$2:CD$15),$I104:$V104)</f>
        <v>0</v>
      </c>
      <c r="CE104" s="8" cm="1">
        <f t="array" ref="CE104">SUMPRODUCT(TRANSPOSE(CE$2:CE$15),$I104:$V104)</f>
        <v>0</v>
      </c>
      <c r="CF104" s="8" cm="1">
        <f t="array" ref="CF104">SUMPRODUCT(TRANSPOSE(CF$2:CF$15),$I104:$V104)</f>
        <v>0</v>
      </c>
      <c r="CG104" s="8" cm="1">
        <f t="array" ref="CG104">SUMPRODUCT(TRANSPOSE(CG$2:CG$15),$I104:$V104)</f>
        <v>0</v>
      </c>
      <c r="CH104" s="8" cm="1">
        <f t="array" ref="CH104">SUMPRODUCT(TRANSPOSE(CH$2:CH$15),$I104:$V104)</f>
        <v>0</v>
      </c>
      <c r="CI104" s="8" cm="1">
        <f t="array" ref="CI104">SUMPRODUCT(TRANSPOSE(CI$2:CI$15),$I104:$V104)</f>
        <v>10</v>
      </c>
      <c r="CJ104" s="8" cm="1">
        <f t="array" ref="CJ104">SUMPRODUCT(TRANSPOSE(CJ$2:CJ$15),$I104:$V104)</f>
        <v>15</v>
      </c>
      <c r="CK104" s="8" cm="1">
        <f t="array" ref="CK104">SUMPRODUCT(TRANSPOSE(CK$2:CK$15),$I104:$V104)</f>
        <v>25</v>
      </c>
      <c r="CL104" s="8" cm="1">
        <f t="array" ref="CL104">SUMPRODUCT(TRANSPOSE(CL$2:CL$15),$I104:$V104)</f>
        <v>21</v>
      </c>
      <c r="CM104" s="8" cm="1">
        <f t="array" ref="CM104">SUMPRODUCT(TRANSPOSE(CM$2:CM$15),$I104:$V104)</f>
        <v>20</v>
      </c>
      <c r="CN104" s="8" cm="1">
        <f t="array" ref="CN104">SUMPRODUCT(TRANSPOSE(CN$2:CN$15),$I104:$V104)</f>
        <v>17.5</v>
      </c>
      <c r="CO104" s="8" cm="1">
        <f t="array" ref="CO104">SUMPRODUCT(TRANSPOSE(CO$2:CO$15),$I104:$V104)</f>
        <v>27</v>
      </c>
      <c r="CP104" s="8" cm="1">
        <f t="array" ref="CP104">SUMPRODUCT(TRANSPOSE(CP$2:CP$15),$I104:$V104)</f>
        <v>25</v>
      </c>
      <c r="CQ104" s="8" cm="1">
        <f t="array" ref="CQ104">SUMPRODUCT(TRANSPOSE(CQ$2:CQ$15),$I104:$V104)</f>
        <v>0</v>
      </c>
    </row>
    <row r="105" spans="1:95" x14ac:dyDescent="0.25">
      <c r="A105" s="1">
        <v>276</v>
      </c>
      <c r="B105" s="11" t="s">
        <v>293</v>
      </c>
      <c r="C105" s="1" t="s">
        <v>49</v>
      </c>
      <c r="D105" s="1">
        <v>411188824</v>
      </c>
      <c r="E105" s="6"/>
      <c r="F105" s="1" t="s">
        <v>294</v>
      </c>
      <c r="G105" s="1" t="s">
        <v>35</v>
      </c>
      <c r="H105" s="1">
        <v>4</v>
      </c>
      <c r="I105" s="1">
        <v>0</v>
      </c>
      <c r="J105" s="1">
        <v>0</v>
      </c>
      <c r="K105" s="1">
        <v>0</v>
      </c>
      <c r="L105" s="1">
        <v>0</v>
      </c>
      <c r="M105" s="1">
        <v>2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2</v>
      </c>
      <c r="W105" s="1">
        <f>SUMPRODUCT(I105:V105,$I$13:$V$13)</f>
        <v>6420</v>
      </c>
      <c r="X105" s="6">
        <f t="shared" si="3"/>
        <v>5.12</v>
      </c>
      <c r="Y105" s="1" t="str">
        <f>VLOOKUP(D105,[1]PARTS!$A$1:$G$65536,7,0)</f>
        <v>MURATA ERIE NORTH AMERICA INC.</v>
      </c>
      <c r="Z105" s="1">
        <f>VLOOKUP(D105,[2]pareto!$D$12:$AX$306,44,0)</f>
        <v>4000</v>
      </c>
      <c r="AA105" s="1">
        <f>VLOOKUP(D105,[2]pareto!$D$12:$AX$306,45,0)</f>
        <v>4000</v>
      </c>
      <c r="AB105" s="1">
        <f>CEILING(W105,Z105)</f>
        <v>8000</v>
      </c>
      <c r="AC105" s="1">
        <v>1.28</v>
      </c>
      <c r="AD105" s="1" t="s">
        <v>295</v>
      </c>
      <c r="AE105" s="1" t="s">
        <v>296</v>
      </c>
      <c r="AF105" s="12" t="s">
        <v>297</v>
      </c>
      <c r="AG105" s="1" t="s">
        <v>298</v>
      </c>
      <c r="BG105" s="8">
        <f>SUM($BB105,$AI105:AI105)-SUM($BY105:BZ105)</f>
        <v>0</v>
      </c>
      <c r="BH105" s="8">
        <f>SUM($BB105,$AI105:AJ105)-SUM($BY105:CA105)</f>
        <v>0</v>
      </c>
      <c r="BI105" s="8">
        <f>SUM($BB105,$AI105:AK105)-SUM($BY105:CB105)</f>
        <v>0</v>
      </c>
      <c r="BJ105" s="8">
        <f>SUM($BB105,$AI105:AL105)-SUM($BY105:CC105)</f>
        <v>0</v>
      </c>
      <c r="BK105" s="8">
        <f>SUM($BB105,$AI105:AM105)-SUM($BY105:CD105)</f>
        <v>0</v>
      </c>
      <c r="BL105" s="8">
        <f>SUM($BB105,$AI105:AN105)-SUM($BY105:CE105)</f>
        <v>0</v>
      </c>
      <c r="BM105" s="8">
        <f>SUM($BB105,$AI105:AO105)-SUM($BY105:CF105)</f>
        <v>0</v>
      </c>
      <c r="BN105" s="8">
        <f>SUM($BB105,$AI105:AP105)-SUM($BY105:CG105)</f>
        <v>-200</v>
      </c>
      <c r="BO105" s="8">
        <f>SUM($BB105,$AI105:AQ105)-SUM($BY105:CH105)</f>
        <v>-700</v>
      </c>
      <c r="BP105" s="8">
        <f>SUM($BB105,$AI105:AR105)-SUM($BY105:CI105)</f>
        <v>-1500</v>
      </c>
      <c r="BQ105" s="8">
        <f>SUM($BB105,$AI105:AS105)-SUM($BY105:CJ105)</f>
        <v>-2440</v>
      </c>
      <c r="BR105" s="8">
        <f>SUM($BB105,$AI105:AT105)-SUM($BY105:CK105)</f>
        <v>-3240</v>
      </c>
      <c r="BS105" s="8">
        <f>SUM($BB105,$AI105:AU105)-SUM($BY105:CL105)</f>
        <v>-3940</v>
      </c>
      <c r="BT105" s="8">
        <f>SUM($BB105,$AI105:AV105)-SUM($BY105:CM105)</f>
        <v>-4820</v>
      </c>
      <c r="BU105" s="8">
        <f>SUM($BB105,$AI105:AW105)-SUM($BY105:CN105)</f>
        <v>-5900</v>
      </c>
      <c r="BV105" s="8">
        <f>SUM($BB105,$AI105:AX105)-SUM($BY105:CO105)</f>
        <v>-6420</v>
      </c>
      <c r="BW105" s="8">
        <f>SUM($BB105,$AI105:AY105)-SUM($BY105:CP105)</f>
        <v>-6420</v>
      </c>
      <c r="BX105" s="8">
        <f>SUM($BB105,$AI105:AZ105)-SUM($BY105:CQ105)</f>
        <v>-6420</v>
      </c>
      <c r="BY105" s="8" cm="1">
        <f t="array" ref="BY105">SUMPRODUCT(TRANSPOSE(BY$2:BY$15),$I105:$V105)</f>
        <v>0</v>
      </c>
      <c r="BZ105" s="8" cm="1">
        <f t="array" ref="BZ105">SUMPRODUCT(TRANSPOSE(BZ$2:BZ$15),$I105:$V105)</f>
        <v>0</v>
      </c>
      <c r="CA105" s="8" cm="1">
        <f t="array" ref="CA105">SUMPRODUCT(TRANSPOSE(CA$2:CA$15),$I105:$V105)</f>
        <v>0</v>
      </c>
      <c r="CB105" s="8" cm="1">
        <f t="array" ref="CB105">SUMPRODUCT(TRANSPOSE(CB$2:CB$15),$I105:$V105)</f>
        <v>0</v>
      </c>
      <c r="CC105" s="8" cm="1">
        <f t="array" ref="CC105">SUMPRODUCT(TRANSPOSE(CC$2:CC$15),$I105:$V105)</f>
        <v>0</v>
      </c>
      <c r="CD105" s="8" cm="1">
        <f t="array" ref="CD105">SUMPRODUCT(TRANSPOSE(CD$2:CD$15),$I105:$V105)</f>
        <v>0</v>
      </c>
      <c r="CE105" s="8" cm="1">
        <f t="array" ref="CE105">SUMPRODUCT(TRANSPOSE(CE$2:CE$15),$I105:$V105)</f>
        <v>0</v>
      </c>
      <c r="CF105" s="8" cm="1">
        <f t="array" ref="CF105">SUMPRODUCT(TRANSPOSE(CF$2:CF$15),$I105:$V105)</f>
        <v>0</v>
      </c>
      <c r="CG105" s="8" cm="1">
        <f t="array" ref="CG105">SUMPRODUCT(TRANSPOSE(CG$2:CG$15),$I105:$V105)</f>
        <v>200</v>
      </c>
      <c r="CH105" s="8" cm="1">
        <f t="array" ref="CH105">SUMPRODUCT(TRANSPOSE(CH$2:CH$15),$I105:$V105)</f>
        <v>500</v>
      </c>
      <c r="CI105" s="8" cm="1">
        <f t="array" ref="CI105">SUMPRODUCT(TRANSPOSE(CI$2:CI$15),$I105:$V105)</f>
        <v>800</v>
      </c>
      <c r="CJ105" s="8" cm="1">
        <f t="array" ref="CJ105">SUMPRODUCT(TRANSPOSE(CJ$2:CJ$15),$I105:$V105)</f>
        <v>940</v>
      </c>
      <c r="CK105" s="8" cm="1">
        <f t="array" ref="CK105">SUMPRODUCT(TRANSPOSE(CK$2:CK$15),$I105:$V105)</f>
        <v>800</v>
      </c>
      <c r="CL105" s="8" cm="1">
        <f t="array" ref="CL105">SUMPRODUCT(TRANSPOSE(CL$2:CL$15),$I105:$V105)</f>
        <v>700</v>
      </c>
      <c r="CM105" s="8" cm="1">
        <f t="array" ref="CM105">SUMPRODUCT(TRANSPOSE(CM$2:CM$15),$I105:$V105)</f>
        <v>880</v>
      </c>
      <c r="CN105" s="8" cm="1">
        <f t="array" ref="CN105">SUMPRODUCT(TRANSPOSE(CN$2:CN$15),$I105:$V105)</f>
        <v>1080</v>
      </c>
      <c r="CO105" s="8" cm="1">
        <f t="array" ref="CO105">SUMPRODUCT(TRANSPOSE(CO$2:CO$15),$I105:$V105)</f>
        <v>520</v>
      </c>
      <c r="CP105" s="8" cm="1">
        <f t="array" ref="CP105">SUMPRODUCT(TRANSPOSE(CP$2:CP$15),$I105:$V105)</f>
        <v>0</v>
      </c>
      <c r="CQ105" s="8" cm="1">
        <f t="array" ref="CQ105">SUMPRODUCT(TRANSPOSE(CQ$2:CQ$15),$I105:$V105)</f>
        <v>0</v>
      </c>
    </row>
    <row r="106" spans="1:95" x14ac:dyDescent="0.25">
      <c r="A106" s="1">
        <v>217</v>
      </c>
      <c r="B106" s="11" t="s">
        <v>299</v>
      </c>
      <c r="C106" s="1" t="s">
        <v>49</v>
      </c>
      <c r="D106" s="1">
        <v>400416555</v>
      </c>
      <c r="E106" s="6">
        <f>VLOOKUP(D106,FFF!$A$2:$B$674,2,)</f>
        <v>417372705</v>
      </c>
      <c r="F106" s="1" t="s">
        <v>300</v>
      </c>
      <c r="G106" s="1" t="s">
        <v>35</v>
      </c>
      <c r="H106" s="1">
        <v>24</v>
      </c>
      <c r="I106" s="1">
        <v>0</v>
      </c>
      <c r="J106" s="1">
        <v>0</v>
      </c>
      <c r="K106" s="1">
        <v>0</v>
      </c>
      <c r="L106" s="1">
        <v>0</v>
      </c>
      <c r="M106" s="1">
        <v>8</v>
      </c>
      <c r="N106" s="1">
        <v>0</v>
      </c>
      <c r="O106" s="1">
        <v>0</v>
      </c>
      <c r="P106" s="1">
        <v>0</v>
      </c>
      <c r="Q106" s="1">
        <v>8</v>
      </c>
      <c r="R106" s="1">
        <v>0</v>
      </c>
      <c r="S106" s="1">
        <v>0</v>
      </c>
      <c r="T106" s="1">
        <v>0</v>
      </c>
      <c r="U106" s="1">
        <v>0</v>
      </c>
      <c r="V106" s="1">
        <v>8</v>
      </c>
      <c r="W106" s="1">
        <f>SUMPRODUCT(I106:V106,$I$13:$V$13)</f>
        <v>38960</v>
      </c>
      <c r="X106" s="6">
        <f t="shared" si="3"/>
        <v>4.8000000000000007</v>
      </c>
      <c r="Y106" s="1" t="str">
        <f>VLOOKUP(D106,[1]PARTS!$A$1:$G$65536,7,0)</f>
        <v>MURATA MANUFACTURING CO. LTD</v>
      </c>
      <c r="Z106" s="1">
        <f>VLOOKUP(D106,[2]pareto!$D$12:$AX$306,44,0)</f>
        <v>1000</v>
      </c>
      <c r="AA106" s="1">
        <f>VLOOKUP(D106,[2]pareto!$D$12:$AX$306,45,0)</f>
        <v>1000</v>
      </c>
      <c r="AB106" s="1">
        <f>CEILING(W106,Z106)</f>
        <v>39000</v>
      </c>
      <c r="AC106" s="1">
        <f>VLOOKUP(D106,[2]pareto!$D$12:$AX$306,47,0)</f>
        <v>0.2</v>
      </c>
      <c r="AD106" s="1" t="s">
        <v>85</v>
      </c>
      <c r="AE106" s="1" t="s">
        <v>86</v>
      </c>
      <c r="AF106" s="19" t="s">
        <v>87</v>
      </c>
      <c r="AG106" s="1" t="s">
        <v>88</v>
      </c>
      <c r="BG106" s="8">
        <f>SUM($BB106,$AI106:AI106)-SUM($BY106:BZ106)</f>
        <v>0</v>
      </c>
      <c r="BH106" s="8">
        <f>SUM($BB106,$AI106:AJ106)-SUM($BY106:CA106)</f>
        <v>0</v>
      </c>
      <c r="BI106" s="8">
        <f>SUM($BB106,$AI106:AK106)-SUM($BY106:CB106)</f>
        <v>0</v>
      </c>
      <c r="BJ106" s="8">
        <f>SUM($BB106,$AI106:AL106)-SUM($BY106:CC106)</f>
        <v>0</v>
      </c>
      <c r="BK106" s="8">
        <f>SUM($BB106,$AI106:AM106)-SUM($BY106:CD106)</f>
        <v>0</v>
      </c>
      <c r="BL106" s="8">
        <f>SUM($BB106,$AI106:AN106)-SUM($BY106:CE106)</f>
        <v>0</v>
      </c>
      <c r="BM106" s="8">
        <f>SUM($BB106,$AI106:AO106)-SUM($BY106:CF106)</f>
        <v>0</v>
      </c>
      <c r="BN106" s="8">
        <f>SUM($BB106,$AI106:AP106)-SUM($BY106:CG106)</f>
        <v>-1600</v>
      </c>
      <c r="BO106" s="8">
        <f>SUM($BB106,$AI106:AQ106)-SUM($BY106:CH106)</f>
        <v>-4800</v>
      </c>
      <c r="BP106" s="8">
        <f>SUM($BB106,$AI106:AR106)-SUM($BY106:CI106)</f>
        <v>-10000</v>
      </c>
      <c r="BQ106" s="8">
        <f>SUM($BB106,$AI106:AS106)-SUM($BY106:CJ106)</f>
        <v>-15360</v>
      </c>
      <c r="BR106" s="8">
        <f>SUM($BB106,$AI106:AT106)-SUM($BY106:CK106)</f>
        <v>-20160</v>
      </c>
      <c r="BS106" s="8">
        <f>SUM($BB106,$AI106:AU106)-SUM($BY106:CL106)</f>
        <v>-24560</v>
      </c>
      <c r="BT106" s="8">
        <f>SUM($BB106,$AI106:AV106)-SUM($BY106:CM106)</f>
        <v>-30480</v>
      </c>
      <c r="BU106" s="8">
        <f>SUM($BB106,$AI106:AW106)-SUM($BY106:CN106)</f>
        <v>-36880</v>
      </c>
      <c r="BV106" s="8">
        <f>SUM($BB106,$AI106:AX106)-SUM($BY106:CO106)</f>
        <v>-38960</v>
      </c>
      <c r="BW106" s="8">
        <f>SUM($BB106,$AI106:AY106)-SUM($BY106:CP106)</f>
        <v>-38960</v>
      </c>
      <c r="BX106" s="8">
        <f>SUM($BB106,$AI106:AZ106)-SUM($BY106:CQ106)</f>
        <v>-38960</v>
      </c>
      <c r="BY106" s="8" cm="1">
        <f t="array" ref="BY106">SUMPRODUCT(TRANSPOSE(BY$2:BY$15),$I106:$V106)</f>
        <v>0</v>
      </c>
      <c r="BZ106" s="8" cm="1">
        <f t="array" ref="BZ106">SUMPRODUCT(TRANSPOSE(BZ$2:BZ$15),$I106:$V106)</f>
        <v>0</v>
      </c>
      <c r="CA106" s="8" cm="1">
        <f t="array" ref="CA106">SUMPRODUCT(TRANSPOSE(CA$2:CA$15),$I106:$V106)</f>
        <v>0</v>
      </c>
      <c r="CB106" s="8" cm="1">
        <f t="array" ref="CB106">SUMPRODUCT(TRANSPOSE(CB$2:CB$15),$I106:$V106)</f>
        <v>0</v>
      </c>
      <c r="CC106" s="8" cm="1">
        <f t="array" ref="CC106">SUMPRODUCT(TRANSPOSE(CC$2:CC$15),$I106:$V106)</f>
        <v>0</v>
      </c>
      <c r="CD106" s="8" cm="1">
        <f t="array" ref="CD106">SUMPRODUCT(TRANSPOSE(CD$2:CD$15),$I106:$V106)</f>
        <v>0</v>
      </c>
      <c r="CE106" s="8" cm="1">
        <f t="array" ref="CE106">SUMPRODUCT(TRANSPOSE(CE$2:CE$15),$I106:$V106)</f>
        <v>0</v>
      </c>
      <c r="CF106" s="8" cm="1">
        <f t="array" ref="CF106">SUMPRODUCT(TRANSPOSE(CF$2:CF$15),$I106:$V106)</f>
        <v>0</v>
      </c>
      <c r="CG106" s="8" cm="1">
        <f t="array" ref="CG106">SUMPRODUCT(TRANSPOSE(CG$2:CG$15),$I106:$V106)</f>
        <v>1600</v>
      </c>
      <c r="CH106" s="8" cm="1">
        <f t="array" ref="CH106">SUMPRODUCT(TRANSPOSE(CH$2:CH$15),$I106:$V106)</f>
        <v>3200</v>
      </c>
      <c r="CI106" s="8" cm="1">
        <f t="array" ref="CI106">SUMPRODUCT(TRANSPOSE(CI$2:CI$15),$I106:$V106)</f>
        <v>5200</v>
      </c>
      <c r="CJ106" s="8" cm="1">
        <f t="array" ref="CJ106">SUMPRODUCT(TRANSPOSE(CJ$2:CJ$15),$I106:$V106)</f>
        <v>5360</v>
      </c>
      <c r="CK106" s="8" cm="1">
        <f t="array" ref="CK106">SUMPRODUCT(TRANSPOSE(CK$2:CK$15),$I106:$V106)</f>
        <v>4800</v>
      </c>
      <c r="CL106" s="8" cm="1">
        <f t="array" ref="CL106">SUMPRODUCT(TRANSPOSE(CL$2:CL$15),$I106:$V106)</f>
        <v>4400</v>
      </c>
      <c r="CM106" s="8" cm="1">
        <f t="array" ref="CM106">SUMPRODUCT(TRANSPOSE(CM$2:CM$15),$I106:$V106)</f>
        <v>5920</v>
      </c>
      <c r="CN106" s="8" cm="1">
        <f t="array" ref="CN106">SUMPRODUCT(TRANSPOSE(CN$2:CN$15),$I106:$V106)</f>
        <v>6400</v>
      </c>
      <c r="CO106" s="8" cm="1">
        <f t="array" ref="CO106">SUMPRODUCT(TRANSPOSE(CO$2:CO$15),$I106:$V106)</f>
        <v>2080</v>
      </c>
      <c r="CP106" s="8" cm="1">
        <f t="array" ref="CP106">SUMPRODUCT(TRANSPOSE(CP$2:CP$15),$I106:$V106)</f>
        <v>0</v>
      </c>
      <c r="CQ106" s="8" cm="1">
        <f t="array" ref="CQ106">SUMPRODUCT(TRANSPOSE(CQ$2:CQ$15),$I106:$V106)</f>
        <v>0</v>
      </c>
    </row>
    <row r="107" spans="1:95" x14ac:dyDescent="0.25">
      <c r="A107" s="1">
        <v>44</v>
      </c>
      <c r="B107" s="11" t="s">
        <v>301</v>
      </c>
      <c r="C107" s="1" t="s">
        <v>68</v>
      </c>
      <c r="D107" s="1">
        <v>411179618</v>
      </c>
      <c r="E107" s="6"/>
      <c r="F107" s="1" t="s">
        <v>302</v>
      </c>
      <c r="G107" s="1" t="s">
        <v>35</v>
      </c>
      <c r="H107" s="1">
        <v>4</v>
      </c>
      <c r="I107" s="1">
        <v>0</v>
      </c>
      <c r="J107" s="1">
        <v>2</v>
      </c>
      <c r="K107" s="1">
        <v>0</v>
      </c>
      <c r="L107" s="1">
        <v>0</v>
      </c>
      <c r="M107" s="1">
        <v>0</v>
      </c>
      <c r="N107" s="1">
        <v>0</v>
      </c>
      <c r="O107" s="1">
        <v>2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f>SUMPRODUCT(I107:V107,$I$13:$V$13)</f>
        <v>6420</v>
      </c>
      <c r="X107" s="6">
        <f t="shared" si="3"/>
        <v>4.92</v>
      </c>
      <c r="Y107" s="1" t="str">
        <f>VLOOKUP(D107,[1]PARTS!$A$1:$G$65536,7,0)</f>
        <v/>
      </c>
      <c r="Z107" s="1">
        <v>1</v>
      </c>
      <c r="AA107" s="1">
        <v>6340</v>
      </c>
      <c r="AB107" s="1">
        <f>CEILING(W107,Z107)</f>
        <v>6420</v>
      </c>
      <c r="AC107" s="1">
        <f>VLOOKUP(D107,[2]pareto!$D$12:$AX$306,47,0)</f>
        <v>1.23</v>
      </c>
      <c r="AD107" s="1" t="s">
        <v>70</v>
      </c>
      <c r="AE107" s="1" t="s">
        <v>70</v>
      </c>
      <c r="AF107" s="1" t="str">
        <f>VLOOKUP(D107,[2]pareto!$D$11:$BD$306,52,0)</f>
        <v>tnp@wave-mechanics.com</v>
      </c>
      <c r="AG107" s="1" t="e">
        <f>VLOOKUP(D107,[2]pareto!$D$11:$BD$306,51)</f>
        <v>#REF!</v>
      </c>
      <c r="BG107" s="8">
        <f>SUM($BB107,$AI107:AI107)-SUM($BY107:BZ107)</f>
        <v>0</v>
      </c>
      <c r="BH107" s="8">
        <f>SUM($BB107,$AI107:AJ107)-SUM($BY107:CA107)</f>
        <v>0</v>
      </c>
      <c r="BI107" s="8">
        <f>SUM($BB107,$AI107:AK107)-SUM($BY107:CB107)</f>
        <v>0</v>
      </c>
      <c r="BJ107" s="8">
        <f>SUM($BB107,$AI107:AL107)-SUM($BY107:CC107)</f>
        <v>0</v>
      </c>
      <c r="BK107" s="8">
        <f>SUM($BB107,$AI107:AM107)-SUM($BY107:CD107)</f>
        <v>0</v>
      </c>
      <c r="BL107" s="8">
        <f>SUM($BB107,$AI107:AN107)-SUM($BY107:CE107)</f>
        <v>0</v>
      </c>
      <c r="BM107" s="8">
        <f>SUM($BB107,$AI107:AO107)-SUM($BY107:CF107)</f>
        <v>0</v>
      </c>
      <c r="BN107" s="8">
        <f>SUM($BB107,$AI107:AP107)-SUM($BY107:CG107)</f>
        <v>0</v>
      </c>
      <c r="BO107" s="8">
        <f>SUM($BB107,$AI107:AQ107)-SUM($BY107:CH107)</f>
        <v>0</v>
      </c>
      <c r="BP107" s="8">
        <f>SUM($BB107,$AI107:AR107)-SUM($BY107:CI107)</f>
        <v>-400</v>
      </c>
      <c r="BQ107" s="8">
        <f>SUM($BB107,$AI107:AS107)-SUM($BY107:CJ107)</f>
        <v>-1000</v>
      </c>
      <c r="BR107" s="8">
        <f>SUM($BB107,$AI107:AT107)-SUM($BY107:CK107)</f>
        <v>-2000</v>
      </c>
      <c r="BS107" s="8">
        <f>SUM($BB107,$AI107:AU107)-SUM($BY107:CL107)</f>
        <v>-2840</v>
      </c>
      <c r="BT107" s="8">
        <f>SUM($BB107,$AI107:AV107)-SUM($BY107:CM107)</f>
        <v>-3640</v>
      </c>
      <c r="BU107" s="8">
        <f>SUM($BB107,$AI107:AW107)-SUM($BY107:CN107)</f>
        <v>-4340</v>
      </c>
      <c r="BV107" s="8">
        <f>SUM($BB107,$AI107:AX107)-SUM($BY107:CO107)</f>
        <v>-5420</v>
      </c>
      <c r="BW107" s="8">
        <f>SUM($BB107,$AI107:AY107)-SUM($BY107:CP107)</f>
        <v>-6420</v>
      </c>
      <c r="BX107" s="8">
        <f>SUM($BB107,$AI107:AZ107)-SUM($BY107:CQ107)</f>
        <v>-6420</v>
      </c>
      <c r="BY107" s="8" cm="1">
        <f t="array" ref="BY107">SUMPRODUCT(TRANSPOSE(BY$2:BY$15),$I107:$V107)</f>
        <v>0</v>
      </c>
      <c r="BZ107" s="8" cm="1">
        <f t="array" ref="BZ107">SUMPRODUCT(TRANSPOSE(BZ$2:BZ$15),$I107:$V107)</f>
        <v>0</v>
      </c>
      <c r="CA107" s="8" cm="1">
        <f t="array" ref="CA107">SUMPRODUCT(TRANSPOSE(CA$2:CA$15),$I107:$V107)</f>
        <v>0</v>
      </c>
      <c r="CB107" s="8" cm="1">
        <f t="array" ref="CB107">SUMPRODUCT(TRANSPOSE(CB$2:CB$15),$I107:$V107)</f>
        <v>0</v>
      </c>
      <c r="CC107" s="8" cm="1">
        <f t="array" ref="CC107">SUMPRODUCT(TRANSPOSE(CC$2:CC$15),$I107:$V107)</f>
        <v>0</v>
      </c>
      <c r="CD107" s="8" cm="1">
        <f t="array" ref="CD107">SUMPRODUCT(TRANSPOSE(CD$2:CD$15),$I107:$V107)</f>
        <v>0</v>
      </c>
      <c r="CE107" s="8" cm="1">
        <f t="array" ref="CE107">SUMPRODUCT(TRANSPOSE(CE$2:CE$15),$I107:$V107)</f>
        <v>0</v>
      </c>
      <c r="CF107" s="8" cm="1">
        <f t="array" ref="CF107">SUMPRODUCT(TRANSPOSE(CF$2:CF$15),$I107:$V107)</f>
        <v>0</v>
      </c>
      <c r="CG107" s="8" cm="1">
        <f t="array" ref="CG107">SUMPRODUCT(TRANSPOSE(CG$2:CG$15),$I107:$V107)</f>
        <v>0</v>
      </c>
      <c r="CH107" s="8" cm="1">
        <f t="array" ref="CH107">SUMPRODUCT(TRANSPOSE(CH$2:CH$15),$I107:$V107)</f>
        <v>0</v>
      </c>
      <c r="CI107" s="8" cm="1">
        <f t="array" ref="CI107">SUMPRODUCT(TRANSPOSE(CI$2:CI$15),$I107:$V107)</f>
        <v>400</v>
      </c>
      <c r="CJ107" s="8" cm="1">
        <f t="array" ref="CJ107">SUMPRODUCT(TRANSPOSE(CJ$2:CJ$15),$I107:$V107)</f>
        <v>600</v>
      </c>
      <c r="CK107" s="8" cm="1">
        <f t="array" ref="CK107">SUMPRODUCT(TRANSPOSE(CK$2:CK$15),$I107:$V107)</f>
        <v>1000</v>
      </c>
      <c r="CL107" s="8" cm="1">
        <f t="array" ref="CL107">SUMPRODUCT(TRANSPOSE(CL$2:CL$15),$I107:$V107)</f>
        <v>840</v>
      </c>
      <c r="CM107" s="8" cm="1">
        <f t="array" ref="CM107">SUMPRODUCT(TRANSPOSE(CM$2:CM$15),$I107:$V107)</f>
        <v>800</v>
      </c>
      <c r="CN107" s="8" cm="1">
        <f t="array" ref="CN107">SUMPRODUCT(TRANSPOSE(CN$2:CN$15),$I107:$V107)</f>
        <v>700</v>
      </c>
      <c r="CO107" s="8" cm="1">
        <f t="array" ref="CO107">SUMPRODUCT(TRANSPOSE(CO$2:CO$15),$I107:$V107)</f>
        <v>1080</v>
      </c>
      <c r="CP107" s="8" cm="1">
        <f t="array" ref="CP107">SUMPRODUCT(TRANSPOSE(CP$2:CP$15),$I107:$V107)</f>
        <v>1000</v>
      </c>
      <c r="CQ107" s="8" cm="1">
        <f t="array" ref="CQ107">SUMPRODUCT(TRANSPOSE(CQ$2:CQ$15),$I107:$V107)</f>
        <v>0</v>
      </c>
    </row>
    <row r="108" spans="1:95" x14ac:dyDescent="0.25">
      <c r="A108" s="1">
        <v>312</v>
      </c>
      <c r="B108" s="11" t="s">
        <v>303</v>
      </c>
      <c r="C108" s="1" t="s">
        <v>49</v>
      </c>
      <c r="D108" s="1">
        <v>421575553</v>
      </c>
      <c r="E108" s="6"/>
      <c r="F108" s="1" t="s">
        <v>304</v>
      </c>
      <c r="G108" s="1" t="s">
        <v>35</v>
      </c>
      <c r="H108" s="1">
        <v>4</v>
      </c>
      <c r="I108" s="1">
        <v>0</v>
      </c>
      <c r="J108" s="1">
        <v>0</v>
      </c>
      <c r="K108" s="1">
        <v>0</v>
      </c>
      <c r="L108" s="1">
        <v>2</v>
      </c>
      <c r="M108" s="1">
        <v>0</v>
      </c>
      <c r="N108" s="1">
        <v>0</v>
      </c>
      <c r="O108" s="1">
        <v>0</v>
      </c>
      <c r="P108" s="1">
        <v>0</v>
      </c>
      <c r="Q108" s="1">
        <v>2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f>SUMPRODUCT(I108:V108,$I$13:$V$13)</f>
        <v>6420</v>
      </c>
      <c r="X108" s="6">
        <f t="shared" si="3"/>
        <v>4.5999999999999996</v>
      </c>
      <c r="Y108" s="1" t="str">
        <f>VLOOKUP(D108,[1]PARTS!$A$1:$G$65536,7,0)</f>
        <v>QORVO US, INC</v>
      </c>
      <c r="Z108" s="1">
        <v>2500</v>
      </c>
      <c r="AA108" s="1">
        <v>2500</v>
      </c>
      <c r="AB108" s="1">
        <f>CEILING(W108,Z108)</f>
        <v>7500</v>
      </c>
      <c r="AC108" s="1">
        <f>VLOOKUP(D108,[2]pareto!$D$12:$AX$306,47,0)</f>
        <v>1.1499999999999999</v>
      </c>
      <c r="AD108" s="1" t="str">
        <f>VLOOKUP(D108,[2]pareto!$D$11:$BD$306,50,0)</f>
        <v>QORVO</v>
      </c>
      <c r="AE108" s="1" t="s">
        <v>79</v>
      </c>
      <c r="AF108" s="1" t="s">
        <v>305</v>
      </c>
      <c r="AG108" s="1" t="s">
        <v>80</v>
      </c>
      <c r="BG108" s="8">
        <f>SUM($BB108,$AI108:AI108)-SUM($BY108:BZ108)</f>
        <v>0</v>
      </c>
      <c r="BH108" s="8">
        <f>SUM($BB108,$AI108:AJ108)-SUM($BY108:CA108)</f>
        <v>0</v>
      </c>
      <c r="BI108" s="8">
        <f>SUM($BB108,$AI108:AK108)-SUM($BY108:CB108)</f>
        <v>0</v>
      </c>
      <c r="BJ108" s="8">
        <f>SUM($BB108,$AI108:AL108)-SUM($BY108:CC108)</f>
        <v>0</v>
      </c>
      <c r="BK108" s="8">
        <f>SUM($BB108,$AI108:AM108)-SUM($BY108:CD108)</f>
        <v>0</v>
      </c>
      <c r="BL108" s="8">
        <f>SUM($BB108,$AI108:AN108)-SUM($BY108:CE108)</f>
        <v>0</v>
      </c>
      <c r="BM108" s="8">
        <f>SUM($BB108,$AI108:AO108)-SUM($BY108:CF108)</f>
        <v>0</v>
      </c>
      <c r="BN108" s="8">
        <f>SUM($BB108,$AI108:AP108)-SUM($BY108:CG108)</f>
        <v>-400</v>
      </c>
      <c r="BO108" s="8">
        <f>SUM($BB108,$AI108:AQ108)-SUM($BY108:CH108)</f>
        <v>-1000</v>
      </c>
      <c r="BP108" s="8">
        <f>SUM($BB108,$AI108:AR108)-SUM($BY108:CI108)</f>
        <v>-2000</v>
      </c>
      <c r="BQ108" s="8">
        <f>SUM($BB108,$AI108:AS108)-SUM($BY108:CJ108)</f>
        <v>-2840</v>
      </c>
      <c r="BR108" s="8">
        <f>SUM($BB108,$AI108:AT108)-SUM($BY108:CK108)</f>
        <v>-3640</v>
      </c>
      <c r="BS108" s="8">
        <f>SUM($BB108,$AI108:AU108)-SUM($BY108:CL108)</f>
        <v>-4340</v>
      </c>
      <c r="BT108" s="8">
        <f>SUM($BB108,$AI108:AV108)-SUM($BY108:CM108)</f>
        <v>-5420</v>
      </c>
      <c r="BU108" s="8">
        <f>SUM($BB108,$AI108:AW108)-SUM($BY108:CN108)</f>
        <v>-6420</v>
      </c>
      <c r="BV108" s="8">
        <f>SUM($BB108,$AI108:AX108)-SUM($BY108:CO108)</f>
        <v>-6420</v>
      </c>
      <c r="BW108" s="8">
        <f>SUM($BB108,$AI108:AY108)-SUM($BY108:CP108)</f>
        <v>-6420</v>
      </c>
      <c r="BX108" s="8">
        <f>SUM($BB108,$AI108:AZ108)-SUM($BY108:CQ108)</f>
        <v>-6420</v>
      </c>
      <c r="BY108" s="8" cm="1">
        <f t="array" ref="BY108">SUMPRODUCT(TRANSPOSE(BY$2:BY$15),$I108:$V108)</f>
        <v>0</v>
      </c>
      <c r="BZ108" s="8" cm="1">
        <f t="array" ref="BZ108">SUMPRODUCT(TRANSPOSE(BZ$2:BZ$15),$I108:$V108)</f>
        <v>0</v>
      </c>
      <c r="CA108" s="8" cm="1">
        <f t="array" ref="CA108">SUMPRODUCT(TRANSPOSE(CA$2:CA$15),$I108:$V108)</f>
        <v>0</v>
      </c>
      <c r="CB108" s="8" cm="1">
        <f t="array" ref="CB108">SUMPRODUCT(TRANSPOSE(CB$2:CB$15),$I108:$V108)</f>
        <v>0</v>
      </c>
      <c r="CC108" s="8" cm="1">
        <f t="array" ref="CC108">SUMPRODUCT(TRANSPOSE(CC$2:CC$15),$I108:$V108)</f>
        <v>0</v>
      </c>
      <c r="CD108" s="8" cm="1">
        <f t="array" ref="CD108">SUMPRODUCT(TRANSPOSE(CD$2:CD$15),$I108:$V108)</f>
        <v>0</v>
      </c>
      <c r="CE108" s="8" cm="1">
        <f t="array" ref="CE108">SUMPRODUCT(TRANSPOSE(CE$2:CE$15),$I108:$V108)</f>
        <v>0</v>
      </c>
      <c r="CF108" s="8" cm="1">
        <f t="array" ref="CF108">SUMPRODUCT(TRANSPOSE(CF$2:CF$15),$I108:$V108)</f>
        <v>0</v>
      </c>
      <c r="CG108" s="8" cm="1">
        <f t="array" ref="CG108">SUMPRODUCT(TRANSPOSE(CG$2:CG$15),$I108:$V108)</f>
        <v>400</v>
      </c>
      <c r="CH108" s="8" cm="1">
        <f t="array" ref="CH108">SUMPRODUCT(TRANSPOSE(CH$2:CH$15),$I108:$V108)</f>
        <v>600</v>
      </c>
      <c r="CI108" s="8" cm="1">
        <f t="array" ref="CI108">SUMPRODUCT(TRANSPOSE(CI$2:CI$15),$I108:$V108)</f>
        <v>1000</v>
      </c>
      <c r="CJ108" s="8" cm="1">
        <f t="array" ref="CJ108">SUMPRODUCT(TRANSPOSE(CJ$2:CJ$15),$I108:$V108)</f>
        <v>840</v>
      </c>
      <c r="CK108" s="8" cm="1">
        <f t="array" ref="CK108">SUMPRODUCT(TRANSPOSE(CK$2:CK$15),$I108:$V108)</f>
        <v>800</v>
      </c>
      <c r="CL108" s="8" cm="1">
        <f t="array" ref="CL108">SUMPRODUCT(TRANSPOSE(CL$2:CL$15),$I108:$V108)</f>
        <v>700</v>
      </c>
      <c r="CM108" s="8" cm="1">
        <f t="array" ref="CM108">SUMPRODUCT(TRANSPOSE(CM$2:CM$15),$I108:$V108)</f>
        <v>1080</v>
      </c>
      <c r="CN108" s="8" cm="1">
        <f t="array" ref="CN108">SUMPRODUCT(TRANSPOSE(CN$2:CN$15),$I108:$V108)</f>
        <v>1000</v>
      </c>
      <c r="CO108" s="8" cm="1">
        <f t="array" ref="CO108">SUMPRODUCT(TRANSPOSE(CO$2:CO$15),$I108:$V108)</f>
        <v>0</v>
      </c>
      <c r="CP108" s="8" cm="1">
        <f t="array" ref="CP108">SUMPRODUCT(TRANSPOSE(CP$2:CP$15),$I108:$V108)</f>
        <v>0</v>
      </c>
      <c r="CQ108" s="8" cm="1">
        <f t="array" ref="CQ108">SUMPRODUCT(TRANSPOSE(CQ$2:CQ$15),$I108:$V108)</f>
        <v>0</v>
      </c>
    </row>
    <row r="109" spans="1:95" x14ac:dyDescent="0.25">
      <c r="A109" s="1">
        <v>216</v>
      </c>
      <c r="B109" s="11" t="s">
        <v>306</v>
      </c>
      <c r="C109" s="1" t="s">
        <v>49</v>
      </c>
      <c r="D109" s="1">
        <v>411048246</v>
      </c>
      <c r="E109" s="6"/>
      <c r="F109" s="1" t="s">
        <v>307</v>
      </c>
      <c r="G109" s="1" t="s">
        <v>35</v>
      </c>
      <c r="H109" s="1">
        <v>16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16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f>SUMPRODUCT(I109:V109,$I$13:$V$13)</f>
        <v>26560</v>
      </c>
      <c r="X109" s="6">
        <f t="shared" si="3"/>
        <v>4.2880000000000003</v>
      </c>
      <c r="Y109" s="1" t="str">
        <f>VLOOKUP(D109,[1]PARTS!$A$1:$G$65536,7,0)</f>
        <v>MURATA MANUFACTURING CO. LTD</v>
      </c>
      <c r="Z109" s="1">
        <f>VLOOKUP(D109,[2]pareto!$D$12:$AX$306,44,0)</f>
        <v>1000</v>
      </c>
      <c r="AA109" s="1">
        <f>VLOOKUP(D109,[2]pareto!$D$12:$AX$306,45,0)</f>
        <v>1000</v>
      </c>
      <c r="AB109" s="1">
        <f>CEILING(W109,Z109)</f>
        <v>27000</v>
      </c>
      <c r="AC109" s="1">
        <f>VLOOKUP(D109,[2]pareto!$D$12:$AX$306,47,0)</f>
        <v>0.26800000000000002</v>
      </c>
      <c r="AD109" s="1" t="s">
        <v>85</v>
      </c>
      <c r="AE109" s="1" t="s">
        <v>86</v>
      </c>
      <c r="AF109" s="19" t="s">
        <v>87</v>
      </c>
      <c r="AG109" s="1" t="s">
        <v>88</v>
      </c>
      <c r="BG109" s="8">
        <f>SUM($BB109,$AI109:AI109)-SUM($BY109:BZ109)</f>
        <v>0</v>
      </c>
      <c r="BH109" s="8">
        <f>SUM($BB109,$AI109:AJ109)-SUM($BY109:CA109)</f>
        <v>0</v>
      </c>
      <c r="BI109" s="8">
        <f>SUM($BB109,$AI109:AK109)-SUM($BY109:CB109)</f>
        <v>0</v>
      </c>
      <c r="BJ109" s="8">
        <f>SUM($BB109,$AI109:AL109)-SUM($BY109:CC109)</f>
        <v>0</v>
      </c>
      <c r="BK109" s="8">
        <f>SUM($BB109,$AI109:AM109)-SUM($BY109:CD109)</f>
        <v>0</v>
      </c>
      <c r="BL109" s="8">
        <f>SUM($BB109,$AI109:AN109)-SUM($BY109:CE109)</f>
        <v>0</v>
      </c>
      <c r="BM109" s="8">
        <f>SUM($BB109,$AI109:AO109)-SUM($BY109:CF109)</f>
        <v>0</v>
      </c>
      <c r="BN109" s="8">
        <f>SUM($BB109,$AI109:AP109)-SUM($BY109:CG109)</f>
        <v>-1600</v>
      </c>
      <c r="BO109" s="8">
        <f>SUM($BB109,$AI109:AQ109)-SUM($BY109:CH109)</f>
        <v>-4000</v>
      </c>
      <c r="BP109" s="8">
        <f>SUM($BB109,$AI109:AR109)-SUM($BY109:CI109)</f>
        <v>-8000</v>
      </c>
      <c r="BQ109" s="8">
        <f>SUM($BB109,$AI109:AS109)-SUM($BY109:CJ109)</f>
        <v>-11200</v>
      </c>
      <c r="BR109" s="8">
        <f>SUM($BB109,$AI109:AT109)-SUM($BY109:CK109)</f>
        <v>-14400</v>
      </c>
      <c r="BS109" s="8">
        <f>SUM($BB109,$AI109:AU109)-SUM($BY109:CL109)</f>
        <v>-17600</v>
      </c>
      <c r="BT109" s="8">
        <f>SUM($BB109,$AI109:AV109)-SUM($BY109:CM109)</f>
        <v>-22400</v>
      </c>
      <c r="BU109" s="8">
        <f>SUM($BB109,$AI109:AW109)-SUM($BY109:CN109)</f>
        <v>-26560</v>
      </c>
      <c r="BV109" s="8">
        <f>SUM($BB109,$AI109:AX109)-SUM($BY109:CO109)</f>
        <v>-26560</v>
      </c>
      <c r="BW109" s="8">
        <f>SUM($BB109,$AI109:AY109)-SUM($BY109:CP109)</f>
        <v>-26560</v>
      </c>
      <c r="BX109" s="8">
        <f>SUM($BB109,$AI109:AZ109)-SUM($BY109:CQ109)</f>
        <v>-26560</v>
      </c>
      <c r="BY109" s="8" cm="1">
        <f t="array" ref="BY109">SUMPRODUCT(TRANSPOSE(BY$2:BY$15),$I109:$V109)</f>
        <v>0</v>
      </c>
      <c r="BZ109" s="8" cm="1">
        <f t="array" ref="BZ109">SUMPRODUCT(TRANSPOSE(BZ$2:BZ$15),$I109:$V109)</f>
        <v>0</v>
      </c>
      <c r="CA109" s="8" cm="1">
        <f t="array" ref="CA109">SUMPRODUCT(TRANSPOSE(CA$2:CA$15),$I109:$V109)</f>
        <v>0</v>
      </c>
      <c r="CB109" s="8" cm="1">
        <f t="array" ref="CB109">SUMPRODUCT(TRANSPOSE(CB$2:CB$15),$I109:$V109)</f>
        <v>0</v>
      </c>
      <c r="CC109" s="8" cm="1">
        <f t="array" ref="CC109">SUMPRODUCT(TRANSPOSE(CC$2:CC$15),$I109:$V109)</f>
        <v>0</v>
      </c>
      <c r="CD109" s="8" cm="1">
        <f t="array" ref="CD109">SUMPRODUCT(TRANSPOSE(CD$2:CD$15),$I109:$V109)</f>
        <v>0</v>
      </c>
      <c r="CE109" s="8" cm="1">
        <f t="array" ref="CE109">SUMPRODUCT(TRANSPOSE(CE$2:CE$15),$I109:$V109)</f>
        <v>0</v>
      </c>
      <c r="CF109" s="8" cm="1">
        <f t="array" ref="CF109">SUMPRODUCT(TRANSPOSE(CF$2:CF$15),$I109:$V109)</f>
        <v>0</v>
      </c>
      <c r="CG109" s="8" cm="1">
        <f t="array" ref="CG109">SUMPRODUCT(TRANSPOSE(CG$2:CG$15),$I109:$V109)</f>
        <v>1600</v>
      </c>
      <c r="CH109" s="8" cm="1">
        <f t="array" ref="CH109">SUMPRODUCT(TRANSPOSE(CH$2:CH$15),$I109:$V109)</f>
        <v>2400</v>
      </c>
      <c r="CI109" s="8" cm="1">
        <f t="array" ref="CI109">SUMPRODUCT(TRANSPOSE(CI$2:CI$15),$I109:$V109)</f>
        <v>4000</v>
      </c>
      <c r="CJ109" s="8" cm="1">
        <f t="array" ref="CJ109">SUMPRODUCT(TRANSPOSE(CJ$2:CJ$15),$I109:$V109)</f>
        <v>3200</v>
      </c>
      <c r="CK109" s="8" cm="1">
        <f t="array" ref="CK109">SUMPRODUCT(TRANSPOSE(CK$2:CK$15),$I109:$V109)</f>
        <v>3200</v>
      </c>
      <c r="CL109" s="8" cm="1">
        <f t="array" ref="CL109">SUMPRODUCT(TRANSPOSE(CL$2:CL$15),$I109:$V109)</f>
        <v>3200</v>
      </c>
      <c r="CM109" s="8" cm="1">
        <f t="array" ref="CM109">SUMPRODUCT(TRANSPOSE(CM$2:CM$15),$I109:$V109)</f>
        <v>4800</v>
      </c>
      <c r="CN109" s="8" cm="1">
        <f t="array" ref="CN109">SUMPRODUCT(TRANSPOSE(CN$2:CN$15),$I109:$V109)</f>
        <v>4160</v>
      </c>
      <c r="CO109" s="8" cm="1">
        <f t="array" ref="CO109">SUMPRODUCT(TRANSPOSE(CO$2:CO$15),$I109:$V109)</f>
        <v>0</v>
      </c>
      <c r="CP109" s="8" cm="1">
        <f t="array" ref="CP109">SUMPRODUCT(TRANSPOSE(CP$2:CP$15),$I109:$V109)</f>
        <v>0</v>
      </c>
      <c r="CQ109" s="8" cm="1">
        <f t="array" ref="CQ109">SUMPRODUCT(TRANSPOSE(CQ$2:CQ$15),$I109:$V109)</f>
        <v>0</v>
      </c>
    </row>
    <row r="110" spans="1:95" x14ac:dyDescent="0.25">
      <c r="A110" s="1">
        <v>277</v>
      </c>
      <c r="B110" s="11" t="s">
        <v>308</v>
      </c>
      <c r="C110" s="1" t="s">
        <v>49</v>
      </c>
      <c r="D110" s="1">
        <v>401354460</v>
      </c>
      <c r="E110" s="6">
        <f>VLOOKUP(D110,FFF!$A$2:$B$674,2,)</f>
        <v>401424469</v>
      </c>
      <c r="F110" s="1" t="s">
        <v>309</v>
      </c>
      <c r="G110" s="1" t="s">
        <v>35</v>
      </c>
      <c r="H110" s="1">
        <v>2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2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f>SUMPRODUCT(I110:V110,$I$13:$V$13)</f>
        <v>3320</v>
      </c>
      <c r="X110" s="6">
        <f t="shared" si="3"/>
        <v>4.18</v>
      </c>
      <c r="Y110" s="1" t="str">
        <f>VLOOKUP(D110,[1]PARTS!$A$1:$G$65536,7,0)</f>
        <v>INTERNATIONAL MANUFACTURING SERVICE</v>
      </c>
      <c r="Z110" s="1">
        <f>VLOOKUP(D110,[2]pareto!$D$12:$AX$306,44,0)</f>
        <v>0</v>
      </c>
      <c r="AA110" s="1">
        <f>VLOOKUP(D110,[2]pareto!$D$12:$AX$306,45,0)</f>
        <v>0</v>
      </c>
      <c r="AB110" s="1">
        <f>CEILING(W110,Z110)</f>
        <v>0</v>
      </c>
      <c r="AC110" s="1">
        <f>VLOOKUP(D110,[2]pareto!$D$12:$AX$306,47,0)</f>
        <v>2.09</v>
      </c>
      <c r="AD110" s="1" t="s">
        <v>310</v>
      </c>
      <c r="AE110" s="1" t="s">
        <v>311</v>
      </c>
      <c r="AF110" s="12" t="s">
        <v>312</v>
      </c>
      <c r="AG110" s="1" t="s">
        <v>313</v>
      </c>
      <c r="BG110" s="8">
        <f>SUM($BB110,$AI110:AI110)-SUM($BY110:BZ110)</f>
        <v>0</v>
      </c>
      <c r="BH110" s="8">
        <f>SUM($BB110,$AI110:AJ110)-SUM($BY110:CA110)</f>
        <v>0</v>
      </c>
      <c r="BI110" s="8">
        <f>SUM($BB110,$AI110:AK110)-SUM($BY110:CB110)</f>
        <v>0</v>
      </c>
      <c r="BJ110" s="8">
        <f>SUM($BB110,$AI110:AL110)-SUM($BY110:CC110)</f>
        <v>0</v>
      </c>
      <c r="BK110" s="8">
        <f>SUM($BB110,$AI110:AM110)-SUM($BY110:CD110)</f>
        <v>0</v>
      </c>
      <c r="BL110" s="8">
        <f>SUM($BB110,$AI110:AN110)-SUM($BY110:CE110)</f>
        <v>0</v>
      </c>
      <c r="BM110" s="8">
        <f>SUM($BB110,$AI110:AO110)-SUM($BY110:CF110)</f>
        <v>0</v>
      </c>
      <c r="BN110" s="8">
        <f>SUM($BB110,$AI110:AP110)-SUM($BY110:CG110)</f>
        <v>-200</v>
      </c>
      <c r="BO110" s="8">
        <f>SUM($BB110,$AI110:AQ110)-SUM($BY110:CH110)</f>
        <v>-500</v>
      </c>
      <c r="BP110" s="8">
        <f>SUM($BB110,$AI110:AR110)-SUM($BY110:CI110)</f>
        <v>-1000</v>
      </c>
      <c r="BQ110" s="8">
        <f>SUM($BB110,$AI110:AS110)-SUM($BY110:CJ110)</f>
        <v>-1400</v>
      </c>
      <c r="BR110" s="8">
        <f>SUM($BB110,$AI110:AT110)-SUM($BY110:CK110)</f>
        <v>-1800</v>
      </c>
      <c r="BS110" s="8">
        <f>SUM($BB110,$AI110:AU110)-SUM($BY110:CL110)</f>
        <v>-2200</v>
      </c>
      <c r="BT110" s="8">
        <f>SUM($BB110,$AI110:AV110)-SUM($BY110:CM110)</f>
        <v>-2800</v>
      </c>
      <c r="BU110" s="8">
        <f>SUM($BB110,$AI110:AW110)-SUM($BY110:CN110)</f>
        <v>-3320</v>
      </c>
      <c r="BV110" s="8">
        <f>SUM($BB110,$AI110:AX110)-SUM($BY110:CO110)</f>
        <v>-3320</v>
      </c>
      <c r="BW110" s="8">
        <f>SUM($BB110,$AI110:AY110)-SUM($BY110:CP110)</f>
        <v>-3320</v>
      </c>
      <c r="BX110" s="8">
        <f>SUM($BB110,$AI110:AZ110)-SUM($BY110:CQ110)</f>
        <v>-3320</v>
      </c>
      <c r="BY110" s="8" cm="1">
        <f t="array" ref="BY110">SUMPRODUCT(TRANSPOSE(BY$2:BY$15),$I110:$V110)</f>
        <v>0</v>
      </c>
      <c r="BZ110" s="8" cm="1">
        <f t="array" ref="BZ110">SUMPRODUCT(TRANSPOSE(BZ$2:BZ$15),$I110:$V110)</f>
        <v>0</v>
      </c>
      <c r="CA110" s="8" cm="1">
        <f t="array" ref="CA110">SUMPRODUCT(TRANSPOSE(CA$2:CA$15),$I110:$V110)</f>
        <v>0</v>
      </c>
      <c r="CB110" s="8" cm="1">
        <f t="array" ref="CB110">SUMPRODUCT(TRANSPOSE(CB$2:CB$15),$I110:$V110)</f>
        <v>0</v>
      </c>
      <c r="CC110" s="8" cm="1">
        <f t="array" ref="CC110">SUMPRODUCT(TRANSPOSE(CC$2:CC$15),$I110:$V110)</f>
        <v>0</v>
      </c>
      <c r="CD110" s="8" cm="1">
        <f t="array" ref="CD110">SUMPRODUCT(TRANSPOSE(CD$2:CD$15),$I110:$V110)</f>
        <v>0</v>
      </c>
      <c r="CE110" s="8" cm="1">
        <f t="array" ref="CE110">SUMPRODUCT(TRANSPOSE(CE$2:CE$15),$I110:$V110)</f>
        <v>0</v>
      </c>
      <c r="CF110" s="8" cm="1">
        <f t="array" ref="CF110">SUMPRODUCT(TRANSPOSE(CF$2:CF$15),$I110:$V110)</f>
        <v>0</v>
      </c>
      <c r="CG110" s="8" cm="1">
        <f t="array" ref="CG110">SUMPRODUCT(TRANSPOSE(CG$2:CG$15),$I110:$V110)</f>
        <v>200</v>
      </c>
      <c r="CH110" s="8" cm="1">
        <f t="array" ref="CH110">SUMPRODUCT(TRANSPOSE(CH$2:CH$15),$I110:$V110)</f>
        <v>300</v>
      </c>
      <c r="CI110" s="8" cm="1">
        <f t="array" ref="CI110">SUMPRODUCT(TRANSPOSE(CI$2:CI$15),$I110:$V110)</f>
        <v>500</v>
      </c>
      <c r="CJ110" s="8" cm="1">
        <f t="array" ref="CJ110">SUMPRODUCT(TRANSPOSE(CJ$2:CJ$15),$I110:$V110)</f>
        <v>400</v>
      </c>
      <c r="CK110" s="8" cm="1">
        <f t="array" ref="CK110">SUMPRODUCT(TRANSPOSE(CK$2:CK$15),$I110:$V110)</f>
        <v>400</v>
      </c>
      <c r="CL110" s="8" cm="1">
        <f t="array" ref="CL110">SUMPRODUCT(TRANSPOSE(CL$2:CL$15),$I110:$V110)</f>
        <v>400</v>
      </c>
      <c r="CM110" s="8" cm="1">
        <f t="array" ref="CM110">SUMPRODUCT(TRANSPOSE(CM$2:CM$15),$I110:$V110)</f>
        <v>600</v>
      </c>
      <c r="CN110" s="8" cm="1">
        <f t="array" ref="CN110">SUMPRODUCT(TRANSPOSE(CN$2:CN$15),$I110:$V110)</f>
        <v>520</v>
      </c>
      <c r="CO110" s="8" cm="1">
        <f t="array" ref="CO110">SUMPRODUCT(TRANSPOSE(CO$2:CO$15),$I110:$V110)</f>
        <v>0</v>
      </c>
      <c r="CP110" s="8" cm="1">
        <f t="array" ref="CP110">SUMPRODUCT(TRANSPOSE(CP$2:CP$15),$I110:$V110)</f>
        <v>0</v>
      </c>
      <c r="CQ110" s="8" cm="1">
        <f t="array" ref="CQ110">SUMPRODUCT(TRANSPOSE(CQ$2:CQ$15),$I110:$V110)</f>
        <v>0</v>
      </c>
    </row>
    <row r="111" spans="1:95" x14ac:dyDescent="0.25">
      <c r="A111" s="1">
        <v>12</v>
      </c>
      <c r="B111" s="11" t="s">
        <v>314</v>
      </c>
      <c r="C111" s="1" t="s">
        <v>49</v>
      </c>
      <c r="D111" s="1">
        <v>400469285</v>
      </c>
      <c r="E111" s="6"/>
      <c r="F111" s="1" t="s">
        <v>315</v>
      </c>
      <c r="G111" s="1" t="s">
        <v>35</v>
      </c>
      <c r="H111" s="1">
        <v>4</v>
      </c>
      <c r="I111" s="1">
        <v>0</v>
      </c>
      <c r="J111" s="1">
        <v>2</v>
      </c>
      <c r="K111" s="1">
        <v>0</v>
      </c>
      <c r="L111" s="1">
        <v>0</v>
      </c>
      <c r="M111" s="1">
        <v>0</v>
      </c>
      <c r="N111" s="1">
        <v>0</v>
      </c>
      <c r="O111" s="1">
        <v>2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f>SUMPRODUCT(I111:V111,$I$13:$V$13)</f>
        <v>6420</v>
      </c>
      <c r="X111" s="6">
        <f t="shared" si="3"/>
        <v>6</v>
      </c>
      <c r="Y111" s="1" t="str">
        <f>VLOOKUP(D111,[1]PARTS!$A$1:$G$65536,7,0)</f>
        <v>DCX-CHOL Entr. Inc</v>
      </c>
      <c r="Z111" s="1">
        <f>VLOOKUP(D111,[2]pareto!$D$12:$AX$306,44,0)</f>
        <v>0</v>
      </c>
      <c r="AA111" s="1">
        <v>6340</v>
      </c>
      <c r="AB111" s="1">
        <f>CEILING(W111,Z111)</f>
        <v>0</v>
      </c>
      <c r="AC111" s="1">
        <v>1.5</v>
      </c>
      <c r="AD111" s="1" t="s">
        <v>316</v>
      </c>
      <c r="AE111" s="1" t="s">
        <v>317</v>
      </c>
      <c r="AF111" s="14" t="s">
        <v>318</v>
      </c>
      <c r="AG111" s="1">
        <v>3105161692</v>
      </c>
      <c r="BG111" s="8">
        <f>SUM($BB111,$AI111:AI111)-SUM($BY111:BZ111)</f>
        <v>0</v>
      </c>
      <c r="BH111" s="8">
        <f>SUM($BB111,$AI111:AJ111)-SUM($BY111:CA111)</f>
        <v>0</v>
      </c>
      <c r="BI111" s="8">
        <f>SUM($BB111,$AI111:AK111)-SUM($BY111:CB111)</f>
        <v>0</v>
      </c>
      <c r="BJ111" s="8">
        <f>SUM($BB111,$AI111:AL111)-SUM($BY111:CC111)</f>
        <v>0</v>
      </c>
      <c r="BK111" s="8">
        <f>SUM($BB111,$AI111:AM111)-SUM($BY111:CD111)</f>
        <v>0</v>
      </c>
      <c r="BL111" s="8">
        <f>SUM($BB111,$AI111:AN111)-SUM($BY111:CE111)</f>
        <v>0</v>
      </c>
      <c r="BM111" s="8">
        <f>SUM($BB111,$AI111:AO111)-SUM($BY111:CF111)</f>
        <v>0</v>
      </c>
      <c r="BN111" s="8">
        <f>SUM($BB111,$AI111:AP111)-SUM($BY111:CG111)</f>
        <v>0</v>
      </c>
      <c r="BO111" s="8">
        <f>SUM($BB111,$AI111:AQ111)-SUM($BY111:CH111)</f>
        <v>0</v>
      </c>
      <c r="BP111" s="8">
        <f>SUM($BB111,$AI111:AR111)-SUM($BY111:CI111)</f>
        <v>-400</v>
      </c>
      <c r="BQ111" s="8">
        <f>SUM($BB111,$AI111:AS111)-SUM($BY111:CJ111)</f>
        <v>-1000</v>
      </c>
      <c r="BR111" s="8">
        <f>SUM($BB111,$AI111:AT111)-SUM($BY111:CK111)</f>
        <v>-2000</v>
      </c>
      <c r="BS111" s="8">
        <f>SUM($BB111,$AI111:AU111)-SUM($BY111:CL111)</f>
        <v>-2840</v>
      </c>
      <c r="BT111" s="8">
        <f>SUM($BB111,$AI111:AV111)-SUM($BY111:CM111)</f>
        <v>-3640</v>
      </c>
      <c r="BU111" s="8">
        <f>SUM($BB111,$AI111:AW111)-SUM($BY111:CN111)</f>
        <v>-4340</v>
      </c>
      <c r="BV111" s="8">
        <f>SUM($BB111,$AI111:AX111)-SUM($BY111:CO111)</f>
        <v>-5420</v>
      </c>
      <c r="BW111" s="8">
        <f>SUM($BB111,$AI111:AY111)-SUM($BY111:CP111)</f>
        <v>-6420</v>
      </c>
      <c r="BX111" s="8">
        <f>SUM($BB111,$AI111:AZ111)-SUM($BY111:CQ111)</f>
        <v>-6420</v>
      </c>
      <c r="BY111" s="8" cm="1">
        <f t="array" ref="BY111">SUMPRODUCT(TRANSPOSE(BY$2:BY$15),$I111:$V111)</f>
        <v>0</v>
      </c>
      <c r="BZ111" s="8" cm="1">
        <f t="array" ref="BZ111">SUMPRODUCT(TRANSPOSE(BZ$2:BZ$15),$I111:$V111)</f>
        <v>0</v>
      </c>
      <c r="CA111" s="8" cm="1">
        <f t="array" ref="CA111">SUMPRODUCT(TRANSPOSE(CA$2:CA$15),$I111:$V111)</f>
        <v>0</v>
      </c>
      <c r="CB111" s="8" cm="1">
        <f t="array" ref="CB111">SUMPRODUCT(TRANSPOSE(CB$2:CB$15),$I111:$V111)</f>
        <v>0</v>
      </c>
      <c r="CC111" s="8" cm="1">
        <f t="array" ref="CC111">SUMPRODUCT(TRANSPOSE(CC$2:CC$15),$I111:$V111)</f>
        <v>0</v>
      </c>
      <c r="CD111" s="8" cm="1">
        <f t="array" ref="CD111">SUMPRODUCT(TRANSPOSE(CD$2:CD$15),$I111:$V111)</f>
        <v>0</v>
      </c>
      <c r="CE111" s="8" cm="1">
        <f t="array" ref="CE111">SUMPRODUCT(TRANSPOSE(CE$2:CE$15),$I111:$V111)</f>
        <v>0</v>
      </c>
      <c r="CF111" s="8" cm="1">
        <f t="array" ref="CF111">SUMPRODUCT(TRANSPOSE(CF$2:CF$15),$I111:$V111)</f>
        <v>0</v>
      </c>
      <c r="CG111" s="8" cm="1">
        <f t="array" ref="CG111">SUMPRODUCT(TRANSPOSE(CG$2:CG$15),$I111:$V111)</f>
        <v>0</v>
      </c>
      <c r="CH111" s="8" cm="1">
        <f t="array" ref="CH111">SUMPRODUCT(TRANSPOSE(CH$2:CH$15),$I111:$V111)</f>
        <v>0</v>
      </c>
      <c r="CI111" s="8" cm="1">
        <f t="array" ref="CI111">SUMPRODUCT(TRANSPOSE(CI$2:CI$15),$I111:$V111)</f>
        <v>400</v>
      </c>
      <c r="CJ111" s="8" cm="1">
        <f t="array" ref="CJ111">SUMPRODUCT(TRANSPOSE(CJ$2:CJ$15),$I111:$V111)</f>
        <v>600</v>
      </c>
      <c r="CK111" s="8" cm="1">
        <f t="array" ref="CK111">SUMPRODUCT(TRANSPOSE(CK$2:CK$15),$I111:$V111)</f>
        <v>1000</v>
      </c>
      <c r="CL111" s="8" cm="1">
        <f t="array" ref="CL111">SUMPRODUCT(TRANSPOSE(CL$2:CL$15),$I111:$V111)</f>
        <v>840</v>
      </c>
      <c r="CM111" s="8" cm="1">
        <f t="array" ref="CM111">SUMPRODUCT(TRANSPOSE(CM$2:CM$15),$I111:$V111)</f>
        <v>800</v>
      </c>
      <c r="CN111" s="8" cm="1">
        <f t="array" ref="CN111">SUMPRODUCT(TRANSPOSE(CN$2:CN$15),$I111:$V111)</f>
        <v>700</v>
      </c>
      <c r="CO111" s="8" cm="1">
        <f t="array" ref="CO111">SUMPRODUCT(TRANSPOSE(CO$2:CO$15),$I111:$V111)</f>
        <v>1080</v>
      </c>
      <c r="CP111" s="8" cm="1">
        <f t="array" ref="CP111">SUMPRODUCT(TRANSPOSE(CP$2:CP$15),$I111:$V111)</f>
        <v>1000</v>
      </c>
      <c r="CQ111" s="8" cm="1">
        <f t="array" ref="CQ111">SUMPRODUCT(TRANSPOSE(CQ$2:CQ$15),$I111:$V111)</f>
        <v>0</v>
      </c>
    </row>
    <row r="112" spans="1:95" x14ac:dyDescent="0.25">
      <c r="A112" s="1">
        <v>299</v>
      </c>
      <c r="B112" s="11" t="s">
        <v>319</v>
      </c>
      <c r="C112" s="1" t="s">
        <v>49</v>
      </c>
      <c r="D112" s="1">
        <v>401693175</v>
      </c>
      <c r="E112" s="6"/>
      <c r="F112" s="1" t="s">
        <v>320</v>
      </c>
      <c r="G112" s="1" t="s">
        <v>35</v>
      </c>
      <c r="H112" s="1">
        <v>4</v>
      </c>
      <c r="I112" s="1">
        <v>0</v>
      </c>
      <c r="J112" s="1">
        <v>0</v>
      </c>
      <c r="K112" s="1">
        <v>0</v>
      </c>
      <c r="L112" s="1">
        <v>2</v>
      </c>
      <c r="M112" s="1">
        <v>0</v>
      </c>
      <c r="N112" s="1">
        <v>0</v>
      </c>
      <c r="O112" s="1">
        <v>0</v>
      </c>
      <c r="P112" s="1">
        <v>0</v>
      </c>
      <c r="Q112" s="1">
        <v>2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f>SUMPRODUCT(I112:V112,$I$13:$V$13)</f>
        <v>6420</v>
      </c>
      <c r="X112" s="6">
        <f t="shared" si="3"/>
        <v>4.4000000000000004</v>
      </c>
      <c r="Y112" s="1" t="str">
        <f>VLOOKUP(D112,[1]PARTS!$A$1:$G$65536,7,0)</f>
        <v>SMITHS INTERCONNECT AMERICAS,</v>
      </c>
      <c r="Z112" s="1">
        <v>1</v>
      </c>
      <c r="AA112" s="1">
        <f>CEILING(W112,Z112)</f>
        <v>6420</v>
      </c>
      <c r="AB112" s="1">
        <f>CEILING(W112,Z112)</f>
        <v>6420</v>
      </c>
      <c r="AC112" s="1">
        <f>VLOOKUP(D112,[2]pareto!$D$12:$AX$306,47,0)</f>
        <v>1.1000000000000001</v>
      </c>
      <c r="AD112" s="1" t="str">
        <f>VLOOKUP(D112,[2]pareto!$D$11:$BD$306,50,0)</f>
        <v>RMFW</v>
      </c>
      <c r="AE112" s="1" t="s">
        <v>168</v>
      </c>
      <c r="AF112" s="19" t="s">
        <v>169</v>
      </c>
      <c r="AG112" s="1" t="s">
        <v>170</v>
      </c>
      <c r="BG112" s="8">
        <f>SUM($BB112,$AI112:AI112)-SUM($BY112:BZ112)</f>
        <v>0</v>
      </c>
      <c r="BH112" s="8">
        <f>SUM($BB112,$AI112:AJ112)-SUM($BY112:CA112)</f>
        <v>0</v>
      </c>
      <c r="BI112" s="8">
        <f>SUM($BB112,$AI112:AK112)-SUM($BY112:CB112)</f>
        <v>0</v>
      </c>
      <c r="BJ112" s="8">
        <f>SUM($BB112,$AI112:AL112)-SUM($BY112:CC112)</f>
        <v>0</v>
      </c>
      <c r="BK112" s="8">
        <f>SUM($BB112,$AI112:AM112)-SUM($BY112:CD112)</f>
        <v>0</v>
      </c>
      <c r="BL112" s="8">
        <f>SUM($BB112,$AI112:AN112)-SUM($BY112:CE112)</f>
        <v>0</v>
      </c>
      <c r="BM112" s="8">
        <f>SUM($BB112,$AI112:AO112)-SUM($BY112:CF112)</f>
        <v>0</v>
      </c>
      <c r="BN112" s="8">
        <f>SUM($BB112,$AI112:AP112)-SUM($BY112:CG112)</f>
        <v>-400</v>
      </c>
      <c r="BO112" s="8">
        <f>SUM($BB112,$AI112:AQ112)-SUM($BY112:CH112)</f>
        <v>-1000</v>
      </c>
      <c r="BP112" s="8">
        <f>SUM($BB112,$AI112:AR112)-SUM($BY112:CI112)</f>
        <v>-2000</v>
      </c>
      <c r="BQ112" s="8">
        <f>SUM($BB112,$AI112:AS112)-SUM($BY112:CJ112)</f>
        <v>-2840</v>
      </c>
      <c r="BR112" s="8">
        <f>SUM($BB112,$AI112:AT112)-SUM($BY112:CK112)</f>
        <v>-3640</v>
      </c>
      <c r="BS112" s="8">
        <f>SUM($BB112,$AI112:AU112)-SUM($BY112:CL112)</f>
        <v>-4340</v>
      </c>
      <c r="BT112" s="8">
        <f>SUM($BB112,$AI112:AV112)-SUM($BY112:CM112)</f>
        <v>-5420</v>
      </c>
      <c r="BU112" s="8">
        <f>SUM($BB112,$AI112:AW112)-SUM($BY112:CN112)</f>
        <v>-6420</v>
      </c>
      <c r="BV112" s="8">
        <f>SUM($BB112,$AI112:AX112)-SUM($BY112:CO112)</f>
        <v>-6420</v>
      </c>
      <c r="BW112" s="8">
        <f>SUM($BB112,$AI112:AY112)-SUM($BY112:CP112)</f>
        <v>-6420</v>
      </c>
      <c r="BX112" s="8">
        <f>SUM($BB112,$AI112:AZ112)-SUM($BY112:CQ112)</f>
        <v>-6420</v>
      </c>
      <c r="BY112" s="8" cm="1">
        <f t="array" ref="BY112">SUMPRODUCT(TRANSPOSE(BY$2:BY$15),$I112:$V112)</f>
        <v>0</v>
      </c>
      <c r="BZ112" s="8" cm="1">
        <f t="array" ref="BZ112">SUMPRODUCT(TRANSPOSE(BZ$2:BZ$15),$I112:$V112)</f>
        <v>0</v>
      </c>
      <c r="CA112" s="8" cm="1">
        <f t="array" ref="CA112">SUMPRODUCT(TRANSPOSE(CA$2:CA$15),$I112:$V112)</f>
        <v>0</v>
      </c>
      <c r="CB112" s="8" cm="1">
        <f t="array" ref="CB112">SUMPRODUCT(TRANSPOSE(CB$2:CB$15),$I112:$V112)</f>
        <v>0</v>
      </c>
      <c r="CC112" s="8" cm="1">
        <f t="array" ref="CC112">SUMPRODUCT(TRANSPOSE(CC$2:CC$15),$I112:$V112)</f>
        <v>0</v>
      </c>
      <c r="CD112" s="8" cm="1">
        <f t="array" ref="CD112">SUMPRODUCT(TRANSPOSE(CD$2:CD$15),$I112:$V112)</f>
        <v>0</v>
      </c>
      <c r="CE112" s="8" cm="1">
        <f t="array" ref="CE112">SUMPRODUCT(TRANSPOSE(CE$2:CE$15),$I112:$V112)</f>
        <v>0</v>
      </c>
      <c r="CF112" s="8" cm="1">
        <f t="array" ref="CF112">SUMPRODUCT(TRANSPOSE(CF$2:CF$15),$I112:$V112)</f>
        <v>0</v>
      </c>
      <c r="CG112" s="8" cm="1">
        <f t="array" ref="CG112">SUMPRODUCT(TRANSPOSE(CG$2:CG$15),$I112:$V112)</f>
        <v>400</v>
      </c>
      <c r="CH112" s="8" cm="1">
        <f t="array" ref="CH112">SUMPRODUCT(TRANSPOSE(CH$2:CH$15),$I112:$V112)</f>
        <v>600</v>
      </c>
      <c r="CI112" s="8" cm="1">
        <f t="array" ref="CI112">SUMPRODUCT(TRANSPOSE(CI$2:CI$15),$I112:$V112)</f>
        <v>1000</v>
      </c>
      <c r="CJ112" s="8" cm="1">
        <f t="array" ref="CJ112">SUMPRODUCT(TRANSPOSE(CJ$2:CJ$15),$I112:$V112)</f>
        <v>840</v>
      </c>
      <c r="CK112" s="8" cm="1">
        <f t="array" ref="CK112">SUMPRODUCT(TRANSPOSE(CK$2:CK$15),$I112:$V112)</f>
        <v>800</v>
      </c>
      <c r="CL112" s="8" cm="1">
        <f t="array" ref="CL112">SUMPRODUCT(TRANSPOSE(CL$2:CL$15),$I112:$V112)</f>
        <v>700</v>
      </c>
      <c r="CM112" s="8" cm="1">
        <f t="array" ref="CM112">SUMPRODUCT(TRANSPOSE(CM$2:CM$15),$I112:$V112)</f>
        <v>1080</v>
      </c>
      <c r="CN112" s="8" cm="1">
        <f t="array" ref="CN112">SUMPRODUCT(TRANSPOSE(CN$2:CN$15),$I112:$V112)</f>
        <v>1000</v>
      </c>
      <c r="CO112" s="8" cm="1">
        <f t="array" ref="CO112">SUMPRODUCT(TRANSPOSE(CO$2:CO$15),$I112:$V112)</f>
        <v>0</v>
      </c>
      <c r="CP112" s="8" cm="1">
        <f t="array" ref="CP112">SUMPRODUCT(TRANSPOSE(CP$2:CP$15),$I112:$V112)</f>
        <v>0</v>
      </c>
      <c r="CQ112" s="8" cm="1">
        <f t="array" ref="CQ112">SUMPRODUCT(TRANSPOSE(CQ$2:CQ$15),$I112:$V112)</f>
        <v>0</v>
      </c>
    </row>
    <row r="113" spans="1:95" x14ac:dyDescent="0.25">
      <c r="A113" s="1">
        <v>212</v>
      </c>
      <c r="B113" s="11" t="s">
        <v>321</v>
      </c>
      <c r="C113" s="1" t="s">
        <v>49</v>
      </c>
      <c r="D113" s="1">
        <v>409187956</v>
      </c>
      <c r="E113" s="6"/>
      <c r="F113" s="1" t="s">
        <v>322</v>
      </c>
      <c r="G113" s="1" t="s">
        <v>35</v>
      </c>
      <c r="H113" s="1">
        <v>12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12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f>SUMPRODUCT(I113:V113,$I$13:$V$13)</f>
        <v>19920</v>
      </c>
      <c r="X113" s="6">
        <f t="shared" si="3"/>
        <v>3.3480000000000003</v>
      </c>
      <c r="Y113" s="1" t="str">
        <f>VLOOKUP(D113,[1]PARTS!$A$1:$G$65536,7,0)</f>
        <v>MURATA MANUFACTURING CO. LTD</v>
      </c>
      <c r="Z113" s="1">
        <f>VLOOKUP(D113,[2]pareto!$D$12:$AX$306,44,0)</f>
        <v>4000</v>
      </c>
      <c r="AA113" s="1">
        <f>VLOOKUP(D113,[2]pareto!$D$12:$AX$306,45,0)</f>
        <v>4000</v>
      </c>
      <c r="AB113" s="1">
        <f>CEILING(W113,Z113)</f>
        <v>20000</v>
      </c>
      <c r="AC113" s="1">
        <f>VLOOKUP(D113,[2]pareto!$D$12:$AX$306,47,0)</f>
        <v>0.27900000000000003</v>
      </c>
      <c r="AD113" s="1" t="s">
        <v>85</v>
      </c>
      <c r="AE113" s="1" t="s">
        <v>86</v>
      </c>
      <c r="AF113" s="19" t="s">
        <v>87</v>
      </c>
      <c r="AG113" s="1" t="s">
        <v>88</v>
      </c>
      <c r="BG113" s="8">
        <f>SUM($BB113,$AI113:AI113)-SUM($BY113:BZ113)</f>
        <v>0</v>
      </c>
      <c r="BH113" s="8">
        <f>SUM($BB113,$AI113:AJ113)-SUM($BY113:CA113)</f>
        <v>0</v>
      </c>
      <c r="BI113" s="8">
        <f>SUM($BB113,$AI113:AK113)-SUM($BY113:CB113)</f>
        <v>0</v>
      </c>
      <c r="BJ113" s="8">
        <f>SUM($BB113,$AI113:AL113)-SUM($BY113:CC113)</f>
        <v>0</v>
      </c>
      <c r="BK113" s="8">
        <f>SUM($BB113,$AI113:AM113)-SUM($BY113:CD113)</f>
        <v>0</v>
      </c>
      <c r="BL113" s="8">
        <f>SUM($BB113,$AI113:AN113)-SUM($BY113:CE113)</f>
        <v>0</v>
      </c>
      <c r="BM113" s="8">
        <f>SUM($BB113,$AI113:AO113)-SUM($BY113:CF113)</f>
        <v>0</v>
      </c>
      <c r="BN113" s="8">
        <f>SUM($BB113,$AI113:AP113)-SUM($BY113:CG113)</f>
        <v>-1200</v>
      </c>
      <c r="BO113" s="8">
        <f>SUM($BB113,$AI113:AQ113)-SUM($BY113:CH113)</f>
        <v>-3000</v>
      </c>
      <c r="BP113" s="8">
        <f>SUM($BB113,$AI113:AR113)-SUM($BY113:CI113)</f>
        <v>-6000</v>
      </c>
      <c r="BQ113" s="8">
        <f>SUM($BB113,$AI113:AS113)-SUM($BY113:CJ113)</f>
        <v>-8400</v>
      </c>
      <c r="BR113" s="8">
        <f>SUM($BB113,$AI113:AT113)-SUM($BY113:CK113)</f>
        <v>-10800</v>
      </c>
      <c r="BS113" s="8">
        <f>SUM($BB113,$AI113:AU113)-SUM($BY113:CL113)</f>
        <v>-13200</v>
      </c>
      <c r="BT113" s="8">
        <f>SUM($BB113,$AI113:AV113)-SUM($BY113:CM113)</f>
        <v>-16800</v>
      </c>
      <c r="BU113" s="8">
        <f>SUM($BB113,$AI113:AW113)-SUM($BY113:CN113)</f>
        <v>-19920</v>
      </c>
      <c r="BV113" s="8">
        <f>SUM($BB113,$AI113:AX113)-SUM($BY113:CO113)</f>
        <v>-19920</v>
      </c>
      <c r="BW113" s="8">
        <f>SUM($BB113,$AI113:AY113)-SUM($BY113:CP113)</f>
        <v>-19920</v>
      </c>
      <c r="BX113" s="8">
        <f>SUM($BB113,$AI113:AZ113)-SUM($BY113:CQ113)</f>
        <v>-19920</v>
      </c>
      <c r="BY113" s="8" cm="1">
        <f t="array" ref="BY113">SUMPRODUCT(TRANSPOSE(BY$2:BY$15),$I113:$V113)</f>
        <v>0</v>
      </c>
      <c r="BZ113" s="8" cm="1">
        <f t="array" ref="BZ113">SUMPRODUCT(TRANSPOSE(BZ$2:BZ$15),$I113:$V113)</f>
        <v>0</v>
      </c>
      <c r="CA113" s="8" cm="1">
        <f t="array" ref="CA113">SUMPRODUCT(TRANSPOSE(CA$2:CA$15),$I113:$V113)</f>
        <v>0</v>
      </c>
      <c r="CB113" s="8" cm="1">
        <f t="array" ref="CB113">SUMPRODUCT(TRANSPOSE(CB$2:CB$15),$I113:$V113)</f>
        <v>0</v>
      </c>
      <c r="CC113" s="8" cm="1">
        <f t="array" ref="CC113">SUMPRODUCT(TRANSPOSE(CC$2:CC$15),$I113:$V113)</f>
        <v>0</v>
      </c>
      <c r="CD113" s="8" cm="1">
        <f t="array" ref="CD113">SUMPRODUCT(TRANSPOSE(CD$2:CD$15),$I113:$V113)</f>
        <v>0</v>
      </c>
      <c r="CE113" s="8" cm="1">
        <f t="array" ref="CE113">SUMPRODUCT(TRANSPOSE(CE$2:CE$15),$I113:$V113)</f>
        <v>0</v>
      </c>
      <c r="CF113" s="8" cm="1">
        <f t="array" ref="CF113">SUMPRODUCT(TRANSPOSE(CF$2:CF$15),$I113:$V113)</f>
        <v>0</v>
      </c>
      <c r="CG113" s="8" cm="1">
        <f t="array" ref="CG113">SUMPRODUCT(TRANSPOSE(CG$2:CG$15),$I113:$V113)</f>
        <v>1200</v>
      </c>
      <c r="CH113" s="8" cm="1">
        <f t="array" ref="CH113">SUMPRODUCT(TRANSPOSE(CH$2:CH$15),$I113:$V113)</f>
        <v>1800</v>
      </c>
      <c r="CI113" s="8" cm="1">
        <f t="array" ref="CI113">SUMPRODUCT(TRANSPOSE(CI$2:CI$15),$I113:$V113)</f>
        <v>3000</v>
      </c>
      <c r="CJ113" s="8" cm="1">
        <f t="array" ref="CJ113">SUMPRODUCT(TRANSPOSE(CJ$2:CJ$15),$I113:$V113)</f>
        <v>2400</v>
      </c>
      <c r="CK113" s="8" cm="1">
        <f t="array" ref="CK113">SUMPRODUCT(TRANSPOSE(CK$2:CK$15),$I113:$V113)</f>
        <v>2400</v>
      </c>
      <c r="CL113" s="8" cm="1">
        <f t="array" ref="CL113">SUMPRODUCT(TRANSPOSE(CL$2:CL$15),$I113:$V113)</f>
        <v>2400</v>
      </c>
      <c r="CM113" s="8" cm="1">
        <f t="array" ref="CM113">SUMPRODUCT(TRANSPOSE(CM$2:CM$15),$I113:$V113)</f>
        <v>3600</v>
      </c>
      <c r="CN113" s="8" cm="1">
        <f t="array" ref="CN113">SUMPRODUCT(TRANSPOSE(CN$2:CN$15),$I113:$V113)</f>
        <v>3120</v>
      </c>
      <c r="CO113" s="8" cm="1">
        <f t="array" ref="CO113">SUMPRODUCT(TRANSPOSE(CO$2:CO$15),$I113:$V113)</f>
        <v>0</v>
      </c>
      <c r="CP113" s="8" cm="1">
        <f t="array" ref="CP113">SUMPRODUCT(TRANSPOSE(CP$2:CP$15),$I113:$V113)</f>
        <v>0</v>
      </c>
      <c r="CQ113" s="8" cm="1">
        <f t="array" ref="CQ113">SUMPRODUCT(TRANSPOSE(CQ$2:CQ$15),$I113:$V113)</f>
        <v>0</v>
      </c>
    </row>
    <row r="114" spans="1:95" x14ac:dyDescent="0.25">
      <c r="A114" s="1">
        <v>265</v>
      </c>
      <c r="B114" s="11" t="s">
        <v>323</v>
      </c>
      <c r="C114" s="1" t="s">
        <v>49</v>
      </c>
      <c r="D114" s="1">
        <v>514201177</v>
      </c>
      <c r="E114" s="6"/>
      <c r="F114" s="1" t="s">
        <v>324</v>
      </c>
      <c r="G114" s="1" t="s">
        <v>35</v>
      </c>
      <c r="H114" s="1">
        <v>129</v>
      </c>
      <c r="I114" s="1">
        <v>0</v>
      </c>
      <c r="J114" s="1">
        <v>50</v>
      </c>
      <c r="K114" s="1">
        <v>7</v>
      </c>
      <c r="L114" s="1">
        <v>0</v>
      </c>
      <c r="M114" s="1">
        <v>0</v>
      </c>
      <c r="N114" s="1">
        <v>0</v>
      </c>
      <c r="O114" s="1">
        <v>50</v>
      </c>
      <c r="P114" s="1">
        <v>22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f>SUMPRODUCT(I114:V114,$I$13:$V$13)</f>
        <v>207870</v>
      </c>
      <c r="X114" s="6">
        <f t="shared" si="3"/>
        <v>1.9349999999999998</v>
      </c>
      <c r="Y114" s="1" t="str">
        <f>VLOOKUP(D114,[1]PARTS!$A$1:$G$65536,7,0)</f>
        <v>NAS/NASM NATIONAL AEROSPACE STD</v>
      </c>
      <c r="Z114" s="1">
        <v>1</v>
      </c>
      <c r="AA114" s="1">
        <f>CEILING(W114,Z114)</f>
        <v>207870</v>
      </c>
      <c r="AB114" s="1">
        <f>CEILING(W114,Z114)</f>
        <v>207870</v>
      </c>
      <c r="AC114" s="1">
        <f>VLOOKUP(D114,[2]pareto!$D$12:$AX$306,47,0)</f>
        <v>1.4999999999999999E-2</v>
      </c>
      <c r="AD114" s="1" t="str">
        <f>VLOOKUP(D114,[2]pareto!$D$11:$BD$306,50,0)</f>
        <v>KAYTECH</v>
      </c>
      <c r="AE114" s="1" t="s">
        <v>325</v>
      </c>
      <c r="AF114" s="12" t="s">
        <v>326</v>
      </c>
      <c r="AG114" s="1" t="s">
        <v>327</v>
      </c>
      <c r="BG114" s="8">
        <f>SUM($BB114,$AI114:AI114)-SUM($BY114:BZ114)</f>
        <v>0</v>
      </c>
      <c r="BH114" s="8">
        <f>SUM($BB114,$AI114:AJ114)-SUM($BY114:CA114)</f>
        <v>0</v>
      </c>
      <c r="BI114" s="8">
        <f>SUM($BB114,$AI114:AK114)-SUM($BY114:CB114)</f>
        <v>0</v>
      </c>
      <c r="BJ114" s="8">
        <f>SUM($BB114,$AI114:AL114)-SUM($BY114:CC114)</f>
        <v>0</v>
      </c>
      <c r="BK114" s="8">
        <f>SUM($BB114,$AI114:AM114)-SUM($BY114:CD114)</f>
        <v>0</v>
      </c>
      <c r="BL114" s="8">
        <f>SUM($BB114,$AI114:AN114)-SUM($BY114:CE114)</f>
        <v>0</v>
      </c>
      <c r="BM114" s="8">
        <f>SUM($BB114,$AI114:AO114)-SUM($BY114:CF114)</f>
        <v>0</v>
      </c>
      <c r="BN114" s="8">
        <f>SUM($BB114,$AI114:AP114)-SUM($BY114:CG114)</f>
        <v>0</v>
      </c>
      <c r="BO114" s="8">
        <f>SUM($BB114,$AI114:AQ114)-SUM($BY114:CH114)</f>
        <v>-2900</v>
      </c>
      <c r="BP114" s="8">
        <f>SUM($BB114,$AI114:AR114)-SUM($BY114:CI114)</f>
        <v>-17250</v>
      </c>
      <c r="BQ114" s="8">
        <f>SUM($BB114,$AI114:AS114)-SUM($BY114:CJ114)</f>
        <v>-39500</v>
      </c>
      <c r="BR114" s="8">
        <f>SUM($BB114,$AI114:AT114)-SUM($BY114:CK114)</f>
        <v>-70440</v>
      </c>
      <c r="BS114" s="8">
        <f>SUM($BB114,$AI114:AU114)-SUM($BY114:CL114)</f>
        <v>-97240</v>
      </c>
      <c r="BT114" s="8">
        <f>SUM($BB114,$AI114:AV114)-SUM($BY114:CM114)</f>
        <v>-122690</v>
      </c>
      <c r="BU114" s="8">
        <f>SUM($BB114,$AI114:AW114)-SUM($BY114:CN114)</f>
        <v>-148470</v>
      </c>
      <c r="BV114" s="8">
        <f>SUM($BB114,$AI114:AX114)-SUM($BY114:CO114)</f>
        <v>-182870</v>
      </c>
      <c r="BW114" s="8">
        <f>SUM($BB114,$AI114:AY114)-SUM($BY114:CP114)</f>
        <v>-207870</v>
      </c>
      <c r="BX114" s="8">
        <f>SUM($BB114,$AI114:AZ114)-SUM($BY114:CQ114)</f>
        <v>-207870</v>
      </c>
      <c r="BY114" s="8" cm="1">
        <f t="array" ref="BY114">SUMPRODUCT(TRANSPOSE(BY$2:BY$15),$I114:$V114)</f>
        <v>0</v>
      </c>
      <c r="BZ114" s="8" cm="1">
        <f t="array" ref="BZ114">SUMPRODUCT(TRANSPOSE(BZ$2:BZ$15),$I114:$V114)</f>
        <v>0</v>
      </c>
      <c r="CA114" s="8" cm="1">
        <f t="array" ref="CA114">SUMPRODUCT(TRANSPOSE(CA$2:CA$15),$I114:$V114)</f>
        <v>0</v>
      </c>
      <c r="CB114" s="8" cm="1">
        <f t="array" ref="CB114">SUMPRODUCT(TRANSPOSE(CB$2:CB$15),$I114:$V114)</f>
        <v>0</v>
      </c>
      <c r="CC114" s="8" cm="1">
        <f t="array" ref="CC114">SUMPRODUCT(TRANSPOSE(CC$2:CC$15),$I114:$V114)</f>
        <v>0</v>
      </c>
      <c r="CD114" s="8" cm="1">
        <f t="array" ref="CD114">SUMPRODUCT(TRANSPOSE(CD$2:CD$15),$I114:$V114)</f>
        <v>0</v>
      </c>
      <c r="CE114" s="8" cm="1">
        <f t="array" ref="CE114">SUMPRODUCT(TRANSPOSE(CE$2:CE$15),$I114:$V114)</f>
        <v>0</v>
      </c>
      <c r="CF114" s="8" cm="1">
        <f t="array" ref="CF114">SUMPRODUCT(TRANSPOSE(CF$2:CF$15),$I114:$V114)</f>
        <v>0</v>
      </c>
      <c r="CG114" s="8" cm="1">
        <f t="array" ref="CG114">SUMPRODUCT(TRANSPOSE(CG$2:CG$15),$I114:$V114)</f>
        <v>0</v>
      </c>
      <c r="CH114" s="8" cm="1">
        <f t="array" ref="CH114">SUMPRODUCT(TRANSPOSE(CH$2:CH$15),$I114:$V114)</f>
        <v>2900</v>
      </c>
      <c r="CI114" s="8" cm="1">
        <f t="array" ref="CI114">SUMPRODUCT(TRANSPOSE(CI$2:CI$15),$I114:$V114)</f>
        <v>14350</v>
      </c>
      <c r="CJ114" s="8" cm="1">
        <f t="array" ref="CJ114">SUMPRODUCT(TRANSPOSE(CJ$2:CJ$15),$I114:$V114)</f>
        <v>22250</v>
      </c>
      <c r="CK114" s="8" cm="1">
        <f t="array" ref="CK114">SUMPRODUCT(TRANSPOSE(CK$2:CK$15),$I114:$V114)</f>
        <v>30940</v>
      </c>
      <c r="CL114" s="8" cm="1">
        <f t="array" ref="CL114">SUMPRODUCT(TRANSPOSE(CL$2:CL$15),$I114:$V114)</f>
        <v>26800</v>
      </c>
      <c r="CM114" s="8" cm="1">
        <f t="array" ref="CM114">SUMPRODUCT(TRANSPOSE(CM$2:CM$15),$I114:$V114)</f>
        <v>25450</v>
      </c>
      <c r="CN114" s="8" cm="1">
        <f t="array" ref="CN114">SUMPRODUCT(TRANSPOSE(CN$2:CN$15),$I114:$V114)</f>
        <v>25780</v>
      </c>
      <c r="CO114" s="8" cm="1">
        <f t="array" ref="CO114">SUMPRODUCT(TRANSPOSE(CO$2:CO$15),$I114:$V114)</f>
        <v>34400</v>
      </c>
      <c r="CP114" s="8" cm="1">
        <f t="array" ref="CP114">SUMPRODUCT(TRANSPOSE(CP$2:CP$15),$I114:$V114)</f>
        <v>25000</v>
      </c>
      <c r="CQ114" s="8" cm="1">
        <f t="array" ref="CQ114">SUMPRODUCT(TRANSPOSE(CQ$2:CQ$15),$I114:$V114)</f>
        <v>0</v>
      </c>
    </row>
    <row r="115" spans="1:95" x14ac:dyDescent="0.25">
      <c r="A115" s="1">
        <v>221</v>
      </c>
      <c r="B115" s="11" t="s">
        <v>328</v>
      </c>
      <c r="C115" s="1" t="s">
        <v>49</v>
      </c>
      <c r="D115" s="1">
        <v>403115907</v>
      </c>
      <c r="E115" s="6"/>
      <c r="F115" s="1" t="s">
        <v>329</v>
      </c>
      <c r="G115" s="1" t="s">
        <v>35</v>
      </c>
      <c r="H115" s="1">
        <v>2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2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f>SUMPRODUCT(I115:V115,$I$13:$V$13)</f>
        <v>3320</v>
      </c>
      <c r="X115" s="6">
        <f t="shared" si="3"/>
        <v>3.96</v>
      </c>
      <c r="Y115" s="1" t="str">
        <f>VLOOKUP(D115,[1]PARTS!$A$1:$G$65536,7,0)</f>
        <v>ANALOG DEVICES</v>
      </c>
      <c r="Z115" s="1">
        <f>VLOOKUP(D115,[2]pareto!$D$12:$AX$306,44,0)</f>
        <v>500</v>
      </c>
      <c r="AA115" s="1">
        <f>VLOOKUP(D115,[2]pareto!$D$12:$AX$306,45,0)</f>
        <v>500</v>
      </c>
      <c r="AB115" s="1">
        <f>CEILING(W115,Z115)</f>
        <v>3500</v>
      </c>
      <c r="AC115" s="1">
        <v>1.98</v>
      </c>
      <c r="AD115" s="1" t="s">
        <v>107</v>
      </c>
      <c r="AE115" s="1" t="s">
        <v>108</v>
      </c>
      <c r="AF115" s="19" t="s">
        <v>109</v>
      </c>
      <c r="AG115" s="1" t="s">
        <v>110</v>
      </c>
      <c r="BG115" s="8">
        <f>SUM($BB115,$AI115:AI115)-SUM($BY115:BZ115)</f>
        <v>0</v>
      </c>
      <c r="BH115" s="8">
        <f>SUM($BB115,$AI115:AJ115)-SUM($BY115:CA115)</f>
        <v>0</v>
      </c>
      <c r="BI115" s="8">
        <f>SUM($BB115,$AI115:AK115)-SUM($BY115:CB115)</f>
        <v>0</v>
      </c>
      <c r="BJ115" s="8">
        <f>SUM($BB115,$AI115:AL115)-SUM($BY115:CC115)</f>
        <v>0</v>
      </c>
      <c r="BK115" s="8">
        <f>SUM($BB115,$AI115:AM115)-SUM($BY115:CD115)</f>
        <v>0</v>
      </c>
      <c r="BL115" s="8">
        <f>SUM($BB115,$AI115:AN115)-SUM($BY115:CE115)</f>
        <v>0</v>
      </c>
      <c r="BM115" s="8">
        <f>SUM($BB115,$AI115:AO115)-SUM($BY115:CF115)</f>
        <v>0</v>
      </c>
      <c r="BN115" s="8">
        <f>SUM($BB115,$AI115:AP115)-SUM($BY115:CG115)</f>
        <v>-200</v>
      </c>
      <c r="BO115" s="8">
        <f>SUM($BB115,$AI115:AQ115)-SUM($BY115:CH115)</f>
        <v>-500</v>
      </c>
      <c r="BP115" s="8">
        <f>SUM($BB115,$AI115:AR115)-SUM($BY115:CI115)</f>
        <v>-1000</v>
      </c>
      <c r="BQ115" s="8">
        <f>SUM($BB115,$AI115:AS115)-SUM($BY115:CJ115)</f>
        <v>-1400</v>
      </c>
      <c r="BR115" s="8">
        <f>SUM($BB115,$AI115:AT115)-SUM($BY115:CK115)</f>
        <v>-1800</v>
      </c>
      <c r="BS115" s="8">
        <f>SUM($BB115,$AI115:AU115)-SUM($BY115:CL115)</f>
        <v>-2200</v>
      </c>
      <c r="BT115" s="8">
        <f>SUM($BB115,$AI115:AV115)-SUM($BY115:CM115)</f>
        <v>-2800</v>
      </c>
      <c r="BU115" s="8">
        <f>SUM($BB115,$AI115:AW115)-SUM($BY115:CN115)</f>
        <v>-3320</v>
      </c>
      <c r="BV115" s="8">
        <f>SUM($BB115,$AI115:AX115)-SUM($BY115:CO115)</f>
        <v>-3320</v>
      </c>
      <c r="BW115" s="8">
        <f>SUM($BB115,$AI115:AY115)-SUM($BY115:CP115)</f>
        <v>-3320</v>
      </c>
      <c r="BX115" s="8">
        <f>SUM($BB115,$AI115:AZ115)-SUM($BY115:CQ115)</f>
        <v>-3320</v>
      </c>
      <c r="BY115" s="8" cm="1">
        <f t="array" ref="BY115">SUMPRODUCT(TRANSPOSE(BY$2:BY$15),$I115:$V115)</f>
        <v>0</v>
      </c>
      <c r="BZ115" s="8" cm="1">
        <f t="array" ref="BZ115">SUMPRODUCT(TRANSPOSE(BZ$2:BZ$15),$I115:$V115)</f>
        <v>0</v>
      </c>
      <c r="CA115" s="8" cm="1">
        <f t="array" ref="CA115">SUMPRODUCT(TRANSPOSE(CA$2:CA$15),$I115:$V115)</f>
        <v>0</v>
      </c>
      <c r="CB115" s="8" cm="1">
        <f t="array" ref="CB115">SUMPRODUCT(TRANSPOSE(CB$2:CB$15),$I115:$V115)</f>
        <v>0</v>
      </c>
      <c r="CC115" s="8" cm="1">
        <f t="array" ref="CC115">SUMPRODUCT(TRANSPOSE(CC$2:CC$15),$I115:$V115)</f>
        <v>0</v>
      </c>
      <c r="CD115" s="8" cm="1">
        <f t="array" ref="CD115">SUMPRODUCT(TRANSPOSE(CD$2:CD$15),$I115:$V115)</f>
        <v>0</v>
      </c>
      <c r="CE115" s="8" cm="1">
        <f t="array" ref="CE115">SUMPRODUCT(TRANSPOSE(CE$2:CE$15),$I115:$V115)</f>
        <v>0</v>
      </c>
      <c r="CF115" s="8" cm="1">
        <f t="array" ref="CF115">SUMPRODUCT(TRANSPOSE(CF$2:CF$15),$I115:$V115)</f>
        <v>0</v>
      </c>
      <c r="CG115" s="8" cm="1">
        <f t="array" ref="CG115">SUMPRODUCT(TRANSPOSE(CG$2:CG$15),$I115:$V115)</f>
        <v>200</v>
      </c>
      <c r="CH115" s="8" cm="1">
        <f t="array" ref="CH115">SUMPRODUCT(TRANSPOSE(CH$2:CH$15),$I115:$V115)</f>
        <v>300</v>
      </c>
      <c r="CI115" s="8" cm="1">
        <f t="array" ref="CI115">SUMPRODUCT(TRANSPOSE(CI$2:CI$15),$I115:$V115)</f>
        <v>500</v>
      </c>
      <c r="CJ115" s="8" cm="1">
        <f t="array" ref="CJ115">SUMPRODUCT(TRANSPOSE(CJ$2:CJ$15),$I115:$V115)</f>
        <v>400</v>
      </c>
      <c r="CK115" s="8" cm="1">
        <f t="array" ref="CK115">SUMPRODUCT(TRANSPOSE(CK$2:CK$15),$I115:$V115)</f>
        <v>400</v>
      </c>
      <c r="CL115" s="8" cm="1">
        <f t="array" ref="CL115">SUMPRODUCT(TRANSPOSE(CL$2:CL$15),$I115:$V115)</f>
        <v>400</v>
      </c>
      <c r="CM115" s="8" cm="1">
        <f t="array" ref="CM115">SUMPRODUCT(TRANSPOSE(CM$2:CM$15),$I115:$V115)</f>
        <v>600</v>
      </c>
      <c r="CN115" s="8" cm="1">
        <f t="array" ref="CN115">SUMPRODUCT(TRANSPOSE(CN$2:CN$15),$I115:$V115)</f>
        <v>520</v>
      </c>
      <c r="CO115" s="8" cm="1">
        <f t="array" ref="CO115">SUMPRODUCT(TRANSPOSE(CO$2:CO$15),$I115:$V115)</f>
        <v>0</v>
      </c>
      <c r="CP115" s="8" cm="1">
        <f t="array" ref="CP115">SUMPRODUCT(TRANSPOSE(CP$2:CP$15),$I115:$V115)</f>
        <v>0</v>
      </c>
      <c r="CQ115" s="8" cm="1">
        <f t="array" ref="CQ115">SUMPRODUCT(TRANSPOSE(CQ$2:CQ$15),$I115:$V115)</f>
        <v>0</v>
      </c>
    </row>
    <row r="116" spans="1:95" x14ac:dyDescent="0.25">
      <c r="A116" s="1">
        <v>298</v>
      </c>
      <c r="B116" s="11" t="s">
        <v>330</v>
      </c>
      <c r="C116" s="1" t="s">
        <v>49</v>
      </c>
      <c r="D116" s="1">
        <v>401050320</v>
      </c>
      <c r="E116" s="6"/>
      <c r="F116" s="1" t="s">
        <v>331</v>
      </c>
      <c r="G116" s="1" t="s">
        <v>35</v>
      </c>
      <c r="H116" s="1">
        <v>4</v>
      </c>
      <c r="I116" s="1">
        <v>0</v>
      </c>
      <c r="J116" s="1">
        <v>0</v>
      </c>
      <c r="K116" s="1">
        <v>0</v>
      </c>
      <c r="L116" s="1">
        <v>4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f>SUMPRODUCT(I116:V116,$I$13:$V$13)</f>
        <v>6200</v>
      </c>
      <c r="X116" s="6">
        <f t="shared" si="3"/>
        <v>4.04</v>
      </c>
      <c r="Y116" s="1" t="str">
        <f>VLOOKUP(D116,[1]PARTS!$A$1:$G$65536,7,0)</f>
        <v>SMITHS INTERCONNECT AMERICAS,</v>
      </c>
      <c r="Z116" s="1">
        <v>1</v>
      </c>
      <c r="AA116" s="1">
        <f>CEILING(W116,Z116)</f>
        <v>6200</v>
      </c>
      <c r="AB116" s="1">
        <f>CEILING(W116,Z116)</f>
        <v>6200</v>
      </c>
      <c r="AC116" s="1">
        <f>VLOOKUP(D116,[2]pareto!$D$12:$AX$306,47,0)</f>
        <v>1.01</v>
      </c>
      <c r="AD116" s="1" t="str">
        <f>VLOOKUP(D116,[2]pareto!$D$11:$BD$306,50,0)</f>
        <v>RMFW</v>
      </c>
      <c r="AE116" s="1" t="s">
        <v>168</v>
      </c>
      <c r="AF116" s="19" t="s">
        <v>169</v>
      </c>
      <c r="AG116" s="1" t="s">
        <v>170</v>
      </c>
      <c r="BG116" s="8">
        <f>SUM($BB116,$AI116:AI116)-SUM($BY116:BZ116)</f>
        <v>0</v>
      </c>
      <c r="BH116" s="8">
        <f>SUM($BB116,$AI116:AJ116)-SUM($BY116:CA116)</f>
        <v>0</v>
      </c>
      <c r="BI116" s="8">
        <f>SUM($BB116,$AI116:AK116)-SUM($BY116:CB116)</f>
        <v>0</v>
      </c>
      <c r="BJ116" s="8">
        <f>SUM($BB116,$AI116:AL116)-SUM($BY116:CC116)</f>
        <v>0</v>
      </c>
      <c r="BK116" s="8">
        <f>SUM($BB116,$AI116:AM116)-SUM($BY116:CD116)</f>
        <v>0</v>
      </c>
      <c r="BL116" s="8">
        <f>SUM($BB116,$AI116:AN116)-SUM($BY116:CE116)</f>
        <v>0</v>
      </c>
      <c r="BM116" s="8">
        <f>SUM($BB116,$AI116:AO116)-SUM($BY116:CF116)</f>
        <v>0</v>
      </c>
      <c r="BN116" s="8">
        <f>SUM($BB116,$AI116:AP116)-SUM($BY116:CG116)</f>
        <v>-400</v>
      </c>
      <c r="BO116" s="8">
        <f>SUM($BB116,$AI116:AQ116)-SUM($BY116:CH116)</f>
        <v>-1000</v>
      </c>
      <c r="BP116" s="8">
        <f>SUM($BB116,$AI116:AR116)-SUM($BY116:CI116)</f>
        <v>-2000</v>
      </c>
      <c r="BQ116" s="8">
        <f>SUM($BB116,$AI116:AS116)-SUM($BY116:CJ116)</f>
        <v>-2880</v>
      </c>
      <c r="BR116" s="8">
        <f>SUM($BB116,$AI116:AT116)-SUM($BY116:CK116)</f>
        <v>-3680</v>
      </c>
      <c r="BS116" s="8">
        <f>SUM($BB116,$AI116:AU116)-SUM($BY116:CL116)</f>
        <v>-4280</v>
      </c>
      <c r="BT116" s="8">
        <f>SUM($BB116,$AI116:AV116)-SUM($BY116:CM116)</f>
        <v>-5240</v>
      </c>
      <c r="BU116" s="8">
        <f>SUM($BB116,$AI116:AW116)-SUM($BY116:CN116)</f>
        <v>-6200</v>
      </c>
      <c r="BV116" s="8">
        <f>SUM($BB116,$AI116:AX116)-SUM($BY116:CO116)</f>
        <v>-6200</v>
      </c>
      <c r="BW116" s="8">
        <f>SUM($BB116,$AI116:AY116)-SUM($BY116:CP116)</f>
        <v>-6200</v>
      </c>
      <c r="BX116" s="8">
        <f>SUM($BB116,$AI116:AZ116)-SUM($BY116:CQ116)</f>
        <v>-6200</v>
      </c>
      <c r="BY116" s="8" cm="1">
        <f t="array" ref="BY116">SUMPRODUCT(TRANSPOSE(BY$2:BY$15),$I116:$V116)</f>
        <v>0</v>
      </c>
      <c r="BZ116" s="8" cm="1">
        <f t="array" ref="BZ116">SUMPRODUCT(TRANSPOSE(BZ$2:BZ$15),$I116:$V116)</f>
        <v>0</v>
      </c>
      <c r="CA116" s="8" cm="1">
        <f t="array" ref="CA116">SUMPRODUCT(TRANSPOSE(CA$2:CA$15),$I116:$V116)</f>
        <v>0</v>
      </c>
      <c r="CB116" s="8" cm="1">
        <f t="array" ref="CB116">SUMPRODUCT(TRANSPOSE(CB$2:CB$15),$I116:$V116)</f>
        <v>0</v>
      </c>
      <c r="CC116" s="8" cm="1">
        <f t="array" ref="CC116">SUMPRODUCT(TRANSPOSE(CC$2:CC$15),$I116:$V116)</f>
        <v>0</v>
      </c>
      <c r="CD116" s="8" cm="1">
        <f t="array" ref="CD116">SUMPRODUCT(TRANSPOSE(CD$2:CD$15),$I116:$V116)</f>
        <v>0</v>
      </c>
      <c r="CE116" s="8" cm="1">
        <f t="array" ref="CE116">SUMPRODUCT(TRANSPOSE(CE$2:CE$15),$I116:$V116)</f>
        <v>0</v>
      </c>
      <c r="CF116" s="8" cm="1">
        <f t="array" ref="CF116">SUMPRODUCT(TRANSPOSE(CF$2:CF$15),$I116:$V116)</f>
        <v>0</v>
      </c>
      <c r="CG116" s="8" cm="1">
        <f t="array" ref="CG116">SUMPRODUCT(TRANSPOSE(CG$2:CG$15),$I116:$V116)</f>
        <v>400</v>
      </c>
      <c r="CH116" s="8" cm="1">
        <f t="array" ref="CH116">SUMPRODUCT(TRANSPOSE(CH$2:CH$15),$I116:$V116)</f>
        <v>600</v>
      </c>
      <c r="CI116" s="8" cm="1">
        <f t="array" ref="CI116">SUMPRODUCT(TRANSPOSE(CI$2:CI$15),$I116:$V116)</f>
        <v>1000</v>
      </c>
      <c r="CJ116" s="8" cm="1">
        <f t="array" ref="CJ116">SUMPRODUCT(TRANSPOSE(CJ$2:CJ$15),$I116:$V116)</f>
        <v>880</v>
      </c>
      <c r="CK116" s="8" cm="1">
        <f t="array" ref="CK116">SUMPRODUCT(TRANSPOSE(CK$2:CK$15),$I116:$V116)</f>
        <v>800</v>
      </c>
      <c r="CL116" s="8" cm="1">
        <f t="array" ref="CL116">SUMPRODUCT(TRANSPOSE(CL$2:CL$15),$I116:$V116)</f>
        <v>600</v>
      </c>
      <c r="CM116" s="8" cm="1">
        <f t="array" ref="CM116">SUMPRODUCT(TRANSPOSE(CM$2:CM$15),$I116:$V116)</f>
        <v>960</v>
      </c>
      <c r="CN116" s="8" cm="1">
        <f t="array" ref="CN116">SUMPRODUCT(TRANSPOSE(CN$2:CN$15),$I116:$V116)</f>
        <v>960</v>
      </c>
      <c r="CO116" s="8" cm="1">
        <f t="array" ref="CO116">SUMPRODUCT(TRANSPOSE(CO$2:CO$15),$I116:$V116)</f>
        <v>0</v>
      </c>
      <c r="CP116" s="8" cm="1">
        <f t="array" ref="CP116">SUMPRODUCT(TRANSPOSE(CP$2:CP$15),$I116:$V116)</f>
        <v>0</v>
      </c>
      <c r="CQ116" s="8" cm="1">
        <f t="array" ref="CQ116">SUMPRODUCT(TRANSPOSE(CQ$2:CQ$15),$I116:$V116)</f>
        <v>0</v>
      </c>
    </row>
    <row r="117" spans="1:95" x14ac:dyDescent="0.25">
      <c r="A117" s="1">
        <v>234</v>
      </c>
      <c r="B117" s="11" t="s">
        <v>332</v>
      </c>
      <c r="C117" s="1" t="s">
        <v>49</v>
      </c>
      <c r="D117" s="1">
        <v>401020862</v>
      </c>
      <c r="E117" s="6" t="str">
        <f>VLOOKUP(D117,FFF!$A$2:$B$674,2,)</f>
        <v>FFF016910</v>
      </c>
      <c r="F117" s="1" t="s">
        <v>333</v>
      </c>
      <c r="G117" s="1" t="s">
        <v>256</v>
      </c>
      <c r="H117" s="1" t="s">
        <v>257</v>
      </c>
      <c r="I117" s="1">
        <v>0</v>
      </c>
      <c r="J117" s="1">
        <v>0.05</v>
      </c>
      <c r="K117" s="1">
        <v>0</v>
      </c>
      <c r="L117" s="1">
        <v>0</v>
      </c>
      <c r="M117" s="1">
        <v>0</v>
      </c>
      <c r="N117" s="1">
        <v>0</v>
      </c>
      <c r="O117" s="1">
        <v>0.05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f>SUMPRODUCT(I117:V117,$I$13:$V$13)</f>
        <v>160.5</v>
      </c>
      <c r="X117" s="6">
        <f t="shared" si="3"/>
        <v>1.7000000000000001E-2</v>
      </c>
      <c r="Y117" s="1" t="str">
        <f>VLOOKUP(D117,[1]PARTS!$A$1:$G$65536,7,0)</f>
        <v>HENKEL CORPORATION</v>
      </c>
      <c r="Z117" s="1">
        <f>VLOOKUP(D117,[2]pareto!$D$12:$AX$306,44,0)</f>
        <v>0</v>
      </c>
      <c r="AA117" s="1">
        <f>VLOOKUP(D117,[2]pareto!$D$12:$AX$306,45,0)</f>
        <v>0</v>
      </c>
      <c r="AB117" s="1">
        <f>CEILING(W117,Z117)</f>
        <v>0</v>
      </c>
      <c r="AC117" s="1">
        <f>VLOOKUP(D117,[2]pareto!$D$12:$AX$306,47,0)</f>
        <v>0.17</v>
      </c>
      <c r="AD117" s="1" t="s">
        <v>258</v>
      </c>
      <c r="AE117" s="1" t="s">
        <v>258</v>
      </c>
      <c r="AF117" s="1" t="s">
        <v>258</v>
      </c>
      <c r="AG117" s="1" t="s">
        <v>258</v>
      </c>
      <c r="BG117" s="8">
        <f>SUM($BB117,$AI117:AI117)-SUM($BY117:BZ117)</f>
        <v>0</v>
      </c>
      <c r="BH117" s="8">
        <f>SUM($BB117,$AI117:AJ117)-SUM($BY117:CA117)</f>
        <v>0</v>
      </c>
      <c r="BI117" s="8">
        <f>SUM($BB117,$AI117:AK117)-SUM($BY117:CB117)</f>
        <v>0</v>
      </c>
      <c r="BJ117" s="8">
        <f>SUM($BB117,$AI117:AL117)-SUM($BY117:CC117)</f>
        <v>0</v>
      </c>
      <c r="BK117" s="8">
        <f>SUM($BB117,$AI117:AM117)-SUM($BY117:CD117)</f>
        <v>0</v>
      </c>
      <c r="BL117" s="8">
        <f>SUM($BB117,$AI117:AN117)-SUM($BY117:CE117)</f>
        <v>0</v>
      </c>
      <c r="BM117" s="8">
        <f>SUM($BB117,$AI117:AO117)-SUM($BY117:CF117)</f>
        <v>0</v>
      </c>
      <c r="BN117" s="8">
        <f>SUM($BB117,$AI117:AP117)-SUM($BY117:CG117)</f>
        <v>0</v>
      </c>
      <c r="BO117" s="8">
        <f>SUM($BB117,$AI117:AQ117)-SUM($BY117:CH117)</f>
        <v>0</v>
      </c>
      <c r="BP117" s="8">
        <f>SUM($BB117,$AI117:AR117)-SUM($BY117:CI117)</f>
        <v>-10</v>
      </c>
      <c r="BQ117" s="8">
        <f>SUM($BB117,$AI117:AS117)-SUM($BY117:CJ117)</f>
        <v>-25</v>
      </c>
      <c r="BR117" s="8">
        <f>SUM($BB117,$AI117:AT117)-SUM($BY117:CK117)</f>
        <v>-50</v>
      </c>
      <c r="BS117" s="8">
        <f>SUM($BB117,$AI117:AU117)-SUM($BY117:CL117)</f>
        <v>-71</v>
      </c>
      <c r="BT117" s="8">
        <f>SUM($BB117,$AI117:AV117)-SUM($BY117:CM117)</f>
        <v>-91</v>
      </c>
      <c r="BU117" s="8">
        <f>SUM($BB117,$AI117:AW117)-SUM($BY117:CN117)</f>
        <v>-108.5</v>
      </c>
      <c r="BV117" s="8">
        <f>SUM($BB117,$AI117:AX117)-SUM($BY117:CO117)</f>
        <v>-135.5</v>
      </c>
      <c r="BW117" s="8">
        <f>SUM($BB117,$AI117:AY117)-SUM($BY117:CP117)</f>
        <v>-160.5</v>
      </c>
      <c r="BX117" s="8">
        <f>SUM($BB117,$AI117:AZ117)-SUM($BY117:CQ117)</f>
        <v>-160.5</v>
      </c>
      <c r="BY117" s="8" cm="1">
        <f t="array" ref="BY117">SUMPRODUCT(TRANSPOSE(BY$2:BY$15),$I117:$V117)</f>
        <v>0</v>
      </c>
      <c r="BZ117" s="8" cm="1">
        <f t="array" ref="BZ117">SUMPRODUCT(TRANSPOSE(BZ$2:BZ$15),$I117:$V117)</f>
        <v>0</v>
      </c>
      <c r="CA117" s="8" cm="1">
        <f t="array" ref="CA117">SUMPRODUCT(TRANSPOSE(CA$2:CA$15),$I117:$V117)</f>
        <v>0</v>
      </c>
      <c r="CB117" s="8" cm="1">
        <f t="array" ref="CB117">SUMPRODUCT(TRANSPOSE(CB$2:CB$15),$I117:$V117)</f>
        <v>0</v>
      </c>
      <c r="CC117" s="8" cm="1">
        <f t="array" ref="CC117">SUMPRODUCT(TRANSPOSE(CC$2:CC$15),$I117:$V117)</f>
        <v>0</v>
      </c>
      <c r="CD117" s="8" cm="1">
        <f t="array" ref="CD117">SUMPRODUCT(TRANSPOSE(CD$2:CD$15),$I117:$V117)</f>
        <v>0</v>
      </c>
      <c r="CE117" s="8" cm="1">
        <f t="array" ref="CE117">SUMPRODUCT(TRANSPOSE(CE$2:CE$15),$I117:$V117)</f>
        <v>0</v>
      </c>
      <c r="CF117" s="8" cm="1">
        <f t="array" ref="CF117">SUMPRODUCT(TRANSPOSE(CF$2:CF$15),$I117:$V117)</f>
        <v>0</v>
      </c>
      <c r="CG117" s="8" cm="1">
        <f t="array" ref="CG117">SUMPRODUCT(TRANSPOSE(CG$2:CG$15),$I117:$V117)</f>
        <v>0</v>
      </c>
      <c r="CH117" s="8" cm="1">
        <f t="array" ref="CH117">SUMPRODUCT(TRANSPOSE(CH$2:CH$15),$I117:$V117)</f>
        <v>0</v>
      </c>
      <c r="CI117" s="8" cm="1">
        <f t="array" ref="CI117">SUMPRODUCT(TRANSPOSE(CI$2:CI$15),$I117:$V117)</f>
        <v>10</v>
      </c>
      <c r="CJ117" s="8" cm="1">
        <f t="array" ref="CJ117">SUMPRODUCT(TRANSPOSE(CJ$2:CJ$15),$I117:$V117)</f>
        <v>15</v>
      </c>
      <c r="CK117" s="8" cm="1">
        <f t="array" ref="CK117">SUMPRODUCT(TRANSPOSE(CK$2:CK$15),$I117:$V117)</f>
        <v>25</v>
      </c>
      <c r="CL117" s="8" cm="1">
        <f t="array" ref="CL117">SUMPRODUCT(TRANSPOSE(CL$2:CL$15),$I117:$V117)</f>
        <v>21</v>
      </c>
      <c r="CM117" s="8" cm="1">
        <f t="array" ref="CM117">SUMPRODUCT(TRANSPOSE(CM$2:CM$15),$I117:$V117)</f>
        <v>20</v>
      </c>
      <c r="CN117" s="8" cm="1">
        <f t="array" ref="CN117">SUMPRODUCT(TRANSPOSE(CN$2:CN$15),$I117:$V117)</f>
        <v>17.5</v>
      </c>
      <c r="CO117" s="8" cm="1">
        <f t="array" ref="CO117">SUMPRODUCT(TRANSPOSE(CO$2:CO$15),$I117:$V117)</f>
        <v>27</v>
      </c>
      <c r="CP117" s="8" cm="1">
        <f t="array" ref="CP117">SUMPRODUCT(TRANSPOSE(CP$2:CP$15),$I117:$V117)</f>
        <v>25</v>
      </c>
      <c r="CQ117" s="8" cm="1">
        <f t="array" ref="CQ117">SUMPRODUCT(TRANSPOSE(CQ$2:CQ$15),$I117:$V117)</f>
        <v>0</v>
      </c>
    </row>
    <row r="118" spans="1:95" x14ac:dyDescent="0.25">
      <c r="A118" s="1">
        <v>289</v>
      </c>
      <c r="B118" s="11" t="s">
        <v>334</v>
      </c>
      <c r="C118" s="1" t="s">
        <v>49</v>
      </c>
      <c r="D118" s="1">
        <v>732400080</v>
      </c>
      <c r="E118" s="6"/>
      <c r="F118" s="1" t="s">
        <v>335</v>
      </c>
      <c r="G118" s="1" t="s">
        <v>256</v>
      </c>
      <c r="H118" s="1" t="s">
        <v>257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0.05</v>
      </c>
      <c r="Q118" s="1">
        <v>0</v>
      </c>
      <c r="R118" s="1">
        <v>0</v>
      </c>
      <c r="S118" s="1">
        <v>0</v>
      </c>
      <c r="T118" s="1">
        <v>0</v>
      </c>
      <c r="U118" s="1">
        <v>0.05</v>
      </c>
      <c r="V118" s="1">
        <v>0</v>
      </c>
      <c r="W118" s="1">
        <f>SUMPRODUCT(I118:V118,$I$13:$V$13)</f>
        <v>166</v>
      </c>
      <c r="X118" s="6">
        <f t="shared" si="3"/>
        <v>3.0910000000000002</v>
      </c>
      <c r="Y118" s="1" t="str">
        <f>VLOOKUP(D118,[1]PARTS!$A$1:$G$65536,7,0)</f>
        <v>MOMENTIV PERFORMENCE MATERIALS QUAR</v>
      </c>
      <c r="Z118" s="1">
        <f>VLOOKUP(D118,[2]pareto!$D$12:$AX$306,44,0)</f>
        <v>0</v>
      </c>
      <c r="AA118" s="1">
        <f>VLOOKUP(D118,[2]pareto!$D$12:$AX$306,45,0)</f>
        <v>0</v>
      </c>
      <c r="AB118" s="1">
        <f>CEILING(W118,Z118)</f>
        <v>0</v>
      </c>
      <c r="AC118" s="1">
        <v>30.91</v>
      </c>
      <c r="AD118" s="1" t="s">
        <v>258</v>
      </c>
      <c r="AE118" s="1" t="s">
        <v>258</v>
      </c>
      <c r="AF118" s="1" t="s">
        <v>258</v>
      </c>
      <c r="AG118" s="1" t="s">
        <v>258</v>
      </c>
      <c r="AH118" s="1" t="s">
        <v>258</v>
      </c>
      <c r="BG118" s="8">
        <f>SUM($BB118,$AI118:AI118)-SUM($BY118:BZ118)</f>
        <v>0</v>
      </c>
      <c r="BH118" s="8">
        <f>SUM($BB118,$AI118:AJ118)-SUM($BY118:CA118)</f>
        <v>0</v>
      </c>
      <c r="BI118" s="8">
        <f>SUM($BB118,$AI118:AK118)-SUM($BY118:CB118)</f>
        <v>0</v>
      </c>
      <c r="BJ118" s="8">
        <f>SUM($BB118,$AI118:AL118)-SUM($BY118:CC118)</f>
        <v>0</v>
      </c>
      <c r="BK118" s="8">
        <f>SUM($BB118,$AI118:AM118)-SUM($BY118:CD118)</f>
        <v>0</v>
      </c>
      <c r="BL118" s="8">
        <f>SUM($BB118,$AI118:AN118)-SUM($BY118:CE118)</f>
        <v>0</v>
      </c>
      <c r="BM118" s="8">
        <f>SUM($BB118,$AI118:AO118)-SUM($BY118:CF118)</f>
        <v>0</v>
      </c>
      <c r="BN118" s="8">
        <f>SUM($BB118,$AI118:AP118)-SUM($BY118:CG118)</f>
        <v>0</v>
      </c>
      <c r="BO118" s="8">
        <f>SUM($BB118,$AI118:AQ118)-SUM($BY118:CH118)</f>
        <v>-10</v>
      </c>
      <c r="BP118" s="8">
        <f>SUM($BB118,$AI118:AR118)-SUM($BY118:CI118)</f>
        <v>-25</v>
      </c>
      <c r="BQ118" s="8">
        <f>SUM($BB118,$AI118:AS118)-SUM($BY118:CJ118)</f>
        <v>-50</v>
      </c>
      <c r="BR118" s="8">
        <f>SUM($BB118,$AI118:AT118)-SUM($BY118:CK118)</f>
        <v>-70</v>
      </c>
      <c r="BS118" s="8">
        <f>SUM($BB118,$AI118:AU118)-SUM($BY118:CL118)</f>
        <v>-90</v>
      </c>
      <c r="BT118" s="8">
        <f>SUM($BB118,$AI118:AV118)-SUM($BY118:CM118)</f>
        <v>-110</v>
      </c>
      <c r="BU118" s="8">
        <f>SUM($BB118,$AI118:AW118)-SUM($BY118:CN118)</f>
        <v>-140</v>
      </c>
      <c r="BV118" s="8">
        <f>SUM($BB118,$AI118:AX118)-SUM($BY118:CO118)</f>
        <v>-166</v>
      </c>
      <c r="BW118" s="8">
        <f>SUM($BB118,$AI118:AY118)-SUM($BY118:CP118)</f>
        <v>-166</v>
      </c>
      <c r="BX118" s="8">
        <f>SUM($BB118,$AI118:AZ118)-SUM($BY118:CQ118)</f>
        <v>-166</v>
      </c>
      <c r="BY118" s="8" cm="1">
        <f t="array" ref="BY118">SUMPRODUCT(TRANSPOSE(BY$2:BY$15),$I118:$V118)</f>
        <v>0</v>
      </c>
      <c r="BZ118" s="8" cm="1">
        <f t="array" ref="BZ118">SUMPRODUCT(TRANSPOSE(BZ$2:BZ$15),$I118:$V118)</f>
        <v>0</v>
      </c>
      <c r="CA118" s="8" cm="1">
        <f t="array" ref="CA118">SUMPRODUCT(TRANSPOSE(CA$2:CA$15),$I118:$V118)</f>
        <v>0</v>
      </c>
      <c r="CB118" s="8" cm="1">
        <f t="array" ref="CB118">SUMPRODUCT(TRANSPOSE(CB$2:CB$15),$I118:$V118)</f>
        <v>0</v>
      </c>
      <c r="CC118" s="8" cm="1">
        <f t="array" ref="CC118">SUMPRODUCT(TRANSPOSE(CC$2:CC$15),$I118:$V118)</f>
        <v>0</v>
      </c>
      <c r="CD118" s="8" cm="1">
        <f t="array" ref="CD118">SUMPRODUCT(TRANSPOSE(CD$2:CD$15),$I118:$V118)</f>
        <v>0</v>
      </c>
      <c r="CE118" s="8" cm="1">
        <f t="array" ref="CE118">SUMPRODUCT(TRANSPOSE(CE$2:CE$15),$I118:$V118)</f>
        <v>0</v>
      </c>
      <c r="CF118" s="8" cm="1">
        <f t="array" ref="CF118">SUMPRODUCT(TRANSPOSE(CF$2:CF$15),$I118:$V118)</f>
        <v>0</v>
      </c>
      <c r="CG118" s="8" cm="1">
        <f t="array" ref="CG118">SUMPRODUCT(TRANSPOSE(CG$2:CG$15),$I118:$V118)</f>
        <v>0</v>
      </c>
      <c r="CH118" s="8" cm="1">
        <f t="array" ref="CH118">SUMPRODUCT(TRANSPOSE(CH$2:CH$15),$I118:$V118)</f>
        <v>10</v>
      </c>
      <c r="CI118" s="8" cm="1">
        <f t="array" ref="CI118">SUMPRODUCT(TRANSPOSE(CI$2:CI$15),$I118:$V118)</f>
        <v>15</v>
      </c>
      <c r="CJ118" s="8" cm="1">
        <f t="array" ref="CJ118">SUMPRODUCT(TRANSPOSE(CJ$2:CJ$15),$I118:$V118)</f>
        <v>25</v>
      </c>
      <c r="CK118" s="8" cm="1">
        <f t="array" ref="CK118">SUMPRODUCT(TRANSPOSE(CK$2:CK$15),$I118:$V118)</f>
        <v>20</v>
      </c>
      <c r="CL118" s="8" cm="1">
        <f t="array" ref="CL118">SUMPRODUCT(TRANSPOSE(CL$2:CL$15),$I118:$V118)</f>
        <v>20</v>
      </c>
      <c r="CM118" s="8" cm="1">
        <f t="array" ref="CM118">SUMPRODUCT(TRANSPOSE(CM$2:CM$15),$I118:$V118)</f>
        <v>20</v>
      </c>
      <c r="CN118" s="8" cm="1">
        <f t="array" ref="CN118">SUMPRODUCT(TRANSPOSE(CN$2:CN$15),$I118:$V118)</f>
        <v>30</v>
      </c>
      <c r="CO118" s="8" cm="1">
        <f t="array" ref="CO118">SUMPRODUCT(TRANSPOSE(CO$2:CO$15),$I118:$V118)</f>
        <v>26</v>
      </c>
      <c r="CP118" s="8" cm="1">
        <f t="array" ref="CP118">SUMPRODUCT(TRANSPOSE(CP$2:CP$15),$I118:$V118)</f>
        <v>0</v>
      </c>
      <c r="CQ118" s="8" cm="1">
        <f t="array" ref="CQ118">SUMPRODUCT(TRANSPOSE(CQ$2:CQ$15),$I118:$V118)</f>
        <v>0</v>
      </c>
    </row>
    <row r="119" spans="1:95" x14ac:dyDescent="0.25">
      <c r="A119" s="1">
        <v>253</v>
      </c>
      <c r="B119" s="11" t="s">
        <v>336</v>
      </c>
      <c r="C119" s="1" t="s">
        <v>49</v>
      </c>
      <c r="D119" s="1">
        <v>512326521</v>
      </c>
      <c r="E119" s="6"/>
      <c r="F119" s="1" t="s">
        <v>337</v>
      </c>
      <c r="G119" s="1" t="s">
        <v>35</v>
      </c>
      <c r="H119" s="1">
        <v>78</v>
      </c>
      <c r="I119" s="1">
        <v>0</v>
      </c>
      <c r="J119" s="1">
        <v>39</v>
      </c>
      <c r="K119" s="1">
        <v>0</v>
      </c>
      <c r="L119" s="1">
        <v>0</v>
      </c>
      <c r="M119" s="1">
        <v>0</v>
      </c>
      <c r="N119" s="1">
        <v>0</v>
      </c>
      <c r="O119" s="1">
        <v>39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f>SUMPRODUCT(I119:V119,$I$13:$V$13)</f>
        <v>125190</v>
      </c>
      <c r="X119" s="6">
        <f t="shared" si="3"/>
        <v>2.5037999999999996</v>
      </c>
      <c r="Y119" s="1" t="str">
        <f>VLOOKUP(D119,[1]PARTS!$A$1:$G$65536,7,0)</f>
        <v>MS MILITARY STANDARDS</v>
      </c>
      <c r="Z119" s="1">
        <v>1</v>
      </c>
      <c r="AA119" s="1">
        <f>CEILING(W119,Z119)</f>
        <v>125190</v>
      </c>
      <c r="AB119" s="1">
        <f>CEILING(W119,Z119)</f>
        <v>125190</v>
      </c>
      <c r="AC119" s="1">
        <f>VLOOKUP(D119,[2]pareto!$D$12:$AX$306,47,0)</f>
        <v>3.2099999999999997E-2</v>
      </c>
      <c r="AD119" s="1" t="str">
        <f>VLOOKUP(D119,[2]pareto!$D$11:$BD$306,50,0)</f>
        <v>KAYTECH</v>
      </c>
      <c r="AE119" s="1" t="s">
        <v>325</v>
      </c>
      <c r="AF119" s="19" t="s">
        <v>326</v>
      </c>
      <c r="AG119" s="1" t="s">
        <v>327</v>
      </c>
      <c r="BG119" s="8">
        <f>SUM($BB119,$AI119:AI119)-SUM($BY119:BZ119)</f>
        <v>0</v>
      </c>
      <c r="BH119" s="8">
        <f>SUM($BB119,$AI119:AJ119)-SUM($BY119:CA119)</f>
        <v>0</v>
      </c>
      <c r="BI119" s="8">
        <f>SUM($BB119,$AI119:AK119)-SUM($BY119:CB119)</f>
        <v>0</v>
      </c>
      <c r="BJ119" s="8">
        <f>SUM($BB119,$AI119:AL119)-SUM($BY119:CC119)</f>
        <v>0</v>
      </c>
      <c r="BK119" s="8">
        <f>SUM($BB119,$AI119:AM119)-SUM($BY119:CD119)</f>
        <v>0</v>
      </c>
      <c r="BL119" s="8">
        <f>SUM($BB119,$AI119:AN119)-SUM($BY119:CE119)</f>
        <v>0</v>
      </c>
      <c r="BM119" s="8">
        <f>SUM($BB119,$AI119:AO119)-SUM($BY119:CF119)</f>
        <v>0</v>
      </c>
      <c r="BN119" s="8">
        <f>SUM($BB119,$AI119:AP119)-SUM($BY119:CG119)</f>
        <v>0</v>
      </c>
      <c r="BO119" s="8">
        <f>SUM($BB119,$AI119:AQ119)-SUM($BY119:CH119)</f>
        <v>0</v>
      </c>
      <c r="BP119" s="8">
        <f>SUM($BB119,$AI119:AR119)-SUM($BY119:CI119)</f>
        <v>-7800</v>
      </c>
      <c r="BQ119" s="8">
        <f>SUM($BB119,$AI119:AS119)-SUM($BY119:CJ119)</f>
        <v>-19500</v>
      </c>
      <c r="BR119" s="8">
        <f>SUM($BB119,$AI119:AT119)-SUM($BY119:CK119)</f>
        <v>-39000</v>
      </c>
      <c r="BS119" s="8">
        <f>SUM($BB119,$AI119:AU119)-SUM($BY119:CL119)</f>
        <v>-55380</v>
      </c>
      <c r="BT119" s="8">
        <f>SUM($BB119,$AI119:AV119)-SUM($BY119:CM119)</f>
        <v>-70980</v>
      </c>
      <c r="BU119" s="8">
        <f>SUM($BB119,$AI119:AW119)-SUM($BY119:CN119)</f>
        <v>-84630</v>
      </c>
      <c r="BV119" s="8">
        <f>SUM($BB119,$AI119:AX119)-SUM($BY119:CO119)</f>
        <v>-105690</v>
      </c>
      <c r="BW119" s="8">
        <f>SUM($BB119,$AI119:AY119)-SUM($BY119:CP119)</f>
        <v>-125190</v>
      </c>
      <c r="BX119" s="8">
        <f>SUM($BB119,$AI119:AZ119)-SUM($BY119:CQ119)</f>
        <v>-125190</v>
      </c>
      <c r="BY119" s="8" cm="1">
        <f t="array" ref="BY119">SUMPRODUCT(TRANSPOSE(BY$2:BY$15),$I119:$V119)</f>
        <v>0</v>
      </c>
      <c r="BZ119" s="8" cm="1">
        <f t="array" ref="BZ119">SUMPRODUCT(TRANSPOSE(BZ$2:BZ$15),$I119:$V119)</f>
        <v>0</v>
      </c>
      <c r="CA119" s="8" cm="1">
        <f t="array" ref="CA119">SUMPRODUCT(TRANSPOSE(CA$2:CA$15),$I119:$V119)</f>
        <v>0</v>
      </c>
      <c r="CB119" s="8" cm="1">
        <f t="array" ref="CB119">SUMPRODUCT(TRANSPOSE(CB$2:CB$15),$I119:$V119)</f>
        <v>0</v>
      </c>
      <c r="CC119" s="8" cm="1">
        <f t="array" ref="CC119">SUMPRODUCT(TRANSPOSE(CC$2:CC$15),$I119:$V119)</f>
        <v>0</v>
      </c>
      <c r="CD119" s="8" cm="1">
        <f t="array" ref="CD119">SUMPRODUCT(TRANSPOSE(CD$2:CD$15),$I119:$V119)</f>
        <v>0</v>
      </c>
      <c r="CE119" s="8" cm="1">
        <f t="array" ref="CE119">SUMPRODUCT(TRANSPOSE(CE$2:CE$15),$I119:$V119)</f>
        <v>0</v>
      </c>
      <c r="CF119" s="8" cm="1">
        <f t="array" ref="CF119">SUMPRODUCT(TRANSPOSE(CF$2:CF$15),$I119:$V119)</f>
        <v>0</v>
      </c>
      <c r="CG119" s="8" cm="1">
        <f t="array" ref="CG119">SUMPRODUCT(TRANSPOSE(CG$2:CG$15),$I119:$V119)</f>
        <v>0</v>
      </c>
      <c r="CH119" s="8" cm="1">
        <f t="array" ref="CH119">SUMPRODUCT(TRANSPOSE(CH$2:CH$15),$I119:$V119)</f>
        <v>0</v>
      </c>
      <c r="CI119" s="8" cm="1">
        <f t="array" ref="CI119">SUMPRODUCT(TRANSPOSE(CI$2:CI$15),$I119:$V119)</f>
        <v>7800</v>
      </c>
      <c r="CJ119" s="8" cm="1">
        <f t="array" ref="CJ119">SUMPRODUCT(TRANSPOSE(CJ$2:CJ$15),$I119:$V119)</f>
        <v>11700</v>
      </c>
      <c r="CK119" s="8" cm="1">
        <f t="array" ref="CK119">SUMPRODUCT(TRANSPOSE(CK$2:CK$15),$I119:$V119)</f>
        <v>19500</v>
      </c>
      <c r="CL119" s="8" cm="1">
        <f t="array" ref="CL119">SUMPRODUCT(TRANSPOSE(CL$2:CL$15),$I119:$V119)</f>
        <v>16380</v>
      </c>
      <c r="CM119" s="8" cm="1">
        <f t="array" ref="CM119">SUMPRODUCT(TRANSPOSE(CM$2:CM$15),$I119:$V119)</f>
        <v>15600</v>
      </c>
      <c r="CN119" s="8" cm="1">
        <f t="array" ref="CN119">SUMPRODUCT(TRANSPOSE(CN$2:CN$15),$I119:$V119)</f>
        <v>13650</v>
      </c>
      <c r="CO119" s="8" cm="1">
        <f t="array" ref="CO119">SUMPRODUCT(TRANSPOSE(CO$2:CO$15),$I119:$V119)</f>
        <v>21060</v>
      </c>
      <c r="CP119" s="8" cm="1">
        <f t="array" ref="CP119">SUMPRODUCT(TRANSPOSE(CP$2:CP$15),$I119:$V119)</f>
        <v>19500</v>
      </c>
      <c r="CQ119" s="8" cm="1">
        <f t="array" ref="CQ119">SUMPRODUCT(TRANSPOSE(CQ$2:CQ$15),$I119:$V119)</f>
        <v>0</v>
      </c>
    </row>
    <row r="120" spans="1:95" x14ac:dyDescent="0.25">
      <c r="A120" s="1">
        <v>95</v>
      </c>
      <c r="B120" s="11" t="s">
        <v>338</v>
      </c>
      <c r="C120" s="1" t="s">
        <v>49</v>
      </c>
      <c r="D120" s="1">
        <v>400472007</v>
      </c>
      <c r="E120" s="6"/>
      <c r="F120" s="1" t="s">
        <v>339</v>
      </c>
      <c r="G120" s="1" t="s">
        <v>35</v>
      </c>
      <c r="H120" s="1">
        <v>2</v>
      </c>
      <c r="I120" s="1">
        <v>0</v>
      </c>
      <c r="J120" s="1">
        <v>1</v>
      </c>
      <c r="K120" s="1">
        <v>0</v>
      </c>
      <c r="L120" s="1">
        <v>0</v>
      </c>
      <c r="M120" s="1">
        <v>0</v>
      </c>
      <c r="N120" s="1">
        <v>0</v>
      </c>
      <c r="O120" s="1">
        <v>1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f>SUMPRODUCT(I120:V120,$I$13:$V$13)</f>
        <v>3210</v>
      </c>
      <c r="X120" s="6">
        <f t="shared" si="3"/>
        <v>2.5</v>
      </c>
      <c r="Y120" s="1" t="str">
        <f>VLOOKUP(D120,[1]PARTS!$A$1:$G$65536,7,0)</f>
        <v>DCX-CHOL Entr. Inc</v>
      </c>
      <c r="Z120" s="1">
        <v>1</v>
      </c>
      <c r="AA120" s="1">
        <v>3170</v>
      </c>
      <c r="AB120" s="1">
        <f>CEILING(W120,Z120)</f>
        <v>3210</v>
      </c>
      <c r="AC120" s="1">
        <f>VLOOKUP(D120,[2]pareto!$D$12:$AX$306,47,0)</f>
        <v>1.25</v>
      </c>
      <c r="AD120" s="1" t="s">
        <v>91</v>
      </c>
      <c r="AE120" s="1" t="s">
        <v>92</v>
      </c>
      <c r="AF120" s="14" t="s">
        <v>93</v>
      </c>
      <c r="AG120" s="1" t="s">
        <v>94</v>
      </c>
      <c r="BG120" s="8">
        <f>SUM($BB120,$AI120:AI120)-SUM($BY120:BZ120)</f>
        <v>0</v>
      </c>
      <c r="BH120" s="8">
        <f>SUM($BB120,$AI120:AJ120)-SUM($BY120:CA120)</f>
        <v>0</v>
      </c>
      <c r="BI120" s="8">
        <f>SUM($BB120,$AI120:AK120)-SUM($BY120:CB120)</f>
        <v>0</v>
      </c>
      <c r="BJ120" s="8">
        <f>SUM($BB120,$AI120:AL120)-SUM($BY120:CC120)</f>
        <v>0</v>
      </c>
      <c r="BK120" s="8">
        <f>SUM($BB120,$AI120:AM120)-SUM($BY120:CD120)</f>
        <v>0</v>
      </c>
      <c r="BL120" s="8">
        <f>SUM($BB120,$AI120:AN120)-SUM($BY120:CE120)</f>
        <v>0</v>
      </c>
      <c r="BM120" s="8">
        <f>SUM($BB120,$AI120:AO120)-SUM($BY120:CF120)</f>
        <v>0</v>
      </c>
      <c r="BN120" s="8">
        <f>SUM($BB120,$AI120:AP120)-SUM($BY120:CG120)</f>
        <v>0</v>
      </c>
      <c r="BO120" s="8">
        <f>SUM($BB120,$AI120:AQ120)-SUM($BY120:CH120)</f>
        <v>0</v>
      </c>
      <c r="BP120" s="8">
        <f>SUM($BB120,$AI120:AR120)-SUM($BY120:CI120)</f>
        <v>-200</v>
      </c>
      <c r="BQ120" s="8">
        <f>SUM($BB120,$AI120:AS120)-SUM($BY120:CJ120)</f>
        <v>-500</v>
      </c>
      <c r="BR120" s="8">
        <f>SUM($BB120,$AI120:AT120)-SUM($BY120:CK120)</f>
        <v>-1000</v>
      </c>
      <c r="BS120" s="8">
        <f>SUM($BB120,$AI120:AU120)-SUM($BY120:CL120)</f>
        <v>-1420</v>
      </c>
      <c r="BT120" s="8">
        <f>SUM($BB120,$AI120:AV120)-SUM($BY120:CM120)</f>
        <v>-1820</v>
      </c>
      <c r="BU120" s="8">
        <f>SUM($BB120,$AI120:AW120)-SUM($BY120:CN120)</f>
        <v>-2170</v>
      </c>
      <c r="BV120" s="8">
        <f>SUM($BB120,$AI120:AX120)-SUM($BY120:CO120)</f>
        <v>-2710</v>
      </c>
      <c r="BW120" s="8">
        <f>SUM($BB120,$AI120:AY120)-SUM($BY120:CP120)</f>
        <v>-3210</v>
      </c>
      <c r="BX120" s="8">
        <f>SUM($BB120,$AI120:AZ120)-SUM($BY120:CQ120)</f>
        <v>-3210</v>
      </c>
      <c r="BY120" s="8" cm="1">
        <f t="array" ref="BY120">SUMPRODUCT(TRANSPOSE(BY$2:BY$15),$I120:$V120)</f>
        <v>0</v>
      </c>
      <c r="BZ120" s="8" cm="1">
        <f t="array" ref="BZ120">SUMPRODUCT(TRANSPOSE(BZ$2:BZ$15),$I120:$V120)</f>
        <v>0</v>
      </c>
      <c r="CA120" s="8" cm="1">
        <f t="array" ref="CA120">SUMPRODUCT(TRANSPOSE(CA$2:CA$15),$I120:$V120)</f>
        <v>0</v>
      </c>
      <c r="CB120" s="8" cm="1">
        <f t="array" ref="CB120">SUMPRODUCT(TRANSPOSE(CB$2:CB$15),$I120:$V120)</f>
        <v>0</v>
      </c>
      <c r="CC120" s="8" cm="1">
        <f t="array" ref="CC120">SUMPRODUCT(TRANSPOSE(CC$2:CC$15),$I120:$V120)</f>
        <v>0</v>
      </c>
      <c r="CD120" s="8" cm="1">
        <f t="array" ref="CD120">SUMPRODUCT(TRANSPOSE(CD$2:CD$15),$I120:$V120)</f>
        <v>0</v>
      </c>
      <c r="CE120" s="8" cm="1">
        <f t="array" ref="CE120">SUMPRODUCT(TRANSPOSE(CE$2:CE$15),$I120:$V120)</f>
        <v>0</v>
      </c>
      <c r="CF120" s="8" cm="1">
        <f t="array" ref="CF120">SUMPRODUCT(TRANSPOSE(CF$2:CF$15),$I120:$V120)</f>
        <v>0</v>
      </c>
      <c r="CG120" s="8" cm="1">
        <f t="array" ref="CG120">SUMPRODUCT(TRANSPOSE(CG$2:CG$15),$I120:$V120)</f>
        <v>0</v>
      </c>
      <c r="CH120" s="8" cm="1">
        <f t="array" ref="CH120">SUMPRODUCT(TRANSPOSE(CH$2:CH$15),$I120:$V120)</f>
        <v>0</v>
      </c>
      <c r="CI120" s="8" cm="1">
        <f t="array" ref="CI120">SUMPRODUCT(TRANSPOSE(CI$2:CI$15),$I120:$V120)</f>
        <v>200</v>
      </c>
      <c r="CJ120" s="8" cm="1">
        <f t="array" ref="CJ120">SUMPRODUCT(TRANSPOSE(CJ$2:CJ$15),$I120:$V120)</f>
        <v>300</v>
      </c>
      <c r="CK120" s="8" cm="1">
        <f t="array" ref="CK120">SUMPRODUCT(TRANSPOSE(CK$2:CK$15),$I120:$V120)</f>
        <v>500</v>
      </c>
      <c r="CL120" s="8" cm="1">
        <f t="array" ref="CL120">SUMPRODUCT(TRANSPOSE(CL$2:CL$15),$I120:$V120)</f>
        <v>420</v>
      </c>
      <c r="CM120" s="8" cm="1">
        <f t="array" ref="CM120">SUMPRODUCT(TRANSPOSE(CM$2:CM$15),$I120:$V120)</f>
        <v>400</v>
      </c>
      <c r="CN120" s="8" cm="1">
        <f t="array" ref="CN120">SUMPRODUCT(TRANSPOSE(CN$2:CN$15),$I120:$V120)</f>
        <v>350</v>
      </c>
      <c r="CO120" s="8" cm="1">
        <f t="array" ref="CO120">SUMPRODUCT(TRANSPOSE(CO$2:CO$15),$I120:$V120)</f>
        <v>540</v>
      </c>
      <c r="CP120" s="8" cm="1">
        <f t="array" ref="CP120">SUMPRODUCT(TRANSPOSE(CP$2:CP$15),$I120:$V120)</f>
        <v>500</v>
      </c>
      <c r="CQ120" s="8" cm="1">
        <f t="array" ref="CQ120">SUMPRODUCT(TRANSPOSE(CQ$2:CQ$15),$I120:$V120)</f>
        <v>0</v>
      </c>
    </row>
    <row r="121" spans="1:95" x14ac:dyDescent="0.25">
      <c r="A121" s="1">
        <v>102</v>
      </c>
      <c r="B121" s="11" t="s">
        <v>340</v>
      </c>
      <c r="C121" s="1" t="s">
        <v>49</v>
      </c>
      <c r="D121" s="1">
        <v>403834699</v>
      </c>
      <c r="E121" s="6" t="str">
        <f>VLOOKUP(D121,FFF!$A$2:$B$674,2,)</f>
        <v>FFF300776</v>
      </c>
      <c r="F121" s="1" t="s">
        <v>341</v>
      </c>
      <c r="G121" s="1" t="s">
        <v>35</v>
      </c>
      <c r="H121" s="1">
        <v>4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4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f>SUMPRODUCT(I121:V121,$I$13:$V$13)</f>
        <v>6640</v>
      </c>
      <c r="X121" s="6">
        <f t="shared" si="3"/>
        <v>24</v>
      </c>
      <c r="Y121" s="1" t="str">
        <f>VLOOKUP(D121,[1]PARTS!$A$1:$G$65536,7,0)</f>
        <v>AVX</v>
      </c>
      <c r="Z121" s="1">
        <v>500</v>
      </c>
      <c r="AA121" s="1">
        <v>500</v>
      </c>
      <c r="AB121" s="1">
        <f>CEILING(W121,Z121)</f>
        <v>7000</v>
      </c>
      <c r="AC121" s="1">
        <v>6</v>
      </c>
      <c r="AD121" s="1" t="s">
        <v>85</v>
      </c>
      <c r="AE121" s="1" t="s">
        <v>86</v>
      </c>
      <c r="AF121" s="19" t="s">
        <v>87</v>
      </c>
      <c r="AG121" s="1" t="s">
        <v>88</v>
      </c>
      <c r="BG121" s="8">
        <f>SUM($BB121,$AI121:AI121)-SUM($BY121:BZ121)</f>
        <v>0</v>
      </c>
      <c r="BH121" s="8">
        <f>SUM($BB121,$AI121:AJ121)-SUM($BY121:CA121)</f>
        <v>0</v>
      </c>
      <c r="BI121" s="8">
        <f>SUM($BB121,$AI121:AK121)-SUM($BY121:CB121)</f>
        <v>0</v>
      </c>
      <c r="BJ121" s="8">
        <f>SUM($BB121,$AI121:AL121)-SUM($BY121:CC121)</f>
        <v>0</v>
      </c>
      <c r="BK121" s="8">
        <f>SUM($BB121,$AI121:AM121)-SUM($BY121:CD121)</f>
        <v>0</v>
      </c>
      <c r="BL121" s="8">
        <f>SUM($BB121,$AI121:AN121)-SUM($BY121:CE121)</f>
        <v>0</v>
      </c>
      <c r="BM121" s="8">
        <f>SUM($BB121,$AI121:AO121)-SUM($BY121:CF121)</f>
        <v>0</v>
      </c>
      <c r="BN121" s="8">
        <f>SUM($BB121,$AI121:AP121)-SUM($BY121:CG121)</f>
        <v>-400</v>
      </c>
      <c r="BO121" s="8">
        <f>SUM($BB121,$AI121:AQ121)-SUM($BY121:CH121)</f>
        <v>-1000</v>
      </c>
      <c r="BP121" s="8">
        <f>SUM($BB121,$AI121:AR121)-SUM($BY121:CI121)</f>
        <v>-2000</v>
      </c>
      <c r="BQ121" s="8">
        <f>SUM($BB121,$AI121:AS121)-SUM($BY121:CJ121)</f>
        <v>-2800</v>
      </c>
      <c r="BR121" s="8">
        <f>SUM($BB121,$AI121:AT121)-SUM($BY121:CK121)</f>
        <v>-3600</v>
      </c>
      <c r="BS121" s="8">
        <f>SUM($BB121,$AI121:AU121)-SUM($BY121:CL121)</f>
        <v>-4400</v>
      </c>
      <c r="BT121" s="8">
        <f>SUM($BB121,$AI121:AV121)-SUM($BY121:CM121)</f>
        <v>-5600</v>
      </c>
      <c r="BU121" s="8">
        <f>SUM($BB121,$AI121:AW121)-SUM($BY121:CN121)</f>
        <v>-6640</v>
      </c>
      <c r="BV121" s="8">
        <f>SUM($BB121,$AI121:AX121)-SUM($BY121:CO121)</f>
        <v>-6640</v>
      </c>
      <c r="BW121" s="8">
        <f>SUM($BB121,$AI121:AY121)-SUM($BY121:CP121)</f>
        <v>-6640</v>
      </c>
      <c r="BX121" s="8">
        <f>SUM($BB121,$AI121:AZ121)-SUM($BY121:CQ121)</f>
        <v>-6640</v>
      </c>
      <c r="BY121" s="8" cm="1">
        <f t="array" ref="BY121">SUMPRODUCT(TRANSPOSE(BY$2:BY$15),$I121:$V121)</f>
        <v>0</v>
      </c>
      <c r="BZ121" s="8" cm="1">
        <f t="array" ref="BZ121">SUMPRODUCT(TRANSPOSE(BZ$2:BZ$15),$I121:$V121)</f>
        <v>0</v>
      </c>
      <c r="CA121" s="8" cm="1">
        <f t="array" ref="CA121">SUMPRODUCT(TRANSPOSE(CA$2:CA$15),$I121:$V121)</f>
        <v>0</v>
      </c>
      <c r="CB121" s="8" cm="1">
        <f t="array" ref="CB121">SUMPRODUCT(TRANSPOSE(CB$2:CB$15),$I121:$V121)</f>
        <v>0</v>
      </c>
      <c r="CC121" s="8" cm="1">
        <f t="array" ref="CC121">SUMPRODUCT(TRANSPOSE(CC$2:CC$15),$I121:$V121)</f>
        <v>0</v>
      </c>
      <c r="CD121" s="8" cm="1">
        <f t="array" ref="CD121">SUMPRODUCT(TRANSPOSE(CD$2:CD$15),$I121:$V121)</f>
        <v>0</v>
      </c>
      <c r="CE121" s="8" cm="1">
        <f t="array" ref="CE121">SUMPRODUCT(TRANSPOSE(CE$2:CE$15),$I121:$V121)</f>
        <v>0</v>
      </c>
      <c r="CF121" s="8" cm="1">
        <f t="array" ref="CF121">SUMPRODUCT(TRANSPOSE(CF$2:CF$15),$I121:$V121)</f>
        <v>0</v>
      </c>
      <c r="CG121" s="8" cm="1">
        <f t="array" ref="CG121">SUMPRODUCT(TRANSPOSE(CG$2:CG$15),$I121:$V121)</f>
        <v>400</v>
      </c>
      <c r="CH121" s="8" cm="1">
        <f t="array" ref="CH121">SUMPRODUCT(TRANSPOSE(CH$2:CH$15),$I121:$V121)</f>
        <v>600</v>
      </c>
      <c r="CI121" s="8" cm="1">
        <f t="array" ref="CI121">SUMPRODUCT(TRANSPOSE(CI$2:CI$15),$I121:$V121)</f>
        <v>1000</v>
      </c>
      <c r="CJ121" s="8" cm="1">
        <f t="array" ref="CJ121">SUMPRODUCT(TRANSPOSE(CJ$2:CJ$15),$I121:$V121)</f>
        <v>800</v>
      </c>
      <c r="CK121" s="8" cm="1">
        <f t="array" ref="CK121">SUMPRODUCT(TRANSPOSE(CK$2:CK$15),$I121:$V121)</f>
        <v>800</v>
      </c>
      <c r="CL121" s="8" cm="1">
        <f t="array" ref="CL121">SUMPRODUCT(TRANSPOSE(CL$2:CL$15),$I121:$V121)</f>
        <v>800</v>
      </c>
      <c r="CM121" s="8" cm="1">
        <f t="array" ref="CM121">SUMPRODUCT(TRANSPOSE(CM$2:CM$15),$I121:$V121)</f>
        <v>1200</v>
      </c>
      <c r="CN121" s="8" cm="1">
        <f t="array" ref="CN121">SUMPRODUCT(TRANSPOSE(CN$2:CN$15),$I121:$V121)</f>
        <v>1040</v>
      </c>
      <c r="CO121" s="8" cm="1">
        <f t="array" ref="CO121">SUMPRODUCT(TRANSPOSE(CO$2:CO$15),$I121:$V121)</f>
        <v>0</v>
      </c>
      <c r="CP121" s="8" cm="1">
        <f t="array" ref="CP121">SUMPRODUCT(TRANSPOSE(CP$2:CP$15),$I121:$V121)</f>
        <v>0</v>
      </c>
      <c r="CQ121" s="8" cm="1">
        <f t="array" ref="CQ121">SUMPRODUCT(TRANSPOSE(CQ$2:CQ$15),$I121:$V121)</f>
        <v>0</v>
      </c>
    </row>
    <row r="122" spans="1:95" x14ac:dyDescent="0.25">
      <c r="A122" s="1">
        <v>121</v>
      </c>
      <c r="B122" s="11" t="s">
        <v>342</v>
      </c>
      <c r="C122" s="1" t="s">
        <v>49</v>
      </c>
      <c r="D122" s="1">
        <v>400584360</v>
      </c>
      <c r="E122" s="6">
        <f>VLOOKUP(D122,FFF!$A$2:$B$674,2,)</f>
        <v>400856302</v>
      </c>
      <c r="F122" s="1" t="s">
        <v>343</v>
      </c>
      <c r="G122" s="1" t="s">
        <v>35</v>
      </c>
      <c r="H122" s="1">
        <v>34</v>
      </c>
      <c r="I122" s="1">
        <v>0</v>
      </c>
      <c r="J122" s="1">
        <v>0</v>
      </c>
      <c r="K122" s="1">
        <v>0</v>
      </c>
      <c r="L122" s="1">
        <v>2</v>
      </c>
      <c r="M122" s="1">
        <v>16</v>
      </c>
      <c r="N122" s="1">
        <v>0</v>
      </c>
      <c r="O122" s="1">
        <v>0</v>
      </c>
      <c r="P122" s="1">
        <v>0</v>
      </c>
      <c r="Q122" s="1">
        <v>2</v>
      </c>
      <c r="R122" s="1">
        <v>0</v>
      </c>
      <c r="S122" s="1">
        <v>0</v>
      </c>
      <c r="T122" s="1">
        <v>0</v>
      </c>
      <c r="U122" s="1">
        <v>0</v>
      </c>
      <c r="V122" s="1">
        <v>16</v>
      </c>
      <c r="W122" s="1">
        <f>SUMPRODUCT(I122:V122,$I$13:$V$13)</f>
        <v>57780</v>
      </c>
      <c r="X122" s="6">
        <f t="shared" si="3"/>
        <v>1.2240000000000002</v>
      </c>
      <c r="Y122" s="1" t="str">
        <f>VLOOKUP(D122,[1]PARTS!$A$1:$G$65536,7,0)</f>
        <v>KEMET ELECTRONICS S A</v>
      </c>
      <c r="Z122" s="1">
        <v>10000</v>
      </c>
      <c r="AA122" s="1">
        <f>VLOOKUP(D122,[2]pareto!$D$12:$AX$306,45,0)</f>
        <v>10000</v>
      </c>
      <c r="AB122" s="1">
        <f>CEILING(W122,Z122)</f>
        <v>60000</v>
      </c>
      <c r="AC122" s="1">
        <f>VLOOKUP(D122,[2]pareto!$D$12:$AX$306,47,0)</f>
        <v>3.4000000000000002E-2</v>
      </c>
      <c r="AD122" s="1" t="s">
        <v>119</v>
      </c>
      <c r="AE122" s="1" t="s">
        <v>243</v>
      </c>
      <c r="AF122" s="19" t="s">
        <v>244</v>
      </c>
      <c r="AG122" s="1" t="s">
        <v>245</v>
      </c>
      <c r="BG122" s="8">
        <f>SUM($BB122,$AI122:AI122)-SUM($BY122:BZ122)</f>
        <v>0</v>
      </c>
      <c r="BH122" s="8">
        <f>SUM($BB122,$AI122:AJ122)-SUM($BY122:CA122)</f>
        <v>0</v>
      </c>
      <c r="BI122" s="8">
        <f>SUM($BB122,$AI122:AK122)-SUM($BY122:CB122)</f>
        <v>0</v>
      </c>
      <c r="BJ122" s="8">
        <f>SUM($BB122,$AI122:AL122)-SUM($BY122:CC122)</f>
        <v>0</v>
      </c>
      <c r="BK122" s="8">
        <f>SUM($BB122,$AI122:AM122)-SUM($BY122:CD122)</f>
        <v>0</v>
      </c>
      <c r="BL122" s="8">
        <f>SUM($BB122,$AI122:AN122)-SUM($BY122:CE122)</f>
        <v>0</v>
      </c>
      <c r="BM122" s="8">
        <f>SUM($BB122,$AI122:AO122)-SUM($BY122:CF122)</f>
        <v>0</v>
      </c>
      <c r="BN122" s="8">
        <f>SUM($BB122,$AI122:AP122)-SUM($BY122:CG122)</f>
        <v>-2000</v>
      </c>
      <c r="BO122" s="8">
        <f>SUM($BB122,$AI122:AQ122)-SUM($BY122:CH122)</f>
        <v>-6600</v>
      </c>
      <c r="BP122" s="8">
        <f>SUM($BB122,$AI122:AR122)-SUM($BY122:CI122)</f>
        <v>-14000</v>
      </c>
      <c r="BQ122" s="8">
        <f>SUM($BB122,$AI122:AS122)-SUM($BY122:CJ122)</f>
        <v>-22360</v>
      </c>
      <c r="BR122" s="8">
        <f>SUM($BB122,$AI122:AT122)-SUM($BY122:CK122)</f>
        <v>-29560</v>
      </c>
      <c r="BS122" s="8">
        <f>SUM($BB122,$AI122:AU122)-SUM($BY122:CL122)</f>
        <v>-35860</v>
      </c>
      <c r="BT122" s="8">
        <f>SUM($BB122,$AI122:AV122)-SUM($BY122:CM122)</f>
        <v>-43980</v>
      </c>
      <c r="BU122" s="8">
        <f>SUM($BB122,$AI122:AW122)-SUM($BY122:CN122)</f>
        <v>-53620</v>
      </c>
      <c r="BV122" s="8">
        <f>SUM($BB122,$AI122:AX122)-SUM($BY122:CO122)</f>
        <v>-57780</v>
      </c>
      <c r="BW122" s="8">
        <f>SUM($BB122,$AI122:AY122)-SUM($BY122:CP122)</f>
        <v>-57780</v>
      </c>
      <c r="BX122" s="8">
        <f>SUM($BB122,$AI122:AZ122)-SUM($BY122:CQ122)</f>
        <v>-57780</v>
      </c>
      <c r="BY122" s="8" cm="1">
        <f t="array" ref="BY122">SUMPRODUCT(TRANSPOSE(BY$2:BY$15),$I122:$V122)</f>
        <v>0</v>
      </c>
      <c r="BZ122" s="8" cm="1">
        <f t="array" ref="BZ122">SUMPRODUCT(TRANSPOSE(BZ$2:BZ$15),$I122:$V122)</f>
        <v>0</v>
      </c>
      <c r="CA122" s="8" cm="1">
        <f t="array" ref="CA122">SUMPRODUCT(TRANSPOSE(CA$2:CA$15),$I122:$V122)</f>
        <v>0</v>
      </c>
      <c r="CB122" s="8" cm="1">
        <f t="array" ref="CB122">SUMPRODUCT(TRANSPOSE(CB$2:CB$15),$I122:$V122)</f>
        <v>0</v>
      </c>
      <c r="CC122" s="8" cm="1">
        <f t="array" ref="CC122">SUMPRODUCT(TRANSPOSE(CC$2:CC$15),$I122:$V122)</f>
        <v>0</v>
      </c>
      <c r="CD122" s="8" cm="1">
        <f t="array" ref="CD122">SUMPRODUCT(TRANSPOSE(CD$2:CD$15),$I122:$V122)</f>
        <v>0</v>
      </c>
      <c r="CE122" s="8" cm="1">
        <f t="array" ref="CE122">SUMPRODUCT(TRANSPOSE(CE$2:CE$15),$I122:$V122)</f>
        <v>0</v>
      </c>
      <c r="CF122" s="8" cm="1">
        <f t="array" ref="CF122">SUMPRODUCT(TRANSPOSE(CF$2:CF$15),$I122:$V122)</f>
        <v>0</v>
      </c>
      <c r="CG122" s="8" cm="1">
        <f t="array" ref="CG122">SUMPRODUCT(TRANSPOSE(CG$2:CG$15),$I122:$V122)</f>
        <v>2000</v>
      </c>
      <c r="CH122" s="8" cm="1">
        <f t="array" ref="CH122">SUMPRODUCT(TRANSPOSE(CH$2:CH$15),$I122:$V122)</f>
        <v>4600</v>
      </c>
      <c r="CI122" s="8" cm="1">
        <f t="array" ref="CI122">SUMPRODUCT(TRANSPOSE(CI$2:CI$15),$I122:$V122)</f>
        <v>7400</v>
      </c>
      <c r="CJ122" s="8" cm="1">
        <f t="array" ref="CJ122">SUMPRODUCT(TRANSPOSE(CJ$2:CJ$15),$I122:$V122)</f>
        <v>8360</v>
      </c>
      <c r="CK122" s="8" cm="1">
        <f t="array" ref="CK122">SUMPRODUCT(TRANSPOSE(CK$2:CK$15),$I122:$V122)</f>
        <v>7200</v>
      </c>
      <c r="CL122" s="8" cm="1">
        <f t="array" ref="CL122">SUMPRODUCT(TRANSPOSE(CL$2:CL$15),$I122:$V122)</f>
        <v>6300</v>
      </c>
      <c r="CM122" s="8" cm="1">
        <f t="array" ref="CM122">SUMPRODUCT(TRANSPOSE(CM$2:CM$15),$I122:$V122)</f>
        <v>8120</v>
      </c>
      <c r="CN122" s="8" cm="1">
        <f t="array" ref="CN122">SUMPRODUCT(TRANSPOSE(CN$2:CN$15),$I122:$V122)</f>
        <v>9640</v>
      </c>
      <c r="CO122" s="8" cm="1">
        <f t="array" ref="CO122">SUMPRODUCT(TRANSPOSE(CO$2:CO$15),$I122:$V122)</f>
        <v>4160</v>
      </c>
      <c r="CP122" s="8" cm="1">
        <f t="array" ref="CP122">SUMPRODUCT(TRANSPOSE(CP$2:CP$15),$I122:$V122)</f>
        <v>0</v>
      </c>
      <c r="CQ122" s="8" cm="1">
        <f t="array" ref="CQ122">SUMPRODUCT(TRANSPOSE(CQ$2:CQ$15),$I122:$V122)</f>
        <v>0</v>
      </c>
    </row>
    <row r="123" spans="1:95" x14ac:dyDescent="0.25">
      <c r="A123" s="1">
        <v>226</v>
      </c>
      <c r="B123" s="11" t="s">
        <v>344</v>
      </c>
      <c r="C123" s="1" t="s">
        <v>49</v>
      </c>
      <c r="D123" s="1">
        <v>411048244</v>
      </c>
      <c r="E123" s="6"/>
      <c r="F123" s="1" t="s">
        <v>345</v>
      </c>
      <c r="G123" s="1" t="s">
        <v>35</v>
      </c>
      <c r="H123" s="1">
        <v>1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1</v>
      </c>
      <c r="T123" s="1">
        <v>0</v>
      </c>
      <c r="U123" s="1">
        <v>0</v>
      </c>
      <c r="V123" s="1">
        <v>0</v>
      </c>
      <c r="W123" s="1">
        <f>SUMPRODUCT(I123:V123,$I$13:$V$13)</f>
        <v>1660</v>
      </c>
      <c r="X123" s="6">
        <f t="shared" si="3"/>
        <v>1.1100000000000001</v>
      </c>
      <c r="Y123" s="1" t="str">
        <f>VLOOKUP(D123,[1]PARTS!$A$1:$G$65536,7,0)</f>
        <v>INFINEON TECHNOLOGIES AG</v>
      </c>
      <c r="Z123" s="1">
        <f>VLOOKUP(D123,[2]pareto!$D$12:$AX$306,44,0)</f>
        <v>1000</v>
      </c>
      <c r="AA123" s="1">
        <v>1640</v>
      </c>
      <c r="AB123" s="1">
        <f>CEILING(W123,Z123)</f>
        <v>2000</v>
      </c>
      <c r="AC123" s="1">
        <f>VLOOKUP(D123,[2]pareto!$D$12:$AX$306,47,0)</f>
        <v>1.1100000000000001</v>
      </c>
      <c r="AD123" s="1" t="str">
        <f>VLOOKUP(D123,[2]pareto!$D$11:$BD$306,50,0)</f>
        <v>Future</v>
      </c>
      <c r="AE123" s="1" t="s">
        <v>346</v>
      </c>
      <c r="AF123" s="12" t="s">
        <v>347</v>
      </c>
      <c r="AG123" s="1" t="e">
        <f>VLOOKUP(D123,[2]pareto!$D$11:$BD$306,51)</f>
        <v>#REF!</v>
      </c>
      <c r="BG123" s="8">
        <f>SUM($BB123,$AI123:AI123)-SUM($BY123:BZ123)</f>
        <v>0</v>
      </c>
      <c r="BH123" s="8">
        <f>SUM($BB123,$AI123:AJ123)-SUM($BY123:CA123)</f>
        <v>0</v>
      </c>
      <c r="BI123" s="8">
        <f>SUM($BB123,$AI123:AK123)-SUM($BY123:CB123)</f>
        <v>0</v>
      </c>
      <c r="BJ123" s="8">
        <f>SUM($BB123,$AI123:AL123)-SUM($BY123:CC123)</f>
        <v>0</v>
      </c>
      <c r="BK123" s="8">
        <f>SUM($BB123,$AI123:AM123)-SUM($BY123:CD123)</f>
        <v>0</v>
      </c>
      <c r="BL123" s="8">
        <f>SUM($BB123,$AI123:AN123)-SUM($BY123:CE123)</f>
        <v>0</v>
      </c>
      <c r="BM123" s="8">
        <f>SUM($BB123,$AI123:AO123)-SUM($BY123:CF123)</f>
        <v>0</v>
      </c>
      <c r="BN123" s="8">
        <f>SUM($BB123,$AI123:AP123)-SUM($BY123:CG123)</f>
        <v>-100</v>
      </c>
      <c r="BO123" s="8">
        <f>SUM($BB123,$AI123:AQ123)-SUM($BY123:CH123)</f>
        <v>-250</v>
      </c>
      <c r="BP123" s="8">
        <f>SUM($BB123,$AI123:AR123)-SUM($BY123:CI123)</f>
        <v>-500</v>
      </c>
      <c r="BQ123" s="8">
        <f>SUM($BB123,$AI123:AS123)-SUM($BY123:CJ123)</f>
        <v>-700</v>
      </c>
      <c r="BR123" s="8">
        <f>SUM($BB123,$AI123:AT123)-SUM($BY123:CK123)</f>
        <v>-900</v>
      </c>
      <c r="BS123" s="8">
        <f>SUM($BB123,$AI123:AU123)-SUM($BY123:CL123)</f>
        <v>-1100</v>
      </c>
      <c r="BT123" s="8">
        <f>SUM($BB123,$AI123:AV123)-SUM($BY123:CM123)</f>
        <v>-1400</v>
      </c>
      <c r="BU123" s="8">
        <f>SUM($BB123,$AI123:AW123)-SUM($BY123:CN123)</f>
        <v>-1660</v>
      </c>
      <c r="BV123" s="8">
        <f>SUM($BB123,$AI123:AX123)-SUM($BY123:CO123)</f>
        <v>-1660</v>
      </c>
      <c r="BW123" s="8">
        <f>SUM($BB123,$AI123:AY123)-SUM($BY123:CP123)</f>
        <v>-1660</v>
      </c>
      <c r="BX123" s="8">
        <f>SUM($BB123,$AI123:AZ123)-SUM($BY123:CQ123)</f>
        <v>-1660</v>
      </c>
      <c r="BY123" s="8" cm="1">
        <f t="array" ref="BY123">SUMPRODUCT(TRANSPOSE(BY$2:BY$15),$I123:$V123)</f>
        <v>0</v>
      </c>
      <c r="BZ123" s="8" cm="1">
        <f t="array" ref="BZ123">SUMPRODUCT(TRANSPOSE(BZ$2:BZ$15),$I123:$V123)</f>
        <v>0</v>
      </c>
      <c r="CA123" s="8" cm="1">
        <f t="array" ref="CA123">SUMPRODUCT(TRANSPOSE(CA$2:CA$15),$I123:$V123)</f>
        <v>0</v>
      </c>
      <c r="CB123" s="8" cm="1">
        <f t="array" ref="CB123">SUMPRODUCT(TRANSPOSE(CB$2:CB$15),$I123:$V123)</f>
        <v>0</v>
      </c>
      <c r="CC123" s="8" cm="1">
        <f t="array" ref="CC123">SUMPRODUCT(TRANSPOSE(CC$2:CC$15),$I123:$V123)</f>
        <v>0</v>
      </c>
      <c r="CD123" s="8" cm="1">
        <f t="array" ref="CD123">SUMPRODUCT(TRANSPOSE(CD$2:CD$15),$I123:$V123)</f>
        <v>0</v>
      </c>
      <c r="CE123" s="8" cm="1">
        <f t="array" ref="CE123">SUMPRODUCT(TRANSPOSE(CE$2:CE$15),$I123:$V123)</f>
        <v>0</v>
      </c>
      <c r="CF123" s="8" cm="1">
        <f t="array" ref="CF123">SUMPRODUCT(TRANSPOSE(CF$2:CF$15),$I123:$V123)</f>
        <v>0</v>
      </c>
      <c r="CG123" s="8" cm="1">
        <f t="array" ref="CG123">SUMPRODUCT(TRANSPOSE(CG$2:CG$15),$I123:$V123)</f>
        <v>100</v>
      </c>
      <c r="CH123" s="8" cm="1">
        <f t="array" ref="CH123">SUMPRODUCT(TRANSPOSE(CH$2:CH$15),$I123:$V123)</f>
        <v>150</v>
      </c>
      <c r="CI123" s="8" cm="1">
        <f t="array" ref="CI123">SUMPRODUCT(TRANSPOSE(CI$2:CI$15),$I123:$V123)</f>
        <v>250</v>
      </c>
      <c r="CJ123" s="8" cm="1">
        <f t="array" ref="CJ123">SUMPRODUCT(TRANSPOSE(CJ$2:CJ$15),$I123:$V123)</f>
        <v>200</v>
      </c>
      <c r="CK123" s="8" cm="1">
        <f t="array" ref="CK123">SUMPRODUCT(TRANSPOSE(CK$2:CK$15),$I123:$V123)</f>
        <v>200</v>
      </c>
      <c r="CL123" s="8" cm="1">
        <f t="array" ref="CL123">SUMPRODUCT(TRANSPOSE(CL$2:CL$15),$I123:$V123)</f>
        <v>200</v>
      </c>
      <c r="CM123" s="8" cm="1">
        <f t="array" ref="CM123">SUMPRODUCT(TRANSPOSE(CM$2:CM$15),$I123:$V123)</f>
        <v>300</v>
      </c>
      <c r="CN123" s="8" cm="1">
        <f t="array" ref="CN123">SUMPRODUCT(TRANSPOSE(CN$2:CN$15),$I123:$V123)</f>
        <v>260</v>
      </c>
      <c r="CO123" s="8" cm="1">
        <f t="array" ref="CO123">SUMPRODUCT(TRANSPOSE(CO$2:CO$15),$I123:$V123)</f>
        <v>0</v>
      </c>
      <c r="CP123" s="8" cm="1">
        <f t="array" ref="CP123">SUMPRODUCT(TRANSPOSE(CP$2:CP$15),$I123:$V123)</f>
        <v>0</v>
      </c>
      <c r="CQ123" s="8" cm="1">
        <f t="array" ref="CQ123">SUMPRODUCT(TRANSPOSE(CQ$2:CQ$15),$I123:$V123)</f>
        <v>0</v>
      </c>
    </row>
    <row r="124" spans="1:95" x14ac:dyDescent="0.25">
      <c r="A124" s="1">
        <v>275</v>
      </c>
      <c r="B124" s="11" t="s">
        <v>348</v>
      </c>
      <c r="C124" s="1" t="s">
        <v>49</v>
      </c>
      <c r="D124" s="1">
        <v>409017834</v>
      </c>
      <c r="E124" s="6"/>
      <c r="F124" s="1" t="s">
        <v>349</v>
      </c>
      <c r="G124" s="1" t="s">
        <v>35</v>
      </c>
      <c r="H124" s="1">
        <v>6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6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f>SUMPRODUCT(I124:V124,$I$13:$V$13)</f>
        <v>9960</v>
      </c>
      <c r="X124" s="6">
        <f t="shared" si="3"/>
        <v>2.976</v>
      </c>
      <c r="Y124" s="1" t="str">
        <f>VLOOKUP(D124,[1]PARTS!$A$1:$G$65536,7,0)</f>
        <v>MURATA MANUFACTURING CO. LTD</v>
      </c>
      <c r="Z124" s="1">
        <f>VLOOKUP(D124,[2]pareto!$D$12:$AX$306,44,0)</f>
        <v>3000</v>
      </c>
      <c r="AA124" s="1">
        <f>VLOOKUP(D124,[2]pareto!$D$12:$AX$306,45,0)</f>
        <v>3000</v>
      </c>
      <c r="AB124" s="1">
        <f>CEILING(W124,Z124)</f>
        <v>12000</v>
      </c>
      <c r="AC124" s="1">
        <f>VLOOKUP(D124,[2]pareto!$D$12:$AX$306,47,0)</f>
        <v>0.496</v>
      </c>
      <c r="AD124" s="1" t="s">
        <v>85</v>
      </c>
      <c r="AE124" s="1" t="s">
        <v>86</v>
      </c>
      <c r="AF124" s="19" t="s">
        <v>87</v>
      </c>
      <c r="AG124" s="1" t="s">
        <v>88</v>
      </c>
      <c r="BG124" s="8">
        <f>SUM($BB124,$AI124:AI124)-SUM($BY124:BZ124)</f>
        <v>0</v>
      </c>
      <c r="BH124" s="8">
        <f>SUM($BB124,$AI124:AJ124)-SUM($BY124:CA124)</f>
        <v>0</v>
      </c>
      <c r="BI124" s="8">
        <f>SUM($BB124,$AI124:AK124)-SUM($BY124:CB124)</f>
        <v>0</v>
      </c>
      <c r="BJ124" s="8">
        <f>SUM($BB124,$AI124:AL124)-SUM($BY124:CC124)</f>
        <v>0</v>
      </c>
      <c r="BK124" s="8">
        <f>SUM($BB124,$AI124:AM124)-SUM($BY124:CD124)</f>
        <v>0</v>
      </c>
      <c r="BL124" s="8">
        <f>SUM($BB124,$AI124:AN124)-SUM($BY124:CE124)</f>
        <v>0</v>
      </c>
      <c r="BM124" s="8">
        <f>SUM($BB124,$AI124:AO124)-SUM($BY124:CF124)</f>
        <v>0</v>
      </c>
      <c r="BN124" s="8">
        <f>SUM($BB124,$AI124:AP124)-SUM($BY124:CG124)</f>
        <v>-600</v>
      </c>
      <c r="BO124" s="8">
        <f>SUM($BB124,$AI124:AQ124)-SUM($BY124:CH124)</f>
        <v>-1500</v>
      </c>
      <c r="BP124" s="8">
        <f>SUM($BB124,$AI124:AR124)-SUM($BY124:CI124)</f>
        <v>-3000</v>
      </c>
      <c r="BQ124" s="8">
        <f>SUM($BB124,$AI124:AS124)-SUM($BY124:CJ124)</f>
        <v>-4200</v>
      </c>
      <c r="BR124" s="8">
        <f>SUM($BB124,$AI124:AT124)-SUM($BY124:CK124)</f>
        <v>-5400</v>
      </c>
      <c r="BS124" s="8">
        <f>SUM($BB124,$AI124:AU124)-SUM($BY124:CL124)</f>
        <v>-6600</v>
      </c>
      <c r="BT124" s="8">
        <f>SUM($BB124,$AI124:AV124)-SUM($BY124:CM124)</f>
        <v>-8400</v>
      </c>
      <c r="BU124" s="8">
        <f>SUM($BB124,$AI124:AW124)-SUM($BY124:CN124)</f>
        <v>-9960</v>
      </c>
      <c r="BV124" s="8">
        <f>SUM($BB124,$AI124:AX124)-SUM($BY124:CO124)</f>
        <v>-9960</v>
      </c>
      <c r="BW124" s="8">
        <f>SUM($BB124,$AI124:AY124)-SUM($BY124:CP124)</f>
        <v>-9960</v>
      </c>
      <c r="BX124" s="8">
        <f>SUM($BB124,$AI124:AZ124)-SUM($BY124:CQ124)</f>
        <v>-9960</v>
      </c>
      <c r="BY124" s="8" cm="1">
        <f t="array" ref="BY124">SUMPRODUCT(TRANSPOSE(BY$2:BY$15),$I124:$V124)</f>
        <v>0</v>
      </c>
      <c r="BZ124" s="8" cm="1">
        <f t="array" ref="BZ124">SUMPRODUCT(TRANSPOSE(BZ$2:BZ$15),$I124:$V124)</f>
        <v>0</v>
      </c>
      <c r="CA124" s="8" cm="1">
        <f t="array" ref="CA124">SUMPRODUCT(TRANSPOSE(CA$2:CA$15),$I124:$V124)</f>
        <v>0</v>
      </c>
      <c r="CB124" s="8" cm="1">
        <f t="array" ref="CB124">SUMPRODUCT(TRANSPOSE(CB$2:CB$15),$I124:$V124)</f>
        <v>0</v>
      </c>
      <c r="CC124" s="8" cm="1">
        <f t="array" ref="CC124">SUMPRODUCT(TRANSPOSE(CC$2:CC$15),$I124:$V124)</f>
        <v>0</v>
      </c>
      <c r="CD124" s="8" cm="1">
        <f t="array" ref="CD124">SUMPRODUCT(TRANSPOSE(CD$2:CD$15),$I124:$V124)</f>
        <v>0</v>
      </c>
      <c r="CE124" s="8" cm="1">
        <f t="array" ref="CE124">SUMPRODUCT(TRANSPOSE(CE$2:CE$15),$I124:$V124)</f>
        <v>0</v>
      </c>
      <c r="CF124" s="8" cm="1">
        <f t="array" ref="CF124">SUMPRODUCT(TRANSPOSE(CF$2:CF$15),$I124:$V124)</f>
        <v>0</v>
      </c>
      <c r="CG124" s="8" cm="1">
        <f t="array" ref="CG124">SUMPRODUCT(TRANSPOSE(CG$2:CG$15),$I124:$V124)</f>
        <v>600</v>
      </c>
      <c r="CH124" s="8" cm="1">
        <f t="array" ref="CH124">SUMPRODUCT(TRANSPOSE(CH$2:CH$15),$I124:$V124)</f>
        <v>900</v>
      </c>
      <c r="CI124" s="8" cm="1">
        <f t="array" ref="CI124">SUMPRODUCT(TRANSPOSE(CI$2:CI$15),$I124:$V124)</f>
        <v>1500</v>
      </c>
      <c r="CJ124" s="8" cm="1">
        <f t="array" ref="CJ124">SUMPRODUCT(TRANSPOSE(CJ$2:CJ$15),$I124:$V124)</f>
        <v>1200</v>
      </c>
      <c r="CK124" s="8" cm="1">
        <f t="array" ref="CK124">SUMPRODUCT(TRANSPOSE(CK$2:CK$15),$I124:$V124)</f>
        <v>1200</v>
      </c>
      <c r="CL124" s="8" cm="1">
        <f t="array" ref="CL124">SUMPRODUCT(TRANSPOSE(CL$2:CL$15),$I124:$V124)</f>
        <v>1200</v>
      </c>
      <c r="CM124" s="8" cm="1">
        <f t="array" ref="CM124">SUMPRODUCT(TRANSPOSE(CM$2:CM$15),$I124:$V124)</f>
        <v>1800</v>
      </c>
      <c r="CN124" s="8" cm="1">
        <f t="array" ref="CN124">SUMPRODUCT(TRANSPOSE(CN$2:CN$15),$I124:$V124)</f>
        <v>1560</v>
      </c>
      <c r="CO124" s="8" cm="1">
        <f t="array" ref="CO124">SUMPRODUCT(TRANSPOSE(CO$2:CO$15),$I124:$V124)</f>
        <v>0</v>
      </c>
      <c r="CP124" s="8" cm="1">
        <f t="array" ref="CP124">SUMPRODUCT(TRANSPOSE(CP$2:CP$15),$I124:$V124)</f>
        <v>0</v>
      </c>
      <c r="CQ124" s="8" cm="1">
        <f t="array" ref="CQ124">SUMPRODUCT(TRANSPOSE(CQ$2:CQ$15),$I124:$V124)</f>
        <v>0</v>
      </c>
    </row>
    <row r="125" spans="1:95" x14ac:dyDescent="0.25">
      <c r="A125" s="1">
        <v>206</v>
      </c>
      <c r="B125" s="11" t="s">
        <v>350</v>
      </c>
      <c r="C125" s="1" t="s">
        <v>164</v>
      </c>
      <c r="D125" s="1">
        <v>400561082</v>
      </c>
      <c r="E125" s="6"/>
      <c r="F125" s="1" t="s">
        <v>351</v>
      </c>
      <c r="G125" s="1" t="s">
        <v>35</v>
      </c>
      <c r="H125" s="1">
        <v>4</v>
      </c>
      <c r="I125" s="1">
        <v>0</v>
      </c>
      <c r="J125" s="1">
        <v>0</v>
      </c>
      <c r="K125" s="1">
        <v>0</v>
      </c>
      <c r="L125" s="1">
        <v>0</v>
      </c>
      <c r="M125" s="1">
        <v>2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2</v>
      </c>
      <c r="W125" s="1">
        <f>SUMPRODUCT(I125:V125,$I$13:$V$13)</f>
        <v>6420</v>
      </c>
      <c r="X125" s="6">
        <f t="shared" si="3"/>
        <v>2.8288000000000002</v>
      </c>
      <c r="Y125" s="1" t="str">
        <f>VLOOKUP(D125,[1]PARTS!$A$1:$G$65536,7,0)</f>
        <v>TEXAS INSTRUMENTS INC</v>
      </c>
      <c r="Z125" s="1">
        <f>VLOOKUP(D125,[2]pareto!$D$12:$AX$306,44,0)</f>
        <v>2500</v>
      </c>
      <c r="AA125" s="1">
        <f>VLOOKUP(D125,[2]pareto!$D$12:$AX$306,45,0)</f>
        <v>2500</v>
      </c>
      <c r="AB125" s="1">
        <f>CEILING(W125,Z125)</f>
        <v>7500</v>
      </c>
      <c r="AC125" s="1">
        <v>0.70720000000000005</v>
      </c>
      <c r="AD125" s="1" t="s">
        <v>107</v>
      </c>
      <c r="AE125" s="1" t="s">
        <v>108</v>
      </c>
      <c r="AF125" s="12" t="s">
        <v>109</v>
      </c>
      <c r="AG125" s="1" t="s">
        <v>110</v>
      </c>
      <c r="BG125" s="8">
        <f>SUM($BB125,$AI125:AI125)-SUM($BY125:BZ125)</f>
        <v>0</v>
      </c>
      <c r="BH125" s="8">
        <f>SUM($BB125,$AI125:AJ125)-SUM($BY125:CA125)</f>
        <v>0</v>
      </c>
      <c r="BI125" s="8">
        <f>SUM($BB125,$AI125:AK125)-SUM($BY125:CB125)</f>
        <v>0</v>
      </c>
      <c r="BJ125" s="8">
        <f>SUM($BB125,$AI125:AL125)-SUM($BY125:CC125)</f>
        <v>0</v>
      </c>
      <c r="BK125" s="8">
        <f>SUM($BB125,$AI125:AM125)-SUM($BY125:CD125)</f>
        <v>0</v>
      </c>
      <c r="BL125" s="8">
        <f>SUM($BB125,$AI125:AN125)-SUM($BY125:CE125)</f>
        <v>0</v>
      </c>
      <c r="BM125" s="8">
        <f>SUM($BB125,$AI125:AO125)-SUM($BY125:CF125)</f>
        <v>0</v>
      </c>
      <c r="BN125" s="8">
        <f>SUM($BB125,$AI125:AP125)-SUM($BY125:CG125)</f>
        <v>-200</v>
      </c>
      <c r="BO125" s="8">
        <f>SUM($BB125,$AI125:AQ125)-SUM($BY125:CH125)</f>
        <v>-700</v>
      </c>
      <c r="BP125" s="8">
        <f>SUM($BB125,$AI125:AR125)-SUM($BY125:CI125)</f>
        <v>-1500</v>
      </c>
      <c r="BQ125" s="8">
        <f>SUM($BB125,$AI125:AS125)-SUM($BY125:CJ125)</f>
        <v>-2440</v>
      </c>
      <c r="BR125" s="8">
        <f>SUM($BB125,$AI125:AT125)-SUM($BY125:CK125)</f>
        <v>-3240</v>
      </c>
      <c r="BS125" s="8">
        <f>SUM($BB125,$AI125:AU125)-SUM($BY125:CL125)</f>
        <v>-3940</v>
      </c>
      <c r="BT125" s="8">
        <f>SUM($BB125,$AI125:AV125)-SUM($BY125:CM125)</f>
        <v>-4820</v>
      </c>
      <c r="BU125" s="8">
        <f>SUM($BB125,$AI125:AW125)-SUM($BY125:CN125)</f>
        <v>-5900</v>
      </c>
      <c r="BV125" s="8">
        <f>SUM($BB125,$AI125:AX125)-SUM($BY125:CO125)</f>
        <v>-6420</v>
      </c>
      <c r="BW125" s="8">
        <f>SUM($BB125,$AI125:AY125)-SUM($BY125:CP125)</f>
        <v>-6420</v>
      </c>
      <c r="BX125" s="8">
        <f>SUM($BB125,$AI125:AZ125)-SUM($BY125:CQ125)</f>
        <v>-6420</v>
      </c>
      <c r="BY125" s="8" cm="1">
        <f t="array" ref="BY125">SUMPRODUCT(TRANSPOSE(BY$2:BY$15),$I125:$V125)</f>
        <v>0</v>
      </c>
      <c r="BZ125" s="8" cm="1">
        <f t="array" ref="BZ125">SUMPRODUCT(TRANSPOSE(BZ$2:BZ$15),$I125:$V125)</f>
        <v>0</v>
      </c>
      <c r="CA125" s="8" cm="1">
        <f t="array" ref="CA125">SUMPRODUCT(TRANSPOSE(CA$2:CA$15),$I125:$V125)</f>
        <v>0</v>
      </c>
      <c r="CB125" s="8" cm="1">
        <f t="array" ref="CB125">SUMPRODUCT(TRANSPOSE(CB$2:CB$15),$I125:$V125)</f>
        <v>0</v>
      </c>
      <c r="CC125" s="8" cm="1">
        <f t="array" ref="CC125">SUMPRODUCT(TRANSPOSE(CC$2:CC$15),$I125:$V125)</f>
        <v>0</v>
      </c>
      <c r="CD125" s="8" cm="1">
        <f t="array" ref="CD125">SUMPRODUCT(TRANSPOSE(CD$2:CD$15),$I125:$V125)</f>
        <v>0</v>
      </c>
      <c r="CE125" s="8" cm="1">
        <f t="array" ref="CE125">SUMPRODUCT(TRANSPOSE(CE$2:CE$15),$I125:$V125)</f>
        <v>0</v>
      </c>
      <c r="CF125" s="8" cm="1">
        <f t="array" ref="CF125">SUMPRODUCT(TRANSPOSE(CF$2:CF$15),$I125:$V125)</f>
        <v>0</v>
      </c>
      <c r="CG125" s="8" cm="1">
        <f t="array" ref="CG125">SUMPRODUCT(TRANSPOSE(CG$2:CG$15),$I125:$V125)</f>
        <v>200</v>
      </c>
      <c r="CH125" s="8" cm="1">
        <f t="array" ref="CH125">SUMPRODUCT(TRANSPOSE(CH$2:CH$15),$I125:$V125)</f>
        <v>500</v>
      </c>
      <c r="CI125" s="8" cm="1">
        <f t="array" ref="CI125">SUMPRODUCT(TRANSPOSE(CI$2:CI$15),$I125:$V125)</f>
        <v>800</v>
      </c>
      <c r="CJ125" s="8" cm="1">
        <f t="array" ref="CJ125">SUMPRODUCT(TRANSPOSE(CJ$2:CJ$15),$I125:$V125)</f>
        <v>940</v>
      </c>
      <c r="CK125" s="8" cm="1">
        <f t="array" ref="CK125">SUMPRODUCT(TRANSPOSE(CK$2:CK$15),$I125:$V125)</f>
        <v>800</v>
      </c>
      <c r="CL125" s="8" cm="1">
        <f t="array" ref="CL125">SUMPRODUCT(TRANSPOSE(CL$2:CL$15),$I125:$V125)</f>
        <v>700</v>
      </c>
      <c r="CM125" s="8" cm="1">
        <f t="array" ref="CM125">SUMPRODUCT(TRANSPOSE(CM$2:CM$15),$I125:$V125)</f>
        <v>880</v>
      </c>
      <c r="CN125" s="8" cm="1">
        <f t="array" ref="CN125">SUMPRODUCT(TRANSPOSE(CN$2:CN$15),$I125:$V125)</f>
        <v>1080</v>
      </c>
      <c r="CO125" s="8" cm="1">
        <f t="array" ref="CO125">SUMPRODUCT(TRANSPOSE(CO$2:CO$15),$I125:$V125)</f>
        <v>520</v>
      </c>
      <c r="CP125" s="8" cm="1">
        <f t="array" ref="CP125">SUMPRODUCT(TRANSPOSE(CP$2:CP$15),$I125:$V125)</f>
        <v>0</v>
      </c>
      <c r="CQ125" s="8" cm="1">
        <f t="array" ref="CQ125">SUMPRODUCT(TRANSPOSE(CQ$2:CQ$15),$I125:$V125)</f>
        <v>0</v>
      </c>
    </row>
    <row r="126" spans="1:95" x14ac:dyDescent="0.25">
      <c r="A126" s="1">
        <v>291</v>
      </c>
      <c r="B126" s="11" t="s">
        <v>352</v>
      </c>
      <c r="C126" s="1" t="s">
        <v>49</v>
      </c>
      <c r="D126" s="1">
        <v>401351649</v>
      </c>
      <c r="E126" s="6"/>
      <c r="F126" s="1" t="s">
        <v>353</v>
      </c>
      <c r="G126" s="1" t="s">
        <v>35</v>
      </c>
      <c r="H126" s="1">
        <v>9</v>
      </c>
      <c r="I126" s="1">
        <v>0</v>
      </c>
      <c r="J126" s="1">
        <v>0</v>
      </c>
      <c r="K126" s="1">
        <v>0</v>
      </c>
      <c r="L126" s="1">
        <v>0</v>
      </c>
      <c r="M126" s="1">
        <v>4</v>
      </c>
      <c r="N126" s="1">
        <v>0</v>
      </c>
      <c r="O126" s="1">
        <v>0</v>
      </c>
      <c r="P126" s="1">
        <v>0</v>
      </c>
      <c r="Q126" s="1">
        <v>1</v>
      </c>
      <c r="R126" s="1">
        <v>0</v>
      </c>
      <c r="S126" s="1">
        <v>0</v>
      </c>
      <c r="T126" s="1">
        <v>0</v>
      </c>
      <c r="U126" s="1">
        <v>0</v>
      </c>
      <c r="V126" s="1">
        <v>4</v>
      </c>
      <c r="W126" s="1">
        <f>SUMPRODUCT(I126:V126,$I$13:$V$13)</f>
        <v>14500</v>
      </c>
      <c r="X126" s="6">
        <f t="shared" si="3"/>
        <v>3.15</v>
      </c>
      <c r="Y126" s="1" t="str">
        <f>VLOOKUP(D126,[1]PARTS!$A$1:$G$65536,7,0)</f>
        <v>VISHAY - SILICONIX</v>
      </c>
      <c r="Z126" s="1">
        <v>2500</v>
      </c>
      <c r="AA126" s="1">
        <v>14320</v>
      </c>
      <c r="AB126" s="1">
        <f>CEILING(W126,Z126)</f>
        <v>15000</v>
      </c>
      <c r="AC126" s="1">
        <f>VLOOKUP(D126,[2]pareto!$D$12:$AX$306,47,0)</f>
        <v>0.35</v>
      </c>
      <c r="AD126" s="1" t="s">
        <v>250</v>
      </c>
      <c r="AE126" s="1" t="s">
        <v>251</v>
      </c>
      <c r="AF126" s="19" t="s">
        <v>252</v>
      </c>
      <c r="AG126" s="1" t="s">
        <v>253</v>
      </c>
      <c r="BG126" s="8">
        <f>SUM($BB126,$AI126:AI126)-SUM($BY126:BZ126)</f>
        <v>0</v>
      </c>
      <c r="BH126" s="8">
        <f>SUM($BB126,$AI126:AJ126)-SUM($BY126:CA126)</f>
        <v>0</v>
      </c>
      <c r="BI126" s="8">
        <f>SUM($BB126,$AI126:AK126)-SUM($BY126:CB126)</f>
        <v>0</v>
      </c>
      <c r="BJ126" s="8">
        <f>SUM($BB126,$AI126:AL126)-SUM($BY126:CC126)</f>
        <v>0</v>
      </c>
      <c r="BK126" s="8">
        <f>SUM($BB126,$AI126:AM126)-SUM($BY126:CD126)</f>
        <v>0</v>
      </c>
      <c r="BL126" s="8">
        <f>SUM($BB126,$AI126:AN126)-SUM($BY126:CE126)</f>
        <v>0</v>
      </c>
      <c r="BM126" s="8">
        <f>SUM($BB126,$AI126:AO126)-SUM($BY126:CF126)</f>
        <v>0</v>
      </c>
      <c r="BN126" s="8">
        <f>SUM($BB126,$AI126:AP126)-SUM($BY126:CG126)</f>
        <v>-500</v>
      </c>
      <c r="BO126" s="8">
        <f>SUM($BB126,$AI126:AQ126)-SUM($BY126:CH126)</f>
        <v>-1650</v>
      </c>
      <c r="BP126" s="8">
        <f>SUM($BB126,$AI126:AR126)-SUM($BY126:CI126)</f>
        <v>-3500</v>
      </c>
      <c r="BQ126" s="8">
        <f>SUM($BB126,$AI126:AS126)-SUM($BY126:CJ126)</f>
        <v>-5580</v>
      </c>
      <c r="BR126" s="8">
        <f>SUM($BB126,$AI126:AT126)-SUM($BY126:CK126)</f>
        <v>-7380</v>
      </c>
      <c r="BS126" s="8">
        <f>SUM($BB126,$AI126:AU126)-SUM($BY126:CL126)</f>
        <v>-8980</v>
      </c>
      <c r="BT126" s="8">
        <f>SUM($BB126,$AI126:AV126)-SUM($BY126:CM126)</f>
        <v>-11040</v>
      </c>
      <c r="BU126" s="8">
        <f>SUM($BB126,$AI126:AW126)-SUM($BY126:CN126)</f>
        <v>-13460</v>
      </c>
      <c r="BV126" s="8">
        <f>SUM($BB126,$AI126:AX126)-SUM($BY126:CO126)</f>
        <v>-14500</v>
      </c>
      <c r="BW126" s="8">
        <f>SUM($BB126,$AI126:AY126)-SUM($BY126:CP126)</f>
        <v>-14500</v>
      </c>
      <c r="BX126" s="8">
        <f>SUM($BB126,$AI126:AZ126)-SUM($BY126:CQ126)</f>
        <v>-14500</v>
      </c>
      <c r="BY126" s="8" cm="1">
        <f t="array" ref="BY126">SUMPRODUCT(TRANSPOSE(BY$2:BY$15),$I126:$V126)</f>
        <v>0</v>
      </c>
      <c r="BZ126" s="8" cm="1">
        <f t="array" ref="BZ126">SUMPRODUCT(TRANSPOSE(BZ$2:BZ$15),$I126:$V126)</f>
        <v>0</v>
      </c>
      <c r="CA126" s="8" cm="1">
        <f t="array" ref="CA126">SUMPRODUCT(TRANSPOSE(CA$2:CA$15),$I126:$V126)</f>
        <v>0</v>
      </c>
      <c r="CB126" s="8" cm="1">
        <f t="array" ref="CB126">SUMPRODUCT(TRANSPOSE(CB$2:CB$15),$I126:$V126)</f>
        <v>0</v>
      </c>
      <c r="CC126" s="8" cm="1">
        <f t="array" ref="CC126">SUMPRODUCT(TRANSPOSE(CC$2:CC$15),$I126:$V126)</f>
        <v>0</v>
      </c>
      <c r="CD126" s="8" cm="1">
        <f t="array" ref="CD126">SUMPRODUCT(TRANSPOSE(CD$2:CD$15),$I126:$V126)</f>
        <v>0</v>
      </c>
      <c r="CE126" s="8" cm="1">
        <f t="array" ref="CE126">SUMPRODUCT(TRANSPOSE(CE$2:CE$15),$I126:$V126)</f>
        <v>0</v>
      </c>
      <c r="CF126" s="8" cm="1">
        <f t="array" ref="CF126">SUMPRODUCT(TRANSPOSE(CF$2:CF$15),$I126:$V126)</f>
        <v>0</v>
      </c>
      <c r="CG126" s="8" cm="1">
        <f t="array" ref="CG126">SUMPRODUCT(TRANSPOSE(CG$2:CG$15),$I126:$V126)</f>
        <v>500</v>
      </c>
      <c r="CH126" s="8" cm="1">
        <f t="array" ref="CH126">SUMPRODUCT(TRANSPOSE(CH$2:CH$15),$I126:$V126)</f>
        <v>1150</v>
      </c>
      <c r="CI126" s="8" cm="1">
        <f t="array" ref="CI126">SUMPRODUCT(TRANSPOSE(CI$2:CI$15),$I126:$V126)</f>
        <v>1850</v>
      </c>
      <c r="CJ126" s="8" cm="1">
        <f t="array" ref="CJ126">SUMPRODUCT(TRANSPOSE(CJ$2:CJ$15),$I126:$V126)</f>
        <v>2080</v>
      </c>
      <c r="CK126" s="8" cm="1">
        <f t="array" ref="CK126">SUMPRODUCT(TRANSPOSE(CK$2:CK$15),$I126:$V126)</f>
        <v>1800</v>
      </c>
      <c r="CL126" s="8" cm="1">
        <f t="array" ref="CL126">SUMPRODUCT(TRANSPOSE(CL$2:CL$15),$I126:$V126)</f>
        <v>1600</v>
      </c>
      <c r="CM126" s="8" cm="1">
        <f t="array" ref="CM126">SUMPRODUCT(TRANSPOSE(CM$2:CM$15),$I126:$V126)</f>
        <v>2060</v>
      </c>
      <c r="CN126" s="8" cm="1">
        <f t="array" ref="CN126">SUMPRODUCT(TRANSPOSE(CN$2:CN$15),$I126:$V126)</f>
        <v>2420</v>
      </c>
      <c r="CO126" s="8" cm="1">
        <f t="array" ref="CO126">SUMPRODUCT(TRANSPOSE(CO$2:CO$15),$I126:$V126)</f>
        <v>1040</v>
      </c>
      <c r="CP126" s="8" cm="1">
        <f t="array" ref="CP126">SUMPRODUCT(TRANSPOSE(CP$2:CP$15),$I126:$V126)</f>
        <v>0</v>
      </c>
      <c r="CQ126" s="8" cm="1">
        <f t="array" ref="CQ126">SUMPRODUCT(TRANSPOSE(CQ$2:CQ$15),$I126:$V126)</f>
        <v>0</v>
      </c>
    </row>
    <row r="127" spans="1:95" x14ac:dyDescent="0.25">
      <c r="A127" s="1">
        <v>292</v>
      </c>
      <c r="B127" s="11" t="s">
        <v>354</v>
      </c>
      <c r="C127" s="1" t="s">
        <v>49</v>
      </c>
      <c r="D127" s="1">
        <v>409729294</v>
      </c>
      <c r="E127" s="6"/>
      <c r="F127" s="1" t="s">
        <v>355</v>
      </c>
      <c r="G127" s="1" t="s">
        <v>35</v>
      </c>
      <c r="H127" s="1">
        <v>4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4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f>SUMPRODUCT(I127:V127,$I$13:$V$13)</f>
        <v>6640</v>
      </c>
      <c r="X127" s="6">
        <f t="shared" si="3"/>
        <v>2.6</v>
      </c>
      <c r="Y127" s="1" t="str">
        <f>VLOOKUP(D127,[1]PARTS!$A$1:$G$65536,7,0)</f>
        <v>VISHAY - SILICONIX</v>
      </c>
      <c r="Z127" s="1">
        <v>3000</v>
      </c>
      <c r="AA127" s="1">
        <v>6560</v>
      </c>
      <c r="AB127" s="1">
        <f>CEILING(W127,Z127)</f>
        <v>9000</v>
      </c>
      <c r="AC127" s="1">
        <f>VLOOKUP(D127,[2]pareto!$D$12:$AX$306,47,0)</f>
        <v>0.65</v>
      </c>
      <c r="AD127" s="1" t="s">
        <v>250</v>
      </c>
      <c r="AE127" s="1" t="s">
        <v>251</v>
      </c>
      <c r="AF127" s="19" t="s">
        <v>252</v>
      </c>
      <c r="AG127" s="1" t="s">
        <v>253</v>
      </c>
      <c r="BG127" s="8">
        <f>SUM($BB127,$AI127:AI127)-SUM($BY127:BZ127)</f>
        <v>0</v>
      </c>
      <c r="BH127" s="8">
        <f>SUM($BB127,$AI127:AJ127)-SUM($BY127:CA127)</f>
        <v>0</v>
      </c>
      <c r="BI127" s="8">
        <f>SUM($BB127,$AI127:AK127)-SUM($BY127:CB127)</f>
        <v>0</v>
      </c>
      <c r="BJ127" s="8">
        <f>SUM($BB127,$AI127:AL127)-SUM($BY127:CC127)</f>
        <v>0</v>
      </c>
      <c r="BK127" s="8">
        <f>SUM($BB127,$AI127:AM127)-SUM($BY127:CD127)</f>
        <v>0</v>
      </c>
      <c r="BL127" s="8">
        <f>SUM($BB127,$AI127:AN127)-SUM($BY127:CE127)</f>
        <v>0</v>
      </c>
      <c r="BM127" s="8">
        <f>SUM($BB127,$AI127:AO127)-SUM($BY127:CF127)</f>
        <v>0</v>
      </c>
      <c r="BN127" s="8">
        <f>SUM($BB127,$AI127:AP127)-SUM($BY127:CG127)</f>
        <v>-400</v>
      </c>
      <c r="BO127" s="8">
        <f>SUM($BB127,$AI127:AQ127)-SUM($BY127:CH127)</f>
        <v>-1000</v>
      </c>
      <c r="BP127" s="8">
        <f>SUM($BB127,$AI127:AR127)-SUM($BY127:CI127)</f>
        <v>-2000</v>
      </c>
      <c r="BQ127" s="8">
        <f>SUM($BB127,$AI127:AS127)-SUM($BY127:CJ127)</f>
        <v>-2800</v>
      </c>
      <c r="BR127" s="8">
        <f>SUM($BB127,$AI127:AT127)-SUM($BY127:CK127)</f>
        <v>-3600</v>
      </c>
      <c r="BS127" s="8">
        <f>SUM($BB127,$AI127:AU127)-SUM($BY127:CL127)</f>
        <v>-4400</v>
      </c>
      <c r="BT127" s="8">
        <f>SUM($BB127,$AI127:AV127)-SUM($BY127:CM127)</f>
        <v>-5600</v>
      </c>
      <c r="BU127" s="8">
        <f>SUM($BB127,$AI127:AW127)-SUM($BY127:CN127)</f>
        <v>-6640</v>
      </c>
      <c r="BV127" s="8">
        <f>SUM($BB127,$AI127:AX127)-SUM($BY127:CO127)</f>
        <v>-6640</v>
      </c>
      <c r="BW127" s="8">
        <f>SUM($BB127,$AI127:AY127)-SUM($BY127:CP127)</f>
        <v>-6640</v>
      </c>
      <c r="BX127" s="8">
        <f>SUM($BB127,$AI127:AZ127)-SUM($BY127:CQ127)</f>
        <v>-6640</v>
      </c>
      <c r="BY127" s="8" cm="1">
        <f t="array" ref="BY127">SUMPRODUCT(TRANSPOSE(BY$2:BY$15),$I127:$V127)</f>
        <v>0</v>
      </c>
      <c r="BZ127" s="8" cm="1">
        <f t="array" ref="BZ127">SUMPRODUCT(TRANSPOSE(BZ$2:BZ$15),$I127:$V127)</f>
        <v>0</v>
      </c>
      <c r="CA127" s="8" cm="1">
        <f t="array" ref="CA127">SUMPRODUCT(TRANSPOSE(CA$2:CA$15),$I127:$V127)</f>
        <v>0</v>
      </c>
      <c r="CB127" s="8" cm="1">
        <f t="array" ref="CB127">SUMPRODUCT(TRANSPOSE(CB$2:CB$15),$I127:$V127)</f>
        <v>0</v>
      </c>
      <c r="CC127" s="8" cm="1">
        <f t="array" ref="CC127">SUMPRODUCT(TRANSPOSE(CC$2:CC$15),$I127:$V127)</f>
        <v>0</v>
      </c>
      <c r="CD127" s="8" cm="1">
        <f t="array" ref="CD127">SUMPRODUCT(TRANSPOSE(CD$2:CD$15),$I127:$V127)</f>
        <v>0</v>
      </c>
      <c r="CE127" s="8" cm="1">
        <f t="array" ref="CE127">SUMPRODUCT(TRANSPOSE(CE$2:CE$15),$I127:$V127)</f>
        <v>0</v>
      </c>
      <c r="CF127" s="8" cm="1">
        <f t="array" ref="CF127">SUMPRODUCT(TRANSPOSE(CF$2:CF$15),$I127:$V127)</f>
        <v>0</v>
      </c>
      <c r="CG127" s="8" cm="1">
        <f t="array" ref="CG127">SUMPRODUCT(TRANSPOSE(CG$2:CG$15),$I127:$V127)</f>
        <v>400</v>
      </c>
      <c r="CH127" s="8" cm="1">
        <f t="array" ref="CH127">SUMPRODUCT(TRANSPOSE(CH$2:CH$15),$I127:$V127)</f>
        <v>600</v>
      </c>
      <c r="CI127" s="8" cm="1">
        <f t="array" ref="CI127">SUMPRODUCT(TRANSPOSE(CI$2:CI$15),$I127:$V127)</f>
        <v>1000</v>
      </c>
      <c r="CJ127" s="8" cm="1">
        <f t="array" ref="CJ127">SUMPRODUCT(TRANSPOSE(CJ$2:CJ$15),$I127:$V127)</f>
        <v>800</v>
      </c>
      <c r="CK127" s="8" cm="1">
        <f t="array" ref="CK127">SUMPRODUCT(TRANSPOSE(CK$2:CK$15),$I127:$V127)</f>
        <v>800</v>
      </c>
      <c r="CL127" s="8" cm="1">
        <f t="array" ref="CL127">SUMPRODUCT(TRANSPOSE(CL$2:CL$15),$I127:$V127)</f>
        <v>800</v>
      </c>
      <c r="CM127" s="8" cm="1">
        <f t="array" ref="CM127">SUMPRODUCT(TRANSPOSE(CM$2:CM$15),$I127:$V127)</f>
        <v>1200</v>
      </c>
      <c r="CN127" s="8" cm="1">
        <f t="array" ref="CN127">SUMPRODUCT(TRANSPOSE(CN$2:CN$15),$I127:$V127)</f>
        <v>1040</v>
      </c>
      <c r="CO127" s="8" cm="1">
        <f t="array" ref="CO127">SUMPRODUCT(TRANSPOSE(CO$2:CO$15),$I127:$V127)</f>
        <v>0</v>
      </c>
      <c r="CP127" s="8" cm="1">
        <f t="array" ref="CP127">SUMPRODUCT(TRANSPOSE(CP$2:CP$15),$I127:$V127)</f>
        <v>0</v>
      </c>
      <c r="CQ127" s="8" cm="1">
        <f t="array" ref="CQ127">SUMPRODUCT(TRANSPOSE(CQ$2:CQ$15),$I127:$V127)</f>
        <v>0</v>
      </c>
    </row>
    <row r="128" spans="1:95" x14ac:dyDescent="0.25">
      <c r="A128" s="1">
        <v>220</v>
      </c>
      <c r="B128" s="11" t="s">
        <v>356</v>
      </c>
      <c r="C128" s="1" t="s">
        <v>164</v>
      </c>
      <c r="D128" s="1">
        <v>400120842</v>
      </c>
      <c r="E128" s="6"/>
      <c r="F128" s="1" t="s">
        <v>357</v>
      </c>
      <c r="G128" s="1" t="s">
        <v>35</v>
      </c>
      <c r="H128" s="1">
        <v>4</v>
      </c>
      <c r="I128" s="1">
        <v>0</v>
      </c>
      <c r="J128" s="1">
        <v>0</v>
      </c>
      <c r="K128" s="1">
        <v>0</v>
      </c>
      <c r="L128" s="1">
        <v>2</v>
      </c>
      <c r="M128" s="1">
        <v>0</v>
      </c>
      <c r="N128" s="1">
        <v>0</v>
      </c>
      <c r="O128" s="1">
        <v>0</v>
      </c>
      <c r="P128" s="1">
        <v>0</v>
      </c>
      <c r="Q128" s="1">
        <v>2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f>SUMPRODUCT(I128:V128,$I$13:$V$13)</f>
        <v>6420</v>
      </c>
      <c r="X128" s="6">
        <f t="shared" si="3"/>
        <v>2.56</v>
      </c>
      <c r="Y128" s="1" t="str">
        <f>VLOOKUP(D128,[1]PARTS!$A$1:$G$65536,7,0)</f>
        <v>MINI-CIRCUITS LABORATORY</v>
      </c>
      <c r="Z128" s="1">
        <v>1</v>
      </c>
      <c r="AA128" s="1">
        <v>6340</v>
      </c>
      <c r="AB128" s="1">
        <f>CEILING(W128,Z128)</f>
        <v>6420</v>
      </c>
      <c r="AC128" s="1">
        <f>VLOOKUP(D128,[2]pareto!$D$12:$AX$306,47,0)</f>
        <v>0.64</v>
      </c>
      <c r="AD128" s="1" t="str">
        <f>VLOOKUP(D128,[2]pareto!$D$11:$BD$306,50,0)</f>
        <v>MINI-CIRCUITS LABORATORY</v>
      </c>
      <c r="AE128" s="1" t="s">
        <v>216</v>
      </c>
      <c r="AF128" s="12" t="s">
        <v>217</v>
      </c>
      <c r="AG128" s="1" t="e">
        <f>VLOOKUP(D128,[2]pareto!$D$11:$BD$306,51)</f>
        <v>#REF!</v>
      </c>
      <c r="BG128" s="8">
        <f>SUM($BB128,$AI128:AI128)-SUM($BY128:BZ128)</f>
        <v>0</v>
      </c>
      <c r="BH128" s="8">
        <f>SUM($BB128,$AI128:AJ128)-SUM($BY128:CA128)</f>
        <v>0</v>
      </c>
      <c r="BI128" s="8">
        <f>SUM($BB128,$AI128:AK128)-SUM($BY128:CB128)</f>
        <v>0</v>
      </c>
      <c r="BJ128" s="8">
        <f>SUM($BB128,$AI128:AL128)-SUM($BY128:CC128)</f>
        <v>0</v>
      </c>
      <c r="BK128" s="8">
        <f>SUM($BB128,$AI128:AM128)-SUM($BY128:CD128)</f>
        <v>0</v>
      </c>
      <c r="BL128" s="8">
        <f>SUM($BB128,$AI128:AN128)-SUM($BY128:CE128)</f>
        <v>0</v>
      </c>
      <c r="BM128" s="8">
        <f>SUM($BB128,$AI128:AO128)-SUM($BY128:CF128)</f>
        <v>0</v>
      </c>
      <c r="BN128" s="8">
        <f>SUM($BB128,$AI128:AP128)-SUM($BY128:CG128)</f>
        <v>-400</v>
      </c>
      <c r="BO128" s="8">
        <f>SUM($BB128,$AI128:AQ128)-SUM($BY128:CH128)</f>
        <v>-1000</v>
      </c>
      <c r="BP128" s="8">
        <f>SUM($BB128,$AI128:AR128)-SUM($BY128:CI128)</f>
        <v>-2000</v>
      </c>
      <c r="BQ128" s="8">
        <f>SUM($BB128,$AI128:AS128)-SUM($BY128:CJ128)</f>
        <v>-2840</v>
      </c>
      <c r="BR128" s="8">
        <f>SUM($BB128,$AI128:AT128)-SUM($BY128:CK128)</f>
        <v>-3640</v>
      </c>
      <c r="BS128" s="8">
        <f>SUM($BB128,$AI128:AU128)-SUM($BY128:CL128)</f>
        <v>-4340</v>
      </c>
      <c r="BT128" s="8">
        <f>SUM($BB128,$AI128:AV128)-SUM($BY128:CM128)</f>
        <v>-5420</v>
      </c>
      <c r="BU128" s="8">
        <f>SUM($BB128,$AI128:AW128)-SUM($BY128:CN128)</f>
        <v>-6420</v>
      </c>
      <c r="BV128" s="8">
        <f>SUM($BB128,$AI128:AX128)-SUM($BY128:CO128)</f>
        <v>-6420</v>
      </c>
      <c r="BW128" s="8">
        <f>SUM($BB128,$AI128:AY128)-SUM($BY128:CP128)</f>
        <v>-6420</v>
      </c>
      <c r="BX128" s="8">
        <f>SUM($BB128,$AI128:AZ128)-SUM($BY128:CQ128)</f>
        <v>-6420</v>
      </c>
      <c r="BY128" s="8" cm="1">
        <f t="array" ref="BY128">SUMPRODUCT(TRANSPOSE(BY$2:BY$15),$I128:$V128)</f>
        <v>0</v>
      </c>
      <c r="BZ128" s="8" cm="1">
        <f t="array" ref="BZ128">SUMPRODUCT(TRANSPOSE(BZ$2:BZ$15),$I128:$V128)</f>
        <v>0</v>
      </c>
      <c r="CA128" s="8" cm="1">
        <f t="array" ref="CA128">SUMPRODUCT(TRANSPOSE(CA$2:CA$15),$I128:$V128)</f>
        <v>0</v>
      </c>
      <c r="CB128" s="8" cm="1">
        <f t="array" ref="CB128">SUMPRODUCT(TRANSPOSE(CB$2:CB$15),$I128:$V128)</f>
        <v>0</v>
      </c>
      <c r="CC128" s="8" cm="1">
        <f t="array" ref="CC128">SUMPRODUCT(TRANSPOSE(CC$2:CC$15),$I128:$V128)</f>
        <v>0</v>
      </c>
      <c r="CD128" s="8" cm="1">
        <f t="array" ref="CD128">SUMPRODUCT(TRANSPOSE(CD$2:CD$15),$I128:$V128)</f>
        <v>0</v>
      </c>
      <c r="CE128" s="8" cm="1">
        <f t="array" ref="CE128">SUMPRODUCT(TRANSPOSE(CE$2:CE$15),$I128:$V128)</f>
        <v>0</v>
      </c>
      <c r="CF128" s="8" cm="1">
        <f t="array" ref="CF128">SUMPRODUCT(TRANSPOSE(CF$2:CF$15),$I128:$V128)</f>
        <v>0</v>
      </c>
      <c r="CG128" s="8" cm="1">
        <f t="array" ref="CG128">SUMPRODUCT(TRANSPOSE(CG$2:CG$15),$I128:$V128)</f>
        <v>400</v>
      </c>
      <c r="CH128" s="8" cm="1">
        <f t="array" ref="CH128">SUMPRODUCT(TRANSPOSE(CH$2:CH$15),$I128:$V128)</f>
        <v>600</v>
      </c>
      <c r="CI128" s="8" cm="1">
        <f t="array" ref="CI128">SUMPRODUCT(TRANSPOSE(CI$2:CI$15),$I128:$V128)</f>
        <v>1000</v>
      </c>
      <c r="CJ128" s="8" cm="1">
        <f t="array" ref="CJ128">SUMPRODUCT(TRANSPOSE(CJ$2:CJ$15),$I128:$V128)</f>
        <v>840</v>
      </c>
      <c r="CK128" s="8" cm="1">
        <f t="array" ref="CK128">SUMPRODUCT(TRANSPOSE(CK$2:CK$15),$I128:$V128)</f>
        <v>800</v>
      </c>
      <c r="CL128" s="8" cm="1">
        <f t="array" ref="CL128">SUMPRODUCT(TRANSPOSE(CL$2:CL$15),$I128:$V128)</f>
        <v>700</v>
      </c>
      <c r="CM128" s="8" cm="1">
        <f t="array" ref="CM128">SUMPRODUCT(TRANSPOSE(CM$2:CM$15),$I128:$V128)</f>
        <v>1080</v>
      </c>
      <c r="CN128" s="8" cm="1">
        <f t="array" ref="CN128">SUMPRODUCT(TRANSPOSE(CN$2:CN$15),$I128:$V128)</f>
        <v>1000</v>
      </c>
      <c r="CO128" s="8" cm="1">
        <f t="array" ref="CO128">SUMPRODUCT(TRANSPOSE(CO$2:CO$15),$I128:$V128)</f>
        <v>0</v>
      </c>
      <c r="CP128" s="8" cm="1">
        <f t="array" ref="CP128">SUMPRODUCT(TRANSPOSE(CP$2:CP$15),$I128:$V128)</f>
        <v>0</v>
      </c>
      <c r="CQ128" s="8" cm="1">
        <f t="array" ref="CQ128">SUMPRODUCT(TRANSPOSE(CQ$2:CQ$15),$I128:$V128)</f>
        <v>0</v>
      </c>
    </row>
    <row r="129" spans="1:95" x14ac:dyDescent="0.25">
      <c r="A129" s="1">
        <v>269</v>
      </c>
      <c r="B129" s="11" t="s">
        <v>358</v>
      </c>
      <c r="C129" s="1" t="s">
        <v>49</v>
      </c>
      <c r="D129" s="1" t="s">
        <v>359</v>
      </c>
      <c r="E129" s="6">
        <f>VLOOKUP(D129,FFF!$A$2:$B$674,2,)</f>
        <v>406426682</v>
      </c>
      <c r="F129" s="1" t="s">
        <v>360</v>
      </c>
      <c r="G129" s="1" t="s">
        <v>35</v>
      </c>
      <c r="H129" s="1">
        <v>6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6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f>SUMPRODUCT(I129:V129,$I$13:$V$13)</f>
        <v>9960</v>
      </c>
      <c r="X129" s="6">
        <f t="shared" si="3"/>
        <v>0.16200000000000001</v>
      </c>
      <c r="Y129" s="1" t="str">
        <f>VLOOKUP(D129,[1]PARTS!$A$1:$G$65536,7,0)</f>
        <v>FAIRCHILD SEMICONDUCTOR</v>
      </c>
      <c r="Z129" s="1">
        <v>3000</v>
      </c>
      <c r="AA129" s="1">
        <v>6000</v>
      </c>
      <c r="AB129" s="1">
        <f>CEILING(W129,Z129)</f>
        <v>12000</v>
      </c>
      <c r="AC129" s="1">
        <v>2.7E-2</v>
      </c>
      <c r="AD129" s="1" t="s">
        <v>361</v>
      </c>
      <c r="AE129" s="1" t="s">
        <v>362</v>
      </c>
      <c r="AF129" s="12" t="s">
        <v>363</v>
      </c>
      <c r="AG129" s="1" t="s">
        <v>88</v>
      </c>
      <c r="BG129" s="8">
        <f>SUM($BB129,$AI129:AI129)-SUM($BY129:BZ129)</f>
        <v>0</v>
      </c>
      <c r="BH129" s="8">
        <f>SUM($BB129,$AI129:AJ129)-SUM($BY129:CA129)</f>
        <v>0</v>
      </c>
      <c r="BI129" s="8">
        <f>SUM($BB129,$AI129:AK129)-SUM($BY129:CB129)</f>
        <v>0</v>
      </c>
      <c r="BJ129" s="8">
        <f>SUM($BB129,$AI129:AL129)-SUM($BY129:CC129)</f>
        <v>0</v>
      </c>
      <c r="BK129" s="8">
        <f>SUM($BB129,$AI129:AM129)-SUM($BY129:CD129)</f>
        <v>0</v>
      </c>
      <c r="BL129" s="8">
        <f>SUM($BB129,$AI129:AN129)-SUM($BY129:CE129)</f>
        <v>0</v>
      </c>
      <c r="BM129" s="8">
        <f>SUM($BB129,$AI129:AO129)-SUM($BY129:CF129)</f>
        <v>0</v>
      </c>
      <c r="BN129" s="8">
        <f>SUM($BB129,$AI129:AP129)-SUM($BY129:CG129)</f>
        <v>-600</v>
      </c>
      <c r="BO129" s="8">
        <f>SUM($BB129,$AI129:AQ129)-SUM($BY129:CH129)</f>
        <v>-1500</v>
      </c>
      <c r="BP129" s="8">
        <f>SUM($BB129,$AI129:AR129)-SUM($BY129:CI129)</f>
        <v>-3000</v>
      </c>
      <c r="BQ129" s="8">
        <f>SUM($BB129,$AI129:AS129)-SUM($BY129:CJ129)</f>
        <v>-4200</v>
      </c>
      <c r="BR129" s="8">
        <f>SUM($BB129,$AI129:AT129)-SUM($BY129:CK129)</f>
        <v>-5400</v>
      </c>
      <c r="BS129" s="8">
        <f>SUM($BB129,$AI129:AU129)-SUM($BY129:CL129)</f>
        <v>-6600</v>
      </c>
      <c r="BT129" s="8">
        <f>SUM($BB129,$AI129:AV129)-SUM($BY129:CM129)</f>
        <v>-8400</v>
      </c>
      <c r="BU129" s="8">
        <f>SUM($BB129,$AI129:AW129)-SUM($BY129:CN129)</f>
        <v>-9960</v>
      </c>
      <c r="BV129" s="8">
        <f>SUM($BB129,$AI129:AX129)-SUM($BY129:CO129)</f>
        <v>-9960</v>
      </c>
      <c r="BW129" s="8">
        <f>SUM($BB129,$AI129:AY129)-SUM($BY129:CP129)</f>
        <v>-9960</v>
      </c>
      <c r="BX129" s="8">
        <f>SUM($BB129,$AI129:AZ129)-SUM($BY129:CQ129)</f>
        <v>-9960</v>
      </c>
      <c r="BY129" s="8" cm="1">
        <f t="array" ref="BY129">SUMPRODUCT(TRANSPOSE(BY$2:BY$15),$I129:$V129)</f>
        <v>0</v>
      </c>
      <c r="BZ129" s="8" cm="1">
        <f t="array" ref="BZ129">SUMPRODUCT(TRANSPOSE(BZ$2:BZ$15),$I129:$V129)</f>
        <v>0</v>
      </c>
      <c r="CA129" s="8" cm="1">
        <f t="array" ref="CA129">SUMPRODUCT(TRANSPOSE(CA$2:CA$15),$I129:$V129)</f>
        <v>0</v>
      </c>
      <c r="CB129" s="8" cm="1">
        <f t="array" ref="CB129">SUMPRODUCT(TRANSPOSE(CB$2:CB$15),$I129:$V129)</f>
        <v>0</v>
      </c>
      <c r="CC129" s="8" cm="1">
        <f t="array" ref="CC129">SUMPRODUCT(TRANSPOSE(CC$2:CC$15),$I129:$V129)</f>
        <v>0</v>
      </c>
      <c r="CD129" s="8" cm="1">
        <f t="array" ref="CD129">SUMPRODUCT(TRANSPOSE(CD$2:CD$15),$I129:$V129)</f>
        <v>0</v>
      </c>
      <c r="CE129" s="8" cm="1">
        <f t="array" ref="CE129">SUMPRODUCT(TRANSPOSE(CE$2:CE$15),$I129:$V129)</f>
        <v>0</v>
      </c>
      <c r="CF129" s="8" cm="1">
        <f t="array" ref="CF129">SUMPRODUCT(TRANSPOSE(CF$2:CF$15),$I129:$V129)</f>
        <v>0</v>
      </c>
      <c r="CG129" s="8" cm="1">
        <f t="array" ref="CG129">SUMPRODUCT(TRANSPOSE(CG$2:CG$15),$I129:$V129)</f>
        <v>600</v>
      </c>
      <c r="CH129" s="8" cm="1">
        <f t="array" ref="CH129">SUMPRODUCT(TRANSPOSE(CH$2:CH$15),$I129:$V129)</f>
        <v>900</v>
      </c>
      <c r="CI129" s="8" cm="1">
        <f t="array" ref="CI129">SUMPRODUCT(TRANSPOSE(CI$2:CI$15),$I129:$V129)</f>
        <v>1500</v>
      </c>
      <c r="CJ129" s="8" cm="1">
        <f t="array" ref="CJ129">SUMPRODUCT(TRANSPOSE(CJ$2:CJ$15),$I129:$V129)</f>
        <v>1200</v>
      </c>
      <c r="CK129" s="8" cm="1">
        <f t="array" ref="CK129">SUMPRODUCT(TRANSPOSE(CK$2:CK$15),$I129:$V129)</f>
        <v>1200</v>
      </c>
      <c r="CL129" s="8" cm="1">
        <f t="array" ref="CL129">SUMPRODUCT(TRANSPOSE(CL$2:CL$15),$I129:$V129)</f>
        <v>1200</v>
      </c>
      <c r="CM129" s="8" cm="1">
        <f t="array" ref="CM129">SUMPRODUCT(TRANSPOSE(CM$2:CM$15),$I129:$V129)</f>
        <v>1800</v>
      </c>
      <c r="CN129" s="8" cm="1">
        <f t="array" ref="CN129">SUMPRODUCT(TRANSPOSE(CN$2:CN$15),$I129:$V129)</f>
        <v>1560</v>
      </c>
      <c r="CO129" s="8" cm="1">
        <f t="array" ref="CO129">SUMPRODUCT(TRANSPOSE(CO$2:CO$15),$I129:$V129)</f>
        <v>0</v>
      </c>
      <c r="CP129" s="8" cm="1">
        <f t="array" ref="CP129">SUMPRODUCT(TRANSPOSE(CP$2:CP$15),$I129:$V129)</f>
        <v>0</v>
      </c>
      <c r="CQ129" s="8" cm="1">
        <f t="array" ref="CQ129">SUMPRODUCT(TRANSPOSE(CQ$2:CQ$15),$I129:$V129)</f>
        <v>0</v>
      </c>
    </row>
    <row r="130" spans="1:95" x14ac:dyDescent="0.25">
      <c r="A130" s="1">
        <v>17</v>
      </c>
      <c r="B130" s="11" t="s">
        <v>364</v>
      </c>
      <c r="C130" s="1" t="s">
        <v>41</v>
      </c>
      <c r="D130" s="1">
        <v>404482035</v>
      </c>
      <c r="E130" s="6"/>
      <c r="F130" s="1" t="s">
        <v>365</v>
      </c>
      <c r="G130" s="1" t="s">
        <v>256</v>
      </c>
      <c r="H130" s="1" t="s">
        <v>257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0.05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f>SUMPRODUCT(I130:V130,$I$13:$V$13)</f>
        <v>83</v>
      </c>
      <c r="X130" s="6">
        <f t="shared" si="3"/>
        <v>4.75</v>
      </c>
      <c r="Y130" s="1" t="str">
        <f>VLOOKUP(D130,[1]PARTS!$A$1:$G$65536,7,0)</f>
        <v/>
      </c>
      <c r="Z130" s="1" t="e">
        <f>VLOOKUP(D130,[2]pareto!$D$12:$AX$306,44,0)</f>
        <v>#REF!</v>
      </c>
      <c r="AA130" s="1" t="e">
        <f>VLOOKUP(D130,[2]pareto!$D$12:$AX$306,45,0)</f>
        <v>#REF!</v>
      </c>
      <c r="AB130" s="1" t="e">
        <f>CEILING(W130,Z130)</f>
        <v>#REF!</v>
      </c>
      <c r="AC130" s="20">
        <f>VLOOKUP(D130,[2]pareto!$D$12:$AX$306,47,0)</f>
        <v>95</v>
      </c>
      <c r="AD130" s="1" t="s">
        <v>366</v>
      </c>
      <c r="AE130" s="1" t="s">
        <v>367</v>
      </c>
      <c r="AF130" s="19" t="s">
        <v>368</v>
      </c>
      <c r="AG130" s="1" t="s">
        <v>369</v>
      </c>
      <c r="BG130" s="8">
        <f>SUM($BB130,$AI130:AI130)-SUM($BY130:BZ130)</f>
        <v>0</v>
      </c>
      <c r="BH130" s="8">
        <f>SUM($BB130,$AI130:AJ130)-SUM($BY130:CA130)</f>
        <v>0</v>
      </c>
      <c r="BI130" s="8">
        <f>SUM($BB130,$AI130:AK130)-SUM($BY130:CB130)</f>
        <v>0</v>
      </c>
      <c r="BJ130" s="8">
        <f>SUM($BB130,$AI130:AL130)-SUM($BY130:CC130)</f>
        <v>0</v>
      </c>
      <c r="BK130" s="8">
        <f>SUM($BB130,$AI130:AM130)-SUM($BY130:CD130)</f>
        <v>0</v>
      </c>
      <c r="BL130" s="8">
        <f>SUM($BB130,$AI130:AN130)-SUM($BY130:CE130)</f>
        <v>0</v>
      </c>
      <c r="BM130" s="8">
        <f>SUM($BB130,$AI130:AO130)-SUM($BY130:CF130)</f>
        <v>0</v>
      </c>
      <c r="BN130" s="8">
        <f>SUM($BB130,$AI130:AP130)-SUM($BY130:CG130)</f>
        <v>-5</v>
      </c>
      <c r="BO130" s="8">
        <f>SUM($BB130,$AI130:AQ130)-SUM($BY130:CH130)</f>
        <v>-12.5</v>
      </c>
      <c r="BP130" s="8">
        <f>SUM($BB130,$AI130:AR130)-SUM($BY130:CI130)</f>
        <v>-25</v>
      </c>
      <c r="BQ130" s="8">
        <f>SUM($BB130,$AI130:AS130)-SUM($BY130:CJ130)</f>
        <v>-35</v>
      </c>
      <c r="BR130" s="8">
        <f>SUM($BB130,$AI130:AT130)-SUM($BY130:CK130)</f>
        <v>-45</v>
      </c>
      <c r="BS130" s="8">
        <f>SUM($BB130,$AI130:AU130)-SUM($BY130:CL130)</f>
        <v>-55</v>
      </c>
      <c r="BT130" s="8">
        <f>SUM($BB130,$AI130:AV130)-SUM($BY130:CM130)</f>
        <v>-70</v>
      </c>
      <c r="BU130" s="8">
        <f>SUM($BB130,$AI130:AW130)-SUM($BY130:CN130)</f>
        <v>-83</v>
      </c>
      <c r="BV130" s="8">
        <f>SUM($BB130,$AI130:AX130)-SUM($BY130:CO130)</f>
        <v>-83</v>
      </c>
      <c r="BW130" s="8">
        <f>SUM($BB130,$AI130:AY130)-SUM($BY130:CP130)</f>
        <v>-83</v>
      </c>
      <c r="BX130" s="8">
        <f>SUM($BB130,$AI130:AZ130)-SUM($BY130:CQ130)</f>
        <v>-83</v>
      </c>
      <c r="BY130" s="8" cm="1">
        <f t="array" ref="BY130">SUMPRODUCT(TRANSPOSE(BY$2:BY$15),$I130:$V130)</f>
        <v>0</v>
      </c>
      <c r="BZ130" s="8" cm="1">
        <f t="array" ref="BZ130">SUMPRODUCT(TRANSPOSE(BZ$2:BZ$15),$I130:$V130)</f>
        <v>0</v>
      </c>
      <c r="CA130" s="8" cm="1">
        <f t="array" ref="CA130">SUMPRODUCT(TRANSPOSE(CA$2:CA$15),$I130:$V130)</f>
        <v>0</v>
      </c>
      <c r="CB130" s="8" cm="1">
        <f t="array" ref="CB130">SUMPRODUCT(TRANSPOSE(CB$2:CB$15),$I130:$V130)</f>
        <v>0</v>
      </c>
      <c r="CC130" s="8" cm="1">
        <f t="array" ref="CC130">SUMPRODUCT(TRANSPOSE(CC$2:CC$15),$I130:$V130)</f>
        <v>0</v>
      </c>
      <c r="CD130" s="8" cm="1">
        <f t="array" ref="CD130">SUMPRODUCT(TRANSPOSE(CD$2:CD$15),$I130:$V130)</f>
        <v>0</v>
      </c>
      <c r="CE130" s="8" cm="1">
        <f t="array" ref="CE130">SUMPRODUCT(TRANSPOSE(CE$2:CE$15),$I130:$V130)</f>
        <v>0</v>
      </c>
      <c r="CF130" s="8" cm="1">
        <f t="array" ref="CF130">SUMPRODUCT(TRANSPOSE(CF$2:CF$15),$I130:$V130)</f>
        <v>0</v>
      </c>
      <c r="CG130" s="8" cm="1">
        <f t="array" ref="CG130">SUMPRODUCT(TRANSPOSE(CG$2:CG$15),$I130:$V130)</f>
        <v>5</v>
      </c>
      <c r="CH130" s="8" cm="1">
        <f t="array" ref="CH130">SUMPRODUCT(TRANSPOSE(CH$2:CH$15),$I130:$V130)</f>
        <v>7.5</v>
      </c>
      <c r="CI130" s="8" cm="1">
        <f t="array" ref="CI130">SUMPRODUCT(TRANSPOSE(CI$2:CI$15),$I130:$V130)</f>
        <v>12.5</v>
      </c>
      <c r="CJ130" s="8" cm="1">
        <f t="array" ref="CJ130">SUMPRODUCT(TRANSPOSE(CJ$2:CJ$15),$I130:$V130)</f>
        <v>10</v>
      </c>
      <c r="CK130" s="8" cm="1">
        <f t="array" ref="CK130">SUMPRODUCT(TRANSPOSE(CK$2:CK$15),$I130:$V130)</f>
        <v>10</v>
      </c>
      <c r="CL130" s="8" cm="1">
        <f t="array" ref="CL130">SUMPRODUCT(TRANSPOSE(CL$2:CL$15),$I130:$V130)</f>
        <v>10</v>
      </c>
      <c r="CM130" s="8" cm="1">
        <f t="array" ref="CM130">SUMPRODUCT(TRANSPOSE(CM$2:CM$15),$I130:$V130)</f>
        <v>15</v>
      </c>
      <c r="CN130" s="8" cm="1">
        <f t="array" ref="CN130">SUMPRODUCT(TRANSPOSE(CN$2:CN$15),$I130:$V130)</f>
        <v>13</v>
      </c>
      <c r="CO130" s="8" cm="1">
        <f t="array" ref="CO130">SUMPRODUCT(TRANSPOSE(CO$2:CO$15),$I130:$V130)</f>
        <v>0</v>
      </c>
      <c r="CP130" s="8" cm="1">
        <f t="array" ref="CP130">SUMPRODUCT(TRANSPOSE(CP$2:CP$15),$I130:$V130)</f>
        <v>0</v>
      </c>
      <c r="CQ130" s="8" cm="1">
        <f t="array" ref="CQ130">SUMPRODUCT(TRANSPOSE(CQ$2:CQ$15),$I130:$V130)</f>
        <v>0</v>
      </c>
    </row>
    <row r="131" spans="1:95" x14ac:dyDescent="0.25">
      <c r="A131" s="1">
        <v>261</v>
      </c>
      <c r="B131" s="11" t="s">
        <v>370</v>
      </c>
      <c r="C131" s="1" t="s">
        <v>49</v>
      </c>
      <c r="D131" s="1">
        <v>513206482</v>
      </c>
      <c r="E131" s="6"/>
      <c r="F131" s="1" t="s">
        <v>371</v>
      </c>
      <c r="G131" s="1" t="s">
        <v>35</v>
      </c>
      <c r="H131" s="1">
        <v>4</v>
      </c>
      <c r="I131" s="1">
        <v>0</v>
      </c>
      <c r="J131" s="1">
        <v>2</v>
      </c>
      <c r="K131" s="1">
        <v>0</v>
      </c>
      <c r="L131" s="1">
        <v>0</v>
      </c>
      <c r="M131" s="1">
        <v>0</v>
      </c>
      <c r="N131" s="1">
        <v>0</v>
      </c>
      <c r="O131" s="1">
        <v>2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f>SUMPRODUCT(I131:V131,$I$13:$V$13)</f>
        <v>6420</v>
      </c>
      <c r="X131" s="6">
        <f t="shared" si="3"/>
        <v>2.38</v>
      </c>
      <c r="Y131" s="1" t="str">
        <f>VLOOKUP(D131,[1]PARTS!$A$1:$G$65536,7,0)</f>
        <v>NAS/NASM NATIONAL AEROSPACE STD</v>
      </c>
      <c r="Z131" s="1">
        <v>1</v>
      </c>
      <c r="AA131" s="1">
        <f>CEILING(W131,Z131)</f>
        <v>6420</v>
      </c>
      <c r="AB131" s="1">
        <f>CEILING(W131,Z131)</f>
        <v>6420</v>
      </c>
      <c r="AC131" s="1">
        <f>VLOOKUP(D131,[2]pareto!$D$12:$AX$306,47,0)</f>
        <v>0.59499999999999997</v>
      </c>
      <c r="AD131" s="1" t="str">
        <f>VLOOKUP(D131,[2]pareto!$D$11:$BD$306,50,0)</f>
        <v>KAYTECH</v>
      </c>
      <c r="AE131" s="1" t="s">
        <v>325</v>
      </c>
      <c r="AF131" s="19" t="s">
        <v>326</v>
      </c>
      <c r="AG131" s="1" t="s">
        <v>327</v>
      </c>
      <c r="BG131" s="8">
        <f>SUM($BB131,$AI131:AI131)-SUM($BY131:BZ131)</f>
        <v>0</v>
      </c>
      <c r="BH131" s="8">
        <f>SUM($BB131,$AI131:AJ131)-SUM($BY131:CA131)</f>
        <v>0</v>
      </c>
      <c r="BI131" s="8">
        <f>SUM($BB131,$AI131:AK131)-SUM($BY131:CB131)</f>
        <v>0</v>
      </c>
      <c r="BJ131" s="8">
        <f>SUM($BB131,$AI131:AL131)-SUM($BY131:CC131)</f>
        <v>0</v>
      </c>
      <c r="BK131" s="8">
        <f>SUM($BB131,$AI131:AM131)-SUM($BY131:CD131)</f>
        <v>0</v>
      </c>
      <c r="BL131" s="8">
        <f>SUM($BB131,$AI131:AN131)-SUM($BY131:CE131)</f>
        <v>0</v>
      </c>
      <c r="BM131" s="8">
        <f>SUM($BB131,$AI131:AO131)-SUM($BY131:CF131)</f>
        <v>0</v>
      </c>
      <c r="BN131" s="8">
        <f>SUM($BB131,$AI131:AP131)-SUM($BY131:CG131)</f>
        <v>0</v>
      </c>
      <c r="BO131" s="8">
        <f>SUM($BB131,$AI131:AQ131)-SUM($BY131:CH131)</f>
        <v>0</v>
      </c>
      <c r="BP131" s="8">
        <f>SUM($BB131,$AI131:AR131)-SUM($BY131:CI131)</f>
        <v>-400</v>
      </c>
      <c r="BQ131" s="8">
        <f>SUM($BB131,$AI131:AS131)-SUM($BY131:CJ131)</f>
        <v>-1000</v>
      </c>
      <c r="BR131" s="8">
        <f>SUM($BB131,$AI131:AT131)-SUM($BY131:CK131)</f>
        <v>-2000</v>
      </c>
      <c r="BS131" s="8">
        <f>SUM($BB131,$AI131:AU131)-SUM($BY131:CL131)</f>
        <v>-2840</v>
      </c>
      <c r="BT131" s="8">
        <f>SUM($BB131,$AI131:AV131)-SUM($BY131:CM131)</f>
        <v>-3640</v>
      </c>
      <c r="BU131" s="8">
        <f>SUM($BB131,$AI131:AW131)-SUM($BY131:CN131)</f>
        <v>-4340</v>
      </c>
      <c r="BV131" s="8">
        <f>SUM($BB131,$AI131:AX131)-SUM($BY131:CO131)</f>
        <v>-5420</v>
      </c>
      <c r="BW131" s="8">
        <f>SUM($BB131,$AI131:AY131)-SUM($BY131:CP131)</f>
        <v>-6420</v>
      </c>
      <c r="BX131" s="8">
        <f>SUM($BB131,$AI131:AZ131)-SUM($BY131:CQ131)</f>
        <v>-6420</v>
      </c>
      <c r="BY131" s="8" cm="1">
        <f t="array" ref="BY131">SUMPRODUCT(TRANSPOSE(BY$2:BY$15),$I131:$V131)</f>
        <v>0</v>
      </c>
      <c r="BZ131" s="8" cm="1">
        <f t="array" ref="BZ131">SUMPRODUCT(TRANSPOSE(BZ$2:BZ$15),$I131:$V131)</f>
        <v>0</v>
      </c>
      <c r="CA131" s="8" cm="1">
        <f t="array" ref="CA131">SUMPRODUCT(TRANSPOSE(CA$2:CA$15),$I131:$V131)</f>
        <v>0</v>
      </c>
      <c r="CB131" s="8" cm="1">
        <f t="array" ref="CB131">SUMPRODUCT(TRANSPOSE(CB$2:CB$15),$I131:$V131)</f>
        <v>0</v>
      </c>
      <c r="CC131" s="8" cm="1">
        <f t="array" ref="CC131">SUMPRODUCT(TRANSPOSE(CC$2:CC$15),$I131:$V131)</f>
        <v>0</v>
      </c>
      <c r="CD131" s="8" cm="1">
        <f t="array" ref="CD131">SUMPRODUCT(TRANSPOSE(CD$2:CD$15),$I131:$V131)</f>
        <v>0</v>
      </c>
      <c r="CE131" s="8" cm="1">
        <f t="array" ref="CE131">SUMPRODUCT(TRANSPOSE(CE$2:CE$15),$I131:$V131)</f>
        <v>0</v>
      </c>
      <c r="CF131" s="8" cm="1">
        <f t="array" ref="CF131">SUMPRODUCT(TRANSPOSE(CF$2:CF$15),$I131:$V131)</f>
        <v>0</v>
      </c>
      <c r="CG131" s="8" cm="1">
        <f t="array" ref="CG131">SUMPRODUCT(TRANSPOSE(CG$2:CG$15),$I131:$V131)</f>
        <v>0</v>
      </c>
      <c r="CH131" s="8" cm="1">
        <f t="array" ref="CH131">SUMPRODUCT(TRANSPOSE(CH$2:CH$15),$I131:$V131)</f>
        <v>0</v>
      </c>
      <c r="CI131" s="8" cm="1">
        <f t="array" ref="CI131">SUMPRODUCT(TRANSPOSE(CI$2:CI$15),$I131:$V131)</f>
        <v>400</v>
      </c>
      <c r="CJ131" s="8" cm="1">
        <f t="array" ref="CJ131">SUMPRODUCT(TRANSPOSE(CJ$2:CJ$15),$I131:$V131)</f>
        <v>600</v>
      </c>
      <c r="CK131" s="8" cm="1">
        <f t="array" ref="CK131">SUMPRODUCT(TRANSPOSE(CK$2:CK$15),$I131:$V131)</f>
        <v>1000</v>
      </c>
      <c r="CL131" s="8" cm="1">
        <f t="array" ref="CL131">SUMPRODUCT(TRANSPOSE(CL$2:CL$15),$I131:$V131)</f>
        <v>840</v>
      </c>
      <c r="CM131" s="8" cm="1">
        <f t="array" ref="CM131">SUMPRODUCT(TRANSPOSE(CM$2:CM$15),$I131:$V131)</f>
        <v>800</v>
      </c>
      <c r="CN131" s="8" cm="1">
        <f t="array" ref="CN131">SUMPRODUCT(TRANSPOSE(CN$2:CN$15),$I131:$V131)</f>
        <v>700</v>
      </c>
      <c r="CO131" s="8" cm="1">
        <f t="array" ref="CO131">SUMPRODUCT(TRANSPOSE(CO$2:CO$15),$I131:$V131)</f>
        <v>1080</v>
      </c>
      <c r="CP131" s="8" cm="1">
        <f t="array" ref="CP131">SUMPRODUCT(TRANSPOSE(CP$2:CP$15),$I131:$V131)</f>
        <v>1000</v>
      </c>
      <c r="CQ131" s="8" cm="1">
        <f t="array" ref="CQ131">SUMPRODUCT(TRANSPOSE(CQ$2:CQ$15),$I131:$V131)</f>
        <v>0</v>
      </c>
    </row>
    <row r="132" spans="1:95" x14ac:dyDescent="0.25">
      <c r="A132" s="1">
        <v>214</v>
      </c>
      <c r="B132" s="11" t="s">
        <v>372</v>
      </c>
      <c r="C132" s="1" t="s">
        <v>49</v>
      </c>
      <c r="D132" s="1">
        <v>417049490</v>
      </c>
      <c r="E132" s="6">
        <f>VLOOKUP(D132,FFF!$A$2:$B$674,2,)</f>
        <v>400326581</v>
      </c>
      <c r="F132" s="1" t="s">
        <v>373</v>
      </c>
      <c r="G132" s="1" t="s">
        <v>35</v>
      </c>
      <c r="H132" s="1">
        <v>214</v>
      </c>
      <c r="I132" s="1">
        <v>0</v>
      </c>
      <c r="J132" s="1">
        <v>0</v>
      </c>
      <c r="K132" s="1">
        <v>0</v>
      </c>
      <c r="L132" s="1">
        <v>14</v>
      </c>
      <c r="M132" s="1">
        <v>100</v>
      </c>
      <c r="N132" s="1">
        <v>0</v>
      </c>
      <c r="O132" s="1">
        <v>0</v>
      </c>
      <c r="P132" s="1">
        <v>0</v>
      </c>
      <c r="Q132" s="1">
        <v>34</v>
      </c>
      <c r="R132" s="1">
        <v>0</v>
      </c>
      <c r="S132" s="1">
        <v>0</v>
      </c>
      <c r="T132" s="1">
        <v>0</v>
      </c>
      <c r="U132" s="1">
        <v>0</v>
      </c>
      <c r="V132" s="1">
        <v>100</v>
      </c>
      <c r="W132" s="1">
        <f>SUMPRODUCT(I132:V132,$I$13:$V$13)</f>
        <v>399140</v>
      </c>
      <c r="X132" s="6">
        <f t="shared" si="3"/>
        <v>0.32239999999999996</v>
      </c>
      <c r="Y132" s="1" t="str">
        <f>VLOOKUP(D132,[1]PARTS!$A$1:$G$65536,7,0)</f>
        <v>MURATA MANUFACTURING CO. LTD</v>
      </c>
      <c r="Z132" s="1">
        <f>VLOOKUP(D132,[2]pareto!$D$12:$AX$306,44,0)</f>
        <v>10000</v>
      </c>
      <c r="AA132" s="1">
        <f>VLOOKUP(D132,[2]pareto!$D$12:$AX$306,45,0)</f>
        <v>10000</v>
      </c>
      <c r="AB132" s="1">
        <f>CEILING(W132,Z132)</f>
        <v>400000</v>
      </c>
      <c r="AC132" s="1">
        <f>VLOOKUP(D132,[2]pareto!$D$12:$AX$306,47,0)</f>
        <v>1.2999999999999999E-3</v>
      </c>
      <c r="AD132" s="1" t="s">
        <v>85</v>
      </c>
      <c r="AE132" s="1" t="s">
        <v>86</v>
      </c>
      <c r="AF132" s="12" t="s">
        <v>87</v>
      </c>
      <c r="AG132" s="1" t="s">
        <v>88</v>
      </c>
      <c r="BG132" s="8">
        <f>SUM($BB132,$AI132:AI132)-SUM($BY132:BZ132)</f>
        <v>0</v>
      </c>
      <c r="BH132" s="8">
        <f>SUM($BB132,$AI132:AJ132)-SUM($BY132:CA132)</f>
        <v>0</v>
      </c>
      <c r="BI132" s="8">
        <f>SUM($BB132,$AI132:AK132)-SUM($BY132:CB132)</f>
        <v>0</v>
      </c>
      <c r="BJ132" s="8">
        <f>SUM($BB132,$AI132:AL132)-SUM($BY132:CC132)</f>
        <v>0</v>
      </c>
      <c r="BK132" s="8">
        <f>SUM($BB132,$AI132:AM132)-SUM($BY132:CD132)</f>
        <v>0</v>
      </c>
      <c r="BL132" s="8">
        <f>SUM($BB132,$AI132:AN132)-SUM($BY132:CE132)</f>
        <v>0</v>
      </c>
      <c r="BM132" s="8">
        <f>SUM($BB132,$AI132:AO132)-SUM($BY132:CF132)</f>
        <v>0</v>
      </c>
      <c r="BN132" s="8">
        <f>SUM($BB132,$AI132:AP132)-SUM($BY132:CG132)</f>
        <v>-14800</v>
      </c>
      <c r="BO132" s="8">
        <f>SUM($BB132,$AI132:AQ132)-SUM($BY132:CH132)</f>
        <v>-47000</v>
      </c>
      <c r="BP132" s="8">
        <f>SUM($BB132,$AI132:AR132)-SUM($BY132:CI132)</f>
        <v>-99000</v>
      </c>
      <c r="BQ132" s="8">
        <f>SUM($BB132,$AI132:AS132)-SUM($BY132:CJ132)</f>
        <v>-155880</v>
      </c>
      <c r="BR132" s="8">
        <f>SUM($BB132,$AI132:AT132)-SUM($BY132:CK132)</f>
        <v>-205480</v>
      </c>
      <c r="BS132" s="8">
        <f>SUM($BB132,$AI132:AU132)-SUM($BY132:CL132)</f>
        <v>-249380</v>
      </c>
      <c r="BT132" s="8">
        <f>SUM($BB132,$AI132:AV132)-SUM($BY132:CM132)</f>
        <v>-306940</v>
      </c>
      <c r="BU132" s="8">
        <f>SUM($BB132,$AI132:AW132)-SUM($BY132:CN132)</f>
        <v>-373140</v>
      </c>
      <c r="BV132" s="8">
        <f>SUM($BB132,$AI132:AX132)-SUM($BY132:CO132)</f>
        <v>-399140</v>
      </c>
      <c r="BW132" s="8">
        <f>SUM($BB132,$AI132:AY132)-SUM($BY132:CP132)</f>
        <v>-399140</v>
      </c>
      <c r="BX132" s="8">
        <f>SUM($BB132,$AI132:AZ132)-SUM($BY132:CQ132)</f>
        <v>-399140</v>
      </c>
      <c r="BY132" s="8" cm="1">
        <f t="array" ref="BY132">SUMPRODUCT(TRANSPOSE(BY$2:BY$15),$I132:$V132)</f>
        <v>0</v>
      </c>
      <c r="BZ132" s="8" cm="1">
        <f t="array" ref="BZ132">SUMPRODUCT(TRANSPOSE(BZ$2:BZ$15),$I132:$V132)</f>
        <v>0</v>
      </c>
      <c r="CA132" s="8" cm="1">
        <f t="array" ref="CA132">SUMPRODUCT(TRANSPOSE(CA$2:CA$15),$I132:$V132)</f>
        <v>0</v>
      </c>
      <c r="CB132" s="8" cm="1">
        <f t="array" ref="CB132">SUMPRODUCT(TRANSPOSE(CB$2:CB$15),$I132:$V132)</f>
        <v>0</v>
      </c>
      <c r="CC132" s="8" cm="1">
        <f t="array" ref="CC132">SUMPRODUCT(TRANSPOSE(CC$2:CC$15),$I132:$V132)</f>
        <v>0</v>
      </c>
      <c r="CD132" s="8" cm="1">
        <f t="array" ref="CD132">SUMPRODUCT(TRANSPOSE(CD$2:CD$15),$I132:$V132)</f>
        <v>0</v>
      </c>
      <c r="CE132" s="8" cm="1">
        <f t="array" ref="CE132">SUMPRODUCT(TRANSPOSE(CE$2:CE$15),$I132:$V132)</f>
        <v>0</v>
      </c>
      <c r="CF132" s="8" cm="1">
        <f t="array" ref="CF132">SUMPRODUCT(TRANSPOSE(CF$2:CF$15),$I132:$V132)</f>
        <v>0</v>
      </c>
      <c r="CG132" s="8" cm="1">
        <f t="array" ref="CG132">SUMPRODUCT(TRANSPOSE(CG$2:CG$15),$I132:$V132)</f>
        <v>14800</v>
      </c>
      <c r="CH132" s="8" cm="1">
        <f t="array" ref="CH132">SUMPRODUCT(TRANSPOSE(CH$2:CH$15),$I132:$V132)</f>
        <v>32200</v>
      </c>
      <c r="CI132" s="8" cm="1">
        <f t="array" ref="CI132">SUMPRODUCT(TRANSPOSE(CI$2:CI$15),$I132:$V132)</f>
        <v>52000</v>
      </c>
      <c r="CJ132" s="8" cm="1">
        <f t="array" ref="CJ132">SUMPRODUCT(TRANSPOSE(CJ$2:CJ$15),$I132:$V132)</f>
        <v>56880</v>
      </c>
      <c r="CK132" s="8" cm="1">
        <f t="array" ref="CK132">SUMPRODUCT(TRANSPOSE(CK$2:CK$15),$I132:$V132)</f>
        <v>49600</v>
      </c>
      <c r="CL132" s="8" cm="1">
        <f t="array" ref="CL132">SUMPRODUCT(TRANSPOSE(CL$2:CL$15),$I132:$V132)</f>
        <v>43900</v>
      </c>
      <c r="CM132" s="8" cm="1">
        <f t="array" ref="CM132">SUMPRODUCT(TRANSPOSE(CM$2:CM$15),$I132:$V132)</f>
        <v>57560</v>
      </c>
      <c r="CN132" s="8" cm="1">
        <f t="array" ref="CN132">SUMPRODUCT(TRANSPOSE(CN$2:CN$15),$I132:$V132)</f>
        <v>66200</v>
      </c>
      <c r="CO132" s="8" cm="1">
        <f t="array" ref="CO132">SUMPRODUCT(TRANSPOSE(CO$2:CO$15),$I132:$V132)</f>
        <v>26000</v>
      </c>
      <c r="CP132" s="8" cm="1">
        <f t="array" ref="CP132">SUMPRODUCT(TRANSPOSE(CP$2:CP$15),$I132:$V132)</f>
        <v>0</v>
      </c>
      <c r="CQ132" s="8" cm="1">
        <f t="array" ref="CQ132">SUMPRODUCT(TRANSPOSE(CQ$2:CQ$15),$I132:$V132)</f>
        <v>0</v>
      </c>
    </row>
    <row r="133" spans="1:95" x14ac:dyDescent="0.25">
      <c r="A133" s="1">
        <v>244</v>
      </c>
      <c r="B133" s="11" t="s">
        <v>374</v>
      </c>
      <c r="C133" s="1" t="s">
        <v>49</v>
      </c>
      <c r="D133" s="1">
        <v>400149265</v>
      </c>
      <c r="E133" s="6"/>
      <c r="F133" s="1" t="s">
        <v>375</v>
      </c>
      <c r="G133" s="1" t="s">
        <v>35</v>
      </c>
      <c r="H133" s="1">
        <v>48</v>
      </c>
      <c r="I133" s="1">
        <v>0</v>
      </c>
      <c r="J133" s="1">
        <v>0</v>
      </c>
      <c r="K133" s="1">
        <v>0</v>
      </c>
      <c r="L133" s="1">
        <v>0</v>
      </c>
      <c r="M133" s="1">
        <v>24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24</v>
      </c>
      <c r="W133" s="1">
        <f>SUMPRODUCT(I133:V133,$I$13:$V$13)</f>
        <v>77040</v>
      </c>
      <c r="X133" s="6">
        <f t="shared" si="3"/>
        <v>1.0726559999999998</v>
      </c>
      <c r="Y133" s="1" t="str">
        <f>VLOOKUP(D133,[1]PARTS!$A$1:$G$65536,7,0)</f>
        <v>LAIRD TECHNOLOGIES SRO</v>
      </c>
      <c r="Z133" s="1">
        <v>5000</v>
      </c>
      <c r="AA133" s="1">
        <f>VLOOKUP(D133,[2]pareto!$D$12:$AX$306,45,0)</f>
        <v>20000</v>
      </c>
      <c r="AB133" s="1">
        <f>CEILING(W133,Z133)</f>
        <v>80000</v>
      </c>
      <c r="AC133" s="1">
        <f>VLOOKUP(D133,[2]pareto!$D$12:$AX$306,47,0)</f>
        <v>2.2346999999999999E-2</v>
      </c>
      <c r="AD133" s="1" t="s">
        <v>85</v>
      </c>
      <c r="AE133" s="1" t="s">
        <v>86</v>
      </c>
      <c r="AF133" s="19" t="s">
        <v>87</v>
      </c>
      <c r="AG133" s="1" t="s">
        <v>88</v>
      </c>
      <c r="BG133" s="8">
        <f>SUM($BB133,$AI133:AI133)-SUM($BY133:BZ133)</f>
        <v>0</v>
      </c>
      <c r="BH133" s="8">
        <f>SUM($BB133,$AI133:AJ133)-SUM($BY133:CA133)</f>
        <v>0</v>
      </c>
      <c r="BI133" s="8">
        <f>SUM($BB133,$AI133:AK133)-SUM($BY133:CB133)</f>
        <v>0</v>
      </c>
      <c r="BJ133" s="8">
        <f>SUM($BB133,$AI133:AL133)-SUM($BY133:CC133)</f>
        <v>0</v>
      </c>
      <c r="BK133" s="8">
        <f>SUM($BB133,$AI133:AM133)-SUM($BY133:CD133)</f>
        <v>0</v>
      </c>
      <c r="BL133" s="8">
        <f>SUM($BB133,$AI133:AN133)-SUM($BY133:CE133)</f>
        <v>0</v>
      </c>
      <c r="BM133" s="8">
        <f>SUM($BB133,$AI133:AO133)-SUM($BY133:CF133)</f>
        <v>0</v>
      </c>
      <c r="BN133" s="8">
        <f>SUM($BB133,$AI133:AP133)-SUM($BY133:CG133)</f>
        <v>-2400</v>
      </c>
      <c r="BO133" s="8">
        <f>SUM($BB133,$AI133:AQ133)-SUM($BY133:CH133)</f>
        <v>-8400</v>
      </c>
      <c r="BP133" s="8">
        <f>SUM($BB133,$AI133:AR133)-SUM($BY133:CI133)</f>
        <v>-18000</v>
      </c>
      <c r="BQ133" s="8">
        <f>SUM($BB133,$AI133:AS133)-SUM($BY133:CJ133)</f>
        <v>-29280</v>
      </c>
      <c r="BR133" s="8">
        <f>SUM($BB133,$AI133:AT133)-SUM($BY133:CK133)</f>
        <v>-38880</v>
      </c>
      <c r="BS133" s="8">
        <f>SUM($BB133,$AI133:AU133)-SUM($BY133:CL133)</f>
        <v>-47280</v>
      </c>
      <c r="BT133" s="8">
        <f>SUM($BB133,$AI133:AV133)-SUM($BY133:CM133)</f>
        <v>-57840</v>
      </c>
      <c r="BU133" s="8">
        <f>SUM($BB133,$AI133:AW133)-SUM($BY133:CN133)</f>
        <v>-70800</v>
      </c>
      <c r="BV133" s="8">
        <f>SUM($BB133,$AI133:AX133)-SUM($BY133:CO133)</f>
        <v>-77040</v>
      </c>
      <c r="BW133" s="8">
        <f>SUM($BB133,$AI133:AY133)-SUM($BY133:CP133)</f>
        <v>-77040</v>
      </c>
      <c r="BX133" s="8">
        <f>SUM($BB133,$AI133:AZ133)-SUM($BY133:CQ133)</f>
        <v>-77040</v>
      </c>
      <c r="BY133" s="8" cm="1">
        <f t="array" ref="BY133">SUMPRODUCT(TRANSPOSE(BY$2:BY$15),$I133:$V133)</f>
        <v>0</v>
      </c>
      <c r="BZ133" s="8" cm="1">
        <f t="array" ref="BZ133">SUMPRODUCT(TRANSPOSE(BZ$2:BZ$15),$I133:$V133)</f>
        <v>0</v>
      </c>
      <c r="CA133" s="8" cm="1">
        <f t="array" ref="CA133">SUMPRODUCT(TRANSPOSE(CA$2:CA$15),$I133:$V133)</f>
        <v>0</v>
      </c>
      <c r="CB133" s="8" cm="1">
        <f t="array" ref="CB133">SUMPRODUCT(TRANSPOSE(CB$2:CB$15),$I133:$V133)</f>
        <v>0</v>
      </c>
      <c r="CC133" s="8" cm="1">
        <f t="array" ref="CC133">SUMPRODUCT(TRANSPOSE(CC$2:CC$15),$I133:$V133)</f>
        <v>0</v>
      </c>
      <c r="CD133" s="8" cm="1">
        <f t="array" ref="CD133">SUMPRODUCT(TRANSPOSE(CD$2:CD$15),$I133:$V133)</f>
        <v>0</v>
      </c>
      <c r="CE133" s="8" cm="1">
        <f t="array" ref="CE133">SUMPRODUCT(TRANSPOSE(CE$2:CE$15),$I133:$V133)</f>
        <v>0</v>
      </c>
      <c r="CF133" s="8" cm="1">
        <f t="array" ref="CF133">SUMPRODUCT(TRANSPOSE(CF$2:CF$15),$I133:$V133)</f>
        <v>0</v>
      </c>
      <c r="CG133" s="8" cm="1">
        <f t="array" ref="CG133">SUMPRODUCT(TRANSPOSE(CG$2:CG$15),$I133:$V133)</f>
        <v>2400</v>
      </c>
      <c r="CH133" s="8" cm="1">
        <f t="array" ref="CH133">SUMPRODUCT(TRANSPOSE(CH$2:CH$15),$I133:$V133)</f>
        <v>6000</v>
      </c>
      <c r="CI133" s="8" cm="1">
        <f t="array" ref="CI133">SUMPRODUCT(TRANSPOSE(CI$2:CI$15),$I133:$V133)</f>
        <v>9600</v>
      </c>
      <c r="CJ133" s="8" cm="1">
        <f t="array" ref="CJ133">SUMPRODUCT(TRANSPOSE(CJ$2:CJ$15),$I133:$V133)</f>
        <v>11280</v>
      </c>
      <c r="CK133" s="8" cm="1">
        <f t="array" ref="CK133">SUMPRODUCT(TRANSPOSE(CK$2:CK$15),$I133:$V133)</f>
        <v>9600</v>
      </c>
      <c r="CL133" s="8" cm="1">
        <f t="array" ref="CL133">SUMPRODUCT(TRANSPOSE(CL$2:CL$15),$I133:$V133)</f>
        <v>8400</v>
      </c>
      <c r="CM133" s="8" cm="1">
        <f t="array" ref="CM133">SUMPRODUCT(TRANSPOSE(CM$2:CM$15),$I133:$V133)</f>
        <v>10560</v>
      </c>
      <c r="CN133" s="8" cm="1">
        <f t="array" ref="CN133">SUMPRODUCT(TRANSPOSE(CN$2:CN$15),$I133:$V133)</f>
        <v>12960</v>
      </c>
      <c r="CO133" s="8" cm="1">
        <f t="array" ref="CO133">SUMPRODUCT(TRANSPOSE(CO$2:CO$15),$I133:$V133)</f>
        <v>6240</v>
      </c>
      <c r="CP133" s="8" cm="1">
        <f t="array" ref="CP133">SUMPRODUCT(TRANSPOSE(CP$2:CP$15),$I133:$V133)</f>
        <v>0</v>
      </c>
      <c r="CQ133" s="8" cm="1">
        <f t="array" ref="CQ133">SUMPRODUCT(TRANSPOSE(CQ$2:CQ$15),$I133:$V133)</f>
        <v>0</v>
      </c>
    </row>
    <row r="134" spans="1:95" x14ac:dyDescent="0.25">
      <c r="A134" s="1">
        <v>116</v>
      </c>
      <c r="B134" s="11" t="s">
        <v>376</v>
      </c>
      <c r="C134" s="1" t="s">
        <v>49</v>
      </c>
      <c r="D134" s="1" t="s">
        <v>377</v>
      </c>
      <c r="E134" s="6"/>
      <c r="F134" s="1" t="s">
        <v>378</v>
      </c>
      <c r="G134" s="1" t="s">
        <v>35</v>
      </c>
      <c r="H134" s="1">
        <v>44</v>
      </c>
      <c r="I134" s="1">
        <v>0</v>
      </c>
      <c r="J134" s="1">
        <v>0</v>
      </c>
      <c r="K134" s="1">
        <v>0</v>
      </c>
      <c r="L134" s="1">
        <v>0</v>
      </c>
      <c r="M134" s="1">
        <v>22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22</v>
      </c>
      <c r="W134" s="1">
        <f>SUMPRODUCT(I134:V134,$I$13:$V$13)</f>
        <v>70620</v>
      </c>
      <c r="X134" s="6">
        <f t="shared" si="3"/>
        <v>2.4683999999999999</v>
      </c>
      <c r="Y134" s="1" t="str">
        <f>VLOOKUP(D134,[1]PARTS!$A$1:$G$65536,7,0)</f>
        <v>MURATA MANUFACTURING CO. LTD</v>
      </c>
      <c r="Z134" s="1">
        <f>VLOOKUP(D134,[2]pareto!$D$12:$AX$306,44,0)</f>
        <v>3000</v>
      </c>
      <c r="AA134" s="1" t="s">
        <v>379</v>
      </c>
      <c r="AB134" s="1">
        <f>CEILING(W134,Z134)</f>
        <v>72000</v>
      </c>
      <c r="AC134" s="1">
        <f>VLOOKUP(D134,[2]pareto!$D$12:$AX$306,47,0)</f>
        <v>5.6099999999999997E-2</v>
      </c>
      <c r="AD134" s="1" t="s">
        <v>85</v>
      </c>
      <c r="AE134" s="1" t="s">
        <v>86</v>
      </c>
      <c r="AF134" s="19" t="s">
        <v>87</v>
      </c>
      <c r="AG134" s="1" t="s">
        <v>88</v>
      </c>
      <c r="BG134" s="8">
        <f>SUM($BB134,$AI134:AI134)-SUM($BY134:BZ134)</f>
        <v>0</v>
      </c>
      <c r="BH134" s="8">
        <f>SUM($BB134,$AI134:AJ134)-SUM($BY134:CA134)</f>
        <v>0</v>
      </c>
      <c r="BI134" s="8">
        <f>SUM($BB134,$AI134:AK134)-SUM($BY134:CB134)</f>
        <v>0</v>
      </c>
      <c r="BJ134" s="8">
        <f>SUM($BB134,$AI134:AL134)-SUM($BY134:CC134)</f>
        <v>0</v>
      </c>
      <c r="BK134" s="8">
        <f>SUM($BB134,$AI134:AM134)-SUM($BY134:CD134)</f>
        <v>0</v>
      </c>
      <c r="BL134" s="8">
        <f>SUM($BB134,$AI134:AN134)-SUM($BY134:CE134)</f>
        <v>0</v>
      </c>
      <c r="BM134" s="8">
        <f>SUM($BB134,$AI134:AO134)-SUM($BY134:CF134)</f>
        <v>0</v>
      </c>
      <c r="BN134" s="8">
        <f>SUM($BB134,$AI134:AP134)-SUM($BY134:CG134)</f>
        <v>-2200</v>
      </c>
      <c r="BO134" s="8">
        <f>SUM($BB134,$AI134:AQ134)-SUM($BY134:CH134)</f>
        <v>-7700</v>
      </c>
      <c r="BP134" s="8">
        <f>SUM($BB134,$AI134:AR134)-SUM($BY134:CI134)</f>
        <v>-16500</v>
      </c>
      <c r="BQ134" s="8">
        <f>SUM($BB134,$AI134:AS134)-SUM($BY134:CJ134)</f>
        <v>-26840</v>
      </c>
      <c r="BR134" s="8">
        <f>SUM($BB134,$AI134:AT134)-SUM($BY134:CK134)</f>
        <v>-35640</v>
      </c>
      <c r="BS134" s="8">
        <f>SUM($BB134,$AI134:AU134)-SUM($BY134:CL134)</f>
        <v>-43340</v>
      </c>
      <c r="BT134" s="8">
        <f>SUM($BB134,$AI134:AV134)-SUM($BY134:CM134)</f>
        <v>-53020</v>
      </c>
      <c r="BU134" s="8">
        <f>SUM($BB134,$AI134:AW134)-SUM($BY134:CN134)</f>
        <v>-64900</v>
      </c>
      <c r="BV134" s="8">
        <f>SUM($BB134,$AI134:AX134)-SUM($BY134:CO134)</f>
        <v>-70620</v>
      </c>
      <c r="BW134" s="8">
        <f>SUM($BB134,$AI134:AY134)-SUM($BY134:CP134)</f>
        <v>-70620</v>
      </c>
      <c r="BX134" s="8">
        <f>SUM($BB134,$AI134:AZ134)-SUM($BY134:CQ134)</f>
        <v>-70620</v>
      </c>
      <c r="BY134" s="8" cm="1">
        <f t="array" ref="BY134">SUMPRODUCT(TRANSPOSE(BY$2:BY$15),$I134:$V134)</f>
        <v>0</v>
      </c>
      <c r="BZ134" s="8" cm="1">
        <f t="array" ref="BZ134">SUMPRODUCT(TRANSPOSE(BZ$2:BZ$15),$I134:$V134)</f>
        <v>0</v>
      </c>
      <c r="CA134" s="8" cm="1">
        <f t="array" ref="CA134">SUMPRODUCT(TRANSPOSE(CA$2:CA$15),$I134:$V134)</f>
        <v>0</v>
      </c>
      <c r="CB134" s="8" cm="1">
        <f t="array" ref="CB134">SUMPRODUCT(TRANSPOSE(CB$2:CB$15),$I134:$V134)</f>
        <v>0</v>
      </c>
      <c r="CC134" s="8" cm="1">
        <f t="array" ref="CC134">SUMPRODUCT(TRANSPOSE(CC$2:CC$15),$I134:$V134)</f>
        <v>0</v>
      </c>
      <c r="CD134" s="8" cm="1">
        <f t="array" ref="CD134">SUMPRODUCT(TRANSPOSE(CD$2:CD$15),$I134:$V134)</f>
        <v>0</v>
      </c>
      <c r="CE134" s="8" cm="1">
        <f t="array" ref="CE134">SUMPRODUCT(TRANSPOSE(CE$2:CE$15),$I134:$V134)</f>
        <v>0</v>
      </c>
      <c r="CF134" s="8" cm="1">
        <f t="array" ref="CF134">SUMPRODUCT(TRANSPOSE(CF$2:CF$15),$I134:$V134)</f>
        <v>0</v>
      </c>
      <c r="CG134" s="8" cm="1">
        <f t="array" ref="CG134">SUMPRODUCT(TRANSPOSE(CG$2:CG$15),$I134:$V134)</f>
        <v>2200</v>
      </c>
      <c r="CH134" s="8" cm="1">
        <f t="array" ref="CH134">SUMPRODUCT(TRANSPOSE(CH$2:CH$15),$I134:$V134)</f>
        <v>5500</v>
      </c>
      <c r="CI134" s="8" cm="1">
        <f t="array" ref="CI134">SUMPRODUCT(TRANSPOSE(CI$2:CI$15),$I134:$V134)</f>
        <v>8800</v>
      </c>
      <c r="CJ134" s="8" cm="1">
        <f t="array" ref="CJ134">SUMPRODUCT(TRANSPOSE(CJ$2:CJ$15),$I134:$V134)</f>
        <v>10340</v>
      </c>
      <c r="CK134" s="8" cm="1">
        <f t="array" ref="CK134">SUMPRODUCT(TRANSPOSE(CK$2:CK$15),$I134:$V134)</f>
        <v>8800</v>
      </c>
      <c r="CL134" s="8" cm="1">
        <f t="array" ref="CL134">SUMPRODUCT(TRANSPOSE(CL$2:CL$15),$I134:$V134)</f>
        <v>7700</v>
      </c>
      <c r="CM134" s="8" cm="1">
        <f t="array" ref="CM134">SUMPRODUCT(TRANSPOSE(CM$2:CM$15),$I134:$V134)</f>
        <v>9680</v>
      </c>
      <c r="CN134" s="8" cm="1">
        <f t="array" ref="CN134">SUMPRODUCT(TRANSPOSE(CN$2:CN$15),$I134:$V134)</f>
        <v>11880</v>
      </c>
      <c r="CO134" s="8" cm="1">
        <f t="array" ref="CO134">SUMPRODUCT(TRANSPOSE(CO$2:CO$15),$I134:$V134)</f>
        <v>5720</v>
      </c>
      <c r="CP134" s="8" cm="1">
        <f t="array" ref="CP134">SUMPRODUCT(TRANSPOSE(CP$2:CP$15),$I134:$V134)</f>
        <v>0</v>
      </c>
      <c r="CQ134" s="8" cm="1">
        <f t="array" ref="CQ134">SUMPRODUCT(TRANSPOSE(CQ$2:CQ$15),$I134:$V134)</f>
        <v>0</v>
      </c>
    </row>
    <row r="135" spans="1:95" x14ac:dyDescent="0.25">
      <c r="A135" s="13">
        <v>274</v>
      </c>
      <c r="B135" s="16" t="s">
        <v>380</v>
      </c>
      <c r="C135" s="13" t="s">
        <v>49</v>
      </c>
      <c r="D135" s="13">
        <v>409017833</v>
      </c>
      <c r="E135" s="6"/>
      <c r="F135" s="13" t="s">
        <v>381</v>
      </c>
      <c r="G135" s="17" t="s">
        <v>35</v>
      </c>
      <c r="H135" s="17">
        <v>52</v>
      </c>
      <c r="I135" s="17">
        <v>0</v>
      </c>
      <c r="J135" s="17">
        <v>0</v>
      </c>
      <c r="K135" s="17">
        <v>0</v>
      </c>
      <c r="L135" s="17">
        <v>22</v>
      </c>
      <c r="M135" s="17">
        <v>1</v>
      </c>
      <c r="N135" s="17">
        <v>0</v>
      </c>
      <c r="O135" s="17">
        <v>0</v>
      </c>
      <c r="P135" s="17">
        <v>0</v>
      </c>
      <c r="Q135" s="17">
        <v>28</v>
      </c>
      <c r="R135" s="17">
        <v>0</v>
      </c>
      <c r="S135" s="17">
        <v>0</v>
      </c>
      <c r="T135" s="17">
        <v>0</v>
      </c>
      <c r="U135" s="17">
        <v>0</v>
      </c>
      <c r="V135" s="17">
        <v>1</v>
      </c>
      <c r="W135" s="13">
        <f>SUMPRODUCT(I135:V135,$I$13:$V$13)</f>
        <v>83790</v>
      </c>
      <c r="X135" s="6">
        <f t="shared" si="3"/>
        <v>0</v>
      </c>
      <c r="Y135" s="17" t="str">
        <f>VLOOKUP(D135,[1]PARTS!$A$1:$G$65536,7,0)</f>
        <v>MURATA MANUFACTURING CO. LTD</v>
      </c>
      <c r="Z135" s="13" t="s">
        <v>131</v>
      </c>
      <c r="AA135" s="13" t="s">
        <v>131</v>
      </c>
      <c r="AB135" s="13">
        <v>82750</v>
      </c>
      <c r="AC135" s="13">
        <v>0</v>
      </c>
      <c r="AD135" s="13" t="s">
        <v>131</v>
      </c>
      <c r="AE135" s="13" t="s">
        <v>131</v>
      </c>
      <c r="AF135" s="13" t="s">
        <v>131</v>
      </c>
      <c r="AG135" s="13" t="s">
        <v>131</v>
      </c>
      <c r="AH135" s="13" t="s">
        <v>131</v>
      </c>
      <c r="BG135" s="8">
        <f>SUM($BB135,$AI135:AI135)-SUM($BY135:BZ135)</f>
        <v>0</v>
      </c>
      <c r="BH135" s="8">
        <f>SUM($BB135,$AI135:AJ135)-SUM($BY135:CA135)</f>
        <v>0</v>
      </c>
      <c r="BI135" s="8">
        <f>SUM($BB135,$AI135:AK135)-SUM($BY135:CB135)</f>
        <v>0</v>
      </c>
      <c r="BJ135" s="8">
        <f>SUM($BB135,$AI135:AL135)-SUM($BY135:CC135)</f>
        <v>0</v>
      </c>
      <c r="BK135" s="8">
        <f>SUM($BB135,$AI135:AM135)-SUM($BY135:CD135)</f>
        <v>0</v>
      </c>
      <c r="BL135" s="8">
        <f>SUM($BB135,$AI135:AN135)-SUM($BY135:CE135)</f>
        <v>0</v>
      </c>
      <c r="BM135" s="8">
        <f>SUM($BB135,$AI135:AO135)-SUM($BY135:CF135)</f>
        <v>0</v>
      </c>
      <c r="BN135" s="8">
        <f>SUM($BB135,$AI135:AP135)-SUM($BY135:CG135)</f>
        <v>-5100</v>
      </c>
      <c r="BO135" s="8">
        <f>SUM($BB135,$AI135:AQ135)-SUM($BY135:CH135)</f>
        <v>-12850</v>
      </c>
      <c r="BP135" s="8">
        <f>SUM($BB135,$AI135:AR135)-SUM($BY135:CI135)</f>
        <v>-25750</v>
      </c>
      <c r="BQ135" s="8">
        <f>SUM($BB135,$AI135:AS135)-SUM($BY135:CJ135)</f>
        <v>-36660</v>
      </c>
      <c r="BR135" s="8">
        <f>SUM($BB135,$AI135:AT135)-SUM($BY135:CK135)</f>
        <v>-47060</v>
      </c>
      <c r="BS135" s="8">
        <f>SUM($BB135,$AI135:AU135)-SUM($BY135:CL135)</f>
        <v>-56310</v>
      </c>
      <c r="BT135" s="8">
        <f>SUM($BB135,$AI135:AV135)-SUM($BY135:CM135)</f>
        <v>-70430</v>
      </c>
      <c r="BU135" s="8">
        <f>SUM($BB135,$AI135:AW135)-SUM($BY135:CN135)</f>
        <v>-83530</v>
      </c>
      <c r="BV135" s="8">
        <f>SUM($BB135,$AI135:AX135)-SUM($BY135:CO135)</f>
        <v>-83790</v>
      </c>
      <c r="BW135" s="8">
        <f>SUM($BB135,$AI135:AY135)-SUM($BY135:CP135)</f>
        <v>-83790</v>
      </c>
      <c r="BX135" s="8">
        <f>SUM($BB135,$AI135:AZ135)-SUM($BY135:CQ135)</f>
        <v>-83790</v>
      </c>
      <c r="BY135" s="8" cm="1">
        <f t="array" ref="BY135">SUMPRODUCT(TRANSPOSE(BY$2:BY$15),$I135:$V135)</f>
        <v>0</v>
      </c>
      <c r="BZ135" s="8" cm="1">
        <f t="array" ref="BZ135">SUMPRODUCT(TRANSPOSE(BZ$2:BZ$15),$I135:$V135)</f>
        <v>0</v>
      </c>
      <c r="CA135" s="8" cm="1">
        <f t="array" ref="CA135">SUMPRODUCT(TRANSPOSE(CA$2:CA$15),$I135:$V135)</f>
        <v>0</v>
      </c>
      <c r="CB135" s="8" cm="1">
        <f t="array" ref="CB135">SUMPRODUCT(TRANSPOSE(CB$2:CB$15),$I135:$V135)</f>
        <v>0</v>
      </c>
      <c r="CC135" s="8" cm="1">
        <f t="array" ref="CC135">SUMPRODUCT(TRANSPOSE(CC$2:CC$15),$I135:$V135)</f>
        <v>0</v>
      </c>
      <c r="CD135" s="8" cm="1">
        <f t="array" ref="CD135">SUMPRODUCT(TRANSPOSE(CD$2:CD$15),$I135:$V135)</f>
        <v>0</v>
      </c>
      <c r="CE135" s="8" cm="1">
        <f t="array" ref="CE135">SUMPRODUCT(TRANSPOSE(CE$2:CE$15),$I135:$V135)</f>
        <v>0</v>
      </c>
      <c r="CF135" s="8" cm="1">
        <f t="array" ref="CF135">SUMPRODUCT(TRANSPOSE(CF$2:CF$15),$I135:$V135)</f>
        <v>0</v>
      </c>
      <c r="CG135" s="8" cm="1">
        <f t="array" ref="CG135">SUMPRODUCT(TRANSPOSE(CG$2:CG$15),$I135:$V135)</f>
        <v>5100</v>
      </c>
      <c r="CH135" s="8" cm="1">
        <f t="array" ref="CH135">SUMPRODUCT(TRANSPOSE(CH$2:CH$15),$I135:$V135)</f>
        <v>7750</v>
      </c>
      <c r="CI135" s="8" cm="1">
        <f t="array" ref="CI135">SUMPRODUCT(TRANSPOSE(CI$2:CI$15),$I135:$V135)</f>
        <v>12900</v>
      </c>
      <c r="CJ135" s="8" cm="1">
        <f t="array" ref="CJ135">SUMPRODUCT(TRANSPOSE(CJ$2:CJ$15),$I135:$V135)</f>
        <v>10910</v>
      </c>
      <c r="CK135" s="8" cm="1">
        <f t="array" ref="CK135">SUMPRODUCT(TRANSPOSE(CK$2:CK$15),$I135:$V135)</f>
        <v>10400</v>
      </c>
      <c r="CL135" s="8" cm="1">
        <f t="array" ref="CL135">SUMPRODUCT(TRANSPOSE(CL$2:CL$15),$I135:$V135)</f>
        <v>9250</v>
      </c>
      <c r="CM135" s="8" cm="1">
        <f t="array" ref="CM135">SUMPRODUCT(TRANSPOSE(CM$2:CM$15),$I135:$V135)</f>
        <v>14120</v>
      </c>
      <c r="CN135" s="8" cm="1">
        <f t="array" ref="CN135">SUMPRODUCT(TRANSPOSE(CN$2:CN$15),$I135:$V135)</f>
        <v>13100</v>
      </c>
      <c r="CO135" s="8" cm="1">
        <f t="array" ref="CO135">SUMPRODUCT(TRANSPOSE(CO$2:CO$15),$I135:$V135)</f>
        <v>260</v>
      </c>
      <c r="CP135" s="8" cm="1">
        <f t="array" ref="CP135">SUMPRODUCT(TRANSPOSE(CP$2:CP$15),$I135:$V135)</f>
        <v>0</v>
      </c>
      <c r="CQ135" s="8" cm="1">
        <f t="array" ref="CQ135">SUMPRODUCT(TRANSPOSE(CQ$2:CQ$15),$I135:$V135)</f>
        <v>0</v>
      </c>
    </row>
    <row r="136" spans="1:95" x14ac:dyDescent="0.25">
      <c r="A136" s="1">
        <v>101</v>
      </c>
      <c r="B136" s="11" t="s">
        <v>382</v>
      </c>
      <c r="C136" s="1" t="s">
        <v>49</v>
      </c>
      <c r="D136" s="1">
        <v>401499258</v>
      </c>
      <c r="E136" s="6"/>
      <c r="F136" s="1" t="s">
        <v>383</v>
      </c>
      <c r="G136" s="1" t="s">
        <v>35</v>
      </c>
      <c r="H136" s="1">
        <v>2</v>
      </c>
      <c r="I136" s="1">
        <v>0</v>
      </c>
      <c r="J136" s="1">
        <v>0</v>
      </c>
      <c r="K136" s="1">
        <v>0</v>
      </c>
      <c r="L136" s="1">
        <v>0</v>
      </c>
      <c r="M136" s="1">
        <v>1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1</v>
      </c>
      <c r="W136" s="1">
        <f>SUMPRODUCT(I136:V136,$I$13:$V$13)</f>
        <v>3210</v>
      </c>
      <c r="X136" s="6">
        <f t="shared" si="3"/>
        <v>2.3296000000000001</v>
      </c>
      <c r="Y136" s="1" t="str">
        <f>VLOOKUP(D136,[1]PARTS!$A$1:$G$65536,7,0)</f>
        <v>TEXAS INSTRUMENTS INC</v>
      </c>
      <c r="Z136" s="1">
        <f>VLOOKUP(D136,[2]pareto!$D$12:$AX$306,44,0)</f>
        <v>2500</v>
      </c>
      <c r="AA136" s="1">
        <f>VLOOKUP(D136,[2]pareto!$D$12:$AX$306,45,0)</f>
        <v>2500</v>
      </c>
      <c r="AB136" s="1">
        <f>CEILING(W136,Z136)</f>
        <v>5000</v>
      </c>
      <c r="AC136" s="1">
        <v>1.1648000000000001</v>
      </c>
      <c r="AD136" s="1" t="s">
        <v>107</v>
      </c>
      <c r="AE136" s="1" t="s">
        <v>108</v>
      </c>
      <c r="AF136" s="19" t="s">
        <v>109</v>
      </c>
      <c r="AG136" s="1" t="s">
        <v>110</v>
      </c>
      <c r="BG136" s="8">
        <f>SUM($BB136,$AI136:AI136)-SUM($BY136:BZ136)</f>
        <v>0</v>
      </c>
      <c r="BH136" s="8">
        <f>SUM($BB136,$AI136:AJ136)-SUM($BY136:CA136)</f>
        <v>0</v>
      </c>
      <c r="BI136" s="8">
        <f>SUM($BB136,$AI136:AK136)-SUM($BY136:CB136)</f>
        <v>0</v>
      </c>
      <c r="BJ136" s="8">
        <f>SUM($BB136,$AI136:AL136)-SUM($BY136:CC136)</f>
        <v>0</v>
      </c>
      <c r="BK136" s="8">
        <f>SUM($BB136,$AI136:AM136)-SUM($BY136:CD136)</f>
        <v>0</v>
      </c>
      <c r="BL136" s="8">
        <f>SUM($BB136,$AI136:AN136)-SUM($BY136:CE136)</f>
        <v>0</v>
      </c>
      <c r="BM136" s="8">
        <f>SUM($BB136,$AI136:AO136)-SUM($BY136:CF136)</f>
        <v>0</v>
      </c>
      <c r="BN136" s="8">
        <f>SUM($BB136,$AI136:AP136)-SUM($BY136:CG136)</f>
        <v>-100</v>
      </c>
      <c r="BO136" s="8">
        <f>SUM($BB136,$AI136:AQ136)-SUM($BY136:CH136)</f>
        <v>-350</v>
      </c>
      <c r="BP136" s="8">
        <f>SUM($BB136,$AI136:AR136)-SUM($BY136:CI136)</f>
        <v>-750</v>
      </c>
      <c r="BQ136" s="8">
        <f>SUM($BB136,$AI136:AS136)-SUM($BY136:CJ136)</f>
        <v>-1220</v>
      </c>
      <c r="BR136" s="8">
        <f>SUM($BB136,$AI136:AT136)-SUM($BY136:CK136)</f>
        <v>-1620</v>
      </c>
      <c r="BS136" s="8">
        <f>SUM($BB136,$AI136:AU136)-SUM($BY136:CL136)</f>
        <v>-1970</v>
      </c>
      <c r="BT136" s="8">
        <f>SUM($BB136,$AI136:AV136)-SUM($BY136:CM136)</f>
        <v>-2410</v>
      </c>
      <c r="BU136" s="8">
        <f>SUM($BB136,$AI136:AW136)-SUM($BY136:CN136)</f>
        <v>-2950</v>
      </c>
      <c r="BV136" s="8">
        <f>SUM($BB136,$AI136:AX136)-SUM($BY136:CO136)</f>
        <v>-3210</v>
      </c>
      <c r="BW136" s="8">
        <f>SUM($BB136,$AI136:AY136)-SUM($BY136:CP136)</f>
        <v>-3210</v>
      </c>
      <c r="BX136" s="8">
        <f>SUM($BB136,$AI136:AZ136)-SUM($BY136:CQ136)</f>
        <v>-3210</v>
      </c>
      <c r="BY136" s="8" cm="1">
        <f t="array" ref="BY136">SUMPRODUCT(TRANSPOSE(BY$2:BY$15),$I136:$V136)</f>
        <v>0</v>
      </c>
      <c r="BZ136" s="8" cm="1">
        <f t="array" ref="BZ136">SUMPRODUCT(TRANSPOSE(BZ$2:BZ$15),$I136:$V136)</f>
        <v>0</v>
      </c>
      <c r="CA136" s="8" cm="1">
        <f t="array" ref="CA136">SUMPRODUCT(TRANSPOSE(CA$2:CA$15),$I136:$V136)</f>
        <v>0</v>
      </c>
      <c r="CB136" s="8" cm="1">
        <f t="array" ref="CB136">SUMPRODUCT(TRANSPOSE(CB$2:CB$15),$I136:$V136)</f>
        <v>0</v>
      </c>
      <c r="CC136" s="8" cm="1">
        <f t="array" ref="CC136">SUMPRODUCT(TRANSPOSE(CC$2:CC$15),$I136:$V136)</f>
        <v>0</v>
      </c>
      <c r="CD136" s="8" cm="1">
        <f t="array" ref="CD136">SUMPRODUCT(TRANSPOSE(CD$2:CD$15),$I136:$V136)</f>
        <v>0</v>
      </c>
      <c r="CE136" s="8" cm="1">
        <f t="array" ref="CE136">SUMPRODUCT(TRANSPOSE(CE$2:CE$15),$I136:$V136)</f>
        <v>0</v>
      </c>
      <c r="CF136" s="8" cm="1">
        <f t="array" ref="CF136">SUMPRODUCT(TRANSPOSE(CF$2:CF$15),$I136:$V136)</f>
        <v>0</v>
      </c>
      <c r="CG136" s="8" cm="1">
        <f t="array" ref="CG136">SUMPRODUCT(TRANSPOSE(CG$2:CG$15),$I136:$V136)</f>
        <v>100</v>
      </c>
      <c r="CH136" s="8" cm="1">
        <f t="array" ref="CH136">SUMPRODUCT(TRANSPOSE(CH$2:CH$15),$I136:$V136)</f>
        <v>250</v>
      </c>
      <c r="CI136" s="8" cm="1">
        <f t="array" ref="CI136">SUMPRODUCT(TRANSPOSE(CI$2:CI$15),$I136:$V136)</f>
        <v>400</v>
      </c>
      <c r="CJ136" s="8" cm="1">
        <f t="array" ref="CJ136">SUMPRODUCT(TRANSPOSE(CJ$2:CJ$15),$I136:$V136)</f>
        <v>470</v>
      </c>
      <c r="CK136" s="8" cm="1">
        <f t="array" ref="CK136">SUMPRODUCT(TRANSPOSE(CK$2:CK$15),$I136:$V136)</f>
        <v>400</v>
      </c>
      <c r="CL136" s="8" cm="1">
        <f t="array" ref="CL136">SUMPRODUCT(TRANSPOSE(CL$2:CL$15),$I136:$V136)</f>
        <v>350</v>
      </c>
      <c r="CM136" s="8" cm="1">
        <f t="array" ref="CM136">SUMPRODUCT(TRANSPOSE(CM$2:CM$15),$I136:$V136)</f>
        <v>440</v>
      </c>
      <c r="CN136" s="8" cm="1">
        <f t="array" ref="CN136">SUMPRODUCT(TRANSPOSE(CN$2:CN$15),$I136:$V136)</f>
        <v>540</v>
      </c>
      <c r="CO136" s="8" cm="1">
        <f t="array" ref="CO136">SUMPRODUCT(TRANSPOSE(CO$2:CO$15),$I136:$V136)</f>
        <v>260</v>
      </c>
      <c r="CP136" s="8" cm="1">
        <f t="array" ref="CP136">SUMPRODUCT(TRANSPOSE(CP$2:CP$15),$I136:$V136)</f>
        <v>0</v>
      </c>
      <c r="CQ136" s="8" cm="1">
        <f t="array" ref="CQ136">SUMPRODUCT(TRANSPOSE(CQ$2:CQ$15),$I136:$V136)</f>
        <v>0</v>
      </c>
    </row>
    <row r="137" spans="1:95" x14ac:dyDescent="0.25">
      <c r="A137" s="1">
        <v>16</v>
      </c>
      <c r="B137" s="11" t="s">
        <v>384</v>
      </c>
      <c r="C137" s="1" t="s">
        <v>41</v>
      </c>
      <c r="D137" s="1">
        <v>404482032</v>
      </c>
      <c r="E137" s="6"/>
      <c r="F137" s="1" t="s">
        <v>385</v>
      </c>
      <c r="G137" s="1" t="s">
        <v>256</v>
      </c>
      <c r="H137" s="1" t="s">
        <v>257</v>
      </c>
      <c r="I137" s="1">
        <v>0</v>
      </c>
      <c r="J137" s="1">
        <v>0</v>
      </c>
      <c r="K137" s="1">
        <v>0</v>
      </c>
      <c r="L137" s="1">
        <v>0.05</v>
      </c>
      <c r="M137" s="1">
        <v>0</v>
      </c>
      <c r="N137" s="1">
        <v>0</v>
      </c>
      <c r="O137" s="1">
        <v>0</v>
      </c>
      <c r="P137" s="1">
        <v>0</v>
      </c>
      <c r="Q137" s="1">
        <v>0.05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f>SUMPRODUCT(I137:V137,$I$13:$V$13)</f>
        <v>160.5</v>
      </c>
      <c r="X137" s="6">
        <f t="shared" si="3"/>
        <v>1.9000000000000001</v>
      </c>
      <c r="Y137" s="1" t="str">
        <f>VLOOKUP(D137,[1]PARTS!$A$1:$G$65536,7,0)</f>
        <v/>
      </c>
      <c r="Z137" s="1" t="e">
        <f>VLOOKUP(D137,[2]pareto!$D$12:$AX$306,44,0)</f>
        <v>#REF!</v>
      </c>
      <c r="AA137" s="1" t="e">
        <f>VLOOKUP(D137,[2]pareto!$D$12:$AX$306,45,0)</f>
        <v>#REF!</v>
      </c>
      <c r="AB137" s="1" t="e">
        <f>CEILING(W137,Z137)</f>
        <v>#REF!</v>
      </c>
      <c r="AC137" s="20">
        <f>VLOOKUP(D137,[2]pareto!$D$12:$AX$306,47,0)</f>
        <v>19</v>
      </c>
      <c r="AD137" s="1" t="s">
        <v>366</v>
      </c>
      <c r="AE137" s="1" t="s">
        <v>367</v>
      </c>
      <c r="AF137" s="12" t="s">
        <v>368</v>
      </c>
      <c r="AG137" s="1" t="s">
        <v>369</v>
      </c>
      <c r="BG137" s="8">
        <f>SUM($BB137,$AI137:AI137)-SUM($BY137:BZ137)</f>
        <v>0</v>
      </c>
      <c r="BH137" s="8">
        <f>SUM($BB137,$AI137:AJ137)-SUM($BY137:CA137)</f>
        <v>0</v>
      </c>
      <c r="BI137" s="8">
        <f>SUM($BB137,$AI137:AK137)-SUM($BY137:CB137)</f>
        <v>0</v>
      </c>
      <c r="BJ137" s="8">
        <f>SUM($BB137,$AI137:AL137)-SUM($BY137:CC137)</f>
        <v>0</v>
      </c>
      <c r="BK137" s="8">
        <f>SUM($BB137,$AI137:AM137)-SUM($BY137:CD137)</f>
        <v>0</v>
      </c>
      <c r="BL137" s="8">
        <f>SUM($BB137,$AI137:AN137)-SUM($BY137:CE137)</f>
        <v>0</v>
      </c>
      <c r="BM137" s="8">
        <f>SUM($BB137,$AI137:AO137)-SUM($BY137:CF137)</f>
        <v>0</v>
      </c>
      <c r="BN137" s="8">
        <f>SUM($BB137,$AI137:AP137)-SUM($BY137:CG137)</f>
        <v>-10</v>
      </c>
      <c r="BO137" s="8">
        <f>SUM($BB137,$AI137:AQ137)-SUM($BY137:CH137)</f>
        <v>-25</v>
      </c>
      <c r="BP137" s="8">
        <f>SUM($BB137,$AI137:AR137)-SUM($BY137:CI137)</f>
        <v>-50</v>
      </c>
      <c r="BQ137" s="8">
        <f>SUM($BB137,$AI137:AS137)-SUM($BY137:CJ137)</f>
        <v>-71</v>
      </c>
      <c r="BR137" s="8">
        <f>SUM($BB137,$AI137:AT137)-SUM($BY137:CK137)</f>
        <v>-91</v>
      </c>
      <c r="BS137" s="8">
        <f>SUM($BB137,$AI137:AU137)-SUM($BY137:CL137)</f>
        <v>-108.5</v>
      </c>
      <c r="BT137" s="8">
        <f>SUM($BB137,$AI137:AV137)-SUM($BY137:CM137)</f>
        <v>-135.5</v>
      </c>
      <c r="BU137" s="8">
        <f>SUM($BB137,$AI137:AW137)-SUM($BY137:CN137)</f>
        <v>-160.5</v>
      </c>
      <c r="BV137" s="8">
        <f>SUM($BB137,$AI137:AX137)-SUM($BY137:CO137)</f>
        <v>-160.5</v>
      </c>
      <c r="BW137" s="8">
        <f>SUM($BB137,$AI137:AY137)-SUM($BY137:CP137)</f>
        <v>-160.5</v>
      </c>
      <c r="BX137" s="8">
        <f>SUM($BB137,$AI137:AZ137)-SUM($BY137:CQ137)</f>
        <v>-160.5</v>
      </c>
      <c r="BY137" s="8" cm="1">
        <f t="array" ref="BY137">SUMPRODUCT(TRANSPOSE(BY$2:BY$15),$I137:$V137)</f>
        <v>0</v>
      </c>
      <c r="BZ137" s="8" cm="1">
        <f t="array" ref="BZ137">SUMPRODUCT(TRANSPOSE(BZ$2:BZ$15),$I137:$V137)</f>
        <v>0</v>
      </c>
      <c r="CA137" s="8" cm="1">
        <f t="array" ref="CA137">SUMPRODUCT(TRANSPOSE(CA$2:CA$15),$I137:$V137)</f>
        <v>0</v>
      </c>
      <c r="CB137" s="8" cm="1">
        <f t="array" ref="CB137">SUMPRODUCT(TRANSPOSE(CB$2:CB$15),$I137:$V137)</f>
        <v>0</v>
      </c>
      <c r="CC137" s="8" cm="1">
        <f t="array" ref="CC137">SUMPRODUCT(TRANSPOSE(CC$2:CC$15),$I137:$V137)</f>
        <v>0</v>
      </c>
      <c r="CD137" s="8" cm="1">
        <f t="array" ref="CD137">SUMPRODUCT(TRANSPOSE(CD$2:CD$15),$I137:$V137)</f>
        <v>0</v>
      </c>
      <c r="CE137" s="8" cm="1">
        <f t="array" ref="CE137">SUMPRODUCT(TRANSPOSE(CE$2:CE$15),$I137:$V137)</f>
        <v>0</v>
      </c>
      <c r="CF137" s="8" cm="1">
        <f t="array" ref="CF137">SUMPRODUCT(TRANSPOSE(CF$2:CF$15),$I137:$V137)</f>
        <v>0</v>
      </c>
      <c r="CG137" s="8" cm="1">
        <f t="array" ref="CG137">SUMPRODUCT(TRANSPOSE(CG$2:CG$15),$I137:$V137)</f>
        <v>10</v>
      </c>
      <c r="CH137" s="8" cm="1">
        <f t="array" ref="CH137">SUMPRODUCT(TRANSPOSE(CH$2:CH$15),$I137:$V137)</f>
        <v>15</v>
      </c>
      <c r="CI137" s="8" cm="1">
        <f t="array" ref="CI137">SUMPRODUCT(TRANSPOSE(CI$2:CI$15),$I137:$V137)</f>
        <v>25</v>
      </c>
      <c r="CJ137" s="8" cm="1">
        <f t="array" ref="CJ137">SUMPRODUCT(TRANSPOSE(CJ$2:CJ$15),$I137:$V137)</f>
        <v>21</v>
      </c>
      <c r="CK137" s="8" cm="1">
        <f t="array" ref="CK137">SUMPRODUCT(TRANSPOSE(CK$2:CK$15),$I137:$V137)</f>
        <v>20</v>
      </c>
      <c r="CL137" s="8" cm="1">
        <f t="array" ref="CL137">SUMPRODUCT(TRANSPOSE(CL$2:CL$15),$I137:$V137)</f>
        <v>17.5</v>
      </c>
      <c r="CM137" s="8" cm="1">
        <f t="array" ref="CM137">SUMPRODUCT(TRANSPOSE(CM$2:CM$15),$I137:$V137)</f>
        <v>27</v>
      </c>
      <c r="CN137" s="8" cm="1">
        <f t="array" ref="CN137">SUMPRODUCT(TRANSPOSE(CN$2:CN$15),$I137:$V137)</f>
        <v>25</v>
      </c>
      <c r="CO137" s="8" cm="1">
        <f t="array" ref="CO137">SUMPRODUCT(TRANSPOSE(CO$2:CO$15),$I137:$V137)</f>
        <v>0</v>
      </c>
      <c r="CP137" s="8" cm="1">
        <f t="array" ref="CP137">SUMPRODUCT(TRANSPOSE(CP$2:CP$15),$I137:$V137)</f>
        <v>0</v>
      </c>
      <c r="CQ137" s="8" cm="1">
        <f t="array" ref="CQ137">SUMPRODUCT(TRANSPOSE(CQ$2:CQ$15),$I137:$V137)</f>
        <v>0</v>
      </c>
    </row>
    <row r="138" spans="1:95" x14ac:dyDescent="0.25">
      <c r="A138" s="1">
        <v>134</v>
      </c>
      <c r="B138" s="11" t="s">
        <v>386</v>
      </c>
      <c r="C138" s="1" t="s">
        <v>49</v>
      </c>
      <c r="D138" s="1">
        <v>401554938</v>
      </c>
      <c r="E138" s="6">
        <f>VLOOKUP(D138,FFF!$A$2:$B$674,2,)</f>
        <v>401502404</v>
      </c>
      <c r="F138" s="1" t="s">
        <v>387</v>
      </c>
      <c r="G138" s="1" t="s">
        <v>35</v>
      </c>
      <c r="H138" s="1">
        <v>44</v>
      </c>
      <c r="I138" s="1">
        <v>0</v>
      </c>
      <c r="J138" s="1">
        <v>0</v>
      </c>
      <c r="K138" s="1">
        <v>0</v>
      </c>
      <c r="L138" s="1">
        <v>12</v>
      </c>
      <c r="M138" s="1">
        <v>8</v>
      </c>
      <c r="N138" s="1">
        <v>0</v>
      </c>
      <c r="O138" s="1">
        <v>0</v>
      </c>
      <c r="P138" s="1">
        <v>0</v>
      </c>
      <c r="Q138" s="1">
        <v>16</v>
      </c>
      <c r="R138" s="1">
        <v>0</v>
      </c>
      <c r="S138" s="1">
        <v>0</v>
      </c>
      <c r="T138" s="1">
        <v>0</v>
      </c>
      <c r="U138" s="1">
        <v>0</v>
      </c>
      <c r="V138" s="1">
        <v>8</v>
      </c>
      <c r="W138" s="1">
        <f>SUMPRODUCT(I138:V138,$I$13:$V$13)</f>
        <v>70840</v>
      </c>
      <c r="X138" s="6">
        <f t="shared" si="3"/>
        <v>1.5546959999999999</v>
      </c>
      <c r="Y138" s="1" t="str">
        <f>VLOOKUP(D138,[1]PARTS!$A$1:$G$65536,7,0)</f>
        <v>KEMET ELECTRONICS S A</v>
      </c>
      <c r="Z138" s="1">
        <f>VLOOKUP(D138,[2]pareto!$D$12:$AX$306,44,0)</f>
        <v>2500</v>
      </c>
      <c r="AA138" s="1">
        <f>VLOOKUP(D138,[2]pareto!$D$12:$AX$306,45,0)</f>
        <v>2500</v>
      </c>
      <c r="AB138" s="1">
        <f>CEILING(W138,Z138)</f>
        <v>72500</v>
      </c>
      <c r="AC138" s="1">
        <f>VLOOKUP(D138,[2]pareto!$D$12:$AX$306,47,0)</f>
        <v>3.5333999999999997E-2</v>
      </c>
      <c r="AD138" s="1" t="s">
        <v>85</v>
      </c>
      <c r="AE138" s="1" t="s">
        <v>86</v>
      </c>
      <c r="AF138" s="19" t="s">
        <v>87</v>
      </c>
      <c r="AG138" s="1" t="s">
        <v>88</v>
      </c>
      <c r="BG138" s="8">
        <f>SUM($BB138,$AI138:AI138)-SUM($BY138:BZ138)</f>
        <v>0</v>
      </c>
      <c r="BH138" s="8">
        <f>SUM($BB138,$AI138:AJ138)-SUM($BY138:CA138)</f>
        <v>0</v>
      </c>
      <c r="BI138" s="8">
        <f>SUM($BB138,$AI138:AK138)-SUM($BY138:CB138)</f>
        <v>0</v>
      </c>
      <c r="BJ138" s="8">
        <f>SUM($BB138,$AI138:AL138)-SUM($BY138:CC138)</f>
        <v>0</v>
      </c>
      <c r="BK138" s="8">
        <f>SUM($BB138,$AI138:AM138)-SUM($BY138:CD138)</f>
        <v>0</v>
      </c>
      <c r="BL138" s="8">
        <f>SUM($BB138,$AI138:AN138)-SUM($BY138:CE138)</f>
        <v>0</v>
      </c>
      <c r="BM138" s="8">
        <f>SUM($BB138,$AI138:AO138)-SUM($BY138:CF138)</f>
        <v>0</v>
      </c>
      <c r="BN138" s="8">
        <f>SUM($BB138,$AI138:AP138)-SUM($BY138:CG138)</f>
        <v>-3600</v>
      </c>
      <c r="BO138" s="8">
        <f>SUM($BB138,$AI138:AQ138)-SUM($BY138:CH138)</f>
        <v>-9800</v>
      </c>
      <c r="BP138" s="8">
        <f>SUM($BB138,$AI138:AR138)-SUM($BY138:CI138)</f>
        <v>-20000</v>
      </c>
      <c r="BQ138" s="8">
        <f>SUM($BB138,$AI138:AS138)-SUM($BY138:CJ138)</f>
        <v>-29600</v>
      </c>
      <c r="BR138" s="8">
        <f>SUM($BB138,$AI138:AT138)-SUM($BY138:CK138)</f>
        <v>-38400</v>
      </c>
      <c r="BS138" s="8">
        <f>SUM($BB138,$AI138:AU138)-SUM($BY138:CL138)</f>
        <v>-46200</v>
      </c>
      <c r="BT138" s="8">
        <f>SUM($BB138,$AI138:AV138)-SUM($BY138:CM138)</f>
        <v>-57400</v>
      </c>
      <c r="BU138" s="8">
        <f>SUM($BB138,$AI138:AW138)-SUM($BY138:CN138)</f>
        <v>-68760</v>
      </c>
      <c r="BV138" s="8">
        <f>SUM($BB138,$AI138:AX138)-SUM($BY138:CO138)</f>
        <v>-70840</v>
      </c>
      <c r="BW138" s="8">
        <f>SUM($BB138,$AI138:AY138)-SUM($BY138:CP138)</f>
        <v>-70840</v>
      </c>
      <c r="BX138" s="8">
        <f>SUM($BB138,$AI138:AZ138)-SUM($BY138:CQ138)</f>
        <v>-70840</v>
      </c>
      <c r="BY138" s="8" cm="1">
        <f t="array" ref="BY138">SUMPRODUCT(TRANSPOSE(BY$2:BY$15),$I138:$V138)</f>
        <v>0</v>
      </c>
      <c r="BZ138" s="8" cm="1">
        <f t="array" ref="BZ138">SUMPRODUCT(TRANSPOSE(BZ$2:BZ$15),$I138:$V138)</f>
        <v>0</v>
      </c>
      <c r="CA138" s="8" cm="1">
        <f t="array" ref="CA138">SUMPRODUCT(TRANSPOSE(CA$2:CA$15),$I138:$V138)</f>
        <v>0</v>
      </c>
      <c r="CB138" s="8" cm="1">
        <f t="array" ref="CB138">SUMPRODUCT(TRANSPOSE(CB$2:CB$15),$I138:$V138)</f>
        <v>0</v>
      </c>
      <c r="CC138" s="8" cm="1">
        <f t="array" ref="CC138">SUMPRODUCT(TRANSPOSE(CC$2:CC$15),$I138:$V138)</f>
        <v>0</v>
      </c>
      <c r="CD138" s="8" cm="1">
        <f t="array" ref="CD138">SUMPRODUCT(TRANSPOSE(CD$2:CD$15),$I138:$V138)</f>
        <v>0</v>
      </c>
      <c r="CE138" s="8" cm="1">
        <f t="array" ref="CE138">SUMPRODUCT(TRANSPOSE(CE$2:CE$15),$I138:$V138)</f>
        <v>0</v>
      </c>
      <c r="CF138" s="8" cm="1">
        <f t="array" ref="CF138">SUMPRODUCT(TRANSPOSE(CF$2:CF$15),$I138:$V138)</f>
        <v>0</v>
      </c>
      <c r="CG138" s="8" cm="1">
        <f t="array" ref="CG138">SUMPRODUCT(TRANSPOSE(CG$2:CG$15),$I138:$V138)</f>
        <v>3600</v>
      </c>
      <c r="CH138" s="8" cm="1">
        <f t="array" ref="CH138">SUMPRODUCT(TRANSPOSE(CH$2:CH$15),$I138:$V138)</f>
        <v>6200</v>
      </c>
      <c r="CI138" s="8" cm="1">
        <f t="array" ref="CI138">SUMPRODUCT(TRANSPOSE(CI$2:CI$15),$I138:$V138)</f>
        <v>10200</v>
      </c>
      <c r="CJ138" s="8" cm="1">
        <f t="array" ref="CJ138">SUMPRODUCT(TRANSPOSE(CJ$2:CJ$15),$I138:$V138)</f>
        <v>9600</v>
      </c>
      <c r="CK138" s="8" cm="1">
        <f t="array" ref="CK138">SUMPRODUCT(TRANSPOSE(CK$2:CK$15),$I138:$V138)</f>
        <v>8800</v>
      </c>
      <c r="CL138" s="8" cm="1">
        <f t="array" ref="CL138">SUMPRODUCT(TRANSPOSE(CL$2:CL$15),$I138:$V138)</f>
        <v>7800</v>
      </c>
      <c r="CM138" s="8" cm="1">
        <f t="array" ref="CM138">SUMPRODUCT(TRANSPOSE(CM$2:CM$15),$I138:$V138)</f>
        <v>11200</v>
      </c>
      <c r="CN138" s="8" cm="1">
        <f t="array" ref="CN138">SUMPRODUCT(TRANSPOSE(CN$2:CN$15),$I138:$V138)</f>
        <v>11360</v>
      </c>
      <c r="CO138" s="8" cm="1">
        <f t="array" ref="CO138">SUMPRODUCT(TRANSPOSE(CO$2:CO$15),$I138:$V138)</f>
        <v>2080</v>
      </c>
      <c r="CP138" s="8" cm="1">
        <f t="array" ref="CP138">SUMPRODUCT(TRANSPOSE(CP$2:CP$15),$I138:$V138)</f>
        <v>0</v>
      </c>
      <c r="CQ138" s="8" cm="1">
        <f t="array" ref="CQ138">SUMPRODUCT(TRANSPOSE(CQ$2:CQ$15),$I138:$V138)</f>
        <v>0</v>
      </c>
    </row>
    <row r="139" spans="1:95" x14ac:dyDescent="0.25">
      <c r="A139" s="1">
        <v>125</v>
      </c>
      <c r="B139" s="11" t="s">
        <v>388</v>
      </c>
      <c r="C139" s="1" t="s">
        <v>49</v>
      </c>
      <c r="D139" s="1">
        <v>400664922</v>
      </c>
      <c r="E139" s="6">
        <f>VLOOKUP(D139,FFF!$A$2:$B$674,2,)</f>
        <v>400481224</v>
      </c>
      <c r="F139" s="1" t="s">
        <v>389</v>
      </c>
      <c r="G139" s="1" t="s">
        <v>35</v>
      </c>
      <c r="H139" s="1">
        <v>18</v>
      </c>
      <c r="I139" s="1">
        <v>0</v>
      </c>
      <c r="J139" s="1">
        <v>0</v>
      </c>
      <c r="K139" s="1">
        <v>0</v>
      </c>
      <c r="L139" s="1">
        <v>4</v>
      </c>
      <c r="M139" s="1">
        <v>7</v>
      </c>
      <c r="N139" s="1">
        <v>0</v>
      </c>
      <c r="O139" s="1">
        <v>0</v>
      </c>
      <c r="P139" s="1">
        <v>0</v>
      </c>
      <c r="Q139" s="1">
        <v>4</v>
      </c>
      <c r="R139" s="1">
        <v>0</v>
      </c>
      <c r="S139" s="1">
        <v>0</v>
      </c>
      <c r="T139" s="1">
        <v>0</v>
      </c>
      <c r="U139" s="1">
        <v>0</v>
      </c>
      <c r="V139" s="1">
        <v>7</v>
      </c>
      <c r="W139" s="1">
        <f>SUMPRODUCT(I139:V139,$I$13:$V$13)</f>
        <v>35310</v>
      </c>
      <c r="X139" s="6">
        <f t="shared" si="3"/>
        <v>0.113256</v>
      </c>
      <c r="Y139" s="1" t="str">
        <f>VLOOKUP(D139,[1]PARTS!$A$1:$G$65536,7,0)</f>
        <v>KEMET ELECTRONICS S A</v>
      </c>
      <c r="Z139" s="1">
        <f>VLOOKUP(D139,[2]pareto!$D$12:$AX$306,44,0)</f>
        <v>4000</v>
      </c>
      <c r="AA139" s="1">
        <f>VLOOKUP(D139,[2]pareto!$D$12:$AX$306,45,0)</f>
        <v>4000</v>
      </c>
      <c r="AB139" s="1">
        <f>CEILING(W139,Z139)</f>
        <v>36000</v>
      </c>
      <c r="AC139" s="1">
        <f>VLOOKUP(D139,[2]pareto!$D$12:$AX$306,47,0)</f>
        <v>5.1479999999999998E-3</v>
      </c>
      <c r="AD139" s="1" t="s">
        <v>85</v>
      </c>
      <c r="AE139" s="1" t="s">
        <v>86</v>
      </c>
      <c r="AF139" s="19" t="s">
        <v>87</v>
      </c>
      <c r="AG139" s="1" t="s">
        <v>88</v>
      </c>
      <c r="BG139" s="8">
        <f>SUM($BB139,$AI139:AI139)-SUM($BY139:BZ139)</f>
        <v>0</v>
      </c>
      <c r="BH139" s="8">
        <f>SUM($BB139,$AI139:AJ139)-SUM($BY139:CA139)</f>
        <v>0</v>
      </c>
      <c r="BI139" s="8">
        <f>SUM($BB139,$AI139:AK139)-SUM($BY139:CB139)</f>
        <v>0</v>
      </c>
      <c r="BJ139" s="8">
        <f>SUM($BB139,$AI139:AL139)-SUM($BY139:CC139)</f>
        <v>0</v>
      </c>
      <c r="BK139" s="8">
        <f>SUM($BB139,$AI139:AM139)-SUM($BY139:CD139)</f>
        <v>0</v>
      </c>
      <c r="BL139" s="8">
        <f>SUM($BB139,$AI139:AN139)-SUM($BY139:CE139)</f>
        <v>0</v>
      </c>
      <c r="BM139" s="8">
        <f>SUM($BB139,$AI139:AO139)-SUM($BY139:CF139)</f>
        <v>0</v>
      </c>
      <c r="BN139" s="8">
        <f>SUM($BB139,$AI139:AP139)-SUM($BY139:CG139)</f>
        <v>-1500</v>
      </c>
      <c r="BO139" s="8">
        <f>SUM($BB139,$AI139:AQ139)-SUM($BY139:CH139)</f>
        <v>-4450</v>
      </c>
      <c r="BP139" s="8">
        <f>SUM($BB139,$AI139:AR139)-SUM($BY139:CI139)</f>
        <v>-9250</v>
      </c>
      <c r="BQ139" s="8">
        <f>SUM($BB139,$AI139:AS139)-SUM($BY139:CJ139)</f>
        <v>-14220</v>
      </c>
      <c r="BR139" s="8">
        <f>SUM($BB139,$AI139:AT139)-SUM($BY139:CK139)</f>
        <v>-18620</v>
      </c>
      <c r="BS139" s="8">
        <f>SUM($BB139,$AI139:AU139)-SUM($BY139:CL139)</f>
        <v>-22470</v>
      </c>
      <c r="BT139" s="8">
        <f>SUM($BB139,$AI139:AV139)-SUM($BY139:CM139)</f>
        <v>-27710</v>
      </c>
      <c r="BU139" s="8">
        <f>SUM($BB139,$AI139:AW139)-SUM($BY139:CN139)</f>
        <v>-33490</v>
      </c>
      <c r="BV139" s="8">
        <f>SUM($BB139,$AI139:AX139)-SUM($BY139:CO139)</f>
        <v>-35310</v>
      </c>
      <c r="BW139" s="8">
        <f>SUM($BB139,$AI139:AY139)-SUM($BY139:CP139)</f>
        <v>-35310</v>
      </c>
      <c r="BX139" s="8">
        <f>SUM($BB139,$AI139:AZ139)-SUM($BY139:CQ139)</f>
        <v>-35310</v>
      </c>
      <c r="BY139" s="8" cm="1">
        <f t="array" ref="BY139">SUMPRODUCT(TRANSPOSE(BY$2:BY$15),$I139:$V139)</f>
        <v>0</v>
      </c>
      <c r="BZ139" s="8" cm="1">
        <f t="array" ref="BZ139">SUMPRODUCT(TRANSPOSE(BZ$2:BZ$15),$I139:$V139)</f>
        <v>0</v>
      </c>
      <c r="CA139" s="8" cm="1">
        <f t="array" ref="CA139">SUMPRODUCT(TRANSPOSE(CA$2:CA$15),$I139:$V139)</f>
        <v>0</v>
      </c>
      <c r="CB139" s="8" cm="1">
        <f t="array" ref="CB139">SUMPRODUCT(TRANSPOSE(CB$2:CB$15),$I139:$V139)</f>
        <v>0</v>
      </c>
      <c r="CC139" s="8" cm="1">
        <f t="array" ref="CC139">SUMPRODUCT(TRANSPOSE(CC$2:CC$15),$I139:$V139)</f>
        <v>0</v>
      </c>
      <c r="CD139" s="8" cm="1">
        <f t="array" ref="CD139">SUMPRODUCT(TRANSPOSE(CD$2:CD$15),$I139:$V139)</f>
        <v>0</v>
      </c>
      <c r="CE139" s="8" cm="1">
        <f t="array" ref="CE139">SUMPRODUCT(TRANSPOSE(CE$2:CE$15),$I139:$V139)</f>
        <v>0</v>
      </c>
      <c r="CF139" s="8" cm="1">
        <f t="array" ref="CF139">SUMPRODUCT(TRANSPOSE(CF$2:CF$15),$I139:$V139)</f>
        <v>0</v>
      </c>
      <c r="CG139" s="8" cm="1">
        <f t="array" ref="CG139">SUMPRODUCT(TRANSPOSE(CG$2:CG$15),$I139:$V139)</f>
        <v>1500</v>
      </c>
      <c r="CH139" s="8" cm="1">
        <f t="array" ref="CH139">SUMPRODUCT(TRANSPOSE(CH$2:CH$15),$I139:$V139)</f>
        <v>2950</v>
      </c>
      <c r="CI139" s="8" cm="1">
        <f t="array" ref="CI139">SUMPRODUCT(TRANSPOSE(CI$2:CI$15),$I139:$V139)</f>
        <v>4800</v>
      </c>
      <c r="CJ139" s="8" cm="1">
        <f t="array" ref="CJ139">SUMPRODUCT(TRANSPOSE(CJ$2:CJ$15),$I139:$V139)</f>
        <v>4970</v>
      </c>
      <c r="CK139" s="8" cm="1">
        <f t="array" ref="CK139">SUMPRODUCT(TRANSPOSE(CK$2:CK$15),$I139:$V139)</f>
        <v>4400</v>
      </c>
      <c r="CL139" s="8" cm="1">
        <f t="array" ref="CL139">SUMPRODUCT(TRANSPOSE(CL$2:CL$15),$I139:$V139)</f>
        <v>3850</v>
      </c>
      <c r="CM139" s="8" cm="1">
        <f t="array" ref="CM139">SUMPRODUCT(TRANSPOSE(CM$2:CM$15),$I139:$V139)</f>
        <v>5240</v>
      </c>
      <c r="CN139" s="8" cm="1">
        <f t="array" ref="CN139">SUMPRODUCT(TRANSPOSE(CN$2:CN$15),$I139:$V139)</f>
        <v>5780</v>
      </c>
      <c r="CO139" s="8" cm="1">
        <f t="array" ref="CO139">SUMPRODUCT(TRANSPOSE(CO$2:CO$15),$I139:$V139)</f>
        <v>1820</v>
      </c>
      <c r="CP139" s="8" cm="1">
        <f t="array" ref="CP139">SUMPRODUCT(TRANSPOSE(CP$2:CP$15),$I139:$V139)</f>
        <v>0</v>
      </c>
      <c r="CQ139" s="8" cm="1">
        <f t="array" ref="CQ139">SUMPRODUCT(TRANSPOSE(CQ$2:CQ$15),$I139:$V139)</f>
        <v>0</v>
      </c>
    </row>
    <row r="140" spans="1:95" x14ac:dyDescent="0.25">
      <c r="A140" s="1">
        <v>103</v>
      </c>
      <c r="B140" s="11" t="s">
        <v>390</v>
      </c>
      <c r="C140" s="1" t="s">
        <v>49</v>
      </c>
      <c r="D140" s="1">
        <v>403834726</v>
      </c>
      <c r="E140" s="6" t="str">
        <f>VLOOKUP(D140,FFF!$A$2:$B$674,2,)</f>
        <v>FFF004628</v>
      </c>
      <c r="F140" s="1" t="s">
        <v>391</v>
      </c>
      <c r="G140" s="1" t="s">
        <v>35</v>
      </c>
      <c r="H140" s="1">
        <v>4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4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f>SUMPRODUCT(I140:V140,$I$13:$V$13)</f>
        <v>6640</v>
      </c>
      <c r="X140" s="6">
        <f t="shared" si="3"/>
        <v>2.48</v>
      </c>
      <c r="Y140" s="1" t="str">
        <f>VLOOKUP(D140,[1]PARTS!$A$1:$G$65536,7,0)</f>
        <v>AVX</v>
      </c>
      <c r="Z140" s="1">
        <v>7000</v>
      </c>
      <c r="AA140" s="1">
        <v>7000</v>
      </c>
      <c r="AB140" s="1">
        <f>CEILING(W140,Z140)</f>
        <v>7000</v>
      </c>
      <c r="AC140" s="1">
        <v>0.62</v>
      </c>
      <c r="AD140" s="1" t="s">
        <v>140</v>
      </c>
      <c r="AE140" s="1" t="s">
        <v>141</v>
      </c>
      <c r="AF140" s="12" t="s">
        <v>142</v>
      </c>
      <c r="AG140" s="1" t="s">
        <v>143</v>
      </c>
      <c r="AH140" s="1" t="s">
        <v>392</v>
      </c>
      <c r="BG140" s="8">
        <f>SUM($BB140,$AI140:AI140)-SUM($BY140:BZ140)</f>
        <v>0</v>
      </c>
      <c r="BH140" s="8">
        <f>SUM($BB140,$AI140:AJ140)-SUM($BY140:CA140)</f>
        <v>0</v>
      </c>
      <c r="BI140" s="8">
        <f>SUM($BB140,$AI140:AK140)-SUM($BY140:CB140)</f>
        <v>0</v>
      </c>
      <c r="BJ140" s="8">
        <f>SUM($BB140,$AI140:AL140)-SUM($BY140:CC140)</f>
        <v>0</v>
      </c>
      <c r="BK140" s="8">
        <f>SUM($BB140,$AI140:AM140)-SUM($BY140:CD140)</f>
        <v>0</v>
      </c>
      <c r="BL140" s="8">
        <f>SUM($BB140,$AI140:AN140)-SUM($BY140:CE140)</f>
        <v>0</v>
      </c>
      <c r="BM140" s="8">
        <f>SUM($BB140,$AI140:AO140)-SUM($BY140:CF140)</f>
        <v>0</v>
      </c>
      <c r="BN140" s="8">
        <f>SUM($BB140,$AI140:AP140)-SUM($BY140:CG140)</f>
        <v>-400</v>
      </c>
      <c r="BO140" s="8">
        <f>SUM($BB140,$AI140:AQ140)-SUM($BY140:CH140)</f>
        <v>-1000</v>
      </c>
      <c r="BP140" s="8">
        <f>SUM($BB140,$AI140:AR140)-SUM($BY140:CI140)</f>
        <v>-2000</v>
      </c>
      <c r="BQ140" s="8">
        <f>SUM($BB140,$AI140:AS140)-SUM($BY140:CJ140)</f>
        <v>-2800</v>
      </c>
      <c r="BR140" s="8">
        <f>SUM($BB140,$AI140:AT140)-SUM($BY140:CK140)</f>
        <v>-3600</v>
      </c>
      <c r="BS140" s="8">
        <f>SUM($BB140,$AI140:AU140)-SUM($BY140:CL140)</f>
        <v>-4400</v>
      </c>
      <c r="BT140" s="8">
        <f>SUM($BB140,$AI140:AV140)-SUM($BY140:CM140)</f>
        <v>-5600</v>
      </c>
      <c r="BU140" s="8">
        <f>SUM($BB140,$AI140:AW140)-SUM($BY140:CN140)</f>
        <v>-6640</v>
      </c>
      <c r="BV140" s="8">
        <f>SUM($BB140,$AI140:AX140)-SUM($BY140:CO140)</f>
        <v>-6640</v>
      </c>
      <c r="BW140" s="8">
        <f>SUM($BB140,$AI140:AY140)-SUM($BY140:CP140)</f>
        <v>-6640</v>
      </c>
      <c r="BX140" s="8">
        <f>SUM($BB140,$AI140:AZ140)-SUM($BY140:CQ140)</f>
        <v>-6640</v>
      </c>
      <c r="BY140" s="8" cm="1">
        <f t="array" ref="BY140">SUMPRODUCT(TRANSPOSE(BY$2:BY$15),$I140:$V140)</f>
        <v>0</v>
      </c>
      <c r="BZ140" s="8" cm="1">
        <f t="array" ref="BZ140">SUMPRODUCT(TRANSPOSE(BZ$2:BZ$15),$I140:$V140)</f>
        <v>0</v>
      </c>
      <c r="CA140" s="8" cm="1">
        <f t="array" ref="CA140">SUMPRODUCT(TRANSPOSE(CA$2:CA$15),$I140:$V140)</f>
        <v>0</v>
      </c>
      <c r="CB140" s="8" cm="1">
        <f t="array" ref="CB140">SUMPRODUCT(TRANSPOSE(CB$2:CB$15),$I140:$V140)</f>
        <v>0</v>
      </c>
      <c r="CC140" s="8" cm="1">
        <f t="array" ref="CC140">SUMPRODUCT(TRANSPOSE(CC$2:CC$15),$I140:$V140)</f>
        <v>0</v>
      </c>
      <c r="CD140" s="8" cm="1">
        <f t="array" ref="CD140">SUMPRODUCT(TRANSPOSE(CD$2:CD$15),$I140:$V140)</f>
        <v>0</v>
      </c>
      <c r="CE140" s="8" cm="1">
        <f t="array" ref="CE140">SUMPRODUCT(TRANSPOSE(CE$2:CE$15),$I140:$V140)</f>
        <v>0</v>
      </c>
      <c r="CF140" s="8" cm="1">
        <f t="array" ref="CF140">SUMPRODUCT(TRANSPOSE(CF$2:CF$15),$I140:$V140)</f>
        <v>0</v>
      </c>
      <c r="CG140" s="8" cm="1">
        <f t="array" ref="CG140">SUMPRODUCT(TRANSPOSE(CG$2:CG$15),$I140:$V140)</f>
        <v>400</v>
      </c>
      <c r="CH140" s="8" cm="1">
        <f t="array" ref="CH140">SUMPRODUCT(TRANSPOSE(CH$2:CH$15),$I140:$V140)</f>
        <v>600</v>
      </c>
      <c r="CI140" s="8" cm="1">
        <f t="array" ref="CI140">SUMPRODUCT(TRANSPOSE(CI$2:CI$15),$I140:$V140)</f>
        <v>1000</v>
      </c>
      <c r="CJ140" s="8" cm="1">
        <f t="array" ref="CJ140">SUMPRODUCT(TRANSPOSE(CJ$2:CJ$15),$I140:$V140)</f>
        <v>800</v>
      </c>
      <c r="CK140" s="8" cm="1">
        <f t="array" ref="CK140">SUMPRODUCT(TRANSPOSE(CK$2:CK$15),$I140:$V140)</f>
        <v>800</v>
      </c>
      <c r="CL140" s="8" cm="1">
        <f t="array" ref="CL140">SUMPRODUCT(TRANSPOSE(CL$2:CL$15),$I140:$V140)</f>
        <v>800</v>
      </c>
      <c r="CM140" s="8" cm="1">
        <f t="array" ref="CM140">SUMPRODUCT(TRANSPOSE(CM$2:CM$15),$I140:$V140)</f>
        <v>1200</v>
      </c>
      <c r="CN140" s="8" cm="1">
        <f t="array" ref="CN140">SUMPRODUCT(TRANSPOSE(CN$2:CN$15),$I140:$V140)</f>
        <v>1040</v>
      </c>
      <c r="CO140" s="8" cm="1">
        <f t="array" ref="CO140">SUMPRODUCT(TRANSPOSE(CO$2:CO$15),$I140:$V140)</f>
        <v>0</v>
      </c>
      <c r="CP140" s="8" cm="1">
        <f t="array" ref="CP140">SUMPRODUCT(TRANSPOSE(CP$2:CP$15),$I140:$V140)</f>
        <v>0</v>
      </c>
      <c r="CQ140" s="8" cm="1">
        <f t="array" ref="CQ140">SUMPRODUCT(TRANSPOSE(CQ$2:CQ$15),$I140:$V140)</f>
        <v>0</v>
      </c>
    </row>
    <row r="141" spans="1:95" x14ac:dyDescent="0.25">
      <c r="A141" s="1">
        <v>128</v>
      </c>
      <c r="B141" s="11" t="s">
        <v>393</v>
      </c>
      <c r="C141" s="1" t="s">
        <v>49</v>
      </c>
      <c r="D141" s="1">
        <v>401504556</v>
      </c>
      <c r="E141" s="6">
        <f>VLOOKUP(D141,FFF!$A$2:$B$674,2,)</f>
        <v>401502386</v>
      </c>
      <c r="F141" s="1" t="s">
        <v>394</v>
      </c>
      <c r="G141" s="1" t="s">
        <v>35</v>
      </c>
      <c r="H141" s="1">
        <v>40</v>
      </c>
      <c r="I141" s="1">
        <v>0</v>
      </c>
      <c r="J141" s="1">
        <v>0</v>
      </c>
      <c r="K141" s="1">
        <v>0</v>
      </c>
      <c r="L141" s="1">
        <v>0</v>
      </c>
      <c r="M141" s="1">
        <v>20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20</v>
      </c>
      <c r="W141" s="1">
        <f>SUMPRODUCT(I141:V141,$I$13:$V$13)</f>
        <v>64200</v>
      </c>
      <c r="X141" s="6">
        <f t="shared" si="3"/>
        <v>1.52</v>
      </c>
      <c r="Y141" s="1" t="str">
        <f>VLOOKUP(D141,[1]PARTS!$A$1:$G$65536,7,0)</f>
        <v>KEMET ELECTRONICS S A</v>
      </c>
      <c r="Z141" s="1">
        <v>4000</v>
      </c>
      <c r="AA141" s="1">
        <f>VLOOKUP(D141,[2]pareto!$D$12:$AX$306,45,0)</f>
        <v>4000</v>
      </c>
      <c r="AB141" s="1">
        <f>CEILING(W141,Z141)</f>
        <v>68000</v>
      </c>
      <c r="AC141" s="1">
        <f>VLOOKUP(D141,[2]pareto!$D$12:$AX$306,47,0)</f>
        <v>3.7999999999999999E-2</v>
      </c>
      <c r="AD141" s="1" t="s">
        <v>119</v>
      </c>
      <c r="AE141" s="1" t="s">
        <v>243</v>
      </c>
      <c r="AF141" s="12" t="s">
        <v>244</v>
      </c>
      <c r="AG141" s="1" t="s">
        <v>245</v>
      </c>
      <c r="BG141" s="8">
        <f>SUM($BB141,$AI141:AI141)-SUM($BY141:BZ141)</f>
        <v>0</v>
      </c>
      <c r="BH141" s="8">
        <f>SUM($BB141,$AI141:AJ141)-SUM($BY141:CA141)</f>
        <v>0</v>
      </c>
      <c r="BI141" s="8">
        <f>SUM($BB141,$AI141:AK141)-SUM($BY141:CB141)</f>
        <v>0</v>
      </c>
      <c r="BJ141" s="8">
        <f>SUM($BB141,$AI141:AL141)-SUM($BY141:CC141)</f>
        <v>0</v>
      </c>
      <c r="BK141" s="8">
        <f>SUM($BB141,$AI141:AM141)-SUM($BY141:CD141)</f>
        <v>0</v>
      </c>
      <c r="BL141" s="8">
        <f>SUM($BB141,$AI141:AN141)-SUM($BY141:CE141)</f>
        <v>0</v>
      </c>
      <c r="BM141" s="8">
        <f>SUM($BB141,$AI141:AO141)-SUM($BY141:CF141)</f>
        <v>0</v>
      </c>
      <c r="BN141" s="8">
        <f>SUM($BB141,$AI141:AP141)-SUM($BY141:CG141)</f>
        <v>-2000</v>
      </c>
      <c r="BO141" s="8">
        <f>SUM($BB141,$AI141:AQ141)-SUM($BY141:CH141)</f>
        <v>-7000</v>
      </c>
      <c r="BP141" s="8">
        <f>SUM($BB141,$AI141:AR141)-SUM($BY141:CI141)</f>
        <v>-15000</v>
      </c>
      <c r="BQ141" s="8">
        <f>SUM($BB141,$AI141:AS141)-SUM($BY141:CJ141)</f>
        <v>-24400</v>
      </c>
      <c r="BR141" s="8">
        <f>SUM($BB141,$AI141:AT141)-SUM($BY141:CK141)</f>
        <v>-32400</v>
      </c>
      <c r="BS141" s="8">
        <f>SUM($BB141,$AI141:AU141)-SUM($BY141:CL141)</f>
        <v>-39400</v>
      </c>
      <c r="BT141" s="8">
        <f>SUM($BB141,$AI141:AV141)-SUM($BY141:CM141)</f>
        <v>-48200</v>
      </c>
      <c r="BU141" s="8">
        <f>SUM($BB141,$AI141:AW141)-SUM($BY141:CN141)</f>
        <v>-59000</v>
      </c>
      <c r="BV141" s="8">
        <f>SUM($BB141,$AI141:AX141)-SUM($BY141:CO141)</f>
        <v>-64200</v>
      </c>
      <c r="BW141" s="8">
        <f>SUM($BB141,$AI141:AY141)-SUM($BY141:CP141)</f>
        <v>-64200</v>
      </c>
      <c r="BX141" s="8">
        <f>SUM($BB141,$AI141:AZ141)-SUM($BY141:CQ141)</f>
        <v>-64200</v>
      </c>
      <c r="BY141" s="8" cm="1">
        <f t="array" ref="BY141">SUMPRODUCT(TRANSPOSE(BY$2:BY$15),$I141:$V141)</f>
        <v>0</v>
      </c>
      <c r="BZ141" s="8" cm="1">
        <f t="array" ref="BZ141">SUMPRODUCT(TRANSPOSE(BZ$2:BZ$15),$I141:$V141)</f>
        <v>0</v>
      </c>
      <c r="CA141" s="8" cm="1">
        <f t="array" ref="CA141">SUMPRODUCT(TRANSPOSE(CA$2:CA$15),$I141:$V141)</f>
        <v>0</v>
      </c>
      <c r="CB141" s="8" cm="1">
        <f t="array" ref="CB141">SUMPRODUCT(TRANSPOSE(CB$2:CB$15),$I141:$V141)</f>
        <v>0</v>
      </c>
      <c r="CC141" s="8" cm="1">
        <f t="array" ref="CC141">SUMPRODUCT(TRANSPOSE(CC$2:CC$15),$I141:$V141)</f>
        <v>0</v>
      </c>
      <c r="CD141" s="8" cm="1">
        <f t="array" ref="CD141">SUMPRODUCT(TRANSPOSE(CD$2:CD$15),$I141:$V141)</f>
        <v>0</v>
      </c>
      <c r="CE141" s="8" cm="1">
        <f t="array" ref="CE141">SUMPRODUCT(TRANSPOSE(CE$2:CE$15),$I141:$V141)</f>
        <v>0</v>
      </c>
      <c r="CF141" s="8" cm="1">
        <f t="array" ref="CF141">SUMPRODUCT(TRANSPOSE(CF$2:CF$15),$I141:$V141)</f>
        <v>0</v>
      </c>
      <c r="CG141" s="8" cm="1">
        <f t="array" ref="CG141">SUMPRODUCT(TRANSPOSE(CG$2:CG$15),$I141:$V141)</f>
        <v>2000</v>
      </c>
      <c r="CH141" s="8" cm="1">
        <f t="array" ref="CH141">SUMPRODUCT(TRANSPOSE(CH$2:CH$15),$I141:$V141)</f>
        <v>5000</v>
      </c>
      <c r="CI141" s="8" cm="1">
        <f t="array" ref="CI141">SUMPRODUCT(TRANSPOSE(CI$2:CI$15),$I141:$V141)</f>
        <v>8000</v>
      </c>
      <c r="CJ141" s="8" cm="1">
        <f t="array" ref="CJ141">SUMPRODUCT(TRANSPOSE(CJ$2:CJ$15),$I141:$V141)</f>
        <v>9400</v>
      </c>
      <c r="CK141" s="8" cm="1">
        <f t="array" ref="CK141">SUMPRODUCT(TRANSPOSE(CK$2:CK$15),$I141:$V141)</f>
        <v>8000</v>
      </c>
      <c r="CL141" s="8" cm="1">
        <f t="array" ref="CL141">SUMPRODUCT(TRANSPOSE(CL$2:CL$15),$I141:$V141)</f>
        <v>7000</v>
      </c>
      <c r="CM141" s="8" cm="1">
        <f t="array" ref="CM141">SUMPRODUCT(TRANSPOSE(CM$2:CM$15),$I141:$V141)</f>
        <v>8800</v>
      </c>
      <c r="CN141" s="8" cm="1">
        <f t="array" ref="CN141">SUMPRODUCT(TRANSPOSE(CN$2:CN$15),$I141:$V141)</f>
        <v>10800</v>
      </c>
      <c r="CO141" s="8" cm="1">
        <f t="array" ref="CO141">SUMPRODUCT(TRANSPOSE(CO$2:CO$15),$I141:$V141)</f>
        <v>5200</v>
      </c>
      <c r="CP141" s="8" cm="1">
        <f t="array" ref="CP141">SUMPRODUCT(TRANSPOSE(CP$2:CP$15),$I141:$V141)</f>
        <v>0</v>
      </c>
      <c r="CQ141" s="8" cm="1">
        <f t="array" ref="CQ141">SUMPRODUCT(TRANSPOSE(CQ$2:CQ$15),$I141:$V141)</f>
        <v>0</v>
      </c>
    </row>
    <row r="142" spans="1:95" x14ac:dyDescent="0.25">
      <c r="A142" s="1">
        <v>131</v>
      </c>
      <c r="B142" s="11" t="s">
        <v>395</v>
      </c>
      <c r="C142" s="1" t="s">
        <v>49</v>
      </c>
      <c r="D142" s="1">
        <v>400950741</v>
      </c>
      <c r="E142" s="6">
        <f>VLOOKUP(D142,FFF!$A$2:$B$674,2,)</f>
        <v>400481258</v>
      </c>
      <c r="F142" s="1" t="s">
        <v>396</v>
      </c>
      <c r="G142" s="1" t="s">
        <v>35</v>
      </c>
      <c r="H142" s="1">
        <v>14</v>
      </c>
      <c r="I142" s="1">
        <v>0</v>
      </c>
      <c r="J142" s="1">
        <v>0</v>
      </c>
      <c r="K142" s="1">
        <v>0</v>
      </c>
      <c r="L142" s="1">
        <v>2</v>
      </c>
      <c r="M142" s="1">
        <v>5</v>
      </c>
      <c r="N142" s="1">
        <v>0</v>
      </c>
      <c r="O142" s="1">
        <v>0</v>
      </c>
      <c r="P142" s="1">
        <v>0</v>
      </c>
      <c r="Q142" s="1">
        <v>2</v>
      </c>
      <c r="R142" s="1">
        <v>0</v>
      </c>
      <c r="S142" s="1">
        <v>0</v>
      </c>
      <c r="T142" s="1">
        <v>0</v>
      </c>
      <c r="U142" s="1">
        <v>0</v>
      </c>
      <c r="V142" s="1">
        <v>5</v>
      </c>
      <c r="W142" s="1">
        <f>SUMPRODUCT(I142:V142,$I$13:$V$13)</f>
        <v>22470</v>
      </c>
      <c r="X142" s="6">
        <f t="shared" si="3"/>
        <v>1.5806699999999998</v>
      </c>
      <c r="Y142" s="1" t="str">
        <f>VLOOKUP(D142,[1]PARTS!$A$1:$G$65536,7,0)</f>
        <v>KEMET ELECTRONICS S A</v>
      </c>
      <c r="Z142" s="1">
        <f>VLOOKUP(D142,[2]pareto!$D$12:$AX$306,44,0)</f>
        <v>4000</v>
      </c>
      <c r="AA142" s="1">
        <f>VLOOKUP(D142,[2]pareto!$D$12:$AX$306,45,0)</f>
        <v>4000</v>
      </c>
      <c r="AB142" s="1">
        <f>CEILING(W142,Z142)</f>
        <v>24000</v>
      </c>
      <c r="AC142" s="1">
        <f>VLOOKUP(D142,[2]pareto!$D$12:$AX$306,47,0)</f>
        <v>0.11290499999999999</v>
      </c>
      <c r="AD142" s="1" t="s">
        <v>85</v>
      </c>
      <c r="AE142" s="1" t="s">
        <v>86</v>
      </c>
      <c r="AF142" s="19" t="s">
        <v>87</v>
      </c>
      <c r="AG142" s="1" t="s">
        <v>88</v>
      </c>
      <c r="BG142" s="8">
        <f>SUM($BB142,$AI142:AI142)-SUM($BY142:BZ142)</f>
        <v>0</v>
      </c>
      <c r="BH142" s="8">
        <f>SUM($BB142,$AI142:AJ142)-SUM($BY142:CA142)</f>
        <v>0</v>
      </c>
      <c r="BI142" s="8">
        <f>SUM($BB142,$AI142:AK142)-SUM($BY142:CB142)</f>
        <v>0</v>
      </c>
      <c r="BJ142" s="8">
        <f>SUM($BB142,$AI142:AL142)-SUM($BY142:CC142)</f>
        <v>0</v>
      </c>
      <c r="BK142" s="8">
        <f>SUM($BB142,$AI142:AM142)-SUM($BY142:CD142)</f>
        <v>0</v>
      </c>
      <c r="BL142" s="8">
        <f>SUM($BB142,$AI142:AN142)-SUM($BY142:CE142)</f>
        <v>0</v>
      </c>
      <c r="BM142" s="8">
        <f>SUM($BB142,$AI142:AO142)-SUM($BY142:CF142)</f>
        <v>0</v>
      </c>
      <c r="BN142" s="8">
        <f>SUM($BB142,$AI142:AP142)-SUM($BY142:CG142)</f>
        <v>-900</v>
      </c>
      <c r="BO142" s="8">
        <f>SUM($BB142,$AI142:AQ142)-SUM($BY142:CH142)</f>
        <v>-2750</v>
      </c>
      <c r="BP142" s="8">
        <f>SUM($BB142,$AI142:AR142)-SUM($BY142:CI142)</f>
        <v>-5750</v>
      </c>
      <c r="BQ142" s="8">
        <f>SUM($BB142,$AI142:AS142)-SUM($BY142:CJ142)</f>
        <v>-8940</v>
      </c>
      <c r="BR142" s="8">
        <f>SUM($BB142,$AI142:AT142)-SUM($BY142:CK142)</f>
        <v>-11740</v>
      </c>
      <c r="BS142" s="8">
        <f>SUM($BB142,$AI142:AU142)-SUM($BY142:CL142)</f>
        <v>-14190</v>
      </c>
      <c r="BT142" s="8">
        <f>SUM($BB142,$AI142:AV142)-SUM($BY142:CM142)</f>
        <v>-17470</v>
      </c>
      <c r="BU142" s="8">
        <f>SUM($BB142,$AI142:AW142)-SUM($BY142:CN142)</f>
        <v>-21170</v>
      </c>
      <c r="BV142" s="8">
        <f>SUM($BB142,$AI142:AX142)-SUM($BY142:CO142)</f>
        <v>-22470</v>
      </c>
      <c r="BW142" s="8">
        <f>SUM($BB142,$AI142:AY142)-SUM($BY142:CP142)</f>
        <v>-22470</v>
      </c>
      <c r="BX142" s="8">
        <f>SUM($BB142,$AI142:AZ142)-SUM($BY142:CQ142)</f>
        <v>-22470</v>
      </c>
      <c r="BY142" s="8" cm="1">
        <f t="array" ref="BY142">SUMPRODUCT(TRANSPOSE(BY$2:BY$15),$I142:$V142)</f>
        <v>0</v>
      </c>
      <c r="BZ142" s="8" cm="1">
        <f t="array" ref="BZ142">SUMPRODUCT(TRANSPOSE(BZ$2:BZ$15),$I142:$V142)</f>
        <v>0</v>
      </c>
      <c r="CA142" s="8" cm="1">
        <f t="array" ref="CA142">SUMPRODUCT(TRANSPOSE(CA$2:CA$15),$I142:$V142)</f>
        <v>0</v>
      </c>
      <c r="CB142" s="8" cm="1">
        <f t="array" ref="CB142">SUMPRODUCT(TRANSPOSE(CB$2:CB$15),$I142:$V142)</f>
        <v>0</v>
      </c>
      <c r="CC142" s="8" cm="1">
        <f t="array" ref="CC142">SUMPRODUCT(TRANSPOSE(CC$2:CC$15),$I142:$V142)</f>
        <v>0</v>
      </c>
      <c r="CD142" s="8" cm="1">
        <f t="array" ref="CD142">SUMPRODUCT(TRANSPOSE(CD$2:CD$15),$I142:$V142)</f>
        <v>0</v>
      </c>
      <c r="CE142" s="8" cm="1">
        <f t="array" ref="CE142">SUMPRODUCT(TRANSPOSE(CE$2:CE$15),$I142:$V142)</f>
        <v>0</v>
      </c>
      <c r="CF142" s="8" cm="1">
        <f t="array" ref="CF142">SUMPRODUCT(TRANSPOSE(CF$2:CF$15),$I142:$V142)</f>
        <v>0</v>
      </c>
      <c r="CG142" s="8" cm="1">
        <f t="array" ref="CG142">SUMPRODUCT(TRANSPOSE(CG$2:CG$15),$I142:$V142)</f>
        <v>900</v>
      </c>
      <c r="CH142" s="8" cm="1">
        <f t="array" ref="CH142">SUMPRODUCT(TRANSPOSE(CH$2:CH$15),$I142:$V142)</f>
        <v>1850</v>
      </c>
      <c r="CI142" s="8" cm="1">
        <f t="array" ref="CI142">SUMPRODUCT(TRANSPOSE(CI$2:CI$15),$I142:$V142)</f>
        <v>3000</v>
      </c>
      <c r="CJ142" s="8" cm="1">
        <f t="array" ref="CJ142">SUMPRODUCT(TRANSPOSE(CJ$2:CJ$15),$I142:$V142)</f>
        <v>3190</v>
      </c>
      <c r="CK142" s="8" cm="1">
        <f t="array" ref="CK142">SUMPRODUCT(TRANSPOSE(CK$2:CK$15),$I142:$V142)</f>
        <v>2800</v>
      </c>
      <c r="CL142" s="8" cm="1">
        <f t="array" ref="CL142">SUMPRODUCT(TRANSPOSE(CL$2:CL$15),$I142:$V142)</f>
        <v>2450</v>
      </c>
      <c r="CM142" s="8" cm="1">
        <f t="array" ref="CM142">SUMPRODUCT(TRANSPOSE(CM$2:CM$15),$I142:$V142)</f>
        <v>3280</v>
      </c>
      <c r="CN142" s="8" cm="1">
        <f t="array" ref="CN142">SUMPRODUCT(TRANSPOSE(CN$2:CN$15),$I142:$V142)</f>
        <v>3700</v>
      </c>
      <c r="CO142" s="8" cm="1">
        <f t="array" ref="CO142">SUMPRODUCT(TRANSPOSE(CO$2:CO$15),$I142:$V142)</f>
        <v>1300</v>
      </c>
      <c r="CP142" s="8" cm="1">
        <f t="array" ref="CP142">SUMPRODUCT(TRANSPOSE(CP$2:CP$15),$I142:$V142)</f>
        <v>0</v>
      </c>
      <c r="CQ142" s="8" cm="1">
        <f t="array" ref="CQ142">SUMPRODUCT(TRANSPOSE(CQ$2:CQ$15),$I142:$V142)</f>
        <v>0</v>
      </c>
    </row>
    <row r="143" spans="1:95" x14ac:dyDescent="0.25">
      <c r="A143" s="1">
        <v>97</v>
      </c>
      <c r="B143" s="11" t="s">
        <v>397</v>
      </c>
      <c r="C143" s="1" t="s">
        <v>49</v>
      </c>
      <c r="D143" s="1" t="s">
        <v>398</v>
      </c>
      <c r="E143" s="6"/>
      <c r="F143" s="1" t="s">
        <v>399</v>
      </c>
      <c r="G143" s="1" t="s">
        <v>400</v>
      </c>
      <c r="H143" s="1">
        <v>1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1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f>SUMPRODUCT(I143:V143,$I$13:$V$13)</f>
        <v>1660</v>
      </c>
      <c r="X143" s="6">
        <f t="shared" si="3"/>
        <v>1.46</v>
      </c>
      <c r="Y143" s="1" t="str">
        <f>VLOOKUP(D143,[1]PARTS!$A$1:$G$65536,7,0)</f>
        <v/>
      </c>
      <c r="Z143" s="1">
        <v>1</v>
      </c>
      <c r="AA143" s="1">
        <v>1700</v>
      </c>
      <c r="AB143" s="1">
        <v>1700</v>
      </c>
      <c r="AC143" s="1">
        <f>VLOOKUP(D143,[2]pareto!$D$12:$AX$306,47,0)</f>
        <v>1.46</v>
      </c>
      <c r="AD143" s="1" t="s">
        <v>401</v>
      </c>
      <c r="AE143" s="1" t="s">
        <v>402</v>
      </c>
      <c r="AF143" s="12" t="s">
        <v>403</v>
      </c>
      <c r="AG143" s="1" t="s">
        <v>404</v>
      </c>
      <c r="BG143" s="8">
        <f>SUM($BB143,$AI143:AI143)-SUM($BY143:BZ143)</f>
        <v>0</v>
      </c>
      <c r="BH143" s="8">
        <f>SUM($BB143,$AI143:AJ143)-SUM($BY143:CA143)</f>
        <v>0</v>
      </c>
      <c r="BI143" s="8">
        <f>SUM($BB143,$AI143:AK143)-SUM($BY143:CB143)</f>
        <v>0</v>
      </c>
      <c r="BJ143" s="8">
        <f>SUM($BB143,$AI143:AL143)-SUM($BY143:CC143)</f>
        <v>0</v>
      </c>
      <c r="BK143" s="8">
        <f>SUM($BB143,$AI143:AM143)-SUM($BY143:CD143)</f>
        <v>0</v>
      </c>
      <c r="BL143" s="8">
        <f>SUM($BB143,$AI143:AN143)-SUM($BY143:CE143)</f>
        <v>0</v>
      </c>
      <c r="BM143" s="8">
        <f>SUM($BB143,$AI143:AO143)-SUM($BY143:CF143)</f>
        <v>0</v>
      </c>
      <c r="BN143" s="8">
        <f>SUM($BB143,$AI143:AP143)-SUM($BY143:CG143)</f>
        <v>0</v>
      </c>
      <c r="BO143" s="8">
        <f>SUM($BB143,$AI143:AQ143)-SUM($BY143:CH143)</f>
        <v>-100</v>
      </c>
      <c r="BP143" s="8">
        <f>SUM($BB143,$AI143:AR143)-SUM($BY143:CI143)</f>
        <v>-250</v>
      </c>
      <c r="BQ143" s="8">
        <f>SUM($BB143,$AI143:AS143)-SUM($BY143:CJ143)</f>
        <v>-500</v>
      </c>
      <c r="BR143" s="8">
        <f>SUM($BB143,$AI143:AT143)-SUM($BY143:CK143)</f>
        <v>-700</v>
      </c>
      <c r="BS143" s="8">
        <f>SUM($BB143,$AI143:AU143)-SUM($BY143:CL143)</f>
        <v>-900</v>
      </c>
      <c r="BT143" s="8">
        <f>SUM($BB143,$AI143:AV143)-SUM($BY143:CM143)</f>
        <v>-1100</v>
      </c>
      <c r="BU143" s="8">
        <f>SUM($BB143,$AI143:AW143)-SUM($BY143:CN143)</f>
        <v>-1400</v>
      </c>
      <c r="BV143" s="8">
        <f>SUM($BB143,$AI143:AX143)-SUM($BY143:CO143)</f>
        <v>-1660</v>
      </c>
      <c r="BW143" s="8">
        <f>SUM($BB143,$AI143:AY143)-SUM($BY143:CP143)</f>
        <v>-1660</v>
      </c>
      <c r="BX143" s="8">
        <f>SUM($BB143,$AI143:AZ143)-SUM($BY143:CQ143)</f>
        <v>-1660</v>
      </c>
      <c r="BY143" s="8" cm="1">
        <f t="array" ref="BY143">SUMPRODUCT(TRANSPOSE(BY$2:BY$15),$I143:$V143)</f>
        <v>0</v>
      </c>
      <c r="BZ143" s="8" cm="1">
        <f t="array" ref="BZ143">SUMPRODUCT(TRANSPOSE(BZ$2:BZ$15),$I143:$V143)</f>
        <v>0</v>
      </c>
      <c r="CA143" s="8" cm="1">
        <f t="array" ref="CA143">SUMPRODUCT(TRANSPOSE(CA$2:CA$15),$I143:$V143)</f>
        <v>0</v>
      </c>
      <c r="CB143" s="8" cm="1">
        <f t="array" ref="CB143">SUMPRODUCT(TRANSPOSE(CB$2:CB$15),$I143:$V143)</f>
        <v>0</v>
      </c>
      <c r="CC143" s="8" cm="1">
        <f t="array" ref="CC143">SUMPRODUCT(TRANSPOSE(CC$2:CC$15),$I143:$V143)</f>
        <v>0</v>
      </c>
      <c r="CD143" s="8" cm="1">
        <f t="array" ref="CD143">SUMPRODUCT(TRANSPOSE(CD$2:CD$15),$I143:$V143)</f>
        <v>0</v>
      </c>
      <c r="CE143" s="8" cm="1">
        <f t="array" ref="CE143">SUMPRODUCT(TRANSPOSE(CE$2:CE$15),$I143:$V143)</f>
        <v>0</v>
      </c>
      <c r="CF143" s="8" cm="1">
        <f t="array" ref="CF143">SUMPRODUCT(TRANSPOSE(CF$2:CF$15),$I143:$V143)</f>
        <v>0</v>
      </c>
      <c r="CG143" s="8" cm="1">
        <f t="array" ref="CG143">SUMPRODUCT(TRANSPOSE(CG$2:CG$15),$I143:$V143)</f>
        <v>0</v>
      </c>
      <c r="CH143" s="8" cm="1">
        <f t="array" ref="CH143">SUMPRODUCT(TRANSPOSE(CH$2:CH$15),$I143:$V143)</f>
        <v>100</v>
      </c>
      <c r="CI143" s="8" cm="1">
        <f t="array" ref="CI143">SUMPRODUCT(TRANSPOSE(CI$2:CI$15),$I143:$V143)</f>
        <v>150</v>
      </c>
      <c r="CJ143" s="8" cm="1">
        <f t="array" ref="CJ143">SUMPRODUCT(TRANSPOSE(CJ$2:CJ$15),$I143:$V143)</f>
        <v>250</v>
      </c>
      <c r="CK143" s="8" cm="1">
        <f t="array" ref="CK143">SUMPRODUCT(TRANSPOSE(CK$2:CK$15),$I143:$V143)</f>
        <v>200</v>
      </c>
      <c r="CL143" s="8" cm="1">
        <f t="array" ref="CL143">SUMPRODUCT(TRANSPOSE(CL$2:CL$15),$I143:$V143)</f>
        <v>200</v>
      </c>
      <c r="CM143" s="8" cm="1">
        <f t="array" ref="CM143">SUMPRODUCT(TRANSPOSE(CM$2:CM$15),$I143:$V143)</f>
        <v>200</v>
      </c>
      <c r="CN143" s="8" cm="1">
        <f t="array" ref="CN143">SUMPRODUCT(TRANSPOSE(CN$2:CN$15),$I143:$V143)</f>
        <v>300</v>
      </c>
      <c r="CO143" s="8" cm="1">
        <f t="array" ref="CO143">SUMPRODUCT(TRANSPOSE(CO$2:CO$15),$I143:$V143)</f>
        <v>260</v>
      </c>
      <c r="CP143" s="8" cm="1">
        <f t="array" ref="CP143">SUMPRODUCT(TRANSPOSE(CP$2:CP$15),$I143:$V143)</f>
        <v>0</v>
      </c>
      <c r="CQ143" s="8" cm="1">
        <f t="array" ref="CQ143">SUMPRODUCT(TRANSPOSE(CQ$2:CQ$15),$I143:$V143)</f>
        <v>0</v>
      </c>
    </row>
    <row r="144" spans="1:95" x14ac:dyDescent="0.25">
      <c r="A144" s="1">
        <v>245</v>
      </c>
      <c r="B144" s="11" t="s">
        <v>405</v>
      </c>
      <c r="C144" s="1" t="s">
        <v>49</v>
      </c>
      <c r="D144" s="1">
        <v>401348252</v>
      </c>
      <c r="E144" s="6">
        <f>VLOOKUP(D144,FFF!$A$2:$B$674,2,)</f>
        <v>401349439</v>
      </c>
      <c r="F144" s="1" t="s">
        <v>406</v>
      </c>
      <c r="G144" s="1" t="s">
        <v>35</v>
      </c>
      <c r="H144" s="1">
        <v>2</v>
      </c>
      <c r="I144" s="1">
        <v>0</v>
      </c>
      <c r="J144" s="1">
        <v>0</v>
      </c>
      <c r="K144" s="1">
        <v>0</v>
      </c>
      <c r="L144" s="1">
        <v>0</v>
      </c>
      <c r="M144" s="1">
        <v>1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1</v>
      </c>
      <c r="W144" s="1">
        <f>SUMPRODUCT(I144:V144,$I$13:$V$13)</f>
        <v>3210</v>
      </c>
      <c r="X144" s="6">
        <f t="shared" si="3"/>
        <v>0.46800000000000003</v>
      </c>
      <c r="Y144" s="1" t="str">
        <f>VLOOKUP(D144,[1]PARTS!$A$1:$G$65536,7,0)</f>
        <v>MICROCHIP TECHNOLOGY INC</v>
      </c>
      <c r="Z144" s="1">
        <f>VLOOKUP(D144,[2]pareto!$D$12:$AX$306,44,0)</f>
        <v>2500</v>
      </c>
      <c r="AA144" s="1">
        <f>VLOOKUP(D144,[2]pareto!$D$12:$AX$306,45,0)</f>
        <v>2500</v>
      </c>
      <c r="AB144" s="1">
        <f>CEILING(W144,Z144)</f>
        <v>5000</v>
      </c>
      <c r="AC144" s="1">
        <f>VLOOKUP(D144,[2]pareto!$D$12:$AX$306,47,0)</f>
        <v>0.23400000000000001</v>
      </c>
      <c r="AD144" s="1" t="s">
        <v>85</v>
      </c>
      <c r="AE144" s="1" t="s">
        <v>86</v>
      </c>
      <c r="AF144" s="19" t="s">
        <v>87</v>
      </c>
      <c r="AG144" s="1" t="s">
        <v>88</v>
      </c>
      <c r="BG144" s="8">
        <f>SUM($BB144,$AI144:AI144)-SUM($BY144:BZ144)</f>
        <v>0</v>
      </c>
      <c r="BH144" s="8">
        <f>SUM($BB144,$AI144:AJ144)-SUM($BY144:CA144)</f>
        <v>0</v>
      </c>
      <c r="BI144" s="8">
        <f>SUM($BB144,$AI144:AK144)-SUM($BY144:CB144)</f>
        <v>0</v>
      </c>
      <c r="BJ144" s="8">
        <f>SUM($BB144,$AI144:AL144)-SUM($BY144:CC144)</f>
        <v>0</v>
      </c>
      <c r="BK144" s="8">
        <f>SUM($BB144,$AI144:AM144)-SUM($BY144:CD144)</f>
        <v>0</v>
      </c>
      <c r="BL144" s="8">
        <f>SUM($BB144,$AI144:AN144)-SUM($BY144:CE144)</f>
        <v>0</v>
      </c>
      <c r="BM144" s="8">
        <f>SUM($BB144,$AI144:AO144)-SUM($BY144:CF144)</f>
        <v>0</v>
      </c>
      <c r="BN144" s="8">
        <f>SUM($BB144,$AI144:AP144)-SUM($BY144:CG144)</f>
        <v>-100</v>
      </c>
      <c r="BO144" s="8">
        <f>SUM($BB144,$AI144:AQ144)-SUM($BY144:CH144)</f>
        <v>-350</v>
      </c>
      <c r="BP144" s="8">
        <f>SUM($BB144,$AI144:AR144)-SUM($BY144:CI144)</f>
        <v>-750</v>
      </c>
      <c r="BQ144" s="8">
        <f>SUM($BB144,$AI144:AS144)-SUM($BY144:CJ144)</f>
        <v>-1220</v>
      </c>
      <c r="BR144" s="8">
        <f>SUM($BB144,$AI144:AT144)-SUM($BY144:CK144)</f>
        <v>-1620</v>
      </c>
      <c r="BS144" s="8">
        <f>SUM($BB144,$AI144:AU144)-SUM($BY144:CL144)</f>
        <v>-1970</v>
      </c>
      <c r="BT144" s="8">
        <f>SUM($BB144,$AI144:AV144)-SUM($BY144:CM144)</f>
        <v>-2410</v>
      </c>
      <c r="BU144" s="8">
        <f>SUM($BB144,$AI144:AW144)-SUM($BY144:CN144)</f>
        <v>-2950</v>
      </c>
      <c r="BV144" s="8">
        <f>SUM($BB144,$AI144:AX144)-SUM($BY144:CO144)</f>
        <v>-3210</v>
      </c>
      <c r="BW144" s="8">
        <f>SUM($BB144,$AI144:AY144)-SUM($BY144:CP144)</f>
        <v>-3210</v>
      </c>
      <c r="BX144" s="8">
        <f>SUM($BB144,$AI144:AZ144)-SUM($BY144:CQ144)</f>
        <v>-3210</v>
      </c>
      <c r="BY144" s="8" cm="1">
        <f t="array" ref="BY144">SUMPRODUCT(TRANSPOSE(BY$2:BY$15),$I144:$V144)</f>
        <v>0</v>
      </c>
      <c r="BZ144" s="8" cm="1">
        <f t="array" ref="BZ144">SUMPRODUCT(TRANSPOSE(BZ$2:BZ$15),$I144:$V144)</f>
        <v>0</v>
      </c>
      <c r="CA144" s="8" cm="1">
        <f t="array" ref="CA144">SUMPRODUCT(TRANSPOSE(CA$2:CA$15),$I144:$V144)</f>
        <v>0</v>
      </c>
      <c r="CB144" s="8" cm="1">
        <f t="array" ref="CB144">SUMPRODUCT(TRANSPOSE(CB$2:CB$15),$I144:$V144)</f>
        <v>0</v>
      </c>
      <c r="CC144" s="8" cm="1">
        <f t="array" ref="CC144">SUMPRODUCT(TRANSPOSE(CC$2:CC$15),$I144:$V144)</f>
        <v>0</v>
      </c>
      <c r="CD144" s="8" cm="1">
        <f t="array" ref="CD144">SUMPRODUCT(TRANSPOSE(CD$2:CD$15),$I144:$V144)</f>
        <v>0</v>
      </c>
      <c r="CE144" s="8" cm="1">
        <f t="array" ref="CE144">SUMPRODUCT(TRANSPOSE(CE$2:CE$15),$I144:$V144)</f>
        <v>0</v>
      </c>
      <c r="CF144" s="8" cm="1">
        <f t="array" ref="CF144">SUMPRODUCT(TRANSPOSE(CF$2:CF$15),$I144:$V144)</f>
        <v>0</v>
      </c>
      <c r="CG144" s="8" cm="1">
        <f t="array" ref="CG144">SUMPRODUCT(TRANSPOSE(CG$2:CG$15),$I144:$V144)</f>
        <v>100</v>
      </c>
      <c r="CH144" s="8" cm="1">
        <f t="array" ref="CH144">SUMPRODUCT(TRANSPOSE(CH$2:CH$15),$I144:$V144)</f>
        <v>250</v>
      </c>
      <c r="CI144" s="8" cm="1">
        <f t="array" ref="CI144">SUMPRODUCT(TRANSPOSE(CI$2:CI$15),$I144:$V144)</f>
        <v>400</v>
      </c>
      <c r="CJ144" s="8" cm="1">
        <f t="array" ref="CJ144">SUMPRODUCT(TRANSPOSE(CJ$2:CJ$15),$I144:$V144)</f>
        <v>470</v>
      </c>
      <c r="CK144" s="8" cm="1">
        <f t="array" ref="CK144">SUMPRODUCT(TRANSPOSE(CK$2:CK$15),$I144:$V144)</f>
        <v>400</v>
      </c>
      <c r="CL144" s="8" cm="1">
        <f t="array" ref="CL144">SUMPRODUCT(TRANSPOSE(CL$2:CL$15),$I144:$V144)</f>
        <v>350</v>
      </c>
      <c r="CM144" s="8" cm="1">
        <f t="array" ref="CM144">SUMPRODUCT(TRANSPOSE(CM$2:CM$15),$I144:$V144)</f>
        <v>440</v>
      </c>
      <c r="CN144" s="8" cm="1">
        <f t="array" ref="CN144">SUMPRODUCT(TRANSPOSE(CN$2:CN$15),$I144:$V144)</f>
        <v>540</v>
      </c>
      <c r="CO144" s="8" cm="1">
        <f t="array" ref="CO144">SUMPRODUCT(TRANSPOSE(CO$2:CO$15),$I144:$V144)</f>
        <v>260</v>
      </c>
      <c r="CP144" s="8" cm="1">
        <f t="array" ref="CP144">SUMPRODUCT(TRANSPOSE(CP$2:CP$15),$I144:$V144)</f>
        <v>0</v>
      </c>
      <c r="CQ144" s="8" cm="1">
        <f t="array" ref="CQ144">SUMPRODUCT(TRANSPOSE(CQ$2:CQ$15),$I144:$V144)</f>
        <v>0</v>
      </c>
    </row>
    <row r="145" spans="1:95" x14ac:dyDescent="0.25">
      <c r="A145" s="1">
        <v>278</v>
      </c>
      <c r="B145" s="11" t="s">
        <v>407</v>
      </c>
      <c r="C145" s="1" t="s">
        <v>49</v>
      </c>
      <c r="D145" s="1">
        <v>400157870</v>
      </c>
      <c r="E145" s="6"/>
      <c r="F145" s="1" t="s">
        <v>408</v>
      </c>
      <c r="G145" s="1" t="s">
        <v>35</v>
      </c>
      <c r="H145" s="1">
        <v>4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4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f>SUMPRODUCT(I145:V145,$I$13:$V$13)</f>
        <v>6640</v>
      </c>
      <c r="X145" s="6">
        <f t="shared" si="3"/>
        <v>1.2</v>
      </c>
      <c r="Y145" s="1" t="str">
        <f>VLOOKUP(D145,[1]PARTS!$A$1:$G$65536,7,0)</f>
        <v>ON SEMICONDUCTOR</v>
      </c>
      <c r="Z145" s="1">
        <f>VLOOKUP(D145,[2]pareto!$D$12:$AX$306,44,0)</f>
        <v>12000</v>
      </c>
      <c r="AA145" s="1">
        <v>6560</v>
      </c>
      <c r="AB145" s="1">
        <f>CEILING(W145,Z145)</f>
        <v>12000</v>
      </c>
      <c r="AC145" s="1">
        <f>VLOOKUP(D145,[2]pareto!$D$12:$AX$306,47,0)</f>
        <v>0.3</v>
      </c>
      <c r="AD145" s="1" t="str">
        <f>VLOOKUP(D145,[2]pareto!$D$11:$BD$306,50,0)</f>
        <v>Future</v>
      </c>
      <c r="AE145" s="1" t="s">
        <v>346</v>
      </c>
      <c r="AF145" s="12" t="s">
        <v>347</v>
      </c>
      <c r="AG145" s="1" t="e">
        <f>VLOOKUP(D145,[2]pareto!$D$11:$BD$306,51)</f>
        <v>#REF!</v>
      </c>
      <c r="BG145" s="8">
        <f>SUM($BB145,$AI145:AI145)-SUM($BY145:BZ145)</f>
        <v>0</v>
      </c>
      <c r="BH145" s="8">
        <f>SUM($BB145,$AI145:AJ145)-SUM($BY145:CA145)</f>
        <v>0</v>
      </c>
      <c r="BI145" s="8">
        <f>SUM($BB145,$AI145:AK145)-SUM($BY145:CB145)</f>
        <v>0</v>
      </c>
      <c r="BJ145" s="8">
        <f>SUM($BB145,$AI145:AL145)-SUM($BY145:CC145)</f>
        <v>0</v>
      </c>
      <c r="BK145" s="8">
        <f>SUM($BB145,$AI145:AM145)-SUM($BY145:CD145)</f>
        <v>0</v>
      </c>
      <c r="BL145" s="8">
        <f>SUM($BB145,$AI145:AN145)-SUM($BY145:CE145)</f>
        <v>0</v>
      </c>
      <c r="BM145" s="8">
        <f>SUM($BB145,$AI145:AO145)-SUM($BY145:CF145)</f>
        <v>0</v>
      </c>
      <c r="BN145" s="8">
        <f>SUM($BB145,$AI145:AP145)-SUM($BY145:CG145)</f>
        <v>-400</v>
      </c>
      <c r="BO145" s="8">
        <f>SUM($BB145,$AI145:AQ145)-SUM($BY145:CH145)</f>
        <v>-1000</v>
      </c>
      <c r="BP145" s="8">
        <f>SUM($BB145,$AI145:AR145)-SUM($BY145:CI145)</f>
        <v>-2000</v>
      </c>
      <c r="BQ145" s="8">
        <f>SUM($BB145,$AI145:AS145)-SUM($BY145:CJ145)</f>
        <v>-2800</v>
      </c>
      <c r="BR145" s="8">
        <f>SUM($BB145,$AI145:AT145)-SUM($BY145:CK145)</f>
        <v>-3600</v>
      </c>
      <c r="BS145" s="8">
        <f>SUM($BB145,$AI145:AU145)-SUM($BY145:CL145)</f>
        <v>-4400</v>
      </c>
      <c r="BT145" s="8">
        <f>SUM($BB145,$AI145:AV145)-SUM($BY145:CM145)</f>
        <v>-5600</v>
      </c>
      <c r="BU145" s="8">
        <f>SUM($BB145,$AI145:AW145)-SUM($BY145:CN145)</f>
        <v>-6640</v>
      </c>
      <c r="BV145" s="8">
        <f>SUM($BB145,$AI145:AX145)-SUM($BY145:CO145)</f>
        <v>-6640</v>
      </c>
      <c r="BW145" s="8">
        <f>SUM($BB145,$AI145:AY145)-SUM($BY145:CP145)</f>
        <v>-6640</v>
      </c>
      <c r="BX145" s="8">
        <f>SUM($BB145,$AI145:AZ145)-SUM($BY145:CQ145)</f>
        <v>-6640</v>
      </c>
      <c r="BY145" s="8" cm="1">
        <f t="array" ref="BY145">SUMPRODUCT(TRANSPOSE(BY$2:BY$15),$I145:$V145)</f>
        <v>0</v>
      </c>
      <c r="BZ145" s="8" cm="1">
        <f t="array" ref="BZ145">SUMPRODUCT(TRANSPOSE(BZ$2:BZ$15),$I145:$V145)</f>
        <v>0</v>
      </c>
      <c r="CA145" s="8" cm="1">
        <f t="array" ref="CA145">SUMPRODUCT(TRANSPOSE(CA$2:CA$15),$I145:$V145)</f>
        <v>0</v>
      </c>
      <c r="CB145" s="8" cm="1">
        <f t="array" ref="CB145">SUMPRODUCT(TRANSPOSE(CB$2:CB$15),$I145:$V145)</f>
        <v>0</v>
      </c>
      <c r="CC145" s="8" cm="1">
        <f t="array" ref="CC145">SUMPRODUCT(TRANSPOSE(CC$2:CC$15),$I145:$V145)</f>
        <v>0</v>
      </c>
      <c r="CD145" s="8" cm="1">
        <f t="array" ref="CD145">SUMPRODUCT(TRANSPOSE(CD$2:CD$15),$I145:$V145)</f>
        <v>0</v>
      </c>
      <c r="CE145" s="8" cm="1">
        <f t="array" ref="CE145">SUMPRODUCT(TRANSPOSE(CE$2:CE$15),$I145:$V145)</f>
        <v>0</v>
      </c>
      <c r="CF145" s="8" cm="1">
        <f t="array" ref="CF145">SUMPRODUCT(TRANSPOSE(CF$2:CF$15),$I145:$V145)</f>
        <v>0</v>
      </c>
      <c r="CG145" s="8" cm="1">
        <f t="array" ref="CG145">SUMPRODUCT(TRANSPOSE(CG$2:CG$15),$I145:$V145)</f>
        <v>400</v>
      </c>
      <c r="CH145" s="8" cm="1">
        <f t="array" ref="CH145">SUMPRODUCT(TRANSPOSE(CH$2:CH$15),$I145:$V145)</f>
        <v>600</v>
      </c>
      <c r="CI145" s="8" cm="1">
        <f t="array" ref="CI145">SUMPRODUCT(TRANSPOSE(CI$2:CI$15),$I145:$V145)</f>
        <v>1000</v>
      </c>
      <c r="CJ145" s="8" cm="1">
        <f t="array" ref="CJ145">SUMPRODUCT(TRANSPOSE(CJ$2:CJ$15),$I145:$V145)</f>
        <v>800</v>
      </c>
      <c r="CK145" s="8" cm="1">
        <f t="array" ref="CK145">SUMPRODUCT(TRANSPOSE(CK$2:CK$15),$I145:$V145)</f>
        <v>800</v>
      </c>
      <c r="CL145" s="8" cm="1">
        <f t="array" ref="CL145">SUMPRODUCT(TRANSPOSE(CL$2:CL$15),$I145:$V145)</f>
        <v>800</v>
      </c>
      <c r="CM145" s="8" cm="1">
        <f t="array" ref="CM145">SUMPRODUCT(TRANSPOSE(CM$2:CM$15),$I145:$V145)</f>
        <v>1200</v>
      </c>
      <c r="CN145" s="8" cm="1">
        <f t="array" ref="CN145">SUMPRODUCT(TRANSPOSE(CN$2:CN$15),$I145:$V145)</f>
        <v>1040</v>
      </c>
      <c r="CO145" s="8" cm="1">
        <f t="array" ref="CO145">SUMPRODUCT(TRANSPOSE(CO$2:CO$15),$I145:$V145)</f>
        <v>0</v>
      </c>
      <c r="CP145" s="8" cm="1">
        <f t="array" ref="CP145">SUMPRODUCT(TRANSPOSE(CP$2:CP$15),$I145:$V145)</f>
        <v>0</v>
      </c>
      <c r="CQ145" s="8" cm="1">
        <f t="array" ref="CQ145">SUMPRODUCT(TRANSPOSE(CQ$2:CQ$15),$I145:$V145)</f>
        <v>0</v>
      </c>
    </row>
    <row r="146" spans="1:95" x14ac:dyDescent="0.25">
      <c r="A146" s="1">
        <v>52</v>
      </c>
      <c r="B146" s="11" t="s">
        <v>409</v>
      </c>
      <c r="C146" s="1" t="s">
        <v>68</v>
      </c>
      <c r="D146" s="1">
        <v>408929145</v>
      </c>
      <c r="E146" s="6"/>
      <c r="F146" s="1" t="s">
        <v>410</v>
      </c>
      <c r="G146" s="1" t="s">
        <v>35</v>
      </c>
      <c r="H146" s="1">
        <v>2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2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f>SUMPRODUCT(I146:V146,$I$13:$V$13)</f>
        <v>3320</v>
      </c>
      <c r="X146" s="6">
        <f t="shared" si="3"/>
        <v>1.2</v>
      </c>
      <c r="Y146" s="1" t="str">
        <f>VLOOKUP(D146,[1]PARTS!$A$1:$G$65536,7,0)</f>
        <v/>
      </c>
      <c r="Z146" s="1">
        <v>1</v>
      </c>
      <c r="AA146" s="1">
        <v>3280</v>
      </c>
      <c r="AB146" s="1">
        <f>CEILING(W146,Z146)</f>
        <v>3320</v>
      </c>
      <c r="AC146" s="1">
        <f>VLOOKUP(D146,[2]pareto!$D$12:$AX$306,47,0)</f>
        <v>0.6</v>
      </c>
      <c r="AD146" s="1" t="s">
        <v>146</v>
      </c>
      <c r="AE146" s="1" t="s">
        <v>147</v>
      </c>
      <c r="AF146" s="1" t="str">
        <f>VLOOKUP(D146,[2]pareto!$D$11:$BD$306,52,0)</f>
        <v>avi@gumiyan.co.il</v>
      </c>
      <c r="AG146" s="1" t="s">
        <v>148</v>
      </c>
      <c r="BG146" s="8">
        <f>SUM($BB146,$AI146:AI146)-SUM($BY146:BZ146)</f>
        <v>0</v>
      </c>
      <c r="BH146" s="8">
        <f>SUM($BB146,$AI146:AJ146)-SUM($BY146:CA146)</f>
        <v>0</v>
      </c>
      <c r="BI146" s="8">
        <f>SUM($BB146,$AI146:AK146)-SUM($BY146:CB146)</f>
        <v>0</v>
      </c>
      <c r="BJ146" s="8">
        <f>SUM($BB146,$AI146:AL146)-SUM($BY146:CC146)</f>
        <v>0</v>
      </c>
      <c r="BK146" s="8">
        <f>SUM($BB146,$AI146:AM146)-SUM($BY146:CD146)</f>
        <v>0</v>
      </c>
      <c r="BL146" s="8">
        <f>SUM($BB146,$AI146:AN146)-SUM($BY146:CE146)</f>
        <v>0</v>
      </c>
      <c r="BM146" s="8">
        <f>SUM($BB146,$AI146:AO146)-SUM($BY146:CF146)</f>
        <v>0</v>
      </c>
      <c r="BN146" s="8">
        <f>SUM($BB146,$AI146:AP146)-SUM($BY146:CG146)</f>
        <v>0</v>
      </c>
      <c r="BO146" s="8">
        <f>SUM($BB146,$AI146:AQ146)-SUM($BY146:CH146)</f>
        <v>-200</v>
      </c>
      <c r="BP146" s="8">
        <f>SUM($BB146,$AI146:AR146)-SUM($BY146:CI146)</f>
        <v>-500</v>
      </c>
      <c r="BQ146" s="8">
        <f>SUM($BB146,$AI146:AS146)-SUM($BY146:CJ146)</f>
        <v>-1000</v>
      </c>
      <c r="BR146" s="8">
        <f>SUM($BB146,$AI146:AT146)-SUM($BY146:CK146)</f>
        <v>-1400</v>
      </c>
      <c r="BS146" s="8">
        <f>SUM($BB146,$AI146:AU146)-SUM($BY146:CL146)</f>
        <v>-1800</v>
      </c>
      <c r="BT146" s="8">
        <f>SUM($BB146,$AI146:AV146)-SUM($BY146:CM146)</f>
        <v>-2200</v>
      </c>
      <c r="BU146" s="8">
        <f>SUM($BB146,$AI146:AW146)-SUM($BY146:CN146)</f>
        <v>-2800</v>
      </c>
      <c r="BV146" s="8">
        <f>SUM($BB146,$AI146:AX146)-SUM($BY146:CO146)</f>
        <v>-3320</v>
      </c>
      <c r="BW146" s="8">
        <f>SUM($BB146,$AI146:AY146)-SUM($BY146:CP146)</f>
        <v>-3320</v>
      </c>
      <c r="BX146" s="8">
        <f>SUM($BB146,$AI146:AZ146)-SUM($BY146:CQ146)</f>
        <v>-3320</v>
      </c>
      <c r="BY146" s="8" cm="1">
        <f t="array" ref="BY146">SUMPRODUCT(TRANSPOSE(BY$2:BY$15),$I146:$V146)</f>
        <v>0</v>
      </c>
      <c r="BZ146" s="8" cm="1">
        <f t="array" ref="BZ146">SUMPRODUCT(TRANSPOSE(BZ$2:BZ$15),$I146:$V146)</f>
        <v>0</v>
      </c>
      <c r="CA146" s="8" cm="1">
        <f t="array" ref="CA146">SUMPRODUCT(TRANSPOSE(CA$2:CA$15),$I146:$V146)</f>
        <v>0</v>
      </c>
      <c r="CB146" s="8" cm="1">
        <f t="array" ref="CB146">SUMPRODUCT(TRANSPOSE(CB$2:CB$15),$I146:$V146)</f>
        <v>0</v>
      </c>
      <c r="CC146" s="8" cm="1">
        <f t="array" ref="CC146">SUMPRODUCT(TRANSPOSE(CC$2:CC$15),$I146:$V146)</f>
        <v>0</v>
      </c>
      <c r="CD146" s="8" cm="1">
        <f t="array" ref="CD146">SUMPRODUCT(TRANSPOSE(CD$2:CD$15),$I146:$V146)</f>
        <v>0</v>
      </c>
      <c r="CE146" s="8" cm="1">
        <f t="array" ref="CE146">SUMPRODUCT(TRANSPOSE(CE$2:CE$15),$I146:$V146)</f>
        <v>0</v>
      </c>
      <c r="CF146" s="8" cm="1">
        <f t="array" ref="CF146">SUMPRODUCT(TRANSPOSE(CF$2:CF$15),$I146:$V146)</f>
        <v>0</v>
      </c>
      <c r="CG146" s="8" cm="1">
        <f t="array" ref="CG146">SUMPRODUCT(TRANSPOSE(CG$2:CG$15),$I146:$V146)</f>
        <v>0</v>
      </c>
      <c r="CH146" s="8" cm="1">
        <f t="array" ref="CH146">SUMPRODUCT(TRANSPOSE(CH$2:CH$15),$I146:$V146)</f>
        <v>200</v>
      </c>
      <c r="CI146" s="8" cm="1">
        <f t="array" ref="CI146">SUMPRODUCT(TRANSPOSE(CI$2:CI$15),$I146:$V146)</f>
        <v>300</v>
      </c>
      <c r="CJ146" s="8" cm="1">
        <f t="array" ref="CJ146">SUMPRODUCT(TRANSPOSE(CJ$2:CJ$15),$I146:$V146)</f>
        <v>500</v>
      </c>
      <c r="CK146" s="8" cm="1">
        <f t="array" ref="CK146">SUMPRODUCT(TRANSPOSE(CK$2:CK$15),$I146:$V146)</f>
        <v>400</v>
      </c>
      <c r="CL146" s="8" cm="1">
        <f t="array" ref="CL146">SUMPRODUCT(TRANSPOSE(CL$2:CL$15),$I146:$V146)</f>
        <v>400</v>
      </c>
      <c r="CM146" s="8" cm="1">
        <f t="array" ref="CM146">SUMPRODUCT(TRANSPOSE(CM$2:CM$15),$I146:$V146)</f>
        <v>400</v>
      </c>
      <c r="CN146" s="8" cm="1">
        <f t="array" ref="CN146">SUMPRODUCT(TRANSPOSE(CN$2:CN$15),$I146:$V146)</f>
        <v>600</v>
      </c>
      <c r="CO146" s="8" cm="1">
        <f t="array" ref="CO146">SUMPRODUCT(TRANSPOSE(CO$2:CO$15),$I146:$V146)</f>
        <v>520</v>
      </c>
      <c r="CP146" s="8" cm="1">
        <f t="array" ref="CP146">SUMPRODUCT(TRANSPOSE(CP$2:CP$15),$I146:$V146)</f>
        <v>0</v>
      </c>
      <c r="CQ146" s="8" cm="1">
        <f t="array" ref="CQ146">SUMPRODUCT(TRANSPOSE(CQ$2:CQ$15),$I146:$V146)</f>
        <v>0</v>
      </c>
    </row>
    <row r="147" spans="1:95" x14ac:dyDescent="0.25">
      <c r="A147" s="1">
        <v>251</v>
      </c>
      <c r="B147" s="11" t="s">
        <v>411</v>
      </c>
      <c r="C147" s="1" t="s">
        <v>49</v>
      </c>
      <c r="D147" s="1">
        <v>514301548</v>
      </c>
      <c r="E147" s="6"/>
      <c r="F147" s="1" t="s">
        <v>412</v>
      </c>
      <c r="G147" s="1" t="s">
        <v>35</v>
      </c>
      <c r="H147" s="1">
        <v>119</v>
      </c>
      <c r="I147" s="1">
        <v>0</v>
      </c>
      <c r="J147" s="1">
        <v>50</v>
      </c>
      <c r="K147" s="1">
        <v>2</v>
      </c>
      <c r="L147" s="1">
        <v>0</v>
      </c>
      <c r="M147" s="1">
        <v>0</v>
      </c>
      <c r="N147" s="1">
        <v>0</v>
      </c>
      <c r="O147" s="1">
        <v>50</v>
      </c>
      <c r="P147" s="1">
        <v>17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f>SUMPRODUCT(I147:V147,$I$13:$V$13)</f>
        <v>191820</v>
      </c>
      <c r="X147" s="6">
        <f t="shared" ref="X147:X210" si="4">SUM(I147:V147)*AC147</f>
        <v>1.16144</v>
      </c>
      <c r="Y147" s="1" t="str">
        <f>VLOOKUP(D147,[1]PARTS!$A$1:$G$65536,7,0)</f>
        <v>NAS/NASM NATIONAL AEROSPACE STD</v>
      </c>
      <c r="Z147" s="1">
        <v>1</v>
      </c>
      <c r="AA147" s="1">
        <f>CEILING(W147,Z147)</f>
        <v>191820</v>
      </c>
      <c r="AB147" s="1">
        <f>CEILING(W147,Z147)</f>
        <v>191820</v>
      </c>
      <c r="AC147" s="1">
        <v>9.7599999999999996E-3</v>
      </c>
      <c r="AD147" s="1" t="s">
        <v>413</v>
      </c>
      <c r="AE147" s="1" t="s">
        <v>325</v>
      </c>
      <c r="AF147" s="12" t="s">
        <v>326</v>
      </c>
      <c r="AG147" s="1" t="s">
        <v>327</v>
      </c>
      <c r="BG147" s="8">
        <f>SUM($BB147,$AI147:AI147)-SUM($BY147:BZ147)</f>
        <v>0</v>
      </c>
      <c r="BH147" s="8">
        <f>SUM($BB147,$AI147:AJ147)-SUM($BY147:CA147)</f>
        <v>0</v>
      </c>
      <c r="BI147" s="8">
        <f>SUM($BB147,$AI147:AK147)-SUM($BY147:CB147)</f>
        <v>0</v>
      </c>
      <c r="BJ147" s="8">
        <f>SUM($BB147,$AI147:AL147)-SUM($BY147:CC147)</f>
        <v>0</v>
      </c>
      <c r="BK147" s="8">
        <f>SUM($BB147,$AI147:AM147)-SUM($BY147:CD147)</f>
        <v>0</v>
      </c>
      <c r="BL147" s="8">
        <f>SUM($BB147,$AI147:AN147)-SUM($BY147:CE147)</f>
        <v>0</v>
      </c>
      <c r="BM147" s="8">
        <f>SUM($BB147,$AI147:AO147)-SUM($BY147:CF147)</f>
        <v>0</v>
      </c>
      <c r="BN147" s="8">
        <f>SUM($BB147,$AI147:AP147)-SUM($BY147:CG147)</f>
        <v>0</v>
      </c>
      <c r="BO147" s="8">
        <f>SUM($BB147,$AI147:AQ147)-SUM($BY147:CH147)</f>
        <v>-1900</v>
      </c>
      <c r="BP147" s="8">
        <f>SUM($BB147,$AI147:AR147)-SUM($BY147:CI147)</f>
        <v>-14750</v>
      </c>
      <c r="BQ147" s="8">
        <f>SUM($BB147,$AI147:AS147)-SUM($BY147:CJ147)</f>
        <v>-34500</v>
      </c>
      <c r="BR147" s="8">
        <f>SUM($BB147,$AI147:AT147)-SUM($BY147:CK147)</f>
        <v>-63340</v>
      </c>
      <c r="BS147" s="8">
        <f>SUM($BB147,$AI147:AU147)-SUM($BY147:CL147)</f>
        <v>-88140</v>
      </c>
      <c r="BT147" s="8">
        <f>SUM($BB147,$AI147:AV147)-SUM($BY147:CM147)</f>
        <v>-111840</v>
      </c>
      <c r="BU147" s="8">
        <f>SUM($BB147,$AI147:AW147)-SUM($BY147:CN147)</f>
        <v>-134920</v>
      </c>
      <c r="BV147" s="8">
        <f>SUM($BB147,$AI147:AX147)-SUM($BY147:CO147)</f>
        <v>-166820</v>
      </c>
      <c r="BW147" s="8">
        <f>SUM($BB147,$AI147:AY147)-SUM($BY147:CP147)</f>
        <v>-191820</v>
      </c>
      <c r="BX147" s="8">
        <f>SUM($BB147,$AI147:AZ147)-SUM($BY147:CQ147)</f>
        <v>-191820</v>
      </c>
      <c r="BY147" s="8" cm="1">
        <f t="array" ref="BY147">SUMPRODUCT(TRANSPOSE(BY$2:BY$15),$I147:$V147)</f>
        <v>0</v>
      </c>
      <c r="BZ147" s="8" cm="1">
        <f t="array" ref="BZ147">SUMPRODUCT(TRANSPOSE(BZ$2:BZ$15),$I147:$V147)</f>
        <v>0</v>
      </c>
      <c r="CA147" s="8" cm="1">
        <f t="array" ref="CA147">SUMPRODUCT(TRANSPOSE(CA$2:CA$15),$I147:$V147)</f>
        <v>0</v>
      </c>
      <c r="CB147" s="8" cm="1">
        <f t="array" ref="CB147">SUMPRODUCT(TRANSPOSE(CB$2:CB$15),$I147:$V147)</f>
        <v>0</v>
      </c>
      <c r="CC147" s="8" cm="1">
        <f t="array" ref="CC147">SUMPRODUCT(TRANSPOSE(CC$2:CC$15),$I147:$V147)</f>
        <v>0</v>
      </c>
      <c r="CD147" s="8" cm="1">
        <f t="array" ref="CD147">SUMPRODUCT(TRANSPOSE(CD$2:CD$15),$I147:$V147)</f>
        <v>0</v>
      </c>
      <c r="CE147" s="8" cm="1">
        <f t="array" ref="CE147">SUMPRODUCT(TRANSPOSE(CE$2:CE$15),$I147:$V147)</f>
        <v>0</v>
      </c>
      <c r="CF147" s="8" cm="1">
        <f t="array" ref="CF147">SUMPRODUCT(TRANSPOSE(CF$2:CF$15),$I147:$V147)</f>
        <v>0</v>
      </c>
      <c r="CG147" s="8" cm="1">
        <f t="array" ref="CG147">SUMPRODUCT(TRANSPOSE(CG$2:CG$15),$I147:$V147)</f>
        <v>0</v>
      </c>
      <c r="CH147" s="8" cm="1">
        <f t="array" ref="CH147">SUMPRODUCT(TRANSPOSE(CH$2:CH$15),$I147:$V147)</f>
        <v>1900</v>
      </c>
      <c r="CI147" s="8" cm="1">
        <f t="array" ref="CI147">SUMPRODUCT(TRANSPOSE(CI$2:CI$15),$I147:$V147)</f>
        <v>12850</v>
      </c>
      <c r="CJ147" s="8" cm="1">
        <f t="array" ref="CJ147">SUMPRODUCT(TRANSPOSE(CJ$2:CJ$15),$I147:$V147)</f>
        <v>19750</v>
      </c>
      <c r="CK147" s="8" cm="1">
        <f t="array" ref="CK147">SUMPRODUCT(TRANSPOSE(CK$2:CK$15),$I147:$V147)</f>
        <v>28840</v>
      </c>
      <c r="CL147" s="8" cm="1">
        <f t="array" ref="CL147">SUMPRODUCT(TRANSPOSE(CL$2:CL$15),$I147:$V147)</f>
        <v>24800</v>
      </c>
      <c r="CM147" s="8" cm="1">
        <f t="array" ref="CM147">SUMPRODUCT(TRANSPOSE(CM$2:CM$15),$I147:$V147)</f>
        <v>23700</v>
      </c>
      <c r="CN147" s="8" cm="1">
        <f t="array" ref="CN147">SUMPRODUCT(TRANSPOSE(CN$2:CN$15),$I147:$V147)</f>
        <v>23080</v>
      </c>
      <c r="CO147" s="8" cm="1">
        <f t="array" ref="CO147">SUMPRODUCT(TRANSPOSE(CO$2:CO$15),$I147:$V147)</f>
        <v>31900</v>
      </c>
      <c r="CP147" s="8" cm="1">
        <f t="array" ref="CP147">SUMPRODUCT(TRANSPOSE(CP$2:CP$15),$I147:$V147)</f>
        <v>25000</v>
      </c>
      <c r="CQ147" s="8" cm="1">
        <f t="array" ref="CQ147">SUMPRODUCT(TRANSPOSE(CQ$2:CQ$15),$I147:$V147)</f>
        <v>0</v>
      </c>
    </row>
    <row r="148" spans="1:95" x14ac:dyDescent="0.25">
      <c r="A148" s="1">
        <v>11</v>
      </c>
      <c r="B148" s="11" t="s">
        <v>414</v>
      </c>
      <c r="C148" s="1" t="s">
        <v>49</v>
      </c>
      <c r="D148" s="1">
        <v>414202262</v>
      </c>
      <c r="E148" s="6">
        <f>VLOOKUP(D148,FFF!$A$2:$B$674,2,)</f>
        <v>401502387</v>
      </c>
      <c r="F148" s="1" t="s">
        <v>415</v>
      </c>
      <c r="G148" s="1" t="s">
        <v>35</v>
      </c>
      <c r="H148" s="1">
        <v>38</v>
      </c>
      <c r="I148" s="1">
        <v>0</v>
      </c>
      <c r="J148" s="1">
        <v>0</v>
      </c>
      <c r="K148" s="1">
        <v>0</v>
      </c>
      <c r="L148" s="1">
        <v>0</v>
      </c>
      <c r="M148" s="1">
        <v>19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19</v>
      </c>
      <c r="W148" s="1">
        <f>SUMPRODUCT(I148:V148,$I$13:$V$13)</f>
        <v>60990</v>
      </c>
      <c r="X148" s="6">
        <f t="shared" si="4"/>
        <v>1.240434</v>
      </c>
      <c r="Y148" s="1" t="str">
        <f>VLOOKUP(D148,[1]PARTS!$A$1:$G$65536,7,0)</f>
        <v>AVX</v>
      </c>
      <c r="Z148" s="1">
        <f>VLOOKUP(D148,[2]pareto!$D$12:$AX$306,44,0)</f>
        <v>3000</v>
      </c>
      <c r="AA148" s="1">
        <f>VLOOKUP(D148,[2]pareto!$D$12:$AX$306,45,0)</f>
        <v>3000</v>
      </c>
      <c r="AB148" s="1">
        <f>CEILING(W148,Z148)</f>
        <v>63000</v>
      </c>
      <c r="AC148" s="1">
        <f>VLOOKUP(D148,[2]pareto!$D$12:$AX$306,47,0)</f>
        <v>3.2642999999999998E-2</v>
      </c>
      <c r="AD148" s="1" t="s">
        <v>85</v>
      </c>
      <c r="AE148" s="1" t="s">
        <v>86</v>
      </c>
      <c r="AF148" s="19" t="s">
        <v>87</v>
      </c>
      <c r="AG148" s="1" t="s">
        <v>88</v>
      </c>
      <c r="BG148" s="8">
        <f>SUM($BB148,$AI148:AI148)-SUM($BY148:BZ148)</f>
        <v>0</v>
      </c>
      <c r="BH148" s="8">
        <f>SUM($BB148,$AI148:AJ148)-SUM($BY148:CA148)</f>
        <v>0</v>
      </c>
      <c r="BI148" s="8">
        <f>SUM($BB148,$AI148:AK148)-SUM($BY148:CB148)</f>
        <v>0</v>
      </c>
      <c r="BJ148" s="8">
        <f>SUM($BB148,$AI148:AL148)-SUM($BY148:CC148)</f>
        <v>0</v>
      </c>
      <c r="BK148" s="8">
        <f>SUM($BB148,$AI148:AM148)-SUM($BY148:CD148)</f>
        <v>0</v>
      </c>
      <c r="BL148" s="8">
        <f>SUM($BB148,$AI148:AN148)-SUM($BY148:CE148)</f>
        <v>0</v>
      </c>
      <c r="BM148" s="8">
        <f>SUM($BB148,$AI148:AO148)-SUM($BY148:CF148)</f>
        <v>0</v>
      </c>
      <c r="BN148" s="8">
        <f>SUM($BB148,$AI148:AP148)-SUM($BY148:CG148)</f>
        <v>-1900</v>
      </c>
      <c r="BO148" s="8">
        <f>SUM($BB148,$AI148:AQ148)-SUM($BY148:CH148)</f>
        <v>-6650</v>
      </c>
      <c r="BP148" s="8">
        <f>SUM($BB148,$AI148:AR148)-SUM($BY148:CI148)</f>
        <v>-14250</v>
      </c>
      <c r="BQ148" s="8">
        <f>SUM($BB148,$AI148:AS148)-SUM($BY148:CJ148)</f>
        <v>-23180</v>
      </c>
      <c r="BR148" s="8">
        <f>SUM($BB148,$AI148:AT148)-SUM($BY148:CK148)</f>
        <v>-30780</v>
      </c>
      <c r="BS148" s="8">
        <f>SUM($BB148,$AI148:AU148)-SUM($BY148:CL148)</f>
        <v>-37430</v>
      </c>
      <c r="BT148" s="8">
        <f>SUM($BB148,$AI148:AV148)-SUM($BY148:CM148)</f>
        <v>-45790</v>
      </c>
      <c r="BU148" s="8">
        <f>SUM($BB148,$AI148:AW148)-SUM($BY148:CN148)</f>
        <v>-56050</v>
      </c>
      <c r="BV148" s="8">
        <f>SUM($BB148,$AI148:AX148)-SUM($BY148:CO148)</f>
        <v>-60990</v>
      </c>
      <c r="BW148" s="8">
        <f>SUM($BB148,$AI148:AY148)-SUM($BY148:CP148)</f>
        <v>-60990</v>
      </c>
      <c r="BX148" s="8">
        <f>SUM($BB148,$AI148:AZ148)-SUM($BY148:CQ148)</f>
        <v>-60990</v>
      </c>
      <c r="BY148" s="8" cm="1">
        <f t="array" ref="BY148">SUMPRODUCT(TRANSPOSE(BY$2:BY$15),$I148:$V148)</f>
        <v>0</v>
      </c>
      <c r="BZ148" s="8" cm="1">
        <f t="array" ref="BZ148">SUMPRODUCT(TRANSPOSE(BZ$2:BZ$15),$I148:$V148)</f>
        <v>0</v>
      </c>
      <c r="CA148" s="8" cm="1">
        <f t="array" ref="CA148">SUMPRODUCT(TRANSPOSE(CA$2:CA$15),$I148:$V148)</f>
        <v>0</v>
      </c>
      <c r="CB148" s="8" cm="1">
        <f t="array" ref="CB148">SUMPRODUCT(TRANSPOSE(CB$2:CB$15),$I148:$V148)</f>
        <v>0</v>
      </c>
      <c r="CC148" s="8" cm="1">
        <f t="array" ref="CC148">SUMPRODUCT(TRANSPOSE(CC$2:CC$15),$I148:$V148)</f>
        <v>0</v>
      </c>
      <c r="CD148" s="8" cm="1">
        <f t="array" ref="CD148">SUMPRODUCT(TRANSPOSE(CD$2:CD$15),$I148:$V148)</f>
        <v>0</v>
      </c>
      <c r="CE148" s="8" cm="1">
        <f t="array" ref="CE148">SUMPRODUCT(TRANSPOSE(CE$2:CE$15),$I148:$V148)</f>
        <v>0</v>
      </c>
      <c r="CF148" s="8" cm="1">
        <f t="array" ref="CF148">SUMPRODUCT(TRANSPOSE(CF$2:CF$15),$I148:$V148)</f>
        <v>0</v>
      </c>
      <c r="CG148" s="8" cm="1">
        <f t="array" ref="CG148">SUMPRODUCT(TRANSPOSE(CG$2:CG$15),$I148:$V148)</f>
        <v>1900</v>
      </c>
      <c r="CH148" s="8" cm="1">
        <f t="array" ref="CH148">SUMPRODUCT(TRANSPOSE(CH$2:CH$15),$I148:$V148)</f>
        <v>4750</v>
      </c>
      <c r="CI148" s="8" cm="1">
        <f t="array" ref="CI148">SUMPRODUCT(TRANSPOSE(CI$2:CI$15),$I148:$V148)</f>
        <v>7600</v>
      </c>
      <c r="CJ148" s="8" cm="1">
        <f t="array" ref="CJ148">SUMPRODUCT(TRANSPOSE(CJ$2:CJ$15),$I148:$V148)</f>
        <v>8930</v>
      </c>
      <c r="CK148" s="8" cm="1">
        <f t="array" ref="CK148">SUMPRODUCT(TRANSPOSE(CK$2:CK$15),$I148:$V148)</f>
        <v>7600</v>
      </c>
      <c r="CL148" s="8" cm="1">
        <f t="array" ref="CL148">SUMPRODUCT(TRANSPOSE(CL$2:CL$15),$I148:$V148)</f>
        <v>6650</v>
      </c>
      <c r="CM148" s="8" cm="1">
        <f t="array" ref="CM148">SUMPRODUCT(TRANSPOSE(CM$2:CM$15),$I148:$V148)</f>
        <v>8360</v>
      </c>
      <c r="CN148" s="8" cm="1">
        <f t="array" ref="CN148">SUMPRODUCT(TRANSPOSE(CN$2:CN$15),$I148:$V148)</f>
        <v>10260</v>
      </c>
      <c r="CO148" s="8" cm="1">
        <f t="array" ref="CO148">SUMPRODUCT(TRANSPOSE(CO$2:CO$15),$I148:$V148)</f>
        <v>4940</v>
      </c>
      <c r="CP148" s="8" cm="1">
        <f t="array" ref="CP148">SUMPRODUCT(TRANSPOSE(CP$2:CP$15),$I148:$V148)</f>
        <v>0</v>
      </c>
      <c r="CQ148" s="8" cm="1">
        <f t="array" ref="CQ148">SUMPRODUCT(TRANSPOSE(CQ$2:CQ$15),$I148:$V148)</f>
        <v>0</v>
      </c>
    </row>
    <row r="149" spans="1:95" x14ac:dyDescent="0.25">
      <c r="A149" s="1">
        <v>148</v>
      </c>
      <c r="B149" s="11" t="s">
        <v>416</v>
      </c>
      <c r="C149" s="1" t="s">
        <v>49</v>
      </c>
      <c r="D149" s="1">
        <v>400709578</v>
      </c>
      <c r="E149" s="6">
        <f>VLOOKUP(D149,FFF!$A$2:$B$674,2,)</f>
        <v>400095450</v>
      </c>
      <c r="F149" s="1" t="s">
        <v>417</v>
      </c>
      <c r="G149" s="1" t="s">
        <v>35</v>
      </c>
      <c r="H149" s="1">
        <v>112</v>
      </c>
      <c r="I149" s="1">
        <v>0</v>
      </c>
      <c r="J149" s="1">
        <v>0</v>
      </c>
      <c r="K149" s="1">
        <v>0</v>
      </c>
      <c r="L149" s="1">
        <v>0</v>
      </c>
      <c r="M149" s="1">
        <v>55</v>
      </c>
      <c r="N149" s="1">
        <v>0</v>
      </c>
      <c r="O149" s="1">
        <v>0</v>
      </c>
      <c r="P149" s="1">
        <v>0</v>
      </c>
      <c r="Q149" s="1">
        <v>2</v>
      </c>
      <c r="R149" s="1">
        <v>0</v>
      </c>
      <c r="S149" s="1">
        <v>0</v>
      </c>
      <c r="T149" s="1">
        <v>0</v>
      </c>
      <c r="U149" s="1">
        <v>0</v>
      </c>
      <c r="V149" s="1">
        <v>55</v>
      </c>
      <c r="W149" s="1">
        <f>SUMPRODUCT(I149:V149,$I$13:$V$13)</f>
        <v>179870</v>
      </c>
      <c r="X149" s="6">
        <f t="shared" si="4"/>
        <v>9.172799999999999E-2</v>
      </c>
      <c r="Y149" s="1" t="str">
        <f>VLOOKUP(D149,[1]PARTS!$A$1:$G$65536,7,0)</f>
        <v>VISHAY RESISTIVE SYSTEMS</v>
      </c>
      <c r="Z149" s="1">
        <f>VLOOKUP(D149,[2]pareto!$D$12:$AX$306,44,0)</f>
        <v>10000</v>
      </c>
      <c r="AA149" s="1">
        <f>VLOOKUP(D149,[2]pareto!$D$12:$AX$306,45,0)</f>
        <v>10000</v>
      </c>
      <c r="AB149" s="1">
        <f>CEILING(W149,Z149)</f>
        <v>180000</v>
      </c>
      <c r="AC149" s="1">
        <f>VLOOKUP(D149,[2]pareto!$D$12:$AX$306,47,0)</f>
        <v>8.1899999999999996E-4</v>
      </c>
      <c r="AD149" s="1" t="s">
        <v>85</v>
      </c>
      <c r="AE149" s="1" t="s">
        <v>86</v>
      </c>
      <c r="AF149" s="19" t="s">
        <v>87</v>
      </c>
      <c r="AG149" s="1" t="s">
        <v>88</v>
      </c>
      <c r="BG149" s="8">
        <f>SUM($BB149,$AI149:AI149)-SUM($BY149:BZ149)</f>
        <v>0</v>
      </c>
      <c r="BH149" s="8">
        <f>SUM($BB149,$AI149:AJ149)-SUM($BY149:CA149)</f>
        <v>0</v>
      </c>
      <c r="BI149" s="8">
        <f>SUM($BB149,$AI149:AK149)-SUM($BY149:CB149)</f>
        <v>0</v>
      </c>
      <c r="BJ149" s="8">
        <f>SUM($BB149,$AI149:AL149)-SUM($BY149:CC149)</f>
        <v>0</v>
      </c>
      <c r="BK149" s="8">
        <f>SUM($BB149,$AI149:AM149)-SUM($BY149:CD149)</f>
        <v>0</v>
      </c>
      <c r="BL149" s="8">
        <f>SUM($BB149,$AI149:AN149)-SUM($BY149:CE149)</f>
        <v>0</v>
      </c>
      <c r="BM149" s="8">
        <f>SUM($BB149,$AI149:AO149)-SUM($BY149:CF149)</f>
        <v>0</v>
      </c>
      <c r="BN149" s="8">
        <f>SUM($BB149,$AI149:AP149)-SUM($BY149:CG149)</f>
        <v>-5700</v>
      </c>
      <c r="BO149" s="8">
        <f>SUM($BB149,$AI149:AQ149)-SUM($BY149:CH149)</f>
        <v>-19750</v>
      </c>
      <c r="BP149" s="8">
        <f>SUM($BB149,$AI149:AR149)-SUM($BY149:CI149)</f>
        <v>-42250</v>
      </c>
      <c r="BQ149" s="8">
        <f>SUM($BB149,$AI149:AS149)-SUM($BY149:CJ149)</f>
        <v>-68500</v>
      </c>
      <c r="BR149" s="8">
        <f>SUM($BB149,$AI149:AT149)-SUM($BY149:CK149)</f>
        <v>-90900</v>
      </c>
      <c r="BS149" s="8">
        <f>SUM($BB149,$AI149:AU149)-SUM($BY149:CL149)</f>
        <v>-110550</v>
      </c>
      <c r="BT149" s="8">
        <f>SUM($BB149,$AI149:AV149)-SUM($BY149:CM149)</f>
        <v>-135350</v>
      </c>
      <c r="BU149" s="8">
        <f>SUM($BB149,$AI149:AW149)-SUM($BY149:CN149)</f>
        <v>-165570</v>
      </c>
      <c r="BV149" s="8">
        <f>SUM($BB149,$AI149:AX149)-SUM($BY149:CO149)</f>
        <v>-179870</v>
      </c>
      <c r="BW149" s="8">
        <f>SUM($BB149,$AI149:AY149)-SUM($BY149:CP149)</f>
        <v>-179870</v>
      </c>
      <c r="BX149" s="8">
        <f>SUM($BB149,$AI149:AZ149)-SUM($BY149:CQ149)</f>
        <v>-179870</v>
      </c>
      <c r="BY149" s="8" cm="1">
        <f t="array" ref="BY149">SUMPRODUCT(TRANSPOSE(BY$2:BY$15),$I149:$V149)</f>
        <v>0</v>
      </c>
      <c r="BZ149" s="8" cm="1">
        <f t="array" ref="BZ149">SUMPRODUCT(TRANSPOSE(BZ$2:BZ$15),$I149:$V149)</f>
        <v>0</v>
      </c>
      <c r="CA149" s="8" cm="1">
        <f t="array" ref="CA149">SUMPRODUCT(TRANSPOSE(CA$2:CA$15),$I149:$V149)</f>
        <v>0</v>
      </c>
      <c r="CB149" s="8" cm="1">
        <f t="array" ref="CB149">SUMPRODUCT(TRANSPOSE(CB$2:CB$15),$I149:$V149)</f>
        <v>0</v>
      </c>
      <c r="CC149" s="8" cm="1">
        <f t="array" ref="CC149">SUMPRODUCT(TRANSPOSE(CC$2:CC$15),$I149:$V149)</f>
        <v>0</v>
      </c>
      <c r="CD149" s="8" cm="1">
        <f t="array" ref="CD149">SUMPRODUCT(TRANSPOSE(CD$2:CD$15),$I149:$V149)</f>
        <v>0</v>
      </c>
      <c r="CE149" s="8" cm="1">
        <f t="array" ref="CE149">SUMPRODUCT(TRANSPOSE(CE$2:CE$15),$I149:$V149)</f>
        <v>0</v>
      </c>
      <c r="CF149" s="8" cm="1">
        <f t="array" ref="CF149">SUMPRODUCT(TRANSPOSE(CF$2:CF$15),$I149:$V149)</f>
        <v>0</v>
      </c>
      <c r="CG149" s="8" cm="1">
        <f t="array" ref="CG149">SUMPRODUCT(TRANSPOSE(CG$2:CG$15),$I149:$V149)</f>
        <v>5700</v>
      </c>
      <c r="CH149" s="8" cm="1">
        <f t="array" ref="CH149">SUMPRODUCT(TRANSPOSE(CH$2:CH$15),$I149:$V149)</f>
        <v>14050</v>
      </c>
      <c r="CI149" s="8" cm="1">
        <f t="array" ref="CI149">SUMPRODUCT(TRANSPOSE(CI$2:CI$15),$I149:$V149)</f>
        <v>22500</v>
      </c>
      <c r="CJ149" s="8" cm="1">
        <f t="array" ref="CJ149">SUMPRODUCT(TRANSPOSE(CJ$2:CJ$15),$I149:$V149)</f>
        <v>26250</v>
      </c>
      <c r="CK149" s="8" cm="1">
        <f t="array" ref="CK149">SUMPRODUCT(TRANSPOSE(CK$2:CK$15),$I149:$V149)</f>
        <v>22400</v>
      </c>
      <c r="CL149" s="8" cm="1">
        <f t="array" ref="CL149">SUMPRODUCT(TRANSPOSE(CL$2:CL$15),$I149:$V149)</f>
        <v>19650</v>
      </c>
      <c r="CM149" s="8" cm="1">
        <f t="array" ref="CM149">SUMPRODUCT(TRANSPOSE(CM$2:CM$15),$I149:$V149)</f>
        <v>24800</v>
      </c>
      <c r="CN149" s="8" cm="1">
        <f t="array" ref="CN149">SUMPRODUCT(TRANSPOSE(CN$2:CN$15),$I149:$V149)</f>
        <v>30220</v>
      </c>
      <c r="CO149" s="8" cm="1">
        <f t="array" ref="CO149">SUMPRODUCT(TRANSPOSE(CO$2:CO$15),$I149:$V149)</f>
        <v>14300</v>
      </c>
      <c r="CP149" s="8" cm="1">
        <f t="array" ref="CP149">SUMPRODUCT(TRANSPOSE(CP$2:CP$15),$I149:$V149)</f>
        <v>0</v>
      </c>
      <c r="CQ149" s="8" cm="1">
        <f t="array" ref="CQ149">SUMPRODUCT(TRANSPOSE(CQ$2:CQ$15),$I149:$V149)</f>
        <v>0</v>
      </c>
    </row>
    <row r="150" spans="1:95" x14ac:dyDescent="0.25">
      <c r="A150" s="1">
        <v>250</v>
      </c>
      <c r="B150" s="11" t="s">
        <v>418</v>
      </c>
      <c r="C150" s="1" t="s">
        <v>49</v>
      </c>
      <c r="D150" s="1">
        <v>512306770</v>
      </c>
      <c r="E150" s="6">
        <f>VLOOKUP(D150,FFF!$A$2:$B$674,2,)</f>
        <v>413820561</v>
      </c>
      <c r="F150" s="1" t="s">
        <v>419</v>
      </c>
      <c r="G150" s="1" t="s">
        <v>35</v>
      </c>
      <c r="H150" s="1">
        <v>10</v>
      </c>
      <c r="I150" s="1">
        <v>0</v>
      </c>
      <c r="J150" s="1">
        <v>0</v>
      </c>
      <c r="K150" s="1">
        <v>5</v>
      </c>
      <c r="L150" s="1">
        <v>0</v>
      </c>
      <c r="M150" s="1">
        <v>0</v>
      </c>
      <c r="N150" s="1">
        <v>0</v>
      </c>
      <c r="O150" s="1">
        <v>0</v>
      </c>
      <c r="P150" s="1">
        <v>5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f>SUMPRODUCT(I150:V150,$I$13:$V$13)</f>
        <v>16050</v>
      </c>
      <c r="X150" s="6">
        <f t="shared" si="4"/>
        <v>1.4000000000000001</v>
      </c>
      <c r="Y150" s="1" t="str">
        <f>VLOOKUP(D150,[1]PARTS!$A$1:$G$65536,7,0)</f>
        <v>NAS/NASM NATIONAL AEROSPACE STD</v>
      </c>
      <c r="Z150" s="1">
        <v>1</v>
      </c>
      <c r="AA150" s="1">
        <f>CEILING(W150,Z150)</f>
        <v>16050</v>
      </c>
      <c r="AB150" s="1">
        <f>CEILING(W150,Z150)</f>
        <v>16050</v>
      </c>
      <c r="AC150" s="1">
        <v>0.14000000000000001</v>
      </c>
      <c r="AD150" s="1" t="s">
        <v>413</v>
      </c>
      <c r="AE150" s="1" t="s">
        <v>325</v>
      </c>
      <c r="AF150" s="19" t="s">
        <v>326</v>
      </c>
      <c r="AG150" s="1" t="s">
        <v>327</v>
      </c>
      <c r="BG150" s="8">
        <f>SUM($BB150,$AI150:AI150)-SUM($BY150:BZ150)</f>
        <v>0</v>
      </c>
      <c r="BH150" s="8">
        <f>SUM($BB150,$AI150:AJ150)-SUM($BY150:CA150)</f>
        <v>0</v>
      </c>
      <c r="BI150" s="8">
        <f>SUM($BB150,$AI150:AK150)-SUM($BY150:CB150)</f>
        <v>0</v>
      </c>
      <c r="BJ150" s="8">
        <f>SUM($BB150,$AI150:AL150)-SUM($BY150:CC150)</f>
        <v>0</v>
      </c>
      <c r="BK150" s="8">
        <f>SUM($BB150,$AI150:AM150)-SUM($BY150:CD150)</f>
        <v>0</v>
      </c>
      <c r="BL150" s="8">
        <f>SUM($BB150,$AI150:AN150)-SUM($BY150:CE150)</f>
        <v>0</v>
      </c>
      <c r="BM150" s="8">
        <f>SUM($BB150,$AI150:AO150)-SUM($BY150:CF150)</f>
        <v>0</v>
      </c>
      <c r="BN150" s="8">
        <f>SUM($BB150,$AI150:AP150)-SUM($BY150:CG150)</f>
        <v>0</v>
      </c>
      <c r="BO150" s="8">
        <f>SUM($BB150,$AI150:AQ150)-SUM($BY150:CH150)</f>
        <v>-1000</v>
      </c>
      <c r="BP150" s="8">
        <f>SUM($BB150,$AI150:AR150)-SUM($BY150:CI150)</f>
        <v>-2500</v>
      </c>
      <c r="BQ150" s="8">
        <f>SUM($BB150,$AI150:AS150)-SUM($BY150:CJ150)</f>
        <v>-5000</v>
      </c>
      <c r="BR150" s="8">
        <f>SUM($BB150,$AI150:AT150)-SUM($BY150:CK150)</f>
        <v>-7100</v>
      </c>
      <c r="BS150" s="8">
        <f>SUM($BB150,$AI150:AU150)-SUM($BY150:CL150)</f>
        <v>-9100</v>
      </c>
      <c r="BT150" s="8">
        <f>SUM($BB150,$AI150:AV150)-SUM($BY150:CM150)</f>
        <v>-10850</v>
      </c>
      <c r="BU150" s="8">
        <f>SUM($BB150,$AI150:AW150)-SUM($BY150:CN150)</f>
        <v>-13550</v>
      </c>
      <c r="BV150" s="8">
        <f>SUM($BB150,$AI150:AX150)-SUM($BY150:CO150)</f>
        <v>-16050</v>
      </c>
      <c r="BW150" s="8">
        <f>SUM($BB150,$AI150:AY150)-SUM($BY150:CP150)</f>
        <v>-16050</v>
      </c>
      <c r="BX150" s="8">
        <f>SUM($BB150,$AI150:AZ150)-SUM($BY150:CQ150)</f>
        <v>-16050</v>
      </c>
      <c r="BY150" s="8" cm="1">
        <f t="array" ref="BY150">SUMPRODUCT(TRANSPOSE(BY$2:BY$15),$I150:$V150)</f>
        <v>0</v>
      </c>
      <c r="BZ150" s="8" cm="1">
        <f t="array" ref="BZ150">SUMPRODUCT(TRANSPOSE(BZ$2:BZ$15),$I150:$V150)</f>
        <v>0</v>
      </c>
      <c r="CA150" s="8" cm="1">
        <f t="array" ref="CA150">SUMPRODUCT(TRANSPOSE(CA$2:CA$15),$I150:$V150)</f>
        <v>0</v>
      </c>
      <c r="CB150" s="8" cm="1">
        <f t="array" ref="CB150">SUMPRODUCT(TRANSPOSE(CB$2:CB$15),$I150:$V150)</f>
        <v>0</v>
      </c>
      <c r="CC150" s="8" cm="1">
        <f t="array" ref="CC150">SUMPRODUCT(TRANSPOSE(CC$2:CC$15),$I150:$V150)</f>
        <v>0</v>
      </c>
      <c r="CD150" s="8" cm="1">
        <f t="array" ref="CD150">SUMPRODUCT(TRANSPOSE(CD$2:CD$15),$I150:$V150)</f>
        <v>0</v>
      </c>
      <c r="CE150" s="8" cm="1">
        <f t="array" ref="CE150">SUMPRODUCT(TRANSPOSE(CE$2:CE$15),$I150:$V150)</f>
        <v>0</v>
      </c>
      <c r="CF150" s="8" cm="1">
        <f t="array" ref="CF150">SUMPRODUCT(TRANSPOSE(CF$2:CF$15),$I150:$V150)</f>
        <v>0</v>
      </c>
      <c r="CG150" s="8" cm="1">
        <f t="array" ref="CG150">SUMPRODUCT(TRANSPOSE(CG$2:CG$15),$I150:$V150)</f>
        <v>0</v>
      </c>
      <c r="CH150" s="8" cm="1">
        <f t="array" ref="CH150">SUMPRODUCT(TRANSPOSE(CH$2:CH$15),$I150:$V150)</f>
        <v>1000</v>
      </c>
      <c r="CI150" s="8" cm="1">
        <f t="array" ref="CI150">SUMPRODUCT(TRANSPOSE(CI$2:CI$15),$I150:$V150)</f>
        <v>1500</v>
      </c>
      <c r="CJ150" s="8" cm="1">
        <f t="array" ref="CJ150">SUMPRODUCT(TRANSPOSE(CJ$2:CJ$15),$I150:$V150)</f>
        <v>2500</v>
      </c>
      <c r="CK150" s="8" cm="1">
        <f t="array" ref="CK150">SUMPRODUCT(TRANSPOSE(CK$2:CK$15),$I150:$V150)</f>
        <v>2100</v>
      </c>
      <c r="CL150" s="8" cm="1">
        <f t="array" ref="CL150">SUMPRODUCT(TRANSPOSE(CL$2:CL$15),$I150:$V150)</f>
        <v>2000</v>
      </c>
      <c r="CM150" s="8" cm="1">
        <f t="array" ref="CM150">SUMPRODUCT(TRANSPOSE(CM$2:CM$15),$I150:$V150)</f>
        <v>1750</v>
      </c>
      <c r="CN150" s="8" cm="1">
        <f t="array" ref="CN150">SUMPRODUCT(TRANSPOSE(CN$2:CN$15),$I150:$V150)</f>
        <v>2700</v>
      </c>
      <c r="CO150" s="8" cm="1">
        <f t="array" ref="CO150">SUMPRODUCT(TRANSPOSE(CO$2:CO$15),$I150:$V150)</f>
        <v>2500</v>
      </c>
      <c r="CP150" s="8" cm="1">
        <f t="array" ref="CP150">SUMPRODUCT(TRANSPOSE(CP$2:CP$15),$I150:$V150)</f>
        <v>0</v>
      </c>
      <c r="CQ150" s="8" cm="1">
        <f t="array" ref="CQ150">SUMPRODUCT(TRANSPOSE(CQ$2:CQ$15),$I150:$V150)</f>
        <v>0</v>
      </c>
    </row>
    <row r="151" spans="1:95" x14ac:dyDescent="0.25">
      <c r="A151" s="1">
        <v>151</v>
      </c>
      <c r="B151" s="11" t="s">
        <v>420</v>
      </c>
      <c r="C151" s="1" t="s">
        <v>49</v>
      </c>
      <c r="D151" s="1">
        <v>400656755</v>
      </c>
      <c r="E151" s="6" t="str">
        <f>VLOOKUP(D151,FFF!$A$2:$B$674,2,)</f>
        <v>FFF004487</v>
      </c>
      <c r="F151" s="1" t="s">
        <v>421</v>
      </c>
      <c r="G151" s="1" t="s">
        <v>35</v>
      </c>
      <c r="H151" s="1">
        <v>109</v>
      </c>
      <c r="I151" s="1">
        <v>0</v>
      </c>
      <c r="J151" s="1">
        <v>0</v>
      </c>
      <c r="K151" s="1">
        <v>0</v>
      </c>
      <c r="L151" s="1">
        <v>2</v>
      </c>
      <c r="M151" s="1">
        <v>49</v>
      </c>
      <c r="N151" s="1">
        <v>0</v>
      </c>
      <c r="O151" s="1">
        <v>0</v>
      </c>
      <c r="P151" s="1">
        <v>0</v>
      </c>
      <c r="Q151" s="1">
        <v>9</v>
      </c>
      <c r="R151" s="1">
        <v>0</v>
      </c>
      <c r="S151" s="1">
        <v>0</v>
      </c>
      <c r="T151" s="1">
        <v>0</v>
      </c>
      <c r="U151" s="1">
        <v>0</v>
      </c>
      <c r="V151" s="1">
        <v>49</v>
      </c>
      <c r="W151" s="1">
        <f>SUMPRODUCT(I151:V151,$I$13:$V$13)</f>
        <v>175330</v>
      </c>
      <c r="X151" s="6">
        <f t="shared" si="4"/>
        <v>0.11987819999999999</v>
      </c>
      <c r="Y151" s="1" t="str">
        <f>VLOOKUP(D151,[1]PARTS!$A$1:$G$65536,7,0)</f>
        <v>VISHAY EUROPE SALE GMBH</v>
      </c>
      <c r="Z151" s="1">
        <f>VLOOKUP(D151,[2]pareto!$D$12:$AX$306,44,0)</f>
        <v>10000</v>
      </c>
      <c r="AA151" s="1">
        <f>VLOOKUP(D151,[2]pareto!$D$12:$AX$306,45,0)</f>
        <v>10000</v>
      </c>
      <c r="AB151" s="1">
        <f>CEILING(W151,Z151)</f>
        <v>180000</v>
      </c>
      <c r="AC151" s="1">
        <f>VLOOKUP(D151,[2]pareto!$D$12:$AX$306,47,0)</f>
        <v>1.0998E-3</v>
      </c>
      <c r="AD151" s="1" t="s">
        <v>85</v>
      </c>
      <c r="AE151" s="1" t="s">
        <v>86</v>
      </c>
      <c r="AF151" s="19" t="s">
        <v>87</v>
      </c>
      <c r="AG151" s="1" t="s">
        <v>88</v>
      </c>
      <c r="BG151" s="8">
        <f>SUM($BB151,$AI151:AI151)-SUM($BY151:BZ151)</f>
        <v>0</v>
      </c>
      <c r="BH151" s="8">
        <f>SUM($BB151,$AI151:AJ151)-SUM($BY151:CA151)</f>
        <v>0</v>
      </c>
      <c r="BI151" s="8">
        <f>SUM($BB151,$AI151:AK151)-SUM($BY151:CB151)</f>
        <v>0</v>
      </c>
      <c r="BJ151" s="8">
        <f>SUM($BB151,$AI151:AL151)-SUM($BY151:CC151)</f>
        <v>0</v>
      </c>
      <c r="BK151" s="8">
        <f>SUM($BB151,$AI151:AM151)-SUM($BY151:CD151)</f>
        <v>0</v>
      </c>
      <c r="BL151" s="8">
        <f>SUM($BB151,$AI151:AN151)-SUM($BY151:CE151)</f>
        <v>0</v>
      </c>
      <c r="BM151" s="8">
        <f>SUM($BB151,$AI151:AO151)-SUM($BY151:CF151)</f>
        <v>0</v>
      </c>
      <c r="BN151" s="8">
        <f>SUM($BB151,$AI151:AP151)-SUM($BY151:CG151)</f>
        <v>-6000</v>
      </c>
      <c r="BO151" s="8">
        <f>SUM($BB151,$AI151:AQ151)-SUM($BY151:CH151)</f>
        <v>-19900</v>
      </c>
      <c r="BP151" s="8">
        <f>SUM($BB151,$AI151:AR151)-SUM($BY151:CI151)</f>
        <v>-42250</v>
      </c>
      <c r="BQ151" s="8">
        <f>SUM($BB151,$AI151:AS151)-SUM($BY151:CJ151)</f>
        <v>-67520</v>
      </c>
      <c r="BR151" s="8">
        <f>SUM($BB151,$AI151:AT151)-SUM($BY151:CK151)</f>
        <v>-89320</v>
      </c>
      <c r="BS151" s="8">
        <f>SUM($BB151,$AI151:AU151)-SUM($BY151:CL151)</f>
        <v>-108570</v>
      </c>
      <c r="BT151" s="8">
        <f>SUM($BB151,$AI151:AV151)-SUM($BY151:CM151)</f>
        <v>-133310</v>
      </c>
      <c r="BU151" s="8">
        <f>SUM($BB151,$AI151:AW151)-SUM($BY151:CN151)</f>
        <v>-162590</v>
      </c>
      <c r="BV151" s="8">
        <f>SUM($BB151,$AI151:AX151)-SUM($BY151:CO151)</f>
        <v>-175330</v>
      </c>
      <c r="BW151" s="8">
        <f>SUM($BB151,$AI151:AY151)-SUM($BY151:CP151)</f>
        <v>-175330</v>
      </c>
      <c r="BX151" s="8">
        <f>SUM($BB151,$AI151:AZ151)-SUM($BY151:CQ151)</f>
        <v>-175330</v>
      </c>
      <c r="BY151" s="8" cm="1">
        <f t="array" ref="BY151">SUMPRODUCT(TRANSPOSE(BY$2:BY$15),$I151:$V151)</f>
        <v>0</v>
      </c>
      <c r="BZ151" s="8" cm="1">
        <f t="array" ref="BZ151">SUMPRODUCT(TRANSPOSE(BZ$2:BZ$15),$I151:$V151)</f>
        <v>0</v>
      </c>
      <c r="CA151" s="8" cm="1">
        <f t="array" ref="CA151">SUMPRODUCT(TRANSPOSE(CA$2:CA$15),$I151:$V151)</f>
        <v>0</v>
      </c>
      <c r="CB151" s="8" cm="1">
        <f t="array" ref="CB151">SUMPRODUCT(TRANSPOSE(CB$2:CB$15),$I151:$V151)</f>
        <v>0</v>
      </c>
      <c r="CC151" s="8" cm="1">
        <f t="array" ref="CC151">SUMPRODUCT(TRANSPOSE(CC$2:CC$15),$I151:$V151)</f>
        <v>0</v>
      </c>
      <c r="CD151" s="8" cm="1">
        <f t="array" ref="CD151">SUMPRODUCT(TRANSPOSE(CD$2:CD$15),$I151:$V151)</f>
        <v>0</v>
      </c>
      <c r="CE151" s="8" cm="1">
        <f t="array" ref="CE151">SUMPRODUCT(TRANSPOSE(CE$2:CE$15),$I151:$V151)</f>
        <v>0</v>
      </c>
      <c r="CF151" s="8" cm="1">
        <f t="array" ref="CF151">SUMPRODUCT(TRANSPOSE(CF$2:CF$15),$I151:$V151)</f>
        <v>0</v>
      </c>
      <c r="CG151" s="8" cm="1">
        <f t="array" ref="CG151">SUMPRODUCT(TRANSPOSE(CG$2:CG$15),$I151:$V151)</f>
        <v>6000</v>
      </c>
      <c r="CH151" s="8" cm="1">
        <f t="array" ref="CH151">SUMPRODUCT(TRANSPOSE(CH$2:CH$15),$I151:$V151)</f>
        <v>13900</v>
      </c>
      <c r="CI151" s="8" cm="1">
        <f t="array" ref="CI151">SUMPRODUCT(TRANSPOSE(CI$2:CI$15),$I151:$V151)</f>
        <v>22350</v>
      </c>
      <c r="CJ151" s="8" cm="1">
        <f t="array" ref="CJ151">SUMPRODUCT(TRANSPOSE(CJ$2:CJ$15),$I151:$V151)</f>
        <v>25270</v>
      </c>
      <c r="CK151" s="8" cm="1">
        <f t="array" ref="CK151">SUMPRODUCT(TRANSPOSE(CK$2:CK$15),$I151:$V151)</f>
        <v>21800</v>
      </c>
      <c r="CL151" s="8" cm="1">
        <f t="array" ref="CL151">SUMPRODUCT(TRANSPOSE(CL$2:CL$15),$I151:$V151)</f>
        <v>19250</v>
      </c>
      <c r="CM151" s="8" cm="1">
        <f t="array" ref="CM151">SUMPRODUCT(TRANSPOSE(CM$2:CM$15),$I151:$V151)</f>
        <v>24740</v>
      </c>
      <c r="CN151" s="8" cm="1">
        <f t="array" ref="CN151">SUMPRODUCT(TRANSPOSE(CN$2:CN$15),$I151:$V151)</f>
        <v>29280</v>
      </c>
      <c r="CO151" s="8" cm="1">
        <f t="array" ref="CO151">SUMPRODUCT(TRANSPOSE(CO$2:CO$15),$I151:$V151)</f>
        <v>12740</v>
      </c>
      <c r="CP151" s="8" cm="1">
        <f t="array" ref="CP151">SUMPRODUCT(TRANSPOSE(CP$2:CP$15),$I151:$V151)</f>
        <v>0</v>
      </c>
      <c r="CQ151" s="8" cm="1">
        <f t="array" ref="CQ151">SUMPRODUCT(TRANSPOSE(CQ$2:CQ$15),$I151:$V151)</f>
        <v>0</v>
      </c>
    </row>
    <row r="152" spans="1:95" x14ac:dyDescent="0.25">
      <c r="A152" s="1">
        <v>311</v>
      </c>
      <c r="B152" s="11" t="s">
        <v>422</v>
      </c>
      <c r="C152" s="1" t="s">
        <v>49</v>
      </c>
      <c r="D152" s="1">
        <v>406564380</v>
      </c>
      <c r="E152" s="6">
        <f>VLOOKUP(D152,FFF!$A$2:$B$674,2,)</f>
        <v>406565026</v>
      </c>
      <c r="F152" s="1" t="s">
        <v>423</v>
      </c>
      <c r="G152" s="1" t="s">
        <v>35</v>
      </c>
      <c r="H152" s="1">
        <v>2</v>
      </c>
      <c r="I152" s="1">
        <v>0</v>
      </c>
      <c r="J152" s="1">
        <v>0</v>
      </c>
      <c r="K152" s="1">
        <v>0</v>
      </c>
      <c r="L152" s="1">
        <v>0</v>
      </c>
      <c r="M152" s="1">
        <v>1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1</v>
      </c>
      <c r="W152" s="1">
        <f>SUMPRODUCT(I152:V152,$I$13:$V$13)</f>
        <v>3210</v>
      </c>
      <c r="X152" s="6">
        <f t="shared" si="4"/>
        <v>1.0815999999999999</v>
      </c>
      <c r="Y152" s="1" t="str">
        <f>VLOOKUP(D152,[1]PARTS!$A$1:$G$65536,7,0)</f>
        <v>TEXAS INSTRUMENTS INC</v>
      </c>
      <c r="Z152" s="1">
        <f>VLOOKUP(D152,[2]pareto!$D$12:$AX$306,44,0)</f>
        <v>3000</v>
      </c>
      <c r="AA152" s="1">
        <f>VLOOKUP(D152,[2]pareto!$D$12:$AX$306,45,0)</f>
        <v>3000</v>
      </c>
      <c r="AB152" s="1">
        <f>CEILING(W152,Z152)</f>
        <v>6000</v>
      </c>
      <c r="AC152" s="1">
        <v>0.54079999999999995</v>
      </c>
      <c r="AD152" s="1" t="s">
        <v>107</v>
      </c>
      <c r="AE152" s="1" t="s">
        <v>108</v>
      </c>
      <c r="AF152" s="19" t="s">
        <v>109</v>
      </c>
      <c r="AG152" s="1" t="s">
        <v>110</v>
      </c>
      <c r="BG152" s="8">
        <f>SUM($BB152,$AI152:AI152)-SUM($BY152:BZ152)</f>
        <v>0</v>
      </c>
      <c r="BH152" s="8">
        <f>SUM($BB152,$AI152:AJ152)-SUM($BY152:CA152)</f>
        <v>0</v>
      </c>
      <c r="BI152" s="8">
        <f>SUM($BB152,$AI152:AK152)-SUM($BY152:CB152)</f>
        <v>0</v>
      </c>
      <c r="BJ152" s="8">
        <f>SUM($BB152,$AI152:AL152)-SUM($BY152:CC152)</f>
        <v>0</v>
      </c>
      <c r="BK152" s="8">
        <f>SUM($BB152,$AI152:AM152)-SUM($BY152:CD152)</f>
        <v>0</v>
      </c>
      <c r="BL152" s="8">
        <f>SUM($BB152,$AI152:AN152)-SUM($BY152:CE152)</f>
        <v>0</v>
      </c>
      <c r="BM152" s="8">
        <f>SUM($BB152,$AI152:AO152)-SUM($BY152:CF152)</f>
        <v>0</v>
      </c>
      <c r="BN152" s="8">
        <f>SUM($BB152,$AI152:AP152)-SUM($BY152:CG152)</f>
        <v>-100</v>
      </c>
      <c r="BO152" s="8">
        <f>SUM($BB152,$AI152:AQ152)-SUM($BY152:CH152)</f>
        <v>-350</v>
      </c>
      <c r="BP152" s="8">
        <f>SUM($BB152,$AI152:AR152)-SUM($BY152:CI152)</f>
        <v>-750</v>
      </c>
      <c r="BQ152" s="8">
        <f>SUM($BB152,$AI152:AS152)-SUM($BY152:CJ152)</f>
        <v>-1220</v>
      </c>
      <c r="BR152" s="8">
        <f>SUM($BB152,$AI152:AT152)-SUM($BY152:CK152)</f>
        <v>-1620</v>
      </c>
      <c r="BS152" s="8">
        <f>SUM($BB152,$AI152:AU152)-SUM($BY152:CL152)</f>
        <v>-1970</v>
      </c>
      <c r="BT152" s="8">
        <f>SUM($BB152,$AI152:AV152)-SUM($BY152:CM152)</f>
        <v>-2410</v>
      </c>
      <c r="BU152" s="8">
        <f>SUM($BB152,$AI152:AW152)-SUM($BY152:CN152)</f>
        <v>-2950</v>
      </c>
      <c r="BV152" s="8">
        <f>SUM($BB152,$AI152:AX152)-SUM($BY152:CO152)</f>
        <v>-3210</v>
      </c>
      <c r="BW152" s="8">
        <f>SUM($BB152,$AI152:AY152)-SUM($BY152:CP152)</f>
        <v>-3210</v>
      </c>
      <c r="BX152" s="8">
        <f>SUM($BB152,$AI152:AZ152)-SUM($BY152:CQ152)</f>
        <v>-3210</v>
      </c>
      <c r="BY152" s="8" cm="1">
        <f t="array" ref="BY152">SUMPRODUCT(TRANSPOSE(BY$2:BY$15),$I152:$V152)</f>
        <v>0</v>
      </c>
      <c r="BZ152" s="8" cm="1">
        <f t="array" ref="BZ152">SUMPRODUCT(TRANSPOSE(BZ$2:BZ$15),$I152:$V152)</f>
        <v>0</v>
      </c>
      <c r="CA152" s="8" cm="1">
        <f t="array" ref="CA152">SUMPRODUCT(TRANSPOSE(CA$2:CA$15),$I152:$V152)</f>
        <v>0</v>
      </c>
      <c r="CB152" s="8" cm="1">
        <f t="array" ref="CB152">SUMPRODUCT(TRANSPOSE(CB$2:CB$15),$I152:$V152)</f>
        <v>0</v>
      </c>
      <c r="CC152" s="8" cm="1">
        <f t="array" ref="CC152">SUMPRODUCT(TRANSPOSE(CC$2:CC$15),$I152:$V152)</f>
        <v>0</v>
      </c>
      <c r="CD152" s="8" cm="1">
        <f t="array" ref="CD152">SUMPRODUCT(TRANSPOSE(CD$2:CD$15),$I152:$V152)</f>
        <v>0</v>
      </c>
      <c r="CE152" s="8" cm="1">
        <f t="array" ref="CE152">SUMPRODUCT(TRANSPOSE(CE$2:CE$15),$I152:$V152)</f>
        <v>0</v>
      </c>
      <c r="CF152" s="8" cm="1">
        <f t="array" ref="CF152">SUMPRODUCT(TRANSPOSE(CF$2:CF$15),$I152:$V152)</f>
        <v>0</v>
      </c>
      <c r="CG152" s="8" cm="1">
        <f t="array" ref="CG152">SUMPRODUCT(TRANSPOSE(CG$2:CG$15),$I152:$V152)</f>
        <v>100</v>
      </c>
      <c r="CH152" s="8" cm="1">
        <f t="array" ref="CH152">SUMPRODUCT(TRANSPOSE(CH$2:CH$15),$I152:$V152)</f>
        <v>250</v>
      </c>
      <c r="CI152" s="8" cm="1">
        <f t="array" ref="CI152">SUMPRODUCT(TRANSPOSE(CI$2:CI$15),$I152:$V152)</f>
        <v>400</v>
      </c>
      <c r="CJ152" s="8" cm="1">
        <f t="array" ref="CJ152">SUMPRODUCT(TRANSPOSE(CJ$2:CJ$15),$I152:$V152)</f>
        <v>470</v>
      </c>
      <c r="CK152" s="8" cm="1">
        <f t="array" ref="CK152">SUMPRODUCT(TRANSPOSE(CK$2:CK$15),$I152:$V152)</f>
        <v>400</v>
      </c>
      <c r="CL152" s="8" cm="1">
        <f t="array" ref="CL152">SUMPRODUCT(TRANSPOSE(CL$2:CL$15),$I152:$V152)</f>
        <v>350</v>
      </c>
      <c r="CM152" s="8" cm="1">
        <f t="array" ref="CM152">SUMPRODUCT(TRANSPOSE(CM$2:CM$15),$I152:$V152)</f>
        <v>440</v>
      </c>
      <c r="CN152" s="8" cm="1">
        <f t="array" ref="CN152">SUMPRODUCT(TRANSPOSE(CN$2:CN$15),$I152:$V152)</f>
        <v>540</v>
      </c>
      <c r="CO152" s="8" cm="1">
        <f t="array" ref="CO152">SUMPRODUCT(TRANSPOSE(CO$2:CO$15),$I152:$V152)</f>
        <v>260</v>
      </c>
      <c r="CP152" s="8" cm="1">
        <f t="array" ref="CP152">SUMPRODUCT(TRANSPOSE(CP$2:CP$15),$I152:$V152)</f>
        <v>0</v>
      </c>
      <c r="CQ152" s="8" cm="1">
        <f t="array" ref="CQ152">SUMPRODUCT(TRANSPOSE(CQ$2:CQ$15),$I152:$V152)</f>
        <v>0</v>
      </c>
    </row>
    <row r="153" spans="1:95" x14ac:dyDescent="0.25">
      <c r="A153" s="1">
        <v>266</v>
      </c>
      <c r="B153" s="11" t="s">
        <v>424</v>
      </c>
      <c r="C153" s="1" t="s">
        <v>49</v>
      </c>
      <c r="D153" s="1">
        <v>514200799</v>
      </c>
      <c r="E153" s="6"/>
      <c r="F153" s="1" t="s">
        <v>425</v>
      </c>
      <c r="G153" s="1" t="s">
        <v>35</v>
      </c>
      <c r="H153" s="1">
        <v>26</v>
      </c>
      <c r="I153" s="1">
        <v>0</v>
      </c>
      <c r="J153" s="1">
        <v>13</v>
      </c>
      <c r="K153" s="1">
        <v>0</v>
      </c>
      <c r="L153" s="1">
        <v>0</v>
      </c>
      <c r="M153" s="1">
        <v>0</v>
      </c>
      <c r="N153" s="1">
        <v>0</v>
      </c>
      <c r="O153" s="1">
        <v>13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f>SUMPRODUCT(I153:V153,$I$13:$V$13)</f>
        <v>41730</v>
      </c>
      <c r="X153" s="6">
        <f t="shared" si="4"/>
        <v>0.377</v>
      </c>
      <c r="Y153" s="1" t="str">
        <f>VLOOKUP(D153,[1]PARTS!$A$1:$G$65536,7,0)</f>
        <v>NAS/NASM NATIONAL AEROSPACE STD</v>
      </c>
      <c r="Z153" s="1">
        <v>1</v>
      </c>
      <c r="AA153" s="1">
        <f>CEILING(W153,Z153)</f>
        <v>41730</v>
      </c>
      <c r="AB153" s="1">
        <f>CEILING(W153,Z153)</f>
        <v>41730</v>
      </c>
      <c r="AC153" s="1">
        <f>VLOOKUP(D153,[2]pareto!$D$12:$AX$306,47,0)</f>
        <v>1.4500000000000001E-2</v>
      </c>
      <c r="AD153" s="1" t="str">
        <f>VLOOKUP(D153,[2]pareto!$D$11:$BD$306,50,0)</f>
        <v>KAYTECH</v>
      </c>
      <c r="AE153" s="1" t="s">
        <v>325</v>
      </c>
      <c r="AF153" s="19" t="s">
        <v>326</v>
      </c>
      <c r="AG153" s="1" t="s">
        <v>327</v>
      </c>
      <c r="BG153" s="8">
        <f>SUM($BB153,$AI153:AI153)-SUM($BY153:BZ153)</f>
        <v>0</v>
      </c>
      <c r="BH153" s="8">
        <f>SUM($BB153,$AI153:AJ153)-SUM($BY153:CA153)</f>
        <v>0</v>
      </c>
      <c r="BI153" s="8">
        <f>SUM($BB153,$AI153:AK153)-SUM($BY153:CB153)</f>
        <v>0</v>
      </c>
      <c r="BJ153" s="8">
        <f>SUM($BB153,$AI153:AL153)-SUM($BY153:CC153)</f>
        <v>0</v>
      </c>
      <c r="BK153" s="8">
        <f>SUM($BB153,$AI153:AM153)-SUM($BY153:CD153)</f>
        <v>0</v>
      </c>
      <c r="BL153" s="8">
        <f>SUM($BB153,$AI153:AN153)-SUM($BY153:CE153)</f>
        <v>0</v>
      </c>
      <c r="BM153" s="8">
        <f>SUM($BB153,$AI153:AO153)-SUM($BY153:CF153)</f>
        <v>0</v>
      </c>
      <c r="BN153" s="8">
        <f>SUM($BB153,$AI153:AP153)-SUM($BY153:CG153)</f>
        <v>0</v>
      </c>
      <c r="BO153" s="8">
        <f>SUM($BB153,$AI153:AQ153)-SUM($BY153:CH153)</f>
        <v>0</v>
      </c>
      <c r="BP153" s="8">
        <f>SUM($BB153,$AI153:AR153)-SUM($BY153:CI153)</f>
        <v>-2600</v>
      </c>
      <c r="BQ153" s="8">
        <f>SUM($BB153,$AI153:AS153)-SUM($BY153:CJ153)</f>
        <v>-6500</v>
      </c>
      <c r="BR153" s="8">
        <f>SUM($BB153,$AI153:AT153)-SUM($BY153:CK153)</f>
        <v>-13000</v>
      </c>
      <c r="BS153" s="8">
        <f>SUM($BB153,$AI153:AU153)-SUM($BY153:CL153)</f>
        <v>-18460</v>
      </c>
      <c r="BT153" s="8">
        <f>SUM($BB153,$AI153:AV153)-SUM($BY153:CM153)</f>
        <v>-23660</v>
      </c>
      <c r="BU153" s="8">
        <f>SUM($BB153,$AI153:AW153)-SUM($BY153:CN153)</f>
        <v>-28210</v>
      </c>
      <c r="BV153" s="8">
        <f>SUM($BB153,$AI153:AX153)-SUM($BY153:CO153)</f>
        <v>-35230</v>
      </c>
      <c r="BW153" s="8">
        <f>SUM($BB153,$AI153:AY153)-SUM($BY153:CP153)</f>
        <v>-41730</v>
      </c>
      <c r="BX153" s="8">
        <f>SUM($BB153,$AI153:AZ153)-SUM($BY153:CQ153)</f>
        <v>-41730</v>
      </c>
      <c r="BY153" s="8" cm="1">
        <f t="array" ref="BY153">SUMPRODUCT(TRANSPOSE(BY$2:BY$15),$I153:$V153)</f>
        <v>0</v>
      </c>
      <c r="BZ153" s="8" cm="1">
        <f t="array" ref="BZ153">SUMPRODUCT(TRANSPOSE(BZ$2:BZ$15),$I153:$V153)</f>
        <v>0</v>
      </c>
      <c r="CA153" s="8" cm="1">
        <f t="array" ref="CA153">SUMPRODUCT(TRANSPOSE(CA$2:CA$15),$I153:$V153)</f>
        <v>0</v>
      </c>
      <c r="CB153" s="8" cm="1">
        <f t="array" ref="CB153">SUMPRODUCT(TRANSPOSE(CB$2:CB$15),$I153:$V153)</f>
        <v>0</v>
      </c>
      <c r="CC153" s="8" cm="1">
        <f t="array" ref="CC153">SUMPRODUCT(TRANSPOSE(CC$2:CC$15),$I153:$V153)</f>
        <v>0</v>
      </c>
      <c r="CD153" s="8" cm="1">
        <f t="array" ref="CD153">SUMPRODUCT(TRANSPOSE(CD$2:CD$15),$I153:$V153)</f>
        <v>0</v>
      </c>
      <c r="CE153" s="8" cm="1">
        <f t="array" ref="CE153">SUMPRODUCT(TRANSPOSE(CE$2:CE$15),$I153:$V153)</f>
        <v>0</v>
      </c>
      <c r="CF153" s="8" cm="1">
        <f t="array" ref="CF153">SUMPRODUCT(TRANSPOSE(CF$2:CF$15),$I153:$V153)</f>
        <v>0</v>
      </c>
      <c r="CG153" s="8" cm="1">
        <f t="array" ref="CG153">SUMPRODUCT(TRANSPOSE(CG$2:CG$15),$I153:$V153)</f>
        <v>0</v>
      </c>
      <c r="CH153" s="8" cm="1">
        <f t="array" ref="CH153">SUMPRODUCT(TRANSPOSE(CH$2:CH$15),$I153:$V153)</f>
        <v>0</v>
      </c>
      <c r="CI153" s="8" cm="1">
        <f t="array" ref="CI153">SUMPRODUCT(TRANSPOSE(CI$2:CI$15),$I153:$V153)</f>
        <v>2600</v>
      </c>
      <c r="CJ153" s="8" cm="1">
        <f t="array" ref="CJ153">SUMPRODUCT(TRANSPOSE(CJ$2:CJ$15),$I153:$V153)</f>
        <v>3900</v>
      </c>
      <c r="CK153" s="8" cm="1">
        <f t="array" ref="CK153">SUMPRODUCT(TRANSPOSE(CK$2:CK$15),$I153:$V153)</f>
        <v>6500</v>
      </c>
      <c r="CL153" s="8" cm="1">
        <f t="array" ref="CL153">SUMPRODUCT(TRANSPOSE(CL$2:CL$15),$I153:$V153)</f>
        <v>5460</v>
      </c>
      <c r="CM153" s="8" cm="1">
        <f t="array" ref="CM153">SUMPRODUCT(TRANSPOSE(CM$2:CM$15),$I153:$V153)</f>
        <v>5200</v>
      </c>
      <c r="CN153" s="8" cm="1">
        <f t="array" ref="CN153">SUMPRODUCT(TRANSPOSE(CN$2:CN$15),$I153:$V153)</f>
        <v>4550</v>
      </c>
      <c r="CO153" s="8" cm="1">
        <f t="array" ref="CO153">SUMPRODUCT(TRANSPOSE(CO$2:CO$15),$I153:$V153)</f>
        <v>7020</v>
      </c>
      <c r="CP153" s="8" cm="1">
        <f t="array" ref="CP153">SUMPRODUCT(TRANSPOSE(CP$2:CP$15),$I153:$V153)</f>
        <v>6500</v>
      </c>
      <c r="CQ153" s="8" cm="1">
        <f t="array" ref="CQ153">SUMPRODUCT(TRANSPOSE(CQ$2:CQ$15),$I153:$V153)</f>
        <v>0</v>
      </c>
    </row>
    <row r="154" spans="1:95" x14ac:dyDescent="0.25">
      <c r="A154" s="1">
        <v>161</v>
      </c>
      <c r="B154" s="11" t="s">
        <v>426</v>
      </c>
      <c r="C154" s="1" t="s">
        <v>49</v>
      </c>
      <c r="D154" s="1">
        <v>402215679</v>
      </c>
      <c r="E154" s="6">
        <f>VLOOKUP(D154,FFF!$A$2:$B$674,2,)</f>
        <v>422391275</v>
      </c>
      <c r="F154" s="1" t="s">
        <v>427</v>
      </c>
      <c r="G154" s="1" t="s">
        <v>35</v>
      </c>
      <c r="H154" s="1">
        <v>10</v>
      </c>
      <c r="I154" s="1">
        <v>0</v>
      </c>
      <c r="J154" s="1">
        <v>0</v>
      </c>
      <c r="K154" s="1">
        <v>0</v>
      </c>
      <c r="L154" s="1">
        <v>0</v>
      </c>
      <c r="M154" s="1">
        <v>5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5</v>
      </c>
      <c r="W154" s="1">
        <f>SUMPRODUCT(I154:V154,$I$13:$V$13)</f>
        <v>16050</v>
      </c>
      <c r="X154" s="6">
        <f t="shared" si="4"/>
        <v>1.9889999999999998E-2</v>
      </c>
      <c r="Y154" s="1" t="str">
        <f>VLOOKUP(D154,[1]PARTS!$A$1:$G$65536,7,0)</f>
        <v>VISHAY RESISTIVE SYSTEMS</v>
      </c>
      <c r="Z154" s="1">
        <f>VLOOKUP(D154,[2]pareto!$D$12:$AX$306,44,0)</f>
        <v>10000</v>
      </c>
      <c r="AA154" s="1">
        <f>VLOOKUP(D154,[2]pareto!$D$12:$AX$306,45,0)</f>
        <v>10000</v>
      </c>
      <c r="AB154" s="1">
        <f>CEILING(W154,Z154)</f>
        <v>20000</v>
      </c>
      <c r="AC154" s="1">
        <f>VLOOKUP(D154,[2]pareto!$D$12:$AX$306,47,0)</f>
        <v>1.9889999999999999E-3</v>
      </c>
      <c r="AD154" s="1" t="s">
        <v>85</v>
      </c>
      <c r="AE154" s="1" t="s">
        <v>86</v>
      </c>
      <c r="AF154" s="19" t="s">
        <v>87</v>
      </c>
      <c r="AG154" s="1" t="s">
        <v>88</v>
      </c>
      <c r="BG154" s="8">
        <f>SUM($BB154,$AI154:AI154)-SUM($BY154:BZ154)</f>
        <v>0</v>
      </c>
      <c r="BH154" s="8">
        <f>SUM($BB154,$AI154:AJ154)-SUM($BY154:CA154)</f>
        <v>0</v>
      </c>
      <c r="BI154" s="8">
        <f>SUM($BB154,$AI154:AK154)-SUM($BY154:CB154)</f>
        <v>0</v>
      </c>
      <c r="BJ154" s="8">
        <f>SUM($BB154,$AI154:AL154)-SUM($BY154:CC154)</f>
        <v>0</v>
      </c>
      <c r="BK154" s="8">
        <f>SUM($BB154,$AI154:AM154)-SUM($BY154:CD154)</f>
        <v>0</v>
      </c>
      <c r="BL154" s="8">
        <f>SUM($BB154,$AI154:AN154)-SUM($BY154:CE154)</f>
        <v>0</v>
      </c>
      <c r="BM154" s="8">
        <f>SUM($BB154,$AI154:AO154)-SUM($BY154:CF154)</f>
        <v>0</v>
      </c>
      <c r="BN154" s="8">
        <f>SUM($BB154,$AI154:AP154)-SUM($BY154:CG154)</f>
        <v>-500</v>
      </c>
      <c r="BO154" s="8">
        <f>SUM($BB154,$AI154:AQ154)-SUM($BY154:CH154)</f>
        <v>-1750</v>
      </c>
      <c r="BP154" s="8">
        <f>SUM($BB154,$AI154:AR154)-SUM($BY154:CI154)</f>
        <v>-3750</v>
      </c>
      <c r="BQ154" s="8">
        <f>SUM($BB154,$AI154:AS154)-SUM($BY154:CJ154)</f>
        <v>-6100</v>
      </c>
      <c r="BR154" s="8">
        <f>SUM($BB154,$AI154:AT154)-SUM($BY154:CK154)</f>
        <v>-8100</v>
      </c>
      <c r="BS154" s="8">
        <f>SUM($BB154,$AI154:AU154)-SUM($BY154:CL154)</f>
        <v>-9850</v>
      </c>
      <c r="BT154" s="8">
        <f>SUM($BB154,$AI154:AV154)-SUM($BY154:CM154)</f>
        <v>-12050</v>
      </c>
      <c r="BU154" s="8">
        <f>SUM($BB154,$AI154:AW154)-SUM($BY154:CN154)</f>
        <v>-14750</v>
      </c>
      <c r="BV154" s="8">
        <f>SUM($BB154,$AI154:AX154)-SUM($BY154:CO154)</f>
        <v>-16050</v>
      </c>
      <c r="BW154" s="8">
        <f>SUM($BB154,$AI154:AY154)-SUM($BY154:CP154)</f>
        <v>-16050</v>
      </c>
      <c r="BX154" s="8">
        <f>SUM($BB154,$AI154:AZ154)-SUM($BY154:CQ154)</f>
        <v>-16050</v>
      </c>
      <c r="BY154" s="8" cm="1">
        <f t="array" ref="BY154">SUMPRODUCT(TRANSPOSE(BY$2:BY$15),$I154:$V154)</f>
        <v>0</v>
      </c>
      <c r="BZ154" s="8" cm="1">
        <f t="array" ref="BZ154">SUMPRODUCT(TRANSPOSE(BZ$2:BZ$15),$I154:$V154)</f>
        <v>0</v>
      </c>
      <c r="CA154" s="8" cm="1">
        <f t="array" ref="CA154">SUMPRODUCT(TRANSPOSE(CA$2:CA$15),$I154:$V154)</f>
        <v>0</v>
      </c>
      <c r="CB154" s="8" cm="1">
        <f t="array" ref="CB154">SUMPRODUCT(TRANSPOSE(CB$2:CB$15),$I154:$V154)</f>
        <v>0</v>
      </c>
      <c r="CC154" s="8" cm="1">
        <f t="array" ref="CC154">SUMPRODUCT(TRANSPOSE(CC$2:CC$15),$I154:$V154)</f>
        <v>0</v>
      </c>
      <c r="CD154" s="8" cm="1">
        <f t="array" ref="CD154">SUMPRODUCT(TRANSPOSE(CD$2:CD$15),$I154:$V154)</f>
        <v>0</v>
      </c>
      <c r="CE154" s="8" cm="1">
        <f t="array" ref="CE154">SUMPRODUCT(TRANSPOSE(CE$2:CE$15),$I154:$V154)</f>
        <v>0</v>
      </c>
      <c r="CF154" s="8" cm="1">
        <f t="array" ref="CF154">SUMPRODUCT(TRANSPOSE(CF$2:CF$15),$I154:$V154)</f>
        <v>0</v>
      </c>
      <c r="CG154" s="8" cm="1">
        <f t="array" ref="CG154">SUMPRODUCT(TRANSPOSE(CG$2:CG$15),$I154:$V154)</f>
        <v>500</v>
      </c>
      <c r="CH154" s="8" cm="1">
        <f t="array" ref="CH154">SUMPRODUCT(TRANSPOSE(CH$2:CH$15),$I154:$V154)</f>
        <v>1250</v>
      </c>
      <c r="CI154" s="8" cm="1">
        <f t="array" ref="CI154">SUMPRODUCT(TRANSPOSE(CI$2:CI$15),$I154:$V154)</f>
        <v>2000</v>
      </c>
      <c r="CJ154" s="8" cm="1">
        <f t="array" ref="CJ154">SUMPRODUCT(TRANSPOSE(CJ$2:CJ$15),$I154:$V154)</f>
        <v>2350</v>
      </c>
      <c r="CK154" s="8" cm="1">
        <f t="array" ref="CK154">SUMPRODUCT(TRANSPOSE(CK$2:CK$15),$I154:$V154)</f>
        <v>2000</v>
      </c>
      <c r="CL154" s="8" cm="1">
        <f t="array" ref="CL154">SUMPRODUCT(TRANSPOSE(CL$2:CL$15),$I154:$V154)</f>
        <v>1750</v>
      </c>
      <c r="CM154" s="8" cm="1">
        <f t="array" ref="CM154">SUMPRODUCT(TRANSPOSE(CM$2:CM$15),$I154:$V154)</f>
        <v>2200</v>
      </c>
      <c r="CN154" s="8" cm="1">
        <f t="array" ref="CN154">SUMPRODUCT(TRANSPOSE(CN$2:CN$15),$I154:$V154)</f>
        <v>2700</v>
      </c>
      <c r="CO154" s="8" cm="1">
        <f t="array" ref="CO154">SUMPRODUCT(TRANSPOSE(CO$2:CO$15),$I154:$V154)</f>
        <v>1300</v>
      </c>
      <c r="CP154" s="8" cm="1">
        <f t="array" ref="CP154">SUMPRODUCT(TRANSPOSE(CP$2:CP$15),$I154:$V154)</f>
        <v>0</v>
      </c>
      <c r="CQ154" s="8" cm="1">
        <f t="array" ref="CQ154">SUMPRODUCT(TRANSPOSE(CQ$2:CQ$15),$I154:$V154)</f>
        <v>0</v>
      </c>
    </row>
    <row r="155" spans="1:95" x14ac:dyDescent="0.25">
      <c r="A155" s="1">
        <v>146</v>
      </c>
      <c r="B155" s="11" t="s">
        <v>428</v>
      </c>
      <c r="C155" s="1" t="s">
        <v>49</v>
      </c>
      <c r="D155" s="1">
        <v>417983139</v>
      </c>
      <c r="E155" s="6">
        <f>VLOOKUP(D155,FFF!$A$2:$B$674,2,)</f>
        <v>400326667</v>
      </c>
      <c r="F155" s="1" t="s">
        <v>429</v>
      </c>
      <c r="G155" s="1" t="s">
        <v>35</v>
      </c>
      <c r="H155" s="1">
        <v>32</v>
      </c>
      <c r="I155" s="1">
        <v>0</v>
      </c>
      <c r="J155" s="1">
        <v>0</v>
      </c>
      <c r="K155" s="1">
        <v>0</v>
      </c>
      <c r="L155" s="1">
        <v>0</v>
      </c>
      <c r="M155" s="1">
        <v>16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16</v>
      </c>
      <c r="W155" s="1">
        <f>SUMPRODUCT(I155:V155,$I$13:$V$13)</f>
        <v>51360</v>
      </c>
      <c r="X155" s="6">
        <f t="shared" si="4"/>
        <v>0.08</v>
      </c>
      <c r="Y155" s="1" t="str">
        <f>VLOOKUP(D155,[1]PARTS!$A$1:$G$65536,7,0)</f>
        <v>SAMSUNG</v>
      </c>
      <c r="Z155" s="1">
        <f>VLOOKUP(D155,[2]pareto!$D$12:$AX$306,44,0)</f>
        <v>2000</v>
      </c>
      <c r="AA155" s="1">
        <f>VLOOKUP(D155,[2]pareto!$D$12:$AX$306,45,0)</f>
        <v>2000</v>
      </c>
      <c r="AB155" s="1">
        <f>CEILING(W155,Z155)</f>
        <v>52000</v>
      </c>
      <c r="AC155" s="1">
        <f>VLOOKUP(D155,[2]pareto!$D$12:$AX$306,47,0)</f>
        <v>2.5000000000000001E-3</v>
      </c>
      <c r="AD155" s="1" t="s">
        <v>430</v>
      </c>
      <c r="AE155" s="1" t="s">
        <v>431</v>
      </c>
      <c r="AF155" s="12" t="s">
        <v>432</v>
      </c>
      <c r="AG155" s="1" t="s">
        <v>433</v>
      </c>
      <c r="BG155" s="8">
        <f>SUM($BB155,$AI155:AI155)-SUM($BY155:BZ155)</f>
        <v>0</v>
      </c>
      <c r="BH155" s="8">
        <f>SUM($BB155,$AI155:AJ155)-SUM($BY155:CA155)</f>
        <v>0</v>
      </c>
      <c r="BI155" s="8">
        <f>SUM($BB155,$AI155:AK155)-SUM($BY155:CB155)</f>
        <v>0</v>
      </c>
      <c r="BJ155" s="8">
        <f>SUM($BB155,$AI155:AL155)-SUM($BY155:CC155)</f>
        <v>0</v>
      </c>
      <c r="BK155" s="8">
        <f>SUM($BB155,$AI155:AM155)-SUM($BY155:CD155)</f>
        <v>0</v>
      </c>
      <c r="BL155" s="8">
        <f>SUM($BB155,$AI155:AN155)-SUM($BY155:CE155)</f>
        <v>0</v>
      </c>
      <c r="BM155" s="8">
        <f>SUM($BB155,$AI155:AO155)-SUM($BY155:CF155)</f>
        <v>0</v>
      </c>
      <c r="BN155" s="8">
        <f>SUM($BB155,$AI155:AP155)-SUM($BY155:CG155)</f>
        <v>-1600</v>
      </c>
      <c r="BO155" s="8">
        <f>SUM($BB155,$AI155:AQ155)-SUM($BY155:CH155)</f>
        <v>-5600</v>
      </c>
      <c r="BP155" s="8">
        <f>SUM($BB155,$AI155:AR155)-SUM($BY155:CI155)</f>
        <v>-12000</v>
      </c>
      <c r="BQ155" s="8">
        <f>SUM($BB155,$AI155:AS155)-SUM($BY155:CJ155)</f>
        <v>-19520</v>
      </c>
      <c r="BR155" s="8">
        <f>SUM($BB155,$AI155:AT155)-SUM($BY155:CK155)</f>
        <v>-25920</v>
      </c>
      <c r="BS155" s="8">
        <f>SUM($BB155,$AI155:AU155)-SUM($BY155:CL155)</f>
        <v>-31520</v>
      </c>
      <c r="BT155" s="8">
        <f>SUM($BB155,$AI155:AV155)-SUM($BY155:CM155)</f>
        <v>-38560</v>
      </c>
      <c r="BU155" s="8">
        <f>SUM($BB155,$AI155:AW155)-SUM($BY155:CN155)</f>
        <v>-47200</v>
      </c>
      <c r="BV155" s="8">
        <f>SUM($BB155,$AI155:AX155)-SUM($BY155:CO155)</f>
        <v>-51360</v>
      </c>
      <c r="BW155" s="8">
        <f>SUM($BB155,$AI155:AY155)-SUM($BY155:CP155)</f>
        <v>-51360</v>
      </c>
      <c r="BX155" s="8">
        <f>SUM($BB155,$AI155:AZ155)-SUM($BY155:CQ155)</f>
        <v>-51360</v>
      </c>
      <c r="BY155" s="8" cm="1">
        <f t="array" ref="BY155">SUMPRODUCT(TRANSPOSE(BY$2:BY$15),$I155:$V155)</f>
        <v>0</v>
      </c>
      <c r="BZ155" s="8" cm="1">
        <f t="array" ref="BZ155">SUMPRODUCT(TRANSPOSE(BZ$2:BZ$15),$I155:$V155)</f>
        <v>0</v>
      </c>
      <c r="CA155" s="8" cm="1">
        <f t="array" ref="CA155">SUMPRODUCT(TRANSPOSE(CA$2:CA$15),$I155:$V155)</f>
        <v>0</v>
      </c>
      <c r="CB155" s="8" cm="1">
        <f t="array" ref="CB155">SUMPRODUCT(TRANSPOSE(CB$2:CB$15),$I155:$V155)</f>
        <v>0</v>
      </c>
      <c r="CC155" s="8" cm="1">
        <f t="array" ref="CC155">SUMPRODUCT(TRANSPOSE(CC$2:CC$15),$I155:$V155)</f>
        <v>0</v>
      </c>
      <c r="CD155" s="8" cm="1">
        <f t="array" ref="CD155">SUMPRODUCT(TRANSPOSE(CD$2:CD$15),$I155:$V155)</f>
        <v>0</v>
      </c>
      <c r="CE155" s="8" cm="1">
        <f t="array" ref="CE155">SUMPRODUCT(TRANSPOSE(CE$2:CE$15),$I155:$V155)</f>
        <v>0</v>
      </c>
      <c r="CF155" s="8" cm="1">
        <f t="array" ref="CF155">SUMPRODUCT(TRANSPOSE(CF$2:CF$15),$I155:$V155)</f>
        <v>0</v>
      </c>
      <c r="CG155" s="8" cm="1">
        <f t="array" ref="CG155">SUMPRODUCT(TRANSPOSE(CG$2:CG$15),$I155:$V155)</f>
        <v>1600</v>
      </c>
      <c r="CH155" s="8" cm="1">
        <f t="array" ref="CH155">SUMPRODUCT(TRANSPOSE(CH$2:CH$15),$I155:$V155)</f>
        <v>4000</v>
      </c>
      <c r="CI155" s="8" cm="1">
        <f t="array" ref="CI155">SUMPRODUCT(TRANSPOSE(CI$2:CI$15),$I155:$V155)</f>
        <v>6400</v>
      </c>
      <c r="CJ155" s="8" cm="1">
        <f t="array" ref="CJ155">SUMPRODUCT(TRANSPOSE(CJ$2:CJ$15),$I155:$V155)</f>
        <v>7520</v>
      </c>
      <c r="CK155" s="8" cm="1">
        <f t="array" ref="CK155">SUMPRODUCT(TRANSPOSE(CK$2:CK$15),$I155:$V155)</f>
        <v>6400</v>
      </c>
      <c r="CL155" s="8" cm="1">
        <f t="array" ref="CL155">SUMPRODUCT(TRANSPOSE(CL$2:CL$15),$I155:$V155)</f>
        <v>5600</v>
      </c>
      <c r="CM155" s="8" cm="1">
        <f t="array" ref="CM155">SUMPRODUCT(TRANSPOSE(CM$2:CM$15),$I155:$V155)</f>
        <v>7040</v>
      </c>
      <c r="CN155" s="8" cm="1">
        <f t="array" ref="CN155">SUMPRODUCT(TRANSPOSE(CN$2:CN$15),$I155:$V155)</f>
        <v>8640</v>
      </c>
      <c r="CO155" s="8" cm="1">
        <f t="array" ref="CO155">SUMPRODUCT(TRANSPOSE(CO$2:CO$15),$I155:$V155)</f>
        <v>4160</v>
      </c>
      <c r="CP155" s="8" cm="1">
        <f t="array" ref="CP155">SUMPRODUCT(TRANSPOSE(CP$2:CP$15),$I155:$V155)</f>
        <v>0</v>
      </c>
      <c r="CQ155" s="8" cm="1">
        <f t="array" ref="CQ155">SUMPRODUCT(TRANSPOSE(CQ$2:CQ$15),$I155:$V155)</f>
        <v>0</v>
      </c>
    </row>
    <row r="156" spans="1:95" x14ac:dyDescent="0.25">
      <c r="A156" s="1">
        <v>18</v>
      </c>
      <c r="B156" s="11" t="s">
        <v>434</v>
      </c>
      <c r="C156" s="1" t="s">
        <v>41</v>
      </c>
      <c r="D156" s="1">
        <v>404488392</v>
      </c>
      <c r="E156" s="6"/>
      <c r="F156" s="1" t="s">
        <v>435</v>
      </c>
      <c r="G156" s="1" t="s">
        <v>256</v>
      </c>
      <c r="H156" s="1" t="s">
        <v>257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0.05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f>SUMPRODUCT(I156:V156,$I$13:$V$13)</f>
        <v>83</v>
      </c>
      <c r="X156" s="6">
        <f t="shared" si="4"/>
        <v>0.95000000000000007</v>
      </c>
      <c r="Y156" s="1" t="str">
        <f>VLOOKUP(D156,[1]PARTS!$A$1:$G$65536,7,0)</f>
        <v/>
      </c>
      <c r="Z156" s="1" t="e">
        <f>VLOOKUP(D156,[2]pareto!$D$12:$AX$306,44,0)</f>
        <v>#REF!</v>
      </c>
      <c r="AA156" s="1" t="e">
        <f>VLOOKUP(D156,[2]pareto!$D$12:$AX$306,45,0)</f>
        <v>#REF!</v>
      </c>
      <c r="AB156" s="1" t="e">
        <f>CEILING(W156,Z156)</f>
        <v>#REF!</v>
      </c>
      <c r="AC156" s="20">
        <f>VLOOKUP(D156,[2]pareto!$D$12:$AX$306,47,0)</f>
        <v>19</v>
      </c>
      <c r="AD156" s="1" t="s">
        <v>366</v>
      </c>
      <c r="AE156" s="1" t="s">
        <v>367</v>
      </c>
      <c r="AF156" s="19" t="s">
        <v>368</v>
      </c>
      <c r="AG156" s="1" t="s">
        <v>369</v>
      </c>
      <c r="BG156" s="8">
        <f>SUM($BB156,$AI156:AI156)-SUM($BY156:BZ156)</f>
        <v>0</v>
      </c>
      <c r="BH156" s="8">
        <f>SUM($BB156,$AI156:AJ156)-SUM($BY156:CA156)</f>
        <v>0</v>
      </c>
      <c r="BI156" s="8">
        <f>SUM($BB156,$AI156:AK156)-SUM($BY156:CB156)</f>
        <v>0</v>
      </c>
      <c r="BJ156" s="8">
        <f>SUM($BB156,$AI156:AL156)-SUM($BY156:CC156)</f>
        <v>0</v>
      </c>
      <c r="BK156" s="8">
        <f>SUM($BB156,$AI156:AM156)-SUM($BY156:CD156)</f>
        <v>0</v>
      </c>
      <c r="BL156" s="8">
        <f>SUM($BB156,$AI156:AN156)-SUM($BY156:CE156)</f>
        <v>0</v>
      </c>
      <c r="BM156" s="8">
        <f>SUM($BB156,$AI156:AO156)-SUM($BY156:CF156)</f>
        <v>0</v>
      </c>
      <c r="BN156" s="8">
        <f>SUM($BB156,$AI156:AP156)-SUM($BY156:CG156)</f>
        <v>-5</v>
      </c>
      <c r="BO156" s="8">
        <f>SUM($BB156,$AI156:AQ156)-SUM($BY156:CH156)</f>
        <v>-12.5</v>
      </c>
      <c r="BP156" s="8">
        <f>SUM($BB156,$AI156:AR156)-SUM($BY156:CI156)</f>
        <v>-25</v>
      </c>
      <c r="BQ156" s="8">
        <f>SUM($BB156,$AI156:AS156)-SUM($BY156:CJ156)</f>
        <v>-35</v>
      </c>
      <c r="BR156" s="8">
        <f>SUM($BB156,$AI156:AT156)-SUM($BY156:CK156)</f>
        <v>-45</v>
      </c>
      <c r="BS156" s="8">
        <f>SUM($BB156,$AI156:AU156)-SUM($BY156:CL156)</f>
        <v>-55</v>
      </c>
      <c r="BT156" s="8">
        <f>SUM($BB156,$AI156:AV156)-SUM($BY156:CM156)</f>
        <v>-70</v>
      </c>
      <c r="BU156" s="8">
        <f>SUM($BB156,$AI156:AW156)-SUM($BY156:CN156)</f>
        <v>-83</v>
      </c>
      <c r="BV156" s="8">
        <f>SUM($BB156,$AI156:AX156)-SUM($BY156:CO156)</f>
        <v>-83</v>
      </c>
      <c r="BW156" s="8">
        <f>SUM($BB156,$AI156:AY156)-SUM($BY156:CP156)</f>
        <v>-83</v>
      </c>
      <c r="BX156" s="8">
        <f>SUM($BB156,$AI156:AZ156)-SUM($BY156:CQ156)</f>
        <v>-83</v>
      </c>
      <c r="BY156" s="8" cm="1">
        <f t="array" ref="BY156">SUMPRODUCT(TRANSPOSE(BY$2:BY$15),$I156:$V156)</f>
        <v>0</v>
      </c>
      <c r="BZ156" s="8" cm="1">
        <f t="array" ref="BZ156">SUMPRODUCT(TRANSPOSE(BZ$2:BZ$15),$I156:$V156)</f>
        <v>0</v>
      </c>
      <c r="CA156" s="8" cm="1">
        <f t="array" ref="CA156">SUMPRODUCT(TRANSPOSE(CA$2:CA$15),$I156:$V156)</f>
        <v>0</v>
      </c>
      <c r="CB156" s="8" cm="1">
        <f t="array" ref="CB156">SUMPRODUCT(TRANSPOSE(CB$2:CB$15),$I156:$V156)</f>
        <v>0</v>
      </c>
      <c r="CC156" s="8" cm="1">
        <f t="array" ref="CC156">SUMPRODUCT(TRANSPOSE(CC$2:CC$15),$I156:$V156)</f>
        <v>0</v>
      </c>
      <c r="CD156" s="8" cm="1">
        <f t="array" ref="CD156">SUMPRODUCT(TRANSPOSE(CD$2:CD$15),$I156:$V156)</f>
        <v>0</v>
      </c>
      <c r="CE156" s="8" cm="1">
        <f t="array" ref="CE156">SUMPRODUCT(TRANSPOSE(CE$2:CE$15),$I156:$V156)</f>
        <v>0</v>
      </c>
      <c r="CF156" s="8" cm="1">
        <f t="array" ref="CF156">SUMPRODUCT(TRANSPOSE(CF$2:CF$15),$I156:$V156)</f>
        <v>0</v>
      </c>
      <c r="CG156" s="8" cm="1">
        <f t="array" ref="CG156">SUMPRODUCT(TRANSPOSE(CG$2:CG$15),$I156:$V156)</f>
        <v>5</v>
      </c>
      <c r="CH156" s="8" cm="1">
        <f t="array" ref="CH156">SUMPRODUCT(TRANSPOSE(CH$2:CH$15),$I156:$V156)</f>
        <v>7.5</v>
      </c>
      <c r="CI156" s="8" cm="1">
        <f t="array" ref="CI156">SUMPRODUCT(TRANSPOSE(CI$2:CI$15),$I156:$V156)</f>
        <v>12.5</v>
      </c>
      <c r="CJ156" s="8" cm="1">
        <f t="array" ref="CJ156">SUMPRODUCT(TRANSPOSE(CJ$2:CJ$15),$I156:$V156)</f>
        <v>10</v>
      </c>
      <c r="CK156" s="8" cm="1">
        <f t="array" ref="CK156">SUMPRODUCT(TRANSPOSE(CK$2:CK$15),$I156:$V156)</f>
        <v>10</v>
      </c>
      <c r="CL156" s="8" cm="1">
        <f t="array" ref="CL156">SUMPRODUCT(TRANSPOSE(CL$2:CL$15),$I156:$V156)</f>
        <v>10</v>
      </c>
      <c r="CM156" s="8" cm="1">
        <f t="array" ref="CM156">SUMPRODUCT(TRANSPOSE(CM$2:CM$15),$I156:$V156)</f>
        <v>15</v>
      </c>
      <c r="CN156" s="8" cm="1">
        <f t="array" ref="CN156">SUMPRODUCT(TRANSPOSE(CN$2:CN$15),$I156:$V156)</f>
        <v>13</v>
      </c>
      <c r="CO156" s="8" cm="1">
        <f t="array" ref="CO156">SUMPRODUCT(TRANSPOSE(CO$2:CO$15),$I156:$V156)</f>
        <v>0</v>
      </c>
      <c r="CP156" s="8" cm="1">
        <f t="array" ref="CP156">SUMPRODUCT(TRANSPOSE(CP$2:CP$15),$I156:$V156)</f>
        <v>0</v>
      </c>
      <c r="CQ156" s="8" cm="1">
        <f t="array" ref="CQ156">SUMPRODUCT(TRANSPOSE(CQ$2:CQ$15),$I156:$V156)</f>
        <v>0</v>
      </c>
    </row>
    <row r="157" spans="1:95" s="9" customFormat="1" x14ac:dyDescent="0.25">
      <c r="A157" s="1">
        <v>88</v>
      </c>
      <c r="B157" s="11" t="s">
        <v>436</v>
      </c>
      <c r="C157" s="1" t="s">
        <v>49</v>
      </c>
      <c r="D157" s="1">
        <v>400306993</v>
      </c>
      <c r="E157" s="6"/>
      <c r="F157" s="1" t="s">
        <v>437</v>
      </c>
      <c r="G157" s="1" t="s">
        <v>35</v>
      </c>
      <c r="H157" s="1">
        <v>4</v>
      </c>
      <c r="I157" s="1">
        <v>0</v>
      </c>
      <c r="J157" s="1">
        <v>0</v>
      </c>
      <c r="K157" s="1">
        <v>0</v>
      </c>
      <c r="L157" s="1">
        <v>2</v>
      </c>
      <c r="M157" s="1">
        <v>0</v>
      </c>
      <c r="N157" s="1">
        <v>0</v>
      </c>
      <c r="O157" s="1">
        <v>0</v>
      </c>
      <c r="P157" s="1">
        <v>0</v>
      </c>
      <c r="Q157" s="1">
        <v>2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f>SUMPRODUCT(I157:V157,$I$13:$V$13)</f>
        <v>6420</v>
      </c>
      <c r="X157" s="6">
        <f t="shared" si="4"/>
        <v>0.94</v>
      </c>
      <c r="Y157" s="1" t="str">
        <f>VLOOKUP(D157,[1]PARTS!$A$1:$G$65536,7,0)</f>
        <v>JOHANSON TECHNOLOGY</v>
      </c>
      <c r="Z157" s="1">
        <v>500</v>
      </c>
      <c r="AA157" s="1">
        <v>6340</v>
      </c>
      <c r="AB157" s="1">
        <v>6500</v>
      </c>
      <c r="AC157" s="1">
        <v>0.23499999999999999</v>
      </c>
      <c r="AD157" s="1" t="s">
        <v>361</v>
      </c>
      <c r="AE157" s="1" t="s">
        <v>362</v>
      </c>
      <c r="AF157" s="12" t="s">
        <v>363</v>
      </c>
      <c r="AG157" s="1" t="s">
        <v>88</v>
      </c>
      <c r="AH157" s="1"/>
      <c r="BG157" s="8">
        <f>SUM($BB157,$AI157:AI157)-SUM($BY157:BZ157)</f>
        <v>0</v>
      </c>
      <c r="BH157" s="8">
        <f>SUM($BB157,$AI157:AJ157)-SUM($BY157:CA157)</f>
        <v>0</v>
      </c>
      <c r="BI157" s="8">
        <f>SUM($BB157,$AI157:AK157)-SUM($BY157:CB157)</f>
        <v>0</v>
      </c>
      <c r="BJ157" s="8">
        <f>SUM($BB157,$AI157:AL157)-SUM($BY157:CC157)</f>
        <v>0</v>
      </c>
      <c r="BK157" s="8">
        <f>SUM($BB157,$AI157:AM157)-SUM($BY157:CD157)</f>
        <v>0</v>
      </c>
      <c r="BL157" s="8">
        <f>SUM($BB157,$AI157:AN157)-SUM($BY157:CE157)</f>
        <v>0</v>
      </c>
      <c r="BM157" s="8">
        <f>SUM($BB157,$AI157:AO157)-SUM($BY157:CF157)</f>
        <v>0</v>
      </c>
      <c r="BN157" s="8">
        <f>SUM($BB157,$AI157:AP157)-SUM($BY157:CG157)</f>
        <v>-400</v>
      </c>
      <c r="BO157" s="8">
        <f>SUM($BB157,$AI157:AQ157)-SUM($BY157:CH157)</f>
        <v>-1000</v>
      </c>
      <c r="BP157" s="8">
        <f>SUM($BB157,$AI157:AR157)-SUM($BY157:CI157)</f>
        <v>-2000</v>
      </c>
      <c r="BQ157" s="8">
        <f>SUM($BB157,$AI157:AS157)-SUM($BY157:CJ157)</f>
        <v>-2840</v>
      </c>
      <c r="BR157" s="8">
        <f>SUM($BB157,$AI157:AT157)-SUM($BY157:CK157)</f>
        <v>-3640</v>
      </c>
      <c r="BS157" s="8">
        <f>SUM($BB157,$AI157:AU157)-SUM($BY157:CL157)</f>
        <v>-4340</v>
      </c>
      <c r="BT157" s="8">
        <f>SUM($BB157,$AI157:AV157)-SUM($BY157:CM157)</f>
        <v>-5420</v>
      </c>
      <c r="BU157" s="8">
        <f>SUM($BB157,$AI157:AW157)-SUM($BY157:CN157)</f>
        <v>-6420</v>
      </c>
      <c r="BV157" s="8">
        <f>SUM($BB157,$AI157:AX157)-SUM($BY157:CO157)</f>
        <v>-6420</v>
      </c>
      <c r="BW157" s="8">
        <f>SUM($BB157,$AI157:AY157)-SUM($BY157:CP157)</f>
        <v>-6420</v>
      </c>
      <c r="BX157" s="8">
        <f>SUM($BB157,$AI157:AZ157)-SUM($BY157:CQ157)</f>
        <v>-6420</v>
      </c>
      <c r="BY157" s="8" cm="1">
        <f t="array" ref="BY157">SUMPRODUCT(TRANSPOSE(BY$2:BY$15),$I157:$V157)</f>
        <v>0</v>
      </c>
      <c r="BZ157" s="8" cm="1">
        <f t="array" ref="BZ157">SUMPRODUCT(TRANSPOSE(BZ$2:BZ$15),$I157:$V157)</f>
        <v>0</v>
      </c>
      <c r="CA157" s="8" cm="1">
        <f t="array" ref="CA157">SUMPRODUCT(TRANSPOSE(CA$2:CA$15),$I157:$V157)</f>
        <v>0</v>
      </c>
      <c r="CB157" s="8" cm="1">
        <f t="array" ref="CB157">SUMPRODUCT(TRANSPOSE(CB$2:CB$15),$I157:$V157)</f>
        <v>0</v>
      </c>
      <c r="CC157" s="8" cm="1">
        <f t="array" ref="CC157">SUMPRODUCT(TRANSPOSE(CC$2:CC$15),$I157:$V157)</f>
        <v>0</v>
      </c>
      <c r="CD157" s="8" cm="1">
        <f t="array" ref="CD157">SUMPRODUCT(TRANSPOSE(CD$2:CD$15),$I157:$V157)</f>
        <v>0</v>
      </c>
      <c r="CE157" s="8" cm="1">
        <f t="array" ref="CE157">SUMPRODUCT(TRANSPOSE(CE$2:CE$15),$I157:$V157)</f>
        <v>0</v>
      </c>
      <c r="CF157" s="8" cm="1">
        <f t="array" ref="CF157">SUMPRODUCT(TRANSPOSE(CF$2:CF$15),$I157:$V157)</f>
        <v>0</v>
      </c>
      <c r="CG157" s="8" cm="1">
        <f t="array" ref="CG157">SUMPRODUCT(TRANSPOSE(CG$2:CG$15),$I157:$V157)</f>
        <v>400</v>
      </c>
      <c r="CH157" s="8" cm="1">
        <f t="array" ref="CH157">SUMPRODUCT(TRANSPOSE(CH$2:CH$15),$I157:$V157)</f>
        <v>600</v>
      </c>
      <c r="CI157" s="8" cm="1">
        <f t="array" ref="CI157">SUMPRODUCT(TRANSPOSE(CI$2:CI$15),$I157:$V157)</f>
        <v>1000</v>
      </c>
      <c r="CJ157" s="8" cm="1">
        <f t="array" ref="CJ157">SUMPRODUCT(TRANSPOSE(CJ$2:CJ$15),$I157:$V157)</f>
        <v>840</v>
      </c>
      <c r="CK157" s="8" cm="1">
        <f t="array" ref="CK157">SUMPRODUCT(TRANSPOSE(CK$2:CK$15),$I157:$V157)</f>
        <v>800</v>
      </c>
      <c r="CL157" s="8" cm="1">
        <f t="array" ref="CL157">SUMPRODUCT(TRANSPOSE(CL$2:CL$15),$I157:$V157)</f>
        <v>700</v>
      </c>
      <c r="CM157" s="8" cm="1">
        <f t="array" ref="CM157">SUMPRODUCT(TRANSPOSE(CM$2:CM$15),$I157:$V157)</f>
        <v>1080</v>
      </c>
      <c r="CN157" s="8" cm="1">
        <f t="array" ref="CN157">SUMPRODUCT(TRANSPOSE(CN$2:CN$15),$I157:$V157)</f>
        <v>1000</v>
      </c>
      <c r="CO157" s="8" cm="1">
        <f t="array" ref="CO157">SUMPRODUCT(TRANSPOSE(CO$2:CO$15),$I157:$V157)</f>
        <v>0</v>
      </c>
      <c r="CP157" s="8" cm="1">
        <f t="array" ref="CP157">SUMPRODUCT(TRANSPOSE(CP$2:CP$15),$I157:$V157)</f>
        <v>0</v>
      </c>
      <c r="CQ157" s="8" cm="1">
        <f t="array" ref="CQ157">SUMPRODUCT(TRANSPOSE(CQ$2:CQ$15),$I157:$V157)</f>
        <v>0</v>
      </c>
    </row>
    <row r="158" spans="1:95" s="9" customFormat="1" x14ac:dyDescent="0.25">
      <c r="A158" s="1">
        <v>154</v>
      </c>
      <c r="B158" s="11" t="s">
        <v>438</v>
      </c>
      <c r="C158" s="1" t="s">
        <v>49</v>
      </c>
      <c r="D158" s="1">
        <v>400656760</v>
      </c>
      <c r="E158" s="6" t="str">
        <f>VLOOKUP(D158,FFF!$A$2:$B$674,2,)</f>
        <v>FFF004408</v>
      </c>
      <c r="F158" s="1" t="s">
        <v>439</v>
      </c>
      <c r="G158" s="1" t="s">
        <v>35</v>
      </c>
      <c r="H158" s="1">
        <v>92</v>
      </c>
      <c r="I158" s="1">
        <v>0</v>
      </c>
      <c r="J158" s="1">
        <v>0</v>
      </c>
      <c r="K158" s="1">
        <v>0</v>
      </c>
      <c r="L158" s="1">
        <v>0</v>
      </c>
      <c r="M158" s="1">
        <v>46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46</v>
      </c>
      <c r="W158" s="1">
        <f>SUMPRODUCT(I158:V158,$I$13:$V$13)</f>
        <v>147660</v>
      </c>
      <c r="X158" s="6">
        <f t="shared" si="4"/>
        <v>0.12916799999999998</v>
      </c>
      <c r="Y158" s="1" t="str">
        <f>VLOOKUP(D158,[1]PARTS!$A$1:$G$65536,7,0)</f>
        <v>VISHAY RESISTIVE SYSTEMS</v>
      </c>
      <c r="Z158" s="1">
        <f>VLOOKUP(D158,[2]pareto!$D$12:$AX$306,44,0)</f>
        <v>10000</v>
      </c>
      <c r="AA158" s="1">
        <f>VLOOKUP(D158,[2]pareto!$D$12:$AX$306,45,0)</f>
        <v>10000</v>
      </c>
      <c r="AB158" s="1">
        <f>CEILING(W158,Z158)</f>
        <v>150000</v>
      </c>
      <c r="AC158" s="1">
        <f>VLOOKUP(D158,[2]pareto!$D$12:$AX$306,47,0)</f>
        <v>1.4039999999999999E-3</v>
      </c>
      <c r="AD158" s="1" t="s">
        <v>85</v>
      </c>
      <c r="AE158" s="1" t="s">
        <v>86</v>
      </c>
      <c r="AF158" s="19" t="s">
        <v>87</v>
      </c>
      <c r="AG158" s="1" t="s">
        <v>88</v>
      </c>
      <c r="AH158" s="1"/>
      <c r="BG158" s="8">
        <f>SUM($BB158,$AI158:AI158)-SUM($BY158:BZ158)</f>
        <v>0</v>
      </c>
      <c r="BH158" s="8">
        <f>SUM($BB158,$AI158:AJ158)-SUM($BY158:CA158)</f>
        <v>0</v>
      </c>
      <c r="BI158" s="8">
        <f>SUM($BB158,$AI158:AK158)-SUM($BY158:CB158)</f>
        <v>0</v>
      </c>
      <c r="BJ158" s="8">
        <f>SUM($BB158,$AI158:AL158)-SUM($BY158:CC158)</f>
        <v>0</v>
      </c>
      <c r="BK158" s="8">
        <f>SUM($BB158,$AI158:AM158)-SUM($BY158:CD158)</f>
        <v>0</v>
      </c>
      <c r="BL158" s="8">
        <f>SUM($BB158,$AI158:AN158)-SUM($BY158:CE158)</f>
        <v>0</v>
      </c>
      <c r="BM158" s="8">
        <f>SUM($BB158,$AI158:AO158)-SUM($BY158:CF158)</f>
        <v>0</v>
      </c>
      <c r="BN158" s="8">
        <f>SUM($BB158,$AI158:AP158)-SUM($BY158:CG158)</f>
        <v>-4600</v>
      </c>
      <c r="BO158" s="8">
        <f>SUM($BB158,$AI158:AQ158)-SUM($BY158:CH158)</f>
        <v>-16100</v>
      </c>
      <c r="BP158" s="8">
        <f>SUM($BB158,$AI158:AR158)-SUM($BY158:CI158)</f>
        <v>-34500</v>
      </c>
      <c r="BQ158" s="8">
        <f>SUM($BB158,$AI158:AS158)-SUM($BY158:CJ158)</f>
        <v>-56120</v>
      </c>
      <c r="BR158" s="8">
        <f>SUM($BB158,$AI158:AT158)-SUM($BY158:CK158)</f>
        <v>-74520</v>
      </c>
      <c r="BS158" s="8">
        <f>SUM($BB158,$AI158:AU158)-SUM($BY158:CL158)</f>
        <v>-90620</v>
      </c>
      <c r="BT158" s="8">
        <f>SUM($BB158,$AI158:AV158)-SUM($BY158:CM158)</f>
        <v>-110860</v>
      </c>
      <c r="BU158" s="8">
        <f>SUM($BB158,$AI158:AW158)-SUM($BY158:CN158)</f>
        <v>-135700</v>
      </c>
      <c r="BV158" s="8">
        <f>SUM($BB158,$AI158:AX158)-SUM($BY158:CO158)</f>
        <v>-147660</v>
      </c>
      <c r="BW158" s="8">
        <f>SUM($BB158,$AI158:AY158)-SUM($BY158:CP158)</f>
        <v>-147660</v>
      </c>
      <c r="BX158" s="8">
        <f>SUM($BB158,$AI158:AZ158)-SUM($BY158:CQ158)</f>
        <v>-147660</v>
      </c>
      <c r="BY158" s="8" cm="1">
        <f t="array" ref="BY158">SUMPRODUCT(TRANSPOSE(BY$2:BY$15),$I158:$V158)</f>
        <v>0</v>
      </c>
      <c r="BZ158" s="8" cm="1">
        <f t="array" ref="BZ158">SUMPRODUCT(TRANSPOSE(BZ$2:BZ$15),$I158:$V158)</f>
        <v>0</v>
      </c>
      <c r="CA158" s="8" cm="1">
        <f t="array" ref="CA158">SUMPRODUCT(TRANSPOSE(CA$2:CA$15),$I158:$V158)</f>
        <v>0</v>
      </c>
      <c r="CB158" s="8" cm="1">
        <f t="array" ref="CB158">SUMPRODUCT(TRANSPOSE(CB$2:CB$15),$I158:$V158)</f>
        <v>0</v>
      </c>
      <c r="CC158" s="8" cm="1">
        <f t="array" ref="CC158">SUMPRODUCT(TRANSPOSE(CC$2:CC$15),$I158:$V158)</f>
        <v>0</v>
      </c>
      <c r="CD158" s="8" cm="1">
        <f t="array" ref="CD158">SUMPRODUCT(TRANSPOSE(CD$2:CD$15),$I158:$V158)</f>
        <v>0</v>
      </c>
      <c r="CE158" s="8" cm="1">
        <f t="array" ref="CE158">SUMPRODUCT(TRANSPOSE(CE$2:CE$15),$I158:$V158)</f>
        <v>0</v>
      </c>
      <c r="CF158" s="8" cm="1">
        <f t="array" ref="CF158">SUMPRODUCT(TRANSPOSE(CF$2:CF$15),$I158:$V158)</f>
        <v>0</v>
      </c>
      <c r="CG158" s="8" cm="1">
        <f t="array" ref="CG158">SUMPRODUCT(TRANSPOSE(CG$2:CG$15),$I158:$V158)</f>
        <v>4600</v>
      </c>
      <c r="CH158" s="8" cm="1">
        <f t="array" ref="CH158">SUMPRODUCT(TRANSPOSE(CH$2:CH$15),$I158:$V158)</f>
        <v>11500</v>
      </c>
      <c r="CI158" s="8" cm="1">
        <f t="array" ref="CI158">SUMPRODUCT(TRANSPOSE(CI$2:CI$15),$I158:$V158)</f>
        <v>18400</v>
      </c>
      <c r="CJ158" s="8" cm="1">
        <f t="array" ref="CJ158">SUMPRODUCT(TRANSPOSE(CJ$2:CJ$15),$I158:$V158)</f>
        <v>21620</v>
      </c>
      <c r="CK158" s="8" cm="1">
        <f t="array" ref="CK158">SUMPRODUCT(TRANSPOSE(CK$2:CK$15),$I158:$V158)</f>
        <v>18400</v>
      </c>
      <c r="CL158" s="8" cm="1">
        <f t="array" ref="CL158">SUMPRODUCT(TRANSPOSE(CL$2:CL$15),$I158:$V158)</f>
        <v>16100</v>
      </c>
      <c r="CM158" s="8" cm="1">
        <f t="array" ref="CM158">SUMPRODUCT(TRANSPOSE(CM$2:CM$15),$I158:$V158)</f>
        <v>20240</v>
      </c>
      <c r="CN158" s="8" cm="1">
        <f t="array" ref="CN158">SUMPRODUCT(TRANSPOSE(CN$2:CN$15),$I158:$V158)</f>
        <v>24840</v>
      </c>
      <c r="CO158" s="8" cm="1">
        <f t="array" ref="CO158">SUMPRODUCT(TRANSPOSE(CO$2:CO$15),$I158:$V158)</f>
        <v>11960</v>
      </c>
      <c r="CP158" s="8" cm="1">
        <f t="array" ref="CP158">SUMPRODUCT(TRANSPOSE(CP$2:CP$15),$I158:$V158)</f>
        <v>0</v>
      </c>
      <c r="CQ158" s="8" cm="1">
        <f t="array" ref="CQ158">SUMPRODUCT(TRANSPOSE(CQ$2:CQ$15),$I158:$V158)</f>
        <v>0</v>
      </c>
    </row>
    <row r="159" spans="1:95" s="9" customFormat="1" x14ac:dyDescent="0.25">
      <c r="A159" s="1">
        <v>320</v>
      </c>
      <c r="B159" s="11" t="s">
        <v>440</v>
      </c>
      <c r="C159" s="1" t="s">
        <v>49</v>
      </c>
      <c r="D159" s="1">
        <v>400599824</v>
      </c>
      <c r="E159" s="6">
        <f>VLOOKUP(D159,FFF!$A$2:$B$674,2,)</f>
        <v>400905890</v>
      </c>
      <c r="F159" s="1" t="s">
        <v>441</v>
      </c>
      <c r="G159" s="1" t="s">
        <v>35</v>
      </c>
      <c r="H159" s="1">
        <v>2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2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f>SUMPRODUCT(I159:V159,$I$13:$V$13)</f>
        <v>3320</v>
      </c>
      <c r="X159" s="6">
        <f t="shared" si="4"/>
        <v>0.4</v>
      </c>
      <c r="Y159" s="1" t="str">
        <f>VLOOKUP(D159,[1]PARTS!$A$1:$G$65536,7,0)</f>
        <v>VISHAY DALE ELECTRONICS</v>
      </c>
      <c r="Z159" s="1">
        <v>2000</v>
      </c>
      <c r="AA159" s="1">
        <v>3280</v>
      </c>
      <c r="AB159" s="1">
        <f>CEILING(W159,Z159)</f>
        <v>4000</v>
      </c>
      <c r="AC159" s="1">
        <f>VLOOKUP(D159,[2]pareto!$D$12:$AX$306,47,0)</f>
        <v>0.2</v>
      </c>
      <c r="AD159" s="1" t="s">
        <v>250</v>
      </c>
      <c r="AE159" s="1" t="s">
        <v>251</v>
      </c>
      <c r="AF159" s="19" t="s">
        <v>252</v>
      </c>
      <c r="AG159" s="1" t="s">
        <v>253</v>
      </c>
      <c r="AH159" s="1"/>
      <c r="BG159" s="8">
        <f>SUM($BB159,$AI159:AI159)-SUM($BY159:BZ159)</f>
        <v>0</v>
      </c>
      <c r="BH159" s="8">
        <f>SUM($BB159,$AI159:AJ159)-SUM($BY159:CA159)</f>
        <v>0</v>
      </c>
      <c r="BI159" s="8">
        <f>SUM($BB159,$AI159:AK159)-SUM($BY159:CB159)</f>
        <v>0</v>
      </c>
      <c r="BJ159" s="8">
        <f>SUM($BB159,$AI159:AL159)-SUM($BY159:CC159)</f>
        <v>0</v>
      </c>
      <c r="BK159" s="8">
        <f>SUM($BB159,$AI159:AM159)-SUM($BY159:CD159)</f>
        <v>0</v>
      </c>
      <c r="BL159" s="8">
        <f>SUM($BB159,$AI159:AN159)-SUM($BY159:CE159)</f>
        <v>0</v>
      </c>
      <c r="BM159" s="8">
        <f>SUM($BB159,$AI159:AO159)-SUM($BY159:CF159)</f>
        <v>0</v>
      </c>
      <c r="BN159" s="8">
        <f>SUM($BB159,$AI159:AP159)-SUM($BY159:CG159)</f>
        <v>-200</v>
      </c>
      <c r="BO159" s="8">
        <f>SUM($BB159,$AI159:AQ159)-SUM($BY159:CH159)</f>
        <v>-500</v>
      </c>
      <c r="BP159" s="8">
        <f>SUM($BB159,$AI159:AR159)-SUM($BY159:CI159)</f>
        <v>-1000</v>
      </c>
      <c r="BQ159" s="8">
        <f>SUM($BB159,$AI159:AS159)-SUM($BY159:CJ159)</f>
        <v>-1400</v>
      </c>
      <c r="BR159" s="8">
        <f>SUM($BB159,$AI159:AT159)-SUM($BY159:CK159)</f>
        <v>-1800</v>
      </c>
      <c r="BS159" s="8">
        <f>SUM($BB159,$AI159:AU159)-SUM($BY159:CL159)</f>
        <v>-2200</v>
      </c>
      <c r="BT159" s="8">
        <f>SUM($BB159,$AI159:AV159)-SUM($BY159:CM159)</f>
        <v>-2800</v>
      </c>
      <c r="BU159" s="8">
        <f>SUM($BB159,$AI159:AW159)-SUM($BY159:CN159)</f>
        <v>-3320</v>
      </c>
      <c r="BV159" s="8">
        <f>SUM($BB159,$AI159:AX159)-SUM($BY159:CO159)</f>
        <v>-3320</v>
      </c>
      <c r="BW159" s="8">
        <f>SUM($BB159,$AI159:AY159)-SUM($BY159:CP159)</f>
        <v>-3320</v>
      </c>
      <c r="BX159" s="8">
        <f>SUM($BB159,$AI159:AZ159)-SUM($BY159:CQ159)</f>
        <v>-3320</v>
      </c>
      <c r="BY159" s="8" cm="1">
        <f t="array" ref="BY159">SUMPRODUCT(TRANSPOSE(BY$2:BY$15),$I159:$V159)</f>
        <v>0</v>
      </c>
      <c r="BZ159" s="8" cm="1">
        <f t="array" ref="BZ159">SUMPRODUCT(TRANSPOSE(BZ$2:BZ$15),$I159:$V159)</f>
        <v>0</v>
      </c>
      <c r="CA159" s="8" cm="1">
        <f t="array" ref="CA159">SUMPRODUCT(TRANSPOSE(CA$2:CA$15),$I159:$V159)</f>
        <v>0</v>
      </c>
      <c r="CB159" s="8" cm="1">
        <f t="array" ref="CB159">SUMPRODUCT(TRANSPOSE(CB$2:CB$15),$I159:$V159)</f>
        <v>0</v>
      </c>
      <c r="CC159" s="8" cm="1">
        <f t="array" ref="CC159">SUMPRODUCT(TRANSPOSE(CC$2:CC$15),$I159:$V159)</f>
        <v>0</v>
      </c>
      <c r="CD159" s="8" cm="1">
        <f t="array" ref="CD159">SUMPRODUCT(TRANSPOSE(CD$2:CD$15),$I159:$V159)</f>
        <v>0</v>
      </c>
      <c r="CE159" s="8" cm="1">
        <f t="array" ref="CE159">SUMPRODUCT(TRANSPOSE(CE$2:CE$15),$I159:$V159)</f>
        <v>0</v>
      </c>
      <c r="CF159" s="8" cm="1">
        <f t="array" ref="CF159">SUMPRODUCT(TRANSPOSE(CF$2:CF$15),$I159:$V159)</f>
        <v>0</v>
      </c>
      <c r="CG159" s="8" cm="1">
        <f t="array" ref="CG159">SUMPRODUCT(TRANSPOSE(CG$2:CG$15),$I159:$V159)</f>
        <v>200</v>
      </c>
      <c r="CH159" s="8" cm="1">
        <f t="array" ref="CH159">SUMPRODUCT(TRANSPOSE(CH$2:CH$15),$I159:$V159)</f>
        <v>300</v>
      </c>
      <c r="CI159" s="8" cm="1">
        <f t="array" ref="CI159">SUMPRODUCT(TRANSPOSE(CI$2:CI$15),$I159:$V159)</f>
        <v>500</v>
      </c>
      <c r="CJ159" s="8" cm="1">
        <f t="array" ref="CJ159">SUMPRODUCT(TRANSPOSE(CJ$2:CJ$15),$I159:$V159)</f>
        <v>400</v>
      </c>
      <c r="CK159" s="8" cm="1">
        <f t="array" ref="CK159">SUMPRODUCT(TRANSPOSE(CK$2:CK$15),$I159:$V159)</f>
        <v>400</v>
      </c>
      <c r="CL159" s="8" cm="1">
        <f t="array" ref="CL159">SUMPRODUCT(TRANSPOSE(CL$2:CL$15),$I159:$V159)</f>
        <v>400</v>
      </c>
      <c r="CM159" s="8" cm="1">
        <f t="array" ref="CM159">SUMPRODUCT(TRANSPOSE(CM$2:CM$15),$I159:$V159)</f>
        <v>600</v>
      </c>
      <c r="CN159" s="8" cm="1">
        <f t="array" ref="CN159">SUMPRODUCT(TRANSPOSE(CN$2:CN$15),$I159:$V159)</f>
        <v>520</v>
      </c>
      <c r="CO159" s="8" cm="1">
        <f t="array" ref="CO159">SUMPRODUCT(TRANSPOSE(CO$2:CO$15),$I159:$V159)</f>
        <v>0</v>
      </c>
      <c r="CP159" s="8" cm="1">
        <f t="array" ref="CP159">SUMPRODUCT(TRANSPOSE(CP$2:CP$15),$I159:$V159)</f>
        <v>0</v>
      </c>
      <c r="CQ159" s="8" cm="1">
        <f t="array" ref="CQ159">SUMPRODUCT(TRANSPOSE(CQ$2:CQ$15),$I159:$V159)</f>
        <v>0</v>
      </c>
    </row>
    <row r="160" spans="1:95" s="9" customFormat="1" x14ac:dyDescent="0.25">
      <c r="A160" s="1">
        <v>254</v>
      </c>
      <c r="B160" s="11" t="s">
        <v>442</v>
      </c>
      <c r="C160" s="1" t="s">
        <v>49</v>
      </c>
      <c r="D160" s="1">
        <v>512305368</v>
      </c>
      <c r="E160" s="6"/>
      <c r="F160" s="1" t="s">
        <v>443</v>
      </c>
      <c r="G160" s="1" t="s">
        <v>35</v>
      </c>
      <c r="H160" s="1">
        <v>22</v>
      </c>
      <c r="I160" s="1">
        <v>0</v>
      </c>
      <c r="J160" s="1">
        <v>11</v>
      </c>
      <c r="K160" s="1">
        <v>0</v>
      </c>
      <c r="L160" s="1">
        <v>0</v>
      </c>
      <c r="M160" s="1">
        <v>0</v>
      </c>
      <c r="N160" s="1">
        <v>0</v>
      </c>
      <c r="O160" s="1">
        <v>11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f>SUMPRODUCT(I160:V160,$I$13:$V$13)</f>
        <v>35310</v>
      </c>
      <c r="X160" s="6">
        <f t="shared" si="4"/>
        <v>0.88</v>
      </c>
      <c r="Y160" s="1" t="str">
        <f>VLOOKUP(D160,[1]PARTS!$A$1:$G$65536,7,0)</f>
        <v>MS MILITARY STANDARDS</v>
      </c>
      <c r="Z160" s="1">
        <v>1</v>
      </c>
      <c r="AA160" s="1">
        <f>CEILING(W160,Z160)</f>
        <v>35310</v>
      </c>
      <c r="AB160" s="1">
        <f>CEILING(W160,Z160)</f>
        <v>35310</v>
      </c>
      <c r="AC160" s="1">
        <v>0.04</v>
      </c>
      <c r="AD160" s="1" t="s">
        <v>413</v>
      </c>
      <c r="AE160" s="1" t="s">
        <v>325</v>
      </c>
      <c r="AF160" s="12" t="s">
        <v>326</v>
      </c>
      <c r="AG160" s="1" t="s">
        <v>327</v>
      </c>
      <c r="AH160" s="1"/>
      <c r="BG160" s="8">
        <f>SUM($BB160,$AI160:AI160)-SUM($BY160:BZ160)</f>
        <v>0</v>
      </c>
      <c r="BH160" s="8">
        <f>SUM($BB160,$AI160:AJ160)-SUM($BY160:CA160)</f>
        <v>0</v>
      </c>
      <c r="BI160" s="8">
        <f>SUM($BB160,$AI160:AK160)-SUM($BY160:CB160)</f>
        <v>0</v>
      </c>
      <c r="BJ160" s="8">
        <f>SUM($BB160,$AI160:AL160)-SUM($BY160:CC160)</f>
        <v>0</v>
      </c>
      <c r="BK160" s="8">
        <f>SUM($BB160,$AI160:AM160)-SUM($BY160:CD160)</f>
        <v>0</v>
      </c>
      <c r="BL160" s="8">
        <f>SUM($BB160,$AI160:AN160)-SUM($BY160:CE160)</f>
        <v>0</v>
      </c>
      <c r="BM160" s="8">
        <f>SUM($BB160,$AI160:AO160)-SUM($BY160:CF160)</f>
        <v>0</v>
      </c>
      <c r="BN160" s="8">
        <f>SUM($BB160,$AI160:AP160)-SUM($BY160:CG160)</f>
        <v>0</v>
      </c>
      <c r="BO160" s="8">
        <f>SUM($BB160,$AI160:AQ160)-SUM($BY160:CH160)</f>
        <v>0</v>
      </c>
      <c r="BP160" s="8">
        <f>SUM($BB160,$AI160:AR160)-SUM($BY160:CI160)</f>
        <v>-2200</v>
      </c>
      <c r="BQ160" s="8">
        <f>SUM($BB160,$AI160:AS160)-SUM($BY160:CJ160)</f>
        <v>-5500</v>
      </c>
      <c r="BR160" s="8">
        <f>SUM($BB160,$AI160:AT160)-SUM($BY160:CK160)</f>
        <v>-11000</v>
      </c>
      <c r="BS160" s="8">
        <f>SUM($BB160,$AI160:AU160)-SUM($BY160:CL160)</f>
        <v>-15620</v>
      </c>
      <c r="BT160" s="8">
        <f>SUM($BB160,$AI160:AV160)-SUM($BY160:CM160)</f>
        <v>-20020</v>
      </c>
      <c r="BU160" s="8">
        <f>SUM($BB160,$AI160:AW160)-SUM($BY160:CN160)</f>
        <v>-23870</v>
      </c>
      <c r="BV160" s="8">
        <f>SUM($BB160,$AI160:AX160)-SUM($BY160:CO160)</f>
        <v>-29810</v>
      </c>
      <c r="BW160" s="8">
        <f>SUM($BB160,$AI160:AY160)-SUM($BY160:CP160)</f>
        <v>-35310</v>
      </c>
      <c r="BX160" s="8">
        <f>SUM($BB160,$AI160:AZ160)-SUM($BY160:CQ160)</f>
        <v>-35310</v>
      </c>
      <c r="BY160" s="8" cm="1">
        <f t="array" ref="BY160">SUMPRODUCT(TRANSPOSE(BY$2:BY$15),$I160:$V160)</f>
        <v>0</v>
      </c>
      <c r="BZ160" s="8" cm="1">
        <f t="array" ref="BZ160">SUMPRODUCT(TRANSPOSE(BZ$2:BZ$15),$I160:$V160)</f>
        <v>0</v>
      </c>
      <c r="CA160" s="8" cm="1">
        <f t="array" ref="CA160">SUMPRODUCT(TRANSPOSE(CA$2:CA$15),$I160:$V160)</f>
        <v>0</v>
      </c>
      <c r="CB160" s="8" cm="1">
        <f t="array" ref="CB160">SUMPRODUCT(TRANSPOSE(CB$2:CB$15),$I160:$V160)</f>
        <v>0</v>
      </c>
      <c r="CC160" s="8" cm="1">
        <f t="array" ref="CC160">SUMPRODUCT(TRANSPOSE(CC$2:CC$15),$I160:$V160)</f>
        <v>0</v>
      </c>
      <c r="CD160" s="8" cm="1">
        <f t="array" ref="CD160">SUMPRODUCT(TRANSPOSE(CD$2:CD$15),$I160:$V160)</f>
        <v>0</v>
      </c>
      <c r="CE160" s="8" cm="1">
        <f t="array" ref="CE160">SUMPRODUCT(TRANSPOSE(CE$2:CE$15),$I160:$V160)</f>
        <v>0</v>
      </c>
      <c r="CF160" s="8" cm="1">
        <f t="array" ref="CF160">SUMPRODUCT(TRANSPOSE(CF$2:CF$15),$I160:$V160)</f>
        <v>0</v>
      </c>
      <c r="CG160" s="8" cm="1">
        <f t="array" ref="CG160">SUMPRODUCT(TRANSPOSE(CG$2:CG$15),$I160:$V160)</f>
        <v>0</v>
      </c>
      <c r="CH160" s="8" cm="1">
        <f t="array" ref="CH160">SUMPRODUCT(TRANSPOSE(CH$2:CH$15),$I160:$V160)</f>
        <v>0</v>
      </c>
      <c r="CI160" s="8" cm="1">
        <f t="array" ref="CI160">SUMPRODUCT(TRANSPOSE(CI$2:CI$15),$I160:$V160)</f>
        <v>2200</v>
      </c>
      <c r="CJ160" s="8" cm="1">
        <f t="array" ref="CJ160">SUMPRODUCT(TRANSPOSE(CJ$2:CJ$15),$I160:$V160)</f>
        <v>3300</v>
      </c>
      <c r="CK160" s="8" cm="1">
        <f t="array" ref="CK160">SUMPRODUCT(TRANSPOSE(CK$2:CK$15),$I160:$V160)</f>
        <v>5500</v>
      </c>
      <c r="CL160" s="8" cm="1">
        <f t="array" ref="CL160">SUMPRODUCT(TRANSPOSE(CL$2:CL$15),$I160:$V160)</f>
        <v>4620</v>
      </c>
      <c r="CM160" s="8" cm="1">
        <f t="array" ref="CM160">SUMPRODUCT(TRANSPOSE(CM$2:CM$15),$I160:$V160)</f>
        <v>4400</v>
      </c>
      <c r="CN160" s="8" cm="1">
        <f t="array" ref="CN160">SUMPRODUCT(TRANSPOSE(CN$2:CN$15),$I160:$V160)</f>
        <v>3850</v>
      </c>
      <c r="CO160" s="8" cm="1">
        <f t="array" ref="CO160">SUMPRODUCT(TRANSPOSE(CO$2:CO$15),$I160:$V160)</f>
        <v>5940</v>
      </c>
      <c r="CP160" s="8" cm="1">
        <f t="array" ref="CP160">SUMPRODUCT(TRANSPOSE(CP$2:CP$15),$I160:$V160)</f>
        <v>5500</v>
      </c>
      <c r="CQ160" s="8" cm="1">
        <f t="array" ref="CQ160">SUMPRODUCT(TRANSPOSE(CQ$2:CQ$15),$I160:$V160)</f>
        <v>0</v>
      </c>
    </row>
    <row r="161" spans="1:95" x14ac:dyDescent="0.25">
      <c r="A161" s="1">
        <v>9</v>
      </c>
      <c r="B161" s="11" t="s">
        <v>444</v>
      </c>
      <c r="C161" s="1" t="s">
        <v>49</v>
      </c>
      <c r="D161" s="1">
        <v>407184523</v>
      </c>
      <c r="E161" s="6">
        <f>VLOOKUP(D161,FFF!$A$2:$B$674,2,)</f>
        <v>407186491</v>
      </c>
      <c r="F161" s="1" t="s">
        <v>445</v>
      </c>
      <c r="G161" s="1" t="s">
        <v>35</v>
      </c>
      <c r="H161" s="1">
        <v>4</v>
      </c>
      <c r="I161" s="1">
        <v>0</v>
      </c>
      <c r="J161" s="1">
        <v>0</v>
      </c>
      <c r="K161" s="1">
        <v>0</v>
      </c>
      <c r="L161" s="1">
        <v>4</v>
      </c>
      <c r="M161" s="1">
        <v>0</v>
      </c>
      <c r="N161" s="1">
        <v>0</v>
      </c>
      <c r="O161" s="1">
        <v>0</v>
      </c>
      <c r="P161" s="1">
        <v>0</v>
      </c>
      <c r="Q161" s="1">
        <v>6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f>SUMPRODUCT(I161:V161,$I$13:$V$13)</f>
        <v>16160</v>
      </c>
      <c r="X161" s="6">
        <f t="shared" si="4"/>
        <v>0.68</v>
      </c>
      <c r="Y161" s="1" t="str">
        <f>VLOOKUP(D161,[1]PARTS!$A$1:$G$65536,7,0)</f>
        <v>COILCRAFT INC.</v>
      </c>
      <c r="Z161" s="1">
        <v>2000</v>
      </c>
      <c r="AA161" s="1">
        <f>VLOOKUP(D161,[2]pareto!$D$12:$AX$306,45,0)</f>
        <v>2000</v>
      </c>
      <c r="AB161" s="1">
        <f>CEILING(W161,Z161)</f>
        <v>18000</v>
      </c>
      <c r="AC161" s="1">
        <f>VLOOKUP(D161,[2]pareto!$D$12:$AX$306,47,0)</f>
        <v>6.8000000000000005E-2</v>
      </c>
      <c r="AD161" s="1" t="s">
        <v>446</v>
      </c>
      <c r="AE161" s="1" t="s">
        <v>447</v>
      </c>
      <c r="AF161" s="12" t="s">
        <v>448</v>
      </c>
      <c r="AG161" s="1" t="s">
        <v>449</v>
      </c>
      <c r="BG161" s="8">
        <f>SUM($BB161,$AI161:AI161)-SUM($BY161:BZ161)</f>
        <v>0</v>
      </c>
      <c r="BH161" s="8">
        <f>SUM($BB161,$AI161:AJ161)-SUM($BY161:CA161)</f>
        <v>0</v>
      </c>
      <c r="BI161" s="8">
        <f>SUM($BB161,$AI161:AK161)-SUM($BY161:CB161)</f>
        <v>0</v>
      </c>
      <c r="BJ161" s="8">
        <f>SUM($BB161,$AI161:AL161)-SUM($BY161:CC161)</f>
        <v>0</v>
      </c>
      <c r="BK161" s="8">
        <f>SUM($BB161,$AI161:AM161)-SUM($BY161:CD161)</f>
        <v>0</v>
      </c>
      <c r="BL161" s="8">
        <f>SUM($BB161,$AI161:AN161)-SUM($BY161:CE161)</f>
        <v>0</v>
      </c>
      <c r="BM161" s="8">
        <f>SUM($BB161,$AI161:AO161)-SUM($BY161:CF161)</f>
        <v>0</v>
      </c>
      <c r="BN161" s="8">
        <f>SUM($BB161,$AI161:AP161)-SUM($BY161:CG161)</f>
        <v>-1000</v>
      </c>
      <c r="BO161" s="8">
        <f>SUM($BB161,$AI161:AQ161)-SUM($BY161:CH161)</f>
        <v>-2500</v>
      </c>
      <c r="BP161" s="8">
        <f>SUM($BB161,$AI161:AR161)-SUM($BY161:CI161)</f>
        <v>-5000</v>
      </c>
      <c r="BQ161" s="8">
        <f>SUM($BB161,$AI161:AS161)-SUM($BY161:CJ161)</f>
        <v>-7080</v>
      </c>
      <c r="BR161" s="8">
        <f>SUM($BB161,$AI161:AT161)-SUM($BY161:CK161)</f>
        <v>-9080</v>
      </c>
      <c r="BS161" s="8">
        <f>SUM($BB161,$AI161:AU161)-SUM($BY161:CL161)</f>
        <v>-10880</v>
      </c>
      <c r="BT161" s="8">
        <f>SUM($BB161,$AI161:AV161)-SUM($BY161:CM161)</f>
        <v>-13640</v>
      </c>
      <c r="BU161" s="8">
        <f>SUM($BB161,$AI161:AW161)-SUM($BY161:CN161)</f>
        <v>-16160</v>
      </c>
      <c r="BV161" s="8">
        <f>SUM($BB161,$AI161:AX161)-SUM($BY161:CO161)</f>
        <v>-16160</v>
      </c>
      <c r="BW161" s="8">
        <f>SUM($BB161,$AI161:AY161)-SUM($BY161:CP161)</f>
        <v>-16160</v>
      </c>
      <c r="BX161" s="8">
        <f>SUM($BB161,$AI161:AZ161)-SUM($BY161:CQ161)</f>
        <v>-16160</v>
      </c>
      <c r="BY161" s="8" cm="1">
        <f t="array" ref="BY161">SUMPRODUCT(TRANSPOSE(BY$2:BY$15),$I161:$V161)</f>
        <v>0</v>
      </c>
      <c r="BZ161" s="8" cm="1">
        <f t="array" ref="BZ161">SUMPRODUCT(TRANSPOSE(BZ$2:BZ$15),$I161:$V161)</f>
        <v>0</v>
      </c>
      <c r="CA161" s="8" cm="1">
        <f t="array" ref="CA161">SUMPRODUCT(TRANSPOSE(CA$2:CA$15),$I161:$V161)</f>
        <v>0</v>
      </c>
      <c r="CB161" s="8" cm="1">
        <f t="array" ref="CB161">SUMPRODUCT(TRANSPOSE(CB$2:CB$15),$I161:$V161)</f>
        <v>0</v>
      </c>
      <c r="CC161" s="8" cm="1">
        <f t="array" ref="CC161">SUMPRODUCT(TRANSPOSE(CC$2:CC$15),$I161:$V161)</f>
        <v>0</v>
      </c>
      <c r="CD161" s="8" cm="1">
        <f t="array" ref="CD161">SUMPRODUCT(TRANSPOSE(CD$2:CD$15),$I161:$V161)</f>
        <v>0</v>
      </c>
      <c r="CE161" s="8" cm="1">
        <f t="array" ref="CE161">SUMPRODUCT(TRANSPOSE(CE$2:CE$15),$I161:$V161)</f>
        <v>0</v>
      </c>
      <c r="CF161" s="8" cm="1">
        <f t="array" ref="CF161">SUMPRODUCT(TRANSPOSE(CF$2:CF$15),$I161:$V161)</f>
        <v>0</v>
      </c>
      <c r="CG161" s="8" cm="1">
        <f t="array" ref="CG161">SUMPRODUCT(TRANSPOSE(CG$2:CG$15),$I161:$V161)</f>
        <v>1000</v>
      </c>
      <c r="CH161" s="8" cm="1">
        <f t="array" ref="CH161">SUMPRODUCT(TRANSPOSE(CH$2:CH$15),$I161:$V161)</f>
        <v>1500</v>
      </c>
      <c r="CI161" s="8" cm="1">
        <f t="array" ref="CI161">SUMPRODUCT(TRANSPOSE(CI$2:CI$15),$I161:$V161)</f>
        <v>2500</v>
      </c>
      <c r="CJ161" s="8" cm="1">
        <f t="array" ref="CJ161">SUMPRODUCT(TRANSPOSE(CJ$2:CJ$15),$I161:$V161)</f>
        <v>2080</v>
      </c>
      <c r="CK161" s="8" cm="1">
        <f t="array" ref="CK161">SUMPRODUCT(TRANSPOSE(CK$2:CK$15),$I161:$V161)</f>
        <v>2000</v>
      </c>
      <c r="CL161" s="8" cm="1">
        <f t="array" ref="CL161">SUMPRODUCT(TRANSPOSE(CL$2:CL$15),$I161:$V161)</f>
        <v>1800</v>
      </c>
      <c r="CM161" s="8" cm="1">
        <f t="array" ref="CM161">SUMPRODUCT(TRANSPOSE(CM$2:CM$15),$I161:$V161)</f>
        <v>2760</v>
      </c>
      <c r="CN161" s="8" cm="1">
        <f t="array" ref="CN161">SUMPRODUCT(TRANSPOSE(CN$2:CN$15),$I161:$V161)</f>
        <v>2520</v>
      </c>
      <c r="CO161" s="8" cm="1">
        <f t="array" ref="CO161">SUMPRODUCT(TRANSPOSE(CO$2:CO$15),$I161:$V161)</f>
        <v>0</v>
      </c>
      <c r="CP161" s="8" cm="1">
        <f t="array" ref="CP161">SUMPRODUCT(TRANSPOSE(CP$2:CP$15),$I161:$V161)</f>
        <v>0</v>
      </c>
      <c r="CQ161" s="8" cm="1">
        <f t="array" ref="CQ161">SUMPRODUCT(TRANSPOSE(CQ$2:CQ$15),$I161:$V161)</f>
        <v>0</v>
      </c>
    </row>
    <row r="162" spans="1:95" x14ac:dyDescent="0.25">
      <c r="A162" s="1">
        <v>305</v>
      </c>
      <c r="B162" s="11" t="s">
        <v>450</v>
      </c>
      <c r="C162" s="1" t="s">
        <v>49</v>
      </c>
      <c r="D162" s="1">
        <v>417531785</v>
      </c>
      <c r="E162" s="6">
        <f>VLOOKUP(D162,FFF!$A$2:$B$674,2,)</f>
        <v>411160889</v>
      </c>
      <c r="F162" s="1" t="s">
        <v>451</v>
      </c>
      <c r="G162" s="1" t="s">
        <v>35</v>
      </c>
      <c r="H162" s="1">
        <v>4</v>
      </c>
      <c r="I162" s="1">
        <v>0</v>
      </c>
      <c r="J162" s="1">
        <v>0</v>
      </c>
      <c r="K162" s="1">
        <v>0</v>
      </c>
      <c r="L162" s="1">
        <v>0</v>
      </c>
      <c r="M162" s="1">
        <v>2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2</v>
      </c>
      <c r="W162" s="1">
        <f>SUMPRODUCT(I162:V162,$I$13:$V$13)</f>
        <v>6420</v>
      </c>
      <c r="X162" s="6">
        <f t="shared" si="4"/>
        <v>0.76</v>
      </c>
      <c r="Y162" s="1" t="str">
        <f>VLOOKUP(D162,[1]PARTS!$A$1:$G$65536,7,0)</f>
        <v>VISHAY EUROPE SALE GMBH</v>
      </c>
      <c r="Z162" s="1">
        <v>500</v>
      </c>
      <c r="AA162" s="1">
        <v>6340</v>
      </c>
      <c r="AB162" s="1">
        <f>CEILING(W162,Z162)</f>
        <v>6500</v>
      </c>
      <c r="AC162" s="1">
        <f>VLOOKUP(D162,[2]pareto!$D$12:$AX$306,47,0)</f>
        <v>0.19</v>
      </c>
      <c r="AD162" s="1" t="s">
        <v>250</v>
      </c>
      <c r="AE162" s="1" t="s">
        <v>251</v>
      </c>
      <c r="AF162" s="19" t="s">
        <v>252</v>
      </c>
      <c r="AG162" s="1" t="s">
        <v>253</v>
      </c>
      <c r="BG162" s="8">
        <f>SUM($BB162,$AI162:AI162)-SUM($BY162:BZ162)</f>
        <v>0</v>
      </c>
      <c r="BH162" s="8">
        <f>SUM($BB162,$AI162:AJ162)-SUM($BY162:CA162)</f>
        <v>0</v>
      </c>
      <c r="BI162" s="8">
        <f>SUM($BB162,$AI162:AK162)-SUM($BY162:CB162)</f>
        <v>0</v>
      </c>
      <c r="BJ162" s="8">
        <f>SUM($BB162,$AI162:AL162)-SUM($BY162:CC162)</f>
        <v>0</v>
      </c>
      <c r="BK162" s="8">
        <f>SUM($BB162,$AI162:AM162)-SUM($BY162:CD162)</f>
        <v>0</v>
      </c>
      <c r="BL162" s="8">
        <f>SUM($BB162,$AI162:AN162)-SUM($BY162:CE162)</f>
        <v>0</v>
      </c>
      <c r="BM162" s="8">
        <f>SUM($BB162,$AI162:AO162)-SUM($BY162:CF162)</f>
        <v>0</v>
      </c>
      <c r="BN162" s="8">
        <f>SUM($BB162,$AI162:AP162)-SUM($BY162:CG162)</f>
        <v>-200</v>
      </c>
      <c r="BO162" s="8">
        <f>SUM($BB162,$AI162:AQ162)-SUM($BY162:CH162)</f>
        <v>-700</v>
      </c>
      <c r="BP162" s="8">
        <f>SUM($BB162,$AI162:AR162)-SUM($BY162:CI162)</f>
        <v>-1500</v>
      </c>
      <c r="BQ162" s="8">
        <f>SUM($BB162,$AI162:AS162)-SUM($BY162:CJ162)</f>
        <v>-2440</v>
      </c>
      <c r="BR162" s="8">
        <f>SUM($BB162,$AI162:AT162)-SUM($BY162:CK162)</f>
        <v>-3240</v>
      </c>
      <c r="BS162" s="8">
        <f>SUM($BB162,$AI162:AU162)-SUM($BY162:CL162)</f>
        <v>-3940</v>
      </c>
      <c r="BT162" s="8">
        <f>SUM($BB162,$AI162:AV162)-SUM($BY162:CM162)</f>
        <v>-4820</v>
      </c>
      <c r="BU162" s="8">
        <f>SUM($BB162,$AI162:AW162)-SUM($BY162:CN162)</f>
        <v>-5900</v>
      </c>
      <c r="BV162" s="8">
        <f>SUM($BB162,$AI162:AX162)-SUM($BY162:CO162)</f>
        <v>-6420</v>
      </c>
      <c r="BW162" s="8">
        <f>SUM($BB162,$AI162:AY162)-SUM($BY162:CP162)</f>
        <v>-6420</v>
      </c>
      <c r="BX162" s="8">
        <f>SUM($BB162,$AI162:AZ162)-SUM($BY162:CQ162)</f>
        <v>-6420</v>
      </c>
      <c r="BY162" s="8" cm="1">
        <f t="array" ref="BY162">SUMPRODUCT(TRANSPOSE(BY$2:BY$15),$I162:$V162)</f>
        <v>0</v>
      </c>
      <c r="BZ162" s="8" cm="1">
        <f t="array" ref="BZ162">SUMPRODUCT(TRANSPOSE(BZ$2:BZ$15),$I162:$V162)</f>
        <v>0</v>
      </c>
      <c r="CA162" s="8" cm="1">
        <f t="array" ref="CA162">SUMPRODUCT(TRANSPOSE(CA$2:CA$15),$I162:$V162)</f>
        <v>0</v>
      </c>
      <c r="CB162" s="8" cm="1">
        <f t="array" ref="CB162">SUMPRODUCT(TRANSPOSE(CB$2:CB$15),$I162:$V162)</f>
        <v>0</v>
      </c>
      <c r="CC162" s="8" cm="1">
        <f t="array" ref="CC162">SUMPRODUCT(TRANSPOSE(CC$2:CC$15),$I162:$V162)</f>
        <v>0</v>
      </c>
      <c r="CD162" s="8" cm="1">
        <f t="array" ref="CD162">SUMPRODUCT(TRANSPOSE(CD$2:CD$15),$I162:$V162)</f>
        <v>0</v>
      </c>
      <c r="CE162" s="8" cm="1">
        <f t="array" ref="CE162">SUMPRODUCT(TRANSPOSE(CE$2:CE$15),$I162:$V162)</f>
        <v>0</v>
      </c>
      <c r="CF162" s="8" cm="1">
        <f t="array" ref="CF162">SUMPRODUCT(TRANSPOSE(CF$2:CF$15),$I162:$V162)</f>
        <v>0</v>
      </c>
      <c r="CG162" s="8" cm="1">
        <f t="array" ref="CG162">SUMPRODUCT(TRANSPOSE(CG$2:CG$15),$I162:$V162)</f>
        <v>200</v>
      </c>
      <c r="CH162" s="8" cm="1">
        <f t="array" ref="CH162">SUMPRODUCT(TRANSPOSE(CH$2:CH$15),$I162:$V162)</f>
        <v>500</v>
      </c>
      <c r="CI162" s="8" cm="1">
        <f t="array" ref="CI162">SUMPRODUCT(TRANSPOSE(CI$2:CI$15),$I162:$V162)</f>
        <v>800</v>
      </c>
      <c r="CJ162" s="8" cm="1">
        <f t="array" ref="CJ162">SUMPRODUCT(TRANSPOSE(CJ$2:CJ$15),$I162:$V162)</f>
        <v>940</v>
      </c>
      <c r="CK162" s="8" cm="1">
        <f t="array" ref="CK162">SUMPRODUCT(TRANSPOSE(CK$2:CK$15),$I162:$V162)</f>
        <v>800</v>
      </c>
      <c r="CL162" s="8" cm="1">
        <f t="array" ref="CL162">SUMPRODUCT(TRANSPOSE(CL$2:CL$15),$I162:$V162)</f>
        <v>700</v>
      </c>
      <c r="CM162" s="8" cm="1">
        <f t="array" ref="CM162">SUMPRODUCT(TRANSPOSE(CM$2:CM$15),$I162:$V162)</f>
        <v>880</v>
      </c>
      <c r="CN162" s="8" cm="1">
        <f t="array" ref="CN162">SUMPRODUCT(TRANSPOSE(CN$2:CN$15),$I162:$V162)</f>
        <v>1080</v>
      </c>
      <c r="CO162" s="8" cm="1">
        <f t="array" ref="CO162">SUMPRODUCT(TRANSPOSE(CO$2:CO$15),$I162:$V162)</f>
        <v>520</v>
      </c>
      <c r="CP162" s="8" cm="1">
        <f t="array" ref="CP162">SUMPRODUCT(TRANSPOSE(CP$2:CP$15),$I162:$V162)</f>
        <v>0</v>
      </c>
      <c r="CQ162" s="8" cm="1">
        <f t="array" ref="CQ162">SUMPRODUCT(TRANSPOSE(CQ$2:CQ$15),$I162:$V162)</f>
        <v>0</v>
      </c>
    </row>
    <row r="163" spans="1:95" x14ac:dyDescent="0.25">
      <c r="A163" s="1">
        <v>4</v>
      </c>
      <c r="B163" s="11" t="s">
        <v>452</v>
      </c>
      <c r="C163" s="1" t="s">
        <v>49</v>
      </c>
      <c r="D163" s="1">
        <v>401238835</v>
      </c>
      <c r="E163" s="6"/>
      <c r="F163" s="1" t="s">
        <v>453</v>
      </c>
      <c r="G163" s="1" t="s">
        <v>35</v>
      </c>
      <c r="H163" s="1">
        <v>4</v>
      </c>
      <c r="I163" s="1">
        <v>0</v>
      </c>
      <c r="J163" s="1">
        <v>0</v>
      </c>
      <c r="K163" s="1">
        <v>0</v>
      </c>
      <c r="L163" s="1">
        <v>2</v>
      </c>
      <c r="M163" s="1">
        <v>0</v>
      </c>
      <c r="N163" s="1">
        <v>0</v>
      </c>
      <c r="O163" s="1">
        <v>0</v>
      </c>
      <c r="P163" s="1">
        <v>0</v>
      </c>
      <c r="Q163" s="1">
        <v>2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f>SUMPRODUCT(I163:V163,$I$13:$V$13)</f>
        <v>6420</v>
      </c>
      <c r="X163" s="6">
        <f t="shared" si="4"/>
        <v>0.72</v>
      </c>
      <c r="Y163" s="1" t="str">
        <f>VLOOKUP(D163,[1]PARTS!$A$1:$G$65536,7,0)</f>
        <v>AVX</v>
      </c>
      <c r="Z163" s="1">
        <v>3000</v>
      </c>
      <c r="AA163" s="1">
        <v>6340</v>
      </c>
      <c r="AB163" s="1">
        <f>CEILING(W163,Z163)</f>
        <v>9000</v>
      </c>
      <c r="AC163" s="1">
        <f>VLOOKUP(D163,[2]pareto!$D$12:$AX$306,47,0)</f>
        <v>0.18</v>
      </c>
      <c r="AD163" s="1" t="s">
        <v>140</v>
      </c>
      <c r="AE163" s="1" t="s">
        <v>141</v>
      </c>
      <c r="AF163" s="12" t="s">
        <v>142</v>
      </c>
      <c r="AG163" s="1" t="s">
        <v>143</v>
      </c>
      <c r="BG163" s="8">
        <f>SUM($BB163,$AI163:AI163)-SUM($BY163:BZ163)</f>
        <v>0</v>
      </c>
      <c r="BH163" s="8">
        <f>SUM($BB163,$AI163:AJ163)-SUM($BY163:CA163)</f>
        <v>0</v>
      </c>
      <c r="BI163" s="8">
        <f>SUM($BB163,$AI163:AK163)-SUM($BY163:CB163)</f>
        <v>0</v>
      </c>
      <c r="BJ163" s="8">
        <f>SUM($BB163,$AI163:AL163)-SUM($BY163:CC163)</f>
        <v>0</v>
      </c>
      <c r="BK163" s="8">
        <f>SUM($BB163,$AI163:AM163)-SUM($BY163:CD163)</f>
        <v>0</v>
      </c>
      <c r="BL163" s="8">
        <f>SUM($BB163,$AI163:AN163)-SUM($BY163:CE163)</f>
        <v>0</v>
      </c>
      <c r="BM163" s="8">
        <f>SUM($BB163,$AI163:AO163)-SUM($BY163:CF163)</f>
        <v>0</v>
      </c>
      <c r="BN163" s="8">
        <f>SUM($BB163,$AI163:AP163)-SUM($BY163:CG163)</f>
        <v>-400</v>
      </c>
      <c r="BO163" s="8">
        <f>SUM($BB163,$AI163:AQ163)-SUM($BY163:CH163)</f>
        <v>-1000</v>
      </c>
      <c r="BP163" s="8">
        <f>SUM($BB163,$AI163:AR163)-SUM($BY163:CI163)</f>
        <v>-2000</v>
      </c>
      <c r="BQ163" s="8">
        <f>SUM($BB163,$AI163:AS163)-SUM($BY163:CJ163)</f>
        <v>-2840</v>
      </c>
      <c r="BR163" s="8">
        <f>SUM($BB163,$AI163:AT163)-SUM($BY163:CK163)</f>
        <v>-3640</v>
      </c>
      <c r="BS163" s="8">
        <f>SUM($BB163,$AI163:AU163)-SUM($BY163:CL163)</f>
        <v>-4340</v>
      </c>
      <c r="BT163" s="8">
        <f>SUM($BB163,$AI163:AV163)-SUM($BY163:CM163)</f>
        <v>-5420</v>
      </c>
      <c r="BU163" s="8">
        <f>SUM($BB163,$AI163:AW163)-SUM($BY163:CN163)</f>
        <v>-6420</v>
      </c>
      <c r="BV163" s="8">
        <f>SUM($BB163,$AI163:AX163)-SUM($BY163:CO163)</f>
        <v>-6420</v>
      </c>
      <c r="BW163" s="8">
        <f>SUM($BB163,$AI163:AY163)-SUM($BY163:CP163)</f>
        <v>-6420</v>
      </c>
      <c r="BX163" s="8">
        <f>SUM($BB163,$AI163:AZ163)-SUM($BY163:CQ163)</f>
        <v>-6420</v>
      </c>
      <c r="BY163" s="8" cm="1">
        <f t="array" ref="BY163">SUMPRODUCT(TRANSPOSE(BY$2:BY$15),$I163:$V163)</f>
        <v>0</v>
      </c>
      <c r="BZ163" s="8" cm="1">
        <f t="array" ref="BZ163">SUMPRODUCT(TRANSPOSE(BZ$2:BZ$15),$I163:$V163)</f>
        <v>0</v>
      </c>
      <c r="CA163" s="8" cm="1">
        <f t="array" ref="CA163">SUMPRODUCT(TRANSPOSE(CA$2:CA$15),$I163:$V163)</f>
        <v>0</v>
      </c>
      <c r="CB163" s="8" cm="1">
        <f t="array" ref="CB163">SUMPRODUCT(TRANSPOSE(CB$2:CB$15),$I163:$V163)</f>
        <v>0</v>
      </c>
      <c r="CC163" s="8" cm="1">
        <f t="array" ref="CC163">SUMPRODUCT(TRANSPOSE(CC$2:CC$15),$I163:$V163)</f>
        <v>0</v>
      </c>
      <c r="CD163" s="8" cm="1">
        <f t="array" ref="CD163">SUMPRODUCT(TRANSPOSE(CD$2:CD$15),$I163:$V163)</f>
        <v>0</v>
      </c>
      <c r="CE163" s="8" cm="1">
        <f t="array" ref="CE163">SUMPRODUCT(TRANSPOSE(CE$2:CE$15),$I163:$V163)</f>
        <v>0</v>
      </c>
      <c r="CF163" s="8" cm="1">
        <f t="array" ref="CF163">SUMPRODUCT(TRANSPOSE(CF$2:CF$15),$I163:$V163)</f>
        <v>0</v>
      </c>
      <c r="CG163" s="8" cm="1">
        <f t="array" ref="CG163">SUMPRODUCT(TRANSPOSE(CG$2:CG$15),$I163:$V163)</f>
        <v>400</v>
      </c>
      <c r="CH163" s="8" cm="1">
        <f t="array" ref="CH163">SUMPRODUCT(TRANSPOSE(CH$2:CH$15),$I163:$V163)</f>
        <v>600</v>
      </c>
      <c r="CI163" s="8" cm="1">
        <f t="array" ref="CI163">SUMPRODUCT(TRANSPOSE(CI$2:CI$15),$I163:$V163)</f>
        <v>1000</v>
      </c>
      <c r="CJ163" s="8" cm="1">
        <f t="array" ref="CJ163">SUMPRODUCT(TRANSPOSE(CJ$2:CJ$15),$I163:$V163)</f>
        <v>840</v>
      </c>
      <c r="CK163" s="8" cm="1">
        <f t="array" ref="CK163">SUMPRODUCT(TRANSPOSE(CK$2:CK$15),$I163:$V163)</f>
        <v>800</v>
      </c>
      <c r="CL163" s="8" cm="1">
        <f t="array" ref="CL163">SUMPRODUCT(TRANSPOSE(CL$2:CL$15),$I163:$V163)</f>
        <v>700</v>
      </c>
      <c r="CM163" s="8" cm="1">
        <f t="array" ref="CM163">SUMPRODUCT(TRANSPOSE(CM$2:CM$15),$I163:$V163)</f>
        <v>1080</v>
      </c>
      <c r="CN163" s="8" cm="1">
        <f t="array" ref="CN163">SUMPRODUCT(TRANSPOSE(CN$2:CN$15),$I163:$V163)</f>
        <v>1000</v>
      </c>
      <c r="CO163" s="8" cm="1">
        <f t="array" ref="CO163">SUMPRODUCT(TRANSPOSE(CO$2:CO$15),$I163:$V163)</f>
        <v>0</v>
      </c>
      <c r="CP163" s="8" cm="1">
        <f t="array" ref="CP163">SUMPRODUCT(TRANSPOSE(CP$2:CP$15),$I163:$V163)</f>
        <v>0</v>
      </c>
      <c r="CQ163" s="8" cm="1">
        <f t="array" ref="CQ163">SUMPRODUCT(TRANSPOSE(CQ$2:CQ$15),$I163:$V163)</f>
        <v>0</v>
      </c>
    </row>
    <row r="164" spans="1:95" x14ac:dyDescent="0.25">
      <c r="A164" s="1">
        <v>255</v>
      </c>
      <c r="B164" s="11" t="s">
        <v>454</v>
      </c>
      <c r="C164" s="1" t="s">
        <v>49</v>
      </c>
      <c r="D164" s="1">
        <v>512308669</v>
      </c>
      <c r="E164" s="6"/>
      <c r="F164" s="1" t="s">
        <v>337</v>
      </c>
      <c r="G164" s="1" t="s">
        <v>35</v>
      </c>
      <c r="H164" s="1">
        <v>24</v>
      </c>
      <c r="I164" s="1">
        <v>0</v>
      </c>
      <c r="J164" s="1">
        <v>10</v>
      </c>
      <c r="K164" s="1">
        <v>2</v>
      </c>
      <c r="L164" s="1">
        <v>0</v>
      </c>
      <c r="M164" s="1">
        <v>0</v>
      </c>
      <c r="N164" s="1">
        <v>0</v>
      </c>
      <c r="O164" s="1">
        <v>10</v>
      </c>
      <c r="P164" s="1">
        <v>2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f>SUMPRODUCT(I164:V164,$I$13:$V$13)</f>
        <v>38520</v>
      </c>
      <c r="X164" s="6">
        <f t="shared" si="4"/>
        <v>0.78</v>
      </c>
      <c r="Y164" s="1" t="str">
        <f>VLOOKUP(D164,[1]PARTS!$A$1:$G$65536,7,0)</f>
        <v>MS MILITARY STANDARDS</v>
      </c>
      <c r="Z164" s="1">
        <v>1</v>
      </c>
      <c r="AA164" s="1">
        <f>CEILING(W164,Z164)</f>
        <v>38520</v>
      </c>
      <c r="AB164" s="1">
        <f>CEILING(W164,Z164)</f>
        <v>38520</v>
      </c>
      <c r="AC164" s="1">
        <f>VLOOKUP(D164,[2]pareto!$D$12:$AX$306,47,0)</f>
        <v>3.2500000000000001E-2</v>
      </c>
      <c r="AD164" s="1" t="str">
        <f>VLOOKUP(D164,[2]pareto!$D$11:$BD$306,50,0)</f>
        <v>KAYTECH</v>
      </c>
      <c r="AE164" s="1" t="s">
        <v>325</v>
      </c>
      <c r="AF164" s="19" t="s">
        <v>326</v>
      </c>
      <c r="AG164" s="1" t="s">
        <v>327</v>
      </c>
      <c r="BG164" s="8">
        <f>SUM($BB164,$AI164:AI164)-SUM($BY164:BZ164)</f>
        <v>0</v>
      </c>
      <c r="BH164" s="8">
        <f>SUM($BB164,$AI164:AJ164)-SUM($BY164:CA164)</f>
        <v>0</v>
      </c>
      <c r="BI164" s="8">
        <f>SUM($BB164,$AI164:AK164)-SUM($BY164:CB164)</f>
        <v>0</v>
      </c>
      <c r="BJ164" s="8">
        <f>SUM($BB164,$AI164:AL164)-SUM($BY164:CC164)</f>
        <v>0</v>
      </c>
      <c r="BK164" s="8">
        <f>SUM($BB164,$AI164:AM164)-SUM($BY164:CD164)</f>
        <v>0</v>
      </c>
      <c r="BL164" s="8">
        <f>SUM($BB164,$AI164:AN164)-SUM($BY164:CE164)</f>
        <v>0</v>
      </c>
      <c r="BM164" s="8">
        <f>SUM($BB164,$AI164:AO164)-SUM($BY164:CF164)</f>
        <v>0</v>
      </c>
      <c r="BN164" s="8">
        <f>SUM($BB164,$AI164:AP164)-SUM($BY164:CG164)</f>
        <v>0</v>
      </c>
      <c r="BO164" s="8">
        <f>SUM($BB164,$AI164:AQ164)-SUM($BY164:CH164)</f>
        <v>-400</v>
      </c>
      <c r="BP164" s="8">
        <f>SUM($BB164,$AI164:AR164)-SUM($BY164:CI164)</f>
        <v>-3000</v>
      </c>
      <c r="BQ164" s="8">
        <f>SUM($BB164,$AI164:AS164)-SUM($BY164:CJ164)</f>
        <v>-7000</v>
      </c>
      <c r="BR164" s="8">
        <f>SUM($BB164,$AI164:AT164)-SUM($BY164:CK164)</f>
        <v>-12840</v>
      </c>
      <c r="BS164" s="8">
        <f>SUM($BB164,$AI164:AU164)-SUM($BY164:CL164)</f>
        <v>-17840</v>
      </c>
      <c r="BT164" s="8">
        <f>SUM($BB164,$AI164:AV164)-SUM($BY164:CM164)</f>
        <v>-22540</v>
      </c>
      <c r="BU164" s="8">
        <f>SUM($BB164,$AI164:AW164)-SUM($BY164:CN164)</f>
        <v>-27120</v>
      </c>
      <c r="BV164" s="8">
        <f>SUM($BB164,$AI164:AX164)-SUM($BY164:CO164)</f>
        <v>-33520</v>
      </c>
      <c r="BW164" s="8">
        <f>SUM($BB164,$AI164:AY164)-SUM($BY164:CP164)</f>
        <v>-38520</v>
      </c>
      <c r="BX164" s="8">
        <f>SUM($BB164,$AI164:AZ164)-SUM($BY164:CQ164)</f>
        <v>-38520</v>
      </c>
      <c r="BY164" s="8" cm="1">
        <f t="array" ref="BY164">SUMPRODUCT(TRANSPOSE(BY$2:BY$15),$I164:$V164)</f>
        <v>0</v>
      </c>
      <c r="BZ164" s="8" cm="1">
        <f t="array" ref="BZ164">SUMPRODUCT(TRANSPOSE(BZ$2:BZ$15),$I164:$V164)</f>
        <v>0</v>
      </c>
      <c r="CA164" s="8" cm="1">
        <f t="array" ref="CA164">SUMPRODUCT(TRANSPOSE(CA$2:CA$15),$I164:$V164)</f>
        <v>0</v>
      </c>
      <c r="CB164" s="8" cm="1">
        <f t="array" ref="CB164">SUMPRODUCT(TRANSPOSE(CB$2:CB$15),$I164:$V164)</f>
        <v>0</v>
      </c>
      <c r="CC164" s="8" cm="1">
        <f t="array" ref="CC164">SUMPRODUCT(TRANSPOSE(CC$2:CC$15),$I164:$V164)</f>
        <v>0</v>
      </c>
      <c r="CD164" s="8" cm="1">
        <f t="array" ref="CD164">SUMPRODUCT(TRANSPOSE(CD$2:CD$15),$I164:$V164)</f>
        <v>0</v>
      </c>
      <c r="CE164" s="8" cm="1">
        <f t="array" ref="CE164">SUMPRODUCT(TRANSPOSE(CE$2:CE$15),$I164:$V164)</f>
        <v>0</v>
      </c>
      <c r="CF164" s="8" cm="1">
        <f t="array" ref="CF164">SUMPRODUCT(TRANSPOSE(CF$2:CF$15),$I164:$V164)</f>
        <v>0</v>
      </c>
      <c r="CG164" s="8" cm="1">
        <f t="array" ref="CG164">SUMPRODUCT(TRANSPOSE(CG$2:CG$15),$I164:$V164)</f>
        <v>0</v>
      </c>
      <c r="CH164" s="8" cm="1">
        <f t="array" ref="CH164">SUMPRODUCT(TRANSPOSE(CH$2:CH$15),$I164:$V164)</f>
        <v>400</v>
      </c>
      <c r="CI164" s="8" cm="1">
        <f t="array" ref="CI164">SUMPRODUCT(TRANSPOSE(CI$2:CI$15),$I164:$V164)</f>
        <v>2600</v>
      </c>
      <c r="CJ164" s="8" cm="1">
        <f t="array" ref="CJ164">SUMPRODUCT(TRANSPOSE(CJ$2:CJ$15),$I164:$V164)</f>
        <v>4000</v>
      </c>
      <c r="CK164" s="8" cm="1">
        <f t="array" ref="CK164">SUMPRODUCT(TRANSPOSE(CK$2:CK$15),$I164:$V164)</f>
        <v>5840</v>
      </c>
      <c r="CL164" s="8" cm="1">
        <f t="array" ref="CL164">SUMPRODUCT(TRANSPOSE(CL$2:CL$15),$I164:$V164)</f>
        <v>5000</v>
      </c>
      <c r="CM164" s="8" cm="1">
        <f t="array" ref="CM164">SUMPRODUCT(TRANSPOSE(CM$2:CM$15),$I164:$V164)</f>
        <v>4700</v>
      </c>
      <c r="CN164" s="8" cm="1">
        <f t="array" ref="CN164">SUMPRODUCT(TRANSPOSE(CN$2:CN$15),$I164:$V164)</f>
        <v>4580</v>
      </c>
      <c r="CO164" s="8" cm="1">
        <f t="array" ref="CO164">SUMPRODUCT(TRANSPOSE(CO$2:CO$15),$I164:$V164)</f>
        <v>6400</v>
      </c>
      <c r="CP164" s="8" cm="1">
        <f t="array" ref="CP164">SUMPRODUCT(TRANSPOSE(CP$2:CP$15),$I164:$V164)</f>
        <v>5000</v>
      </c>
      <c r="CQ164" s="8" cm="1">
        <f t="array" ref="CQ164">SUMPRODUCT(TRANSPOSE(CQ$2:CQ$15),$I164:$V164)</f>
        <v>0</v>
      </c>
    </row>
    <row r="165" spans="1:95" x14ac:dyDescent="0.25">
      <c r="A165" s="1">
        <v>263</v>
      </c>
      <c r="B165" s="11" t="s">
        <v>455</v>
      </c>
      <c r="C165" s="1" t="s">
        <v>49</v>
      </c>
      <c r="D165" s="1">
        <v>514203538</v>
      </c>
      <c r="E165" s="6"/>
      <c r="F165" s="1" t="s">
        <v>456</v>
      </c>
      <c r="G165" s="1" t="s">
        <v>35</v>
      </c>
      <c r="H165" s="1">
        <v>14</v>
      </c>
      <c r="I165" s="1">
        <v>0</v>
      </c>
      <c r="J165" s="1">
        <v>2</v>
      </c>
      <c r="K165" s="1">
        <v>5</v>
      </c>
      <c r="L165" s="1">
        <v>0</v>
      </c>
      <c r="M165" s="1">
        <v>0</v>
      </c>
      <c r="N165" s="1">
        <v>0</v>
      </c>
      <c r="O165" s="1">
        <v>2</v>
      </c>
      <c r="P165" s="1">
        <v>5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f>SUMPRODUCT(I165:V165,$I$13:$V$13)</f>
        <v>22470</v>
      </c>
      <c r="X165" s="6">
        <f t="shared" si="4"/>
        <v>0.68600000000000005</v>
      </c>
      <c r="Y165" s="1" t="str">
        <f>VLOOKUP(D165,[1]PARTS!$A$1:$G$65536,7,0)</f>
        <v>NAS/NASM NATIONAL AEROSPACE STD</v>
      </c>
      <c r="Z165" s="1">
        <v>1</v>
      </c>
      <c r="AA165" s="1">
        <f>CEILING(W165,Z165)</f>
        <v>22470</v>
      </c>
      <c r="AB165" s="1">
        <f>CEILING(W165,Z165)</f>
        <v>22470</v>
      </c>
      <c r="AC165" s="1">
        <f>VLOOKUP(D165,[2]pareto!$D$12:$AX$306,47,0)</f>
        <v>4.9000000000000002E-2</v>
      </c>
      <c r="AD165" s="1" t="str">
        <f>VLOOKUP(D165,[2]pareto!$D$11:$BD$306,50,0)</f>
        <v>KAYTECH</v>
      </c>
      <c r="AE165" s="1" t="s">
        <v>325</v>
      </c>
      <c r="AF165" s="19" t="s">
        <v>326</v>
      </c>
      <c r="AG165" s="1" t="s">
        <v>327</v>
      </c>
      <c r="BG165" s="8">
        <f>SUM($BB165,$AI165:AI165)-SUM($BY165:BZ165)</f>
        <v>0</v>
      </c>
      <c r="BH165" s="8">
        <f>SUM($BB165,$AI165:AJ165)-SUM($BY165:CA165)</f>
        <v>0</v>
      </c>
      <c r="BI165" s="8">
        <f>SUM($BB165,$AI165:AK165)-SUM($BY165:CB165)</f>
        <v>0</v>
      </c>
      <c r="BJ165" s="8">
        <f>SUM($BB165,$AI165:AL165)-SUM($BY165:CC165)</f>
        <v>0</v>
      </c>
      <c r="BK165" s="8">
        <f>SUM($BB165,$AI165:AM165)-SUM($BY165:CD165)</f>
        <v>0</v>
      </c>
      <c r="BL165" s="8">
        <f>SUM($BB165,$AI165:AN165)-SUM($BY165:CE165)</f>
        <v>0</v>
      </c>
      <c r="BM165" s="8">
        <f>SUM($BB165,$AI165:AO165)-SUM($BY165:CF165)</f>
        <v>0</v>
      </c>
      <c r="BN165" s="8">
        <f>SUM($BB165,$AI165:AP165)-SUM($BY165:CG165)</f>
        <v>0</v>
      </c>
      <c r="BO165" s="8">
        <f>SUM($BB165,$AI165:AQ165)-SUM($BY165:CH165)</f>
        <v>-1000</v>
      </c>
      <c r="BP165" s="8">
        <f>SUM($BB165,$AI165:AR165)-SUM($BY165:CI165)</f>
        <v>-2900</v>
      </c>
      <c r="BQ165" s="8">
        <f>SUM($BB165,$AI165:AS165)-SUM($BY165:CJ165)</f>
        <v>-6000</v>
      </c>
      <c r="BR165" s="8">
        <f>SUM($BB165,$AI165:AT165)-SUM($BY165:CK165)</f>
        <v>-9100</v>
      </c>
      <c r="BS165" s="8">
        <f>SUM($BB165,$AI165:AU165)-SUM($BY165:CL165)</f>
        <v>-11940</v>
      </c>
      <c r="BT165" s="8">
        <f>SUM($BB165,$AI165:AV165)-SUM($BY165:CM165)</f>
        <v>-14490</v>
      </c>
      <c r="BU165" s="8">
        <f>SUM($BB165,$AI165:AW165)-SUM($BY165:CN165)</f>
        <v>-17890</v>
      </c>
      <c r="BV165" s="8">
        <f>SUM($BB165,$AI165:AX165)-SUM($BY165:CO165)</f>
        <v>-21470</v>
      </c>
      <c r="BW165" s="8">
        <f>SUM($BB165,$AI165:AY165)-SUM($BY165:CP165)</f>
        <v>-22470</v>
      </c>
      <c r="BX165" s="8">
        <f>SUM($BB165,$AI165:AZ165)-SUM($BY165:CQ165)</f>
        <v>-22470</v>
      </c>
      <c r="BY165" s="8" cm="1">
        <f t="array" ref="BY165">SUMPRODUCT(TRANSPOSE(BY$2:BY$15),$I165:$V165)</f>
        <v>0</v>
      </c>
      <c r="BZ165" s="8" cm="1">
        <f t="array" ref="BZ165">SUMPRODUCT(TRANSPOSE(BZ$2:BZ$15),$I165:$V165)</f>
        <v>0</v>
      </c>
      <c r="CA165" s="8" cm="1">
        <f t="array" ref="CA165">SUMPRODUCT(TRANSPOSE(CA$2:CA$15),$I165:$V165)</f>
        <v>0</v>
      </c>
      <c r="CB165" s="8" cm="1">
        <f t="array" ref="CB165">SUMPRODUCT(TRANSPOSE(CB$2:CB$15),$I165:$V165)</f>
        <v>0</v>
      </c>
      <c r="CC165" s="8" cm="1">
        <f t="array" ref="CC165">SUMPRODUCT(TRANSPOSE(CC$2:CC$15),$I165:$V165)</f>
        <v>0</v>
      </c>
      <c r="CD165" s="8" cm="1">
        <f t="array" ref="CD165">SUMPRODUCT(TRANSPOSE(CD$2:CD$15),$I165:$V165)</f>
        <v>0</v>
      </c>
      <c r="CE165" s="8" cm="1">
        <f t="array" ref="CE165">SUMPRODUCT(TRANSPOSE(CE$2:CE$15),$I165:$V165)</f>
        <v>0</v>
      </c>
      <c r="CF165" s="8" cm="1">
        <f t="array" ref="CF165">SUMPRODUCT(TRANSPOSE(CF$2:CF$15),$I165:$V165)</f>
        <v>0</v>
      </c>
      <c r="CG165" s="8" cm="1">
        <f t="array" ref="CG165">SUMPRODUCT(TRANSPOSE(CG$2:CG$15),$I165:$V165)</f>
        <v>0</v>
      </c>
      <c r="CH165" s="8" cm="1">
        <f t="array" ref="CH165">SUMPRODUCT(TRANSPOSE(CH$2:CH$15),$I165:$V165)</f>
        <v>1000</v>
      </c>
      <c r="CI165" s="8" cm="1">
        <f t="array" ref="CI165">SUMPRODUCT(TRANSPOSE(CI$2:CI$15),$I165:$V165)</f>
        <v>1900</v>
      </c>
      <c r="CJ165" s="8" cm="1">
        <f t="array" ref="CJ165">SUMPRODUCT(TRANSPOSE(CJ$2:CJ$15),$I165:$V165)</f>
        <v>3100</v>
      </c>
      <c r="CK165" s="8" cm="1">
        <f t="array" ref="CK165">SUMPRODUCT(TRANSPOSE(CK$2:CK$15),$I165:$V165)</f>
        <v>3100</v>
      </c>
      <c r="CL165" s="8" cm="1">
        <f t="array" ref="CL165">SUMPRODUCT(TRANSPOSE(CL$2:CL$15),$I165:$V165)</f>
        <v>2840</v>
      </c>
      <c r="CM165" s="8" cm="1">
        <f t="array" ref="CM165">SUMPRODUCT(TRANSPOSE(CM$2:CM$15),$I165:$V165)</f>
        <v>2550</v>
      </c>
      <c r="CN165" s="8" cm="1">
        <f t="array" ref="CN165">SUMPRODUCT(TRANSPOSE(CN$2:CN$15),$I165:$V165)</f>
        <v>3400</v>
      </c>
      <c r="CO165" s="8" cm="1">
        <f t="array" ref="CO165">SUMPRODUCT(TRANSPOSE(CO$2:CO$15),$I165:$V165)</f>
        <v>3580</v>
      </c>
      <c r="CP165" s="8" cm="1">
        <f t="array" ref="CP165">SUMPRODUCT(TRANSPOSE(CP$2:CP$15),$I165:$V165)</f>
        <v>1000</v>
      </c>
      <c r="CQ165" s="8" cm="1">
        <f t="array" ref="CQ165">SUMPRODUCT(TRANSPOSE(CQ$2:CQ$15),$I165:$V165)</f>
        <v>0</v>
      </c>
    </row>
    <row r="166" spans="1:95" x14ac:dyDescent="0.25">
      <c r="A166" s="1">
        <v>115</v>
      </c>
      <c r="B166" s="11" t="s">
        <v>457</v>
      </c>
      <c r="C166" s="1" t="s">
        <v>49</v>
      </c>
      <c r="D166" s="1">
        <v>400112300</v>
      </c>
      <c r="E166" s="6"/>
      <c r="F166" s="1" t="s">
        <v>458</v>
      </c>
      <c r="G166" s="1" t="s">
        <v>35</v>
      </c>
      <c r="H166" s="1">
        <v>32</v>
      </c>
      <c r="I166" s="1">
        <v>0</v>
      </c>
      <c r="J166" s="1">
        <v>0</v>
      </c>
      <c r="K166" s="1">
        <v>0</v>
      </c>
      <c r="L166" s="1">
        <v>2</v>
      </c>
      <c r="M166" s="1">
        <v>14</v>
      </c>
      <c r="N166" s="1">
        <v>0</v>
      </c>
      <c r="O166" s="1">
        <v>0</v>
      </c>
      <c r="P166" s="1">
        <v>0</v>
      </c>
      <c r="Q166" s="1">
        <v>2</v>
      </c>
      <c r="R166" s="1">
        <v>0</v>
      </c>
      <c r="S166" s="1">
        <v>0</v>
      </c>
      <c r="T166" s="1">
        <v>0</v>
      </c>
      <c r="U166" s="1">
        <v>0</v>
      </c>
      <c r="V166" s="1">
        <v>14</v>
      </c>
      <c r="W166" s="1">
        <f>SUMPRODUCT(I166:V166,$I$13:$V$13)</f>
        <v>51360</v>
      </c>
      <c r="X166" s="6">
        <f t="shared" si="4"/>
        <v>0.59840000000000004</v>
      </c>
      <c r="Y166" s="1" t="str">
        <f>VLOOKUP(D166,[1]PARTS!$A$1:$G$65536,7,0)</f>
        <v>MURATA MANUFACTURING CO. LTD</v>
      </c>
      <c r="Z166" s="1">
        <f>VLOOKUP(D166,[2]pareto!$D$12:$AX$306,44,0)</f>
        <v>10000</v>
      </c>
      <c r="AA166" s="1">
        <f>VLOOKUP(D166,[2]pareto!$D$12:$AX$306,45,0)</f>
        <v>10000</v>
      </c>
      <c r="AB166" s="1">
        <f>CEILING(W166,Z166)</f>
        <v>60000</v>
      </c>
      <c r="AC166" s="1">
        <f>VLOOKUP(D166,[2]pareto!$D$12:$AX$306,47,0)</f>
        <v>1.8700000000000001E-2</v>
      </c>
      <c r="AD166" s="1" t="s">
        <v>85</v>
      </c>
      <c r="AE166" s="1" t="s">
        <v>86</v>
      </c>
      <c r="AF166" s="19" t="s">
        <v>87</v>
      </c>
      <c r="AG166" s="1" t="s">
        <v>88</v>
      </c>
      <c r="BG166" s="8">
        <f>SUM($BB166,$AI166:AI166)-SUM($BY166:BZ166)</f>
        <v>0</v>
      </c>
      <c r="BH166" s="8">
        <f>SUM($BB166,$AI166:AJ166)-SUM($BY166:CA166)</f>
        <v>0</v>
      </c>
      <c r="BI166" s="8">
        <f>SUM($BB166,$AI166:AK166)-SUM($BY166:CB166)</f>
        <v>0</v>
      </c>
      <c r="BJ166" s="8">
        <f>SUM($BB166,$AI166:AL166)-SUM($BY166:CC166)</f>
        <v>0</v>
      </c>
      <c r="BK166" s="8">
        <f>SUM($BB166,$AI166:AM166)-SUM($BY166:CD166)</f>
        <v>0</v>
      </c>
      <c r="BL166" s="8">
        <f>SUM($BB166,$AI166:AN166)-SUM($BY166:CE166)</f>
        <v>0</v>
      </c>
      <c r="BM166" s="8">
        <f>SUM($BB166,$AI166:AO166)-SUM($BY166:CF166)</f>
        <v>0</v>
      </c>
      <c r="BN166" s="8">
        <f>SUM($BB166,$AI166:AP166)-SUM($BY166:CG166)</f>
        <v>-1800</v>
      </c>
      <c r="BO166" s="8">
        <f>SUM($BB166,$AI166:AQ166)-SUM($BY166:CH166)</f>
        <v>-5900</v>
      </c>
      <c r="BP166" s="8">
        <f>SUM($BB166,$AI166:AR166)-SUM($BY166:CI166)</f>
        <v>-12500</v>
      </c>
      <c r="BQ166" s="8">
        <f>SUM($BB166,$AI166:AS166)-SUM($BY166:CJ166)</f>
        <v>-19920</v>
      </c>
      <c r="BR166" s="8">
        <f>SUM($BB166,$AI166:AT166)-SUM($BY166:CK166)</f>
        <v>-26320</v>
      </c>
      <c r="BS166" s="8">
        <f>SUM($BB166,$AI166:AU166)-SUM($BY166:CL166)</f>
        <v>-31920</v>
      </c>
      <c r="BT166" s="8">
        <f>SUM($BB166,$AI166:AV166)-SUM($BY166:CM166)</f>
        <v>-39160</v>
      </c>
      <c r="BU166" s="8">
        <f>SUM($BB166,$AI166:AW166)-SUM($BY166:CN166)</f>
        <v>-47720</v>
      </c>
      <c r="BV166" s="8">
        <f>SUM($BB166,$AI166:AX166)-SUM($BY166:CO166)</f>
        <v>-51360</v>
      </c>
      <c r="BW166" s="8">
        <f>SUM($BB166,$AI166:AY166)-SUM($BY166:CP166)</f>
        <v>-51360</v>
      </c>
      <c r="BX166" s="8">
        <f>SUM($BB166,$AI166:AZ166)-SUM($BY166:CQ166)</f>
        <v>-51360</v>
      </c>
      <c r="BY166" s="8" cm="1">
        <f t="array" ref="BY166">SUMPRODUCT(TRANSPOSE(BY$2:BY$15),$I166:$V166)</f>
        <v>0</v>
      </c>
      <c r="BZ166" s="8" cm="1">
        <f t="array" ref="BZ166">SUMPRODUCT(TRANSPOSE(BZ$2:BZ$15),$I166:$V166)</f>
        <v>0</v>
      </c>
      <c r="CA166" s="8" cm="1">
        <f t="array" ref="CA166">SUMPRODUCT(TRANSPOSE(CA$2:CA$15),$I166:$V166)</f>
        <v>0</v>
      </c>
      <c r="CB166" s="8" cm="1">
        <f t="array" ref="CB166">SUMPRODUCT(TRANSPOSE(CB$2:CB$15),$I166:$V166)</f>
        <v>0</v>
      </c>
      <c r="CC166" s="8" cm="1">
        <f t="array" ref="CC166">SUMPRODUCT(TRANSPOSE(CC$2:CC$15),$I166:$V166)</f>
        <v>0</v>
      </c>
      <c r="CD166" s="8" cm="1">
        <f t="array" ref="CD166">SUMPRODUCT(TRANSPOSE(CD$2:CD$15),$I166:$V166)</f>
        <v>0</v>
      </c>
      <c r="CE166" s="8" cm="1">
        <f t="array" ref="CE166">SUMPRODUCT(TRANSPOSE(CE$2:CE$15),$I166:$V166)</f>
        <v>0</v>
      </c>
      <c r="CF166" s="8" cm="1">
        <f t="array" ref="CF166">SUMPRODUCT(TRANSPOSE(CF$2:CF$15),$I166:$V166)</f>
        <v>0</v>
      </c>
      <c r="CG166" s="8" cm="1">
        <f t="array" ref="CG166">SUMPRODUCT(TRANSPOSE(CG$2:CG$15),$I166:$V166)</f>
        <v>1800</v>
      </c>
      <c r="CH166" s="8" cm="1">
        <f t="array" ref="CH166">SUMPRODUCT(TRANSPOSE(CH$2:CH$15),$I166:$V166)</f>
        <v>4100</v>
      </c>
      <c r="CI166" s="8" cm="1">
        <f t="array" ref="CI166">SUMPRODUCT(TRANSPOSE(CI$2:CI$15),$I166:$V166)</f>
        <v>6600</v>
      </c>
      <c r="CJ166" s="8" cm="1">
        <f t="array" ref="CJ166">SUMPRODUCT(TRANSPOSE(CJ$2:CJ$15),$I166:$V166)</f>
        <v>7420</v>
      </c>
      <c r="CK166" s="8" cm="1">
        <f t="array" ref="CK166">SUMPRODUCT(TRANSPOSE(CK$2:CK$15),$I166:$V166)</f>
        <v>6400</v>
      </c>
      <c r="CL166" s="8" cm="1">
        <f t="array" ref="CL166">SUMPRODUCT(TRANSPOSE(CL$2:CL$15),$I166:$V166)</f>
        <v>5600</v>
      </c>
      <c r="CM166" s="8" cm="1">
        <f t="array" ref="CM166">SUMPRODUCT(TRANSPOSE(CM$2:CM$15),$I166:$V166)</f>
        <v>7240</v>
      </c>
      <c r="CN166" s="8" cm="1">
        <f t="array" ref="CN166">SUMPRODUCT(TRANSPOSE(CN$2:CN$15),$I166:$V166)</f>
        <v>8560</v>
      </c>
      <c r="CO166" s="8" cm="1">
        <f t="array" ref="CO166">SUMPRODUCT(TRANSPOSE(CO$2:CO$15),$I166:$V166)</f>
        <v>3640</v>
      </c>
      <c r="CP166" s="8" cm="1">
        <f t="array" ref="CP166">SUMPRODUCT(TRANSPOSE(CP$2:CP$15),$I166:$V166)</f>
        <v>0</v>
      </c>
      <c r="CQ166" s="8" cm="1">
        <f t="array" ref="CQ166">SUMPRODUCT(TRANSPOSE(CQ$2:CQ$15),$I166:$V166)</f>
        <v>0</v>
      </c>
    </row>
    <row r="167" spans="1:95" x14ac:dyDescent="0.25">
      <c r="A167" s="1">
        <v>156</v>
      </c>
      <c r="B167" s="11" t="s">
        <v>459</v>
      </c>
      <c r="C167" s="1" t="s">
        <v>49</v>
      </c>
      <c r="D167" s="1">
        <v>401308899</v>
      </c>
      <c r="E167" s="6">
        <f>VLOOKUP(D167,FFF!$A$2:$B$674,2,)</f>
        <v>401240059</v>
      </c>
      <c r="F167" s="1" t="s">
        <v>460</v>
      </c>
      <c r="G167" s="1" t="s">
        <v>35</v>
      </c>
      <c r="H167" s="1">
        <v>6</v>
      </c>
      <c r="I167" s="1">
        <v>0</v>
      </c>
      <c r="J167" s="1">
        <v>0</v>
      </c>
      <c r="K167" s="1">
        <v>0</v>
      </c>
      <c r="L167" s="1">
        <v>0</v>
      </c>
      <c r="M167" s="1">
        <v>3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3</v>
      </c>
      <c r="W167" s="1">
        <f>SUMPRODUCT(I167:V167,$I$13:$V$13)</f>
        <v>9630</v>
      </c>
      <c r="X167" s="6">
        <f t="shared" si="4"/>
        <v>8.4239999999999992E-3</v>
      </c>
      <c r="Y167" s="1" t="str">
        <f>VLOOKUP(D167,[1]PARTS!$A$1:$G$65536,7,0)</f>
        <v>VISHAY DALE ELECTRONICS</v>
      </c>
      <c r="Z167" s="1">
        <f>VLOOKUP(D167,[2]pareto!$D$12:$AX$306,44,0)</f>
        <v>10000</v>
      </c>
      <c r="AA167" s="1">
        <f>VLOOKUP(D167,[2]pareto!$D$12:$AX$306,45,0)</f>
        <v>10000</v>
      </c>
      <c r="AB167" s="1">
        <f>CEILING(W167,Z167)</f>
        <v>10000</v>
      </c>
      <c r="AC167" s="1">
        <f>VLOOKUP(D167,[2]pareto!$D$12:$AX$306,47,0)</f>
        <v>1.4039999999999999E-3</v>
      </c>
      <c r="AD167" s="1" t="s">
        <v>85</v>
      </c>
      <c r="AE167" s="1" t="s">
        <v>86</v>
      </c>
      <c r="AF167" s="19" t="s">
        <v>87</v>
      </c>
      <c r="AG167" s="1" t="s">
        <v>88</v>
      </c>
      <c r="BG167" s="8">
        <f>SUM($BB167,$AI167:AI167)-SUM($BY167:BZ167)</f>
        <v>0</v>
      </c>
      <c r="BH167" s="8">
        <f>SUM($BB167,$AI167:AJ167)-SUM($BY167:CA167)</f>
        <v>0</v>
      </c>
      <c r="BI167" s="8">
        <f>SUM($BB167,$AI167:AK167)-SUM($BY167:CB167)</f>
        <v>0</v>
      </c>
      <c r="BJ167" s="8">
        <f>SUM($BB167,$AI167:AL167)-SUM($BY167:CC167)</f>
        <v>0</v>
      </c>
      <c r="BK167" s="8">
        <f>SUM($BB167,$AI167:AM167)-SUM($BY167:CD167)</f>
        <v>0</v>
      </c>
      <c r="BL167" s="8">
        <f>SUM($BB167,$AI167:AN167)-SUM($BY167:CE167)</f>
        <v>0</v>
      </c>
      <c r="BM167" s="8">
        <f>SUM($BB167,$AI167:AO167)-SUM($BY167:CF167)</f>
        <v>0</v>
      </c>
      <c r="BN167" s="8">
        <f>SUM($BB167,$AI167:AP167)-SUM($BY167:CG167)</f>
        <v>-300</v>
      </c>
      <c r="BO167" s="8">
        <f>SUM($BB167,$AI167:AQ167)-SUM($BY167:CH167)</f>
        <v>-1050</v>
      </c>
      <c r="BP167" s="8">
        <f>SUM($BB167,$AI167:AR167)-SUM($BY167:CI167)</f>
        <v>-2250</v>
      </c>
      <c r="BQ167" s="8">
        <f>SUM($BB167,$AI167:AS167)-SUM($BY167:CJ167)</f>
        <v>-3660</v>
      </c>
      <c r="BR167" s="8">
        <f>SUM($BB167,$AI167:AT167)-SUM($BY167:CK167)</f>
        <v>-4860</v>
      </c>
      <c r="BS167" s="8">
        <f>SUM($BB167,$AI167:AU167)-SUM($BY167:CL167)</f>
        <v>-5910</v>
      </c>
      <c r="BT167" s="8">
        <f>SUM($BB167,$AI167:AV167)-SUM($BY167:CM167)</f>
        <v>-7230</v>
      </c>
      <c r="BU167" s="8">
        <f>SUM($BB167,$AI167:AW167)-SUM($BY167:CN167)</f>
        <v>-8850</v>
      </c>
      <c r="BV167" s="8">
        <f>SUM($BB167,$AI167:AX167)-SUM($BY167:CO167)</f>
        <v>-9630</v>
      </c>
      <c r="BW167" s="8">
        <f>SUM($BB167,$AI167:AY167)-SUM($BY167:CP167)</f>
        <v>-9630</v>
      </c>
      <c r="BX167" s="8">
        <f>SUM($BB167,$AI167:AZ167)-SUM($BY167:CQ167)</f>
        <v>-9630</v>
      </c>
      <c r="BY167" s="8" cm="1">
        <f t="array" ref="BY167">SUMPRODUCT(TRANSPOSE(BY$2:BY$15),$I167:$V167)</f>
        <v>0</v>
      </c>
      <c r="BZ167" s="8" cm="1">
        <f t="array" ref="BZ167">SUMPRODUCT(TRANSPOSE(BZ$2:BZ$15),$I167:$V167)</f>
        <v>0</v>
      </c>
      <c r="CA167" s="8" cm="1">
        <f t="array" ref="CA167">SUMPRODUCT(TRANSPOSE(CA$2:CA$15),$I167:$V167)</f>
        <v>0</v>
      </c>
      <c r="CB167" s="8" cm="1">
        <f t="array" ref="CB167">SUMPRODUCT(TRANSPOSE(CB$2:CB$15),$I167:$V167)</f>
        <v>0</v>
      </c>
      <c r="CC167" s="8" cm="1">
        <f t="array" ref="CC167">SUMPRODUCT(TRANSPOSE(CC$2:CC$15),$I167:$V167)</f>
        <v>0</v>
      </c>
      <c r="CD167" s="8" cm="1">
        <f t="array" ref="CD167">SUMPRODUCT(TRANSPOSE(CD$2:CD$15),$I167:$V167)</f>
        <v>0</v>
      </c>
      <c r="CE167" s="8" cm="1">
        <f t="array" ref="CE167">SUMPRODUCT(TRANSPOSE(CE$2:CE$15),$I167:$V167)</f>
        <v>0</v>
      </c>
      <c r="CF167" s="8" cm="1">
        <f t="array" ref="CF167">SUMPRODUCT(TRANSPOSE(CF$2:CF$15),$I167:$V167)</f>
        <v>0</v>
      </c>
      <c r="CG167" s="8" cm="1">
        <f t="array" ref="CG167">SUMPRODUCT(TRANSPOSE(CG$2:CG$15),$I167:$V167)</f>
        <v>300</v>
      </c>
      <c r="CH167" s="8" cm="1">
        <f t="array" ref="CH167">SUMPRODUCT(TRANSPOSE(CH$2:CH$15),$I167:$V167)</f>
        <v>750</v>
      </c>
      <c r="CI167" s="8" cm="1">
        <f t="array" ref="CI167">SUMPRODUCT(TRANSPOSE(CI$2:CI$15),$I167:$V167)</f>
        <v>1200</v>
      </c>
      <c r="CJ167" s="8" cm="1">
        <f t="array" ref="CJ167">SUMPRODUCT(TRANSPOSE(CJ$2:CJ$15),$I167:$V167)</f>
        <v>1410</v>
      </c>
      <c r="CK167" s="8" cm="1">
        <f t="array" ref="CK167">SUMPRODUCT(TRANSPOSE(CK$2:CK$15),$I167:$V167)</f>
        <v>1200</v>
      </c>
      <c r="CL167" s="8" cm="1">
        <f t="array" ref="CL167">SUMPRODUCT(TRANSPOSE(CL$2:CL$15),$I167:$V167)</f>
        <v>1050</v>
      </c>
      <c r="CM167" s="8" cm="1">
        <f t="array" ref="CM167">SUMPRODUCT(TRANSPOSE(CM$2:CM$15),$I167:$V167)</f>
        <v>1320</v>
      </c>
      <c r="CN167" s="8" cm="1">
        <f t="array" ref="CN167">SUMPRODUCT(TRANSPOSE(CN$2:CN$15),$I167:$V167)</f>
        <v>1620</v>
      </c>
      <c r="CO167" s="8" cm="1">
        <f t="array" ref="CO167">SUMPRODUCT(TRANSPOSE(CO$2:CO$15),$I167:$V167)</f>
        <v>780</v>
      </c>
      <c r="CP167" s="8" cm="1">
        <f t="array" ref="CP167">SUMPRODUCT(TRANSPOSE(CP$2:CP$15),$I167:$V167)</f>
        <v>0</v>
      </c>
      <c r="CQ167" s="8" cm="1">
        <f t="array" ref="CQ167">SUMPRODUCT(TRANSPOSE(CQ$2:CQ$15),$I167:$V167)</f>
        <v>0</v>
      </c>
    </row>
    <row r="168" spans="1:95" x14ac:dyDescent="0.25">
      <c r="A168" s="1">
        <v>224</v>
      </c>
      <c r="B168" s="11" t="s">
        <v>461</v>
      </c>
      <c r="C168" s="1" t="s">
        <v>49</v>
      </c>
      <c r="D168" s="1">
        <v>400479535</v>
      </c>
      <c r="E168" s="6">
        <f>VLOOKUP(D168,FFF!$A$2:$B$674,2,)</f>
        <v>400481605</v>
      </c>
      <c r="F168" s="1" t="s">
        <v>462</v>
      </c>
      <c r="G168" s="1" t="s">
        <v>35</v>
      </c>
      <c r="H168" s="1">
        <v>2</v>
      </c>
      <c r="I168" s="1">
        <v>0</v>
      </c>
      <c r="J168" s="1">
        <v>0</v>
      </c>
      <c r="K168" s="1">
        <v>0</v>
      </c>
      <c r="L168" s="1">
        <v>0</v>
      </c>
      <c r="M168" s="1">
        <v>1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1</v>
      </c>
      <c r="W168" s="1">
        <f>SUMPRODUCT(I168:V168,$I$13:$V$13)</f>
        <v>3210</v>
      </c>
      <c r="X168" s="6">
        <f t="shared" si="4"/>
        <v>0.49841999999999997</v>
      </c>
      <c r="Y168" s="1" t="str">
        <f>VLOOKUP(D168,[1]PARTS!$A$1:$G$65536,7,0)</f>
        <v>VISHAY DALE MAGNETICS AND INDUCTORS</v>
      </c>
      <c r="Z168" s="1">
        <f>VLOOKUP(D168,[2]pareto!$D$12:$AX$306,44,0)</f>
        <v>2000</v>
      </c>
      <c r="AA168" s="1">
        <f>VLOOKUP(D168,[2]pareto!$D$12:$AX$306,45,0)</f>
        <v>2000</v>
      </c>
      <c r="AB168" s="1">
        <f>CEILING(W168,Z168)</f>
        <v>4000</v>
      </c>
      <c r="AC168" s="1">
        <f>VLOOKUP(D168,[2]pareto!$D$12:$AX$306,47,0)</f>
        <v>0.24920999999999999</v>
      </c>
      <c r="AD168" s="1" t="s">
        <v>85</v>
      </c>
      <c r="AE168" s="1" t="s">
        <v>86</v>
      </c>
      <c r="AF168" s="19" t="s">
        <v>87</v>
      </c>
      <c r="AG168" s="1" t="s">
        <v>88</v>
      </c>
      <c r="BG168" s="8">
        <f>SUM($BB168,$AI168:AI168)-SUM($BY168:BZ168)</f>
        <v>0</v>
      </c>
      <c r="BH168" s="8">
        <f>SUM($BB168,$AI168:AJ168)-SUM($BY168:CA168)</f>
        <v>0</v>
      </c>
      <c r="BI168" s="8">
        <f>SUM($BB168,$AI168:AK168)-SUM($BY168:CB168)</f>
        <v>0</v>
      </c>
      <c r="BJ168" s="8">
        <f>SUM($BB168,$AI168:AL168)-SUM($BY168:CC168)</f>
        <v>0</v>
      </c>
      <c r="BK168" s="8">
        <f>SUM($BB168,$AI168:AM168)-SUM($BY168:CD168)</f>
        <v>0</v>
      </c>
      <c r="BL168" s="8">
        <f>SUM($BB168,$AI168:AN168)-SUM($BY168:CE168)</f>
        <v>0</v>
      </c>
      <c r="BM168" s="8">
        <f>SUM($BB168,$AI168:AO168)-SUM($BY168:CF168)</f>
        <v>0</v>
      </c>
      <c r="BN168" s="8">
        <f>SUM($BB168,$AI168:AP168)-SUM($BY168:CG168)</f>
        <v>-100</v>
      </c>
      <c r="BO168" s="8">
        <f>SUM($BB168,$AI168:AQ168)-SUM($BY168:CH168)</f>
        <v>-350</v>
      </c>
      <c r="BP168" s="8">
        <f>SUM($BB168,$AI168:AR168)-SUM($BY168:CI168)</f>
        <v>-750</v>
      </c>
      <c r="BQ168" s="8">
        <f>SUM($BB168,$AI168:AS168)-SUM($BY168:CJ168)</f>
        <v>-1220</v>
      </c>
      <c r="BR168" s="8">
        <f>SUM($BB168,$AI168:AT168)-SUM($BY168:CK168)</f>
        <v>-1620</v>
      </c>
      <c r="BS168" s="8">
        <f>SUM($BB168,$AI168:AU168)-SUM($BY168:CL168)</f>
        <v>-1970</v>
      </c>
      <c r="BT168" s="8">
        <f>SUM($BB168,$AI168:AV168)-SUM($BY168:CM168)</f>
        <v>-2410</v>
      </c>
      <c r="BU168" s="8">
        <f>SUM($BB168,$AI168:AW168)-SUM($BY168:CN168)</f>
        <v>-2950</v>
      </c>
      <c r="BV168" s="8">
        <f>SUM($BB168,$AI168:AX168)-SUM($BY168:CO168)</f>
        <v>-3210</v>
      </c>
      <c r="BW168" s="8">
        <f>SUM($BB168,$AI168:AY168)-SUM($BY168:CP168)</f>
        <v>-3210</v>
      </c>
      <c r="BX168" s="8">
        <f>SUM($BB168,$AI168:AZ168)-SUM($BY168:CQ168)</f>
        <v>-3210</v>
      </c>
      <c r="BY168" s="8" cm="1">
        <f t="array" ref="BY168">SUMPRODUCT(TRANSPOSE(BY$2:BY$15),$I168:$V168)</f>
        <v>0</v>
      </c>
      <c r="BZ168" s="8" cm="1">
        <f t="array" ref="BZ168">SUMPRODUCT(TRANSPOSE(BZ$2:BZ$15),$I168:$V168)</f>
        <v>0</v>
      </c>
      <c r="CA168" s="8" cm="1">
        <f t="array" ref="CA168">SUMPRODUCT(TRANSPOSE(CA$2:CA$15),$I168:$V168)</f>
        <v>0</v>
      </c>
      <c r="CB168" s="8" cm="1">
        <f t="array" ref="CB168">SUMPRODUCT(TRANSPOSE(CB$2:CB$15),$I168:$V168)</f>
        <v>0</v>
      </c>
      <c r="CC168" s="8" cm="1">
        <f t="array" ref="CC168">SUMPRODUCT(TRANSPOSE(CC$2:CC$15),$I168:$V168)</f>
        <v>0</v>
      </c>
      <c r="CD168" s="8" cm="1">
        <f t="array" ref="CD168">SUMPRODUCT(TRANSPOSE(CD$2:CD$15),$I168:$V168)</f>
        <v>0</v>
      </c>
      <c r="CE168" s="8" cm="1">
        <f t="array" ref="CE168">SUMPRODUCT(TRANSPOSE(CE$2:CE$15),$I168:$V168)</f>
        <v>0</v>
      </c>
      <c r="CF168" s="8" cm="1">
        <f t="array" ref="CF168">SUMPRODUCT(TRANSPOSE(CF$2:CF$15),$I168:$V168)</f>
        <v>0</v>
      </c>
      <c r="CG168" s="8" cm="1">
        <f t="array" ref="CG168">SUMPRODUCT(TRANSPOSE(CG$2:CG$15),$I168:$V168)</f>
        <v>100</v>
      </c>
      <c r="CH168" s="8" cm="1">
        <f t="array" ref="CH168">SUMPRODUCT(TRANSPOSE(CH$2:CH$15),$I168:$V168)</f>
        <v>250</v>
      </c>
      <c r="CI168" s="8" cm="1">
        <f t="array" ref="CI168">SUMPRODUCT(TRANSPOSE(CI$2:CI$15),$I168:$V168)</f>
        <v>400</v>
      </c>
      <c r="CJ168" s="8" cm="1">
        <f t="array" ref="CJ168">SUMPRODUCT(TRANSPOSE(CJ$2:CJ$15),$I168:$V168)</f>
        <v>470</v>
      </c>
      <c r="CK168" s="8" cm="1">
        <f t="array" ref="CK168">SUMPRODUCT(TRANSPOSE(CK$2:CK$15),$I168:$V168)</f>
        <v>400</v>
      </c>
      <c r="CL168" s="8" cm="1">
        <f t="array" ref="CL168">SUMPRODUCT(TRANSPOSE(CL$2:CL$15),$I168:$V168)</f>
        <v>350</v>
      </c>
      <c r="CM168" s="8" cm="1">
        <f t="array" ref="CM168">SUMPRODUCT(TRANSPOSE(CM$2:CM$15),$I168:$V168)</f>
        <v>440</v>
      </c>
      <c r="CN168" s="8" cm="1">
        <f t="array" ref="CN168">SUMPRODUCT(TRANSPOSE(CN$2:CN$15),$I168:$V168)</f>
        <v>540</v>
      </c>
      <c r="CO168" s="8" cm="1">
        <f t="array" ref="CO168">SUMPRODUCT(TRANSPOSE(CO$2:CO$15),$I168:$V168)</f>
        <v>260</v>
      </c>
      <c r="CP168" s="8" cm="1">
        <f t="array" ref="CP168">SUMPRODUCT(TRANSPOSE(CP$2:CP$15),$I168:$V168)</f>
        <v>0</v>
      </c>
      <c r="CQ168" s="8" cm="1">
        <f t="array" ref="CQ168">SUMPRODUCT(TRANSPOSE(CQ$2:CQ$15),$I168:$V168)</f>
        <v>0</v>
      </c>
    </row>
    <row r="169" spans="1:95" x14ac:dyDescent="0.25">
      <c r="A169" s="1">
        <v>301</v>
      </c>
      <c r="B169" s="11" t="s">
        <v>463</v>
      </c>
      <c r="C169" s="1" t="s">
        <v>49</v>
      </c>
      <c r="D169" s="1">
        <v>405072786</v>
      </c>
      <c r="E169" s="6">
        <f>VLOOKUP(D169,FFF!$A$2:$B$674,2,)</f>
        <v>402527757</v>
      </c>
      <c r="F169" s="1" t="s">
        <v>464</v>
      </c>
      <c r="G169" s="1" t="s">
        <v>35</v>
      </c>
      <c r="H169" s="1">
        <v>2</v>
      </c>
      <c r="I169" s="1">
        <v>0</v>
      </c>
      <c r="J169" s="1">
        <v>0</v>
      </c>
      <c r="K169" s="1">
        <v>0</v>
      </c>
      <c r="L169" s="1">
        <v>0</v>
      </c>
      <c r="M169" s="1">
        <v>1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1</v>
      </c>
      <c r="W169" s="1">
        <f>SUMPRODUCT(I169:V169,$I$13:$V$13)</f>
        <v>3210</v>
      </c>
      <c r="X169" s="6">
        <f t="shared" si="4"/>
        <v>0.68640000000000001</v>
      </c>
      <c r="Y169" s="1" t="str">
        <f>VLOOKUP(D169,[1]PARTS!$A$1:$G$65536,7,0)</f>
        <v>TEXAS INSTRUMENTS INC</v>
      </c>
      <c r="Z169" s="1">
        <f>VLOOKUP(D169,[2]pareto!$D$12:$AX$306,44,0)</f>
        <v>3000</v>
      </c>
      <c r="AA169" s="1">
        <f>VLOOKUP(D169,[2]pareto!$D$12:$AX$306,45,0)</f>
        <v>3000</v>
      </c>
      <c r="AB169" s="1">
        <f>CEILING(W169,Z169)</f>
        <v>6000</v>
      </c>
      <c r="AC169" s="1">
        <v>0.34320000000000001</v>
      </c>
      <c r="AD169" s="1" t="s">
        <v>107</v>
      </c>
      <c r="AE169" s="1" t="s">
        <v>108</v>
      </c>
      <c r="AF169" s="19" t="s">
        <v>109</v>
      </c>
      <c r="AG169" s="1" t="s">
        <v>110</v>
      </c>
      <c r="BG169" s="8">
        <f>SUM($BB169,$AI169:AI169)-SUM($BY169:BZ169)</f>
        <v>0</v>
      </c>
      <c r="BH169" s="8">
        <f>SUM($BB169,$AI169:AJ169)-SUM($BY169:CA169)</f>
        <v>0</v>
      </c>
      <c r="BI169" s="8">
        <f>SUM($BB169,$AI169:AK169)-SUM($BY169:CB169)</f>
        <v>0</v>
      </c>
      <c r="BJ169" s="8">
        <f>SUM($BB169,$AI169:AL169)-SUM($BY169:CC169)</f>
        <v>0</v>
      </c>
      <c r="BK169" s="8">
        <f>SUM($BB169,$AI169:AM169)-SUM($BY169:CD169)</f>
        <v>0</v>
      </c>
      <c r="BL169" s="8">
        <f>SUM($BB169,$AI169:AN169)-SUM($BY169:CE169)</f>
        <v>0</v>
      </c>
      <c r="BM169" s="8">
        <f>SUM($BB169,$AI169:AO169)-SUM($BY169:CF169)</f>
        <v>0</v>
      </c>
      <c r="BN169" s="8">
        <f>SUM($BB169,$AI169:AP169)-SUM($BY169:CG169)</f>
        <v>-100</v>
      </c>
      <c r="BO169" s="8">
        <f>SUM($BB169,$AI169:AQ169)-SUM($BY169:CH169)</f>
        <v>-350</v>
      </c>
      <c r="BP169" s="8">
        <f>SUM($BB169,$AI169:AR169)-SUM($BY169:CI169)</f>
        <v>-750</v>
      </c>
      <c r="BQ169" s="8">
        <f>SUM($BB169,$AI169:AS169)-SUM($BY169:CJ169)</f>
        <v>-1220</v>
      </c>
      <c r="BR169" s="8">
        <f>SUM($BB169,$AI169:AT169)-SUM($BY169:CK169)</f>
        <v>-1620</v>
      </c>
      <c r="BS169" s="8">
        <f>SUM($BB169,$AI169:AU169)-SUM($BY169:CL169)</f>
        <v>-1970</v>
      </c>
      <c r="BT169" s="8">
        <f>SUM($BB169,$AI169:AV169)-SUM($BY169:CM169)</f>
        <v>-2410</v>
      </c>
      <c r="BU169" s="8">
        <f>SUM($BB169,$AI169:AW169)-SUM($BY169:CN169)</f>
        <v>-2950</v>
      </c>
      <c r="BV169" s="8">
        <f>SUM($BB169,$AI169:AX169)-SUM($BY169:CO169)</f>
        <v>-3210</v>
      </c>
      <c r="BW169" s="8">
        <f>SUM($BB169,$AI169:AY169)-SUM($BY169:CP169)</f>
        <v>-3210</v>
      </c>
      <c r="BX169" s="8">
        <f>SUM($BB169,$AI169:AZ169)-SUM($BY169:CQ169)</f>
        <v>-3210</v>
      </c>
      <c r="BY169" s="8" cm="1">
        <f t="array" ref="BY169">SUMPRODUCT(TRANSPOSE(BY$2:BY$15),$I169:$V169)</f>
        <v>0</v>
      </c>
      <c r="BZ169" s="8" cm="1">
        <f t="array" ref="BZ169">SUMPRODUCT(TRANSPOSE(BZ$2:BZ$15),$I169:$V169)</f>
        <v>0</v>
      </c>
      <c r="CA169" s="8" cm="1">
        <f t="array" ref="CA169">SUMPRODUCT(TRANSPOSE(CA$2:CA$15),$I169:$V169)</f>
        <v>0</v>
      </c>
      <c r="CB169" s="8" cm="1">
        <f t="array" ref="CB169">SUMPRODUCT(TRANSPOSE(CB$2:CB$15),$I169:$V169)</f>
        <v>0</v>
      </c>
      <c r="CC169" s="8" cm="1">
        <f t="array" ref="CC169">SUMPRODUCT(TRANSPOSE(CC$2:CC$15),$I169:$V169)</f>
        <v>0</v>
      </c>
      <c r="CD169" s="8" cm="1">
        <f t="array" ref="CD169">SUMPRODUCT(TRANSPOSE(CD$2:CD$15),$I169:$V169)</f>
        <v>0</v>
      </c>
      <c r="CE169" s="8" cm="1">
        <f t="array" ref="CE169">SUMPRODUCT(TRANSPOSE(CE$2:CE$15),$I169:$V169)</f>
        <v>0</v>
      </c>
      <c r="CF169" s="8" cm="1">
        <f t="array" ref="CF169">SUMPRODUCT(TRANSPOSE(CF$2:CF$15),$I169:$V169)</f>
        <v>0</v>
      </c>
      <c r="CG169" s="8" cm="1">
        <f t="array" ref="CG169">SUMPRODUCT(TRANSPOSE(CG$2:CG$15),$I169:$V169)</f>
        <v>100</v>
      </c>
      <c r="CH169" s="8" cm="1">
        <f t="array" ref="CH169">SUMPRODUCT(TRANSPOSE(CH$2:CH$15),$I169:$V169)</f>
        <v>250</v>
      </c>
      <c r="CI169" s="8" cm="1">
        <f t="array" ref="CI169">SUMPRODUCT(TRANSPOSE(CI$2:CI$15),$I169:$V169)</f>
        <v>400</v>
      </c>
      <c r="CJ169" s="8" cm="1">
        <f t="array" ref="CJ169">SUMPRODUCT(TRANSPOSE(CJ$2:CJ$15),$I169:$V169)</f>
        <v>470</v>
      </c>
      <c r="CK169" s="8" cm="1">
        <f t="array" ref="CK169">SUMPRODUCT(TRANSPOSE(CK$2:CK$15),$I169:$V169)</f>
        <v>400</v>
      </c>
      <c r="CL169" s="8" cm="1">
        <f t="array" ref="CL169">SUMPRODUCT(TRANSPOSE(CL$2:CL$15),$I169:$V169)</f>
        <v>350</v>
      </c>
      <c r="CM169" s="8" cm="1">
        <f t="array" ref="CM169">SUMPRODUCT(TRANSPOSE(CM$2:CM$15),$I169:$V169)</f>
        <v>440</v>
      </c>
      <c r="CN169" s="8" cm="1">
        <f t="array" ref="CN169">SUMPRODUCT(TRANSPOSE(CN$2:CN$15),$I169:$V169)</f>
        <v>540</v>
      </c>
      <c r="CO169" s="8" cm="1">
        <f t="array" ref="CO169">SUMPRODUCT(TRANSPOSE(CO$2:CO$15),$I169:$V169)</f>
        <v>260</v>
      </c>
      <c r="CP169" s="8" cm="1">
        <f t="array" ref="CP169">SUMPRODUCT(TRANSPOSE(CP$2:CP$15),$I169:$V169)</f>
        <v>0</v>
      </c>
      <c r="CQ169" s="8" cm="1">
        <f t="array" ref="CQ169">SUMPRODUCT(TRANSPOSE(CQ$2:CQ$15),$I169:$V169)</f>
        <v>0</v>
      </c>
    </row>
    <row r="170" spans="1:95" x14ac:dyDescent="0.25">
      <c r="A170" s="1">
        <v>223</v>
      </c>
      <c r="B170" s="11" t="s">
        <v>465</v>
      </c>
      <c r="C170" s="1" t="s">
        <v>49</v>
      </c>
      <c r="D170" s="1">
        <v>400615818</v>
      </c>
      <c r="E170" s="6"/>
      <c r="F170" s="1" t="s">
        <v>466</v>
      </c>
      <c r="G170" s="1" t="s">
        <v>35</v>
      </c>
      <c r="H170" s="1">
        <v>4</v>
      </c>
      <c r="I170" s="1">
        <v>0</v>
      </c>
      <c r="J170" s="1">
        <v>0</v>
      </c>
      <c r="K170" s="1">
        <v>0</v>
      </c>
      <c r="L170" s="1">
        <v>0</v>
      </c>
      <c r="M170" s="1">
        <v>2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2</v>
      </c>
      <c r="W170" s="1">
        <f>SUMPRODUCT(I170:V170,$I$13:$V$13)</f>
        <v>6420</v>
      </c>
      <c r="X170" s="6">
        <f t="shared" si="4"/>
        <v>0.48</v>
      </c>
      <c r="Y170" s="1" t="str">
        <f>VLOOKUP(D170,[1]PARTS!$A$1:$G$65536,7,0)</f>
        <v>BROADCOM LIMITED</v>
      </c>
      <c r="Z170" s="1">
        <v>1</v>
      </c>
      <c r="AA170" s="1">
        <v>6340</v>
      </c>
      <c r="AB170" s="1">
        <f>CEILING(W170,Z170)</f>
        <v>6420</v>
      </c>
      <c r="AC170" s="1">
        <f>VLOOKUP(D170,[2]pareto!$D$12:$AX$306,47,0)</f>
        <v>0.12</v>
      </c>
      <c r="AD170" s="1" t="str">
        <f>VLOOKUP(D170,[2]pareto!$D$11:$BD$306,50,0)</f>
        <v>RS</v>
      </c>
      <c r="AE170" s="1" t="s">
        <v>467</v>
      </c>
      <c r="AF170" s="12" t="s">
        <v>468</v>
      </c>
      <c r="AG170" s="1" t="e">
        <f>VLOOKUP(D170,[2]pareto!$D$11:$BD$306,51)</f>
        <v>#REF!</v>
      </c>
      <c r="BG170" s="8">
        <f>SUM($BB170,$AI170:AI170)-SUM($BY170:BZ170)</f>
        <v>0</v>
      </c>
      <c r="BH170" s="8">
        <f>SUM($BB170,$AI170:AJ170)-SUM($BY170:CA170)</f>
        <v>0</v>
      </c>
      <c r="BI170" s="8">
        <f>SUM($BB170,$AI170:AK170)-SUM($BY170:CB170)</f>
        <v>0</v>
      </c>
      <c r="BJ170" s="8">
        <f>SUM($BB170,$AI170:AL170)-SUM($BY170:CC170)</f>
        <v>0</v>
      </c>
      <c r="BK170" s="8">
        <f>SUM($BB170,$AI170:AM170)-SUM($BY170:CD170)</f>
        <v>0</v>
      </c>
      <c r="BL170" s="8">
        <f>SUM($BB170,$AI170:AN170)-SUM($BY170:CE170)</f>
        <v>0</v>
      </c>
      <c r="BM170" s="8">
        <f>SUM($BB170,$AI170:AO170)-SUM($BY170:CF170)</f>
        <v>0</v>
      </c>
      <c r="BN170" s="8">
        <f>SUM($BB170,$AI170:AP170)-SUM($BY170:CG170)</f>
        <v>-200</v>
      </c>
      <c r="BO170" s="8">
        <f>SUM($BB170,$AI170:AQ170)-SUM($BY170:CH170)</f>
        <v>-700</v>
      </c>
      <c r="BP170" s="8">
        <f>SUM($BB170,$AI170:AR170)-SUM($BY170:CI170)</f>
        <v>-1500</v>
      </c>
      <c r="BQ170" s="8">
        <f>SUM($BB170,$AI170:AS170)-SUM($BY170:CJ170)</f>
        <v>-2440</v>
      </c>
      <c r="BR170" s="8">
        <f>SUM($BB170,$AI170:AT170)-SUM($BY170:CK170)</f>
        <v>-3240</v>
      </c>
      <c r="BS170" s="8">
        <f>SUM($BB170,$AI170:AU170)-SUM($BY170:CL170)</f>
        <v>-3940</v>
      </c>
      <c r="BT170" s="8">
        <f>SUM($BB170,$AI170:AV170)-SUM($BY170:CM170)</f>
        <v>-4820</v>
      </c>
      <c r="BU170" s="8">
        <f>SUM($BB170,$AI170:AW170)-SUM($BY170:CN170)</f>
        <v>-5900</v>
      </c>
      <c r="BV170" s="8">
        <f>SUM($BB170,$AI170:AX170)-SUM($BY170:CO170)</f>
        <v>-6420</v>
      </c>
      <c r="BW170" s="8">
        <f>SUM($BB170,$AI170:AY170)-SUM($BY170:CP170)</f>
        <v>-6420</v>
      </c>
      <c r="BX170" s="8">
        <f>SUM($BB170,$AI170:AZ170)-SUM($BY170:CQ170)</f>
        <v>-6420</v>
      </c>
      <c r="BY170" s="8" cm="1">
        <f t="array" ref="BY170">SUMPRODUCT(TRANSPOSE(BY$2:BY$15),$I170:$V170)</f>
        <v>0</v>
      </c>
      <c r="BZ170" s="8" cm="1">
        <f t="array" ref="BZ170">SUMPRODUCT(TRANSPOSE(BZ$2:BZ$15),$I170:$V170)</f>
        <v>0</v>
      </c>
      <c r="CA170" s="8" cm="1">
        <f t="array" ref="CA170">SUMPRODUCT(TRANSPOSE(CA$2:CA$15),$I170:$V170)</f>
        <v>0</v>
      </c>
      <c r="CB170" s="8" cm="1">
        <f t="array" ref="CB170">SUMPRODUCT(TRANSPOSE(CB$2:CB$15),$I170:$V170)</f>
        <v>0</v>
      </c>
      <c r="CC170" s="8" cm="1">
        <f t="array" ref="CC170">SUMPRODUCT(TRANSPOSE(CC$2:CC$15),$I170:$V170)</f>
        <v>0</v>
      </c>
      <c r="CD170" s="8" cm="1">
        <f t="array" ref="CD170">SUMPRODUCT(TRANSPOSE(CD$2:CD$15),$I170:$V170)</f>
        <v>0</v>
      </c>
      <c r="CE170" s="8" cm="1">
        <f t="array" ref="CE170">SUMPRODUCT(TRANSPOSE(CE$2:CE$15),$I170:$V170)</f>
        <v>0</v>
      </c>
      <c r="CF170" s="8" cm="1">
        <f t="array" ref="CF170">SUMPRODUCT(TRANSPOSE(CF$2:CF$15),$I170:$V170)</f>
        <v>0</v>
      </c>
      <c r="CG170" s="8" cm="1">
        <f t="array" ref="CG170">SUMPRODUCT(TRANSPOSE(CG$2:CG$15),$I170:$V170)</f>
        <v>200</v>
      </c>
      <c r="CH170" s="8" cm="1">
        <f t="array" ref="CH170">SUMPRODUCT(TRANSPOSE(CH$2:CH$15),$I170:$V170)</f>
        <v>500</v>
      </c>
      <c r="CI170" s="8" cm="1">
        <f t="array" ref="CI170">SUMPRODUCT(TRANSPOSE(CI$2:CI$15),$I170:$V170)</f>
        <v>800</v>
      </c>
      <c r="CJ170" s="8" cm="1">
        <f t="array" ref="CJ170">SUMPRODUCT(TRANSPOSE(CJ$2:CJ$15),$I170:$V170)</f>
        <v>940</v>
      </c>
      <c r="CK170" s="8" cm="1">
        <f t="array" ref="CK170">SUMPRODUCT(TRANSPOSE(CK$2:CK$15),$I170:$V170)</f>
        <v>800</v>
      </c>
      <c r="CL170" s="8" cm="1">
        <f t="array" ref="CL170">SUMPRODUCT(TRANSPOSE(CL$2:CL$15),$I170:$V170)</f>
        <v>700</v>
      </c>
      <c r="CM170" s="8" cm="1">
        <f t="array" ref="CM170">SUMPRODUCT(TRANSPOSE(CM$2:CM$15),$I170:$V170)</f>
        <v>880</v>
      </c>
      <c r="CN170" s="8" cm="1">
        <f t="array" ref="CN170">SUMPRODUCT(TRANSPOSE(CN$2:CN$15),$I170:$V170)</f>
        <v>1080</v>
      </c>
      <c r="CO170" s="8" cm="1">
        <f t="array" ref="CO170">SUMPRODUCT(TRANSPOSE(CO$2:CO$15),$I170:$V170)</f>
        <v>520</v>
      </c>
      <c r="CP170" s="8" cm="1">
        <f t="array" ref="CP170">SUMPRODUCT(TRANSPOSE(CP$2:CP$15),$I170:$V170)</f>
        <v>0</v>
      </c>
      <c r="CQ170" s="8" cm="1">
        <f t="array" ref="CQ170">SUMPRODUCT(TRANSPOSE(CQ$2:CQ$15),$I170:$V170)</f>
        <v>0</v>
      </c>
    </row>
    <row r="171" spans="1:95" x14ac:dyDescent="0.25">
      <c r="A171" s="1">
        <v>93</v>
      </c>
      <c r="B171" s="11" t="s">
        <v>469</v>
      </c>
      <c r="C171" s="1" t="s">
        <v>49</v>
      </c>
      <c r="D171" s="1">
        <v>418270653</v>
      </c>
      <c r="E171" s="6"/>
      <c r="F171" s="1" t="s">
        <v>470</v>
      </c>
      <c r="G171" s="1" t="s">
        <v>35</v>
      </c>
      <c r="H171" s="1">
        <v>2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2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f>SUMPRODUCT(I171:V171,$I$13:$V$13)</f>
        <v>3320</v>
      </c>
      <c r="X171" s="6">
        <f t="shared" si="4"/>
        <v>0.77339999999999998</v>
      </c>
      <c r="Y171" s="1" t="str">
        <f>VLOOKUP(D171,[1]PARTS!$A$1:$G$65536,7,0)</f>
        <v>AMERICAN TECHNICAL CERAMICS DIV. OF</v>
      </c>
      <c r="Z171" s="1">
        <v>500</v>
      </c>
      <c r="AA171" s="1">
        <v>3280</v>
      </c>
      <c r="AB171" s="1">
        <f>CEILING(W171,Z171)</f>
        <v>3500</v>
      </c>
      <c r="AC171" s="1">
        <f>VLOOKUP(D171,[2]pareto!$D$12:$AX$306,47,0)</f>
        <v>0.38669999999999999</v>
      </c>
      <c r="AD171" s="1" t="str">
        <f>VLOOKUP(D171,[2]pareto!$D$11:$BD$306,50,0)</f>
        <v>TTI</v>
      </c>
      <c r="AE171" s="1" t="s">
        <v>471</v>
      </c>
      <c r="AF171" s="12" t="s">
        <v>472</v>
      </c>
      <c r="AG171" s="1" t="e">
        <f>VLOOKUP(D171,[2]pareto!$D$11:$BD$306,51)</f>
        <v>#REF!</v>
      </c>
      <c r="BG171" s="8">
        <f>SUM($BB171,$AI171:AI171)-SUM($BY171:BZ171)</f>
        <v>0</v>
      </c>
      <c r="BH171" s="8">
        <f>SUM($BB171,$AI171:AJ171)-SUM($BY171:CA171)</f>
        <v>0</v>
      </c>
      <c r="BI171" s="8">
        <f>SUM($BB171,$AI171:AK171)-SUM($BY171:CB171)</f>
        <v>0</v>
      </c>
      <c r="BJ171" s="8">
        <f>SUM($BB171,$AI171:AL171)-SUM($BY171:CC171)</f>
        <v>0</v>
      </c>
      <c r="BK171" s="8">
        <f>SUM($BB171,$AI171:AM171)-SUM($BY171:CD171)</f>
        <v>0</v>
      </c>
      <c r="BL171" s="8">
        <f>SUM($BB171,$AI171:AN171)-SUM($BY171:CE171)</f>
        <v>0</v>
      </c>
      <c r="BM171" s="8">
        <f>SUM($BB171,$AI171:AO171)-SUM($BY171:CF171)</f>
        <v>0</v>
      </c>
      <c r="BN171" s="8">
        <f>SUM($BB171,$AI171:AP171)-SUM($BY171:CG171)</f>
        <v>-200</v>
      </c>
      <c r="BO171" s="8">
        <f>SUM($BB171,$AI171:AQ171)-SUM($BY171:CH171)</f>
        <v>-500</v>
      </c>
      <c r="BP171" s="8">
        <f>SUM($BB171,$AI171:AR171)-SUM($BY171:CI171)</f>
        <v>-1000</v>
      </c>
      <c r="BQ171" s="8">
        <f>SUM($BB171,$AI171:AS171)-SUM($BY171:CJ171)</f>
        <v>-1400</v>
      </c>
      <c r="BR171" s="8">
        <f>SUM($BB171,$AI171:AT171)-SUM($BY171:CK171)</f>
        <v>-1800</v>
      </c>
      <c r="BS171" s="8">
        <f>SUM($BB171,$AI171:AU171)-SUM($BY171:CL171)</f>
        <v>-2200</v>
      </c>
      <c r="BT171" s="8">
        <f>SUM($BB171,$AI171:AV171)-SUM($BY171:CM171)</f>
        <v>-2800</v>
      </c>
      <c r="BU171" s="8">
        <f>SUM($BB171,$AI171:AW171)-SUM($BY171:CN171)</f>
        <v>-3320</v>
      </c>
      <c r="BV171" s="8">
        <f>SUM($BB171,$AI171:AX171)-SUM($BY171:CO171)</f>
        <v>-3320</v>
      </c>
      <c r="BW171" s="8">
        <f>SUM($BB171,$AI171:AY171)-SUM($BY171:CP171)</f>
        <v>-3320</v>
      </c>
      <c r="BX171" s="8">
        <f>SUM($BB171,$AI171:AZ171)-SUM($BY171:CQ171)</f>
        <v>-3320</v>
      </c>
      <c r="BY171" s="8" cm="1">
        <f t="array" ref="BY171">SUMPRODUCT(TRANSPOSE(BY$2:BY$15),$I171:$V171)</f>
        <v>0</v>
      </c>
      <c r="BZ171" s="8" cm="1">
        <f t="array" ref="BZ171">SUMPRODUCT(TRANSPOSE(BZ$2:BZ$15),$I171:$V171)</f>
        <v>0</v>
      </c>
      <c r="CA171" s="8" cm="1">
        <f t="array" ref="CA171">SUMPRODUCT(TRANSPOSE(CA$2:CA$15),$I171:$V171)</f>
        <v>0</v>
      </c>
      <c r="CB171" s="8" cm="1">
        <f t="array" ref="CB171">SUMPRODUCT(TRANSPOSE(CB$2:CB$15),$I171:$V171)</f>
        <v>0</v>
      </c>
      <c r="CC171" s="8" cm="1">
        <f t="array" ref="CC171">SUMPRODUCT(TRANSPOSE(CC$2:CC$15),$I171:$V171)</f>
        <v>0</v>
      </c>
      <c r="CD171" s="8" cm="1">
        <f t="array" ref="CD171">SUMPRODUCT(TRANSPOSE(CD$2:CD$15),$I171:$V171)</f>
        <v>0</v>
      </c>
      <c r="CE171" s="8" cm="1">
        <f t="array" ref="CE171">SUMPRODUCT(TRANSPOSE(CE$2:CE$15),$I171:$V171)</f>
        <v>0</v>
      </c>
      <c r="CF171" s="8" cm="1">
        <f t="array" ref="CF171">SUMPRODUCT(TRANSPOSE(CF$2:CF$15),$I171:$V171)</f>
        <v>0</v>
      </c>
      <c r="CG171" s="8" cm="1">
        <f t="array" ref="CG171">SUMPRODUCT(TRANSPOSE(CG$2:CG$15),$I171:$V171)</f>
        <v>200</v>
      </c>
      <c r="CH171" s="8" cm="1">
        <f t="array" ref="CH171">SUMPRODUCT(TRANSPOSE(CH$2:CH$15),$I171:$V171)</f>
        <v>300</v>
      </c>
      <c r="CI171" s="8" cm="1">
        <f t="array" ref="CI171">SUMPRODUCT(TRANSPOSE(CI$2:CI$15),$I171:$V171)</f>
        <v>500</v>
      </c>
      <c r="CJ171" s="8" cm="1">
        <f t="array" ref="CJ171">SUMPRODUCT(TRANSPOSE(CJ$2:CJ$15),$I171:$V171)</f>
        <v>400</v>
      </c>
      <c r="CK171" s="8" cm="1">
        <f t="array" ref="CK171">SUMPRODUCT(TRANSPOSE(CK$2:CK$15),$I171:$V171)</f>
        <v>400</v>
      </c>
      <c r="CL171" s="8" cm="1">
        <f t="array" ref="CL171">SUMPRODUCT(TRANSPOSE(CL$2:CL$15),$I171:$V171)</f>
        <v>400</v>
      </c>
      <c r="CM171" s="8" cm="1">
        <f t="array" ref="CM171">SUMPRODUCT(TRANSPOSE(CM$2:CM$15),$I171:$V171)</f>
        <v>600</v>
      </c>
      <c r="CN171" s="8" cm="1">
        <f t="array" ref="CN171">SUMPRODUCT(TRANSPOSE(CN$2:CN$15),$I171:$V171)</f>
        <v>520</v>
      </c>
      <c r="CO171" s="8" cm="1">
        <f t="array" ref="CO171">SUMPRODUCT(TRANSPOSE(CO$2:CO$15),$I171:$V171)</f>
        <v>0</v>
      </c>
      <c r="CP171" s="8" cm="1">
        <f t="array" ref="CP171">SUMPRODUCT(TRANSPOSE(CP$2:CP$15),$I171:$V171)</f>
        <v>0</v>
      </c>
      <c r="CQ171" s="8" cm="1">
        <f t="array" ref="CQ171">SUMPRODUCT(TRANSPOSE(CQ$2:CQ$15),$I171:$V171)</f>
        <v>0</v>
      </c>
    </row>
    <row r="172" spans="1:95" x14ac:dyDescent="0.25">
      <c r="A172" s="1">
        <v>158</v>
      </c>
      <c r="B172" s="11" t="s">
        <v>473</v>
      </c>
      <c r="C172" s="1" t="s">
        <v>49</v>
      </c>
      <c r="D172" s="1">
        <v>405295603</v>
      </c>
      <c r="E172" s="6">
        <f>VLOOKUP(D172,FFF!$A$2:$B$674,2,)</f>
        <v>400275509</v>
      </c>
      <c r="F172" s="1" t="s">
        <v>474</v>
      </c>
      <c r="G172" s="1" t="s">
        <v>35</v>
      </c>
      <c r="H172" s="1">
        <v>46</v>
      </c>
      <c r="I172" s="1">
        <v>0</v>
      </c>
      <c r="J172" s="1">
        <v>0</v>
      </c>
      <c r="K172" s="1">
        <v>0</v>
      </c>
      <c r="L172" s="1">
        <v>0</v>
      </c>
      <c r="M172" s="1">
        <v>23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23</v>
      </c>
      <c r="W172" s="1">
        <f>SUMPRODUCT(I172:V172,$I$13:$V$13)</f>
        <v>73830</v>
      </c>
      <c r="X172" s="6">
        <f t="shared" si="4"/>
        <v>5.0590799999999998E-2</v>
      </c>
      <c r="Y172" s="1" t="str">
        <f>VLOOKUP(D172,[1]PARTS!$A$1:$G$65536,7,0)</f>
        <v>VISHAY EUROPE SALE GMBH</v>
      </c>
      <c r="Z172" s="1">
        <f>VLOOKUP(D172,[2]pareto!$D$12:$AX$306,44,0)</f>
        <v>10000</v>
      </c>
      <c r="AA172" s="1">
        <f>VLOOKUP(D172,[2]pareto!$D$12:$AX$306,45,0)</f>
        <v>10000</v>
      </c>
      <c r="AB172" s="1">
        <f>CEILING(W172,Z172)</f>
        <v>80000</v>
      </c>
      <c r="AC172" s="1">
        <f>VLOOKUP(D172,[2]pareto!$D$12:$AX$306,47,0)</f>
        <v>1.0998E-3</v>
      </c>
      <c r="AD172" s="1" t="s">
        <v>85</v>
      </c>
      <c r="AE172" s="1" t="s">
        <v>86</v>
      </c>
      <c r="AF172" s="19" t="s">
        <v>87</v>
      </c>
      <c r="AG172" s="1" t="s">
        <v>88</v>
      </c>
      <c r="BG172" s="8">
        <f>SUM($BB172,$AI172:AI172)-SUM($BY172:BZ172)</f>
        <v>0</v>
      </c>
      <c r="BH172" s="8">
        <f>SUM($BB172,$AI172:AJ172)-SUM($BY172:CA172)</f>
        <v>0</v>
      </c>
      <c r="BI172" s="8">
        <f>SUM($BB172,$AI172:AK172)-SUM($BY172:CB172)</f>
        <v>0</v>
      </c>
      <c r="BJ172" s="8">
        <f>SUM($BB172,$AI172:AL172)-SUM($BY172:CC172)</f>
        <v>0</v>
      </c>
      <c r="BK172" s="8">
        <f>SUM($BB172,$AI172:AM172)-SUM($BY172:CD172)</f>
        <v>0</v>
      </c>
      <c r="BL172" s="8">
        <f>SUM($BB172,$AI172:AN172)-SUM($BY172:CE172)</f>
        <v>0</v>
      </c>
      <c r="BM172" s="8">
        <f>SUM($BB172,$AI172:AO172)-SUM($BY172:CF172)</f>
        <v>0</v>
      </c>
      <c r="BN172" s="8">
        <f>SUM($BB172,$AI172:AP172)-SUM($BY172:CG172)</f>
        <v>-2300</v>
      </c>
      <c r="BO172" s="8">
        <f>SUM($BB172,$AI172:AQ172)-SUM($BY172:CH172)</f>
        <v>-8050</v>
      </c>
      <c r="BP172" s="8">
        <f>SUM($BB172,$AI172:AR172)-SUM($BY172:CI172)</f>
        <v>-17250</v>
      </c>
      <c r="BQ172" s="8">
        <f>SUM($BB172,$AI172:AS172)-SUM($BY172:CJ172)</f>
        <v>-28060</v>
      </c>
      <c r="BR172" s="8">
        <f>SUM($BB172,$AI172:AT172)-SUM($BY172:CK172)</f>
        <v>-37260</v>
      </c>
      <c r="BS172" s="8">
        <f>SUM($BB172,$AI172:AU172)-SUM($BY172:CL172)</f>
        <v>-45310</v>
      </c>
      <c r="BT172" s="8">
        <f>SUM($BB172,$AI172:AV172)-SUM($BY172:CM172)</f>
        <v>-55430</v>
      </c>
      <c r="BU172" s="8">
        <f>SUM($BB172,$AI172:AW172)-SUM($BY172:CN172)</f>
        <v>-67850</v>
      </c>
      <c r="BV172" s="8">
        <f>SUM($BB172,$AI172:AX172)-SUM($BY172:CO172)</f>
        <v>-73830</v>
      </c>
      <c r="BW172" s="8">
        <f>SUM($BB172,$AI172:AY172)-SUM($BY172:CP172)</f>
        <v>-73830</v>
      </c>
      <c r="BX172" s="8">
        <f>SUM($BB172,$AI172:AZ172)-SUM($BY172:CQ172)</f>
        <v>-73830</v>
      </c>
      <c r="BY172" s="8" cm="1">
        <f t="array" ref="BY172">SUMPRODUCT(TRANSPOSE(BY$2:BY$15),$I172:$V172)</f>
        <v>0</v>
      </c>
      <c r="BZ172" s="8" cm="1">
        <f t="array" ref="BZ172">SUMPRODUCT(TRANSPOSE(BZ$2:BZ$15),$I172:$V172)</f>
        <v>0</v>
      </c>
      <c r="CA172" s="8" cm="1">
        <f t="array" ref="CA172">SUMPRODUCT(TRANSPOSE(CA$2:CA$15),$I172:$V172)</f>
        <v>0</v>
      </c>
      <c r="CB172" s="8" cm="1">
        <f t="array" ref="CB172">SUMPRODUCT(TRANSPOSE(CB$2:CB$15),$I172:$V172)</f>
        <v>0</v>
      </c>
      <c r="CC172" s="8" cm="1">
        <f t="array" ref="CC172">SUMPRODUCT(TRANSPOSE(CC$2:CC$15),$I172:$V172)</f>
        <v>0</v>
      </c>
      <c r="CD172" s="8" cm="1">
        <f t="array" ref="CD172">SUMPRODUCT(TRANSPOSE(CD$2:CD$15),$I172:$V172)</f>
        <v>0</v>
      </c>
      <c r="CE172" s="8" cm="1">
        <f t="array" ref="CE172">SUMPRODUCT(TRANSPOSE(CE$2:CE$15),$I172:$V172)</f>
        <v>0</v>
      </c>
      <c r="CF172" s="8" cm="1">
        <f t="array" ref="CF172">SUMPRODUCT(TRANSPOSE(CF$2:CF$15),$I172:$V172)</f>
        <v>0</v>
      </c>
      <c r="CG172" s="8" cm="1">
        <f t="array" ref="CG172">SUMPRODUCT(TRANSPOSE(CG$2:CG$15),$I172:$V172)</f>
        <v>2300</v>
      </c>
      <c r="CH172" s="8" cm="1">
        <f t="array" ref="CH172">SUMPRODUCT(TRANSPOSE(CH$2:CH$15),$I172:$V172)</f>
        <v>5750</v>
      </c>
      <c r="CI172" s="8" cm="1">
        <f t="array" ref="CI172">SUMPRODUCT(TRANSPOSE(CI$2:CI$15),$I172:$V172)</f>
        <v>9200</v>
      </c>
      <c r="CJ172" s="8" cm="1">
        <f t="array" ref="CJ172">SUMPRODUCT(TRANSPOSE(CJ$2:CJ$15),$I172:$V172)</f>
        <v>10810</v>
      </c>
      <c r="CK172" s="8" cm="1">
        <f t="array" ref="CK172">SUMPRODUCT(TRANSPOSE(CK$2:CK$15),$I172:$V172)</f>
        <v>9200</v>
      </c>
      <c r="CL172" s="8" cm="1">
        <f t="array" ref="CL172">SUMPRODUCT(TRANSPOSE(CL$2:CL$15),$I172:$V172)</f>
        <v>8050</v>
      </c>
      <c r="CM172" s="8" cm="1">
        <f t="array" ref="CM172">SUMPRODUCT(TRANSPOSE(CM$2:CM$15),$I172:$V172)</f>
        <v>10120</v>
      </c>
      <c r="CN172" s="8" cm="1">
        <f t="array" ref="CN172">SUMPRODUCT(TRANSPOSE(CN$2:CN$15),$I172:$V172)</f>
        <v>12420</v>
      </c>
      <c r="CO172" s="8" cm="1">
        <f t="array" ref="CO172">SUMPRODUCT(TRANSPOSE(CO$2:CO$15),$I172:$V172)</f>
        <v>5980</v>
      </c>
      <c r="CP172" s="8" cm="1">
        <f t="array" ref="CP172">SUMPRODUCT(TRANSPOSE(CP$2:CP$15),$I172:$V172)</f>
        <v>0</v>
      </c>
      <c r="CQ172" s="8" cm="1">
        <f t="array" ref="CQ172">SUMPRODUCT(TRANSPOSE(CQ$2:CQ$15),$I172:$V172)</f>
        <v>0</v>
      </c>
    </row>
    <row r="173" spans="1:95" x14ac:dyDescent="0.25">
      <c r="A173" s="1">
        <v>106</v>
      </c>
      <c r="B173" s="11" t="s">
        <v>475</v>
      </c>
      <c r="C173" s="1" t="s">
        <v>49</v>
      </c>
      <c r="D173" s="1">
        <v>403834743</v>
      </c>
      <c r="E173" s="6">
        <f>VLOOKUP(D173,FFF!$A$2:$B$674,2,)</f>
        <v>403846544</v>
      </c>
      <c r="F173" s="1" t="s">
        <v>476</v>
      </c>
      <c r="G173" s="1" t="s">
        <v>35</v>
      </c>
      <c r="H173" s="1">
        <v>1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1</v>
      </c>
      <c r="S173" s="1">
        <v>0</v>
      </c>
      <c r="T173" s="1">
        <v>0</v>
      </c>
      <c r="U173" s="1">
        <v>0</v>
      </c>
      <c r="V173" s="1">
        <v>0</v>
      </c>
      <c r="W173" s="1">
        <f>SUMPRODUCT(I173:V173,$I$13:$V$13)</f>
        <v>1660</v>
      </c>
      <c r="X173" s="6">
        <f t="shared" si="4"/>
        <v>1.41</v>
      </c>
      <c r="Y173" s="1" t="str">
        <f>VLOOKUP(D173,[1]PARTS!$A$1:$G$65536,7,0)</f>
        <v>AVX</v>
      </c>
      <c r="Z173" s="1">
        <f>VLOOKUP(D173,[2]pareto!$D$12:$AX$306,44,0)</f>
        <v>3000</v>
      </c>
      <c r="AA173" s="1">
        <f>VLOOKUP(D173,[2]pareto!$D$12:$AX$306,45,0)</f>
        <v>3000</v>
      </c>
      <c r="AB173" s="1">
        <f>CEILING(W173,Z173)</f>
        <v>3000</v>
      </c>
      <c r="AC173" s="1">
        <f>VLOOKUP(D173,[2]pareto!$D$12:$AX$306,47,0)</f>
        <v>1.41</v>
      </c>
      <c r="AD173" s="1" t="s">
        <v>140</v>
      </c>
      <c r="AE173" s="1" t="s">
        <v>141</v>
      </c>
      <c r="AF173" s="19" t="s">
        <v>142</v>
      </c>
      <c r="AG173" s="1" t="s">
        <v>143</v>
      </c>
      <c r="AH173" s="1" t="s">
        <v>477</v>
      </c>
      <c r="BG173" s="8">
        <f>SUM($BB173,$AI173:AI173)-SUM($BY173:BZ173)</f>
        <v>0</v>
      </c>
      <c r="BH173" s="8">
        <f>SUM($BB173,$AI173:AJ173)-SUM($BY173:CA173)</f>
        <v>0</v>
      </c>
      <c r="BI173" s="8">
        <f>SUM($BB173,$AI173:AK173)-SUM($BY173:CB173)</f>
        <v>0</v>
      </c>
      <c r="BJ173" s="8">
        <f>SUM($BB173,$AI173:AL173)-SUM($BY173:CC173)</f>
        <v>0</v>
      </c>
      <c r="BK173" s="8">
        <f>SUM($BB173,$AI173:AM173)-SUM($BY173:CD173)</f>
        <v>0</v>
      </c>
      <c r="BL173" s="8">
        <f>SUM($BB173,$AI173:AN173)-SUM($BY173:CE173)</f>
        <v>0</v>
      </c>
      <c r="BM173" s="8">
        <f>SUM($BB173,$AI173:AO173)-SUM($BY173:CF173)</f>
        <v>0</v>
      </c>
      <c r="BN173" s="8">
        <f>SUM($BB173,$AI173:AP173)-SUM($BY173:CG173)</f>
        <v>-100</v>
      </c>
      <c r="BO173" s="8">
        <f>SUM($BB173,$AI173:AQ173)-SUM($BY173:CH173)</f>
        <v>-250</v>
      </c>
      <c r="BP173" s="8">
        <f>SUM($BB173,$AI173:AR173)-SUM($BY173:CI173)</f>
        <v>-500</v>
      </c>
      <c r="BQ173" s="8">
        <f>SUM($BB173,$AI173:AS173)-SUM($BY173:CJ173)</f>
        <v>-700</v>
      </c>
      <c r="BR173" s="8">
        <f>SUM($BB173,$AI173:AT173)-SUM($BY173:CK173)</f>
        <v>-900</v>
      </c>
      <c r="BS173" s="8">
        <f>SUM($BB173,$AI173:AU173)-SUM($BY173:CL173)</f>
        <v>-1100</v>
      </c>
      <c r="BT173" s="8">
        <f>SUM($BB173,$AI173:AV173)-SUM($BY173:CM173)</f>
        <v>-1400</v>
      </c>
      <c r="BU173" s="8">
        <f>SUM($BB173,$AI173:AW173)-SUM($BY173:CN173)</f>
        <v>-1660</v>
      </c>
      <c r="BV173" s="8">
        <f>SUM($BB173,$AI173:AX173)-SUM($BY173:CO173)</f>
        <v>-1660</v>
      </c>
      <c r="BW173" s="8">
        <f>SUM($BB173,$AI173:AY173)-SUM($BY173:CP173)</f>
        <v>-1660</v>
      </c>
      <c r="BX173" s="8">
        <f>SUM($BB173,$AI173:AZ173)-SUM($BY173:CQ173)</f>
        <v>-1660</v>
      </c>
      <c r="BY173" s="8" cm="1">
        <f t="array" ref="BY173">SUMPRODUCT(TRANSPOSE(BY$2:BY$15),$I173:$V173)</f>
        <v>0</v>
      </c>
      <c r="BZ173" s="8" cm="1">
        <f t="array" ref="BZ173">SUMPRODUCT(TRANSPOSE(BZ$2:BZ$15),$I173:$V173)</f>
        <v>0</v>
      </c>
      <c r="CA173" s="8" cm="1">
        <f t="array" ref="CA173">SUMPRODUCT(TRANSPOSE(CA$2:CA$15),$I173:$V173)</f>
        <v>0</v>
      </c>
      <c r="CB173" s="8" cm="1">
        <f t="array" ref="CB173">SUMPRODUCT(TRANSPOSE(CB$2:CB$15),$I173:$V173)</f>
        <v>0</v>
      </c>
      <c r="CC173" s="8" cm="1">
        <f t="array" ref="CC173">SUMPRODUCT(TRANSPOSE(CC$2:CC$15),$I173:$V173)</f>
        <v>0</v>
      </c>
      <c r="CD173" s="8" cm="1">
        <f t="array" ref="CD173">SUMPRODUCT(TRANSPOSE(CD$2:CD$15),$I173:$V173)</f>
        <v>0</v>
      </c>
      <c r="CE173" s="8" cm="1">
        <f t="array" ref="CE173">SUMPRODUCT(TRANSPOSE(CE$2:CE$15),$I173:$V173)</f>
        <v>0</v>
      </c>
      <c r="CF173" s="8" cm="1">
        <f t="array" ref="CF173">SUMPRODUCT(TRANSPOSE(CF$2:CF$15),$I173:$V173)</f>
        <v>0</v>
      </c>
      <c r="CG173" s="8" cm="1">
        <f t="array" ref="CG173">SUMPRODUCT(TRANSPOSE(CG$2:CG$15),$I173:$V173)</f>
        <v>100</v>
      </c>
      <c r="CH173" s="8" cm="1">
        <f t="array" ref="CH173">SUMPRODUCT(TRANSPOSE(CH$2:CH$15),$I173:$V173)</f>
        <v>150</v>
      </c>
      <c r="CI173" s="8" cm="1">
        <f t="array" ref="CI173">SUMPRODUCT(TRANSPOSE(CI$2:CI$15),$I173:$V173)</f>
        <v>250</v>
      </c>
      <c r="CJ173" s="8" cm="1">
        <f t="array" ref="CJ173">SUMPRODUCT(TRANSPOSE(CJ$2:CJ$15),$I173:$V173)</f>
        <v>200</v>
      </c>
      <c r="CK173" s="8" cm="1">
        <f t="array" ref="CK173">SUMPRODUCT(TRANSPOSE(CK$2:CK$15),$I173:$V173)</f>
        <v>200</v>
      </c>
      <c r="CL173" s="8" cm="1">
        <f t="array" ref="CL173">SUMPRODUCT(TRANSPOSE(CL$2:CL$15),$I173:$V173)</f>
        <v>200</v>
      </c>
      <c r="CM173" s="8" cm="1">
        <f t="array" ref="CM173">SUMPRODUCT(TRANSPOSE(CM$2:CM$15),$I173:$V173)</f>
        <v>300</v>
      </c>
      <c r="CN173" s="8" cm="1">
        <f t="array" ref="CN173">SUMPRODUCT(TRANSPOSE(CN$2:CN$15),$I173:$V173)</f>
        <v>260</v>
      </c>
      <c r="CO173" s="8" cm="1">
        <f t="array" ref="CO173">SUMPRODUCT(TRANSPOSE(CO$2:CO$15),$I173:$V173)</f>
        <v>0</v>
      </c>
      <c r="CP173" s="8" cm="1">
        <f t="array" ref="CP173">SUMPRODUCT(TRANSPOSE(CP$2:CP$15),$I173:$V173)</f>
        <v>0</v>
      </c>
      <c r="CQ173" s="8" cm="1">
        <f t="array" ref="CQ173">SUMPRODUCT(TRANSPOSE(CQ$2:CQ$15),$I173:$V173)</f>
        <v>0</v>
      </c>
    </row>
    <row r="174" spans="1:95" x14ac:dyDescent="0.25">
      <c r="A174" s="1">
        <v>105</v>
      </c>
      <c r="B174" s="11" t="s">
        <v>478</v>
      </c>
      <c r="C174" s="1" t="s">
        <v>49</v>
      </c>
      <c r="D174" s="1">
        <v>403834737</v>
      </c>
      <c r="E174" s="6" t="str">
        <f>VLOOKUP(D174,FFF!$A$2:$B$674,2,)</f>
        <v>FFF004550</v>
      </c>
      <c r="F174" s="1" t="s">
        <v>479</v>
      </c>
      <c r="G174" s="1" t="s">
        <v>35</v>
      </c>
      <c r="H174" s="1">
        <v>1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1</v>
      </c>
      <c r="S174" s="1">
        <v>0</v>
      </c>
      <c r="T174" s="1">
        <v>0</v>
      </c>
      <c r="U174" s="1">
        <v>0</v>
      </c>
      <c r="V174" s="1">
        <v>0</v>
      </c>
      <c r="W174" s="1">
        <f>SUMPRODUCT(I174:V174,$I$13:$V$13)</f>
        <v>1660</v>
      </c>
      <c r="X174" s="6">
        <f t="shared" si="4"/>
        <v>1.41</v>
      </c>
      <c r="Y174" s="1" t="str">
        <f>VLOOKUP(D174,[1]PARTS!$A$1:$G$65536,7,0)</f>
        <v>AVX</v>
      </c>
      <c r="Z174" s="1">
        <f>VLOOKUP(D174,[2]pareto!$D$12:$AX$306,44,0)</f>
        <v>3000</v>
      </c>
      <c r="AA174" s="1">
        <f>VLOOKUP(D174,[2]pareto!$D$12:$AX$306,45,0)</f>
        <v>3000</v>
      </c>
      <c r="AB174" s="1">
        <f>CEILING(W174,Z174)</f>
        <v>3000</v>
      </c>
      <c r="AC174" s="1">
        <f>VLOOKUP(D174,[2]pareto!$D$12:$AX$306,47,0)</f>
        <v>1.41</v>
      </c>
      <c r="AD174" s="1" t="s">
        <v>140</v>
      </c>
      <c r="AE174" s="1" t="s">
        <v>141</v>
      </c>
      <c r="AF174" s="19" t="s">
        <v>142</v>
      </c>
      <c r="AG174" s="1" t="s">
        <v>143</v>
      </c>
      <c r="AH174" s="1" t="s">
        <v>477</v>
      </c>
      <c r="BG174" s="8">
        <f>SUM($BB174,$AI174:AI174)-SUM($BY174:BZ174)</f>
        <v>0</v>
      </c>
      <c r="BH174" s="8">
        <f>SUM($BB174,$AI174:AJ174)-SUM($BY174:CA174)</f>
        <v>0</v>
      </c>
      <c r="BI174" s="8">
        <f>SUM($BB174,$AI174:AK174)-SUM($BY174:CB174)</f>
        <v>0</v>
      </c>
      <c r="BJ174" s="8">
        <f>SUM($BB174,$AI174:AL174)-SUM($BY174:CC174)</f>
        <v>0</v>
      </c>
      <c r="BK174" s="8">
        <f>SUM($BB174,$AI174:AM174)-SUM($BY174:CD174)</f>
        <v>0</v>
      </c>
      <c r="BL174" s="8">
        <f>SUM($BB174,$AI174:AN174)-SUM($BY174:CE174)</f>
        <v>0</v>
      </c>
      <c r="BM174" s="8">
        <f>SUM($BB174,$AI174:AO174)-SUM($BY174:CF174)</f>
        <v>0</v>
      </c>
      <c r="BN174" s="8">
        <f>SUM($BB174,$AI174:AP174)-SUM($BY174:CG174)</f>
        <v>-100</v>
      </c>
      <c r="BO174" s="8">
        <f>SUM($BB174,$AI174:AQ174)-SUM($BY174:CH174)</f>
        <v>-250</v>
      </c>
      <c r="BP174" s="8">
        <f>SUM($BB174,$AI174:AR174)-SUM($BY174:CI174)</f>
        <v>-500</v>
      </c>
      <c r="BQ174" s="8">
        <f>SUM($BB174,$AI174:AS174)-SUM($BY174:CJ174)</f>
        <v>-700</v>
      </c>
      <c r="BR174" s="8">
        <f>SUM($BB174,$AI174:AT174)-SUM($BY174:CK174)</f>
        <v>-900</v>
      </c>
      <c r="BS174" s="8">
        <f>SUM($BB174,$AI174:AU174)-SUM($BY174:CL174)</f>
        <v>-1100</v>
      </c>
      <c r="BT174" s="8">
        <f>SUM($BB174,$AI174:AV174)-SUM($BY174:CM174)</f>
        <v>-1400</v>
      </c>
      <c r="BU174" s="8">
        <f>SUM($BB174,$AI174:AW174)-SUM($BY174:CN174)</f>
        <v>-1660</v>
      </c>
      <c r="BV174" s="8">
        <f>SUM($BB174,$AI174:AX174)-SUM($BY174:CO174)</f>
        <v>-1660</v>
      </c>
      <c r="BW174" s="8">
        <f>SUM($BB174,$AI174:AY174)-SUM($BY174:CP174)</f>
        <v>-1660</v>
      </c>
      <c r="BX174" s="8">
        <f>SUM($BB174,$AI174:AZ174)-SUM($BY174:CQ174)</f>
        <v>-1660</v>
      </c>
      <c r="BY174" s="8" cm="1">
        <f t="array" ref="BY174">SUMPRODUCT(TRANSPOSE(BY$2:BY$15),$I174:$V174)</f>
        <v>0</v>
      </c>
      <c r="BZ174" s="8" cm="1">
        <f t="array" ref="BZ174">SUMPRODUCT(TRANSPOSE(BZ$2:BZ$15),$I174:$V174)</f>
        <v>0</v>
      </c>
      <c r="CA174" s="8" cm="1">
        <f t="array" ref="CA174">SUMPRODUCT(TRANSPOSE(CA$2:CA$15),$I174:$V174)</f>
        <v>0</v>
      </c>
      <c r="CB174" s="8" cm="1">
        <f t="array" ref="CB174">SUMPRODUCT(TRANSPOSE(CB$2:CB$15),$I174:$V174)</f>
        <v>0</v>
      </c>
      <c r="CC174" s="8" cm="1">
        <f t="array" ref="CC174">SUMPRODUCT(TRANSPOSE(CC$2:CC$15),$I174:$V174)</f>
        <v>0</v>
      </c>
      <c r="CD174" s="8" cm="1">
        <f t="array" ref="CD174">SUMPRODUCT(TRANSPOSE(CD$2:CD$15),$I174:$V174)</f>
        <v>0</v>
      </c>
      <c r="CE174" s="8" cm="1">
        <f t="array" ref="CE174">SUMPRODUCT(TRANSPOSE(CE$2:CE$15),$I174:$V174)</f>
        <v>0</v>
      </c>
      <c r="CF174" s="8" cm="1">
        <f t="array" ref="CF174">SUMPRODUCT(TRANSPOSE(CF$2:CF$15),$I174:$V174)</f>
        <v>0</v>
      </c>
      <c r="CG174" s="8" cm="1">
        <f t="array" ref="CG174">SUMPRODUCT(TRANSPOSE(CG$2:CG$15),$I174:$V174)</f>
        <v>100</v>
      </c>
      <c r="CH174" s="8" cm="1">
        <f t="array" ref="CH174">SUMPRODUCT(TRANSPOSE(CH$2:CH$15),$I174:$V174)</f>
        <v>150</v>
      </c>
      <c r="CI174" s="8" cm="1">
        <f t="array" ref="CI174">SUMPRODUCT(TRANSPOSE(CI$2:CI$15),$I174:$V174)</f>
        <v>250</v>
      </c>
      <c r="CJ174" s="8" cm="1">
        <f t="array" ref="CJ174">SUMPRODUCT(TRANSPOSE(CJ$2:CJ$15),$I174:$V174)</f>
        <v>200</v>
      </c>
      <c r="CK174" s="8" cm="1">
        <f t="array" ref="CK174">SUMPRODUCT(TRANSPOSE(CK$2:CK$15),$I174:$V174)</f>
        <v>200</v>
      </c>
      <c r="CL174" s="8" cm="1">
        <f t="array" ref="CL174">SUMPRODUCT(TRANSPOSE(CL$2:CL$15),$I174:$V174)</f>
        <v>200</v>
      </c>
      <c r="CM174" s="8" cm="1">
        <f t="array" ref="CM174">SUMPRODUCT(TRANSPOSE(CM$2:CM$15),$I174:$V174)</f>
        <v>300</v>
      </c>
      <c r="CN174" s="8" cm="1">
        <f t="array" ref="CN174">SUMPRODUCT(TRANSPOSE(CN$2:CN$15),$I174:$V174)</f>
        <v>260</v>
      </c>
      <c r="CO174" s="8" cm="1">
        <f t="array" ref="CO174">SUMPRODUCT(TRANSPOSE(CO$2:CO$15),$I174:$V174)</f>
        <v>0</v>
      </c>
      <c r="CP174" s="8" cm="1">
        <f t="array" ref="CP174">SUMPRODUCT(TRANSPOSE(CP$2:CP$15),$I174:$V174)</f>
        <v>0</v>
      </c>
      <c r="CQ174" s="8" cm="1">
        <f t="array" ref="CQ174">SUMPRODUCT(TRANSPOSE(CQ$2:CQ$15),$I174:$V174)</f>
        <v>0</v>
      </c>
    </row>
    <row r="175" spans="1:95" x14ac:dyDescent="0.25">
      <c r="A175" s="1">
        <v>108</v>
      </c>
      <c r="B175" s="11" t="s">
        <v>480</v>
      </c>
      <c r="C175" s="1" t="s">
        <v>49</v>
      </c>
      <c r="D175" s="1">
        <v>403834713</v>
      </c>
      <c r="E175" s="6" t="str">
        <f>VLOOKUP(D175,FFF!$A$2:$B$674,2,)</f>
        <v>FFF300787</v>
      </c>
      <c r="F175" s="1" t="s">
        <v>481</v>
      </c>
      <c r="G175" s="1" t="s">
        <v>35</v>
      </c>
      <c r="H175" s="1">
        <v>1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1</v>
      </c>
      <c r="S175" s="1">
        <v>0</v>
      </c>
      <c r="T175" s="1">
        <v>0</v>
      </c>
      <c r="U175" s="1">
        <v>0</v>
      </c>
      <c r="V175" s="1">
        <v>0</v>
      </c>
      <c r="W175" s="1">
        <f>SUMPRODUCT(I175:V175,$I$13:$V$13)</f>
        <v>1660</v>
      </c>
      <c r="X175" s="6">
        <f t="shared" si="4"/>
        <v>1.41</v>
      </c>
      <c r="Y175" s="1" t="str">
        <f>VLOOKUP(D175,[1]PARTS!$A$1:$G$65536,7,0)</f>
        <v>AVX</v>
      </c>
      <c r="Z175" s="1">
        <f>VLOOKUP(D175,[2]pareto!$D$12:$AX$306,44,0)</f>
        <v>3000</v>
      </c>
      <c r="AA175" s="1">
        <f>VLOOKUP(D175,[2]pareto!$D$12:$AX$306,45,0)</f>
        <v>3000</v>
      </c>
      <c r="AB175" s="1">
        <f>CEILING(W175,Z175)</f>
        <v>3000</v>
      </c>
      <c r="AC175" s="1">
        <f>VLOOKUP(D175,[2]pareto!$D$12:$AX$306,47,0)</f>
        <v>1.41</v>
      </c>
      <c r="AD175" s="1" t="s">
        <v>140</v>
      </c>
      <c r="AE175" s="1" t="s">
        <v>141</v>
      </c>
      <c r="AF175" s="19" t="s">
        <v>142</v>
      </c>
      <c r="AG175" s="1" t="s">
        <v>143</v>
      </c>
      <c r="AH175" s="1" t="s">
        <v>477</v>
      </c>
      <c r="BG175" s="8">
        <f>SUM($BB175,$AI175:AI175)-SUM($BY175:BZ175)</f>
        <v>0</v>
      </c>
      <c r="BH175" s="8">
        <f>SUM($BB175,$AI175:AJ175)-SUM($BY175:CA175)</f>
        <v>0</v>
      </c>
      <c r="BI175" s="8">
        <f>SUM($BB175,$AI175:AK175)-SUM($BY175:CB175)</f>
        <v>0</v>
      </c>
      <c r="BJ175" s="8">
        <f>SUM($BB175,$AI175:AL175)-SUM($BY175:CC175)</f>
        <v>0</v>
      </c>
      <c r="BK175" s="8">
        <f>SUM($BB175,$AI175:AM175)-SUM($BY175:CD175)</f>
        <v>0</v>
      </c>
      <c r="BL175" s="8">
        <f>SUM($BB175,$AI175:AN175)-SUM($BY175:CE175)</f>
        <v>0</v>
      </c>
      <c r="BM175" s="8">
        <f>SUM($BB175,$AI175:AO175)-SUM($BY175:CF175)</f>
        <v>0</v>
      </c>
      <c r="BN175" s="8">
        <f>SUM($BB175,$AI175:AP175)-SUM($BY175:CG175)</f>
        <v>-100</v>
      </c>
      <c r="BO175" s="8">
        <f>SUM($BB175,$AI175:AQ175)-SUM($BY175:CH175)</f>
        <v>-250</v>
      </c>
      <c r="BP175" s="8">
        <f>SUM($BB175,$AI175:AR175)-SUM($BY175:CI175)</f>
        <v>-500</v>
      </c>
      <c r="BQ175" s="8">
        <f>SUM($BB175,$AI175:AS175)-SUM($BY175:CJ175)</f>
        <v>-700</v>
      </c>
      <c r="BR175" s="8">
        <f>SUM($BB175,$AI175:AT175)-SUM($BY175:CK175)</f>
        <v>-900</v>
      </c>
      <c r="BS175" s="8">
        <f>SUM($BB175,$AI175:AU175)-SUM($BY175:CL175)</f>
        <v>-1100</v>
      </c>
      <c r="BT175" s="8">
        <f>SUM($BB175,$AI175:AV175)-SUM($BY175:CM175)</f>
        <v>-1400</v>
      </c>
      <c r="BU175" s="8">
        <f>SUM($BB175,$AI175:AW175)-SUM($BY175:CN175)</f>
        <v>-1660</v>
      </c>
      <c r="BV175" s="8">
        <f>SUM($BB175,$AI175:AX175)-SUM($BY175:CO175)</f>
        <v>-1660</v>
      </c>
      <c r="BW175" s="8">
        <f>SUM($BB175,$AI175:AY175)-SUM($BY175:CP175)</f>
        <v>-1660</v>
      </c>
      <c r="BX175" s="8">
        <f>SUM($BB175,$AI175:AZ175)-SUM($BY175:CQ175)</f>
        <v>-1660</v>
      </c>
      <c r="BY175" s="8" cm="1">
        <f t="array" ref="BY175">SUMPRODUCT(TRANSPOSE(BY$2:BY$15),$I175:$V175)</f>
        <v>0</v>
      </c>
      <c r="BZ175" s="8" cm="1">
        <f t="array" ref="BZ175">SUMPRODUCT(TRANSPOSE(BZ$2:BZ$15),$I175:$V175)</f>
        <v>0</v>
      </c>
      <c r="CA175" s="8" cm="1">
        <f t="array" ref="CA175">SUMPRODUCT(TRANSPOSE(CA$2:CA$15),$I175:$V175)</f>
        <v>0</v>
      </c>
      <c r="CB175" s="8" cm="1">
        <f t="array" ref="CB175">SUMPRODUCT(TRANSPOSE(CB$2:CB$15),$I175:$V175)</f>
        <v>0</v>
      </c>
      <c r="CC175" s="8" cm="1">
        <f t="array" ref="CC175">SUMPRODUCT(TRANSPOSE(CC$2:CC$15),$I175:$V175)</f>
        <v>0</v>
      </c>
      <c r="CD175" s="8" cm="1">
        <f t="array" ref="CD175">SUMPRODUCT(TRANSPOSE(CD$2:CD$15),$I175:$V175)</f>
        <v>0</v>
      </c>
      <c r="CE175" s="8" cm="1">
        <f t="array" ref="CE175">SUMPRODUCT(TRANSPOSE(CE$2:CE$15),$I175:$V175)</f>
        <v>0</v>
      </c>
      <c r="CF175" s="8" cm="1">
        <f t="array" ref="CF175">SUMPRODUCT(TRANSPOSE(CF$2:CF$15),$I175:$V175)</f>
        <v>0</v>
      </c>
      <c r="CG175" s="8" cm="1">
        <f t="array" ref="CG175">SUMPRODUCT(TRANSPOSE(CG$2:CG$15),$I175:$V175)</f>
        <v>100</v>
      </c>
      <c r="CH175" s="8" cm="1">
        <f t="array" ref="CH175">SUMPRODUCT(TRANSPOSE(CH$2:CH$15),$I175:$V175)</f>
        <v>150</v>
      </c>
      <c r="CI175" s="8" cm="1">
        <f t="array" ref="CI175">SUMPRODUCT(TRANSPOSE(CI$2:CI$15),$I175:$V175)</f>
        <v>250</v>
      </c>
      <c r="CJ175" s="8" cm="1">
        <f t="array" ref="CJ175">SUMPRODUCT(TRANSPOSE(CJ$2:CJ$15),$I175:$V175)</f>
        <v>200</v>
      </c>
      <c r="CK175" s="8" cm="1">
        <f t="array" ref="CK175">SUMPRODUCT(TRANSPOSE(CK$2:CK$15),$I175:$V175)</f>
        <v>200</v>
      </c>
      <c r="CL175" s="8" cm="1">
        <f t="array" ref="CL175">SUMPRODUCT(TRANSPOSE(CL$2:CL$15),$I175:$V175)</f>
        <v>200</v>
      </c>
      <c r="CM175" s="8" cm="1">
        <f t="array" ref="CM175">SUMPRODUCT(TRANSPOSE(CM$2:CM$15),$I175:$V175)</f>
        <v>300</v>
      </c>
      <c r="CN175" s="8" cm="1">
        <f t="array" ref="CN175">SUMPRODUCT(TRANSPOSE(CN$2:CN$15),$I175:$V175)</f>
        <v>260</v>
      </c>
      <c r="CO175" s="8" cm="1">
        <f t="array" ref="CO175">SUMPRODUCT(TRANSPOSE(CO$2:CO$15),$I175:$V175)</f>
        <v>0</v>
      </c>
      <c r="CP175" s="8" cm="1">
        <f t="array" ref="CP175">SUMPRODUCT(TRANSPOSE(CP$2:CP$15),$I175:$V175)</f>
        <v>0</v>
      </c>
      <c r="CQ175" s="8" cm="1">
        <f t="array" ref="CQ175">SUMPRODUCT(TRANSPOSE(CQ$2:CQ$15),$I175:$V175)</f>
        <v>0</v>
      </c>
    </row>
    <row r="176" spans="1:95" x14ac:dyDescent="0.25">
      <c r="A176" s="1">
        <v>132</v>
      </c>
      <c r="B176" s="11" t="s">
        <v>482</v>
      </c>
      <c r="C176" s="1" t="s">
        <v>49</v>
      </c>
      <c r="D176" s="1">
        <v>401775380</v>
      </c>
      <c r="E176" s="6">
        <f>VLOOKUP(D176,FFF!$A$2:$B$674,2,)</f>
        <v>400481299</v>
      </c>
      <c r="F176" s="1" t="s">
        <v>483</v>
      </c>
      <c r="G176" s="1" t="s">
        <v>35</v>
      </c>
      <c r="H176" s="1">
        <v>7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7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f>SUMPRODUCT(I176:V176,$I$13:$V$13)</f>
        <v>11620</v>
      </c>
      <c r="X176" s="6">
        <f t="shared" si="4"/>
        <v>0.12612599999999999</v>
      </c>
      <c r="Y176" s="1" t="str">
        <f>VLOOKUP(D176,[1]PARTS!$A$1:$G$65536,7,0)</f>
        <v>KEMET ELECTRONICS S A</v>
      </c>
      <c r="Z176" s="1">
        <f>VLOOKUP(D176,[2]pareto!$D$12:$AX$306,44,0)</f>
        <v>2500</v>
      </c>
      <c r="AA176" s="1">
        <f>VLOOKUP(D176,[2]pareto!$D$12:$AX$306,45,0)</f>
        <v>2500</v>
      </c>
      <c r="AB176" s="1">
        <f>CEILING(W176,Z176)</f>
        <v>12500</v>
      </c>
      <c r="AC176" s="1">
        <f>VLOOKUP(D176,[2]pareto!$D$12:$AX$306,47,0)</f>
        <v>1.8017999999999999E-2</v>
      </c>
      <c r="AD176" s="1" t="s">
        <v>85</v>
      </c>
      <c r="AE176" s="1" t="s">
        <v>86</v>
      </c>
      <c r="AF176" s="19" t="s">
        <v>87</v>
      </c>
      <c r="AG176" s="1" t="s">
        <v>88</v>
      </c>
      <c r="BG176" s="8">
        <f>SUM($BB176,$AI176:AI176)-SUM($BY176:BZ176)</f>
        <v>0</v>
      </c>
      <c r="BH176" s="8">
        <f>SUM($BB176,$AI176:AJ176)-SUM($BY176:CA176)</f>
        <v>0</v>
      </c>
      <c r="BI176" s="8">
        <f>SUM($BB176,$AI176:AK176)-SUM($BY176:CB176)</f>
        <v>0</v>
      </c>
      <c r="BJ176" s="8">
        <f>SUM($BB176,$AI176:AL176)-SUM($BY176:CC176)</f>
        <v>0</v>
      </c>
      <c r="BK176" s="8">
        <f>SUM($BB176,$AI176:AM176)-SUM($BY176:CD176)</f>
        <v>0</v>
      </c>
      <c r="BL176" s="8">
        <f>SUM($BB176,$AI176:AN176)-SUM($BY176:CE176)</f>
        <v>0</v>
      </c>
      <c r="BM176" s="8">
        <f>SUM($BB176,$AI176:AO176)-SUM($BY176:CF176)</f>
        <v>0</v>
      </c>
      <c r="BN176" s="8">
        <f>SUM($BB176,$AI176:AP176)-SUM($BY176:CG176)</f>
        <v>-700</v>
      </c>
      <c r="BO176" s="8">
        <f>SUM($BB176,$AI176:AQ176)-SUM($BY176:CH176)</f>
        <v>-1750</v>
      </c>
      <c r="BP176" s="8">
        <f>SUM($BB176,$AI176:AR176)-SUM($BY176:CI176)</f>
        <v>-3500</v>
      </c>
      <c r="BQ176" s="8">
        <f>SUM($BB176,$AI176:AS176)-SUM($BY176:CJ176)</f>
        <v>-4900</v>
      </c>
      <c r="BR176" s="8">
        <f>SUM($BB176,$AI176:AT176)-SUM($BY176:CK176)</f>
        <v>-6300</v>
      </c>
      <c r="BS176" s="8">
        <f>SUM($BB176,$AI176:AU176)-SUM($BY176:CL176)</f>
        <v>-7700</v>
      </c>
      <c r="BT176" s="8">
        <f>SUM($BB176,$AI176:AV176)-SUM($BY176:CM176)</f>
        <v>-9800</v>
      </c>
      <c r="BU176" s="8">
        <f>SUM($BB176,$AI176:AW176)-SUM($BY176:CN176)</f>
        <v>-11620</v>
      </c>
      <c r="BV176" s="8">
        <f>SUM($BB176,$AI176:AX176)-SUM($BY176:CO176)</f>
        <v>-11620</v>
      </c>
      <c r="BW176" s="8">
        <f>SUM($BB176,$AI176:AY176)-SUM($BY176:CP176)</f>
        <v>-11620</v>
      </c>
      <c r="BX176" s="8">
        <f>SUM($BB176,$AI176:AZ176)-SUM($BY176:CQ176)</f>
        <v>-11620</v>
      </c>
      <c r="BY176" s="8" cm="1">
        <f t="array" ref="BY176">SUMPRODUCT(TRANSPOSE(BY$2:BY$15),$I176:$V176)</f>
        <v>0</v>
      </c>
      <c r="BZ176" s="8" cm="1">
        <f t="array" ref="BZ176">SUMPRODUCT(TRANSPOSE(BZ$2:BZ$15),$I176:$V176)</f>
        <v>0</v>
      </c>
      <c r="CA176" s="8" cm="1">
        <f t="array" ref="CA176">SUMPRODUCT(TRANSPOSE(CA$2:CA$15),$I176:$V176)</f>
        <v>0</v>
      </c>
      <c r="CB176" s="8" cm="1">
        <f t="array" ref="CB176">SUMPRODUCT(TRANSPOSE(CB$2:CB$15),$I176:$V176)</f>
        <v>0</v>
      </c>
      <c r="CC176" s="8" cm="1">
        <f t="array" ref="CC176">SUMPRODUCT(TRANSPOSE(CC$2:CC$15),$I176:$V176)</f>
        <v>0</v>
      </c>
      <c r="CD176" s="8" cm="1">
        <f t="array" ref="CD176">SUMPRODUCT(TRANSPOSE(CD$2:CD$15),$I176:$V176)</f>
        <v>0</v>
      </c>
      <c r="CE176" s="8" cm="1">
        <f t="array" ref="CE176">SUMPRODUCT(TRANSPOSE(CE$2:CE$15),$I176:$V176)</f>
        <v>0</v>
      </c>
      <c r="CF176" s="8" cm="1">
        <f t="array" ref="CF176">SUMPRODUCT(TRANSPOSE(CF$2:CF$15),$I176:$V176)</f>
        <v>0</v>
      </c>
      <c r="CG176" s="8" cm="1">
        <f t="array" ref="CG176">SUMPRODUCT(TRANSPOSE(CG$2:CG$15),$I176:$V176)</f>
        <v>700</v>
      </c>
      <c r="CH176" s="8" cm="1">
        <f t="array" ref="CH176">SUMPRODUCT(TRANSPOSE(CH$2:CH$15),$I176:$V176)</f>
        <v>1050</v>
      </c>
      <c r="CI176" s="8" cm="1">
        <f t="array" ref="CI176">SUMPRODUCT(TRANSPOSE(CI$2:CI$15),$I176:$V176)</f>
        <v>1750</v>
      </c>
      <c r="CJ176" s="8" cm="1">
        <f t="array" ref="CJ176">SUMPRODUCT(TRANSPOSE(CJ$2:CJ$15),$I176:$V176)</f>
        <v>1400</v>
      </c>
      <c r="CK176" s="8" cm="1">
        <f t="array" ref="CK176">SUMPRODUCT(TRANSPOSE(CK$2:CK$15),$I176:$V176)</f>
        <v>1400</v>
      </c>
      <c r="CL176" s="8" cm="1">
        <f t="array" ref="CL176">SUMPRODUCT(TRANSPOSE(CL$2:CL$15),$I176:$V176)</f>
        <v>1400</v>
      </c>
      <c r="CM176" s="8" cm="1">
        <f t="array" ref="CM176">SUMPRODUCT(TRANSPOSE(CM$2:CM$15),$I176:$V176)</f>
        <v>2100</v>
      </c>
      <c r="CN176" s="8" cm="1">
        <f t="array" ref="CN176">SUMPRODUCT(TRANSPOSE(CN$2:CN$15),$I176:$V176)</f>
        <v>1820</v>
      </c>
      <c r="CO176" s="8" cm="1">
        <f t="array" ref="CO176">SUMPRODUCT(TRANSPOSE(CO$2:CO$15),$I176:$V176)</f>
        <v>0</v>
      </c>
      <c r="CP176" s="8" cm="1">
        <f t="array" ref="CP176">SUMPRODUCT(TRANSPOSE(CP$2:CP$15),$I176:$V176)</f>
        <v>0</v>
      </c>
      <c r="CQ176" s="8" cm="1">
        <f t="array" ref="CQ176">SUMPRODUCT(TRANSPOSE(CQ$2:CQ$15),$I176:$V176)</f>
        <v>0</v>
      </c>
    </row>
    <row r="177" spans="1:95" x14ac:dyDescent="0.25">
      <c r="A177" s="1">
        <v>104</v>
      </c>
      <c r="B177" s="11" t="s">
        <v>484</v>
      </c>
      <c r="C177" s="1" t="s">
        <v>49</v>
      </c>
      <c r="D177" s="1">
        <v>403834728</v>
      </c>
      <c r="E177" s="6" t="str">
        <f>VLOOKUP(D177,FFF!$A$2:$B$674,2,)</f>
        <v>FFF004621</v>
      </c>
      <c r="F177" s="1" t="s">
        <v>485</v>
      </c>
      <c r="G177" s="1" t="s">
        <v>35</v>
      </c>
      <c r="H177" s="1">
        <v>1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1</v>
      </c>
      <c r="S177" s="1">
        <v>0</v>
      </c>
      <c r="T177" s="1">
        <v>0</v>
      </c>
      <c r="U177" s="1">
        <v>0</v>
      </c>
      <c r="V177" s="1">
        <v>0</v>
      </c>
      <c r="W177" s="1">
        <f>SUMPRODUCT(I177:V177,$I$13:$V$13)</f>
        <v>1660</v>
      </c>
      <c r="X177" s="6">
        <f t="shared" si="4"/>
        <v>2</v>
      </c>
      <c r="Y177" s="1" t="str">
        <f>VLOOKUP(D177,[1]PARTS!$A$1:$G$65536,7,0)</f>
        <v>AVX</v>
      </c>
      <c r="Z177" s="1">
        <f>VLOOKUP(D177,[2]pareto!$D$12:$AX$306,44,0)</f>
        <v>2500</v>
      </c>
      <c r="AA177" s="1">
        <f>VLOOKUP(D177,[2]pareto!$D$12:$AX$306,45,0)</f>
        <v>500</v>
      </c>
      <c r="AB177" s="1">
        <f>CEILING(W177,Z177)</f>
        <v>2500</v>
      </c>
      <c r="AC177" s="1">
        <f>VLOOKUP(D177,[2]pareto!$D$12:$AX$306,47,0)</f>
        <v>2</v>
      </c>
      <c r="AD177" s="1" t="s">
        <v>140</v>
      </c>
      <c r="AE177" s="1" t="s">
        <v>141</v>
      </c>
      <c r="AF177" s="12" t="s">
        <v>142</v>
      </c>
      <c r="AG177" s="1" t="s">
        <v>143</v>
      </c>
      <c r="AH177" s="1" t="s">
        <v>477</v>
      </c>
      <c r="BG177" s="8">
        <f>SUM($BB177,$AI177:AI177)-SUM($BY177:BZ177)</f>
        <v>0</v>
      </c>
      <c r="BH177" s="8">
        <f>SUM($BB177,$AI177:AJ177)-SUM($BY177:CA177)</f>
        <v>0</v>
      </c>
      <c r="BI177" s="8">
        <f>SUM($BB177,$AI177:AK177)-SUM($BY177:CB177)</f>
        <v>0</v>
      </c>
      <c r="BJ177" s="8">
        <f>SUM($BB177,$AI177:AL177)-SUM($BY177:CC177)</f>
        <v>0</v>
      </c>
      <c r="BK177" s="8">
        <f>SUM($BB177,$AI177:AM177)-SUM($BY177:CD177)</f>
        <v>0</v>
      </c>
      <c r="BL177" s="8">
        <f>SUM($BB177,$AI177:AN177)-SUM($BY177:CE177)</f>
        <v>0</v>
      </c>
      <c r="BM177" s="8">
        <f>SUM($BB177,$AI177:AO177)-SUM($BY177:CF177)</f>
        <v>0</v>
      </c>
      <c r="BN177" s="8">
        <f>SUM($BB177,$AI177:AP177)-SUM($BY177:CG177)</f>
        <v>-100</v>
      </c>
      <c r="BO177" s="8">
        <f>SUM($BB177,$AI177:AQ177)-SUM($BY177:CH177)</f>
        <v>-250</v>
      </c>
      <c r="BP177" s="8">
        <f>SUM($BB177,$AI177:AR177)-SUM($BY177:CI177)</f>
        <v>-500</v>
      </c>
      <c r="BQ177" s="8">
        <f>SUM($BB177,$AI177:AS177)-SUM($BY177:CJ177)</f>
        <v>-700</v>
      </c>
      <c r="BR177" s="8">
        <f>SUM($BB177,$AI177:AT177)-SUM($BY177:CK177)</f>
        <v>-900</v>
      </c>
      <c r="BS177" s="8">
        <f>SUM($BB177,$AI177:AU177)-SUM($BY177:CL177)</f>
        <v>-1100</v>
      </c>
      <c r="BT177" s="8">
        <f>SUM($BB177,$AI177:AV177)-SUM($BY177:CM177)</f>
        <v>-1400</v>
      </c>
      <c r="BU177" s="8">
        <f>SUM($BB177,$AI177:AW177)-SUM($BY177:CN177)</f>
        <v>-1660</v>
      </c>
      <c r="BV177" s="8">
        <f>SUM($BB177,$AI177:AX177)-SUM($BY177:CO177)</f>
        <v>-1660</v>
      </c>
      <c r="BW177" s="8">
        <f>SUM($BB177,$AI177:AY177)-SUM($BY177:CP177)</f>
        <v>-1660</v>
      </c>
      <c r="BX177" s="8">
        <f>SUM($BB177,$AI177:AZ177)-SUM($BY177:CQ177)</f>
        <v>-1660</v>
      </c>
      <c r="BY177" s="8" cm="1">
        <f t="array" ref="BY177">SUMPRODUCT(TRANSPOSE(BY$2:BY$15),$I177:$V177)</f>
        <v>0</v>
      </c>
      <c r="BZ177" s="8" cm="1">
        <f t="array" ref="BZ177">SUMPRODUCT(TRANSPOSE(BZ$2:BZ$15),$I177:$V177)</f>
        <v>0</v>
      </c>
      <c r="CA177" s="8" cm="1">
        <f t="array" ref="CA177">SUMPRODUCT(TRANSPOSE(CA$2:CA$15),$I177:$V177)</f>
        <v>0</v>
      </c>
      <c r="CB177" s="8" cm="1">
        <f t="array" ref="CB177">SUMPRODUCT(TRANSPOSE(CB$2:CB$15),$I177:$V177)</f>
        <v>0</v>
      </c>
      <c r="CC177" s="8" cm="1">
        <f t="array" ref="CC177">SUMPRODUCT(TRANSPOSE(CC$2:CC$15),$I177:$V177)</f>
        <v>0</v>
      </c>
      <c r="CD177" s="8" cm="1">
        <f t="array" ref="CD177">SUMPRODUCT(TRANSPOSE(CD$2:CD$15),$I177:$V177)</f>
        <v>0</v>
      </c>
      <c r="CE177" s="8" cm="1">
        <f t="array" ref="CE177">SUMPRODUCT(TRANSPOSE(CE$2:CE$15),$I177:$V177)</f>
        <v>0</v>
      </c>
      <c r="CF177" s="8" cm="1">
        <f t="array" ref="CF177">SUMPRODUCT(TRANSPOSE(CF$2:CF$15),$I177:$V177)</f>
        <v>0</v>
      </c>
      <c r="CG177" s="8" cm="1">
        <f t="array" ref="CG177">SUMPRODUCT(TRANSPOSE(CG$2:CG$15),$I177:$V177)</f>
        <v>100</v>
      </c>
      <c r="CH177" s="8" cm="1">
        <f t="array" ref="CH177">SUMPRODUCT(TRANSPOSE(CH$2:CH$15),$I177:$V177)</f>
        <v>150</v>
      </c>
      <c r="CI177" s="8" cm="1">
        <f t="array" ref="CI177">SUMPRODUCT(TRANSPOSE(CI$2:CI$15),$I177:$V177)</f>
        <v>250</v>
      </c>
      <c r="CJ177" s="8" cm="1">
        <f t="array" ref="CJ177">SUMPRODUCT(TRANSPOSE(CJ$2:CJ$15),$I177:$V177)</f>
        <v>200</v>
      </c>
      <c r="CK177" s="8" cm="1">
        <f t="array" ref="CK177">SUMPRODUCT(TRANSPOSE(CK$2:CK$15),$I177:$V177)</f>
        <v>200</v>
      </c>
      <c r="CL177" s="8" cm="1">
        <f t="array" ref="CL177">SUMPRODUCT(TRANSPOSE(CL$2:CL$15),$I177:$V177)</f>
        <v>200</v>
      </c>
      <c r="CM177" s="8" cm="1">
        <f t="array" ref="CM177">SUMPRODUCT(TRANSPOSE(CM$2:CM$15),$I177:$V177)</f>
        <v>300</v>
      </c>
      <c r="CN177" s="8" cm="1">
        <f t="array" ref="CN177">SUMPRODUCT(TRANSPOSE(CN$2:CN$15),$I177:$V177)</f>
        <v>260</v>
      </c>
      <c r="CO177" s="8" cm="1">
        <f t="array" ref="CO177">SUMPRODUCT(TRANSPOSE(CO$2:CO$15),$I177:$V177)</f>
        <v>0</v>
      </c>
      <c r="CP177" s="8" cm="1">
        <f t="array" ref="CP177">SUMPRODUCT(TRANSPOSE(CP$2:CP$15),$I177:$V177)</f>
        <v>0</v>
      </c>
      <c r="CQ177" s="8" cm="1">
        <f t="array" ref="CQ177">SUMPRODUCT(TRANSPOSE(CQ$2:CQ$15),$I177:$V177)</f>
        <v>0</v>
      </c>
    </row>
    <row r="178" spans="1:95" x14ac:dyDescent="0.25">
      <c r="A178" s="1">
        <v>107</v>
      </c>
      <c r="B178" s="11" t="s">
        <v>486</v>
      </c>
      <c r="C178" s="1" t="s">
        <v>49</v>
      </c>
      <c r="D178" s="1">
        <v>403834732</v>
      </c>
      <c r="E178" s="6" t="str">
        <f>VLOOKUP(D178,FFF!$A$2:$B$674,2,)</f>
        <v>FFF300800</v>
      </c>
      <c r="F178" s="1" t="s">
        <v>487</v>
      </c>
      <c r="G178" s="1" t="s">
        <v>35</v>
      </c>
      <c r="H178" s="1">
        <v>1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1</v>
      </c>
      <c r="S178" s="1">
        <v>0</v>
      </c>
      <c r="T178" s="1">
        <v>0</v>
      </c>
      <c r="U178" s="1">
        <v>0</v>
      </c>
      <c r="V178" s="1">
        <v>0</v>
      </c>
      <c r="W178" s="1">
        <f>SUMPRODUCT(I178:V178,$I$13:$V$13)</f>
        <v>1660</v>
      </c>
      <c r="X178" s="6">
        <f t="shared" si="4"/>
        <v>1.41</v>
      </c>
      <c r="Y178" s="1" t="str">
        <f>VLOOKUP(D178,[1]PARTS!$A$1:$G$65536,7,0)</f>
        <v>AVX</v>
      </c>
      <c r="Z178" s="1">
        <f>VLOOKUP(D178,[2]pareto!$D$12:$AX$306,44,0)</f>
        <v>3000</v>
      </c>
      <c r="AA178" s="1">
        <f>VLOOKUP(D178,[2]pareto!$D$12:$AX$306,45,0)</f>
        <v>3000</v>
      </c>
      <c r="AB178" s="1">
        <f>CEILING(W178,Z178)</f>
        <v>3000</v>
      </c>
      <c r="AC178" s="1">
        <f>VLOOKUP(D178,[2]pareto!$D$12:$AX$306,47,0)</f>
        <v>1.41</v>
      </c>
      <c r="AD178" s="1" t="s">
        <v>140</v>
      </c>
      <c r="AE178" s="1" t="s">
        <v>141</v>
      </c>
      <c r="AF178" s="19" t="s">
        <v>142</v>
      </c>
      <c r="AG178" s="1" t="s">
        <v>143</v>
      </c>
      <c r="AH178" s="1" t="s">
        <v>477</v>
      </c>
      <c r="BG178" s="8">
        <f>SUM($BB178,$AI178:AI178)-SUM($BY178:BZ178)</f>
        <v>0</v>
      </c>
      <c r="BH178" s="8">
        <f>SUM($BB178,$AI178:AJ178)-SUM($BY178:CA178)</f>
        <v>0</v>
      </c>
      <c r="BI178" s="8">
        <f>SUM($BB178,$AI178:AK178)-SUM($BY178:CB178)</f>
        <v>0</v>
      </c>
      <c r="BJ178" s="8">
        <f>SUM($BB178,$AI178:AL178)-SUM($BY178:CC178)</f>
        <v>0</v>
      </c>
      <c r="BK178" s="8">
        <f>SUM($BB178,$AI178:AM178)-SUM($BY178:CD178)</f>
        <v>0</v>
      </c>
      <c r="BL178" s="8">
        <f>SUM($BB178,$AI178:AN178)-SUM($BY178:CE178)</f>
        <v>0</v>
      </c>
      <c r="BM178" s="8">
        <f>SUM($BB178,$AI178:AO178)-SUM($BY178:CF178)</f>
        <v>0</v>
      </c>
      <c r="BN178" s="8">
        <f>SUM($BB178,$AI178:AP178)-SUM($BY178:CG178)</f>
        <v>-100</v>
      </c>
      <c r="BO178" s="8">
        <f>SUM($BB178,$AI178:AQ178)-SUM($BY178:CH178)</f>
        <v>-250</v>
      </c>
      <c r="BP178" s="8">
        <f>SUM($BB178,$AI178:AR178)-SUM($BY178:CI178)</f>
        <v>-500</v>
      </c>
      <c r="BQ178" s="8">
        <f>SUM($BB178,$AI178:AS178)-SUM($BY178:CJ178)</f>
        <v>-700</v>
      </c>
      <c r="BR178" s="8">
        <f>SUM($BB178,$AI178:AT178)-SUM($BY178:CK178)</f>
        <v>-900</v>
      </c>
      <c r="BS178" s="8">
        <f>SUM($BB178,$AI178:AU178)-SUM($BY178:CL178)</f>
        <v>-1100</v>
      </c>
      <c r="BT178" s="8">
        <f>SUM($BB178,$AI178:AV178)-SUM($BY178:CM178)</f>
        <v>-1400</v>
      </c>
      <c r="BU178" s="8">
        <f>SUM($BB178,$AI178:AW178)-SUM($BY178:CN178)</f>
        <v>-1660</v>
      </c>
      <c r="BV178" s="8">
        <f>SUM($BB178,$AI178:AX178)-SUM($BY178:CO178)</f>
        <v>-1660</v>
      </c>
      <c r="BW178" s="8">
        <f>SUM($BB178,$AI178:AY178)-SUM($BY178:CP178)</f>
        <v>-1660</v>
      </c>
      <c r="BX178" s="8">
        <f>SUM($BB178,$AI178:AZ178)-SUM($BY178:CQ178)</f>
        <v>-1660</v>
      </c>
      <c r="BY178" s="8" cm="1">
        <f t="array" ref="BY178">SUMPRODUCT(TRANSPOSE(BY$2:BY$15),$I178:$V178)</f>
        <v>0</v>
      </c>
      <c r="BZ178" s="8" cm="1">
        <f t="array" ref="BZ178">SUMPRODUCT(TRANSPOSE(BZ$2:BZ$15),$I178:$V178)</f>
        <v>0</v>
      </c>
      <c r="CA178" s="8" cm="1">
        <f t="array" ref="CA178">SUMPRODUCT(TRANSPOSE(CA$2:CA$15),$I178:$V178)</f>
        <v>0</v>
      </c>
      <c r="CB178" s="8" cm="1">
        <f t="array" ref="CB178">SUMPRODUCT(TRANSPOSE(CB$2:CB$15),$I178:$V178)</f>
        <v>0</v>
      </c>
      <c r="CC178" s="8" cm="1">
        <f t="array" ref="CC178">SUMPRODUCT(TRANSPOSE(CC$2:CC$15),$I178:$V178)</f>
        <v>0</v>
      </c>
      <c r="CD178" s="8" cm="1">
        <f t="array" ref="CD178">SUMPRODUCT(TRANSPOSE(CD$2:CD$15),$I178:$V178)</f>
        <v>0</v>
      </c>
      <c r="CE178" s="8" cm="1">
        <f t="array" ref="CE178">SUMPRODUCT(TRANSPOSE(CE$2:CE$15),$I178:$V178)</f>
        <v>0</v>
      </c>
      <c r="CF178" s="8" cm="1">
        <f t="array" ref="CF178">SUMPRODUCT(TRANSPOSE(CF$2:CF$15),$I178:$V178)</f>
        <v>0</v>
      </c>
      <c r="CG178" s="8" cm="1">
        <f t="array" ref="CG178">SUMPRODUCT(TRANSPOSE(CG$2:CG$15),$I178:$V178)</f>
        <v>100</v>
      </c>
      <c r="CH178" s="8" cm="1">
        <f t="array" ref="CH178">SUMPRODUCT(TRANSPOSE(CH$2:CH$15),$I178:$V178)</f>
        <v>150</v>
      </c>
      <c r="CI178" s="8" cm="1">
        <f t="array" ref="CI178">SUMPRODUCT(TRANSPOSE(CI$2:CI$15),$I178:$V178)</f>
        <v>250</v>
      </c>
      <c r="CJ178" s="8" cm="1">
        <f t="array" ref="CJ178">SUMPRODUCT(TRANSPOSE(CJ$2:CJ$15),$I178:$V178)</f>
        <v>200</v>
      </c>
      <c r="CK178" s="8" cm="1">
        <f t="array" ref="CK178">SUMPRODUCT(TRANSPOSE(CK$2:CK$15),$I178:$V178)</f>
        <v>200</v>
      </c>
      <c r="CL178" s="8" cm="1">
        <f t="array" ref="CL178">SUMPRODUCT(TRANSPOSE(CL$2:CL$15),$I178:$V178)</f>
        <v>200</v>
      </c>
      <c r="CM178" s="8" cm="1">
        <f t="array" ref="CM178">SUMPRODUCT(TRANSPOSE(CM$2:CM$15),$I178:$V178)</f>
        <v>300</v>
      </c>
      <c r="CN178" s="8" cm="1">
        <f t="array" ref="CN178">SUMPRODUCT(TRANSPOSE(CN$2:CN$15),$I178:$V178)</f>
        <v>260</v>
      </c>
      <c r="CO178" s="8" cm="1">
        <f t="array" ref="CO178">SUMPRODUCT(TRANSPOSE(CO$2:CO$15),$I178:$V178)</f>
        <v>0</v>
      </c>
      <c r="CP178" s="8" cm="1">
        <f t="array" ref="CP178">SUMPRODUCT(TRANSPOSE(CP$2:CP$15),$I178:$V178)</f>
        <v>0</v>
      </c>
      <c r="CQ178" s="8" cm="1">
        <f t="array" ref="CQ178">SUMPRODUCT(TRANSPOSE(CQ$2:CQ$15),$I178:$V178)</f>
        <v>0</v>
      </c>
    </row>
    <row r="179" spans="1:95" x14ac:dyDescent="0.25">
      <c r="A179" s="1">
        <v>300</v>
      </c>
      <c r="B179" s="11" t="s">
        <v>488</v>
      </c>
      <c r="C179" s="1" t="s">
        <v>49</v>
      </c>
      <c r="D179" s="1">
        <v>405584339</v>
      </c>
      <c r="E179" s="6">
        <f>VLOOKUP(D179,FFF!$A$2:$B$674,2,)</f>
        <v>406483066</v>
      </c>
      <c r="F179" s="1" t="s">
        <v>489</v>
      </c>
      <c r="G179" s="1" t="s">
        <v>35</v>
      </c>
      <c r="H179" s="1">
        <v>2</v>
      </c>
      <c r="I179" s="1">
        <v>0</v>
      </c>
      <c r="J179" s="1">
        <v>0</v>
      </c>
      <c r="K179" s="1">
        <v>0</v>
      </c>
      <c r="L179" s="1">
        <v>0</v>
      </c>
      <c r="M179" s="1">
        <v>1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1</v>
      </c>
      <c r="W179" s="1">
        <f>SUMPRODUCT(I179:V179,$I$13:$V$13)</f>
        <v>3210</v>
      </c>
      <c r="X179" s="6">
        <f t="shared" si="4"/>
        <v>0.41599999999999998</v>
      </c>
      <c r="Y179" s="1" t="str">
        <f>VLOOKUP(D179,[1]PARTS!$A$1:$G$65536,7,0)</f>
        <v>TEXAS INSTRUMENTS INC</v>
      </c>
      <c r="Z179" s="1">
        <f>VLOOKUP(D179,[2]pareto!$D$12:$AX$306,44,0)</f>
        <v>2000</v>
      </c>
      <c r="AA179" s="1">
        <f>VLOOKUP(D179,[2]pareto!$D$12:$AX$306,45,0)</f>
        <v>2000</v>
      </c>
      <c r="AB179" s="1">
        <f>CEILING(W179,Z179)</f>
        <v>4000</v>
      </c>
      <c r="AC179" s="1">
        <v>0.20799999999999999</v>
      </c>
      <c r="AD179" s="1" t="s">
        <v>107</v>
      </c>
      <c r="AE179" s="1" t="s">
        <v>108</v>
      </c>
      <c r="AF179" s="19" t="s">
        <v>109</v>
      </c>
      <c r="AG179" s="1" t="s">
        <v>110</v>
      </c>
      <c r="BG179" s="8">
        <f>SUM($BB179,$AI179:AI179)-SUM($BY179:BZ179)</f>
        <v>0</v>
      </c>
      <c r="BH179" s="8">
        <f>SUM($BB179,$AI179:AJ179)-SUM($BY179:CA179)</f>
        <v>0</v>
      </c>
      <c r="BI179" s="8">
        <f>SUM($BB179,$AI179:AK179)-SUM($BY179:CB179)</f>
        <v>0</v>
      </c>
      <c r="BJ179" s="8">
        <f>SUM($BB179,$AI179:AL179)-SUM($BY179:CC179)</f>
        <v>0</v>
      </c>
      <c r="BK179" s="8">
        <f>SUM($BB179,$AI179:AM179)-SUM($BY179:CD179)</f>
        <v>0</v>
      </c>
      <c r="BL179" s="8">
        <f>SUM($BB179,$AI179:AN179)-SUM($BY179:CE179)</f>
        <v>0</v>
      </c>
      <c r="BM179" s="8">
        <f>SUM($BB179,$AI179:AO179)-SUM($BY179:CF179)</f>
        <v>0</v>
      </c>
      <c r="BN179" s="8">
        <f>SUM($BB179,$AI179:AP179)-SUM($BY179:CG179)</f>
        <v>-100</v>
      </c>
      <c r="BO179" s="8">
        <f>SUM($BB179,$AI179:AQ179)-SUM($BY179:CH179)</f>
        <v>-350</v>
      </c>
      <c r="BP179" s="8">
        <f>SUM($BB179,$AI179:AR179)-SUM($BY179:CI179)</f>
        <v>-750</v>
      </c>
      <c r="BQ179" s="8">
        <f>SUM($BB179,$AI179:AS179)-SUM($BY179:CJ179)</f>
        <v>-1220</v>
      </c>
      <c r="BR179" s="8">
        <f>SUM($BB179,$AI179:AT179)-SUM($BY179:CK179)</f>
        <v>-1620</v>
      </c>
      <c r="BS179" s="8">
        <f>SUM($BB179,$AI179:AU179)-SUM($BY179:CL179)</f>
        <v>-1970</v>
      </c>
      <c r="BT179" s="8">
        <f>SUM($BB179,$AI179:AV179)-SUM($BY179:CM179)</f>
        <v>-2410</v>
      </c>
      <c r="BU179" s="8">
        <f>SUM($BB179,$AI179:AW179)-SUM($BY179:CN179)</f>
        <v>-2950</v>
      </c>
      <c r="BV179" s="8">
        <f>SUM($BB179,$AI179:AX179)-SUM($BY179:CO179)</f>
        <v>-3210</v>
      </c>
      <c r="BW179" s="8">
        <f>SUM($BB179,$AI179:AY179)-SUM($BY179:CP179)</f>
        <v>-3210</v>
      </c>
      <c r="BX179" s="8">
        <f>SUM($BB179,$AI179:AZ179)-SUM($BY179:CQ179)</f>
        <v>-3210</v>
      </c>
      <c r="BY179" s="8" cm="1">
        <f t="array" ref="BY179">SUMPRODUCT(TRANSPOSE(BY$2:BY$15),$I179:$V179)</f>
        <v>0</v>
      </c>
      <c r="BZ179" s="8" cm="1">
        <f t="array" ref="BZ179">SUMPRODUCT(TRANSPOSE(BZ$2:BZ$15),$I179:$V179)</f>
        <v>0</v>
      </c>
      <c r="CA179" s="8" cm="1">
        <f t="array" ref="CA179">SUMPRODUCT(TRANSPOSE(CA$2:CA$15),$I179:$V179)</f>
        <v>0</v>
      </c>
      <c r="CB179" s="8" cm="1">
        <f t="array" ref="CB179">SUMPRODUCT(TRANSPOSE(CB$2:CB$15),$I179:$V179)</f>
        <v>0</v>
      </c>
      <c r="CC179" s="8" cm="1">
        <f t="array" ref="CC179">SUMPRODUCT(TRANSPOSE(CC$2:CC$15),$I179:$V179)</f>
        <v>0</v>
      </c>
      <c r="CD179" s="8" cm="1">
        <f t="array" ref="CD179">SUMPRODUCT(TRANSPOSE(CD$2:CD$15),$I179:$V179)</f>
        <v>0</v>
      </c>
      <c r="CE179" s="8" cm="1">
        <f t="array" ref="CE179">SUMPRODUCT(TRANSPOSE(CE$2:CE$15),$I179:$V179)</f>
        <v>0</v>
      </c>
      <c r="CF179" s="8" cm="1">
        <f t="array" ref="CF179">SUMPRODUCT(TRANSPOSE(CF$2:CF$15),$I179:$V179)</f>
        <v>0</v>
      </c>
      <c r="CG179" s="8" cm="1">
        <f t="array" ref="CG179">SUMPRODUCT(TRANSPOSE(CG$2:CG$15),$I179:$V179)</f>
        <v>100</v>
      </c>
      <c r="CH179" s="8" cm="1">
        <f t="array" ref="CH179">SUMPRODUCT(TRANSPOSE(CH$2:CH$15),$I179:$V179)</f>
        <v>250</v>
      </c>
      <c r="CI179" s="8" cm="1">
        <f t="array" ref="CI179">SUMPRODUCT(TRANSPOSE(CI$2:CI$15),$I179:$V179)</f>
        <v>400</v>
      </c>
      <c r="CJ179" s="8" cm="1">
        <f t="array" ref="CJ179">SUMPRODUCT(TRANSPOSE(CJ$2:CJ$15),$I179:$V179)</f>
        <v>470</v>
      </c>
      <c r="CK179" s="8" cm="1">
        <f t="array" ref="CK179">SUMPRODUCT(TRANSPOSE(CK$2:CK$15),$I179:$V179)</f>
        <v>400</v>
      </c>
      <c r="CL179" s="8" cm="1">
        <f t="array" ref="CL179">SUMPRODUCT(TRANSPOSE(CL$2:CL$15),$I179:$V179)</f>
        <v>350</v>
      </c>
      <c r="CM179" s="8" cm="1">
        <f t="array" ref="CM179">SUMPRODUCT(TRANSPOSE(CM$2:CM$15),$I179:$V179)</f>
        <v>440</v>
      </c>
      <c r="CN179" s="8" cm="1">
        <f t="array" ref="CN179">SUMPRODUCT(TRANSPOSE(CN$2:CN$15),$I179:$V179)</f>
        <v>540</v>
      </c>
      <c r="CO179" s="8" cm="1">
        <f t="array" ref="CO179">SUMPRODUCT(TRANSPOSE(CO$2:CO$15),$I179:$V179)</f>
        <v>260</v>
      </c>
      <c r="CP179" s="8" cm="1">
        <f t="array" ref="CP179">SUMPRODUCT(TRANSPOSE(CP$2:CP$15),$I179:$V179)</f>
        <v>0</v>
      </c>
      <c r="CQ179" s="8" cm="1">
        <f t="array" ref="CQ179">SUMPRODUCT(TRANSPOSE(CQ$2:CQ$15),$I179:$V179)</f>
        <v>0</v>
      </c>
    </row>
    <row r="180" spans="1:95" x14ac:dyDescent="0.25">
      <c r="A180" s="1">
        <v>249</v>
      </c>
      <c r="B180" s="11" t="s">
        <v>490</v>
      </c>
      <c r="C180" s="1" t="s">
        <v>49</v>
      </c>
      <c r="D180" s="1">
        <v>512306754</v>
      </c>
      <c r="E180" s="6"/>
      <c r="F180" s="1" t="s">
        <v>419</v>
      </c>
      <c r="G180" s="1" t="s">
        <v>35</v>
      </c>
      <c r="H180" s="1">
        <v>4</v>
      </c>
      <c r="I180" s="1">
        <v>0</v>
      </c>
      <c r="J180" s="1">
        <v>2</v>
      </c>
      <c r="K180" s="1">
        <v>0</v>
      </c>
      <c r="L180" s="1">
        <v>0</v>
      </c>
      <c r="M180" s="1">
        <v>0</v>
      </c>
      <c r="N180" s="1">
        <v>0</v>
      </c>
      <c r="O180" s="1">
        <v>2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f>SUMPRODUCT(I180:V180,$I$13:$V$13)</f>
        <v>6420</v>
      </c>
      <c r="X180" s="6">
        <f t="shared" si="4"/>
        <v>0.6</v>
      </c>
      <c r="Y180" s="1" t="str">
        <f>VLOOKUP(D180,[1]PARTS!$A$1:$G$65536,7,0)</f>
        <v>NAS/NASM NATIONAL AEROSPACE STD</v>
      </c>
      <c r="Z180" s="1">
        <v>1</v>
      </c>
      <c r="AA180" s="1">
        <f>CEILING(W180,Z180)</f>
        <v>6420</v>
      </c>
      <c r="AB180" s="1">
        <f>CEILING(W180,Z180)</f>
        <v>6420</v>
      </c>
      <c r="AC180" s="1">
        <v>0.15</v>
      </c>
      <c r="AD180" s="1" t="s">
        <v>413</v>
      </c>
      <c r="AE180" s="1" t="s">
        <v>325</v>
      </c>
      <c r="AF180" s="19" t="s">
        <v>326</v>
      </c>
      <c r="AG180" s="1" t="s">
        <v>327</v>
      </c>
      <c r="BG180" s="8">
        <f>SUM($BB180,$AI180:AI180)-SUM($BY180:BZ180)</f>
        <v>0</v>
      </c>
      <c r="BH180" s="8">
        <f>SUM($BB180,$AI180:AJ180)-SUM($BY180:CA180)</f>
        <v>0</v>
      </c>
      <c r="BI180" s="8">
        <f>SUM($BB180,$AI180:AK180)-SUM($BY180:CB180)</f>
        <v>0</v>
      </c>
      <c r="BJ180" s="8">
        <f>SUM($BB180,$AI180:AL180)-SUM($BY180:CC180)</f>
        <v>0</v>
      </c>
      <c r="BK180" s="8">
        <f>SUM($BB180,$AI180:AM180)-SUM($BY180:CD180)</f>
        <v>0</v>
      </c>
      <c r="BL180" s="8">
        <f>SUM($BB180,$AI180:AN180)-SUM($BY180:CE180)</f>
        <v>0</v>
      </c>
      <c r="BM180" s="8">
        <f>SUM($BB180,$AI180:AO180)-SUM($BY180:CF180)</f>
        <v>0</v>
      </c>
      <c r="BN180" s="8">
        <f>SUM($BB180,$AI180:AP180)-SUM($BY180:CG180)</f>
        <v>0</v>
      </c>
      <c r="BO180" s="8">
        <f>SUM($BB180,$AI180:AQ180)-SUM($BY180:CH180)</f>
        <v>0</v>
      </c>
      <c r="BP180" s="8">
        <f>SUM($BB180,$AI180:AR180)-SUM($BY180:CI180)</f>
        <v>-400</v>
      </c>
      <c r="BQ180" s="8">
        <f>SUM($BB180,$AI180:AS180)-SUM($BY180:CJ180)</f>
        <v>-1000</v>
      </c>
      <c r="BR180" s="8">
        <f>SUM($BB180,$AI180:AT180)-SUM($BY180:CK180)</f>
        <v>-2000</v>
      </c>
      <c r="BS180" s="8">
        <f>SUM($BB180,$AI180:AU180)-SUM($BY180:CL180)</f>
        <v>-2840</v>
      </c>
      <c r="BT180" s="8">
        <f>SUM($BB180,$AI180:AV180)-SUM($BY180:CM180)</f>
        <v>-3640</v>
      </c>
      <c r="BU180" s="8">
        <f>SUM($BB180,$AI180:AW180)-SUM($BY180:CN180)</f>
        <v>-4340</v>
      </c>
      <c r="BV180" s="8">
        <f>SUM($BB180,$AI180:AX180)-SUM($BY180:CO180)</f>
        <v>-5420</v>
      </c>
      <c r="BW180" s="8">
        <f>SUM($BB180,$AI180:AY180)-SUM($BY180:CP180)</f>
        <v>-6420</v>
      </c>
      <c r="BX180" s="8">
        <f>SUM($BB180,$AI180:AZ180)-SUM($BY180:CQ180)</f>
        <v>-6420</v>
      </c>
      <c r="BY180" s="8" cm="1">
        <f t="array" ref="BY180">SUMPRODUCT(TRANSPOSE(BY$2:BY$15),$I180:$V180)</f>
        <v>0</v>
      </c>
      <c r="BZ180" s="8" cm="1">
        <f t="array" ref="BZ180">SUMPRODUCT(TRANSPOSE(BZ$2:BZ$15),$I180:$V180)</f>
        <v>0</v>
      </c>
      <c r="CA180" s="8" cm="1">
        <f t="array" ref="CA180">SUMPRODUCT(TRANSPOSE(CA$2:CA$15),$I180:$V180)</f>
        <v>0</v>
      </c>
      <c r="CB180" s="8" cm="1">
        <f t="array" ref="CB180">SUMPRODUCT(TRANSPOSE(CB$2:CB$15),$I180:$V180)</f>
        <v>0</v>
      </c>
      <c r="CC180" s="8" cm="1">
        <f t="array" ref="CC180">SUMPRODUCT(TRANSPOSE(CC$2:CC$15),$I180:$V180)</f>
        <v>0</v>
      </c>
      <c r="CD180" s="8" cm="1">
        <f t="array" ref="CD180">SUMPRODUCT(TRANSPOSE(CD$2:CD$15),$I180:$V180)</f>
        <v>0</v>
      </c>
      <c r="CE180" s="8" cm="1">
        <f t="array" ref="CE180">SUMPRODUCT(TRANSPOSE(CE$2:CE$15),$I180:$V180)</f>
        <v>0</v>
      </c>
      <c r="CF180" s="8" cm="1">
        <f t="array" ref="CF180">SUMPRODUCT(TRANSPOSE(CF$2:CF$15),$I180:$V180)</f>
        <v>0</v>
      </c>
      <c r="CG180" s="8" cm="1">
        <f t="array" ref="CG180">SUMPRODUCT(TRANSPOSE(CG$2:CG$15),$I180:$V180)</f>
        <v>0</v>
      </c>
      <c r="CH180" s="8" cm="1">
        <f t="array" ref="CH180">SUMPRODUCT(TRANSPOSE(CH$2:CH$15),$I180:$V180)</f>
        <v>0</v>
      </c>
      <c r="CI180" s="8" cm="1">
        <f t="array" ref="CI180">SUMPRODUCT(TRANSPOSE(CI$2:CI$15),$I180:$V180)</f>
        <v>400</v>
      </c>
      <c r="CJ180" s="8" cm="1">
        <f t="array" ref="CJ180">SUMPRODUCT(TRANSPOSE(CJ$2:CJ$15),$I180:$V180)</f>
        <v>600</v>
      </c>
      <c r="CK180" s="8" cm="1">
        <f t="array" ref="CK180">SUMPRODUCT(TRANSPOSE(CK$2:CK$15),$I180:$V180)</f>
        <v>1000</v>
      </c>
      <c r="CL180" s="8" cm="1">
        <f t="array" ref="CL180">SUMPRODUCT(TRANSPOSE(CL$2:CL$15),$I180:$V180)</f>
        <v>840</v>
      </c>
      <c r="CM180" s="8" cm="1">
        <f t="array" ref="CM180">SUMPRODUCT(TRANSPOSE(CM$2:CM$15),$I180:$V180)</f>
        <v>800</v>
      </c>
      <c r="CN180" s="8" cm="1">
        <f t="array" ref="CN180">SUMPRODUCT(TRANSPOSE(CN$2:CN$15),$I180:$V180)</f>
        <v>700</v>
      </c>
      <c r="CO180" s="8" cm="1">
        <f t="array" ref="CO180">SUMPRODUCT(TRANSPOSE(CO$2:CO$15),$I180:$V180)</f>
        <v>1080</v>
      </c>
      <c r="CP180" s="8" cm="1">
        <f t="array" ref="CP180">SUMPRODUCT(TRANSPOSE(CP$2:CP$15),$I180:$V180)</f>
        <v>1000</v>
      </c>
      <c r="CQ180" s="8" cm="1">
        <f t="array" ref="CQ180">SUMPRODUCT(TRANSPOSE(CQ$2:CQ$15),$I180:$V180)</f>
        <v>0</v>
      </c>
    </row>
    <row r="181" spans="1:95" x14ac:dyDescent="0.25">
      <c r="A181" s="1">
        <v>85</v>
      </c>
      <c r="B181" s="11" t="s">
        <v>491</v>
      </c>
      <c r="C181" s="1" t="s">
        <v>49</v>
      </c>
      <c r="D181" s="1">
        <v>417531783</v>
      </c>
      <c r="E181" s="6">
        <f>VLOOKUP(D181,FFF!$A$2:$B$674,2,)</f>
        <v>400481171</v>
      </c>
      <c r="F181" s="1" t="s">
        <v>492</v>
      </c>
      <c r="G181" s="1" t="s">
        <v>35</v>
      </c>
      <c r="H181" s="1">
        <v>5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5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f>SUMPRODUCT(I181:V181,$I$13:$V$13)</f>
        <v>8300</v>
      </c>
      <c r="X181" s="6">
        <f t="shared" si="4"/>
        <v>0.42000000000000004</v>
      </c>
      <c r="Y181" s="1" t="str">
        <f>VLOOKUP(D181,[1]PARTS!$A$1:$G$65536,7,0)</f>
        <v>VISHAY EUROPE SALE GMBH</v>
      </c>
      <c r="Z181" s="1">
        <v>2000</v>
      </c>
      <c r="AA181" s="1">
        <v>8200</v>
      </c>
      <c r="AB181" s="1">
        <f>CEILING(W181,Z181)</f>
        <v>10000</v>
      </c>
      <c r="AC181" s="1">
        <f>VLOOKUP(D181,[2]pareto!$D$12:$AX$306,47,0)</f>
        <v>8.4000000000000005E-2</v>
      </c>
      <c r="AD181" s="1" t="s">
        <v>250</v>
      </c>
      <c r="AE181" s="1" t="s">
        <v>251</v>
      </c>
      <c r="AF181" s="19" t="s">
        <v>252</v>
      </c>
      <c r="AG181" s="1" t="s">
        <v>253</v>
      </c>
      <c r="BG181" s="8">
        <f>SUM($BB181,$AI181:AI181)-SUM($BY181:BZ181)</f>
        <v>0</v>
      </c>
      <c r="BH181" s="8">
        <f>SUM($BB181,$AI181:AJ181)-SUM($BY181:CA181)</f>
        <v>0</v>
      </c>
      <c r="BI181" s="8">
        <f>SUM($BB181,$AI181:AK181)-SUM($BY181:CB181)</f>
        <v>0</v>
      </c>
      <c r="BJ181" s="8">
        <f>SUM($BB181,$AI181:AL181)-SUM($BY181:CC181)</f>
        <v>0</v>
      </c>
      <c r="BK181" s="8">
        <f>SUM($BB181,$AI181:AM181)-SUM($BY181:CD181)</f>
        <v>0</v>
      </c>
      <c r="BL181" s="8">
        <f>SUM($BB181,$AI181:AN181)-SUM($BY181:CE181)</f>
        <v>0</v>
      </c>
      <c r="BM181" s="8">
        <f>SUM($BB181,$AI181:AO181)-SUM($BY181:CF181)</f>
        <v>0</v>
      </c>
      <c r="BN181" s="8">
        <f>SUM($BB181,$AI181:AP181)-SUM($BY181:CG181)</f>
        <v>-500</v>
      </c>
      <c r="BO181" s="8">
        <f>SUM($BB181,$AI181:AQ181)-SUM($BY181:CH181)</f>
        <v>-1250</v>
      </c>
      <c r="BP181" s="8">
        <f>SUM($BB181,$AI181:AR181)-SUM($BY181:CI181)</f>
        <v>-2500</v>
      </c>
      <c r="BQ181" s="8">
        <f>SUM($BB181,$AI181:AS181)-SUM($BY181:CJ181)</f>
        <v>-3500</v>
      </c>
      <c r="BR181" s="8">
        <f>SUM($BB181,$AI181:AT181)-SUM($BY181:CK181)</f>
        <v>-4500</v>
      </c>
      <c r="BS181" s="8">
        <f>SUM($BB181,$AI181:AU181)-SUM($BY181:CL181)</f>
        <v>-5500</v>
      </c>
      <c r="BT181" s="8">
        <f>SUM($BB181,$AI181:AV181)-SUM($BY181:CM181)</f>
        <v>-7000</v>
      </c>
      <c r="BU181" s="8">
        <f>SUM($BB181,$AI181:AW181)-SUM($BY181:CN181)</f>
        <v>-8300</v>
      </c>
      <c r="BV181" s="8">
        <f>SUM($BB181,$AI181:AX181)-SUM($BY181:CO181)</f>
        <v>-8300</v>
      </c>
      <c r="BW181" s="8">
        <f>SUM($BB181,$AI181:AY181)-SUM($BY181:CP181)</f>
        <v>-8300</v>
      </c>
      <c r="BX181" s="8">
        <f>SUM($BB181,$AI181:AZ181)-SUM($BY181:CQ181)</f>
        <v>-8300</v>
      </c>
      <c r="BY181" s="8" cm="1">
        <f t="array" ref="BY181">SUMPRODUCT(TRANSPOSE(BY$2:BY$15),$I181:$V181)</f>
        <v>0</v>
      </c>
      <c r="BZ181" s="8" cm="1">
        <f t="array" ref="BZ181">SUMPRODUCT(TRANSPOSE(BZ$2:BZ$15),$I181:$V181)</f>
        <v>0</v>
      </c>
      <c r="CA181" s="8" cm="1">
        <f t="array" ref="CA181">SUMPRODUCT(TRANSPOSE(CA$2:CA$15),$I181:$V181)</f>
        <v>0</v>
      </c>
      <c r="CB181" s="8" cm="1">
        <f t="array" ref="CB181">SUMPRODUCT(TRANSPOSE(CB$2:CB$15),$I181:$V181)</f>
        <v>0</v>
      </c>
      <c r="CC181" s="8" cm="1">
        <f t="array" ref="CC181">SUMPRODUCT(TRANSPOSE(CC$2:CC$15),$I181:$V181)</f>
        <v>0</v>
      </c>
      <c r="CD181" s="8" cm="1">
        <f t="array" ref="CD181">SUMPRODUCT(TRANSPOSE(CD$2:CD$15),$I181:$V181)</f>
        <v>0</v>
      </c>
      <c r="CE181" s="8" cm="1">
        <f t="array" ref="CE181">SUMPRODUCT(TRANSPOSE(CE$2:CE$15),$I181:$V181)</f>
        <v>0</v>
      </c>
      <c r="CF181" s="8" cm="1">
        <f t="array" ref="CF181">SUMPRODUCT(TRANSPOSE(CF$2:CF$15),$I181:$V181)</f>
        <v>0</v>
      </c>
      <c r="CG181" s="8" cm="1">
        <f t="array" ref="CG181">SUMPRODUCT(TRANSPOSE(CG$2:CG$15),$I181:$V181)</f>
        <v>500</v>
      </c>
      <c r="CH181" s="8" cm="1">
        <f t="array" ref="CH181">SUMPRODUCT(TRANSPOSE(CH$2:CH$15),$I181:$V181)</f>
        <v>750</v>
      </c>
      <c r="CI181" s="8" cm="1">
        <f t="array" ref="CI181">SUMPRODUCT(TRANSPOSE(CI$2:CI$15),$I181:$V181)</f>
        <v>1250</v>
      </c>
      <c r="CJ181" s="8" cm="1">
        <f t="array" ref="CJ181">SUMPRODUCT(TRANSPOSE(CJ$2:CJ$15),$I181:$V181)</f>
        <v>1000</v>
      </c>
      <c r="CK181" s="8" cm="1">
        <f t="array" ref="CK181">SUMPRODUCT(TRANSPOSE(CK$2:CK$15),$I181:$V181)</f>
        <v>1000</v>
      </c>
      <c r="CL181" s="8" cm="1">
        <f t="array" ref="CL181">SUMPRODUCT(TRANSPOSE(CL$2:CL$15),$I181:$V181)</f>
        <v>1000</v>
      </c>
      <c r="CM181" s="8" cm="1">
        <f t="array" ref="CM181">SUMPRODUCT(TRANSPOSE(CM$2:CM$15),$I181:$V181)</f>
        <v>1500</v>
      </c>
      <c r="CN181" s="8" cm="1">
        <f t="array" ref="CN181">SUMPRODUCT(TRANSPOSE(CN$2:CN$15),$I181:$V181)</f>
        <v>1300</v>
      </c>
      <c r="CO181" s="8" cm="1">
        <f t="array" ref="CO181">SUMPRODUCT(TRANSPOSE(CO$2:CO$15),$I181:$V181)</f>
        <v>0</v>
      </c>
      <c r="CP181" s="8" cm="1">
        <f t="array" ref="CP181">SUMPRODUCT(TRANSPOSE(CP$2:CP$15),$I181:$V181)</f>
        <v>0</v>
      </c>
      <c r="CQ181" s="8" cm="1">
        <f t="array" ref="CQ181">SUMPRODUCT(TRANSPOSE(CQ$2:CQ$15),$I181:$V181)</f>
        <v>0</v>
      </c>
    </row>
    <row r="182" spans="1:95" x14ac:dyDescent="0.25">
      <c r="A182" s="1">
        <v>111</v>
      </c>
      <c r="B182" s="11" t="s">
        <v>493</v>
      </c>
      <c r="C182" s="1" t="s">
        <v>49</v>
      </c>
      <c r="D182" s="1">
        <v>415416207</v>
      </c>
      <c r="E182" s="6"/>
      <c r="F182" s="1" t="s">
        <v>494</v>
      </c>
      <c r="G182" s="1" t="s">
        <v>35</v>
      </c>
      <c r="H182" s="1">
        <v>2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2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f>SUMPRODUCT(I182:V182,$I$13:$V$13)</f>
        <v>3320</v>
      </c>
      <c r="X182" s="6">
        <f t="shared" si="4"/>
        <v>0.91400000000000003</v>
      </c>
      <c r="Y182" s="1" t="str">
        <f>VLOOKUP(D182,[1]PARTS!$A$1:$G$65536,7,0)</f>
        <v>AMERICAN TECHNICAL CERAMICS DIV. OF</v>
      </c>
      <c r="Z182" s="1">
        <f>VLOOKUP(D182,[2]pareto!$D$12:$AX$306,44,0)</f>
        <v>2000</v>
      </c>
      <c r="AA182" s="1">
        <f>VLOOKUP(D182,[2]pareto!$D$12:$AX$306,45,0)</f>
        <v>2000</v>
      </c>
      <c r="AB182" s="1">
        <f>CEILING(W182,Z182)</f>
        <v>4000</v>
      </c>
      <c r="AC182" s="1">
        <f>VLOOKUP(D182,[2]pareto!$D$12:$AX$306,47,0)</f>
        <v>0.45700000000000002</v>
      </c>
      <c r="AD182" s="1" t="s">
        <v>85</v>
      </c>
      <c r="AE182" s="1" t="s">
        <v>86</v>
      </c>
      <c r="AF182" s="19" t="s">
        <v>87</v>
      </c>
      <c r="AG182" s="1" t="s">
        <v>88</v>
      </c>
      <c r="BG182" s="8">
        <f>SUM($BB182,$AI182:AI182)-SUM($BY182:BZ182)</f>
        <v>0</v>
      </c>
      <c r="BH182" s="8">
        <f>SUM($BB182,$AI182:AJ182)-SUM($BY182:CA182)</f>
        <v>0</v>
      </c>
      <c r="BI182" s="8">
        <f>SUM($BB182,$AI182:AK182)-SUM($BY182:CB182)</f>
        <v>0</v>
      </c>
      <c r="BJ182" s="8">
        <f>SUM($BB182,$AI182:AL182)-SUM($BY182:CC182)</f>
        <v>0</v>
      </c>
      <c r="BK182" s="8">
        <f>SUM($BB182,$AI182:AM182)-SUM($BY182:CD182)</f>
        <v>0</v>
      </c>
      <c r="BL182" s="8">
        <f>SUM($BB182,$AI182:AN182)-SUM($BY182:CE182)</f>
        <v>0</v>
      </c>
      <c r="BM182" s="8">
        <f>SUM($BB182,$AI182:AO182)-SUM($BY182:CF182)</f>
        <v>0</v>
      </c>
      <c r="BN182" s="8">
        <f>SUM($BB182,$AI182:AP182)-SUM($BY182:CG182)</f>
        <v>-200</v>
      </c>
      <c r="BO182" s="8">
        <f>SUM($BB182,$AI182:AQ182)-SUM($BY182:CH182)</f>
        <v>-500</v>
      </c>
      <c r="BP182" s="8">
        <f>SUM($BB182,$AI182:AR182)-SUM($BY182:CI182)</f>
        <v>-1000</v>
      </c>
      <c r="BQ182" s="8">
        <f>SUM($BB182,$AI182:AS182)-SUM($BY182:CJ182)</f>
        <v>-1400</v>
      </c>
      <c r="BR182" s="8">
        <f>SUM($BB182,$AI182:AT182)-SUM($BY182:CK182)</f>
        <v>-1800</v>
      </c>
      <c r="BS182" s="8">
        <f>SUM($BB182,$AI182:AU182)-SUM($BY182:CL182)</f>
        <v>-2200</v>
      </c>
      <c r="BT182" s="8">
        <f>SUM($BB182,$AI182:AV182)-SUM($BY182:CM182)</f>
        <v>-2800</v>
      </c>
      <c r="BU182" s="8">
        <f>SUM($BB182,$AI182:AW182)-SUM($BY182:CN182)</f>
        <v>-3320</v>
      </c>
      <c r="BV182" s="8">
        <f>SUM($BB182,$AI182:AX182)-SUM($BY182:CO182)</f>
        <v>-3320</v>
      </c>
      <c r="BW182" s="8">
        <f>SUM($BB182,$AI182:AY182)-SUM($BY182:CP182)</f>
        <v>-3320</v>
      </c>
      <c r="BX182" s="8">
        <f>SUM($BB182,$AI182:AZ182)-SUM($BY182:CQ182)</f>
        <v>-3320</v>
      </c>
      <c r="BY182" s="8" cm="1">
        <f t="array" ref="BY182">SUMPRODUCT(TRANSPOSE(BY$2:BY$15),$I182:$V182)</f>
        <v>0</v>
      </c>
      <c r="BZ182" s="8" cm="1">
        <f t="array" ref="BZ182">SUMPRODUCT(TRANSPOSE(BZ$2:BZ$15),$I182:$V182)</f>
        <v>0</v>
      </c>
      <c r="CA182" s="8" cm="1">
        <f t="array" ref="CA182">SUMPRODUCT(TRANSPOSE(CA$2:CA$15),$I182:$V182)</f>
        <v>0</v>
      </c>
      <c r="CB182" s="8" cm="1">
        <f t="array" ref="CB182">SUMPRODUCT(TRANSPOSE(CB$2:CB$15),$I182:$V182)</f>
        <v>0</v>
      </c>
      <c r="CC182" s="8" cm="1">
        <f t="array" ref="CC182">SUMPRODUCT(TRANSPOSE(CC$2:CC$15),$I182:$V182)</f>
        <v>0</v>
      </c>
      <c r="CD182" s="8" cm="1">
        <f t="array" ref="CD182">SUMPRODUCT(TRANSPOSE(CD$2:CD$15),$I182:$V182)</f>
        <v>0</v>
      </c>
      <c r="CE182" s="8" cm="1">
        <f t="array" ref="CE182">SUMPRODUCT(TRANSPOSE(CE$2:CE$15),$I182:$V182)</f>
        <v>0</v>
      </c>
      <c r="CF182" s="8" cm="1">
        <f t="array" ref="CF182">SUMPRODUCT(TRANSPOSE(CF$2:CF$15),$I182:$V182)</f>
        <v>0</v>
      </c>
      <c r="CG182" s="8" cm="1">
        <f t="array" ref="CG182">SUMPRODUCT(TRANSPOSE(CG$2:CG$15),$I182:$V182)</f>
        <v>200</v>
      </c>
      <c r="CH182" s="8" cm="1">
        <f t="array" ref="CH182">SUMPRODUCT(TRANSPOSE(CH$2:CH$15),$I182:$V182)</f>
        <v>300</v>
      </c>
      <c r="CI182" s="8" cm="1">
        <f t="array" ref="CI182">SUMPRODUCT(TRANSPOSE(CI$2:CI$15),$I182:$V182)</f>
        <v>500</v>
      </c>
      <c r="CJ182" s="8" cm="1">
        <f t="array" ref="CJ182">SUMPRODUCT(TRANSPOSE(CJ$2:CJ$15),$I182:$V182)</f>
        <v>400</v>
      </c>
      <c r="CK182" s="8" cm="1">
        <f t="array" ref="CK182">SUMPRODUCT(TRANSPOSE(CK$2:CK$15),$I182:$V182)</f>
        <v>400</v>
      </c>
      <c r="CL182" s="8" cm="1">
        <f t="array" ref="CL182">SUMPRODUCT(TRANSPOSE(CL$2:CL$15),$I182:$V182)</f>
        <v>400</v>
      </c>
      <c r="CM182" s="8" cm="1">
        <f t="array" ref="CM182">SUMPRODUCT(TRANSPOSE(CM$2:CM$15),$I182:$V182)</f>
        <v>600</v>
      </c>
      <c r="CN182" s="8" cm="1">
        <f t="array" ref="CN182">SUMPRODUCT(TRANSPOSE(CN$2:CN$15),$I182:$V182)</f>
        <v>520</v>
      </c>
      <c r="CO182" s="8" cm="1">
        <f t="array" ref="CO182">SUMPRODUCT(TRANSPOSE(CO$2:CO$15),$I182:$V182)</f>
        <v>0</v>
      </c>
      <c r="CP182" s="8" cm="1">
        <f t="array" ref="CP182">SUMPRODUCT(TRANSPOSE(CP$2:CP$15),$I182:$V182)</f>
        <v>0</v>
      </c>
      <c r="CQ182" s="8" cm="1">
        <f t="array" ref="CQ182">SUMPRODUCT(TRANSPOSE(CQ$2:CQ$15),$I182:$V182)</f>
        <v>0</v>
      </c>
    </row>
    <row r="183" spans="1:95" x14ac:dyDescent="0.25">
      <c r="A183" s="1">
        <v>6</v>
      </c>
      <c r="B183" s="11" t="s">
        <v>495</v>
      </c>
      <c r="C183" s="1" t="s">
        <v>49</v>
      </c>
      <c r="D183" s="1">
        <v>408260904</v>
      </c>
      <c r="E183" s="6">
        <f>VLOOKUP(D183,FFF!$A$2:$B$674,2,)</f>
        <v>408269977</v>
      </c>
      <c r="F183" s="1" t="s">
        <v>496</v>
      </c>
      <c r="G183" s="1" t="s">
        <v>35</v>
      </c>
      <c r="H183" s="1">
        <v>2</v>
      </c>
      <c r="I183" s="1">
        <v>0</v>
      </c>
      <c r="J183" s="1">
        <v>0</v>
      </c>
      <c r="K183" s="1">
        <v>0</v>
      </c>
      <c r="L183" s="1">
        <v>2</v>
      </c>
      <c r="M183" s="1">
        <v>0</v>
      </c>
      <c r="N183" s="1">
        <v>0</v>
      </c>
      <c r="O183" s="1">
        <v>0</v>
      </c>
      <c r="P183" s="1">
        <v>0</v>
      </c>
      <c r="Q183" s="1">
        <v>2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f>SUMPRODUCT(I183:V183,$I$13:$V$13)</f>
        <v>6420</v>
      </c>
      <c r="X183" s="6">
        <f t="shared" si="4"/>
        <v>0.34</v>
      </c>
      <c r="Y183" s="1" t="str">
        <f>VLOOKUP(D183,[1]PARTS!$A$1:$G$65536,7,0)</f>
        <v>COILCRAFT INC.</v>
      </c>
      <c r="Z183" s="1">
        <v>2000</v>
      </c>
      <c r="AA183" s="1">
        <v>2000</v>
      </c>
      <c r="AB183" s="1">
        <f>CEILING(W183,Z183)</f>
        <v>8000</v>
      </c>
      <c r="AC183" s="1">
        <f>VLOOKUP(D183,[2]pareto!$D$12:$AX$306,47,0)</f>
        <v>8.5000000000000006E-2</v>
      </c>
      <c r="AD183" s="1" t="s">
        <v>446</v>
      </c>
      <c r="AE183" s="1" t="s">
        <v>447</v>
      </c>
      <c r="AF183" s="19" t="s">
        <v>448</v>
      </c>
      <c r="AG183" s="1" t="s">
        <v>449</v>
      </c>
      <c r="BG183" s="8">
        <f>SUM($BB183,$AI183:AI183)-SUM($BY183:BZ183)</f>
        <v>0</v>
      </c>
      <c r="BH183" s="8">
        <f>SUM($BB183,$AI183:AJ183)-SUM($BY183:CA183)</f>
        <v>0</v>
      </c>
      <c r="BI183" s="8">
        <f>SUM($BB183,$AI183:AK183)-SUM($BY183:CB183)</f>
        <v>0</v>
      </c>
      <c r="BJ183" s="8">
        <f>SUM($BB183,$AI183:AL183)-SUM($BY183:CC183)</f>
        <v>0</v>
      </c>
      <c r="BK183" s="8">
        <f>SUM($BB183,$AI183:AM183)-SUM($BY183:CD183)</f>
        <v>0</v>
      </c>
      <c r="BL183" s="8">
        <f>SUM($BB183,$AI183:AN183)-SUM($BY183:CE183)</f>
        <v>0</v>
      </c>
      <c r="BM183" s="8">
        <f>SUM($BB183,$AI183:AO183)-SUM($BY183:CF183)</f>
        <v>0</v>
      </c>
      <c r="BN183" s="8">
        <f>SUM($BB183,$AI183:AP183)-SUM($BY183:CG183)</f>
        <v>-400</v>
      </c>
      <c r="BO183" s="8">
        <f>SUM($BB183,$AI183:AQ183)-SUM($BY183:CH183)</f>
        <v>-1000</v>
      </c>
      <c r="BP183" s="8">
        <f>SUM($BB183,$AI183:AR183)-SUM($BY183:CI183)</f>
        <v>-2000</v>
      </c>
      <c r="BQ183" s="8">
        <f>SUM($BB183,$AI183:AS183)-SUM($BY183:CJ183)</f>
        <v>-2840</v>
      </c>
      <c r="BR183" s="8">
        <f>SUM($BB183,$AI183:AT183)-SUM($BY183:CK183)</f>
        <v>-3640</v>
      </c>
      <c r="BS183" s="8">
        <f>SUM($BB183,$AI183:AU183)-SUM($BY183:CL183)</f>
        <v>-4340</v>
      </c>
      <c r="BT183" s="8">
        <f>SUM($BB183,$AI183:AV183)-SUM($BY183:CM183)</f>
        <v>-5420</v>
      </c>
      <c r="BU183" s="8">
        <f>SUM($BB183,$AI183:AW183)-SUM($BY183:CN183)</f>
        <v>-6420</v>
      </c>
      <c r="BV183" s="8">
        <f>SUM($BB183,$AI183:AX183)-SUM($BY183:CO183)</f>
        <v>-6420</v>
      </c>
      <c r="BW183" s="8">
        <f>SUM($BB183,$AI183:AY183)-SUM($BY183:CP183)</f>
        <v>-6420</v>
      </c>
      <c r="BX183" s="8">
        <f>SUM($BB183,$AI183:AZ183)-SUM($BY183:CQ183)</f>
        <v>-6420</v>
      </c>
      <c r="BY183" s="8" cm="1">
        <f t="array" ref="BY183">SUMPRODUCT(TRANSPOSE(BY$2:BY$15),$I183:$V183)</f>
        <v>0</v>
      </c>
      <c r="BZ183" s="8" cm="1">
        <f t="array" ref="BZ183">SUMPRODUCT(TRANSPOSE(BZ$2:BZ$15),$I183:$V183)</f>
        <v>0</v>
      </c>
      <c r="CA183" s="8" cm="1">
        <f t="array" ref="CA183">SUMPRODUCT(TRANSPOSE(CA$2:CA$15),$I183:$V183)</f>
        <v>0</v>
      </c>
      <c r="CB183" s="8" cm="1">
        <f t="array" ref="CB183">SUMPRODUCT(TRANSPOSE(CB$2:CB$15),$I183:$V183)</f>
        <v>0</v>
      </c>
      <c r="CC183" s="8" cm="1">
        <f t="array" ref="CC183">SUMPRODUCT(TRANSPOSE(CC$2:CC$15),$I183:$V183)</f>
        <v>0</v>
      </c>
      <c r="CD183" s="8" cm="1">
        <f t="array" ref="CD183">SUMPRODUCT(TRANSPOSE(CD$2:CD$15),$I183:$V183)</f>
        <v>0</v>
      </c>
      <c r="CE183" s="8" cm="1">
        <f t="array" ref="CE183">SUMPRODUCT(TRANSPOSE(CE$2:CE$15),$I183:$V183)</f>
        <v>0</v>
      </c>
      <c r="CF183" s="8" cm="1">
        <f t="array" ref="CF183">SUMPRODUCT(TRANSPOSE(CF$2:CF$15),$I183:$V183)</f>
        <v>0</v>
      </c>
      <c r="CG183" s="8" cm="1">
        <f t="array" ref="CG183">SUMPRODUCT(TRANSPOSE(CG$2:CG$15),$I183:$V183)</f>
        <v>400</v>
      </c>
      <c r="CH183" s="8" cm="1">
        <f t="array" ref="CH183">SUMPRODUCT(TRANSPOSE(CH$2:CH$15),$I183:$V183)</f>
        <v>600</v>
      </c>
      <c r="CI183" s="8" cm="1">
        <f t="array" ref="CI183">SUMPRODUCT(TRANSPOSE(CI$2:CI$15),$I183:$V183)</f>
        <v>1000</v>
      </c>
      <c r="CJ183" s="8" cm="1">
        <f t="array" ref="CJ183">SUMPRODUCT(TRANSPOSE(CJ$2:CJ$15),$I183:$V183)</f>
        <v>840</v>
      </c>
      <c r="CK183" s="8" cm="1">
        <f t="array" ref="CK183">SUMPRODUCT(TRANSPOSE(CK$2:CK$15),$I183:$V183)</f>
        <v>800</v>
      </c>
      <c r="CL183" s="8" cm="1">
        <f t="array" ref="CL183">SUMPRODUCT(TRANSPOSE(CL$2:CL$15),$I183:$V183)</f>
        <v>700</v>
      </c>
      <c r="CM183" s="8" cm="1">
        <f t="array" ref="CM183">SUMPRODUCT(TRANSPOSE(CM$2:CM$15),$I183:$V183)</f>
        <v>1080</v>
      </c>
      <c r="CN183" s="8" cm="1">
        <f t="array" ref="CN183">SUMPRODUCT(TRANSPOSE(CN$2:CN$15),$I183:$V183)</f>
        <v>1000</v>
      </c>
      <c r="CO183" s="8" cm="1">
        <f t="array" ref="CO183">SUMPRODUCT(TRANSPOSE(CO$2:CO$15),$I183:$V183)</f>
        <v>0</v>
      </c>
      <c r="CP183" s="8" cm="1">
        <f t="array" ref="CP183">SUMPRODUCT(TRANSPOSE(CP$2:CP$15),$I183:$V183)</f>
        <v>0</v>
      </c>
      <c r="CQ183" s="8" cm="1">
        <f t="array" ref="CQ183">SUMPRODUCT(TRANSPOSE(CQ$2:CQ$15),$I183:$V183)</f>
        <v>0</v>
      </c>
    </row>
    <row r="184" spans="1:95" x14ac:dyDescent="0.25">
      <c r="A184" s="1">
        <v>222</v>
      </c>
      <c r="B184" s="11" t="s">
        <v>497</v>
      </c>
      <c r="C184" s="1" t="s">
        <v>49</v>
      </c>
      <c r="D184" s="1">
        <v>400951927</v>
      </c>
      <c r="E184" s="6"/>
      <c r="F184" s="1" t="s">
        <v>498</v>
      </c>
      <c r="G184" s="1" t="s">
        <v>35</v>
      </c>
      <c r="H184" s="1">
        <v>2</v>
      </c>
      <c r="I184" s="1">
        <v>0</v>
      </c>
      <c r="J184" s="1">
        <v>0</v>
      </c>
      <c r="K184" s="1">
        <v>0</v>
      </c>
      <c r="L184" s="1">
        <v>0</v>
      </c>
      <c r="M184" s="1">
        <v>1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1</v>
      </c>
      <c r="W184" s="1">
        <f>SUMPRODUCT(I184:V184,$I$13:$V$13)</f>
        <v>3210</v>
      </c>
      <c r="X184" s="6">
        <f t="shared" si="4"/>
        <v>0.34599999999999997</v>
      </c>
      <c r="Y184" s="1" t="str">
        <f>VLOOKUP(D184,[1]PARTS!$A$1:$G$65536,7,0)</f>
        <v>BROADCOM LIMITED</v>
      </c>
      <c r="Z184" s="1">
        <v>4000</v>
      </c>
      <c r="AA184" s="1">
        <f>VLOOKUP(D184,[2]pareto!$D$12:$AX$306,45,0)</f>
        <v>0</v>
      </c>
      <c r="AB184" s="1">
        <v>4000</v>
      </c>
      <c r="AC184" s="1">
        <v>0.17299999999999999</v>
      </c>
      <c r="AD184" s="1" t="s">
        <v>361</v>
      </c>
      <c r="AE184" s="1" t="s">
        <v>362</v>
      </c>
      <c r="AF184" s="12" t="s">
        <v>363</v>
      </c>
      <c r="AG184" s="1" t="s">
        <v>88</v>
      </c>
      <c r="BG184" s="8">
        <f>SUM($BB184,$AI184:AI184)-SUM($BY184:BZ184)</f>
        <v>0</v>
      </c>
      <c r="BH184" s="8">
        <f>SUM($BB184,$AI184:AJ184)-SUM($BY184:CA184)</f>
        <v>0</v>
      </c>
      <c r="BI184" s="8">
        <f>SUM($BB184,$AI184:AK184)-SUM($BY184:CB184)</f>
        <v>0</v>
      </c>
      <c r="BJ184" s="8">
        <f>SUM($BB184,$AI184:AL184)-SUM($BY184:CC184)</f>
        <v>0</v>
      </c>
      <c r="BK184" s="8">
        <f>SUM($BB184,$AI184:AM184)-SUM($BY184:CD184)</f>
        <v>0</v>
      </c>
      <c r="BL184" s="8">
        <f>SUM($BB184,$AI184:AN184)-SUM($BY184:CE184)</f>
        <v>0</v>
      </c>
      <c r="BM184" s="8">
        <f>SUM($BB184,$AI184:AO184)-SUM($BY184:CF184)</f>
        <v>0</v>
      </c>
      <c r="BN184" s="8">
        <f>SUM($BB184,$AI184:AP184)-SUM($BY184:CG184)</f>
        <v>-100</v>
      </c>
      <c r="BO184" s="8">
        <f>SUM($BB184,$AI184:AQ184)-SUM($BY184:CH184)</f>
        <v>-350</v>
      </c>
      <c r="BP184" s="8">
        <f>SUM($BB184,$AI184:AR184)-SUM($BY184:CI184)</f>
        <v>-750</v>
      </c>
      <c r="BQ184" s="8">
        <f>SUM($BB184,$AI184:AS184)-SUM($BY184:CJ184)</f>
        <v>-1220</v>
      </c>
      <c r="BR184" s="8">
        <f>SUM($BB184,$AI184:AT184)-SUM($BY184:CK184)</f>
        <v>-1620</v>
      </c>
      <c r="BS184" s="8">
        <f>SUM($BB184,$AI184:AU184)-SUM($BY184:CL184)</f>
        <v>-1970</v>
      </c>
      <c r="BT184" s="8">
        <f>SUM($BB184,$AI184:AV184)-SUM($BY184:CM184)</f>
        <v>-2410</v>
      </c>
      <c r="BU184" s="8">
        <f>SUM($BB184,$AI184:AW184)-SUM($BY184:CN184)</f>
        <v>-2950</v>
      </c>
      <c r="BV184" s="8">
        <f>SUM($BB184,$AI184:AX184)-SUM($BY184:CO184)</f>
        <v>-3210</v>
      </c>
      <c r="BW184" s="8">
        <f>SUM($BB184,$AI184:AY184)-SUM($BY184:CP184)</f>
        <v>-3210</v>
      </c>
      <c r="BX184" s="8">
        <f>SUM($BB184,$AI184:AZ184)-SUM($BY184:CQ184)</f>
        <v>-3210</v>
      </c>
      <c r="BY184" s="8" cm="1">
        <f t="array" ref="BY184">SUMPRODUCT(TRANSPOSE(BY$2:BY$15),$I184:$V184)</f>
        <v>0</v>
      </c>
      <c r="BZ184" s="8" cm="1">
        <f t="array" ref="BZ184">SUMPRODUCT(TRANSPOSE(BZ$2:BZ$15),$I184:$V184)</f>
        <v>0</v>
      </c>
      <c r="CA184" s="8" cm="1">
        <f t="array" ref="CA184">SUMPRODUCT(TRANSPOSE(CA$2:CA$15),$I184:$V184)</f>
        <v>0</v>
      </c>
      <c r="CB184" s="8" cm="1">
        <f t="array" ref="CB184">SUMPRODUCT(TRANSPOSE(CB$2:CB$15),$I184:$V184)</f>
        <v>0</v>
      </c>
      <c r="CC184" s="8" cm="1">
        <f t="array" ref="CC184">SUMPRODUCT(TRANSPOSE(CC$2:CC$15),$I184:$V184)</f>
        <v>0</v>
      </c>
      <c r="CD184" s="8" cm="1">
        <f t="array" ref="CD184">SUMPRODUCT(TRANSPOSE(CD$2:CD$15),$I184:$V184)</f>
        <v>0</v>
      </c>
      <c r="CE184" s="8" cm="1">
        <f t="array" ref="CE184">SUMPRODUCT(TRANSPOSE(CE$2:CE$15),$I184:$V184)</f>
        <v>0</v>
      </c>
      <c r="CF184" s="8" cm="1">
        <f t="array" ref="CF184">SUMPRODUCT(TRANSPOSE(CF$2:CF$15),$I184:$V184)</f>
        <v>0</v>
      </c>
      <c r="CG184" s="8" cm="1">
        <f t="array" ref="CG184">SUMPRODUCT(TRANSPOSE(CG$2:CG$15),$I184:$V184)</f>
        <v>100</v>
      </c>
      <c r="CH184" s="8" cm="1">
        <f t="array" ref="CH184">SUMPRODUCT(TRANSPOSE(CH$2:CH$15),$I184:$V184)</f>
        <v>250</v>
      </c>
      <c r="CI184" s="8" cm="1">
        <f t="array" ref="CI184">SUMPRODUCT(TRANSPOSE(CI$2:CI$15),$I184:$V184)</f>
        <v>400</v>
      </c>
      <c r="CJ184" s="8" cm="1">
        <f t="array" ref="CJ184">SUMPRODUCT(TRANSPOSE(CJ$2:CJ$15),$I184:$V184)</f>
        <v>470</v>
      </c>
      <c r="CK184" s="8" cm="1">
        <f t="array" ref="CK184">SUMPRODUCT(TRANSPOSE(CK$2:CK$15),$I184:$V184)</f>
        <v>400</v>
      </c>
      <c r="CL184" s="8" cm="1">
        <f t="array" ref="CL184">SUMPRODUCT(TRANSPOSE(CL$2:CL$15),$I184:$V184)</f>
        <v>350</v>
      </c>
      <c r="CM184" s="8" cm="1">
        <f t="array" ref="CM184">SUMPRODUCT(TRANSPOSE(CM$2:CM$15),$I184:$V184)</f>
        <v>440</v>
      </c>
      <c r="CN184" s="8" cm="1">
        <f t="array" ref="CN184">SUMPRODUCT(TRANSPOSE(CN$2:CN$15),$I184:$V184)</f>
        <v>540</v>
      </c>
      <c r="CO184" s="8" cm="1">
        <f t="array" ref="CO184">SUMPRODUCT(TRANSPOSE(CO$2:CO$15),$I184:$V184)</f>
        <v>260</v>
      </c>
      <c r="CP184" s="8" cm="1">
        <f t="array" ref="CP184">SUMPRODUCT(TRANSPOSE(CP$2:CP$15),$I184:$V184)</f>
        <v>0</v>
      </c>
      <c r="CQ184" s="8" cm="1">
        <f t="array" ref="CQ184">SUMPRODUCT(TRANSPOSE(CQ$2:CQ$15),$I184:$V184)</f>
        <v>0</v>
      </c>
    </row>
    <row r="185" spans="1:95" x14ac:dyDescent="0.25">
      <c r="A185" s="1">
        <v>262</v>
      </c>
      <c r="B185" s="11" t="s">
        <v>499</v>
      </c>
      <c r="C185" s="1" t="s">
        <v>49</v>
      </c>
      <c r="D185" s="1">
        <v>514202720</v>
      </c>
      <c r="E185" s="6"/>
      <c r="F185" s="1" t="s">
        <v>500</v>
      </c>
      <c r="G185" s="1" t="s">
        <v>35</v>
      </c>
      <c r="H185" s="1">
        <v>4</v>
      </c>
      <c r="I185" s="1">
        <v>0</v>
      </c>
      <c r="J185" s="1">
        <v>2</v>
      </c>
      <c r="K185" s="1">
        <v>0</v>
      </c>
      <c r="L185" s="1">
        <v>0</v>
      </c>
      <c r="M185" s="1">
        <v>0</v>
      </c>
      <c r="N185" s="1">
        <v>0</v>
      </c>
      <c r="O185" s="1">
        <v>2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f>SUMPRODUCT(I185:V185,$I$13:$V$13)</f>
        <v>6420</v>
      </c>
      <c r="X185" s="6">
        <f t="shared" si="4"/>
        <v>0.35599999999999998</v>
      </c>
      <c r="Y185" s="1" t="str">
        <f>VLOOKUP(D185,[1]PARTS!$A$1:$G$65536,7,0)</f>
        <v>NAS/NASM NATIONAL AEROSPACE STD</v>
      </c>
      <c r="Z185" s="1">
        <v>1</v>
      </c>
      <c r="AA185" s="1">
        <f>CEILING(W185,Z185)</f>
        <v>6420</v>
      </c>
      <c r="AB185" s="1">
        <f>CEILING(W185,Z185)</f>
        <v>6420</v>
      </c>
      <c r="AC185" s="1">
        <f>VLOOKUP(D185,[2]pareto!$D$12:$AX$306,47,0)</f>
        <v>8.8999999999999996E-2</v>
      </c>
      <c r="AD185" s="1" t="str">
        <f>VLOOKUP(D185,[2]pareto!$D$11:$BD$306,50,0)</f>
        <v>KAYTECH</v>
      </c>
      <c r="AE185" s="1" t="s">
        <v>325</v>
      </c>
      <c r="AF185" s="19" t="s">
        <v>326</v>
      </c>
      <c r="AG185" s="1" t="s">
        <v>327</v>
      </c>
      <c r="BG185" s="8">
        <f>SUM($BB185,$AI185:AI185)-SUM($BY185:BZ185)</f>
        <v>0</v>
      </c>
      <c r="BH185" s="8">
        <f>SUM($BB185,$AI185:AJ185)-SUM($BY185:CA185)</f>
        <v>0</v>
      </c>
      <c r="BI185" s="8">
        <f>SUM($BB185,$AI185:AK185)-SUM($BY185:CB185)</f>
        <v>0</v>
      </c>
      <c r="BJ185" s="8">
        <f>SUM($BB185,$AI185:AL185)-SUM($BY185:CC185)</f>
        <v>0</v>
      </c>
      <c r="BK185" s="8">
        <f>SUM($BB185,$AI185:AM185)-SUM($BY185:CD185)</f>
        <v>0</v>
      </c>
      <c r="BL185" s="8">
        <f>SUM($BB185,$AI185:AN185)-SUM($BY185:CE185)</f>
        <v>0</v>
      </c>
      <c r="BM185" s="8">
        <f>SUM($BB185,$AI185:AO185)-SUM($BY185:CF185)</f>
        <v>0</v>
      </c>
      <c r="BN185" s="8">
        <f>SUM($BB185,$AI185:AP185)-SUM($BY185:CG185)</f>
        <v>0</v>
      </c>
      <c r="BO185" s="8">
        <f>SUM($BB185,$AI185:AQ185)-SUM($BY185:CH185)</f>
        <v>0</v>
      </c>
      <c r="BP185" s="8">
        <f>SUM($BB185,$AI185:AR185)-SUM($BY185:CI185)</f>
        <v>-400</v>
      </c>
      <c r="BQ185" s="8">
        <f>SUM($BB185,$AI185:AS185)-SUM($BY185:CJ185)</f>
        <v>-1000</v>
      </c>
      <c r="BR185" s="8">
        <f>SUM($BB185,$AI185:AT185)-SUM($BY185:CK185)</f>
        <v>-2000</v>
      </c>
      <c r="BS185" s="8">
        <f>SUM($BB185,$AI185:AU185)-SUM($BY185:CL185)</f>
        <v>-2840</v>
      </c>
      <c r="BT185" s="8">
        <f>SUM($BB185,$AI185:AV185)-SUM($BY185:CM185)</f>
        <v>-3640</v>
      </c>
      <c r="BU185" s="8">
        <f>SUM($BB185,$AI185:AW185)-SUM($BY185:CN185)</f>
        <v>-4340</v>
      </c>
      <c r="BV185" s="8">
        <f>SUM($BB185,$AI185:AX185)-SUM($BY185:CO185)</f>
        <v>-5420</v>
      </c>
      <c r="BW185" s="8">
        <f>SUM($BB185,$AI185:AY185)-SUM($BY185:CP185)</f>
        <v>-6420</v>
      </c>
      <c r="BX185" s="8">
        <f>SUM($BB185,$AI185:AZ185)-SUM($BY185:CQ185)</f>
        <v>-6420</v>
      </c>
      <c r="BY185" s="8" cm="1">
        <f t="array" ref="BY185">SUMPRODUCT(TRANSPOSE(BY$2:BY$15),$I185:$V185)</f>
        <v>0</v>
      </c>
      <c r="BZ185" s="8" cm="1">
        <f t="array" ref="BZ185">SUMPRODUCT(TRANSPOSE(BZ$2:BZ$15),$I185:$V185)</f>
        <v>0</v>
      </c>
      <c r="CA185" s="8" cm="1">
        <f t="array" ref="CA185">SUMPRODUCT(TRANSPOSE(CA$2:CA$15),$I185:$V185)</f>
        <v>0</v>
      </c>
      <c r="CB185" s="8" cm="1">
        <f t="array" ref="CB185">SUMPRODUCT(TRANSPOSE(CB$2:CB$15),$I185:$V185)</f>
        <v>0</v>
      </c>
      <c r="CC185" s="8" cm="1">
        <f t="array" ref="CC185">SUMPRODUCT(TRANSPOSE(CC$2:CC$15),$I185:$V185)</f>
        <v>0</v>
      </c>
      <c r="CD185" s="8" cm="1">
        <f t="array" ref="CD185">SUMPRODUCT(TRANSPOSE(CD$2:CD$15),$I185:$V185)</f>
        <v>0</v>
      </c>
      <c r="CE185" s="8" cm="1">
        <f t="array" ref="CE185">SUMPRODUCT(TRANSPOSE(CE$2:CE$15),$I185:$V185)</f>
        <v>0</v>
      </c>
      <c r="CF185" s="8" cm="1">
        <f t="array" ref="CF185">SUMPRODUCT(TRANSPOSE(CF$2:CF$15),$I185:$V185)</f>
        <v>0</v>
      </c>
      <c r="CG185" s="8" cm="1">
        <f t="array" ref="CG185">SUMPRODUCT(TRANSPOSE(CG$2:CG$15),$I185:$V185)</f>
        <v>0</v>
      </c>
      <c r="CH185" s="8" cm="1">
        <f t="array" ref="CH185">SUMPRODUCT(TRANSPOSE(CH$2:CH$15),$I185:$V185)</f>
        <v>0</v>
      </c>
      <c r="CI185" s="8" cm="1">
        <f t="array" ref="CI185">SUMPRODUCT(TRANSPOSE(CI$2:CI$15),$I185:$V185)</f>
        <v>400</v>
      </c>
      <c r="CJ185" s="8" cm="1">
        <f t="array" ref="CJ185">SUMPRODUCT(TRANSPOSE(CJ$2:CJ$15),$I185:$V185)</f>
        <v>600</v>
      </c>
      <c r="CK185" s="8" cm="1">
        <f t="array" ref="CK185">SUMPRODUCT(TRANSPOSE(CK$2:CK$15),$I185:$V185)</f>
        <v>1000</v>
      </c>
      <c r="CL185" s="8" cm="1">
        <f t="array" ref="CL185">SUMPRODUCT(TRANSPOSE(CL$2:CL$15),$I185:$V185)</f>
        <v>840</v>
      </c>
      <c r="CM185" s="8" cm="1">
        <f t="array" ref="CM185">SUMPRODUCT(TRANSPOSE(CM$2:CM$15),$I185:$V185)</f>
        <v>800</v>
      </c>
      <c r="CN185" s="8" cm="1">
        <f t="array" ref="CN185">SUMPRODUCT(TRANSPOSE(CN$2:CN$15),$I185:$V185)</f>
        <v>700</v>
      </c>
      <c r="CO185" s="8" cm="1">
        <f t="array" ref="CO185">SUMPRODUCT(TRANSPOSE(CO$2:CO$15),$I185:$V185)</f>
        <v>1080</v>
      </c>
      <c r="CP185" s="8" cm="1">
        <f t="array" ref="CP185">SUMPRODUCT(TRANSPOSE(CP$2:CP$15),$I185:$V185)</f>
        <v>1000</v>
      </c>
      <c r="CQ185" s="8" cm="1">
        <f t="array" ref="CQ185">SUMPRODUCT(TRANSPOSE(CQ$2:CQ$15),$I185:$V185)</f>
        <v>0</v>
      </c>
    </row>
    <row r="186" spans="1:95" x14ac:dyDescent="0.25">
      <c r="A186" s="1">
        <v>286</v>
      </c>
      <c r="B186" s="11" t="s">
        <v>501</v>
      </c>
      <c r="C186" s="1" t="s">
        <v>49</v>
      </c>
      <c r="D186" s="1">
        <v>405530594</v>
      </c>
      <c r="E186" s="6">
        <f>VLOOKUP(D186,FFF!$A$2:$B$674,2,)</f>
        <v>405536567</v>
      </c>
      <c r="F186" s="1" t="s">
        <v>502</v>
      </c>
      <c r="G186" s="1" t="s">
        <v>35</v>
      </c>
      <c r="H186" s="1">
        <v>6</v>
      </c>
      <c r="I186" s="1">
        <v>0</v>
      </c>
      <c r="J186" s="1">
        <v>0</v>
      </c>
      <c r="K186" s="1">
        <v>1</v>
      </c>
      <c r="L186" s="1">
        <v>1</v>
      </c>
      <c r="M186" s="1">
        <v>1</v>
      </c>
      <c r="N186" s="1">
        <v>0</v>
      </c>
      <c r="O186" s="1">
        <v>0</v>
      </c>
      <c r="P186" s="1">
        <v>1</v>
      </c>
      <c r="Q186" s="1">
        <v>1</v>
      </c>
      <c r="R186" s="1">
        <v>0</v>
      </c>
      <c r="S186" s="1">
        <v>0</v>
      </c>
      <c r="T186" s="1">
        <v>0</v>
      </c>
      <c r="U186" s="1">
        <v>0</v>
      </c>
      <c r="V186" s="1">
        <v>1</v>
      </c>
      <c r="W186" s="1">
        <f>SUMPRODUCT(I186:V186,$I$13:$V$13)</f>
        <v>9630</v>
      </c>
      <c r="X186" s="6">
        <f t="shared" si="4"/>
        <v>1.6800000000000002</v>
      </c>
      <c r="Y186" s="1" t="str">
        <f>VLOOKUP(D186,[1]PARTS!$A$1:$G$65536,7,0)</f>
        <v>BRADY W.H. INDUSTRIAL PRODUCTS DIV.</v>
      </c>
      <c r="Z186" s="1">
        <v>750</v>
      </c>
      <c r="AA186" s="1">
        <f>VLOOKUP(D186,[2]pareto!$D$12:$AX$306,45,0)</f>
        <v>0</v>
      </c>
      <c r="AB186" s="1">
        <f>CEILING(W186,Z186)</f>
        <v>9750</v>
      </c>
      <c r="AC186" s="1">
        <v>0.28000000000000003</v>
      </c>
      <c r="AD186" s="1" t="s">
        <v>503</v>
      </c>
      <c r="AE186" s="14" t="s">
        <v>504</v>
      </c>
      <c r="AF186" s="14" t="s">
        <v>505</v>
      </c>
      <c r="AG186" s="1" t="s">
        <v>506</v>
      </c>
      <c r="AH186" s="1" t="s">
        <v>507</v>
      </c>
      <c r="BG186" s="8">
        <f>SUM($BB186,$AI186:AI186)-SUM($BY186:BZ186)</f>
        <v>0</v>
      </c>
      <c r="BH186" s="8">
        <f>SUM($BB186,$AI186:AJ186)-SUM($BY186:CA186)</f>
        <v>0</v>
      </c>
      <c r="BI186" s="8">
        <f>SUM($BB186,$AI186:AK186)-SUM($BY186:CB186)</f>
        <v>0</v>
      </c>
      <c r="BJ186" s="8">
        <f>SUM($BB186,$AI186:AL186)-SUM($BY186:CC186)</f>
        <v>0</v>
      </c>
      <c r="BK186" s="8">
        <f>SUM($BB186,$AI186:AM186)-SUM($BY186:CD186)</f>
        <v>0</v>
      </c>
      <c r="BL186" s="8">
        <f>SUM($BB186,$AI186:AN186)-SUM($BY186:CE186)</f>
        <v>0</v>
      </c>
      <c r="BM186" s="8">
        <f>SUM($BB186,$AI186:AO186)-SUM($BY186:CF186)</f>
        <v>0</v>
      </c>
      <c r="BN186" s="8">
        <f>SUM($BB186,$AI186:AP186)-SUM($BY186:CG186)</f>
        <v>-300</v>
      </c>
      <c r="BO186" s="8">
        <f>SUM($BB186,$AI186:AQ186)-SUM($BY186:CH186)</f>
        <v>-1050</v>
      </c>
      <c r="BP186" s="8">
        <f>SUM($BB186,$AI186:AR186)-SUM($BY186:CI186)</f>
        <v>-2250</v>
      </c>
      <c r="BQ186" s="8">
        <f>SUM($BB186,$AI186:AS186)-SUM($BY186:CJ186)</f>
        <v>-3640</v>
      </c>
      <c r="BR186" s="8">
        <f>SUM($BB186,$AI186:AT186)-SUM($BY186:CK186)</f>
        <v>-4860</v>
      </c>
      <c r="BS186" s="8">
        <f>SUM($BB186,$AI186:AU186)-SUM($BY186:CL186)</f>
        <v>-5960</v>
      </c>
      <c r="BT186" s="8">
        <f>SUM($BB186,$AI186:AV186)-SUM($BY186:CM186)</f>
        <v>-7290</v>
      </c>
      <c r="BU186" s="8">
        <f>SUM($BB186,$AI186:AW186)-SUM($BY186:CN186)</f>
        <v>-8870</v>
      </c>
      <c r="BV186" s="8">
        <f>SUM($BB186,$AI186:AX186)-SUM($BY186:CO186)</f>
        <v>-9630</v>
      </c>
      <c r="BW186" s="8">
        <f>SUM($BB186,$AI186:AY186)-SUM($BY186:CP186)</f>
        <v>-9630</v>
      </c>
      <c r="BX186" s="8">
        <f>SUM($BB186,$AI186:AZ186)-SUM($BY186:CQ186)</f>
        <v>-9630</v>
      </c>
      <c r="BY186" s="8" cm="1">
        <f t="array" ref="BY186">SUMPRODUCT(TRANSPOSE(BY$2:BY$15),$I186:$V186)</f>
        <v>0</v>
      </c>
      <c r="BZ186" s="8" cm="1">
        <f t="array" ref="BZ186">SUMPRODUCT(TRANSPOSE(BZ$2:BZ$15),$I186:$V186)</f>
        <v>0</v>
      </c>
      <c r="CA186" s="8" cm="1">
        <f t="array" ref="CA186">SUMPRODUCT(TRANSPOSE(CA$2:CA$15),$I186:$V186)</f>
        <v>0</v>
      </c>
      <c r="CB186" s="8" cm="1">
        <f t="array" ref="CB186">SUMPRODUCT(TRANSPOSE(CB$2:CB$15),$I186:$V186)</f>
        <v>0</v>
      </c>
      <c r="CC186" s="8" cm="1">
        <f t="array" ref="CC186">SUMPRODUCT(TRANSPOSE(CC$2:CC$15),$I186:$V186)</f>
        <v>0</v>
      </c>
      <c r="CD186" s="8" cm="1">
        <f t="array" ref="CD186">SUMPRODUCT(TRANSPOSE(CD$2:CD$15),$I186:$V186)</f>
        <v>0</v>
      </c>
      <c r="CE186" s="8" cm="1">
        <f t="array" ref="CE186">SUMPRODUCT(TRANSPOSE(CE$2:CE$15),$I186:$V186)</f>
        <v>0</v>
      </c>
      <c r="CF186" s="8" cm="1">
        <f t="array" ref="CF186">SUMPRODUCT(TRANSPOSE(CF$2:CF$15),$I186:$V186)</f>
        <v>0</v>
      </c>
      <c r="CG186" s="8" cm="1">
        <f t="array" ref="CG186">SUMPRODUCT(TRANSPOSE(CG$2:CG$15),$I186:$V186)</f>
        <v>300</v>
      </c>
      <c r="CH186" s="8" cm="1">
        <f t="array" ref="CH186">SUMPRODUCT(TRANSPOSE(CH$2:CH$15),$I186:$V186)</f>
        <v>750</v>
      </c>
      <c r="CI186" s="8" cm="1">
        <f t="array" ref="CI186">SUMPRODUCT(TRANSPOSE(CI$2:CI$15),$I186:$V186)</f>
        <v>1200</v>
      </c>
      <c r="CJ186" s="8" cm="1">
        <f t="array" ref="CJ186">SUMPRODUCT(TRANSPOSE(CJ$2:CJ$15),$I186:$V186)</f>
        <v>1390</v>
      </c>
      <c r="CK186" s="8" cm="1">
        <f t="array" ref="CK186">SUMPRODUCT(TRANSPOSE(CK$2:CK$15),$I186:$V186)</f>
        <v>1220</v>
      </c>
      <c r="CL186" s="8" cm="1">
        <f t="array" ref="CL186">SUMPRODUCT(TRANSPOSE(CL$2:CL$15),$I186:$V186)</f>
        <v>1100</v>
      </c>
      <c r="CM186" s="8" cm="1">
        <f t="array" ref="CM186">SUMPRODUCT(TRANSPOSE(CM$2:CM$15),$I186:$V186)</f>
        <v>1330</v>
      </c>
      <c r="CN186" s="8" cm="1">
        <f t="array" ref="CN186">SUMPRODUCT(TRANSPOSE(CN$2:CN$15),$I186:$V186)</f>
        <v>1580</v>
      </c>
      <c r="CO186" s="8" cm="1">
        <f t="array" ref="CO186">SUMPRODUCT(TRANSPOSE(CO$2:CO$15),$I186:$V186)</f>
        <v>760</v>
      </c>
      <c r="CP186" s="8" cm="1">
        <f t="array" ref="CP186">SUMPRODUCT(TRANSPOSE(CP$2:CP$15),$I186:$V186)</f>
        <v>0</v>
      </c>
      <c r="CQ186" s="8" cm="1">
        <f t="array" ref="CQ186">SUMPRODUCT(TRANSPOSE(CQ$2:CQ$15),$I186:$V186)</f>
        <v>0</v>
      </c>
    </row>
    <row r="187" spans="1:95" x14ac:dyDescent="0.25">
      <c r="A187" s="1">
        <v>96</v>
      </c>
      <c r="B187" s="11" t="s">
        <v>508</v>
      </c>
      <c r="C187" s="1" t="s">
        <v>49</v>
      </c>
      <c r="D187" s="1">
        <v>409331534</v>
      </c>
      <c r="E187" s="6"/>
      <c r="F187" s="1" t="s">
        <v>509</v>
      </c>
      <c r="G187" s="1" t="s">
        <v>35</v>
      </c>
      <c r="H187" s="1">
        <v>2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2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f>SUMPRODUCT(I187:V187,$I$13:$V$13)</f>
        <v>3320</v>
      </c>
      <c r="X187" s="6">
        <f t="shared" si="4"/>
        <v>0.3</v>
      </c>
      <c r="Y187" s="1" t="str">
        <f>VLOOKUP(D187,[1]PARTS!$A$1:$G$65536,7,0)</f>
        <v>COILCRAFT INC.</v>
      </c>
      <c r="Z187" s="1">
        <f>VLOOKUP(D187,[2]pareto!$D$12:$AX$306,44,0)</f>
        <v>700</v>
      </c>
      <c r="AA187" s="1">
        <f>VLOOKUP(D187,[2]pareto!$D$12:$AX$306,45,0)</f>
        <v>700</v>
      </c>
      <c r="AB187" s="1">
        <f>CEILING(W187,Z187)</f>
        <v>3500</v>
      </c>
      <c r="AC187" s="1">
        <f>VLOOKUP(D187,[2]pareto!$D$12:$AX$306,47,0)</f>
        <v>0.15</v>
      </c>
      <c r="AD187" s="1" t="s">
        <v>446</v>
      </c>
      <c r="AE187" s="1" t="s">
        <v>447</v>
      </c>
      <c r="AF187" s="19" t="s">
        <v>448</v>
      </c>
      <c r="AG187" s="1" t="s">
        <v>449</v>
      </c>
      <c r="BG187" s="8">
        <f>SUM($BB187,$AI187:AI187)-SUM($BY187:BZ187)</f>
        <v>0</v>
      </c>
      <c r="BH187" s="8">
        <f>SUM($BB187,$AI187:AJ187)-SUM($BY187:CA187)</f>
        <v>0</v>
      </c>
      <c r="BI187" s="8">
        <f>SUM($BB187,$AI187:AK187)-SUM($BY187:CB187)</f>
        <v>0</v>
      </c>
      <c r="BJ187" s="8">
        <f>SUM($BB187,$AI187:AL187)-SUM($BY187:CC187)</f>
        <v>0</v>
      </c>
      <c r="BK187" s="8">
        <f>SUM($BB187,$AI187:AM187)-SUM($BY187:CD187)</f>
        <v>0</v>
      </c>
      <c r="BL187" s="8">
        <f>SUM($BB187,$AI187:AN187)-SUM($BY187:CE187)</f>
        <v>0</v>
      </c>
      <c r="BM187" s="8">
        <f>SUM($BB187,$AI187:AO187)-SUM($BY187:CF187)</f>
        <v>0</v>
      </c>
      <c r="BN187" s="8">
        <f>SUM($BB187,$AI187:AP187)-SUM($BY187:CG187)</f>
        <v>-200</v>
      </c>
      <c r="BO187" s="8">
        <f>SUM($BB187,$AI187:AQ187)-SUM($BY187:CH187)</f>
        <v>-500</v>
      </c>
      <c r="BP187" s="8">
        <f>SUM($BB187,$AI187:AR187)-SUM($BY187:CI187)</f>
        <v>-1000</v>
      </c>
      <c r="BQ187" s="8">
        <f>SUM($BB187,$AI187:AS187)-SUM($BY187:CJ187)</f>
        <v>-1400</v>
      </c>
      <c r="BR187" s="8">
        <f>SUM($BB187,$AI187:AT187)-SUM($BY187:CK187)</f>
        <v>-1800</v>
      </c>
      <c r="BS187" s="8">
        <f>SUM($BB187,$AI187:AU187)-SUM($BY187:CL187)</f>
        <v>-2200</v>
      </c>
      <c r="BT187" s="8">
        <f>SUM($BB187,$AI187:AV187)-SUM($BY187:CM187)</f>
        <v>-2800</v>
      </c>
      <c r="BU187" s="8">
        <f>SUM($BB187,$AI187:AW187)-SUM($BY187:CN187)</f>
        <v>-3320</v>
      </c>
      <c r="BV187" s="8">
        <f>SUM($BB187,$AI187:AX187)-SUM($BY187:CO187)</f>
        <v>-3320</v>
      </c>
      <c r="BW187" s="8">
        <f>SUM($BB187,$AI187:AY187)-SUM($BY187:CP187)</f>
        <v>-3320</v>
      </c>
      <c r="BX187" s="8">
        <f>SUM($BB187,$AI187:AZ187)-SUM($BY187:CQ187)</f>
        <v>-3320</v>
      </c>
      <c r="BY187" s="8" cm="1">
        <f t="array" ref="BY187">SUMPRODUCT(TRANSPOSE(BY$2:BY$15),$I187:$V187)</f>
        <v>0</v>
      </c>
      <c r="BZ187" s="8" cm="1">
        <f t="array" ref="BZ187">SUMPRODUCT(TRANSPOSE(BZ$2:BZ$15),$I187:$V187)</f>
        <v>0</v>
      </c>
      <c r="CA187" s="8" cm="1">
        <f t="array" ref="CA187">SUMPRODUCT(TRANSPOSE(CA$2:CA$15),$I187:$V187)</f>
        <v>0</v>
      </c>
      <c r="CB187" s="8" cm="1">
        <f t="array" ref="CB187">SUMPRODUCT(TRANSPOSE(CB$2:CB$15),$I187:$V187)</f>
        <v>0</v>
      </c>
      <c r="CC187" s="8" cm="1">
        <f t="array" ref="CC187">SUMPRODUCT(TRANSPOSE(CC$2:CC$15),$I187:$V187)</f>
        <v>0</v>
      </c>
      <c r="CD187" s="8" cm="1">
        <f t="array" ref="CD187">SUMPRODUCT(TRANSPOSE(CD$2:CD$15),$I187:$V187)</f>
        <v>0</v>
      </c>
      <c r="CE187" s="8" cm="1">
        <f t="array" ref="CE187">SUMPRODUCT(TRANSPOSE(CE$2:CE$15),$I187:$V187)</f>
        <v>0</v>
      </c>
      <c r="CF187" s="8" cm="1">
        <f t="array" ref="CF187">SUMPRODUCT(TRANSPOSE(CF$2:CF$15),$I187:$V187)</f>
        <v>0</v>
      </c>
      <c r="CG187" s="8" cm="1">
        <f t="array" ref="CG187">SUMPRODUCT(TRANSPOSE(CG$2:CG$15),$I187:$V187)</f>
        <v>200</v>
      </c>
      <c r="CH187" s="8" cm="1">
        <f t="array" ref="CH187">SUMPRODUCT(TRANSPOSE(CH$2:CH$15),$I187:$V187)</f>
        <v>300</v>
      </c>
      <c r="CI187" s="8" cm="1">
        <f t="array" ref="CI187">SUMPRODUCT(TRANSPOSE(CI$2:CI$15),$I187:$V187)</f>
        <v>500</v>
      </c>
      <c r="CJ187" s="8" cm="1">
        <f t="array" ref="CJ187">SUMPRODUCT(TRANSPOSE(CJ$2:CJ$15),$I187:$V187)</f>
        <v>400</v>
      </c>
      <c r="CK187" s="8" cm="1">
        <f t="array" ref="CK187">SUMPRODUCT(TRANSPOSE(CK$2:CK$15),$I187:$V187)</f>
        <v>400</v>
      </c>
      <c r="CL187" s="8" cm="1">
        <f t="array" ref="CL187">SUMPRODUCT(TRANSPOSE(CL$2:CL$15),$I187:$V187)</f>
        <v>400</v>
      </c>
      <c r="CM187" s="8" cm="1">
        <f t="array" ref="CM187">SUMPRODUCT(TRANSPOSE(CM$2:CM$15),$I187:$V187)</f>
        <v>600</v>
      </c>
      <c r="CN187" s="8" cm="1">
        <f t="array" ref="CN187">SUMPRODUCT(TRANSPOSE(CN$2:CN$15),$I187:$V187)</f>
        <v>520</v>
      </c>
      <c r="CO187" s="8" cm="1">
        <f t="array" ref="CO187">SUMPRODUCT(TRANSPOSE(CO$2:CO$15),$I187:$V187)</f>
        <v>0</v>
      </c>
      <c r="CP187" s="8" cm="1">
        <f t="array" ref="CP187">SUMPRODUCT(TRANSPOSE(CP$2:CP$15),$I187:$V187)</f>
        <v>0</v>
      </c>
      <c r="CQ187" s="8" cm="1">
        <f t="array" ref="CQ187">SUMPRODUCT(TRANSPOSE(CQ$2:CQ$15),$I187:$V187)</f>
        <v>0</v>
      </c>
    </row>
    <row r="188" spans="1:95" x14ac:dyDescent="0.25">
      <c r="A188" s="1">
        <v>126</v>
      </c>
      <c r="B188" s="11" t="s">
        <v>510</v>
      </c>
      <c r="C188" s="1" t="s">
        <v>49</v>
      </c>
      <c r="D188" s="1">
        <v>400950685</v>
      </c>
      <c r="E188" s="6">
        <f>VLOOKUP(D188,FFF!$A$2:$B$674,2,)</f>
        <v>400481357</v>
      </c>
      <c r="F188" s="1" t="s">
        <v>511</v>
      </c>
      <c r="G188" s="1" t="s">
        <v>35</v>
      </c>
      <c r="H188" s="1">
        <v>10</v>
      </c>
      <c r="I188" s="1">
        <v>0</v>
      </c>
      <c r="J188" s="1">
        <v>0</v>
      </c>
      <c r="K188" s="1">
        <v>0</v>
      </c>
      <c r="L188" s="1">
        <v>0</v>
      </c>
      <c r="M188" s="1">
        <v>3</v>
      </c>
      <c r="N188" s="1">
        <v>0</v>
      </c>
      <c r="O188" s="1">
        <v>0</v>
      </c>
      <c r="P188" s="1">
        <v>0</v>
      </c>
      <c r="Q188" s="1">
        <v>4</v>
      </c>
      <c r="R188" s="1">
        <v>0</v>
      </c>
      <c r="S188" s="1">
        <v>0</v>
      </c>
      <c r="T188" s="1">
        <v>0</v>
      </c>
      <c r="U188" s="1">
        <v>0</v>
      </c>
      <c r="V188" s="1">
        <v>3</v>
      </c>
      <c r="W188" s="1">
        <f>SUMPRODUCT(I188:V188,$I$13:$V$13)</f>
        <v>16270</v>
      </c>
      <c r="X188" s="6">
        <f t="shared" si="4"/>
        <v>0.82133999999999996</v>
      </c>
      <c r="Y188" s="1" t="str">
        <f>VLOOKUP(D188,[1]PARTS!$A$1:$G$65536,7,0)</f>
        <v>KEMET ELECTRONICS S A</v>
      </c>
      <c r="Z188" s="1">
        <f>VLOOKUP(D188,[2]pareto!$D$12:$AX$306,44,0)</f>
        <v>4000</v>
      </c>
      <c r="AA188" s="1">
        <f>VLOOKUP(D188,[2]pareto!$D$12:$AX$306,45,0)</f>
        <v>4000</v>
      </c>
      <c r="AB188" s="1">
        <f>CEILING(W188,Z188)</f>
        <v>20000</v>
      </c>
      <c r="AC188" s="1">
        <f>VLOOKUP(D188,[2]pareto!$D$12:$AX$306,47,0)</f>
        <v>8.2133999999999999E-2</v>
      </c>
      <c r="AD188" s="1" t="s">
        <v>85</v>
      </c>
      <c r="AE188" s="1" t="s">
        <v>86</v>
      </c>
      <c r="AF188" s="19" t="s">
        <v>87</v>
      </c>
      <c r="AG188" s="1" t="s">
        <v>88</v>
      </c>
      <c r="BG188" s="8">
        <f>SUM($BB188,$AI188:AI188)-SUM($BY188:BZ188)</f>
        <v>0</v>
      </c>
      <c r="BH188" s="8">
        <f>SUM($BB188,$AI188:AJ188)-SUM($BY188:CA188)</f>
        <v>0</v>
      </c>
      <c r="BI188" s="8">
        <f>SUM($BB188,$AI188:AK188)-SUM($BY188:CB188)</f>
        <v>0</v>
      </c>
      <c r="BJ188" s="8">
        <f>SUM($BB188,$AI188:AL188)-SUM($BY188:CC188)</f>
        <v>0</v>
      </c>
      <c r="BK188" s="8">
        <f>SUM($BB188,$AI188:AM188)-SUM($BY188:CD188)</f>
        <v>0</v>
      </c>
      <c r="BL188" s="8">
        <f>SUM($BB188,$AI188:AN188)-SUM($BY188:CE188)</f>
        <v>0</v>
      </c>
      <c r="BM188" s="8">
        <f>SUM($BB188,$AI188:AO188)-SUM($BY188:CF188)</f>
        <v>0</v>
      </c>
      <c r="BN188" s="8">
        <f>SUM($BB188,$AI188:AP188)-SUM($BY188:CG188)</f>
        <v>-700</v>
      </c>
      <c r="BO188" s="8">
        <f>SUM($BB188,$AI188:AQ188)-SUM($BY188:CH188)</f>
        <v>-2050</v>
      </c>
      <c r="BP188" s="8">
        <f>SUM($BB188,$AI188:AR188)-SUM($BY188:CI188)</f>
        <v>-4250</v>
      </c>
      <c r="BQ188" s="8">
        <f>SUM($BB188,$AI188:AS188)-SUM($BY188:CJ188)</f>
        <v>-6460</v>
      </c>
      <c r="BR188" s="8">
        <f>SUM($BB188,$AI188:AT188)-SUM($BY188:CK188)</f>
        <v>-8460</v>
      </c>
      <c r="BS188" s="8">
        <f>SUM($BB188,$AI188:AU188)-SUM($BY188:CL188)</f>
        <v>-10310</v>
      </c>
      <c r="BT188" s="8">
        <f>SUM($BB188,$AI188:AV188)-SUM($BY188:CM188)</f>
        <v>-12830</v>
      </c>
      <c r="BU188" s="8">
        <f>SUM($BB188,$AI188:AW188)-SUM($BY188:CN188)</f>
        <v>-15490</v>
      </c>
      <c r="BV188" s="8">
        <f>SUM($BB188,$AI188:AX188)-SUM($BY188:CO188)</f>
        <v>-16270</v>
      </c>
      <c r="BW188" s="8">
        <f>SUM($BB188,$AI188:AY188)-SUM($BY188:CP188)</f>
        <v>-16270</v>
      </c>
      <c r="BX188" s="8">
        <f>SUM($BB188,$AI188:AZ188)-SUM($BY188:CQ188)</f>
        <v>-16270</v>
      </c>
      <c r="BY188" s="8" cm="1">
        <f t="array" ref="BY188">SUMPRODUCT(TRANSPOSE(BY$2:BY$15),$I188:$V188)</f>
        <v>0</v>
      </c>
      <c r="BZ188" s="8" cm="1">
        <f t="array" ref="BZ188">SUMPRODUCT(TRANSPOSE(BZ$2:BZ$15),$I188:$V188)</f>
        <v>0</v>
      </c>
      <c r="CA188" s="8" cm="1">
        <f t="array" ref="CA188">SUMPRODUCT(TRANSPOSE(CA$2:CA$15),$I188:$V188)</f>
        <v>0</v>
      </c>
      <c r="CB188" s="8" cm="1">
        <f t="array" ref="CB188">SUMPRODUCT(TRANSPOSE(CB$2:CB$15),$I188:$V188)</f>
        <v>0</v>
      </c>
      <c r="CC188" s="8" cm="1">
        <f t="array" ref="CC188">SUMPRODUCT(TRANSPOSE(CC$2:CC$15),$I188:$V188)</f>
        <v>0</v>
      </c>
      <c r="CD188" s="8" cm="1">
        <f t="array" ref="CD188">SUMPRODUCT(TRANSPOSE(CD$2:CD$15),$I188:$V188)</f>
        <v>0</v>
      </c>
      <c r="CE188" s="8" cm="1">
        <f t="array" ref="CE188">SUMPRODUCT(TRANSPOSE(CE$2:CE$15),$I188:$V188)</f>
        <v>0</v>
      </c>
      <c r="CF188" s="8" cm="1">
        <f t="array" ref="CF188">SUMPRODUCT(TRANSPOSE(CF$2:CF$15),$I188:$V188)</f>
        <v>0</v>
      </c>
      <c r="CG188" s="8" cm="1">
        <f t="array" ref="CG188">SUMPRODUCT(TRANSPOSE(CG$2:CG$15),$I188:$V188)</f>
        <v>700</v>
      </c>
      <c r="CH188" s="8" cm="1">
        <f t="array" ref="CH188">SUMPRODUCT(TRANSPOSE(CH$2:CH$15),$I188:$V188)</f>
        <v>1350</v>
      </c>
      <c r="CI188" s="8" cm="1">
        <f t="array" ref="CI188">SUMPRODUCT(TRANSPOSE(CI$2:CI$15),$I188:$V188)</f>
        <v>2200</v>
      </c>
      <c r="CJ188" s="8" cm="1">
        <f t="array" ref="CJ188">SUMPRODUCT(TRANSPOSE(CJ$2:CJ$15),$I188:$V188)</f>
        <v>2210</v>
      </c>
      <c r="CK188" s="8" cm="1">
        <f t="array" ref="CK188">SUMPRODUCT(TRANSPOSE(CK$2:CK$15),$I188:$V188)</f>
        <v>2000</v>
      </c>
      <c r="CL188" s="8" cm="1">
        <f t="array" ref="CL188">SUMPRODUCT(TRANSPOSE(CL$2:CL$15),$I188:$V188)</f>
        <v>1850</v>
      </c>
      <c r="CM188" s="8" cm="1">
        <f t="array" ref="CM188">SUMPRODUCT(TRANSPOSE(CM$2:CM$15),$I188:$V188)</f>
        <v>2520</v>
      </c>
      <c r="CN188" s="8" cm="1">
        <f t="array" ref="CN188">SUMPRODUCT(TRANSPOSE(CN$2:CN$15),$I188:$V188)</f>
        <v>2660</v>
      </c>
      <c r="CO188" s="8" cm="1">
        <f t="array" ref="CO188">SUMPRODUCT(TRANSPOSE(CO$2:CO$15),$I188:$V188)</f>
        <v>780</v>
      </c>
      <c r="CP188" s="8" cm="1">
        <f t="array" ref="CP188">SUMPRODUCT(TRANSPOSE(CP$2:CP$15),$I188:$V188)</f>
        <v>0</v>
      </c>
      <c r="CQ188" s="8" cm="1">
        <f t="array" ref="CQ188">SUMPRODUCT(TRANSPOSE(CQ$2:CQ$15),$I188:$V188)</f>
        <v>0</v>
      </c>
    </row>
    <row r="189" spans="1:95" x14ac:dyDescent="0.25">
      <c r="A189" s="1">
        <v>258</v>
      </c>
      <c r="B189" s="11" t="s">
        <v>512</v>
      </c>
      <c r="C189" s="1" t="s">
        <v>49</v>
      </c>
      <c r="D189" s="1">
        <v>512317975</v>
      </c>
      <c r="E189" s="6"/>
      <c r="F189" s="1" t="s">
        <v>443</v>
      </c>
      <c r="G189" s="1" t="s">
        <v>35</v>
      </c>
      <c r="H189" s="1">
        <v>10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10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f>SUMPRODUCT(I189:V189,$I$13:$V$13)</f>
        <v>16600</v>
      </c>
      <c r="X189" s="6">
        <f t="shared" si="4"/>
        <v>0.33099999999999996</v>
      </c>
      <c r="Y189" s="1" t="str">
        <f>VLOOKUP(D189,[1]PARTS!$A$1:$G$65536,7,0)</f>
        <v>MS MILITARY STANDARDS</v>
      </c>
      <c r="Z189" s="1">
        <v>1</v>
      </c>
      <c r="AA189" s="1">
        <f>CEILING(W189,Z189)</f>
        <v>16600</v>
      </c>
      <c r="AB189" s="1">
        <f>CEILING(W189,Z189)</f>
        <v>16600</v>
      </c>
      <c r="AC189" s="1">
        <v>3.3099999999999997E-2</v>
      </c>
      <c r="AD189" s="1" t="s">
        <v>413</v>
      </c>
      <c r="AE189" s="1" t="s">
        <v>325</v>
      </c>
      <c r="AF189" s="12" t="s">
        <v>326</v>
      </c>
      <c r="AG189" s="1" t="s">
        <v>327</v>
      </c>
      <c r="BG189" s="8">
        <f>SUM($BB189,$AI189:AI189)-SUM($BY189:BZ189)</f>
        <v>0</v>
      </c>
      <c r="BH189" s="8">
        <f>SUM($BB189,$AI189:AJ189)-SUM($BY189:CA189)</f>
        <v>0</v>
      </c>
      <c r="BI189" s="8">
        <f>SUM($BB189,$AI189:AK189)-SUM($BY189:CB189)</f>
        <v>0</v>
      </c>
      <c r="BJ189" s="8">
        <f>SUM($BB189,$AI189:AL189)-SUM($BY189:CC189)</f>
        <v>0</v>
      </c>
      <c r="BK189" s="8">
        <f>SUM($BB189,$AI189:AM189)-SUM($BY189:CD189)</f>
        <v>0</v>
      </c>
      <c r="BL189" s="8">
        <f>SUM($BB189,$AI189:AN189)-SUM($BY189:CE189)</f>
        <v>0</v>
      </c>
      <c r="BM189" s="8">
        <f>SUM($BB189,$AI189:AO189)-SUM($BY189:CF189)</f>
        <v>0</v>
      </c>
      <c r="BN189" s="8">
        <f>SUM($BB189,$AI189:AP189)-SUM($BY189:CG189)</f>
        <v>0</v>
      </c>
      <c r="BO189" s="8">
        <f>SUM($BB189,$AI189:AQ189)-SUM($BY189:CH189)</f>
        <v>-1000</v>
      </c>
      <c r="BP189" s="8">
        <f>SUM($BB189,$AI189:AR189)-SUM($BY189:CI189)</f>
        <v>-2500</v>
      </c>
      <c r="BQ189" s="8">
        <f>SUM($BB189,$AI189:AS189)-SUM($BY189:CJ189)</f>
        <v>-5000</v>
      </c>
      <c r="BR189" s="8">
        <f>SUM($BB189,$AI189:AT189)-SUM($BY189:CK189)</f>
        <v>-7000</v>
      </c>
      <c r="BS189" s="8">
        <f>SUM($BB189,$AI189:AU189)-SUM($BY189:CL189)</f>
        <v>-9000</v>
      </c>
      <c r="BT189" s="8">
        <f>SUM($BB189,$AI189:AV189)-SUM($BY189:CM189)</f>
        <v>-11000</v>
      </c>
      <c r="BU189" s="8">
        <f>SUM($BB189,$AI189:AW189)-SUM($BY189:CN189)</f>
        <v>-14000</v>
      </c>
      <c r="BV189" s="8">
        <f>SUM($BB189,$AI189:AX189)-SUM($BY189:CO189)</f>
        <v>-16600</v>
      </c>
      <c r="BW189" s="8">
        <f>SUM($BB189,$AI189:AY189)-SUM($BY189:CP189)</f>
        <v>-16600</v>
      </c>
      <c r="BX189" s="8">
        <f>SUM($BB189,$AI189:AZ189)-SUM($BY189:CQ189)</f>
        <v>-16600</v>
      </c>
      <c r="BY189" s="8" cm="1">
        <f t="array" ref="BY189">SUMPRODUCT(TRANSPOSE(BY$2:BY$15),$I189:$V189)</f>
        <v>0</v>
      </c>
      <c r="BZ189" s="8" cm="1">
        <f t="array" ref="BZ189">SUMPRODUCT(TRANSPOSE(BZ$2:BZ$15),$I189:$V189)</f>
        <v>0</v>
      </c>
      <c r="CA189" s="8" cm="1">
        <f t="array" ref="CA189">SUMPRODUCT(TRANSPOSE(CA$2:CA$15),$I189:$V189)</f>
        <v>0</v>
      </c>
      <c r="CB189" s="8" cm="1">
        <f t="array" ref="CB189">SUMPRODUCT(TRANSPOSE(CB$2:CB$15),$I189:$V189)</f>
        <v>0</v>
      </c>
      <c r="CC189" s="8" cm="1">
        <f t="array" ref="CC189">SUMPRODUCT(TRANSPOSE(CC$2:CC$15),$I189:$V189)</f>
        <v>0</v>
      </c>
      <c r="CD189" s="8" cm="1">
        <f t="array" ref="CD189">SUMPRODUCT(TRANSPOSE(CD$2:CD$15),$I189:$V189)</f>
        <v>0</v>
      </c>
      <c r="CE189" s="8" cm="1">
        <f t="array" ref="CE189">SUMPRODUCT(TRANSPOSE(CE$2:CE$15),$I189:$V189)</f>
        <v>0</v>
      </c>
      <c r="CF189" s="8" cm="1">
        <f t="array" ref="CF189">SUMPRODUCT(TRANSPOSE(CF$2:CF$15),$I189:$V189)</f>
        <v>0</v>
      </c>
      <c r="CG189" s="8" cm="1">
        <f t="array" ref="CG189">SUMPRODUCT(TRANSPOSE(CG$2:CG$15),$I189:$V189)</f>
        <v>0</v>
      </c>
      <c r="CH189" s="8" cm="1">
        <f t="array" ref="CH189">SUMPRODUCT(TRANSPOSE(CH$2:CH$15),$I189:$V189)</f>
        <v>1000</v>
      </c>
      <c r="CI189" s="8" cm="1">
        <f t="array" ref="CI189">SUMPRODUCT(TRANSPOSE(CI$2:CI$15),$I189:$V189)</f>
        <v>1500</v>
      </c>
      <c r="CJ189" s="8" cm="1">
        <f t="array" ref="CJ189">SUMPRODUCT(TRANSPOSE(CJ$2:CJ$15),$I189:$V189)</f>
        <v>2500</v>
      </c>
      <c r="CK189" s="8" cm="1">
        <f t="array" ref="CK189">SUMPRODUCT(TRANSPOSE(CK$2:CK$15),$I189:$V189)</f>
        <v>2000</v>
      </c>
      <c r="CL189" s="8" cm="1">
        <f t="array" ref="CL189">SUMPRODUCT(TRANSPOSE(CL$2:CL$15),$I189:$V189)</f>
        <v>2000</v>
      </c>
      <c r="CM189" s="8" cm="1">
        <f t="array" ref="CM189">SUMPRODUCT(TRANSPOSE(CM$2:CM$15),$I189:$V189)</f>
        <v>2000</v>
      </c>
      <c r="CN189" s="8" cm="1">
        <f t="array" ref="CN189">SUMPRODUCT(TRANSPOSE(CN$2:CN$15),$I189:$V189)</f>
        <v>3000</v>
      </c>
      <c r="CO189" s="8" cm="1">
        <f t="array" ref="CO189">SUMPRODUCT(TRANSPOSE(CO$2:CO$15),$I189:$V189)</f>
        <v>2600</v>
      </c>
      <c r="CP189" s="8" cm="1">
        <f t="array" ref="CP189">SUMPRODUCT(TRANSPOSE(CP$2:CP$15),$I189:$V189)</f>
        <v>0</v>
      </c>
      <c r="CQ189" s="8" cm="1">
        <f t="array" ref="CQ189">SUMPRODUCT(TRANSPOSE(CQ$2:CQ$15),$I189:$V189)</f>
        <v>0</v>
      </c>
    </row>
    <row r="190" spans="1:95" x14ac:dyDescent="0.25">
      <c r="A190" s="1">
        <v>213</v>
      </c>
      <c r="B190" s="11" t="s">
        <v>513</v>
      </c>
      <c r="C190" s="1" t="s">
        <v>49</v>
      </c>
      <c r="D190" s="1">
        <v>402125924</v>
      </c>
      <c r="E190" s="6">
        <f>VLOOKUP(D190,FFF!$A$2:$B$674,2,)</f>
        <v>417493482</v>
      </c>
      <c r="F190" s="1" t="s">
        <v>514</v>
      </c>
      <c r="G190" s="1" t="s">
        <v>35</v>
      </c>
      <c r="H190" s="1">
        <v>30</v>
      </c>
      <c r="I190" s="1">
        <v>0</v>
      </c>
      <c r="J190" s="1">
        <v>0</v>
      </c>
      <c r="K190" s="1">
        <v>0</v>
      </c>
      <c r="L190" s="1">
        <v>0</v>
      </c>
      <c r="M190" s="1">
        <v>15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15</v>
      </c>
      <c r="W190" s="1">
        <f>SUMPRODUCT(I190:V190,$I$13:$V$13)</f>
        <v>48150</v>
      </c>
      <c r="X190" s="6">
        <f t="shared" si="4"/>
        <v>0.21300000000000002</v>
      </c>
      <c r="Y190" s="1" t="str">
        <f>VLOOKUP(D190,[1]PARTS!$A$1:$G$65536,7,0)</f>
        <v>MURATA MANUFACTURING CO. LTD</v>
      </c>
      <c r="Z190" s="1">
        <f>VLOOKUP(D190,[2]pareto!$D$12:$AX$306,44,0)</f>
        <v>10000</v>
      </c>
      <c r="AA190" s="1">
        <f>VLOOKUP(D190,[2]pareto!$D$12:$AX$306,45,0)</f>
        <v>10000</v>
      </c>
      <c r="AB190" s="1">
        <f>CEILING(W190,Z190)</f>
        <v>50000</v>
      </c>
      <c r="AC190" s="1">
        <f>VLOOKUP(D190,[2]pareto!$D$12:$AX$306,47,0)</f>
        <v>7.1000000000000004E-3</v>
      </c>
      <c r="AD190" s="1" t="s">
        <v>85</v>
      </c>
      <c r="AE190" s="1" t="s">
        <v>86</v>
      </c>
      <c r="AF190" s="19" t="s">
        <v>87</v>
      </c>
      <c r="AG190" s="1" t="s">
        <v>88</v>
      </c>
      <c r="BG190" s="8">
        <f>SUM($BB190,$AI190:AI190)-SUM($BY190:BZ190)</f>
        <v>0</v>
      </c>
      <c r="BH190" s="8">
        <f>SUM($BB190,$AI190:AJ190)-SUM($BY190:CA190)</f>
        <v>0</v>
      </c>
      <c r="BI190" s="8">
        <f>SUM($BB190,$AI190:AK190)-SUM($BY190:CB190)</f>
        <v>0</v>
      </c>
      <c r="BJ190" s="8">
        <f>SUM($BB190,$AI190:AL190)-SUM($BY190:CC190)</f>
        <v>0</v>
      </c>
      <c r="BK190" s="8">
        <f>SUM($BB190,$AI190:AM190)-SUM($BY190:CD190)</f>
        <v>0</v>
      </c>
      <c r="BL190" s="8">
        <f>SUM($BB190,$AI190:AN190)-SUM($BY190:CE190)</f>
        <v>0</v>
      </c>
      <c r="BM190" s="8">
        <f>SUM($BB190,$AI190:AO190)-SUM($BY190:CF190)</f>
        <v>0</v>
      </c>
      <c r="BN190" s="8">
        <f>SUM($BB190,$AI190:AP190)-SUM($BY190:CG190)</f>
        <v>-1500</v>
      </c>
      <c r="BO190" s="8">
        <f>SUM($BB190,$AI190:AQ190)-SUM($BY190:CH190)</f>
        <v>-5250</v>
      </c>
      <c r="BP190" s="8">
        <f>SUM($BB190,$AI190:AR190)-SUM($BY190:CI190)</f>
        <v>-11250</v>
      </c>
      <c r="BQ190" s="8">
        <f>SUM($BB190,$AI190:AS190)-SUM($BY190:CJ190)</f>
        <v>-18300</v>
      </c>
      <c r="BR190" s="8">
        <f>SUM($BB190,$AI190:AT190)-SUM($BY190:CK190)</f>
        <v>-24300</v>
      </c>
      <c r="BS190" s="8">
        <f>SUM($BB190,$AI190:AU190)-SUM($BY190:CL190)</f>
        <v>-29550</v>
      </c>
      <c r="BT190" s="8">
        <f>SUM($BB190,$AI190:AV190)-SUM($BY190:CM190)</f>
        <v>-36150</v>
      </c>
      <c r="BU190" s="8">
        <f>SUM($BB190,$AI190:AW190)-SUM($BY190:CN190)</f>
        <v>-44250</v>
      </c>
      <c r="BV190" s="8">
        <f>SUM($BB190,$AI190:AX190)-SUM($BY190:CO190)</f>
        <v>-48150</v>
      </c>
      <c r="BW190" s="8">
        <f>SUM($BB190,$AI190:AY190)-SUM($BY190:CP190)</f>
        <v>-48150</v>
      </c>
      <c r="BX190" s="8">
        <f>SUM($BB190,$AI190:AZ190)-SUM($BY190:CQ190)</f>
        <v>-48150</v>
      </c>
      <c r="BY190" s="8" cm="1">
        <f t="array" ref="BY190">SUMPRODUCT(TRANSPOSE(BY$2:BY$15),$I190:$V190)</f>
        <v>0</v>
      </c>
      <c r="BZ190" s="8" cm="1">
        <f t="array" ref="BZ190">SUMPRODUCT(TRANSPOSE(BZ$2:BZ$15),$I190:$V190)</f>
        <v>0</v>
      </c>
      <c r="CA190" s="8" cm="1">
        <f t="array" ref="CA190">SUMPRODUCT(TRANSPOSE(CA$2:CA$15),$I190:$V190)</f>
        <v>0</v>
      </c>
      <c r="CB190" s="8" cm="1">
        <f t="array" ref="CB190">SUMPRODUCT(TRANSPOSE(CB$2:CB$15),$I190:$V190)</f>
        <v>0</v>
      </c>
      <c r="CC190" s="8" cm="1">
        <f t="array" ref="CC190">SUMPRODUCT(TRANSPOSE(CC$2:CC$15),$I190:$V190)</f>
        <v>0</v>
      </c>
      <c r="CD190" s="8" cm="1">
        <f t="array" ref="CD190">SUMPRODUCT(TRANSPOSE(CD$2:CD$15),$I190:$V190)</f>
        <v>0</v>
      </c>
      <c r="CE190" s="8" cm="1">
        <f t="array" ref="CE190">SUMPRODUCT(TRANSPOSE(CE$2:CE$15),$I190:$V190)</f>
        <v>0</v>
      </c>
      <c r="CF190" s="8" cm="1">
        <f t="array" ref="CF190">SUMPRODUCT(TRANSPOSE(CF$2:CF$15),$I190:$V190)</f>
        <v>0</v>
      </c>
      <c r="CG190" s="8" cm="1">
        <f t="array" ref="CG190">SUMPRODUCT(TRANSPOSE(CG$2:CG$15),$I190:$V190)</f>
        <v>1500</v>
      </c>
      <c r="CH190" s="8" cm="1">
        <f t="array" ref="CH190">SUMPRODUCT(TRANSPOSE(CH$2:CH$15),$I190:$V190)</f>
        <v>3750</v>
      </c>
      <c r="CI190" s="8" cm="1">
        <f t="array" ref="CI190">SUMPRODUCT(TRANSPOSE(CI$2:CI$15),$I190:$V190)</f>
        <v>6000</v>
      </c>
      <c r="CJ190" s="8" cm="1">
        <f t="array" ref="CJ190">SUMPRODUCT(TRANSPOSE(CJ$2:CJ$15),$I190:$V190)</f>
        <v>7050</v>
      </c>
      <c r="CK190" s="8" cm="1">
        <f t="array" ref="CK190">SUMPRODUCT(TRANSPOSE(CK$2:CK$15),$I190:$V190)</f>
        <v>6000</v>
      </c>
      <c r="CL190" s="8" cm="1">
        <f t="array" ref="CL190">SUMPRODUCT(TRANSPOSE(CL$2:CL$15),$I190:$V190)</f>
        <v>5250</v>
      </c>
      <c r="CM190" s="8" cm="1">
        <f t="array" ref="CM190">SUMPRODUCT(TRANSPOSE(CM$2:CM$15),$I190:$V190)</f>
        <v>6600</v>
      </c>
      <c r="CN190" s="8" cm="1">
        <f t="array" ref="CN190">SUMPRODUCT(TRANSPOSE(CN$2:CN$15),$I190:$V190)</f>
        <v>8100</v>
      </c>
      <c r="CO190" s="8" cm="1">
        <f t="array" ref="CO190">SUMPRODUCT(TRANSPOSE(CO$2:CO$15),$I190:$V190)</f>
        <v>3900</v>
      </c>
      <c r="CP190" s="8" cm="1">
        <f t="array" ref="CP190">SUMPRODUCT(TRANSPOSE(CP$2:CP$15),$I190:$V190)</f>
        <v>0</v>
      </c>
      <c r="CQ190" s="8" cm="1">
        <f t="array" ref="CQ190">SUMPRODUCT(TRANSPOSE(CQ$2:CQ$15),$I190:$V190)</f>
        <v>0</v>
      </c>
    </row>
    <row r="191" spans="1:95" x14ac:dyDescent="0.25">
      <c r="A191" s="1">
        <v>113</v>
      </c>
      <c r="B191" s="11" t="s">
        <v>515</v>
      </c>
      <c r="C191" s="1" t="s">
        <v>49</v>
      </c>
      <c r="D191" s="1">
        <v>400589051</v>
      </c>
      <c r="E191" s="6"/>
      <c r="F191" s="1" t="s">
        <v>516</v>
      </c>
      <c r="G191" s="1" t="s">
        <v>256</v>
      </c>
      <c r="H191" s="1" t="s">
        <v>257</v>
      </c>
      <c r="I191" s="1">
        <v>0.05</v>
      </c>
      <c r="J191" s="1">
        <v>0</v>
      </c>
      <c r="K191" s="1">
        <v>0</v>
      </c>
      <c r="L191" s="1">
        <v>0</v>
      </c>
      <c r="M191" s="1">
        <v>0</v>
      </c>
      <c r="N191" s="1">
        <v>0.05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f>SUMPRODUCT(I191:V191,$I$13:$V$13)</f>
        <v>160.5</v>
      </c>
      <c r="X191" s="6">
        <f t="shared" si="4"/>
        <v>0.28199999999999997</v>
      </c>
      <c r="Y191" s="1" t="str">
        <f>VLOOKUP(D191,[1]PARTS!$A$1:$G$65536,7,0)</f>
        <v>AVERY DENNISON</v>
      </c>
      <c r="Z191" s="1">
        <f>VLOOKUP(D191,[2]pareto!$D$12:$AX$306,44,0)</f>
        <v>500</v>
      </c>
      <c r="AA191" s="1">
        <f>VLOOKUP(D191,[2]pareto!$D$12:$AX$306,45,0)</f>
        <v>500</v>
      </c>
      <c r="AB191" s="1">
        <f>CEILING(W191,Z191)</f>
        <v>500</v>
      </c>
      <c r="AC191" s="1">
        <f>VLOOKUP(D191,[2]pareto!$D$12:$AX$306,47,0)</f>
        <v>2.82</v>
      </c>
      <c r="AD191" s="1" t="s">
        <v>258</v>
      </c>
      <c r="AE191" s="1" t="s">
        <v>258</v>
      </c>
      <c r="AF191" s="1" t="s">
        <v>258</v>
      </c>
      <c r="AG191" s="1" t="s">
        <v>258</v>
      </c>
      <c r="BG191" s="8">
        <f>SUM($BB191,$AI191:AI191)-SUM($BY191:BZ191)</f>
        <v>0</v>
      </c>
      <c r="BH191" s="8">
        <f>SUM($BB191,$AI191:AJ191)-SUM($BY191:CA191)</f>
        <v>0</v>
      </c>
      <c r="BI191" s="8">
        <f>SUM($BB191,$AI191:AK191)-SUM($BY191:CB191)</f>
        <v>0</v>
      </c>
      <c r="BJ191" s="8">
        <f>SUM($BB191,$AI191:AL191)-SUM($BY191:CC191)</f>
        <v>0</v>
      </c>
      <c r="BK191" s="8">
        <f>SUM($BB191,$AI191:AM191)-SUM($BY191:CD191)</f>
        <v>0</v>
      </c>
      <c r="BL191" s="8">
        <f>SUM($BB191,$AI191:AN191)-SUM($BY191:CE191)</f>
        <v>0</v>
      </c>
      <c r="BM191" s="8">
        <f>SUM($BB191,$AI191:AO191)-SUM($BY191:CF191)</f>
        <v>0</v>
      </c>
      <c r="BN191" s="8">
        <f>SUM($BB191,$AI191:AP191)-SUM($BY191:CG191)</f>
        <v>0</v>
      </c>
      <c r="BO191" s="8">
        <f>SUM($BB191,$AI191:AQ191)-SUM($BY191:CH191)</f>
        <v>0</v>
      </c>
      <c r="BP191" s="8">
        <f>SUM($BB191,$AI191:AR191)-SUM($BY191:CI191)</f>
        <v>-10</v>
      </c>
      <c r="BQ191" s="8">
        <f>SUM($BB191,$AI191:AS191)-SUM($BY191:CJ191)</f>
        <v>-25</v>
      </c>
      <c r="BR191" s="8">
        <f>SUM($BB191,$AI191:AT191)-SUM($BY191:CK191)</f>
        <v>-50</v>
      </c>
      <c r="BS191" s="8">
        <f>SUM($BB191,$AI191:AU191)-SUM($BY191:CL191)</f>
        <v>-71</v>
      </c>
      <c r="BT191" s="8">
        <f>SUM($BB191,$AI191:AV191)-SUM($BY191:CM191)</f>
        <v>-91</v>
      </c>
      <c r="BU191" s="8">
        <f>SUM($BB191,$AI191:AW191)-SUM($BY191:CN191)</f>
        <v>-108.5</v>
      </c>
      <c r="BV191" s="8">
        <f>SUM($BB191,$AI191:AX191)-SUM($BY191:CO191)</f>
        <v>-135.5</v>
      </c>
      <c r="BW191" s="8">
        <f>SUM($BB191,$AI191:AY191)-SUM($BY191:CP191)</f>
        <v>-160.5</v>
      </c>
      <c r="BX191" s="8">
        <f>SUM($BB191,$AI191:AZ191)-SUM($BY191:CQ191)</f>
        <v>-160.5</v>
      </c>
      <c r="BY191" s="8" cm="1">
        <f t="array" ref="BY191">SUMPRODUCT(TRANSPOSE(BY$2:BY$15),$I191:$V191)</f>
        <v>0</v>
      </c>
      <c r="BZ191" s="8" cm="1">
        <f t="array" ref="BZ191">SUMPRODUCT(TRANSPOSE(BZ$2:BZ$15),$I191:$V191)</f>
        <v>0</v>
      </c>
      <c r="CA191" s="8" cm="1">
        <f t="array" ref="CA191">SUMPRODUCT(TRANSPOSE(CA$2:CA$15),$I191:$V191)</f>
        <v>0</v>
      </c>
      <c r="CB191" s="8" cm="1">
        <f t="array" ref="CB191">SUMPRODUCT(TRANSPOSE(CB$2:CB$15),$I191:$V191)</f>
        <v>0</v>
      </c>
      <c r="CC191" s="8" cm="1">
        <f t="array" ref="CC191">SUMPRODUCT(TRANSPOSE(CC$2:CC$15),$I191:$V191)</f>
        <v>0</v>
      </c>
      <c r="CD191" s="8" cm="1">
        <f t="array" ref="CD191">SUMPRODUCT(TRANSPOSE(CD$2:CD$15),$I191:$V191)</f>
        <v>0</v>
      </c>
      <c r="CE191" s="8" cm="1">
        <f t="array" ref="CE191">SUMPRODUCT(TRANSPOSE(CE$2:CE$15),$I191:$V191)</f>
        <v>0</v>
      </c>
      <c r="CF191" s="8" cm="1">
        <f t="array" ref="CF191">SUMPRODUCT(TRANSPOSE(CF$2:CF$15),$I191:$V191)</f>
        <v>0</v>
      </c>
      <c r="CG191" s="8" cm="1">
        <f t="array" ref="CG191">SUMPRODUCT(TRANSPOSE(CG$2:CG$15),$I191:$V191)</f>
        <v>0</v>
      </c>
      <c r="CH191" s="8" cm="1">
        <f t="array" ref="CH191">SUMPRODUCT(TRANSPOSE(CH$2:CH$15),$I191:$V191)</f>
        <v>0</v>
      </c>
      <c r="CI191" s="8" cm="1">
        <f t="array" ref="CI191">SUMPRODUCT(TRANSPOSE(CI$2:CI$15),$I191:$V191)</f>
        <v>10</v>
      </c>
      <c r="CJ191" s="8" cm="1">
        <f t="array" ref="CJ191">SUMPRODUCT(TRANSPOSE(CJ$2:CJ$15),$I191:$V191)</f>
        <v>15</v>
      </c>
      <c r="CK191" s="8" cm="1">
        <f t="array" ref="CK191">SUMPRODUCT(TRANSPOSE(CK$2:CK$15),$I191:$V191)</f>
        <v>25</v>
      </c>
      <c r="CL191" s="8" cm="1">
        <f t="array" ref="CL191">SUMPRODUCT(TRANSPOSE(CL$2:CL$15),$I191:$V191)</f>
        <v>21</v>
      </c>
      <c r="CM191" s="8" cm="1">
        <f t="array" ref="CM191">SUMPRODUCT(TRANSPOSE(CM$2:CM$15),$I191:$V191)</f>
        <v>20</v>
      </c>
      <c r="CN191" s="8" cm="1">
        <f t="array" ref="CN191">SUMPRODUCT(TRANSPOSE(CN$2:CN$15),$I191:$V191)</f>
        <v>17.5</v>
      </c>
      <c r="CO191" s="8" cm="1">
        <f t="array" ref="CO191">SUMPRODUCT(TRANSPOSE(CO$2:CO$15),$I191:$V191)</f>
        <v>27</v>
      </c>
      <c r="CP191" s="8" cm="1">
        <f t="array" ref="CP191">SUMPRODUCT(TRANSPOSE(CP$2:CP$15),$I191:$V191)</f>
        <v>25</v>
      </c>
      <c r="CQ191" s="8" cm="1">
        <f t="array" ref="CQ191">SUMPRODUCT(TRANSPOSE(CQ$2:CQ$15),$I191:$V191)</f>
        <v>0</v>
      </c>
    </row>
    <row r="192" spans="1:95" x14ac:dyDescent="0.25">
      <c r="A192" s="1">
        <v>319</v>
      </c>
      <c r="B192" s="11" t="s">
        <v>517</v>
      </c>
      <c r="C192" s="1" t="s">
        <v>49</v>
      </c>
      <c r="D192" s="1">
        <v>418094626</v>
      </c>
      <c r="E192" s="6">
        <f>VLOOKUP(D192,FFF!$A$2:$B$674,2,)</f>
        <v>400481527</v>
      </c>
      <c r="F192" s="1" t="s">
        <v>518</v>
      </c>
      <c r="G192" s="1" t="s">
        <v>35</v>
      </c>
      <c r="H192" s="1">
        <v>1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1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f>SUMPRODUCT(I192:V192,$I$13:$V$13)</f>
        <v>1660</v>
      </c>
      <c r="X192" s="6">
        <f t="shared" si="4"/>
        <v>0.3</v>
      </c>
      <c r="Y192" s="1" t="str">
        <f>VLOOKUP(D192,[1]PARTS!$A$1:$G$65536,7,0)</f>
        <v>VISHAY EUROPE SALE GMBH</v>
      </c>
      <c r="Z192" s="1">
        <v>100</v>
      </c>
      <c r="AA192" s="1">
        <v>7000</v>
      </c>
      <c r="AB192" s="1">
        <f>CEILING(W192,Z192)</f>
        <v>1700</v>
      </c>
      <c r="AC192" s="1">
        <v>0.3</v>
      </c>
      <c r="AD192" s="1" t="s">
        <v>250</v>
      </c>
      <c r="AE192" s="1" t="s">
        <v>251</v>
      </c>
      <c r="AF192" s="12" t="s">
        <v>252</v>
      </c>
      <c r="AG192" s="1" t="s">
        <v>253</v>
      </c>
      <c r="BG192" s="8">
        <f>SUM($BB192,$AI192:AI192)-SUM($BY192:BZ192)</f>
        <v>0</v>
      </c>
      <c r="BH192" s="8">
        <f>SUM($BB192,$AI192:AJ192)-SUM($BY192:CA192)</f>
        <v>0</v>
      </c>
      <c r="BI192" s="8">
        <f>SUM($BB192,$AI192:AK192)-SUM($BY192:CB192)</f>
        <v>0</v>
      </c>
      <c r="BJ192" s="8">
        <f>SUM($BB192,$AI192:AL192)-SUM($BY192:CC192)</f>
        <v>0</v>
      </c>
      <c r="BK192" s="8">
        <f>SUM($BB192,$AI192:AM192)-SUM($BY192:CD192)</f>
        <v>0</v>
      </c>
      <c r="BL192" s="8">
        <f>SUM($BB192,$AI192:AN192)-SUM($BY192:CE192)</f>
        <v>0</v>
      </c>
      <c r="BM192" s="8">
        <f>SUM($BB192,$AI192:AO192)-SUM($BY192:CF192)</f>
        <v>0</v>
      </c>
      <c r="BN192" s="8">
        <f>SUM($BB192,$AI192:AP192)-SUM($BY192:CG192)</f>
        <v>-100</v>
      </c>
      <c r="BO192" s="8">
        <f>SUM($BB192,$AI192:AQ192)-SUM($BY192:CH192)</f>
        <v>-250</v>
      </c>
      <c r="BP192" s="8">
        <f>SUM($BB192,$AI192:AR192)-SUM($BY192:CI192)</f>
        <v>-500</v>
      </c>
      <c r="BQ192" s="8">
        <f>SUM($BB192,$AI192:AS192)-SUM($BY192:CJ192)</f>
        <v>-700</v>
      </c>
      <c r="BR192" s="8">
        <f>SUM($BB192,$AI192:AT192)-SUM($BY192:CK192)</f>
        <v>-900</v>
      </c>
      <c r="BS192" s="8">
        <f>SUM($BB192,$AI192:AU192)-SUM($BY192:CL192)</f>
        <v>-1100</v>
      </c>
      <c r="BT192" s="8">
        <f>SUM($BB192,$AI192:AV192)-SUM($BY192:CM192)</f>
        <v>-1400</v>
      </c>
      <c r="BU192" s="8">
        <f>SUM($BB192,$AI192:AW192)-SUM($BY192:CN192)</f>
        <v>-1660</v>
      </c>
      <c r="BV192" s="8">
        <f>SUM($BB192,$AI192:AX192)-SUM($BY192:CO192)</f>
        <v>-1660</v>
      </c>
      <c r="BW192" s="8">
        <f>SUM($BB192,$AI192:AY192)-SUM($BY192:CP192)</f>
        <v>-1660</v>
      </c>
      <c r="BX192" s="8">
        <f>SUM($BB192,$AI192:AZ192)-SUM($BY192:CQ192)</f>
        <v>-1660</v>
      </c>
      <c r="BY192" s="8" cm="1">
        <f t="array" ref="BY192">SUMPRODUCT(TRANSPOSE(BY$2:BY$15),$I192:$V192)</f>
        <v>0</v>
      </c>
      <c r="BZ192" s="8" cm="1">
        <f t="array" ref="BZ192">SUMPRODUCT(TRANSPOSE(BZ$2:BZ$15),$I192:$V192)</f>
        <v>0</v>
      </c>
      <c r="CA192" s="8" cm="1">
        <f t="array" ref="CA192">SUMPRODUCT(TRANSPOSE(CA$2:CA$15),$I192:$V192)</f>
        <v>0</v>
      </c>
      <c r="CB192" s="8" cm="1">
        <f t="array" ref="CB192">SUMPRODUCT(TRANSPOSE(CB$2:CB$15),$I192:$V192)</f>
        <v>0</v>
      </c>
      <c r="CC192" s="8" cm="1">
        <f t="array" ref="CC192">SUMPRODUCT(TRANSPOSE(CC$2:CC$15),$I192:$V192)</f>
        <v>0</v>
      </c>
      <c r="CD192" s="8" cm="1">
        <f t="array" ref="CD192">SUMPRODUCT(TRANSPOSE(CD$2:CD$15),$I192:$V192)</f>
        <v>0</v>
      </c>
      <c r="CE192" s="8" cm="1">
        <f t="array" ref="CE192">SUMPRODUCT(TRANSPOSE(CE$2:CE$15),$I192:$V192)</f>
        <v>0</v>
      </c>
      <c r="CF192" s="8" cm="1">
        <f t="array" ref="CF192">SUMPRODUCT(TRANSPOSE(CF$2:CF$15),$I192:$V192)</f>
        <v>0</v>
      </c>
      <c r="CG192" s="8" cm="1">
        <f t="array" ref="CG192">SUMPRODUCT(TRANSPOSE(CG$2:CG$15),$I192:$V192)</f>
        <v>100</v>
      </c>
      <c r="CH192" s="8" cm="1">
        <f t="array" ref="CH192">SUMPRODUCT(TRANSPOSE(CH$2:CH$15),$I192:$V192)</f>
        <v>150</v>
      </c>
      <c r="CI192" s="8" cm="1">
        <f t="array" ref="CI192">SUMPRODUCT(TRANSPOSE(CI$2:CI$15),$I192:$V192)</f>
        <v>250</v>
      </c>
      <c r="CJ192" s="8" cm="1">
        <f t="array" ref="CJ192">SUMPRODUCT(TRANSPOSE(CJ$2:CJ$15),$I192:$V192)</f>
        <v>200</v>
      </c>
      <c r="CK192" s="8" cm="1">
        <f t="array" ref="CK192">SUMPRODUCT(TRANSPOSE(CK$2:CK$15),$I192:$V192)</f>
        <v>200</v>
      </c>
      <c r="CL192" s="8" cm="1">
        <f t="array" ref="CL192">SUMPRODUCT(TRANSPOSE(CL$2:CL$15),$I192:$V192)</f>
        <v>200</v>
      </c>
      <c r="CM192" s="8" cm="1">
        <f t="array" ref="CM192">SUMPRODUCT(TRANSPOSE(CM$2:CM$15),$I192:$V192)</f>
        <v>300</v>
      </c>
      <c r="CN192" s="8" cm="1">
        <f t="array" ref="CN192">SUMPRODUCT(TRANSPOSE(CN$2:CN$15),$I192:$V192)</f>
        <v>260</v>
      </c>
      <c r="CO192" s="8" cm="1">
        <f t="array" ref="CO192">SUMPRODUCT(TRANSPOSE(CO$2:CO$15),$I192:$V192)</f>
        <v>0</v>
      </c>
      <c r="CP192" s="8" cm="1">
        <f t="array" ref="CP192">SUMPRODUCT(TRANSPOSE(CP$2:CP$15),$I192:$V192)</f>
        <v>0</v>
      </c>
      <c r="CQ192" s="8" cm="1">
        <f t="array" ref="CQ192">SUMPRODUCT(TRANSPOSE(CQ$2:CQ$15),$I192:$V192)</f>
        <v>0</v>
      </c>
    </row>
    <row r="193" spans="1:95" x14ac:dyDescent="0.25">
      <c r="A193" s="1">
        <v>252</v>
      </c>
      <c r="B193" s="11" t="s">
        <v>519</v>
      </c>
      <c r="C193" s="1" t="s">
        <v>49</v>
      </c>
      <c r="D193" s="1">
        <v>514301316</v>
      </c>
      <c r="E193" s="6"/>
      <c r="F193" s="1" t="s">
        <v>412</v>
      </c>
      <c r="G193" s="1" t="s">
        <v>35</v>
      </c>
      <c r="H193" s="1">
        <v>26</v>
      </c>
      <c r="I193" s="1">
        <v>0</v>
      </c>
      <c r="J193" s="1">
        <v>13</v>
      </c>
      <c r="K193" s="1">
        <v>0</v>
      </c>
      <c r="L193" s="1">
        <v>0</v>
      </c>
      <c r="M193" s="1">
        <v>0</v>
      </c>
      <c r="N193" s="1">
        <v>0</v>
      </c>
      <c r="O193" s="1">
        <v>13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f>SUMPRODUCT(I193:V193,$I$13:$V$13)</f>
        <v>41730</v>
      </c>
      <c r="X193" s="6">
        <f t="shared" si="4"/>
        <v>0.18460000000000001</v>
      </c>
      <c r="Y193" s="1" t="str">
        <f>VLOOKUP(D193,[1]PARTS!$A$1:$G$65536,7,0)</f>
        <v>NAS/NASM NATIONAL AEROSPACE STD</v>
      </c>
      <c r="Z193" s="1">
        <v>1</v>
      </c>
      <c r="AA193" s="1">
        <f>CEILING(W193,Z193)</f>
        <v>41730</v>
      </c>
      <c r="AB193" s="1">
        <f>CEILING(W193,Z193)</f>
        <v>41730</v>
      </c>
      <c r="AC193" s="1">
        <v>7.1000000000000004E-3</v>
      </c>
      <c r="AD193" s="1" t="s">
        <v>413</v>
      </c>
      <c r="AE193" s="1" t="s">
        <v>325</v>
      </c>
      <c r="AF193" s="12" t="s">
        <v>326</v>
      </c>
      <c r="AG193" s="1" t="s">
        <v>327</v>
      </c>
      <c r="BG193" s="8">
        <f>SUM($BB193,$AI193:AI193)-SUM($BY193:BZ193)</f>
        <v>0</v>
      </c>
      <c r="BH193" s="8">
        <f>SUM($BB193,$AI193:AJ193)-SUM($BY193:CA193)</f>
        <v>0</v>
      </c>
      <c r="BI193" s="8">
        <f>SUM($BB193,$AI193:AK193)-SUM($BY193:CB193)</f>
        <v>0</v>
      </c>
      <c r="BJ193" s="8">
        <f>SUM($BB193,$AI193:AL193)-SUM($BY193:CC193)</f>
        <v>0</v>
      </c>
      <c r="BK193" s="8">
        <f>SUM($BB193,$AI193:AM193)-SUM($BY193:CD193)</f>
        <v>0</v>
      </c>
      <c r="BL193" s="8">
        <f>SUM($BB193,$AI193:AN193)-SUM($BY193:CE193)</f>
        <v>0</v>
      </c>
      <c r="BM193" s="8">
        <f>SUM($BB193,$AI193:AO193)-SUM($BY193:CF193)</f>
        <v>0</v>
      </c>
      <c r="BN193" s="8">
        <f>SUM($BB193,$AI193:AP193)-SUM($BY193:CG193)</f>
        <v>0</v>
      </c>
      <c r="BO193" s="8">
        <f>SUM($BB193,$AI193:AQ193)-SUM($BY193:CH193)</f>
        <v>0</v>
      </c>
      <c r="BP193" s="8">
        <f>SUM($BB193,$AI193:AR193)-SUM($BY193:CI193)</f>
        <v>-2600</v>
      </c>
      <c r="BQ193" s="8">
        <f>SUM($BB193,$AI193:AS193)-SUM($BY193:CJ193)</f>
        <v>-6500</v>
      </c>
      <c r="BR193" s="8">
        <f>SUM($BB193,$AI193:AT193)-SUM($BY193:CK193)</f>
        <v>-13000</v>
      </c>
      <c r="BS193" s="8">
        <f>SUM($BB193,$AI193:AU193)-SUM($BY193:CL193)</f>
        <v>-18460</v>
      </c>
      <c r="BT193" s="8">
        <f>SUM($BB193,$AI193:AV193)-SUM($BY193:CM193)</f>
        <v>-23660</v>
      </c>
      <c r="BU193" s="8">
        <f>SUM($BB193,$AI193:AW193)-SUM($BY193:CN193)</f>
        <v>-28210</v>
      </c>
      <c r="BV193" s="8">
        <f>SUM($BB193,$AI193:AX193)-SUM($BY193:CO193)</f>
        <v>-35230</v>
      </c>
      <c r="BW193" s="8">
        <f>SUM($BB193,$AI193:AY193)-SUM($BY193:CP193)</f>
        <v>-41730</v>
      </c>
      <c r="BX193" s="8">
        <f>SUM($BB193,$AI193:AZ193)-SUM($BY193:CQ193)</f>
        <v>-41730</v>
      </c>
      <c r="BY193" s="8" cm="1">
        <f t="array" ref="BY193">SUMPRODUCT(TRANSPOSE(BY$2:BY$15),$I193:$V193)</f>
        <v>0</v>
      </c>
      <c r="BZ193" s="8" cm="1">
        <f t="array" ref="BZ193">SUMPRODUCT(TRANSPOSE(BZ$2:BZ$15),$I193:$V193)</f>
        <v>0</v>
      </c>
      <c r="CA193" s="8" cm="1">
        <f t="array" ref="CA193">SUMPRODUCT(TRANSPOSE(CA$2:CA$15),$I193:$V193)</f>
        <v>0</v>
      </c>
      <c r="CB193" s="8" cm="1">
        <f t="array" ref="CB193">SUMPRODUCT(TRANSPOSE(CB$2:CB$15),$I193:$V193)</f>
        <v>0</v>
      </c>
      <c r="CC193" s="8" cm="1">
        <f t="array" ref="CC193">SUMPRODUCT(TRANSPOSE(CC$2:CC$15),$I193:$V193)</f>
        <v>0</v>
      </c>
      <c r="CD193" s="8" cm="1">
        <f t="array" ref="CD193">SUMPRODUCT(TRANSPOSE(CD$2:CD$15),$I193:$V193)</f>
        <v>0</v>
      </c>
      <c r="CE193" s="8" cm="1">
        <f t="array" ref="CE193">SUMPRODUCT(TRANSPOSE(CE$2:CE$15),$I193:$V193)</f>
        <v>0</v>
      </c>
      <c r="CF193" s="8" cm="1">
        <f t="array" ref="CF193">SUMPRODUCT(TRANSPOSE(CF$2:CF$15),$I193:$V193)</f>
        <v>0</v>
      </c>
      <c r="CG193" s="8" cm="1">
        <f t="array" ref="CG193">SUMPRODUCT(TRANSPOSE(CG$2:CG$15),$I193:$V193)</f>
        <v>0</v>
      </c>
      <c r="CH193" s="8" cm="1">
        <f t="array" ref="CH193">SUMPRODUCT(TRANSPOSE(CH$2:CH$15),$I193:$V193)</f>
        <v>0</v>
      </c>
      <c r="CI193" s="8" cm="1">
        <f t="array" ref="CI193">SUMPRODUCT(TRANSPOSE(CI$2:CI$15),$I193:$V193)</f>
        <v>2600</v>
      </c>
      <c r="CJ193" s="8" cm="1">
        <f t="array" ref="CJ193">SUMPRODUCT(TRANSPOSE(CJ$2:CJ$15),$I193:$V193)</f>
        <v>3900</v>
      </c>
      <c r="CK193" s="8" cm="1">
        <f t="array" ref="CK193">SUMPRODUCT(TRANSPOSE(CK$2:CK$15),$I193:$V193)</f>
        <v>6500</v>
      </c>
      <c r="CL193" s="8" cm="1">
        <f t="array" ref="CL193">SUMPRODUCT(TRANSPOSE(CL$2:CL$15),$I193:$V193)</f>
        <v>5460</v>
      </c>
      <c r="CM193" s="8" cm="1">
        <f t="array" ref="CM193">SUMPRODUCT(TRANSPOSE(CM$2:CM$15),$I193:$V193)</f>
        <v>5200</v>
      </c>
      <c r="CN193" s="8" cm="1">
        <f t="array" ref="CN193">SUMPRODUCT(TRANSPOSE(CN$2:CN$15),$I193:$V193)</f>
        <v>4550</v>
      </c>
      <c r="CO193" s="8" cm="1">
        <f t="array" ref="CO193">SUMPRODUCT(TRANSPOSE(CO$2:CO$15),$I193:$V193)</f>
        <v>7020</v>
      </c>
      <c r="CP193" s="8" cm="1">
        <f t="array" ref="CP193">SUMPRODUCT(TRANSPOSE(CP$2:CP$15),$I193:$V193)</f>
        <v>6500</v>
      </c>
      <c r="CQ193" s="8" cm="1">
        <f t="array" ref="CQ193">SUMPRODUCT(TRANSPOSE(CQ$2:CQ$15),$I193:$V193)</f>
        <v>0</v>
      </c>
    </row>
    <row r="194" spans="1:95" x14ac:dyDescent="0.25">
      <c r="A194" s="1">
        <v>150</v>
      </c>
      <c r="B194" s="11" t="s">
        <v>520</v>
      </c>
      <c r="C194" s="1" t="s">
        <v>49</v>
      </c>
      <c r="D194" s="1">
        <v>400656753</v>
      </c>
      <c r="E194" s="6">
        <f>VLOOKUP(D194,FFF!$A$2:$B$674,2,)</f>
        <v>400275214</v>
      </c>
      <c r="F194" s="1" t="s">
        <v>521</v>
      </c>
      <c r="G194" s="1" t="s">
        <v>35</v>
      </c>
      <c r="H194" s="1">
        <v>26</v>
      </c>
      <c r="I194" s="1">
        <v>0</v>
      </c>
      <c r="J194" s="1">
        <v>0</v>
      </c>
      <c r="K194" s="1">
        <v>0</v>
      </c>
      <c r="L194" s="1">
        <v>0</v>
      </c>
      <c r="M194" s="1">
        <v>13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13</v>
      </c>
      <c r="W194" s="1">
        <f>SUMPRODUCT(I194:V194,$I$13:$V$13)</f>
        <v>41730</v>
      </c>
      <c r="X194" s="6">
        <f t="shared" si="4"/>
        <v>3.6503999999999995E-2</v>
      </c>
      <c r="Y194" s="1" t="str">
        <f>VLOOKUP(D194,[1]PARTS!$A$1:$G$65536,7,0)</f>
        <v>VISHAY RESISTIVE SYSTEMS</v>
      </c>
      <c r="Z194" s="1">
        <f>VLOOKUP(D194,[2]pareto!$D$12:$AX$306,44,0)</f>
        <v>10000</v>
      </c>
      <c r="AA194" s="1">
        <f>VLOOKUP(D194,[2]pareto!$D$12:$AX$306,45,0)</f>
        <v>10000</v>
      </c>
      <c r="AB194" s="1">
        <f>CEILING(W194,Z194)</f>
        <v>50000</v>
      </c>
      <c r="AC194" s="1">
        <f>VLOOKUP(D194,[2]pareto!$D$12:$AX$306,47,0)</f>
        <v>1.4039999999999999E-3</v>
      </c>
      <c r="AD194" s="1" t="s">
        <v>85</v>
      </c>
      <c r="AE194" s="1" t="s">
        <v>86</v>
      </c>
      <c r="AF194" s="19" t="s">
        <v>87</v>
      </c>
      <c r="AG194" s="1" t="s">
        <v>88</v>
      </c>
      <c r="BG194" s="8">
        <f>SUM($BB194,$AI194:AI194)-SUM($BY194:BZ194)</f>
        <v>0</v>
      </c>
      <c r="BH194" s="8">
        <f>SUM($BB194,$AI194:AJ194)-SUM($BY194:CA194)</f>
        <v>0</v>
      </c>
      <c r="BI194" s="8">
        <f>SUM($BB194,$AI194:AK194)-SUM($BY194:CB194)</f>
        <v>0</v>
      </c>
      <c r="BJ194" s="8">
        <f>SUM($BB194,$AI194:AL194)-SUM($BY194:CC194)</f>
        <v>0</v>
      </c>
      <c r="BK194" s="8">
        <f>SUM($BB194,$AI194:AM194)-SUM($BY194:CD194)</f>
        <v>0</v>
      </c>
      <c r="BL194" s="8">
        <f>SUM($BB194,$AI194:AN194)-SUM($BY194:CE194)</f>
        <v>0</v>
      </c>
      <c r="BM194" s="8">
        <f>SUM($BB194,$AI194:AO194)-SUM($BY194:CF194)</f>
        <v>0</v>
      </c>
      <c r="BN194" s="8">
        <f>SUM($BB194,$AI194:AP194)-SUM($BY194:CG194)</f>
        <v>-1300</v>
      </c>
      <c r="BO194" s="8">
        <f>SUM($BB194,$AI194:AQ194)-SUM($BY194:CH194)</f>
        <v>-4550</v>
      </c>
      <c r="BP194" s="8">
        <f>SUM($BB194,$AI194:AR194)-SUM($BY194:CI194)</f>
        <v>-9750</v>
      </c>
      <c r="BQ194" s="8">
        <f>SUM($BB194,$AI194:AS194)-SUM($BY194:CJ194)</f>
        <v>-15860</v>
      </c>
      <c r="BR194" s="8">
        <f>SUM($BB194,$AI194:AT194)-SUM($BY194:CK194)</f>
        <v>-21060</v>
      </c>
      <c r="BS194" s="8">
        <f>SUM($BB194,$AI194:AU194)-SUM($BY194:CL194)</f>
        <v>-25610</v>
      </c>
      <c r="BT194" s="8">
        <f>SUM($BB194,$AI194:AV194)-SUM($BY194:CM194)</f>
        <v>-31330</v>
      </c>
      <c r="BU194" s="8">
        <f>SUM($BB194,$AI194:AW194)-SUM($BY194:CN194)</f>
        <v>-38350</v>
      </c>
      <c r="BV194" s="8">
        <f>SUM($BB194,$AI194:AX194)-SUM($BY194:CO194)</f>
        <v>-41730</v>
      </c>
      <c r="BW194" s="8">
        <f>SUM($BB194,$AI194:AY194)-SUM($BY194:CP194)</f>
        <v>-41730</v>
      </c>
      <c r="BX194" s="8">
        <f>SUM($BB194,$AI194:AZ194)-SUM($BY194:CQ194)</f>
        <v>-41730</v>
      </c>
      <c r="BY194" s="8" cm="1">
        <f t="array" ref="BY194">SUMPRODUCT(TRANSPOSE(BY$2:BY$15),$I194:$V194)</f>
        <v>0</v>
      </c>
      <c r="BZ194" s="8" cm="1">
        <f t="array" ref="BZ194">SUMPRODUCT(TRANSPOSE(BZ$2:BZ$15),$I194:$V194)</f>
        <v>0</v>
      </c>
      <c r="CA194" s="8" cm="1">
        <f t="array" ref="CA194">SUMPRODUCT(TRANSPOSE(CA$2:CA$15),$I194:$V194)</f>
        <v>0</v>
      </c>
      <c r="CB194" s="8" cm="1">
        <f t="array" ref="CB194">SUMPRODUCT(TRANSPOSE(CB$2:CB$15),$I194:$V194)</f>
        <v>0</v>
      </c>
      <c r="CC194" s="8" cm="1">
        <f t="array" ref="CC194">SUMPRODUCT(TRANSPOSE(CC$2:CC$15),$I194:$V194)</f>
        <v>0</v>
      </c>
      <c r="CD194" s="8" cm="1">
        <f t="array" ref="CD194">SUMPRODUCT(TRANSPOSE(CD$2:CD$15),$I194:$V194)</f>
        <v>0</v>
      </c>
      <c r="CE194" s="8" cm="1">
        <f t="array" ref="CE194">SUMPRODUCT(TRANSPOSE(CE$2:CE$15),$I194:$V194)</f>
        <v>0</v>
      </c>
      <c r="CF194" s="8" cm="1">
        <f t="array" ref="CF194">SUMPRODUCT(TRANSPOSE(CF$2:CF$15),$I194:$V194)</f>
        <v>0</v>
      </c>
      <c r="CG194" s="8" cm="1">
        <f t="array" ref="CG194">SUMPRODUCT(TRANSPOSE(CG$2:CG$15),$I194:$V194)</f>
        <v>1300</v>
      </c>
      <c r="CH194" s="8" cm="1">
        <f t="array" ref="CH194">SUMPRODUCT(TRANSPOSE(CH$2:CH$15),$I194:$V194)</f>
        <v>3250</v>
      </c>
      <c r="CI194" s="8" cm="1">
        <f t="array" ref="CI194">SUMPRODUCT(TRANSPOSE(CI$2:CI$15),$I194:$V194)</f>
        <v>5200</v>
      </c>
      <c r="CJ194" s="8" cm="1">
        <f t="array" ref="CJ194">SUMPRODUCT(TRANSPOSE(CJ$2:CJ$15),$I194:$V194)</f>
        <v>6110</v>
      </c>
      <c r="CK194" s="8" cm="1">
        <f t="array" ref="CK194">SUMPRODUCT(TRANSPOSE(CK$2:CK$15),$I194:$V194)</f>
        <v>5200</v>
      </c>
      <c r="CL194" s="8" cm="1">
        <f t="array" ref="CL194">SUMPRODUCT(TRANSPOSE(CL$2:CL$15),$I194:$V194)</f>
        <v>4550</v>
      </c>
      <c r="CM194" s="8" cm="1">
        <f t="array" ref="CM194">SUMPRODUCT(TRANSPOSE(CM$2:CM$15),$I194:$V194)</f>
        <v>5720</v>
      </c>
      <c r="CN194" s="8" cm="1">
        <f t="array" ref="CN194">SUMPRODUCT(TRANSPOSE(CN$2:CN$15),$I194:$V194)</f>
        <v>7020</v>
      </c>
      <c r="CO194" s="8" cm="1">
        <f t="array" ref="CO194">SUMPRODUCT(TRANSPOSE(CO$2:CO$15),$I194:$V194)</f>
        <v>3380</v>
      </c>
      <c r="CP194" s="8" cm="1">
        <f t="array" ref="CP194">SUMPRODUCT(TRANSPOSE(CP$2:CP$15),$I194:$V194)</f>
        <v>0</v>
      </c>
      <c r="CQ194" s="8" cm="1">
        <f t="array" ref="CQ194">SUMPRODUCT(TRANSPOSE(CQ$2:CQ$15),$I194:$V194)</f>
        <v>0</v>
      </c>
    </row>
    <row r="195" spans="1:95" x14ac:dyDescent="0.25">
      <c r="A195" s="1">
        <v>215</v>
      </c>
      <c r="B195" s="11" t="s">
        <v>522</v>
      </c>
      <c r="C195" s="1" t="s">
        <v>49</v>
      </c>
      <c r="D195" s="1">
        <v>410434088</v>
      </c>
      <c r="E195" s="6"/>
      <c r="F195" s="1" t="s">
        <v>523</v>
      </c>
      <c r="G195" s="1" t="s">
        <v>35</v>
      </c>
      <c r="H195" s="1">
        <v>4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4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f>SUMPRODUCT(I195:V195,$I$13:$V$13)</f>
        <v>6640</v>
      </c>
      <c r="X195" s="6">
        <f t="shared" si="4"/>
        <v>0.2268</v>
      </c>
      <c r="Y195" s="1" t="str">
        <f>VLOOKUP(D195,[1]PARTS!$A$1:$G$65536,7,0)</f>
        <v>MURATA MANUFACTURING CO. LTD</v>
      </c>
      <c r="Z195" s="1">
        <f>VLOOKUP(D195,[2]pareto!$D$12:$AX$306,44,0)</f>
        <v>3000</v>
      </c>
      <c r="AA195" s="1">
        <f>VLOOKUP(D195,[2]pareto!$D$12:$AX$306,45,0)</f>
        <v>3000</v>
      </c>
      <c r="AB195" s="1">
        <f>CEILING(W195,Z195)</f>
        <v>9000</v>
      </c>
      <c r="AC195" s="1">
        <f>VLOOKUP(D195,[2]pareto!$D$12:$AX$306,47,0)</f>
        <v>5.67E-2</v>
      </c>
      <c r="AD195" s="1" t="s">
        <v>85</v>
      </c>
      <c r="AE195" s="1" t="s">
        <v>86</v>
      </c>
      <c r="AF195" s="19" t="s">
        <v>87</v>
      </c>
      <c r="AG195" s="1" t="s">
        <v>88</v>
      </c>
      <c r="BG195" s="8">
        <f>SUM($BB195,$AI195:AI195)-SUM($BY195:BZ195)</f>
        <v>0</v>
      </c>
      <c r="BH195" s="8">
        <f>SUM($BB195,$AI195:AJ195)-SUM($BY195:CA195)</f>
        <v>0</v>
      </c>
      <c r="BI195" s="8">
        <f>SUM($BB195,$AI195:AK195)-SUM($BY195:CB195)</f>
        <v>0</v>
      </c>
      <c r="BJ195" s="8">
        <f>SUM($BB195,$AI195:AL195)-SUM($BY195:CC195)</f>
        <v>0</v>
      </c>
      <c r="BK195" s="8">
        <f>SUM($BB195,$AI195:AM195)-SUM($BY195:CD195)</f>
        <v>0</v>
      </c>
      <c r="BL195" s="8">
        <f>SUM($BB195,$AI195:AN195)-SUM($BY195:CE195)</f>
        <v>0</v>
      </c>
      <c r="BM195" s="8">
        <f>SUM($BB195,$AI195:AO195)-SUM($BY195:CF195)</f>
        <v>0</v>
      </c>
      <c r="BN195" s="8">
        <f>SUM($BB195,$AI195:AP195)-SUM($BY195:CG195)</f>
        <v>-400</v>
      </c>
      <c r="BO195" s="8">
        <f>SUM($BB195,$AI195:AQ195)-SUM($BY195:CH195)</f>
        <v>-1000</v>
      </c>
      <c r="BP195" s="8">
        <f>SUM($BB195,$AI195:AR195)-SUM($BY195:CI195)</f>
        <v>-2000</v>
      </c>
      <c r="BQ195" s="8">
        <f>SUM($BB195,$AI195:AS195)-SUM($BY195:CJ195)</f>
        <v>-2800</v>
      </c>
      <c r="BR195" s="8">
        <f>SUM($BB195,$AI195:AT195)-SUM($BY195:CK195)</f>
        <v>-3600</v>
      </c>
      <c r="BS195" s="8">
        <f>SUM($BB195,$AI195:AU195)-SUM($BY195:CL195)</f>
        <v>-4400</v>
      </c>
      <c r="BT195" s="8">
        <f>SUM($BB195,$AI195:AV195)-SUM($BY195:CM195)</f>
        <v>-5600</v>
      </c>
      <c r="BU195" s="8">
        <f>SUM($BB195,$AI195:AW195)-SUM($BY195:CN195)</f>
        <v>-6640</v>
      </c>
      <c r="BV195" s="8">
        <f>SUM($BB195,$AI195:AX195)-SUM($BY195:CO195)</f>
        <v>-6640</v>
      </c>
      <c r="BW195" s="8">
        <f>SUM($BB195,$AI195:AY195)-SUM($BY195:CP195)</f>
        <v>-6640</v>
      </c>
      <c r="BX195" s="8">
        <f>SUM($BB195,$AI195:AZ195)-SUM($BY195:CQ195)</f>
        <v>-6640</v>
      </c>
      <c r="BY195" s="8" cm="1">
        <f t="array" ref="BY195">SUMPRODUCT(TRANSPOSE(BY$2:BY$15),$I195:$V195)</f>
        <v>0</v>
      </c>
      <c r="BZ195" s="8" cm="1">
        <f t="array" ref="BZ195">SUMPRODUCT(TRANSPOSE(BZ$2:BZ$15),$I195:$V195)</f>
        <v>0</v>
      </c>
      <c r="CA195" s="8" cm="1">
        <f t="array" ref="CA195">SUMPRODUCT(TRANSPOSE(CA$2:CA$15),$I195:$V195)</f>
        <v>0</v>
      </c>
      <c r="CB195" s="8" cm="1">
        <f t="array" ref="CB195">SUMPRODUCT(TRANSPOSE(CB$2:CB$15),$I195:$V195)</f>
        <v>0</v>
      </c>
      <c r="CC195" s="8" cm="1">
        <f t="array" ref="CC195">SUMPRODUCT(TRANSPOSE(CC$2:CC$15),$I195:$V195)</f>
        <v>0</v>
      </c>
      <c r="CD195" s="8" cm="1">
        <f t="array" ref="CD195">SUMPRODUCT(TRANSPOSE(CD$2:CD$15),$I195:$V195)</f>
        <v>0</v>
      </c>
      <c r="CE195" s="8" cm="1">
        <f t="array" ref="CE195">SUMPRODUCT(TRANSPOSE(CE$2:CE$15),$I195:$V195)</f>
        <v>0</v>
      </c>
      <c r="CF195" s="8" cm="1">
        <f t="array" ref="CF195">SUMPRODUCT(TRANSPOSE(CF$2:CF$15),$I195:$V195)</f>
        <v>0</v>
      </c>
      <c r="CG195" s="8" cm="1">
        <f t="array" ref="CG195">SUMPRODUCT(TRANSPOSE(CG$2:CG$15),$I195:$V195)</f>
        <v>400</v>
      </c>
      <c r="CH195" s="8" cm="1">
        <f t="array" ref="CH195">SUMPRODUCT(TRANSPOSE(CH$2:CH$15),$I195:$V195)</f>
        <v>600</v>
      </c>
      <c r="CI195" s="8" cm="1">
        <f t="array" ref="CI195">SUMPRODUCT(TRANSPOSE(CI$2:CI$15),$I195:$V195)</f>
        <v>1000</v>
      </c>
      <c r="CJ195" s="8" cm="1">
        <f t="array" ref="CJ195">SUMPRODUCT(TRANSPOSE(CJ$2:CJ$15),$I195:$V195)</f>
        <v>800</v>
      </c>
      <c r="CK195" s="8" cm="1">
        <f t="array" ref="CK195">SUMPRODUCT(TRANSPOSE(CK$2:CK$15),$I195:$V195)</f>
        <v>800</v>
      </c>
      <c r="CL195" s="8" cm="1">
        <f t="array" ref="CL195">SUMPRODUCT(TRANSPOSE(CL$2:CL$15),$I195:$V195)</f>
        <v>800</v>
      </c>
      <c r="CM195" s="8" cm="1">
        <f t="array" ref="CM195">SUMPRODUCT(TRANSPOSE(CM$2:CM$15),$I195:$V195)</f>
        <v>1200</v>
      </c>
      <c r="CN195" s="8" cm="1">
        <f t="array" ref="CN195">SUMPRODUCT(TRANSPOSE(CN$2:CN$15),$I195:$V195)</f>
        <v>1040</v>
      </c>
      <c r="CO195" s="8" cm="1">
        <f t="array" ref="CO195">SUMPRODUCT(TRANSPOSE(CO$2:CO$15),$I195:$V195)</f>
        <v>0</v>
      </c>
      <c r="CP195" s="8" cm="1">
        <f t="array" ref="CP195">SUMPRODUCT(TRANSPOSE(CP$2:CP$15),$I195:$V195)</f>
        <v>0</v>
      </c>
      <c r="CQ195" s="8" cm="1">
        <f t="array" ref="CQ195">SUMPRODUCT(TRANSPOSE(CQ$2:CQ$15),$I195:$V195)</f>
        <v>0</v>
      </c>
    </row>
    <row r="196" spans="1:95" x14ac:dyDescent="0.25">
      <c r="A196" s="1">
        <v>294</v>
      </c>
      <c r="B196" s="11" t="s">
        <v>524</v>
      </c>
      <c r="C196" s="1" t="s">
        <v>49</v>
      </c>
      <c r="D196" s="1">
        <v>401480774</v>
      </c>
      <c r="E196" s="6" t="str">
        <f>VLOOKUP(D196,FFF!$A$2:$B$674,2,)</f>
        <v>FFF002027</v>
      </c>
      <c r="F196" s="1" t="s">
        <v>525</v>
      </c>
      <c r="G196" s="1" t="s">
        <v>35</v>
      </c>
      <c r="H196" s="1">
        <v>4</v>
      </c>
      <c r="I196" s="1">
        <v>0</v>
      </c>
      <c r="J196" s="1">
        <v>0</v>
      </c>
      <c r="K196" s="1">
        <v>0</v>
      </c>
      <c r="L196" s="1">
        <v>0</v>
      </c>
      <c r="M196" s="1">
        <v>2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2</v>
      </c>
      <c r="W196" s="1">
        <f>SUMPRODUCT(I196:V196,$I$13:$V$13)</f>
        <v>6420</v>
      </c>
      <c r="X196" s="6">
        <f t="shared" si="4"/>
        <v>0.195156</v>
      </c>
      <c r="Y196" s="1" t="str">
        <f>VLOOKUP(D196,[1]PARTS!$A$1:$G$65536,7,0)</f>
        <v>VISHAY SEMICONDUCTORS GMBH</v>
      </c>
      <c r="Z196" s="1">
        <f>VLOOKUP(D196,[2]pareto!$D$12:$AX$306,44,0)</f>
        <v>750</v>
      </c>
      <c r="AA196" s="1">
        <f>VLOOKUP(D196,[2]pareto!$D$12:$AX$306,45,0)</f>
        <v>750</v>
      </c>
      <c r="AB196" s="1">
        <f>CEILING(W196,Z196)</f>
        <v>6750</v>
      </c>
      <c r="AC196" s="1">
        <f>VLOOKUP(D196,[2]pareto!$D$12:$AX$306,47,0)</f>
        <v>4.8788999999999999E-2</v>
      </c>
      <c r="AD196" s="1" t="s">
        <v>85</v>
      </c>
      <c r="AE196" s="1" t="s">
        <v>86</v>
      </c>
      <c r="AF196" s="19" t="s">
        <v>87</v>
      </c>
      <c r="AG196" s="1" t="s">
        <v>88</v>
      </c>
      <c r="BG196" s="8">
        <f>SUM($BB196,$AI196:AI196)-SUM($BY196:BZ196)</f>
        <v>0</v>
      </c>
      <c r="BH196" s="8">
        <f>SUM($BB196,$AI196:AJ196)-SUM($BY196:CA196)</f>
        <v>0</v>
      </c>
      <c r="BI196" s="8">
        <f>SUM($BB196,$AI196:AK196)-SUM($BY196:CB196)</f>
        <v>0</v>
      </c>
      <c r="BJ196" s="8">
        <f>SUM($BB196,$AI196:AL196)-SUM($BY196:CC196)</f>
        <v>0</v>
      </c>
      <c r="BK196" s="8">
        <f>SUM($BB196,$AI196:AM196)-SUM($BY196:CD196)</f>
        <v>0</v>
      </c>
      <c r="BL196" s="8">
        <f>SUM($BB196,$AI196:AN196)-SUM($BY196:CE196)</f>
        <v>0</v>
      </c>
      <c r="BM196" s="8">
        <f>SUM($BB196,$AI196:AO196)-SUM($BY196:CF196)</f>
        <v>0</v>
      </c>
      <c r="BN196" s="8">
        <f>SUM($BB196,$AI196:AP196)-SUM($BY196:CG196)</f>
        <v>-200</v>
      </c>
      <c r="BO196" s="8">
        <f>SUM($BB196,$AI196:AQ196)-SUM($BY196:CH196)</f>
        <v>-700</v>
      </c>
      <c r="BP196" s="8">
        <f>SUM($BB196,$AI196:AR196)-SUM($BY196:CI196)</f>
        <v>-1500</v>
      </c>
      <c r="BQ196" s="8">
        <f>SUM($BB196,$AI196:AS196)-SUM($BY196:CJ196)</f>
        <v>-2440</v>
      </c>
      <c r="BR196" s="8">
        <f>SUM($BB196,$AI196:AT196)-SUM($BY196:CK196)</f>
        <v>-3240</v>
      </c>
      <c r="BS196" s="8">
        <f>SUM($BB196,$AI196:AU196)-SUM($BY196:CL196)</f>
        <v>-3940</v>
      </c>
      <c r="BT196" s="8">
        <f>SUM($BB196,$AI196:AV196)-SUM($BY196:CM196)</f>
        <v>-4820</v>
      </c>
      <c r="BU196" s="8">
        <f>SUM($BB196,$AI196:AW196)-SUM($BY196:CN196)</f>
        <v>-5900</v>
      </c>
      <c r="BV196" s="8">
        <f>SUM($BB196,$AI196:AX196)-SUM($BY196:CO196)</f>
        <v>-6420</v>
      </c>
      <c r="BW196" s="8">
        <f>SUM($BB196,$AI196:AY196)-SUM($BY196:CP196)</f>
        <v>-6420</v>
      </c>
      <c r="BX196" s="8">
        <f>SUM($BB196,$AI196:AZ196)-SUM($BY196:CQ196)</f>
        <v>-6420</v>
      </c>
      <c r="BY196" s="8" cm="1">
        <f t="array" ref="BY196">SUMPRODUCT(TRANSPOSE(BY$2:BY$15),$I196:$V196)</f>
        <v>0</v>
      </c>
      <c r="BZ196" s="8" cm="1">
        <f t="array" ref="BZ196">SUMPRODUCT(TRANSPOSE(BZ$2:BZ$15),$I196:$V196)</f>
        <v>0</v>
      </c>
      <c r="CA196" s="8" cm="1">
        <f t="array" ref="CA196">SUMPRODUCT(TRANSPOSE(CA$2:CA$15),$I196:$V196)</f>
        <v>0</v>
      </c>
      <c r="CB196" s="8" cm="1">
        <f t="array" ref="CB196">SUMPRODUCT(TRANSPOSE(CB$2:CB$15),$I196:$V196)</f>
        <v>0</v>
      </c>
      <c r="CC196" s="8" cm="1">
        <f t="array" ref="CC196">SUMPRODUCT(TRANSPOSE(CC$2:CC$15),$I196:$V196)</f>
        <v>0</v>
      </c>
      <c r="CD196" s="8" cm="1">
        <f t="array" ref="CD196">SUMPRODUCT(TRANSPOSE(CD$2:CD$15),$I196:$V196)</f>
        <v>0</v>
      </c>
      <c r="CE196" s="8" cm="1">
        <f t="array" ref="CE196">SUMPRODUCT(TRANSPOSE(CE$2:CE$15),$I196:$V196)</f>
        <v>0</v>
      </c>
      <c r="CF196" s="8" cm="1">
        <f t="array" ref="CF196">SUMPRODUCT(TRANSPOSE(CF$2:CF$15),$I196:$V196)</f>
        <v>0</v>
      </c>
      <c r="CG196" s="8" cm="1">
        <f t="array" ref="CG196">SUMPRODUCT(TRANSPOSE(CG$2:CG$15),$I196:$V196)</f>
        <v>200</v>
      </c>
      <c r="CH196" s="8" cm="1">
        <f t="array" ref="CH196">SUMPRODUCT(TRANSPOSE(CH$2:CH$15),$I196:$V196)</f>
        <v>500</v>
      </c>
      <c r="CI196" s="8" cm="1">
        <f t="array" ref="CI196">SUMPRODUCT(TRANSPOSE(CI$2:CI$15),$I196:$V196)</f>
        <v>800</v>
      </c>
      <c r="CJ196" s="8" cm="1">
        <f t="array" ref="CJ196">SUMPRODUCT(TRANSPOSE(CJ$2:CJ$15),$I196:$V196)</f>
        <v>940</v>
      </c>
      <c r="CK196" s="8" cm="1">
        <f t="array" ref="CK196">SUMPRODUCT(TRANSPOSE(CK$2:CK$15),$I196:$V196)</f>
        <v>800</v>
      </c>
      <c r="CL196" s="8" cm="1">
        <f t="array" ref="CL196">SUMPRODUCT(TRANSPOSE(CL$2:CL$15),$I196:$V196)</f>
        <v>700</v>
      </c>
      <c r="CM196" s="8" cm="1">
        <f t="array" ref="CM196">SUMPRODUCT(TRANSPOSE(CM$2:CM$15),$I196:$V196)</f>
        <v>880</v>
      </c>
      <c r="CN196" s="8" cm="1">
        <f t="array" ref="CN196">SUMPRODUCT(TRANSPOSE(CN$2:CN$15),$I196:$V196)</f>
        <v>1080</v>
      </c>
      <c r="CO196" s="8" cm="1">
        <f t="array" ref="CO196">SUMPRODUCT(TRANSPOSE(CO$2:CO$15),$I196:$V196)</f>
        <v>520</v>
      </c>
      <c r="CP196" s="8" cm="1">
        <f t="array" ref="CP196">SUMPRODUCT(TRANSPOSE(CP$2:CP$15),$I196:$V196)</f>
        <v>0</v>
      </c>
      <c r="CQ196" s="8" cm="1">
        <f t="array" ref="CQ196">SUMPRODUCT(TRANSPOSE(CQ$2:CQ$15),$I196:$V196)</f>
        <v>0</v>
      </c>
    </row>
    <row r="197" spans="1:95" x14ac:dyDescent="0.25">
      <c r="A197" s="1">
        <v>295</v>
      </c>
      <c r="B197" s="11" t="s">
        <v>526</v>
      </c>
      <c r="C197" s="1" t="s">
        <v>49</v>
      </c>
      <c r="D197" s="1">
        <v>401533494</v>
      </c>
      <c r="E197" s="6">
        <f>VLOOKUP(D197,FFF!$A$2:$B$674,2,)</f>
        <v>401534525</v>
      </c>
      <c r="F197" s="1" t="s">
        <v>527</v>
      </c>
      <c r="G197" s="1" t="s">
        <v>35</v>
      </c>
      <c r="H197" s="1">
        <v>4</v>
      </c>
      <c r="I197" s="1">
        <v>0</v>
      </c>
      <c r="J197" s="1">
        <v>0</v>
      </c>
      <c r="K197" s="1">
        <v>0</v>
      </c>
      <c r="L197" s="1">
        <v>0</v>
      </c>
      <c r="M197" s="1">
        <v>2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2</v>
      </c>
      <c r="W197" s="1">
        <f>SUMPRODUCT(I197:V197,$I$13:$V$13)</f>
        <v>6420</v>
      </c>
      <c r="X197" s="6">
        <f t="shared" si="4"/>
        <v>0.19188</v>
      </c>
      <c r="Y197" s="1" t="str">
        <f>VLOOKUP(D197,[1]PARTS!$A$1:$G$65536,7,0)</f>
        <v>VISHAY EUROPE SALE GMBH</v>
      </c>
      <c r="Z197" s="1">
        <f>VLOOKUP(D197,[2]pareto!$D$12:$AX$306,44,0)</f>
        <v>3000</v>
      </c>
      <c r="AA197" s="1">
        <f>VLOOKUP(D197,[2]pareto!$D$12:$AX$306,45,0)</f>
        <v>750</v>
      </c>
      <c r="AB197" s="1">
        <f>CEILING(W197,Z197)</f>
        <v>9000</v>
      </c>
      <c r="AC197" s="1">
        <f>VLOOKUP(D197,[2]pareto!$D$12:$AX$306,47,0)</f>
        <v>4.7969999999999999E-2</v>
      </c>
      <c r="AD197" s="1" t="s">
        <v>85</v>
      </c>
      <c r="AE197" s="1" t="s">
        <v>86</v>
      </c>
      <c r="AF197" s="19" t="s">
        <v>87</v>
      </c>
      <c r="AG197" s="1" t="s">
        <v>88</v>
      </c>
      <c r="BG197" s="8">
        <f>SUM($BB197,$AI197:AI197)-SUM($BY197:BZ197)</f>
        <v>0</v>
      </c>
      <c r="BH197" s="8">
        <f>SUM($BB197,$AI197:AJ197)-SUM($BY197:CA197)</f>
        <v>0</v>
      </c>
      <c r="BI197" s="8">
        <f>SUM($BB197,$AI197:AK197)-SUM($BY197:CB197)</f>
        <v>0</v>
      </c>
      <c r="BJ197" s="8">
        <f>SUM($BB197,$AI197:AL197)-SUM($BY197:CC197)</f>
        <v>0</v>
      </c>
      <c r="BK197" s="8">
        <f>SUM($BB197,$AI197:AM197)-SUM($BY197:CD197)</f>
        <v>0</v>
      </c>
      <c r="BL197" s="8">
        <f>SUM($BB197,$AI197:AN197)-SUM($BY197:CE197)</f>
        <v>0</v>
      </c>
      <c r="BM197" s="8">
        <f>SUM($BB197,$AI197:AO197)-SUM($BY197:CF197)</f>
        <v>0</v>
      </c>
      <c r="BN197" s="8">
        <f>SUM($BB197,$AI197:AP197)-SUM($BY197:CG197)</f>
        <v>-200</v>
      </c>
      <c r="BO197" s="8">
        <f>SUM($BB197,$AI197:AQ197)-SUM($BY197:CH197)</f>
        <v>-700</v>
      </c>
      <c r="BP197" s="8">
        <f>SUM($BB197,$AI197:AR197)-SUM($BY197:CI197)</f>
        <v>-1500</v>
      </c>
      <c r="BQ197" s="8">
        <f>SUM($BB197,$AI197:AS197)-SUM($BY197:CJ197)</f>
        <v>-2440</v>
      </c>
      <c r="BR197" s="8">
        <f>SUM($BB197,$AI197:AT197)-SUM($BY197:CK197)</f>
        <v>-3240</v>
      </c>
      <c r="BS197" s="8">
        <f>SUM($BB197,$AI197:AU197)-SUM($BY197:CL197)</f>
        <v>-3940</v>
      </c>
      <c r="BT197" s="8">
        <f>SUM($BB197,$AI197:AV197)-SUM($BY197:CM197)</f>
        <v>-4820</v>
      </c>
      <c r="BU197" s="8">
        <f>SUM($BB197,$AI197:AW197)-SUM($BY197:CN197)</f>
        <v>-5900</v>
      </c>
      <c r="BV197" s="8">
        <f>SUM($BB197,$AI197:AX197)-SUM($BY197:CO197)</f>
        <v>-6420</v>
      </c>
      <c r="BW197" s="8">
        <f>SUM($BB197,$AI197:AY197)-SUM($BY197:CP197)</f>
        <v>-6420</v>
      </c>
      <c r="BX197" s="8">
        <f>SUM($BB197,$AI197:AZ197)-SUM($BY197:CQ197)</f>
        <v>-6420</v>
      </c>
      <c r="BY197" s="8" cm="1">
        <f t="array" ref="BY197">SUMPRODUCT(TRANSPOSE(BY$2:BY$15),$I197:$V197)</f>
        <v>0</v>
      </c>
      <c r="BZ197" s="8" cm="1">
        <f t="array" ref="BZ197">SUMPRODUCT(TRANSPOSE(BZ$2:BZ$15),$I197:$V197)</f>
        <v>0</v>
      </c>
      <c r="CA197" s="8" cm="1">
        <f t="array" ref="CA197">SUMPRODUCT(TRANSPOSE(CA$2:CA$15),$I197:$V197)</f>
        <v>0</v>
      </c>
      <c r="CB197" s="8" cm="1">
        <f t="array" ref="CB197">SUMPRODUCT(TRANSPOSE(CB$2:CB$15),$I197:$V197)</f>
        <v>0</v>
      </c>
      <c r="CC197" s="8" cm="1">
        <f t="array" ref="CC197">SUMPRODUCT(TRANSPOSE(CC$2:CC$15),$I197:$V197)</f>
        <v>0</v>
      </c>
      <c r="CD197" s="8" cm="1">
        <f t="array" ref="CD197">SUMPRODUCT(TRANSPOSE(CD$2:CD$15),$I197:$V197)</f>
        <v>0</v>
      </c>
      <c r="CE197" s="8" cm="1">
        <f t="array" ref="CE197">SUMPRODUCT(TRANSPOSE(CE$2:CE$15),$I197:$V197)</f>
        <v>0</v>
      </c>
      <c r="CF197" s="8" cm="1">
        <f t="array" ref="CF197">SUMPRODUCT(TRANSPOSE(CF$2:CF$15),$I197:$V197)</f>
        <v>0</v>
      </c>
      <c r="CG197" s="8" cm="1">
        <f t="array" ref="CG197">SUMPRODUCT(TRANSPOSE(CG$2:CG$15),$I197:$V197)</f>
        <v>200</v>
      </c>
      <c r="CH197" s="8" cm="1">
        <f t="array" ref="CH197">SUMPRODUCT(TRANSPOSE(CH$2:CH$15),$I197:$V197)</f>
        <v>500</v>
      </c>
      <c r="CI197" s="8" cm="1">
        <f t="array" ref="CI197">SUMPRODUCT(TRANSPOSE(CI$2:CI$15),$I197:$V197)</f>
        <v>800</v>
      </c>
      <c r="CJ197" s="8" cm="1">
        <f t="array" ref="CJ197">SUMPRODUCT(TRANSPOSE(CJ$2:CJ$15),$I197:$V197)</f>
        <v>940</v>
      </c>
      <c r="CK197" s="8" cm="1">
        <f t="array" ref="CK197">SUMPRODUCT(TRANSPOSE(CK$2:CK$15),$I197:$V197)</f>
        <v>800</v>
      </c>
      <c r="CL197" s="8" cm="1">
        <f t="array" ref="CL197">SUMPRODUCT(TRANSPOSE(CL$2:CL$15),$I197:$V197)</f>
        <v>700</v>
      </c>
      <c r="CM197" s="8" cm="1">
        <f t="array" ref="CM197">SUMPRODUCT(TRANSPOSE(CM$2:CM$15),$I197:$V197)</f>
        <v>880</v>
      </c>
      <c r="CN197" s="8" cm="1">
        <f t="array" ref="CN197">SUMPRODUCT(TRANSPOSE(CN$2:CN$15),$I197:$V197)</f>
        <v>1080</v>
      </c>
      <c r="CO197" s="8" cm="1">
        <f t="array" ref="CO197">SUMPRODUCT(TRANSPOSE(CO$2:CO$15),$I197:$V197)</f>
        <v>520</v>
      </c>
      <c r="CP197" s="8" cm="1">
        <f t="array" ref="CP197">SUMPRODUCT(TRANSPOSE(CP$2:CP$15),$I197:$V197)</f>
        <v>0</v>
      </c>
      <c r="CQ197" s="8" cm="1">
        <f t="array" ref="CQ197">SUMPRODUCT(TRANSPOSE(CQ$2:CQ$15),$I197:$V197)</f>
        <v>0</v>
      </c>
    </row>
    <row r="198" spans="1:95" x14ac:dyDescent="0.25">
      <c r="A198" s="1">
        <v>123</v>
      </c>
      <c r="B198" s="11" t="s">
        <v>528</v>
      </c>
      <c r="C198" s="1" t="s">
        <v>49</v>
      </c>
      <c r="D198" s="1">
        <v>405592612</v>
      </c>
      <c r="E198" s="6">
        <f>VLOOKUP(D198,FFF!$A$2:$B$674,2,)</f>
        <v>401502416</v>
      </c>
      <c r="F198" s="1" t="s">
        <v>529</v>
      </c>
      <c r="G198" s="1" t="s">
        <v>35</v>
      </c>
      <c r="H198" s="1">
        <v>24</v>
      </c>
      <c r="I198" s="1">
        <v>0</v>
      </c>
      <c r="J198" s="1">
        <v>0</v>
      </c>
      <c r="K198" s="1">
        <v>0</v>
      </c>
      <c r="L198" s="1">
        <v>0</v>
      </c>
      <c r="M198" s="1">
        <v>12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12</v>
      </c>
      <c r="W198" s="1">
        <f>SUMPRODUCT(I198:V198,$I$13:$V$13)</f>
        <v>38520</v>
      </c>
      <c r="X198" s="6">
        <f t="shared" si="4"/>
        <v>0.21599999999999997</v>
      </c>
      <c r="Y198" s="1" t="str">
        <f>VLOOKUP(D198,[1]PARTS!$A$1:$G$65536,7,0)</f>
        <v>KEMET ELECTRONICS S A</v>
      </c>
      <c r="Z198" s="1">
        <v>10000</v>
      </c>
      <c r="AA198" s="1">
        <f>VLOOKUP(D198,[2]pareto!$D$12:$AX$306,45,0)</f>
        <v>10000</v>
      </c>
      <c r="AB198" s="1">
        <f>CEILING(W198,Z198)</f>
        <v>40000</v>
      </c>
      <c r="AC198" s="1">
        <f>VLOOKUP(D198,[2]pareto!$D$12:$AX$306,47,0)</f>
        <v>8.9999999999999993E-3</v>
      </c>
      <c r="AD198" s="1" t="s">
        <v>119</v>
      </c>
      <c r="AE198" s="1" t="s">
        <v>243</v>
      </c>
      <c r="AF198" s="19" t="s">
        <v>244</v>
      </c>
      <c r="AG198" s="1" t="s">
        <v>245</v>
      </c>
      <c r="BG198" s="8">
        <f>SUM($BB198,$AI198:AI198)-SUM($BY198:BZ198)</f>
        <v>0</v>
      </c>
      <c r="BH198" s="8">
        <f>SUM($BB198,$AI198:AJ198)-SUM($BY198:CA198)</f>
        <v>0</v>
      </c>
      <c r="BI198" s="8">
        <f>SUM($BB198,$AI198:AK198)-SUM($BY198:CB198)</f>
        <v>0</v>
      </c>
      <c r="BJ198" s="8">
        <f>SUM($BB198,$AI198:AL198)-SUM($BY198:CC198)</f>
        <v>0</v>
      </c>
      <c r="BK198" s="8">
        <f>SUM($BB198,$AI198:AM198)-SUM($BY198:CD198)</f>
        <v>0</v>
      </c>
      <c r="BL198" s="8">
        <f>SUM($BB198,$AI198:AN198)-SUM($BY198:CE198)</f>
        <v>0</v>
      </c>
      <c r="BM198" s="8">
        <f>SUM($BB198,$AI198:AO198)-SUM($BY198:CF198)</f>
        <v>0</v>
      </c>
      <c r="BN198" s="8">
        <f>SUM($BB198,$AI198:AP198)-SUM($BY198:CG198)</f>
        <v>-1200</v>
      </c>
      <c r="BO198" s="8">
        <f>SUM($BB198,$AI198:AQ198)-SUM($BY198:CH198)</f>
        <v>-4200</v>
      </c>
      <c r="BP198" s="8">
        <f>SUM($BB198,$AI198:AR198)-SUM($BY198:CI198)</f>
        <v>-9000</v>
      </c>
      <c r="BQ198" s="8">
        <f>SUM($BB198,$AI198:AS198)-SUM($BY198:CJ198)</f>
        <v>-14640</v>
      </c>
      <c r="BR198" s="8">
        <f>SUM($BB198,$AI198:AT198)-SUM($BY198:CK198)</f>
        <v>-19440</v>
      </c>
      <c r="BS198" s="8">
        <f>SUM($BB198,$AI198:AU198)-SUM($BY198:CL198)</f>
        <v>-23640</v>
      </c>
      <c r="BT198" s="8">
        <f>SUM($BB198,$AI198:AV198)-SUM($BY198:CM198)</f>
        <v>-28920</v>
      </c>
      <c r="BU198" s="8">
        <f>SUM($BB198,$AI198:AW198)-SUM($BY198:CN198)</f>
        <v>-35400</v>
      </c>
      <c r="BV198" s="8">
        <f>SUM($BB198,$AI198:AX198)-SUM($BY198:CO198)</f>
        <v>-38520</v>
      </c>
      <c r="BW198" s="8">
        <f>SUM($BB198,$AI198:AY198)-SUM($BY198:CP198)</f>
        <v>-38520</v>
      </c>
      <c r="BX198" s="8">
        <f>SUM($BB198,$AI198:AZ198)-SUM($BY198:CQ198)</f>
        <v>-38520</v>
      </c>
      <c r="BY198" s="8" cm="1">
        <f t="array" ref="BY198">SUMPRODUCT(TRANSPOSE(BY$2:BY$15),$I198:$V198)</f>
        <v>0</v>
      </c>
      <c r="BZ198" s="8" cm="1">
        <f t="array" ref="BZ198">SUMPRODUCT(TRANSPOSE(BZ$2:BZ$15),$I198:$V198)</f>
        <v>0</v>
      </c>
      <c r="CA198" s="8" cm="1">
        <f t="array" ref="CA198">SUMPRODUCT(TRANSPOSE(CA$2:CA$15),$I198:$V198)</f>
        <v>0</v>
      </c>
      <c r="CB198" s="8" cm="1">
        <f t="array" ref="CB198">SUMPRODUCT(TRANSPOSE(CB$2:CB$15),$I198:$V198)</f>
        <v>0</v>
      </c>
      <c r="CC198" s="8" cm="1">
        <f t="array" ref="CC198">SUMPRODUCT(TRANSPOSE(CC$2:CC$15),$I198:$V198)</f>
        <v>0</v>
      </c>
      <c r="CD198" s="8" cm="1">
        <f t="array" ref="CD198">SUMPRODUCT(TRANSPOSE(CD$2:CD$15),$I198:$V198)</f>
        <v>0</v>
      </c>
      <c r="CE198" s="8" cm="1">
        <f t="array" ref="CE198">SUMPRODUCT(TRANSPOSE(CE$2:CE$15),$I198:$V198)</f>
        <v>0</v>
      </c>
      <c r="CF198" s="8" cm="1">
        <f t="array" ref="CF198">SUMPRODUCT(TRANSPOSE(CF$2:CF$15),$I198:$V198)</f>
        <v>0</v>
      </c>
      <c r="CG198" s="8" cm="1">
        <f t="array" ref="CG198">SUMPRODUCT(TRANSPOSE(CG$2:CG$15),$I198:$V198)</f>
        <v>1200</v>
      </c>
      <c r="CH198" s="8" cm="1">
        <f t="array" ref="CH198">SUMPRODUCT(TRANSPOSE(CH$2:CH$15),$I198:$V198)</f>
        <v>3000</v>
      </c>
      <c r="CI198" s="8" cm="1">
        <f t="array" ref="CI198">SUMPRODUCT(TRANSPOSE(CI$2:CI$15),$I198:$V198)</f>
        <v>4800</v>
      </c>
      <c r="CJ198" s="8" cm="1">
        <f t="array" ref="CJ198">SUMPRODUCT(TRANSPOSE(CJ$2:CJ$15),$I198:$V198)</f>
        <v>5640</v>
      </c>
      <c r="CK198" s="8" cm="1">
        <f t="array" ref="CK198">SUMPRODUCT(TRANSPOSE(CK$2:CK$15),$I198:$V198)</f>
        <v>4800</v>
      </c>
      <c r="CL198" s="8" cm="1">
        <f t="array" ref="CL198">SUMPRODUCT(TRANSPOSE(CL$2:CL$15),$I198:$V198)</f>
        <v>4200</v>
      </c>
      <c r="CM198" s="8" cm="1">
        <f t="array" ref="CM198">SUMPRODUCT(TRANSPOSE(CM$2:CM$15),$I198:$V198)</f>
        <v>5280</v>
      </c>
      <c r="CN198" s="8" cm="1">
        <f t="array" ref="CN198">SUMPRODUCT(TRANSPOSE(CN$2:CN$15),$I198:$V198)</f>
        <v>6480</v>
      </c>
      <c r="CO198" s="8" cm="1">
        <f t="array" ref="CO198">SUMPRODUCT(TRANSPOSE(CO$2:CO$15),$I198:$V198)</f>
        <v>3120</v>
      </c>
      <c r="CP198" s="8" cm="1">
        <f t="array" ref="CP198">SUMPRODUCT(TRANSPOSE(CP$2:CP$15),$I198:$V198)</f>
        <v>0</v>
      </c>
      <c r="CQ198" s="8" cm="1">
        <f t="array" ref="CQ198">SUMPRODUCT(TRANSPOSE(CQ$2:CQ$15),$I198:$V198)</f>
        <v>0</v>
      </c>
    </row>
    <row r="199" spans="1:95" x14ac:dyDescent="0.25">
      <c r="A199" s="1">
        <v>296</v>
      </c>
      <c r="B199" s="11" t="s">
        <v>530</v>
      </c>
      <c r="C199" s="1" t="s">
        <v>49</v>
      </c>
      <c r="D199" s="1">
        <v>421264840</v>
      </c>
      <c r="E199" s="6">
        <f>VLOOKUP(D199,FFF!$A$2:$B$674,2,)</f>
        <v>421264894</v>
      </c>
      <c r="F199" s="1" t="s">
        <v>531</v>
      </c>
      <c r="G199" s="1" t="s">
        <v>35</v>
      </c>
      <c r="H199" s="1">
        <v>2</v>
      </c>
      <c r="I199" s="1">
        <v>0</v>
      </c>
      <c r="J199" s="1">
        <v>0</v>
      </c>
      <c r="K199" s="1">
        <v>0</v>
      </c>
      <c r="L199" s="1">
        <v>0</v>
      </c>
      <c r="M199" s="1">
        <v>1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1</v>
      </c>
      <c r="W199" s="1">
        <f>SUMPRODUCT(I199:V199,$I$13:$V$13)</f>
        <v>3210</v>
      </c>
      <c r="X199" s="6">
        <f t="shared" si="4"/>
        <v>0.1226</v>
      </c>
      <c r="Y199" s="1" t="str">
        <f>VLOOKUP(D199,[1]PARTS!$A$1:$G$65536,7,0)</f>
        <v>LITTELFUSE INC</v>
      </c>
      <c r="Z199" s="1">
        <f>VLOOKUP(D199,[2]pareto!$D$12:$AX$306,44,0)</f>
        <v>3000</v>
      </c>
      <c r="AA199" s="1">
        <v>3170</v>
      </c>
      <c r="AB199" s="1">
        <f>CEILING(W199,Z199)</f>
        <v>6000</v>
      </c>
      <c r="AC199" s="1">
        <f>VLOOKUP(D199,[2]pareto!$D$12:$AX$306,47,0)</f>
        <v>6.13E-2</v>
      </c>
      <c r="AD199" s="1" t="str">
        <f>VLOOKUP(D199,[2]pareto!$D$11:$BD$306,50,0)</f>
        <v>Future</v>
      </c>
      <c r="AE199" s="1" t="s">
        <v>346</v>
      </c>
      <c r="AF199" s="12" t="s">
        <v>347</v>
      </c>
      <c r="AG199" s="1" t="e">
        <f>VLOOKUP(D199,[2]pareto!$D$11:$BD$306,51)</f>
        <v>#REF!</v>
      </c>
      <c r="BG199" s="8">
        <f>SUM($BB199,$AI199:AI199)-SUM($BY199:BZ199)</f>
        <v>0</v>
      </c>
      <c r="BH199" s="8">
        <f>SUM($BB199,$AI199:AJ199)-SUM($BY199:CA199)</f>
        <v>0</v>
      </c>
      <c r="BI199" s="8">
        <f>SUM($BB199,$AI199:AK199)-SUM($BY199:CB199)</f>
        <v>0</v>
      </c>
      <c r="BJ199" s="8">
        <f>SUM($BB199,$AI199:AL199)-SUM($BY199:CC199)</f>
        <v>0</v>
      </c>
      <c r="BK199" s="8">
        <f>SUM($BB199,$AI199:AM199)-SUM($BY199:CD199)</f>
        <v>0</v>
      </c>
      <c r="BL199" s="8">
        <f>SUM($BB199,$AI199:AN199)-SUM($BY199:CE199)</f>
        <v>0</v>
      </c>
      <c r="BM199" s="8">
        <f>SUM($BB199,$AI199:AO199)-SUM($BY199:CF199)</f>
        <v>0</v>
      </c>
      <c r="BN199" s="8">
        <f>SUM($BB199,$AI199:AP199)-SUM($BY199:CG199)</f>
        <v>-100</v>
      </c>
      <c r="BO199" s="8">
        <f>SUM($BB199,$AI199:AQ199)-SUM($BY199:CH199)</f>
        <v>-350</v>
      </c>
      <c r="BP199" s="8">
        <f>SUM($BB199,$AI199:AR199)-SUM($BY199:CI199)</f>
        <v>-750</v>
      </c>
      <c r="BQ199" s="8">
        <f>SUM($BB199,$AI199:AS199)-SUM($BY199:CJ199)</f>
        <v>-1220</v>
      </c>
      <c r="BR199" s="8">
        <f>SUM($BB199,$AI199:AT199)-SUM($BY199:CK199)</f>
        <v>-1620</v>
      </c>
      <c r="BS199" s="8">
        <f>SUM($BB199,$AI199:AU199)-SUM($BY199:CL199)</f>
        <v>-1970</v>
      </c>
      <c r="BT199" s="8">
        <f>SUM($BB199,$AI199:AV199)-SUM($BY199:CM199)</f>
        <v>-2410</v>
      </c>
      <c r="BU199" s="8">
        <f>SUM($BB199,$AI199:AW199)-SUM($BY199:CN199)</f>
        <v>-2950</v>
      </c>
      <c r="BV199" s="8">
        <f>SUM($BB199,$AI199:AX199)-SUM($BY199:CO199)</f>
        <v>-3210</v>
      </c>
      <c r="BW199" s="8">
        <f>SUM($BB199,$AI199:AY199)-SUM($BY199:CP199)</f>
        <v>-3210</v>
      </c>
      <c r="BX199" s="8">
        <f>SUM($BB199,$AI199:AZ199)-SUM($BY199:CQ199)</f>
        <v>-3210</v>
      </c>
      <c r="BY199" s="8" cm="1">
        <f t="array" ref="BY199">SUMPRODUCT(TRANSPOSE(BY$2:BY$15),$I199:$V199)</f>
        <v>0</v>
      </c>
      <c r="BZ199" s="8" cm="1">
        <f t="array" ref="BZ199">SUMPRODUCT(TRANSPOSE(BZ$2:BZ$15),$I199:$V199)</f>
        <v>0</v>
      </c>
      <c r="CA199" s="8" cm="1">
        <f t="array" ref="CA199">SUMPRODUCT(TRANSPOSE(CA$2:CA$15),$I199:$V199)</f>
        <v>0</v>
      </c>
      <c r="CB199" s="8" cm="1">
        <f t="array" ref="CB199">SUMPRODUCT(TRANSPOSE(CB$2:CB$15),$I199:$V199)</f>
        <v>0</v>
      </c>
      <c r="CC199" s="8" cm="1">
        <f t="array" ref="CC199">SUMPRODUCT(TRANSPOSE(CC$2:CC$15),$I199:$V199)</f>
        <v>0</v>
      </c>
      <c r="CD199" s="8" cm="1">
        <f t="array" ref="CD199">SUMPRODUCT(TRANSPOSE(CD$2:CD$15),$I199:$V199)</f>
        <v>0</v>
      </c>
      <c r="CE199" s="8" cm="1">
        <f t="array" ref="CE199">SUMPRODUCT(TRANSPOSE(CE$2:CE$15),$I199:$V199)</f>
        <v>0</v>
      </c>
      <c r="CF199" s="8" cm="1">
        <f t="array" ref="CF199">SUMPRODUCT(TRANSPOSE(CF$2:CF$15),$I199:$V199)</f>
        <v>0</v>
      </c>
      <c r="CG199" s="8" cm="1">
        <f t="array" ref="CG199">SUMPRODUCT(TRANSPOSE(CG$2:CG$15),$I199:$V199)</f>
        <v>100</v>
      </c>
      <c r="CH199" s="8" cm="1">
        <f t="array" ref="CH199">SUMPRODUCT(TRANSPOSE(CH$2:CH$15),$I199:$V199)</f>
        <v>250</v>
      </c>
      <c r="CI199" s="8" cm="1">
        <f t="array" ref="CI199">SUMPRODUCT(TRANSPOSE(CI$2:CI$15),$I199:$V199)</f>
        <v>400</v>
      </c>
      <c r="CJ199" s="8" cm="1">
        <f t="array" ref="CJ199">SUMPRODUCT(TRANSPOSE(CJ$2:CJ$15),$I199:$V199)</f>
        <v>470</v>
      </c>
      <c r="CK199" s="8" cm="1">
        <f t="array" ref="CK199">SUMPRODUCT(TRANSPOSE(CK$2:CK$15),$I199:$V199)</f>
        <v>400</v>
      </c>
      <c r="CL199" s="8" cm="1">
        <f t="array" ref="CL199">SUMPRODUCT(TRANSPOSE(CL$2:CL$15),$I199:$V199)</f>
        <v>350</v>
      </c>
      <c r="CM199" s="8" cm="1">
        <f t="array" ref="CM199">SUMPRODUCT(TRANSPOSE(CM$2:CM$15),$I199:$V199)</f>
        <v>440</v>
      </c>
      <c r="CN199" s="8" cm="1">
        <f t="array" ref="CN199">SUMPRODUCT(TRANSPOSE(CN$2:CN$15),$I199:$V199)</f>
        <v>540</v>
      </c>
      <c r="CO199" s="8" cm="1">
        <f t="array" ref="CO199">SUMPRODUCT(TRANSPOSE(CO$2:CO$15),$I199:$V199)</f>
        <v>260</v>
      </c>
      <c r="CP199" s="8" cm="1">
        <f t="array" ref="CP199">SUMPRODUCT(TRANSPOSE(CP$2:CP$15),$I199:$V199)</f>
        <v>0</v>
      </c>
      <c r="CQ199" s="8" cm="1">
        <f t="array" ref="CQ199">SUMPRODUCT(TRANSPOSE(CQ$2:CQ$15),$I199:$V199)</f>
        <v>0</v>
      </c>
    </row>
    <row r="200" spans="1:95" x14ac:dyDescent="0.25">
      <c r="A200" s="1">
        <v>84</v>
      </c>
      <c r="B200" s="11" t="s">
        <v>532</v>
      </c>
      <c r="C200" s="1" t="s">
        <v>49</v>
      </c>
      <c r="D200" s="1">
        <v>417531784</v>
      </c>
      <c r="E200" s="6">
        <f>VLOOKUP(D200,FFF!$A$2:$B$674,2,)</f>
        <v>400341717</v>
      </c>
      <c r="F200" s="1" t="s">
        <v>533</v>
      </c>
      <c r="G200" s="1" t="s">
        <v>35</v>
      </c>
      <c r="H200" s="1">
        <v>5</v>
      </c>
      <c r="I200" s="1">
        <v>0</v>
      </c>
      <c r="J200" s="1">
        <v>0</v>
      </c>
      <c r="K200" s="1">
        <v>0</v>
      </c>
      <c r="L200" s="1">
        <v>2</v>
      </c>
      <c r="M200" s="1">
        <v>0</v>
      </c>
      <c r="N200" s="1">
        <v>0</v>
      </c>
      <c r="O200" s="1">
        <v>0</v>
      </c>
      <c r="P200" s="1">
        <v>0</v>
      </c>
      <c r="Q200" s="1">
        <v>3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f>SUMPRODUCT(I200:V200,$I$13:$V$13)</f>
        <v>8080</v>
      </c>
      <c r="X200" s="6">
        <f t="shared" si="4"/>
        <v>0.25</v>
      </c>
      <c r="Y200" s="1" t="str">
        <f>VLOOKUP(D200,[1]PARTS!$A$1:$G$65536,7,0)</f>
        <v>VISHAY EUROPE SALE GMBH</v>
      </c>
      <c r="Z200" s="1">
        <v>2000</v>
      </c>
      <c r="AA200" s="1">
        <v>7980</v>
      </c>
      <c r="AB200" s="1">
        <f>CEILING(W200,Z200)</f>
        <v>10000</v>
      </c>
      <c r="AC200" s="1">
        <f>VLOOKUP(D200,[2]pareto!$D$12:$AX$306,47,0)</f>
        <v>0.05</v>
      </c>
      <c r="AD200" s="1" t="s">
        <v>250</v>
      </c>
      <c r="AE200" s="1" t="s">
        <v>251</v>
      </c>
      <c r="AF200" s="19" t="s">
        <v>252</v>
      </c>
      <c r="AG200" s="1" t="s">
        <v>253</v>
      </c>
      <c r="BG200" s="8">
        <f>SUM($BB200,$AI200:AI200)-SUM($BY200:BZ200)</f>
        <v>0</v>
      </c>
      <c r="BH200" s="8">
        <f>SUM($BB200,$AI200:AJ200)-SUM($BY200:CA200)</f>
        <v>0</v>
      </c>
      <c r="BI200" s="8">
        <f>SUM($BB200,$AI200:AK200)-SUM($BY200:CB200)</f>
        <v>0</v>
      </c>
      <c r="BJ200" s="8">
        <f>SUM($BB200,$AI200:AL200)-SUM($BY200:CC200)</f>
        <v>0</v>
      </c>
      <c r="BK200" s="8">
        <f>SUM($BB200,$AI200:AM200)-SUM($BY200:CD200)</f>
        <v>0</v>
      </c>
      <c r="BL200" s="8">
        <f>SUM($BB200,$AI200:AN200)-SUM($BY200:CE200)</f>
        <v>0</v>
      </c>
      <c r="BM200" s="8">
        <f>SUM($BB200,$AI200:AO200)-SUM($BY200:CF200)</f>
        <v>0</v>
      </c>
      <c r="BN200" s="8">
        <f>SUM($BB200,$AI200:AP200)-SUM($BY200:CG200)</f>
        <v>-500</v>
      </c>
      <c r="BO200" s="8">
        <f>SUM($BB200,$AI200:AQ200)-SUM($BY200:CH200)</f>
        <v>-1250</v>
      </c>
      <c r="BP200" s="8">
        <f>SUM($BB200,$AI200:AR200)-SUM($BY200:CI200)</f>
        <v>-2500</v>
      </c>
      <c r="BQ200" s="8">
        <f>SUM($BB200,$AI200:AS200)-SUM($BY200:CJ200)</f>
        <v>-3540</v>
      </c>
      <c r="BR200" s="8">
        <f>SUM($BB200,$AI200:AT200)-SUM($BY200:CK200)</f>
        <v>-4540</v>
      </c>
      <c r="BS200" s="8">
        <f>SUM($BB200,$AI200:AU200)-SUM($BY200:CL200)</f>
        <v>-5440</v>
      </c>
      <c r="BT200" s="8">
        <f>SUM($BB200,$AI200:AV200)-SUM($BY200:CM200)</f>
        <v>-6820</v>
      </c>
      <c r="BU200" s="8">
        <f>SUM($BB200,$AI200:AW200)-SUM($BY200:CN200)</f>
        <v>-8080</v>
      </c>
      <c r="BV200" s="8">
        <f>SUM($BB200,$AI200:AX200)-SUM($BY200:CO200)</f>
        <v>-8080</v>
      </c>
      <c r="BW200" s="8">
        <f>SUM($BB200,$AI200:AY200)-SUM($BY200:CP200)</f>
        <v>-8080</v>
      </c>
      <c r="BX200" s="8">
        <f>SUM($BB200,$AI200:AZ200)-SUM($BY200:CQ200)</f>
        <v>-8080</v>
      </c>
      <c r="BY200" s="8" cm="1">
        <f t="array" ref="BY200">SUMPRODUCT(TRANSPOSE(BY$2:BY$15),$I200:$V200)</f>
        <v>0</v>
      </c>
      <c r="BZ200" s="8" cm="1">
        <f t="array" ref="BZ200">SUMPRODUCT(TRANSPOSE(BZ$2:BZ$15),$I200:$V200)</f>
        <v>0</v>
      </c>
      <c r="CA200" s="8" cm="1">
        <f t="array" ref="CA200">SUMPRODUCT(TRANSPOSE(CA$2:CA$15),$I200:$V200)</f>
        <v>0</v>
      </c>
      <c r="CB200" s="8" cm="1">
        <f t="array" ref="CB200">SUMPRODUCT(TRANSPOSE(CB$2:CB$15),$I200:$V200)</f>
        <v>0</v>
      </c>
      <c r="CC200" s="8" cm="1">
        <f t="array" ref="CC200">SUMPRODUCT(TRANSPOSE(CC$2:CC$15),$I200:$V200)</f>
        <v>0</v>
      </c>
      <c r="CD200" s="8" cm="1">
        <f t="array" ref="CD200">SUMPRODUCT(TRANSPOSE(CD$2:CD$15),$I200:$V200)</f>
        <v>0</v>
      </c>
      <c r="CE200" s="8" cm="1">
        <f t="array" ref="CE200">SUMPRODUCT(TRANSPOSE(CE$2:CE$15),$I200:$V200)</f>
        <v>0</v>
      </c>
      <c r="CF200" s="8" cm="1">
        <f t="array" ref="CF200">SUMPRODUCT(TRANSPOSE(CF$2:CF$15),$I200:$V200)</f>
        <v>0</v>
      </c>
      <c r="CG200" s="8" cm="1">
        <f t="array" ref="CG200">SUMPRODUCT(TRANSPOSE(CG$2:CG$15),$I200:$V200)</f>
        <v>500</v>
      </c>
      <c r="CH200" s="8" cm="1">
        <f t="array" ref="CH200">SUMPRODUCT(TRANSPOSE(CH$2:CH$15),$I200:$V200)</f>
        <v>750</v>
      </c>
      <c r="CI200" s="8" cm="1">
        <f t="array" ref="CI200">SUMPRODUCT(TRANSPOSE(CI$2:CI$15),$I200:$V200)</f>
        <v>1250</v>
      </c>
      <c r="CJ200" s="8" cm="1">
        <f t="array" ref="CJ200">SUMPRODUCT(TRANSPOSE(CJ$2:CJ$15),$I200:$V200)</f>
        <v>1040</v>
      </c>
      <c r="CK200" s="8" cm="1">
        <f t="array" ref="CK200">SUMPRODUCT(TRANSPOSE(CK$2:CK$15),$I200:$V200)</f>
        <v>1000</v>
      </c>
      <c r="CL200" s="8" cm="1">
        <f t="array" ref="CL200">SUMPRODUCT(TRANSPOSE(CL$2:CL$15),$I200:$V200)</f>
        <v>900</v>
      </c>
      <c r="CM200" s="8" cm="1">
        <f t="array" ref="CM200">SUMPRODUCT(TRANSPOSE(CM$2:CM$15),$I200:$V200)</f>
        <v>1380</v>
      </c>
      <c r="CN200" s="8" cm="1">
        <f t="array" ref="CN200">SUMPRODUCT(TRANSPOSE(CN$2:CN$15),$I200:$V200)</f>
        <v>1260</v>
      </c>
      <c r="CO200" s="8" cm="1">
        <f t="array" ref="CO200">SUMPRODUCT(TRANSPOSE(CO$2:CO$15),$I200:$V200)</f>
        <v>0</v>
      </c>
      <c r="CP200" s="8" cm="1">
        <f t="array" ref="CP200">SUMPRODUCT(TRANSPOSE(CP$2:CP$15),$I200:$V200)</f>
        <v>0</v>
      </c>
      <c r="CQ200" s="8" cm="1">
        <f t="array" ref="CQ200">SUMPRODUCT(TRANSPOSE(CQ$2:CQ$15),$I200:$V200)</f>
        <v>0</v>
      </c>
    </row>
    <row r="201" spans="1:95" x14ac:dyDescent="0.25">
      <c r="A201" s="1">
        <v>297</v>
      </c>
      <c r="B201" s="11" t="s">
        <v>534</v>
      </c>
      <c r="C201" s="1" t="s">
        <v>49</v>
      </c>
      <c r="D201" s="1">
        <v>413256946</v>
      </c>
      <c r="E201" s="6">
        <f>VLOOKUP(D201,FFF!$A$2:$B$674,2,)</f>
        <v>400481611</v>
      </c>
      <c r="F201" s="1" t="s">
        <v>535</v>
      </c>
      <c r="G201" s="1" t="s">
        <v>35</v>
      </c>
      <c r="H201" s="1">
        <v>4</v>
      </c>
      <c r="I201" s="1">
        <v>0</v>
      </c>
      <c r="J201" s="1">
        <v>0</v>
      </c>
      <c r="K201" s="1">
        <v>0</v>
      </c>
      <c r="L201" s="1">
        <v>0</v>
      </c>
      <c r="M201" s="1">
        <v>2</v>
      </c>
      <c r="N201" s="1">
        <v>0</v>
      </c>
      <c r="O201" s="1">
        <v>0</v>
      </c>
      <c r="P201" s="1">
        <v>0</v>
      </c>
      <c r="Q201" s="1">
        <v>2</v>
      </c>
      <c r="R201" s="1">
        <v>0</v>
      </c>
      <c r="S201" s="1">
        <v>0</v>
      </c>
      <c r="T201" s="1">
        <v>0</v>
      </c>
      <c r="U201" s="1">
        <v>0</v>
      </c>
      <c r="V201" s="1">
        <v>2</v>
      </c>
      <c r="W201" s="1">
        <f>SUMPRODUCT(I201:V201,$I$13:$V$13)</f>
        <v>9740</v>
      </c>
      <c r="X201" s="6">
        <f t="shared" si="4"/>
        <v>0.22199999999999998</v>
      </c>
      <c r="Y201" s="1" t="str">
        <f>VLOOKUP(D201,[1]PARTS!$A$1:$G$65536,7,0)</f>
        <v>ON SEMICONDUCTOR</v>
      </c>
      <c r="Z201" s="1">
        <v>3000</v>
      </c>
      <c r="AA201" s="1">
        <v>6000</v>
      </c>
      <c r="AB201" s="1">
        <f>CEILING(W201,Z201)</f>
        <v>12000</v>
      </c>
      <c r="AC201" s="1">
        <v>3.6999999999999998E-2</v>
      </c>
      <c r="AD201" s="1" t="s">
        <v>361</v>
      </c>
      <c r="AE201" s="1" t="s">
        <v>362</v>
      </c>
      <c r="AF201" s="12" t="s">
        <v>363</v>
      </c>
      <c r="AG201" s="1" t="s">
        <v>88</v>
      </c>
      <c r="BG201" s="8">
        <f>SUM($BB201,$AI201:AI201)-SUM($BY201:BZ201)</f>
        <v>0</v>
      </c>
      <c r="BH201" s="8">
        <f>SUM($BB201,$AI201:AJ201)-SUM($BY201:CA201)</f>
        <v>0</v>
      </c>
      <c r="BI201" s="8">
        <f>SUM($BB201,$AI201:AK201)-SUM($BY201:CB201)</f>
        <v>0</v>
      </c>
      <c r="BJ201" s="8">
        <f>SUM($BB201,$AI201:AL201)-SUM($BY201:CC201)</f>
        <v>0</v>
      </c>
      <c r="BK201" s="8">
        <f>SUM($BB201,$AI201:AM201)-SUM($BY201:CD201)</f>
        <v>0</v>
      </c>
      <c r="BL201" s="8">
        <f>SUM($BB201,$AI201:AN201)-SUM($BY201:CE201)</f>
        <v>0</v>
      </c>
      <c r="BM201" s="8">
        <f>SUM($BB201,$AI201:AO201)-SUM($BY201:CF201)</f>
        <v>0</v>
      </c>
      <c r="BN201" s="8">
        <f>SUM($BB201,$AI201:AP201)-SUM($BY201:CG201)</f>
        <v>-400</v>
      </c>
      <c r="BO201" s="8">
        <f>SUM($BB201,$AI201:AQ201)-SUM($BY201:CH201)</f>
        <v>-1200</v>
      </c>
      <c r="BP201" s="8">
        <f>SUM($BB201,$AI201:AR201)-SUM($BY201:CI201)</f>
        <v>-2500</v>
      </c>
      <c r="BQ201" s="8">
        <f>SUM($BB201,$AI201:AS201)-SUM($BY201:CJ201)</f>
        <v>-3840</v>
      </c>
      <c r="BR201" s="8">
        <f>SUM($BB201,$AI201:AT201)-SUM($BY201:CK201)</f>
        <v>-5040</v>
      </c>
      <c r="BS201" s="8">
        <f>SUM($BB201,$AI201:AU201)-SUM($BY201:CL201)</f>
        <v>-6140</v>
      </c>
      <c r="BT201" s="8">
        <f>SUM($BB201,$AI201:AV201)-SUM($BY201:CM201)</f>
        <v>-7620</v>
      </c>
      <c r="BU201" s="8">
        <f>SUM($BB201,$AI201:AW201)-SUM($BY201:CN201)</f>
        <v>-9220</v>
      </c>
      <c r="BV201" s="8">
        <f>SUM($BB201,$AI201:AX201)-SUM($BY201:CO201)</f>
        <v>-9740</v>
      </c>
      <c r="BW201" s="8">
        <f>SUM($BB201,$AI201:AY201)-SUM($BY201:CP201)</f>
        <v>-9740</v>
      </c>
      <c r="BX201" s="8">
        <f>SUM($BB201,$AI201:AZ201)-SUM($BY201:CQ201)</f>
        <v>-9740</v>
      </c>
      <c r="BY201" s="8" cm="1">
        <f t="array" ref="BY201">SUMPRODUCT(TRANSPOSE(BY$2:BY$15),$I201:$V201)</f>
        <v>0</v>
      </c>
      <c r="BZ201" s="8" cm="1">
        <f t="array" ref="BZ201">SUMPRODUCT(TRANSPOSE(BZ$2:BZ$15),$I201:$V201)</f>
        <v>0</v>
      </c>
      <c r="CA201" s="8" cm="1">
        <f t="array" ref="CA201">SUMPRODUCT(TRANSPOSE(CA$2:CA$15),$I201:$V201)</f>
        <v>0</v>
      </c>
      <c r="CB201" s="8" cm="1">
        <f t="array" ref="CB201">SUMPRODUCT(TRANSPOSE(CB$2:CB$15),$I201:$V201)</f>
        <v>0</v>
      </c>
      <c r="CC201" s="8" cm="1">
        <f t="array" ref="CC201">SUMPRODUCT(TRANSPOSE(CC$2:CC$15),$I201:$V201)</f>
        <v>0</v>
      </c>
      <c r="CD201" s="8" cm="1">
        <f t="array" ref="CD201">SUMPRODUCT(TRANSPOSE(CD$2:CD$15),$I201:$V201)</f>
        <v>0</v>
      </c>
      <c r="CE201" s="8" cm="1">
        <f t="array" ref="CE201">SUMPRODUCT(TRANSPOSE(CE$2:CE$15),$I201:$V201)</f>
        <v>0</v>
      </c>
      <c r="CF201" s="8" cm="1">
        <f t="array" ref="CF201">SUMPRODUCT(TRANSPOSE(CF$2:CF$15),$I201:$V201)</f>
        <v>0</v>
      </c>
      <c r="CG201" s="8" cm="1">
        <f t="array" ref="CG201">SUMPRODUCT(TRANSPOSE(CG$2:CG$15),$I201:$V201)</f>
        <v>400</v>
      </c>
      <c r="CH201" s="8" cm="1">
        <f t="array" ref="CH201">SUMPRODUCT(TRANSPOSE(CH$2:CH$15),$I201:$V201)</f>
        <v>800</v>
      </c>
      <c r="CI201" s="8" cm="1">
        <f t="array" ref="CI201">SUMPRODUCT(TRANSPOSE(CI$2:CI$15),$I201:$V201)</f>
        <v>1300</v>
      </c>
      <c r="CJ201" s="8" cm="1">
        <f t="array" ref="CJ201">SUMPRODUCT(TRANSPOSE(CJ$2:CJ$15),$I201:$V201)</f>
        <v>1340</v>
      </c>
      <c r="CK201" s="8" cm="1">
        <f t="array" ref="CK201">SUMPRODUCT(TRANSPOSE(CK$2:CK$15),$I201:$V201)</f>
        <v>1200</v>
      </c>
      <c r="CL201" s="8" cm="1">
        <f t="array" ref="CL201">SUMPRODUCT(TRANSPOSE(CL$2:CL$15),$I201:$V201)</f>
        <v>1100</v>
      </c>
      <c r="CM201" s="8" cm="1">
        <f t="array" ref="CM201">SUMPRODUCT(TRANSPOSE(CM$2:CM$15),$I201:$V201)</f>
        <v>1480</v>
      </c>
      <c r="CN201" s="8" cm="1">
        <f t="array" ref="CN201">SUMPRODUCT(TRANSPOSE(CN$2:CN$15),$I201:$V201)</f>
        <v>1600</v>
      </c>
      <c r="CO201" s="8" cm="1">
        <f t="array" ref="CO201">SUMPRODUCT(TRANSPOSE(CO$2:CO$15),$I201:$V201)</f>
        <v>520</v>
      </c>
      <c r="CP201" s="8" cm="1">
        <f t="array" ref="CP201">SUMPRODUCT(TRANSPOSE(CP$2:CP$15),$I201:$V201)</f>
        <v>0</v>
      </c>
      <c r="CQ201" s="8" cm="1">
        <f t="array" ref="CQ201">SUMPRODUCT(TRANSPOSE(CQ$2:CQ$15),$I201:$V201)</f>
        <v>0</v>
      </c>
    </row>
    <row r="202" spans="1:95" x14ac:dyDescent="0.25">
      <c r="A202" s="1">
        <v>173</v>
      </c>
      <c r="B202" s="11" t="s">
        <v>536</v>
      </c>
      <c r="C202" s="1" t="s">
        <v>49</v>
      </c>
      <c r="D202" s="1">
        <v>401053474</v>
      </c>
      <c r="E202" s="6" t="str">
        <f>VLOOKUP(D202,FFF!$A$2:$B$674,2,)</f>
        <v>FFF003821</v>
      </c>
      <c r="F202" s="1" t="s">
        <v>537</v>
      </c>
      <c r="G202" s="1" t="s">
        <v>35</v>
      </c>
      <c r="H202" s="1">
        <v>9</v>
      </c>
      <c r="I202" s="1">
        <v>0</v>
      </c>
      <c r="J202" s="1">
        <v>0</v>
      </c>
      <c r="K202" s="1">
        <v>0</v>
      </c>
      <c r="L202" s="1">
        <v>2</v>
      </c>
      <c r="M202" s="1">
        <v>2</v>
      </c>
      <c r="N202" s="1">
        <v>0</v>
      </c>
      <c r="O202" s="1">
        <v>0</v>
      </c>
      <c r="P202" s="1">
        <v>0</v>
      </c>
      <c r="Q202" s="1">
        <v>3</v>
      </c>
      <c r="R202" s="1">
        <v>0</v>
      </c>
      <c r="S202" s="1">
        <v>0</v>
      </c>
      <c r="T202" s="1">
        <v>0</v>
      </c>
      <c r="U202" s="1">
        <v>0</v>
      </c>
      <c r="V202" s="1">
        <v>2</v>
      </c>
      <c r="W202" s="1">
        <f>SUMPRODUCT(I202:V202,$I$13:$V$13)</f>
        <v>14500</v>
      </c>
      <c r="X202" s="6">
        <f t="shared" si="4"/>
        <v>2.0006999999999997E-2</v>
      </c>
      <c r="Y202" s="1" t="str">
        <f>VLOOKUP(D202,[1]PARTS!$A$1:$G$65536,7,0)</f>
        <v>VISHAY RESISTIVE SYSTEMS</v>
      </c>
      <c r="Z202" s="1">
        <f>VLOOKUP(D202,[2]pareto!$D$12:$AX$306,44,0)</f>
        <v>5000</v>
      </c>
      <c r="AA202" s="1">
        <f>VLOOKUP(D202,[2]pareto!$D$12:$AX$306,45,0)</f>
        <v>5000</v>
      </c>
      <c r="AB202" s="1">
        <f>CEILING(W202,Z202)</f>
        <v>15000</v>
      </c>
      <c r="AC202" s="1">
        <f>VLOOKUP(D202,[2]pareto!$D$12:$AX$306,47,0)</f>
        <v>2.2229999999999997E-3</v>
      </c>
      <c r="AD202" s="1" t="s">
        <v>85</v>
      </c>
      <c r="AE202" s="1" t="s">
        <v>86</v>
      </c>
      <c r="AF202" s="19" t="s">
        <v>87</v>
      </c>
      <c r="AG202" s="1" t="s">
        <v>88</v>
      </c>
      <c r="BG202" s="8">
        <f>SUM($BB202,$AI202:AI202)-SUM($BY202:BZ202)</f>
        <v>0</v>
      </c>
      <c r="BH202" s="8">
        <f>SUM($BB202,$AI202:AJ202)-SUM($BY202:CA202)</f>
        <v>0</v>
      </c>
      <c r="BI202" s="8">
        <f>SUM($BB202,$AI202:AK202)-SUM($BY202:CB202)</f>
        <v>0</v>
      </c>
      <c r="BJ202" s="8">
        <f>SUM($BB202,$AI202:AL202)-SUM($BY202:CC202)</f>
        <v>0</v>
      </c>
      <c r="BK202" s="8">
        <f>SUM($BB202,$AI202:AM202)-SUM($BY202:CD202)</f>
        <v>0</v>
      </c>
      <c r="BL202" s="8">
        <f>SUM($BB202,$AI202:AN202)-SUM($BY202:CE202)</f>
        <v>0</v>
      </c>
      <c r="BM202" s="8">
        <f>SUM($BB202,$AI202:AO202)-SUM($BY202:CF202)</f>
        <v>0</v>
      </c>
      <c r="BN202" s="8">
        <f>SUM($BB202,$AI202:AP202)-SUM($BY202:CG202)</f>
        <v>-700</v>
      </c>
      <c r="BO202" s="8">
        <f>SUM($BB202,$AI202:AQ202)-SUM($BY202:CH202)</f>
        <v>-1950</v>
      </c>
      <c r="BP202" s="8">
        <f>SUM($BB202,$AI202:AR202)-SUM($BY202:CI202)</f>
        <v>-4000</v>
      </c>
      <c r="BQ202" s="8">
        <f>SUM($BB202,$AI202:AS202)-SUM($BY202:CJ202)</f>
        <v>-5980</v>
      </c>
      <c r="BR202" s="8">
        <f>SUM($BB202,$AI202:AT202)-SUM($BY202:CK202)</f>
        <v>-7780</v>
      </c>
      <c r="BS202" s="8">
        <f>SUM($BB202,$AI202:AU202)-SUM($BY202:CL202)</f>
        <v>-9380</v>
      </c>
      <c r="BT202" s="8">
        <f>SUM($BB202,$AI202:AV202)-SUM($BY202:CM202)</f>
        <v>-11640</v>
      </c>
      <c r="BU202" s="8">
        <f>SUM($BB202,$AI202:AW202)-SUM($BY202:CN202)</f>
        <v>-13980</v>
      </c>
      <c r="BV202" s="8">
        <f>SUM($BB202,$AI202:AX202)-SUM($BY202:CO202)</f>
        <v>-14500</v>
      </c>
      <c r="BW202" s="8">
        <f>SUM($BB202,$AI202:AY202)-SUM($BY202:CP202)</f>
        <v>-14500</v>
      </c>
      <c r="BX202" s="8">
        <f>SUM($BB202,$AI202:AZ202)-SUM($BY202:CQ202)</f>
        <v>-14500</v>
      </c>
      <c r="BY202" s="8" cm="1">
        <f t="array" ref="BY202">SUMPRODUCT(TRANSPOSE(BY$2:BY$15),$I202:$V202)</f>
        <v>0</v>
      </c>
      <c r="BZ202" s="8" cm="1">
        <f t="array" ref="BZ202">SUMPRODUCT(TRANSPOSE(BZ$2:BZ$15),$I202:$V202)</f>
        <v>0</v>
      </c>
      <c r="CA202" s="8" cm="1">
        <f t="array" ref="CA202">SUMPRODUCT(TRANSPOSE(CA$2:CA$15),$I202:$V202)</f>
        <v>0</v>
      </c>
      <c r="CB202" s="8" cm="1">
        <f t="array" ref="CB202">SUMPRODUCT(TRANSPOSE(CB$2:CB$15),$I202:$V202)</f>
        <v>0</v>
      </c>
      <c r="CC202" s="8" cm="1">
        <f t="array" ref="CC202">SUMPRODUCT(TRANSPOSE(CC$2:CC$15),$I202:$V202)</f>
        <v>0</v>
      </c>
      <c r="CD202" s="8" cm="1">
        <f t="array" ref="CD202">SUMPRODUCT(TRANSPOSE(CD$2:CD$15),$I202:$V202)</f>
        <v>0</v>
      </c>
      <c r="CE202" s="8" cm="1">
        <f t="array" ref="CE202">SUMPRODUCT(TRANSPOSE(CE$2:CE$15),$I202:$V202)</f>
        <v>0</v>
      </c>
      <c r="CF202" s="8" cm="1">
        <f t="array" ref="CF202">SUMPRODUCT(TRANSPOSE(CF$2:CF$15),$I202:$V202)</f>
        <v>0</v>
      </c>
      <c r="CG202" s="8" cm="1">
        <f t="array" ref="CG202">SUMPRODUCT(TRANSPOSE(CG$2:CG$15),$I202:$V202)</f>
        <v>700</v>
      </c>
      <c r="CH202" s="8" cm="1">
        <f t="array" ref="CH202">SUMPRODUCT(TRANSPOSE(CH$2:CH$15),$I202:$V202)</f>
        <v>1250</v>
      </c>
      <c r="CI202" s="8" cm="1">
        <f t="array" ref="CI202">SUMPRODUCT(TRANSPOSE(CI$2:CI$15),$I202:$V202)</f>
        <v>2050</v>
      </c>
      <c r="CJ202" s="8" cm="1">
        <f t="array" ref="CJ202">SUMPRODUCT(TRANSPOSE(CJ$2:CJ$15),$I202:$V202)</f>
        <v>1980</v>
      </c>
      <c r="CK202" s="8" cm="1">
        <f t="array" ref="CK202">SUMPRODUCT(TRANSPOSE(CK$2:CK$15),$I202:$V202)</f>
        <v>1800</v>
      </c>
      <c r="CL202" s="8" cm="1">
        <f t="array" ref="CL202">SUMPRODUCT(TRANSPOSE(CL$2:CL$15),$I202:$V202)</f>
        <v>1600</v>
      </c>
      <c r="CM202" s="8" cm="1">
        <f t="array" ref="CM202">SUMPRODUCT(TRANSPOSE(CM$2:CM$15),$I202:$V202)</f>
        <v>2260</v>
      </c>
      <c r="CN202" s="8" cm="1">
        <f t="array" ref="CN202">SUMPRODUCT(TRANSPOSE(CN$2:CN$15),$I202:$V202)</f>
        <v>2340</v>
      </c>
      <c r="CO202" s="8" cm="1">
        <f t="array" ref="CO202">SUMPRODUCT(TRANSPOSE(CO$2:CO$15),$I202:$V202)</f>
        <v>520</v>
      </c>
      <c r="CP202" s="8" cm="1">
        <f t="array" ref="CP202">SUMPRODUCT(TRANSPOSE(CP$2:CP$15),$I202:$V202)</f>
        <v>0</v>
      </c>
      <c r="CQ202" s="8" cm="1">
        <f t="array" ref="CQ202">SUMPRODUCT(TRANSPOSE(CQ$2:CQ$15),$I202:$V202)</f>
        <v>0</v>
      </c>
    </row>
    <row r="203" spans="1:95" x14ac:dyDescent="0.25">
      <c r="A203" s="1">
        <v>171</v>
      </c>
      <c r="B203" s="11" t="s">
        <v>538</v>
      </c>
      <c r="C203" s="1" t="s">
        <v>49</v>
      </c>
      <c r="D203" s="1">
        <v>400679613</v>
      </c>
      <c r="E203" s="6" t="str">
        <f>VLOOKUP(D203,FFF!$A$2:$B$674,2,)</f>
        <v>FFF004838</v>
      </c>
      <c r="F203" s="1" t="s">
        <v>539</v>
      </c>
      <c r="G203" s="1" t="s">
        <v>35</v>
      </c>
      <c r="H203" s="1">
        <v>18</v>
      </c>
      <c r="I203" s="1">
        <v>0</v>
      </c>
      <c r="J203" s="1">
        <v>0</v>
      </c>
      <c r="K203" s="1">
        <v>0</v>
      </c>
      <c r="L203" s="1">
        <v>0</v>
      </c>
      <c r="M203" s="1">
        <v>9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9</v>
      </c>
      <c r="W203" s="1">
        <f>SUMPRODUCT(I203:V203,$I$13:$V$13)</f>
        <v>28890</v>
      </c>
      <c r="X203" s="6">
        <f t="shared" si="4"/>
        <v>3.3695999999999997E-2</v>
      </c>
      <c r="Y203" s="1" t="str">
        <f>VLOOKUP(D203,[1]PARTS!$A$1:$G$65536,7,0)</f>
        <v>VISHAY RESISTIVE SYSTEMS</v>
      </c>
      <c r="Z203" s="1">
        <f>VLOOKUP(D203,[2]pareto!$D$12:$AX$306,44,0)</f>
        <v>5000</v>
      </c>
      <c r="AA203" s="1">
        <f>VLOOKUP(D203,[2]pareto!$D$12:$AX$306,45,0)</f>
        <v>5000</v>
      </c>
      <c r="AB203" s="1">
        <f>CEILING(W203,Z203)</f>
        <v>30000</v>
      </c>
      <c r="AC203" s="1">
        <f>VLOOKUP(D203,[2]pareto!$D$12:$AX$306,47,0)</f>
        <v>1.872E-3</v>
      </c>
      <c r="AD203" s="1" t="s">
        <v>85</v>
      </c>
      <c r="AE203" s="1" t="s">
        <v>86</v>
      </c>
      <c r="AF203" s="19" t="s">
        <v>87</v>
      </c>
      <c r="AG203" s="1" t="s">
        <v>88</v>
      </c>
      <c r="BG203" s="8">
        <f>SUM($BB203,$AI203:AI203)-SUM($BY203:BZ203)</f>
        <v>0</v>
      </c>
      <c r="BH203" s="8">
        <f>SUM($BB203,$AI203:AJ203)-SUM($BY203:CA203)</f>
        <v>0</v>
      </c>
      <c r="BI203" s="8">
        <f>SUM($BB203,$AI203:AK203)-SUM($BY203:CB203)</f>
        <v>0</v>
      </c>
      <c r="BJ203" s="8">
        <f>SUM($BB203,$AI203:AL203)-SUM($BY203:CC203)</f>
        <v>0</v>
      </c>
      <c r="BK203" s="8">
        <f>SUM($BB203,$AI203:AM203)-SUM($BY203:CD203)</f>
        <v>0</v>
      </c>
      <c r="BL203" s="8">
        <f>SUM($BB203,$AI203:AN203)-SUM($BY203:CE203)</f>
        <v>0</v>
      </c>
      <c r="BM203" s="8">
        <f>SUM($BB203,$AI203:AO203)-SUM($BY203:CF203)</f>
        <v>0</v>
      </c>
      <c r="BN203" s="8">
        <f>SUM($BB203,$AI203:AP203)-SUM($BY203:CG203)</f>
        <v>-900</v>
      </c>
      <c r="BO203" s="8">
        <f>SUM($BB203,$AI203:AQ203)-SUM($BY203:CH203)</f>
        <v>-3150</v>
      </c>
      <c r="BP203" s="8">
        <f>SUM($BB203,$AI203:AR203)-SUM($BY203:CI203)</f>
        <v>-6750</v>
      </c>
      <c r="BQ203" s="8">
        <f>SUM($BB203,$AI203:AS203)-SUM($BY203:CJ203)</f>
        <v>-10980</v>
      </c>
      <c r="BR203" s="8">
        <f>SUM($BB203,$AI203:AT203)-SUM($BY203:CK203)</f>
        <v>-14580</v>
      </c>
      <c r="BS203" s="8">
        <f>SUM($BB203,$AI203:AU203)-SUM($BY203:CL203)</f>
        <v>-17730</v>
      </c>
      <c r="BT203" s="8">
        <f>SUM($BB203,$AI203:AV203)-SUM($BY203:CM203)</f>
        <v>-21690</v>
      </c>
      <c r="BU203" s="8">
        <f>SUM($BB203,$AI203:AW203)-SUM($BY203:CN203)</f>
        <v>-26550</v>
      </c>
      <c r="BV203" s="8">
        <f>SUM($BB203,$AI203:AX203)-SUM($BY203:CO203)</f>
        <v>-28890</v>
      </c>
      <c r="BW203" s="8">
        <f>SUM($BB203,$AI203:AY203)-SUM($BY203:CP203)</f>
        <v>-28890</v>
      </c>
      <c r="BX203" s="8">
        <f>SUM($BB203,$AI203:AZ203)-SUM($BY203:CQ203)</f>
        <v>-28890</v>
      </c>
      <c r="BY203" s="8" cm="1">
        <f t="array" ref="BY203">SUMPRODUCT(TRANSPOSE(BY$2:BY$15),$I203:$V203)</f>
        <v>0</v>
      </c>
      <c r="BZ203" s="8" cm="1">
        <f t="array" ref="BZ203">SUMPRODUCT(TRANSPOSE(BZ$2:BZ$15),$I203:$V203)</f>
        <v>0</v>
      </c>
      <c r="CA203" s="8" cm="1">
        <f t="array" ref="CA203">SUMPRODUCT(TRANSPOSE(CA$2:CA$15),$I203:$V203)</f>
        <v>0</v>
      </c>
      <c r="CB203" s="8" cm="1">
        <f t="array" ref="CB203">SUMPRODUCT(TRANSPOSE(CB$2:CB$15),$I203:$V203)</f>
        <v>0</v>
      </c>
      <c r="CC203" s="8" cm="1">
        <f t="array" ref="CC203">SUMPRODUCT(TRANSPOSE(CC$2:CC$15),$I203:$V203)</f>
        <v>0</v>
      </c>
      <c r="CD203" s="8" cm="1">
        <f t="array" ref="CD203">SUMPRODUCT(TRANSPOSE(CD$2:CD$15),$I203:$V203)</f>
        <v>0</v>
      </c>
      <c r="CE203" s="8" cm="1">
        <f t="array" ref="CE203">SUMPRODUCT(TRANSPOSE(CE$2:CE$15),$I203:$V203)</f>
        <v>0</v>
      </c>
      <c r="CF203" s="8" cm="1">
        <f t="array" ref="CF203">SUMPRODUCT(TRANSPOSE(CF$2:CF$15),$I203:$V203)</f>
        <v>0</v>
      </c>
      <c r="CG203" s="8" cm="1">
        <f t="array" ref="CG203">SUMPRODUCT(TRANSPOSE(CG$2:CG$15),$I203:$V203)</f>
        <v>900</v>
      </c>
      <c r="CH203" s="8" cm="1">
        <f t="array" ref="CH203">SUMPRODUCT(TRANSPOSE(CH$2:CH$15),$I203:$V203)</f>
        <v>2250</v>
      </c>
      <c r="CI203" s="8" cm="1">
        <f t="array" ref="CI203">SUMPRODUCT(TRANSPOSE(CI$2:CI$15),$I203:$V203)</f>
        <v>3600</v>
      </c>
      <c r="CJ203" s="8" cm="1">
        <f t="array" ref="CJ203">SUMPRODUCT(TRANSPOSE(CJ$2:CJ$15),$I203:$V203)</f>
        <v>4230</v>
      </c>
      <c r="CK203" s="8" cm="1">
        <f t="array" ref="CK203">SUMPRODUCT(TRANSPOSE(CK$2:CK$15),$I203:$V203)</f>
        <v>3600</v>
      </c>
      <c r="CL203" s="8" cm="1">
        <f t="array" ref="CL203">SUMPRODUCT(TRANSPOSE(CL$2:CL$15),$I203:$V203)</f>
        <v>3150</v>
      </c>
      <c r="CM203" s="8" cm="1">
        <f t="array" ref="CM203">SUMPRODUCT(TRANSPOSE(CM$2:CM$15),$I203:$V203)</f>
        <v>3960</v>
      </c>
      <c r="CN203" s="8" cm="1">
        <f t="array" ref="CN203">SUMPRODUCT(TRANSPOSE(CN$2:CN$15),$I203:$V203)</f>
        <v>4860</v>
      </c>
      <c r="CO203" s="8" cm="1">
        <f t="array" ref="CO203">SUMPRODUCT(TRANSPOSE(CO$2:CO$15),$I203:$V203)</f>
        <v>2340</v>
      </c>
      <c r="CP203" s="8" cm="1">
        <f t="array" ref="CP203">SUMPRODUCT(TRANSPOSE(CP$2:CP$15),$I203:$V203)</f>
        <v>0</v>
      </c>
      <c r="CQ203" s="8" cm="1">
        <f t="array" ref="CQ203">SUMPRODUCT(TRANSPOSE(CQ$2:CQ$15),$I203:$V203)</f>
        <v>0</v>
      </c>
    </row>
    <row r="204" spans="1:95" x14ac:dyDescent="0.25">
      <c r="A204" s="1">
        <v>10</v>
      </c>
      <c r="B204" s="11" t="s">
        <v>540</v>
      </c>
      <c r="C204" s="1" t="s">
        <v>49</v>
      </c>
      <c r="D204" s="1">
        <v>400236023</v>
      </c>
      <c r="E204" s="6"/>
      <c r="F204" s="1" t="s">
        <v>541</v>
      </c>
      <c r="G204" s="1" t="s">
        <v>35</v>
      </c>
      <c r="H204" s="1">
        <v>2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2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f>SUMPRODUCT(I204:V204,$I$13:$V$13)</f>
        <v>3320</v>
      </c>
      <c r="X204" s="6">
        <f t="shared" si="4"/>
        <v>0.15</v>
      </c>
      <c r="Y204" s="1" t="str">
        <f>VLOOKUP(D204,[1]PARTS!$A$1:$G$65536,7,0)</f>
        <v>COILCRAFT INC.</v>
      </c>
      <c r="Z204" s="1">
        <f>VLOOKUP(D204,[2]pareto!$D$12:$AX$306,44,0)</f>
        <v>2000</v>
      </c>
      <c r="AA204" s="1">
        <f>VLOOKUP(D204,[2]pareto!$D$12:$AX$306,45,0)</f>
        <v>2000</v>
      </c>
      <c r="AB204" s="1">
        <f>CEILING(W204,Z204)</f>
        <v>4000</v>
      </c>
      <c r="AC204" s="1">
        <f>VLOOKUP(D204,[2]pareto!$D$12:$AX$306,47,0)</f>
        <v>7.4999999999999997E-2</v>
      </c>
      <c r="AD204" s="1" t="s">
        <v>446</v>
      </c>
      <c r="AE204" s="1" t="s">
        <v>447</v>
      </c>
      <c r="AF204" s="19" t="s">
        <v>448</v>
      </c>
      <c r="AG204" s="1" t="s">
        <v>449</v>
      </c>
      <c r="BG204" s="8">
        <f>SUM($BB204,$AI204:AI204)-SUM($BY204:BZ204)</f>
        <v>0</v>
      </c>
      <c r="BH204" s="8">
        <f>SUM($BB204,$AI204:AJ204)-SUM($BY204:CA204)</f>
        <v>0</v>
      </c>
      <c r="BI204" s="8">
        <f>SUM($BB204,$AI204:AK204)-SUM($BY204:CB204)</f>
        <v>0</v>
      </c>
      <c r="BJ204" s="8">
        <f>SUM($BB204,$AI204:AL204)-SUM($BY204:CC204)</f>
        <v>0</v>
      </c>
      <c r="BK204" s="8">
        <f>SUM($BB204,$AI204:AM204)-SUM($BY204:CD204)</f>
        <v>0</v>
      </c>
      <c r="BL204" s="8">
        <f>SUM($BB204,$AI204:AN204)-SUM($BY204:CE204)</f>
        <v>0</v>
      </c>
      <c r="BM204" s="8">
        <f>SUM($BB204,$AI204:AO204)-SUM($BY204:CF204)</f>
        <v>0</v>
      </c>
      <c r="BN204" s="8">
        <f>SUM($BB204,$AI204:AP204)-SUM($BY204:CG204)</f>
        <v>-200</v>
      </c>
      <c r="BO204" s="8">
        <f>SUM($BB204,$AI204:AQ204)-SUM($BY204:CH204)</f>
        <v>-500</v>
      </c>
      <c r="BP204" s="8">
        <f>SUM($BB204,$AI204:AR204)-SUM($BY204:CI204)</f>
        <v>-1000</v>
      </c>
      <c r="BQ204" s="8">
        <f>SUM($BB204,$AI204:AS204)-SUM($BY204:CJ204)</f>
        <v>-1400</v>
      </c>
      <c r="BR204" s="8">
        <f>SUM($BB204,$AI204:AT204)-SUM($BY204:CK204)</f>
        <v>-1800</v>
      </c>
      <c r="BS204" s="8">
        <f>SUM($BB204,$AI204:AU204)-SUM($BY204:CL204)</f>
        <v>-2200</v>
      </c>
      <c r="BT204" s="8">
        <f>SUM($BB204,$AI204:AV204)-SUM($BY204:CM204)</f>
        <v>-2800</v>
      </c>
      <c r="BU204" s="8">
        <f>SUM($BB204,$AI204:AW204)-SUM($BY204:CN204)</f>
        <v>-3320</v>
      </c>
      <c r="BV204" s="8">
        <f>SUM($BB204,$AI204:AX204)-SUM($BY204:CO204)</f>
        <v>-3320</v>
      </c>
      <c r="BW204" s="8">
        <f>SUM($BB204,$AI204:AY204)-SUM($BY204:CP204)</f>
        <v>-3320</v>
      </c>
      <c r="BX204" s="8">
        <f>SUM($BB204,$AI204:AZ204)-SUM($BY204:CQ204)</f>
        <v>-3320</v>
      </c>
      <c r="BY204" s="8" cm="1">
        <f t="array" ref="BY204">SUMPRODUCT(TRANSPOSE(BY$2:BY$15),$I204:$V204)</f>
        <v>0</v>
      </c>
      <c r="BZ204" s="8" cm="1">
        <f t="array" ref="BZ204">SUMPRODUCT(TRANSPOSE(BZ$2:BZ$15),$I204:$V204)</f>
        <v>0</v>
      </c>
      <c r="CA204" s="8" cm="1">
        <f t="array" ref="CA204">SUMPRODUCT(TRANSPOSE(CA$2:CA$15),$I204:$V204)</f>
        <v>0</v>
      </c>
      <c r="CB204" s="8" cm="1">
        <f t="array" ref="CB204">SUMPRODUCT(TRANSPOSE(CB$2:CB$15),$I204:$V204)</f>
        <v>0</v>
      </c>
      <c r="CC204" s="8" cm="1">
        <f t="array" ref="CC204">SUMPRODUCT(TRANSPOSE(CC$2:CC$15),$I204:$V204)</f>
        <v>0</v>
      </c>
      <c r="CD204" s="8" cm="1">
        <f t="array" ref="CD204">SUMPRODUCT(TRANSPOSE(CD$2:CD$15),$I204:$V204)</f>
        <v>0</v>
      </c>
      <c r="CE204" s="8" cm="1">
        <f t="array" ref="CE204">SUMPRODUCT(TRANSPOSE(CE$2:CE$15),$I204:$V204)</f>
        <v>0</v>
      </c>
      <c r="CF204" s="8" cm="1">
        <f t="array" ref="CF204">SUMPRODUCT(TRANSPOSE(CF$2:CF$15),$I204:$V204)</f>
        <v>0</v>
      </c>
      <c r="CG204" s="8" cm="1">
        <f t="array" ref="CG204">SUMPRODUCT(TRANSPOSE(CG$2:CG$15),$I204:$V204)</f>
        <v>200</v>
      </c>
      <c r="CH204" s="8" cm="1">
        <f t="array" ref="CH204">SUMPRODUCT(TRANSPOSE(CH$2:CH$15),$I204:$V204)</f>
        <v>300</v>
      </c>
      <c r="CI204" s="8" cm="1">
        <f t="array" ref="CI204">SUMPRODUCT(TRANSPOSE(CI$2:CI$15),$I204:$V204)</f>
        <v>500</v>
      </c>
      <c r="CJ204" s="8" cm="1">
        <f t="array" ref="CJ204">SUMPRODUCT(TRANSPOSE(CJ$2:CJ$15),$I204:$V204)</f>
        <v>400</v>
      </c>
      <c r="CK204" s="8" cm="1">
        <f t="array" ref="CK204">SUMPRODUCT(TRANSPOSE(CK$2:CK$15),$I204:$V204)</f>
        <v>400</v>
      </c>
      <c r="CL204" s="8" cm="1">
        <f t="array" ref="CL204">SUMPRODUCT(TRANSPOSE(CL$2:CL$15),$I204:$V204)</f>
        <v>400</v>
      </c>
      <c r="CM204" s="8" cm="1">
        <f t="array" ref="CM204">SUMPRODUCT(TRANSPOSE(CM$2:CM$15),$I204:$V204)</f>
        <v>600</v>
      </c>
      <c r="CN204" s="8" cm="1">
        <f t="array" ref="CN204">SUMPRODUCT(TRANSPOSE(CN$2:CN$15),$I204:$V204)</f>
        <v>520</v>
      </c>
      <c r="CO204" s="8" cm="1">
        <f t="array" ref="CO204">SUMPRODUCT(TRANSPOSE(CO$2:CO$15),$I204:$V204)</f>
        <v>0</v>
      </c>
      <c r="CP204" s="8" cm="1">
        <f t="array" ref="CP204">SUMPRODUCT(TRANSPOSE(CP$2:CP$15),$I204:$V204)</f>
        <v>0</v>
      </c>
      <c r="CQ204" s="8" cm="1">
        <f t="array" ref="CQ204">SUMPRODUCT(TRANSPOSE(CQ$2:CQ$15),$I204:$V204)</f>
        <v>0</v>
      </c>
    </row>
    <row r="205" spans="1:95" x14ac:dyDescent="0.25">
      <c r="A205" s="1">
        <v>202</v>
      </c>
      <c r="B205" s="11" t="s">
        <v>542</v>
      </c>
      <c r="C205" s="1" t="s">
        <v>49</v>
      </c>
      <c r="D205" s="1">
        <v>417983248</v>
      </c>
      <c r="E205" s="6">
        <f>VLOOKUP(D205,FFF!$A$2:$B$674,2,)</f>
        <v>400632302</v>
      </c>
      <c r="F205" s="1" t="s">
        <v>543</v>
      </c>
      <c r="G205" s="1" t="s">
        <v>35</v>
      </c>
      <c r="H205" s="1">
        <v>16</v>
      </c>
      <c r="I205" s="1">
        <v>0</v>
      </c>
      <c r="J205" s="1">
        <v>0</v>
      </c>
      <c r="K205" s="1">
        <v>0</v>
      </c>
      <c r="L205" s="1">
        <v>0</v>
      </c>
      <c r="M205" s="1">
        <v>8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8</v>
      </c>
      <c r="W205" s="1">
        <f>SUMPRODUCT(I205:V205,$I$13:$V$13)</f>
        <v>25680</v>
      </c>
      <c r="X205" s="6">
        <f t="shared" si="4"/>
        <v>0.56000000000000005</v>
      </c>
      <c r="Y205" s="1" t="str">
        <f>VLOOKUP(D205,[1]PARTS!$A$1:$G$65536,7,0)</f>
        <v>VISHAY RESISTIVE SYSTEMS</v>
      </c>
      <c r="Z205" s="1">
        <v>2000</v>
      </c>
      <c r="AA205" s="1">
        <v>25360</v>
      </c>
      <c r="AB205" s="1">
        <f>CEILING(W205,Z205)</f>
        <v>26000</v>
      </c>
      <c r="AC205" s="1">
        <f>VLOOKUP(D205,[2]pareto!$D$12:$AX$306,47,0)</f>
        <v>3.5000000000000003E-2</v>
      </c>
      <c r="AD205" s="1" t="s">
        <v>250</v>
      </c>
      <c r="AE205" s="1" t="s">
        <v>251</v>
      </c>
      <c r="AF205" s="12" t="s">
        <v>252</v>
      </c>
      <c r="AG205" s="1" t="s">
        <v>253</v>
      </c>
      <c r="BG205" s="8">
        <f>SUM($BB205,$AI205:AI205)-SUM($BY205:BZ205)</f>
        <v>0</v>
      </c>
      <c r="BH205" s="8">
        <f>SUM($BB205,$AI205:AJ205)-SUM($BY205:CA205)</f>
        <v>0</v>
      </c>
      <c r="BI205" s="8">
        <f>SUM($BB205,$AI205:AK205)-SUM($BY205:CB205)</f>
        <v>0</v>
      </c>
      <c r="BJ205" s="8">
        <f>SUM($BB205,$AI205:AL205)-SUM($BY205:CC205)</f>
        <v>0</v>
      </c>
      <c r="BK205" s="8">
        <f>SUM($BB205,$AI205:AM205)-SUM($BY205:CD205)</f>
        <v>0</v>
      </c>
      <c r="BL205" s="8">
        <f>SUM($BB205,$AI205:AN205)-SUM($BY205:CE205)</f>
        <v>0</v>
      </c>
      <c r="BM205" s="8">
        <f>SUM($BB205,$AI205:AO205)-SUM($BY205:CF205)</f>
        <v>0</v>
      </c>
      <c r="BN205" s="8">
        <f>SUM($BB205,$AI205:AP205)-SUM($BY205:CG205)</f>
        <v>-800</v>
      </c>
      <c r="BO205" s="8">
        <f>SUM($BB205,$AI205:AQ205)-SUM($BY205:CH205)</f>
        <v>-2800</v>
      </c>
      <c r="BP205" s="8">
        <f>SUM($BB205,$AI205:AR205)-SUM($BY205:CI205)</f>
        <v>-6000</v>
      </c>
      <c r="BQ205" s="8">
        <f>SUM($BB205,$AI205:AS205)-SUM($BY205:CJ205)</f>
        <v>-9760</v>
      </c>
      <c r="BR205" s="8">
        <f>SUM($BB205,$AI205:AT205)-SUM($BY205:CK205)</f>
        <v>-12960</v>
      </c>
      <c r="BS205" s="8">
        <f>SUM($BB205,$AI205:AU205)-SUM($BY205:CL205)</f>
        <v>-15760</v>
      </c>
      <c r="BT205" s="8">
        <f>SUM($BB205,$AI205:AV205)-SUM($BY205:CM205)</f>
        <v>-19280</v>
      </c>
      <c r="BU205" s="8">
        <f>SUM($BB205,$AI205:AW205)-SUM($BY205:CN205)</f>
        <v>-23600</v>
      </c>
      <c r="BV205" s="8">
        <f>SUM($BB205,$AI205:AX205)-SUM($BY205:CO205)</f>
        <v>-25680</v>
      </c>
      <c r="BW205" s="8">
        <f>SUM($BB205,$AI205:AY205)-SUM($BY205:CP205)</f>
        <v>-25680</v>
      </c>
      <c r="BX205" s="8">
        <f>SUM($BB205,$AI205:AZ205)-SUM($BY205:CQ205)</f>
        <v>-25680</v>
      </c>
      <c r="BY205" s="8" cm="1">
        <f t="array" ref="BY205">SUMPRODUCT(TRANSPOSE(BY$2:BY$15),$I205:$V205)</f>
        <v>0</v>
      </c>
      <c r="BZ205" s="8" cm="1">
        <f t="array" ref="BZ205">SUMPRODUCT(TRANSPOSE(BZ$2:BZ$15),$I205:$V205)</f>
        <v>0</v>
      </c>
      <c r="CA205" s="8" cm="1">
        <f t="array" ref="CA205">SUMPRODUCT(TRANSPOSE(CA$2:CA$15),$I205:$V205)</f>
        <v>0</v>
      </c>
      <c r="CB205" s="8" cm="1">
        <f t="array" ref="CB205">SUMPRODUCT(TRANSPOSE(CB$2:CB$15),$I205:$V205)</f>
        <v>0</v>
      </c>
      <c r="CC205" s="8" cm="1">
        <f t="array" ref="CC205">SUMPRODUCT(TRANSPOSE(CC$2:CC$15),$I205:$V205)</f>
        <v>0</v>
      </c>
      <c r="CD205" s="8" cm="1">
        <f t="array" ref="CD205">SUMPRODUCT(TRANSPOSE(CD$2:CD$15),$I205:$V205)</f>
        <v>0</v>
      </c>
      <c r="CE205" s="8" cm="1">
        <f t="array" ref="CE205">SUMPRODUCT(TRANSPOSE(CE$2:CE$15),$I205:$V205)</f>
        <v>0</v>
      </c>
      <c r="CF205" s="8" cm="1">
        <f t="array" ref="CF205">SUMPRODUCT(TRANSPOSE(CF$2:CF$15),$I205:$V205)</f>
        <v>0</v>
      </c>
      <c r="CG205" s="8" cm="1">
        <f t="array" ref="CG205">SUMPRODUCT(TRANSPOSE(CG$2:CG$15),$I205:$V205)</f>
        <v>800</v>
      </c>
      <c r="CH205" s="8" cm="1">
        <f t="array" ref="CH205">SUMPRODUCT(TRANSPOSE(CH$2:CH$15),$I205:$V205)</f>
        <v>2000</v>
      </c>
      <c r="CI205" s="8" cm="1">
        <f t="array" ref="CI205">SUMPRODUCT(TRANSPOSE(CI$2:CI$15),$I205:$V205)</f>
        <v>3200</v>
      </c>
      <c r="CJ205" s="8" cm="1">
        <f t="array" ref="CJ205">SUMPRODUCT(TRANSPOSE(CJ$2:CJ$15),$I205:$V205)</f>
        <v>3760</v>
      </c>
      <c r="CK205" s="8" cm="1">
        <f t="array" ref="CK205">SUMPRODUCT(TRANSPOSE(CK$2:CK$15),$I205:$V205)</f>
        <v>3200</v>
      </c>
      <c r="CL205" s="8" cm="1">
        <f t="array" ref="CL205">SUMPRODUCT(TRANSPOSE(CL$2:CL$15),$I205:$V205)</f>
        <v>2800</v>
      </c>
      <c r="CM205" s="8" cm="1">
        <f t="array" ref="CM205">SUMPRODUCT(TRANSPOSE(CM$2:CM$15),$I205:$V205)</f>
        <v>3520</v>
      </c>
      <c r="CN205" s="8" cm="1">
        <f t="array" ref="CN205">SUMPRODUCT(TRANSPOSE(CN$2:CN$15),$I205:$V205)</f>
        <v>4320</v>
      </c>
      <c r="CO205" s="8" cm="1">
        <f t="array" ref="CO205">SUMPRODUCT(TRANSPOSE(CO$2:CO$15),$I205:$V205)</f>
        <v>2080</v>
      </c>
      <c r="CP205" s="8" cm="1">
        <f t="array" ref="CP205">SUMPRODUCT(TRANSPOSE(CP$2:CP$15),$I205:$V205)</f>
        <v>0</v>
      </c>
      <c r="CQ205" s="8" cm="1">
        <f t="array" ref="CQ205">SUMPRODUCT(TRANSPOSE(CQ$2:CQ$15),$I205:$V205)</f>
        <v>0</v>
      </c>
    </row>
    <row r="206" spans="1:95" x14ac:dyDescent="0.25">
      <c r="A206" s="1">
        <v>270</v>
      </c>
      <c r="B206" s="11" t="s">
        <v>544</v>
      </c>
      <c r="C206" s="1" t="s">
        <v>49</v>
      </c>
      <c r="D206" s="1" t="s">
        <v>545</v>
      </c>
      <c r="E206" s="6">
        <f>VLOOKUP(D206,FFF!$A$2:$B$674,2,)</f>
        <v>400525702</v>
      </c>
      <c r="F206" s="1" t="s">
        <v>546</v>
      </c>
      <c r="G206" s="1" t="s">
        <v>35</v>
      </c>
      <c r="H206" s="1">
        <v>4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4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f>SUMPRODUCT(I206:V206,$I$13:$V$13)</f>
        <v>6640</v>
      </c>
      <c r="X206" s="6">
        <f t="shared" si="4"/>
        <v>9.0324000000000002E-2</v>
      </c>
      <c r="Y206" s="1" t="str">
        <f>VLOOKUP(D206,[1]PARTS!$A$1:$G$65536,7,0)</f>
        <v>FAIRCHILD SEMICONDUCTOR</v>
      </c>
      <c r="Z206" s="1">
        <f>VLOOKUP(D206,[2]pareto!$D$12:$AX$306,44,0)</f>
        <v>3000</v>
      </c>
      <c r="AA206" s="1">
        <f>VLOOKUP(D206,[2]pareto!$D$12:$AX$306,45,0)</f>
        <v>3000</v>
      </c>
      <c r="AB206" s="1">
        <f>CEILING(W206,Z206)</f>
        <v>9000</v>
      </c>
      <c r="AC206" s="1">
        <f>VLOOKUP(D206,[2]pareto!$D$12:$AX$306,47,0)</f>
        <v>2.2581E-2</v>
      </c>
      <c r="AD206" s="1" t="s">
        <v>85</v>
      </c>
      <c r="AE206" s="1" t="s">
        <v>86</v>
      </c>
      <c r="AF206" s="19" t="s">
        <v>87</v>
      </c>
      <c r="AG206" s="1" t="s">
        <v>88</v>
      </c>
      <c r="BG206" s="8">
        <f>SUM($BB206,$AI206:AI206)-SUM($BY206:BZ206)</f>
        <v>0</v>
      </c>
      <c r="BH206" s="8">
        <f>SUM($BB206,$AI206:AJ206)-SUM($BY206:CA206)</f>
        <v>0</v>
      </c>
      <c r="BI206" s="8">
        <f>SUM($BB206,$AI206:AK206)-SUM($BY206:CB206)</f>
        <v>0</v>
      </c>
      <c r="BJ206" s="8">
        <f>SUM($BB206,$AI206:AL206)-SUM($BY206:CC206)</f>
        <v>0</v>
      </c>
      <c r="BK206" s="8">
        <f>SUM($BB206,$AI206:AM206)-SUM($BY206:CD206)</f>
        <v>0</v>
      </c>
      <c r="BL206" s="8">
        <f>SUM($BB206,$AI206:AN206)-SUM($BY206:CE206)</f>
        <v>0</v>
      </c>
      <c r="BM206" s="8">
        <f>SUM($BB206,$AI206:AO206)-SUM($BY206:CF206)</f>
        <v>0</v>
      </c>
      <c r="BN206" s="8">
        <f>SUM($BB206,$AI206:AP206)-SUM($BY206:CG206)</f>
        <v>-400</v>
      </c>
      <c r="BO206" s="8">
        <f>SUM($BB206,$AI206:AQ206)-SUM($BY206:CH206)</f>
        <v>-1000</v>
      </c>
      <c r="BP206" s="8">
        <f>SUM($BB206,$AI206:AR206)-SUM($BY206:CI206)</f>
        <v>-2000</v>
      </c>
      <c r="BQ206" s="8">
        <f>SUM($BB206,$AI206:AS206)-SUM($BY206:CJ206)</f>
        <v>-2800</v>
      </c>
      <c r="BR206" s="8">
        <f>SUM($BB206,$AI206:AT206)-SUM($BY206:CK206)</f>
        <v>-3600</v>
      </c>
      <c r="BS206" s="8">
        <f>SUM($BB206,$AI206:AU206)-SUM($BY206:CL206)</f>
        <v>-4400</v>
      </c>
      <c r="BT206" s="8">
        <f>SUM($BB206,$AI206:AV206)-SUM($BY206:CM206)</f>
        <v>-5600</v>
      </c>
      <c r="BU206" s="8">
        <f>SUM($BB206,$AI206:AW206)-SUM($BY206:CN206)</f>
        <v>-6640</v>
      </c>
      <c r="BV206" s="8">
        <f>SUM($BB206,$AI206:AX206)-SUM($BY206:CO206)</f>
        <v>-6640</v>
      </c>
      <c r="BW206" s="8">
        <f>SUM($BB206,$AI206:AY206)-SUM($BY206:CP206)</f>
        <v>-6640</v>
      </c>
      <c r="BX206" s="8">
        <f>SUM($BB206,$AI206:AZ206)-SUM($BY206:CQ206)</f>
        <v>-6640</v>
      </c>
      <c r="BY206" s="8" cm="1">
        <f t="array" ref="BY206">SUMPRODUCT(TRANSPOSE(BY$2:BY$15),$I206:$V206)</f>
        <v>0</v>
      </c>
      <c r="BZ206" s="8" cm="1">
        <f t="array" ref="BZ206">SUMPRODUCT(TRANSPOSE(BZ$2:BZ$15),$I206:$V206)</f>
        <v>0</v>
      </c>
      <c r="CA206" s="8" cm="1">
        <f t="array" ref="CA206">SUMPRODUCT(TRANSPOSE(CA$2:CA$15),$I206:$V206)</f>
        <v>0</v>
      </c>
      <c r="CB206" s="8" cm="1">
        <f t="array" ref="CB206">SUMPRODUCT(TRANSPOSE(CB$2:CB$15),$I206:$V206)</f>
        <v>0</v>
      </c>
      <c r="CC206" s="8" cm="1">
        <f t="array" ref="CC206">SUMPRODUCT(TRANSPOSE(CC$2:CC$15),$I206:$V206)</f>
        <v>0</v>
      </c>
      <c r="CD206" s="8" cm="1">
        <f t="array" ref="CD206">SUMPRODUCT(TRANSPOSE(CD$2:CD$15),$I206:$V206)</f>
        <v>0</v>
      </c>
      <c r="CE206" s="8" cm="1">
        <f t="array" ref="CE206">SUMPRODUCT(TRANSPOSE(CE$2:CE$15),$I206:$V206)</f>
        <v>0</v>
      </c>
      <c r="CF206" s="8" cm="1">
        <f t="array" ref="CF206">SUMPRODUCT(TRANSPOSE(CF$2:CF$15),$I206:$V206)</f>
        <v>0</v>
      </c>
      <c r="CG206" s="8" cm="1">
        <f t="array" ref="CG206">SUMPRODUCT(TRANSPOSE(CG$2:CG$15),$I206:$V206)</f>
        <v>400</v>
      </c>
      <c r="CH206" s="8" cm="1">
        <f t="array" ref="CH206">SUMPRODUCT(TRANSPOSE(CH$2:CH$15),$I206:$V206)</f>
        <v>600</v>
      </c>
      <c r="CI206" s="8" cm="1">
        <f t="array" ref="CI206">SUMPRODUCT(TRANSPOSE(CI$2:CI$15),$I206:$V206)</f>
        <v>1000</v>
      </c>
      <c r="CJ206" s="8" cm="1">
        <f t="array" ref="CJ206">SUMPRODUCT(TRANSPOSE(CJ$2:CJ$15),$I206:$V206)</f>
        <v>800</v>
      </c>
      <c r="CK206" s="8" cm="1">
        <f t="array" ref="CK206">SUMPRODUCT(TRANSPOSE(CK$2:CK$15),$I206:$V206)</f>
        <v>800</v>
      </c>
      <c r="CL206" s="8" cm="1">
        <f t="array" ref="CL206">SUMPRODUCT(TRANSPOSE(CL$2:CL$15),$I206:$V206)</f>
        <v>800</v>
      </c>
      <c r="CM206" s="8" cm="1">
        <f t="array" ref="CM206">SUMPRODUCT(TRANSPOSE(CM$2:CM$15),$I206:$V206)</f>
        <v>1200</v>
      </c>
      <c r="CN206" s="8" cm="1">
        <f t="array" ref="CN206">SUMPRODUCT(TRANSPOSE(CN$2:CN$15),$I206:$V206)</f>
        <v>1040</v>
      </c>
      <c r="CO206" s="8" cm="1">
        <f t="array" ref="CO206">SUMPRODUCT(TRANSPOSE(CO$2:CO$15),$I206:$V206)</f>
        <v>0</v>
      </c>
      <c r="CP206" s="8" cm="1">
        <f t="array" ref="CP206">SUMPRODUCT(TRANSPOSE(CP$2:CP$15),$I206:$V206)</f>
        <v>0</v>
      </c>
      <c r="CQ206" s="8" cm="1">
        <f t="array" ref="CQ206">SUMPRODUCT(TRANSPOSE(CQ$2:CQ$15),$I206:$V206)</f>
        <v>0</v>
      </c>
    </row>
    <row r="207" spans="1:95" x14ac:dyDescent="0.25">
      <c r="A207" s="1">
        <v>118</v>
      </c>
      <c r="B207" s="11" t="s">
        <v>547</v>
      </c>
      <c r="C207" s="1" t="s">
        <v>49</v>
      </c>
      <c r="D207" s="1">
        <v>400984937</v>
      </c>
      <c r="E207" s="6">
        <f>VLOOKUP(D207,FFF!$A$2:$B$674,2,)</f>
        <v>400326577</v>
      </c>
      <c r="F207" s="1" t="s">
        <v>548</v>
      </c>
      <c r="G207" s="1" t="s">
        <v>35</v>
      </c>
      <c r="H207" s="1">
        <v>16</v>
      </c>
      <c r="I207" s="1">
        <v>0</v>
      </c>
      <c r="J207" s="1">
        <v>0</v>
      </c>
      <c r="K207" s="1">
        <v>0</v>
      </c>
      <c r="L207" s="1">
        <v>0</v>
      </c>
      <c r="M207" s="1">
        <v>2</v>
      </c>
      <c r="N207" s="1">
        <v>0</v>
      </c>
      <c r="O207" s="1">
        <v>0</v>
      </c>
      <c r="P207" s="1">
        <v>0</v>
      </c>
      <c r="Q207" s="1">
        <v>12</v>
      </c>
      <c r="R207" s="1">
        <v>0</v>
      </c>
      <c r="S207" s="1">
        <v>0</v>
      </c>
      <c r="T207" s="1">
        <v>0</v>
      </c>
      <c r="U207" s="1">
        <v>0</v>
      </c>
      <c r="V207" s="1">
        <v>2</v>
      </c>
      <c r="W207" s="1">
        <f>SUMPRODUCT(I207:V207,$I$13:$V$13)</f>
        <v>26340</v>
      </c>
      <c r="X207" s="6">
        <f t="shared" si="4"/>
        <v>3.3695999999999997E-2</v>
      </c>
      <c r="Y207" s="1" t="str">
        <f>VLOOKUP(D207,[1]PARTS!$A$1:$G$65536,7,0)</f>
        <v>KEMET ELECTRONICS S A</v>
      </c>
      <c r="Z207" s="1">
        <f>VLOOKUP(D207,[2]pareto!$D$12:$AX$306,44,0)</f>
        <v>10000</v>
      </c>
      <c r="AA207" s="1">
        <f>VLOOKUP(D207,[2]pareto!$D$12:$AX$306,45,0)</f>
        <v>10000</v>
      </c>
      <c r="AB207" s="1">
        <f>CEILING(W207,Z207)</f>
        <v>30000</v>
      </c>
      <c r="AC207" s="1">
        <f>VLOOKUP(D207,[2]pareto!$D$12:$AX$306,47,0)</f>
        <v>2.1059999999999998E-3</v>
      </c>
      <c r="AD207" s="1" t="s">
        <v>85</v>
      </c>
      <c r="AE207" s="1" t="s">
        <v>86</v>
      </c>
      <c r="AF207" s="19" t="s">
        <v>87</v>
      </c>
      <c r="AG207" s="1" t="s">
        <v>88</v>
      </c>
      <c r="BG207" s="8">
        <f>SUM($BB207,$AI207:AI207)-SUM($BY207:BZ207)</f>
        <v>0</v>
      </c>
      <c r="BH207" s="8">
        <f>SUM($BB207,$AI207:AJ207)-SUM($BY207:CA207)</f>
        <v>0</v>
      </c>
      <c r="BI207" s="8">
        <f>SUM($BB207,$AI207:AK207)-SUM($BY207:CB207)</f>
        <v>0</v>
      </c>
      <c r="BJ207" s="8">
        <f>SUM($BB207,$AI207:AL207)-SUM($BY207:CC207)</f>
        <v>0</v>
      </c>
      <c r="BK207" s="8">
        <f>SUM($BB207,$AI207:AM207)-SUM($BY207:CD207)</f>
        <v>0</v>
      </c>
      <c r="BL207" s="8">
        <f>SUM($BB207,$AI207:AN207)-SUM($BY207:CE207)</f>
        <v>0</v>
      </c>
      <c r="BM207" s="8">
        <f>SUM($BB207,$AI207:AO207)-SUM($BY207:CF207)</f>
        <v>0</v>
      </c>
      <c r="BN207" s="8">
        <f>SUM($BB207,$AI207:AP207)-SUM($BY207:CG207)</f>
        <v>-1400</v>
      </c>
      <c r="BO207" s="8">
        <f>SUM($BB207,$AI207:AQ207)-SUM($BY207:CH207)</f>
        <v>-3700</v>
      </c>
      <c r="BP207" s="8">
        <f>SUM($BB207,$AI207:AR207)-SUM($BY207:CI207)</f>
        <v>-7500</v>
      </c>
      <c r="BQ207" s="8">
        <f>SUM($BB207,$AI207:AS207)-SUM($BY207:CJ207)</f>
        <v>-10840</v>
      </c>
      <c r="BR207" s="8">
        <f>SUM($BB207,$AI207:AT207)-SUM($BY207:CK207)</f>
        <v>-14040</v>
      </c>
      <c r="BS207" s="8">
        <f>SUM($BB207,$AI207:AU207)-SUM($BY207:CL207)</f>
        <v>-17140</v>
      </c>
      <c r="BT207" s="8">
        <f>SUM($BB207,$AI207:AV207)-SUM($BY207:CM207)</f>
        <v>-21620</v>
      </c>
      <c r="BU207" s="8">
        <f>SUM($BB207,$AI207:AW207)-SUM($BY207:CN207)</f>
        <v>-25820</v>
      </c>
      <c r="BV207" s="8">
        <f>SUM($BB207,$AI207:AX207)-SUM($BY207:CO207)</f>
        <v>-26340</v>
      </c>
      <c r="BW207" s="8">
        <f>SUM($BB207,$AI207:AY207)-SUM($BY207:CP207)</f>
        <v>-26340</v>
      </c>
      <c r="BX207" s="8">
        <f>SUM($BB207,$AI207:AZ207)-SUM($BY207:CQ207)</f>
        <v>-26340</v>
      </c>
      <c r="BY207" s="8" cm="1">
        <f t="array" ref="BY207">SUMPRODUCT(TRANSPOSE(BY$2:BY$15),$I207:$V207)</f>
        <v>0</v>
      </c>
      <c r="BZ207" s="8" cm="1">
        <f t="array" ref="BZ207">SUMPRODUCT(TRANSPOSE(BZ$2:BZ$15),$I207:$V207)</f>
        <v>0</v>
      </c>
      <c r="CA207" s="8" cm="1">
        <f t="array" ref="CA207">SUMPRODUCT(TRANSPOSE(CA$2:CA$15),$I207:$V207)</f>
        <v>0</v>
      </c>
      <c r="CB207" s="8" cm="1">
        <f t="array" ref="CB207">SUMPRODUCT(TRANSPOSE(CB$2:CB$15),$I207:$V207)</f>
        <v>0</v>
      </c>
      <c r="CC207" s="8" cm="1">
        <f t="array" ref="CC207">SUMPRODUCT(TRANSPOSE(CC$2:CC$15),$I207:$V207)</f>
        <v>0</v>
      </c>
      <c r="CD207" s="8" cm="1">
        <f t="array" ref="CD207">SUMPRODUCT(TRANSPOSE(CD$2:CD$15),$I207:$V207)</f>
        <v>0</v>
      </c>
      <c r="CE207" s="8" cm="1">
        <f t="array" ref="CE207">SUMPRODUCT(TRANSPOSE(CE$2:CE$15),$I207:$V207)</f>
        <v>0</v>
      </c>
      <c r="CF207" s="8" cm="1">
        <f t="array" ref="CF207">SUMPRODUCT(TRANSPOSE(CF$2:CF$15),$I207:$V207)</f>
        <v>0</v>
      </c>
      <c r="CG207" s="8" cm="1">
        <f t="array" ref="CG207">SUMPRODUCT(TRANSPOSE(CG$2:CG$15),$I207:$V207)</f>
        <v>1400</v>
      </c>
      <c r="CH207" s="8" cm="1">
        <f t="array" ref="CH207">SUMPRODUCT(TRANSPOSE(CH$2:CH$15),$I207:$V207)</f>
        <v>2300</v>
      </c>
      <c r="CI207" s="8" cm="1">
        <f t="array" ref="CI207">SUMPRODUCT(TRANSPOSE(CI$2:CI$15),$I207:$V207)</f>
        <v>3800</v>
      </c>
      <c r="CJ207" s="8" cm="1">
        <f t="array" ref="CJ207">SUMPRODUCT(TRANSPOSE(CJ$2:CJ$15),$I207:$V207)</f>
        <v>3340</v>
      </c>
      <c r="CK207" s="8" cm="1">
        <f t="array" ref="CK207">SUMPRODUCT(TRANSPOSE(CK$2:CK$15),$I207:$V207)</f>
        <v>3200</v>
      </c>
      <c r="CL207" s="8" cm="1">
        <f t="array" ref="CL207">SUMPRODUCT(TRANSPOSE(CL$2:CL$15),$I207:$V207)</f>
        <v>3100</v>
      </c>
      <c r="CM207" s="8" cm="1">
        <f t="array" ref="CM207">SUMPRODUCT(TRANSPOSE(CM$2:CM$15),$I207:$V207)</f>
        <v>4480</v>
      </c>
      <c r="CN207" s="8" cm="1">
        <f t="array" ref="CN207">SUMPRODUCT(TRANSPOSE(CN$2:CN$15),$I207:$V207)</f>
        <v>4200</v>
      </c>
      <c r="CO207" s="8" cm="1">
        <f t="array" ref="CO207">SUMPRODUCT(TRANSPOSE(CO$2:CO$15),$I207:$V207)</f>
        <v>520</v>
      </c>
      <c r="CP207" s="8" cm="1">
        <f t="array" ref="CP207">SUMPRODUCT(TRANSPOSE(CP$2:CP$15),$I207:$V207)</f>
        <v>0</v>
      </c>
      <c r="CQ207" s="8" cm="1">
        <f t="array" ref="CQ207">SUMPRODUCT(TRANSPOSE(CQ$2:CQ$15),$I207:$V207)</f>
        <v>0</v>
      </c>
    </row>
    <row r="208" spans="1:95" x14ac:dyDescent="0.25">
      <c r="A208" s="1">
        <v>127</v>
      </c>
      <c r="B208" s="11" t="s">
        <v>549</v>
      </c>
      <c r="C208" s="1" t="s">
        <v>49</v>
      </c>
      <c r="D208" s="1">
        <v>400713754</v>
      </c>
      <c r="E208" s="6">
        <f>VLOOKUP(D208,FFF!$A$2:$B$674,2,)</f>
        <v>400481229</v>
      </c>
      <c r="F208" s="1" t="s">
        <v>550</v>
      </c>
      <c r="G208" s="1" t="s">
        <v>35</v>
      </c>
      <c r="H208" s="1">
        <v>14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14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f>SUMPRODUCT(I208:V208,$I$13:$V$13)</f>
        <v>23240</v>
      </c>
      <c r="X208" s="6">
        <f t="shared" si="4"/>
        <v>0.12612599999999999</v>
      </c>
      <c r="Y208" s="1" t="str">
        <f>VLOOKUP(D208,[1]PARTS!$A$1:$G$65536,7,0)</f>
        <v>KEMET ELECTRONICS S A</v>
      </c>
      <c r="Z208" s="1">
        <f>VLOOKUP(D208,[2]pareto!$D$12:$AX$306,44,0)</f>
        <v>4000</v>
      </c>
      <c r="AA208" s="1">
        <f>VLOOKUP(D208,[2]pareto!$D$12:$AX$306,45,0)</f>
        <v>4000</v>
      </c>
      <c r="AB208" s="1">
        <f>CEILING(W208,Z208)</f>
        <v>24000</v>
      </c>
      <c r="AC208" s="1">
        <f>VLOOKUP(D208,[2]pareto!$D$12:$AX$306,47,0)</f>
        <v>9.0089999999999996E-3</v>
      </c>
      <c r="AD208" s="1" t="s">
        <v>85</v>
      </c>
      <c r="AE208" s="1" t="s">
        <v>86</v>
      </c>
      <c r="AF208" s="19" t="s">
        <v>87</v>
      </c>
      <c r="AG208" s="1" t="s">
        <v>88</v>
      </c>
      <c r="BG208" s="8">
        <f>SUM($BB208,$AI208:AI208)-SUM($BY208:BZ208)</f>
        <v>0</v>
      </c>
      <c r="BH208" s="8">
        <f>SUM($BB208,$AI208:AJ208)-SUM($BY208:CA208)</f>
        <v>0</v>
      </c>
      <c r="BI208" s="8">
        <f>SUM($BB208,$AI208:AK208)-SUM($BY208:CB208)</f>
        <v>0</v>
      </c>
      <c r="BJ208" s="8">
        <f>SUM($BB208,$AI208:AL208)-SUM($BY208:CC208)</f>
        <v>0</v>
      </c>
      <c r="BK208" s="8">
        <f>SUM($BB208,$AI208:AM208)-SUM($BY208:CD208)</f>
        <v>0</v>
      </c>
      <c r="BL208" s="8">
        <f>SUM($BB208,$AI208:AN208)-SUM($BY208:CE208)</f>
        <v>0</v>
      </c>
      <c r="BM208" s="8">
        <f>SUM($BB208,$AI208:AO208)-SUM($BY208:CF208)</f>
        <v>0</v>
      </c>
      <c r="BN208" s="8">
        <f>SUM($BB208,$AI208:AP208)-SUM($BY208:CG208)</f>
        <v>-1400</v>
      </c>
      <c r="BO208" s="8">
        <f>SUM($BB208,$AI208:AQ208)-SUM($BY208:CH208)</f>
        <v>-3500</v>
      </c>
      <c r="BP208" s="8">
        <f>SUM($BB208,$AI208:AR208)-SUM($BY208:CI208)</f>
        <v>-7000</v>
      </c>
      <c r="BQ208" s="8">
        <f>SUM($BB208,$AI208:AS208)-SUM($BY208:CJ208)</f>
        <v>-9800</v>
      </c>
      <c r="BR208" s="8">
        <f>SUM($BB208,$AI208:AT208)-SUM($BY208:CK208)</f>
        <v>-12600</v>
      </c>
      <c r="BS208" s="8">
        <f>SUM($BB208,$AI208:AU208)-SUM($BY208:CL208)</f>
        <v>-15400</v>
      </c>
      <c r="BT208" s="8">
        <f>SUM($BB208,$AI208:AV208)-SUM($BY208:CM208)</f>
        <v>-19600</v>
      </c>
      <c r="BU208" s="8">
        <f>SUM($BB208,$AI208:AW208)-SUM($BY208:CN208)</f>
        <v>-23240</v>
      </c>
      <c r="BV208" s="8">
        <f>SUM($BB208,$AI208:AX208)-SUM($BY208:CO208)</f>
        <v>-23240</v>
      </c>
      <c r="BW208" s="8">
        <f>SUM($BB208,$AI208:AY208)-SUM($BY208:CP208)</f>
        <v>-23240</v>
      </c>
      <c r="BX208" s="8">
        <f>SUM($BB208,$AI208:AZ208)-SUM($BY208:CQ208)</f>
        <v>-23240</v>
      </c>
      <c r="BY208" s="8" cm="1">
        <f t="array" ref="BY208">SUMPRODUCT(TRANSPOSE(BY$2:BY$15),$I208:$V208)</f>
        <v>0</v>
      </c>
      <c r="BZ208" s="8" cm="1">
        <f t="array" ref="BZ208">SUMPRODUCT(TRANSPOSE(BZ$2:BZ$15),$I208:$V208)</f>
        <v>0</v>
      </c>
      <c r="CA208" s="8" cm="1">
        <f t="array" ref="CA208">SUMPRODUCT(TRANSPOSE(CA$2:CA$15),$I208:$V208)</f>
        <v>0</v>
      </c>
      <c r="CB208" s="8" cm="1">
        <f t="array" ref="CB208">SUMPRODUCT(TRANSPOSE(CB$2:CB$15),$I208:$V208)</f>
        <v>0</v>
      </c>
      <c r="CC208" s="8" cm="1">
        <f t="array" ref="CC208">SUMPRODUCT(TRANSPOSE(CC$2:CC$15),$I208:$V208)</f>
        <v>0</v>
      </c>
      <c r="CD208" s="8" cm="1">
        <f t="array" ref="CD208">SUMPRODUCT(TRANSPOSE(CD$2:CD$15),$I208:$V208)</f>
        <v>0</v>
      </c>
      <c r="CE208" s="8" cm="1">
        <f t="array" ref="CE208">SUMPRODUCT(TRANSPOSE(CE$2:CE$15),$I208:$V208)</f>
        <v>0</v>
      </c>
      <c r="CF208" s="8" cm="1">
        <f t="array" ref="CF208">SUMPRODUCT(TRANSPOSE(CF$2:CF$15),$I208:$V208)</f>
        <v>0</v>
      </c>
      <c r="CG208" s="8" cm="1">
        <f t="array" ref="CG208">SUMPRODUCT(TRANSPOSE(CG$2:CG$15),$I208:$V208)</f>
        <v>1400</v>
      </c>
      <c r="CH208" s="8" cm="1">
        <f t="array" ref="CH208">SUMPRODUCT(TRANSPOSE(CH$2:CH$15),$I208:$V208)</f>
        <v>2100</v>
      </c>
      <c r="CI208" s="8" cm="1">
        <f t="array" ref="CI208">SUMPRODUCT(TRANSPOSE(CI$2:CI$15),$I208:$V208)</f>
        <v>3500</v>
      </c>
      <c r="CJ208" s="8" cm="1">
        <f t="array" ref="CJ208">SUMPRODUCT(TRANSPOSE(CJ$2:CJ$15),$I208:$V208)</f>
        <v>2800</v>
      </c>
      <c r="CK208" s="8" cm="1">
        <f t="array" ref="CK208">SUMPRODUCT(TRANSPOSE(CK$2:CK$15),$I208:$V208)</f>
        <v>2800</v>
      </c>
      <c r="CL208" s="8" cm="1">
        <f t="array" ref="CL208">SUMPRODUCT(TRANSPOSE(CL$2:CL$15),$I208:$V208)</f>
        <v>2800</v>
      </c>
      <c r="CM208" s="8" cm="1">
        <f t="array" ref="CM208">SUMPRODUCT(TRANSPOSE(CM$2:CM$15),$I208:$V208)</f>
        <v>4200</v>
      </c>
      <c r="CN208" s="8" cm="1">
        <f t="array" ref="CN208">SUMPRODUCT(TRANSPOSE(CN$2:CN$15),$I208:$V208)</f>
        <v>3640</v>
      </c>
      <c r="CO208" s="8" cm="1">
        <f t="array" ref="CO208">SUMPRODUCT(TRANSPOSE(CO$2:CO$15),$I208:$V208)</f>
        <v>0</v>
      </c>
      <c r="CP208" s="8" cm="1">
        <f t="array" ref="CP208">SUMPRODUCT(TRANSPOSE(CP$2:CP$15),$I208:$V208)</f>
        <v>0</v>
      </c>
      <c r="CQ208" s="8" cm="1">
        <f t="array" ref="CQ208">SUMPRODUCT(TRANSPOSE(CQ$2:CQ$15),$I208:$V208)</f>
        <v>0</v>
      </c>
    </row>
    <row r="209" spans="1:95" x14ac:dyDescent="0.25">
      <c r="A209" s="1">
        <v>117</v>
      </c>
      <c r="B209" s="11" t="s">
        <v>551</v>
      </c>
      <c r="C209" s="1" t="s">
        <v>49</v>
      </c>
      <c r="D209" s="1">
        <v>400536577</v>
      </c>
      <c r="E209" s="6">
        <f>VLOOKUP(D209,FFF!$A$2:$B$674,2,)</f>
        <v>400326574</v>
      </c>
      <c r="F209" s="1" t="s">
        <v>552</v>
      </c>
      <c r="G209" s="1" t="s">
        <v>35</v>
      </c>
      <c r="H209" s="1">
        <v>14</v>
      </c>
      <c r="I209" s="1">
        <v>0</v>
      </c>
      <c r="J209" s="1">
        <v>0</v>
      </c>
      <c r="K209" s="1">
        <v>0</v>
      </c>
      <c r="L209" s="1">
        <v>6</v>
      </c>
      <c r="M209" s="1">
        <v>0</v>
      </c>
      <c r="N209" s="1">
        <v>0</v>
      </c>
      <c r="O209" s="1">
        <v>0</v>
      </c>
      <c r="P209" s="1">
        <v>0</v>
      </c>
      <c r="Q209" s="1">
        <v>8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f>SUMPRODUCT(I209:V209,$I$13:$V$13)</f>
        <v>22580</v>
      </c>
      <c r="X209" s="6">
        <f t="shared" si="4"/>
        <v>3.7673999999999999E-2</v>
      </c>
      <c r="Y209" s="1" t="str">
        <f>VLOOKUP(D209,[1]PARTS!$A$1:$G$65536,7,0)</f>
        <v>KEMET ELECTRONICS S A</v>
      </c>
      <c r="Z209" s="1">
        <f>VLOOKUP(D209,[2]pareto!$D$12:$AX$306,44,0)</f>
        <v>10000</v>
      </c>
      <c r="AA209" s="1">
        <f>VLOOKUP(D209,[2]pareto!$D$12:$AX$306,45,0)</f>
        <v>10000</v>
      </c>
      <c r="AB209" s="1">
        <f>CEILING(W209,Z209)</f>
        <v>30000</v>
      </c>
      <c r="AC209" s="1">
        <f>VLOOKUP(D209,[2]pareto!$D$12:$AX$306,47,0)</f>
        <v>2.6909999999999998E-3</v>
      </c>
      <c r="AD209" s="1" t="s">
        <v>85</v>
      </c>
      <c r="AE209" s="1" t="s">
        <v>86</v>
      </c>
      <c r="AF209" s="19" t="s">
        <v>87</v>
      </c>
      <c r="AG209" s="1" t="s">
        <v>88</v>
      </c>
      <c r="BG209" s="8">
        <f>SUM($BB209,$AI209:AI209)-SUM($BY209:BZ209)</f>
        <v>0</v>
      </c>
      <c r="BH209" s="8">
        <f>SUM($BB209,$AI209:AJ209)-SUM($BY209:CA209)</f>
        <v>0</v>
      </c>
      <c r="BI209" s="8">
        <f>SUM($BB209,$AI209:AK209)-SUM($BY209:CB209)</f>
        <v>0</v>
      </c>
      <c r="BJ209" s="8">
        <f>SUM($BB209,$AI209:AL209)-SUM($BY209:CC209)</f>
        <v>0</v>
      </c>
      <c r="BK209" s="8">
        <f>SUM($BB209,$AI209:AM209)-SUM($BY209:CD209)</f>
        <v>0</v>
      </c>
      <c r="BL209" s="8">
        <f>SUM($BB209,$AI209:AN209)-SUM($BY209:CE209)</f>
        <v>0</v>
      </c>
      <c r="BM209" s="8">
        <f>SUM($BB209,$AI209:AO209)-SUM($BY209:CF209)</f>
        <v>0</v>
      </c>
      <c r="BN209" s="8">
        <f>SUM($BB209,$AI209:AP209)-SUM($BY209:CG209)</f>
        <v>-1400</v>
      </c>
      <c r="BO209" s="8">
        <f>SUM($BB209,$AI209:AQ209)-SUM($BY209:CH209)</f>
        <v>-3500</v>
      </c>
      <c r="BP209" s="8">
        <f>SUM($BB209,$AI209:AR209)-SUM($BY209:CI209)</f>
        <v>-7000</v>
      </c>
      <c r="BQ209" s="8">
        <f>SUM($BB209,$AI209:AS209)-SUM($BY209:CJ209)</f>
        <v>-9920</v>
      </c>
      <c r="BR209" s="8">
        <f>SUM($BB209,$AI209:AT209)-SUM($BY209:CK209)</f>
        <v>-12720</v>
      </c>
      <c r="BS209" s="8">
        <f>SUM($BB209,$AI209:AU209)-SUM($BY209:CL209)</f>
        <v>-15220</v>
      </c>
      <c r="BT209" s="8">
        <f>SUM($BB209,$AI209:AV209)-SUM($BY209:CM209)</f>
        <v>-19060</v>
      </c>
      <c r="BU209" s="8">
        <f>SUM($BB209,$AI209:AW209)-SUM($BY209:CN209)</f>
        <v>-22580</v>
      </c>
      <c r="BV209" s="8">
        <f>SUM($BB209,$AI209:AX209)-SUM($BY209:CO209)</f>
        <v>-22580</v>
      </c>
      <c r="BW209" s="8">
        <f>SUM($BB209,$AI209:AY209)-SUM($BY209:CP209)</f>
        <v>-22580</v>
      </c>
      <c r="BX209" s="8">
        <f>SUM($BB209,$AI209:AZ209)-SUM($BY209:CQ209)</f>
        <v>-22580</v>
      </c>
      <c r="BY209" s="8" cm="1">
        <f t="array" ref="BY209">SUMPRODUCT(TRANSPOSE(BY$2:BY$15),$I209:$V209)</f>
        <v>0</v>
      </c>
      <c r="BZ209" s="8" cm="1">
        <f t="array" ref="BZ209">SUMPRODUCT(TRANSPOSE(BZ$2:BZ$15),$I209:$V209)</f>
        <v>0</v>
      </c>
      <c r="CA209" s="8" cm="1">
        <f t="array" ref="CA209">SUMPRODUCT(TRANSPOSE(CA$2:CA$15),$I209:$V209)</f>
        <v>0</v>
      </c>
      <c r="CB209" s="8" cm="1">
        <f t="array" ref="CB209">SUMPRODUCT(TRANSPOSE(CB$2:CB$15),$I209:$V209)</f>
        <v>0</v>
      </c>
      <c r="CC209" s="8" cm="1">
        <f t="array" ref="CC209">SUMPRODUCT(TRANSPOSE(CC$2:CC$15),$I209:$V209)</f>
        <v>0</v>
      </c>
      <c r="CD209" s="8" cm="1">
        <f t="array" ref="CD209">SUMPRODUCT(TRANSPOSE(CD$2:CD$15),$I209:$V209)</f>
        <v>0</v>
      </c>
      <c r="CE209" s="8" cm="1">
        <f t="array" ref="CE209">SUMPRODUCT(TRANSPOSE(CE$2:CE$15),$I209:$V209)</f>
        <v>0</v>
      </c>
      <c r="CF209" s="8" cm="1">
        <f t="array" ref="CF209">SUMPRODUCT(TRANSPOSE(CF$2:CF$15),$I209:$V209)</f>
        <v>0</v>
      </c>
      <c r="CG209" s="8" cm="1">
        <f t="array" ref="CG209">SUMPRODUCT(TRANSPOSE(CG$2:CG$15),$I209:$V209)</f>
        <v>1400</v>
      </c>
      <c r="CH209" s="8" cm="1">
        <f t="array" ref="CH209">SUMPRODUCT(TRANSPOSE(CH$2:CH$15),$I209:$V209)</f>
        <v>2100</v>
      </c>
      <c r="CI209" s="8" cm="1">
        <f t="array" ref="CI209">SUMPRODUCT(TRANSPOSE(CI$2:CI$15),$I209:$V209)</f>
        <v>3500</v>
      </c>
      <c r="CJ209" s="8" cm="1">
        <f t="array" ref="CJ209">SUMPRODUCT(TRANSPOSE(CJ$2:CJ$15),$I209:$V209)</f>
        <v>2920</v>
      </c>
      <c r="CK209" s="8" cm="1">
        <f t="array" ref="CK209">SUMPRODUCT(TRANSPOSE(CK$2:CK$15),$I209:$V209)</f>
        <v>2800</v>
      </c>
      <c r="CL209" s="8" cm="1">
        <f t="array" ref="CL209">SUMPRODUCT(TRANSPOSE(CL$2:CL$15),$I209:$V209)</f>
        <v>2500</v>
      </c>
      <c r="CM209" s="8" cm="1">
        <f t="array" ref="CM209">SUMPRODUCT(TRANSPOSE(CM$2:CM$15),$I209:$V209)</f>
        <v>3840</v>
      </c>
      <c r="CN209" s="8" cm="1">
        <f t="array" ref="CN209">SUMPRODUCT(TRANSPOSE(CN$2:CN$15),$I209:$V209)</f>
        <v>3520</v>
      </c>
      <c r="CO209" s="8" cm="1">
        <f t="array" ref="CO209">SUMPRODUCT(TRANSPOSE(CO$2:CO$15),$I209:$V209)</f>
        <v>0</v>
      </c>
      <c r="CP209" s="8" cm="1">
        <f t="array" ref="CP209">SUMPRODUCT(TRANSPOSE(CP$2:CP$15),$I209:$V209)</f>
        <v>0</v>
      </c>
      <c r="CQ209" s="8" cm="1">
        <f t="array" ref="CQ209">SUMPRODUCT(TRANSPOSE(CQ$2:CQ$15),$I209:$V209)</f>
        <v>0</v>
      </c>
    </row>
    <row r="210" spans="1:95" x14ac:dyDescent="0.25">
      <c r="A210" s="1">
        <v>268</v>
      </c>
      <c r="B210" s="11" t="s">
        <v>553</v>
      </c>
      <c r="C210" s="1" t="s">
        <v>49</v>
      </c>
      <c r="D210" s="1">
        <v>521633578</v>
      </c>
      <c r="E210" s="6"/>
      <c r="F210" s="1" t="s">
        <v>554</v>
      </c>
      <c r="G210" s="1" t="s">
        <v>35</v>
      </c>
      <c r="H210" s="1">
        <v>4</v>
      </c>
      <c r="I210" s="1">
        <v>0</v>
      </c>
      <c r="J210" s="1">
        <v>2</v>
      </c>
      <c r="K210" s="1">
        <v>0</v>
      </c>
      <c r="L210" s="1">
        <v>0</v>
      </c>
      <c r="M210" s="1">
        <v>0</v>
      </c>
      <c r="N210" s="1">
        <v>0</v>
      </c>
      <c r="O210" s="1">
        <v>2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f>SUMPRODUCT(I210:V210,$I$13:$V$13)</f>
        <v>6420</v>
      </c>
      <c r="X210" s="6">
        <f t="shared" si="4"/>
        <v>0.20399999999999999</v>
      </c>
      <c r="Y210" s="1" t="str">
        <f>VLOOKUP(D210,[1]PARTS!$A$1:$G$65536,7,0)</f>
        <v>NAS/NASM NATIONAL AEROSPACE STD</v>
      </c>
      <c r="Z210" s="1">
        <v>1</v>
      </c>
      <c r="AA210" s="1">
        <f>CEILING(W210,Z210)</f>
        <v>6420</v>
      </c>
      <c r="AB210" s="1">
        <f>CEILING(W210,Z210)</f>
        <v>6420</v>
      </c>
      <c r="AC210" s="1">
        <f>VLOOKUP(D210,[2]pareto!$D$12:$AX$306,47,0)</f>
        <v>5.0999999999999997E-2</v>
      </c>
      <c r="AD210" s="1" t="str">
        <f>VLOOKUP(D210,[2]pareto!$D$11:$BD$306,50,0)</f>
        <v>KAYTECH</v>
      </c>
      <c r="AE210" s="1" t="s">
        <v>325</v>
      </c>
      <c r="AF210" s="19" t="s">
        <v>326</v>
      </c>
      <c r="AG210" s="1" t="s">
        <v>327</v>
      </c>
      <c r="BG210" s="8">
        <f>SUM($BB210,$AI210:AI210)-SUM($BY210:BZ210)</f>
        <v>0</v>
      </c>
      <c r="BH210" s="8">
        <f>SUM($BB210,$AI210:AJ210)-SUM($BY210:CA210)</f>
        <v>0</v>
      </c>
      <c r="BI210" s="8">
        <f>SUM($BB210,$AI210:AK210)-SUM($BY210:CB210)</f>
        <v>0</v>
      </c>
      <c r="BJ210" s="8">
        <f>SUM($BB210,$AI210:AL210)-SUM($BY210:CC210)</f>
        <v>0</v>
      </c>
      <c r="BK210" s="8">
        <f>SUM($BB210,$AI210:AM210)-SUM($BY210:CD210)</f>
        <v>0</v>
      </c>
      <c r="BL210" s="8">
        <f>SUM($BB210,$AI210:AN210)-SUM($BY210:CE210)</f>
        <v>0</v>
      </c>
      <c r="BM210" s="8">
        <f>SUM($BB210,$AI210:AO210)-SUM($BY210:CF210)</f>
        <v>0</v>
      </c>
      <c r="BN210" s="8">
        <f>SUM($BB210,$AI210:AP210)-SUM($BY210:CG210)</f>
        <v>0</v>
      </c>
      <c r="BO210" s="8">
        <f>SUM($BB210,$AI210:AQ210)-SUM($BY210:CH210)</f>
        <v>0</v>
      </c>
      <c r="BP210" s="8">
        <f>SUM($BB210,$AI210:AR210)-SUM($BY210:CI210)</f>
        <v>-400</v>
      </c>
      <c r="BQ210" s="8">
        <f>SUM($BB210,$AI210:AS210)-SUM($BY210:CJ210)</f>
        <v>-1000</v>
      </c>
      <c r="BR210" s="8">
        <f>SUM($BB210,$AI210:AT210)-SUM($BY210:CK210)</f>
        <v>-2000</v>
      </c>
      <c r="BS210" s="8">
        <f>SUM($BB210,$AI210:AU210)-SUM($BY210:CL210)</f>
        <v>-2840</v>
      </c>
      <c r="BT210" s="8">
        <f>SUM($BB210,$AI210:AV210)-SUM($BY210:CM210)</f>
        <v>-3640</v>
      </c>
      <c r="BU210" s="8">
        <f>SUM($BB210,$AI210:AW210)-SUM($BY210:CN210)</f>
        <v>-4340</v>
      </c>
      <c r="BV210" s="8">
        <f>SUM($BB210,$AI210:AX210)-SUM($BY210:CO210)</f>
        <v>-5420</v>
      </c>
      <c r="BW210" s="8">
        <f>SUM($BB210,$AI210:AY210)-SUM($BY210:CP210)</f>
        <v>-6420</v>
      </c>
      <c r="BX210" s="8">
        <f>SUM($BB210,$AI210:AZ210)-SUM($BY210:CQ210)</f>
        <v>-6420</v>
      </c>
      <c r="BY210" s="8" cm="1">
        <f t="array" ref="BY210">SUMPRODUCT(TRANSPOSE(BY$2:BY$15),$I210:$V210)</f>
        <v>0</v>
      </c>
      <c r="BZ210" s="8" cm="1">
        <f t="array" ref="BZ210">SUMPRODUCT(TRANSPOSE(BZ$2:BZ$15),$I210:$V210)</f>
        <v>0</v>
      </c>
      <c r="CA210" s="8" cm="1">
        <f t="array" ref="CA210">SUMPRODUCT(TRANSPOSE(CA$2:CA$15),$I210:$V210)</f>
        <v>0</v>
      </c>
      <c r="CB210" s="8" cm="1">
        <f t="array" ref="CB210">SUMPRODUCT(TRANSPOSE(CB$2:CB$15),$I210:$V210)</f>
        <v>0</v>
      </c>
      <c r="CC210" s="8" cm="1">
        <f t="array" ref="CC210">SUMPRODUCT(TRANSPOSE(CC$2:CC$15),$I210:$V210)</f>
        <v>0</v>
      </c>
      <c r="CD210" s="8" cm="1">
        <f t="array" ref="CD210">SUMPRODUCT(TRANSPOSE(CD$2:CD$15),$I210:$V210)</f>
        <v>0</v>
      </c>
      <c r="CE210" s="8" cm="1">
        <f t="array" ref="CE210">SUMPRODUCT(TRANSPOSE(CE$2:CE$15),$I210:$V210)</f>
        <v>0</v>
      </c>
      <c r="CF210" s="8" cm="1">
        <f t="array" ref="CF210">SUMPRODUCT(TRANSPOSE(CF$2:CF$15),$I210:$V210)</f>
        <v>0</v>
      </c>
      <c r="CG210" s="8" cm="1">
        <f t="array" ref="CG210">SUMPRODUCT(TRANSPOSE(CG$2:CG$15),$I210:$V210)</f>
        <v>0</v>
      </c>
      <c r="CH210" s="8" cm="1">
        <f t="array" ref="CH210">SUMPRODUCT(TRANSPOSE(CH$2:CH$15),$I210:$V210)</f>
        <v>0</v>
      </c>
      <c r="CI210" s="8" cm="1">
        <f t="array" ref="CI210">SUMPRODUCT(TRANSPOSE(CI$2:CI$15),$I210:$V210)</f>
        <v>400</v>
      </c>
      <c r="CJ210" s="8" cm="1">
        <f t="array" ref="CJ210">SUMPRODUCT(TRANSPOSE(CJ$2:CJ$15),$I210:$V210)</f>
        <v>600</v>
      </c>
      <c r="CK210" s="8" cm="1">
        <f t="array" ref="CK210">SUMPRODUCT(TRANSPOSE(CK$2:CK$15),$I210:$V210)</f>
        <v>1000</v>
      </c>
      <c r="CL210" s="8" cm="1">
        <f t="array" ref="CL210">SUMPRODUCT(TRANSPOSE(CL$2:CL$15),$I210:$V210)</f>
        <v>840</v>
      </c>
      <c r="CM210" s="8" cm="1">
        <f t="array" ref="CM210">SUMPRODUCT(TRANSPOSE(CM$2:CM$15),$I210:$V210)</f>
        <v>800</v>
      </c>
      <c r="CN210" s="8" cm="1">
        <f t="array" ref="CN210">SUMPRODUCT(TRANSPOSE(CN$2:CN$15),$I210:$V210)</f>
        <v>700</v>
      </c>
      <c r="CO210" s="8" cm="1">
        <f t="array" ref="CO210">SUMPRODUCT(TRANSPOSE(CO$2:CO$15),$I210:$V210)</f>
        <v>1080</v>
      </c>
      <c r="CP210" s="8" cm="1">
        <f t="array" ref="CP210">SUMPRODUCT(TRANSPOSE(CP$2:CP$15),$I210:$V210)</f>
        <v>1000</v>
      </c>
      <c r="CQ210" s="8" cm="1">
        <f t="array" ref="CQ210">SUMPRODUCT(TRANSPOSE(CQ$2:CQ$15),$I210:$V210)</f>
        <v>0</v>
      </c>
    </row>
    <row r="211" spans="1:95" x14ac:dyDescent="0.25">
      <c r="A211" s="1">
        <v>271</v>
      </c>
      <c r="B211" s="11" t="s">
        <v>555</v>
      </c>
      <c r="C211" s="1" t="s">
        <v>164</v>
      </c>
      <c r="D211" s="1">
        <v>407374949</v>
      </c>
      <c r="E211" s="6">
        <f>VLOOKUP(D211,FFF!$A$2:$B$674,2,)</f>
        <v>400525702</v>
      </c>
      <c r="F211" s="1" t="s">
        <v>546</v>
      </c>
      <c r="G211" s="1" t="s">
        <v>35</v>
      </c>
      <c r="H211" s="1">
        <v>2</v>
      </c>
      <c r="I211" s="1">
        <v>0</v>
      </c>
      <c r="J211" s="1">
        <v>0</v>
      </c>
      <c r="K211" s="1">
        <v>0</v>
      </c>
      <c r="L211" s="1">
        <v>2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f>SUMPRODUCT(I211:V211,$I$13:$V$13)</f>
        <v>3100</v>
      </c>
      <c r="X211" s="6">
        <f t="shared" ref="X211:X274" si="5">SUM(I211:V211)*AC211</f>
        <v>8.3519999999999997E-2</v>
      </c>
      <c r="Y211" s="1" t="str">
        <f>VLOOKUP(D211,[1]PARTS!$A$1:$G$65536,7,0)</f>
        <v>ON SEMICONDUCTOR</v>
      </c>
      <c r="Z211" s="1">
        <v>3000</v>
      </c>
      <c r="AA211" s="1">
        <v>3000</v>
      </c>
      <c r="AB211" s="1">
        <f>CEILING(W211,Z211)</f>
        <v>6000</v>
      </c>
      <c r="AC211" s="1">
        <v>4.1759999999999999E-2</v>
      </c>
      <c r="AD211" s="1" t="s">
        <v>85</v>
      </c>
      <c r="AE211" s="1" t="s">
        <v>86</v>
      </c>
      <c r="AF211" s="19" t="s">
        <v>87</v>
      </c>
      <c r="AG211" s="1" t="s">
        <v>88</v>
      </c>
      <c r="BG211" s="8">
        <f>SUM($BB211,$AI211:AI211)-SUM($BY211:BZ211)</f>
        <v>0</v>
      </c>
      <c r="BH211" s="8">
        <f>SUM($BB211,$AI211:AJ211)-SUM($BY211:CA211)</f>
        <v>0</v>
      </c>
      <c r="BI211" s="8">
        <f>SUM($BB211,$AI211:AK211)-SUM($BY211:CB211)</f>
        <v>0</v>
      </c>
      <c r="BJ211" s="8">
        <f>SUM($BB211,$AI211:AL211)-SUM($BY211:CC211)</f>
        <v>0</v>
      </c>
      <c r="BK211" s="8">
        <f>SUM($BB211,$AI211:AM211)-SUM($BY211:CD211)</f>
        <v>0</v>
      </c>
      <c r="BL211" s="8">
        <f>SUM($BB211,$AI211:AN211)-SUM($BY211:CE211)</f>
        <v>0</v>
      </c>
      <c r="BM211" s="8">
        <f>SUM($BB211,$AI211:AO211)-SUM($BY211:CF211)</f>
        <v>0</v>
      </c>
      <c r="BN211" s="8">
        <f>SUM($BB211,$AI211:AP211)-SUM($BY211:CG211)</f>
        <v>-200</v>
      </c>
      <c r="BO211" s="8">
        <f>SUM($BB211,$AI211:AQ211)-SUM($BY211:CH211)</f>
        <v>-500</v>
      </c>
      <c r="BP211" s="8">
        <f>SUM($BB211,$AI211:AR211)-SUM($BY211:CI211)</f>
        <v>-1000</v>
      </c>
      <c r="BQ211" s="8">
        <f>SUM($BB211,$AI211:AS211)-SUM($BY211:CJ211)</f>
        <v>-1440</v>
      </c>
      <c r="BR211" s="8">
        <f>SUM($BB211,$AI211:AT211)-SUM($BY211:CK211)</f>
        <v>-1840</v>
      </c>
      <c r="BS211" s="8">
        <f>SUM($BB211,$AI211:AU211)-SUM($BY211:CL211)</f>
        <v>-2140</v>
      </c>
      <c r="BT211" s="8">
        <f>SUM($BB211,$AI211:AV211)-SUM($BY211:CM211)</f>
        <v>-2620</v>
      </c>
      <c r="BU211" s="8">
        <f>SUM($BB211,$AI211:AW211)-SUM($BY211:CN211)</f>
        <v>-3100</v>
      </c>
      <c r="BV211" s="8">
        <f>SUM($BB211,$AI211:AX211)-SUM($BY211:CO211)</f>
        <v>-3100</v>
      </c>
      <c r="BW211" s="8">
        <f>SUM($BB211,$AI211:AY211)-SUM($BY211:CP211)</f>
        <v>-3100</v>
      </c>
      <c r="BX211" s="8">
        <f>SUM($BB211,$AI211:AZ211)-SUM($BY211:CQ211)</f>
        <v>-3100</v>
      </c>
      <c r="BY211" s="8" cm="1">
        <f t="array" ref="BY211">SUMPRODUCT(TRANSPOSE(BY$2:BY$15),$I211:$V211)</f>
        <v>0</v>
      </c>
      <c r="BZ211" s="8" cm="1">
        <f t="array" ref="BZ211">SUMPRODUCT(TRANSPOSE(BZ$2:BZ$15),$I211:$V211)</f>
        <v>0</v>
      </c>
      <c r="CA211" s="8" cm="1">
        <f t="array" ref="CA211">SUMPRODUCT(TRANSPOSE(CA$2:CA$15),$I211:$V211)</f>
        <v>0</v>
      </c>
      <c r="CB211" s="8" cm="1">
        <f t="array" ref="CB211">SUMPRODUCT(TRANSPOSE(CB$2:CB$15),$I211:$V211)</f>
        <v>0</v>
      </c>
      <c r="CC211" s="8" cm="1">
        <f t="array" ref="CC211">SUMPRODUCT(TRANSPOSE(CC$2:CC$15),$I211:$V211)</f>
        <v>0</v>
      </c>
      <c r="CD211" s="8" cm="1">
        <f t="array" ref="CD211">SUMPRODUCT(TRANSPOSE(CD$2:CD$15),$I211:$V211)</f>
        <v>0</v>
      </c>
      <c r="CE211" s="8" cm="1">
        <f t="array" ref="CE211">SUMPRODUCT(TRANSPOSE(CE$2:CE$15),$I211:$V211)</f>
        <v>0</v>
      </c>
      <c r="CF211" s="8" cm="1">
        <f t="array" ref="CF211">SUMPRODUCT(TRANSPOSE(CF$2:CF$15),$I211:$V211)</f>
        <v>0</v>
      </c>
      <c r="CG211" s="8" cm="1">
        <f t="array" ref="CG211">SUMPRODUCT(TRANSPOSE(CG$2:CG$15),$I211:$V211)</f>
        <v>200</v>
      </c>
      <c r="CH211" s="8" cm="1">
        <f t="array" ref="CH211">SUMPRODUCT(TRANSPOSE(CH$2:CH$15),$I211:$V211)</f>
        <v>300</v>
      </c>
      <c r="CI211" s="8" cm="1">
        <f t="array" ref="CI211">SUMPRODUCT(TRANSPOSE(CI$2:CI$15),$I211:$V211)</f>
        <v>500</v>
      </c>
      <c r="CJ211" s="8" cm="1">
        <f t="array" ref="CJ211">SUMPRODUCT(TRANSPOSE(CJ$2:CJ$15),$I211:$V211)</f>
        <v>440</v>
      </c>
      <c r="CK211" s="8" cm="1">
        <f t="array" ref="CK211">SUMPRODUCT(TRANSPOSE(CK$2:CK$15),$I211:$V211)</f>
        <v>400</v>
      </c>
      <c r="CL211" s="8" cm="1">
        <f t="array" ref="CL211">SUMPRODUCT(TRANSPOSE(CL$2:CL$15),$I211:$V211)</f>
        <v>300</v>
      </c>
      <c r="CM211" s="8" cm="1">
        <f t="array" ref="CM211">SUMPRODUCT(TRANSPOSE(CM$2:CM$15),$I211:$V211)</f>
        <v>480</v>
      </c>
      <c r="CN211" s="8" cm="1">
        <f t="array" ref="CN211">SUMPRODUCT(TRANSPOSE(CN$2:CN$15),$I211:$V211)</f>
        <v>480</v>
      </c>
      <c r="CO211" s="8" cm="1">
        <f t="array" ref="CO211">SUMPRODUCT(TRANSPOSE(CO$2:CO$15),$I211:$V211)</f>
        <v>0</v>
      </c>
      <c r="CP211" s="8" cm="1">
        <f t="array" ref="CP211">SUMPRODUCT(TRANSPOSE(CP$2:CP$15),$I211:$V211)</f>
        <v>0</v>
      </c>
      <c r="CQ211" s="8" cm="1">
        <f t="array" ref="CQ211">SUMPRODUCT(TRANSPOSE(CQ$2:CQ$15),$I211:$V211)</f>
        <v>0</v>
      </c>
    </row>
    <row r="212" spans="1:95" x14ac:dyDescent="0.25">
      <c r="A212" s="1">
        <v>256</v>
      </c>
      <c r="B212" s="11" t="s">
        <v>556</v>
      </c>
      <c r="C212" s="1" t="s">
        <v>49</v>
      </c>
      <c r="D212" s="1">
        <v>512308677</v>
      </c>
      <c r="E212" s="6"/>
      <c r="F212" s="1" t="s">
        <v>337</v>
      </c>
      <c r="G212" s="1" t="s">
        <v>35</v>
      </c>
      <c r="H212" s="1">
        <v>4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4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f>SUMPRODUCT(I212:V212,$I$13:$V$13)</f>
        <v>6640</v>
      </c>
      <c r="X212" s="6">
        <f t="shared" si="5"/>
        <v>0.16</v>
      </c>
      <c r="Y212" s="1" t="str">
        <f>VLOOKUP(D212,[1]PARTS!$A$1:$G$65536,7,0)</f>
        <v>MS MILITARY STANDARDS</v>
      </c>
      <c r="Z212" s="1">
        <v>1</v>
      </c>
      <c r="AA212" s="1">
        <f>CEILING(W212,Z212)</f>
        <v>6640</v>
      </c>
      <c r="AB212" s="1">
        <f>CEILING(W212,Z212)</f>
        <v>6640</v>
      </c>
      <c r="AC212" s="1">
        <v>0.04</v>
      </c>
      <c r="AD212" s="1" t="s">
        <v>413</v>
      </c>
      <c r="AE212" s="1" t="s">
        <v>325</v>
      </c>
      <c r="AF212" s="12" t="s">
        <v>326</v>
      </c>
      <c r="AG212" s="1" t="s">
        <v>327</v>
      </c>
      <c r="BG212" s="8">
        <f>SUM($BB212,$AI212:AI212)-SUM($BY212:BZ212)</f>
        <v>0</v>
      </c>
      <c r="BH212" s="8">
        <f>SUM($BB212,$AI212:AJ212)-SUM($BY212:CA212)</f>
        <v>0</v>
      </c>
      <c r="BI212" s="8">
        <f>SUM($BB212,$AI212:AK212)-SUM($BY212:CB212)</f>
        <v>0</v>
      </c>
      <c r="BJ212" s="8">
        <f>SUM($BB212,$AI212:AL212)-SUM($BY212:CC212)</f>
        <v>0</v>
      </c>
      <c r="BK212" s="8">
        <f>SUM($BB212,$AI212:AM212)-SUM($BY212:CD212)</f>
        <v>0</v>
      </c>
      <c r="BL212" s="8">
        <f>SUM($BB212,$AI212:AN212)-SUM($BY212:CE212)</f>
        <v>0</v>
      </c>
      <c r="BM212" s="8">
        <f>SUM($BB212,$AI212:AO212)-SUM($BY212:CF212)</f>
        <v>0</v>
      </c>
      <c r="BN212" s="8">
        <f>SUM($BB212,$AI212:AP212)-SUM($BY212:CG212)</f>
        <v>0</v>
      </c>
      <c r="BO212" s="8">
        <f>SUM($BB212,$AI212:AQ212)-SUM($BY212:CH212)</f>
        <v>-400</v>
      </c>
      <c r="BP212" s="8">
        <f>SUM($BB212,$AI212:AR212)-SUM($BY212:CI212)</f>
        <v>-1000</v>
      </c>
      <c r="BQ212" s="8">
        <f>SUM($BB212,$AI212:AS212)-SUM($BY212:CJ212)</f>
        <v>-2000</v>
      </c>
      <c r="BR212" s="8">
        <f>SUM($BB212,$AI212:AT212)-SUM($BY212:CK212)</f>
        <v>-2800</v>
      </c>
      <c r="BS212" s="8">
        <f>SUM($BB212,$AI212:AU212)-SUM($BY212:CL212)</f>
        <v>-3600</v>
      </c>
      <c r="BT212" s="8">
        <f>SUM($BB212,$AI212:AV212)-SUM($BY212:CM212)</f>
        <v>-4400</v>
      </c>
      <c r="BU212" s="8">
        <f>SUM($BB212,$AI212:AW212)-SUM($BY212:CN212)</f>
        <v>-5600</v>
      </c>
      <c r="BV212" s="8">
        <f>SUM($BB212,$AI212:AX212)-SUM($BY212:CO212)</f>
        <v>-6640</v>
      </c>
      <c r="BW212" s="8">
        <f>SUM($BB212,$AI212:AY212)-SUM($BY212:CP212)</f>
        <v>-6640</v>
      </c>
      <c r="BX212" s="8">
        <f>SUM($BB212,$AI212:AZ212)-SUM($BY212:CQ212)</f>
        <v>-6640</v>
      </c>
      <c r="BY212" s="8" cm="1">
        <f t="array" ref="BY212">SUMPRODUCT(TRANSPOSE(BY$2:BY$15),$I212:$V212)</f>
        <v>0</v>
      </c>
      <c r="BZ212" s="8" cm="1">
        <f t="array" ref="BZ212">SUMPRODUCT(TRANSPOSE(BZ$2:BZ$15),$I212:$V212)</f>
        <v>0</v>
      </c>
      <c r="CA212" s="8" cm="1">
        <f t="array" ref="CA212">SUMPRODUCT(TRANSPOSE(CA$2:CA$15),$I212:$V212)</f>
        <v>0</v>
      </c>
      <c r="CB212" s="8" cm="1">
        <f t="array" ref="CB212">SUMPRODUCT(TRANSPOSE(CB$2:CB$15),$I212:$V212)</f>
        <v>0</v>
      </c>
      <c r="CC212" s="8" cm="1">
        <f t="array" ref="CC212">SUMPRODUCT(TRANSPOSE(CC$2:CC$15),$I212:$V212)</f>
        <v>0</v>
      </c>
      <c r="CD212" s="8" cm="1">
        <f t="array" ref="CD212">SUMPRODUCT(TRANSPOSE(CD$2:CD$15),$I212:$V212)</f>
        <v>0</v>
      </c>
      <c r="CE212" s="8" cm="1">
        <f t="array" ref="CE212">SUMPRODUCT(TRANSPOSE(CE$2:CE$15),$I212:$V212)</f>
        <v>0</v>
      </c>
      <c r="CF212" s="8" cm="1">
        <f t="array" ref="CF212">SUMPRODUCT(TRANSPOSE(CF$2:CF$15),$I212:$V212)</f>
        <v>0</v>
      </c>
      <c r="CG212" s="8" cm="1">
        <f t="array" ref="CG212">SUMPRODUCT(TRANSPOSE(CG$2:CG$15),$I212:$V212)</f>
        <v>0</v>
      </c>
      <c r="CH212" s="8" cm="1">
        <f t="array" ref="CH212">SUMPRODUCT(TRANSPOSE(CH$2:CH$15),$I212:$V212)</f>
        <v>400</v>
      </c>
      <c r="CI212" s="8" cm="1">
        <f t="array" ref="CI212">SUMPRODUCT(TRANSPOSE(CI$2:CI$15),$I212:$V212)</f>
        <v>600</v>
      </c>
      <c r="CJ212" s="8" cm="1">
        <f t="array" ref="CJ212">SUMPRODUCT(TRANSPOSE(CJ$2:CJ$15),$I212:$V212)</f>
        <v>1000</v>
      </c>
      <c r="CK212" s="8" cm="1">
        <f t="array" ref="CK212">SUMPRODUCT(TRANSPOSE(CK$2:CK$15),$I212:$V212)</f>
        <v>800</v>
      </c>
      <c r="CL212" s="8" cm="1">
        <f t="array" ref="CL212">SUMPRODUCT(TRANSPOSE(CL$2:CL$15),$I212:$V212)</f>
        <v>800</v>
      </c>
      <c r="CM212" s="8" cm="1">
        <f t="array" ref="CM212">SUMPRODUCT(TRANSPOSE(CM$2:CM$15),$I212:$V212)</f>
        <v>800</v>
      </c>
      <c r="CN212" s="8" cm="1">
        <f t="array" ref="CN212">SUMPRODUCT(TRANSPOSE(CN$2:CN$15),$I212:$V212)</f>
        <v>1200</v>
      </c>
      <c r="CO212" s="8" cm="1">
        <f t="array" ref="CO212">SUMPRODUCT(TRANSPOSE(CO$2:CO$15),$I212:$V212)</f>
        <v>1040</v>
      </c>
      <c r="CP212" s="8" cm="1">
        <f t="array" ref="CP212">SUMPRODUCT(TRANSPOSE(CP$2:CP$15),$I212:$V212)</f>
        <v>0</v>
      </c>
      <c r="CQ212" s="8" cm="1">
        <f t="array" ref="CQ212">SUMPRODUCT(TRANSPOSE(CQ$2:CQ$15),$I212:$V212)</f>
        <v>0</v>
      </c>
    </row>
    <row r="213" spans="1:95" x14ac:dyDescent="0.25">
      <c r="A213" s="1">
        <v>133</v>
      </c>
      <c r="B213" s="11" t="s">
        <v>557</v>
      </c>
      <c r="C213" s="1" t="s">
        <v>49</v>
      </c>
      <c r="D213" s="1">
        <v>400539517</v>
      </c>
      <c r="E213" s="6" t="str">
        <f>VLOOKUP(D213,FFF!$A$2:$B$674,2,)</f>
        <v>FFF004711</v>
      </c>
      <c r="F213" s="1" t="s">
        <v>550</v>
      </c>
      <c r="G213" s="1" t="s">
        <v>35</v>
      </c>
      <c r="H213" s="1">
        <v>6</v>
      </c>
      <c r="I213" s="1">
        <v>0</v>
      </c>
      <c r="J213" s="1">
        <v>0</v>
      </c>
      <c r="K213" s="1">
        <v>0</v>
      </c>
      <c r="L213" s="1">
        <v>0</v>
      </c>
      <c r="M213" s="1">
        <v>3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3</v>
      </c>
      <c r="W213" s="1">
        <f>SUMPRODUCT(I213:V213,$I$13:$V$13)</f>
        <v>9630</v>
      </c>
      <c r="X213" s="6">
        <f t="shared" si="5"/>
        <v>7.8E-2</v>
      </c>
      <c r="Y213" s="1" t="str">
        <f>VLOOKUP(D213,[1]PARTS!$A$1:$G$65536,7,0)</f>
        <v>KEMET ELECTRONICS S A</v>
      </c>
      <c r="Z213" s="1">
        <v>4000</v>
      </c>
      <c r="AA213" s="1">
        <f>VLOOKUP(D213,[2]pareto!$D$12:$AX$306,45,0)</f>
        <v>4000</v>
      </c>
      <c r="AB213" s="1">
        <f>CEILING(W213,Z213)</f>
        <v>12000</v>
      </c>
      <c r="AC213" s="1">
        <f>VLOOKUP(D213,[2]pareto!$D$12:$AX$306,47,0)</f>
        <v>1.2999999999999999E-2</v>
      </c>
      <c r="AD213" s="1" t="s">
        <v>119</v>
      </c>
      <c r="AE213" s="1" t="s">
        <v>243</v>
      </c>
      <c r="AF213" s="19" t="s">
        <v>244</v>
      </c>
      <c r="AG213" s="1" t="s">
        <v>245</v>
      </c>
      <c r="BG213" s="8">
        <f>SUM($BB213,$AI213:AI213)-SUM($BY213:BZ213)</f>
        <v>0</v>
      </c>
      <c r="BH213" s="8">
        <f>SUM($BB213,$AI213:AJ213)-SUM($BY213:CA213)</f>
        <v>0</v>
      </c>
      <c r="BI213" s="8">
        <f>SUM($BB213,$AI213:AK213)-SUM($BY213:CB213)</f>
        <v>0</v>
      </c>
      <c r="BJ213" s="8">
        <f>SUM($BB213,$AI213:AL213)-SUM($BY213:CC213)</f>
        <v>0</v>
      </c>
      <c r="BK213" s="8">
        <f>SUM($BB213,$AI213:AM213)-SUM($BY213:CD213)</f>
        <v>0</v>
      </c>
      <c r="BL213" s="8">
        <f>SUM($BB213,$AI213:AN213)-SUM($BY213:CE213)</f>
        <v>0</v>
      </c>
      <c r="BM213" s="8">
        <f>SUM($BB213,$AI213:AO213)-SUM($BY213:CF213)</f>
        <v>0</v>
      </c>
      <c r="BN213" s="8">
        <f>SUM($BB213,$AI213:AP213)-SUM($BY213:CG213)</f>
        <v>-300</v>
      </c>
      <c r="BO213" s="8">
        <f>SUM($BB213,$AI213:AQ213)-SUM($BY213:CH213)</f>
        <v>-1050</v>
      </c>
      <c r="BP213" s="8">
        <f>SUM($BB213,$AI213:AR213)-SUM($BY213:CI213)</f>
        <v>-2250</v>
      </c>
      <c r="BQ213" s="8">
        <f>SUM($BB213,$AI213:AS213)-SUM($BY213:CJ213)</f>
        <v>-3660</v>
      </c>
      <c r="BR213" s="8">
        <f>SUM($BB213,$AI213:AT213)-SUM($BY213:CK213)</f>
        <v>-4860</v>
      </c>
      <c r="BS213" s="8">
        <f>SUM($BB213,$AI213:AU213)-SUM($BY213:CL213)</f>
        <v>-5910</v>
      </c>
      <c r="BT213" s="8">
        <f>SUM($BB213,$AI213:AV213)-SUM($BY213:CM213)</f>
        <v>-7230</v>
      </c>
      <c r="BU213" s="8">
        <f>SUM($BB213,$AI213:AW213)-SUM($BY213:CN213)</f>
        <v>-8850</v>
      </c>
      <c r="BV213" s="8">
        <f>SUM($BB213,$AI213:AX213)-SUM($BY213:CO213)</f>
        <v>-9630</v>
      </c>
      <c r="BW213" s="8">
        <f>SUM($BB213,$AI213:AY213)-SUM($BY213:CP213)</f>
        <v>-9630</v>
      </c>
      <c r="BX213" s="8">
        <f>SUM($BB213,$AI213:AZ213)-SUM($BY213:CQ213)</f>
        <v>-9630</v>
      </c>
      <c r="BY213" s="8" cm="1">
        <f t="array" ref="BY213">SUMPRODUCT(TRANSPOSE(BY$2:BY$15),$I213:$V213)</f>
        <v>0</v>
      </c>
      <c r="BZ213" s="8" cm="1">
        <f t="array" ref="BZ213">SUMPRODUCT(TRANSPOSE(BZ$2:BZ$15),$I213:$V213)</f>
        <v>0</v>
      </c>
      <c r="CA213" s="8" cm="1">
        <f t="array" ref="CA213">SUMPRODUCT(TRANSPOSE(CA$2:CA$15),$I213:$V213)</f>
        <v>0</v>
      </c>
      <c r="CB213" s="8" cm="1">
        <f t="array" ref="CB213">SUMPRODUCT(TRANSPOSE(CB$2:CB$15),$I213:$V213)</f>
        <v>0</v>
      </c>
      <c r="CC213" s="8" cm="1">
        <f t="array" ref="CC213">SUMPRODUCT(TRANSPOSE(CC$2:CC$15),$I213:$V213)</f>
        <v>0</v>
      </c>
      <c r="CD213" s="8" cm="1">
        <f t="array" ref="CD213">SUMPRODUCT(TRANSPOSE(CD$2:CD$15),$I213:$V213)</f>
        <v>0</v>
      </c>
      <c r="CE213" s="8" cm="1">
        <f t="array" ref="CE213">SUMPRODUCT(TRANSPOSE(CE$2:CE$15),$I213:$V213)</f>
        <v>0</v>
      </c>
      <c r="CF213" s="8" cm="1">
        <f t="array" ref="CF213">SUMPRODUCT(TRANSPOSE(CF$2:CF$15),$I213:$V213)</f>
        <v>0</v>
      </c>
      <c r="CG213" s="8" cm="1">
        <f t="array" ref="CG213">SUMPRODUCT(TRANSPOSE(CG$2:CG$15),$I213:$V213)</f>
        <v>300</v>
      </c>
      <c r="CH213" s="8" cm="1">
        <f t="array" ref="CH213">SUMPRODUCT(TRANSPOSE(CH$2:CH$15),$I213:$V213)</f>
        <v>750</v>
      </c>
      <c r="CI213" s="8" cm="1">
        <f t="array" ref="CI213">SUMPRODUCT(TRANSPOSE(CI$2:CI$15),$I213:$V213)</f>
        <v>1200</v>
      </c>
      <c r="CJ213" s="8" cm="1">
        <f t="array" ref="CJ213">SUMPRODUCT(TRANSPOSE(CJ$2:CJ$15),$I213:$V213)</f>
        <v>1410</v>
      </c>
      <c r="CK213" s="8" cm="1">
        <f t="array" ref="CK213">SUMPRODUCT(TRANSPOSE(CK$2:CK$15),$I213:$V213)</f>
        <v>1200</v>
      </c>
      <c r="CL213" s="8" cm="1">
        <f t="array" ref="CL213">SUMPRODUCT(TRANSPOSE(CL$2:CL$15),$I213:$V213)</f>
        <v>1050</v>
      </c>
      <c r="CM213" s="8" cm="1">
        <f t="array" ref="CM213">SUMPRODUCT(TRANSPOSE(CM$2:CM$15),$I213:$V213)</f>
        <v>1320</v>
      </c>
      <c r="CN213" s="8" cm="1">
        <f t="array" ref="CN213">SUMPRODUCT(TRANSPOSE(CN$2:CN$15),$I213:$V213)</f>
        <v>1620</v>
      </c>
      <c r="CO213" s="8" cm="1">
        <f t="array" ref="CO213">SUMPRODUCT(TRANSPOSE(CO$2:CO$15),$I213:$V213)</f>
        <v>780</v>
      </c>
      <c r="CP213" s="8" cm="1">
        <f t="array" ref="CP213">SUMPRODUCT(TRANSPOSE(CP$2:CP$15),$I213:$V213)</f>
        <v>0</v>
      </c>
      <c r="CQ213" s="8" cm="1">
        <f t="array" ref="CQ213">SUMPRODUCT(TRANSPOSE(CQ$2:CQ$15),$I213:$V213)</f>
        <v>0</v>
      </c>
    </row>
    <row r="214" spans="1:95" x14ac:dyDescent="0.25">
      <c r="A214" s="1">
        <v>145</v>
      </c>
      <c r="B214" s="11" t="s">
        <v>558</v>
      </c>
      <c r="C214" s="1" t="s">
        <v>49</v>
      </c>
      <c r="D214" s="1">
        <v>417983138</v>
      </c>
      <c r="E214" s="6">
        <f>VLOOKUP(D214,FFF!$A$2:$B$674,2,)</f>
        <v>400095447</v>
      </c>
      <c r="F214" s="1" t="s">
        <v>394</v>
      </c>
      <c r="G214" s="1" t="s">
        <v>35</v>
      </c>
      <c r="H214" s="1">
        <v>4</v>
      </c>
      <c r="I214" s="1">
        <v>0</v>
      </c>
      <c r="J214" s="1">
        <v>0</v>
      </c>
      <c r="K214" s="1">
        <v>0</v>
      </c>
      <c r="L214" s="1">
        <v>0</v>
      </c>
      <c r="M214" s="1">
        <v>2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2</v>
      </c>
      <c r="W214" s="1">
        <f>SUMPRODUCT(I214:V214,$I$13:$V$13)</f>
        <v>6420</v>
      </c>
      <c r="X214" s="6">
        <f t="shared" si="5"/>
        <v>0.01</v>
      </c>
      <c r="Y214" s="1" t="str">
        <f>VLOOKUP(D214,[1]PARTS!$A$1:$G$65536,7,0)</f>
        <v>SAMSUNG</v>
      </c>
      <c r="Z214" s="1">
        <f>VLOOKUP(D214,[2]pareto!$D$12:$AX$306,44,0)</f>
        <v>2000</v>
      </c>
      <c r="AA214" s="1">
        <f>VLOOKUP(D214,[2]pareto!$D$12:$AX$306,45,0)</f>
        <v>2000</v>
      </c>
      <c r="AB214" s="1">
        <f>CEILING(W214,Z214)</f>
        <v>8000</v>
      </c>
      <c r="AC214" s="1">
        <f>VLOOKUP(D214,[2]pareto!$D$12:$AX$306,47,0)</f>
        <v>2.5000000000000001E-3</v>
      </c>
      <c r="AD214" s="1" t="s">
        <v>430</v>
      </c>
      <c r="AE214" s="1" t="s">
        <v>431</v>
      </c>
      <c r="AF214" s="12" t="s">
        <v>432</v>
      </c>
      <c r="AG214" s="1" t="s">
        <v>433</v>
      </c>
      <c r="BG214" s="8">
        <f>SUM($BB214,$AI214:AI214)-SUM($BY214:BZ214)</f>
        <v>0</v>
      </c>
      <c r="BH214" s="8">
        <f>SUM($BB214,$AI214:AJ214)-SUM($BY214:CA214)</f>
        <v>0</v>
      </c>
      <c r="BI214" s="8">
        <f>SUM($BB214,$AI214:AK214)-SUM($BY214:CB214)</f>
        <v>0</v>
      </c>
      <c r="BJ214" s="8">
        <f>SUM($BB214,$AI214:AL214)-SUM($BY214:CC214)</f>
        <v>0</v>
      </c>
      <c r="BK214" s="8">
        <f>SUM($BB214,$AI214:AM214)-SUM($BY214:CD214)</f>
        <v>0</v>
      </c>
      <c r="BL214" s="8">
        <f>SUM($BB214,$AI214:AN214)-SUM($BY214:CE214)</f>
        <v>0</v>
      </c>
      <c r="BM214" s="8">
        <f>SUM($BB214,$AI214:AO214)-SUM($BY214:CF214)</f>
        <v>0</v>
      </c>
      <c r="BN214" s="8">
        <f>SUM($BB214,$AI214:AP214)-SUM($BY214:CG214)</f>
        <v>-200</v>
      </c>
      <c r="BO214" s="8">
        <f>SUM($BB214,$AI214:AQ214)-SUM($BY214:CH214)</f>
        <v>-700</v>
      </c>
      <c r="BP214" s="8">
        <f>SUM($BB214,$AI214:AR214)-SUM($BY214:CI214)</f>
        <v>-1500</v>
      </c>
      <c r="BQ214" s="8">
        <f>SUM($BB214,$AI214:AS214)-SUM($BY214:CJ214)</f>
        <v>-2440</v>
      </c>
      <c r="BR214" s="8">
        <f>SUM($BB214,$AI214:AT214)-SUM($BY214:CK214)</f>
        <v>-3240</v>
      </c>
      <c r="BS214" s="8">
        <f>SUM($BB214,$AI214:AU214)-SUM($BY214:CL214)</f>
        <v>-3940</v>
      </c>
      <c r="BT214" s="8">
        <f>SUM($BB214,$AI214:AV214)-SUM($BY214:CM214)</f>
        <v>-4820</v>
      </c>
      <c r="BU214" s="8">
        <f>SUM($BB214,$AI214:AW214)-SUM($BY214:CN214)</f>
        <v>-5900</v>
      </c>
      <c r="BV214" s="8">
        <f>SUM($BB214,$AI214:AX214)-SUM($BY214:CO214)</f>
        <v>-6420</v>
      </c>
      <c r="BW214" s="8">
        <f>SUM($BB214,$AI214:AY214)-SUM($BY214:CP214)</f>
        <v>-6420</v>
      </c>
      <c r="BX214" s="8">
        <f>SUM($BB214,$AI214:AZ214)-SUM($BY214:CQ214)</f>
        <v>-6420</v>
      </c>
      <c r="BY214" s="8" cm="1">
        <f t="array" ref="BY214">SUMPRODUCT(TRANSPOSE(BY$2:BY$15),$I214:$V214)</f>
        <v>0</v>
      </c>
      <c r="BZ214" s="8" cm="1">
        <f t="array" ref="BZ214">SUMPRODUCT(TRANSPOSE(BZ$2:BZ$15),$I214:$V214)</f>
        <v>0</v>
      </c>
      <c r="CA214" s="8" cm="1">
        <f t="array" ref="CA214">SUMPRODUCT(TRANSPOSE(CA$2:CA$15),$I214:$V214)</f>
        <v>0</v>
      </c>
      <c r="CB214" s="8" cm="1">
        <f t="array" ref="CB214">SUMPRODUCT(TRANSPOSE(CB$2:CB$15),$I214:$V214)</f>
        <v>0</v>
      </c>
      <c r="CC214" s="8" cm="1">
        <f t="array" ref="CC214">SUMPRODUCT(TRANSPOSE(CC$2:CC$15),$I214:$V214)</f>
        <v>0</v>
      </c>
      <c r="CD214" s="8" cm="1">
        <f t="array" ref="CD214">SUMPRODUCT(TRANSPOSE(CD$2:CD$15),$I214:$V214)</f>
        <v>0</v>
      </c>
      <c r="CE214" s="8" cm="1">
        <f t="array" ref="CE214">SUMPRODUCT(TRANSPOSE(CE$2:CE$15),$I214:$V214)</f>
        <v>0</v>
      </c>
      <c r="CF214" s="8" cm="1">
        <f t="array" ref="CF214">SUMPRODUCT(TRANSPOSE(CF$2:CF$15),$I214:$V214)</f>
        <v>0</v>
      </c>
      <c r="CG214" s="8" cm="1">
        <f t="array" ref="CG214">SUMPRODUCT(TRANSPOSE(CG$2:CG$15),$I214:$V214)</f>
        <v>200</v>
      </c>
      <c r="CH214" s="8" cm="1">
        <f t="array" ref="CH214">SUMPRODUCT(TRANSPOSE(CH$2:CH$15),$I214:$V214)</f>
        <v>500</v>
      </c>
      <c r="CI214" s="8" cm="1">
        <f t="array" ref="CI214">SUMPRODUCT(TRANSPOSE(CI$2:CI$15),$I214:$V214)</f>
        <v>800</v>
      </c>
      <c r="CJ214" s="8" cm="1">
        <f t="array" ref="CJ214">SUMPRODUCT(TRANSPOSE(CJ$2:CJ$15),$I214:$V214)</f>
        <v>940</v>
      </c>
      <c r="CK214" s="8" cm="1">
        <f t="array" ref="CK214">SUMPRODUCT(TRANSPOSE(CK$2:CK$15),$I214:$V214)</f>
        <v>800</v>
      </c>
      <c r="CL214" s="8" cm="1">
        <f t="array" ref="CL214">SUMPRODUCT(TRANSPOSE(CL$2:CL$15),$I214:$V214)</f>
        <v>700</v>
      </c>
      <c r="CM214" s="8" cm="1">
        <f t="array" ref="CM214">SUMPRODUCT(TRANSPOSE(CM$2:CM$15),$I214:$V214)</f>
        <v>880</v>
      </c>
      <c r="CN214" s="8" cm="1">
        <f t="array" ref="CN214">SUMPRODUCT(TRANSPOSE(CN$2:CN$15),$I214:$V214)</f>
        <v>1080</v>
      </c>
      <c r="CO214" s="8" cm="1">
        <f t="array" ref="CO214">SUMPRODUCT(TRANSPOSE(CO$2:CO$15),$I214:$V214)</f>
        <v>520</v>
      </c>
      <c r="CP214" s="8" cm="1">
        <f t="array" ref="CP214">SUMPRODUCT(TRANSPOSE(CP$2:CP$15),$I214:$V214)</f>
        <v>0</v>
      </c>
      <c r="CQ214" s="8" cm="1">
        <f t="array" ref="CQ214">SUMPRODUCT(TRANSPOSE(CQ$2:CQ$15),$I214:$V214)</f>
        <v>0</v>
      </c>
    </row>
    <row r="215" spans="1:95" x14ac:dyDescent="0.25">
      <c r="A215" s="1">
        <v>235</v>
      </c>
      <c r="B215" s="11" t="s">
        <v>559</v>
      </c>
      <c r="C215" s="1" t="s">
        <v>49</v>
      </c>
      <c r="D215" s="1">
        <v>409604723</v>
      </c>
      <c r="E215" s="6"/>
      <c r="F215" s="1" t="s">
        <v>560</v>
      </c>
      <c r="G215" s="1" t="s">
        <v>35</v>
      </c>
      <c r="H215" s="1">
        <v>2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2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f>SUMPRODUCT(I215:V215,$I$13:$V$13)</f>
        <v>3320</v>
      </c>
      <c r="X215" s="6">
        <f t="shared" si="5"/>
        <v>0.108</v>
      </c>
      <c r="Y215" s="1" t="str">
        <f>VLOOKUP(D215,[1]PARTS!$A$1:$G$65536,7,0)</f>
        <v>MURATA MANUFACTURING CO. LTD</v>
      </c>
      <c r="Z215" s="1">
        <f>VLOOKUP(D215,[2]pareto!$D$12:$AX$306,44,0)</f>
        <v>10000</v>
      </c>
      <c r="AA215" s="1">
        <f>VLOOKUP(D215,[2]pareto!$D$12:$AX$306,45,0)</f>
        <v>10000</v>
      </c>
      <c r="AB215" s="1">
        <f>CEILING(W215,Z215)</f>
        <v>10000</v>
      </c>
      <c r="AC215" s="1">
        <v>5.3999999999999999E-2</v>
      </c>
      <c r="AD215" s="1" t="s">
        <v>295</v>
      </c>
      <c r="AE215" s="1" t="s">
        <v>296</v>
      </c>
      <c r="AF215" s="12" t="s">
        <v>297</v>
      </c>
      <c r="AG215" s="1" t="s">
        <v>298</v>
      </c>
      <c r="AH215" s="1" t="s">
        <v>561</v>
      </c>
      <c r="BG215" s="8">
        <f>SUM($BB215,$AI215:AI215)-SUM($BY215:BZ215)</f>
        <v>0</v>
      </c>
      <c r="BH215" s="8">
        <f>SUM($BB215,$AI215:AJ215)-SUM($BY215:CA215)</f>
        <v>0</v>
      </c>
      <c r="BI215" s="8">
        <f>SUM($BB215,$AI215:AK215)-SUM($BY215:CB215)</f>
        <v>0</v>
      </c>
      <c r="BJ215" s="8">
        <f>SUM($BB215,$AI215:AL215)-SUM($BY215:CC215)</f>
        <v>0</v>
      </c>
      <c r="BK215" s="8">
        <f>SUM($BB215,$AI215:AM215)-SUM($BY215:CD215)</f>
        <v>0</v>
      </c>
      <c r="BL215" s="8">
        <f>SUM($BB215,$AI215:AN215)-SUM($BY215:CE215)</f>
        <v>0</v>
      </c>
      <c r="BM215" s="8">
        <f>SUM($BB215,$AI215:AO215)-SUM($BY215:CF215)</f>
        <v>0</v>
      </c>
      <c r="BN215" s="8">
        <f>SUM($BB215,$AI215:AP215)-SUM($BY215:CG215)</f>
        <v>-200</v>
      </c>
      <c r="BO215" s="8">
        <f>SUM($BB215,$AI215:AQ215)-SUM($BY215:CH215)</f>
        <v>-500</v>
      </c>
      <c r="BP215" s="8">
        <f>SUM($BB215,$AI215:AR215)-SUM($BY215:CI215)</f>
        <v>-1000</v>
      </c>
      <c r="BQ215" s="8">
        <f>SUM($BB215,$AI215:AS215)-SUM($BY215:CJ215)</f>
        <v>-1400</v>
      </c>
      <c r="BR215" s="8">
        <f>SUM($BB215,$AI215:AT215)-SUM($BY215:CK215)</f>
        <v>-1800</v>
      </c>
      <c r="BS215" s="8">
        <f>SUM($BB215,$AI215:AU215)-SUM($BY215:CL215)</f>
        <v>-2200</v>
      </c>
      <c r="BT215" s="8">
        <f>SUM($BB215,$AI215:AV215)-SUM($BY215:CM215)</f>
        <v>-2800</v>
      </c>
      <c r="BU215" s="8">
        <f>SUM($BB215,$AI215:AW215)-SUM($BY215:CN215)</f>
        <v>-3320</v>
      </c>
      <c r="BV215" s="8">
        <f>SUM($BB215,$AI215:AX215)-SUM($BY215:CO215)</f>
        <v>-3320</v>
      </c>
      <c r="BW215" s="8">
        <f>SUM($BB215,$AI215:AY215)-SUM($BY215:CP215)</f>
        <v>-3320</v>
      </c>
      <c r="BX215" s="8">
        <f>SUM($BB215,$AI215:AZ215)-SUM($BY215:CQ215)</f>
        <v>-3320</v>
      </c>
      <c r="BY215" s="8" cm="1">
        <f t="array" ref="BY215">SUMPRODUCT(TRANSPOSE(BY$2:BY$15),$I215:$V215)</f>
        <v>0</v>
      </c>
      <c r="BZ215" s="8" cm="1">
        <f t="array" ref="BZ215">SUMPRODUCT(TRANSPOSE(BZ$2:BZ$15),$I215:$V215)</f>
        <v>0</v>
      </c>
      <c r="CA215" s="8" cm="1">
        <f t="array" ref="CA215">SUMPRODUCT(TRANSPOSE(CA$2:CA$15),$I215:$V215)</f>
        <v>0</v>
      </c>
      <c r="CB215" s="8" cm="1">
        <f t="array" ref="CB215">SUMPRODUCT(TRANSPOSE(CB$2:CB$15),$I215:$V215)</f>
        <v>0</v>
      </c>
      <c r="CC215" s="8" cm="1">
        <f t="array" ref="CC215">SUMPRODUCT(TRANSPOSE(CC$2:CC$15),$I215:$V215)</f>
        <v>0</v>
      </c>
      <c r="CD215" s="8" cm="1">
        <f t="array" ref="CD215">SUMPRODUCT(TRANSPOSE(CD$2:CD$15),$I215:$V215)</f>
        <v>0</v>
      </c>
      <c r="CE215" s="8" cm="1">
        <f t="array" ref="CE215">SUMPRODUCT(TRANSPOSE(CE$2:CE$15),$I215:$V215)</f>
        <v>0</v>
      </c>
      <c r="CF215" s="8" cm="1">
        <f t="array" ref="CF215">SUMPRODUCT(TRANSPOSE(CF$2:CF$15),$I215:$V215)</f>
        <v>0</v>
      </c>
      <c r="CG215" s="8" cm="1">
        <f t="array" ref="CG215">SUMPRODUCT(TRANSPOSE(CG$2:CG$15),$I215:$V215)</f>
        <v>200</v>
      </c>
      <c r="CH215" s="8" cm="1">
        <f t="array" ref="CH215">SUMPRODUCT(TRANSPOSE(CH$2:CH$15),$I215:$V215)</f>
        <v>300</v>
      </c>
      <c r="CI215" s="8" cm="1">
        <f t="array" ref="CI215">SUMPRODUCT(TRANSPOSE(CI$2:CI$15),$I215:$V215)</f>
        <v>500</v>
      </c>
      <c r="CJ215" s="8" cm="1">
        <f t="array" ref="CJ215">SUMPRODUCT(TRANSPOSE(CJ$2:CJ$15),$I215:$V215)</f>
        <v>400</v>
      </c>
      <c r="CK215" s="8" cm="1">
        <f t="array" ref="CK215">SUMPRODUCT(TRANSPOSE(CK$2:CK$15),$I215:$V215)</f>
        <v>400</v>
      </c>
      <c r="CL215" s="8" cm="1">
        <f t="array" ref="CL215">SUMPRODUCT(TRANSPOSE(CL$2:CL$15),$I215:$V215)</f>
        <v>400</v>
      </c>
      <c r="CM215" s="8" cm="1">
        <f t="array" ref="CM215">SUMPRODUCT(TRANSPOSE(CM$2:CM$15),$I215:$V215)</f>
        <v>600</v>
      </c>
      <c r="CN215" s="8" cm="1">
        <f t="array" ref="CN215">SUMPRODUCT(TRANSPOSE(CN$2:CN$15),$I215:$V215)</f>
        <v>520</v>
      </c>
      <c r="CO215" s="8" cm="1">
        <f t="array" ref="CO215">SUMPRODUCT(TRANSPOSE(CO$2:CO$15),$I215:$V215)</f>
        <v>0</v>
      </c>
      <c r="CP215" s="8" cm="1">
        <f t="array" ref="CP215">SUMPRODUCT(TRANSPOSE(CP$2:CP$15),$I215:$V215)</f>
        <v>0</v>
      </c>
      <c r="CQ215" s="8" cm="1">
        <f t="array" ref="CQ215">SUMPRODUCT(TRANSPOSE(CQ$2:CQ$15),$I215:$V215)</f>
        <v>0</v>
      </c>
    </row>
    <row r="216" spans="1:95" x14ac:dyDescent="0.25">
      <c r="A216" s="1">
        <v>83</v>
      </c>
      <c r="B216" s="11" t="s">
        <v>562</v>
      </c>
      <c r="C216" s="1" t="s">
        <v>49</v>
      </c>
      <c r="D216" s="1">
        <v>417983177</v>
      </c>
      <c r="E216" s="6">
        <f>VLOOKUP(D216,FFF!$A$2:$B$674,2,)</f>
        <v>418062769</v>
      </c>
      <c r="F216" s="1" t="s">
        <v>563</v>
      </c>
      <c r="G216" s="1" t="s">
        <v>35</v>
      </c>
      <c r="H216" s="1">
        <v>2</v>
      </c>
      <c r="I216" s="1">
        <v>0</v>
      </c>
      <c r="J216" s="1">
        <v>0</v>
      </c>
      <c r="K216" s="1">
        <v>0</v>
      </c>
      <c r="L216" s="1">
        <v>0</v>
      </c>
      <c r="M216" s="1">
        <v>1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1</v>
      </c>
      <c r="W216" s="1">
        <f>SUMPRODUCT(I216:V216,$I$13:$V$13)</f>
        <v>3210</v>
      </c>
      <c r="X216" s="6">
        <f t="shared" si="5"/>
        <v>0.1</v>
      </c>
      <c r="Y216" s="1" t="str">
        <f>VLOOKUP(D216,[1]PARTS!$A$1:$G$65536,7,0)</f>
        <v>VISHAY SPRAGUE</v>
      </c>
      <c r="Z216" s="1">
        <v>2000</v>
      </c>
      <c r="AA216" s="1">
        <v>3170</v>
      </c>
      <c r="AB216" s="1">
        <f>CEILING(W216,Z216)</f>
        <v>4000</v>
      </c>
      <c r="AC216" s="1">
        <f>VLOOKUP(D216,[2]pareto!$D$12:$AX$306,47,0)</f>
        <v>0.05</v>
      </c>
      <c r="AD216" s="1" t="s">
        <v>250</v>
      </c>
      <c r="AE216" s="1" t="s">
        <v>251</v>
      </c>
      <c r="AF216" s="19" t="s">
        <v>252</v>
      </c>
      <c r="AG216" s="1" t="s">
        <v>253</v>
      </c>
      <c r="BG216" s="8">
        <f>SUM($BB216,$AI216:AI216)-SUM($BY216:BZ216)</f>
        <v>0</v>
      </c>
      <c r="BH216" s="8">
        <f>SUM($BB216,$AI216:AJ216)-SUM($BY216:CA216)</f>
        <v>0</v>
      </c>
      <c r="BI216" s="8">
        <f>SUM($BB216,$AI216:AK216)-SUM($BY216:CB216)</f>
        <v>0</v>
      </c>
      <c r="BJ216" s="8">
        <f>SUM($BB216,$AI216:AL216)-SUM($BY216:CC216)</f>
        <v>0</v>
      </c>
      <c r="BK216" s="8">
        <f>SUM($BB216,$AI216:AM216)-SUM($BY216:CD216)</f>
        <v>0</v>
      </c>
      <c r="BL216" s="8">
        <f>SUM($BB216,$AI216:AN216)-SUM($BY216:CE216)</f>
        <v>0</v>
      </c>
      <c r="BM216" s="8">
        <f>SUM($BB216,$AI216:AO216)-SUM($BY216:CF216)</f>
        <v>0</v>
      </c>
      <c r="BN216" s="8">
        <f>SUM($BB216,$AI216:AP216)-SUM($BY216:CG216)</f>
        <v>-100</v>
      </c>
      <c r="BO216" s="8">
        <f>SUM($BB216,$AI216:AQ216)-SUM($BY216:CH216)</f>
        <v>-350</v>
      </c>
      <c r="BP216" s="8">
        <f>SUM($BB216,$AI216:AR216)-SUM($BY216:CI216)</f>
        <v>-750</v>
      </c>
      <c r="BQ216" s="8">
        <f>SUM($BB216,$AI216:AS216)-SUM($BY216:CJ216)</f>
        <v>-1220</v>
      </c>
      <c r="BR216" s="8">
        <f>SUM($BB216,$AI216:AT216)-SUM($BY216:CK216)</f>
        <v>-1620</v>
      </c>
      <c r="BS216" s="8">
        <f>SUM($BB216,$AI216:AU216)-SUM($BY216:CL216)</f>
        <v>-1970</v>
      </c>
      <c r="BT216" s="8">
        <f>SUM($BB216,$AI216:AV216)-SUM($BY216:CM216)</f>
        <v>-2410</v>
      </c>
      <c r="BU216" s="8">
        <f>SUM($BB216,$AI216:AW216)-SUM($BY216:CN216)</f>
        <v>-2950</v>
      </c>
      <c r="BV216" s="8">
        <f>SUM($BB216,$AI216:AX216)-SUM($BY216:CO216)</f>
        <v>-3210</v>
      </c>
      <c r="BW216" s="8">
        <f>SUM($BB216,$AI216:AY216)-SUM($BY216:CP216)</f>
        <v>-3210</v>
      </c>
      <c r="BX216" s="8">
        <f>SUM($BB216,$AI216:AZ216)-SUM($BY216:CQ216)</f>
        <v>-3210</v>
      </c>
      <c r="BY216" s="8" cm="1">
        <f t="array" ref="BY216">SUMPRODUCT(TRANSPOSE(BY$2:BY$15),$I216:$V216)</f>
        <v>0</v>
      </c>
      <c r="BZ216" s="8" cm="1">
        <f t="array" ref="BZ216">SUMPRODUCT(TRANSPOSE(BZ$2:BZ$15),$I216:$V216)</f>
        <v>0</v>
      </c>
      <c r="CA216" s="8" cm="1">
        <f t="array" ref="CA216">SUMPRODUCT(TRANSPOSE(CA$2:CA$15),$I216:$V216)</f>
        <v>0</v>
      </c>
      <c r="CB216" s="8" cm="1">
        <f t="array" ref="CB216">SUMPRODUCT(TRANSPOSE(CB$2:CB$15),$I216:$V216)</f>
        <v>0</v>
      </c>
      <c r="CC216" s="8" cm="1">
        <f t="array" ref="CC216">SUMPRODUCT(TRANSPOSE(CC$2:CC$15),$I216:$V216)</f>
        <v>0</v>
      </c>
      <c r="CD216" s="8" cm="1">
        <f t="array" ref="CD216">SUMPRODUCT(TRANSPOSE(CD$2:CD$15),$I216:$V216)</f>
        <v>0</v>
      </c>
      <c r="CE216" s="8" cm="1">
        <f t="array" ref="CE216">SUMPRODUCT(TRANSPOSE(CE$2:CE$15),$I216:$V216)</f>
        <v>0</v>
      </c>
      <c r="CF216" s="8" cm="1">
        <f t="array" ref="CF216">SUMPRODUCT(TRANSPOSE(CF$2:CF$15),$I216:$V216)</f>
        <v>0</v>
      </c>
      <c r="CG216" s="8" cm="1">
        <f t="array" ref="CG216">SUMPRODUCT(TRANSPOSE(CG$2:CG$15),$I216:$V216)</f>
        <v>100</v>
      </c>
      <c r="CH216" s="8" cm="1">
        <f t="array" ref="CH216">SUMPRODUCT(TRANSPOSE(CH$2:CH$15),$I216:$V216)</f>
        <v>250</v>
      </c>
      <c r="CI216" s="8" cm="1">
        <f t="array" ref="CI216">SUMPRODUCT(TRANSPOSE(CI$2:CI$15),$I216:$V216)</f>
        <v>400</v>
      </c>
      <c r="CJ216" s="8" cm="1">
        <f t="array" ref="CJ216">SUMPRODUCT(TRANSPOSE(CJ$2:CJ$15),$I216:$V216)</f>
        <v>470</v>
      </c>
      <c r="CK216" s="8" cm="1">
        <f t="array" ref="CK216">SUMPRODUCT(TRANSPOSE(CK$2:CK$15),$I216:$V216)</f>
        <v>400</v>
      </c>
      <c r="CL216" s="8" cm="1">
        <f t="array" ref="CL216">SUMPRODUCT(TRANSPOSE(CL$2:CL$15),$I216:$V216)</f>
        <v>350</v>
      </c>
      <c r="CM216" s="8" cm="1">
        <f t="array" ref="CM216">SUMPRODUCT(TRANSPOSE(CM$2:CM$15),$I216:$V216)</f>
        <v>440</v>
      </c>
      <c r="CN216" s="8" cm="1">
        <f t="array" ref="CN216">SUMPRODUCT(TRANSPOSE(CN$2:CN$15),$I216:$V216)</f>
        <v>540</v>
      </c>
      <c r="CO216" s="8" cm="1">
        <f t="array" ref="CO216">SUMPRODUCT(TRANSPOSE(CO$2:CO$15),$I216:$V216)</f>
        <v>260</v>
      </c>
      <c r="CP216" s="8" cm="1">
        <f t="array" ref="CP216">SUMPRODUCT(TRANSPOSE(CP$2:CP$15),$I216:$V216)</f>
        <v>0</v>
      </c>
      <c r="CQ216" s="8" cm="1">
        <f t="array" ref="CQ216">SUMPRODUCT(TRANSPOSE(CQ$2:CQ$15),$I216:$V216)</f>
        <v>0</v>
      </c>
    </row>
    <row r="217" spans="1:95" x14ac:dyDescent="0.25">
      <c r="A217" s="1">
        <v>197</v>
      </c>
      <c r="B217" s="11" t="s">
        <v>564</v>
      </c>
      <c r="C217" s="1" t="s">
        <v>49</v>
      </c>
      <c r="D217" s="1">
        <v>401234952</v>
      </c>
      <c r="E217" s="6" t="str">
        <f>VLOOKUP(D217,FFF!$A$2:$B$674,2,)</f>
        <v>FFF004290</v>
      </c>
      <c r="F217" s="1" t="s">
        <v>565</v>
      </c>
      <c r="G217" s="1" t="s">
        <v>35</v>
      </c>
      <c r="H217" s="1">
        <v>10</v>
      </c>
      <c r="I217" s="1">
        <v>0</v>
      </c>
      <c r="J217" s="1">
        <v>0</v>
      </c>
      <c r="K217" s="1">
        <v>0</v>
      </c>
      <c r="L217" s="1">
        <v>0</v>
      </c>
      <c r="M217" s="1">
        <v>4</v>
      </c>
      <c r="N217" s="1">
        <v>0</v>
      </c>
      <c r="O217" s="1">
        <v>0</v>
      </c>
      <c r="P217" s="1">
        <v>0</v>
      </c>
      <c r="Q217" s="1">
        <v>2</v>
      </c>
      <c r="R217" s="1">
        <v>0</v>
      </c>
      <c r="S217" s="1">
        <v>0</v>
      </c>
      <c r="T217" s="1">
        <v>0</v>
      </c>
      <c r="U217" s="1">
        <v>0</v>
      </c>
      <c r="V217" s="1">
        <v>4</v>
      </c>
      <c r="W217" s="1">
        <f>SUMPRODUCT(I217:V217,$I$13:$V$13)</f>
        <v>16160</v>
      </c>
      <c r="X217" s="6">
        <f t="shared" si="5"/>
        <v>2.2229999999999996E-2</v>
      </c>
      <c r="Y217" s="1" t="str">
        <f>VLOOKUP(D217,[1]PARTS!$A$1:$G$65536,7,0)</f>
        <v>VISHAY RESISTIVE SYSTEMS</v>
      </c>
      <c r="Z217" s="1">
        <f>VLOOKUP(D217,[2]pareto!$D$12:$AX$306,44,0)</f>
        <v>5000</v>
      </c>
      <c r="AA217" s="1">
        <f>VLOOKUP(D217,[2]pareto!$D$12:$AX$306,45,0)</f>
        <v>5000</v>
      </c>
      <c r="AB217" s="1">
        <f>CEILING(W217,Z217)</f>
        <v>20000</v>
      </c>
      <c r="AC217" s="1">
        <f>VLOOKUP(D217,[2]pareto!$D$12:$AX$306,47,0)</f>
        <v>2.2229999999999997E-3</v>
      </c>
      <c r="AD217" s="1" t="s">
        <v>85</v>
      </c>
      <c r="AE217" s="1" t="s">
        <v>86</v>
      </c>
      <c r="AF217" s="19" t="s">
        <v>87</v>
      </c>
      <c r="AG217" s="1" t="s">
        <v>88</v>
      </c>
      <c r="BG217" s="8">
        <f>SUM($BB217,$AI217:AI217)-SUM($BY217:BZ217)</f>
        <v>0</v>
      </c>
      <c r="BH217" s="8">
        <f>SUM($BB217,$AI217:AJ217)-SUM($BY217:CA217)</f>
        <v>0</v>
      </c>
      <c r="BI217" s="8">
        <f>SUM($BB217,$AI217:AK217)-SUM($BY217:CB217)</f>
        <v>0</v>
      </c>
      <c r="BJ217" s="8">
        <f>SUM($BB217,$AI217:AL217)-SUM($BY217:CC217)</f>
        <v>0</v>
      </c>
      <c r="BK217" s="8">
        <f>SUM($BB217,$AI217:AM217)-SUM($BY217:CD217)</f>
        <v>0</v>
      </c>
      <c r="BL217" s="8">
        <f>SUM($BB217,$AI217:AN217)-SUM($BY217:CE217)</f>
        <v>0</v>
      </c>
      <c r="BM217" s="8">
        <f>SUM($BB217,$AI217:AO217)-SUM($BY217:CF217)</f>
        <v>0</v>
      </c>
      <c r="BN217" s="8">
        <f>SUM($BB217,$AI217:AP217)-SUM($BY217:CG217)</f>
        <v>-600</v>
      </c>
      <c r="BO217" s="8">
        <f>SUM($BB217,$AI217:AQ217)-SUM($BY217:CH217)</f>
        <v>-1900</v>
      </c>
      <c r="BP217" s="8">
        <f>SUM($BB217,$AI217:AR217)-SUM($BY217:CI217)</f>
        <v>-4000</v>
      </c>
      <c r="BQ217" s="8">
        <f>SUM($BB217,$AI217:AS217)-SUM($BY217:CJ217)</f>
        <v>-6280</v>
      </c>
      <c r="BR217" s="8">
        <f>SUM($BB217,$AI217:AT217)-SUM($BY217:CK217)</f>
        <v>-8280</v>
      </c>
      <c r="BS217" s="8">
        <f>SUM($BB217,$AI217:AU217)-SUM($BY217:CL217)</f>
        <v>-10080</v>
      </c>
      <c r="BT217" s="8">
        <f>SUM($BB217,$AI217:AV217)-SUM($BY217:CM217)</f>
        <v>-12440</v>
      </c>
      <c r="BU217" s="8">
        <f>SUM($BB217,$AI217:AW217)-SUM($BY217:CN217)</f>
        <v>-15120</v>
      </c>
      <c r="BV217" s="8">
        <f>SUM($BB217,$AI217:AX217)-SUM($BY217:CO217)</f>
        <v>-16160</v>
      </c>
      <c r="BW217" s="8">
        <f>SUM($BB217,$AI217:AY217)-SUM($BY217:CP217)</f>
        <v>-16160</v>
      </c>
      <c r="BX217" s="8">
        <f>SUM($BB217,$AI217:AZ217)-SUM($BY217:CQ217)</f>
        <v>-16160</v>
      </c>
      <c r="BY217" s="8" cm="1">
        <f t="array" ref="BY217">SUMPRODUCT(TRANSPOSE(BY$2:BY$15),$I217:$V217)</f>
        <v>0</v>
      </c>
      <c r="BZ217" s="8" cm="1">
        <f t="array" ref="BZ217">SUMPRODUCT(TRANSPOSE(BZ$2:BZ$15),$I217:$V217)</f>
        <v>0</v>
      </c>
      <c r="CA217" s="8" cm="1">
        <f t="array" ref="CA217">SUMPRODUCT(TRANSPOSE(CA$2:CA$15),$I217:$V217)</f>
        <v>0</v>
      </c>
      <c r="CB217" s="8" cm="1">
        <f t="array" ref="CB217">SUMPRODUCT(TRANSPOSE(CB$2:CB$15),$I217:$V217)</f>
        <v>0</v>
      </c>
      <c r="CC217" s="8" cm="1">
        <f t="array" ref="CC217">SUMPRODUCT(TRANSPOSE(CC$2:CC$15),$I217:$V217)</f>
        <v>0</v>
      </c>
      <c r="CD217" s="8" cm="1">
        <f t="array" ref="CD217">SUMPRODUCT(TRANSPOSE(CD$2:CD$15),$I217:$V217)</f>
        <v>0</v>
      </c>
      <c r="CE217" s="8" cm="1">
        <f t="array" ref="CE217">SUMPRODUCT(TRANSPOSE(CE$2:CE$15),$I217:$V217)</f>
        <v>0</v>
      </c>
      <c r="CF217" s="8" cm="1">
        <f t="array" ref="CF217">SUMPRODUCT(TRANSPOSE(CF$2:CF$15),$I217:$V217)</f>
        <v>0</v>
      </c>
      <c r="CG217" s="8" cm="1">
        <f t="array" ref="CG217">SUMPRODUCT(TRANSPOSE(CG$2:CG$15),$I217:$V217)</f>
        <v>600</v>
      </c>
      <c r="CH217" s="8" cm="1">
        <f t="array" ref="CH217">SUMPRODUCT(TRANSPOSE(CH$2:CH$15),$I217:$V217)</f>
        <v>1300</v>
      </c>
      <c r="CI217" s="8" cm="1">
        <f t="array" ref="CI217">SUMPRODUCT(TRANSPOSE(CI$2:CI$15),$I217:$V217)</f>
        <v>2100</v>
      </c>
      <c r="CJ217" s="8" cm="1">
        <f t="array" ref="CJ217">SUMPRODUCT(TRANSPOSE(CJ$2:CJ$15),$I217:$V217)</f>
        <v>2280</v>
      </c>
      <c r="CK217" s="8" cm="1">
        <f t="array" ref="CK217">SUMPRODUCT(TRANSPOSE(CK$2:CK$15),$I217:$V217)</f>
        <v>2000</v>
      </c>
      <c r="CL217" s="8" cm="1">
        <f t="array" ref="CL217">SUMPRODUCT(TRANSPOSE(CL$2:CL$15),$I217:$V217)</f>
        <v>1800</v>
      </c>
      <c r="CM217" s="8" cm="1">
        <f t="array" ref="CM217">SUMPRODUCT(TRANSPOSE(CM$2:CM$15),$I217:$V217)</f>
        <v>2360</v>
      </c>
      <c r="CN217" s="8" cm="1">
        <f t="array" ref="CN217">SUMPRODUCT(TRANSPOSE(CN$2:CN$15),$I217:$V217)</f>
        <v>2680</v>
      </c>
      <c r="CO217" s="8" cm="1">
        <f t="array" ref="CO217">SUMPRODUCT(TRANSPOSE(CO$2:CO$15),$I217:$V217)</f>
        <v>1040</v>
      </c>
      <c r="CP217" s="8" cm="1">
        <f t="array" ref="CP217">SUMPRODUCT(TRANSPOSE(CP$2:CP$15),$I217:$V217)</f>
        <v>0</v>
      </c>
      <c r="CQ217" s="8" cm="1">
        <f t="array" ref="CQ217">SUMPRODUCT(TRANSPOSE(CQ$2:CQ$15),$I217:$V217)</f>
        <v>0</v>
      </c>
    </row>
    <row r="218" spans="1:95" x14ac:dyDescent="0.25">
      <c r="A218" s="1">
        <v>170</v>
      </c>
      <c r="B218" s="11" t="s">
        <v>566</v>
      </c>
      <c r="C218" s="1" t="s">
        <v>49</v>
      </c>
      <c r="D218" s="1">
        <v>401679598</v>
      </c>
      <c r="E218" s="6">
        <f>VLOOKUP(D218,FFF!$A$2:$B$674,2,)</f>
        <v>400294252</v>
      </c>
      <c r="F218" s="1" t="s">
        <v>567</v>
      </c>
      <c r="G218" s="1" t="s">
        <v>35</v>
      </c>
      <c r="H218" s="1">
        <v>10</v>
      </c>
      <c r="I218" s="1">
        <v>0</v>
      </c>
      <c r="J218" s="1">
        <v>0</v>
      </c>
      <c r="K218" s="1">
        <v>0</v>
      </c>
      <c r="L218" s="1">
        <v>0</v>
      </c>
      <c r="M218" s="1">
        <v>3</v>
      </c>
      <c r="N218" s="1">
        <v>0</v>
      </c>
      <c r="O218" s="1">
        <v>0</v>
      </c>
      <c r="P218" s="1">
        <v>0</v>
      </c>
      <c r="Q218" s="1">
        <v>4</v>
      </c>
      <c r="R218" s="1">
        <v>0</v>
      </c>
      <c r="S218" s="1">
        <v>0</v>
      </c>
      <c r="T218" s="1">
        <v>0</v>
      </c>
      <c r="U218" s="1">
        <v>0</v>
      </c>
      <c r="V218" s="1">
        <v>3</v>
      </c>
      <c r="W218" s="1">
        <f>SUMPRODUCT(I218:V218,$I$13:$V$13)</f>
        <v>16270</v>
      </c>
      <c r="X218" s="6">
        <f t="shared" si="5"/>
        <v>1.9889999999999998E-2</v>
      </c>
      <c r="Y218" s="1" t="str">
        <f>VLOOKUP(D218,[1]PARTS!$A$1:$G$65536,7,0)</f>
        <v>VISHAY RESISTIVE SYSTEMS</v>
      </c>
      <c r="Z218" s="1">
        <f>VLOOKUP(D218,[2]pareto!$D$12:$AX$306,44,0)</f>
        <v>10000</v>
      </c>
      <c r="AA218" s="1">
        <f>VLOOKUP(D218,[2]pareto!$D$12:$AX$306,45,0)</f>
        <v>10000</v>
      </c>
      <c r="AB218" s="1">
        <f>CEILING(W218,Z218)</f>
        <v>20000</v>
      </c>
      <c r="AC218" s="1">
        <f>VLOOKUP(D218,[2]pareto!$D$12:$AX$306,47,0)</f>
        <v>1.9889999999999999E-3</v>
      </c>
      <c r="AD218" s="1" t="s">
        <v>85</v>
      </c>
      <c r="AE218" s="1" t="s">
        <v>86</v>
      </c>
      <c r="AF218" s="19" t="s">
        <v>87</v>
      </c>
      <c r="AG218" s="1" t="s">
        <v>88</v>
      </c>
      <c r="BG218" s="8">
        <f>SUM($BB218,$AI218:AI218)-SUM($BY218:BZ218)</f>
        <v>0</v>
      </c>
      <c r="BH218" s="8">
        <f>SUM($BB218,$AI218:AJ218)-SUM($BY218:CA218)</f>
        <v>0</v>
      </c>
      <c r="BI218" s="8">
        <f>SUM($BB218,$AI218:AK218)-SUM($BY218:CB218)</f>
        <v>0</v>
      </c>
      <c r="BJ218" s="8">
        <f>SUM($BB218,$AI218:AL218)-SUM($BY218:CC218)</f>
        <v>0</v>
      </c>
      <c r="BK218" s="8">
        <f>SUM($BB218,$AI218:AM218)-SUM($BY218:CD218)</f>
        <v>0</v>
      </c>
      <c r="BL218" s="8">
        <f>SUM($BB218,$AI218:AN218)-SUM($BY218:CE218)</f>
        <v>0</v>
      </c>
      <c r="BM218" s="8">
        <f>SUM($BB218,$AI218:AO218)-SUM($BY218:CF218)</f>
        <v>0</v>
      </c>
      <c r="BN218" s="8">
        <f>SUM($BB218,$AI218:AP218)-SUM($BY218:CG218)</f>
        <v>-700</v>
      </c>
      <c r="BO218" s="8">
        <f>SUM($BB218,$AI218:AQ218)-SUM($BY218:CH218)</f>
        <v>-2050</v>
      </c>
      <c r="BP218" s="8">
        <f>SUM($BB218,$AI218:AR218)-SUM($BY218:CI218)</f>
        <v>-4250</v>
      </c>
      <c r="BQ218" s="8">
        <f>SUM($BB218,$AI218:AS218)-SUM($BY218:CJ218)</f>
        <v>-6460</v>
      </c>
      <c r="BR218" s="8">
        <f>SUM($BB218,$AI218:AT218)-SUM($BY218:CK218)</f>
        <v>-8460</v>
      </c>
      <c r="BS218" s="8">
        <f>SUM($BB218,$AI218:AU218)-SUM($BY218:CL218)</f>
        <v>-10310</v>
      </c>
      <c r="BT218" s="8">
        <f>SUM($BB218,$AI218:AV218)-SUM($BY218:CM218)</f>
        <v>-12830</v>
      </c>
      <c r="BU218" s="8">
        <f>SUM($BB218,$AI218:AW218)-SUM($BY218:CN218)</f>
        <v>-15490</v>
      </c>
      <c r="BV218" s="8">
        <f>SUM($BB218,$AI218:AX218)-SUM($BY218:CO218)</f>
        <v>-16270</v>
      </c>
      <c r="BW218" s="8">
        <f>SUM($BB218,$AI218:AY218)-SUM($BY218:CP218)</f>
        <v>-16270</v>
      </c>
      <c r="BX218" s="8">
        <f>SUM($BB218,$AI218:AZ218)-SUM($BY218:CQ218)</f>
        <v>-16270</v>
      </c>
      <c r="BY218" s="8" cm="1">
        <f t="array" ref="BY218">SUMPRODUCT(TRANSPOSE(BY$2:BY$15),$I218:$V218)</f>
        <v>0</v>
      </c>
      <c r="BZ218" s="8" cm="1">
        <f t="array" ref="BZ218">SUMPRODUCT(TRANSPOSE(BZ$2:BZ$15),$I218:$V218)</f>
        <v>0</v>
      </c>
      <c r="CA218" s="8" cm="1">
        <f t="array" ref="CA218">SUMPRODUCT(TRANSPOSE(CA$2:CA$15),$I218:$V218)</f>
        <v>0</v>
      </c>
      <c r="CB218" s="8" cm="1">
        <f t="array" ref="CB218">SUMPRODUCT(TRANSPOSE(CB$2:CB$15),$I218:$V218)</f>
        <v>0</v>
      </c>
      <c r="CC218" s="8" cm="1">
        <f t="array" ref="CC218">SUMPRODUCT(TRANSPOSE(CC$2:CC$15),$I218:$V218)</f>
        <v>0</v>
      </c>
      <c r="CD218" s="8" cm="1">
        <f t="array" ref="CD218">SUMPRODUCT(TRANSPOSE(CD$2:CD$15),$I218:$V218)</f>
        <v>0</v>
      </c>
      <c r="CE218" s="8" cm="1">
        <f t="array" ref="CE218">SUMPRODUCT(TRANSPOSE(CE$2:CE$15),$I218:$V218)</f>
        <v>0</v>
      </c>
      <c r="CF218" s="8" cm="1">
        <f t="array" ref="CF218">SUMPRODUCT(TRANSPOSE(CF$2:CF$15),$I218:$V218)</f>
        <v>0</v>
      </c>
      <c r="CG218" s="8" cm="1">
        <f t="array" ref="CG218">SUMPRODUCT(TRANSPOSE(CG$2:CG$15),$I218:$V218)</f>
        <v>700</v>
      </c>
      <c r="CH218" s="8" cm="1">
        <f t="array" ref="CH218">SUMPRODUCT(TRANSPOSE(CH$2:CH$15),$I218:$V218)</f>
        <v>1350</v>
      </c>
      <c r="CI218" s="8" cm="1">
        <f t="array" ref="CI218">SUMPRODUCT(TRANSPOSE(CI$2:CI$15),$I218:$V218)</f>
        <v>2200</v>
      </c>
      <c r="CJ218" s="8" cm="1">
        <f t="array" ref="CJ218">SUMPRODUCT(TRANSPOSE(CJ$2:CJ$15),$I218:$V218)</f>
        <v>2210</v>
      </c>
      <c r="CK218" s="8" cm="1">
        <f t="array" ref="CK218">SUMPRODUCT(TRANSPOSE(CK$2:CK$15),$I218:$V218)</f>
        <v>2000</v>
      </c>
      <c r="CL218" s="8" cm="1">
        <f t="array" ref="CL218">SUMPRODUCT(TRANSPOSE(CL$2:CL$15),$I218:$V218)</f>
        <v>1850</v>
      </c>
      <c r="CM218" s="8" cm="1">
        <f t="array" ref="CM218">SUMPRODUCT(TRANSPOSE(CM$2:CM$15),$I218:$V218)</f>
        <v>2520</v>
      </c>
      <c r="CN218" s="8" cm="1">
        <f t="array" ref="CN218">SUMPRODUCT(TRANSPOSE(CN$2:CN$15),$I218:$V218)</f>
        <v>2660</v>
      </c>
      <c r="CO218" s="8" cm="1">
        <f t="array" ref="CO218">SUMPRODUCT(TRANSPOSE(CO$2:CO$15),$I218:$V218)</f>
        <v>780</v>
      </c>
      <c r="CP218" s="8" cm="1">
        <f t="array" ref="CP218">SUMPRODUCT(TRANSPOSE(CP$2:CP$15),$I218:$V218)</f>
        <v>0</v>
      </c>
      <c r="CQ218" s="8" cm="1">
        <f t="array" ref="CQ218">SUMPRODUCT(TRANSPOSE(CQ$2:CQ$15),$I218:$V218)</f>
        <v>0</v>
      </c>
    </row>
    <row r="219" spans="1:95" x14ac:dyDescent="0.25">
      <c r="A219" s="1">
        <v>264</v>
      </c>
      <c r="B219" s="11" t="s">
        <v>568</v>
      </c>
      <c r="C219" s="1" t="s">
        <v>49</v>
      </c>
      <c r="D219" s="1">
        <v>514204148</v>
      </c>
      <c r="E219" s="6"/>
      <c r="F219" s="1" t="s">
        <v>569</v>
      </c>
      <c r="G219" s="1" t="s">
        <v>35</v>
      </c>
      <c r="H219" s="1">
        <v>4</v>
      </c>
      <c r="I219" s="1">
        <v>0</v>
      </c>
      <c r="J219" s="1">
        <v>2</v>
      </c>
      <c r="K219" s="1">
        <v>0</v>
      </c>
      <c r="L219" s="1">
        <v>0</v>
      </c>
      <c r="M219" s="1">
        <v>0</v>
      </c>
      <c r="N219" s="1">
        <v>0</v>
      </c>
      <c r="O219" s="1">
        <v>2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f>SUMPRODUCT(I219:V219,$I$13:$V$13)</f>
        <v>6420</v>
      </c>
      <c r="X219" s="6">
        <f t="shared" si="5"/>
        <v>7.5999999999999998E-2</v>
      </c>
      <c r="Y219" s="1" t="str">
        <f>VLOOKUP(D219,[1]PARTS!$A$1:$G$65536,7,0)</f>
        <v>NAS/NASM NATIONAL AEROSPACE STD</v>
      </c>
      <c r="Z219" s="1">
        <v>1</v>
      </c>
      <c r="AA219" s="1">
        <f>CEILING(W219,Z219)</f>
        <v>6420</v>
      </c>
      <c r="AB219" s="1">
        <f>CEILING(W219,Z219)</f>
        <v>6420</v>
      </c>
      <c r="AC219" s="1">
        <f>VLOOKUP(D219,[2]pareto!$D$12:$AX$306,47,0)</f>
        <v>1.9E-2</v>
      </c>
      <c r="AD219" s="1" t="str">
        <f>VLOOKUP(D219,[2]pareto!$D$11:$BD$306,50,0)</f>
        <v>KAYTECH</v>
      </c>
      <c r="AE219" s="1" t="s">
        <v>325</v>
      </c>
      <c r="AF219" s="19" t="s">
        <v>326</v>
      </c>
      <c r="AG219" s="1" t="s">
        <v>327</v>
      </c>
      <c r="BG219" s="8">
        <f>SUM($BB219,$AI219:AI219)-SUM($BY219:BZ219)</f>
        <v>0</v>
      </c>
      <c r="BH219" s="8">
        <f>SUM($BB219,$AI219:AJ219)-SUM($BY219:CA219)</f>
        <v>0</v>
      </c>
      <c r="BI219" s="8">
        <f>SUM($BB219,$AI219:AK219)-SUM($BY219:CB219)</f>
        <v>0</v>
      </c>
      <c r="BJ219" s="8">
        <f>SUM($BB219,$AI219:AL219)-SUM($BY219:CC219)</f>
        <v>0</v>
      </c>
      <c r="BK219" s="8">
        <f>SUM($BB219,$AI219:AM219)-SUM($BY219:CD219)</f>
        <v>0</v>
      </c>
      <c r="BL219" s="8">
        <f>SUM($BB219,$AI219:AN219)-SUM($BY219:CE219)</f>
        <v>0</v>
      </c>
      <c r="BM219" s="8">
        <f>SUM($BB219,$AI219:AO219)-SUM($BY219:CF219)</f>
        <v>0</v>
      </c>
      <c r="BN219" s="8">
        <f>SUM($BB219,$AI219:AP219)-SUM($BY219:CG219)</f>
        <v>0</v>
      </c>
      <c r="BO219" s="8">
        <f>SUM($BB219,$AI219:AQ219)-SUM($BY219:CH219)</f>
        <v>0</v>
      </c>
      <c r="BP219" s="8">
        <f>SUM($BB219,$AI219:AR219)-SUM($BY219:CI219)</f>
        <v>-400</v>
      </c>
      <c r="BQ219" s="8">
        <f>SUM($BB219,$AI219:AS219)-SUM($BY219:CJ219)</f>
        <v>-1000</v>
      </c>
      <c r="BR219" s="8">
        <f>SUM($BB219,$AI219:AT219)-SUM($BY219:CK219)</f>
        <v>-2000</v>
      </c>
      <c r="BS219" s="8">
        <f>SUM($BB219,$AI219:AU219)-SUM($BY219:CL219)</f>
        <v>-2840</v>
      </c>
      <c r="BT219" s="8">
        <f>SUM($BB219,$AI219:AV219)-SUM($BY219:CM219)</f>
        <v>-3640</v>
      </c>
      <c r="BU219" s="8">
        <f>SUM($BB219,$AI219:AW219)-SUM($BY219:CN219)</f>
        <v>-4340</v>
      </c>
      <c r="BV219" s="8">
        <f>SUM($BB219,$AI219:AX219)-SUM($BY219:CO219)</f>
        <v>-5420</v>
      </c>
      <c r="BW219" s="8">
        <f>SUM($BB219,$AI219:AY219)-SUM($BY219:CP219)</f>
        <v>-6420</v>
      </c>
      <c r="BX219" s="8">
        <f>SUM($BB219,$AI219:AZ219)-SUM($BY219:CQ219)</f>
        <v>-6420</v>
      </c>
      <c r="BY219" s="8" cm="1">
        <f t="array" ref="BY219">SUMPRODUCT(TRANSPOSE(BY$2:BY$15),$I219:$V219)</f>
        <v>0</v>
      </c>
      <c r="BZ219" s="8" cm="1">
        <f t="array" ref="BZ219">SUMPRODUCT(TRANSPOSE(BZ$2:BZ$15),$I219:$V219)</f>
        <v>0</v>
      </c>
      <c r="CA219" s="8" cm="1">
        <f t="array" ref="CA219">SUMPRODUCT(TRANSPOSE(CA$2:CA$15),$I219:$V219)</f>
        <v>0</v>
      </c>
      <c r="CB219" s="8" cm="1">
        <f t="array" ref="CB219">SUMPRODUCT(TRANSPOSE(CB$2:CB$15),$I219:$V219)</f>
        <v>0</v>
      </c>
      <c r="CC219" s="8" cm="1">
        <f t="array" ref="CC219">SUMPRODUCT(TRANSPOSE(CC$2:CC$15),$I219:$V219)</f>
        <v>0</v>
      </c>
      <c r="CD219" s="8" cm="1">
        <f t="array" ref="CD219">SUMPRODUCT(TRANSPOSE(CD$2:CD$15),$I219:$V219)</f>
        <v>0</v>
      </c>
      <c r="CE219" s="8" cm="1">
        <f t="array" ref="CE219">SUMPRODUCT(TRANSPOSE(CE$2:CE$15),$I219:$V219)</f>
        <v>0</v>
      </c>
      <c r="CF219" s="8" cm="1">
        <f t="array" ref="CF219">SUMPRODUCT(TRANSPOSE(CF$2:CF$15),$I219:$V219)</f>
        <v>0</v>
      </c>
      <c r="CG219" s="8" cm="1">
        <f t="array" ref="CG219">SUMPRODUCT(TRANSPOSE(CG$2:CG$15),$I219:$V219)</f>
        <v>0</v>
      </c>
      <c r="CH219" s="8" cm="1">
        <f t="array" ref="CH219">SUMPRODUCT(TRANSPOSE(CH$2:CH$15),$I219:$V219)</f>
        <v>0</v>
      </c>
      <c r="CI219" s="8" cm="1">
        <f t="array" ref="CI219">SUMPRODUCT(TRANSPOSE(CI$2:CI$15),$I219:$V219)</f>
        <v>400</v>
      </c>
      <c r="CJ219" s="8" cm="1">
        <f t="array" ref="CJ219">SUMPRODUCT(TRANSPOSE(CJ$2:CJ$15),$I219:$V219)</f>
        <v>600</v>
      </c>
      <c r="CK219" s="8" cm="1">
        <f t="array" ref="CK219">SUMPRODUCT(TRANSPOSE(CK$2:CK$15),$I219:$V219)</f>
        <v>1000</v>
      </c>
      <c r="CL219" s="8" cm="1">
        <f t="array" ref="CL219">SUMPRODUCT(TRANSPOSE(CL$2:CL$15),$I219:$V219)</f>
        <v>840</v>
      </c>
      <c r="CM219" s="8" cm="1">
        <f t="array" ref="CM219">SUMPRODUCT(TRANSPOSE(CM$2:CM$15),$I219:$V219)</f>
        <v>800</v>
      </c>
      <c r="CN219" s="8" cm="1">
        <f t="array" ref="CN219">SUMPRODUCT(TRANSPOSE(CN$2:CN$15),$I219:$V219)</f>
        <v>700</v>
      </c>
      <c r="CO219" s="8" cm="1">
        <f t="array" ref="CO219">SUMPRODUCT(TRANSPOSE(CO$2:CO$15),$I219:$V219)</f>
        <v>1080</v>
      </c>
      <c r="CP219" s="8" cm="1">
        <f t="array" ref="CP219">SUMPRODUCT(TRANSPOSE(CP$2:CP$15),$I219:$V219)</f>
        <v>1000</v>
      </c>
      <c r="CQ219" s="8" cm="1">
        <f t="array" ref="CQ219">SUMPRODUCT(TRANSPOSE(CQ$2:CQ$15),$I219:$V219)</f>
        <v>0</v>
      </c>
    </row>
    <row r="220" spans="1:95" x14ac:dyDescent="0.25">
      <c r="A220" s="1">
        <v>129</v>
      </c>
      <c r="B220" s="11" t="s">
        <v>570</v>
      </c>
      <c r="C220" s="1" t="s">
        <v>49</v>
      </c>
      <c r="D220" s="1">
        <v>422206914</v>
      </c>
      <c r="E220" s="6">
        <f>VLOOKUP(D220,FFF!$A$2:$B$674,2,)</f>
        <v>400481360</v>
      </c>
      <c r="F220" s="1" t="s">
        <v>571</v>
      </c>
      <c r="G220" s="1" t="s">
        <v>35</v>
      </c>
      <c r="H220" s="1">
        <v>4</v>
      </c>
      <c r="I220" s="1">
        <v>0</v>
      </c>
      <c r="J220" s="1">
        <v>0</v>
      </c>
      <c r="K220" s="1">
        <v>0</v>
      </c>
      <c r="L220" s="1">
        <v>0</v>
      </c>
      <c r="M220" s="1">
        <v>2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2</v>
      </c>
      <c r="W220" s="1">
        <f>SUMPRODUCT(I220:V220,$I$13:$V$13)</f>
        <v>6420</v>
      </c>
      <c r="X220" s="6">
        <f t="shared" si="5"/>
        <v>1.6847999999999998E-2</v>
      </c>
      <c r="Y220" s="1" t="str">
        <f>VLOOKUP(D220,[1]PARTS!$A$1:$G$65536,7,0)</f>
        <v>KEMET ELECTRONICS S A</v>
      </c>
      <c r="Z220" s="1">
        <f>VLOOKUP(D220,[2]pareto!$D$12:$AX$306,44,0)</f>
        <v>4000</v>
      </c>
      <c r="AA220" s="1">
        <f>VLOOKUP(D220,[2]pareto!$D$12:$AX$306,45,0)</f>
        <v>4000</v>
      </c>
      <c r="AB220" s="1">
        <f>CEILING(W220,Z220)</f>
        <v>8000</v>
      </c>
      <c r="AC220" s="1">
        <f>VLOOKUP(D220,[2]pareto!$D$12:$AX$306,47,0)</f>
        <v>4.2119999999999996E-3</v>
      </c>
      <c r="AD220" s="1" t="s">
        <v>85</v>
      </c>
      <c r="AE220" s="1" t="s">
        <v>86</v>
      </c>
      <c r="AF220" s="19" t="s">
        <v>87</v>
      </c>
      <c r="AG220" s="1" t="s">
        <v>88</v>
      </c>
      <c r="BG220" s="8">
        <f>SUM($BB220,$AI220:AI220)-SUM($BY220:BZ220)</f>
        <v>0</v>
      </c>
      <c r="BH220" s="8">
        <f>SUM($BB220,$AI220:AJ220)-SUM($BY220:CA220)</f>
        <v>0</v>
      </c>
      <c r="BI220" s="8">
        <f>SUM($BB220,$AI220:AK220)-SUM($BY220:CB220)</f>
        <v>0</v>
      </c>
      <c r="BJ220" s="8">
        <f>SUM($BB220,$AI220:AL220)-SUM($BY220:CC220)</f>
        <v>0</v>
      </c>
      <c r="BK220" s="8">
        <f>SUM($BB220,$AI220:AM220)-SUM($BY220:CD220)</f>
        <v>0</v>
      </c>
      <c r="BL220" s="8">
        <f>SUM($BB220,$AI220:AN220)-SUM($BY220:CE220)</f>
        <v>0</v>
      </c>
      <c r="BM220" s="8">
        <f>SUM($BB220,$AI220:AO220)-SUM($BY220:CF220)</f>
        <v>0</v>
      </c>
      <c r="BN220" s="8">
        <f>SUM($BB220,$AI220:AP220)-SUM($BY220:CG220)</f>
        <v>-200</v>
      </c>
      <c r="BO220" s="8">
        <f>SUM($BB220,$AI220:AQ220)-SUM($BY220:CH220)</f>
        <v>-700</v>
      </c>
      <c r="BP220" s="8">
        <f>SUM($BB220,$AI220:AR220)-SUM($BY220:CI220)</f>
        <v>-1500</v>
      </c>
      <c r="BQ220" s="8">
        <f>SUM($BB220,$AI220:AS220)-SUM($BY220:CJ220)</f>
        <v>-2440</v>
      </c>
      <c r="BR220" s="8">
        <f>SUM($BB220,$AI220:AT220)-SUM($BY220:CK220)</f>
        <v>-3240</v>
      </c>
      <c r="BS220" s="8">
        <f>SUM($BB220,$AI220:AU220)-SUM($BY220:CL220)</f>
        <v>-3940</v>
      </c>
      <c r="BT220" s="8">
        <f>SUM($BB220,$AI220:AV220)-SUM($BY220:CM220)</f>
        <v>-4820</v>
      </c>
      <c r="BU220" s="8">
        <f>SUM($BB220,$AI220:AW220)-SUM($BY220:CN220)</f>
        <v>-5900</v>
      </c>
      <c r="BV220" s="8">
        <f>SUM($BB220,$AI220:AX220)-SUM($BY220:CO220)</f>
        <v>-6420</v>
      </c>
      <c r="BW220" s="8">
        <f>SUM($BB220,$AI220:AY220)-SUM($BY220:CP220)</f>
        <v>-6420</v>
      </c>
      <c r="BX220" s="8">
        <f>SUM($BB220,$AI220:AZ220)-SUM($BY220:CQ220)</f>
        <v>-6420</v>
      </c>
      <c r="BY220" s="8" cm="1">
        <f t="array" ref="BY220">SUMPRODUCT(TRANSPOSE(BY$2:BY$15),$I220:$V220)</f>
        <v>0</v>
      </c>
      <c r="BZ220" s="8" cm="1">
        <f t="array" ref="BZ220">SUMPRODUCT(TRANSPOSE(BZ$2:BZ$15),$I220:$V220)</f>
        <v>0</v>
      </c>
      <c r="CA220" s="8" cm="1">
        <f t="array" ref="CA220">SUMPRODUCT(TRANSPOSE(CA$2:CA$15),$I220:$V220)</f>
        <v>0</v>
      </c>
      <c r="CB220" s="8" cm="1">
        <f t="array" ref="CB220">SUMPRODUCT(TRANSPOSE(CB$2:CB$15),$I220:$V220)</f>
        <v>0</v>
      </c>
      <c r="CC220" s="8" cm="1">
        <f t="array" ref="CC220">SUMPRODUCT(TRANSPOSE(CC$2:CC$15),$I220:$V220)</f>
        <v>0</v>
      </c>
      <c r="CD220" s="8" cm="1">
        <f t="array" ref="CD220">SUMPRODUCT(TRANSPOSE(CD$2:CD$15),$I220:$V220)</f>
        <v>0</v>
      </c>
      <c r="CE220" s="8" cm="1">
        <f t="array" ref="CE220">SUMPRODUCT(TRANSPOSE(CE$2:CE$15),$I220:$V220)</f>
        <v>0</v>
      </c>
      <c r="CF220" s="8" cm="1">
        <f t="array" ref="CF220">SUMPRODUCT(TRANSPOSE(CF$2:CF$15),$I220:$V220)</f>
        <v>0</v>
      </c>
      <c r="CG220" s="8" cm="1">
        <f t="array" ref="CG220">SUMPRODUCT(TRANSPOSE(CG$2:CG$15),$I220:$V220)</f>
        <v>200</v>
      </c>
      <c r="CH220" s="8" cm="1">
        <f t="array" ref="CH220">SUMPRODUCT(TRANSPOSE(CH$2:CH$15),$I220:$V220)</f>
        <v>500</v>
      </c>
      <c r="CI220" s="8" cm="1">
        <f t="array" ref="CI220">SUMPRODUCT(TRANSPOSE(CI$2:CI$15),$I220:$V220)</f>
        <v>800</v>
      </c>
      <c r="CJ220" s="8" cm="1">
        <f t="array" ref="CJ220">SUMPRODUCT(TRANSPOSE(CJ$2:CJ$15),$I220:$V220)</f>
        <v>940</v>
      </c>
      <c r="CK220" s="8" cm="1">
        <f t="array" ref="CK220">SUMPRODUCT(TRANSPOSE(CK$2:CK$15),$I220:$V220)</f>
        <v>800</v>
      </c>
      <c r="CL220" s="8" cm="1">
        <f t="array" ref="CL220">SUMPRODUCT(TRANSPOSE(CL$2:CL$15),$I220:$V220)</f>
        <v>700</v>
      </c>
      <c r="CM220" s="8" cm="1">
        <f t="array" ref="CM220">SUMPRODUCT(TRANSPOSE(CM$2:CM$15),$I220:$V220)</f>
        <v>880</v>
      </c>
      <c r="CN220" s="8" cm="1">
        <f t="array" ref="CN220">SUMPRODUCT(TRANSPOSE(CN$2:CN$15),$I220:$V220)</f>
        <v>1080</v>
      </c>
      <c r="CO220" s="8" cm="1">
        <f t="array" ref="CO220">SUMPRODUCT(TRANSPOSE(CO$2:CO$15),$I220:$V220)</f>
        <v>520</v>
      </c>
      <c r="CP220" s="8" cm="1">
        <f t="array" ref="CP220">SUMPRODUCT(TRANSPOSE(CP$2:CP$15),$I220:$V220)</f>
        <v>0</v>
      </c>
      <c r="CQ220" s="8" cm="1">
        <f t="array" ref="CQ220">SUMPRODUCT(TRANSPOSE(CQ$2:CQ$15),$I220:$V220)</f>
        <v>0</v>
      </c>
    </row>
    <row r="221" spans="1:95" x14ac:dyDescent="0.25">
      <c r="A221" s="1">
        <v>130</v>
      </c>
      <c r="B221" s="11" t="s">
        <v>572</v>
      </c>
      <c r="C221" s="1" t="s">
        <v>49</v>
      </c>
      <c r="D221" s="1">
        <v>400538389</v>
      </c>
      <c r="E221" s="6">
        <f>VLOOKUP(D221,FFF!$A$2:$B$674,2,)</f>
        <v>400326624</v>
      </c>
      <c r="F221" s="1" t="s">
        <v>573</v>
      </c>
      <c r="G221" s="1" t="s">
        <v>35</v>
      </c>
      <c r="H221" s="1">
        <v>8</v>
      </c>
      <c r="I221" s="1">
        <v>0</v>
      </c>
      <c r="J221" s="1">
        <v>0</v>
      </c>
      <c r="K221" s="1">
        <v>0</v>
      </c>
      <c r="L221" s="1">
        <v>0</v>
      </c>
      <c r="M221" s="1">
        <v>4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4</v>
      </c>
      <c r="W221" s="1">
        <f>SUMPRODUCT(I221:V221,$I$13:$V$13)</f>
        <v>12840</v>
      </c>
      <c r="X221" s="6">
        <f t="shared" si="5"/>
        <v>2.2463999999999998E-2</v>
      </c>
      <c r="Y221" s="1" t="str">
        <f>VLOOKUP(D221,[1]PARTS!$A$1:$G$65536,7,0)</f>
        <v>KEMET ELECTRONICS S A</v>
      </c>
      <c r="Z221" s="1">
        <f>VLOOKUP(D221,[2]pareto!$D$12:$AX$306,44,0)</f>
        <v>4000</v>
      </c>
      <c r="AA221" s="1">
        <f>VLOOKUP(D221,[2]pareto!$D$12:$AX$306,45,0)</f>
        <v>4000</v>
      </c>
      <c r="AB221" s="1">
        <f>CEILING(W221,Z221)</f>
        <v>16000</v>
      </c>
      <c r="AC221" s="1">
        <f>VLOOKUP(D221,[2]pareto!$D$12:$AX$306,47,0)</f>
        <v>2.8079999999999997E-3</v>
      </c>
      <c r="AD221" s="1" t="s">
        <v>85</v>
      </c>
      <c r="AE221" s="1" t="s">
        <v>86</v>
      </c>
      <c r="AF221" s="19" t="s">
        <v>87</v>
      </c>
      <c r="AG221" s="1" t="s">
        <v>88</v>
      </c>
      <c r="BG221" s="8">
        <f>SUM($BB221,$AI221:AI221)-SUM($BY221:BZ221)</f>
        <v>0</v>
      </c>
      <c r="BH221" s="8">
        <f>SUM($BB221,$AI221:AJ221)-SUM($BY221:CA221)</f>
        <v>0</v>
      </c>
      <c r="BI221" s="8">
        <f>SUM($BB221,$AI221:AK221)-SUM($BY221:CB221)</f>
        <v>0</v>
      </c>
      <c r="BJ221" s="8">
        <f>SUM($BB221,$AI221:AL221)-SUM($BY221:CC221)</f>
        <v>0</v>
      </c>
      <c r="BK221" s="8">
        <f>SUM($BB221,$AI221:AM221)-SUM($BY221:CD221)</f>
        <v>0</v>
      </c>
      <c r="BL221" s="8">
        <f>SUM($BB221,$AI221:AN221)-SUM($BY221:CE221)</f>
        <v>0</v>
      </c>
      <c r="BM221" s="8">
        <f>SUM($BB221,$AI221:AO221)-SUM($BY221:CF221)</f>
        <v>0</v>
      </c>
      <c r="BN221" s="8">
        <f>SUM($BB221,$AI221:AP221)-SUM($BY221:CG221)</f>
        <v>-400</v>
      </c>
      <c r="BO221" s="8">
        <f>SUM($BB221,$AI221:AQ221)-SUM($BY221:CH221)</f>
        <v>-1400</v>
      </c>
      <c r="BP221" s="8">
        <f>SUM($BB221,$AI221:AR221)-SUM($BY221:CI221)</f>
        <v>-3000</v>
      </c>
      <c r="BQ221" s="8">
        <f>SUM($BB221,$AI221:AS221)-SUM($BY221:CJ221)</f>
        <v>-4880</v>
      </c>
      <c r="BR221" s="8">
        <f>SUM($BB221,$AI221:AT221)-SUM($BY221:CK221)</f>
        <v>-6480</v>
      </c>
      <c r="BS221" s="8">
        <f>SUM($BB221,$AI221:AU221)-SUM($BY221:CL221)</f>
        <v>-7880</v>
      </c>
      <c r="BT221" s="8">
        <f>SUM($BB221,$AI221:AV221)-SUM($BY221:CM221)</f>
        <v>-9640</v>
      </c>
      <c r="BU221" s="8">
        <f>SUM($BB221,$AI221:AW221)-SUM($BY221:CN221)</f>
        <v>-11800</v>
      </c>
      <c r="BV221" s="8">
        <f>SUM($BB221,$AI221:AX221)-SUM($BY221:CO221)</f>
        <v>-12840</v>
      </c>
      <c r="BW221" s="8">
        <f>SUM($BB221,$AI221:AY221)-SUM($BY221:CP221)</f>
        <v>-12840</v>
      </c>
      <c r="BX221" s="8">
        <f>SUM($BB221,$AI221:AZ221)-SUM($BY221:CQ221)</f>
        <v>-12840</v>
      </c>
      <c r="BY221" s="8" cm="1">
        <f t="array" ref="BY221">SUMPRODUCT(TRANSPOSE(BY$2:BY$15),$I221:$V221)</f>
        <v>0</v>
      </c>
      <c r="BZ221" s="8" cm="1">
        <f t="array" ref="BZ221">SUMPRODUCT(TRANSPOSE(BZ$2:BZ$15),$I221:$V221)</f>
        <v>0</v>
      </c>
      <c r="CA221" s="8" cm="1">
        <f t="array" ref="CA221">SUMPRODUCT(TRANSPOSE(CA$2:CA$15),$I221:$V221)</f>
        <v>0</v>
      </c>
      <c r="CB221" s="8" cm="1">
        <f t="array" ref="CB221">SUMPRODUCT(TRANSPOSE(CB$2:CB$15),$I221:$V221)</f>
        <v>0</v>
      </c>
      <c r="CC221" s="8" cm="1">
        <f t="array" ref="CC221">SUMPRODUCT(TRANSPOSE(CC$2:CC$15),$I221:$V221)</f>
        <v>0</v>
      </c>
      <c r="CD221" s="8" cm="1">
        <f t="array" ref="CD221">SUMPRODUCT(TRANSPOSE(CD$2:CD$15),$I221:$V221)</f>
        <v>0</v>
      </c>
      <c r="CE221" s="8" cm="1">
        <f t="array" ref="CE221">SUMPRODUCT(TRANSPOSE(CE$2:CE$15),$I221:$V221)</f>
        <v>0</v>
      </c>
      <c r="CF221" s="8" cm="1">
        <f t="array" ref="CF221">SUMPRODUCT(TRANSPOSE(CF$2:CF$15),$I221:$V221)</f>
        <v>0</v>
      </c>
      <c r="CG221" s="8" cm="1">
        <f t="array" ref="CG221">SUMPRODUCT(TRANSPOSE(CG$2:CG$15),$I221:$V221)</f>
        <v>400</v>
      </c>
      <c r="CH221" s="8" cm="1">
        <f t="array" ref="CH221">SUMPRODUCT(TRANSPOSE(CH$2:CH$15),$I221:$V221)</f>
        <v>1000</v>
      </c>
      <c r="CI221" s="8" cm="1">
        <f t="array" ref="CI221">SUMPRODUCT(TRANSPOSE(CI$2:CI$15),$I221:$V221)</f>
        <v>1600</v>
      </c>
      <c r="CJ221" s="8" cm="1">
        <f t="array" ref="CJ221">SUMPRODUCT(TRANSPOSE(CJ$2:CJ$15),$I221:$V221)</f>
        <v>1880</v>
      </c>
      <c r="CK221" s="8" cm="1">
        <f t="array" ref="CK221">SUMPRODUCT(TRANSPOSE(CK$2:CK$15),$I221:$V221)</f>
        <v>1600</v>
      </c>
      <c r="CL221" s="8" cm="1">
        <f t="array" ref="CL221">SUMPRODUCT(TRANSPOSE(CL$2:CL$15),$I221:$V221)</f>
        <v>1400</v>
      </c>
      <c r="CM221" s="8" cm="1">
        <f t="array" ref="CM221">SUMPRODUCT(TRANSPOSE(CM$2:CM$15),$I221:$V221)</f>
        <v>1760</v>
      </c>
      <c r="CN221" s="8" cm="1">
        <f t="array" ref="CN221">SUMPRODUCT(TRANSPOSE(CN$2:CN$15),$I221:$V221)</f>
        <v>2160</v>
      </c>
      <c r="CO221" s="8" cm="1">
        <f t="array" ref="CO221">SUMPRODUCT(TRANSPOSE(CO$2:CO$15),$I221:$V221)</f>
        <v>1040</v>
      </c>
      <c r="CP221" s="8" cm="1">
        <f t="array" ref="CP221">SUMPRODUCT(TRANSPOSE(CP$2:CP$15),$I221:$V221)</f>
        <v>0</v>
      </c>
      <c r="CQ221" s="8" cm="1">
        <f t="array" ref="CQ221">SUMPRODUCT(TRANSPOSE(CQ$2:CQ$15),$I221:$V221)</f>
        <v>0</v>
      </c>
    </row>
    <row r="222" spans="1:95" x14ac:dyDescent="0.25">
      <c r="A222" s="1">
        <v>180</v>
      </c>
      <c r="B222" s="11" t="s">
        <v>574</v>
      </c>
      <c r="C222" s="1" t="s">
        <v>49</v>
      </c>
      <c r="D222" s="1">
        <v>402515066</v>
      </c>
      <c r="E222" s="6" t="str">
        <f>VLOOKUP(D222,FFF!$A$2:$B$674,2,)</f>
        <v>FFF004388</v>
      </c>
      <c r="F222" s="1" t="s">
        <v>575</v>
      </c>
      <c r="G222" s="1" t="s">
        <v>35</v>
      </c>
      <c r="H222" s="1">
        <v>8</v>
      </c>
      <c r="I222" s="1">
        <v>0</v>
      </c>
      <c r="J222" s="1">
        <v>0</v>
      </c>
      <c r="K222" s="1">
        <v>0</v>
      </c>
      <c r="L222" s="1">
        <v>0</v>
      </c>
      <c r="M222" s="1">
        <v>4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4</v>
      </c>
      <c r="W222" s="1">
        <f>SUMPRODUCT(I222:V222,$I$13:$V$13)</f>
        <v>12840</v>
      </c>
      <c r="X222" s="6">
        <f t="shared" si="5"/>
        <v>1.7783999999999998E-2</v>
      </c>
      <c r="Y222" s="1" t="str">
        <f>VLOOKUP(D222,[1]PARTS!$A$1:$G$65536,7,0)</f>
        <v>VISHAY RESISTIVE SYSTEMS</v>
      </c>
      <c r="Z222" s="1">
        <f>VLOOKUP(D222,[2]pareto!$D$12:$AX$306,44,0)</f>
        <v>5000</v>
      </c>
      <c r="AA222" s="1">
        <f>VLOOKUP(D222,[2]pareto!$D$12:$AX$306,45,0)</f>
        <v>5000</v>
      </c>
      <c r="AB222" s="1">
        <f>CEILING(W222,Z222)</f>
        <v>15000</v>
      </c>
      <c r="AC222" s="1">
        <f>VLOOKUP(D222,[2]pareto!$D$12:$AX$306,47,0)</f>
        <v>2.2229999999999997E-3</v>
      </c>
      <c r="AD222" s="1" t="s">
        <v>85</v>
      </c>
      <c r="AE222" s="1" t="s">
        <v>86</v>
      </c>
      <c r="AF222" s="19" t="s">
        <v>87</v>
      </c>
      <c r="AG222" s="1" t="s">
        <v>88</v>
      </c>
      <c r="BG222" s="8">
        <f>SUM($BB222,$AI222:AI222)-SUM($BY222:BZ222)</f>
        <v>0</v>
      </c>
      <c r="BH222" s="8">
        <f>SUM($BB222,$AI222:AJ222)-SUM($BY222:CA222)</f>
        <v>0</v>
      </c>
      <c r="BI222" s="8">
        <f>SUM($BB222,$AI222:AK222)-SUM($BY222:CB222)</f>
        <v>0</v>
      </c>
      <c r="BJ222" s="8">
        <f>SUM($BB222,$AI222:AL222)-SUM($BY222:CC222)</f>
        <v>0</v>
      </c>
      <c r="BK222" s="8">
        <f>SUM($BB222,$AI222:AM222)-SUM($BY222:CD222)</f>
        <v>0</v>
      </c>
      <c r="BL222" s="8">
        <f>SUM($BB222,$AI222:AN222)-SUM($BY222:CE222)</f>
        <v>0</v>
      </c>
      <c r="BM222" s="8">
        <f>SUM($BB222,$AI222:AO222)-SUM($BY222:CF222)</f>
        <v>0</v>
      </c>
      <c r="BN222" s="8">
        <f>SUM($BB222,$AI222:AP222)-SUM($BY222:CG222)</f>
        <v>-400</v>
      </c>
      <c r="BO222" s="8">
        <f>SUM($BB222,$AI222:AQ222)-SUM($BY222:CH222)</f>
        <v>-1400</v>
      </c>
      <c r="BP222" s="8">
        <f>SUM($BB222,$AI222:AR222)-SUM($BY222:CI222)</f>
        <v>-3000</v>
      </c>
      <c r="BQ222" s="8">
        <f>SUM($BB222,$AI222:AS222)-SUM($BY222:CJ222)</f>
        <v>-4880</v>
      </c>
      <c r="BR222" s="8">
        <f>SUM($BB222,$AI222:AT222)-SUM($BY222:CK222)</f>
        <v>-6480</v>
      </c>
      <c r="BS222" s="8">
        <f>SUM($BB222,$AI222:AU222)-SUM($BY222:CL222)</f>
        <v>-7880</v>
      </c>
      <c r="BT222" s="8">
        <f>SUM($BB222,$AI222:AV222)-SUM($BY222:CM222)</f>
        <v>-9640</v>
      </c>
      <c r="BU222" s="8">
        <f>SUM($BB222,$AI222:AW222)-SUM($BY222:CN222)</f>
        <v>-11800</v>
      </c>
      <c r="BV222" s="8">
        <f>SUM($BB222,$AI222:AX222)-SUM($BY222:CO222)</f>
        <v>-12840</v>
      </c>
      <c r="BW222" s="8">
        <f>SUM($BB222,$AI222:AY222)-SUM($BY222:CP222)</f>
        <v>-12840</v>
      </c>
      <c r="BX222" s="8">
        <f>SUM($BB222,$AI222:AZ222)-SUM($BY222:CQ222)</f>
        <v>-12840</v>
      </c>
      <c r="BY222" s="8" cm="1">
        <f t="array" ref="BY222">SUMPRODUCT(TRANSPOSE(BY$2:BY$15),$I222:$V222)</f>
        <v>0</v>
      </c>
      <c r="BZ222" s="8" cm="1">
        <f t="array" ref="BZ222">SUMPRODUCT(TRANSPOSE(BZ$2:BZ$15),$I222:$V222)</f>
        <v>0</v>
      </c>
      <c r="CA222" s="8" cm="1">
        <f t="array" ref="CA222">SUMPRODUCT(TRANSPOSE(CA$2:CA$15),$I222:$V222)</f>
        <v>0</v>
      </c>
      <c r="CB222" s="8" cm="1">
        <f t="array" ref="CB222">SUMPRODUCT(TRANSPOSE(CB$2:CB$15),$I222:$V222)</f>
        <v>0</v>
      </c>
      <c r="CC222" s="8" cm="1">
        <f t="array" ref="CC222">SUMPRODUCT(TRANSPOSE(CC$2:CC$15),$I222:$V222)</f>
        <v>0</v>
      </c>
      <c r="CD222" s="8" cm="1">
        <f t="array" ref="CD222">SUMPRODUCT(TRANSPOSE(CD$2:CD$15),$I222:$V222)</f>
        <v>0</v>
      </c>
      <c r="CE222" s="8" cm="1">
        <f t="array" ref="CE222">SUMPRODUCT(TRANSPOSE(CE$2:CE$15),$I222:$V222)</f>
        <v>0</v>
      </c>
      <c r="CF222" s="8" cm="1">
        <f t="array" ref="CF222">SUMPRODUCT(TRANSPOSE(CF$2:CF$15),$I222:$V222)</f>
        <v>0</v>
      </c>
      <c r="CG222" s="8" cm="1">
        <f t="array" ref="CG222">SUMPRODUCT(TRANSPOSE(CG$2:CG$15),$I222:$V222)</f>
        <v>400</v>
      </c>
      <c r="CH222" s="8" cm="1">
        <f t="array" ref="CH222">SUMPRODUCT(TRANSPOSE(CH$2:CH$15),$I222:$V222)</f>
        <v>1000</v>
      </c>
      <c r="CI222" s="8" cm="1">
        <f t="array" ref="CI222">SUMPRODUCT(TRANSPOSE(CI$2:CI$15),$I222:$V222)</f>
        <v>1600</v>
      </c>
      <c r="CJ222" s="8" cm="1">
        <f t="array" ref="CJ222">SUMPRODUCT(TRANSPOSE(CJ$2:CJ$15),$I222:$V222)</f>
        <v>1880</v>
      </c>
      <c r="CK222" s="8" cm="1">
        <f t="array" ref="CK222">SUMPRODUCT(TRANSPOSE(CK$2:CK$15),$I222:$V222)</f>
        <v>1600</v>
      </c>
      <c r="CL222" s="8" cm="1">
        <f t="array" ref="CL222">SUMPRODUCT(TRANSPOSE(CL$2:CL$15),$I222:$V222)</f>
        <v>1400</v>
      </c>
      <c r="CM222" s="8" cm="1">
        <f t="array" ref="CM222">SUMPRODUCT(TRANSPOSE(CM$2:CM$15),$I222:$V222)</f>
        <v>1760</v>
      </c>
      <c r="CN222" s="8" cm="1">
        <f t="array" ref="CN222">SUMPRODUCT(TRANSPOSE(CN$2:CN$15),$I222:$V222)</f>
        <v>2160</v>
      </c>
      <c r="CO222" s="8" cm="1">
        <f t="array" ref="CO222">SUMPRODUCT(TRANSPOSE(CO$2:CO$15),$I222:$V222)</f>
        <v>1040</v>
      </c>
      <c r="CP222" s="8" cm="1">
        <f t="array" ref="CP222">SUMPRODUCT(TRANSPOSE(CP$2:CP$15),$I222:$V222)</f>
        <v>0</v>
      </c>
      <c r="CQ222" s="8" cm="1">
        <f t="array" ref="CQ222">SUMPRODUCT(TRANSPOSE(CQ$2:CQ$15),$I222:$V222)</f>
        <v>0</v>
      </c>
    </row>
    <row r="223" spans="1:95" x14ac:dyDescent="0.25">
      <c r="A223" s="1">
        <v>182</v>
      </c>
      <c r="B223" s="11" t="s">
        <v>576</v>
      </c>
      <c r="C223" s="1" t="s">
        <v>49</v>
      </c>
      <c r="D223" s="1">
        <v>400658342</v>
      </c>
      <c r="E223" s="6" t="str">
        <f>VLOOKUP(D223,FFF!$A$2:$B$674,2,)</f>
        <v>FFF004222</v>
      </c>
      <c r="F223" s="1" t="s">
        <v>577</v>
      </c>
      <c r="G223" s="1" t="s">
        <v>35</v>
      </c>
      <c r="H223" s="1">
        <v>8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8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f>SUMPRODUCT(I223:V223,$I$13:$V$13)</f>
        <v>13280</v>
      </c>
      <c r="X223" s="6">
        <f t="shared" si="5"/>
        <v>1.7783999999999998E-2</v>
      </c>
      <c r="Y223" s="1" t="str">
        <f>VLOOKUP(D223,[1]PARTS!$A$1:$G$65536,7,0)</f>
        <v>VISHAY RESISTIVE SYSTEMS</v>
      </c>
      <c r="Z223" s="1">
        <f>VLOOKUP(D223,[2]pareto!$D$12:$AX$306,44,0)</f>
        <v>5000</v>
      </c>
      <c r="AA223" s="1">
        <f>VLOOKUP(D223,[2]pareto!$D$12:$AX$306,45,0)</f>
        <v>5000</v>
      </c>
      <c r="AB223" s="1">
        <f>CEILING(W223,Z223)</f>
        <v>15000</v>
      </c>
      <c r="AC223" s="1">
        <f>VLOOKUP(D223,[2]pareto!$D$12:$AX$306,47,0)</f>
        <v>2.2229999999999997E-3</v>
      </c>
      <c r="AD223" s="1" t="s">
        <v>85</v>
      </c>
      <c r="AE223" s="1" t="s">
        <v>86</v>
      </c>
      <c r="AF223" s="19" t="s">
        <v>87</v>
      </c>
      <c r="AG223" s="1" t="s">
        <v>88</v>
      </c>
      <c r="BG223" s="8">
        <f>SUM($BB223,$AI223:AI223)-SUM($BY223:BZ223)</f>
        <v>0</v>
      </c>
      <c r="BH223" s="8">
        <f>SUM($BB223,$AI223:AJ223)-SUM($BY223:CA223)</f>
        <v>0</v>
      </c>
      <c r="BI223" s="8">
        <f>SUM($BB223,$AI223:AK223)-SUM($BY223:CB223)</f>
        <v>0</v>
      </c>
      <c r="BJ223" s="8">
        <f>SUM($BB223,$AI223:AL223)-SUM($BY223:CC223)</f>
        <v>0</v>
      </c>
      <c r="BK223" s="8">
        <f>SUM($BB223,$AI223:AM223)-SUM($BY223:CD223)</f>
        <v>0</v>
      </c>
      <c r="BL223" s="8">
        <f>SUM($BB223,$AI223:AN223)-SUM($BY223:CE223)</f>
        <v>0</v>
      </c>
      <c r="BM223" s="8">
        <f>SUM($BB223,$AI223:AO223)-SUM($BY223:CF223)</f>
        <v>0</v>
      </c>
      <c r="BN223" s="8">
        <f>SUM($BB223,$AI223:AP223)-SUM($BY223:CG223)</f>
        <v>-800</v>
      </c>
      <c r="BO223" s="8">
        <f>SUM($BB223,$AI223:AQ223)-SUM($BY223:CH223)</f>
        <v>-2000</v>
      </c>
      <c r="BP223" s="8">
        <f>SUM($BB223,$AI223:AR223)-SUM($BY223:CI223)</f>
        <v>-4000</v>
      </c>
      <c r="BQ223" s="8">
        <f>SUM($BB223,$AI223:AS223)-SUM($BY223:CJ223)</f>
        <v>-5600</v>
      </c>
      <c r="BR223" s="8">
        <f>SUM($BB223,$AI223:AT223)-SUM($BY223:CK223)</f>
        <v>-7200</v>
      </c>
      <c r="BS223" s="8">
        <f>SUM($BB223,$AI223:AU223)-SUM($BY223:CL223)</f>
        <v>-8800</v>
      </c>
      <c r="BT223" s="8">
        <f>SUM($BB223,$AI223:AV223)-SUM($BY223:CM223)</f>
        <v>-11200</v>
      </c>
      <c r="BU223" s="8">
        <f>SUM($BB223,$AI223:AW223)-SUM($BY223:CN223)</f>
        <v>-13280</v>
      </c>
      <c r="BV223" s="8">
        <f>SUM($BB223,$AI223:AX223)-SUM($BY223:CO223)</f>
        <v>-13280</v>
      </c>
      <c r="BW223" s="8">
        <f>SUM($BB223,$AI223:AY223)-SUM($BY223:CP223)</f>
        <v>-13280</v>
      </c>
      <c r="BX223" s="8">
        <f>SUM($BB223,$AI223:AZ223)-SUM($BY223:CQ223)</f>
        <v>-13280</v>
      </c>
      <c r="BY223" s="8" cm="1">
        <f t="array" ref="BY223">SUMPRODUCT(TRANSPOSE(BY$2:BY$15),$I223:$V223)</f>
        <v>0</v>
      </c>
      <c r="BZ223" s="8" cm="1">
        <f t="array" ref="BZ223">SUMPRODUCT(TRANSPOSE(BZ$2:BZ$15),$I223:$V223)</f>
        <v>0</v>
      </c>
      <c r="CA223" s="8" cm="1">
        <f t="array" ref="CA223">SUMPRODUCT(TRANSPOSE(CA$2:CA$15),$I223:$V223)</f>
        <v>0</v>
      </c>
      <c r="CB223" s="8" cm="1">
        <f t="array" ref="CB223">SUMPRODUCT(TRANSPOSE(CB$2:CB$15),$I223:$V223)</f>
        <v>0</v>
      </c>
      <c r="CC223" s="8" cm="1">
        <f t="array" ref="CC223">SUMPRODUCT(TRANSPOSE(CC$2:CC$15),$I223:$V223)</f>
        <v>0</v>
      </c>
      <c r="CD223" s="8" cm="1">
        <f t="array" ref="CD223">SUMPRODUCT(TRANSPOSE(CD$2:CD$15),$I223:$V223)</f>
        <v>0</v>
      </c>
      <c r="CE223" s="8" cm="1">
        <f t="array" ref="CE223">SUMPRODUCT(TRANSPOSE(CE$2:CE$15),$I223:$V223)</f>
        <v>0</v>
      </c>
      <c r="CF223" s="8" cm="1">
        <f t="array" ref="CF223">SUMPRODUCT(TRANSPOSE(CF$2:CF$15),$I223:$V223)</f>
        <v>0</v>
      </c>
      <c r="CG223" s="8" cm="1">
        <f t="array" ref="CG223">SUMPRODUCT(TRANSPOSE(CG$2:CG$15),$I223:$V223)</f>
        <v>800</v>
      </c>
      <c r="CH223" s="8" cm="1">
        <f t="array" ref="CH223">SUMPRODUCT(TRANSPOSE(CH$2:CH$15),$I223:$V223)</f>
        <v>1200</v>
      </c>
      <c r="CI223" s="8" cm="1">
        <f t="array" ref="CI223">SUMPRODUCT(TRANSPOSE(CI$2:CI$15),$I223:$V223)</f>
        <v>2000</v>
      </c>
      <c r="CJ223" s="8" cm="1">
        <f t="array" ref="CJ223">SUMPRODUCT(TRANSPOSE(CJ$2:CJ$15),$I223:$V223)</f>
        <v>1600</v>
      </c>
      <c r="CK223" s="8" cm="1">
        <f t="array" ref="CK223">SUMPRODUCT(TRANSPOSE(CK$2:CK$15),$I223:$V223)</f>
        <v>1600</v>
      </c>
      <c r="CL223" s="8" cm="1">
        <f t="array" ref="CL223">SUMPRODUCT(TRANSPOSE(CL$2:CL$15),$I223:$V223)</f>
        <v>1600</v>
      </c>
      <c r="CM223" s="8" cm="1">
        <f t="array" ref="CM223">SUMPRODUCT(TRANSPOSE(CM$2:CM$15),$I223:$V223)</f>
        <v>2400</v>
      </c>
      <c r="CN223" s="8" cm="1">
        <f t="array" ref="CN223">SUMPRODUCT(TRANSPOSE(CN$2:CN$15),$I223:$V223)</f>
        <v>2080</v>
      </c>
      <c r="CO223" s="8" cm="1">
        <f t="array" ref="CO223">SUMPRODUCT(TRANSPOSE(CO$2:CO$15),$I223:$V223)</f>
        <v>0</v>
      </c>
      <c r="CP223" s="8" cm="1">
        <f t="array" ref="CP223">SUMPRODUCT(TRANSPOSE(CP$2:CP$15),$I223:$V223)</f>
        <v>0</v>
      </c>
      <c r="CQ223" s="8" cm="1">
        <f t="array" ref="CQ223">SUMPRODUCT(TRANSPOSE(CQ$2:CQ$15),$I223:$V223)</f>
        <v>0</v>
      </c>
    </row>
    <row r="224" spans="1:95" x14ac:dyDescent="0.25">
      <c r="A224" s="1">
        <v>200</v>
      </c>
      <c r="B224" s="11" t="s">
        <v>578</v>
      </c>
      <c r="C224" s="1" t="s">
        <v>49</v>
      </c>
      <c r="D224" s="1">
        <v>401282464</v>
      </c>
      <c r="E224" s="6" t="str">
        <f>VLOOKUP(D224,FFF!$A$2:$B$674,2,)</f>
        <v>FFF004108</v>
      </c>
      <c r="F224" s="1" t="s">
        <v>579</v>
      </c>
      <c r="G224" s="1" t="s">
        <v>35</v>
      </c>
      <c r="H224" s="1">
        <v>8</v>
      </c>
      <c r="I224" s="1">
        <v>0</v>
      </c>
      <c r="J224" s="1">
        <v>0</v>
      </c>
      <c r="K224" s="1">
        <v>0</v>
      </c>
      <c r="L224" s="1">
        <v>0</v>
      </c>
      <c r="M224" s="1">
        <v>4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4</v>
      </c>
      <c r="W224" s="1">
        <f>SUMPRODUCT(I224:V224,$I$13:$V$13)</f>
        <v>12840</v>
      </c>
      <c r="X224" s="6">
        <f t="shared" si="5"/>
        <v>1.7783999999999998E-2</v>
      </c>
      <c r="Y224" s="1" t="str">
        <f>VLOOKUP(D224,[1]PARTS!$A$1:$G$65536,7,0)</f>
        <v>VISHAY RESISTIVE SYSTEMS</v>
      </c>
      <c r="Z224" s="1">
        <f>VLOOKUP(D224,[2]pareto!$D$12:$AX$306,44,0)</f>
        <v>5000</v>
      </c>
      <c r="AA224" s="1">
        <f>VLOOKUP(D224,[2]pareto!$D$12:$AX$306,45,0)</f>
        <v>5000</v>
      </c>
      <c r="AB224" s="1">
        <f>CEILING(W224,Z224)</f>
        <v>15000</v>
      </c>
      <c r="AC224" s="1">
        <f>VLOOKUP(D224,[2]pareto!$D$12:$AX$306,47,0)</f>
        <v>2.2229999999999997E-3</v>
      </c>
      <c r="AD224" s="1" t="s">
        <v>85</v>
      </c>
      <c r="AE224" s="1" t="s">
        <v>86</v>
      </c>
      <c r="AF224" s="19" t="s">
        <v>87</v>
      </c>
      <c r="AG224" s="1" t="s">
        <v>88</v>
      </c>
      <c r="BG224" s="8">
        <f>SUM($BB224,$AI224:AI224)-SUM($BY224:BZ224)</f>
        <v>0</v>
      </c>
      <c r="BH224" s="8">
        <f>SUM($BB224,$AI224:AJ224)-SUM($BY224:CA224)</f>
        <v>0</v>
      </c>
      <c r="BI224" s="8">
        <f>SUM($BB224,$AI224:AK224)-SUM($BY224:CB224)</f>
        <v>0</v>
      </c>
      <c r="BJ224" s="8">
        <f>SUM($BB224,$AI224:AL224)-SUM($BY224:CC224)</f>
        <v>0</v>
      </c>
      <c r="BK224" s="8">
        <f>SUM($BB224,$AI224:AM224)-SUM($BY224:CD224)</f>
        <v>0</v>
      </c>
      <c r="BL224" s="8">
        <f>SUM($BB224,$AI224:AN224)-SUM($BY224:CE224)</f>
        <v>0</v>
      </c>
      <c r="BM224" s="8">
        <f>SUM($BB224,$AI224:AO224)-SUM($BY224:CF224)</f>
        <v>0</v>
      </c>
      <c r="BN224" s="8">
        <f>SUM($BB224,$AI224:AP224)-SUM($BY224:CG224)</f>
        <v>-400</v>
      </c>
      <c r="BO224" s="8">
        <f>SUM($BB224,$AI224:AQ224)-SUM($BY224:CH224)</f>
        <v>-1400</v>
      </c>
      <c r="BP224" s="8">
        <f>SUM($BB224,$AI224:AR224)-SUM($BY224:CI224)</f>
        <v>-3000</v>
      </c>
      <c r="BQ224" s="8">
        <f>SUM($BB224,$AI224:AS224)-SUM($BY224:CJ224)</f>
        <v>-4880</v>
      </c>
      <c r="BR224" s="8">
        <f>SUM($BB224,$AI224:AT224)-SUM($BY224:CK224)</f>
        <v>-6480</v>
      </c>
      <c r="BS224" s="8">
        <f>SUM($BB224,$AI224:AU224)-SUM($BY224:CL224)</f>
        <v>-7880</v>
      </c>
      <c r="BT224" s="8">
        <f>SUM($BB224,$AI224:AV224)-SUM($BY224:CM224)</f>
        <v>-9640</v>
      </c>
      <c r="BU224" s="8">
        <f>SUM($BB224,$AI224:AW224)-SUM($BY224:CN224)</f>
        <v>-11800</v>
      </c>
      <c r="BV224" s="8">
        <f>SUM($BB224,$AI224:AX224)-SUM($BY224:CO224)</f>
        <v>-12840</v>
      </c>
      <c r="BW224" s="8">
        <f>SUM($BB224,$AI224:AY224)-SUM($BY224:CP224)</f>
        <v>-12840</v>
      </c>
      <c r="BX224" s="8">
        <f>SUM($BB224,$AI224:AZ224)-SUM($BY224:CQ224)</f>
        <v>-12840</v>
      </c>
      <c r="BY224" s="8" cm="1">
        <f t="array" ref="BY224">SUMPRODUCT(TRANSPOSE(BY$2:BY$15),$I224:$V224)</f>
        <v>0</v>
      </c>
      <c r="BZ224" s="8" cm="1">
        <f t="array" ref="BZ224">SUMPRODUCT(TRANSPOSE(BZ$2:BZ$15),$I224:$V224)</f>
        <v>0</v>
      </c>
      <c r="CA224" s="8" cm="1">
        <f t="array" ref="CA224">SUMPRODUCT(TRANSPOSE(CA$2:CA$15),$I224:$V224)</f>
        <v>0</v>
      </c>
      <c r="CB224" s="8" cm="1">
        <f t="array" ref="CB224">SUMPRODUCT(TRANSPOSE(CB$2:CB$15),$I224:$V224)</f>
        <v>0</v>
      </c>
      <c r="CC224" s="8" cm="1">
        <f t="array" ref="CC224">SUMPRODUCT(TRANSPOSE(CC$2:CC$15),$I224:$V224)</f>
        <v>0</v>
      </c>
      <c r="CD224" s="8" cm="1">
        <f t="array" ref="CD224">SUMPRODUCT(TRANSPOSE(CD$2:CD$15),$I224:$V224)</f>
        <v>0</v>
      </c>
      <c r="CE224" s="8" cm="1">
        <f t="array" ref="CE224">SUMPRODUCT(TRANSPOSE(CE$2:CE$15),$I224:$V224)</f>
        <v>0</v>
      </c>
      <c r="CF224" s="8" cm="1">
        <f t="array" ref="CF224">SUMPRODUCT(TRANSPOSE(CF$2:CF$15),$I224:$V224)</f>
        <v>0</v>
      </c>
      <c r="CG224" s="8" cm="1">
        <f t="array" ref="CG224">SUMPRODUCT(TRANSPOSE(CG$2:CG$15),$I224:$V224)</f>
        <v>400</v>
      </c>
      <c r="CH224" s="8" cm="1">
        <f t="array" ref="CH224">SUMPRODUCT(TRANSPOSE(CH$2:CH$15),$I224:$V224)</f>
        <v>1000</v>
      </c>
      <c r="CI224" s="8" cm="1">
        <f t="array" ref="CI224">SUMPRODUCT(TRANSPOSE(CI$2:CI$15),$I224:$V224)</f>
        <v>1600</v>
      </c>
      <c r="CJ224" s="8" cm="1">
        <f t="array" ref="CJ224">SUMPRODUCT(TRANSPOSE(CJ$2:CJ$15),$I224:$V224)</f>
        <v>1880</v>
      </c>
      <c r="CK224" s="8" cm="1">
        <f t="array" ref="CK224">SUMPRODUCT(TRANSPOSE(CK$2:CK$15),$I224:$V224)</f>
        <v>1600</v>
      </c>
      <c r="CL224" s="8" cm="1">
        <f t="array" ref="CL224">SUMPRODUCT(TRANSPOSE(CL$2:CL$15),$I224:$V224)</f>
        <v>1400</v>
      </c>
      <c r="CM224" s="8" cm="1">
        <f t="array" ref="CM224">SUMPRODUCT(TRANSPOSE(CM$2:CM$15),$I224:$V224)</f>
        <v>1760</v>
      </c>
      <c r="CN224" s="8" cm="1">
        <f t="array" ref="CN224">SUMPRODUCT(TRANSPOSE(CN$2:CN$15),$I224:$V224)</f>
        <v>2160</v>
      </c>
      <c r="CO224" s="8" cm="1">
        <f t="array" ref="CO224">SUMPRODUCT(TRANSPOSE(CO$2:CO$15),$I224:$V224)</f>
        <v>1040</v>
      </c>
      <c r="CP224" s="8" cm="1">
        <f t="array" ref="CP224">SUMPRODUCT(TRANSPOSE(CP$2:CP$15),$I224:$V224)</f>
        <v>0</v>
      </c>
      <c r="CQ224" s="8" cm="1">
        <f t="array" ref="CQ224">SUMPRODUCT(TRANSPOSE(CQ$2:CQ$15),$I224:$V224)</f>
        <v>0</v>
      </c>
    </row>
    <row r="225" spans="1:95" x14ac:dyDescent="0.25">
      <c r="A225" s="1">
        <v>159</v>
      </c>
      <c r="B225" s="11" t="s">
        <v>580</v>
      </c>
      <c r="C225" s="1" t="s">
        <v>49</v>
      </c>
      <c r="D225" s="1">
        <v>400658323</v>
      </c>
      <c r="E225" s="6">
        <f>VLOOKUP(D225,FFF!$A$2:$B$674,2,)</f>
        <v>400005121</v>
      </c>
      <c r="F225" s="1" t="s">
        <v>581</v>
      </c>
      <c r="G225" s="1" t="s">
        <v>35</v>
      </c>
      <c r="H225" s="1">
        <v>8</v>
      </c>
      <c r="I225" s="1">
        <v>0</v>
      </c>
      <c r="J225" s="1">
        <v>0</v>
      </c>
      <c r="K225" s="1">
        <v>0</v>
      </c>
      <c r="L225" s="1">
        <v>0</v>
      </c>
      <c r="M225" s="1">
        <v>4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4</v>
      </c>
      <c r="W225" s="1">
        <f>SUMPRODUCT(I225:V225,$I$13:$V$13)</f>
        <v>12840</v>
      </c>
      <c r="X225" s="6">
        <f t="shared" si="5"/>
        <v>1.5911999999999999E-2</v>
      </c>
      <c r="Y225" s="1" t="str">
        <f>VLOOKUP(D225,[1]PARTS!$A$1:$G$65536,7,0)</f>
        <v>VISHAY RESISTIVE SYSTEMS</v>
      </c>
      <c r="Z225" s="1">
        <f>VLOOKUP(D225,[2]pareto!$D$12:$AX$306,44,0)</f>
        <v>10000</v>
      </c>
      <c r="AA225" s="1">
        <f>VLOOKUP(D225,[2]pareto!$D$12:$AX$306,45,0)</f>
        <v>10000</v>
      </c>
      <c r="AB225" s="1">
        <f>CEILING(W225,Z225)</f>
        <v>20000</v>
      </c>
      <c r="AC225" s="1">
        <f>VLOOKUP(D225,[2]pareto!$D$12:$AX$306,47,0)</f>
        <v>1.9889999999999999E-3</v>
      </c>
      <c r="AD225" s="1" t="s">
        <v>85</v>
      </c>
      <c r="AE225" s="1" t="s">
        <v>86</v>
      </c>
      <c r="AF225" s="19" t="s">
        <v>87</v>
      </c>
      <c r="AG225" s="1" t="s">
        <v>88</v>
      </c>
      <c r="BG225" s="8">
        <f>SUM($BB225,$AI225:AI225)-SUM($BY225:BZ225)</f>
        <v>0</v>
      </c>
      <c r="BH225" s="8">
        <f>SUM($BB225,$AI225:AJ225)-SUM($BY225:CA225)</f>
        <v>0</v>
      </c>
      <c r="BI225" s="8">
        <f>SUM($BB225,$AI225:AK225)-SUM($BY225:CB225)</f>
        <v>0</v>
      </c>
      <c r="BJ225" s="8">
        <f>SUM($BB225,$AI225:AL225)-SUM($BY225:CC225)</f>
        <v>0</v>
      </c>
      <c r="BK225" s="8">
        <f>SUM($BB225,$AI225:AM225)-SUM($BY225:CD225)</f>
        <v>0</v>
      </c>
      <c r="BL225" s="8">
        <f>SUM($BB225,$AI225:AN225)-SUM($BY225:CE225)</f>
        <v>0</v>
      </c>
      <c r="BM225" s="8">
        <f>SUM($BB225,$AI225:AO225)-SUM($BY225:CF225)</f>
        <v>0</v>
      </c>
      <c r="BN225" s="8">
        <f>SUM($BB225,$AI225:AP225)-SUM($BY225:CG225)</f>
        <v>-400</v>
      </c>
      <c r="BO225" s="8">
        <f>SUM($BB225,$AI225:AQ225)-SUM($BY225:CH225)</f>
        <v>-1400</v>
      </c>
      <c r="BP225" s="8">
        <f>SUM($BB225,$AI225:AR225)-SUM($BY225:CI225)</f>
        <v>-3000</v>
      </c>
      <c r="BQ225" s="8">
        <f>SUM($BB225,$AI225:AS225)-SUM($BY225:CJ225)</f>
        <v>-4880</v>
      </c>
      <c r="BR225" s="8">
        <f>SUM($BB225,$AI225:AT225)-SUM($BY225:CK225)</f>
        <v>-6480</v>
      </c>
      <c r="BS225" s="8">
        <f>SUM($BB225,$AI225:AU225)-SUM($BY225:CL225)</f>
        <v>-7880</v>
      </c>
      <c r="BT225" s="8">
        <f>SUM($BB225,$AI225:AV225)-SUM($BY225:CM225)</f>
        <v>-9640</v>
      </c>
      <c r="BU225" s="8">
        <f>SUM($BB225,$AI225:AW225)-SUM($BY225:CN225)</f>
        <v>-11800</v>
      </c>
      <c r="BV225" s="8">
        <f>SUM($BB225,$AI225:AX225)-SUM($BY225:CO225)</f>
        <v>-12840</v>
      </c>
      <c r="BW225" s="8">
        <f>SUM($BB225,$AI225:AY225)-SUM($BY225:CP225)</f>
        <v>-12840</v>
      </c>
      <c r="BX225" s="8">
        <f>SUM($BB225,$AI225:AZ225)-SUM($BY225:CQ225)</f>
        <v>-12840</v>
      </c>
      <c r="BY225" s="8" cm="1">
        <f t="array" ref="BY225">SUMPRODUCT(TRANSPOSE(BY$2:BY$15),$I225:$V225)</f>
        <v>0</v>
      </c>
      <c r="BZ225" s="8" cm="1">
        <f t="array" ref="BZ225">SUMPRODUCT(TRANSPOSE(BZ$2:BZ$15),$I225:$V225)</f>
        <v>0</v>
      </c>
      <c r="CA225" s="8" cm="1">
        <f t="array" ref="CA225">SUMPRODUCT(TRANSPOSE(CA$2:CA$15),$I225:$V225)</f>
        <v>0</v>
      </c>
      <c r="CB225" s="8" cm="1">
        <f t="array" ref="CB225">SUMPRODUCT(TRANSPOSE(CB$2:CB$15),$I225:$V225)</f>
        <v>0</v>
      </c>
      <c r="CC225" s="8" cm="1">
        <f t="array" ref="CC225">SUMPRODUCT(TRANSPOSE(CC$2:CC$15),$I225:$V225)</f>
        <v>0</v>
      </c>
      <c r="CD225" s="8" cm="1">
        <f t="array" ref="CD225">SUMPRODUCT(TRANSPOSE(CD$2:CD$15),$I225:$V225)</f>
        <v>0</v>
      </c>
      <c r="CE225" s="8" cm="1">
        <f t="array" ref="CE225">SUMPRODUCT(TRANSPOSE(CE$2:CE$15),$I225:$V225)</f>
        <v>0</v>
      </c>
      <c r="CF225" s="8" cm="1">
        <f t="array" ref="CF225">SUMPRODUCT(TRANSPOSE(CF$2:CF$15),$I225:$V225)</f>
        <v>0</v>
      </c>
      <c r="CG225" s="8" cm="1">
        <f t="array" ref="CG225">SUMPRODUCT(TRANSPOSE(CG$2:CG$15),$I225:$V225)</f>
        <v>400</v>
      </c>
      <c r="CH225" s="8" cm="1">
        <f t="array" ref="CH225">SUMPRODUCT(TRANSPOSE(CH$2:CH$15),$I225:$V225)</f>
        <v>1000</v>
      </c>
      <c r="CI225" s="8" cm="1">
        <f t="array" ref="CI225">SUMPRODUCT(TRANSPOSE(CI$2:CI$15),$I225:$V225)</f>
        <v>1600</v>
      </c>
      <c r="CJ225" s="8" cm="1">
        <f t="array" ref="CJ225">SUMPRODUCT(TRANSPOSE(CJ$2:CJ$15),$I225:$V225)</f>
        <v>1880</v>
      </c>
      <c r="CK225" s="8" cm="1">
        <f t="array" ref="CK225">SUMPRODUCT(TRANSPOSE(CK$2:CK$15),$I225:$V225)</f>
        <v>1600</v>
      </c>
      <c r="CL225" s="8" cm="1">
        <f t="array" ref="CL225">SUMPRODUCT(TRANSPOSE(CL$2:CL$15),$I225:$V225)</f>
        <v>1400</v>
      </c>
      <c r="CM225" s="8" cm="1">
        <f t="array" ref="CM225">SUMPRODUCT(TRANSPOSE(CM$2:CM$15),$I225:$V225)</f>
        <v>1760</v>
      </c>
      <c r="CN225" s="8" cm="1">
        <f t="array" ref="CN225">SUMPRODUCT(TRANSPOSE(CN$2:CN$15),$I225:$V225)</f>
        <v>2160</v>
      </c>
      <c r="CO225" s="8" cm="1">
        <f t="array" ref="CO225">SUMPRODUCT(TRANSPOSE(CO$2:CO$15),$I225:$V225)</f>
        <v>1040</v>
      </c>
      <c r="CP225" s="8" cm="1">
        <f t="array" ref="CP225">SUMPRODUCT(TRANSPOSE(CP$2:CP$15),$I225:$V225)</f>
        <v>0</v>
      </c>
      <c r="CQ225" s="8" cm="1">
        <f t="array" ref="CQ225">SUMPRODUCT(TRANSPOSE(CQ$2:CQ$15),$I225:$V225)</f>
        <v>0</v>
      </c>
    </row>
    <row r="226" spans="1:95" x14ac:dyDescent="0.25">
      <c r="A226" s="1">
        <v>259</v>
      </c>
      <c r="B226" s="11" t="s">
        <v>582</v>
      </c>
      <c r="C226" s="1" t="s">
        <v>49</v>
      </c>
      <c r="D226" s="1">
        <v>512310954</v>
      </c>
      <c r="E226" s="6"/>
      <c r="F226" s="1" t="s">
        <v>337</v>
      </c>
      <c r="G226" s="1" t="s">
        <v>35</v>
      </c>
      <c r="H226" s="1">
        <v>2</v>
      </c>
      <c r="I226" s="1">
        <v>0</v>
      </c>
      <c r="J226" s="1">
        <v>1</v>
      </c>
      <c r="K226" s="1">
        <v>0</v>
      </c>
      <c r="L226" s="1">
        <v>0</v>
      </c>
      <c r="M226" s="1">
        <v>0</v>
      </c>
      <c r="N226" s="1">
        <v>0</v>
      </c>
      <c r="O226" s="1">
        <v>1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f>SUMPRODUCT(I226:V226,$I$13:$V$13)</f>
        <v>3210</v>
      </c>
      <c r="X226" s="6">
        <f t="shared" si="5"/>
        <v>0.08</v>
      </c>
      <c r="Y226" s="1" t="str">
        <f>VLOOKUP(D226,[1]PARTS!$A$1:$G$65536,7,0)</f>
        <v>MS MILITARY STANDARDS</v>
      </c>
      <c r="Z226" s="1">
        <v>1</v>
      </c>
      <c r="AA226" s="1">
        <f>CEILING(W226,Z226)</f>
        <v>3210</v>
      </c>
      <c r="AB226" s="1">
        <f>CEILING(W226,Z226)</f>
        <v>3210</v>
      </c>
      <c r="AC226" s="1">
        <v>0.04</v>
      </c>
      <c r="AD226" s="1" t="s">
        <v>583</v>
      </c>
      <c r="AE226" s="1" t="s">
        <v>584</v>
      </c>
      <c r="AF226" s="12" t="s">
        <v>585</v>
      </c>
      <c r="AG226" s="1" t="s">
        <v>586</v>
      </c>
      <c r="BG226" s="8">
        <f>SUM($BB226,$AI226:AI226)-SUM($BY226:BZ226)</f>
        <v>0</v>
      </c>
      <c r="BH226" s="8">
        <f>SUM($BB226,$AI226:AJ226)-SUM($BY226:CA226)</f>
        <v>0</v>
      </c>
      <c r="BI226" s="8">
        <f>SUM($BB226,$AI226:AK226)-SUM($BY226:CB226)</f>
        <v>0</v>
      </c>
      <c r="BJ226" s="8">
        <f>SUM($BB226,$AI226:AL226)-SUM($BY226:CC226)</f>
        <v>0</v>
      </c>
      <c r="BK226" s="8">
        <f>SUM($BB226,$AI226:AM226)-SUM($BY226:CD226)</f>
        <v>0</v>
      </c>
      <c r="BL226" s="8">
        <f>SUM($BB226,$AI226:AN226)-SUM($BY226:CE226)</f>
        <v>0</v>
      </c>
      <c r="BM226" s="8">
        <f>SUM($BB226,$AI226:AO226)-SUM($BY226:CF226)</f>
        <v>0</v>
      </c>
      <c r="BN226" s="8">
        <f>SUM($BB226,$AI226:AP226)-SUM($BY226:CG226)</f>
        <v>0</v>
      </c>
      <c r="BO226" s="8">
        <f>SUM($BB226,$AI226:AQ226)-SUM($BY226:CH226)</f>
        <v>0</v>
      </c>
      <c r="BP226" s="8">
        <f>SUM($BB226,$AI226:AR226)-SUM($BY226:CI226)</f>
        <v>-200</v>
      </c>
      <c r="BQ226" s="8">
        <f>SUM($BB226,$AI226:AS226)-SUM($BY226:CJ226)</f>
        <v>-500</v>
      </c>
      <c r="BR226" s="8">
        <f>SUM($BB226,$AI226:AT226)-SUM($BY226:CK226)</f>
        <v>-1000</v>
      </c>
      <c r="BS226" s="8">
        <f>SUM($BB226,$AI226:AU226)-SUM($BY226:CL226)</f>
        <v>-1420</v>
      </c>
      <c r="BT226" s="8">
        <f>SUM($BB226,$AI226:AV226)-SUM($BY226:CM226)</f>
        <v>-1820</v>
      </c>
      <c r="BU226" s="8">
        <f>SUM($BB226,$AI226:AW226)-SUM($BY226:CN226)</f>
        <v>-2170</v>
      </c>
      <c r="BV226" s="8">
        <f>SUM($BB226,$AI226:AX226)-SUM($BY226:CO226)</f>
        <v>-2710</v>
      </c>
      <c r="BW226" s="8">
        <f>SUM($BB226,$AI226:AY226)-SUM($BY226:CP226)</f>
        <v>-3210</v>
      </c>
      <c r="BX226" s="8">
        <f>SUM($BB226,$AI226:AZ226)-SUM($BY226:CQ226)</f>
        <v>-3210</v>
      </c>
      <c r="BY226" s="8" cm="1">
        <f t="array" ref="BY226">SUMPRODUCT(TRANSPOSE(BY$2:BY$15),$I226:$V226)</f>
        <v>0</v>
      </c>
      <c r="BZ226" s="8" cm="1">
        <f t="array" ref="BZ226">SUMPRODUCT(TRANSPOSE(BZ$2:BZ$15),$I226:$V226)</f>
        <v>0</v>
      </c>
      <c r="CA226" s="8" cm="1">
        <f t="array" ref="CA226">SUMPRODUCT(TRANSPOSE(CA$2:CA$15),$I226:$V226)</f>
        <v>0</v>
      </c>
      <c r="CB226" s="8" cm="1">
        <f t="array" ref="CB226">SUMPRODUCT(TRANSPOSE(CB$2:CB$15),$I226:$V226)</f>
        <v>0</v>
      </c>
      <c r="CC226" s="8" cm="1">
        <f t="array" ref="CC226">SUMPRODUCT(TRANSPOSE(CC$2:CC$15),$I226:$V226)</f>
        <v>0</v>
      </c>
      <c r="CD226" s="8" cm="1">
        <f t="array" ref="CD226">SUMPRODUCT(TRANSPOSE(CD$2:CD$15),$I226:$V226)</f>
        <v>0</v>
      </c>
      <c r="CE226" s="8" cm="1">
        <f t="array" ref="CE226">SUMPRODUCT(TRANSPOSE(CE$2:CE$15),$I226:$V226)</f>
        <v>0</v>
      </c>
      <c r="CF226" s="8" cm="1">
        <f t="array" ref="CF226">SUMPRODUCT(TRANSPOSE(CF$2:CF$15),$I226:$V226)</f>
        <v>0</v>
      </c>
      <c r="CG226" s="8" cm="1">
        <f t="array" ref="CG226">SUMPRODUCT(TRANSPOSE(CG$2:CG$15),$I226:$V226)</f>
        <v>0</v>
      </c>
      <c r="CH226" s="8" cm="1">
        <f t="array" ref="CH226">SUMPRODUCT(TRANSPOSE(CH$2:CH$15),$I226:$V226)</f>
        <v>0</v>
      </c>
      <c r="CI226" s="8" cm="1">
        <f t="array" ref="CI226">SUMPRODUCT(TRANSPOSE(CI$2:CI$15),$I226:$V226)</f>
        <v>200</v>
      </c>
      <c r="CJ226" s="8" cm="1">
        <f t="array" ref="CJ226">SUMPRODUCT(TRANSPOSE(CJ$2:CJ$15),$I226:$V226)</f>
        <v>300</v>
      </c>
      <c r="CK226" s="8" cm="1">
        <f t="array" ref="CK226">SUMPRODUCT(TRANSPOSE(CK$2:CK$15),$I226:$V226)</f>
        <v>500</v>
      </c>
      <c r="CL226" s="8" cm="1">
        <f t="array" ref="CL226">SUMPRODUCT(TRANSPOSE(CL$2:CL$15),$I226:$V226)</f>
        <v>420</v>
      </c>
      <c r="CM226" s="8" cm="1">
        <f t="array" ref="CM226">SUMPRODUCT(TRANSPOSE(CM$2:CM$15),$I226:$V226)</f>
        <v>400</v>
      </c>
      <c r="CN226" s="8" cm="1">
        <f t="array" ref="CN226">SUMPRODUCT(TRANSPOSE(CN$2:CN$15),$I226:$V226)</f>
        <v>350</v>
      </c>
      <c r="CO226" s="8" cm="1">
        <f t="array" ref="CO226">SUMPRODUCT(TRANSPOSE(CO$2:CO$15),$I226:$V226)</f>
        <v>540</v>
      </c>
      <c r="CP226" s="8" cm="1">
        <f t="array" ref="CP226">SUMPRODUCT(TRANSPOSE(CP$2:CP$15),$I226:$V226)</f>
        <v>500</v>
      </c>
      <c r="CQ226" s="8" cm="1">
        <f t="array" ref="CQ226">SUMPRODUCT(TRANSPOSE(CQ$2:CQ$15),$I226:$V226)</f>
        <v>0</v>
      </c>
    </row>
    <row r="227" spans="1:95" x14ac:dyDescent="0.25">
      <c r="A227" s="1">
        <v>246</v>
      </c>
      <c r="B227" s="11" t="s">
        <v>587</v>
      </c>
      <c r="C227" s="1" t="s">
        <v>49</v>
      </c>
      <c r="D227" s="1">
        <v>400068581</v>
      </c>
      <c r="E227" s="6">
        <f>VLOOKUP(D227,FFF!$A$2:$B$674,2,)</f>
        <v>400856511</v>
      </c>
      <c r="F227" s="1" t="s">
        <v>588</v>
      </c>
      <c r="G227" s="1" t="s">
        <v>35</v>
      </c>
      <c r="H227" s="1">
        <v>6</v>
      </c>
      <c r="I227" s="1">
        <v>0</v>
      </c>
      <c r="J227" s="1">
        <v>0</v>
      </c>
      <c r="K227" s="1">
        <v>0</v>
      </c>
      <c r="L227" s="1">
        <v>0</v>
      </c>
      <c r="M227" s="1">
        <v>2</v>
      </c>
      <c r="N227" s="1">
        <v>0</v>
      </c>
      <c r="O227" s="1">
        <v>0</v>
      </c>
      <c r="P227" s="1">
        <v>0</v>
      </c>
      <c r="Q227" s="1">
        <v>2</v>
      </c>
      <c r="R227" s="1">
        <v>0</v>
      </c>
      <c r="S227" s="1">
        <v>0</v>
      </c>
      <c r="T227" s="1">
        <v>0</v>
      </c>
      <c r="U227" s="1">
        <v>0</v>
      </c>
      <c r="V227" s="1">
        <v>2</v>
      </c>
      <c r="W227" s="1">
        <f>SUMPRODUCT(I227:V227,$I$13:$V$13)</f>
        <v>9740</v>
      </c>
      <c r="X227" s="6">
        <f t="shared" si="5"/>
        <v>7.0901999999999993E-2</v>
      </c>
      <c r="Y227" s="1" t="str">
        <f>VLOOKUP(D227,[1]PARTS!$A$1:$G$65536,7,0)</f>
        <v>ON SEMICONDUCTOR</v>
      </c>
      <c r="Z227" s="1">
        <f>VLOOKUP(D227,[2]pareto!$D$12:$AX$306,44,0)</f>
        <v>3000</v>
      </c>
      <c r="AA227" s="1">
        <f>VLOOKUP(D227,[2]pareto!$D$12:$AX$306,45,0)</f>
        <v>3000</v>
      </c>
      <c r="AB227" s="1">
        <f>CEILING(W227,Z227)</f>
        <v>12000</v>
      </c>
      <c r="AC227" s="1">
        <f>VLOOKUP(D227,[2]pareto!$D$12:$AX$306,47,0)</f>
        <v>1.1816999999999999E-2</v>
      </c>
      <c r="AD227" s="1" t="s">
        <v>85</v>
      </c>
      <c r="AE227" s="1" t="s">
        <v>86</v>
      </c>
      <c r="AF227" s="19" t="s">
        <v>87</v>
      </c>
      <c r="AG227" s="1" t="s">
        <v>88</v>
      </c>
      <c r="BG227" s="8">
        <f>SUM($BB227,$AI227:AI227)-SUM($BY227:BZ227)</f>
        <v>0</v>
      </c>
      <c r="BH227" s="8">
        <f>SUM($BB227,$AI227:AJ227)-SUM($BY227:CA227)</f>
        <v>0</v>
      </c>
      <c r="BI227" s="8">
        <f>SUM($BB227,$AI227:AK227)-SUM($BY227:CB227)</f>
        <v>0</v>
      </c>
      <c r="BJ227" s="8">
        <f>SUM($BB227,$AI227:AL227)-SUM($BY227:CC227)</f>
        <v>0</v>
      </c>
      <c r="BK227" s="8">
        <f>SUM($BB227,$AI227:AM227)-SUM($BY227:CD227)</f>
        <v>0</v>
      </c>
      <c r="BL227" s="8">
        <f>SUM($BB227,$AI227:AN227)-SUM($BY227:CE227)</f>
        <v>0</v>
      </c>
      <c r="BM227" s="8">
        <f>SUM($BB227,$AI227:AO227)-SUM($BY227:CF227)</f>
        <v>0</v>
      </c>
      <c r="BN227" s="8">
        <f>SUM($BB227,$AI227:AP227)-SUM($BY227:CG227)</f>
        <v>-400</v>
      </c>
      <c r="BO227" s="8">
        <f>SUM($BB227,$AI227:AQ227)-SUM($BY227:CH227)</f>
        <v>-1200</v>
      </c>
      <c r="BP227" s="8">
        <f>SUM($BB227,$AI227:AR227)-SUM($BY227:CI227)</f>
        <v>-2500</v>
      </c>
      <c r="BQ227" s="8">
        <f>SUM($BB227,$AI227:AS227)-SUM($BY227:CJ227)</f>
        <v>-3840</v>
      </c>
      <c r="BR227" s="8">
        <f>SUM($BB227,$AI227:AT227)-SUM($BY227:CK227)</f>
        <v>-5040</v>
      </c>
      <c r="BS227" s="8">
        <f>SUM($BB227,$AI227:AU227)-SUM($BY227:CL227)</f>
        <v>-6140</v>
      </c>
      <c r="BT227" s="8">
        <f>SUM($BB227,$AI227:AV227)-SUM($BY227:CM227)</f>
        <v>-7620</v>
      </c>
      <c r="BU227" s="8">
        <f>SUM($BB227,$AI227:AW227)-SUM($BY227:CN227)</f>
        <v>-9220</v>
      </c>
      <c r="BV227" s="8">
        <f>SUM($BB227,$AI227:AX227)-SUM($BY227:CO227)</f>
        <v>-9740</v>
      </c>
      <c r="BW227" s="8">
        <f>SUM($BB227,$AI227:AY227)-SUM($BY227:CP227)</f>
        <v>-9740</v>
      </c>
      <c r="BX227" s="8">
        <f>SUM($BB227,$AI227:AZ227)-SUM($BY227:CQ227)</f>
        <v>-9740</v>
      </c>
      <c r="BY227" s="8" cm="1">
        <f t="array" ref="BY227">SUMPRODUCT(TRANSPOSE(BY$2:BY$15),$I227:$V227)</f>
        <v>0</v>
      </c>
      <c r="BZ227" s="8" cm="1">
        <f t="array" ref="BZ227">SUMPRODUCT(TRANSPOSE(BZ$2:BZ$15),$I227:$V227)</f>
        <v>0</v>
      </c>
      <c r="CA227" s="8" cm="1">
        <f t="array" ref="CA227">SUMPRODUCT(TRANSPOSE(CA$2:CA$15),$I227:$V227)</f>
        <v>0</v>
      </c>
      <c r="CB227" s="8" cm="1">
        <f t="array" ref="CB227">SUMPRODUCT(TRANSPOSE(CB$2:CB$15),$I227:$V227)</f>
        <v>0</v>
      </c>
      <c r="CC227" s="8" cm="1">
        <f t="array" ref="CC227">SUMPRODUCT(TRANSPOSE(CC$2:CC$15),$I227:$V227)</f>
        <v>0</v>
      </c>
      <c r="CD227" s="8" cm="1">
        <f t="array" ref="CD227">SUMPRODUCT(TRANSPOSE(CD$2:CD$15),$I227:$V227)</f>
        <v>0</v>
      </c>
      <c r="CE227" s="8" cm="1">
        <f t="array" ref="CE227">SUMPRODUCT(TRANSPOSE(CE$2:CE$15),$I227:$V227)</f>
        <v>0</v>
      </c>
      <c r="CF227" s="8" cm="1">
        <f t="array" ref="CF227">SUMPRODUCT(TRANSPOSE(CF$2:CF$15),$I227:$V227)</f>
        <v>0</v>
      </c>
      <c r="CG227" s="8" cm="1">
        <f t="array" ref="CG227">SUMPRODUCT(TRANSPOSE(CG$2:CG$15),$I227:$V227)</f>
        <v>400</v>
      </c>
      <c r="CH227" s="8" cm="1">
        <f t="array" ref="CH227">SUMPRODUCT(TRANSPOSE(CH$2:CH$15),$I227:$V227)</f>
        <v>800</v>
      </c>
      <c r="CI227" s="8" cm="1">
        <f t="array" ref="CI227">SUMPRODUCT(TRANSPOSE(CI$2:CI$15),$I227:$V227)</f>
        <v>1300</v>
      </c>
      <c r="CJ227" s="8" cm="1">
        <f t="array" ref="CJ227">SUMPRODUCT(TRANSPOSE(CJ$2:CJ$15),$I227:$V227)</f>
        <v>1340</v>
      </c>
      <c r="CK227" s="8" cm="1">
        <f t="array" ref="CK227">SUMPRODUCT(TRANSPOSE(CK$2:CK$15),$I227:$V227)</f>
        <v>1200</v>
      </c>
      <c r="CL227" s="8" cm="1">
        <f t="array" ref="CL227">SUMPRODUCT(TRANSPOSE(CL$2:CL$15),$I227:$V227)</f>
        <v>1100</v>
      </c>
      <c r="CM227" s="8" cm="1">
        <f t="array" ref="CM227">SUMPRODUCT(TRANSPOSE(CM$2:CM$15),$I227:$V227)</f>
        <v>1480</v>
      </c>
      <c r="CN227" s="8" cm="1">
        <f t="array" ref="CN227">SUMPRODUCT(TRANSPOSE(CN$2:CN$15),$I227:$V227)</f>
        <v>1600</v>
      </c>
      <c r="CO227" s="8" cm="1">
        <f t="array" ref="CO227">SUMPRODUCT(TRANSPOSE(CO$2:CO$15),$I227:$V227)</f>
        <v>520</v>
      </c>
      <c r="CP227" s="8" cm="1">
        <f t="array" ref="CP227">SUMPRODUCT(TRANSPOSE(CP$2:CP$15),$I227:$V227)</f>
        <v>0</v>
      </c>
      <c r="CQ227" s="8" cm="1">
        <f t="array" ref="CQ227">SUMPRODUCT(TRANSPOSE(CQ$2:CQ$15),$I227:$V227)</f>
        <v>0</v>
      </c>
    </row>
    <row r="228" spans="1:95" x14ac:dyDescent="0.25">
      <c r="A228" s="1">
        <v>147</v>
      </c>
      <c r="B228" s="11" t="s">
        <v>589</v>
      </c>
      <c r="C228" s="1" t="s">
        <v>49</v>
      </c>
      <c r="D228" s="1">
        <v>417983140</v>
      </c>
      <c r="E228" s="6">
        <f>VLOOKUP(D228,FFF!$A$2:$B$674,2,)</f>
        <v>400548944</v>
      </c>
      <c r="F228" s="1" t="s">
        <v>590</v>
      </c>
      <c r="G228" s="1" t="s">
        <v>35</v>
      </c>
      <c r="H228" s="1">
        <v>2</v>
      </c>
      <c r="I228" s="1">
        <v>0</v>
      </c>
      <c r="J228" s="1">
        <v>0</v>
      </c>
      <c r="K228" s="1">
        <v>0</v>
      </c>
      <c r="L228" s="1">
        <v>0</v>
      </c>
      <c r="M228" s="1">
        <v>1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1</v>
      </c>
      <c r="W228" s="1">
        <f>SUMPRODUCT(I228:V228,$I$13:$V$13)</f>
        <v>3210</v>
      </c>
      <c r="X228" s="6">
        <f t="shared" si="5"/>
        <v>5.0000000000000001E-3</v>
      </c>
      <c r="Y228" s="1" t="str">
        <f>VLOOKUP(D228,[1]PARTS!$A$1:$G$65536,7,0)</f>
        <v>SAMSUNG</v>
      </c>
      <c r="Z228" s="1">
        <f>VLOOKUP(D228,[2]pareto!$D$12:$AX$306,44,0)</f>
        <v>2000</v>
      </c>
      <c r="AA228" s="1">
        <f>VLOOKUP(D228,[2]pareto!$D$12:$AX$306,45,0)</f>
        <v>2000</v>
      </c>
      <c r="AB228" s="1">
        <f>CEILING(W228,Z228)</f>
        <v>4000</v>
      </c>
      <c r="AC228" s="1">
        <f>VLOOKUP(D228,[2]pareto!$D$12:$AX$306,47,0)</f>
        <v>2.5000000000000001E-3</v>
      </c>
      <c r="AD228" s="1" t="s">
        <v>430</v>
      </c>
      <c r="AE228" s="1" t="s">
        <v>431</v>
      </c>
      <c r="AF228" s="12" t="s">
        <v>432</v>
      </c>
      <c r="AG228" s="1" t="s">
        <v>433</v>
      </c>
      <c r="BG228" s="8">
        <f>SUM($BB228,$AI228:AI228)-SUM($BY228:BZ228)</f>
        <v>0</v>
      </c>
      <c r="BH228" s="8">
        <f>SUM($BB228,$AI228:AJ228)-SUM($BY228:CA228)</f>
        <v>0</v>
      </c>
      <c r="BI228" s="8">
        <f>SUM($BB228,$AI228:AK228)-SUM($BY228:CB228)</f>
        <v>0</v>
      </c>
      <c r="BJ228" s="8">
        <f>SUM($BB228,$AI228:AL228)-SUM($BY228:CC228)</f>
        <v>0</v>
      </c>
      <c r="BK228" s="8">
        <f>SUM($BB228,$AI228:AM228)-SUM($BY228:CD228)</f>
        <v>0</v>
      </c>
      <c r="BL228" s="8">
        <f>SUM($BB228,$AI228:AN228)-SUM($BY228:CE228)</f>
        <v>0</v>
      </c>
      <c r="BM228" s="8">
        <f>SUM($BB228,$AI228:AO228)-SUM($BY228:CF228)</f>
        <v>0</v>
      </c>
      <c r="BN228" s="8">
        <f>SUM($BB228,$AI228:AP228)-SUM($BY228:CG228)</f>
        <v>-100</v>
      </c>
      <c r="BO228" s="8">
        <f>SUM($BB228,$AI228:AQ228)-SUM($BY228:CH228)</f>
        <v>-350</v>
      </c>
      <c r="BP228" s="8">
        <f>SUM($BB228,$AI228:AR228)-SUM($BY228:CI228)</f>
        <v>-750</v>
      </c>
      <c r="BQ228" s="8">
        <f>SUM($BB228,$AI228:AS228)-SUM($BY228:CJ228)</f>
        <v>-1220</v>
      </c>
      <c r="BR228" s="8">
        <f>SUM($BB228,$AI228:AT228)-SUM($BY228:CK228)</f>
        <v>-1620</v>
      </c>
      <c r="BS228" s="8">
        <f>SUM($BB228,$AI228:AU228)-SUM($BY228:CL228)</f>
        <v>-1970</v>
      </c>
      <c r="BT228" s="8">
        <f>SUM($BB228,$AI228:AV228)-SUM($BY228:CM228)</f>
        <v>-2410</v>
      </c>
      <c r="BU228" s="8">
        <f>SUM($BB228,$AI228:AW228)-SUM($BY228:CN228)</f>
        <v>-2950</v>
      </c>
      <c r="BV228" s="8">
        <f>SUM($BB228,$AI228:AX228)-SUM($BY228:CO228)</f>
        <v>-3210</v>
      </c>
      <c r="BW228" s="8">
        <f>SUM($BB228,$AI228:AY228)-SUM($BY228:CP228)</f>
        <v>-3210</v>
      </c>
      <c r="BX228" s="8">
        <f>SUM($BB228,$AI228:AZ228)-SUM($BY228:CQ228)</f>
        <v>-3210</v>
      </c>
      <c r="BY228" s="8" cm="1">
        <f t="array" ref="BY228">SUMPRODUCT(TRANSPOSE(BY$2:BY$15),$I228:$V228)</f>
        <v>0</v>
      </c>
      <c r="BZ228" s="8" cm="1">
        <f t="array" ref="BZ228">SUMPRODUCT(TRANSPOSE(BZ$2:BZ$15),$I228:$V228)</f>
        <v>0</v>
      </c>
      <c r="CA228" s="8" cm="1">
        <f t="array" ref="CA228">SUMPRODUCT(TRANSPOSE(CA$2:CA$15),$I228:$V228)</f>
        <v>0</v>
      </c>
      <c r="CB228" s="8" cm="1">
        <f t="array" ref="CB228">SUMPRODUCT(TRANSPOSE(CB$2:CB$15),$I228:$V228)</f>
        <v>0</v>
      </c>
      <c r="CC228" s="8" cm="1">
        <f t="array" ref="CC228">SUMPRODUCT(TRANSPOSE(CC$2:CC$15),$I228:$V228)</f>
        <v>0</v>
      </c>
      <c r="CD228" s="8" cm="1">
        <f t="array" ref="CD228">SUMPRODUCT(TRANSPOSE(CD$2:CD$15),$I228:$V228)</f>
        <v>0</v>
      </c>
      <c r="CE228" s="8" cm="1">
        <f t="array" ref="CE228">SUMPRODUCT(TRANSPOSE(CE$2:CE$15),$I228:$V228)</f>
        <v>0</v>
      </c>
      <c r="CF228" s="8" cm="1">
        <f t="array" ref="CF228">SUMPRODUCT(TRANSPOSE(CF$2:CF$15),$I228:$V228)</f>
        <v>0</v>
      </c>
      <c r="CG228" s="8" cm="1">
        <f t="array" ref="CG228">SUMPRODUCT(TRANSPOSE(CG$2:CG$15),$I228:$V228)</f>
        <v>100</v>
      </c>
      <c r="CH228" s="8" cm="1">
        <f t="array" ref="CH228">SUMPRODUCT(TRANSPOSE(CH$2:CH$15),$I228:$V228)</f>
        <v>250</v>
      </c>
      <c r="CI228" s="8" cm="1">
        <f t="array" ref="CI228">SUMPRODUCT(TRANSPOSE(CI$2:CI$15),$I228:$V228)</f>
        <v>400</v>
      </c>
      <c r="CJ228" s="8" cm="1">
        <f t="array" ref="CJ228">SUMPRODUCT(TRANSPOSE(CJ$2:CJ$15),$I228:$V228)</f>
        <v>470</v>
      </c>
      <c r="CK228" s="8" cm="1">
        <f t="array" ref="CK228">SUMPRODUCT(TRANSPOSE(CK$2:CK$15),$I228:$V228)</f>
        <v>400</v>
      </c>
      <c r="CL228" s="8" cm="1">
        <f t="array" ref="CL228">SUMPRODUCT(TRANSPOSE(CL$2:CL$15),$I228:$V228)</f>
        <v>350</v>
      </c>
      <c r="CM228" s="8" cm="1">
        <f t="array" ref="CM228">SUMPRODUCT(TRANSPOSE(CM$2:CM$15),$I228:$V228)</f>
        <v>440</v>
      </c>
      <c r="CN228" s="8" cm="1">
        <f t="array" ref="CN228">SUMPRODUCT(TRANSPOSE(CN$2:CN$15),$I228:$V228)</f>
        <v>540</v>
      </c>
      <c r="CO228" s="8" cm="1">
        <f t="array" ref="CO228">SUMPRODUCT(TRANSPOSE(CO$2:CO$15),$I228:$V228)</f>
        <v>260</v>
      </c>
      <c r="CP228" s="8" cm="1">
        <f t="array" ref="CP228">SUMPRODUCT(TRANSPOSE(CP$2:CP$15),$I228:$V228)</f>
        <v>0</v>
      </c>
      <c r="CQ228" s="8" cm="1">
        <f t="array" ref="CQ228">SUMPRODUCT(TRANSPOSE(CQ$2:CQ$15),$I228:$V228)</f>
        <v>0</v>
      </c>
    </row>
    <row r="229" spans="1:95" x14ac:dyDescent="0.25">
      <c r="A229" s="1">
        <v>162</v>
      </c>
      <c r="B229" s="11" t="s">
        <v>591</v>
      </c>
      <c r="C229" s="1" t="s">
        <v>49</v>
      </c>
      <c r="D229" s="1">
        <v>400658330</v>
      </c>
      <c r="E229" s="6">
        <f>VLOOKUP(D229,FFF!$A$2:$B$674,2,)</f>
        <v>400275755</v>
      </c>
      <c r="F229" s="1" t="s">
        <v>592</v>
      </c>
      <c r="G229" s="1" t="s">
        <v>35</v>
      </c>
      <c r="H229" s="1">
        <v>6</v>
      </c>
      <c r="I229" s="1">
        <v>0</v>
      </c>
      <c r="J229" s="1">
        <v>0</v>
      </c>
      <c r="K229" s="1">
        <v>0</v>
      </c>
      <c r="L229" s="1">
        <v>2</v>
      </c>
      <c r="M229" s="1">
        <v>0</v>
      </c>
      <c r="N229" s="1">
        <v>0</v>
      </c>
      <c r="O229" s="1">
        <v>0</v>
      </c>
      <c r="P229" s="1">
        <v>0</v>
      </c>
      <c r="Q229" s="1">
        <v>4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f>SUMPRODUCT(I229:V229,$I$13:$V$13)</f>
        <v>9740</v>
      </c>
      <c r="X229" s="6">
        <f t="shared" si="5"/>
        <v>1.1934E-2</v>
      </c>
      <c r="Y229" s="1" t="str">
        <f>VLOOKUP(D229,[1]PARTS!$A$1:$G$65536,7,0)</f>
        <v>VISHAY RESISTIVE SYSTEMS</v>
      </c>
      <c r="Z229" s="1">
        <f>VLOOKUP(D229,[2]pareto!$D$12:$AX$306,44,0)</f>
        <v>10000</v>
      </c>
      <c r="AA229" s="1">
        <f>VLOOKUP(D229,[2]pareto!$D$12:$AX$306,45,0)</f>
        <v>10000</v>
      </c>
      <c r="AB229" s="1">
        <f>CEILING(W229,Z229)</f>
        <v>10000</v>
      </c>
      <c r="AC229" s="1">
        <f>VLOOKUP(D229,[2]pareto!$D$12:$AX$306,47,0)</f>
        <v>1.9889999999999999E-3</v>
      </c>
      <c r="AD229" s="1" t="s">
        <v>85</v>
      </c>
      <c r="AE229" s="1" t="s">
        <v>86</v>
      </c>
      <c r="AF229" s="19" t="s">
        <v>87</v>
      </c>
      <c r="AG229" s="1" t="s">
        <v>88</v>
      </c>
      <c r="BG229" s="8">
        <f>SUM($BB229,$AI229:AI229)-SUM($BY229:BZ229)</f>
        <v>0</v>
      </c>
      <c r="BH229" s="8">
        <f>SUM($BB229,$AI229:AJ229)-SUM($BY229:CA229)</f>
        <v>0</v>
      </c>
      <c r="BI229" s="8">
        <f>SUM($BB229,$AI229:AK229)-SUM($BY229:CB229)</f>
        <v>0</v>
      </c>
      <c r="BJ229" s="8">
        <f>SUM($BB229,$AI229:AL229)-SUM($BY229:CC229)</f>
        <v>0</v>
      </c>
      <c r="BK229" s="8">
        <f>SUM($BB229,$AI229:AM229)-SUM($BY229:CD229)</f>
        <v>0</v>
      </c>
      <c r="BL229" s="8">
        <f>SUM($BB229,$AI229:AN229)-SUM($BY229:CE229)</f>
        <v>0</v>
      </c>
      <c r="BM229" s="8">
        <f>SUM($BB229,$AI229:AO229)-SUM($BY229:CF229)</f>
        <v>0</v>
      </c>
      <c r="BN229" s="8">
        <f>SUM($BB229,$AI229:AP229)-SUM($BY229:CG229)</f>
        <v>-600</v>
      </c>
      <c r="BO229" s="8">
        <f>SUM($BB229,$AI229:AQ229)-SUM($BY229:CH229)</f>
        <v>-1500</v>
      </c>
      <c r="BP229" s="8">
        <f>SUM($BB229,$AI229:AR229)-SUM($BY229:CI229)</f>
        <v>-3000</v>
      </c>
      <c r="BQ229" s="8">
        <f>SUM($BB229,$AI229:AS229)-SUM($BY229:CJ229)</f>
        <v>-4240</v>
      </c>
      <c r="BR229" s="8">
        <f>SUM($BB229,$AI229:AT229)-SUM($BY229:CK229)</f>
        <v>-5440</v>
      </c>
      <c r="BS229" s="8">
        <f>SUM($BB229,$AI229:AU229)-SUM($BY229:CL229)</f>
        <v>-6540</v>
      </c>
      <c r="BT229" s="8">
        <f>SUM($BB229,$AI229:AV229)-SUM($BY229:CM229)</f>
        <v>-8220</v>
      </c>
      <c r="BU229" s="8">
        <f>SUM($BB229,$AI229:AW229)-SUM($BY229:CN229)</f>
        <v>-9740</v>
      </c>
      <c r="BV229" s="8">
        <f>SUM($BB229,$AI229:AX229)-SUM($BY229:CO229)</f>
        <v>-9740</v>
      </c>
      <c r="BW229" s="8">
        <f>SUM($BB229,$AI229:AY229)-SUM($BY229:CP229)</f>
        <v>-9740</v>
      </c>
      <c r="BX229" s="8">
        <f>SUM($BB229,$AI229:AZ229)-SUM($BY229:CQ229)</f>
        <v>-9740</v>
      </c>
      <c r="BY229" s="8" cm="1">
        <f t="array" ref="BY229">SUMPRODUCT(TRANSPOSE(BY$2:BY$15),$I229:$V229)</f>
        <v>0</v>
      </c>
      <c r="BZ229" s="8" cm="1">
        <f t="array" ref="BZ229">SUMPRODUCT(TRANSPOSE(BZ$2:BZ$15),$I229:$V229)</f>
        <v>0</v>
      </c>
      <c r="CA229" s="8" cm="1">
        <f t="array" ref="CA229">SUMPRODUCT(TRANSPOSE(CA$2:CA$15),$I229:$V229)</f>
        <v>0</v>
      </c>
      <c r="CB229" s="8" cm="1">
        <f t="array" ref="CB229">SUMPRODUCT(TRANSPOSE(CB$2:CB$15),$I229:$V229)</f>
        <v>0</v>
      </c>
      <c r="CC229" s="8" cm="1">
        <f t="array" ref="CC229">SUMPRODUCT(TRANSPOSE(CC$2:CC$15),$I229:$V229)</f>
        <v>0</v>
      </c>
      <c r="CD229" s="8" cm="1">
        <f t="array" ref="CD229">SUMPRODUCT(TRANSPOSE(CD$2:CD$15),$I229:$V229)</f>
        <v>0</v>
      </c>
      <c r="CE229" s="8" cm="1">
        <f t="array" ref="CE229">SUMPRODUCT(TRANSPOSE(CE$2:CE$15),$I229:$V229)</f>
        <v>0</v>
      </c>
      <c r="CF229" s="8" cm="1">
        <f t="array" ref="CF229">SUMPRODUCT(TRANSPOSE(CF$2:CF$15),$I229:$V229)</f>
        <v>0</v>
      </c>
      <c r="CG229" s="8" cm="1">
        <f t="array" ref="CG229">SUMPRODUCT(TRANSPOSE(CG$2:CG$15),$I229:$V229)</f>
        <v>600</v>
      </c>
      <c r="CH229" s="8" cm="1">
        <f t="array" ref="CH229">SUMPRODUCT(TRANSPOSE(CH$2:CH$15),$I229:$V229)</f>
        <v>900</v>
      </c>
      <c r="CI229" s="8" cm="1">
        <f t="array" ref="CI229">SUMPRODUCT(TRANSPOSE(CI$2:CI$15),$I229:$V229)</f>
        <v>1500</v>
      </c>
      <c r="CJ229" s="8" cm="1">
        <f t="array" ref="CJ229">SUMPRODUCT(TRANSPOSE(CJ$2:CJ$15),$I229:$V229)</f>
        <v>1240</v>
      </c>
      <c r="CK229" s="8" cm="1">
        <f t="array" ref="CK229">SUMPRODUCT(TRANSPOSE(CK$2:CK$15),$I229:$V229)</f>
        <v>1200</v>
      </c>
      <c r="CL229" s="8" cm="1">
        <f t="array" ref="CL229">SUMPRODUCT(TRANSPOSE(CL$2:CL$15),$I229:$V229)</f>
        <v>1100</v>
      </c>
      <c r="CM229" s="8" cm="1">
        <f t="array" ref="CM229">SUMPRODUCT(TRANSPOSE(CM$2:CM$15),$I229:$V229)</f>
        <v>1680</v>
      </c>
      <c r="CN229" s="8" cm="1">
        <f t="array" ref="CN229">SUMPRODUCT(TRANSPOSE(CN$2:CN$15),$I229:$V229)</f>
        <v>1520</v>
      </c>
      <c r="CO229" s="8" cm="1">
        <f t="array" ref="CO229">SUMPRODUCT(TRANSPOSE(CO$2:CO$15),$I229:$V229)</f>
        <v>0</v>
      </c>
      <c r="CP229" s="8" cm="1">
        <f t="array" ref="CP229">SUMPRODUCT(TRANSPOSE(CP$2:CP$15),$I229:$V229)</f>
        <v>0</v>
      </c>
      <c r="CQ229" s="8" cm="1">
        <f t="array" ref="CQ229">SUMPRODUCT(TRANSPOSE(CQ$2:CQ$15),$I229:$V229)</f>
        <v>0</v>
      </c>
    </row>
    <row r="230" spans="1:95" x14ac:dyDescent="0.25">
      <c r="A230" s="1">
        <v>149</v>
      </c>
      <c r="B230" s="11" t="s">
        <v>593</v>
      </c>
      <c r="C230" s="1" t="s">
        <v>49</v>
      </c>
      <c r="D230" s="1">
        <v>400656752</v>
      </c>
      <c r="E230" s="6">
        <f>VLOOKUP(D230,FFF!$A$2:$B$674,2,)</f>
        <v>400275213</v>
      </c>
      <c r="F230" s="1" t="s">
        <v>594</v>
      </c>
      <c r="G230" s="1" t="s">
        <v>35</v>
      </c>
      <c r="H230" s="1">
        <v>6</v>
      </c>
      <c r="I230" s="1">
        <v>0</v>
      </c>
      <c r="J230" s="1">
        <v>0</v>
      </c>
      <c r="K230" s="1">
        <v>0</v>
      </c>
      <c r="L230" s="1">
        <v>0</v>
      </c>
      <c r="M230" s="1">
        <v>3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3</v>
      </c>
      <c r="W230" s="1">
        <f>SUMPRODUCT(I230:V230,$I$13:$V$13)</f>
        <v>9630</v>
      </c>
      <c r="X230" s="6">
        <f t="shared" si="5"/>
        <v>8.4239999999999992E-3</v>
      </c>
      <c r="Y230" s="1" t="str">
        <f>VLOOKUP(D230,[1]PARTS!$A$1:$G$65536,7,0)</f>
        <v>VISHAY RESISTIVE SYSTEMS</v>
      </c>
      <c r="Z230" s="1">
        <f>VLOOKUP(D230,[2]pareto!$D$12:$AX$306,44,0)</f>
        <v>10000</v>
      </c>
      <c r="AA230" s="1">
        <f>VLOOKUP(D230,[2]pareto!$D$12:$AX$306,45,0)</f>
        <v>10000</v>
      </c>
      <c r="AB230" s="1">
        <f>CEILING(W230,Z230)</f>
        <v>10000</v>
      </c>
      <c r="AC230" s="1">
        <f>VLOOKUP(D230,[2]pareto!$D$12:$AX$306,47,0)</f>
        <v>1.4039999999999999E-3</v>
      </c>
      <c r="AD230" s="1" t="s">
        <v>85</v>
      </c>
      <c r="AE230" s="1" t="s">
        <v>86</v>
      </c>
      <c r="AF230" s="19" t="s">
        <v>87</v>
      </c>
      <c r="AG230" s="1" t="s">
        <v>88</v>
      </c>
      <c r="BG230" s="8">
        <f>SUM($BB230,$AI230:AI230)-SUM($BY230:BZ230)</f>
        <v>0</v>
      </c>
      <c r="BH230" s="8">
        <f>SUM($BB230,$AI230:AJ230)-SUM($BY230:CA230)</f>
        <v>0</v>
      </c>
      <c r="BI230" s="8">
        <f>SUM($BB230,$AI230:AK230)-SUM($BY230:CB230)</f>
        <v>0</v>
      </c>
      <c r="BJ230" s="8">
        <f>SUM($BB230,$AI230:AL230)-SUM($BY230:CC230)</f>
        <v>0</v>
      </c>
      <c r="BK230" s="8">
        <f>SUM($BB230,$AI230:AM230)-SUM($BY230:CD230)</f>
        <v>0</v>
      </c>
      <c r="BL230" s="8">
        <f>SUM($BB230,$AI230:AN230)-SUM($BY230:CE230)</f>
        <v>0</v>
      </c>
      <c r="BM230" s="8">
        <f>SUM($BB230,$AI230:AO230)-SUM($BY230:CF230)</f>
        <v>0</v>
      </c>
      <c r="BN230" s="8">
        <f>SUM($BB230,$AI230:AP230)-SUM($BY230:CG230)</f>
        <v>-300</v>
      </c>
      <c r="BO230" s="8">
        <f>SUM($BB230,$AI230:AQ230)-SUM($BY230:CH230)</f>
        <v>-1050</v>
      </c>
      <c r="BP230" s="8">
        <f>SUM($BB230,$AI230:AR230)-SUM($BY230:CI230)</f>
        <v>-2250</v>
      </c>
      <c r="BQ230" s="8">
        <f>SUM($BB230,$AI230:AS230)-SUM($BY230:CJ230)</f>
        <v>-3660</v>
      </c>
      <c r="BR230" s="8">
        <f>SUM($BB230,$AI230:AT230)-SUM($BY230:CK230)</f>
        <v>-4860</v>
      </c>
      <c r="BS230" s="8">
        <f>SUM($BB230,$AI230:AU230)-SUM($BY230:CL230)</f>
        <v>-5910</v>
      </c>
      <c r="BT230" s="8">
        <f>SUM($BB230,$AI230:AV230)-SUM($BY230:CM230)</f>
        <v>-7230</v>
      </c>
      <c r="BU230" s="8">
        <f>SUM($BB230,$AI230:AW230)-SUM($BY230:CN230)</f>
        <v>-8850</v>
      </c>
      <c r="BV230" s="8">
        <f>SUM($BB230,$AI230:AX230)-SUM($BY230:CO230)</f>
        <v>-9630</v>
      </c>
      <c r="BW230" s="8">
        <f>SUM($BB230,$AI230:AY230)-SUM($BY230:CP230)</f>
        <v>-9630</v>
      </c>
      <c r="BX230" s="8">
        <f>SUM($BB230,$AI230:AZ230)-SUM($BY230:CQ230)</f>
        <v>-9630</v>
      </c>
      <c r="BY230" s="8" cm="1">
        <f t="array" ref="BY230">SUMPRODUCT(TRANSPOSE(BY$2:BY$15),$I230:$V230)</f>
        <v>0</v>
      </c>
      <c r="BZ230" s="8" cm="1">
        <f t="array" ref="BZ230">SUMPRODUCT(TRANSPOSE(BZ$2:BZ$15),$I230:$V230)</f>
        <v>0</v>
      </c>
      <c r="CA230" s="8" cm="1">
        <f t="array" ref="CA230">SUMPRODUCT(TRANSPOSE(CA$2:CA$15),$I230:$V230)</f>
        <v>0</v>
      </c>
      <c r="CB230" s="8" cm="1">
        <f t="array" ref="CB230">SUMPRODUCT(TRANSPOSE(CB$2:CB$15),$I230:$V230)</f>
        <v>0</v>
      </c>
      <c r="CC230" s="8" cm="1">
        <f t="array" ref="CC230">SUMPRODUCT(TRANSPOSE(CC$2:CC$15),$I230:$V230)</f>
        <v>0</v>
      </c>
      <c r="CD230" s="8" cm="1">
        <f t="array" ref="CD230">SUMPRODUCT(TRANSPOSE(CD$2:CD$15),$I230:$V230)</f>
        <v>0</v>
      </c>
      <c r="CE230" s="8" cm="1">
        <f t="array" ref="CE230">SUMPRODUCT(TRANSPOSE(CE$2:CE$15),$I230:$V230)</f>
        <v>0</v>
      </c>
      <c r="CF230" s="8" cm="1">
        <f t="array" ref="CF230">SUMPRODUCT(TRANSPOSE(CF$2:CF$15),$I230:$V230)</f>
        <v>0</v>
      </c>
      <c r="CG230" s="8" cm="1">
        <f t="array" ref="CG230">SUMPRODUCT(TRANSPOSE(CG$2:CG$15),$I230:$V230)</f>
        <v>300</v>
      </c>
      <c r="CH230" s="8" cm="1">
        <f t="array" ref="CH230">SUMPRODUCT(TRANSPOSE(CH$2:CH$15),$I230:$V230)</f>
        <v>750</v>
      </c>
      <c r="CI230" s="8" cm="1">
        <f t="array" ref="CI230">SUMPRODUCT(TRANSPOSE(CI$2:CI$15),$I230:$V230)</f>
        <v>1200</v>
      </c>
      <c r="CJ230" s="8" cm="1">
        <f t="array" ref="CJ230">SUMPRODUCT(TRANSPOSE(CJ$2:CJ$15),$I230:$V230)</f>
        <v>1410</v>
      </c>
      <c r="CK230" s="8" cm="1">
        <f t="array" ref="CK230">SUMPRODUCT(TRANSPOSE(CK$2:CK$15),$I230:$V230)</f>
        <v>1200</v>
      </c>
      <c r="CL230" s="8" cm="1">
        <f t="array" ref="CL230">SUMPRODUCT(TRANSPOSE(CL$2:CL$15),$I230:$V230)</f>
        <v>1050</v>
      </c>
      <c r="CM230" s="8" cm="1">
        <f t="array" ref="CM230">SUMPRODUCT(TRANSPOSE(CM$2:CM$15),$I230:$V230)</f>
        <v>1320</v>
      </c>
      <c r="CN230" s="8" cm="1">
        <f t="array" ref="CN230">SUMPRODUCT(TRANSPOSE(CN$2:CN$15),$I230:$V230)</f>
        <v>1620</v>
      </c>
      <c r="CO230" s="8" cm="1">
        <f t="array" ref="CO230">SUMPRODUCT(TRANSPOSE(CO$2:CO$15),$I230:$V230)</f>
        <v>780</v>
      </c>
      <c r="CP230" s="8" cm="1">
        <f t="array" ref="CP230">SUMPRODUCT(TRANSPOSE(CP$2:CP$15),$I230:$V230)</f>
        <v>0</v>
      </c>
      <c r="CQ230" s="8" cm="1">
        <f t="array" ref="CQ230">SUMPRODUCT(TRANSPOSE(CQ$2:CQ$15),$I230:$V230)</f>
        <v>0</v>
      </c>
    </row>
    <row r="231" spans="1:95" x14ac:dyDescent="0.25">
      <c r="A231" s="1">
        <v>179</v>
      </c>
      <c r="B231" s="11" t="s">
        <v>595</v>
      </c>
      <c r="C231" s="1" t="s">
        <v>49</v>
      </c>
      <c r="D231" s="1">
        <v>400931576</v>
      </c>
      <c r="E231" s="6" t="str">
        <f>VLOOKUP(D231,FFF!$A$2:$B$674,2,)</f>
        <v>FFF004310</v>
      </c>
      <c r="F231" s="1" t="s">
        <v>596</v>
      </c>
      <c r="G231" s="1" t="s">
        <v>35</v>
      </c>
      <c r="H231" s="1">
        <v>5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5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f>SUMPRODUCT(I231:V231,$I$13:$V$13)</f>
        <v>8300</v>
      </c>
      <c r="X231" s="6">
        <f t="shared" si="5"/>
        <v>1.1114999999999998E-2</v>
      </c>
      <c r="Y231" s="1" t="str">
        <f>VLOOKUP(D231,[1]PARTS!$A$1:$G$65536,7,0)</f>
        <v>VISHAY RESISTIVE SYSTEMS</v>
      </c>
      <c r="Z231" s="1">
        <f>VLOOKUP(D231,[2]pareto!$D$12:$AX$306,44,0)</f>
        <v>5000</v>
      </c>
      <c r="AA231" s="1">
        <f>VLOOKUP(D231,[2]pareto!$D$12:$AX$306,45,0)</f>
        <v>5000</v>
      </c>
      <c r="AB231" s="1">
        <f>CEILING(W231,Z231)</f>
        <v>10000</v>
      </c>
      <c r="AC231" s="1">
        <f>VLOOKUP(D231,[2]pareto!$D$12:$AX$306,47,0)</f>
        <v>2.2229999999999997E-3</v>
      </c>
      <c r="AD231" s="1" t="s">
        <v>85</v>
      </c>
      <c r="AE231" s="1" t="s">
        <v>86</v>
      </c>
      <c r="AF231" s="19" t="s">
        <v>87</v>
      </c>
      <c r="AG231" s="1" t="s">
        <v>88</v>
      </c>
      <c r="BG231" s="8">
        <f>SUM($BB231,$AI231:AI231)-SUM($BY231:BZ231)</f>
        <v>0</v>
      </c>
      <c r="BH231" s="8">
        <f>SUM($BB231,$AI231:AJ231)-SUM($BY231:CA231)</f>
        <v>0</v>
      </c>
      <c r="BI231" s="8">
        <f>SUM($BB231,$AI231:AK231)-SUM($BY231:CB231)</f>
        <v>0</v>
      </c>
      <c r="BJ231" s="8">
        <f>SUM($BB231,$AI231:AL231)-SUM($BY231:CC231)</f>
        <v>0</v>
      </c>
      <c r="BK231" s="8">
        <f>SUM($BB231,$AI231:AM231)-SUM($BY231:CD231)</f>
        <v>0</v>
      </c>
      <c r="BL231" s="8">
        <f>SUM($BB231,$AI231:AN231)-SUM($BY231:CE231)</f>
        <v>0</v>
      </c>
      <c r="BM231" s="8">
        <f>SUM($BB231,$AI231:AO231)-SUM($BY231:CF231)</f>
        <v>0</v>
      </c>
      <c r="BN231" s="8">
        <f>SUM($BB231,$AI231:AP231)-SUM($BY231:CG231)</f>
        <v>-500</v>
      </c>
      <c r="BO231" s="8">
        <f>SUM($BB231,$AI231:AQ231)-SUM($BY231:CH231)</f>
        <v>-1250</v>
      </c>
      <c r="BP231" s="8">
        <f>SUM($BB231,$AI231:AR231)-SUM($BY231:CI231)</f>
        <v>-2500</v>
      </c>
      <c r="BQ231" s="8">
        <f>SUM($BB231,$AI231:AS231)-SUM($BY231:CJ231)</f>
        <v>-3500</v>
      </c>
      <c r="BR231" s="8">
        <f>SUM($BB231,$AI231:AT231)-SUM($BY231:CK231)</f>
        <v>-4500</v>
      </c>
      <c r="BS231" s="8">
        <f>SUM($BB231,$AI231:AU231)-SUM($BY231:CL231)</f>
        <v>-5500</v>
      </c>
      <c r="BT231" s="8">
        <f>SUM($BB231,$AI231:AV231)-SUM($BY231:CM231)</f>
        <v>-7000</v>
      </c>
      <c r="BU231" s="8">
        <f>SUM($BB231,$AI231:AW231)-SUM($BY231:CN231)</f>
        <v>-8300</v>
      </c>
      <c r="BV231" s="8">
        <f>SUM($BB231,$AI231:AX231)-SUM($BY231:CO231)</f>
        <v>-8300</v>
      </c>
      <c r="BW231" s="8">
        <f>SUM($BB231,$AI231:AY231)-SUM($BY231:CP231)</f>
        <v>-8300</v>
      </c>
      <c r="BX231" s="8">
        <f>SUM($BB231,$AI231:AZ231)-SUM($BY231:CQ231)</f>
        <v>-8300</v>
      </c>
      <c r="BY231" s="8" cm="1">
        <f t="array" ref="BY231">SUMPRODUCT(TRANSPOSE(BY$2:BY$15),$I231:$V231)</f>
        <v>0</v>
      </c>
      <c r="BZ231" s="8" cm="1">
        <f t="array" ref="BZ231">SUMPRODUCT(TRANSPOSE(BZ$2:BZ$15),$I231:$V231)</f>
        <v>0</v>
      </c>
      <c r="CA231" s="8" cm="1">
        <f t="array" ref="CA231">SUMPRODUCT(TRANSPOSE(CA$2:CA$15),$I231:$V231)</f>
        <v>0</v>
      </c>
      <c r="CB231" s="8" cm="1">
        <f t="array" ref="CB231">SUMPRODUCT(TRANSPOSE(CB$2:CB$15),$I231:$V231)</f>
        <v>0</v>
      </c>
      <c r="CC231" s="8" cm="1">
        <f t="array" ref="CC231">SUMPRODUCT(TRANSPOSE(CC$2:CC$15),$I231:$V231)</f>
        <v>0</v>
      </c>
      <c r="CD231" s="8" cm="1">
        <f t="array" ref="CD231">SUMPRODUCT(TRANSPOSE(CD$2:CD$15),$I231:$V231)</f>
        <v>0</v>
      </c>
      <c r="CE231" s="8" cm="1">
        <f t="array" ref="CE231">SUMPRODUCT(TRANSPOSE(CE$2:CE$15),$I231:$V231)</f>
        <v>0</v>
      </c>
      <c r="CF231" s="8" cm="1">
        <f t="array" ref="CF231">SUMPRODUCT(TRANSPOSE(CF$2:CF$15),$I231:$V231)</f>
        <v>0</v>
      </c>
      <c r="CG231" s="8" cm="1">
        <f t="array" ref="CG231">SUMPRODUCT(TRANSPOSE(CG$2:CG$15),$I231:$V231)</f>
        <v>500</v>
      </c>
      <c r="CH231" s="8" cm="1">
        <f t="array" ref="CH231">SUMPRODUCT(TRANSPOSE(CH$2:CH$15),$I231:$V231)</f>
        <v>750</v>
      </c>
      <c r="CI231" s="8" cm="1">
        <f t="array" ref="CI231">SUMPRODUCT(TRANSPOSE(CI$2:CI$15),$I231:$V231)</f>
        <v>1250</v>
      </c>
      <c r="CJ231" s="8" cm="1">
        <f t="array" ref="CJ231">SUMPRODUCT(TRANSPOSE(CJ$2:CJ$15),$I231:$V231)</f>
        <v>1000</v>
      </c>
      <c r="CK231" s="8" cm="1">
        <f t="array" ref="CK231">SUMPRODUCT(TRANSPOSE(CK$2:CK$15),$I231:$V231)</f>
        <v>1000</v>
      </c>
      <c r="CL231" s="8" cm="1">
        <f t="array" ref="CL231">SUMPRODUCT(TRANSPOSE(CL$2:CL$15),$I231:$V231)</f>
        <v>1000</v>
      </c>
      <c r="CM231" s="8" cm="1">
        <f t="array" ref="CM231">SUMPRODUCT(TRANSPOSE(CM$2:CM$15),$I231:$V231)</f>
        <v>1500</v>
      </c>
      <c r="CN231" s="8" cm="1">
        <f t="array" ref="CN231">SUMPRODUCT(TRANSPOSE(CN$2:CN$15),$I231:$V231)</f>
        <v>1300</v>
      </c>
      <c r="CO231" s="8" cm="1">
        <f t="array" ref="CO231">SUMPRODUCT(TRANSPOSE(CO$2:CO$15),$I231:$V231)</f>
        <v>0</v>
      </c>
      <c r="CP231" s="8" cm="1">
        <f t="array" ref="CP231">SUMPRODUCT(TRANSPOSE(CP$2:CP$15),$I231:$V231)</f>
        <v>0</v>
      </c>
      <c r="CQ231" s="8" cm="1">
        <f t="array" ref="CQ231">SUMPRODUCT(TRANSPOSE(CQ$2:CQ$15),$I231:$V231)</f>
        <v>0</v>
      </c>
    </row>
    <row r="232" spans="1:95" x14ac:dyDescent="0.25">
      <c r="A232" s="1">
        <v>193</v>
      </c>
      <c r="B232" s="11" t="s">
        <v>597</v>
      </c>
      <c r="C232" s="1" t="s">
        <v>49</v>
      </c>
      <c r="D232" s="1">
        <v>400658345</v>
      </c>
      <c r="E232" s="6" t="str">
        <f>VLOOKUP(D232,FFF!$A$2:$B$674,2,)</f>
        <v>FFF004130</v>
      </c>
      <c r="F232" s="1" t="s">
        <v>598</v>
      </c>
      <c r="G232" s="1" t="s">
        <v>35</v>
      </c>
      <c r="H232" s="1">
        <v>5</v>
      </c>
      <c r="I232" s="1">
        <v>0</v>
      </c>
      <c r="J232" s="1">
        <v>0</v>
      </c>
      <c r="K232" s="1">
        <v>0</v>
      </c>
      <c r="L232" s="1">
        <v>0</v>
      </c>
      <c r="M232" s="1">
        <v>2</v>
      </c>
      <c r="N232" s="1">
        <v>0</v>
      </c>
      <c r="O232" s="1">
        <v>0</v>
      </c>
      <c r="P232" s="1">
        <v>0</v>
      </c>
      <c r="Q232" s="1">
        <v>1</v>
      </c>
      <c r="R232" s="1">
        <v>0</v>
      </c>
      <c r="S232" s="1">
        <v>0</v>
      </c>
      <c r="T232" s="1">
        <v>0</v>
      </c>
      <c r="U232" s="1">
        <v>0</v>
      </c>
      <c r="V232" s="1">
        <v>2</v>
      </c>
      <c r="W232" s="1">
        <f>SUMPRODUCT(I232:V232,$I$13:$V$13)</f>
        <v>8080</v>
      </c>
      <c r="X232" s="6">
        <f t="shared" si="5"/>
        <v>1.1114999999999998E-2</v>
      </c>
      <c r="Y232" s="1" t="str">
        <f>VLOOKUP(D232,[1]PARTS!$A$1:$G$65536,7,0)</f>
        <v>VISHAY RESISTIVE SYSTEMS</v>
      </c>
      <c r="Z232" s="1">
        <f>VLOOKUP(D232,[2]pareto!$D$12:$AX$306,44,0)</f>
        <v>5000</v>
      </c>
      <c r="AA232" s="1">
        <f>VLOOKUP(D232,[2]pareto!$D$12:$AX$306,45,0)</f>
        <v>5000</v>
      </c>
      <c r="AB232" s="1">
        <f>CEILING(W232,Z232)</f>
        <v>10000</v>
      </c>
      <c r="AC232" s="1">
        <f>VLOOKUP(D232,[2]pareto!$D$12:$AX$306,47,0)</f>
        <v>2.2229999999999997E-3</v>
      </c>
      <c r="AD232" s="1" t="s">
        <v>85</v>
      </c>
      <c r="AE232" s="1" t="s">
        <v>86</v>
      </c>
      <c r="AF232" s="19" t="s">
        <v>87</v>
      </c>
      <c r="AG232" s="1" t="s">
        <v>88</v>
      </c>
      <c r="BG232" s="8">
        <f>SUM($BB232,$AI232:AI232)-SUM($BY232:BZ232)</f>
        <v>0</v>
      </c>
      <c r="BH232" s="8">
        <f>SUM($BB232,$AI232:AJ232)-SUM($BY232:CA232)</f>
        <v>0</v>
      </c>
      <c r="BI232" s="8">
        <f>SUM($BB232,$AI232:AK232)-SUM($BY232:CB232)</f>
        <v>0</v>
      </c>
      <c r="BJ232" s="8">
        <f>SUM($BB232,$AI232:AL232)-SUM($BY232:CC232)</f>
        <v>0</v>
      </c>
      <c r="BK232" s="8">
        <f>SUM($BB232,$AI232:AM232)-SUM($BY232:CD232)</f>
        <v>0</v>
      </c>
      <c r="BL232" s="8">
        <f>SUM($BB232,$AI232:AN232)-SUM($BY232:CE232)</f>
        <v>0</v>
      </c>
      <c r="BM232" s="8">
        <f>SUM($BB232,$AI232:AO232)-SUM($BY232:CF232)</f>
        <v>0</v>
      </c>
      <c r="BN232" s="8">
        <f>SUM($BB232,$AI232:AP232)-SUM($BY232:CG232)</f>
        <v>-300</v>
      </c>
      <c r="BO232" s="8">
        <f>SUM($BB232,$AI232:AQ232)-SUM($BY232:CH232)</f>
        <v>-950</v>
      </c>
      <c r="BP232" s="8">
        <f>SUM($BB232,$AI232:AR232)-SUM($BY232:CI232)</f>
        <v>-2000</v>
      </c>
      <c r="BQ232" s="8">
        <f>SUM($BB232,$AI232:AS232)-SUM($BY232:CJ232)</f>
        <v>-3140</v>
      </c>
      <c r="BR232" s="8">
        <f>SUM($BB232,$AI232:AT232)-SUM($BY232:CK232)</f>
        <v>-4140</v>
      </c>
      <c r="BS232" s="8">
        <f>SUM($BB232,$AI232:AU232)-SUM($BY232:CL232)</f>
        <v>-5040</v>
      </c>
      <c r="BT232" s="8">
        <f>SUM($BB232,$AI232:AV232)-SUM($BY232:CM232)</f>
        <v>-6220</v>
      </c>
      <c r="BU232" s="8">
        <f>SUM($BB232,$AI232:AW232)-SUM($BY232:CN232)</f>
        <v>-7560</v>
      </c>
      <c r="BV232" s="8">
        <f>SUM($BB232,$AI232:AX232)-SUM($BY232:CO232)</f>
        <v>-8080</v>
      </c>
      <c r="BW232" s="8">
        <f>SUM($BB232,$AI232:AY232)-SUM($BY232:CP232)</f>
        <v>-8080</v>
      </c>
      <c r="BX232" s="8">
        <f>SUM($BB232,$AI232:AZ232)-SUM($BY232:CQ232)</f>
        <v>-8080</v>
      </c>
      <c r="BY232" s="8" cm="1">
        <f t="array" ref="BY232">SUMPRODUCT(TRANSPOSE(BY$2:BY$15),$I232:$V232)</f>
        <v>0</v>
      </c>
      <c r="BZ232" s="8" cm="1">
        <f t="array" ref="BZ232">SUMPRODUCT(TRANSPOSE(BZ$2:BZ$15),$I232:$V232)</f>
        <v>0</v>
      </c>
      <c r="CA232" s="8" cm="1">
        <f t="array" ref="CA232">SUMPRODUCT(TRANSPOSE(CA$2:CA$15),$I232:$V232)</f>
        <v>0</v>
      </c>
      <c r="CB232" s="8" cm="1">
        <f t="array" ref="CB232">SUMPRODUCT(TRANSPOSE(CB$2:CB$15),$I232:$V232)</f>
        <v>0</v>
      </c>
      <c r="CC232" s="8" cm="1">
        <f t="array" ref="CC232">SUMPRODUCT(TRANSPOSE(CC$2:CC$15),$I232:$V232)</f>
        <v>0</v>
      </c>
      <c r="CD232" s="8" cm="1">
        <f t="array" ref="CD232">SUMPRODUCT(TRANSPOSE(CD$2:CD$15),$I232:$V232)</f>
        <v>0</v>
      </c>
      <c r="CE232" s="8" cm="1">
        <f t="array" ref="CE232">SUMPRODUCT(TRANSPOSE(CE$2:CE$15),$I232:$V232)</f>
        <v>0</v>
      </c>
      <c r="CF232" s="8" cm="1">
        <f t="array" ref="CF232">SUMPRODUCT(TRANSPOSE(CF$2:CF$15),$I232:$V232)</f>
        <v>0</v>
      </c>
      <c r="CG232" s="8" cm="1">
        <f t="array" ref="CG232">SUMPRODUCT(TRANSPOSE(CG$2:CG$15),$I232:$V232)</f>
        <v>300</v>
      </c>
      <c r="CH232" s="8" cm="1">
        <f t="array" ref="CH232">SUMPRODUCT(TRANSPOSE(CH$2:CH$15),$I232:$V232)</f>
        <v>650</v>
      </c>
      <c r="CI232" s="8" cm="1">
        <f t="array" ref="CI232">SUMPRODUCT(TRANSPOSE(CI$2:CI$15),$I232:$V232)</f>
        <v>1050</v>
      </c>
      <c r="CJ232" s="8" cm="1">
        <f t="array" ref="CJ232">SUMPRODUCT(TRANSPOSE(CJ$2:CJ$15),$I232:$V232)</f>
        <v>1140</v>
      </c>
      <c r="CK232" s="8" cm="1">
        <f t="array" ref="CK232">SUMPRODUCT(TRANSPOSE(CK$2:CK$15),$I232:$V232)</f>
        <v>1000</v>
      </c>
      <c r="CL232" s="8" cm="1">
        <f t="array" ref="CL232">SUMPRODUCT(TRANSPOSE(CL$2:CL$15),$I232:$V232)</f>
        <v>900</v>
      </c>
      <c r="CM232" s="8" cm="1">
        <f t="array" ref="CM232">SUMPRODUCT(TRANSPOSE(CM$2:CM$15),$I232:$V232)</f>
        <v>1180</v>
      </c>
      <c r="CN232" s="8" cm="1">
        <f t="array" ref="CN232">SUMPRODUCT(TRANSPOSE(CN$2:CN$15),$I232:$V232)</f>
        <v>1340</v>
      </c>
      <c r="CO232" s="8" cm="1">
        <f t="array" ref="CO232">SUMPRODUCT(TRANSPOSE(CO$2:CO$15),$I232:$V232)</f>
        <v>520</v>
      </c>
      <c r="CP232" s="8" cm="1">
        <f t="array" ref="CP232">SUMPRODUCT(TRANSPOSE(CP$2:CP$15),$I232:$V232)</f>
        <v>0</v>
      </c>
      <c r="CQ232" s="8" cm="1">
        <f t="array" ref="CQ232">SUMPRODUCT(TRANSPOSE(CQ$2:CQ$15),$I232:$V232)</f>
        <v>0</v>
      </c>
    </row>
    <row r="233" spans="1:95" x14ac:dyDescent="0.25">
      <c r="A233" s="1">
        <v>143</v>
      </c>
      <c r="B233" s="11" t="s">
        <v>599</v>
      </c>
      <c r="C233" s="1" t="s">
        <v>49</v>
      </c>
      <c r="D233" s="1">
        <v>417983133</v>
      </c>
      <c r="E233" s="6">
        <f>VLOOKUP(D233,FFF!$A$2:$B$674,2,)</f>
        <v>401502358</v>
      </c>
      <c r="F233" s="1" t="s">
        <v>600</v>
      </c>
      <c r="G233" s="1" t="s">
        <v>35</v>
      </c>
      <c r="H233" s="1">
        <v>4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4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f>SUMPRODUCT(I233:V233,$I$13:$V$13)</f>
        <v>6640</v>
      </c>
      <c r="X233" s="6">
        <f t="shared" si="5"/>
        <v>2.6675999999999998E-2</v>
      </c>
      <c r="Y233" s="1" t="str">
        <f>VLOOKUP(D233,[1]PARTS!$A$1:$G$65536,7,0)</f>
        <v>SAMSUNG</v>
      </c>
      <c r="Z233" s="1">
        <f>VLOOKUP(D233,[2]pareto!$D$12:$AX$306,44,0)</f>
        <v>4000</v>
      </c>
      <c r="AA233" s="1">
        <f>VLOOKUP(D233,[2]pareto!$D$12:$AX$306,45,0)</f>
        <v>4000</v>
      </c>
      <c r="AB233" s="1">
        <f>CEILING(W233,Z233)</f>
        <v>8000</v>
      </c>
      <c r="AC233" s="1">
        <f>VLOOKUP(D233,[2]pareto!$D$12:$AX$306,47,0)</f>
        <v>6.6689999999999996E-3</v>
      </c>
      <c r="AD233" s="1" t="s">
        <v>85</v>
      </c>
      <c r="AE233" s="1" t="s">
        <v>86</v>
      </c>
      <c r="AF233" s="19" t="s">
        <v>87</v>
      </c>
      <c r="AG233" s="1" t="s">
        <v>88</v>
      </c>
      <c r="BG233" s="8">
        <f>SUM($BB233,$AI233:AI233)-SUM($BY233:BZ233)</f>
        <v>0</v>
      </c>
      <c r="BH233" s="8">
        <f>SUM($BB233,$AI233:AJ233)-SUM($BY233:CA233)</f>
        <v>0</v>
      </c>
      <c r="BI233" s="8">
        <f>SUM($BB233,$AI233:AK233)-SUM($BY233:CB233)</f>
        <v>0</v>
      </c>
      <c r="BJ233" s="8">
        <f>SUM($BB233,$AI233:AL233)-SUM($BY233:CC233)</f>
        <v>0</v>
      </c>
      <c r="BK233" s="8">
        <f>SUM($BB233,$AI233:AM233)-SUM($BY233:CD233)</f>
        <v>0</v>
      </c>
      <c r="BL233" s="8">
        <f>SUM($BB233,$AI233:AN233)-SUM($BY233:CE233)</f>
        <v>0</v>
      </c>
      <c r="BM233" s="8">
        <f>SUM($BB233,$AI233:AO233)-SUM($BY233:CF233)</f>
        <v>0</v>
      </c>
      <c r="BN233" s="8">
        <f>SUM($BB233,$AI233:AP233)-SUM($BY233:CG233)</f>
        <v>-400</v>
      </c>
      <c r="BO233" s="8">
        <f>SUM($BB233,$AI233:AQ233)-SUM($BY233:CH233)</f>
        <v>-1000</v>
      </c>
      <c r="BP233" s="8">
        <f>SUM($BB233,$AI233:AR233)-SUM($BY233:CI233)</f>
        <v>-2000</v>
      </c>
      <c r="BQ233" s="8">
        <f>SUM($BB233,$AI233:AS233)-SUM($BY233:CJ233)</f>
        <v>-2800</v>
      </c>
      <c r="BR233" s="8">
        <f>SUM($BB233,$AI233:AT233)-SUM($BY233:CK233)</f>
        <v>-3600</v>
      </c>
      <c r="BS233" s="8">
        <f>SUM($BB233,$AI233:AU233)-SUM($BY233:CL233)</f>
        <v>-4400</v>
      </c>
      <c r="BT233" s="8">
        <f>SUM($BB233,$AI233:AV233)-SUM($BY233:CM233)</f>
        <v>-5600</v>
      </c>
      <c r="BU233" s="8">
        <f>SUM($BB233,$AI233:AW233)-SUM($BY233:CN233)</f>
        <v>-6640</v>
      </c>
      <c r="BV233" s="8">
        <f>SUM($BB233,$AI233:AX233)-SUM($BY233:CO233)</f>
        <v>-6640</v>
      </c>
      <c r="BW233" s="8">
        <f>SUM($BB233,$AI233:AY233)-SUM($BY233:CP233)</f>
        <v>-6640</v>
      </c>
      <c r="BX233" s="8">
        <f>SUM($BB233,$AI233:AZ233)-SUM($BY233:CQ233)</f>
        <v>-6640</v>
      </c>
      <c r="BY233" s="8" cm="1">
        <f t="array" ref="BY233">SUMPRODUCT(TRANSPOSE(BY$2:BY$15),$I233:$V233)</f>
        <v>0</v>
      </c>
      <c r="BZ233" s="8" cm="1">
        <f t="array" ref="BZ233">SUMPRODUCT(TRANSPOSE(BZ$2:BZ$15),$I233:$V233)</f>
        <v>0</v>
      </c>
      <c r="CA233" s="8" cm="1">
        <f t="array" ref="CA233">SUMPRODUCT(TRANSPOSE(CA$2:CA$15),$I233:$V233)</f>
        <v>0</v>
      </c>
      <c r="CB233" s="8" cm="1">
        <f t="array" ref="CB233">SUMPRODUCT(TRANSPOSE(CB$2:CB$15),$I233:$V233)</f>
        <v>0</v>
      </c>
      <c r="CC233" s="8" cm="1">
        <f t="array" ref="CC233">SUMPRODUCT(TRANSPOSE(CC$2:CC$15),$I233:$V233)</f>
        <v>0</v>
      </c>
      <c r="CD233" s="8" cm="1">
        <f t="array" ref="CD233">SUMPRODUCT(TRANSPOSE(CD$2:CD$15),$I233:$V233)</f>
        <v>0</v>
      </c>
      <c r="CE233" s="8" cm="1">
        <f t="array" ref="CE233">SUMPRODUCT(TRANSPOSE(CE$2:CE$15),$I233:$V233)</f>
        <v>0</v>
      </c>
      <c r="CF233" s="8" cm="1">
        <f t="array" ref="CF233">SUMPRODUCT(TRANSPOSE(CF$2:CF$15),$I233:$V233)</f>
        <v>0</v>
      </c>
      <c r="CG233" s="8" cm="1">
        <f t="array" ref="CG233">SUMPRODUCT(TRANSPOSE(CG$2:CG$15),$I233:$V233)</f>
        <v>400</v>
      </c>
      <c r="CH233" s="8" cm="1">
        <f t="array" ref="CH233">SUMPRODUCT(TRANSPOSE(CH$2:CH$15),$I233:$V233)</f>
        <v>600</v>
      </c>
      <c r="CI233" s="8" cm="1">
        <f t="array" ref="CI233">SUMPRODUCT(TRANSPOSE(CI$2:CI$15),$I233:$V233)</f>
        <v>1000</v>
      </c>
      <c r="CJ233" s="8" cm="1">
        <f t="array" ref="CJ233">SUMPRODUCT(TRANSPOSE(CJ$2:CJ$15),$I233:$V233)</f>
        <v>800</v>
      </c>
      <c r="CK233" s="8" cm="1">
        <f t="array" ref="CK233">SUMPRODUCT(TRANSPOSE(CK$2:CK$15),$I233:$V233)</f>
        <v>800</v>
      </c>
      <c r="CL233" s="8" cm="1">
        <f t="array" ref="CL233">SUMPRODUCT(TRANSPOSE(CL$2:CL$15),$I233:$V233)</f>
        <v>800</v>
      </c>
      <c r="CM233" s="8" cm="1">
        <f t="array" ref="CM233">SUMPRODUCT(TRANSPOSE(CM$2:CM$15),$I233:$V233)</f>
        <v>1200</v>
      </c>
      <c r="CN233" s="8" cm="1">
        <f t="array" ref="CN233">SUMPRODUCT(TRANSPOSE(CN$2:CN$15),$I233:$V233)</f>
        <v>1040</v>
      </c>
      <c r="CO233" s="8" cm="1">
        <f t="array" ref="CO233">SUMPRODUCT(TRANSPOSE(CO$2:CO$15),$I233:$V233)</f>
        <v>0</v>
      </c>
      <c r="CP233" s="8" cm="1">
        <f t="array" ref="CP233">SUMPRODUCT(TRANSPOSE(CP$2:CP$15),$I233:$V233)</f>
        <v>0</v>
      </c>
      <c r="CQ233" s="8" cm="1">
        <f t="array" ref="CQ233">SUMPRODUCT(TRANSPOSE(CQ$2:CQ$15),$I233:$V233)</f>
        <v>0</v>
      </c>
    </row>
    <row r="234" spans="1:95" x14ac:dyDescent="0.25">
      <c r="A234" s="1">
        <v>175</v>
      </c>
      <c r="B234" s="11" t="s">
        <v>601</v>
      </c>
      <c r="C234" s="1" t="s">
        <v>49</v>
      </c>
      <c r="D234" s="1">
        <v>401382482</v>
      </c>
      <c r="E234" s="6" t="str">
        <f>VLOOKUP(D234,FFF!$A$2:$B$674,2,)</f>
        <v>FFF004211</v>
      </c>
      <c r="F234" s="1" t="s">
        <v>602</v>
      </c>
      <c r="G234" s="1" t="s">
        <v>35</v>
      </c>
      <c r="H234" s="1">
        <v>4</v>
      </c>
      <c r="I234" s="1">
        <v>0</v>
      </c>
      <c r="J234" s="1">
        <v>0</v>
      </c>
      <c r="K234" s="1">
        <v>0</v>
      </c>
      <c r="L234" s="1">
        <v>0</v>
      </c>
      <c r="M234" s="1">
        <v>2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2</v>
      </c>
      <c r="W234" s="1">
        <f>SUMPRODUCT(I234:V234,$I$13:$V$13)</f>
        <v>6420</v>
      </c>
      <c r="X234" s="6">
        <f t="shared" si="5"/>
        <v>8.8919999999999989E-3</v>
      </c>
      <c r="Y234" s="1" t="str">
        <f>VLOOKUP(D234,[1]PARTS!$A$1:$G$65536,7,0)</f>
        <v>VISHAY RESISTIVE SYSTEMS</v>
      </c>
      <c r="Z234" s="1">
        <f>VLOOKUP(D234,[2]pareto!$D$12:$AX$306,44,0)</f>
        <v>5000</v>
      </c>
      <c r="AA234" s="1">
        <f>VLOOKUP(D234,[2]pareto!$D$12:$AX$306,45,0)</f>
        <v>5000</v>
      </c>
      <c r="AB234" s="1">
        <f>CEILING(W234,Z234)</f>
        <v>10000</v>
      </c>
      <c r="AC234" s="1">
        <f>VLOOKUP(D234,[2]pareto!$D$12:$AX$306,47,0)</f>
        <v>2.2229999999999997E-3</v>
      </c>
      <c r="AD234" s="1" t="s">
        <v>85</v>
      </c>
      <c r="AE234" s="1" t="s">
        <v>86</v>
      </c>
      <c r="AF234" s="19" t="s">
        <v>87</v>
      </c>
      <c r="AG234" s="1" t="s">
        <v>88</v>
      </c>
      <c r="BG234" s="8">
        <f>SUM($BB234,$AI234:AI234)-SUM($BY234:BZ234)</f>
        <v>0</v>
      </c>
      <c r="BH234" s="8">
        <f>SUM($BB234,$AI234:AJ234)-SUM($BY234:CA234)</f>
        <v>0</v>
      </c>
      <c r="BI234" s="8">
        <f>SUM($BB234,$AI234:AK234)-SUM($BY234:CB234)</f>
        <v>0</v>
      </c>
      <c r="BJ234" s="8">
        <f>SUM($BB234,$AI234:AL234)-SUM($BY234:CC234)</f>
        <v>0</v>
      </c>
      <c r="BK234" s="8">
        <f>SUM($BB234,$AI234:AM234)-SUM($BY234:CD234)</f>
        <v>0</v>
      </c>
      <c r="BL234" s="8">
        <f>SUM($BB234,$AI234:AN234)-SUM($BY234:CE234)</f>
        <v>0</v>
      </c>
      <c r="BM234" s="8">
        <f>SUM($BB234,$AI234:AO234)-SUM($BY234:CF234)</f>
        <v>0</v>
      </c>
      <c r="BN234" s="8">
        <f>SUM($BB234,$AI234:AP234)-SUM($BY234:CG234)</f>
        <v>-200</v>
      </c>
      <c r="BO234" s="8">
        <f>SUM($BB234,$AI234:AQ234)-SUM($BY234:CH234)</f>
        <v>-700</v>
      </c>
      <c r="BP234" s="8">
        <f>SUM($BB234,$AI234:AR234)-SUM($BY234:CI234)</f>
        <v>-1500</v>
      </c>
      <c r="BQ234" s="8">
        <f>SUM($BB234,$AI234:AS234)-SUM($BY234:CJ234)</f>
        <v>-2440</v>
      </c>
      <c r="BR234" s="8">
        <f>SUM($BB234,$AI234:AT234)-SUM($BY234:CK234)</f>
        <v>-3240</v>
      </c>
      <c r="BS234" s="8">
        <f>SUM($BB234,$AI234:AU234)-SUM($BY234:CL234)</f>
        <v>-3940</v>
      </c>
      <c r="BT234" s="8">
        <f>SUM($BB234,$AI234:AV234)-SUM($BY234:CM234)</f>
        <v>-4820</v>
      </c>
      <c r="BU234" s="8">
        <f>SUM($BB234,$AI234:AW234)-SUM($BY234:CN234)</f>
        <v>-5900</v>
      </c>
      <c r="BV234" s="8">
        <f>SUM($BB234,$AI234:AX234)-SUM($BY234:CO234)</f>
        <v>-6420</v>
      </c>
      <c r="BW234" s="8">
        <f>SUM($BB234,$AI234:AY234)-SUM($BY234:CP234)</f>
        <v>-6420</v>
      </c>
      <c r="BX234" s="8">
        <f>SUM($BB234,$AI234:AZ234)-SUM($BY234:CQ234)</f>
        <v>-6420</v>
      </c>
      <c r="BY234" s="8" cm="1">
        <f t="array" ref="BY234">SUMPRODUCT(TRANSPOSE(BY$2:BY$15),$I234:$V234)</f>
        <v>0</v>
      </c>
      <c r="BZ234" s="8" cm="1">
        <f t="array" ref="BZ234">SUMPRODUCT(TRANSPOSE(BZ$2:BZ$15),$I234:$V234)</f>
        <v>0</v>
      </c>
      <c r="CA234" s="8" cm="1">
        <f t="array" ref="CA234">SUMPRODUCT(TRANSPOSE(CA$2:CA$15),$I234:$V234)</f>
        <v>0</v>
      </c>
      <c r="CB234" s="8" cm="1">
        <f t="array" ref="CB234">SUMPRODUCT(TRANSPOSE(CB$2:CB$15),$I234:$V234)</f>
        <v>0</v>
      </c>
      <c r="CC234" s="8" cm="1">
        <f t="array" ref="CC234">SUMPRODUCT(TRANSPOSE(CC$2:CC$15),$I234:$V234)</f>
        <v>0</v>
      </c>
      <c r="CD234" s="8" cm="1">
        <f t="array" ref="CD234">SUMPRODUCT(TRANSPOSE(CD$2:CD$15),$I234:$V234)</f>
        <v>0</v>
      </c>
      <c r="CE234" s="8" cm="1">
        <f t="array" ref="CE234">SUMPRODUCT(TRANSPOSE(CE$2:CE$15),$I234:$V234)</f>
        <v>0</v>
      </c>
      <c r="CF234" s="8" cm="1">
        <f t="array" ref="CF234">SUMPRODUCT(TRANSPOSE(CF$2:CF$15),$I234:$V234)</f>
        <v>0</v>
      </c>
      <c r="CG234" s="8" cm="1">
        <f t="array" ref="CG234">SUMPRODUCT(TRANSPOSE(CG$2:CG$15),$I234:$V234)</f>
        <v>200</v>
      </c>
      <c r="CH234" s="8" cm="1">
        <f t="array" ref="CH234">SUMPRODUCT(TRANSPOSE(CH$2:CH$15),$I234:$V234)</f>
        <v>500</v>
      </c>
      <c r="CI234" s="8" cm="1">
        <f t="array" ref="CI234">SUMPRODUCT(TRANSPOSE(CI$2:CI$15),$I234:$V234)</f>
        <v>800</v>
      </c>
      <c r="CJ234" s="8" cm="1">
        <f t="array" ref="CJ234">SUMPRODUCT(TRANSPOSE(CJ$2:CJ$15),$I234:$V234)</f>
        <v>940</v>
      </c>
      <c r="CK234" s="8" cm="1">
        <f t="array" ref="CK234">SUMPRODUCT(TRANSPOSE(CK$2:CK$15),$I234:$V234)</f>
        <v>800</v>
      </c>
      <c r="CL234" s="8" cm="1">
        <f t="array" ref="CL234">SUMPRODUCT(TRANSPOSE(CL$2:CL$15),$I234:$V234)</f>
        <v>700</v>
      </c>
      <c r="CM234" s="8" cm="1">
        <f t="array" ref="CM234">SUMPRODUCT(TRANSPOSE(CM$2:CM$15),$I234:$V234)</f>
        <v>880</v>
      </c>
      <c r="CN234" s="8" cm="1">
        <f t="array" ref="CN234">SUMPRODUCT(TRANSPOSE(CN$2:CN$15),$I234:$V234)</f>
        <v>1080</v>
      </c>
      <c r="CO234" s="8" cm="1">
        <f t="array" ref="CO234">SUMPRODUCT(TRANSPOSE(CO$2:CO$15),$I234:$V234)</f>
        <v>520</v>
      </c>
      <c r="CP234" s="8" cm="1">
        <f t="array" ref="CP234">SUMPRODUCT(TRANSPOSE(CP$2:CP$15),$I234:$V234)</f>
        <v>0</v>
      </c>
      <c r="CQ234" s="8" cm="1">
        <f t="array" ref="CQ234">SUMPRODUCT(TRANSPOSE(CQ$2:CQ$15),$I234:$V234)</f>
        <v>0</v>
      </c>
    </row>
    <row r="235" spans="1:95" x14ac:dyDescent="0.25">
      <c r="A235" s="1">
        <v>177</v>
      </c>
      <c r="B235" s="11" t="s">
        <v>603</v>
      </c>
      <c r="C235" s="1" t="s">
        <v>49</v>
      </c>
      <c r="D235" s="1">
        <v>401466051</v>
      </c>
      <c r="E235" s="6" t="str">
        <f>VLOOKUP(D235,FFF!$A$2:$B$674,2,)</f>
        <v>FFF003881</v>
      </c>
      <c r="F235" s="1" t="s">
        <v>604</v>
      </c>
      <c r="G235" s="1" t="s">
        <v>35</v>
      </c>
      <c r="H235" s="1">
        <v>4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4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f>SUMPRODUCT(I235:V235,$I$13:$V$13)</f>
        <v>6640</v>
      </c>
      <c r="X235" s="6">
        <f t="shared" si="5"/>
        <v>8.8919999999999989E-3</v>
      </c>
      <c r="Y235" s="1" t="str">
        <f>VLOOKUP(D235,[1]PARTS!$A$1:$G$65536,7,0)</f>
        <v>VISHAY RESISTIVE SYSTEMS</v>
      </c>
      <c r="Z235" s="1">
        <f>VLOOKUP(D235,[2]pareto!$D$12:$AX$306,44,0)</f>
        <v>5000</v>
      </c>
      <c r="AA235" s="1">
        <f>VLOOKUP(D235,[2]pareto!$D$12:$AX$306,45,0)</f>
        <v>5000</v>
      </c>
      <c r="AB235" s="1">
        <f>CEILING(W235,Z235)</f>
        <v>10000</v>
      </c>
      <c r="AC235" s="1">
        <f>VLOOKUP(D235,[2]pareto!$D$12:$AX$306,47,0)</f>
        <v>2.2229999999999997E-3</v>
      </c>
      <c r="AD235" s="1" t="s">
        <v>85</v>
      </c>
      <c r="AE235" s="1" t="s">
        <v>86</v>
      </c>
      <c r="AF235" s="19" t="s">
        <v>87</v>
      </c>
      <c r="AG235" s="1" t="s">
        <v>88</v>
      </c>
      <c r="BG235" s="8">
        <f>SUM($BB235,$AI235:AI235)-SUM($BY235:BZ235)</f>
        <v>0</v>
      </c>
      <c r="BH235" s="8">
        <f>SUM($BB235,$AI235:AJ235)-SUM($BY235:CA235)</f>
        <v>0</v>
      </c>
      <c r="BI235" s="8">
        <f>SUM($BB235,$AI235:AK235)-SUM($BY235:CB235)</f>
        <v>0</v>
      </c>
      <c r="BJ235" s="8">
        <f>SUM($BB235,$AI235:AL235)-SUM($BY235:CC235)</f>
        <v>0</v>
      </c>
      <c r="BK235" s="8">
        <f>SUM($BB235,$AI235:AM235)-SUM($BY235:CD235)</f>
        <v>0</v>
      </c>
      <c r="BL235" s="8">
        <f>SUM($BB235,$AI235:AN235)-SUM($BY235:CE235)</f>
        <v>0</v>
      </c>
      <c r="BM235" s="8">
        <f>SUM($BB235,$AI235:AO235)-SUM($BY235:CF235)</f>
        <v>0</v>
      </c>
      <c r="BN235" s="8">
        <f>SUM($BB235,$AI235:AP235)-SUM($BY235:CG235)</f>
        <v>-400</v>
      </c>
      <c r="BO235" s="8">
        <f>SUM($BB235,$AI235:AQ235)-SUM($BY235:CH235)</f>
        <v>-1000</v>
      </c>
      <c r="BP235" s="8">
        <f>SUM($BB235,$AI235:AR235)-SUM($BY235:CI235)</f>
        <v>-2000</v>
      </c>
      <c r="BQ235" s="8">
        <f>SUM($BB235,$AI235:AS235)-SUM($BY235:CJ235)</f>
        <v>-2800</v>
      </c>
      <c r="BR235" s="8">
        <f>SUM($BB235,$AI235:AT235)-SUM($BY235:CK235)</f>
        <v>-3600</v>
      </c>
      <c r="BS235" s="8">
        <f>SUM($BB235,$AI235:AU235)-SUM($BY235:CL235)</f>
        <v>-4400</v>
      </c>
      <c r="BT235" s="8">
        <f>SUM($BB235,$AI235:AV235)-SUM($BY235:CM235)</f>
        <v>-5600</v>
      </c>
      <c r="BU235" s="8">
        <f>SUM($BB235,$AI235:AW235)-SUM($BY235:CN235)</f>
        <v>-6640</v>
      </c>
      <c r="BV235" s="8">
        <f>SUM($BB235,$AI235:AX235)-SUM($BY235:CO235)</f>
        <v>-6640</v>
      </c>
      <c r="BW235" s="8">
        <f>SUM($BB235,$AI235:AY235)-SUM($BY235:CP235)</f>
        <v>-6640</v>
      </c>
      <c r="BX235" s="8">
        <f>SUM($BB235,$AI235:AZ235)-SUM($BY235:CQ235)</f>
        <v>-6640</v>
      </c>
      <c r="BY235" s="8" cm="1">
        <f t="array" ref="BY235">SUMPRODUCT(TRANSPOSE(BY$2:BY$15),$I235:$V235)</f>
        <v>0</v>
      </c>
      <c r="BZ235" s="8" cm="1">
        <f t="array" ref="BZ235">SUMPRODUCT(TRANSPOSE(BZ$2:BZ$15),$I235:$V235)</f>
        <v>0</v>
      </c>
      <c r="CA235" s="8" cm="1">
        <f t="array" ref="CA235">SUMPRODUCT(TRANSPOSE(CA$2:CA$15),$I235:$V235)</f>
        <v>0</v>
      </c>
      <c r="CB235" s="8" cm="1">
        <f t="array" ref="CB235">SUMPRODUCT(TRANSPOSE(CB$2:CB$15),$I235:$V235)</f>
        <v>0</v>
      </c>
      <c r="CC235" s="8" cm="1">
        <f t="array" ref="CC235">SUMPRODUCT(TRANSPOSE(CC$2:CC$15),$I235:$V235)</f>
        <v>0</v>
      </c>
      <c r="CD235" s="8" cm="1">
        <f t="array" ref="CD235">SUMPRODUCT(TRANSPOSE(CD$2:CD$15),$I235:$V235)</f>
        <v>0</v>
      </c>
      <c r="CE235" s="8" cm="1">
        <f t="array" ref="CE235">SUMPRODUCT(TRANSPOSE(CE$2:CE$15),$I235:$V235)</f>
        <v>0</v>
      </c>
      <c r="CF235" s="8" cm="1">
        <f t="array" ref="CF235">SUMPRODUCT(TRANSPOSE(CF$2:CF$15),$I235:$V235)</f>
        <v>0</v>
      </c>
      <c r="CG235" s="8" cm="1">
        <f t="array" ref="CG235">SUMPRODUCT(TRANSPOSE(CG$2:CG$15),$I235:$V235)</f>
        <v>400</v>
      </c>
      <c r="CH235" s="8" cm="1">
        <f t="array" ref="CH235">SUMPRODUCT(TRANSPOSE(CH$2:CH$15),$I235:$V235)</f>
        <v>600</v>
      </c>
      <c r="CI235" s="8" cm="1">
        <f t="array" ref="CI235">SUMPRODUCT(TRANSPOSE(CI$2:CI$15),$I235:$V235)</f>
        <v>1000</v>
      </c>
      <c r="CJ235" s="8" cm="1">
        <f t="array" ref="CJ235">SUMPRODUCT(TRANSPOSE(CJ$2:CJ$15),$I235:$V235)</f>
        <v>800</v>
      </c>
      <c r="CK235" s="8" cm="1">
        <f t="array" ref="CK235">SUMPRODUCT(TRANSPOSE(CK$2:CK$15),$I235:$V235)</f>
        <v>800</v>
      </c>
      <c r="CL235" s="8" cm="1">
        <f t="array" ref="CL235">SUMPRODUCT(TRANSPOSE(CL$2:CL$15),$I235:$V235)</f>
        <v>800</v>
      </c>
      <c r="CM235" s="8" cm="1">
        <f t="array" ref="CM235">SUMPRODUCT(TRANSPOSE(CM$2:CM$15),$I235:$V235)</f>
        <v>1200</v>
      </c>
      <c r="CN235" s="8" cm="1">
        <f t="array" ref="CN235">SUMPRODUCT(TRANSPOSE(CN$2:CN$15),$I235:$V235)</f>
        <v>1040</v>
      </c>
      <c r="CO235" s="8" cm="1">
        <f t="array" ref="CO235">SUMPRODUCT(TRANSPOSE(CO$2:CO$15),$I235:$V235)</f>
        <v>0</v>
      </c>
      <c r="CP235" s="8" cm="1">
        <f t="array" ref="CP235">SUMPRODUCT(TRANSPOSE(CP$2:CP$15),$I235:$V235)</f>
        <v>0</v>
      </c>
      <c r="CQ235" s="8" cm="1">
        <f t="array" ref="CQ235">SUMPRODUCT(TRANSPOSE(CQ$2:CQ$15),$I235:$V235)</f>
        <v>0</v>
      </c>
    </row>
    <row r="236" spans="1:95" x14ac:dyDescent="0.25">
      <c r="A236" s="1">
        <v>183</v>
      </c>
      <c r="B236" s="11" t="s">
        <v>605</v>
      </c>
      <c r="C236" s="1" t="s">
        <v>49</v>
      </c>
      <c r="D236" s="1">
        <v>401226566</v>
      </c>
      <c r="E236" s="6" t="str">
        <f>VLOOKUP(D236,FFF!$A$2:$B$674,2,)</f>
        <v>FFF004315</v>
      </c>
      <c r="F236" s="1" t="s">
        <v>606</v>
      </c>
      <c r="G236" s="1" t="s">
        <v>35</v>
      </c>
      <c r="H236" s="1">
        <v>4</v>
      </c>
      <c r="I236" s="1">
        <v>0</v>
      </c>
      <c r="J236" s="1">
        <v>0</v>
      </c>
      <c r="K236" s="1">
        <v>0</v>
      </c>
      <c r="L236" s="1">
        <v>0</v>
      </c>
      <c r="M236" s="1">
        <v>2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2</v>
      </c>
      <c r="W236" s="1">
        <f>SUMPRODUCT(I236:V236,$I$13:$V$13)</f>
        <v>6420</v>
      </c>
      <c r="X236" s="6">
        <f t="shared" si="5"/>
        <v>8.8919999999999989E-3</v>
      </c>
      <c r="Y236" s="1" t="str">
        <f>VLOOKUP(D236,[1]PARTS!$A$1:$G$65536,7,0)</f>
        <v>VISHAY RESISTIVE SYSTEMS</v>
      </c>
      <c r="Z236" s="1">
        <f>VLOOKUP(D236,[2]pareto!$D$12:$AX$306,44,0)</f>
        <v>5000</v>
      </c>
      <c r="AA236" s="1">
        <f>VLOOKUP(D236,[2]pareto!$D$12:$AX$306,45,0)</f>
        <v>5000</v>
      </c>
      <c r="AB236" s="1">
        <f>CEILING(W236,Z236)</f>
        <v>10000</v>
      </c>
      <c r="AC236" s="1">
        <f>VLOOKUP(D236,[2]pareto!$D$12:$AX$306,47,0)</f>
        <v>2.2229999999999997E-3</v>
      </c>
      <c r="AD236" s="1" t="s">
        <v>85</v>
      </c>
      <c r="AE236" s="1" t="s">
        <v>86</v>
      </c>
      <c r="AF236" s="19" t="s">
        <v>87</v>
      </c>
      <c r="AG236" s="1" t="s">
        <v>88</v>
      </c>
      <c r="BG236" s="8">
        <f>SUM($BB236,$AI236:AI236)-SUM($BY236:BZ236)</f>
        <v>0</v>
      </c>
      <c r="BH236" s="8">
        <f>SUM($BB236,$AI236:AJ236)-SUM($BY236:CA236)</f>
        <v>0</v>
      </c>
      <c r="BI236" s="8">
        <f>SUM($BB236,$AI236:AK236)-SUM($BY236:CB236)</f>
        <v>0</v>
      </c>
      <c r="BJ236" s="8">
        <f>SUM($BB236,$AI236:AL236)-SUM($BY236:CC236)</f>
        <v>0</v>
      </c>
      <c r="BK236" s="8">
        <f>SUM($BB236,$AI236:AM236)-SUM($BY236:CD236)</f>
        <v>0</v>
      </c>
      <c r="BL236" s="8">
        <f>SUM($BB236,$AI236:AN236)-SUM($BY236:CE236)</f>
        <v>0</v>
      </c>
      <c r="BM236" s="8">
        <f>SUM($BB236,$AI236:AO236)-SUM($BY236:CF236)</f>
        <v>0</v>
      </c>
      <c r="BN236" s="8">
        <f>SUM($BB236,$AI236:AP236)-SUM($BY236:CG236)</f>
        <v>-200</v>
      </c>
      <c r="BO236" s="8">
        <f>SUM($BB236,$AI236:AQ236)-SUM($BY236:CH236)</f>
        <v>-700</v>
      </c>
      <c r="BP236" s="8">
        <f>SUM($BB236,$AI236:AR236)-SUM($BY236:CI236)</f>
        <v>-1500</v>
      </c>
      <c r="BQ236" s="8">
        <f>SUM($BB236,$AI236:AS236)-SUM($BY236:CJ236)</f>
        <v>-2440</v>
      </c>
      <c r="BR236" s="8">
        <f>SUM($BB236,$AI236:AT236)-SUM($BY236:CK236)</f>
        <v>-3240</v>
      </c>
      <c r="BS236" s="8">
        <f>SUM($BB236,$AI236:AU236)-SUM($BY236:CL236)</f>
        <v>-3940</v>
      </c>
      <c r="BT236" s="8">
        <f>SUM($BB236,$AI236:AV236)-SUM($BY236:CM236)</f>
        <v>-4820</v>
      </c>
      <c r="BU236" s="8">
        <f>SUM($BB236,$AI236:AW236)-SUM($BY236:CN236)</f>
        <v>-5900</v>
      </c>
      <c r="BV236" s="8">
        <f>SUM($BB236,$AI236:AX236)-SUM($BY236:CO236)</f>
        <v>-6420</v>
      </c>
      <c r="BW236" s="8">
        <f>SUM($BB236,$AI236:AY236)-SUM($BY236:CP236)</f>
        <v>-6420</v>
      </c>
      <c r="BX236" s="8">
        <f>SUM($BB236,$AI236:AZ236)-SUM($BY236:CQ236)</f>
        <v>-6420</v>
      </c>
      <c r="BY236" s="8" cm="1">
        <f t="array" ref="BY236">SUMPRODUCT(TRANSPOSE(BY$2:BY$15),$I236:$V236)</f>
        <v>0</v>
      </c>
      <c r="BZ236" s="8" cm="1">
        <f t="array" ref="BZ236">SUMPRODUCT(TRANSPOSE(BZ$2:BZ$15),$I236:$V236)</f>
        <v>0</v>
      </c>
      <c r="CA236" s="8" cm="1">
        <f t="array" ref="CA236">SUMPRODUCT(TRANSPOSE(CA$2:CA$15),$I236:$V236)</f>
        <v>0</v>
      </c>
      <c r="CB236" s="8" cm="1">
        <f t="array" ref="CB236">SUMPRODUCT(TRANSPOSE(CB$2:CB$15),$I236:$V236)</f>
        <v>0</v>
      </c>
      <c r="CC236" s="8" cm="1">
        <f t="array" ref="CC236">SUMPRODUCT(TRANSPOSE(CC$2:CC$15),$I236:$V236)</f>
        <v>0</v>
      </c>
      <c r="CD236" s="8" cm="1">
        <f t="array" ref="CD236">SUMPRODUCT(TRANSPOSE(CD$2:CD$15),$I236:$V236)</f>
        <v>0</v>
      </c>
      <c r="CE236" s="8" cm="1">
        <f t="array" ref="CE236">SUMPRODUCT(TRANSPOSE(CE$2:CE$15),$I236:$V236)</f>
        <v>0</v>
      </c>
      <c r="CF236" s="8" cm="1">
        <f t="array" ref="CF236">SUMPRODUCT(TRANSPOSE(CF$2:CF$15),$I236:$V236)</f>
        <v>0</v>
      </c>
      <c r="CG236" s="8" cm="1">
        <f t="array" ref="CG236">SUMPRODUCT(TRANSPOSE(CG$2:CG$15),$I236:$V236)</f>
        <v>200</v>
      </c>
      <c r="CH236" s="8" cm="1">
        <f t="array" ref="CH236">SUMPRODUCT(TRANSPOSE(CH$2:CH$15),$I236:$V236)</f>
        <v>500</v>
      </c>
      <c r="CI236" s="8" cm="1">
        <f t="array" ref="CI236">SUMPRODUCT(TRANSPOSE(CI$2:CI$15),$I236:$V236)</f>
        <v>800</v>
      </c>
      <c r="CJ236" s="8" cm="1">
        <f t="array" ref="CJ236">SUMPRODUCT(TRANSPOSE(CJ$2:CJ$15),$I236:$V236)</f>
        <v>940</v>
      </c>
      <c r="CK236" s="8" cm="1">
        <f t="array" ref="CK236">SUMPRODUCT(TRANSPOSE(CK$2:CK$15),$I236:$V236)</f>
        <v>800</v>
      </c>
      <c r="CL236" s="8" cm="1">
        <f t="array" ref="CL236">SUMPRODUCT(TRANSPOSE(CL$2:CL$15),$I236:$V236)</f>
        <v>700</v>
      </c>
      <c r="CM236" s="8" cm="1">
        <f t="array" ref="CM236">SUMPRODUCT(TRANSPOSE(CM$2:CM$15),$I236:$V236)</f>
        <v>880</v>
      </c>
      <c r="CN236" s="8" cm="1">
        <f t="array" ref="CN236">SUMPRODUCT(TRANSPOSE(CN$2:CN$15),$I236:$V236)</f>
        <v>1080</v>
      </c>
      <c r="CO236" s="8" cm="1">
        <f t="array" ref="CO236">SUMPRODUCT(TRANSPOSE(CO$2:CO$15),$I236:$V236)</f>
        <v>520</v>
      </c>
      <c r="CP236" s="8" cm="1">
        <f t="array" ref="CP236">SUMPRODUCT(TRANSPOSE(CP$2:CP$15),$I236:$V236)</f>
        <v>0</v>
      </c>
      <c r="CQ236" s="8" cm="1">
        <f t="array" ref="CQ236">SUMPRODUCT(TRANSPOSE(CQ$2:CQ$15),$I236:$V236)</f>
        <v>0</v>
      </c>
    </row>
    <row r="237" spans="1:95" x14ac:dyDescent="0.25">
      <c r="A237" s="1">
        <v>184</v>
      </c>
      <c r="B237" s="11" t="s">
        <v>607</v>
      </c>
      <c r="C237" s="1" t="s">
        <v>49</v>
      </c>
      <c r="D237" s="1">
        <v>401485719</v>
      </c>
      <c r="E237" s="6" t="str">
        <f>VLOOKUP(D237,FFF!$A$2:$B$674,2,)</f>
        <v>FFF004492</v>
      </c>
      <c r="F237" s="1" t="s">
        <v>608</v>
      </c>
      <c r="G237" s="1" t="s">
        <v>35</v>
      </c>
      <c r="H237" s="1">
        <v>4</v>
      </c>
      <c r="I237" s="1">
        <v>0</v>
      </c>
      <c r="J237" s="1">
        <v>0</v>
      </c>
      <c r="K237" s="1">
        <v>0</v>
      </c>
      <c r="L237" s="1">
        <v>0</v>
      </c>
      <c r="M237" s="1">
        <v>2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2</v>
      </c>
      <c r="W237" s="1">
        <f>SUMPRODUCT(I237:V237,$I$13:$V$13)</f>
        <v>6420</v>
      </c>
      <c r="X237" s="6">
        <f t="shared" si="5"/>
        <v>8.8919999999999989E-3</v>
      </c>
      <c r="Y237" s="1" t="str">
        <f>VLOOKUP(D237,[1]PARTS!$A$1:$G$65536,7,0)</f>
        <v>VISHAY RESISTIVE SYSTEMS</v>
      </c>
      <c r="Z237" s="1">
        <f>VLOOKUP(D237,[2]pareto!$D$12:$AX$306,44,0)</f>
        <v>5000</v>
      </c>
      <c r="AA237" s="1">
        <f>VLOOKUP(D237,[2]pareto!$D$12:$AX$306,45,0)</f>
        <v>5000</v>
      </c>
      <c r="AB237" s="1">
        <f>CEILING(W237,Z237)</f>
        <v>10000</v>
      </c>
      <c r="AC237" s="1">
        <f>VLOOKUP(D237,[2]pareto!$D$12:$AX$306,47,0)</f>
        <v>2.2229999999999997E-3</v>
      </c>
      <c r="AD237" s="1" t="s">
        <v>85</v>
      </c>
      <c r="AE237" s="1" t="s">
        <v>86</v>
      </c>
      <c r="AF237" s="19" t="s">
        <v>87</v>
      </c>
      <c r="AG237" s="1" t="s">
        <v>88</v>
      </c>
      <c r="BG237" s="8">
        <f>SUM($BB237,$AI237:AI237)-SUM($BY237:BZ237)</f>
        <v>0</v>
      </c>
      <c r="BH237" s="8">
        <f>SUM($BB237,$AI237:AJ237)-SUM($BY237:CA237)</f>
        <v>0</v>
      </c>
      <c r="BI237" s="8">
        <f>SUM($BB237,$AI237:AK237)-SUM($BY237:CB237)</f>
        <v>0</v>
      </c>
      <c r="BJ237" s="8">
        <f>SUM($BB237,$AI237:AL237)-SUM($BY237:CC237)</f>
        <v>0</v>
      </c>
      <c r="BK237" s="8">
        <f>SUM($BB237,$AI237:AM237)-SUM($BY237:CD237)</f>
        <v>0</v>
      </c>
      <c r="BL237" s="8">
        <f>SUM($BB237,$AI237:AN237)-SUM($BY237:CE237)</f>
        <v>0</v>
      </c>
      <c r="BM237" s="8">
        <f>SUM($BB237,$AI237:AO237)-SUM($BY237:CF237)</f>
        <v>0</v>
      </c>
      <c r="BN237" s="8">
        <f>SUM($BB237,$AI237:AP237)-SUM($BY237:CG237)</f>
        <v>-200</v>
      </c>
      <c r="BO237" s="8">
        <f>SUM($BB237,$AI237:AQ237)-SUM($BY237:CH237)</f>
        <v>-700</v>
      </c>
      <c r="BP237" s="8">
        <f>SUM($BB237,$AI237:AR237)-SUM($BY237:CI237)</f>
        <v>-1500</v>
      </c>
      <c r="BQ237" s="8">
        <f>SUM($BB237,$AI237:AS237)-SUM($BY237:CJ237)</f>
        <v>-2440</v>
      </c>
      <c r="BR237" s="8">
        <f>SUM($BB237,$AI237:AT237)-SUM($BY237:CK237)</f>
        <v>-3240</v>
      </c>
      <c r="BS237" s="8">
        <f>SUM($BB237,$AI237:AU237)-SUM($BY237:CL237)</f>
        <v>-3940</v>
      </c>
      <c r="BT237" s="8">
        <f>SUM($BB237,$AI237:AV237)-SUM($BY237:CM237)</f>
        <v>-4820</v>
      </c>
      <c r="BU237" s="8">
        <f>SUM($BB237,$AI237:AW237)-SUM($BY237:CN237)</f>
        <v>-5900</v>
      </c>
      <c r="BV237" s="8">
        <f>SUM($BB237,$AI237:AX237)-SUM($BY237:CO237)</f>
        <v>-6420</v>
      </c>
      <c r="BW237" s="8">
        <f>SUM($BB237,$AI237:AY237)-SUM($BY237:CP237)</f>
        <v>-6420</v>
      </c>
      <c r="BX237" s="8">
        <f>SUM($BB237,$AI237:AZ237)-SUM($BY237:CQ237)</f>
        <v>-6420</v>
      </c>
      <c r="BY237" s="8" cm="1">
        <f t="array" ref="BY237">SUMPRODUCT(TRANSPOSE(BY$2:BY$15),$I237:$V237)</f>
        <v>0</v>
      </c>
      <c r="BZ237" s="8" cm="1">
        <f t="array" ref="BZ237">SUMPRODUCT(TRANSPOSE(BZ$2:BZ$15),$I237:$V237)</f>
        <v>0</v>
      </c>
      <c r="CA237" s="8" cm="1">
        <f t="array" ref="CA237">SUMPRODUCT(TRANSPOSE(CA$2:CA$15),$I237:$V237)</f>
        <v>0</v>
      </c>
      <c r="CB237" s="8" cm="1">
        <f t="array" ref="CB237">SUMPRODUCT(TRANSPOSE(CB$2:CB$15),$I237:$V237)</f>
        <v>0</v>
      </c>
      <c r="CC237" s="8" cm="1">
        <f t="array" ref="CC237">SUMPRODUCT(TRANSPOSE(CC$2:CC$15),$I237:$V237)</f>
        <v>0</v>
      </c>
      <c r="CD237" s="8" cm="1">
        <f t="array" ref="CD237">SUMPRODUCT(TRANSPOSE(CD$2:CD$15),$I237:$V237)</f>
        <v>0</v>
      </c>
      <c r="CE237" s="8" cm="1">
        <f t="array" ref="CE237">SUMPRODUCT(TRANSPOSE(CE$2:CE$15),$I237:$V237)</f>
        <v>0</v>
      </c>
      <c r="CF237" s="8" cm="1">
        <f t="array" ref="CF237">SUMPRODUCT(TRANSPOSE(CF$2:CF$15),$I237:$V237)</f>
        <v>0</v>
      </c>
      <c r="CG237" s="8" cm="1">
        <f t="array" ref="CG237">SUMPRODUCT(TRANSPOSE(CG$2:CG$15),$I237:$V237)</f>
        <v>200</v>
      </c>
      <c r="CH237" s="8" cm="1">
        <f t="array" ref="CH237">SUMPRODUCT(TRANSPOSE(CH$2:CH$15),$I237:$V237)</f>
        <v>500</v>
      </c>
      <c r="CI237" s="8" cm="1">
        <f t="array" ref="CI237">SUMPRODUCT(TRANSPOSE(CI$2:CI$15),$I237:$V237)</f>
        <v>800</v>
      </c>
      <c r="CJ237" s="8" cm="1">
        <f t="array" ref="CJ237">SUMPRODUCT(TRANSPOSE(CJ$2:CJ$15),$I237:$V237)</f>
        <v>940</v>
      </c>
      <c r="CK237" s="8" cm="1">
        <f t="array" ref="CK237">SUMPRODUCT(TRANSPOSE(CK$2:CK$15),$I237:$V237)</f>
        <v>800</v>
      </c>
      <c r="CL237" s="8" cm="1">
        <f t="array" ref="CL237">SUMPRODUCT(TRANSPOSE(CL$2:CL$15),$I237:$V237)</f>
        <v>700</v>
      </c>
      <c r="CM237" s="8" cm="1">
        <f t="array" ref="CM237">SUMPRODUCT(TRANSPOSE(CM$2:CM$15),$I237:$V237)</f>
        <v>880</v>
      </c>
      <c r="CN237" s="8" cm="1">
        <f t="array" ref="CN237">SUMPRODUCT(TRANSPOSE(CN$2:CN$15),$I237:$V237)</f>
        <v>1080</v>
      </c>
      <c r="CO237" s="8" cm="1">
        <f t="array" ref="CO237">SUMPRODUCT(TRANSPOSE(CO$2:CO$15),$I237:$V237)</f>
        <v>520</v>
      </c>
      <c r="CP237" s="8" cm="1">
        <f t="array" ref="CP237">SUMPRODUCT(TRANSPOSE(CP$2:CP$15),$I237:$V237)</f>
        <v>0</v>
      </c>
      <c r="CQ237" s="8" cm="1">
        <f t="array" ref="CQ237">SUMPRODUCT(TRANSPOSE(CQ$2:CQ$15),$I237:$V237)</f>
        <v>0</v>
      </c>
    </row>
    <row r="238" spans="1:95" x14ac:dyDescent="0.25">
      <c r="A238" s="1">
        <v>185</v>
      </c>
      <c r="B238" s="11" t="s">
        <v>609</v>
      </c>
      <c r="C238" s="1" t="s">
        <v>49</v>
      </c>
      <c r="D238" s="1">
        <v>401235524</v>
      </c>
      <c r="E238" s="6" t="str">
        <f>VLOOKUP(D238,FFF!$A$2:$B$674,2,)</f>
        <v>FFF004270</v>
      </c>
      <c r="F238" s="1" t="s">
        <v>610</v>
      </c>
      <c r="G238" s="1" t="s">
        <v>35</v>
      </c>
      <c r="H238" s="1">
        <v>4</v>
      </c>
      <c r="I238" s="1">
        <v>0</v>
      </c>
      <c r="J238" s="1">
        <v>0</v>
      </c>
      <c r="K238" s="1">
        <v>0</v>
      </c>
      <c r="L238" s="1">
        <v>2</v>
      </c>
      <c r="M238" s="1">
        <v>0</v>
      </c>
      <c r="N238" s="1">
        <v>0</v>
      </c>
      <c r="O238" s="1">
        <v>0</v>
      </c>
      <c r="P238" s="1">
        <v>0</v>
      </c>
      <c r="Q238" s="1">
        <v>2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f>SUMPRODUCT(I238:V238,$I$13:$V$13)</f>
        <v>6420</v>
      </c>
      <c r="X238" s="6">
        <f t="shared" si="5"/>
        <v>8.8919999999999989E-3</v>
      </c>
      <c r="Y238" s="1" t="str">
        <f>VLOOKUP(D238,[1]PARTS!$A$1:$G$65536,7,0)</f>
        <v>VISHAY RESISTIVE SYSTEMS</v>
      </c>
      <c r="Z238" s="1">
        <f>VLOOKUP(D238,[2]pareto!$D$12:$AX$306,44,0)</f>
        <v>5000</v>
      </c>
      <c r="AA238" s="1">
        <f>VLOOKUP(D238,[2]pareto!$D$12:$AX$306,45,0)</f>
        <v>5000</v>
      </c>
      <c r="AB238" s="1">
        <f>CEILING(W238,Z238)</f>
        <v>10000</v>
      </c>
      <c r="AC238" s="1">
        <f>VLOOKUP(D238,[2]pareto!$D$12:$AX$306,47,0)</f>
        <v>2.2229999999999997E-3</v>
      </c>
      <c r="AD238" s="1" t="s">
        <v>85</v>
      </c>
      <c r="AE238" s="1" t="s">
        <v>86</v>
      </c>
      <c r="AF238" s="19" t="s">
        <v>87</v>
      </c>
      <c r="AG238" s="1" t="s">
        <v>88</v>
      </c>
      <c r="BG238" s="8">
        <f>SUM($BB238,$AI238:AI238)-SUM($BY238:BZ238)</f>
        <v>0</v>
      </c>
      <c r="BH238" s="8">
        <f>SUM($BB238,$AI238:AJ238)-SUM($BY238:CA238)</f>
        <v>0</v>
      </c>
      <c r="BI238" s="8">
        <f>SUM($BB238,$AI238:AK238)-SUM($BY238:CB238)</f>
        <v>0</v>
      </c>
      <c r="BJ238" s="8">
        <f>SUM($BB238,$AI238:AL238)-SUM($BY238:CC238)</f>
        <v>0</v>
      </c>
      <c r="BK238" s="8">
        <f>SUM($BB238,$AI238:AM238)-SUM($BY238:CD238)</f>
        <v>0</v>
      </c>
      <c r="BL238" s="8">
        <f>SUM($BB238,$AI238:AN238)-SUM($BY238:CE238)</f>
        <v>0</v>
      </c>
      <c r="BM238" s="8">
        <f>SUM($BB238,$AI238:AO238)-SUM($BY238:CF238)</f>
        <v>0</v>
      </c>
      <c r="BN238" s="8">
        <f>SUM($BB238,$AI238:AP238)-SUM($BY238:CG238)</f>
        <v>-400</v>
      </c>
      <c r="BO238" s="8">
        <f>SUM($BB238,$AI238:AQ238)-SUM($BY238:CH238)</f>
        <v>-1000</v>
      </c>
      <c r="BP238" s="8">
        <f>SUM($BB238,$AI238:AR238)-SUM($BY238:CI238)</f>
        <v>-2000</v>
      </c>
      <c r="BQ238" s="8">
        <f>SUM($BB238,$AI238:AS238)-SUM($BY238:CJ238)</f>
        <v>-2840</v>
      </c>
      <c r="BR238" s="8">
        <f>SUM($BB238,$AI238:AT238)-SUM($BY238:CK238)</f>
        <v>-3640</v>
      </c>
      <c r="BS238" s="8">
        <f>SUM($BB238,$AI238:AU238)-SUM($BY238:CL238)</f>
        <v>-4340</v>
      </c>
      <c r="BT238" s="8">
        <f>SUM($BB238,$AI238:AV238)-SUM($BY238:CM238)</f>
        <v>-5420</v>
      </c>
      <c r="BU238" s="8">
        <f>SUM($BB238,$AI238:AW238)-SUM($BY238:CN238)</f>
        <v>-6420</v>
      </c>
      <c r="BV238" s="8">
        <f>SUM($BB238,$AI238:AX238)-SUM($BY238:CO238)</f>
        <v>-6420</v>
      </c>
      <c r="BW238" s="8">
        <f>SUM($BB238,$AI238:AY238)-SUM($BY238:CP238)</f>
        <v>-6420</v>
      </c>
      <c r="BX238" s="8">
        <f>SUM($BB238,$AI238:AZ238)-SUM($BY238:CQ238)</f>
        <v>-6420</v>
      </c>
      <c r="BY238" s="8" cm="1">
        <f t="array" ref="BY238">SUMPRODUCT(TRANSPOSE(BY$2:BY$15),$I238:$V238)</f>
        <v>0</v>
      </c>
      <c r="BZ238" s="8" cm="1">
        <f t="array" ref="BZ238">SUMPRODUCT(TRANSPOSE(BZ$2:BZ$15),$I238:$V238)</f>
        <v>0</v>
      </c>
      <c r="CA238" s="8" cm="1">
        <f t="array" ref="CA238">SUMPRODUCT(TRANSPOSE(CA$2:CA$15),$I238:$V238)</f>
        <v>0</v>
      </c>
      <c r="CB238" s="8" cm="1">
        <f t="array" ref="CB238">SUMPRODUCT(TRANSPOSE(CB$2:CB$15),$I238:$V238)</f>
        <v>0</v>
      </c>
      <c r="CC238" s="8" cm="1">
        <f t="array" ref="CC238">SUMPRODUCT(TRANSPOSE(CC$2:CC$15),$I238:$V238)</f>
        <v>0</v>
      </c>
      <c r="CD238" s="8" cm="1">
        <f t="array" ref="CD238">SUMPRODUCT(TRANSPOSE(CD$2:CD$15),$I238:$V238)</f>
        <v>0</v>
      </c>
      <c r="CE238" s="8" cm="1">
        <f t="array" ref="CE238">SUMPRODUCT(TRANSPOSE(CE$2:CE$15),$I238:$V238)</f>
        <v>0</v>
      </c>
      <c r="CF238" s="8" cm="1">
        <f t="array" ref="CF238">SUMPRODUCT(TRANSPOSE(CF$2:CF$15),$I238:$V238)</f>
        <v>0</v>
      </c>
      <c r="CG238" s="8" cm="1">
        <f t="array" ref="CG238">SUMPRODUCT(TRANSPOSE(CG$2:CG$15),$I238:$V238)</f>
        <v>400</v>
      </c>
      <c r="CH238" s="8" cm="1">
        <f t="array" ref="CH238">SUMPRODUCT(TRANSPOSE(CH$2:CH$15),$I238:$V238)</f>
        <v>600</v>
      </c>
      <c r="CI238" s="8" cm="1">
        <f t="array" ref="CI238">SUMPRODUCT(TRANSPOSE(CI$2:CI$15),$I238:$V238)</f>
        <v>1000</v>
      </c>
      <c r="CJ238" s="8" cm="1">
        <f t="array" ref="CJ238">SUMPRODUCT(TRANSPOSE(CJ$2:CJ$15),$I238:$V238)</f>
        <v>840</v>
      </c>
      <c r="CK238" s="8" cm="1">
        <f t="array" ref="CK238">SUMPRODUCT(TRANSPOSE(CK$2:CK$15),$I238:$V238)</f>
        <v>800</v>
      </c>
      <c r="CL238" s="8" cm="1">
        <f t="array" ref="CL238">SUMPRODUCT(TRANSPOSE(CL$2:CL$15),$I238:$V238)</f>
        <v>700</v>
      </c>
      <c r="CM238" s="8" cm="1">
        <f t="array" ref="CM238">SUMPRODUCT(TRANSPOSE(CM$2:CM$15),$I238:$V238)</f>
        <v>1080</v>
      </c>
      <c r="CN238" s="8" cm="1">
        <f t="array" ref="CN238">SUMPRODUCT(TRANSPOSE(CN$2:CN$15),$I238:$V238)</f>
        <v>1000</v>
      </c>
      <c r="CO238" s="8" cm="1">
        <f t="array" ref="CO238">SUMPRODUCT(TRANSPOSE(CO$2:CO$15),$I238:$V238)</f>
        <v>0</v>
      </c>
      <c r="CP238" s="8" cm="1">
        <f t="array" ref="CP238">SUMPRODUCT(TRANSPOSE(CP$2:CP$15),$I238:$V238)</f>
        <v>0</v>
      </c>
      <c r="CQ238" s="8" cm="1">
        <f t="array" ref="CQ238">SUMPRODUCT(TRANSPOSE(CQ$2:CQ$15),$I238:$V238)</f>
        <v>0</v>
      </c>
    </row>
    <row r="239" spans="1:95" x14ac:dyDescent="0.25">
      <c r="A239" s="1">
        <v>187</v>
      </c>
      <c r="B239" s="11" t="s">
        <v>611</v>
      </c>
      <c r="C239" s="1" t="s">
        <v>49</v>
      </c>
      <c r="D239" s="1">
        <v>401234951</v>
      </c>
      <c r="E239" s="6" t="str">
        <f>VLOOKUP(D239,FFF!$A$2:$B$674,2,)</f>
        <v>FFF004209</v>
      </c>
      <c r="F239" s="1" t="s">
        <v>612</v>
      </c>
      <c r="G239" s="1" t="s">
        <v>35</v>
      </c>
      <c r="H239" s="1">
        <v>4</v>
      </c>
      <c r="I239" s="1">
        <v>0</v>
      </c>
      <c r="J239" s="1">
        <v>0</v>
      </c>
      <c r="K239" s="1">
        <v>0</v>
      </c>
      <c r="L239" s="1">
        <v>0</v>
      </c>
      <c r="M239" s="1">
        <v>2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2</v>
      </c>
      <c r="W239" s="1">
        <f>SUMPRODUCT(I239:V239,$I$13:$V$13)</f>
        <v>6420</v>
      </c>
      <c r="X239" s="6">
        <f t="shared" si="5"/>
        <v>8.8919999999999989E-3</v>
      </c>
      <c r="Y239" s="1" t="str">
        <f>VLOOKUP(D239,[1]PARTS!$A$1:$G$65536,7,0)</f>
        <v>VISHAY RESISTIVE SYSTEMS</v>
      </c>
      <c r="Z239" s="1">
        <f>VLOOKUP(D239,[2]pareto!$D$12:$AX$306,44,0)</f>
        <v>5000</v>
      </c>
      <c r="AA239" s="1">
        <f>VLOOKUP(D239,[2]pareto!$D$12:$AX$306,45,0)</f>
        <v>5000</v>
      </c>
      <c r="AB239" s="1">
        <f>CEILING(W239,Z239)</f>
        <v>10000</v>
      </c>
      <c r="AC239" s="1">
        <f>VLOOKUP(D239,[2]pareto!$D$12:$AX$306,47,0)</f>
        <v>2.2229999999999997E-3</v>
      </c>
      <c r="AD239" s="1" t="s">
        <v>85</v>
      </c>
      <c r="AE239" s="1" t="s">
        <v>86</v>
      </c>
      <c r="AF239" s="19" t="s">
        <v>87</v>
      </c>
      <c r="AG239" s="1" t="s">
        <v>88</v>
      </c>
      <c r="BG239" s="8">
        <f>SUM($BB239,$AI239:AI239)-SUM($BY239:BZ239)</f>
        <v>0</v>
      </c>
      <c r="BH239" s="8">
        <f>SUM($BB239,$AI239:AJ239)-SUM($BY239:CA239)</f>
        <v>0</v>
      </c>
      <c r="BI239" s="8">
        <f>SUM($BB239,$AI239:AK239)-SUM($BY239:CB239)</f>
        <v>0</v>
      </c>
      <c r="BJ239" s="8">
        <f>SUM($BB239,$AI239:AL239)-SUM($BY239:CC239)</f>
        <v>0</v>
      </c>
      <c r="BK239" s="8">
        <f>SUM($BB239,$AI239:AM239)-SUM($BY239:CD239)</f>
        <v>0</v>
      </c>
      <c r="BL239" s="8">
        <f>SUM($BB239,$AI239:AN239)-SUM($BY239:CE239)</f>
        <v>0</v>
      </c>
      <c r="BM239" s="8">
        <f>SUM($BB239,$AI239:AO239)-SUM($BY239:CF239)</f>
        <v>0</v>
      </c>
      <c r="BN239" s="8">
        <f>SUM($BB239,$AI239:AP239)-SUM($BY239:CG239)</f>
        <v>-200</v>
      </c>
      <c r="BO239" s="8">
        <f>SUM($BB239,$AI239:AQ239)-SUM($BY239:CH239)</f>
        <v>-700</v>
      </c>
      <c r="BP239" s="8">
        <f>SUM($BB239,$AI239:AR239)-SUM($BY239:CI239)</f>
        <v>-1500</v>
      </c>
      <c r="BQ239" s="8">
        <f>SUM($BB239,$AI239:AS239)-SUM($BY239:CJ239)</f>
        <v>-2440</v>
      </c>
      <c r="BR239" s="8">
        <f>SUM($BB239,$AI239:AT239)-SUM($BY239:CK239)</f>
        <v>-3240</v>
      </c>
      <c r="BS239" s="8">
        <f>SUM($BB239,$AI239:AU239)-SUM($BY239:CL239)</f>
        <v>-3940</v>
      </c>
      <c r="BT239" s="8">
        <f>SUM($BB239,$AI239:AV239)-SUM($BY239:CM239)</f>
        <v>-4820</v>
      </c>
      <c r="BU239" s="8">
        <f>SUM($BB239,$AI239:AW239)-SUM($BY239:CN239)</f>
        <v>-5900</v>
      </c>
      <c r="BV239" s="8">
        <f>SUM($BB239,$AI239:AX239)-SUM($BY239:CO239)</f>
        <v>-6420</v>
      </c>
      <c r="BW239" s="8">
        <f>SUM($BB239,$AI239:AY239)-SUM($BY239:CP239)</f>
        <v>-6420</v>
      </c>
      <c r="BX239" s="8">
        <f>SUM($BB239,$AI239:AZ239)-SUM($BY239:CQ239)</f>
        <v>-6420</v>
      </c>
      <c r="BY239" s="8" cm="1">
        <f t="array" ref="BY239">SUMPRODUCT(TRANSPOSE(BY$2:BY$15),$I239:$V239)</f>
        <v>0</v>
      </c>
      <c r="BZ239" s="8" cm="1">
        <f t="array" ref="BZ239">SUMPRODUCT(TRANSPOSE(BZ$2:BZ$15),$I239:$V239)</f>
        <v>0</v>
      </c>
      <c r="CA239" s="8" cm="1">
        <f t="array" ref="CA239">SUMPRODUCT(TRANSPOSE(CA$2:CA$15),$I239:$V239)</f>
        <v>0</v>
      </c>
      <c r="CB239" s="8" cm="1">
        <f t="array" ref="CB239">SUMPRODUCT(TRANSPOSE(CB$2:CB$15),$I239:$V239)</f>
        <v>0</v>
      </c>
      <c r="CC239" s="8" cm="1">
        <f t="array" ref="CC239">SUMPRODUCT(TRANSPOSE(CC$2:CC$15),$I239:$V239)</f>
        <v>0</v>
      </c>
      <c r="CD239" s="8" cm="1">
        <f t="array" ref="CD239">SUMPRODUCT(TRANSPOSE(CD$2:CD$15),$I239:$V239)</f>
        <v>0</v>
      </c>
      <c r="CE239" s="8" cm="1">
        <f t="array" ref="CE239">SUMPRODUCT(TRANSPOSE(CE$2:CE$15),$I239:$V239)</f>
        <v>0</v>
      </c>
      <c r="CF239" s="8" cm="1">
        <f t="array" ref="CF239">SUMPRODUCT(TRANSPOSE(CF$2:CF$15),$I239:$V239)</f>
        <v>0</v>
      </c>
      <c r="CG239" s="8" cm="1">
        <f t="array" ref="CG239">SUMPRODUCT(TRANSPOSE(CG$2:CG$15),$I239:$V239)</f>
        <v>200</v>
      </c>
      <c r="CH239" s="8" cm="1">
        <f t="array" ref="CH239">SUMPRODUCT(TRANSPOSE(CH$2:CH$15),$I239:$V239)</f>
        <v>500</v>
      </c>
      <c r="CI239" s="8" cm="1">
        <f t="array" ref="CI239">SUMPRODUCT(TRANSPOSE(CI$2:CI$15),$I239:$V239)</f>
        <v>800</v>
      </c>
      <c r="CJ239" s="8" cm="1">
        <f t="array" ref="CJ239">SUMPRODUCT(TRANSPOSE(CJ$2:CJ$15),$I239:$V239)</f>
        <v>940</v>
      </c>
      <c r="CK239" s="8" cm="1">
        <f t="array" ref="CK239">SUMPRODUCT(TRANSPOSE(CK$2:CK$15),$I239:$V239)</f>
        <v>800</v>
      </c>
      <c r="CL239" s="8" cm="1">
        <f t="array" ref="CL239">SUMPRODUCT(TRANSPOSE(CL$2:CL$15),$I239:$V239)</f>
        <v>700</v>
      </c>
      <c r="CM239" s="8" cm="1">
        <f t="array" ref="CM239">SUMPRODUCT(TRANSPOSE(CM$2:CM$15),$I239:$V239)</f>
        <v>880</v>
      </c>
      <c r="CN239" s="8" cm="1">
        <f t="array" ref="CN239">SUMPRODUCT(TRANSPOSE(CN$2:CN$15),$I239:$V239)</f>
        <v>1080</v>
      </c>
      <c r="CO239" s="8" cm="1">
        <f t="array" ref="CO239">SUMPRODUCT(TRANSPOSE(CO$2:CO$15),$I239:$V239)</f>
        <v>520</v>
      </c>
      <c r="CP239" s="8" cm="1">
        <f t="array" ref="CP239">SUMPRODUCT(TRANSPOSE(CP$2:CP$15),$I239:$V239)</f>
        <v>0</v>
      </c>
      <c r="CQ239" s="8" cm="1">
        <f t="array" ref="CQ239">SUMPRODUCT(TRANSPOSE(CQ$2:CQ$15),$I239:$V239)</f>
        <v>0</v>
      </c>
    </row>
    <row r="240" spans="1:95" x14ac:dyDescent="0.25">
      <c r="A240" s="1">
        <v>188</v>
      </c>
      <c r="B240" s="11" t="s">
        <v>613</v>
      </c>
      <c r="C240" s="1" t="s">
        <v>49</v>
      </c>
      <c r="D240" s="1">
        <v>401195892</v>
      </c>
      <c r="E240" s="6" t="str">
        <f>VLOOKUP(D240,FFF!$A$2:$B$674,2,)</f>
        <v>FFF004141</v>
      </c>
      <c r="F240" s="1" t="s">
        <v>614</v>
      </c>
      <c r="G240" s="1" t="s">
        <v>35</v>
      </c>
      <c r="H240" s="1">
        <v>4</v>
      </c>
      <c r="I240" s="1">
        <v>0</v>
      </c>
      <c r="J240" s="1">
        <v>0</v>
      </c>
      <c r="K240" s="1">
        <v>0</v>
      </c>
      <c r="L240" s="1">
        <v>0</v>
      </c>
      <c r="M240" s="1">
        <v>2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2</v>
      </c>
      <c r="W240" s="1">
        <f>SUMPRODUCT(I240:V240,$I$13:$V$13)</f>
        <v>6420</v>
      </c>
      <c r="X240" s="6">
        <f t="shared" si="5"/>
        <v>8.8919999999999989E-3</v>
      </c>
      <c r="Y240" s="1" t="str">
        <f>VLOOKUP(D240,[1]PARTS!$A$1:$G$65536,7,0)</f>
        <v>VISHAY RESISTIVE SYSTEMS</v>
      </c>
      <c r="Z240" s="1">
        <f>VLOOKUP(D240,[2]pareto!$D$12:$AX$306,44,0)</f>
        <v>5000</v>
      </c>
      <c r="AA240" s="1">
        <f>VLOOKUP(D240,[2]pareto!$D$12:$AX$306,45,0)</f>
        <v>5000</v>
      </c>
      <c r="AB240" s="1">
        <f>CEILING(W240,Z240)</f>
        <v>10000</v>
      </c>
      <c r="AC240" s="1">
        <f>VLOOKUP(D240,[2]pareto!$D$12:$AX$306,47,0)</f>
        <v>2.2229999999999997E-3</v>
      </c>
      <c r="AD240" s="1" t="s">
        <v>85</v>
      </c>
      <c r="AE240" s="1" t="s">
        <v>86</v>
      </c>
      <c r="AF240" s="19" t="s">
        <v>87</v>
      </c>
      <c r="AG240" s="1" t="s">
        <v>88</v>
      </c>
      <c r="BG240" s="8">
        <f>SUM($BB240,$AI240:AI240)-SUM($BY240:BZ240)</f>
        <v>0</v>
      </c>
      <c r="BH240" s="8">
        <f>SUM($BB240,$AI240:AJ240)-SUM($BY240:CA240)</f>
        <v>0</v>
      </c>
      <c r="BI240" s="8">
        <f>SUM($BB240,$AI240:AK240)-SUM($BY240:CB240)</f>
        <v>0</v>
      </c>
      <c r="BJ240" s="8">
        <f>SUM($BB240,$AI240:AL240)-SUM($BY240:CC240)</f>
        <v>0</v>
      </c>
      <c r="BK240" s="8">
        <f>SUM($BB240,$AI240:AM240)-SUM($BY240:CD240)</f>
        <v>0</v>
      </c>
      <c r="BL240" s="8">
        <f>SUM($BB240,$AI240:AN240)-SUM($BY240:CE240)</f>
        <v>0</v>
      </c>
      <c r="BM240" s="8">
        <f>SUM($BB240,$AI240:AO240)-SUM($BY240:CF240)</f>
        <v>0</v>
      </c>
      <c r="BN240" s="8">
        <f>SUM($BB240,$AI240:AP240)-SUM($BY240:CG240)</f>
        <v>-200</v>
      </c>
      <c r="BO240" s="8">
        <f>SUM($BB240,$AI240:AQ240)-SUM($BY240:CH240)</f>
        <v>-700</v>
      </c>
      <c r="BP240" s="8">
        <f>SUM($BB240,$AI240:AR240)-SUM($BY240:CI240)</f>
        <v>-1500</v>
      </c>
      <c r="BQ240" s="8">
        <f>SUM($BB240,$AI240:AS240)-SUM($BY240:CJ240)</f>
        <v>-2440</v>
      </c>
      <c r="BR240" s="8">
        <f>SUM($BB240,$AI240:AT240)-SUM($BY240:CK240)</f>
        <v>-3240</v>
      </c>
      <c r="BS240" s="8">
        <f>SUM($BB240,$AI240:AU240)-SUM($BY240:CL240)</f>
        <v>-3940</v>
      </c>
      <c r="BT240" s="8">
        <f>SUM($BB240,$AI240:AV240)-SUM($BY240:CM240)</f>
        <v>-4820</v>
      </c>
      <c r="BU240" s="8">
        <f>SUM($BB240,$AI240:AW240)-SUM($BY240:CN240)</f>
        <v>-5900</v>
      </c>
      <c r="BV240" s="8">
        <f>SUM($BB240,$AI240:AX240)-SUM($BY240:CO240)</f>
        <v>-6420</v>
      </c>
      <c r="BW240" s="8">
        <f>SUM($BB240,$AI240:AY240)-SUM($BY240:CP240)</f>
        <v>-6420</v>
      </c>
      <c r="BX240" s="8">
        <f>SUM($BB240,$AI240:AZ240)-SUM($BY240:CQ240)</f>
        <v>-6420</v>
      </c>
      <c r="BY240" s="8" cm="1">
        <f t="array" ref="BY240">SUMPRODUCT(TRANSPOSE(BY$2:BY$15),$I240:$V240)</f>
        <v>0</v>
      </c>
      <c r="BZ240" s="8" cm="1">
        <f t="array" ref="BZ240">SUMPRODUCT(TRANSPOSE(BZ$2:BZ$15),$I240:$V240)</f>
        <v>0</v>
      </c>
      <c r="CA240" s="8" cm="1">
        <f t="array" ref="CA240">SUMPRODUCT(TRANSPOSE(CA$2:CA$15),$I240:$V240)</f>
        <v>0</v>
      </c>
      <c r="CB240" s="8" cm="1">
        <f t="array" ref="CB240">SUMPRODUCT(TRANSPOSE(CB$2:CB$15),$I240:$V240)</f>
        <v>0</v>
      </c>
      <c r="CC240" s="8" cm="1">
        <f t="array" ref="CC240">SUMPRODUCT(TRANSPOSE(CC$2:CC$15),$I240:$V240)</f>
        <v>0</v>
      </c>
      <c r="CD240" s="8" cm="1">
        <f t="array" ref="CD240">SUMPRODUCT(TRANSPOSE(CD$2:CD$15),$I240:$V240)</f>
        <v>0</v>
      </c>
      <c r="CE240" s="8" cm="1">
        <f t="array" ref="CE240">SUMPRODUCT(TRANSPOSE(CE$2:CE$15),$I240:$V240)</f>
        <v>0</v>
      </c>
      <c r="CF240" s="8" cm="1">
        <f t="array" ref="CF240">SUMPRODUCT(TRANSPOSE(CF$2:CF$15),$I240:$V240)</f>
        <v>0</v>
      </c>
      <c r="CG240" s="8" cm="1">
        <f t="array" ref="CG240">SUMPRODUCT(TRANSPOSE(CG$2:CG$15),$I240:$V240)</f>
        <v>200</v>
      </c>
      <c r="CH240" s="8" cm="1">
        <f t="array" ref="CH240">SUMPRODUCT(TRANSPOSE(CH$2:CH$15),$I240:$V240)</f>
        <v>500</v>
      </c>
      <c r="CI240" s="8" cm="1">
        <f t="array" ref="CI240">SUMPRODUCT(TRANSPOSE(CI$2:CI$15),$I240:$V240)</f>
        <v>800</v>
      </c>
      <c r="CJ240" s="8" cm="1">
        <f t="array" ref="CJ240">SUMPRODUCT(TRANSPOSE(CJ$2:CJ$15),$I240:$V240)</f>
        <v>940</v>
      </c>
      <c r="CK240" s="8" cm="1">
        <f t="array" ref="CK240">SUMPRODUCT(TRANSPOSE(CK$2:CK$15),$I240:$V240)</f>
        <v>800</v>
      </c>
      <c r="CL240" s="8" cm="1">
        <f t="array" ref="CL240">SUMPRODUCT(TRANSPOSE(CL$2:CL$15),$I240:$V240)</f>
        <v>700</v>
      </c>
      <c r="CM240" s="8" cm="1">
        <f t="array" ref="CM240">SUMPRODUCT(TRANSPOSE(CM$2:CM$15),$I240:$V240)</f>
        <v>880</v>
      </c>
      <c r="CN240" s="8" cm="1">
        <f t="array" ref="CN240">SUMPRODUCT(TRANSPOSE(CN$2:CN$15),$I240:$V240)</f>
        <v>1080</v>
      </c>
      <c r="CO240" s="8" cm="1">
        <f t="array" ref="CO240">SUMPRODUCT(TRANSPOSE(CO$2:CO$15),$I240:$V240)</f>
        <v>520</v>
      </c>
      <c r="CP240" s="8" cm="1">
        <f t="array" ref="CP240">SUMPRODUCT(TRANSPOSE(CP$2:CP$15),$I240:$V240)</f>
        <v>0</v>
      </c>
      <c r="CQ240" s="8" cm="1">
        <f t="array" ref="CQ240">SUMPRODUCT(TRANSPOSE(CQ$2:CQ$15),$I240:$V240)</f>
        <v>0</v>
      </c>
    </row>
    <row r="241" spans="1:95" x14ac:dyDescent="0.25">
      <c r="A241" s="1">
        <v>191</v>
      </c>
      <c r="B241" s="11" t="s">
        <v>615</v>
      </c>
      <c r="C241" s="1" t="s">
        <v>49</v>
      </c>
      <c r="D241" s="1">
        <v>400693204</v>
      </c>
      <c r="E241" s="6" t="str">
        <f>VLOOKUP(D241,FFF!$A$2:$B$674,2,)</f>
        <v>FFF003946</v>
      </c>
      <c r="F241" s="1" t="s">
        <v>616</v>
      </c>
      <c r="G241" s="1" t="s">
        <v>35</v>
      </c>
      <c r="H241" s="1">
        <v>4</v>
      </c>
      <c r="I241" s="1">
        <v>0</v>
      </c>
      <c r="J241" s="1">
        <v>0</v>
      </c>
      <c r="K241" s="1">
        <v>0</v>
      </c>
      <c r="L241" s="1">
        <v>2</v>
      </c>
      <c r="M241" s="1">
        <v>0</v>
      </c>
      <c r="N241" s="1">
        <v>0</v>
      </c>
      <c r="O241" s="1">
        <v>0</v>
      </c>
      <c r="P241" s="1">
        <v>0</v>
      </c>
      <c r="Q241" s="1">
        <v>2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f>SUMPRODUCT(I241:V241,$I$13:$V$13)</f>
        <v>6420</v>
      </c>
      <c r="X241" s="6">
        <f t="shared" si="5"/>
        <v>8.8919999999999989E-3</v>
      </c>
      <c r="Y241" s="1" t="str">
        <f>VLOOKUP(D241,[1]PARTS!$A$1:$G$65536,7,0)</f>
        <v>VISHAY RESISTIVE SYSTEMS</v>
      </c>
      <c r="Z241" s="1">
        <f>VLOOKUP(D241,[2]pareto!$D$12:$AX$306,44,0)</f>
        <v>5000</v>
      </c>
      <c r="AA241" s="1">
        <f>VLOOKUP(D241,[2]pareto!$D$12:$AX$306,45,0)</f>
        <v>5000</v>
      </c>
      <c r="AB241" s="1">
        <f>CEILING(W241,Z241)</f>
        <v>10000</v>
      </c>
      <c r="AC241" s="1">
        <f>VLOOKUP(D241,[2]pareto!$D$12:$AX$306,47,0)</f>
        <v>2.2229999999999997E-3</v>
      </c>
      <c r="AD241" s="1" t="s">
        <v>85</v>
      </c>
      <c r="AE241" s="1" t="s">
        <v>86</v>
      </c>
      <c r="AF241" s="19" t="s">
        <v>87</v>
      </c>
      <c r="AG241" s="1" t="s">
        <v>88</v>
      </c>
      <c r="BG241" s="8">
        <f>SUM($BB241,$AI241:AI241)-SUM($BY241:BZ241)</f>
        <v>0</v>
      </c>
      <c r="BH241" s="8">
        <f>SUM($BB241,$AI241:AJ241)-SUM($BY241:CA241)</f>
        <v>0</v>
      </c>
      <c r="BI241" s="8">
        <f>SUM($BB241,$AI241:AK241)-SUM($BY241:CB241)</f>
        <v>0</v>
      </c>
      <c r="BJ241" s="8">
        <f>SUM($BB241,$AI241:AL241)-SUM($BY241:CC241)</f>
        <v>0</v>
      </c>
      <c r="BK241" s="8">
        <f>SUM($BB241,$AI241:AM241)-SUM($BY241:CD241)</f>
        <v>0</v>
      </c>
      <c r="BL241" s="8">
        <f>SUM($BB241,$AI241:AN241)-SUM($BY241:CE241)</f>
        <v>0</v>
      </c>
      <c r="BM241" s="8">
        <f>SUM($BB241,$AI241:AO241)-SUM($BY241:CF241)</f>
        <v>0</v>
      </c>
      <c r="BN241" s="8">
        <f>SUM($BB241,$AI241:AP241)-SUM($BY241:CG241)</f>
        <v>-400</v>
      </c>
      <c r="BO241" s="8">
        <f>SUM($BB241,$AI241:AQ241)-SUM($BY241:CH241)</f>
        <v>-1000</v>
      </c>
      <c r="BP241" s="8">
        <f>SUM($BB241,$AI241:AR241)-SUM($BY241:CI241)</f>
        <v>-2000</v>
      </c>
      <c r="BQ241" s="8">
        <f>SUM($BB241,$AI241:AS241)-SUM($BY241:CJ241)</f>
        <v>-2840</v>
      </c>
      <c r="BR241" s="8">
        <f>SUM($BB241,$AI241:AT241)-SUM($BY241:CK241)</f>
        <v>-3640</v>
      </c>
      <c r="BS241" s="8">
        <f>SUM($BB241,$AI241:AU241)-SUM($BY241:CL241)</f>
        <v>-4340</v>
      </c>
      <c r="BT241" s="8">
        <f>SUM($BB241,$AI241:AV241)-SUM($BY241:CM241)</f>
        <v>-5420</v>
      </c>
      <c r="BU241" s="8">
        <f>SUM($BB241,$AI241:AW241)-SUM($BY241:CN241)</f>
        <v>-6420</v>
      </c>
      <c r="BV241" s="8">
        <f>SUM($BB241,$AI241:AX241)-SUM($BY241:CO241)</f>
        <v>-6420</v>
      </c>
      <c r="BW241" s="8">
        <f>SUM($BB241,$AI241:AY241)-SUM($BY241:CP241)</f>
        <v>-6420</v>
      </c>
      <c r="BX241" s="8">
        <f>SUM($BB241,$AI241:AZ241)-SUM($BY241:CQ241)</f>
        <v>-6420</v>
      </c>
      <c r="BY241" s="8" cm="1">
        <f t="array" ref="BY241">SUMPRODUCT(TRANSPOSE(BY$2:BY$15),$I241:$V241)</f>
        <v>0</v>
      </c>
      <c r="BZ241" s="8" cm="1">
        <f t="array" ref="BZ241">SUMPRODUCT(TRANSPOSE(BZ$2:BZ$15),$I241:$V241)</f>
        <v>0</v>
      </c>
      <c r="CA241" s="8" cm="1">
        <f t="array" ref="CA241">SUMPRODUCT(TRANSPOSE(CA$2:CA$15),$I241:$V241)</f>
        <v>0</v>
      </c>
      <c r="CB241" s="8" cm="1">
        <f t="array" ref="CB241">SUMPRODUCT(TRANSPOSE(CB$2:CB$15),$I241:$V241)</f>
        <v>0</v>
      </c>
      <c r="CC241" s="8" cm="1">
        <f t="array" ref="CC241">SUMPRODUCT(TRANSPOSE(CC$2:CC$15),$I241:$V241)</f>
        <v>0</v>
      </c>
      <c r="CD241" s="8" cm="1">
        <f t="array" ref="CD241">SUMPRODUCT(TRANSPOSE(CD$2:CD$15),$I241:$V241)</f>
        <v>0</v>
      </c>
      <c r="CE241" s="8" cm="1">
        <f t="array" ref="CE241">SUMPRODUCT(TRANSPOSE(CE$2:CE$15),$I241:$V241)</f>
        <v>0</v>
      </c>
      <c r="CF241" s="8" cm="1">
        <f t="array" ref="CF241">SUMPRODUCT(TRANSPOSE(CF$2:CF$15),$I241:$V241)</f>
        <v>0</v>
      </c>
      <c r="CG241" s="8" cm="1">
        <f t="array" ref="CG241">SUMPRODUCT(TRANSPOSE(CG$2:CG$15),$I241:$V241)</f>
        <v>400</v>
      </c>
      <c r="CH241" s="8" cm="1">
        <f t="array" ref="CH241">SUMPRODUCT(TRANSPOSE(CH$2:CH$15),$I241:$V241)</f>
        <v>600</v>
      </c>
      <c r="CI241" s="8" cm="1">
        <f t="array" ref="CI241">SUMPRODUCT(TRANSPOSE(CI$2:CI$15),$I241:$V241)</f>
        <v>1000</v>
      </c>
      <c r="CJ241" s="8" cm="1">
        <f t="array" ref="CJ241">SUMPRODUCT(TRANSPOSE(CJ$2:CJ$15),$I241:$V241)</f>
        <v>840</v>
      </c>
      <c r="CK241" s="8" cm="1">
        <f t="array" ref="CK241">SUMPRODUCT(TRANSPOSE(CK$2:CK$15),$I241:$V241)</f>
        <v>800</v>
      </c>
      <c r="CL241" s="8" cm="1">
        <f t="array" ref="CL241">SUMPRODUCT(TRANSPOSE(CL$2:CL$15),$I241:$V241)</f>
        <v>700</v>
      </c>
      <c r="CM241" s="8" cm="1">
        <f t="array" ref="CM241">SUMPRODUCT(TRANSPOSE(CM$2:CM$15),$I241:$V241)</f>
        <v>1080</v>
      </c>
      <c r="CN241" s="8" cm="1">
        <f t="array" ref="CN241">SUMPRODUCT(TRANSPOSE(CN$2:CN$15),$I241:$V241)</f>
        <v>1000</v>
      </c>
      <c r="CO241" s="8" cm="1">
        <f t="array" ref="CO241">SUMPRODUCT(TRANSPOSE(CO$2:CO$15),$I241:$V241)</f>
        <v>0</v>
      </c>
      <c r="CP241" s="8" cm="1">
        <f t="array" ref="CP241">SUMPRODUCT(TRANSPOSE(CP$2:CP$15),$I241:$V241)</f>
        <v>0</v>
      </c>
      <c r="CQ241" s="8" cm="1">
        <f t="array" ref="CQ241">SUMPRODUCT(TRANSPOSE(CQ$2:CQ$15),$I241:$V241)</f>
        <v>0</v>
      </c>
    </row>
    <row r="242" spans="1:95" x14ac:dyDescent="0.25">
      <c r="A242" s="1">
        <v>195</v>
      </c>
      <c r="B242" s="11" t="s">
        <v>617</v>
      </c>
      <c r="C242" s="1" t="s">
        <v>49</v>
      </c>
      <c r="D242" s="1">
        <v>413012036</v>
      </c>
      <c r="E242" s="6">
        <f>VLOOKUP(D242,FFF!$A$2:$B$674,2,)</f>
        <v>400274911</v>
      </c>
      <c r="F242" s="1" t="s">
        <v>618</v>
      </c>
      <c r="G242" s="1" t="s">
        <v>35</v>
      </c>
      <c r="H242" s="1">
        <v>4</v>
      </c>
      <c r="I242" s="1">
        <v>0</v>
      </c>
      <c r="J242" s="1">
        <v>0</v>
      </c>
      <c r="K242" s="1">
        <v>0</v>
      </c>
      <c r="L242" s="1">
        <v>0</v>
      </c>
      <c r="M242" s="1">
        <v>2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2</v>
      </c>
      <c r="W242" s="1">
        <f>SUMPRODUCT(I242:V242,$I$13:$V$13)</f>
        <v>6420</v>
      </c>
      <c r="X242" s="6">
        <f t="shared" si="5"/>
        <v>8.8919999999999989E-3</v>
      </c>
      <c r="Y242" s="1" t="str">
        <f>VLOOKUP(D242,[1]PARTS!$A$1:$G$65536,7,0)</f>
        <v>VISHAY RESISTIVE SYSTEMS</v>
      </c>
      <c r="Z242" s="1">
        <f>VLOOKUP(D242,[2]pareto!$D$12:$AX$306,44,0)</f>
        <v>5000</v>
      </c>
      <c r="AA242" s="1">
        <f>VLOOKUP(D242,[2]pareto!$D$12:$AX$306,45,0)</f>
        <v>5000</v>
      </c>
      <c r="AB242" s="1">
        <f>CEILING(W242,Z242)</f>
        <v>10000</v>
      </c>
      <c r="AC242" s="1">
        <f>VLOOKUP(D242,[2]pareto!$D$12:$AX$306,47,0)</f>
        <v>2.2229999999999997E-3</v>
      </c>
      <c r="AD242" s="1" t="s">
        <v>85</v>
      </c>
      <c r="AE242" s="1" t="s">
        <v>86</v>
      </c>
      <c r="AF242" s="19" t="s">
        <v>87</v>
      </c>
      <c r="AG242" s="1" t="s">
        <v>88</v>
      </c>
      <c r="BG242" s="8">
        <f>SUM($BB242,$AI242:AI242)-SUM($BY242:BZ242)</f>
        <v>0</v>
      </c>
      <c r="BH242" s="8">
        <f>SUM($BB242,$AI242:AJ242)-SUM($BY242:CA242)</f>
        <v>0</v>
      </c>
      <c r="BI242" s="8">
        <f>SUM($BB242,$AI242:AK242)-SUM($BY242:CB242)</f>
        <v>0</v>
      </c>
      <c r="BJ242" s="8">
        <f>SUM($BB242,$AI242:AL242)-SUM($BY242:CC242)</f>
        <v>0</v>
      </c>
      <c r="BK242" s="8">
        <f>SUM($BB242,$AI242:AM242)-SUM($BY242:CD242)</f>
        <v>0</v>
      </c>
      <c r="BL242" s="8">
        <f>SUM($BB242,$AI242:AN242)-SUM($BY242:CE242)</f>
        <v>0</v>
      </c>
      <c r="BM242" s="8">
        <f>SUM($BB242,$AI242:AO242)-SUM($BY242:CF242)</f>
        <v>0</v>
      </c>
      <c r="BN242" s="8">
        <f>SUM($BB242,$AI242:AP242)-SUM($BY242:CG242)</f>
        <v>-200</v>
      </c>
      <c r="BO242" s="8">
        <f>SUM($BB242,$AI242:AQ242)-SUM($BY242:CH242)</f>
        <v>-700</v>
      </c>
      <c r="BP242" s="8">
        <f>SUM($BB242,$AI242:AR242)-SUM($BY242:CI242)</f>
        <v>-1500</v>
      </c>
      <c r="BQ242" s="8">
        <f>SUM($BB242,$AI242:AS242)-SUM($BY242:CJ242)</f>
        <v>-2440</v>
      </c>
      <c r="BR242" s="8">
        <f>SUM($BB242,$AI242:AT242)-SUM($BY242:CK242)</f>
        <v>-3240</v>
      </c>
      <c r="BS242" s="8">
        <f>SUM($BB242,$AI242:AU242)-SUM($BY242:CL242)</f>
        <v>-3940</v>
      </c>
      <c r="BT242" s="8">
        <f>SUM($BB242,$AI242:AV242)-SUM($BY242:CM242)</f>
        <v>-4820</v>
      </c>
      <c r="BU242" s="8">
        <f>SUM($BB242,$AI242:AW242)-SUM($BY242:CN242)</f>
        <v>-5900</v>
      </c>
      <c r="BV242" s="8">
        <f>SUM($BB242,$AI242:AX242)-SUM($BY242:CO242)</f>
        <v>-6420</v>
      </c>
      <c r="BW242" s="8">
        <f>SUM($BB242,$AI242:AY242)-SUM($BY242:CP242)</f>
        <v>-6420</v>
      </c>
      <c r="BX242" s="8">
        <f>SUM($BB242,$AI242:AZ242)-SUM($BY242:CQ242)</f>
        <v>-6420</v>
      </c>
      <c r="BY242" s="8" cm="1">
        <f t="array" ref="BY242">SUMPRODUCT(TRANSPOSE(BY$2:BY$15),$I242:$V242)</f>
        <v>0</v>
      </c>
      <c r="BZ242" s="8" cm="1">
        <f t="array" ref="BZ242">SUMPRODUCT(TRANSPOSE(BZ$2:BZ$15),$I242:$V242)</f>
        <v>0</v>
      </c>
      <c r="CA242" s="8" cm="1">
        <f t="array" ref="CA242">SUMPRODUCT(TRANSPOSE(CA$2:CA$15),$I242:$V242)</f>
        <v>0</v>
      </c>
      <c r="CB242" s="8" cm="1">
        <f t="array" ref="CB242">SUMPRODUCT(TRANSPOSE(CB$2:CB$15),$I242:$V242)</f>
        <v>0</v>
      </c>
      <c r="CC242" s="8" cm="1">
        <f t="array" ref="CC242">SUMPRODUCT(TRANSPOSE(CC$2:CC$15),$I242:$V242)</f>
        <v>0</v>
      </c>
      <c r="CD242" s="8" cm="1">
        <f t="array" ref="CD242">SUMPRODUCT(TRANSPOSE(CD$2:CD$15),$I242:$V242)</f>
        <v>0</v>
      </c>
      <c r="CE242" s="8" cm="1">
        <f t="array" ref="CE242">SUMPRODUCT(TRANSPOSE(CE$2:CE$15),$I242:$V242)</f>
        <v>0</v>
      </c>
      <c r="CF242" s="8" cm="1">
        <f t="array" ref="CF242">SUMPRODUCT(TRANSPOSE(CF$2:CF$15),$I242:$V242)</f>
        <v>0</v>
      </c>
      <c r="CG242" s="8" cm="1">
        <f t="array" ref="CG242">SUMPRODUCT(TRANSPOSE(CG$2:CG$15),$I242:$V242)</f>
        <v>200</v>
      </c>
      <c r="CH242" s="8" cm="1">
        <f t="array" ref="CH242">SUMPRODUCT(TRANSPOSE(CH$2:CH$15),$I242:$V242)</f>
        <v>500</v>
      </c>
      <c r="CI242" s="8" cm="1">
        <f t="array" ref="CI242">SUMPRODUCT(TRANSPOSE(CI$2:CI$15),$I242:$V242)</f>
        <v>800</v>
      </c>
      <c r="CJ242" s="8" cm="1">
        <f t="array" ref="CJ242">SUMPRODUCT(TRANSPOSE(CJ$2:CJ$15),$I242:$V242)</f>
        <v>940</v>
      </c>
      <c r="CK242" s="8" cm="1">
        <f t="array" ref="CK242">SUMPRODUCT(TRANSPOSE(CK$2:CK$15),$I242:$V242)</f>
        <v>800</v>
      </c>
      <c r="CL242" s="8" cm="1">
        <f t="array" ref="CL242">SUMPRODUCT(TRANSPOSE(CL$2:CL$15),$I242:$V242)</f>
        <v>700</v>
      </c>
      <c r="CM242" s="8" cm="1">
        <f t="array" ref="CM242">SUMPRODUCT(TRANSPOSE(CM$2:CM$15),$I242:$V242)</f>
        <v>880</v>
      </c>
      <c r="CN242" s="8" cm="1">
        <f t="array" ref="CN242">SUMPRODUCT(TRANSPOSE(CN$2:CN$15),$I242:$V242)</f>
        <v>1080</v>
      </c>
      <c r="CO242" s="8" cm="1">
        <f t="array" ref="CO242">SUMPRODUCT(TRANSPOSE(CO$2:CO$15),$I242:$V242)</f>
        <v>520</v>
      </c>
      <c r="CP242" s="8" cm="1">
        <f t="array" ref="CP242">SUMPRODUCT(TRANSPOSE(CP$2:CP$15),$I242:$V242)</f>
        <v>0</v>
      </c>
      <c r="CQ242" s="8" cm="1">
        <f t="array" ref="CQ242">SUMPRODUCT(TRANSPOSE(CQ$2:CQ$15),$I242:$V242)</f>
        <v>0</v>
      </c>
    </row>
    <row r="243" spans="1:95" x14ac:dyDescent="0.25">
      <c r="A243" s="1">
        <v>138</v>
      </c>
      <c r="B243" s="11" t="s">
        <v>619</v>
      </c>
      <c r="C243" s="1" t="s">
        <v>49</v>
      </c>
      <c r="D243" s="1">
        <v>417983113</v>
      </c>
      <c r="E243" s="6">
        <f>VLOOKUP(D243,FFF!$A$2:$B$674,2,)</f>
        <v>400326579</v>
      </c>
      <c r="F243" s="1" t="s">
        <v>620</v>
      </c>
      <c r="G243" s="1" t="s">
        <v>35</v>
      </c>
      <c r="H243" s="1">
        <v>4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4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f>SUMPRODUCT(I243:V243,$I$13:$V$13)</f>
        <v>6640</v>
      </c>
      <c r="X243" s="6">
        <f t="shared" si="5"/>
        <v>8.8000000000000005E-3</v>
      </c>
      <c r="Y243" s="1" t="str">
        <f>VLOOKUP(D243,[1]PARTS!$A$1:$G$65536,7,0)</f>
        <v>SAMSUNG</v>
      </c>
      <c r="Z243" s="1">
        <f>VLOOKUP(D243,[2]pareto!$D$12:$AX$306,44,0)</f>
        <v>10000</v>
      </c>
      <c r="AA243" s="1">
        <f>VLOOKUP(D243,[2]pareto!$D$12:$AX$306,45,0)</f>
        <v>10000</v>
      </c>
      <c r="AB243" s="1">
        <f>CEILING(W243,Z243)</f>
        <v>10000</v>
      </c>
      <c r="AC243" s="1">
        <f>VLOOKUP(D243,[2]pareto!$D$12:$AX$306,47,0)</f>
        <v>2.2000000000000001E-3</v>
      </c>
      <c r="AD243" s="1" t="s">
        <v>430</v>
      </c>
      <c r="AE243" s="1" t="s">
        <v>431</v>
      </c>
      <c r="AF243" s="12" t="s">
        <v>432</v>
      </c>
      <c r="AG243" s="1" t="s">
        <v>433</v>
      </c>
      <c r="BG243" s="8">
        <f>SUM($BB243,$AI243:AI243)-SUM($BY243:BZ243)</f>
        <v>0</v>
      </c>
      <c r="BH243" s="8">
        <f>SUM($BB243,$AI243:AJ243)-SUM($BY243:CA243)</f>
        <v>0</v>
      </c>
      <c r="BI243" s="8">
        <f>SUM($BB243,$AI243:AK243)-SUM($BY243:CB243)</f>
        <v>0</v>
      </c>
      <c r="BJ243" s="8">
        <f>SUM($BB243,$AI243:AL243)-SUM($BY243:CC243)</f>
        <v>0</v>
      </c>
      <c r="BK243" s="8">
        <f>SUM($BB243,$AI243:AM243)-SUM($BY243:CD243)</f>
        <v>0</v>
      </c>
      <c r="BL243" s="8">
        <f>SUM($BB243,$AI243:AN243)-SUM($BY243:CE243)</f>
        <v>0</v>
      </c>
      <c r="BM243" s="8">
        <f>SUM($BB243,$AI243:AO243)-SUM($BY243:CF243)</f>
        <v>0</v>
      </c>
      <c r="BN243" s="8">
        <f>SUM($BB243,$AI243:AP243)-SUM($BY243:CG243)</f>
        <v>-400</v>
      </c>
      <c r="BO243" s="8">
        <f>SUM($BB243,$AI243:AQ243)-SUM($BY243:CH243)</f>
        <v>-1000</v>
      </c>
      <c r="BP243" s="8">
        <f>SUM($BB243,$AI243:AR243)-SUM($BY243:CI243)</f>
        <v>-2000</v>
      </c>
      <c r="BQ243" s="8">
        <f>SUM($BB243,$AI243:AS243)-SUM($BY243:CJ243)</f>
        <v>-2800</v>
      </c>
      <c r="BR243" s="8">
        <f>SUM($BB243,$AI243:AT243)-SUM($BY243:CK243)</f>
        <v>-3600</v>
      </c>
      <c r="BS243" s="8">
        <f>SUM($BB243,$AI243:AU243)-SUM($BY243:CL243)</f>
        <v>-4400</v>
      </c>
      <c r="BT243" s="8">
        <f>SUM($BB243,$AI243:AV243)-SUM($BY243:CM243)</f>
        <v>-5600</v>
      </c>
      <c r="BU243" s="8">
        <f>SUM($BB243,$AI243:AW243)-SUM($BY243:CN243)</f>
        <v>-6640</v>
      </c>
      <c r="BV243" s="8">
        <f>SUM($BB243,$AI243:AX243)-SUM($BY243:CO243)</f>
        <v>-6640</v>
      </c>
      <c r="BW243" s="8">
        <f>SUM($BB243,$AI243:AY243)-SUM($BY243:CP243)</f>
        <v>-6640</v>
      </c>
      <c r="BX243" s="8">
        <f>SUM($BB243,$AI243:AZ243)-SUM($BY243:CQ243)</f>
        <v>-6640</v>
      </c>
      <c r="BY243" s="8" cm="1">
        <f t="array" ref="BY243">SUMPRODUCT(TRANSPOSE(BY$2:BY$15),$I243:$V243)</f>
        <v>0</v>
      </c>
      <c r="BZ243" s="8" cm="1">
        <f t="array" ref="BZ243">SUMPRODUCT(TRANSPOSE(BZ$2:BZ$15),$I243:$V243)</f>
        <v>0</v>
      </c>
      <c r="CA243" s="8" cm="1">
        <f t="array" ref="CA243">SUMPRODUCT(TRANSPOSE(CA$2:CA$15),$I243:$V243)</f>
        <v>0</v>
      </c>
      <c r="CB243" s="8" cm="1">
        <f t="array" ref="CB243">SUMPRODUCT(TRANSPOSE(CB$2:CB$15),$I243:$V243)</f>
        <v>0</v>
      </c>
      <c r="CC243" s="8" cm="1">
        <f t="array" ref="CC243">SUMPRODUCT(TRANSPOSE(CC$2:CC$15),$I243:$V243)</f>
        <v>0</v>
      </c>
      <c r="CD243" s="8" cm="1">
        <f t="array" ref="CD243">SUMPRODUCT(TRANSPOSE(CD$2:CD$15),$I243:$V243)</f>
        <v>0</v>
      </c>
      <c r="CE243" s="8" cm="1">
        <f t="array" ref="CE243">SUMPRODUCT(TRANSPOSE(CE$2:CE$15),$I243:$V243)</f>
        <v>0</v>
      </c>
      <c r="CF243" s="8" cm="1">
        <f t="array" ref="CF243">SUMPRODUCT(TRANSPOSE(CF$2:CF$15),$I243:$V243)</f>
        <v>0</v>
      </c>
      <c r="CG243" s="8" cm="1">
        <f t="array" ref="CG243">SUMPRODUCT(TRANSPOSE(CG$2:CG$15),$I243:$V243)</f>
        <v>400</v>
      </c>
      <c r="CH243" s="8" cm="1">
        <f t="array" ref="CH243">SUMPRODUCT(TRANSPOSE(CH$2:CH$15),$I243:$V243)</f>
        <v>600</v>
      </c>
      <c r="CI243" s="8" cm="1">
        <f t="array" ref="CI243">SUMPRODUCT(TRANSPOSE(CI$2:CI$15),$I243:$V243)</f>
        <v>1000</v>
      </c>
      <c r="CJ243" s="8" cm="1">
        <f t="array" ref="CJ243">SUMPRODUCT(TRANSPOSE(CJ$2:CJ$15),$I243:$V243)</f>
        <v>800</v>
      </c>
      <c r="CK243" s="8" cm="1">
        <f t="array" ref="CK243">SUMPRODUCT(TRANSPOSE(CK$2:CK$15),$I243:$V243)</f>
        <v>800</v>
      </c>
      <c r="CL243" s="8" cm="1">
        <f t="array" ref="CL243">SUMPRODUCT(TRANSPOSE(CL$2:CL$15),$I243:$V243)</f>
        <v>800</v>
      </c>
      <c r="CM243" s="8" cm="1">
        <f t="array" ref="CM243">SUMPRODUCT(TRANSPOSE(CM$2:CM$15),$I243:$V243)</f>
        <v>1200</v>
      </c>
      <c r="CN243" s="8" cm="1">
        <f t="array" ref="CN243">SUMPRODUCT(TRANSPOSE(CN$2:CN$15),$I243:$V243)</f>
        <v>1040</v>
      </c>
      <c r="CO243" s="8" cm="1">
        <f t="array" ref="CO243">SUMPRODUCT(TRANSPOSE(CO$2:CO$15),$I243:$V243)</f>
        <v>0</v>
      </c>
      <c r="CP243" s="8" cm="1">
        <f t="array" ref="CP243">SUMPRODUCT(TRANSPOSE(CP$2:CP$15),$I243:$V243)</f>
        <v>0</v>
      </c>
      <c r="CQ243" s="8" cm="1">
        <f t="array" ref="CQ243">SUMPRODUCT(TRANSPOSE(CQ$2:CQ$15),$I243:$V243)</f>
        <v>0</v>
      </c>
    </row>
    <row r="244" spans="1:95" x14ac:dyDescent="0.25">
      <c r="A244" s="1">
        <v>160</v>
      </c>
      <c r="B244" s="11" t="s">
        <v>621</v>
      </c>
      <c r="C244" s="1" t="s">
        <v>49</v>
      </c>
      <c r="D244" s="1">
        <v>400658325</v>
      </c>
      <c r="E244" s="6">
        <f>VLOOKUP(D244,FFF!$A$2:$B$674,2,)</f>
        <v>400275524</v>
      </c>
      <c r="F244" s="1" t="s">
        <v>622</v>
      </c>
      <c r="G244" s="1" t="s">
        <v>35</v>
      </c>
      <c r="H244" s="1">
        <v>4</v>
      </c>
      <c r="I244" s="1">
        <v>0</v>
      </c>
      <c r="J244" s="1">
        <v>0</v>
      </c>
      <c r="K244" s="1">
        <v>0</v>
      </c>
      <c r="L244" s="1">
        <v>0</v>
      </c>
      <c r="M244" s="1">
        <v>2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2</v>
      </c>
      <c r="W244" s="1">
        <f>SUMPRODUCT(I244:V244,$I$13:$V$13)</f>
        <v>6420</v>
      </c>
      <c r="X244" s="6">
        <f t="shared" si="5"/>
        <v>7.9559999999999995E-3</v>
      </c>
      <c r="Y244" s="1" t="str">
        <f>VLOOKUP(D244,[1]PARTS!$A$1:$G$65536,7,0)</f>
        <v>VISHAY RESISTIVE SYSTEMS</v>
      </c>
      <c r="Z244" s="1">
        <f>VLOOKUP(D244,[2]pareto!$D$12:$AX$306,44,0)</f>
        <v>10000</v>
      </c>
      <c r="AA244" s="1">
        <f>VLOOKUP(D244,[2]pareto!$D$12:$AX$306,45,0)</f>
        <v>10000</v>
      </c>
      <c r="AB244" s="1">
        <f>CEILING(W244,Z244)</f>
        <v>10000</v>
      </c>
      <c r="AC244" s="1">
        <f>VLOOKUP(D244,[2]pareto!$D$12:$AX$306,47,0)</f>
        <v>1.9889999999999999E-3</v>
      </c>
      <c r="AD244" s="1" t="s">
        <v>85</v>
      </c>
      <c r="AE244" s="1" t="s">
        <v>86</v>
      </c>
      <c r="AF244" s="19" t="s">
        <v>87</v>
      </c>
      <c r="AG244" s="1" t="s">
        <v>88</v>
      </c>
      <c r="BG244" s="8">
        <f>SUM($BB244,$AI244:AI244)-SUM($BY244:BZ244)</f>
        <v>0</v>
      </c>
      <c r="BH244" s="8">
        <f>SUM($BB244,$AI244:AJ244)-SUM($BY244:CA244)</f>
        <v>0</v>
      </c>
      <c r="BI244" s="8">
        <f>SUM($BB244,$AI244:AK244)-SUM($BY244:CB244)</f>
        <v>0</v>
      </c>
      <c r="BJ244" s="8">
        <f>SUM($BB244,$AI244:AL244)-SUM($BY244:CC244)</f>
        <v>0</v>
      </c>
      <c r="BK244" s="8">
        <f>SUM($BB244,$AI244:AM244)-SUM($BY244:CD244)</f>
        <v>0</v>
      </c>
      <c r="BL244" s="8">
        <f>SUM($BB244,$AI244:AN244)-SUM($BY244:CE244)</f>
        <v>0</v>
      </c>
      <c r="BM244" s="8">
        <f>SUM($BB244,$AI244:AO244)-SUM($BY244:CF244)</f>
        <v>0</v>
      </c>
      <c r="BN244" s="8">
        <f>SUM($BB244,$AI244:AP244)-SUM($BY244:CG244)</f>
        <v>-200</v>
      </c>
      <c r="BO244" s="8">
        <f>SUM($BB244,$AI244:AQ244)-SUM($BY244:CH244)</f>
        <v>-700</v>
      </c>
      <c r="BP244" s="8">
        <f>SUM($BB244,$AI244:AR244)-SUM($BY244:CI244)</f>
        <v>-1500</v>
      </c>
      <c r="BQ244" s="8">
        <f>SUM($BB244,$AI244:AS244)-SUM($BY244:CJ244)</f>
        <v>-2440</v>
      </c>
      <c r="BR244" s="8">
        <f>SUM($BB244,$AI244:AT244)-SUM($BY244:CK244)</f>
        <v>-3240</v>
      </c>
      <c r="BS244" s="8">
        <f>SUM($BB244,$AI244:AU244)-SUM($BY244:CL244)</f>
        <v>-3940</v>
      </c>
      <c r="BT244" s="8">
        <f>SUM($BB244,$AI244:AV244)-SUM($BY244:CM244)</f>
        <v>-4820</v>
      </c>
      <c r="BU244" s="8">
        <f>SUM($BB244,$AI244:AW244)-SUM($BY244:CN244)</f>
        <v>-5900</v>
      </c>
      <c r="BV244" s="8">
        <f>SUM($BB244,$AI244:AX244)-SUM($BY244:CO244)</f>
        <v>-6420</v>
      </c>
      <c r="BW244" s="8">
        <f>SUM($BB244,$AI244:AY244)-SUM($BY244:CP244)</f>
        <v>-6420</v>
      </c>
      <c r="BX244" s="8">
        <f>SUM($BB244,$AI244:AZ244)-SUM($BY244:CQ244)</f>
        <v>-6420</v>
      </c>
      <c r="BY244" s="8" cm="1">
        <f t="array" ref="BY244">SUMPRODUCT(TRANSPOSE(BY$2:BY$15),$I244:$V244)</f>
        <v>0</v>
      </c>
      <c r="BZ244" s="8" cm="1">
        <f t="array" ref="BZ244">SUMPRODUCT(TRANSPOSE(BZ$2:BZ$15),$I244:$V244)</f>
        <v>0</v>
      </c>
      <c r="CA244" s="8" cm="1">
        <f t="array" ref="CA244">SUMPRODUCT(TRANSPOSE(CA$2:CA$15),$I244:$V244)</f>
        <v>0</v>
      </c>
      <c r="CB244" s="8" cm="1">
        <f t="array" ref="CB244">SUMPRODUCT(TRANSPOSE(CB$2:CB$15),$I244:$V244)</f>
        <v>0</v>
      </c>
      <c r="CC244" s="8" cm="1">
        <f t="array" ref="CC244">SUMPRODUCT(TRANSPOSE(CC$2:CC$15),$I244:$V244)</f>
        <v>0</v>
      </c>
      <c r="CD244" s="8" cm="1">
        <f t="array" ref="CD244">SUMPRODUCT(TRANSPOSE(CD$2:CD$15),$I244:$V244)</f>
        <v>0</v>
      </c>
      <c r="CE244" s="8" cm="1">
        <f t="array" ref="CE244">SUMPRODUCT(TRANSPOSE(CE$2:CE$15),$I244:$V244)</f>
        <v>0</v>
      </c>
      <c r="CF244" s="8" cm="1">
        <f t="array" ref="CF244">SUMPRODUCT(TRANSPOSE(CF$2:CF$15),$I244:$V244)</f>
        <v>0</v>
      </c>
      <c r="CG244" s="8" cm="1">
        <f t="array" ref="CG244">SUMPRODUCT(TRANSPOSE(CG$2:CG$15),$I244:$V244)</f>
        <v>200</v>
      </c>
      <c r="CH244" s="8" cm="1">
        <f t="array" ref="CH244">SUMPRODUCT(TRANSPOSE(CH$2:CH$15),$I244:$V244)</f>
        <v>500</v>
      </c>
      <c r="CI244" s="8" cm="1">
        <f t="array" ref="CI244">SUMPRODUCT(TRANSPOSE(CI$2:CI$15),$I244:$V244)</f>
        <v>800</v>
      </c>
      <c r="CJ244" s="8" cm="1">
        <f t="array" ref="CJ244">SUMPRODUCT(TRANSPOSE(CJ$2:CJ$15),$I244:$V244)</f>
        <v>940</v>
      </c>
      <c r="CK244" s="8" cm="1">
        <f t="array" ref="CK244">SUMPRODUCT(TRANSPOSE(CK$2:CK$15),$I244:$V244)</f>
        <v>800</v>
      </c>
      <c r="CL244" s="8" cm="1">
        <f t="array" ref="CL244">SUMPRODUCT(TRANSPOSE(CL$2:CL$15),$I244:$V244)</f>
        <v>700</v>
      </c>
      <c r="CM244" s="8" cm="1">
        <f t="array" ref="CM244">SUMPRODUCT(TRANSPOSE(CM$2:CM$15),$I244:$V244)</f>
        <v>880</v>
      </c>
      <c r="CN244" s="8" cm="1">
        <f t="array" ref="CN244">SUMPRODUCT(TRANSPOSE(CN$2:CN$15),$I244:$V244)</f>
        <v>1080</v>
      </c>
      <c r="CO244" s="8" cm="1">
        <f t="array" ref="CO244">SUMPRODUCT(TRANSPOSE(CO$2:CO$15),$I244:$V244)</f>
        <v>520</v>
      </c>
      <c r="CP244" s="8" cm="1">
        <f t="array" ref="CP244">SUMPRODUCT(TRANSPOSE(CP$2:CP$15),$I244:$V244)</f>
        <v>0</v>
      </c>
      <c r="CQ244" s="8" cm="1">
        <f t="array" ref="CQ244">SUMPRODUCT(TRANSPOSE(CQ$2:CQ$15),$I244:$V244)</f>
        <v>0</v>
      </c>
    </row>
    <row r="245" spans="1:95" x14ac:dyDescent="0.25">
      <c r="A245" s="1">
        <v>165</v>
      </c>
      <c r="B245" s="11" t="s">
        <v>623</v>
      </c>
      <c r="C245" s="1" t="s">
        <v>49</v>
      </c>
      <c r="D245" s="1">
        <v>400658331</v>
      </c>
      <c r="E245" s="6">
        <f>VLOOKUP(D245,FFF!$A$2:$B$674,2,)</f>
        <v>400275598</v>
      </c>
      <c r="F245" s="1" t="s">
        <v>624</v>
      </c>
      <c r="G245" s="1" t="s">
        <v>35</v>
      </c>
      <c r="H245" s="1">
        <v>4</v>
      </c>
      <c r="I245" s="1">
        <v>0</v>
      </c>
      <c r="J245" s="1">
        <v>0</v>
      </c>
      <c r="K245" s="1">
        <v>0</v>
      </c>
      <c r="L245" s="1">
        <v>0</v>
      </c>
      <c r="M245" s="1">
        <v>2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2</v>
      </c>
      <c r="W245" s="1">
        <f>SUMPRODUCT(I245:V245,$I$13:$V$13)</f>
        <v>6420</v>
      </c>
      <c r="X245" s="6">
        <f t="shared" si="5"/>
        <v>7.9559999999999995E-3</v>
      </c>
      <c r="Y245" s="1" t="str">
        <f>VLOOKUP(D245,[1]PARTS!$A$1:$G$65536,7,0)</f>
        <v>VISHAY RESISTIVE SYSTEMS</v>
      </c>
      <c r="Z245" s="1">
        <f>VLOOKUP(D245,[2]pareto!$D$12:$AX$306,44,0)</f>
        <v>10000</v>
      </c>
      <c r="AA245" s="1">
        <f>VLOOKUP(D245,[2]pareto!$D$12:$AX$306,45,0)</f>
        <v>10000</v>
      </c>
      <c r="AB245" s="1">
        <f>CEILING(W245,Z245)</f>
        <v>10000</v>
      </c>
      <c r="AC245" s="1">
        <f>VLOOKUP(D245,[2]pareto!$D$12:$AX$306,47,0)</f>
        <v>1.9889999999999999E-3</v>
      </c>
      <c r="AD245" s="1" t="s">
        <v>85</v>
      </c>
      <c r="AE245" s="1" t="s">
        <v>86</v>
      </c>
      <c r="AF245" s="19" t="s">
        <v>87</v>
      </c>
      <c r="AG245" s="1" t="s">
        <v>88</v>
      </c>
      <c r="BG245" s="8">
        <f>SUM($BB245,$AI245:AI245)-SUM($BY245:BZ245)</f>
        <v>0</v>
      </c>
      <c r="BH245" s="8">
        <f>SUM($BB245,$AI245:AJ245)-SUM($BY245:CA245)</f>
        <v>0</v>
      </c>
      <c r="BI245" s="8">
        <f>SUM($BB245,$AI245:AK245)-SUM($BY245:CB245)</f>
        <v>0</v>
      </c>
      <c r="BJ245" s="8">
        <f>SUM($BB245,$AI245:AL245)-SUM($BY245:CC245)</f>
        <v>0</v>
      </c>
      <c r="BK245" s="8">
        <f>SUM($BB245,$AI245:AM245)-SUM($BY245:CD245)</f>
        <v>0</v>
      </c>
      <c r="BL245" s="8">
        <f>SUM($BB245,$AI245:AN245)-SUM($BY245:CE245)</f>
        <v>0</v>
      </c>
      <c r="BM245" s="8">
        <f>SUM($BB245,$AI245:AO245)-SUM($BY245:CF245)</f>
        <v>0</v>
      </c>
      <c r="BN245" s="8">
        <f>SUM($BB245,$AI245:AP245)-SUM($BY245:CG245)</f>
        <v>-200</v>
      </c>
      <c r="BO245" s="8">
        <f>SUM($BB245,$AI245:AQ245)-SUM($BY245:CH245)</f>
        <v>-700</v>
      </c>
      <c r="BP245" s="8">
        <f>SUM($BB245,$AI245:AR245)-SUM($BY245:CI245)</f>
        <v>-1500</v>
      </c>
      <c r="BQ245" s="8">
        <f>SUM($BB245,$AI245:AS245)-SUM($BY245:CJ245)</f>
        <v>-2440</v>
      </c>
      <c r="BR245" s="8">
        <f>SUM($BB245,$AI245:AT245)-SUM($BY245:CK245)</f>
        <v>-3240</v>
      </c>
      <c r="BS245" s="8">
        <f>SUM($BB245,$AI245:AU245)-SUM($BY245:CL245)</f>
        <v>-3940</v>
      </c>
      <c r="BT245" s="8">
        <f>SUM($BB245,$AI245:AV245)-SUM($BY245:CM245)</f>
        <v>-4820</v>
      </c>
      <c r="BU245" s="8">
        <f>SUM($BB245,$AI245:AW245)-SUM($BY245:CN245)</f>
        <v>-5900</v>
      </c>
      <c r="BV245" s="8">
        <f>SUM($BB245,$AI245:AX245)-SUM($BY245:CO245)</f>
        <v>-6420</v>
      </c>
      <c r="BW245" s="8">
        <f>SUM($BB245,$AI245:AY245)-SUM($BY245:CP245)</f>
        <v>-6420</v>
      </c>
      <c r="BX245" s="8">
        <f>SUM($BB245,$AI245:AZ245)-SUM($BY245:CQ245)</f>
        <v>-6420</v>
      </c>
      <c r="BY245" s="8" cm="1">
        <f t="array" ref="BY245">SUMPRODUCT(TRANSPOSE(BY$2:BY$15),$I245:$V245)</f>
        <v>0</v>
      </c>
      <c r="BZ245" s="8" cm="1">
        <f t="array" ref="BZ245">SUMPRODUCT(TRANSPOSE(BZ$2:BZ$15),$I245:$V245)</f>
        <v>0</v>
      </c>
      <c r="CA245" s="8" cm="1">
        <f t="array" ref="CA245">SUMPRODUCT(TRANSPOSE(CA$2:CA$15),$I245:$V245)</f>
        <v>0</v>
      </c>
      <c r="CB245" s="8" cm="1">
        <f t="array" ref="CB245">SUMPRODUCT(TRANSPOSE(CB$2:CB$15),$I245:$V245)</f>
        <v>0</v>
      </c>
      <c r="CC245" s="8" cm="1">
        <f t="array" ref="CC245">SUMPRODUCT(TRANSPOSE(CC$2:CC$15),$I245:$V245)</f>
        <v>0</v>
      </c>
      <c r="CD245" s="8" cm="1">
        <f t="array" ref="CD245">SUMPRODUCT(TRANSPOSE(CD$2:CD$15),$I245:$V245)</f>
        <v>0</v>
      </c>
      <c r="CE245" s="8" cm="1">
        <f t="array" ref="CE245">SUMPRODUCT(TRANSPOSE(CE$2:CE$15),$I245:$V245)</f>
        <v>0</v>
      </c>
      <c r="CF245" s="8" cm="1">
        <f t="array" ref="CF245">SUMPRODUCT(TRANSPOSE(CF$2:CF$15),$I245:$V245)</f>
        <v>0</v>
      </c>
      <c r="CG245" s="8" cm="1">
        <f t="array" ref="CG245">SUMPRODUCT(TRANSPOSE(CG$2:CG$15),$I245:$V245)</f>
        <v>200</v>
      </c>
      <c r="CH245" s="8" cm="1">
        <f t="array" ref="CH245">SUMPRODUCT(TRANSPOSE(CH$2:CH$15),$I245:$V245)</f>
        <v>500</v>
      </c>
      <c r="CI245" s="8" cm="1">
        <f t="array" ref="CI245">SUMPRODUCT(TRANSPOSE(CI$2:CI$15),$I245:$V245)</f>
        <v>800</v>
      </c>
      <c r="CJ245" s="8" cm="1">
        <f t="array" ref="CJ245">SUMPRODUCT(TRANSPOSE(CJ$2:CJ$15),$I245:$V245)</f>
        <v>940</v>
      </c>
      <c r="CK245" s="8" cm="1">
        <f t="array" ref="CK245">SUMPRODUCT(TRANSPOSE(CK$2:CK$15),$I245:$V245)</f>
        <v>800</v>
      </c>
      <c r="CL245" s="8" cm="1">
        <f t="array" ref="CL245">SUMPRODUCT(TRANSPOSE(CL$2:CL$15),$I245:$V245)</f>
        <v>700</v>
      </c>
      <c r="CM245" s="8" cm="1">
        <f t="array" ref="CM245">SUMPRODUCT(TRANSPOSE(CM$2:CM$15),$I245:$V245)</f>
        <v>880</v>
      </c>
      <c r="CN245" s="8" cm="1">
        <f t="array" ref="CN245">SUMPRODUCT(TRANSPOSE(CN$2:CN$15),$I245:$V245)</f>
        <v>1080</v>
      </c>
      <c r="CO245" s="8" cm="1">
        <f t="array" ref="CO245">SUMPRODUCT(TRANSPOSE(CO$2:CO$15),$I245:$V245)</f>
        <v>520</v>
      </c>
      <c r="CP245" s="8" cm="1">
        <f t="array" ref="CP245">SUMPRODUCT(TRANSPOSE(CP$2:CP$15),$I245:$V245)</f>
        <v>0</v>
      </c>
      <c r="CQ245" s="8" cm="1">
        <f t="array" ref="CQ245">SUMPRODUCT(TRANSPOSE(CQ$2:CQ$15),$I245:$V245)</f>
        <v>0</v>
      </c>
    </row>
    <row r="246" spans="1:95" x14ac:dyDescent="0.25">
      <c r="A246" s="1">
        <v>166</v>
      </c>
      <c r="B246" s="11" t="s">
        <v>625</v>
      </c>
      <c r="C246" s="1" t="s">
        <v>49</v>
      </c>
      <c r="D246" s="1">
        <v>401193607</v>
      </c>
      <c r="E246" s="6">
        <f>VLOOKUP(D246,FFF!$A$2:$B$674,2,)</f>
        <v>400275764</v>
      </c>
      <c r="F246" s="1" t="s">
        <v>626</v>
      </c>
      <c r="G246" s="1" t="s">
        <v>35</v>
      </c>
      <c r="H246" s="1">
        <v>4</v>
      </c>
      <c r="I246" s="1">
        <v>0</v>
      </c>
      <c r="J246" s="1">
        <v>0</v>
      </c>
      <c r="K246" s="1">
        <v>0</v>
      </c>
      <c r="L246" s="1">
        <v>0</v>
      </c>
      <c r="M246" s="1">
        <v>2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2</v>
      </c>
      <c r="W246" s="1">
        <f>SUMPRODUCT(I246:V246,$I$13:$V$13)</f>
        <v>6420</v>
      </c>
      <c r="X246" s="6">
        <f t="shared" si="5"/>
        <v>7.9559999999999995E-3</v>
      </c>
      <c r="Y246" s="1" t="str">
        <f>VLOOKUP(D246,[1]PARTS!$A$1:$G$65536,7,0)</f>
        <v>VISHAY RESISTIVE SYSTEMS</v>
      </c>
      <c r="Z246" s="1">
        <f>VLOOKUP(D246,[2]pareto!$D$12:$AX$306,44,0)</f>
        <v>10000</v>
      </c>
      <c r="AA246" s="1">
        <f>VLOOKUP(D246,[2]pareto!$D$12:$AX$306,45,0)</f>
        <v>10000</v>
      </c>
      <c r="AB246" s="1">
        <f>CEILING(W246,Z246)</f>
        <v>10000</v>
      </c>
      <c r="AC246" s="1">
        <f>VLOOKUP(D246,[2]pareto!$D$12:$AX$306,47,0)</f>
        <v>1.9889999999999999E-3</v>
      </c>
      <c r="AD246" s="1" t="s">
        <v>85</v>
      </c>
      <c r="AE246" s="1" t="s">
        <v>86</v>
      </c>
      <c r="AF246" s="19" t="s">
        <v>87</v>
      </c>
      <c r="AG246" s="1" t="s">
        <v>88</v>
      </c>
      <c r="BG246" s="8">
        <f>SUM($BB246,$AI246:AI246)-SUM($BY246:BZ246)</f>
        <v>0</v>
      </c>
      <c r="BH246" s="8">
        <f>SUM($BB246,$AI246:AJ246)-SUM($BY246:CA246)</f>
        <v>0</v>
      </c>
      <c r="BI246" s="8">
        <f>SUM($BB246,$AI246:AK246)-SUM($BY246:CB246)</f>
        <v>0</v>
      </c>
      <c r="BJ246" s="8">
        <f>SUM($BB246,$AI246:AL246)-SUM($BY246:CC246)</f>
        <v>0</v>
      </c>
      <c r="BK246" s="8">
        <f>SUM($BB246,$AI246:AM246)-SUM($BY246:CD246)</f>
        <v>0</v>
      </c>
      <c r="BL246" s="8">
        <f>SUM($BB246,$AI246:AN246)-SUM($BY246:CE246)</f>
        <v>0</v>
      </c>
      <c r="BM246" s="8">
        <f>SUM($BB246,$AI246:AO246)-SUM($BY246:CF246)</f>
        <v>0</v>
      </c>
      <c r="BN246" s="8">
        <f>SUM($BB246,$AI246:AP246)-SUM($BY246:CG246)</f>
        <v>-200</v>
      </c>
      <c r="BO246" s="8">
        <f>SUM($BB246,$AI246:AQ246)-SUM($BY246:CH246)</f>
        <v>-700</v>
      </c>
      <c r="BP246" s="8">
        <f>SUM($BB246,$AI246:AR246)-SUM($BY246:CI246)</f>
        <v>-1500</v>
      </c>
      <c r="BQ246" s="8">
        <f>SUM($BB246,$AI246:AS246)-SUM($BY246:CJ246)</f>
        <v>-2440</v>
      </c>
      <c r="BR246" s="8">
        <f>SUM($BB246,$AI246:AT246)-SUM($BY246:CK246)</f>
        <v>-3240</v>
      </c>
      <c r="BS246" s="8">
        <f>SUM($BB246,$AI246:AU246)-SUM($BY246:CL246)</f>
        <v>-3940</v>
      </c>
      <c r="BT246" s="8">
        <f>SUM($BB246,$AI246:AV246)-SUM($BY246:CM246)</f>
        <v>-4820</v>
      </c>
      <c r="BU246" s="8">
        <f>SUM($BB246,$AI246:AW246)-SUM($BY246:CN246)</f>
        <v>-5900</v>
      </c>
      <c r="BV246" s="8">
        <f>SUM($BB246,$AI246:AX246)-SUM($BY246:CO246)</f>
        <v>-6420</v>
      </c>
      <c r="BW246" s="8">
        <f>SUM($BB246,$AI246:AY246)-SUM($BY246:CP246)</f>
        <v>-6420</v>
      </c>
      <c r="BX246" s="8">
        <f>SUM($BB246,$AI246:AZ246)-SUM($BY246:CQ246)</f>
        <v>-6420</v>
      </c>
      <c r="BY246" s="8" cm="1">
        <f t="array" ref="BY246">SUMPRODUCT(TRANSPOSE(BY$2:BY$15),$I246:$V246)</f>
        <v>0</v>
      </c>
      <c r="BZ246" s="8" cm="1">
        <f t="array" ref="BZ246">SUMPRODUCT(TRANSPOSE(BZ$2:BZ$15),$I246:$V246)</f>
        <v>0</v>
      </c>
      <c r="CA246" s="8" cm="1">
        <f t="array" ref="CA246">SUMPRODUCT(TRANSPOSE(CA$2:CA$15),$I246:$V246)</f>
        <v>0</v>
      </c>
      <c r="CB246" s="8" cm="1">
        <f t="array" ref="CB246">SUMPRODUCT(TRANSPOSE(CB$2:CB$15),$I246:$V246)</f>
        <v>0</v>
      </c>
      <c r="CC246" s="8" cm="1">
        <f t="array" ref="CC246">SUMPRODUCT(TRANSPOSE(CC$2:CC$15),$I246:$V246)</f>
        <v>0</v>
      </c>
      <c r="CD246" s="8" cm="1">
        <f t="array" ref="CD246">SUMPRODUCT(TRANSPOSE(CD$2:CD$15),$I246:$V246)</f>
        <v>0</v>
      </c>
      <c r="CE246" s="8" cm="1">
        <f t="array" ref="CE246">SUMPRODUCT(TRANSPOSE(CE$2:CE$15),$I246:$V246)</f>
        <v>0</v>
      </c>
      <c r="CF246" s="8" cm="1">
        <f t="array" ref="CF246">SUMPRODUCT(TRANSPOSE(CF$2:CF$15),$I246:$V246)</f>
        <v>0</v>
      </c>
      <c r="CG246" s="8" cm="1">
        <f t="array" ref="CG246">SUMPRODUCT(TRANSPOSE(CG$2:CG$15),$I246:$V246)</f>
        <v>200</v>
      </c>
      <c r="CH246" s="8" cm="1">
        <f t="array" ref="CH246">SUMPRODUCT(TRANSPOSE(CH$2:CH$15),$I246:$V246)</f>
        <v>500</v>
      </c>
      <c r="CI246" s="8" cm="1">
        <f t="array" ref="CI246">SUMPRODUCT(TRANSPOSE(CI$2:CI$15),$I246:$V246)</f>
        <v>800</v>
      </c>
      <c r="CJ246" s="8" cm="1">
        <f t="array" ref="CJ246">SUMPRODUCT(TRANSPOSE(CJ$2:CJ$15),$I246:$V246)</f>
        <v>940</v>
      </c>
      <c r="CK246" s="8" cm="1">
        <f t="array" ref="CK246">SUMPRODUCT(TRANSPOSE(CK$2:CK$15),$I246:$V246)</f>
        <v>800</v>
      </c>
      <c r="CL246" s="8" cm="1">
        <f t="array" ref="CL246">SUMPRODUCT(TRANSPOSE(CL$2:CL$15),$I246:$V246)</f>
        <v>700</v>
      </c>
      <c r="CM246" s="8" cm="1">
        <f t="array" ref="CM246">SUMPRODUCT(TRANSPOSE(CM$2:CM$15),$I246:$V246)</f>
        <v>880</v>
      </c>
      <c r="CN246" s="8" cm="1">
        <f t="array" ref="CN246">SUMPRODUCT(TRANSPOSE(CN$2:CN$15),$I246:$V246)</f>
        <v>1080</v>
      </c>
      <c r="CO246" s="8" cm="1">
        <f t="array" ref="CO246">SUMPRODUCT(TRANSPOSE(CO$2:CO$15),$I246:$V246)</f>
        <v>520</v>
      </c>
      <c r="CP246" s="8" cm="1">
        <f t="array" ref="CP246">SUMPRODUCT(TRANSPOSE(CP$2:CP$15),$I246:$V246)</f>
        <v>0</v>
      </c>
      <c r="CQ246" s="8" cm="1">
        <f t="array" ref="CQ246">SUMPRODUCT(TRANSPOSE(CQ$2:CQ$15),$I246:$V246)</f>
        <v>0</v>
      </c>
    </row>
    <row r="247" spans="1:95" x14ac:dyDescent="0.25">
      <c r="A247" s="1">
        <v>167</v>
      </c>
      <c r="B247" s="11" t="s">
        <v>627</v>
      </c>
      <c r="C247" s="1" t="s">
        <v>49</v>
      </c>
      <c r="D247" s="1">
        <v>401193608</v>
      </c>
      <c r="E247" s="6">
        <f>VLOOKUP(D247,FFF!$A$2:$B$674,2,)</f>
        <v>400275765</v>
      </c>
      <c r="F247" s="1" t="s">
        <v>628</v>
      </c>
      <c r="G247" s="1" t="s">
        <v>35</v>
      </c>
      <c r="H247" s="1">
        <v>4</v>
      </c>
      <c r="I247" s="1">
        <v>0</v>
      </c>
      <c r="J247" s="1">
        <v>0</v>
      </c>
      <c r="K247" s="1">
        <v>0</v>
      </c>
      <c r="L247" s="1">
        <v>2</v>
      </c>
      <c r="M247" s="1">
        <v>0</v>
      </c>
      <c r="N247" s="1">
        <v>0</v>
      </c>
      <c r="O247" s="1">
        <v>0</v>
      </c>
      <c r="P247" s="1">
        <v>0</v>
      </c>
      <c r="Q247" s="1">
        <v>2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f>SUMPRODUCT(I247:V247,$I$13:$V$13)</f>
        <v>6420</v>
      </c>
      <c r="X247" s="6">
        <f t="shared" si="5"/>
        <v>7.9559999999999995E-3</v>
      </c>
      <c r="Y247" s="1" t="str">
        <f>VLOOKUP(D247,[1]PARTS!$A$1:$G$65536,7,0)</f>
        <v>VISHAY RESISTIVE SYSTEMS</v>
      </c>
      <c r="Z247" s="1">
        <f>VLOOKUP(D247,[2]pareto!$D$12:$AX$306,44,0)</f>
        <v>10000</v>
      </c>
      <c r="AA247" s="1">
        <f>VLOOKUP(D247,[2]pareto!$D$12:$AX$306,45,0)</f>
        <v>10000</v>
      </c>
      <c r="AB247" s="1">
        <f>CEILING(W247,Z247)</f>
        <v>10000</v>
      </c>
      <c r="AC247" s="1">
        <f>VLOOKUP(D247,[2]pareto!$D$12:$AX$306,47,0)</f>
        <v>1.9889999999999999E-3</v>
      </c>
      <c r="AD247" s="1" t="s">
        <v>85</v>
      </c>
      <c r="AE247" s="1" t="s">
        <v>86</v>
      </c>
      <c r="AF247" s="19" t="s">
        <v>87</v>
      </c>
      <c r="AG247" s="1" t="s">
        <v>88</v>
      </c>
      <c r="BG247" s="8">
        <f>SUM($BB247,$AI247:AI247)-SUM($BY247:BZ247)</f>
        <v>0</v>
      </c>
      <c r="BH247" s="8">
        <f>SUM($BB247,$AI247:AJ247)-SUM($BY247:CA247)</f>
        <v>0</v>
      </c>
      <c r="BI247" s="8">
        <f>SUM($BB247,$AI247:AK247)-SUM($BY247:CB247)</f>
        <v>0</v>
      </c>
      <c r="BJ247" s="8">
        <f>SUM($BB247,$AI247:AL247)-SUM($BY247:CC247)</f>
        <v>0</v>
      </c>
      <c r="BK247" s="8">
        <f>SUM($BB247,$AI247:AM247)-SUM($BY247:CD247)</f>
        <v>0</v>
      </c>
      <c r="BL247" s="8">
        <f>SUM($BB247,$AI247:AN247)-SUM($BY247:CE247)</f>
        <v>0</v>
      </c>
      <c r="BM247" s="8">
        <f>SUM($BB247,$AI247:AO247)-SUM($BY247:CF247)</f>
        <v>0</v>
      </c>
      <c r="BN247" s="8">
        <f>SUM($BB247,$AI247:AP247)-SUM($BY247:CG247)</f>
        <v>-400</v>
      </c>
      <c r="BO247" s="8">
        <f>SUM($BB247,$AI247:AQ247)-SUM($BY247:CH247)</f>
        <v>-1000</v>
      </c>
      <c r="BP247" s="8">
        <f>SUM($BB247,$AI247:AR247)-SUM($BY247:CI247)</f>
        <v>-2000</v>
      </c>
      <c r="BQ247" s="8">
        <f>SUM($BB247,$AI247:AS247)-SUM($BY247:CJ247)</f>
        <v>-2840</v>
      </c>
      <c r="BR247" s="8">
        <f>SUM($BB247,$AI247:AT247)-SUM($BY247:CK247)</f>
        <v>-3640</v>
      </c>
      <c r="BS247" s="8">
        <f>SUM($BB247,$AI247:AU247)-SUM($BY247:CL247)</f>
        <v>-4340</v>
      </c>
      <c r="BT247" s="8">
        <f>SUM($BB247,$AI247:AV247)-SUM($BY247:CM247)</f>
        <v>-5420</v>
      </c>
      <c r="BU247" s="8">
        <f>SUM($BB247,$AI247:AW247)-SUM($BY247:CN247)</f>
        <v>-6420</v>
      </c>
      <c r="BV247" s="8">
        <f>SUM($BB247,$AI247:AX247)-SUM($BY247:CO247)</f>
        <v>-6420</v>
      </c>
      <c r="BW247" s="8">
        <f>SUM($BB247,$AI247:AY247)-SUM($BY247:CP247)</f>
        <v>-6420</v>
      </c>
      <c r="BX247" s="8">
        <f>SUM($BB247,$AI247:AZ247)-SUM($BY247:CQ247)</f>
        <v>-6420</v>
      </c>
      <c r="BY247" s="8" cm="1">
        <f t="array" ref="BY247">SUMPRODUCT(TRANSPOSE(BY$2:BY$15),$I247:$V247)</f>
        <v>0</v>
      </c>
      <c r="BZ247" s="8" cm="1">
        <f t="array" ref="BZ247">SUMPRODUCT(TRANSPOSE(BZ$2:BZ$15),$I247:$V247)</f>
        <v>0</v>
      </c>
      <c r="CA247" s="8" cm="1">
        <f t="array" ref="CA247">SUMPRODUCT(TRANSPOSE(CA$2:CA$15),$I247:$V247)</f>
        <v>0</v>
      </c>
      <c r="CB247" s="8" cm="1">
        <f t="array" ref="CB247">SUMPRODUCT(TRANSPOSE(CB$2:CB$15),$I247:$V247)</f>
        <v>0</v>
      </c>
      <c r="CC247" s="8" cm="1">
        <f t="array" ref="CC247">SUMPRODUCT(TRANSPOSE(CC$2:CC$15),$I247:$V247)</f>
        <v>0</v>
      </c>
      <c r="CD247" s="8" cm="1">
        <f t="array" ref="CD247">SUMPRODUCT(TRANSPOSE(CD$2:CD$15),$I247:$V247)</f>
        <v>0</v>
      </c>
      <c r="CE247" s="8" cm="1">
        <f t="array" ref="CE247">SUMPRODUCT(TRANSPOSE(CE$2:CE$15),$I247:$V247)</f>
        <v>0</v>
      </c>
      <c r="CF247" s="8" cm="1">
        <f t="array" ref="CF247">SUMPRODUCT(TRANSPOSE(CF$2:CF$15),$I247:$V247)</f>
        <v>0</v>
      </c>
      <c r="CG247" s="8" cm="1">
        <f t="array" ref="CG247">SUMPRODUCT(TRANSPOSE(CG$2:CG$15),$I247:$V247)</f>
        <v>400</v>
      </c>
      <c r="CH247" s="8" cm="1">
        <f t="array" ref="CH247">SUMPRODUCT(TRANSPOSE(CH$2:CH$15),$I247:$V247)</f>
        <v>600</v>
      </c>
      <c r="CI247" s="8" cm="1">
        <f t="array" ref="CI247">SUMPRODUCT(TRANSPOSE(CI$2:CI$15),$I247:$V247)</f>
        <v>1000</v>
      </c>
      <c r="CJ247" s="8" cm="1">
        <f t="array" ref="CJ247">SUMPRODUCT(TRANSPOSE(CJ$2:CJ$15),$I247:$V247)</f>
        <v>840</v>
      </c>
      <c r="CK247" s="8" cm="1">
        <f t="array" ref="CK247">SUMPRODUCT(TRANSPOSE(CK$2:CK$15),$I247:$V247)</f>
        <v>800</v>
      </c>
      <c r="CL247" s="8" cm="1">
        <f t="array" ref="CL247">SUMPRODUCT(TRANSPOSE(CL$2:CL$15),$I247:$V247)</f>
        <v>700</v>
      </c>
      <c r="CM247" s="8" cm="1">
        <f t="array" ref="CM247">SUMPRODUCT(TRANSPOSE(CM$2:CM$15),$I247:$V247)</f>
        <v>1080</v>
      </c>
      <c r="CN247" s="8" cm="1">
        <f t="array" ref="CN247">SUMPRODUCT(TRANSPOSE(CN$2:CN$15),$I247:$V247)</f>
        <v>1000</v>
      </c>
      <c r="CO247" s="8" cm="1">
        <f t="array" ref="CO247">SUMPRODUCT(TRANSPOSE(CO$2:CO$15),$I247:$V247)</f>
        <v>0</v>
      </c>
      <c r="CP247" s="8" cm="1">
        <f t="array" ref="CP247">SUMPRODUCT(TRANSPOSE(CP$2:CP$15),$I247:$V247)</f>
        <v>0</v>
      </c>
      <c r="CQ247" s="8" cm="1">
        <f t="array" ref="CQ247">SUMPRODUCT(TRANSPOSE(CQ$2:CQ$15),$I247:$V247)</f>
        <v>0</v>
      </c>
    </row>
    <row r="248" spans="1:95" x14ac:dyDescent="0.25">
      <c r="A248" s="1">
        <v>168</v>
      </c>
      <c r="B248" s="11" t="s">
        <v>629</v>
      </c>
      <c r="C248" s="1" t="s">
        <v>49</v>
      </c>
      <c r="D248" s="1">
        <v>401554157</v>
      </c>
      <c r="E248" s="6">
        <f>VLOOKUP(D248,FFF!$A$2:$B$674,2,)</f>
        <v>400275791</v>
      </c>
      <c r="F248" s="1" t="s">
        <v>630</v>
      </c>
      <c r="G248" s="1" t="s">
        <v>35</v>
      </c>
      <c r="H248" s="1">
        <v>4</v>
      </c>
      <c r="I248" s="1">
        <v>0</v>
      </c>
      <c r="J248" s="1">
        <v>0</v>
      </c>
      <c r="K248" s="1">
        <v>0</v>
      </c>
      <c r="L248" s="1">
        <v>0</v>
      </c>
      <c r="M248" s="1">
        <v>2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2</v>
      </c>
      <c r="W248" s="1">
        <f>SUMPRODUCT(I248:V248,$I$13:$V$13)</f>
        <v>6420</v>
      </c>
      <c r="X248" s="6">
        <f t="shared" si="5"/>
        <v>7.9559999999999995E-3</v>
      </c>
      <c r="Y248" s="1" t="str">
        <f>VLOOKUP(D248,[1]PARTS!$A$1:$G$65536,7,0)</f>
        <v>VISHAY RESISTIVE SYSTEMS</v>
      </c>
      <c r="Z248" s="1">
        <f>VLOOKUP(D248,[2]pareto!$D$12:$AX$306,44,0)</f>
        <v>10000</v>
      </c>
      <c r="AA248" s="1">
        <f>VLOOKUP(D248,[2]pareto!$D$12:$AX$306,45,0)</f>
        <v>10000</v>
      </c>
      <c r="AB248" s="1">
        <f>CEILING(W248,Z248)</f>
        <v>10000</v>
      </c>
      <c r="AC248" s="1">
        <f>VLOOKUP(D248,[2]pareto!$D$12:$AX$306,47,0)</f>
        <v>1.9889999999999999E-3</v>
      </c>
      <c r="AD248" s="1" t="s">
        <v>85</v>
      </c>
      <c r="AE248" s="1" t="s">
        <v>86</v>
      </c>
      <c r="AF248" s="19" t="s">
        <v>87</v>
      </c>
      <c r="AG248" s="1" t="s">
        <v>88</v>
      </c>
      <c r="BG248" s="8">
        <f>SUM($BB248,$AI248:AI248)-SUM($BY248:BZ248)</f>
        <v>0</v>
      </c>
      <c r="BH248" s="8">
        <f>SUM($BB248,$AI248:AJ248)-SUM($BY248:CA248)</f>
        <v>0</v>
      </c>
      <c r="BI248" s="8">
        <f>SUM($BB248,$AI248:AK248)-SUM($BY248:CB248)</f>
        <v>0</v>
      </c>
      <c r="BJ248" s="8">
        <f>SUM($BB248,$AI248:AL248)-SUM($BY248:CC248)</f>
        <v>0</v>
      </c>
      <c r="BK248" s="8">
        <f>SUM($BB248,$AI248:AM248)-SUM($BY248:CD248)</f>
        <v>0</v>
      </c>
      <c r="BL248" s="8">
        <f>SUM($BB248,$AI248:AN248)-SUM($BY248:CE248)</f>
        <v>0</v>
      </c>
      <c r="BM248" s="8">
        <f>SUM($BB248,$AI248:AO248)-SUM($BY248:CF248)</f>
        <v>0</v>
      </c>
      <c r="BN248" s="8">
        <f>SUM($BB248,$AI248:AP248)-SUM($BY248:CG248)</f>
        <v>-200</v>
      </c>
      <c r="BO248" s="8">
        <f>SUM($BB248,$AI248:AQ248)-SUM($BY248:CH248)</f>
        <v>-700</v>
      </c>
      <c r="BP248" s="8">
        <f>SUM($BB248,$AI248:AR248)-SUM($BY248:CI248)</f>
        <v>-1500</v>
      </c>
      <c r="BQ248" s="8">
        <f>SUM($BB248,$AI248:AS248)-SUM($BY248:CJ248)</f>
        <v>-2440</v>
      </c>
      <c r="BR248" s="8">
        <f>SUM($BB248,$AI248:AT248)-SUM($BY248:CK248)</f>
        <v>-3240</v>
      </c>
      <c r="BS248" s="8">
        <f>SUM($BB248,$AI248:AU248)-SUM($BY248:CL248)</f>
        <v>-3940</v>
      </c>
      <c r="BT248" s="8">
        <f>SUM($BB248,$AI248:AV248)-SUM($BY248:CM248)</f>
        <v>-4820</v>
      </c>
      <c r="BU248" s="8">
        <f>SUM($BB248,$AI248:AW248)-SUM($BY248:CN248)</f>
        <v>-5900</v>
      </c>
      <c r="BV248" s="8">
        <f>SUM($BB248,$AI248:AX248)-SUM($BY248:CO248)</f>
        <v>-6420</v>
      </c>
      <c r="BW248" s="8">
        <f>SUM($BB248,$AI248:AY248)-SUM($BY248:CP248)</f>
        <v>-6420</v>
      </c>
      <c r="BX248" s="8">
        <f>SUM($BB248,$AI248:AZ248)-SUM($BY248:CQ248)</f>
        <v>-6420</v>
      </c>
      <c r="BY248" s="8" cm="1">
        <f t="array" ref="BY248">SUMPRODUCT(TRANSPOSE(BY$2:BY$15),$I248:$V248)</f>
        <v>0</v>
      </c>
      <c r="BZ248" s="8" cm="1">
        <f t="array" ref="BZ248">SUMPRODUCT(TRANSPOSE(BZ$2:BZ$15),$I248:$V248)</f>
        <v>0</v>
      </c>
      <c r="CA248" s="8" cm="1">
        <f t="array" ref="CA248">SUMPRODUCT(TRANSPOSE(CA$2:CA$15),$I248:$V248)</f>
        <v>0</v>
      </c>
      <c r="CB248" s="8" cm="1">
        <f t="array" ref="CB248">SUMPRODUCT(TRANSPOSE(CB$2:CB$15),$I248:$V248)</f>
        <v>0</v>
      </c>
      <c r="CC248" s="8" cm="1">
        <f t="array" ref="CC248">SUMPRODUCT(TRANSPOSE(CC$2:CC$15),$I248:$V248)</f>
        <v>0</v>
      </c>
      <c r="CD248" s="8" cm="1">
        <f t="array" ref="CD248">SUMPRODUCT(TRANSPOSE(CD$2:CD$15),$I248:$V248)</f>
        <v>0</v>
      </c>
      <c r="CE248" s="8" cm="1">
        <f t="array" ref="CE248">SUMPRODUCT(TRANSPOSE(CE$2:CE$15),$I248:$V248)</f>
        <v>0</v>
      </c>
      <c r="CF248" s="8" cm="1">
        <f t="array" ref="CF248">SUMPRODUCT(TRANSPOSE(CF$2:CF$15),$I248:$V248)</f>
        <v>0</v>
      </c>
      <c r="CG248" s="8" cm="1">
        <f t="array" ref="CG248">SUMPRODUCT(TRANSPOSE(CG$2:CG$15),$I248:$V248)</f>
        <v>200</v>
      </c>
      <c r="CH248" s="8" cm="1">
        <f t="array" ref="CH248">SUMPRODUCT(TRANSPOSE(CH$2:CH$15),$I248:$V248)</f>
        <v>500</v>
      </c>
      <c r="CI248" s="8" cm="1">
        <f t="array" ref="CI248">SUMPRODUCT(TRANSPOSE(CI$2:CI$15),$I248:$V248)</f>
        <v>800</v>
      </c>
      <c r="CJ248" s="8" cm="1">
        <f t="array" ref="CJ248">SUMPRODUCT(TRANSPOSE(CJ$2:CJ$15),$I248:$V248)</f>
        <v>940</v>
      </c>
      <c r="CK248" s="8" cm="1">
        <f t="array" ref="CK248">SUMPRODUCT(TRANSPOSE(CK$2:CK$15),$I248:$V248)</f>
        <v>800</v>
      </c>
      <c r="CL248" s="8" cm="1">
        <f t="array" ref="CL248">SUMPRODUCT(TRANSPOSE(CL$2:CL$15),$I248:$V248)</f>
        <v>700</v>
      </c>
      <c r="CM248" s="8" cm="1">
        <f t="array" ref="CM248">SUMPRODUCT(TRANSPOSE(CM$2:CM$15),$I248:$V248)</f>
        <v>880</v>
      </c>
      <c r="CN248" s="8" cm="1">
        <f t="array" ref="CN248">SUMPRODUCT(TRANSPOSE(CN$2:CN$15),$I248:$V248)</f>
        <v>1080</v>
      </c>
      <c r="CO248" s="8" cm="1">
        <f t="array" ref="CO248">SUMPRODUCT(TRANSPOSE(CO$2:CO$15),$I248:$V248)</f>
        <v>520</v>
      </c>
      <c r="CP248" s="8" cm="1">
        <f t="array" ref="CP248">SUMPRODUCT(TRANSPOSE(CP$2:CP$15),$I248:$V248)</f>
        <v>0</v>
      </c>
      <c r="CQ248" s="8" cm="1">
        <f t="array" ref="CQ248">SUMPRODUCT(TRANSPOSE(CQ$2:CQ$15),$I248:$V248)</f>
        <v>0</v>
      </c>
    </row>
    <row r="249" spans="1:95" x14ac:dyDescent="0.25">
      <c r="A249" s="1">
        <v>169</v>
      </c>
      <c r="B249" s="11" t="s">
        <v>631</v>
      </c>
      <c r="C249" s="1" t="s">
        <v>49</v>
      </c>
      <c r="D249" s="1">
        <v>425994123</v>
      </c>
      <c r="E249" s="6">
        <f>VLOOKUP(D249,FFF!$A$2:$B$674,2,)</f>
        <v>400007534</v>
      </c>
      <c r="F249" s="1" t="s">
        <v>632</v>
      </c>
      <c r="G249" s="1" t="s">
        <v>35</v>
      </c>
      <c r="H249" s="1">
        <v>4</v>
      </c>
      <c r="I249" s="1">
        <v>0</v>
      </c>
      <c r="J249" s="1">
        <v>0</v>
      </c>
      <c r="K249" s="1">
        <v>0</v>
      </c>
      <c r="L249" s="1">
        <v>0</v>
      </c>
      <c r="M249" s="1">
        <v>2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2</v>
      </c>
      <c r="W249" s="1">
        <f>SUMPRODUCT(I249:V249,$I$13:$V$13)</f>
        <v>6420</v>
      </c>
      <c r="X249" s="6">
        <f t="shared" si="5"/>
        <v>7.9559999999999995E-3</v>
      </c>
      <c r="Y249" s="1" t="str">
        <f>VLOOKUP(D249,[1]PARTS!$A$1:$G$65536,7,0)</f>
        <v>VISHAY RESISTIVE SYSTEMS</v>
      </c>
      <c r="Z249" s="1">
        <f>VLOOKUP(D249,[2]pareto!$D$12:$AX$306,44,0)</f>
        <v>10000</v>
      </c>
      <c r="AA249" s="1">
        <f>VLOOKUP(D249,[2]pareto!$D$12:$AX$306,45,0)</f>
        <v>10000</v>
      </c>
      <c r="AB249" s="1">
        <f>CEILING(W249,Z249)</f>
        <v>10000</v>
      </c>
      <c r="AC249" s="1">
        <f>VLOOKUP(D249,[2]pareto!$D$12:$AX$306,47,0)</f>
        <v>1.9889999999999999E-3</v>
      </c>
      <c r="AD249" s="1" t="s">
        <v>85</v>
      </c>
      <c r="AE249" s="1" t="s">
        <v>86</v>
      </c>
      <c r="AF249" s="19" t="s">
        <v>87</v>
      </c>
      <c r="AG249" s="1" t="s">
        <v>88</v>
      </c>
      <c r="BG249" s="8">
        <f>SUM($BB249,$AI249:AI249)-SUM($BY249:BZ249)</f>
        <v>0</v>
      </c>
      <c r="BH249" s="8">
        <f>SUM($BB249,$AI249:AJ249)-SUM($BY249:CA249)</f>
        <v>0</v>
      </c>
      <c r="BI249" s="8">
        <f>SUM($BB249,$AI249:AK249)-SUM($BY249:CB249)</f>
        <v>0</v>
      </c>
      <c r="BJ249" s="8">
        <f>SUM($BB249,$AI249:AL249)-SUM($BY249:CC249)</f>
        <v>0</v>
      </c>
      <c r="BK249" s="8">
        <f>SUM($BB249,$AI249:AM249)-SUM($BY249:CD249)</f>
        <v>0</v>
      </c>
      <c r="BL249" s="8">
        <f>SUM($BB249,$AI249:AN249)-SUM($BY249:CE249)</f>
        <v>0</v>
      </c>
      <c r="BM249" s="8">
        <f>SUM($BB249,$AI249:AO249)-SUM($BY249:CF249)</f>
        <v>0</v>
      </c>
      <c r="BN249" s="8">
        <f>SUM($BB249,$AI249:AP249)-SUM($BY249:CG249)</f>
        <v>-200</v>
      </c>
      <c r="BO249" s="8">
        <f>SUM($BB249,$AI249:AQ249)-SUM($BY249:CH249)</f>
        <v>-700</v>
      </c>
      <c r="BP249" s="8">
        <f>SUM($BB249,$AI249:AR249)-SUM($BY249:CI249)</f>
        <v>-1500</v>
      </c>
      <c r="BQ249" s="8">
        <f>SUM($BB249,$AI249:AS249)-SUM($BY249:CJ249)</f>
        <v>-2440</v>
      </c>
      <c r="BR249" s="8">
        <f>SUM($BB249,$AI249:AT249)-SUM($BY249:CK249)</f>
        <v>-3240</v>
      </c>
      <c r="BS249" s="8">
        <f>SUM($BB249,$AI249:AU249)-SUM($BY249:CL249)</f>
        <v>-3940</v>
      </c>
      <c r="BT249" s="8">
        <f>SUM($BB249,$AI249:AV249)-SUM($BY249:CM249)</f>
        <v>-4820</v>
      </c>
      <c r="BU249" s="8">
        <f>SUM($BB249,$AI249:AW249)-SUM($BY249:CN249)</f>
        <v>-5900</v>
      </c>
      <c r="BV249" s="8">
        <f>SUM($BB249,$AI249:AX249)-SUM($BY249:CO249)</f>
        <v>-6420</v>
      </c>
      <c r="BW249" s="8">
        <f>SUM($BB249,$AI249:AY249)-SUM($BY249:CP249)</f>
        <v>-6420</v>
      </c>
      <c r="BX249" s="8">
        <f>SUM($BB249,$AI249:AZ249)-SUM($BY249:CQ249)</f>
        <v>-6420</v>
      </c>
      <c r="BY249" s="8" cm="1">
        <f t="array" ref="BY249">SUMPRODUCT(TRANSPOSE(BY$2:BY$15),$I249:$V249)</f>
        <v>0</v>
      </c>
      <c r="BZ249" s="8" cm="1">
        <f t="array" ref="BZ249">SUMPRODUCT(TRANSPOSE(BZ$2:BZ$15),$I249:$V249)</f>
        <v>0</v>
      </c>
      <c r="CA249" s="8" cm="1">
        <f t="array" ref="CA249">SUMPRODUCT(TRANSPOSE(CA$2:CA$15),$I249:$V249)</f>
        <v>0</v>
      </c>
      <c r="CB249" s="8" cm="1">
        <f t="array" ref="CB249">SUMPRODUCT(TRANSPOSE(CB$2:CB$15),$I249:$V249)</f>
        <v>0</v>
      </c>
      <c r="CC249" s="8" cm="1">
        <f t="array" ref="CC249">SUMPRODUCT(TRANSPOSE(CC$2:CC$15),$I249:$V249)</f>
        <v>0</v>
      </c>
      <c r="CD249" s="8" cm="1">
        <f t="array" ref="CD249">SUMPRODUCT(TRANSPOSE(CD$2:CD$15),$I249:$V249)</f>
        <v>0</v>
      </c>
      <c r="CE249" s="8" cm="1">
        <f t="array" ref="CE249">SUMPRODUCT(TRANSPOSE(CE$2:CE$15),$I249:$V249)</f>
        <v>0</v>
      </c>
      <c r="CF249" s="8" cm="1">
        <f t="array" ref="CF249">SUMPRODUCT(TRANSPOSE(CF$2:CF$15),$I249:$V249)</f>
        <v>0</v>
      </c>
      <c r="CG249" s="8" cm="1">
        <f t="array" ref="CG249">SUMPRODUCT(TRANSPOSE(CG$2:CG$15),$I249:$V249)</f>
        <v>200</v>
      </c>
      <c r="CH249" s="8" cm="1">
        <f t="array" ref="CH249">SUMPRODUCT(TRANSPOSE(CH$2:CH$15),$I249:$V249)</f>
        <v>500</v>
      </c>
      <c r="CI249" s="8" cm="1">
        <f t="array" ref="CI249">SUMPRODUCT(TRANSPOSE(CI$2:CI$15),$I249:$V249)</f>
        <v>800</v>
      </c>
      <c r="CJ249" s="8" cm="1">
        <f t="array" ref="CJ249">SUMPRODUCT(TRANSPOSE(CJ$2:CJ$15),$I249:$V249)</f>
        <v>940</v>
      </c>
      <c r="CK249" s="8" cm="1">
        <f t="array" ref="CK249">SUMPRODUCT(TRANSPOSE(CK$2:CK$15),$I249:$V249)</f>
        <v>800</v>
      </c>
      <c r="CL249" s="8" cm="1">
        <f t="array" ref="CL249">SUMPRODUCT(TRANSPOSE(CL$2:CL$15),$I249:$V249)</f>
        <v>700</v>
      </c>
      <c r="CM249" s="8" cm="1">
        <f t="array" ref="CM249">SUMPRODUCT(TRANSPOSE(CM$2:CM$15),$I249:$V249)</f>
        <v>880</v>
      </c>
      <c r="CN249" s="8" cm="1">
        <f t="array" ref="CN249">SUMPRODUCT(TRANSPOSE(CN$2:CN$15),$I249:$V249)</f>
        <v>1080</v>
      </c>
      <c r="CO249" s="8" cm="1">
        <f t="array" ref="CO249">SUMPRODUCT(TRANSPOSE(CO$2:CO$15),$I249:$V249)</f>
        <v>520</v>
      </c>
      <c r="CP249" s="8" cm="1">
        <f t="array" ref="CP249">SUMPRODUCT(TRANSPOSE(CP$2:CP$15),$I249:$V249)</f>
        <v>0</v>
      </c>
      <c r="CQ249" s="8" cm="1">
        <f t="array" ref="CQ249">SUMPRODUCT(TRANSPOSE(CQ$2:CQ$15),$I249:$V249)</f>
        <v>0</v>
      </c>
    </row>
    <row r="250" spans="1:95" x14ac:dyDescent="0.25">
      <c r="A250" s="1">
        <v>153</v>
      </c>
      <c r="B250" s="11" t="s">
        <v>633</v>
      </c>
      <c r="C250" s="1" t="s">
        <v>49</v>
      </c>
      <c r="D250" s="1">
        <v>401481540</v>
      </c>
      <c r="E250" s="6">
        <f>VLOOKUP(D250,FFF!$A$2:$B$674,2,)</f>
        <v>400275409</v>
      </c>
      <c r="F250" s="1" t="s">
        <v>634</v>
      </c>
      <c r="G250" s="1" t="s">
        <v>35</v>
      </c>
      <c r="H250" s="1">
        <v>4</v>
      </c>
      <c r="I250" s="1">
        <v>0</v>
      </c>
      <c r="J250" s="1">
        <v>0</v>
      </c>
      <c r="K250" s="1">
        <v>0</v>
      </c>
      <c r="L250" s="1">
        <v>0</v>
      </c>
      <c r="M250" s="1">
        <v>2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2</v>
      </c>
      <c r="W250" s="1">
        <f>SUMPRODUCT(I250:V250,$I$13:$V$13)</f>
        <v>6420</v>
      </c>
      <c r="X250" s="6">
        <f t="shared" si="5"/>
        <v>5.6159999999999995E-3</v>
      </c>
      <c r="Y250" s="1" t="str">
        <f>VLOOKUP(D250,[1]PARTS!$A$1:$G$65536,7,0)</f>
        <v>VISHAY RESISTIVE SYSTEMS</v>
      </c>
      <c r="Z250" s="1">
        <f>VLOOKUP(D250,[2]pareto!$D$12:$AX$306,44,0)</f>
        <v>10000</v>
      </c>
      <c r="AA250" s="1">
        <f>VLOOKUP(D250,[2]pareto!$D$12:$AX$306,45,0)</f>
        <v>10000</v>
      </c>
      <c r="AB250" s="1">
        <f>CEILING(W250,Z250)</f>
        <v>10000</v>
      </c>
      <c r="AC250" s="1">
        <f>VLOOKUP(D250,[2]pareto!$D$12:$AX$306,47,0)</f>
        <v>1.4039999999999999E-3</v>
      </c>
      <c r="AD250" s="1" t="s">
        <v>85</v>
      </c>
      <c r="AE250" s="1" t="s">
        <v>86</v>
      </c>
      <c r="AF250" s="19" t="s">
        <v>87</v>
      </c>
      <c r="AG250" s="1" t="s">
        <v>88</v>
      </c>
      <c r="BG250" s="8">
        <f>SUM($BB250,$AI250:AI250)-SUM($BY250:BZ250)</f>
        <v>0</v>
      </c>
      <c r="BH250" s="8">
        <f>SUM($BB250,$AI250:AJ250)-SUM($BY250:CA250)</f>
        <v>0</v>
      </c>
      <c r="BI250" s="8">
        <f>SUM($BB250,$AI250:AK250)-SUM($BY250:CB250)</f>
        <v>0</v>
      </c>
      <c r="BJ250" s="8">
        <f>SUM($BB250,$AI250:AL250)-SUM($BY250:CC250)</f>
        <v>0</v>
      </c>
      <c r="BK250" s="8">
        <f>SUM($BB250,$AI250:AM250)-SUM($BY250:CD250)</f>
        <v>0</v>
      </c>
      <c r="BL250" s="8">
        <f>SUM($BB250,$AI250:AN250)-SUM($BY250:CE250)</f>
        <v>0</v>
      </c>
      <c r="BM250" s="8">
        <f>SUM($BB250,$AI250:AO250)-SUM($BY250:CF250)</f>
        <v>0</v>
      </c>
      <c r="BN250" s="8">
        <f>SUM($BB250,$AI250:AP250)-SUM($BY250:CG250)</f>
        <v>-200</v>
      </c>
      <c r="BO250" s="8">
        <f>SUM($BB250,$AI250:AQ250)-SUM($BY250:CH250)</f>
        <v>-700</v>
      </c>
      <c r="BP250" s="8">
        <f>SUM($BB250,$AI250:AR250)-SUM($BY250:CI250)</f>
        <v>-1500</v>
      </c>
      <c r="BQ250" s="8">
        <f>SUM($BB250,$AI250:AS250)-SUM($BY250:CJ250)</f>
        <v>-2440</v>
      </c>
      <c r="BR250" s="8">
        <f>SUM($BB250,$AI250:AT250)-SUM($BY250:CK250)</f>
        <v>-3240</v>
      </c>
      <c r="BS250" s="8">
        <f>SUM($BB250,$AI250:AU250)-SUM($BY250:CL250)</f>
        <v>-3940</v>
      </c>
      <c r="BT250" s="8">
        <f>SUM($BB250,$AI250:AV250)-SUM($BY250:CM250)</f>
        <v>-4820</v>
      </c>
      <c r="BU250" s="8">
        <f>SUM($BB250,$AI250:AW250)-SUM($BY250:CN250)</f>
        <v>-5900</v>
      </c>
      <c r="BV250" s="8">
        <f>SUM($BB250,$AI250:AX250)-SUM($BY250:CO250)</f>
        <v>-6420</v>
      </c>
      <c r="BW250" s="8">
        <f>SUM($BB250,$AI250:AY250)-SUM($BY250:CP250)</f>
        <v>-6420</v>
      </c>
      <c r="BX250" s="8">
        <f>SUM($BB250,$AI250:AZ250)-SUM($BY250:CQ250)</f>
        <v>-6420</v>
      </c>
      <c r="BY250" s="8" cm="1">
        <f t="array" ref="BY250">SUMPRODUCT(TRANSPOSE(BY$2:BY$15),$I250:$V250)</f>
        <v>0</v>
      </c>
      <c r="BZ250" s="8" cm="1">
        <f t="array" ref="BZ250">SUMPRODUCT(TRANSPOSE(BZ$2:BZ$15),$I250:$V250)</f>
        <v>0</v>
      </c>
      <c r="CA250" s="8" cm="1">
        <f t="array" ref="CA250">SUMPRODUCT(TRANSPOSE(CA$2:CA$15),$I250:$V250)</f>
        <v>0</v>
      </c>
      <c r="CB250" s="8" cm="1">
        <f t="array" ref="CB250">SUMPRODUCT(TRANSPOSE(CB$2:CB$15),$I250:$V250)</f>
        <v>0</v>
      </c>
      <c r="CC250" s="8" cm="1">
        <f t="array" ref="CC250">SUMPRODUCT(TRANSPOSE(CC$2:CC$15),$I250:$V250)</f>
        <v>0</v>
      </c>
      <c r="CD250" s="8" cm="1">
        <f t="array" ref="CD250">SUMPRODUCT(TRANSPOSE(CD$2:CD$15),$I250:$V250)</f>
        <v>0</v>
      </c>
      <c r="CE250" s="8" cm="1">
        <f t="array" ref="CE250">SUMPRODUCT(TRANSPOSE(CE$2:CE$15),$I250:$V250)</f>
        <v>0</v>
      </c>
      <c r="CF250" s="8" cm="1">
        <f t="array" ref="CF250">SUMPRODUCT(TRANSPOSE(CF$2:CF$15),$I250:$V250)</f>
        <v>0</v>
      </c>
      <c r="CG250" s="8" cm="1">
        <f t="array" ref="CG250">SUMPRODUCT(TRANSPOSE(CG$2:CG$15),$I250:$V250)</f>
        <v>200</v>
      </c>
      <c r="CH250" s="8" cm="1">
        <f t="array" ref="CH250">SUMPRODUCT(TRANSPOSE(CH$2:CH$15),$I250:$V250)</f>
        <v>500</v>
      </c>
      <c r="CI250" s="8" cm="1">
        <f t="array" ref="CI250">SUMPRODUCT(TRANSPOSE(CI$2:CI$15),$I250:$V250)</f>
        <v>800</v>
      </c>
      <c r="CJ250" s="8" cm="1">
        <f t="array" ref="CJ250">SUMPRODUCT(TRANSPOSE(CJ$2:CJ$15),$I250:$V250)</f>
        <v>940</v>
      </c>
      <c r="CK250" s="8" cm="1">
        <f t="array" ref="CK250">SUMPRODUCT(TRANSPOSE(CK$2:CK$15),$I250:$V250)</f>
        <v>800</v>
      </c>
      <c r="CL250" s="8" cm="1">
        <f t="array" ref="CL250">SUMPRODUCT(TRANSPOSE(CL$2:CL$15),$I250:$V250)</f>
        <v>700</v>
      </c>
      <c r="CM250" s="8" cm="1">
        <f t="array" ref="CM250">SUMPRODUCT(TRANSPOSE(CM$2:CM$15),$I250:$V250)</f>
        <v>880</v>
      </c>
      <c r="CN250" s="8" cm="1">
        <f t="array" ref="CN250">SUMPRODUCT(TRANSPOSE(CN$2:CN$15),$I250:$V250)</f>
        <v>1080</v>
      </c>
      <c r="CO250" s="8" cm="1">
        <f t="array" ref="CO250">SUMPRODUCT(TRANSPOSE(CO$2:CO$15),$I250:$V250)</f>
        <v>520</v>
      </c>
      <c r="CP250" s="8" cm="1">
        <f t="array" ref="CP250">SUMPRODUCT(TRANSPOSE(CP$2:CP$15),$I250:$V250)</f>
        <v>0</v>
      </c>
      <c r="CQ250" s="8" cm="1">
        <f t="array" ref="CQ250">SUMPRODUCT(TRANSPOSE(CQ$2:CQ$15),$I250:$V250)</f>
        <v>0</v>
      </c>
    </row>
    <row r="251" spans="1:95" x14ac:dyDescent="0.25">
      <c r="A251" s="1">
        <v>89</v>
      </c>
      <c r="B251" s="11" t="s">
        <v>635</v>
      </c>
      <c r="C251" s="1" t="s">
        <v>49</v>
      </c>
      <c r="D251" s="1" t="s">
        <v>636</v>
      </c>
      <c r="E251" s="6" t="str">
        <f>VLOOKUP(D251,FFF!$A$2:$B$674,2,)</f>
        <v>FFF008184</v>
      </c>
      <c r="F251" s="1" t="s">
        <v>637</v>
      </c>
      <c r="G251" s="1" t="s">
        <v>638</v>
      </c>
      <c r="H251" s="1">
        <v>0.04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0.04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f>SUMPRODUCT(I251:V251,$I$13:$V$13)</f>
        <v>66.400000000000006</v>
      </c>
      <c r="X251" s="6">
        <f t="shared" si="5"/>
        <v>3.7471999999999998E-2</v>
      </c>
      <c r="Y251" s="1" t="str">
        <f>VLOOKUP(D251,[1]PARTS!$A$1:$G$65536,7,0)</f>
        <v>TE CONNECTIVITY</v>
      </c>
      <c r="Z251" s="1">
        <v>1</v>
      </c>
      <c r="AA251" s="1">
        <f>VLOOKUP(D251,[2]pareto!$D$12:$AX$306,45,0)</f>
        <v>100</v>
      </c>
      <c r="AB251" s="1">
        <f>CEILING(W251,Z251)</f>
        <v>67</v>
      </c>
      <c r="AC251" s="1">
        <f>VLOOKUP(D251,[2]pareto!$D$12:$AX$306,47,0)</f>
        <v>0.93679999999999997</v>
      </c>
      <c r="AD251" s="1" t="str">
        <f>VLOOKUP(D251,[2]pareto!$D$11:$BD$306,50,0)</f>
        <v>TTI</v>
      </c>
      <c r="AE251" s="1" t="s">
        <v>471</v>
      </c>
      <c r="AF251" s="12" t="s">
        <v>472</v>
      </c>
      <c r="AG251" s="1" t="e">
        <f>VLOOKUP(D251,[2]pareto!$D$11:$BD$306,51)</f>
        <v>#REF!</v>
      </c>
      <c r="BG251" s="8">
        <f>SUM($BB251,$AI251:AI251)-SUM($BY251:BZ251)</f>
        <v>0</v>
      </c>
      <c r="BH251" s="8">
        <f>SUM($BB251,$AI251:AJ251)-SUM($BY251:CA251)</f>
        <v>0</v>
      </c>
      <c r="BI251" s="8">
        <f>SUM($BB251,$AI251:AK251)-SUM($BY251:CB251)</f>
        <v>0</v>
      </c>
      <c r="BJ251" s="8">
        <f>SUM($BB251,$AI251:AL251)-SUM($BY251:CC251)</f>
        <v>0</v>
      </c>
      <c r="BK251" s="8">
        <f>SUM($BB251,$AI251:AM251)-SUM($BY251:CD251)</f>
        <v>0</v>
      </c>
      <c r="BL251" s="8">
        <f>SUM($BB251,$AI251:AN251)-SUM($BY251:CE251)</f>
        <v>0</v>
      </c>
      <c r="BM251" s="8">
        <f>SUM($BB251,$AI251:AO251)-SUM($BY251:CF251)</f>
        <v>0</v>
      </c>
      <c r="BN251" s="8">
        <f>SUM($BB251,$AI251:AP251)-SUM($BY251:CG251)</f>
        <v>0</v>
      </c>
      <c r="BO251" s="8">
        <f>SUM($BB251,$AI251:AQ251)-SUM($BY251:CH251)</f>
        <v>-4</v>
      </c>
      <c r="BP251" s="8">
        <f>SUM($BB251,$AI251:AR251)-SUM($BY251:CI251)</f>
        <v>-10</v>
      </c>
      <c r="BQ251" s="8">
        <f>SUM($BB251,$AI251:AS251)-SUM($BY251:CJ251)</f>
        <v>-20</v>
      </c>
      <c r="BR251" s="8">
        <f>SUM($BB251,$AI251:AT251)-SUM($BY251:CK251)</f>
        <v>-28</v>
      </c>
      <c r="BS251" s="8">
        <f>SUM($BB251,$AI251:AU251)-SUM($BY251:CL251)</f>
        <v>-36</v>
      </c>
      <c r="BT251" s="8">
        <f>SUM($BB251,$AI251:AV251)-SUM($BY251:CM251)</f>
        <v>-44</v>
      </c>
      <c r="BU251" s="8">
        <f>SUM($BB251,$AI251:AW251)-SUM($BY251:CN251)</f>
        <v>-56</v>
      </c>
      <c r="BV251" s="8">
        <f>SUM($BB251,$AI251:AX251)-SUM($BY251:CO251)</f>
        <v>-66.400000000000006</v>
      </c>
      <c r="BW251" s="8">
        <f>SUM($BB251,$AI251:AY251)-SUM($BY251:CP251)</f>
        <v>-66.400000000000006</v>
      </c>
      <c r="BX251" s="8">
        <f>SUM($BB251,$AI251:AZ251)-SUM($BY251:CQ251)</f>
        <v>-66.400000000000006</v>
      </c>
      <c r="BY251" s="8" cm="1">
        <f t="array" ref="BY251">SUMPRODUCT(TRANSPOSE(BY$2:BY$15),$I251:$V251)</f>
        <v>0</v>
      </c>
      <c r="BZ251" s="8" cm="1">
        <f t="array" ref="BZ251">SUMPRODUCT(TRANSPOSE(BZ$2:BZ$15),$I251:$V251)</f>
        <v>0</v>
      </c>
      <c r="CA251" s="8" cm="1">
        <f t="array" ref="CA251">SUMPRODUCT(TRANSPOSE(CA$2:CA$15),$I251:$V251)</f>
        <v>0</v>
      </c>
      <c r="CB251" s="8" cm="1">
        <f t="array" ref="CB251">SUMPRODUCT(TRANSPOSE(CB$2:CB$15),$I251:$V251)</f>
        <v>0</v>
      </c>
      <c r="CC251" s="8" cm="1">
        <f t="array" ref="CC251">SUMPRODUCT(TRANSPOSE(CC$2:CC$15),$I251:$V251)</f>
        <v>0</v>
      </c>
      <c r="CD251" s="8" cm="1">
        <f t="array" ref="CD251">SUMPRODUCT(TRANSPOSE(CD$2:CD$15),$I251:$V251)</f>
        <v>0</v>
      </c>
      <c r="CE251" s="8" cm="1">
        <f t="array" ref="CE251">SUMPRODUCT(TRANSPOSE(CE$2:CE$15),$I251:$V251)</f>
        <v>0</v>
      </c>
      <c r="CF251" s="8" cm="1">
        <f t="array" ref="CF251">SUMPRODUCT(TRANSPOSE(CF$2:CF$15),$I251:$V251)</f>
        <v>0</v>
      </c>
      <c r="CG251" s="8" cm="1">
        <f t="array" ref="CG251">SUMPRODUCT(TRANSPOSE(CG$2:CG$15),$I251:$V251)</f>
        <v>0</v>
      </c>
      <c r="CH251" s="8" cm="1">
        <f t="array" ref="CH251">SUMPRODUCT(TRANSPOSE(CH$2:CH$15),$I251:$V251)</f>
        <v>4</v>
      </c>
      <c r="CI251" s="8" cm="1">
        <f t="array" ref="CI251">SUMPRODUCT(TRANSPOSE(CI$2:CI$15),$I251:$V251)</f>
        <v>6</v>
      </c>
      <c r="CJ251" s="8" cm="1">
        <f t="array" ref="CJ251">SUMPRODUCT(TRANSPOSE(CJ$2:CJ$15),$I251:$V251)</f>
        <v>10</v>
      </c>
      <c r="CK251" s="8" cm="1">
        <f t="array" ref="CK251">SUMPRODUCT(TRANSPOSE(CK$2:CK$15),$I251:$V251)</f>
        <v>8</v>
      </c>
      <c r="CL251" s="8" cm="1">
        <f t="array" ref="CL251">SUMPRODUCT(TRANSPOSE(CL$2:CL$15),$I251:$V251)</f>
        <v>8</v>
      </c>
      <c r="CM251" s="8" cm="1">
        <f t="array" ref="CM251">SUMPRODUCT(TRANSPOSE(CM$2:CM$15),$I251:$V251)</f>
        <v>8</v>
      </c>
      <c r="CN251" s="8" cm="1">
        <f t="array" ref="CN251">SUMPRODUCT(TRANSPOSE(CN$2:CN$15),$I251:$V251)</f>
        <v>12</v>
      </c>
      <c r="CO251" s="8" cm="1">
        <f t="array" ref="CO251">SUMPRODUCT(TRANSPOSE(CO$2:CO$15),$I251:$V251)</f>
        <v>10.4</v>
      </c>
      <c r="CP251" s="8" cm="1">
        <f t="array" ref="CP251">SUMPRODUCT(TRANSPOSE(CP$2:CP$15),$I251:$V251)</f>
        <v>0</v>
      </c>
      <c r="CQ251" s="8" cm="1">
        <f t="array" ref="CQ251">SUMPRODUCT(TRANSPOSE(CQ$2:CQ$15),$I251:$V251)</f>
        <v>0</v>
      </c>
    </row>
    <row r="252" spans="1:95" x14ac:dyDescent="0.25">
      <c r="A252" s="1">
        <v>257</v>
      </c>
      <c r="B252" s="11" t="s">
        <v>639</v>
      </c>
      <c r="C252" s="1" t="s">
        <v>49</v>
      </c>
      <c r="D252" s="1">
        <v>512307984</v>
      </c>
      <c r="E252" s="6"/>
      <c r="F252" s="1" t="s">
        <v>443</v>
      </c>
      <c r="G252" s="1" t="s">
        <v>35</v>
      </c>
      <c r="H252" s="1">
        <v>1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1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f>SUMPRODUCT(I252:V252,$I$13:$V$13)</f>
        <v>1660</v>
      </c>
      <c r="X252" s="6">
        <f t="shared" si="5"/>
        <v>0.05</v>
      </c>
      <c r="Y252" s="1" t="str">
        <f>VLOOKUP(D252,[1]PARTS!$A$1:$G$65536,7,0)</f>
        <v>MS MILITARY STANDARDS</v>
      </c>
      <c r="Z252" s="1">
        <v>1</v>
      </c>
      <c r="AA252" s="1">
        <f>CEILING(W252,Z252)</f>
        <v>1660</v>
      </c>
      <c r="AB252" s="1">
        <f>CEILING(W252,Z252)</f>
        <v>1660</v>
      </c>
      <c r="AC252" s="1">
        <v>0.05</v>
      </c>
      <c r="AD252" s="1" t="s">
        <v>583</v>
      </c>
      <c r="AE252" s="1" t="s">
        <v>584</v>
      </c>
      <c r="AF252" s="12" t="s">
        <v>585</v>
      </c>
      <c r="AG252" s="1" t="s">
        <v>586</v>
      </c>
      <c r="BG252" s="8">
        <f>SUM($BB252,$AI252:AI252)-SUM($BY252:BZ252)</f>
        <v>0</v>
      </c>
      <c r="BH252" s="8">
        <f>SUM($BB252,$AI252:AJ252)-SUM($BY252:CA252)</f>
        <v>0</v>
      </c>
      <c r="BI252" s="8">
        <f>SUM($BB252,$AI252:AK252)-SUM($BY252:CB252)</f>
        <v>0</v>
      </c>
      <c r="BJ252" s="8">
        <f>SUM($BB252,$AI252:AL252)-SUM($BY252:CC252)</f>
        <v>0</v>
      </c>
      <c r="BK252" s="8">
        <f>SUM($BB252,$AI252:AM252)-SUM($BY252:CD252)</f>
        <v>0</v>
      </c>
      <c r="BL252" s="8">
        <f>SUM($BB252,$AI252:AN252)-SUM($BY252:CE252)</f>
        <v>0</v>
      </c>
      <c r="BM252" s="8">
        <f>SUM($BB252,$AI252:AO252)-SUM($BY252:CF252)</f>
        <v>0</v>
      </c>
      <c r="BN252" s="8">
        <f>SUM($BB252,$AI252:AP252)-SUM($BY252:CG252)</f>
        <v>0</v>
      </c>
      <c r="BO252" s="8">
        <f>SUM($BB252,$AI252:AQ252)-SUM($BY252:CH252)</f>
        <v>-100</v>
      </c>
      <c r="BP252" s="8">
        <f>SUM($BB252,$AI252:AR252)-SUM($BY252:CI252)</f>
        <v>-250</v>
      </c>
      <c r="BQ252" s="8">
        <f>SUM($BB252,$AI252:AS252)-SUM($BY252:CJ252)</f>
        <v>-500</v>
      </c>
      <c r="BR252" s="8">
        <f>SUM($BB252,$AI252:AT252)-SUM($BY252:CK252)</f>
        <v>-700</v>
      </c>
      <c r="BS252" s="8">
        <f>SUM($BB252,$AI252:AU252)-SUM($BY252:CL252)</f>
        <v>-900</v>
      </c>
      <c r="BT252" s="8">
        <f>SUM($BB252,$AI252:AV252)-SUM($BY252:CM252)</f>
        <v>-1100</v>
      </c>
      <c r="BU252" s="8">
        <f>SUM($BB252,$AI252:AW252)-SUM($BY252:CN252)</f>
        <v>-1400</v>
      </c>
      <c r="BV252" s="8">
        <f>SUM($BB252,$AI252:AX252)-SUM($BY252:CO252)</f>
        <v>-1660</v>
      </c>
      <c r="BW252" s="8">
        <f>SUM($BB252,$AI252:AY252)-SUM($BY252:CP252)</f>
        <v>-1660</v>
      </c>
      <c r="BX252" s="8">
        <f>SUM($BB252,$AI252:AZ252)-SUM($BY252:CQ252)</f>
        <v>-1660</v>
      </c>
      <c r="BY252" s="8" cm="1">
        <f t="array" ref="BY252">SUMPRODUCT(TRANSPOSE(BY$2:BY$15),$I252:$V252)</f>
        <v>0</v>
      </c>
      <c r="BZ252" s="8" cm="1">
        <f t="array" ref="BZ252">SUMPRODUCT(TRANSPOSE(BZ$2:BZ$15),$I252:$V252)</f>
        <v>0</v>
      </c>
      <c r="CA252" s="8" cm="1">
        <f t="array" ref="CA252">SUMPRODUCT(TRANSPOSE(CA$2:CA$15),$I252:$V252)</f>
        <v>0</v>
      </c>
      <c r="CB252" s="8" cm="1">
        <f t="array" ref="CB252">SUMPRODUCT(TRANSPOSE(CB$2:CB$15),$I252:$V252)</f>
        <v>0</v>
      </c>
      <c r="CC252" s="8" cm="1">
        <f t="array" ref="CC252">SUMPRODUCT(TRANSPOSE(CC$2:CC$15),$I252:$V252)</f>
        <v>0</v>
      </c>
      <c r="CD252" s="8" cm="1">
        <f t="array" ref="CD252">SUMPRODUCT(TRANSPOSE(CD$2:CD$15),$I252:$V252)</f>
        <v>0</v>
      </c>
      <c r="CE252" s="8" cm="1">
        <f t="array" ref="CE252">SUMPRODUCT(TRANSPOSE(CE$2:CE$15),$I252:$V252)</f>
        <v>0</v>
      </c>
      <c r="CF252" s="8" cm="1">
        <f t="array" ref="CF252">SUMPRODUCT(TRANSPOSE(CF$2:CF$15),$I252:$V252)</f>
        <v>0</v>
      </c>
      <c r="CG252" s="8" cm="1">
        <f t="array" ref="CG252">SUMPRODUCT(TRANSPOSE(CG$2:CG$15),$I252:$V252)</f>
        <v>0</v>
      </c>
      <c r="CH252" s="8" cm="1">
        <f t="array" ref="CH252">SUMPRODUCT(TRANSPOSE(CH$2:CH$15),$I252:$V252)</f>
        <v>100</v>
      </c>
      <c r="CI252" s="8" cm="1">
        <f t="array" ref="CI252">SUMPRODUCT(TRANSPOSE(CI$2:CI$15),$I252:$V252)</f>
        <v>150</v>
      </c>
      <c r="CJ252" s="8" cm="1">
        <f t="array" ref="CJ252">SUMPRODUCT(TRANSPOSE(CJ$2:CJ$15),$I252:$V252)</f>
        <v>250</v>
      </c>
      <c r="CK252" s="8" cm="1">
        <f t="array" ref="CK252">SUMPRODUCT(TRANSPOSE(CK$2:CK$15),$I252:$V252)</f>
        <v>200</v>
      </c>
      <c r="CL252" s="8" cm="1">
        <f t="array" ref="CL252">SUMPRODUCT(TRANSPOSE(CL$2:CL$15),$I252:$V252)</f>
        <v>200</v>
      </c>
      <c r="CM252" s="8" cm="1">
        <f t="array" ref="CM252">SUMPRODUCT(TRANSPOSE(CM$2:CM$15),$I252:$V252)</f>
        <v>200</v>
      </c>
      <c r="CN252" s="8" cm="1">
        <f t="array" ref="CN252">SUMPRODUCT(TRANSPOSE(CN$2:CN$15),$I252:$V252)</f>
        <v>300</v>
      </c>
      <c r="CO252" s="8" cm="1">
        <f t="array" ref="CO252">SUMPRODUCT(TRANSPOSE(CO$2:CO$15),$I252:$V252)</f>
        <v>260</v>
      </c>
      <c r="CP252" s="8" cm="1">
        <f t="array" ref="CP252">SUMPRODUCT(TRANSPOSE(CP$2:CP$15),$I252:$V252)</f>
        <v>0</v>
      </c>
      <c r="CQ252" s="8" cm="1">
        <f t="array" ref="CQ252">SUMPRODUCT(TRANSPOSE(CQ$2:CQ$15),$I252:$V252)</f>
        <v>0</v>
      </c>
    </row>
    <row r="253" spans="1:95" x14ac:dyDescent="0.25">
      <c r="A253" s="1">
        <v>267</v>
      </c>
      <c r="B253" s="11" t="s">
        <v>640</v>
      </c>
      <c r="C253" s="1" t="s">
        <v>49</v>
      </c>
      <c r="D253" s="1">
        <v>514200518</v>
      </c>
      <c r="E253" s="6"/>
      <c r="F253" s="1" t="s">
        <v>641</v>
      </c>
      <c r="G253" s="1" t="s">
        <v>35</v>
      </c>
      <c r="H253" s="1">
        <v>1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1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f>SUMPRODUCT(I253:V253,$I$13:$V$13)</f>
        <v>1660</v>
      </c>
      <c r="X253" s="6">
        <f t="shared" si="5"/>
        <v>1.4999999999999999E-2</v>
      </c>
      <c r="Y253" s="1" t="str">
        <f>VLOOKUP(D253,[1]PARTS!$A$1:$G$65536,7,0)</f>
        <v>NAS/NASM NATIONAL AEROSPACE STD</v>
      </c>
      <c r="Z253" s="1">
        <v>1</v>
      </c>
      <c r="AA253" s="1">
        <f>CEILING(W253,Z253)</f>
        <v>1660</v>
      </c>
      <c r="AB253" s="1">
        <f>CEILING(W253,Z253)</f>
        <v>1660</v>
      </c>
      <c r="AC253" s="1">
        <f>VLOOKUP(D253,[2]pareto!$D$12:$AX$306,47,0)</f>
        <v>1.4999999999999999E-2</v>
      </c>
      <c r="AD253" s="1" t="s">
        <v>583</v>
      </c>
      <c r="AE253" s="1" t="s">
        <v>584</v>
      </c>
      <c r="AF253" s="12" t="s">
        <v>585</v>
      </c>
      <c r="AG253" s="1" t="s">
        <v>586</v>
      </c>
      <c r="BG253" s="8">
        <f>SUM($BB253,$AI253:AI253)-SUM($BY253:BZ253)</f>
        <v>0</v>
      </c>
      <c r="BH253" s="8">
        <f>SUM($BB253,$AI253:AJ253)-SUM($BY253:CA253)</f>
        <v>0</v>
      </c>
      <c r="BI253" s="8">
        <f>SUM($BB253,$AI253:AK253)-SUM($BY253:CB253)</f>
        <v>0</v>
      </c>
      <c r="BJ253" s="8">
        <f>SUM($BB253,$AI253:AL253)-SUM($BY253:CC253)</f>
        <v>0</v>
      </c>
      <c r="BK253" s="8">
        <f>SUM($BB253,$AI253:AM253)-SUM($BY253:CD253)</f>
        <v>0</v>
      </c>
      <c r="BL253" s="8">
        <f>SUM($BB253,$AI253:AN253)-SUM($BY253:CE253)</f>
        <v>0</v>
      </c>
      <c r="BM253" s="8">
        <f>SUM($BB253,$AI253:AO253)-SUM($BY253:CF253)</f>
        <v>0</v>
      </c>
      <c r="BN253" s="8">
        <f>SUM($BB253,$AI253:AP253)-SUM($BY253:CG253)</f>
        <v>0</v>
      </c>
      <c r="BO253" s="8">
        <f>SUM($BB253,$AI253:AQ253)-SUM($BY253:CH253)</f>
        <v>-100</v>
      </c>
      <c r="BP253" s="8">
        <f>SUM($BB253,$AI253:AR253)-SUM($BY253:CI253)</f>
        <v>-250</v>
      </c>
      <c r="BQ253" s="8">
        <f>SUM($BB253,$AI253:AS253)-SUM($BY253:CJ253)</f>
        <v>-500</v>
      </c>
      <c r="BR253" s="8">
        <f>SUM($BB253,$AI253:AT253)-SUM($BY253:CK253)</f>
        <v>-700</v>
      </c>
      <c r="BS253" s="8">
        <f>SUM($BB253,$AI253:AU253)-SUM($BY253:CL253)</f>
        <v>-900</v>
      </c>
      <c r="BT253" s="8">
        <f>SUM($BB253,$AI253:AV253)-SUM($BY253:CM253)</f>
        <v>-1100</v>
      </c>
      <c r="BU253" s="8">
        <f>SUM($BB253,$AI253:AW253)-SUM($BY253:CN253)</f>
        <v>-1400</v>
      </c>
      <c r="BV253" s="8">
        <f>SUM($BB253,$AI253:AX253)-SUM($BY253:CO253)</f>
        <v>-1660</v>
      </c>
      <c r="BW253" s="8">
        <f>SUM($BB253,$AI253:AY253)-SUM($BY253:CP253)</f>
        <v>-1660</v>
      </c>
      <c r="BX253" s="8">
        <f>SUM($BB253,$AI253:AZ253)-SUM($BY253:CQ253)</f>
        <v>-1660</v>
      </c>
      <c r="BY253" s="8" cm="1">
        <f t="array" ref="BY253">SUMPRODUCT(TRANSPOSE(BY$2:BY$15),$I253:$V253)</f>
        <v>0</v>
      </c>
      <c r="BZ253" s="8" cm="1">
        <f t="array" ref="BZ253">SUMPRODUCT(TRANSPOSE(BZ$2:BZ$15),$I253:$V253)</f>
        <v>0</v>
      </c>
      <c r="CA253" s="8" cm="1">
        <f t="array" ref="CA253">SUMPRODUCT(TRANSPOSE(CA$2:CA$15),$I253:$V253)</f>
        <v>0</v>
      </c>
      <c r="CB253" s="8" cm="1">
        <f t="array" ref="CB253">SUMPRODUCT(TRANSPOSE(CB$2:CB$15),$I253:$V253)</f>
        <v>0</v>
      </c>
      <c r="CC253" s="8" cm="1">
        <f t="array" ref="CC253">SUMPRODUCT(TRANSPOSE(CC$2:CC$15),$I253:$V253)</f>
        <v>0</v>
      </c>
      <c r="CD253" s="8" cm="1">
        <f t="array" ref="CD253">SUMPRODUCT(TRANSPOSE(CD$2:CD$15),$I253:$V253)</f>
        <v>0</v>
      </c>
      <c r="CE253" s="8" cm="1">
        <f t="array" ref="CE253">SUMPRODUCT(TRANSPOSE(CE$2:CE$15),$I253:$V253)</f>
        <v>0</v>
      </c>
      <c r="CF253" s="8" cm="1">
        <f t="array" ref="CF253">SUMPRODUCT(TRANSPOSE(CF$2:CF$15),$I253:$V253)</f>
        <v>0</v>
      </c>
      <c r="CG253" s="8" cm="1">
        <f t="array" ref="CG253">SUMPRODUCT(TRANSPOSE(CG$2:CG$15),$I253:$V253)</f>
        <v>0</v>
      </c>
      <c r="CH253" s="8" cm="1">
        <f t="array" ref="CH253">SUMPRODUCT(TRANSPOSE(CH$2:CH$15),$I253:$V253)</f>
        <v>100</v>
      </c>
      <c r="CI253" s="8" cm="1">
        <f t="array" ref="CI253">SUMPRODUCT(TRANSPOSE(CI$2:CI$15),$I253:$V253)</f>
        <v>150</v>
      </c>
      <c r="CJ253" s="8" cm="1">
        <f t="array" ref="CJ253">SUMPRODUCT(TRANSPOSE(CJ$2:CJ$15),$I253:$V253)</f>
        <v>250</v>
      </c>
      <c r="CK253" s="8" cm="1">
        <f t="array" ref="CK253">SUMPRODUCT(TRANSPOSE(CK$2:CK$15),$I253:$V253)</f>
        <v>200</v>
      </c>
      <c r="CL253" s="8" cm="1">
        <f t="array" ref="CL253">SUMPRODUCT(TRANSPOSE(CL$2:CL$15),$I253:$V253)</f>
        <v>200</v>
      </c>
      <c r="CM253" s="8" cm="1">
        <f t="array" ref="CM253">SUMPRODUCT(TRANSPOSE(CM$2:CM$15),$I253:$V253)</f>
        <v>200</v>
      </c>
      <c r="CN253" s="8" cm="1">
        <f t="array" ref="CN253">SUMPRODUCT(TRANSPOSE(CN$2:CN$15),$I253:$V253)</f>
        <v>300</v>
      </c>
      <c r="CO253" s="8" cm="1">
        <f t="array" ref="CO253">SUMPRODUCT(TRANSPOSE(CO$2:CO$15),$I253:$V253)</f>
        <v>260</v>
      </c>
      <c r="CP253" s="8" cm="1">
        <f t="array" ref="CP253">SUMPRODUCT(TRANSPOSE(CP$2:CP$15),$I253:$V253)</f>
        <v>0</v>
      </c>
      <c r="CQ253" s="8" cm="1">
        <f t="array" ref="CQ253">SUMPRODUCT(TRANSPOSE(CQ$2:CQ$15),$I253:$V253)</f>
        <v>0</v>
      </c>
    </row>
    <row r="254" spans="1:95" x14ac:dyDescent="0.25">
      <c r="A254" s="1">
        <v>90</v>
      </c>
      <c r="B254" s="11" t="s">
        <v>642</v>
      </c>
      <c r="C254" s="1" t="s">
        <v>49</v>
      </c>
      <c r="D254" s="1" t="s">
        <v>643</v>
      </c>
      <c r="E254" s="6" t="str">
        <f>VLOOKUP(D254,FFF!$A$2:$B$674,2,)</f>
        <v>FFF008182</v>
      </c>
      <c r="F254" s="1" t="s">
        <v>637</v>
      </c>
      <c r="G254" s="1" t="s">
        <v>638</v>
      </c>
      <c r="H254" s="1">
        <v>0.04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0.04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f>SUMPRODUCT(I254:V254,$I$13:$V$13)</f>
        <v>66.400000000000006</v>
      </c>
      <c r="X254" s="6">
        <f t="shared" si="5"/>
        <v>2.4799999999999999E-2</v>
      </c>
      <c r="Y254" s="1" t="str">
        <f>VLOOKUP(D254,[1]PARTS!$A$1:$G$65536,7,0)</f>
        <v>TE CONNECTIVITY</v>
      </c>
      <c r="Z254" s="1">
        <v>1</v>
      </c>
      <c r="AA254" s="1">
        <f>VLOOKUP(D254,[2]pareto!$D$12:$AX$306,45,0)</f>
        <v>100</v>
      </c>
      <c r="AB254" s="1">
        <f>CEILING(W254,Z254)</f>
        <v>67</v>
      </c>
      <c r="AC254" s="1">
        <f>VLOOKUP(D254,[2]pareto!$D$12:$AX$306,47,0)</f>
        <v>0.62</v>
      </c>
      <c r="AD254" s="1" t="str">
        <f>VLOOKUP(D254,[2]pareto!$D$11:$BD$306,50,0)</f>
        <v>TTI</v>
      </c>
      <c r="AE254" s="1" t="s">
        <v>471</v>
      </c>
      <c r="AF254" s="12" t="s">
        <v>472</v>
      </c>
      <c r="AG254" s="1" t="e">
        <f>VLOOKUP(D254,[2]pareto!$D$11:$BD$306,51)</f>
        <v>#REF!</v>
      </c>
      <c r="BG254" s="8">
        <f>SUM($BB254,$AI254:AI254)-SUM($BY254:BZ254)</f>
        <v>0</v>
      </c>
      <c r="BH254" s="8">
        <f>SUM($BB254,$AI254:AJ254)-SUM($BY254:CA254)</f>
        <v>0</v>
      </c>
      <c r="BI254" s="8">
        <f>SUM($BB254,$AI254:AK254)-SUM($BY254:CB254)</f>
        <v>0</v>
      </c>
      <c r="BJ254" s="8">
        <f>SUM($BB254,$AI254:AL254)-SUM($BY254:CC254)</f>
        <v>0</v>
      </c>
      <c r="BK254" s="8">
        <f>SUM($BB254,$AI254:AM254)-SUM($BY254:CD254)</f>
        <v>0</v>
      </c>
      <c r="BL254" s="8">
        <f>SUM($BB254,$AI254:AN254)-SUM($BY254:CE254)</f>
        <v>0</v>
      </c>
      <c r="BM254" s="8">
        <f>SUM($BB254,$AI254:AO254)-SUM($BY254:CF254)</f>
        <v>0</v>
      </c>
      <c r="BN254" s="8">
        <f>SUM($BB254,$AI254:AP254)-SUM($BY254:CG254)</f>
        <v>0</v>
      </c>
      <c r="BO254" s="8">
        <f>SUM($BB254,$AI254:AQ254)-SUM($BY254:CH254)</f>
        <v>-4</v>
      </c>
      <c r="BP254" s="8">
        <f>SUM($BB254,$AI254:AR254)-SUM($BY254:CI254)</f>
        <v>-10</v>
      </c>
      <c r="BQ254" s="8">
        <f>SUM($BB254,$AI254:AS254)-SUM($BY254:CJ254)</f>
        <v>-20</v>
      </c>
      <c r="BR254" s="8">
        <f>SUM($BB254,$AI254:AT254)-SUM($BY254:CK254)</f>
        <v>-28</v>
      </c>
      <c r="BS254" s="8">
        <f>SUM($BB254,$AI254:AU254)-SUM($BY254:CL254)</f>
        <v>-36</v>
      </c>
      <c r="BT254" s="8">
        <f>SUM($BB254,$AI254:AV254)-SUM($BY254:CM254)</f>
        <v>-44</v>
      </c>
      <c r="BU254" s="8">
        <f>SUM($BB254,$AI254:AW254)-SUM($BY254:CN254)</f>
        <v>-56</v>
      </c>
      <c r="BV254" s="8">
        <f>SUM($BB254,$AI254:AX254)-SUM($BY254:CO254)</f>
        <v>-66.400000000000006</v>
      </c>
      <c r="BW254" s="8">
        <f>SUM($BB254,$AI254:AY254)-SUM($BY254:CP254)</f>
        <v>-66.400000000000006</v>
      </c>
      <c r="BX254" s="8">
        <f>SUM($BB254,$AI254:AZ254)-SUM($BY254:CQ254)</f>
        <v>-66.400000000000006</v>
      </c>
      <c r="BY254" s="8" cm="1">
        <f t="array" ref="BY254">SUMPRODUCT(TRANSPOSE(BY$2:BY$15),$I254:$V254)</f>
        <v>0</v>
      </c>
      <c r="BZ254" s="8" cm="1">
        <f t="array" ref="BZ254">SUMPRODUCT(TRANSPOSE(BZ$2:BZ$15),$I254:$V254)</f>
        <v>0</v>
      </c>
      <c r="CA254" s="8" cm="1">
        <f t="array" ref="CA254">SUMPRODUCT(TRANSPOSE(CA$2:CA$15),$I254:$V254)</f>
        <v>0</v>
      </c>
      <c r="CB254" s="8" cm="1">
        <f t="array" ref="CB254">SUMPRODUCT(TRANSPOSE(CB$2:CB$15),$I254:$V254)</f>
        <v>0</v>
      </c>
      <c r="CC254" s="8" cm="1">
        <f t="array" ref="CC254">SUMPRODUCT(TRANSPOSE(CC$2:CC$15),$I254:$V254)</f>
        <v>0</v>
      </c>
      <c r="CD254" s="8" cm="1">
        <f t="array" ref="CD254">SUMPRODUCT(TRANSPOSE(CD$2:CD$15),$I254:$V254)</f>
        <v>0</v>
      </c>
      <c r="CE254" s="8" cm="1">
        <f t="array" ref="CE254">SUMPRODUCT(TRANSPOSE(CE$2:CE$15),$I254:$V254)</f>
        <v>0</v>
      </c>
      <c r="CF254" s="8" cm="1">
        <f t="array" ref="CF254">SUMPRODUCT(TRANSPOSE(CF$2:CF$15),$I254:$V254)</f>
        <v>0</v>
      </c>
      <c r="CG254" s="8" cm="1">
        <f t="array" ref="CG254">SUMPRODUCT(TRANSPOSE(CG$2:CG$15),$I254:$V254)</f>
        <v>0</v>
      </c>
      <c r="CH254" s="8" cm="1">
        <f t="array" ref="CH254">SUMPRODUCT(TRANSPOSE(CH$2:CH$15),$I254:$V254)</f>
        <v>4</v>
      </c>
      <c r="CI254" s="8" cm="1">
        <f t="array" ref="CI254">SUMPRODUCT(TRANSPOSE(CI$2:CI$15),$I254:$V254)</f>
        <v>6</v>
      </c>
      <c r="CJ254" s="8" cm="1">
        <f t="array" ref="CJ254">SUMPRODUCT(TRANSPOSE(CJ$2:CJ$15),$I254:$V254)</f>
        <v>10</v>
      </c>
      <c r="CK254" s="8" cm="1">
        <f t="array" ref="CK254">SUMPRODUCT(TRANSPOSE(CK$2:CK$15),$I254:$V254)</f>
        <v>8</v>
      </c>
      <c r="CL254" s="8" cm="1">
        <f t="array" ref="CL254">SUMPRODUCT(TRANSPOSE(CL$2:CL$15),$I254:$V254)</f>
        <v>8</v>
      </c>
      <c r="CM254" s="8" cm="1">
        <f t="array" ref="CM254">SUMPRODUCT(TRANSPOSE(CM$2:CM$15),$I254:$V254)</f>
        <v>8</v>
      </c>
      <c r="CN254" s="8" cm="1">
        <f t="array" ref="CN254">SUMPRODUCT(TRANSPOSE(CN$2:CN$15),$I254:$V254)</f>
        <v>12</v>
      </c>
      <c r="CO254" s="8" cm="1">
        <f t="array" ref="CO254">SUMPRODUCT(TRANSPOSE(CO$2:CO$15),$I254:$V254)</f>
        <v>10.4</v>
      </c>
      <c r="CP254" s="8" cm="1">
        <f t="array" ref="CP254">SUMPRODUCT(TRANSPOSE(CP$2:CP$15),$I254:$V254)</f>
        <v>0</v>
      </c>
      <c r="CQ254" s="8" cm="1">
        <f t="array" ref="CQ254">SUMPRODUCT(TRANSPOSE(CQ$2:CQ$15),$I254:$V254)</f>
        <v>0</v>
      </c>
    </row>
    <row r="255" spans="1:95" x14ac:dyDescent="0.25">
      <c r="A255" s="1">
        <v>142</v>
      </c>
      <c r="B255" s="11" t="s">
        <v>644</v>
      </c>
      <c r="C255" s="1" t="s">
        <v>49</v>
      </c>
      <c r="D255" s="1">
        <v>417983123</v>
      </c>
      <c r="E255" s="6">
        <f>VLOOKUP(D255,FFF!$A$2:$B$674,2,)</f>
        <v>400326635</v>
      </c>
      <c r="F255" s="1" t="s">
        <v>645</v>
      </c>
      <c r="G255" s="1" t="s">
        <v>35</v>
      </c>
      <c r="H255" s="1">
        <v>2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2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f>SUMPRODUCT(I255:V255,$I$13:$V$13)</f>
        <v>3320</v>
      </c>
      <c r="X255" s="6">
        <f t="shared" si="5"/>
        <v>1.0763999999999999E-2</v>
      </c>
      <c r="Y255" s="1" t="str">
        <f>VLOOKUP(D255,[1]PARTS!$A$1:$G$65536,7,0)</f>
        <v>SAMSUNG</v>
      </c>
      <c r="Z255" s="1">
        <f>VLOOKUP(D255,[2]pareto!$D$12:$AX$306,44,0)</f>
        <v>4000</v>
      </c>
      <c r="AA255" s="1">
        <f>VLOOKUP(D255,[2]pareto!$D$12:$AX$306,45,0)</f>
        <v>4000</v>
      </c>
      <c r="AB255" s="1">
        <f>CEILING(W255,Z255)</f>
        <v>4000</v>
      </c>
      <c r="AC255" s="1">
        <f>VLOOKUP(D255,[2]pareto!$D$12:$AX$306,47,0)</f>
        <v>5.3819999999999996E-3</v>
      </c>
      <c r="AD255" s="1" t="s">
        <v>85</v>
      </c>
      <c r="AE255" s="1" t="s">
        <v>86</v>
      </c>
      <c r="AF255" s="19" t="s">
        <v>87</v>
      </c>
      <c r="AG255" s="1" t="s">
        <v>88</v>
      </c>
      <c r="BG255" s="8">
        <f>SUM($BB255,$AI255:AI255)-SUM($BY255:BZ255)</f>
        <v>0</v>
      </c>
      <c r="BH255" s="8">
        <f>SUM($BB255,$AI255:AJ255)-SUM($BY255:CA255)</f>
        <v>0</v>
      </c>
      <c r="BI255" s="8">
        <f>SUM($BB255,$AI255:AK255)-SUM($BY255:CB255)</f>
        <v>0</v>
      </c>
      <c r="BJ255" s="8">
        <f>SUM($BB255,$AI255:AL255)-SUM($BY255:CC255)</f>
        <v>0</v>
      </c>
      <c r="BK255" s="8">
        <f>SUM($BB255,$AI255:AM255)-SUM($BY255:CD255)</f>
        <v>0</v>
      </c>
      <c r="BL255" s="8">
        <f>SUM($BB255,$AI255:AN255)-SUM($BY255:CE255)</f>
        <v>0</v>
      </c>
      <c r="BM255" s="8">
        <f>SUM($BB255,$AI255:AO255)-SUM($BY255:CF255)</f>
        <v>0</v>
      </c>
      <c r="BN255" s="8">
        <f>SUM($BB255,$AI255:AP255)-SUM($BY255:CG255)</f>
        <v>-200</v>
      </c>
      <c r="BO255" s="8">
        <f>SUM($BB255,$AI255:AQ255)-SUM($BY255:CH255)</f>
        <v>-500</v>
      </c>
      <c r="BP255" s="8">
        <f>SUM($BB255,$AI255:AR255)-SUM($BY255:CI255)</f>
        <v>-1000</v>
      </c>
      <c r="BQ255" s="8">
        <f>SUM($BB255,$AI255:AS255)-SUM($BY255:CJ255)</f>
        <v>-1400</v>
      </c>
      <c r="BR255" s="8">
        <f>SUM($BB255,$AI255:AT255)-SUM($BY255:CK255)</f>
        <v>-1800</v>
      </c>
      <c r="BS255" s="8">
        <f>SUM($BB255,$AI255:AU255)-SUM($BY255:CL255)</f>
        <v>-2200</v>
      </c>
      <c r="BT255" s="8">
        <f>SUM($BB255,$AI255:AV255)-SUM($BY255:CM255)</f>
        <v>-2800</v>
      </c>
      <c r="BU255" s="8">
        <f>SUM($BB255,$AI255:AW255)-SUM($BY255:CN255)</f>
        <v>-3320</v>
      </c>
      <c r="BV255" s="8">
        <f>SUM($BB255,$AI255:AX255)-SUM($BY255:CO255)</f>
        <v>-3320</v>
      </c>
      <c r="BW255" s="8">
        <f>SUM($BB255,$AI255:AY255)-SUM($BY255:CP255)</f>
        <v>-3320</v>
      </c>
      <c r="BX255" s="8">
        <f>SUM($BB255,$AI255:AZ255)-SUM($BY255:CQ255)</f>
        <v>-3320</v>
      </c>
      <c r="BY255" s="8" cm="1">
        <f t="array" ref="BY255">SUMPRODUCT(TRANSPOSE(BY$2:BY$15),$I255:$V255)</f>
        <v>0</v>
      </c>
      <c r="BZ255" s="8" cm="1">
        <f t="array" ref="BZ255">SUMPRODUCT(TRANSPOSE(BZ$2:BZ$15),$I255:$V255)</f>
        <v>0</v>
      </c>
      <c r="CA255" s="8" cm="1">
        <f t="array" ref="CA255">SUMPRODUCT(TRANSPOSE(CA$2:CA$15),$I255:$V255)</f>
        <v>0</v>
      </c>
      <c r="CB255" s="8" cm="1">
        <f t="array" ref="CB255">SUMPRODUCT(TRANSPOSE(CB$2:CB$15),$I255:$V255)</f>
        <v>0</v>
      </c>
      <c r="CC255" s="8" cm="1">
        <f t="array" ref="CC255">SUMPRODUCT(TRANSPOSE(CC$2:CC$15),$I255:$V255)</f>
        <v>0</v>
      </c>
      <c r="CD255" s="8" cm="1">
        <f t="array" ref="CD255">SUMPRODUCT(TRANSPOSE(CD$2:CD$15),$I255:$V255)</f>
        <v>0</v>
      </c>
      <c r="CE255" s="8" cm="1">
        <f t="array" ref="CE255">SUMPRODUCT(TRANSPOSE(CE$2:CE$15),$I255:$V255)</f>
        <v>0</v>
      </c>
      <c r="CF255" s="8" cm="1">
        <f t="array" ref="CF255">SUMPRODUCT(TRANSPOSE(CF$2:CF$15),$I255:$V255)</f>
        <v>0</v>
      </c>
      <c r="CG255" s="8" cm="1">
        <f t="array" ref="CG255">SUMPRODUCT(TRANSPOSE(CG$2:CG$15),$I255:$V255)</f>
        <v>200</v>
      </c>
      <c r="CH255" s="8" cm="1">
        <f t="array" ref="CH255">SUMPRODUCT(TRANSPOSE(CH$2:CH$15),$I255:$V255)</f>
        <v>300</v>
      </c>
      <c r="CI255" s="8" cm="1">
        <f t="array" ref="CI255">SUMPRODUCT(TRANSPOSE(CI$2:CI$15),$I255:$V255)</f>
        <v>500</v>
      </c>
      <c r="CJ255" s="8" cm="1">
        <f t="array" ref="CJ255">SUMPRODUCT(TRANSPOSE(CJ$2:CJ$15),$I255:$V255)</f>
        <v>400</v>
      </c>
      <c r="CK255" s="8" cm="1">
        <f t="array" ref="CK255">SUMPRODUCT(TRANSPOSE(CK$2:CK$15),$I255:$V255)</f>
        <v>400</v>
      </c>
      <c r="CL255" s="8" cm="1">
        <f t="array" ref="CL255">SUMPRODUCT(TRANSPOSE(CL$2:CL$15),$I255:$V255)</f>
        <v>400</v>
      </c>
      <c r="CM255" s="8" cm="1">
        <f t="array" ref="CM255">SUMPRODUCT(TRANSPOSE(CM$2:CM$15),$I255:$V255)</f>
        <v>600</v>
      </c>
      <c r="CN255" s="8" cm="1">
        <f t="array" ref="CN255">SUMPRODUCT(TRANSPOSE(CN$2:CN$15),$I255:$V255)</f>
        <v>520</v>
      </c>
      <c r="CO255" s="8" cm="1">
        <f t="array" ref="CO255">SUMPRODUCT(TRANSPOSE(CO$2:CO$15),$I255:$V255)</f>
        <v>0</v>
      </c>
      <c r="CP255" s="8" cm="1">
        <f t="array" ref="CP255">SUMPRODUCT(TRANSPOSE(CP$2:CP$15),$I255:$V255)</f>
        <v>0</v>
      </c>
      <c r="CQ255" s="8" cm="1">
        <f t="array" ref="CQ255">SUMPRODUCT(TRANSPOSE(CQ$2:CQ$15),$I255:$V255)</f>
        <v>0</v>
      </c>
    </row>
    <row r="256" spans="1:95" x14ac:dyDescent="0.25">
      <c r="A256" s="1">
        <v>119</v>
      </c>
      <c r="B256" s="11" t="s">
        <v>646</v>
      </c>
      <c r="C256" s="1" t="s">
        <v>49</v>
      </c>
      <c r="D256" s="1">
        <v>401246012</v>
      </c>
      <c r="E256" s="6">
        <f>VLOOKUP(D256,FFF!$A$2:$B$674,2,)</f>
        <v>400326580</v>
      </c>
      <c r="F256" s="1" t="s">
        <v>647</v>
      </c>
      <c r="G256" s="1" t="s">
        <v>35</v>
      </c>
      <c r="H256" s="1">
        <v>2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2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f>SUMPRODUCT(I256:V256,$I$13:$V$13)</f>
        <v>3320</v>
      </c>
      <c r="X256" s="6">
        <f t="shared" si="5"/>
        <v>4.6800000000000001E-3</v>
      </c>
      <c r="Y256" s="1" t="str">
        <f>VLOOKUP(D256,[1]PARTS!$A$1:$G$65536,7,0)</f>
        <v>KEMET ELECTRONICS S A</v>
      </c>
      <c r="Z256" s="1">
        <f>VLOOKUP(D256,[2]pareto!$D$12:$AX$306,44,0)</f>
        <v>10000</v>
      </c>
      <c r="AA256" s="1">
        <f>VLOOKUP(D256,[2]pareto!$D$12:$AX$306,45,0)</f>
        <v>10000</v>
      </c>
      <c r="AB256" s="1">
        <f>CEILING(W256,Z256)</f>
        <v>10000</v>
      </c>
      <c r="AC256" s="1">
        <f>VLOOKUP(D256,[2]pareto!$D$12:$AX$306,47,0)</f>
        <v>2.3400000000000001E-3</v>
      </c>
      <c r="AD256" s="1" t="s">
        <v>85</v>
      </c>
      <c r="AE256" s="1" t="s">
        <v>86</v>
      </c>
      <c r="AF256" s="19" t="s">
        <v>87</v>
      </c>
      <c r="AG256" s="1" t="s">
        <v>88</v>
      </c>
      <c r="BG256" s="8">
        <f>SUM($BB256,$AI256:AI256)-SUM($BY256:BZ256)</f>
        <v>0</v>
      </c>
      <c r="BH256" s="8">
        <f>SUM($BB256,$AI256:AJ256)-SUM($BY256:CA256)</f>
        <v>0</v>
      </c>
      <c r="BI256" s="8">
        <f>SUM($BB256,$AI256:AK256)-SUM($BY256:CB256)</f>
        <v>0</v>
      </c>
      <c r="BJ256" s="8">
        <f>SUM($BB256,$AI256:AL256)-SUM($BY256:CC256)</f>
        <v>0</v>
      </c>
      <c r="BK256" s="8">
        <f>SUM($BB256,$AI256:AM256)-SUM($BY256:CD256)</f>
        <v>0</v>
      </c>
      <c r="BL256" s="8">
        <f>SUM($BB256,$AI256:AN256)-SUM($BY256:CE256)</f>
        <v>0</v>
      </c>
      <c r="BM256" s="8">
        <f>SUM($BB256,$AI256:AO256)-SUM($BY256:CF256)</f>
        <v>0</v>
      </c>
      <c r="BN256" s="8">
        <f>SUM($BB256,$AI256:AP256)-SUM($BY256:CG256)</f>
        <v>-200</v>
      </c>
      <c r="BO256" s="8">
        <f>SUM($BB256,$AI256:AQ256)-SUM($BY256:CH256)</f>
        <v>-500</v>
      </c>
      <c r="BP256" s="8">
        <f>SUM($BB256,$AI256:AR256)-SUM($BY256:CI256)</f>
        <v>-1000</v>
      </c>
      <c r="BQ256" s="8">
        <f>SUM($BB256,$AI256:AS256)-SUM($BY256:CJ256)</f>
        <v>-1400</v>
      </c>
      <c r="BR256" s="8">
        <f>SUM($BB256,$AI256:AT256)-SUM($BY256:CK256)</f>
        <v>-1800</v>
      </c>
      <c r="BS256" s="8">
        <f>SUM($BB256,$AI256:AU256)-SUM($BY256:CL256)</f>
        <v>-2200</v>
      </c>
      <c r="BT256" s="8">
        <f>SUM($BB256,$AI256:AV256)-SUM($BY256:CM256)</f>
        <v>-2800</v>
      </c>
      <c r="BU256" s="8">
        <f>SUM($BB256,$AI256:AW256)-SUM($BY256:CN256)</f>
        <v>-3320</v>
      </c>
      <c r="BV256" s="8">
        <f>SUM($BB256,$AI256:AX256)-SUM($BY256:CO256)</f>
        <v>-3320</v>
      </c>
      <c r="BW256" s="8">
        <f>SUM($BB256,$AI256:AY256)-SUM($BY256:CP256)</f>
        <v>-3320</v>
      </c>
      <c r="BX256" s="8">
        <f>SUM($BB256,$AI256:AZ256)-SUM($BY256:CQ256)</f>
        <v>-3320</v>
      </c>
      <c r="BY256" s="8" cm="1">
        <f t="array" ref="BY256">SUMPRODUCT(TRANSPOSE(BY$2:BY$15),$I256:$V256)</f>
        <v>0</v>
      </c>
      <c r="BZ256" s="8" cm="1">
        <f t="array" ref="BZ256">SUMPRODUCT(TRANSPOSE(BZ$2:BZ$15),$I256:$V256)</f>
        <v>0</v>
      </c>
      <c r="CA256" s="8" cm="1">
        <f t="array" ref="CA256">SUMPRODUCT(TRANSPOSE(CA$2:CA$15),$I256:$V256)</f>
        <v>0</v>
      </c>
      <c r="CB256" s="8" cm="1">
        <f t="array" ref="CB256">SUMPRODUCT(TRANSPOSE(CB$2:CB$15),$I256:$V256)</f>
        <v>0</v>
      </c>
      <c r="CC256" s="8" cm="1">
        <f t="array" ref="CC256">SUMPRODUCT(TRANSPOSE(CC$2:CC$15),$I256:$V256)</f>
        <v>0</v>
      </c>
      <c r="CD256" s="8" cm="1">
        <f t="array" ref="CD256">SUMPRODUCT(TRANSPOSE(CD$2:CD$15),$I256:$V256)</f>
        <v>0</v>
      </c>
      <c r="CE256" s="8" cm="1">
        <f t="array" ref="CE256">SUMPRODUCT(TRANSPOSE(CE$2:CE$15),$I256:$V256)</f>
        <v>0</v>
      </c>
      <c r="CF256" s="8" cm="1">
        <f t="array" ref="CF256">SUMPRODUCT(TRANSPOSE(CF$2:CF$15),$I256:$V256)</f>
        <v>0</v>
      </c>
      <c r="CG256" s="8" cm="1">
        <f t="array" ref="CG256">SUMPRODUCT(TRANSPOSE(CG$2:CG$15),$I256:$V256)</f>
        <v>200</v>
      </c>
      <c r="CH256" s="8" cm="1">
        <f t="array" ref="CH256">SUMPRODUCT(TRANSPOSE(CH$2:CH$15),$I256:$V256)</f>
        <v>300</v>
      </c>
      <c r="CI256" s="8" cm="1">
        <f t="array" ref="CI256">SUMPRODUCT(TRANSPOSE(CI$2:CI$15),$I256:$V256)</f>
        <v>500</v>
      </c>
      <c r="CJ256" s="8" cm="1">
        <f t="array" ref="CJ256">SUMPRODUCT(TRANSPOSE(CJ$2:CJ$15),$I256:$V256)</f>
        <v>400</v>
      </c>
      <c r="CK256" s="8" cm="1">
        <f t="array" ref="CK256">SUMPRODUCT(TRANSPOSE(CK$2:CK$15),$I256:$V256)</f>
        <v>400</v>
      </c>
      <c r="CL256" s="8" cm="1">
        <f t="array" ref="CL256">SUMPRODUCT(TRANSPOSE(CL$2:CL$15),$I256:$V256)</f>
        <v>400</v>
      </c>
      <c r="CM256" s="8" cm="1">
        <f t="array" ref="CM256">SUMPRODUCT(TRANSPOSE(CM$2:CM$15),$I256:$V256)</f>
        <v>600</v>
      </c>
      <c r="CN256" s="8" cm="1">
        <f t="array" ref="CN256">SUMPRODUCT(TRANSPOSE(CN$2:CN$15),$I256:$V256)</f>
        <v>520</v>
      </c>
      <c r="CO256" s="8" cm="1">
        <f t="array" ref="CO256">SUMPRODUCT(TRANSPOSE(CO$2:CO$15),$I256:$V256)</f>
        <v>0</v>
      </c>
      <c r="CP256" s="8" cm="1">
        <f t="array" ref="CP256">SUMPRODUCT(TRANSPOSE(CP$2:CP$15),$I256:$V256)</f>
        <v>0</v>
      </c>
      <c r="CQ256" s="8" cm="1">
        <f t="array" ref="CQ256">SUMPRODUCT(TRANSPOSE(CQ$2:CQ$15),$I256:$V256)</f>
        <v>0</v>
      </c>
    </row>
    <row r="257" spans="1:95" x14ac:dyDescent="0.25">
      <c r="A257" s="1">
        <v>189</v>
      </c>
      <c r="B257" s="11" t="s">
        <v>648</v>
      </c>
      <c r="C257" s="1" t="s">
        <v>49</v>
      </c>
      <c r="D257" s="1">
        <v>400658343</v>
      </c>
      <c r="E257" s="6" t="str">
        <f>VLOOKUP(D257,FFF!$A$2:$B$674,2,)</f>
        <v>FFF003932</v>
      </c>
      <c r="F257" s="1" t="s">
        <v>649</v>
      </c>
      <c r="G257" s="1" t="s">
        <v>35</v>
      </c>
      <c r="H257" s="1">
        <v>2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2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f>SUMPRODUCT(I257:V257,$I$13:$V$13)</f>
        <v>3320</v>
      </c>
      <c r="X257" s="6">
        <f t="shared" si="5"/>
        <v>4.4459999999999994E-3</v>
      </c>
      <c r="Y257" s="1" t="str">
        <f>VLOOKUP(D257,[1]PARTS!$A$1:$G$65536,7,0)</f>
        <v>VISHAY EUROPE SALE GMBH</v>
      </c>
      <c r="Z257" s="1">
        <f>VLOOKUP(D257,[2]pareto!$D$12:$AX$306,44,0)</f>
        <v>5000</v>
      </c>
      <c r="AA257" s="1">
        <f>VLOOKUP(D257,[2]pareto!$D$12:$AX$306,45,0)</f>
        <v>5000</v>
      </c>
      <c r="AB257" s="1">
        <f>CEILING(W257,Z257)</f>
        <v>5000</v>
      </c>
      <c r="AC257" s="1">
        <f>VLOOKUP(D257,[2]pareto!$D$12:$AX$306,47,0)</f>
        <v>2.2229999999999997E-3</v>
      </c>
      <c r="AD257" s="1" t="s">
        <v>85</v>
      </c>
      <c r="AE257" s="1" t="s">
        <v>86</v>
      </c>
      <c r="AF257" s="19" t="s">
        <v>87</v>
      </c>
      <c r="AG257" s="1" t="s">
        <v>88</v>
      </c>
      <c r="BG257" s="8">
        <f>SUM($BB257,$AI257:AI257)-SUM($BY257:BZ257)</f>
        <v>0</v>
      </c>
      <c r="BH257" s="8">
        <f>SUM($BB257,$AI257:AJ257)-SUM($BY257:CA257)</f>
        <v>0</v>
      </c>
      <c r="BI257" s="8">
        <f>SUM($BB257,$AI257:AK257)-SUM($BY257:CB257)</f>
        <v>0</v>
      </c>
      <c r="BJ257" s="8">
        <f>SUM($BB257,$AI257:AL257)-SUM($BY257:CC257)</f>
        <v>0</v>
      </c>
      <c r="BK257" s="8">
        <f>SUM($BB257,$AI257:AM257)-SUM($BY257:CD257)</f>
        <v>0</v>
      </c>
      <c r="BL257" s="8">
        <f>SUM($BB257,$AI257:AN257)-SUM($BY257:CE257)</f>
        <v>0</v>
      </c>
      <c r="BM257" s="8">
        <f>SUM($BB257,$AI257:AO257)-SUM($BY257:CF257)</f>
        <v>0</v>
      </c>
      <c r="BN257" s="8">
        <f>SUM($BB257,$AI257:AP257)-SUM($BY257:CG257)</f>
        <v>-200</v>
      </c>
      <c r="BO257" s="8">
        <f>SUM($BB257,$AI257:AQ257)-SUM($BY257:CH257)</f>
        <v>-500</v>
      </c>
      <c r="BP257" s="8">
        <f>SUM($BB257,$AI257:AR257)-SUM($BY257:CI257)</f>
        <v>-1000</v>
      </c>
      <c r="BQ257" s="8">
        <f>SUM($BB257,$AI257:AS257)-SUM($BY257:CJ257)</f>
        <v>-1400</v>
      </c>
      <c r="BR257" s="8">
        <f>SUM($BB257,$AI257:AT257)-SUM($BY257:CK257)</f>
        <v>-1800</v>
      </c>
      <c r="BS257" s="8">
        <f>SUM($BB257,$AI257:AU257)-SUM($BY257:CL257)</f>
        <v>-2200</v>
      </c>
      <c r="BT257" s="8">
        <f>SUM($BB257,$AI257:AV257)-SUM($BY257:CM257)</f>
        <v>-2800</v>
      </c>
      <c r="BU257" s="8">
        <f>SUM($BB257,$AI257:AW257)-SUM($BY257:CN257)</f>
        <v>-3320</v>
      </c>
      <c r="BV257" s="8">
        <f>SUM($BB257,$AI257:AX257)-SUM($BY257:CO257)</f>
        <v>-3320</v>
      </c>
      <c r="BW257" s="8">
        <f>SUM($BB257,$AI257:AY257)-SUM($BY257:CP257)</f>
        <v>-3320</v>
      </c>
      <c r="BX257" s="8">
        <f>SUM($BB257,$AI257:AZ257)-SUM($BY257:CQ257)</f>
        <v>-3320</v>
      </c>
      <c r="BY257" s="8" cm="1">
        <f t="array" ref="BY257">SUMPRODUCT(TRANSPOSE(BY$2:BY$15),$I257:$V257)</f>
        <v>0</v>
      </c>
      <c r="BZ257" s="8" cm="1">
        <f t="array" ref="BZ257">SUMPRODUCT(TRANSPOSE(BZ$2:BZ$15),$I257:$V257)</f>
        <v>0</v>
      </c>
      <c r="CA257" s="8" cm="1">
        <f t="array" ref="CA257">SUMPRODUCT(TRANSPOSE(CA$2:CA$15),$I257:$V257)</f>
        <v>0</v>
      </c>
      <c r="CB257" s="8" cm="1">
        <f t="array" ref="CB257">SUMPRODUCT(TRANSPOSE(CB$2:CB$15),$I257:$V257)</f>
        <v>0</v>
      </c>
      <c r="CC257" s="8" cm="1">
        <f t="array" ref="CC257">SUMPRODUCT(TRANSPOSE(CC$2:CC$15),$I257:$V257)</f>
        <v>0</v>
      </c>
      <c r="CD257" s="8" cm="1">
        <f t="array" ref="CD257">SUMPRODUCT(TRANSPOSE(CD$2:CD$15),$I257:$V257)</f>
        <v>0</v>
      </c>
      <c r="CE257" s="8" cm="1">
        <f t="array" ref="CE257">SUMPRODUCT(TRANSPOSE(CE$2:CE$15),$I257:$V257)</f>
        <v>0</v>
      </c>
      <c r="CF257" s="8" cm="1">
        <f t="array" ref="CF257">SUMPRODUCT(TRANSPOSE(CF$2:CF$15),$I257:$V257)</f>
        <v>0</v>
      </c>
      <c r="CG257" s="8" cm="1">
        <f t="array" ref="CG257">SUMPRODUCT(TRANSPOSE(CG$2:CG$15),$I257:$V257)</f>
        <v>200</v>
      </c>
      <c r="CH257" s="8" cm="1">
        <f t="array" ref="CH257">SUMPRODUCT(TRANSPOSE(CH$2:CH$15),$I257:$V257)</f>
        <v>300</v>
      </c>
      <c r="CI257" s="8" cm="1">
        <f t="array" ref="CI257">SUMPRODUCT(TRANSPOSE(CI$2:CI$15),$I257:$V257)</f>
        <v>500</v>
      </c>
      <c r="CJ257" s="8" cm="1">
        <f t="array" ref="CJ257">SUMPRODUCT(TRANSPOSE(CJ$2:CJ$15),$I257:$V257)</f>
        <v>400</v>
      </c>
      <c r="CK257" s="8" cm="1">
        <f t="array" ref="CK257">SUMPRODUCT(TRANSPOSE(CK$2:CK$15),$I257:$V257)</f>
        <v>400</v>
      </c>
      <c r="CL257" s="8" cm="1">
        <f t="array" ref="CL257">SUMPRODUCT(TRANSPOSE(CL$2:CL$15),$I257:$V257)</f>
        <v>400</v>
      </c>
      <c r="CM257" s="8" cm="1">
        <f t="array" ref="CM257">SUMPRODUCT(TRANSPOSE(CM$2:CM$15),$I257:$V257)</f>
        <v>600</v>
      </c>
      <c r="CN257" s="8" cm="1">
        <f t="array" ref="CN257">SUMPRODUCT(TRANSPOSE(CN$2:CN$15),$I257:$V257)</f>
        <v>520</v>
      </c>
      <c r="CO257" s="8" cm="1">
        <f t="array" ref="CO257">SUMPRODUCT(TRANSPOSE(CO$2:CO$15),$I257:$V257)</f>
        <v>0</v>
      </c>
      <c r="CP257" s="8" cm="1">
        <f t="array" ref="CP257">SUMPRODUCT(TRANSPOSE(CP$2:CP$15),$I257:$V257)</f>
        <v>0</v>
      </c>
      <c r="CQ257" s="8" cm="1">
        <f t="array" ref="CQ257">SUMPRODUCT(TRANSPOSE(CQ$2:CQ$15),$I257:$V257)</f>
        <v>0</v>
      </c>
    </row>
    <row r="258" spans="1:95" x14ac:dyDescent="0.25">
      <c r="A258" s="1">
        <v>190</v>
      </c>
      <c r="B258" s="11" t="s">
        <v>650</v>
      </c>
      <c r="C258" s="1" t="s">
        <v>49</v>
      </c>
      <c r="D258" s="1">
        <v>401519147</v>
      </c>
      <c r="E258" s="6" t="str">
        <f>VLOOKUP(D258,FFF!$A$2:$B$674,2,)</f>
        <v>FFF003849</v>
      </c>
      <c r="F258" s="1" t="s">
        <v>651</v>
      </c>
      <c r="G258" s="1" t="s">
        <v>35</v>
      </c>
      <c r="H258" s="1">
        <v>2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2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f>SUMPRODUCT(I258:V258,$I$13:$V$13)</f>
        <v>3320</v>
      </c>
      <c r="X258" s="6">
        <f t="shared" si="5"/>
        <v>4.4459999999999994E-3</v>
      </c>
      <c r="Y258" s="1" t="str">
        <f>VLOOKUP(D258,[1]PARTS!$A$1:$G$65536,7,0)</f>
        <v>VISHAY RESISTIVE SYSTEMS</v>
      </c>
      <c r="Z258" s="1">
        <f>VLOOKUP(D258,[2]pareto!$D$12:$AX$306,44,0)</f>
        <v>5000</v>
      </c>
      <c r="AA258" s="1">
        <f>VLOOKUP(D258,[2]pareto!$D$12:$AX$306,45,0)</f>
        <v>5000</v>
      </c>
      <c r="AB258" s="1">
        <f>CEILING(W258,Z258)</f>
        <v>5000</v>
      </c>
      <c r="AC258" s="1">
        <f>VLOOKUP(D258,[2]pareto!$D$12:$AX$306,47,0)</f>
        <v>2.2229999999999997E-3</v>
      </c>
      <c r="AD258" s="1" t="s">
        <v>85</v>
      </c>
      <c r="AE258" s="1" t="s">
        <v>86</v>
      </c>
      <c r="AF258" s="19" t="s">
        <v>87</v>
      </c>
      <c r="AG258" s="1" t="s">
        <v>88</v>
      </c>
      <c r="BG258" s="8">
        <f>SUM($BB258,$AI258:AI258)-SUM($BY258:BZ258)</f>
        <v>0</v>
      </c>
      <c r="BH258" s="8">
        <f>SUM($BB258,$AI258:AJ258)-SUM($BY258:CA258)</f>
        <v>0</v>
      </c>
      <c r="BI258" s="8">
        <f>SUM($BB258,$AI258:AK258)-SUM($BY258:CB258)</f>
        <v>0</v>
      </c>
      <c r="BJ258" s="8">
        <f>SUM($BB258,$AI258:AL258)-SUM($BY258:CC258)</f>
        <v>0</v>
      </c>
      <c r="BK258" s="8">
        <f>SUM($BB258,$AI258:AM258)-SUM($BY258:CD258)</f>
        <v>0</v>
      </c>
      <c r="BL258" s="8">
        <f>SUM($BB258,$AI258:AN258)-SUM($BY258:CE258)</f>
        <v>0</v>
      </c>
      <c r="BM258" s="8">
        <f>SUM($BB258,$AI258:AO258)-SUM($BY258:CF258)</f>
        <v>0</v>
      </c>
      <c r="BN258" s="8">
        <f>SUM($BB258,$AI258:AP258)-SUM($BY258:CG258)</f>
        <v>-200</v>
      </c>
      <c r="BO258" s="8">
        <f>SUM($BB258,$AI258:AQ258)-SUM($BY258:CH258)</f>
        <v>-500</v>
      </c>
      <c r="BP258" s="8">
        <f>SUM($BB258,$AI258:AR258)-SUM($BY258:CI258)</f>
        <v>-1000</v>
      </c>
      <c r="BQ258" s="8">
        <f>SUM($BB258,$AI258:AS258)-SUM($BY258:CJ258)</f>
        <v>-1400</v>
      </c>
      <c r="BR258" s="8">
        <f>SUM($BB258,$AI258:AT258)-SUM($BY258:CK258)</f>
        <v>-1800</v>
      </c>
      <c r="BS258" s="8">
        <f>SUM($BB258,$AI258:AU258)-SUM($BY258:CL258)</f>
        <v>-2200</v>
      </c>
      <c r="BT258" s="8">
        <f>SUM($BB258,$AI258:AV258)-SUM($BY258:CM258)</f>
        <v>-2800</v>
      </c>
      <c r="BU258" s="8">
        <f>SUM($BB258,$AI258:AW258)-SUM($BY258:CN258)</f>
        <v>-3320</v>
      </c>
      <c r="BV258" s="8">
        <f>SUM($BB258,$AI258:AX258)-SUM($BY258:CO258)</f>
        <v>-3320</v>
      </c>
      <c r="BW258" s="8">
        <f>SUM($BB258,$AI258:AY258)-SUM($BY258:CP258)</f>
        <v>-3320</v>
      </c>
      <c r="BX258" s="8">
        <f>SUM($BB258,$AI258:AZ258)-SUM($BY258:CQ258)</f>
        <v>-3320</v>
      </c>
      <c r="BY258" s="8" cm="1">
        <f t="array" ref="BY258">SUMPRODUCT(TRANSPOSE(BY$2:BY$15),$I258:$V258)</f>
        <v>0</v>
      </c>
      <c r="BZ258" s="8" cm="1">
        <f t="array" ref="BZ258">SUMPRODUCT(TRANSPOSE(BZ$2:BZ$15),$I258:$V258)</f>
        <v>0</v>
      </c>
      <c r="CA258" s="8" cm="1">
        <f t="array" ref="CA258">SUMPRODUCT(TRANSPOSE(CA$2:CA$15),$I258:$V258)</f>
        <v>0</v>
      </c>
      <c r="CB258" s="8" cm="1">
        <f t="array" ref="CB258">SUMPRODUCT(TRANSPOSE(CB$2:CB$15),$I258:$V258)</f>
        <v>0</v>
      </c>
      <c r="CC258" s="8" cm="1">
        <f t="array" ref="CC258">SUMPRODUCT(TRANSPOSE(CC$2:CC$15),$I258:$V258)</f>
        <v>0</v>
      </c>
      <c r="CD258" s="8" cm="1">
        <f t="array" ref="CD258">SUMPRODUCT(TRANSPOSE(CD$2:CD$15),$I258:$V258)</f>
        <v>0</v>
      </c>
      <c r="CE258" s="8" cm="1">
        <f t="array" ref="CE258">SUMPRODUCT(TRANSPOSE(CE$2:CE$15),$I258:$V258)</f>
        <v>0</v>
      </c>
      <c r="CF258" s="8" cm="1">
        <f t="array" ref="CF258">SUMPRODUCT(TRANSPOSE(CF$2:CF$15),$I258:$V258)</f>
        <v>0</v>
      </c>
      <c r="CG258" s="8" cm="1">
        <f t="array" ref="CG258">SUMPRODUCT(TRANSPOSE(CG$2:CG$15),$I258:$V258)</f>
        <v>200</v>
      </c>
      <c r="CH258" s="8" cm="1">
        <f t="array" ref="CH258">SUMPRODUCT(TRANSPOSE(CH$2:CH$15),$I258:$V258)</f>
        <v>300</v>
      </c>
      <c r="CI258" s="8" cm="1">
        <f t="array" ref="CI258">SUMPRODUCT(TRANSPOSE(CI$2:CI$15),$I258:$V258)</f>
        <v>500</v>
      </c>
      <c r="CJ258" s="8" cm="1">
        <f t="array" ref="CJ258">SUMPRODUCT(TRANSPOSE(CJ$2:CJ$15),$I258:$V258)</f>
        <v>400</v>
      </c>
      <c r="CK258" s="8" cm="1">
        <f t="array" ref="CK258">SUMPRODUCT(TRANSPOSE(CK$2:CK$15),$I258:$V258)</f>
        <v>400</v>
      </c>
      <c r="CL258" s="8" cm="1">
        <f t="array" ref="CL258">SUMPRODUCT(TRANSPOSE(CL$2:CL$15),$I258:$V258)</f>
        <v>400</v>
      </c>
      <c r="CM258" s="8" cm="1">
        <f t="array" ref="CM258">SUMPRODUCT(TRANSPOSE(CM$2:CM$15),$I258:$V258)</f>
        <v>600</v>
      </c>
      <c r="CN258" s="8" cm="1">
        <f t="array" ref="CN258">SUMPRODUCT(TRANSPOSE(CN$2:CN$15),$I258:$V258)</f>
        <v>520</v>
      </c>
      <c r="CO258" s="8" cm="1">
        <f t="array" ref="CO258">SUMPRODUCT(TRANSPOSE(CO$2:CO$15),$I258:$V258)</f>
        <v>0</v>
      </c>
      <c r="CP258" s="8" cm="1">
        <f t="array" ref="CP258">SUMPRODUCT(TRANSPOSE(CP$2:CP$15),$I258:$V258)</f>
        <v>0</v>
      </c>
      <c r="CQ258" s="8" cm="1">
        <f t="array" ref="CQ258">SUMPRODUCT(TRANSPOSE(CQ$2:CQ$15),$I258:$V258)</f>
        <v>0</v>
      </c>
    </row>
    <row r="259" spans="1:95" x14ac:dyDescent="0.25">
      <c r="A259" s="1">
        <v>196</v>
      </c>
      <c r="B259" s="11" t="s">
        <v>652</v>
      </c>
      <c r="C259" s="1" t="s">
        <v>49</v>
      </c>
      <c r="D259" s="1">
        <v>414137917</v>
      </c>
      <c r="E259" s="6" t="str">
        <f>VLOOKUP(D259,FFF!$A$2:$B$674,2,)</f>
        <v>FFF004418</v>
      </c>
      <c r="F259" s="1" t="s">
        <v>653</v>
      </c>
      <c r="G259" s="1" t="s">
        <v>35</v>
      </c>
      <c r="H259" s="1">
        <v>2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2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f>SUMPRODUCT(I259:V259,$I$13:$V$13)</f>
        <v>3320</v>
      </c>
      <c r="X259" s="6">
        <f t="shared" si="5"/>
        <v>4.4459999999999994E-3</v>
      </c>
      <c r="Y259" s="1" t="str">
        <f>VLOOKUP(D259,[1]PARTS!$A$1:$G$65536,7,0)</f>
        <v>VISHAY RESISTIVE SYSTEMS</v>
      </c>
      <c r="Z259" s="1">
        <f>VLOOKUP(D259,[2]pareto!$D$12:$AX$306,44,0)</f>
        <v>5000</v>
      </c>
      <c r="AA259" s="1">
        <f>VLOOKUP(D259,[2]pareto!$D$12:$AX$306,45,0)</f>
        <v>5000</v>
      </c>
      <c r="AB259" s="1">
        <f>CEILING(W259,Z259)</f>
        <v>5000</v>
      </c>
      <c r="AC259" s="1">
        <f>VLOOKUP(D259,[2]pareto!$D$12:$AX$306,47,0)</f>
        <v>2.2229999999999997E-3</v>
      </c>
      <c r="AD259" s="1" t="s">
        <v>85</v>
      </c>
      <c r="AE259" s="1" t="s">
        <v>86</v>
      </c>
      <c r="AF259" s="19" t="s">
        <v>87</v>
      </c>
      <c r="AG259" s="1" t="s">
        <v>88</v>
      </c>
      <c r="BG259" s="8">
        <f>SUM($BB259,$AI259:AI259)-SUM($BY259:BZ259)</f>
        <v>0</v>
      </c>
      <c r="BH259" s="8">
        <f>SUM($BB259,$AI259:AJ259)-SUM($BY259:CA259)</f>
        <v>0</v>
      </c>
      <c r="BI259" s="8">
        <f>SUM($BB259,$AI259:AK259)-SUM($BY259:CB259)</f>
        <v>0</v>
      </c>
      <c r="BJ259" s="8">
        <f>SUM($BB259,$AI259:AL259)-SUM($BY259:CC259)</f>
        <v>0</v>
      </c>
      <c r="BK259" s="8">
        <f>SUM($BB259,$AI259:AM259)-SUM($BY259:CD259)</f>
        <v>0</v>
      </c>
      <c r="BL259" s="8">
        <f>SUM($BB259,$AI259:AN259)-SUM($BY259:CE259)</f>
        <v>0</v>
      </c>
      <c r="BM259" s="8">
        <f>SUM($BB259,$AI259:AO259)-SUM($BY259:CF259)</f>
        <v>0</v>
      </c>
      <c r="BN259" s="8">
        <f>SUM($BB259,$AI259:AP259)-SUM($BY259:CG259)</f>
        <v>-200</v>
      </c>
      <c r="BO259" s="8">
        <f>SUM($BB259,$AI259:AQ259)-SUM($BY259:CH259)</f>
        <v>-500</v>
      </c>
      <c r="BP259" s="8">
        <f>SUM($BB259,$AI259:AR259)-SUM($BY259:CI259)</f>
        <v>-1000</v>
      </c>
      <c r="BQ259" s="8">
        <f>SUM($BB259,$AI259:AS259)-SUM($BY259:CJ259)</f>
        <v>-1400</v>
      </c>
      <c r="BR259" s="8">
        <f>SUM($BB259,$AI259:AT259)-SUM($BY259:CK259)</f>
        <v>-1800</v>
      </c>
      <c r="BS259" s="8">
        <f>SUM($BB259,$AI259:AU259)-SUM($BY259:CL259)</f>
        <v>-2200</v>
      </c>
      <c r="BT259" s="8">
        <f>SUM($BB259,$AI259:AV259)-SUM($BY259:CM259)</f>
        <v>-2800</v>
      </c>
      <c r="BU259" s="8">
        <f>SUM($BB259,$AI259:AW259)-SUM($BY259:CN259)</f>
        <v>-3320</v>
      </c>
      <c r="BV259" s="8">
        <f>SUM($BB259,$AI259:AX259)-SUM($BY259:CO259)</f>
        <v>-3320</v>
      </c>
      <c r="BW259" s="8">
        <f>SUM($BB259,$AI259:AY259)-SUM($BY259:CP259)</f>
        <v>-3320</v>
      </c>
      <c r="BX259" s="8">
        <f>SUM($BB259,$AI259:AZ259)-SUM($BY259:CQ259)</f>
        <v>-3320</v>
      </c>
      <c r="BY259" s="8" cm="1">
        <f t="array" ref="BY259">SUMPRODUCT(TRANSPOSE(BY$2:BY$15),$I259:$V259)</f>
        <v>0</v>
      </c>
      <c r="BZ259" s="8" cm="1">
        <f t="array" ref="BZ259">SUMPRODUCT(TRANSPOSE(BZ$2:BZ$15),$I259:$V259)</f>
        <v>0</v>
      </c>
      <c r="CA259" s="8" cm="1">
        <f t="array" ref="CA259">SUMPRODUCT(TRANSPOSE(CA$2:CA$15),$I259:$V259)</f>
        <v>0</v>
      </c>
      <c r="CB259" s="8" cm="1">
        <f t="array" ref="CB259">SUMPRODUCT(TRANSPOSE(CB$2:CB$15),$I259:$V259)</f>
        <v>0</v>
      </c>
      <c r="CC259" s="8" cm="1">
        <f t="array" ref="CC259">SUMPRODUCT(TRANSPOSE(CC$2:CC$15),$I259:$V259)</f>
        <v>0</v>
      </c>
      <c r="CD259" s="8" cm="1">
        <f t="array" ref="CD259">SUMPRODUCT(TRANSPOSE(CD$2:CD$15),$I259:$V259)</f>
        <v>0</v>
      </c>
      <c r="CE259" s="8" cm="1">
        <f t="array" ref="CE259">SUMPRODUCT(TRANSPOSE(CE$2:CE$15),$I259:$V259)</f>
        <v>0</v>
      </c>
      <c r="CF259" s="8" cm="1">
        <f t="array" ref="CF259">SUMPRODUCT(TRANSPOSE(CF$2:CF$15),$I259:$V259)</f>
        <v>0</v>
      </c>
      <c r="CG259" s="8" cm="1">
        <f t="array" ref="CG259">SUMPRODUCT(TRANSPOSE(CG$2:CG$15),$I259:$V259)</f>
        <v>200</v>
      </c>
      <c r="CH259" s="8" cm="1">
        <f t="array" ref="CH259">SUMPRODUCT(TRANSPOSE(CH$2:CH$15),$I259:$V259)</f>
        <v>300</v>
      </c>
      <c r="CI259" s="8" cm="1">
        <f t="array" ref="CI259">SUMPRODUCT(TRANSPOSE(CI$2:CI$15),$I259:$V259)</f>
        <v>500</v>
      </c>
      <c r="CJ259" s="8" cm="1">
        <f t="array" ref="CJ259">SUMPRODUCT(TRANSPOSE(CJ$2:CJ$15),$I259:$V259)</f>
        <v>400</v>
      </c>
      <c r="CK259" s="8" cm="1">
        <f t="array" ref="CK259">SUMPRODUCT(TRANSPOSE(CK$2:CK$15),$I259:$V259)</f>
        <v>400</v>
      </c>
      <c r="CL259" s="8" cm="1">
        <f t="array" ref="CL259">SUMPRODUCT(TRANSPOSE(CL$2:CL$15),$I259:$V259)</f>
        <v>400</v>
      </c>
      <c r="CM259" s="8" cm="1">
        <f t="array" ref="CM259">SUMPRODUCT(TRANSPOSE(CM$2:CM$15),$I259:$V259)</f>
        <v>600</v>
      </c>
      <c r="CN259" s="8" cm="1">
        <f t="array" ref="CN259">SUMPRODUCT(TRANSPOSE(CN$2:CN$15),$I259:$V259)</f>
        <v>520</v>
      </c>
      <c r="CO259" s="8" cm="1">
        <f t="array" ref="CO259">SUMPRODUCT(TRANSPOSE(CO$2:CO$15),$I259:$V259)</f>
        <v>0</v>
      </c>
      <c r="CP259" s="8" cm="1">
        <f t="array" ref="CP259">SUMPRODUCT(TRANSPOSE(CP$2:CP$15),$I259:$V259)</f>
        <v>0</v>
      </c>
      <c r="CQ259" s="8" cm="1">
        <f t="array" ref="CQ259">SUMPRODUCT(TRANSPOSE(CQ$2:CQ$15),$I259:$V259)</f>
        <v>0</v>
      </c>
    </row>
    <row r="260" spans="1:95" x14ac:dyDescent="0.25">
      <c r="A260" s="1">
        <v>198</v>
      </c>
      <c r="B260" s="11" t="s">
        <v>654</v>
      </c>
      <c r="C260" s="1" t="s">
        <v>49</v>
      </c>
      <c r="D260" s="1">
        <v>409286444</v>
      </c>
      <c r="E260" s="6" t="str">
        <f>VLOOKUP(D260,FFF!$A$2:$B$674,2,)</f>
        <v>FFF004005</v>
      </c>
      <c r="F260" s="1" t="s">
        <v>655</v>
      </c>
      <c r="G260" s="1" t="s">
        <v>35</v>
      </c>
      <c r="H260" s="1">
        <v>2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2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f>SUMPRODUCT(I260:V260,$I$13:$V$13)</f>
        <v>3320</v>
      </c>
      <c r="X260" s="6">
        <f t="shared" si="5"/>
        <v>4.4459999999999994E-3</v>
      </c>
      <c r="Y260" s="1" t="str">
        <f>VLOOKUP(D260,[1]PARTS!$A$1:$G$65536,7,0)</f>
        <v>VISHAY RESISTIVE SYSTEMS</v>
      </c>
      <c r="Z260" s="1">
        <f>VLOOKUP(D260,[2]pareto!$D$12:$AX$306,44,0)</f>
        <v>5000</v>
      </c>
      <c r="AA260" s="1">
        <f>VLOOKUP(D260,[2]pareto!$D$12:$AX$306,45,0)</f>
        <v>5000</v>
      </c>
      <c r="AB260" s="1">
        <f>CEILING(W260,Z260)</f>
        <v>5000</v>
      </c>
      <c r="AC260" s="1">
        <f>VLOOKUP(D260,[2]pareto!$D$12:$AX$306,47,0)</f>
        <v>2.2229999999999997E-3</v>
      </c>
      <c r="AD260" s="1" t="s">
        <v>85</v>
      </c>
      <c r="AE260" s="1" t="s">
        <v>86</v>
      </c>
      <c r="AF260" s="19" t="s">
        <v>87</v>
      </c>
      <c r="AG260" s="1" t="s">
        <v>88</v>
      </c>
      <c r="BG260" s="8">
        <f>SUM($BB260,$AI260:AI260)-SUM($BY260:BZ260)</f>
        <v>0</v>
      </c>
      <c r="BH260" s="8">
        <f>SUM($BB260,$AI260:AJ260)-SUM($BY260:CA260)</f>
        <v>0</v>
      </c>
      <c r="BI260" s="8">
        <f>SUM($BB260,$AI260:AK260)-SUM($BY260:CB260)</f>
        <v>0</v>
      </c>
      <c r="BJ260" s="8">
        <f>SUM($BB260,$AI260:AL260)-SUM($BY260:CC260)</f>
        <v>0</v>
      </c>
      <c r="BK260" s="8">
        <f>SUM($BB260,$AI260:AM260)-SUM($BY260:CD260)</f>
        <v>0</v>
      </c>
      <c r="BL260" s="8">
        <f>SUM($BB260,$AI260:AN260)-SUM($BY260:CE260)</f>
        <v>0</v>
      </c>
      <c r="BM260" s="8">
        <f>SUM($BB260,$AI260:AO260)-SUM($BY260:CF260)</f>
        <v>0</v>
      </c>
      <c r="BN260" s="8">
        <f>SUM($BB260,$AI260:AP260)-SUM($BY260:CG260)</f>
        <v>-200</v>
      </c>
      <c r="BO260" s="8">
        <f>SUM($BB260,$AI260:AQ260)-SUM($BY260:CH260)</f>
        <v>-500</v>
      </c>
      <c r="BP260" s="8">
        <f>SUM($BB260,$AI260:AR260)-SUM($BY260:CI260)</f>
        <v>-1000</v>
      </c>
      <c r="BQ260" s="8">
        <f>SUM($BB260,$AI260:AS260)-SUM($BY260:CJ260)</f>
        <v>-1400</v>
      </c>
      <c r="BR260" s="8">
        <f>SUM($BB260,$AI260:AT260)-SUM($BY260:CK260)</f>
        <v>-1800</v>
      </c>
      <c r="BS260" s="8">
        <f>SUM($BB260,$AI260:AU260)-SUM($BY260:CL260)</f>
        <v>-2200</v>
      </c>
      <c r="BT260" s="8">
        <f>SUM($BB260,$AI260:AV260)-SUM($BY260:CM260)</f>
        <v>-2800</v>
      </c>
      <c r="BU260" s="8">
        <f>SUM($BB260,$AI260:AW260)-SUM($BY260:CN260)</f>
        <v>-3320</v>
      </c>
      <c r="BV260" s="8">
        <f>SUM($BB260,$AI260:AX260)-SUM($BY260:CO260)</f>
        <v>-3320</v>
      </c>
      <c r="BW260" s="8">
        <f>SUM($BB260,$AI260:AY260)-SUM($BY260:CP260)</f>
        <v>-3320</v>
      </c>
      <c r="BX260" s="8">
        <f>SUM($BB260,$AI260:AZ260)-SUM($BY260:CQ260)</f>
        <v>-3320</v>
      </c>
      <c r="BY260" s="8" cm="1">
        <f t="array" ref="BY260">SUMPRODUCT(TRANSPOSE(BY$2:BY$15),$I260:$V260)</f>
        <v>0</v>
      </c>
      <c r="BZ260" s="8" cm="1">
        <f t="array" ref="BZ260">SUMPRODUCT(TRANSPOSE(BZ$2:BZ$15),$I260:$V260)</f>
        <v>0</v>
      </c>
      <c r="CA260" s="8" cm="1">
        <f t="array" ref="CA260">SUMPRODUCT(TRANSPOSE(CA$2:CA$15),$I260:$V260)</f>
        <v>0</v>
      </c>
      <c r="CB260" s="8" cm="1">
        <f t="array" ref="CB260">SUMPRODUCT(TRANSPOSE(CB$2:CB$15),$I260:$V260)</f>
        <v>0</v>
      </c>
      <c r="CC260" s="8" cm="1">
        <f t="array" ref="CC260">SUMPRODUCT(TRANSPOSE(CC$2:CC$15),$I260:$V260)</f>
        <v>0</v>
      </c>
      <c r="CD260" s="8" cm="1">
        <f t="array" ref="CD260">SUMPRODUCT(TRANSPOSE(CD$2:CD$15),$I260:$V260)</f>
        <v>0</v>
      </c>
      <c r="CE260" s="8" cm="1">
        <f t="array" ref="CE260">SUMPRODUCT(TRANSPOSE(CE$2:CE$15),$I260:$V260)</f>
        <v>0</v>
      </c>
      <c r="CF260" s="8" cm="1">
        <f t="array" ref="CF260">SUMPRODUCT(TRANSPOSE(CF$2:CF$15),$I260:$V260)</f>
        <v>0</v>
      </c>
      <c r="CG260" s="8" cm="1">
        <f t="array" ref="CG260">SUMPRODUCT(TRANSPOSE(CG$2:CG$15),$I260:$V260)</f>
        <v>200</v>
      </c>
      <c r="CH260" s="8" cm="1">
        <f t="array" ref="CH260">SUMPRODUCT(TRANSPOSE(CH$2:CH$15),$I260:$V260)</f>
        <v>300</v>
      </c>
      <c r="CI260" s="8" cm="1">
        <f t="array" ref="CI260">SUMPRODUCT(TRANSPOSE(CI$2:CI$15),$I260:$V260)</f>
        <v>500</v>
      </c>
      <c r="CJ260" s="8" cm="1">
        <f t="array" ref="CJ260">SUMPRODUCT(TRANSPOSE(CJ$2:CJ$15),$I260:$V260)</f>
        <v>400</v>
      </c>
      <c r="CK260" s="8" cm="1">
        <f t="array" ref="CK260">SUMPRODUCT(TRANSPOSE(CK$2:CK$15),$I260:$V260)</f>
        <v>400</v>
      </c>
      <c r="CL260" s="8" cm="1">
        <f t="array" ref="CL260">SUMPRODUCT(TRANSPOSE(CL$2:CL$15),$I260:$V260)</f>
        <v>400</v>
      </c>
      <c r="CM260" s="8" cm="1">
        <f t="array" ref="CM260">SUMPRODUCT(TRANSPOSE(CM$2:CM$15),$I260:$V260)</f>
        <v>600</v>
      </c>
      <c r="CN260" s="8" cm="1">
        <f t="array" ref="CN260">SUMPRODUCT(TRANSPOSE(CN$2:CN$15),$I260:$V260)</f>
        <v>520</v>
      </c>
      <c r="CO260" s="8" cm="1">
        <f t="array" ref="CO260">SUMPRODUCT(TRANSPOSE(CO$2:CO$15),$I260:$V260)</f>
        <v>0</v>
      </c>
      <c r="CP260" s="8" cm="1">
        <f t="array" ref="CP260">SUMPRODUCT(TRANSPOSE(CP$2:CP$15),$I260:$V260)</f>
        <v>0</v>
      </c>
      <c r="CQ260" s="8" cm="1">
        <f t="array" ref="CQ260">SUMPRODUCT(TRANSPOSE(CQ$2:CQ$15),$I260:$V260)</f>
        <v>0</v>
      </c>
    </row>
    <row r="261" spans="1:95" x14ac:dyDescent="0.25">
      <c r="A261" s="1">
        <v>199</v>
      </c>
      <c r="B261" s="11" t="s">
        <v>656</v>
      </c>
      <c r="C261" s="1" t="s">
        <v>49</v>
      </c>
      <c r="D261" s="1">
        <v>401414922</v>
      </c>
      <c r="E261" s="6" t="str">
        <f>VLOOKUP(D261,FFF!$A$2:$B$674,2,)</f>
        <v>FFF004392</v>
      </c>
      <c r="F261" s="1" t="s">
        <v>657</v>
      </c>
      <c r="G261" s="1" t="s">
        <v>35</v>
      </c>
      <c r="H261" s="1">
        <v>2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2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f>SUMPRODUCT(I261:V261,$I$13:$V$13)</f>
        <v>3320</v>
      </c>
      <c r="X261" s="6">
        <f t="shared" si="5"/>
        <v>4.4459999999999994E-3</v>
      </c>
      <c r="Y261" s="1" t="str">
        <f>VLOOKUP(D261,[1]PARTS!$A$1:$G$65536,7,0)</f>
        <v>VISHAY RESISTIVE SYSTEMS</v>
      </c>
      <c r="Z261" s="1">
        <f>VLOOKUP(D261,[2]pareto!$D$12:$AX$306,44,0)</f>
        <v>5000</v>
      </c>
      <c r="AA261" s="1">
        <f>VLOOKUP(D261,[2]pareto!$D$12:$AX$306,45,0)</f>
        <v>5000</v>
      </c>
      <c r="AB261" s="1">
        <f>CEILING(W261,Z261)</f>
        <v>5000</v>
      </c>
      <c r="AC261" s="1">
        <f>VLOOKUP(D261,[2]pareto!$D$12:$AX$306,47,0)</f>
        <v>2.2229999999999997E-3</v>
      </c>
      <c r="AD261" s="1" t="s">
        <v>85</v>
      </c>
      <c r="AE261" s="1" t="s">
        <v>86</v>
      </c>
      <c r="AF261" s="19" t="s">
        <v>87</v>
      </c>
      <c r="AG261" s="1" t="s">
        <v>88</v>
      </c>
      <c r="BG261" s="8">
        <f>SUM($BB261,$AI261:AI261)-SUM($BY261:BZ261)</f>
        <v>0</v>
      </c>
      <c r="BH261" s="8">
        <f>SUM($BB261,$AI261:AJ261)-SUM($BY261:CA261)</f>
        <v>0</v>
      </c>
      <c r="BI261" s="8">
        <f>SUM($BB261,$AI261:AK261)-SUM($BY261:CB261)</f>
        <v>0</v>
      </c>
      <c r="BJ261" s="8">
        <f>SUM($BB261,$AI261:AL261)-SUM($BY261:CC261)</f>
        <v>0</v>
      </c>
      <c r="BK261" s="8">
        <f>SUM($BB261,$AI261:AM261)-SUM($BY261:CD261)</f>
        <v>0</v>
      </c>
      <c r="BL261" s="8">
        <f>SUM($BB261,$AI261:AN261)-SUM($BY261:CE261)</f>
        <v>0</v>
      </c>
      <c r="BM261" s="8">
        <f>SUM($BB261,$AI261:AO261)-SUM($BY261:CF261)</f>
        <v>0</v>
      </c>
      <c r="BN261" s="8">
        <f>SUM($BB261,$AI261:AP261)-SUM($BY261:CG261)</f>
        <v>-200</v>
      </c>
      <c r="BO261" s="8">
        <f>SUM($BB261,$AI261:AQ261)-SUM($BY261:CH261)</f>
        <v>-500</v>
      </c>
      <c r="BP261" s="8">
        <f>SUM($BB261,$AI261:AR261)-SUM($BY261:CI261)</f>
        <v>-1000</v>
      </c>
      <c r="BQ261" s="8">
        <f>SUM($BB261,$AI261:AS261)-SUM($BY261:CJ261)</f>
        <v>-1400</v>
      </c>
      <c r="BR261" s="8">
        <f>SUM($BB261,$AI261:AT261)-SUM($BY261:CK261)</f>
        <v>-1800</v>
      </c>
      <c r="BS261" s="8">
        <f>SUM($BB261,$AI261:AU261)-SUM($BY261:CL261)</f>
        <v>-2200</v>
      </c>
      <c r="BT261" s="8">
        <f>SUM($BB261,$AI261:AV261)-SUM($BY261:CM261)</f>
        <v>-2800</v>
      </c>
      <c r="BU261" s="8">
        <f>SUM($BB261,$AI261:AW261)-SUM($BY261:CN261)</f>
        <v>-3320</v>
      </c>
      <c r="BV261" s="8">
        <f>SUM($BB261,$AI261:AX261)-SUM($BY261:CO261)</f>
        <v>-3320</v>
      </c>
      <c r="BW261" s="8">
        <f>SUM($BB261,$AI261:AY261)-SUM($BY261:CP261)</f>
        <v>-3320</v>
      </c>
      <c r="BX261" s="8">
        <f>SUM($BB261,$AI261:AZ261)-SUM($BY261:CQ261)</f>
        <v>-3320</v>
      </c>
      <c r="BY261" s="8" cm="1">
        <f t="array" ref="BY261">SUMPRODUCT(TRANSPOSE(BY$2:BY$15),$I261:$V261)</f>
        <v>0</v>
      </c>
      <c r="BZ261" s="8" cm="1">
        <f t="array" ref="BZ261">SUMPRODUCT(TRANSPOSE(BZ$2:BZ$15),$I261:$V261)</f>
        <v>0</v>
      </c>
      <c r="CA261" s="8" cm="1">
        <f t="array" ref="CA261">SUMPRODUCT(TRANSPOSE(CA$2:CA$15),$I261:$V261)</f>
        <v>0</v>
      </c>
      <c r="CB261" s="8" cm="1">
        <f t="array" ref="CB261">SUMPRODUCT(TRANSPOSE(CB$2:CB$15),$I261:$V261)</f>
        <v>0</v>
      </c>
      <c r="CC261" s="8" cm="1">
        <f t="array" ref="CC261">SUMPRODUCT(TRANSPOSE(CC$2:CC$15),$I261:$V261)</f>
        <v>0</v>
      </c>
      <c r="CD261" s="8" cm="1">
        <f t="array" ref="CD261">SUMPRODUCT(TRANSPOSE(CD$2:CD$15),$I261:$V261)</f>
        <v>0</v>
      </c>
      <c r="CE261" s="8" cm="1">
        <f t="array" ref="CE261">SUMPRODUCT(TRANSPOSE(CE$2:CE$15),$I261:$V261)</f>
        <v>0</v>
      </c>
      <c r="CF261" s="8" cm="1">
        <f t="array" ref="CF261">SUMPRODUCT(TRANSPOSE(CF$2:CF$15),$I261:$V261)</f>
        <v>0</v>
      </c>
      <c r="CG261" s="8" cm="1">
        <f t="array" ref="CG261">SUMPRODUCT(TRANSPOSE(CG$2:CG$15),$I261:$V261)</f>
        <v>200</v>
      </c>
      <c r="CH261" s="8" cm="1">
        <f t="array" ref="CH261">SUMPRODUCT(TRANSPOSE(CH$2:CH$15),$I261:$V261)</f>
        <v>300</v>
      </c>
      <c r="CI261" s="8" cm="1">
        <f t="array" ref="CI261">SUMPRODUCT(TRANSPOSE(CI$2:CI$15),$I261:$V261)</f>
        <v>500</v>
      </c>
      <c r="CJ261" s="8" cm="1">
        <f t="array" ref="CJ261">SUMPRODUCT(TRANSPOSE(CJ$2:CJ$15),$I261:$V261)</f>
        <v>400</v>
      </c>
      <c r="CK261" s="8" cm="1">
        <f t="array" ref="CK261">SUMPRODUCT(TRANSPOSE(CK$2:CK$15),$I261:$V261)</f>
        <v>400</v>
      </c>
      <c r="CL261" s="8" cm="1">
        <f t="array" ref="CL261">SUMPRODUCT(TRANSPOSE(CL$2:CL$15),$I261:$V261)</f>
        <v>400</v>
      </c>
      <c r="CM261" s="8" cm="1">
        <f t="array" ref="CM261">SUMPRODUCT(TRANSPOSE(CM$2:CM$15),$I261:$V261)</f>
        <v>600</v>
      </c>
      <c r="CN261" s="8" cm="1">
        <f t="array" ref="CN261">SUMPRODUCT(TRANSPOSE(CN$2:CN$15),$I261:$V261)</f>
        <v>520</v>
      </c>
      <c r="CO261" s="8" cm="1">
        <f t="array" ref="CO261">SUMPRODUCT(TRANSPOSE(CO$2:CO$15),$I261:$V261)</f>
        <v>0</v>
      </c>
      <c r="CP261" s="8" cm="1">
        <f t="array" ref="CP261">SUMPRODUCT(TRANSPOSE(CP$2:CP$15),$I261:$V261)</f>
        <v>0</v>
      </c>
      <c r="CQ261" s="8" cm="1">
        <f t="array" ref="CQ261">SUMPRODUCT(TRANSPOSE(CQ$2:CQ$15),$I261:$V261)</f>
        <v>0</v>
      </c>
    </row>
    <row r="262" spans="1:95" x14ac:dyDescent="0.25">
      <c r="A262" s="1">
        <v>163</v>
      </c>
      <c r="B262" s="11" t="s">
        <v>658</v>
      </c>
      <c r="C262" s="1" t="s">
        <v>49</v>
      </c>
      <c r="D262" s="1">
        <v>401246030</v>
      </c>
      <c r="E262" s="6">
        <f>VLOOKUP(D262,FFF!$A$2:$B$674,2,)</f>
        <v>400275761</v>
      </c>
      <c r="F262" s="1" t="s">
        <v>659</v>
      </c>
      <c r="G262" s="1" t="s">
        <v>35</v>
      </c>
      <c r="H262" s="1">
        <v>2</v>
      </c>
      <c r="I262" s="1">
        <v>0</v>
      </c>
      <c r="J262" s="1">
        <v>0</v>
      </c>
      <c r="K262" s="1">
        <v>0</v>
      </c>
      <c r="L262" s="1">
        <v>0</v>
      </c>
      <c r="M262" s="1">
        <v>1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1</v>
      </c>
      <c r="W262" s="1">
        <f>SUMPRODUCT(I262:V262,$I$13:$V$13)</f>
        <v>3210</v>
      </c>
      <c r="X262" s="6">
        <f t="shared" si="5"/>
        <v>3.9779999999999998E-3</v>
      </c>
      <c r="Y262" s="1" t="str">
        <f>VLOOKUP(D262,[1]PARTS!$A$1:$G$65536,7,0)</f>
        <v>VISHAY RESISTIVE SYSTEMS</v>
      </c>
      <c r="Z262" s="1">
        <f>VLOOKUP(D262,[2]pareto!$D$12:$AX$306,44,0)</f>
        <v>10000</v>
      </c>
      <c r="AA262" s="1">
        <f>VLOOKUP(D262,[2]pareto!$D$12:$AX$306,45,0)</f>
        <v>10000</v>
      </c>
      <c r="AB262" s="1">
        <f>CEILING(W262,Z262)</f>
        <v>10000</v>
      </c>
      <c r="AC262" s="1">
        <f>VLOOKUP(D262,[2]pareto!$D$12:$AX$306,47,0)</f>
        <v>1.9889999999999999E-3</v>
      </c>
      <c r="AD262" s="1" t="s">
        <v>85</v>
      </c>
      <c r="AE262" s="1" t="s">
        <v>86</v>
      </c>
      <c r="AF262" s="19" t="s">
        <v>87</v>
      </c>
      <c r="AG262" s="1" t="s">
        <v>88</v>
      </c>
      <c r="BG262" s="8">
        <f>SUM($BB262,$AI262:AI262)-SUM($BY262:BZ262)</f>
        <v>0</v>
      </c>
      <c r="BH262" s="8">
        <f>SUM($BB262,$AI262:AJ262)-SUM($BY262:CA262)</f>
        <v>0</v>
      </c>
      <c r="BI262" s="8">
        <f>SUM($BB262,$AI262:AK262)-SUM($BY262:CB262)</f>
        <v>0</v>
      </c>
      <c r="BJ262" s="8">
        <f>SUM($BB262,$AI262:AL262)-SUM($BY262:CC262)</f>
        <v>0</v>
      </c>
      <c r="BK262" s="8">
        <f>SUM($BB262,$AI262:AM262)-SUM($BY262:CD262)</f>
        <v>0</v>
      </c>
      <c r="BL262" s="8">
        <f>SUM($BB262,$AI262:AN262)-SUM($BY262:CE262)</f>
        <v>0</v>
      </c>
      <c r="BM262" s="8">
        <f>SUM($BB262,$AI262:AO262)-SUM($BY262:CF262)</f>
        <v>0</v>
      </c>
      <c r="BN262" s="8">
        <f>SUM($BB262,$AI262:AP262)-SUM($BY262:CG262)</f>
        <v>-100</v>
      </c>
      <c r="BO262" s="8">
        <f>SUM($BB262,$AI262:AQ262)-SUM($BY262:CH262)</f>
        <v>-350</v>
      </c>
      <c r="BP262" s="8">
        <f>SUM($BB262,$AI262:AR262)-SUM($BY262:CI262)</f>
        <v>-750</v>
      </c>
      <c r="BQ262" s="8">
        <f>SUM($BB262,$AI262:AS262)-SUM($BY262:CJ262)</f>
        <v>-1220</v>
      </c>
      <c r="BR262" s="8">
        <f>SUM($BB262,$AI262:AT262)-SUM($BY262:CK262)</f>
        <v>-1620</v>
      </c>
      <c r="BS262" s="8">
        <f>SUM($BB262,$AI262:AU262)-SUM($BY262:CL262)</f>
        <v>-1970</v>
      </c>
      <c r="BT262" s="8">
        <f>SUM($BB262,$AI262:AV262)-SUM($BY262:CM262)</f>
        <v>-2410</v>
      </c>
      <c r="BU262" s="8">
        <f>SUM($BB262,$AI262:AW262)-SUM($BY262:CN262)</f>
        <v>-2950</v>
      </c>
      <c r="BV262" s="8">
        <f>SUM($BB262,$AI262:AX262)-SUM($BY262:CO262)</f>
        <v>-3210</v>
      </c>
      <c r="BW262" s="8">
        <f>SUM($BB262,$AI262:AY262)-SUM($BY262:CP262)</f>
        <v>-3210</v>
      </c>
      <c r="BX262" s="8">
        <f>SUM($BB262,$AI262:AZ262)-SUM($BY262:CQ262)</f>
        <v>-3210</v>
      </c>
      <c r="BY262" s="8" cm="1">
        <f t="array" ref="BY262">SUMPRODUCT(TRANSPOSE(BY$2:BY$15),$I262:$V262)</f>
        <v>0</v>
      </c>
      <c r="BZ262" s="8" cm="1">
        <f t="array" ref="BZ262">SUMPRODUCT(TRANSPOSE(BZ$2:BZ$15),$I262:$V262)</f>
        <v>0</v>
      </c>
      <c r="CA262" s="8" cm="1">
        <f t="array" ref="CA262">SUMPRODUCT(TRANSPOSE(CA$2:CA$15),$I262:$V262)</f>
        <v>0</v>
      </c>
      <c r="CB262" s="8" cm="1">
        <f t="array" ref="CB262">SUMPRODUCT(TRANSPOSE(CB$2:CB$15),$I262:$V262)</f>
        <v>0</v>
      </c>
      <c r="CC262" s="8" cm="1">
        <f t="array" ref="CC262">SUMPRODUCT(TRANSPOSE(CC$2:CC$15),$I262:$V262)</f>
        <v>0</v>
      </c>
      <c r="CD262" s="8" cm="1">
        <f t="array" ref="CD262">SUMPRODUCT(TRANSPOSE(CD$2:CD$15),$I262:$V262)</f>
        <v>0</v>
      </c>
      <c r="CE262" s="8" cm="1">
        <f t="array" ref="CE262">SUMPRODUCT(TRANSPOSE(CE$2:CE$15),$I262:$V262)</f>
        <v>0</v>
      </c>
      <c r="CF262" s="8" cm="1">
        <f t="array" ref="CF262">SUMPRODUCT(TRANSPOSE(CF$2:CF$15),$I262:$V262)</f>
        <v>0</v>
      </c>
      <c r="CG262" s="8" cm="1">
        <f t="array" ref="CG262">SUMPRODUCT(TRANSPOSE(CG$2:CG$15),$I262:$V262)</f>
        <v>100</v>
      </c>
      <c r="CH262" s="8" cm="1">
        <f t="array" ref="CH262">SUMPRODUCT(TRANSPOSE(CH$2:CH$15),$I262:$V262)</f>
        <v>250</v>
      </c>
      <c r="CI262" s="8" cm="1">
        <f t="array" ref="CI262">SUMPRODUCT(TRANSPOSE(CI$2:CI$15),$I262:$V262)</f>
        <v>400</v>
      </c>
      <c r="CJ262" s="8" cm="1">
        <f t="array" ref="CJ262">SUMPRODUCT(TRANSPOSE(CJ$2:CJ$15),$I262:$V262)</f>
        <v>470</v>
      </c>
      <c r="CK262" s="8" cm="1">
        <f t="array" ref="CK262">SUMPRODUCT(TRANSPOSE(CK$2:CK$15),$I262:$V262)</f>
        <v>400</v>
      </c>
      <c r="CL262" s="8" cm="1">
        <f t="array" ref="CL262">SUMPRODUCT(TRANSPOSE(CL$2:CL$15),$I262:$V262)</f>
        <v>350</v>
      </c>
      <c r="CM262" s="8" cm="1">
        <f t="array" ref="CM262">SUMPRODUCT(TRANSPOSE(CM$2:CM$15),$I262:$V262)</f>
        <v>440</v>
      </c>
      <c r="CN262" s="8" cm="1">
        <f t="array" ref="CN262">SUMPRODUCT(TRANSPOSE(CN$2:CN$15),$I262:$V262)</f>
        <v>540</v>
      </c>
      <c r="CO262" s="8" cm="1">
        <f t="array" ref="CO262">SUMPRODUCT(TRANSPOSE(CO$2:CO$15),$I262:$V262)</f>
        <v>260</v>
      </c>
      <c r="CP262" s="8" cm="1">
        <f t="array" ref="CP262">SUMPRODUCT(TRANSPOSE(CP$2:CP$15),$I262:$V262)</f>
        <v>0</v>
      </c>
      <c r="CQ262" s="8" cm="1">
        <f t="array" ref="CQ262">SUMPRODUCT(TRANSPOSE(CQ$2:CQ$15),$I262:$V262)</f>
        <v>0</v>
      </c>
    </row>
    <row r="263" spans="1:95" x14ac:dyDescent="0.25">
      <c r="A263" s="1">
        <v>164</v>
      </c>
      <c r="B263" s="11" t="s">
        <v>660</v>
      </c>
      <c r="C263" s="1" t="s">
        <v>49</v>
      </c>
      <c r="D263" s="1">
        <v>401308902</v>
      </c>
      <c r="E263" s="6">
        <f>VLOOKUP(D263,FFF!$A$2:$B$674,2,)</f>
        <v>400275589</v>
      </c>
      <c r="F263" s="1" t="s">
        <v>661</v>
      </c>
      <c r="G263" s="1" t="s">
        <v>35</v>
      </c>
      <c r="H263" s="1">
        <v>2</v>
      </c>
      <c r="I263" s="1">
        <v>0</v>
      </c>
      <c r="J263" s="1">
        <v>0</v>
      </c>
      <c r="K263" s="1">
        <v>0</v>
      </c>
      <c r="L263" s="1">
        <v>0</v>
      </c>
      <c r="M263" s="1">
        <v>1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1</v>
      </c>
      <c r="W263" s="1">
        <f>SUMPRODUCT(I263:V263,$I$13:$V$13)</f>
        <v>3210</v>
      </c>
      <c r="X263" s="6">
        <f t="shared" si="5"/>
        <v>3.9779999999999998E-3</v>
      </c>
      <c r="Y263" s="1" t="str">
        <f>VLOOKUP(D263,[1]PARTS!$A$1:$G$65536,7,0)</f>
        <v>VISHAY DALE ELECTRONICS</v>
      </c>
      <c r="Z263" s="1">
        <f>VLOOKUP(D263,[2]pareto!$D$12:$AX$306,44,0)</f>
        <v>10000</v>
      </c>
      <c r="AA263" s="1">
        <f>VLOOKUP(D263,[2]pareto!$D$12:$AX$306,45,0)</f>
        <v>10000</v>
      </c>
      <c r="AB263" s="1">
        <f>CEILING(W263,Z263)</f>
        <v>10000</v>
      </c>
      <c r="AC263" s="1">
        <f>VLOOKUP(D263,[2]pareto!$D$12:$AX$306,47,0)</f>
        <v>1.9889999999999999E-3</v>
      </c>
      <c r="AD263" s="1" t="s">
        <v>85</v>
      </c>
      <c r="AE263" s="1" t="s">
        <v>86</v>
      </c>
      <c r="AF263" s="19" t="s">
        <v>87</v>
      </c>
      <c r="AG263" s="1" t="s">
        <v>88</v>
      </c>
      <c r="BG263" s="8">
        <f>SUM($BB263,$AI263:AI263)-SUM($BY263:BZ263)</f>
        <v>0</v>
      </c>
      <c r="BH263" s="8">
        <f>SUM($BB263,$AI263:AJ263)-SUM($BY263:CA263)</f>
        <v>0</v>
      </c>
      <c r="BI263" s="8">
        <f>SUM($BB263,$AI263:AK263)-SUM($BY263:CB263)</f>
        <v>0</v>
      </c>
      <c r="BJ263" s="8">
        <f>SUM($BB263,$AI263:AL263)-SUM($BY263:CC263)</f>
        <v>0</v>
      </c>
      <c r="BK263" s="8">
        <f>SUM($BB263,$AI263:AM263)-SUM($BY263:CD263)</f>
        <v>0</v>
      </c>
      <c r="BL263" s="8">
        <f>SUM($BB263,$AI263:AN263)-SUM($BY263:CE263)</f>
        <v>0</v>
      </c>
      <c r="BM263" s="8">
        <f>SUM($BB263,$AI263:AO263)-SUM($BY263:CF263)</f>
        <v>0</v>
      </c>
      <c r="BN263" s="8">
        <f>SUM($BB263,$AI263:AP263)-SUM($BY263:CG263)</f>
        <v>-100</v>
      </c>
      <c r="BO263" s="8">
        <f>SUM($BB263,$AI263:AQ263)-SUM($BY263:CH263)</f>
        <v>-350</v>
      </c>
      <c r="BP263" s="8">
        <f>SUM($BB263,$AI263:AR263)-SUM($BY263:CI263)</f>
        <v>-750</v>
      </c>
      <c r="BQ263" s="8">
        <f>SUM($BB263,$AI263:AS263)-SUM($BY263:CJ263)</f>
        <v>-1220</v>
      </c>
      <c r="BR263" s="8">
        <f>SUM($BB263,$AI263:AT263)-SUM($BY263:CK263)</f>
        <v>-1620</v>
      </c>
      <c r="BS263" s="8">
        <f>SUM($BB263,$AI263:AU263)-SUM($BY263:CL263)</f>
        <v>-1970</v>
      </c>
      <c r="BT263" s="8">
        <f>SUM($BB263,$AI263:AV263)-SUM($BY263:CM263)</f>
        <v>-2410</v>
      </c>
      <c r="BU263" s="8">
        <f>SUM($BB263,$AI263:AW263)-SUM($BY263:CN263)</f>
        <v>-2950</v>
      </c>
      <c r="BV263" s="8">
        <f>SUM($BB263,$AI263:AX263)-SUM($BY263:CO263)</f>
        <v>-3210</v>
      </c>
      <c r="BW263" s="8">
        <f>SUM($BB263,$AI263:AY263)-SUM($BY263:CP263)</f>
        <v>-3210</v>
      </c>
      <c r="BX263" s="8">
        <f>SUM($BB263,$AI263:AZ263)-SUM($BY263:CQ263)</f>
        <v>-3210</v>
      </c>
      <c r="BY263" s="8" cm="1">
        <f t="array" ref="BY263">SUMPRODUCT(TRANSPOSE(BY$2:BY$15),$I263:$V263)</f>
        <v>0</v>
      </c>
      <c r="BZ263" s="8" cm="1">
        <f t="array" ref="BZ263">SUMPRODUCT(TRANSPOSE(BZ$2:BZ$15),$I263:$V263)</f>
        <v>0</v>
      </c>
      <c r="CA263" s="8" cm="1">
        <f t="array" ref="CA263">SUMPRODUCT(TRANSPOSE(CA$2:CA$15),$I263:$V263)</f>
        <v>0</v>
      </c>
      <c r="CB263" s="8" cm="1">
        <f t="array" ref="CB263">SUMPRODUCT(TRANSPOSE(CB$2:CB$15),$I263:$V263)</f>
        <v>0</v>
      </c>
      <c r="CC263" s="8" cm="1">
        <f t="array" ref="CC263">SUMPRODUCT(TRANSPOSE(CC$2:CC$15),$I263:$V263)</f>
        <v>0</v>
      </c>
      <c r="CD263" s="8" cm="1">
        <f t="array" ref="CD263">SUMPRODUCT(TRANSPOSE(CD$2:CD$15),$I263:$V263)</f>
        <v>0</v>
      </c>
      <c r="CE263" s="8" cm="1">
        <f t="array" ref="CE263">SUMPRODUCT(TRANSPOSE(CE$2:CE$15),$I263:$V263)</f>
        <v>0</v>
      </c>
      <c r="CF263" s="8" cm="1">
        <f t="array" ref="CF263">SUMPRODUCT(TRANSPOSE(CF$2:CF$15),$I263:$V263)</f>
        <v>0</v>
      </c>
      <c r="CG263" s="8" cm="1">
        <f t="array" ref="CG263">SUMPRODUCT(TRANSPOSE(CG$2:CG$15),$I263:$V263)</f>
        <v>100</v>
      </c>
      <c r="CH263" s="8" cm="1">
        <f t="array" ref="CH263">SUMPRODUCT(TRANSPOSE(CH$2:CH$15),$I263:$V263)</f>
        <v>250</v>
      </c>
      <c r="CI263" s="8" cm="1">
        <f t="array" ref="CI263">SUMPRODUCT(TRANSPOSE(CI$2:CI$15),$I263:$V263)</f>
        <v>400</v>
      </c>
      <c r="CJ263" s="8" cm="1">
        <f t="array" ref="CJ263">SUMPRODUCT(TRANSPOSE(CJ$2:CJ$15),$I263:$V263)</f>
        <v>470</v>
      </c>
      <c r="CK263" s="8" cm="1">
        <f t="array" ref="CK263">SUMPRODUCT(TRANSPOSE(CK$2:CK$15),$I263:$V263)</f>
        <v>400</v>
      </c>
      <c r="CL263" s="8" cm="1">
        <f t="array" ref="CL263">SUMPRODUCT(TRANSPOSE(CL$2:CL$15),$I263:$V263)</f>
        <v>350</v>
      </c>
      <c r="CM263" s="8" cm="1">
        <f t="array" ref="CM263">SUMPRODUCT(TRANSPOSE(CM$2:CM$15),$I263:$V263)</f>
        <v>440</v>
      </c>
      <c r="CN263" s="8" cm="1">
        <f t="array" ref="CN263">SUMPRODUCT(TRANSPOSE(CN$2:CN$15),$I263:$V263)</f>
        <v>540</v>
      </c>
      <c r="CO263" s="8" cm="1">
        <f t="array" ref="CO263">SUMPRODUCT(TRANSPOSE(CO$2:CO$15),$I263:$V263)</f>
        <v>260</v>
      </c>
      <c r="CP263" s="8" cm="1">
        <f t="array" ref="CP263">SUMPRODUCT(TRANSPOSE(CP$2:CP$15),$I263:$V263)</f>
        <v>0</v>
      </c>
      <c r="CQ263" s="8" cm="1">
        <f t="array" ref="CQ263">SUMPRODUCT(TRANSPOSE(CQ$2:CQ$15),$I263:$V263)</f>
        <v>0</v>
      </c>
    </row>
    <row r="264" spans="1:95" x14ac:dyDescent="0.25">
      <c r="A264" s="1">
        <v>152</v>
      </c>
      <c r="B264" s="11" t="s">
        <v>662</v>
      </c>
      <c r="C264" s="1" t="s">
        <v>49</v>
      </c>
      <c r="D264" s="1">
        <v>401281030</v>
      </c>
      <c r="E264" s="6">
        <f>VLOOKUP(D264,FFF!$A$2:$B$674,2,)</f>
        <v>400294083</v>
      </c>
      <c r="F264" s="1" t="s">
        <v>663</v>
      </c>
      <c r="G264" s="1" t="s">
        <v>35</v>
      </c>
      <c r="H264" s="1">
        <v>2</v>
      </c>
      <c r="I264" s="1">
        <v>0</v>
      </c>
      <c r="J264" s="1">
        <v>0</v>
      </c>
      <c r="K264" s="1">
        <v>0</v>
      </c>
      <c r="L264" s="1">
        <v>0</v>
      </c>
      <c r="M264" s="1">
        <v>1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1</v>
      </c>
      <c r="W264" s="1">
        <f>SUMPRODUCT(I264:V264,$I$13:$V$13)</f>
        <v>3210</v>
      </c>
      <c r="X264" s="6">
        <f t="shared" si="5"/>
        <v>2.8079999999999997E-3</v>
      </c>
      <c r="Y264" s="1" t="str">
        <f>VLOOKUP(D264,[1]PARTS!$A$1:$G$65536,7,0)</f>
        <v>VISHAY RESISTIVE SYSTEMS</v>
      </c>
      <c r="Z264" s="1">
        <f>VLOOKUP(D264,[2]pareto!$D$12:$AX$306,44,0)</f>
        <v>10000</v>
      </c>
      <c r="AA264" s="1">
        <f>VLOOKUP(D264,[2]pareto!$D$12:$AX$306,45,0)</f>
        <v>10000</v>
      </c>
      <c r="AB264" s="1">
        <f>CEILING(W264,Z264)</f>
        <v>10000</v>
      </c>
      <c r="AC264" s="1">
        <f>VLOOKUP(D264,[2]pareto!$D$12:$AX$306,47,0)</f>
        <v>1.4039999999999999E-3</v>
      </c>
      <c r="AD264" s="1" t="s">
        <v>85</v>
      </c>
      <c r="AE264" s="1" t="s">
        <v>86</v>
      </c>
      <c r="AF264" s="19" t="s">
        <v>87</v>
      </c>
      <c r="AG264" s="1" t="s">
        <v>88</v>
      </c>
      <c r="BG264" s="8">
        <f>SUM($BB264,$AI264:AI264)-SUM($BY264:BZ264)</f>
        <v>0</v>
      </c>
      <c r="BH264" s="8">
        <f>SUM($BB264,$AI264:AJ264)-SUM($BY264:CA264)</f>
        <v>0</v>
      </c>
      <c r="BI264" s="8">
        <f>SUM($BB264,$AI264:AK264)-SUM($BY264:CB264)</f>
        <v>0</v>
      </c>
      <c r="BJ264" s="8">
        <f>SUM($BB264,$AI264:AL264)-SUM($BY264:CC264)</f>
        <v>0</v>
      </c>
      <c r="BK264" s="8">
        <f>SUM($BB264,$AI264:AM264)-SUM($BY264:CD264)</f>
        <v>0</v>
      </c>
      <c r="BL264" s="8">
        <f>SUM($BB264,$AI264:AN264)-SUM($BY264:CE264)</f>
        <v>0</v>
      </c>
      <c r="BM264" s="8">
        <f>SUM($BB264,$AI264:AO264)-SUM($BY264:CF264)</f>
        <v>0</v>
      </c>
      <c r="BN264" s="8">
        <f>SUM($BB264,$AI264:AP264)-SUM($BY264:CG264)</f>
        <v>-100</v>
      </c>
      <c r="BO264" s="8">
        <f>SUM($BB264,$AI264:AQ264)-SUM($BY264:CH264)</f>
        <v>-350</v>
      </c>
      <c r="BP264" s="8">
        <f>SUM($BB264,$AI264:AR264)-SUM($BY264:CI264)</f>
        <v>-750</v>
      </c>
      <c r="BQ264" s="8">
        <f>SUM($BB264,$AI264:AS264)-SUM($BY264:CJ264)</f>
        <v>-1220</v>
      </c>
      <c r="BR264" s="8">
        <f>SUM($BB264,$AI264:AT264)-SUM($BY264:CK264)</f>
        <v>-1620</v>
      </c>
      <c r="BS264" s="8">
        <f>SUM($BB264,$AI264:AU264)-SUM($BY264:CL264)</f>
        <v>-1970</v>
      </c>
      <c r="BT264" s="8">
        <f>SUM($BB264,$AI264:AV264)-SUM($BY264:CM264)</f>
        <v>-2410</v>
      </c>
      <c r="BU264" s="8">
        <f>SUM($BB264,$AI264:AW264)-SUM($BY264:CN264)</f>
        <v>-2950</v>
      </c>
      <c r="BV264" s="8">
        <f>SUM($BB264,$AI264:AX264)-SUM($BY264:CO264)</f>
        <v>-3210</v>
      </c>
      <c r="BW264" s="8">
        <f>SUM($BB264,$AI264:AY264)-SUM($BY264:CP264)</f>
        <v>-3210</v>
      </c>
      <c r="BX264" s="8">
        <f>SUM($BB264,$AI264:AZ264)-SUM($BY264:CQ264)</f>
        <v>-3210</v>
      </c>
      <c r="BY264" s="8" cm="1">
        <f t="array" ref="BY264">SUMPRODUCT(TRANSPOSE(BY$2:BY$15),$I264:$V264)</f>
        <v>0</v>
      </c>
      <c r="BZ264" s="8" cm="1">
        <f t="array" ref="BZ264">SUMPRODUCT(TRANSPOSE(BZ$2:BZ$15),$I264:$V264)</f>
        <v>0</v>
      </c>
      <c r="CA264" s="8" cm="1">
        <f t="array" ref="CA264">SUMPRODUCT(TRANSPOSE(CA$2:CA$15),$I264:$V264)</f>
        <v>0</v>
      </c>
      <c r="CB264" s="8" cm="1">
        <f t="array" ref="CB264">SUMPRODUCT(TRANSPOSE(CB$2:CB$15),$I264:$V264)</f>
        <v>0</v>
      </c>
      <c r="CC264" s="8" cm="1">
        <f t="array" ref="CC264">SUMPRODUCT(TRANSPOSE(CC$2:CC$15),$I264:$V264)</f>
        <v>0</v>
      </c>
      <c r="CD264" s="8" cm="1">
        <f t="array" ref="CD264">SUMPRODUCT(TRANSPOSE(CD$2:CD$15),$I264:$V264)</f>
        <v>0</v>
      </c>
      <c r="CE264" s="8" cm="1">
        <f t="array" ref="CE264">SUMPRODUCT(TRANSPOSE(CE$2:CE$15),$I264:$V264)</f>
        <v>0</v>
      </c>
      <c r="CF264" s="8" cm="1">
        <f t="array" ref="CF264">SUMPRODUCT(TRANSPOSE(CF$2:CF$15),$I264:$V264)</f>
        <v>0</v>
      </c>
      <c r="CG264" s="8" cm="1">
        <f t="array" ref="CG264">SUMPRODUCT(TRANSPOSE(CG$2:CG$15),$I264:$V264)</f>
        <v>100</v>
      </c>
      <c r="CH264" s="8" cm="1">
        <f t="array" ref="CH264">SUMPRODUCT(TRANSPOSE(CH$2:CH$15),$I264:$V264)</f>
        <v>250</v>
      </c>
      <c r="CI264" s="8" cm="1">
        <f t="array" ref="CI264">SUMPRODUCT(TRANSPOSE(CI$2:CI$15),$I264:$V264)</f>
        <v>400</v>
      </c>
      <c r="CJ264" s="8" cm="1">
        <f t="array" ref="CJ264">SUMPRODUCT(TRANSPOSE(CJ$2:CJ$15),$I264:$V264)</f>
        <v>470</v>
      </c>
      <c r="CK264" s="8" cm="1">
        <f t="array" ref="CK264">SUMPRODUCT(TRANSPOSE(CK$2:CK$15),$I264:$V264)</f>
        <v>400</v>
      </c>
      <c r="CL264" s="8" cm="1">
        <f t="array" ref="CL264">SUMPRODUCT(TRANSPOSE(CL$2:CL$15),$I264:$V264)</f>
        <v>350</v>
      </c>
      <c r="CM264" s="8" cm="1">
        <f t="array" ref="CM264">SUMPRODUCT(TRANSPOSE(CM$2:CM$15),$I264:$V264)</f>
        <v>440</v>
      </c>
      <c r="CN264" s="8" cm="1">
        <f t="array" ref="CN264">SUMPRODUCT(TRANSPOSE(CN$2:CN$15),$I264:$V264)</f>
        <v>540</v>
      </c>
      <c r="CO264" s="8" cm="1">
        <f t="array" ref="CO264">SUMPRODUCT(TRANSPOSE(CO$2:CO$15),$I264:$V264)</f>
        <v>260</v>
      </c>
      <c r="CP264" s="8" cm="1">
        <f t="array" ref="CP264">SUMPRODUCT(TRANSPOSE(CP$2:CP$15),$I264:$V264)</f>
        <v>0</v>
      </c>
      <c r="CQ264" s="8" cm="1">
        <f t="array" ref="CQ264">SUMPRODUCT(TRANSPOSE(CQ$2:CQ$15),$I264:$V264)</f>
        <v>0</v>
      </c>
    </row>
    <row r="265" spans="1:95" x14ac:dyDescent="0.25">
      <c r="A265" s="1">
        <v>155</v>
      </c>
      <c r="B265" s="11" t="s">
        <v>664</v>
      </c>
      <c r="C265" s="1" t="s">
        <v>49</v>
      </c>
      <c r="D265" s="1">
        <v>401234957</v>
      </c>
      <c r="E265" s="6">
        <f>VLOOKUP(D265,FFF!$A$2:$B$674,2,)</f>
        <v>400275219</v>
      </c>
      <c r="F265" s="1" t="s">
        <v>665</v>
      </c>
      <c r="G265" s="1" t="s">
        <v>35</v>
      </c>
      <c r="H265" s="1">
        <v>2</v>
      </c>
      <c r="I265" s="1">
        <v>0</v>
      </c>
      <c r="J265" s="1">
        <v>0</v>
      </c>
      <c r="K265" s="1">
        <v>0</v>
      </c>
      <c r="L265" s="1">
        <v>0</v>
      </c>
      <c r="M265" s="1">
        <v>1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1</v>
      </c>
      <c r="W265" s="1">
        <f>SUMPRODUCT(I265:V265,$I$13:$V$13)</f>
        <v>3210</v>
      </c>
      <c r="X265" s="6">
        <f t="shared" si="5"/>
        <v>2.8079999999999997E-3</v>
      </c>
      <c r="Y265" s="1" t="str">
        <f>VLOOKUP(D265,[1]PARTS!$A$1:$G$65536,7,0)</f>
        <v>VISHAY RESISTIVE SYSTEMS</v>
      </c>
      <c r="Z265" s="1">
        <f>VLOOKUP(D265,[2]pareto!$D$12:$AX$306,44,0)</f>
        <v>10000</v>
      </c>
      <c r="AA265" s="1">
        <f>VLOOKUP(D265,[2]pareto!$D$12:$AX$306,45,0)</f>
        <v>10000</v>
      </c>
      <c r="AB265" s="1">
        <f>CEILING(W265,Z265)</f>
        <v>10000</v>
      </c>
      <c r="AC265" s="1">
        <f>VLOOKUP(D265,[2]pareto!$D$12:$AX$306,47,0)</f>
        <v>1.4039999999999999E-3</v>
      </c>
      <c r="AD265" s="1" t="s">
        <v>85</v>
      </c>
      <c r="AE265" s="1" t="s">
        <v>86</v>
      </c>
      <c r="AF265" s="19" t="s">
        <v>87</v>
      </c>
      <c r="AG265" s="1" t="s">
        <v>88</v>
      </c>
      <c r="BG265" s="8">
        <f>SUM($BB265,$AI265:AI265)-SUM($BY265:BZ265)</f>
        <v>0</v>
      </c>
      <c r="BH265" s="8">
        <f>SUM($BB265,$AI265:AJ265)-SUM($BY265:CA265)</f>
        <v>0</v>
      </c>
      <c r="BI265" s="8">
        <f>SUM($BB265,$AI265:AK265)-SUM($BY265:CB265)</f>
        <v>0</v>
      </c>
      <c r="BJ265" s="8">
        <f>SUM($BB265,$AI265:AL265)-SUM($BY265:CC265)</f>
        <v>0</v>
      </c>
      <c r="BK265" s="8">
        <f>SUM($BB265,$AI265:AM265)-SUM($BY265:CD265)</f>
        <v>0</v>
      </c>
      <c r="BL265" s="8">
        <f>SUM($BB265,$AI265:AN265)-SUM($BY265:CE265)</f>
        <v>0</v>
      </c>
      <c r="BM265" s="8">
        <f>SUM($BB265,$AI265:AO265)-SUM($BY265:CF265)</f>
        <v>0</v>
      </c>
      <c r="BN265" s="8">
        <f>SUM($BB265,$AI265:AP265)-SUM($BY265:CG265)</f>
        <v>-100</v>
      </c>
      <c r="BO265" s="8">
        <f>SUM($BB265,$AI265:AQ265)-SUM($BY265:CH265)</f>
        <v>-350</v>
      </c>
      <c r="BP265" s="8">
        <f>SUM($BB265,$AI265:AR265)-SUM($BY265:CI265)</f>
        <v>-750</v>
      </c>
      <c r="BQ265" s="8">
        <f>SUM($BB265,$AI265:AS265)-SUM($BY265:CJ265)</f>
        <v>-1220</v>
      </c>
      <c r="BR265" s="8">
        <f>SUM($BB265,$AI265:AT265)-SUM($BY265:CK265)</f>
        <v>-1620</v>
      </c>
      <c r="BS265" s="8">
        <f>SUM($BB265,$AI265:AU265)-SUM($BY265:CL265)</f>
        <v>-1970</v>
      </c>
      <c r="BT265" s="8">
        <f>SUM($BB265,$AI265:AV265)-SUM($BY265:CM265)</f>
        <v>-2410</v>
      </c>
      <c r="BU265" s="8">
        <f>SUM($BB265,$AI265:AW265)-SUM($BY265:CN265)</f>
        <v>-2950</v>
      </c>
      <c r="BV265" s="8">
        <f>SUM($BB265,$AI265:AX265)-SUM($BY265:CO265)</f>
        <v>-3210</v>
      </c>
      <c r="BW265" s="8">
        <f>SUM($BB265,$AI265:AY265)-SUM($BY265:CP265)</f>
        <v>-3210</v>
      </c>
      <c r="BX265" s="8">
        <f>SUM($BB265,$AI265:AZ265)-SUM($BY265:CQ265)</f>
        <v>-3210</v>
      </c>
      <c r="BY265" s="8" cm="1">
        <f t="array" ref="BY265">SUMPRODUCT(TRANSPOSE(BY$2:BY$15),$I265:$V265)</f>
        <v>0</v>
      </c>
      <c r="BZ265" s="8" cm="1">
        <f t="array" ref="BZ265">SUMPRODUCT(TRANSPOSE(BZ$2:BZ$15),$I265:$V265)</f>
        <v>0</v>
      </c>
      <c r="CA265" s="8" cm="1">
        <f t="array" ref="CA265">SUMPRODUCT(TRANSPOSE(CA$2:CA$15),$I265:$V265)</f>
        <v>0</v>
      </c>
      <c r="CB265" s="8" cm="1">
        <f t="array" ref="CB265">SUMPRODUCT(TRANSPOSE(CB$2:CB$15),$I265:$V265)</f>
        <v>0</v>
      </c>
      <c r="CC265" s="8" cm="1">
        <f t="array" ref="CC265">SUMPRODUCT(TRANSPOSE(CC$2:CC$15),$I265:$V265)</f>
        <v>0</v>
      </c>
      <c r="CD265" s="8" cm="1">
        <f t="array" ref="CD265">SUMPRODUCT(TRANSPOSE(CD$2:CD$15),$I265:$V265)</f>
        <v>0</v>
      </c>
      <c r="CE265" s="8" cm="1">
        <f t="array" ref="CE265">SUMPRODUCT(TRANSPOSE(CE$2:CE$15),$I265:$V265)</f>
        <v>0</v>
      </c>
      <c r="CF265" s="8" cm="1">
        <f t="array" ref="CF265">SUMPRODUCT(TRANSPOSE(CF$2:CF$15),$I265:$V265)</f>
        <v>0</v>
      </c>
      <c r="CG265" s="8" cm="1">
        <f t="array" ref="CG265">SUMPRODUCT(TRANSPOSE(CG$2:CG$15),$I265:$V265)</f>
        <v>100</v>
      </c>
      <c r="CH265" s="8" cm="1">
        <f t="array" ref="CH265">SUMPRODUCT(TRANSPOSE(CH$2:CH$15),$I265:$V265)</f>
        <v>250</v>
      </c>
      <c r="CI265" s="8" cm="1">
        <f t="array" ref="CI265">SUMPRODUCT(TRANSPOSE(CI$2:CI$15),$I265:$V265)</f>
        <v>400</v>
      </c>
      <c r="CJ265" s="8" cm="1">
        <f t="array" ref="CJ265">SUMPRODUCT(TRANSPOSE(CJ$2:CJ$15),$I265:$V265)</f>
        <v>470</v>
      </c>
      <c r="CK265" s="8" cm="1">
        <f t="array" ref="CK265">SUMPRODUCT(TRANSPOSE(CK$2:CK$15),$I265:$V265)</f>
        <v>400</v>
      </c>
      <c r="CL265" s="8" cm="1">
        <f t="array" ref="CL265">SUMPRODUCT(TRANSPOSE(CL$2:CL$15),$I265:$V265)</f>
        <v>350</v>
      </c>
      <c r="CM265" s="8" cm="1">
        <f t="array" ref="CM265">SUMPRODUCT(TRANSPOSE(CM$2:CM$15),$I265:$V265)</f>
        <v>440</v>
      </c>
      <c r="CN265" s="8" cm="1">
        <f t="array" ref="CN265">SUMPRODUCT(TRANSPOSE(CN$2:CN$15),$I265:$V265)</f>
        <v>540</v>
      </c>
      <c r="CO265" s="8" cm="1">
        <f t="array" ref="CO265">SUMPRODUCT(TRANSPOSE(CO$2:CO$15),$I265:$V265)</f>
        <v>260</v>
      </c>
      <c r="CP265" s="8" cm="1">
        <f t="array" ref="CP265">SUMPRODUCT(TRANSPOSE(CP$2:CP$15),$I265:$V265)</f>
        <v>0</v>
      </c>
      <c r="CQ265" s="8" cm="1">
        <f t="array" ref="CQ265">SUMPRODUCT(TRANSPOSE(CQ$2:CQ$15),$I265:$V265)</f>
        <v>0</v>
      </c>
    </row>
    <row r="266" spans="1:95" x14ac:dyDescent="0.25">
      <c r="A266" s="1">
        <v>157</v>
      </c>
      <c r="B266" s="11" t="s">
        <v>666</v>
      </c>
      <c r="C266" s="1" t="s">
        <v>49</v>
      </c>
      <c r="D266" s="1">
        <v>400658318</v>
      </c>
      <c r="E266" s="6">
        <f>VLOOKUP(D266,FFF!$A$2:$B$674,2,)</f>
        <v>400275407</v>
      </c>
      <c r="F266" s="1" t="s">
        <v>667</v>
      </c>
      <c r="G266" s="1" t="s">
        <v>35</v>
      </c>
      <c r="H266" s="1">
        <v>2</v>
      </c>
      <c r="I266" s="1">
        <v>0</v>
      </c>
      <c r="J266" s="1">
        <v>0</v>
      </c>
      <c r="K266" s="1">
        <v>0</v>
      </c>
      <c r="L266" s="1">
        <v>0</v>
      </c>
      <c r="M266" s="1">
        <v>1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1</v>
      </c>
      <c r="W266" s="1">
        <f>SUMPRODUCT(I266:V266,$I$13:$V$13)</f>
        <v>3210</v>
      </c>
      <c r="X266" s="6">
        <f t="shared" si="5"/>
        <v>2.8079999999999997E-3</v>
      </c>
      <c r="Y266" s="1" t="str">
        <f>VLOOKUP(D266,[1]PARTS!$A$1:$G$65536,7,0)</f>
        <v>VISHAY RESISTIVE SYSTEMS</v>
      </c>
      <c r="Z266" s="1">
        <f>VLOOKUP(D266,[2]pareto!$D$12:$AX$306,44,0)</f>
        <v>10000</v>
      </c>
      <c r="AA266" s="1">
        <f>VLOOKUP(D266,[2]pareto!$D$12:$AX$306,45,0)</f>
        <v>10000</v>
      </c>
      <c r="AB266" s="1">
        <f>CEILING(W266,Z266)</f>
        <v>10000</v>
      </c>
      <c r="AC266" s="1">
        <f>VLOOKUP(D266,[2]pareto!$D$12:$AX$306,47,0)</f>
        <v>1.4039999999999999E-3</v>
      </c>
      <c r="AD266" s="1" t="s">
        <v>85</v>
      </c>
      <c r="AE266" s="1" t="s">
        <v>86</v>
      </c>
      <c r="AF266" s="19" t="s">
        <v>87</v>
      </c>
      <c r="AG266" s="1" t="s">
        <v>88</v>
      </c>
      <c r="BG266" s="8">
        <f>SUM($BB266,$AI266:AI266)-SUM($BY266:BZ266)</f>
        <v>0</v>
      </c>
      <c r="BH266" s="8">
        <f>SUM($BB266,$AI266:AJ266)-SUM($BY266:CA266)</f>
        <v>0</v>
      </c>
      <c r="BI266" s="8">
        <f>SUM($BB266,$AI266:AK266)-SUM($BY266:CB266)</f>
        <v>0</v>
      </c>
      <c r="BJ266" s="8">
        <f>SUM($BB266,$AI266:AL266)-SUM($BY266:CC266)</f>
        <v>0</v>
      </c>
      <c r="BK266" s="8">
        <f>SUM($BB266,$AI266:AM266)-SUM($BY266:CD266)</f>
        <v>0</v>
      </c>
      <c r="BL266" s="8">
        <f>SUM($BB266,$AI266:AN266)-SUM($BY266:CE266)</f>
        <v>0</v>
      </c>
      <c r="BM266" s="8">
        <f>SUM($BB266,$AI266:AO266)-SUM($BY266:CF266)</f>
        <v>0</v>
      </c>
      <c r="BN266" s="8">
        <f>SUM($BB266,$AI266:AP266)-SUM($BY266:CG266)</f>
        <v>-100</v>
      </c>
      <c r="BO266" s="8">
        <f>SUM($BB266,$AI266:AQ266)-SUM($BY266:CH266)</f>
        <v>-350</v>
      </c>
      <c r="BP266" s="8">
        <f>SUM($BB266,$AI266:AR266)-SUM($BY266:CI266)</f>
        <v>-750</v>
      </c>
      <c r="BQ266" s="8">
        <f>SUM($BB266,$AI266:AS266)-SUM($BY266:CJ266)</f>
        <v>-1220</v>
      </c>
      <c r="BR266" s="8">
        <f>SUM($BB266,$AI266:AT266)-SUM($BY266:CK266)</f>
        <v>-1620</v>
      </c>
      <c r="BS266" s="8">
        <f>SUM($BB266,$AI266:AU266)-SUM($BY266:CL266)</f>
        <v>-1970</v>
      </c>
      <c r="BT266" s="8">
        <f>SUM($BB266,$AI266:AV266)-SUM($BY266:CM266)</f>
        <v>-2410</v>
      </c>
      <c r="BU266" s="8">
        <f>SUM($BB266,$AI266:AW266)-SUM($BY266:CN266)</f>
        <v>-2950</v>
      </c>
      <c r="BV266" s="8">
        <f>SUM($BB266,$AI266:AX266)-SUM($BY266:CO266)</f>
        <v>-3210</v>
      </c>
      <c r="BW266" s="8">
        <f>SUM($BB266,$AI266:AY266)-SUM($BY266:CP266)</f>
        <v>-3210</v>
      </c>
      <c r="BX266" s="8">
        <f>SUM($BB266,$AI266:AZ266)-SUM($BY266:CQ266)</f>
        <v>-3210</v>
      </c>
      <c r="BY266" s="8" cm="1">
        <f t="array" ref="BY266">SUMPRODUCT(TRANSPOSE(BY$2:BY$15),$I266:$V266)</f>
        <v>0</v>
      </c>
      <c r="BZ266" s="8" cm="1">
        <f t="array" ref="BZ266">SUMPRODUCT(TRANSPOSE(BZ$2:BZ$15),$I266:$V266)</f>
        <v>0</v>
      </c>
      <c r="CA266" s="8" cm="1">
        <f t="array" ref="CA266">SUMPRODUCT(TRANSPOSE(CA$2:CA$15),$I266:$V266)</f>
        <v>0</v>
      </c>
      <c r="CB266" s="8" cm="1">
        <f t="array" ref="CB266">SUMPRODUCT(TRANSPOSE(CB$2:CB$15),$I266:$V266)</f>
        <v>0</v>
      </c>
      <c r="CC266" s="8" cm="1">
        <f t="array" ref="CC266">SUMPRODUCT(TRANSPOSE(CC$2:CC$15),$I266:$V266)</f>
        <v>0</v>
      </c>
      <c r="CD266" s="8" cm="1">
        <f t="array" ref="CD266">SUMPRODUCT(TRANSPOSE(CD$2:CD$15),$I266:$V266)</f>
        <v>0</v>
      </c>
      <c r="CE266" s="8" cm="1">
        <f t="array" ref="CE266">SUMPRODUCT(TRANSPOSE(CE$2:CE$15),$I266:$V266)</f>
        <v>0</v>
      </c>
      <c r="CF266" s="8" cm="1">
        <f t="array" ref="CF266">SUMPRODUCT(TRANSPOSE(CF$2:CF$15),$I266:$V266)</f>
        <v>0</v>
      </c>
      <c r="CG266" s="8" cm="1">
        <f t="array" ref="CG266">SUMPRODUCT(TRANSPOSE(CG$2:CG$15),$I266:$V266)</f>
        <v>100</v>
      </c>
      <c r="CH266" s="8" cm="1">
        <f t="array" ref="CH266">SUMPRODUCT(TRANSPOSE(CH$2:CH$15),$I266:$V266)</f>
        <v>250</v>
      </c>
      <c r="CI266" s="8" cm="1">
        <f t="array" ref="CI266">SUMPRODUCT(TRANSPOSE(CI$2:CI$15),$I266:$V266)</f>
        <v>400</v>
      </c>
      <c r="CJ266" s="8" cm="1">
        <f t="array" ref="CJ266">SUMPRODUCT(TRANSPOSE(CJ$2:CJ$15),$I266:$V266)</f>
        <v>470</v>
      </c>
      <c r="CK266" s="8" cm="1">
        <f t="array" ref="CK266">SUMPRODUCT(TRANSPOSE(CK$2:CK$15),$I266:$V266)</f>
        <v>400</v>
      </c>
      <c r="CL266" s="8" cm="1">
        <f t="array" ref="CL266">SUMPRODUCT(TRANSPOSE(CL$2:CL$15),$I266:$V266)</f>
        <v>350</v>
      </c>
      <c r="CM266" s="8" cm="1">
        <f t="array" ref="CM266">SUMPRODUCT(TRANSPOSE(CM$2:CM$15),$I266:$V266)</f>
        <v>440</v>
      </c>
      <c r="CN266" s="8" cm="1">
        <f t="array" ref="CN266">SUMPRODUCT(TRANSPOSE(CN$2:CN$15),$I266:$V266)</f>
        <v>540</v>
      </c>
      <c r="CO266" s="8" cm="1">
        <f t="array" ref="CO266">SUMPRODUCT(TRANSPOSE(CO$2:CO$15),$I266:$V266)</f>
        <v>260</v>
      </c>
      <c r="CP266" s="8" cm="1">
        <f t="array" ref="CP266">SUMPRODUCT(TRANSPOSE(CP$2:CP$15),$I266:$V266)</f>
        <v>0</v>
      </c>
      <c r="CQ266" s="8" cm="1">
        <f t="array" ref="CQ266">SUMPRODUCT(TRANSPOSE(CQ$2:CQ$15),$I266:$V266)</f>
        <v>0</v>
      </c>
    </row>
    <row r="267" spans="1:95" x14ac:dyDescent="0.25">
      <c r="A267" s="1">
        <v>112</v>
      </c>
      <c r="B267" s="11" t="s">
        <v>668</v>
      </c>
      <c r="C267" s="1" t="s">
        <v>49</v>
      </c>
      <c r="D267" s="1" t="s">
        <v>669</v>
      </c>
      <c r="E267" s="6"/>
      <c r="F267" s="1" t="s">
        <v>670</v>
      </c>
      <c r="G267" s="1" t="s">
        <v>638</v>
      </c>
      <c r="H267" s="1">
        <v>0.01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0.01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f>SUMPRODUCT(I267:V267,$I$13:$V$13)</f>
        <v>16.600000000000001</v>
      </c>
      <c r="X267" s="6">
        <f t="shared" si="5"/>
        <v>2.6203000000000001E-2</v>
      </c>
      <c r="Y267" s="1" t="str">
        <f>VLOOKUP(D267,[1]PARTS!$A$1:$G$65536,7,0)</f>
        <v>TE CONNECTIVITY</v>
      </c>
      <c r="Z267" s="1">
        <v>1</v>
      </c>
      <c r="AA267" s="1">
        <f>VLOOKUP(D267,[2]pareto!$D$12:$AX$306,45,0)</f>
        <v>25</v>
      </c>
      <c r="AB267" s="1">
        <f>CEILING(W267,Z267)</f>
        <v>17</v>
      </c>
      <c r="AC267" s="1">
        <f>VLOOKUP(D267,[2]pareto!$D$12:$AX$306,47,0)</f>
        <v>2.6202999999999999</v>
      </c>
      <c r="AD267" s="1" t="str">
        <f>VLOOKUP(D267,[2]pareto!$D$11:$BD$306,50,0)</f>
        <v>TTI</v>
      </c>
      <c r="AE267" s="1" t="s">
        <v>471</v>
      </c>
      <c r="AF267" s="12" t="s">
        <v>472</v>
      </c>
      <c r="AG267" s="1" t="e">
        <f>VLOOKUP(D267,[2]pareto!$D$11:$BD$306,51)</f>
        <v>#REF!</v>
      </c>
      <c r="BG267" s="8">
        <f>SUM($BB267,$AI267:AI267)-SUM($BY267:BZ267)</f>
        <v>0</v>
      </c>
      <c r="BH267" s="8">
        <f>SUM($BB267,$AI267:AJ267)-SUM($BY267:CA267)</f>
        <v>0</v>
      </c>
      <c r="BI267" s="8">
        <f>SUM($BB267,$AI267:AK267)-SUM($BY267:CB267)</f>
        <v>0</v>
      </c>
      <c r="BJ267" s="8">
        <f>SUM($BB267,$AI267:AL267)-SUM($BY267:CC267)</f>
        <v>0</v>
      </c>
      <c r="BK267" s="8">
        <f>SUM($BB267,$AI267:AM267)-SUM($BY267:CD267)</f>
        <v>0</v>
      </c>
      <c r="BL267" s="8">
        <f>SUM($BB267,$AI267:AN267)-SUM($BY267:CE267)</f>
        <v>0</v>
      </c>
      <c r="BM267" s="8">
        <f>SUM($BB267,$AI267:AO267)-SUM($BY267:CF267)</f>
        <v>0</v>
      </c>
      <c r="BN267" s="8">
        <f>SUM($BB267,$AI267:AP267)-SUM($BY267:CG267)</f>
        <v>0</v>
      </c>
      <c r="BO267" s="8">
        <f>SUM($BB267,$AI267:AQ267)-SUM($BY267:CH267)</f>
        <v>-1</v>
      </c>
      <c r="BP267" s="8">
        <f>SUM($BB267,$AI267:AR267)-SUM($BY267:CI267)</f>
        <v>-2.5</v>
      </c>
      <c r="BQ267" s="8">
        <f>SUM($BB267,$AI267:AS267)-SUM($BY267:CJ267)</f>
        <v>-5</v>
      </c>
      <c r="BR267" s="8">
        <f>SUM($BB267,$AI267:AT267)-SUM($BY267:CK267)</f>
        <v>-7</v>
      </c>
      <c r="BS267" s="8">
        <f>SUM($BB267,$AI267:AU267)-SUM($BY267:CL267)</f>
        <v>-9</v>
      </c>
      <c r="BT267" s="8">
        <f>SUM($BB267,$AI267:AV267)-SUM($BY267:CM267)</f>
        <v>-11</v>
      </c>
      <c r="BU267" s="8">
        <f>SUM($BB267,$AI267:AW267)-SUM($BY267:CN267)</f>
        <v>-14</v>
      </c>
      <c r="BV267" s="8">
        <f>SUM($BB267,$AI267:AX267)-SUM($BY267:CO267)</f>
        <v>-16.600000000000001</v>
      </c>
      <c r="BW267" s="8">
        <f>SUM($BB267,$AI267:AY267)-SUM($BY267:CP267)</f>
        <v>-16.600000000000001</v>
      </c>
      <c r="BX267" s="8">
        <f>SUM($BB267,$AI267:AZ267)-SUM($BY267:CQ267)</f>
        <v>-16.600000000000001</v>
      </c>
      <c r="BY267" s="8" cm="1">
        <f t="array" ref="BY267">SUMPRODUCT(TRANSPOSE(BY$2:BY$15),$I267:$V267)</f>
        <v>0</v>
      </c>
      <c r="BZ267" s="8" cm="1">
        <f t="array" ref="BZ267">SUMPRODUCT(TRANSPOSE(BZ$2:BZ$15),$I267:$V267)</f>
        <v>0</v>
      </c>
      <c r="CA267" s="8" cm="1">
        <f t="array" ref="CA267">SUMPRODUCT(TRANSPOSE(CA$2:CA$15),$I267:$V267)</f>
        <v>0</v>
      </c>
      <c r="CB267" s="8" cm="1">
        <f t="array" ref="CB267">SUMPRODUCT(TRANSPOSE(CB$2:CB$15),$I267:$V267)</f>
        <v>0</v>
      </c>
      <c r="CC267" s="8" cm="1">
        <f t="array" ref="CC267">SUMPRODUCT(TRANSPOSE(CC$2:CC$15),$I267:$V267)</f>
        <v>0</v>
      </c>
      <c r="CD267" s="8" cm="1">
        <f t="array" ref="CD267">SUMPRODUCT(TRANSPOSE(CD$2:CD$15),$I267:$V267)</f>
        <v>0</v>
      </c>
      <c r="CE267" s="8" cm="1">
        <f t="array" ref="CE267">SUMPRODUCT(TRANSPOSE(CE$2:CE$15),$I267:$V267)</f>
        <v>0</v>
      </c>
      <c r="CF267" s="8" cm="1">
        <f t="array" ref="CF267">SUMPRODUCT(TRANSPOSE(CF$2:CF$15),$I267:$V267)</f>
        <v>0</v>
      </c>
      <c r="CG267" s="8" cm="1">
        <f t="array" ref="CG267">SUMPRODUCT(TRANSPOSE(CG$2:CG$15),$I267:$V267)</f>
        <v>0</v>
      </c>
      <c r="CH267" s="8" cm="1">
        <f t="array" ref="CH267">SUMPRODUCT(TRANSPOSE(CH$2:CH$15),$I267:$V267)</f>
        <v>1</v>
      </c>
      <c r="CI267" s="8" cm="1">
        <f t="array" ref="CI267">SUMPRODUCT(TRANSPOSE(CI$2:CI$15),$I267:$V267)</f>
        <v>1.5</v>
      </c>
      <c r="CJ267" s="8" cm="1">
        <f t="array" ref="CJ267">SUMPRODUCT(TRANSPOSE(CJ$2:CJ$15),$I267:$V267)</f>
        <v>2.5</v>
      </c>
      <c r="CK267" s="8" cm="1">
        <f t="array" ref="CK267">SUMPRODUCT(TRANSPOSE(CK$2:CK$15),$I267:$V267)</f>
        <v>2</v>
      </c>
      <c r="CL267" s="8" cm="1">
        <f t="array" ref="CL267">SUMPRODUCT(TRANSPOSE(CL$2:CL$15),$I267:$V267)</f>
        <v>2</v>
      </c>
      <c r="CM267" s="8" cm="1">
        <f t="array" ref="CM267">SUMPRODUCT(TRANSPOSE(CM$2:CM$15),$I267:$V267)</f>
        <v>2</v>
      </c>
      <c r="CN267" s="8" cm="1">
        <f t="array" ref="CN267">SUMPRODUCT(TRANSPOSE(CN$2:CN$15),$I267:$V267)</f>
        <v>3</v>
      </c>
      <c r="CO267" s="8" cm="1">
        <f t="array" ref="CO267">SUMPRODUCT(TRANSPOSE(CO$2:CO$15),$I267:$V267)</f>
        <v>2.6</v>
      </c>
      <c r="CP267" s="8" cm="1">
        <f t="array" ref="CP267">SUMPRODUCT(TRANSPOSE(CP$2:CP$15),$I267:$V267)</f>
        <v>0</v>
      </c>
      <c r="CQ267" s="8" cm="1">
        <f t="array" ref="CQ267">SUMPRODUCT(TRANSPOSE(CQ$2:CQ$15),$I267:$V267)</f>
        <v>0</v>
      </c>
    </row>
    <row r="268" spans="1:95" x14ac:dyDescent="0.25">
      <c r="A268" s="1">
        <v>186</v>
      </c>
      <c r="B268" s="11" t="s">
        <v>671</v>
      </c>
      <c r="C268" s="1" t="s">
        <v>49</v>
      </c>
      <c r="D268" s="1">
        <v>400265702</v>
      </c>
      <c r="E268" s="6" t="str">
        <f>VLOOKUP(D268,FFF!$A$2:$B$674,2,)</f>
        <v>FFF004038</v>
      </c>
      <c r="F268" s="1" t="s">
        <v>672</v>
      </c>
      <c r="G268" s="1" t="s">
        <v>35</v>
      </c>
      <c r="H268" s="1">
        <v>1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1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f>SUMPRODUCT(I268:V268,$I$13:$V$13)</f>
        <v>1660</v>
      </c>
      <c r="X268" s="6">
        <f t="shared" si="5"/>
        <v>4.0000000000000001E-3</v>
      </c>
      <c r="Y268" s="1" t="str">
        <f>VLOOKUP(D268,[1]PARTS!$A$1:$G$65536,7,0)</f>
        <v>VISHAY RESISTIVE SYSTEMS</v>
      </c>
      <c r="Z268" s="1">
        <v>5000</v>
      </c>
      <c r="AA268" s="1">
        <v>1640</v>
      </c>
      <c r="AB268" s="1">
        <f>CEILING(W268,Z268)</f>
        <v>5000</v>
      </c>
      <c r="AC268" s="1">
        <v>4.0000000000000001E-3</v>
      </c>
      <c r="AD268" s="1" t="s">
        <v>250</v>
      </c>
      <c r="AE268" s="1" t="s">
        <v>251</v>
      </c>
      <c r="AF268" s="12" t="s">
        <v>252</v>
      </c>
      <c r="AG268" s="1" t="s">
        <v>253</v>
      </c>
      <c r="AH268" s="1" t="s">
        <v>673</v>
      </c>
      <c r="BG268" s="8">
        <f>SUM($BB268,$AI268:AI268)-SUM($BY268:BZ268)</f>
        <v>0</v>
      </c>
      <c r="BH268" s="8">
        <f>SUM($BB268,$AI268:AJ268)-SUM($BY268:CA268)</f>
        <v>0</v>
      </c>
      <c r="BI268" s="8">
        <f>SUM($BB268,$AI268:AK268)-SUM($BY268:CB268)</f>
        <v>0</v>
      </c>
      <c r="BJ268" s="8">
        <f>SUM($BB268,$AI268:AL268)-SUM($BY268:CC268)</f>
        <v>0</v>
      </c>
      <c r="BK268" s="8">
        <f>SUM($BB268,$AI268:AM268)-SUM($BY268:CD268)</f>
        <v>0</v>
      </c>
      <c r="BL268" s="8">
        <f>SUM($BB268,$AI268:AN268)-SUM($BY268:CE268)</f>
        <v>0</v>
      </c>
      <c r="BM268" s="8">
        <f>SUM($BB268,$AI268:AO268)-SUM($BY268:CF268)</f>
        <v>0</v>
      </c>
      <c r="BN268" s="8">
        <f>SUM($BB268,$AI268:AP268)-SUM($BY268:CG268)</f>
        <v>-100</v>
      </c>
      <c r="BO268" s="8">
        <f>SUM($BB268,$AI268:AQ268)-SUM($BY268:CH268)</f>
        <v>-250</v>
      </c>
      <c r="BP268" s="8">
        <f>SUM($BB268,$AI268:AR268)-SUM($BY268:CI268)</f>
        <v>-500</v>
      </c>
      <c r="BQ268" s="8">
        <f>SUM($BB268,$AI268:AS268)-SUM($BY268:CJ268)</f>
        <v>-700</v>
      </c>
      <c r="BR268" s="8">
        <f>SUM($BB268,$AI268:AT268)-SUM($BY268:CK268)</f>
        <v>-900</v>
      </c>
      <c r="BS268" s="8">
        <f>SUM($BB268,$AI268:AU268)-SUM($BY268:CL268)</f>
        <v>-1100</v>
      </c>
      <c r="BT268" s="8">
        <f>SUM($BB268,$AI268:AV268)-SUM($BY268:CM268)</f>
        <v>-1400</v>
      </c>
      <c r="BU268" s="8">
        <f>SUM($BB268,$AI268:AW268)-SUM($BY268:CN268)</f>
        <v>-1660</v>
      </c>
      <c r="BV268" s="8">
        <f>SUM($BB268,$AI268:AX268)-SUM($BY268:CO268)</f>
        <v>-1660</v>
      </c>
      <c r="BW268" s="8">
        <f>SUM($BB268,$AI268:AY268)-SUM($BY268:CP268)</f>
        <v>-1660</v>
      </c>
      <c r="BX268" s="8">
        <f>SUM($BB268,$AI268:AZ268)-SUM($BY268:CQ268)</f>
        <v>-1660</v>
      </c>
      <c r="BY268" s="8" cm="1">
        <f t="array" ref="BY268">SUMPRODUCT(TRANSPOSE(BY$2:BY$15),$I268:$V268)</f>
        <v>0</v>
      </c>
      <c r="BZ268" s="8" cm="1">
        <f t="array" ref="BZ268">SUMPRODUCT(TRANSPOSE(BZ$2:BZ$15),$I268:$V268)</f>
        <v>0</v>
      </c>
      <c r="CA268" s="8" cm="1">
        <f t="array" ref="CA268">SUMPRODUCT(TRANSPOSE(CA$2:CA$15),$I268:$V268)</f>
        <v>0</v>
      </c>
      <c r="CB268" s="8" cm="1">
        <f t="array" ref="CB268">SUMPRODUCT(TRANSPOSE(CB$2:CB$15),$I268:$V268)</f>
        <v>0</v>
      </c>
      <c r="CC268" s="8" cm="1">
        <f t="array" ref="CC268">SUMPRODUCT(TRANSPOSE(CC$2:CC$15),$I268:$V268)</f>
        <v>0</v>
      </c>
      <c r="CD268" s="8" cm="1">
        <f t="array" ref="CD268">SUMPRODUCT(TRANSPOSE(CD$2:CD$15),$I268:$V268)</f>
        <v>0</v>
      </c>
      <c r="CE268" s="8" cm="1">
        <f t="array" ref="CE268">SUMPRODUCT(TRANSPOSE(CE$2:CE$15),$I268:$V268)</f>
        <v>0</v>
      </c>
      <c r="CF268" s="8" cm="1">
        <f t="array" ref="CF268">SUMPRODUCT(TRANSPOSE(CF$2:CF$15),$I268:$V268)</f>
        <v>0</v>
      </c>
      <c r="CG268" s="8" cm="1">
        <f t="array" ref="CG268">SUMPRODUCT(TRANSPOSE(CG$2:CG$15),$I268:$V268)</f>
        <v>100</v>
      </c>
      <c r="CH268" s="8" cm="1">
        <f t="array" ref="CH268">SUMPRODUCT(TRANSPOSE(CH$2:CH$15),$I268:$V268)</f>
        <v>150</v>
      </c>
      <c r="CI268" s="8" cm="1">
        <f t="array" ref="CI268">SUMPRODUCT(TRANSPOSE(CI$2:CI$15),$I268:$V268)</f>
        <v>250</v>
      </c>
      <c r="CJ268" s="8" cm="1">
        <f t="array" ref="CJ268">SUMPRODUCT(TRANSPOSE(CJ$2:CJ$15),$I268:$V268)</f>
        <v>200</v>
      </c>
      <c r="CK268" s="8" cm="1">
        <f t="array" ref="CK268">SUMPRODUCT(TRANSPOSE(CK$2:CK$15),$I268:$V268)</f>
        <v>200</v>
      </c>
      <c r="CL268" s="8" cm="1">
        <f t="array" ref="CL268">SUMPRODUCT(TRANSPOSE(CL$2:CL$15),$I268:$V268)</f>
        <v>200</v>
      </c>
      <c r="CM268" s="8" cm="1">
        <f t="array" ref="CM268">SUMPRODUCT(TRANSPOSE(CM$2:CM$15),$I268:$V268)</f>
        <v>300</v>
      </c>
      <c r="CN268" s="8" cm="1">
        <f t="array" ref="CN268">SUMPRODUCT(TRANSPOSE(CN$2:CN$15),$I268:$V268)</f>
        <v>260</v>
      </c>
      <c r="CO268" s="8" cm="1">
        <f t="array" ref="CO268">SUMPRODUCT(TRANSPOSE(CO$2:CO$15),$I268:$V268)</f>
        <v>0</v>
      </c>
      <c r="CP268" s="8" cm="1">
        <f t="array" ref="CP268">SUMPRODUCT(TRANSPOSE(CP$2:CP$15),$I268:$V268)</f>
        <v>0</v>
      </c>
      <c r="CQ268" s="8" cm="1">
        <f t="array" ref="CQ268">SUMPRODUCT(TRANSPOSE(CQ$2:CQ$15),$I268:$V268)</f>
        <v>0</v>
      </c>
    </row>
    <row r="269" spans="1:95" x14ac:dyDescent="0.25">
      <c r="A269" s="1">
        <v>172</v>
      </c>
      <c r="B269" s="11" t="s">
        <v>674</v>
      </c>
      <c r="C269" s="1" t="s">
        <v>49</v>
      </c>
      <c r="D269" s="1">
        <v>400693196</v>
      </c>
      <c r="E269" s="6" t="str">
        <f>VLOOKUP(D269,FFF!$A$2:$B$674,2,)</f>
        <v>FFF004188</v>
      </c>
      <c r="F269" s="1" t="s">
        <v>675</v>
      </c>
      <c r="G269" s="1" t="s">
        <v>35</v>
      </c>
      <c r="H269" s="1">
        <v>1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1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f>SUMPRODUCT(I269:V269,$I$13:$V$13)</f>
        <v>1660</v>
      </c>
      <c r="X269" s="6">
        <f t="shared" si="5"/>
        <v>2.2229999999999997E-3</v>
      </c>
      <c r="Y269" s="1" t="str">
        <f>VLOOKUP(D269,[1]PARTS!$A$1:$G$65536,7,0)</f>
        <v>VISHAY RESISTIVE SYSTEMS</v>
      </c>
      <c r="Z269" s="1">
        <f>VLOOKUP(D269,[2]pareto!$D$12:$AX$306,44,0)</f>
        <v>5000</v>
      </c>
      <c r="AA269" s="1">
        <f>VLOOKUP(D269,[2]pareto!$D$12:$AX$306,45,0)</f>
        <v>5000</v>
      </c>
      <c r="AB269" s="1">
        <f>CEILING(W269,Z269)</f>
        <v>5000</v>
      </c>
      <c r="AC269" s="1">
        <f>VLOOKUP(D269,[2]pareto!$D$12:$AX$306,47,0)</f>
        <v>2.2229999999999997E-3</v>
      </c>
      <c r="AD269" s="1" t="s">
        <v>85</v>
      </c>
      <c r="AE269" s="1" t="s">
        <v>86</v>
      </c>
      <c r="AF269" s="19" t="s">
        <v>87</v>
      </c>
      <c r="AG269" s="1" t="s">
        <v>88</v>
      </c>
      <c r="BG269" s="8">
        <f>SUM($BB269,$AI269:AI269)-SUM($BY269:BZ269)</f>
        <v>0</v>
      </c>
      <c r="BH269" s="8">
        <f>SUM($BB269,$AI269:AJ269)-SUM($BY269:CA269)</f>
        <v>0</v>
      </c>
      <c r="BI269" s="8">
        <f>SUM($BB269,$AI269:AK269)-SUM($BY269:CB269)</f>
        <v>0</v>
      </c>
      <c r="BJ269" s="8">
        <f>SUM($BB269,$AI269:AL269)-SUM($BY269:CC269)</f>
        <v>0</v>
      </c>
      <c r="BK269" s="8">
        <f>SUM($BB269,$AI269:AM269)-SUM($BY269:CD269)</f>
        <v>0</v>
      </c>
      <c r="BL269" s="8">
        <f>SUM($BB269,$AI269:AN269)-SUM($BY269:CE269)</f>
        <v>0</v>
      </c>
      <c r="BM269" s="8">
        <f>SUM($BB269,$AI269:AO269)-SUM($BY269:CF269)</f>
        <v>0</v>
      </c>
      <c r="BN269" s="8">
        <f>SUM($BB269,$AI269:AP269)-SUM($BY269:CG269)</f>
        <v>-100</v>
      </c>
      <c r="BO269" s="8">
        <f>SUM($BB269,$AI269:AQ269)-SUM($BY269:CH269)</f>
        <v>-250</v>
      </c>
      <c r="BP269" s="8">
        <f>SUM($BB269,$AI269:AR269)-SUM($BY269:CI269)</f>
        <v>-500</v>
      </c>
      <c r="BQ269" s="8">
        <f>SUM($BB269,$AI269:AS269)-SUM($BY269:CJ269)</f>
        <v>-700</v>
      </c>
      <c r="BR269" s="8">
        <f>SUM($BB269,$AI269:AT269)-SUM($BY269:CK269)</f>
        <v>-900</v>
      </c>
      <c r="BS269" s="8">
        <f>SUM($BB269,$AI269:AU269)-SUM($BY269:CL269)</f>
        <v>-1100</v>
      </c>
      <c r="BT269" s="8">
        <f>SUM($BB269,$AI269:AV269)-SUM($BY269:CM269)</f>
        <v>-1400</v>
      </c>
      <c r="BU269" s="8">
        <f>SUM($BB269,$AI269:AW269)-SUM($BY269:CN269)</f>
        <v>-1660</v>
      </c>
      <c r="BV269" s="8">
        <f>SUM($BB269,$AI269:AX269)-SUM($BY269:CO269)</f>
        <v>-1660</v>
      </c>
      <c r="BW269" s="8">
        <f>SUM($BB269,$AI269:AY269)-SUM($BY269:CP269)</f>
        <v>-1660</v>
      </c>
      <c r="BX269" s="8">
        <f>SUM($BB269,$AI269:AZ269)-SUM($BY269:CQ269)</f>
        <v>-1660</v>
      </c>
      <c r="BY269" s="8" cm="1">
        <f t="array" ref="BY269">SUMPRODUCT(TRANSPOSE(BY$2:BY$15),$I269:$V269)</f>
        <v>0</v>
      </c>
      <c r="BZ269" s="8" cm="1">
        <f t="array" ref="BZ269">SUMPRODUCT(TRANSPOSE(BZ$2:BZ$15),$I269:$V269)</f>
        <v>0</v>
      </c>
      <c r="CA269" s="8" cm="1">
        <f t="array" ref="CA269">SUMPRODUCT(TRANSPOSE(CA$2:CA$15),$I269:$V269)</f>
        <v>0</v>
      </c>
      <c r="CB269" s="8" cm="1">
        <f t="array" ref="CB269">SUMPRODUCT(TRANSPOSE(CB$2:CB$15),$I269:$V269)</f>
        <v>0</v>
      </c>
      <c r="CC269" s="8" cm="1">
        <f t="array" ref="CC269">SUMPRODUCT(TRANSPOSE(CC$2:CC$15),$I269:$V269)</f>
        <v>0</v>
      </c>
      <c r="CD269" s="8" cm="1">
        <f t="array" ref="CD269">SUMPRODUCT(TRANSPOSE(CD$2:CD$15),$I269:$V269)</f>
        <v>0</v>
      </c>
      <c r="CE269" s="8" cm="1">
        <f t="array" ref="CE269">SUMPRODUCT(TRANSPOSE(CE$2:CE$15),$I269:$V269)</f>
        <v>0</v>
      </c>
      <c r="CF269" s="8" cm="1">
        <f t="array" ref="CF269">SUMPRODUCT(TRANSPOSE(CF$2:CF$15),$I269:$V269)</f>
        <v>0</v>
      </c>
      <c r="CG269" s="8" cm="1">
        <f t="array" ref="CG269">SUMPRODUCT(TRANSPOSE(CG$2:CG$15),$I269:$V269)</f>
        <v>100</v>
      </c>
      <c r="CH269" s="8" cm="1">
        <f t="array" ref="CH269">SUMPRODUCT(TRANSPOSE(CH$2:CH$15),$I269:$V269)</f>
        <v>150</v>
      </c>
      <c r="CI269" s="8" cm="1">
        <f t="array" ref="CI269">SUMPRODUCT(TRANSPOSE(CI$2:CI$15),$I269:$V269)</f>
        <v>250</v>
      </c>
      <c r="CJ269" s="8" cm="1">
        <f t="array" ref="CJ269">SUMPRODUCT(TRANSPOSE(CJ$2:CJ$15),$I269:$V269)</f>
        <v>200</v>
      </c>
      <c r="CK269" s="8" cm="1">
        <f t="array" ref="CK269">SUMPRODUCT(TRANSPOSE(CK$2:CK$15),$I269:$V269)</f>
        <v>200</v>
      </c>
      <c r="CL269" s="8" cm="1">
        <f t="array" ref="CL269">SUMPRODUCT(TRANSPOSE(CL$2:CL$15),$I269:$V269)</f>
        <v>200</v>
      </c>
      <c r="CM269" s="8" cm="1">
        <f t="array" ref="CM269">SUMPRODUCT(TRANSPOSE(CM$2:CM$15),$I269:$V269)</f>
        <v>300</v>
      </c>
      <c r="CN269" s="8" cm="1">
        <f t="array" ref="CN269">SUMPRODUCT(TRANSPOSE(CN$2:CN$15),$I269:$V269)</f>
        <v>260</v>
      </c>
      <c r="CO269" s="8" cm="1">
        <f t="array" ref="CO269">SUMPRODUCT(TRANSPOSE(CO$2:CO$15),$I269:$V269)</f>
        <v>0</v>
      </c>
      <c r="CP269" s="8" cm="1">
        <f t="array" ref="CP269">SUMPRODUCT(TRANSPOSE(CP$2:CP$15),$I269:$V269)</f>
        <v>0</v>
      </c>
      <c r="CQ269" s="8" cm="1">
        <f t="array" ref="CQ269">SUMPRODUCT(TRANSPOSE(CQ$2:CQ$15),$I269:$V269)</f>
        <v>0</v>
      </c>
    </row>
    <row r="270" spans="1:95" x14ac:dyDescent="0.25">
      <c r="A270" s="1">
        <v>174</v>
      </c>
      <c r="B270" s="11" t="s">
        <v>676</v>
      </c>
      <c r="C270" s="1" t="s">
        <v>49</v>
      </c>
      <c r="D270" s="1">
        <v>401235096</v>
      </c>
      <c r="E270" s="6" t="str">
        <f>VLOOKUP(D270,FFF!$A$2:$B$674,2,)</f>
        <v>FFF003825</v>
      </c>
      <c r="F270" s="1" t="s">
        <v>677</v>
      </c>
      <c r="G270" s="1" t="s">
        <v>35</v>
      </c>
      <c r="H270" s="1">
        <v>1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1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f>SUMPRODUCT(I270:V270,$I$13:$V$13)</f>
        <v>1660</v>
      </c>
      <c r="X270" s="6">
        <f t="shared" si="5"/>
        <v>2.2229999999999997E-3</v>
      </c>
      <c r="Y270" s="1" t="str">
        <f>VLOOKUP(D270,[1]PARTS!$A$1:$G$65536,7,0)</f>
        <v>VISHAY RESISTIVE SYSTEMS</v>
      </c>
      <c r="Z270" s="1">
        <f>VLOOKUP(D270,[2]pareto!$D$12:$AX$306,44,0)</f>
        <v>5000</v>
      </c>
      <c r="AA270" s="1">
        <f>VLOOKUP(D270,[2]pareto!$D$12:$AX$306,45,0)</f>
        <v>5000</v>
      </c>
      <c r="AB270" s="1">
        <f>CEILING(W270,Z270)</f>
        <v>5000</v>
      </c>
      <c r="AC270" s="1">
        <f>VLOOKUP(D270,[2]pareto!$D$12:$AX$306,47,0)</f>
        <v>2.2229999999999997E-3</v>
      </c>
      <c r="AD270" s="1" t="s">
        <v>85</v>
      </c>
      <c r="AE270" s="1" t="s">
        <v>86</v>
      </c>
      <c r="AF270" s="19" t="s">
        <v>87</v>
      </c>
      <c r="AG270" s="1" t="s">
        <v>88</v>
      </c>
      <c r="BG270" s="8">
        <f>SUM($BB270,$AI270:AI270)-SUM($BY270:BZ270)</f>
        <v>0</v>
      </c>
      <c r="BH270" s="8">
        <f>SUM($BB270,$AI270:AJ270)-SUM($BY270:CA270)</f>
        <v>0</v>
      </c>
      <c r="BI270" s="8">
        <f>SUM($BB270,$AI270:AK270)-SUM($BY270:CB270)</f>
        <v>0</v>
      </c>
      <c r="BJ270" s="8">
        <f>SUM($BB270,$AI270:AL270)-SUM($BY270:CC270)</f>
        <v>0</v>
      </c>
      <c r="BK270" s="8">
        <f>SUM($BB270,$AI270:AM270)-SUM($BY270:CD270)</f>
        <v>0</v>
      </c>
      <c r="BL270" s="8">
        <f>SUM($BB270,$AI270:AN270)-SUM($BY270:CE270)</f>
        <v>0</v>
      </c>
      <c r="BM270" s="8">
        <f>SUM($BB270,$AI270:AO270)-SUM($BY270:CF270)</f>
        <v>0</v>
      </c>
      <c r="BN270" s="8">
        <f>SUM($BB270,$AI270:AP270)-SUM($BY270:CG270)</f>
        <v>-100</v>
      </c>
      <c r="BO270" s="8">
        <f>SUM($BB270,$AI270:AQ270)-SUM($BY270:CH270)</f>
        <v>-250</v>
      </c>
      <c r="BP270" s="8">
        <f>SUM($BB270,$AI270:AR270)-SUM($BY270:CI270)</f>
        <v>-500</v>
      </c>
      <c r="BQ270" s="8">
        <f>SUM($BB270,$AI270:AS270)-SUM($BY270:CJ270)</f>
        <v>-700</v>
      </c>
      <c r="BR270" s="8">
        <f>SUM($BB270,$AI270:AT270)-SUM($BY270:CK270)</f>
        <v>-900</v>
      </c>
      <c r="BS270" s="8">
        <f>SUM($BB270,$AI270:AU270)-SUM($BY270:CL270)</f>
        <v>-1100</v>
      </c>
      <c r="BT270" s="8">
        <f>SUM($BB270,$AI270:AV270)-SUM($BY270:CM270)</f>
        <v>-1400</v>
      </c>
      <c r="BU270" s="8">
        <f>SUM($BB270,$AI270:AW270)-SUM($BY270:CN270)</f>
        <v>-1660</v>
      </c>
      <c r="BV270" s="8">
        <f>SUM($BB270,$AI270:AX270)-SUM($BY270:CO270)</f>
        <v>-1660</v>
      </c>
      <c r="BW270" s="8">
        <f>SUM($BB270,$AI270:AY270)-SUM($BY270:CP270)</f>
        <v>-1660</v>
      </c>
      <c r="BX270" s="8">
        <f>SUM($BB270,$AI270:AZ270)-SUM($BY270:CQ270)</f>
        <v>-1660</v>
      </c>
      <c r="BY270" s="8" cm="1">
        <f t="array" ref="BY270">SUMPRODUCT(TRANSPOSE(BY$2:BY$15),$I270:$V270)</f>
        <v>0</v>
      </c>
      <c r="BZ270" s="8" cm="1">
        <f t="array" ref="BZ270">SUMPRODUCT(TRANSPOSE(BZ$2:BZ$15),$I270:$V270)</f>
        <v>0</v>
      </c>
      <c r="CA270" s="8" cm="1">
        <f t="array" ref="CA270">SUMPRODUCT(TRANSPOSE(CA$2:CA$15),$I270:$V270)</f>
        <v>0</v>
      </c>
      <c r="CB270" s="8" cm="1">
        <f t="array" ref="CB270">SUMPRODUCT(TRANSPOSE(CB$2:CB$15),$I270:$V270)</f>
        <v>0</v>
      </c>
      <c r="CC270" s="8" cm="1">
        <f t="array" ref="CC270">SUMPRODUCT(TRANSPOSE(CC$2:CC$15),$I270:$V270)</f>
        <v>0</v>
      </c>
      <c r="CD270" s="8" cm="1">
        <f t="array" ref="CD270">SUMPRODUCT(TRANSPOSE(CD$2:CD$15),$I270:$V270)</f>
        <v>0</v>
      </c>
      <c r="CE270" s="8" cm="1">
        <f t="array" ref="CE270">SUMPRODUCT(TRANSPOSE(CE$2:CE$15),$I270:$V270)</f>
        <v>0</v>
      </c>
      <c r="CF270" s="8" cm="1">
        <f t="array" ref="CF270">SUMPRODUCT(TRANSPOSE(CF$2:CF$15),$I270:$V270)</f>
        <v>0</v>
      </c>
      <c r="CG270" s="8" cm="1">
        <f t="array" ref="CG270">SUMPRODUCT(TRANSPOSE(CG$2:CG$15),$I270:$V270)</f>
        <v>100</v>
      </c>
      <c r="CH270" s="8" cm="1">
        <f t="array" ref="CH270">SUMPRODUCT(TRANSPOSE(CH$2:CH$15),$I270:$V270)</f>
        <v>150</v>
      </c>
      <c r="CI270" s="8" cm="1">
        <f t="array" ref="CI270">SUMPRODUCT(TRANSPOSE(CI$2:CI$15),$I270:$V270)</f>
        <v>250</v>
      </c>
      <c r="CJ270" s="8" cm="1">
        <f t="array" ref="CJ270">SUMPRODUCT(TRANSPOSE(CJ$2:CJ$15),$I270:$V270)</f>
        <v>200</v>
      </c>
      <c r="CK270" s="8" cm="1">
        <f t="array" ref="CK270">SUMPRODUCT(TRANSPOSE(CK$2:CK$15),$I270:$V270)</f>
        <v>200</v>
      </c>
      <c r="CL270" s="8" cm="1">
        <f t="array" ref="CL270">SUMPRODUCT(TRANSPOSE(CL$2:CL$15),$I270:$V270)</f>
        <v>200</v>
      </c>
      <c r="CM270" s="8" cm="1">
        <f t="array" ref="CM270">SUMPRODUCT(TRANSPOSE(CM$2:CM$15),$I270:$V270)</f>
        <v>300</v>
      </c>
      <c r="CN270" s="8" cm="1">
        <f t="array" ref="CN270">SUMPRODUCT(TRANSPOSE(CN$2:CN$15),$I270:$V270)</f>
        <v>260</v>
      </c>
      <c r="CO270" s="8" cm="1">
        <f t="array" ref="CO270">SUMPRODUCT(TRANSPOSE(CO$2:CO$15),$I270:$V270)</f>
        <v>0</v>
      </c>
      <c r="CP270" s="8" cm="1">
        <f t="array" ref="CP270">SUMPRODUCT(TRANSPOSE(CP$2:CP$15),$I270:$V270)</f>
        <v>0</v>
      </c>
      <c r="CQ270" s="8" cm="1">
        <f t="array" ref="CQ270">SUMPRODUCT(TRANSPOSE(CQ$2:CQ$15),$I270:$V270)</f>
        <v>0</v>
      </c>
    </row>
    <row r="271" spans="1:95" x14ac:dyDescent="0.25">
      <c r="A271" s="1">
        <v>176</v>
      </c>
      <c r="B271" s="11" t="s">
        <v>678</v>
      </c>
      <c r="C271" s="1" t="s">
        <v>49</v>
      </c>
      <c r="D271" s="1">
        <v>400700883</v>
      </c>
      <c r="E271" s="6" t="str">
        <f>VLOOKUP(D271,FFF!$A$2:$B$674,2,)</f>
        <v>FFF003813</v>
      </c>
      <c r="F271" s="1" t="s">
        <v>679</v>
      </c>
      <c r="G271" s="1" t="s">
        <v>35</v>
      </c>
      <c r="H271" s="1">
        <v>1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1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f>SUMPRODUCT(I271:V271,$I$13:$V$13)</f>
        <v>1660</v>
      </c>
      <c r="X271" s="6">
        <f t="shared" si="5"/>
        <v>2.2229999999999997E-3</v>
      </c>
      <c r="Y271" s="1" t="str">
        <f>VLOOKUP(D271,[1]PARTS!$A$1:$G$65536,7,0)</f>
        <v>VISHAY RESISTIVE SYSTEMS</v>
      </c>
      <c r="Z271" s="1">
        <f>VLOOKUP(D271,[2]pareto!$D$12:$AX$306,44,0)</f>
        <v>5000</v>
      </c>
      <c r="AA271" s="1">
        <f>VLOOKUP(D271,[2]pareto!$D$12:$AX$306,45,0)</f>
        <v>5000</v>
      </c>
      <c r="AB271" s="1">
        <f>CEILING(W271,Z271)</f>
        <v>5000</v>
      </c>
      <c r="AC271" s="1">
        <f>VLOOKUP(D271,[2]pareto!$D$12:$AX$306,47,0)</f>
        <v>2.2229999999999997E-3</v>
      </c>
      <c r="AD271" s="1" t="s">
        <v>85</v>
      </c>
      <c r="AE271" s="1" t="s">
        <v>86</v>
      </c>
      <c r="AF271" s="19" t="s">
        <v>87</v>
      </c>
      <c r="AG271" s="1" t="s">
        <v>88</v>
      </c>
      <c r="BG271" s="8">
        <f>SUM($BB271,$AI271:AI271)-SUM($BY271:BZ271)</f>
        <v>0</v>
      </c>
      <c r="BH271" s="8">
        <f>SUM($BB271,$AI271:AJ271)-SUM($BY271:CA271)</f>
        <v>0</v>
      </c>
      <c r="BI271" s="8">
        <f>SUM($BB271,$AI271:AK271)-SUM($BY271:CB271)</f>
        <v>0</v>
      </c>
      <c r="BJ271" s="8">
        <f>SUM($BB271,$AI271:AL271)-SUM($BY271:CC271)</f>
        <v>0</v>
      </c>
      <c r="BK271" s="8">
        <f>SUM($BB271,$AI271:AM271)-SUM($BY271:CD271)</f>
        <v>0</v>
      </c>
      <c r="BL271" s="8">
        <f>SUM($BB271,$AI271:AN271)-SUM($BY271:CE271)</f>
        <v>0</v>
      </c>
      <c r="BM271" s="8">
        <f>SUM($BB271,$AI271:AO271)-SUM($BY271:CF271)</f>
        <v>0</v>
      </c>
      <c r="BN271" s="8">
        <f>SUM($BB271,$AI271:AP271)-SUM($BY271:CG271)</f>
        <v>-100</v>
      </c>
      <c r="BO271" s="8">
        <f>SUM($BB271,$AI271:AQ271)-SUM($BY271:CH271)</f>
        <v>-250</v>
      </c>
      <c r="BP271" s="8">
        <f>SUM($BB271,$AI271:AR271)-SUM($BY271:CI271)</f>
        <v>-500</v>
      </c>
      <c r="BQ271" s="8">
        <f>SUM($BB271,$AI271:AS271)-SUM($BY271:CJ271)</f>
        <v>-700</v>
      </c>
      <c r="BR271" s="8">
        <f>SUM($BB271,$AI271:AT271)-SUM($BY271:CK271)</f>
        <v>-900</v>
      </c>
      <c r="BS271" s="8">
        <f>SUM($BB271,$AI271:AU271)-SUM($BY271:CL271)</f>
        <v>-1100</v>
      </c>
      <c r="BT271" s="8">
        <f>SUM($BB271,$AI271:AV271)-SUM($BY271:CM271)</f>
        <v>-1400</v>
      </c>
      <c r="BU271" s="8">
        <f>SUM($BB271,$AI271:AW271)-SUM($BY271:CN271)</f>
        <v>-1660</v>
      </c>
      <c r="BV271" s="8">
        <f>SUM($BB271,$AI271:AX271)-SUM($BY271:CO271)</f>
        <v>-1660</v>
      </c>
      <c r="BW271" s="8">
        <f>SUM($BB271,$AI271:AY271)-SUM($BY271:CP271)</f>
        <v>-1660</v>
      </c>
      <c r="BX271" s="8">
        <f>SUM($BB271,$AI271:AZ271)-SUM($BY271:CQ271)</f>
        <v>-1660</v>
      </c>
      <c r="BY271" s="8" cm="1">
        <f t="array" ref="BY271">SUMPRODUCT(TRANSPOSE(BY$2:BY$15),$I271:$V271)</f>
        <v>0</v>
      </c>
      <c r="BZ271" s="8" cm="1">
        <f t="array" ref="BZ271">SUMPRODUCT(TRANSPOSE(BZ$2:BZ$15),$I271:$V271)</f>
        <v>0</v>
      </c>
      <c r="CA271" s="8" cm="1">
        <f t="array" ref="CA271">SUMPRODUCT(TRANSPOSE(CA$2:CA$15),$I271:$V271)</f>
        <v>0</v>
      </c>
      <c r="CB271" s="8" cm="1">
        <f t="array" ref="CB271">SUMPRODUCT(TRANSPOSE(CB$2:CB$15),$I271:$V271)</f>
        <v>0</v>
      </c>
      <c r="CC271" s="8" cm="1">
        <f t="array" ref="CC271">SUMPRODUCT(TRANSPOSE(CC$2:CC$15),$I271:$V271)</f>
        <v>0</v>
      </c>
      <c r="CD271" s="8" cm="1">
        <f t="array" ref="CD271">SUMPRODUCT(TRANSPOSE(CD$2:CD$15),$I271:$V271)</f>
        <v>0</v>
      </c>
      <c r="CE271" s="8" cm="1">
        <f t="array" ref="CE271">SUMPRODUCT(TRANSPOSE(CE$2:CE$15),$I271:$V271)</f>
        <v>0</v>
      </c>
      <c r="CF271" s="8" cm="1">
        <f t="array" ref="CF271">SUMPRODUCT(TRANSPOSE(CF$2:CF$15),$I271:$V271)</f>
        <v>0</v>
      </c>
      <c r="CG271" s="8" cm="1">
        <f t="array" ref="CG271">SUMPRODUCT(TRANSPOSE(CG$2:CG$15),$I271:$V271)</f>
        <v>100</v>
      </c>
      <c r="CH271" s="8" cm="1">
        <f t="array" ref="CH271">SUMPRODUCT(TRANSPOSE(CH$2:CH$15),$I271:$V271)</f>
        <v>150</v>
      </c>
      <c r="CI271" s="8" cm="1">
        <f t="array" ref="CI271">SUMPRODUCT(TRANSPOSE(CI$2:CI$15),$I271:$V271)</f>
        <v>250</v>
      </c>
      <c r="CJ271" s="8" cm="1">
        <f t="array" ref="CJ271">SUMPRODUCT(TRANSPOSE(CJ$2:CJ$15),$I271:$V271)</f>
        <v>200</v>
      </c>
      <c r="CK271" s="8" cm="1">
        <f t="array" ref="CK271">SUMPRODUCT(TRANSPOSE(CK$2:CK$15),$I271:$V271)</f>
        <v>200</v>
      </c>
      <c r="CL271" s="8" cm="1">
        <f t="array" ref="CL271">SUMPRODUCT(TRANSPOSE(CL$2:CL$15),$I271:$V271)</f>
        <v>200</v>
      </c>
      <c r="CM271" s="8" cm="1">
        <f t="array" ref="CM271">SUMPRODUCT(TRANSPOSE(CM$2:CM$15),$I271:$V271)</f>
        <v>300</v>
      </c>
      <c r="CN271" s="8" cm="1">
        <f t="array" ref="CN271">SUMPRODUCT(TRANSPOSE(CN$2:CN$15),$I271:$V271)</f>
        <v>260</v>
      </c>
      <c r="CO271" s="8" cm="1">
        <f t="array" ref="CO271">SUMPRODUCT(TRANSPOSE(CO$2:CO$15),$I271:$V271)</f>
        <v>0</v>
      </c>
      <c r="CP271" s="8" cm="1">
        <f t="array" ref="CP271">SUMPRODUCT(TRANSPOSE(CP$2:CP$15),$I271:$V271)</f>
        <v>0</v>
      </c>
      <c r="CQ271" s="8" cm="1">
        <f t="array" ref="CQ271">SUMPRODUCT(TRANSPOSE(CQ$2:CQ$15),$I271:$V271)</f>
        <v>0</v>
      </c>
    </row>
    <row r="272" spans="1:95" x14ac:dyDescent="0.25">
      <c r="A272" s="1">
        <v>181</v>
      </c>
      <c r="B272" s="11" t="s">
        <v>680</v>
      </c>
      <c r="C272" s="1" t="s">
        <v>49</v>
      </c>
      <c r="D272" s="1">
        <v>401466052</v>
      </c>
      <c r="E272" s="6" t="str">
        <f>VLOOKUP(D272,FFF!$A$2:$B$674,2,)</f>
        <v>FFF004308</v>
      </c>
      <c r="F272" s="1" t="s">
        <v>681</v>
      </c>
      <c r="G272" s="1" t="s">
        <v>35</v>
      </c>
      <c r="H272" s="1">
        <v>1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1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f>SUMPRODUCT(I272:V272,$I$13:$V$13)</f>
        <v>1660</v>
      </c>
      <c r="X272" s="6">
        <f t="shared" si="5"/>
        <v>2.2229999999999997E-3</v>
      </c>
      <c r="Y272" s="1" t="str">
        <f>VLOOKUP(D272,[1]PARTS!$A$1:$G$65536,7,0)</f>
        <v>VISHAY RESISTIVE SYSTEMS</v>
      </c>
      <c r="Z272" s="1">
        <f>VLOOKUP(D272,[2]pareto!$D$12:$AX$306,44,0)</f>
        <v>5000</v>
      </c>
      <c r="AA272" s="1">
        <f>VLOOKUP(D272,[2]pareto!$D$12:$AX$306,45,0)</f>
        <v>5000</v>
      </c>
      <c r="AB272" s="1">
        <f>CEILING(W272,Z272)</f>
        <v>5000</v>
      </c>
      <c r="AC272" s="1">
        <f>VLOOKUP(D272,[2]pareto!$D$12:$AX$306,47,0)</f>
        <v>2.2229999999999997E-3</v>
      </c>
      <c r="AD272" s="1" t="s">
        <v>85</v>
      </c>
      <c r="AE272" s="1" t="s">
        <v>86</v>
      </c>
      <c r="AF272" s="19" t="s">
        <v>87</v>
      </c>
      <c r="AG272" s="1" t="s">
        <v>88</v>
      </c>
      <c r="BG272" s="8">
        <f>SUM($BB272,$AI272:AI272)-SUM($BY272:BZ272)</f>
        <v>0</v>
      </c>
      <c r="BH272" s="8">
        <f>SUM($BB272,$AI272:AJ272)-SUM($BY272:CA272)</f>
        <v>0</v>
      </c>
      <c r="BI272" s="8">
        <f>SUM($BB272,$AI272:AK272)-SUM($BY272:CB272)</f>
        <v>0</v>
      </c>
      <c r="BJ272" s="8">
        <f>SUM($BB272,$AI272:AL272)-SUM($BY272:CC272)</f>
        <v>0</v>
      </c>
      <c r="BK272" s="8">
        <f>SUM($BB272,$AI272:AM272)-SUM($BY272:CD272)</f>
        <v>0</v>
      </c>
      <c r="BL272" s="8">
        <f>SUM($BB272,$AI272:AN272)-SUM($BY272:CE272)</f>
        <v>0</v>
      </c>
      <c r="BM272" s="8">
        <f>SUM($BB272,$AI272:AO272)-SUM($BY272:CF272)</f>
        <v>0</v>
      </c>
      <c r="BN272" s="8">
        <f>SUM($BB272,$AI272:AP272)-SUM($BY272:CG272)</f>
        <v>-100</v>
      </c>
      <c r="BO272" s="8">
        <f>SUM($BB272,$AI272:AQ272)-SUM($BY272:CH272)</f>
        <v>-250</v>
      </c>
      <c r="BP272" s="8">
        <f>SUM($BB272,$AI272:AR272)-SUM($BY272:CI272)</f>
        <v>-500</v>
      </c>
      <c r="BQ272" s="8">
        <f>SUM($BB272,$AI272:AS272)-SUM($BY272:CJ272)</f>
        <v>-700</v>
      </c>
      <c r="BR272" s="8">
        <f>SUM($BB272,$AI272:AT272)-SUM($BY272:CK272)</f>
        <v>-900</v>
      </c>
      <c r="BS272" s="8">
        <f>SUM($BB272,$AI272:AU272)-SUM($BY272:CL272)</f>
        <v>-1100</v>
      </c>
      <c r="BT272" s="8">
        <f>SUM($BB272,$AI272:AV272)-SUM($BY272:CM272)</f>
        <v>-1400</v>
      </c>
      <c r="BU272" s="8">
        <f>SUM($BB272,$AI272:AW272)-SUM($BY272:CN272)</f>
        <v>-1660</v>
      </c>
      <c r="BV272" s="8">
        <f>SUM($BB272,$AI272:AX272)-SUM($BY272:CO272)</f>
        <v>-1660</v>
      </c>
      <c r="BW272" s="8">
        <f>SUM($BB272,$AI272:AY272)-SUM($BY272:CP272)</f>
        <v>-1660</v>
      </c>
      <c r="BX272" s="8">
        <f>SUM($BB272,$AI272:AZ272)-SUM($BY272:CQ272)</f>
        <v>-1660</v>
      </c>
      <c r="BY272" s="8" cm="1">
        <f t="array" ref="BY272">SUMPRODUCT(TRANSPOSE(BY$2:BY$15),$I272:$V272)</f>
        <v>0</v>
      </c>
      <c r="BZ272" s="8" cm="1">
        <f t="array" ref="BZ272">SUMPRODUCT(TRANSPOSE(BZ$2:BZ$15),$I272:$V272)</f>
        <v>0</v>
      </c>
      <c r="CA272" s="8" cm="1">
        <f t="array" ref="CA272">SUMPRODUCT(TRANSPOSE(CA$2:CA$15),$I272:$V272)</f>
        <v>0</v>
      </c>
      <c r="CB272" s="8" cm="1">
        <f t="array" ref="CB272">SUMPRODUCT(TRANSPOSE(CB$2:CB$15),$I272:$V272)</f>
        <v>0</v>
      </c>
      <c r="CC272" s="8" cm="1">
        <f t="array" ref="CC272">SUMPRODUCT(TRANSPOSE(CC$2:CC$15),$I272:$V272)</f>
        <v>0</v>
      </c>
      <c r="CD272" s="8" cm="1">
        <f t="array" ref="CD272">SUMPRODUCT(TRANSPOSE(CD$2:CD$15),$I272:$V272)</f>
        <v>0</v>
      </c>
      <c r="CE272" s="8" cm="1">
        <f t="array" ref="CE272">SUMPRODUCT(TRANSPOSE(CE$2:CE$15),$I272:$V272)</f>
        <v>0</v>
      </c>
      <c r="CF272" s="8" cm="1">
        <f t="array" ref="CF272">SUMPRODUCT(TRANSPOSE(CF$2:CF$15),$I272:$V272)</f>
        <v>0</v>
      </c>
      <c r="CG272" s="8" cm="1">
        <f t="array" ref="CG272">SUMPRODUCT(TRANSPOSE(CG$2:CG$15),$I272:$V272)</f>
        <v>100</v>
      </c>
      <c r="CH272" s="8" cm="1">
        <f t="array" ref="CH272">SUMPRODUCT(TRANSPOSE(CH$2:CH$15),$I272:$V272)</f>
        <v>150</v>
      </c>
      <c r="CI272" s="8" cm="1">
        <f t="array" ref="CI272">SUMPRODUCT(TRANSPOSE(CI$2:CI$15),$I272:$V272)</f>
        <v>250</v>
      </c>
      <c r="CJ272" s="8" cm="1">
        <f t="array" ref="CJ272">SUMPRODUCT(TRANSPOSE(CJ$2:CJ$15),$I272:$V272)</f>
        <v>200</v>
      </c>
      <c r="CK272" s="8" cm="1">
        <f t="array" ref="CK272">SUMPRODUCT(TRANSPOSE(CK$2:CK$15),$I272:$V272)</f>
        <v>200</v>
      </c>
      <c r="CL272" s="8" cm="1">
        <f t="array" ref="CL272">SUMPRODUCT(TRANSPOSE(CL$2:CL$15),$I272:$V272)</f>
        <v>200</v>
      </c>
      <c r="CM272" s="8" cm="1">
        <f t="array" ref="CM272">SUMPRODUCT(TRANSPOSE(CM$2:CM$15),$I272:$V272)</f>
        <v>300</v>
      </c>
      <c r="CN272" s="8" cm="1">
        <f t="array" ref="CN272">SUMPRODUCT(TRANSPOSE(CN$2:CN$15),$I272:$V272)</f>
        <v>260</v>
      </c>
      <c r="CO272" s="8" cm="1">
        <f t="array" ref="CO272">SUMPRODUCT(TRANSPOSE(CO$2:CO$15),$I272:$V272)</f>
        <v>0</v>
      </c>
      <c r="CP272" s="8" cm="1">
        <f t="array" ref="CP272">SUMPRODUCT(TRANSPOSE(CP$2:CP$15),$I272:$V272)</f>
        <v>0</v>
      </c>
      <c r="CQ272" s="8" cm="1">
        <f t="array" ref="CQ272">SUMPRODUCT(TRANSPOSE(CQ$2:CQ$15),$I272:$V272)</f>
        <v>0</v>
      </c>
    </row>
    <row r="273" spans="1:95" s="6" customFormat="1" x14ac:dyDescent="0.25">
      <c r="A273" s="1">
        <v>192</v>
      </c>
      <c r="B273" s="11" t="s">
        <v>682</v>
      </c>
      <c r="C273" s="1" t="s">
        <v>49</v>
      </c>
      <c r="D273" s="1">
        <v>401053377</v>
      </c>
      <c r="E273" s="6" t="str">
        <f>VLOOKUP(D273,FFF!$A$2:$B$674,2,)</f>
        <v>FFF004174</v>
      </c>
      <c r="F273" s="1" t="s">
        <v>683</v>
      </c>
      <c r="G273" s="1" t="s">
        <v>35</v>
      </c>
      <c r="H273" s="1">
        <v>1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1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f>SUMPRODUCT(I273:V273,$I$13:$V$13)</f>
        <v>1660</v>
      </c>
      <c r="X273" s="6">
        <f t="shared" si="5"/>
        <v>2.2229999999999997E-3</v>
      </c>
      <c r="Y273" s="1" t="str">
        <f>VLOOKUP(D273,[1]PARTS!$A$1:$G$65536,7,0)</f>
        <v>VISHAY RESISTIVE SYSTEMS</v>
      </c>
      <c r="Z273" s="1">
        <f>VLOOKUP(D273,[2]pareto!$D$12:$AX$306,44,0)</f>
        <v>5000</v>
      </c>
      <c r="AA273" s="1">
        <f>VLOOKUP(D273,[2]pareto!$D$12:$AX$306,45,0)</f>
        <v>5000</v>
      </c>
      <c r="AB273" s="1">
        <f>CEILING(W273,Z273)</f>
        <v>5000</v>
      </c>
      <c r="AC273" s="1">
        <f>VLOOKUP(D273,[2]pareto!$D$12:$AX$306,47,0)</f>
        <v>2.2229999999999997E-3</v>
      </c>
      <c r="AD273" s="1" t="s">
        <v>85</v>
      </c>
      <c r="AE273" s="1" t="s">
        <v>86</v>
      </c>
      <c r="AF273" s="19" t="s">
        <v>87</v>
      </c>
      <c r="AG273" s="1" t="s">
        <v>88</v>
      </c>
      <c r="AH273" s="1"/>
      <c r="BG273" s="8">
        <f>SUM($BB273,$AI273:AI273)-SUM($BY273:BZ273)</f>
        <v>0</v>
      </c>
      <c r="BH273" s="8">
        <f>SUM($BB273,$AI273:AJ273)-SUM($BY273:CA273)</f>
        <v>0</v>
      </c>
      <c r="BI273" s="8">
        <f>SUM($BB273,$AI273:AK273)-SUM($BY273:CB273)</f>
        <v>0</v>
      </c>
      <c r="BJ273" s="8">
        <f>SUM($BB273,$AI273:AL273)-SUM($BY273:CC273)</f>
        <v>0</v>
      </c>
      <c r="BK273" s="8">
        <f>SUM($BB273,$AI273:AM273)-SUM($BY273:CD273)</f>
        <v>0</v>
      </c>
      <c r="BL273" s="8">
        <f>SUM($BB273,$AI273:AN273)-SUM($BY273:CE273)</f>
        <v>0</v>
      </c>
      <c r="BM273" s="8">
        <f>SUM($BB273,$AI273:AO273)-SUM($BY273:CF273)</f>
        <v>0</v>
      </c>
      <c r="BN273" s="8">
        <f>SUM($BB273,$AI273:AP273)-SUM($BY273:CG273)</f>
        <v>-100</v>
      </c>
      <c r="BO273" s="8">
        <f>SUM($BB273,$AI273:AQ273)-SUM($BY273:CH273)</f>
        <v>-250</v>
      </c>
      <c r="BP273" s="8">
        <f>SUM($BB273,$AI273:AR273)-SUM($BY273:CI273)</f>
        <v>-500</v>
      </c>
      <c r="BQ273" s="8">
        <f>SUM($BB273,$AI273:AS273)-SUM($BY273:CJ273)</f>
        <v>-700</v>
      </c>
      <c r="BR273" s="8">
        <f>SUM($BB273,$AI273:AT273)-SUM($BY273:CK273)</f>
        <v>-900</v>
      </c>
      <c r="BS273" s="8">
        <f>SUM($BB273,$AI273:AU273)-SUM($BY273:CL273)</f>
        <v>-1100</v>
      </c>
      <c r="BT273" s="8">
        <f>SUM($BB273,$AI273:AV273)-SUM($BY273:CM273)</f>
        <v>-1400</v>
      </c>
      <c r="BU273" s="8">
        <f>SUM($BB273,$AI273:AW273)-SUM($BY273:CN273)</f>
        <v>-1660</v>
      </c>
      <c r="BV273" s="8">
        <f>SUM($BB273,$AI273:AX273)-SUM($BY273:CO273)</f>
        <v>-1660</v>
      </c>
      <c r="BW273" s="8">
        <f>SUM($BB273,$AI273:AY273)-SUM($BY273:CP273)</f>
        <v>-1660</v>
      </c>
      <c r="BX273" s="8">
        <f>SUM($BB273,$AI273:AZ273)-SUM($BY273:CQ273)</f>
        <v>-1660</v>
      </c>
      <c r="BY273" s="8" cm="1">
        <f t="array" ref="BY273">SUMPRODUCT(TRANSPOSE(BY$2:BY$15),$I273:$V273)</f>
        <v>0</v>
      </c>
      <c r="BZ273" s="8" cm="1">
        <f t="array" ref="BZ273">SUMPRODUCT(TRANSPOSE(BZ$2:BZ$15),$I273:$V273)</f>
        <v>0</v>
      </c>
      <c r="CA273" s="8" cm="1">
        <f t="array" ref="CA273">SUMPRODUCT(TRANSPOSE(CA$2:CA$15),$I273:$V273)</f>
        <v>0</v>
      </c>
      <c r="CB273" s="8" cm="1">
        <f t="array" ref="CB273">SUMPRODUCT(TRANSPOSE(CB$2:CB$15),$I273:$V273)</f>
        <v>0</v>
      </c>
      <c r="CC273" s="8" cm="1">
        <f t="array" ref="CC273">SUMPRODUCT(TRANSPOSE(CC$2:CC$15),$I273:$V273)</f>
        <v>0</v>
      </c>
      <c r="CD273" s="8" cm="1">
        <f t="array" ref="CD273">SUMPRODUCT(TRANSPOSE(CD$2:CD$15),$I273:$V273)</f>
        <v>0</v>
      </c>
      <c r="CE273" s="8" cm="1">
        <f t="array" ref="CE273">SUMPRODUCT(TRANSPOSE(CE$2:CE$15),$I273:$V273)</f>
        <v>0</v>
      </c>
      <c r="CF273" s="8" cm="1">
        <f t="array" ref="CF273">SUMPRODUCT(TRANSPOSE(CF$2:CF$15),$I273:$V273)</f>
        <v>0</v>
      </c>
      <c r="CG273" s="8" cm="1">
        <f t="array" ref="CG273">SUMPRODUCT(TRANSPOSE(CG$2:CG$15),$I273:$V273)</f>
        <v>100</v>
      </c>
      <c r="CH273" s="8" cm="1">
        <f t="array" ref="CH273">SUMPRODUCT(TRANSPOSE(CH$2:CH$15),$I273:$V273)</f>
        <v>150</v>
      </c>
      <c r="CI273" s="8" cm="1">
        <f t="array" ref="CI273">SUMPRODUCT(TRANSPOSE(CI$2:CI$15),$I273:$V273)</f>
        <v>250</v>
      </c>
      <c r="CJ273" s="8" cm="1">
        <f t="array" ref="CJ273">SUMPRODUCT(TRANSPOSE(CJ$2:CJ$15),$I273:$V273)</f>
        <v>200</v>
      </c>
      <c r="CK273" s="8" cm="1">
        <f t="array" ref="CK273">SUMPRODUCT(TRANSPOSE(CK$2:CK$15),$I273:$V273)</f>
        <v>200</v>
      </c>
      <c r="CL273" s="8" cm="1">
        <f t="array" ref="CL273">SUMPRODUCT(TRANSPOSE(CL$2:CL$15),$I273:$V273)</f>
        <v>200</v>
      </c>
      <c r="CM273" s="8" cm="1">
        <f t="array" ref="CM273">SUMPRODUCT(TRANSPOSE(CM$2:CM$15),$I273:$V273)</f>
        <v>300</v>
      </c>
      <c r="CN273" s="8" cm="1">
        <f t="array" ref="CN273">SUMPRODUCT(TRANSPOSE(CN$2:CN$15),$I273:$V273)</f>
        <v>260</v>
      </c>
      <c r="CO273" s="8" cm="1">
        <f t="array" ref="CO273">SUMPRODUCT(TRANSPOSE(CO$2:CO$15),$I273:$V273)</f>
        <v>0</v>
      </c>
      <c r="CP273" s="8" cm="1">
        <f t="array" ref="CP273">SUMPRODUCT(TRANSPOSE(CP$2:CP$15),$I273:$V273)</f>
        <v>0</v>
      </c>
      <c r="CQ273" s="8" cm="1">
        <f t="array" ref="CQ273">SUMPRODUCT(TRANSPOSE(CQ$2:CQ$15),$I273:$V273)</f>
        <v>0</v>
      </c>
    </row>
    <row r="274" spans="1:95" s="6" customFormat="1" x14ac:dyDescent="0.25">
      <c r="A274" s="1">
        <v>29</v>
      </c>
      <c r="B274" s="11" t="s">
        <v>684</v>
      </c>
      <c r="C274" s="1" t="s">
        <v>68</v>
      </c>
      <c r="D274" s="1">
        <v>408504408</v>
      </c>
      <c r="F274" s="1" t="s">
        <v>685</v>
      </c>
      <c r="G274" s="1" t="s">
        <v>35</v>
      </c>
      <c r="H274" s="1">
        <v>1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1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f>SUMPRODUCT(I274:V274,$I$13:$V$13)</f>
        <v>1660</v>
      </c>
      <c r="X274" s="6">
        <f t="shared" si="5"/>
        <v>1.9</v>
      </c>
      <c r="Y274" s="1"/>
      <c r="Z274" s="1">
        <v>1</v>
      </c>
      <c r="AA274" s="1">
        <v>1640</v>
      </c>
      <c r="AB274" s="1">
        <f>CEILING(W274,Z274)</f>
        <v>1660</v>
      </c>
      <c r="AC274" s="1">
        <v>1.9</v>
      </c>
      <c r="AD274" s="1" t="s">
        <v>686</v>
      </c>
      <c r="AE274" s="1" t="s">
        <v>687</v>
      </c>
      <c r="AF274" s="12" t="s">
        <v>688</v>
      </c>
      <c r="AG274" s="1" t="s">
        <v>689</v>
      </c>
      <c r="AH274" s="1"/>
      <c r="BG274" s="8">
        <f>SUM($BB274,$AI274:AI274)-SUM($BY274:BZ274)</f>
        <v>0</v>
      </c>
      <c r="BH274" s="8">
        <f>SUM($BB274,$AI274:AJ274)-SUM($BY274:CA274)</f>
        <v>0</v>
      </c>
      <c r="BI274" s="8">
        <f>SUM($BB274,$AI274:AK274)-SUM($BY274:CB274)</f>
        <v>0</v>
      </c>
      <c r="BJ274" s="8">
        <f>SUM($BB274,$AI274:AL274)-SUM($BY274:CC274)</f>
        <v>0</v>
      </c>
      <c r="BK274" s="8">
        <f>SUM($BB274,$AI274:AM274)-SUM($BY274:CD274)</f>
        <v>0</v>
      </c>
      <c r="BL274" s="8">
        <f>SUM($BB274,$AI274:AN274)-SUM($BY274:CE274)</f>
        <v>0</v>
      </c>
      <c r="BM274" s="8">
        <f>SUM($BB274,$AI274:AO274)-SUM($BY274:CF274)</f>
        <v>0</v>
      </c>
      <c r="BN274" s="8">
        <f>SUM($BB274,$AI274:AP274)-SUM($BY274:CG274)</f>
        <v>0</v>
      </c>
      <c r="BO274" s="8">
        <f>SUM($BB274,$AI274:AQ274)-SUM($BY274:CH274)</f>
        <v>0</v>
      </c>
      <c r="BP274" s="8">
        <f>SUM($BB274,$AI274:AR274)-SUM($BY274:CI274)</f>
        <v>-100</v>
      </c>
      <c r="BQ274" s="8">
        <f>SUM($BB274,$AI274:AS274)-SUM($BY274:CJ274)</f>
        <v>-250</v>
      </c>
      <c r="BR274" s="8">
        <f>SUM($BB274,$AI274:AT274)-SUM($BY274:CK274)</f>
        <v>-500</v>
      </c>
      <c r="BS274" s="8">
        <f>SUM($BB274,$AI274:AU274)-SUM($BY274:CL274)</f>
        <v>-700</v>
      </c>
      <c r="BT274" s="8">
        <f>SUM($BB274,$AI274:AV274)-SUM($BY274:CM274)</f>
        <v>-900</v>
      </c>
      <c r="BU274" s="8">
        <f>SUM($BB274,$AI274:AW274)-SUM($BY274:CN274)</f>
        <v>-1100</v>
      </c>
      <c r="BV274" s="8">
        <f>SUM($BB274,$AI274:AX274)-SUM($BY274:CO274)</f>
        <v>-1400</v>
      </c>
      <c r="BW274" s="8">
        <f>SUM($BB274,$AI274:AY274)-SUM($BY274:CP274)</f>
        <v>-1660</v>
      </c>
      <c r="BX274" s="8">
        <f>SUM($BB274,$AI274:AZ274)-SUM($BY274:CQ274)</f>
        <v>-1660</v>
      </c>
      <c r="BY274" s="8" cm="1">
        <f t="array" ref="BY274">SUMPRODUCT(TRANSPOSE(BY$2:BY$15),$I274:$V274)</f>
        <v>0</v>
      </c>
      <c r="BZ274" s="8" cm="1">
        <f t="array" ref="BZ274">SUMPRODUCT(TRANSPOSE(BZ$2:BZ$15),$I274:$V274)</f>
        <v>0</v>
      </c>
      <c r="CA274" s="8" cm="1">
        <f t="array" ref="CA274">SUMPRODUCT(TRANSPOSE(CA$2:CA$15),$I274:$V274)</f>
        <v>0</v>
      </c>
      <c r="CB274" s="8" cm="1">
        <f t="array" ref="CB274">SUMPRODUCT(TRANSPOSE(CB$2:CB$15),$I274:$V274)</f>
        <v>0</v>
      </c>
      <c r="CC274" s="8" cm="1">
        <f t="array" ref="CC274">SUMPRODUCT(TRANSPOSE(CC$2:CC$15),$I274:$V274)</f>
        <v>0</v>
      </c>
      <c r="CD274" s="8" cm="1">
        <f t="array" ref="CD274">SUMPRODUCT(TRANSPOSE(CD$2:CD$15),$I274:$V274)</f>
        <v>0</v>
      </c>
      <c r="CE274" s="8" cm="1">
        <f t="array" ref="CE274">SUMPRODUCT(TRANSPOSE(CE$2:CE$15),$I274:$V274)</f>
        <v>0</v>
      </c>
      <c r="CF274" s="8" cm="1">
        <f t="array" ref="CF274">SUMPRODUCT(TRANSPOSE(CF$2:CF$15),$I274:$V274)</f>
        <v>0</v>
      </c>
      <c r="CG274" s="8" cm="1">
        <f t="array" ref="CG274">SUMPRODUCT(TRANSPOSE(CG$2:CG$15),$I274:$V274)</f>
        <v>0</v>
      </c>
      <c r="CH274" s="8" cm="1">
        <f t="array" ref="CH274">SUMPRODUCT(TRANSPOSE(CH$2:CH$15),$I274:$V274)</f>
        <v>0</v>
      </c>
      <c r="CI274" s="8" cm="1">
        <f t="array" ref="CI274">SUMPRODUCT(TRANSPOSE(CI$2:CI$15),$I274:$V274)</f>
        <v>100</v>
      </c>
      <c r="CJ274" s="8" cm="1">
        <f t="array" ref="CJ274">SUMPRODUCT(TRANSPOSE(CJ$2:CJ$15),$I274:$V274)</f>
        <v>150</v>
      </c>
      <c r="CK274" s="8" cm="1">
        <f t="array" ref="CK274">SUMPRODUCT(TRANSPOSE(CK$2:CK$15),$I274:$V274)</f>
        <v>250</v>
      </c>
      <c r="CL274" s="8" cm="1">
        <f t="array" ref="CL274">SUMPRODUCT(TRANSPOSE(CL$2:CL$15),$I274:$V274)</f>
        <v>200</v>
      </c>
      <c r="CM274" s="8" cm="1">
        <f t="array" ref="CM274">SUMPRODUCT(TRANSPOSE(CM$2:CM$15),$I274:$V274)</f>
        <v>200</v>
      </c>
      <c r="CN274" s="8" cm="1">
        <f t="array" ref="CN274">SUMPRODUCT(TRANSPOSE(CN$2:CN$15),$I274:$V274)</f>
        <v>200</v>
      </c>
      <c r="CO274" s="8" cm="1">
        <f t="array" ref="CO274">SUMPRODUCT(TRANSPOSE(CO$2:CO$15),$I274:$V274)</f>
        <v>300</v>
      </c>
      <c r="CP274" s="8" cm="1">
        <f t="array" ref="CP274">SUMPRODUCT(TRANSPOSE(CP$2:CP$15),$I274:$V274)</f>
        <v>260</v>
      </c>
      <c r="CQ274" s="8" cm="1">
        <f t="array" ref="CQ274">SUMPRODUCT(TRANSPOSE(CQ$2:CQ$15),$I274:$V274)</f>
        <v>0</v>
      </c>
    </row>
    <row r="275" spans="1:95" x14ac:dyDescent="0.25">
      <c r="A275" s="1">
        <v>55</v>
      </c>
      <c r="B275" s="11" t="s">
        <v>690</v>
      </c>
      <c r="C275" s="1" t="s">
        <v>68</v>
      </c>
      <c r="D275" s="1">
        <v>421326248</v>
      </c>
      <c r="E275" s="6"/>
      <c r="F275" s="1" t="s">
        <v>691</v>
      </c>
      <c r="G275" s="1" t="s">
        <v>35</v>
      </c>
      <c r="H275" s="1">
        <v>1</v>
      </c>
      <c r="I275" s="1">
        <v>1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f>SUMPRODUCT(I275:V275,$I$13:$V$13)</f>
        <v>1550</v>
      </c>
      <c r="X275" s="6">
        <f t="shared" ref="X275:X297" si="6">SUM(I275:V275)*AC275</f>
        <v>1.9</v>
      </c>
      <c r="Z275" s="1">
        <v>1</v>
      </c>
      <c r="AA275" s="1">
        <v>1530</v>
      </c>
      <c r="AB275" s="1" t="s">
        <v>36</v>
      </c>
      <c r="AC275" s="1">
        <v>1.9</v>
      </c>
      <c r="AD275" s="1" t="s">
        <v>686</v>
      </c>
      <c r="AE275" s="1" t="s">
        <v>687</v>
      </c>
      <c r="AF275" s="12" t="s">
        <v>688</v>
      </c>
      <c r="AG275" s="1" t="s">
        <v>689</v>
      </c>
      <c r="BG275" s="8">
        <f>SUM($BB275,$AI275:AI275)-SUM($BY275:BZ275)</f>
        <v>0</v>
      </c>
      <c r="BH275" s="8">
        <f>SUM($BB275,$AI275:AJ275)-SUM($BY275:CA275)</f>
        <v>0</v>
      </c>
      <c r="BI275" s="8">
        <f>SUM($BB275,$AI275:AK275)-SUM($BY275:CB275)</f>
        <v>0</v>
      </c>
      <c r="BJ275" s="8">
        <f>SUM($BB275,$AI275:AL275)-SUM($BY275:CC275)</f>
        <v>0</v>
      </c>
      <c r="BK275" s="8">
        <f>SUM($BB275,$AI275:AM275)-SUM($BY275:CD275)</f>
        <v>0</v>
      </c>
      <c r="BL275" s="8">
        <f>SUM($BB275,$AI275:AN275)-SUM($BY275:CE275)</f>
        <v>0</v>
      </c>
      <c r="BM275" s="8">
        <f>SUM($BB275,$AI275:AO275)-SUM($BY275:CF275)</f>
        <v>0</v>
      </c>
      <c r="BN275" s="8">
        <f>SUM($BB275,$AI275:AP275)-SUM($BY275:CG275)</f>
        <v>0</v>
      </c>
      <c r="BO275" s="8">
        <f>SUM($BB275,$AI275:AQ275)-SUM($BY275:CH275)</f>
        <v>0</v>
      </c>
      <c r="BP275" s="8">
        <f>SUM($BB275,$AI275:AR275)-SUM($BY275:CI275)</f>
        <v>-100</v>
      </c>
      <c r="BQ275" s="8">
        <f>SUM($BB275,$AI275:AS275)-SUM($BY275:CJ275)</f>
        <v>-250</v>
      </c>
      <c r="BR275" s="8">
        <f>SUM($BB275,$AI275:AT275)-SUM($BY275:CK275)</f>
        <v>-500</v>
      </c>
      <c r="BS275" s="8">
        <f>SUM($BB275,$AI275:AU275)-SUM($BY275:CL275)</f>
        <v>-720</v>
      </c>
      <c r="BT275" s="8">
        <f>SUM($BB275,$AI275:AV275)-SUM($BY275:CM275)</f>
        <v>-920</v>
      </c>
      <c r="BU275" s="8">
        <f>SUM($BB275,$AI275:AW275)-SUM($BY275:CN275)</f>
        <v>-1070</v>
      </c>
      <c r="BV275" s="8">
        <f>SUM($BB275,$AI275:AX275)-SUM($BY275:CO275)</f>
        <v>-1310</v>
      </c>
      <c r="BW275" s="8">
        <f>SUM($BB275,$AI275:AY275)-SUM($BY275:CP275)</f>
        <v>-1550</v>
      </c>
      <c r="BX275" s="8">
        <f>SUM($BB275,$AI275:AZ275)-SUM($BY275:CQ275)</f>
        <v>-1550</v>
      </c>
      <c r="BY275" s="8" cm="1">
        <f t="array" ref="BY275">SUMPRODUCT(TRANSPOSE(BY$2:BY$15),$I275:$V275)</f>
        <v>0</v>
      </c>
      <c r="BZ275" s="8" cm="1">
        <f t="array" ref="BZ275">SUMPRODUCT(TRANSPOSE(BZ$2:BZ$15),$I275:$V275)</f>
        <v>0</v>
      </c>
      <c r="CA275" s="8" cm="1">
        <f t="array" ref="CA275">SUMPRODUCT(TRANSPOSE(CA$2:CA$15),$I275:$V275)</f>
        <v>0</v>
      </c>
      <c r="CB275" s="8" cm="1">
        <f t="array" ref="CB275">SUMPRODUCT(TRANSPOSE(CB$2:CB$15),$I275:$V275)</f>
        <v>0</v>
      </c>
      <c r="CC275" s="8" cm="1">
        <f t="array" ref="CC275">SUMPRODUCT(TRANSPOSE(CC$2:CC$15),$I275:$V275)</f>
        <v>0</v>
      </c>
      <c r="CD275" s="8" cm="1">
        <f t="array" ref="CD275">SUMPRODUCT(TRANSPOSE(CD$2:CD$15),$I275:$V275)</f>
        <v>0</v>
      </c>
      <c r="CE275" s="8" cm="1">
        <f t="array" ref="CE275">SUMPRODUCT(TRANSPOSE(CE$2:CE$15),$I275:$V275)</f>
        <v>0</v>
      </c>
      <c r="CF275" s="8" cm="1">
        <f t="array" ref="CF275">SUMPRODUCT(TRANSPOSE(CF$2:CF$15),$I275:$V275)</f>
        <v>0</v>
      </c>
      <c r="CG275" s="8" cm="1">
        <f t="array" ref="CG275">SUMPRODUCT(TRANSPOSE(CG$2:CG$15),$I275:$V275)</f>
        <v>0</v>
      </c>
      <c r="CH275" s="8" cm="1">
        <f t="array" ref="CH275">SUMPRODUCT(TRANSPOSE(CH$2:CH$15),$I275:$V275)</f>
        <v>0</v>
      </c>
      <c r="CI275" s="8" cm="1">
        <f t="array" ref="CI275">SUMPRODUCT(TRANSPOSE(CI$2:CI$15),$I275:$V275)</f>
        <v>100</v>
      </c>
      <c r="CJ275" s="8" cm="1">
        <f t="array" ref="CJ275">SUMPRODUCT(TRANSPOSE(CJ$2:CJ$15),$I275:$V275)</f>
        <v>150</v>
      </c>
      <c r="CK275" s="8" cm="1">
        <f t="array" ref="CK275">SUMPRODUCT(TRANSPOSE(CK$2:CK$15),$I275:$V275)</f>
        <v>250</v>
      </c>
      <c r="CL275" s="8" cm="1">
        <f t="array" ref="CL275">SUMPRODUCT(TRANSPOSE(CL$2:CL$15),$I275:$V275)</f>
        <v>220</v>
      </c>
      <c r="CM275" s="8" cm="1">
        <f t="array" ref="CM275">SUMPRODUCT(TRANSPOSE(CM$2:CM$15),$I275:$V275)</f>
        <v>200</v>
      </c>
      <c r="CN275" s="8" cm="1">
        <f t="array" ref="CN275">SUMPRODUCT(TRANSPOSE(CN$2:CN$15),$I275:$V275)</f>
        <v>150</v>
      </c>
      <c r="CO275" s="8" cm="1">
        <f t="array" ref="CO275">SUMPRODUCT(TRANSPOSE(CO$2:CO$15),$I275:$V275)</f>
        <v>240</v>
      </c>
      <c r="CP275" s="8" cm="1">
        <f t="array" ref="CP275">SUMPRODUCT(TRANSPOSE(CP$2:CP$15),$I275:$V275)</f>
        <v>240</v>
      </c>
      <c r="CQ275" s="8" cm="1">
        <f t="array" ref="CQ275">SUMPRODUCT(TRANSPOSE(CQ$2:CQ$15),$I275:$V275)</f>
        <v>0</v>
      </c>
    </row>
    <row r="276" spans="1:95" x14ac:dyDescent="0.25">
      <c r="A276" s="1">
        <v>7</v>
      </c>
      <c r="B276" s="11" t="s">
        <v>692</v>
      </c>
      <c r="C276" s="1" t="s">
        <v>49</v>
      </c>
      <c r="D276" s="1">
        <v>411063876</v>
      </c>
      <c r="E276" s="6">
        <f>VLOOKUP(D276,FFF!$A$2:$B$674,2,)</f>
        <v>403846606</v>
      </c>
      <c r="F276" s="1" t="s">
        <v>693</v>
      </c>
      <c r="G276" s="1" t="s">
        <v>35</v>
      </c>
      <c r="H276" s="1">
        <v>6</v>
      </c>
      <c r="I276" s="1">
        <v>0</v>
      </c>
      <c r="J276" s="1">
        <v>0</v>
      </c>
      <c r="K276" s="1">
        <v>0</v>
      </c>
      <c r="L276" s="1">
        <v>10</v>
      </c>
      <c r="M276" s="1">
        <v>3</v>
      </c>
      <c r="N276" s="1">
        <v>0</v>
      </c>
      <c r="O276" s="1">
        <v>0</v>
      </c>
      <c r="P276" s="1">
        <v>0</v>
      </c>
      <c r="Q276" s="1">
        <v>14</v>
      </c>
      <c r="R276" s="1">
        <v>0</v>
      </c>
      <c r="S276" s="1">
        <v>0</v>
      </c>
      <c r="T276" s="1">
        <v>0</v>
      </c>
      <c r="U276" s="1">
        <v>0</v>
      </c>
      <c r="V276" s="1">
        <v>3</v>
      </c>
      <c r="W276" s="1">
        <f>SUMPRODUCT(I276:V276,$I$13:$V$13)</f>
        <v>48370</v>
      </c>
      <c r="X276" s="6">
        <f t="shared" si="6"/>
        <v>20.7</v>
      </c>
      <c r="Y276" s="1" t="str">
        <f>VLOOKUP(D276,[1]PARTS!$A$1:$G$65536,7,0)</f>
        <v>PASSIVE PLUS, LLC</v>
      </c>
      <c r="Z276" s="1">
        <v>3000</v>
      </c>
      <c r="AA276" s="1">
        <v>47770</v>
      </c>
      <c r="AB276" s="1">
        <f>CEILING(W276,Z276)</f>
        <v>51000</v>
      </c>
      <c r="AC276" s="1">
        <f>VLOOKUP(D276,[2]pareto!$D$12:$AX$306,47,0)</f>
        <v>0.69</v>
      </c>
      <c r="AD276" s="1" t="s">
        <v>140</v>
      </c>
      <c r="AE276" s="1" t="s">
        <v>141</v>
      </c>
      <c r="AF276" s="12" t="s">
        <v>142</v>
      </c>
      <c r="AG276" s="1" t="s">
        <v>143</v>
      </c>
      <c r="BG276" s="8">
        <f>SUM($BB276,$AI276:AI276)-SUM($BY276:BZ276)</f>
        <v>0</v>
      </c>
      <c r="BH276" s="8">
        <f>SUM($BB276,$AI276:AJ276)-SUM($BY276:CA276)</f>
        <v>0</v>
      </c>
      <c r="BI276" s="8">
        <f>SUM($BB276,$AI276:AK276)-SUM($BY276:CB276)</f>
        <v>0</v>
      </c>
      <c r="BJ276" s="8">
        <f>SUM($BB276,$AI276:AL276)-SUM($BY276:CC276)</f>
        <v>0</v>
      </c>
      <c r="BK276" s="8">
        <f>SUM($BB276,$AI276:AM276)-SUM($BY276:CD276)</f>
        <v>0</v>
      </c>
      <c r="BL276" s="8">
        <f>SUM($BB276,$AI276:AN276)-SUM($BY276:CE276)</f>
        <v>0</v>
      </c>
      <c r="BM276" s="8">
        <f>SUM($BB276,$AI276:AO276)-SUM($BY276:CF276)</f>
        <v>0</v>
      </c>
      <c r="BN276" s="8">
        <f>SUM($BB276,$AI276:AP276)-SUM($BY276:CG276)</f>
        <v>-2700</v>
      </c>
      <c r="BO276" s="8">
        <f>SUM($BB276,$AI276:AQ276)-SUM($BY276:CH276)</f>
        <v>-7050</v>
      </c>
      <c r="BP276" s="8">
        <f>SUM($BB276,$AI276:AR276)-SUM($BY276:CI276)</f>
        <v>-14250</v>
      </c>
      <c r="BQ276" s="8">
        <f>SUM($BB276,$AI276:AS276)-SUM($BY276:CJ276)</f>
        <v>-20660</v>
      </c>
      <c r="BR276" s="8">
        <f>SUM($BB276,$AI276:AT276)-SUM($BY276:CK276)</f>
        <v>-26660</v>
      </c>
      <c r="BS276" s="8">
        <f>SUM($BB276,$AI276:AU276)-SUM($BY276:CL276)</f>
        <v>-32010</v>
      </c>
      <c r="BT276" s="8">
        <f>SUM($BB276,$AI276:AV276)-SUM($BY276:CM276)</f>
        <v>-39930</v>
      </c>
      <c r="BU276" s="8">
        <f>SUM($BB276,$AI276:AW276)-SUM($BY276:CN276)</f>
        <v>-47590</v>
      </c>
      <c r="BV276" s="8">
        <f>SUM($BB276,$AI276:AX276)-SUM($BY276:CO276)</f>
        <v>-48370</v>
      </c>
      <c r="BW276" s="8">
        <f>SUM($BB276,$AI276:AY276)-SUM($BY276:CP276)</f>
        <v>-48370</v>
      </c>
      <c r="BX276" s="8">
        <f>SUM($BB276,$AI276:AZ276)-SUM($BY276:CQ276)</f>
        <v>-48370</v>
      </c>
      <c r="BY276" s="8" cm="1">
        <f t="array" ref="BY276">SUMPRODUCT(TRANSPOSE(BY$2:BY$15),$I276:$V276)</f>
        <v>0</v>
      </c>
      <c r="BZ276" s="8" cm="1">
        <f t="array" ref="BZ276">SUMPRODUCT(TRANSPOSE(BZ$2:BZ$15),$I276:$V276)</f>
        <v>0</v>
      </c>
      <c r="CA276" s="8" cm="1">
        <f t="array" ref="CA276">SUMPRODUCT(TRANSPOSE(CA$2:CA$15),$I276:$V276)</f>
        <v>0</v>
      </c>
      <c r="CB276" s="8" cm="1">
        <f t="array" ref="CB276">SUMPRODUCT(TRANSPOSE(CB$2:CB$15),$I276:$V276)</f>
        <v>0</v>
      </c>
      <c r="CC276" s="8" cm="1">
        <f t="array" ref="CC276">SUMPRODUCT(TRANSPOSE(CC$2:CC$15),$I276:$V276)</f>
        <v>0</v>
      </c>
      <c r="CD276" s="8" cm="1">
        <f t="array" ref="CD276">SUMPRODUCT(TRANSPOSE(CD$2:CD$15),$I276:$V276)</f>
        <v>0</v>
      </c>
      <c r="CE276" s="8" cm="1">
        <f t="array" ref="CE276">SUMPRODUCT(TRANSPOSE(CE$2:CE$15),$I276:$V276)</f>
        <v>0</v>
      </c>
      <c r="CF276" s="8" cm="1">
        <f t="array" ref="CF276">SUMPRODUCT(TRANSPOSE(CF$2:CF$15),$I276:$V276)</f>
        <v>0</v>
      </c>
      <c r="CG276" s="8" cm="1">
        <f t="array" ref="CG276">SUMPRODUCT(TRANSPOSE(CG$2:CG$15),$I276:$V276)</f>
        <v>2700</v>
      </c>
      <c r="CH276" s="8" cm="1">
        <f t="array" ref="CH276">SUMPRODUCT(TRANSPOSE(CH$2:CH$15),$I276:$V276)</f>
        <v>4350</v>
      </c>
      <c r="CI276" s="8" cm="1">
        <f t="array" ref="CI276">SUMPRODUCT(TRANSPOSE(CI$2:CI$15),$I276:$V276)</f>
        <v>7200</v>
      </c>
      <c r="CJ276" s="8" cm="1">
        <f t="array" ref="CJ276">SUMPRODUCT(TRANSPOSE(CJ$2:CJ$15),$I276:$V276)</f>
        <v>6410</v>
      </c>
      <c r="CK276" s="8" cm="1">
        <f t="array" ref="CK276">SUMPRODUCT(TRANSPOSE(CK$2:CK$15),$I276:$V276)</f>
        <v>6000</v>
      </c>
      <c r="CL276" s="8" cm="1">
        <f t="array" ref="CL276">SUMPRODUCT(TRANSPOSE(CL$2:CL$15),$I276:$V276)</f>
        <v>5350</v>
      </c>
      <c r="CM276" s="8" cm="1">
        <f t="array" ref="CM276">SUMPRODUCT(TRANSPOSE(CM$2:CM$15),$I276:$V276)</f>
        <v>7920</v>
      </c>
      <c r="CN276" s="8" cm="1">
        <f t="array" ref="CN276">SUMPRODUCT(TRANSPOSE(CN$2:CN$15),$I276:$V276)</f>
        <v>7660</v>
      </c>
      <c r="CO276" s="8" cm="1">
        <f t="array" ref="CO276">SUMPRODUCT(TRANSPOSE(CO$2:CO$15),$I276:$V276)</f>
        <v>780</v>
      </c>
      <c r="CP276" s="8" cm="1">
        <f t="array" ref="CP276">SUMPRODUCT(TRANSPOSE(CP$2:CP$15),$I276:$V276)</f>
        <v>0</v>
      </c>
      <c r="CQ276" s="8" cm="1">
        <f t="array" ref="CQ276">SUMPRODUCT(TRANSPOSE(CQ$2:CQ$15),$I276:$V276)</f>
        <v>0</v>
      </c>
    </row>
    <row r="277" spans="1:95" x14ac:dyDescent="0.25">
      <c r="A277" s="1">
        <v>34</v>
      </c>
      <c r="B277" s="11" t="s">
        <v>694</v>
      </c>
      <c r="C277" s="1" t="s">
        <v>41</v>
      </c>
      <c r="D277" s="1">
        <v>408557951</v>
      </c>
      <c r="E277" s="6"/>
      <c r="F277" s="1" t="s">
        <v>695</v>
      </c>
      <c r="G277" s="1" t="s">
        <v>35</v>
      </c>
      <c r="H277" s="1">
        <v>1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1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f>SUMPRODUCT(I277:V277,$I$13:$V$13)</f>
        <v>1660</v>
      </c>
      <c r="X277" s="6">
        <f t="shared" si="6"/>
        <v>0.6</v>
      </c>
      <c r="Y277" s="1" t="str">
        <f>VLOOKUP(D277,[1]PARTS!$A$1:$G$65536,7,0)</f>
        <v/>
      </c>
      <c r="Z277" s="1">
        <v>1</v>
      </c>
      <c r="AA277" s="1">
        <f>CEILING(W277,Z277)</f>
        <v>1660</v>
      </c>
      <c r="AB277" s="1">
        <f>CEILING(W277,Z277)</f>
        <v>1660</v>
      </c>
      <c r="AC277" s="1">
        <f>VLOOKUP(D277,[2]pareto!$D$12:$AX$306,47,0)</f>
        <v>0.6</v>
      </c>
      <c r="AD277" s="1" t="s">
        <v>686</v>
      </c>
      <c r="AE277" s="1" t="s">
        <v>687</v>
      </c>
      <c r="AF277" s="12" t="s">
        <v>688</v>
      </c>
      <c r="AG277" s="1" t="s">
        <v>689</v>
      </c>
      <c r="BG277" s="8">
        <f>SUM($BB277,$AI277:AI277)-SUM($BY277:BZ277)</f>
        <v>0</v>
      </c>
      <c r="BH277" s="8">
        <f>SUM($BB277,$AI277:AJ277)-SUM($BY277:CA277)</f>
        <v>0</v>
      </c>
      <c r="BI277" s="8">
        <f>SUM($BB277,$AI277:AK277)-SUM($BY277:CB277)</f>
        <v>0</v>
      </c>
      <c r="BJ277" s="8">
        <f>SUM($BB277,$AI277:AL277)-SUM($BY277:CC277)</f>
        <v>0</v>
      </c>
      <c r="BK277" s="8">
        <f>SUM($BB277,$AI277:AM277)-SUM($BY277:CD277)</f>
        <v>0</v>
      </c>
      <c r="BL277" s="8">
        <f>SUM($BB277,$AI277:AN277)-SUM($BY277:CE277)</f>
        <v>0</v>
      </c>
      <c r="BM277" s="8">
        <f>SUM($BB277,$AI277:AO277)-SUM($BY277:CF277)</f>
        <v>0</v>
      </c>
      <c r="BN277" s="8">
        <f>SUM($BB277,$AI277:AP277)-SUM($BY277:CG277)</f>
        <v>0</v>
      </c>
      <c r="BO277" s="8">
        <f>SUM($BB277,$AI277:AQ277)-SUM($BY277:CH277)</f>
        <v>0</v>
      </c>
      <c r="BP277" s="8">
        <f>SUM($BB277,$AI277:AR277)-SUM($BY277:CI277)</f>
        <v>-100</v>
      </c>
      <c r="BQ277" s="8">
        <f>SUM($BB277,$AI277:AS277)-SUM($BY277:CJ277)</f>
        <v>-250</v>
      </c>
      <c r="BR277" s="8">
        <f>SUM($BB277,$AI277:AT277)-SUM($BY277:CK277)</f>
        <v>-500</v>
      </c>
      <c r="BS277" s="8">
        <f>SUM($BB277,$AI277:AU277)-SUM($BY277:CL277)</f>
        <v>-700</v>
      </c>
      <c r="BT277" s="8">
        <f>SUM($BB277,$AI277:AV277)-SUM($BY277:CM277)</f>
        <v>-900</v>
      </c>
      <c r="BU277" s="8">
        <f>SUM($BB277,$AI277:AW277)-SUM($BY277:CN277)</f>
        <v>-1100</v>
      </c>
      <c r="BV277" s="8">
        <f>SUM($BB277,$AI277:AX277)-SUM($BY277:CO277)</f>
        <v>-1400</v>
      </c>
      <c r="BW277" s="8">
        <f>SUM($BB277,$AI277:AY277)-SUM($BY277:CP277)</f>
        <v>-1660</v>
      </c>
      <c r="BX277" s="8">
        <f>SUM($BB277,$AI277:AZ277)-SUM($BY277:CQ277)</f>
        <v>-1660</v>
      </c>
      <c r="BY277" s="8" cm="1">
        <f t="array" ref="BY277">SUMPRODUCT(TRANSPOSE(BY$2:BY$15),$I277:$V277)</f>
        <v>0</v>
      </c>
      <c r="BZ277" s="8" cm="1">
        <f t="array" ref="BZ277">SUMPRODUCT(TRANSPOSE(BZ$2:BZ$15),$I277:$V277)</f>
        <v>0</v>
      </c>
      <c r="CA277" s="8" cm="1">
        <f t="array" ref="CA277">SUMPRODUCT(TRANSPOSE(CA$2:CA$15),$I277:$V277)</f>
        <v>0</v>
      </c>
      <c r="CB277" s="8" cm="1">
        <f t="array" ref="CB277">SUMPRODUCT(TRANSPOSE(CB$2:CB$15),$I277:$V277)</f>
        <v>0</v>
      </c>
      <c r="CC277" s="8" cm="1">
        <f t="array" ref="CC277">SUMPRODUCT(TRANSPOSE(CC$2:CC$15),$I277:$V277)</f>
        <v>0</v>
      </c>
      <c r="CD277" s="8" cm="1">
        <f t="array" ref="CD277">SUMPRODUCT(TRANSPOSE(CD$2:CD$15),$I277:$V277)</f>
        <v>0</v>
      </c>
      <c r="CE277" s="8" cm="1">
        <f t="array" ref="CE277">SUMPRODUCT(TRANSPOSE(CE$2:CE$15),$I277:$V277)</f>
        <v>0</v>
      </c>
      <c r="CF277" s="8" cm="1">
        <f t="array" ref="CF277">SUMPRODUCT(TRANSPOSE(CF$2:CF$15),$I277:$V277)</f>
        <v>0</v>
      </c>
      <c r="CG277" s="8" cm="1">
        <f t="array" ref="CG277">SUMPRODUCT(TRANSPOSE(CG$2:CG$15),$I277:$V277)</f>
        <v>0</v>
      </c>
      <c r="CH277" s="8" cm="1">
        <f t="array" ref="CH277">SUMPRODUCT(TRANSPOSE(CH$2:CH$15),$I277:$V277)</f>
        <v>0</v>
      </c>
      <c r="CI277" s="8" cm="1">
        <f t="array" ref="CI277">SUMPRODUCT(TRANSPOSE(CI$2:CI$15),$I277:$V277)</f>
        <v>100</v>
      </c>
      <c r="CJ277" s="8" cm="1">
        <f t="array" ref="CJ277">SUMPRODUCT(TRANSPOSE(CJ$2:CJ$15),$I277:$V277)</f>
        <v>150</v>
      </c>
      <c r="CK277" s="8" cm="1">
        <f t="array" ref="CK277">SUMPRODUCT(TRANSPOSE(CK$2:CK$15),$I277:$V277)</f>
        <v>250</v>
      </c>
      <c r="CL277" s="8" cm="1">
        <f t="array" ref="CL277">SUMPRODUCT(TRANSPOSE(CL$2:CL$15),$I277:$V277)</f>
        <v>200</v>
      </c>
      <c r="CM277" s="8" cm="1">
        <f t="array" ref="CM277">SUMPRODUCT(TRANSPOSE(CM$2:CM$15),$I277:$V277)</f>
        <v>200</v>
      </c>
      <c r="CN277" s="8" cm="1">
        <f t="array" ref="CN277">SUMPRODUCT(TRANSPOSE(CN$2:CN$15),$I277:$V277)</f>
        <v>200</v>
      </c>
      <c r="CO277" s="8" cm="1">
        <f t="array" ref="CO277">SUMPRODUCT(TRANSPOSE(CO$2:CO$15),$I277:$V277)</f>
        <v>300</v>
      </c>
      <c r="CP277" s="8" cm="1">
        <f t="array" ref="CP277">SUMPRODUCT(TRANSPOSE(CP$2:CP$15),$I277:$V277)</f>
        <v>260</v>
      </c>
      <c r="CQ277" s="8" cm="1">
        <f t="array" ref="CQ277">SUMPRODUCT(TRANSPOSE(CQ$2:CQ$15),$I277:$V277)</f>
        <v>0</v>
      </c>
    </row>
    <row r="278" spans="1:95" s="6" customFormat="1" x14ac:dyDescent="0.25">
      <c r="A278" s="1">
        <v>39</v>
      </c>
      <c r="B278" s="11" t="s">
        <v>696</v>
      </c>
      <c r="C278" s="1" t="s">
        <v>41</v>
      </c>
      <c r="D278" s="1">
        <v>408526024</v>
      </c>
      <c r="F278" s="1" t="s">
        <v>695</v>
      </c>
      <c r="G278" s="1" t="s">
        <v>35</v>
      </c>
      <c r="H278" s="1">
        <v>1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1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f>SUMPRODUCT(I278:V278,$I$13:$V$13)</f>
        <v>1660</v>
      </c>
      <c r="X278" s="6">
        <f t="shared" si="6"/>
        <v>0.6</v>
      </c>
      <c r="Y278" s="1" t="str">
        <f>VLOOKUP(D278,[1]PARTS!$A$1:$G$65536,7,0)</f>
        <v/>
      </c>
      <c r="Z278" s="1">
        <v>1</v>
      </c>
      <c r="AA278" s="1">
        <f>CEILING(W278,Z278)</f>
        <v>1660</v>
      </c>
      <c r="AB278" s="1">
        <f>CEILING(W278,Z278)</f>
        <v>1660</v>
      </c>
      <c r="AC278" s="1">
        <f>VLOOKUP(D278,[2]pareto!$D$12:$AX$306,47,0)</f>
        <v>0.6</v>
      </c>
      <c r="AD278" s="1" t="s">
        <v>686</v>
      </c>
      <c r="AE278" s="1" t="s">
        <v>687</v>
      </c>
      <c r="AF278" s="12" t="s">
        <v>688</v>
      </c>
      <c r="AG278" s="1" t="s">
        <v>689</v>
      </c>
      <c r="AH278" s="1"/>
      <c r="BG278" s="8">
        <f>SUM($BB278,$AI278:AI278)-SUM($BY278:BZ278)</f>
        <v>0</v>
      </c>
      <c r="BH278" s="8">
        <f>SUM($BB278,$AI278:AJ278)-SUM($BY278:CA278)</f>
        <v>0</v>
      </c>
      <c r="BI278" s="8">
        <f>SUM($BB278,$AI278:AK278)-SUM($BY278:CB278)</f>
        <v>0</v>
      </c>
      <c r="BJ278" s="8">
        <f>SUM($BB278,$AI278:AL278)-SUM($BY278:CC278)</f>
        <v>0</v>
      </c>
      <c r="BK278" s="8">
        <f>SUM($BB278,$AI278:AM278)-SUM($BY278:CD278)</f>
        <v>0</v>
      </c>
      <c r="BL278" s="8">
        <f>SUM($BB278,$AI278:AN278)-SUM($BY278:CE278)</f>
        <v>0</v>
      </c>
      <c r="BM278" s="8">
        <f>SUM($BB278,$AI278:AO278)-SUM($BY278:CF278)</f>
        <v>0</v>
      </c>
      <c r="BN278" s="8">
        <f>SUM($BB278,$AI278:AP278)-SUM($BY278:CG278)</f>
        <v>0</v>
      </c>
      <c r="BO278" s="8">
        <f>SUM($BB278,$AI278:AQ278)-SUM($BY278:CH278)</f>
        <v>0</v>
      </c>
      <c r="BP278" s="8">
        <f>SUM($BB278,$AI278:AR278)-SUM($BY278:CI278)</f>
        <v>-100</v>
      </c>
      <c r="BQ278" s="8">
        <f>SUM($BB278,$AI278:AS278)-SUM($BY278:CJ278)</f>
        <v>-250</v>
      </c>
      <c r="BR278" s="8">
        <f>SUM($BB278,$AI278:AT278)-SUM($BY278:CK278)</f>
        <v>-500</v>
      </c>
      <c r="BS278" s="8">
        <f>SUM($BB278,$AI278:AU278)-SUM($BY278:CL278)</f>
        <v>-700</v>
      </c>
      <c r="BT278" s="8">
        <f>SUM($BB278,$AI278:AV278)-SUM($BY278:CM278)</f>
        <v>-900</v>
      </c>
      <c r="BU278" s="8">
        <f>SUM($BB278,$AI278:AW278)-SUM($BY278:CN278)</f>
        <v>-1100</v>
      </c>
      <c r="BV278" s="8">
        <f>SUM($BB278,$AI278:AX278)-SUM($BY278:CO278)</f>
        <v>-1400</v>
      </c>
      <c r="BW278" s="8">
        <f>SUM($BB278,$AI278:AY278)-SUM($BY278:CP278)</f>
        <v>-1660</v>
      </c>
      <c r="BX278" s="8">
        <f>SUM($BB278,$AI278:AZ278)-SUM($BY278:CQ278)</f>
        <v>-1660</v>
      </c>
      <c r="BY278" s="8" cm="1">
        <f t="array" ref="BY278">SUMPRODUCT(TRANSPOSE(BY$2:BY$15),$I278:$V278)</f>
        <v>0</v>
      </c>
      <c r="BZ278" s="8" cm="1">
        <f t="array" ref="BZ278">SUMPRODUCT(TRANSPOSE(BZ$2:BZ$15),$I278:$V278)</f>
        <v>0</v>
      </c>
      <c r="CA278" s="8" cm="1">
        <f t="array" ref="CA278">SUMPRODUCT(TRANSPOSE(CA$2:CA$15),$I278:$V278)</f>
        <v>0</v>
      </c>
      <c r="CB278" s="8" cm="1">
        <f t="array" ref="CB278">SUMPRODUCT(TRANSPOSE(CB$2:CB$15),$I278:$V278)</f>
        <v>0</v>
      </c>
      <c r="CC278" s="8" cm="1">
        <f t="array" ref="CC278">SUMPRODUCT(TRANSPOSE(CC$2:CC$15),$I278:$V278)</f>
        <v>0</v>
      </c>
      <c r="CD278" s="8" cm="1">
        <f t="array" ref="CD278">SUMPRODUCT(TRANSPOSE(CD$2:CD$15),$I278:$V278)</f>
        <v>0</v>
      </c>
      <c r="CE278" s="8" cm="1">
        <f t="array" ref="CE278">SUMPRODUCT(TRANSPOSE(CE$2:CE$15),$I278:$V278)</f>
        <v>0</v>
      </c>
      <c r="CF278" s="8" cm="1">
        <f t="array" ref="CF278">SUMPRODUCT(TRANSPOSE(CF$2:CF$15),$I278:$V278)</f>
        <v>0</v>
      </c>
      <c r="CG278" s="8" cm="1">
        <f t="array" ref="CG278">SUMPRODUCT(TRANSPOSE(CG$2:CG$15),$I278:$V278)</f>
        <v>0</v>
      </c>
      <c r="CH278" s="8" cm="1">
        <f t="array" ref="CH278">SUMPRODUCT(TRANSPOSE(CH$2:CH$15),$I278:$V278)</f>
        <v>0</v>
      </c>
      <c r="CI278" s="8" cm="1">
        <f t="array" ref="CI278">SUMPRODUCT(TRANSPOSE(CI$2:CI$15),$I278:$V278)</f>
        <v>100</v>
      </c>
      <c r="CJ278" s="8" cm="1">
        <f t="array" ref="CJ278">SUMPRODUCT(TRANSPOSE(CJ$2:CJ$15),$I278:$V278)</f>
        <v>150</v>
      </c>
      <c r="CK278" s="8" cm="1">
        <f t="array" ref="CK278">SUMPRODUCT(TRANSPOSE(CK$2:CK$15),$I278:$V278)</f>
        <v>250</v>
      </c>
      <c r="CL278" s="8" cm="1">
        <f t="array" ref="CL278">SUMPRODUCT(TRANSPOSE(CL$2:CL$15),$I278:$V278)</f>
        <v>200</v>
      </c>
      <c r="CM278" s="8" cm="1">
        <f t="array" ref="CM278">SUMPRODUCT(TRANSPOSE(CM$2:CM$15),$I278:$V278)</f>
        <v>200</v>
      </c>
      <c r="CN278" s="8" cm="1">
        <f t="array" ref="CN278">SUMPRODUCT(TRANSPOSE(CN$2:CN$15),$I278:$V278)</f>
        <v>200</v>
      </c>
      <c r="CO278" s="8" cm="1">
        <f t="array" ref="CO278">SUMPRODUCT(TRANSPOSE(CO$2:CO$15),$I278:$V278)</f>
        <v>300</v>
      </c>
      <c r="CP278" s="8" cm="1">
        <f t="array" ref="CP278">SUMPRODUCT(TRANSPOSE(CP$2:CP$15),$I278:$V278)</f>
        <v>260</v>
      </c>
      <c r="CQ278" s="8" cm="1">
        <f t="array" ref="CQ278">SUMPRODUCT(TRANSPOSE(CQ$2:CQ$15),$I278:$V278)</f>
        <v>0</v>
      </c>
    </row>
    <row r="279" spans="1:95" s="6" customFormat="1" x14ac:dyDescent="0.25">
      <c r="A279" s="1">
        <v>58</v>
      </c>
      <c r="B279" s="11" t="s">
        <v>697</v>
      </c>
      <c r="C279" s="1" t="s">
        <v>698</v>
      </c>
      <c r="D279" s="1">
        <v>405960171</v>
      </c>
      <c r="F279" s="1" t="s">
        <v>699</v>
      </c>
      <c r="G279" s="1" t="s">
        <v>35</v>
      </c>
      <c r="H279" s="1">
        <v>1</v>
      </c>
      <c r="I279" s="1">
        <v>0</v>
      </c>
      <c r="J279" s="1">
        <v>1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f>SUMPRODUCT(I279:V279,$I$13:$V$13)</f>
        <v>1550</v>
      </c>
      <c r="X279" s="6">
        <f t="shared" si="6"/>
        <v>0.6</v>
      </c>
      <c r="Y279" s="1" t="str">
        <f>VLOOKUP(D279,[1]PARTS!$A$1:$G$65536,7,0)</f>
        <v/>
      </c>
      <c r="Z279" s="1">
        <v>1</v>
      </c>
      <c r="AA279" s="1">
        <f>CEILING(W279,Z279)</f>
        <v>1550</v>
      </c>
      <c r="AB279" s="1" t="s">
        <v>36</v>
      </c>
      <c r="AC279" s="1">
        <f>VLOOKUP(D279,[2]pareto!$D$12:$AX$306,47,0)</f>
        <v>0.6</v>
      </c>
      <c r="AD279" s="1" t="s">
        <v>686</v>
      </c>
      <c r="AE279" s="1" t="s">
        <v>687</v>
      </c>
      <c r="AF279" s="12" t="s">
        <v>688</v>
      </c>
      <c r="AG279" s="1" t="s">
        <v>689</v>
      </c>
      <c r="AH279" s="1"/>
      <c r="BG279" s="8">
        <f>SUM($BB279,$AI279:AI279)-SUM($BY279:BZ279)</f>
        <v>0</v>
      </c>
      <c r="BH279" s="8">
        <f>SUM($BB279,$AI279:AJ279)-SUM($BY279:CA279)</f>
        <v>0</v>
      </c>
      <c r="BI279" s="8">
        <f>SUM($BB279,$AI279:AK279)-SUM($BY279:CB279)</f>
        <v>0</v>
      </c>
      <c r="BJ279" s="8">
        <f>SUM($BB279,$AI279:AL279)-SUM($BY279:CC279)</f>
        <v>0</v>
      </c>
      <c r="BK279" s="8">
        <f>SUM($BB279,$AI279:AM279)-SUM($BY279:CD279)</f>
        <v>0</v>
      </c>
      <c r="BL279" s="8">
        <f>SUM($BB279,$AI279:AN279)-SUM($BY279:CE279)</f>
        <v>0</v>
      </c>
      <c r="BM279" s="8">
        <f>SUM($BB279,$AI279:AO279)-SUM($BY279:CF279)</f>
        <v>0</v>
      </c>
      <c r="BN279" s="8">
        <f>SUM($BB279,$AI279:AP279)-SUM($BY279:CG279)</f>
        <v>0</v>
      </c>
      <c r="BO279" s="8">
        <f>SUM($BB279,$AI279:AQ279)-SUM($BY279:CH279)</f>
        <v>0</v>
      </c>
      <c r="BP279" s="8">
        <f>SUM($BB279,$AI279:AR279)-SUM($BY279:CI279)</f>
        <v>-100</v>
      </c>
      <c r="BQ279" s="8">
        <f>SUM($BB279,$AI279:AS279)-SUM($BY279:CJ279)</f>
        <v>-250</v>
      </c>
      <c r="BR279" s="8">
        <f>SUM($BB279,$AI279:AT279)-SUM($BY279:CK279)</f>
        <v>-500</v>
      </c>
      <c r="BS279" s="8">
        <f>SUM($BB279,$AI279:AU279)-SUM($BY279:CL279)</f>
        <v>-720</v>
      </c>
      <c r="BT279" s="8">
        <f>SUM($BB279,$AI279:AV279)-SUM($BY279:CM279)</f>
        <v>-920</v>
      </c>
      <c r="BU279" s="8">
        <f>SUM($BB279,$AI279:AW279)-SUM($BY279:CN279)</f>
        <v>-1070</v>
      </c>
      <c r="BV279" s="8">
        <f>SUM($BB279,$AI279:AX279)-SUM($BY279:CO279)</f>
        <v>-1310</v>
      </c>
      <c r="BW279" s="8">
        <f>SUM($BB279,$AI279:AY279)-SUM($BY279:CP279)</f>
        <v>-1550</v>
      </c>
      <c r="BX279" s="8">
        <f>SUM($BB279,$AI279:AZ279)-SUM($BY279:CQ279)</f>
        <v>-1550</v>
      </c>
      <c r="BY279" s="8" cm="1">
        <f t="array" ref="BY279">SUMPRODUCT(TRANSPOSE(BY$2:BY$15),$I279:$V279)</f>
        <v>0</v>
      </c>
      <c r="BZ279" s="8" cm="1">
        <f t="array" ref="BZ279">SUMPRODUCT(TRANSPOSE(BZ$2:BZ$15),$I279:$V279)</f>
        <v>0</v>
      </c>
      <c r="CA279" s="8" cm="1">
        <f t="array" ref="CA279">SUMPRODUCT(TRANSPOSE(CA$2:CA$15),$I279:$V279)</f>
        <v>0</v>
      </c>
      <c r="CB279" s="8" cm="1">
        <f t="array" ref="CB279">SUMPRODUCT(TRANSPOSE(CB$2:CB$15),$I279:$V279)</f>
        <v>0</v>
      </c>
      <c r="CC279" s="8" cm="1">
        <f t="array" ref="CC279">SUMPRODUCT(TRANSPOSE(CC$2:CC$15),$I279:$V279)</f>
        <v>0</v>
      </c>
      <c r="CD279" s="8" cm="1">
        <f t="array" ref="CD279">SUMPRODUCT(TRANSPOSE(CD$2:CD$15),$I279:$V279)</f>
        <v>0</v>
      </c>
      <c r="CE279" s="8" cm="1">
        <f t="array" ref="CE279">SUMPRODUCT(TRANSPOSE(CE$2:CE$15),$I279:$V279)</f>
        <v>0</v>
      </c>
      <c r="CF279" s="8" cm="1">
        <f t="array" ref="CF279">SUMPRODUCT(TRANSPOSE(CF$2:CF$15),$I279:$V279)</f>
        <v>0</v>
      </c>
      <c r="CG279" s="8" cm="1">
        <f t="array" ref="CG279">SUMPRODUCT(TRANSPOSE(CG$2:CG$15),$I279:$V279)</f>
        <v>0</v>
      </c>
      <c r="CH279" s="8" cm="1">
        <f t="array" ref="CH279">SUMPRODUCT(TRANSPOSE(CH$2:CH$15),$I279:$V279)</f>
        <v>0</v>
      </c>
      <c r="CI279" s="8" cm="1">
        <f t="array" ref="CI279">SUMPRODUCT(TRANSPOSE(CI$2:CI$15),$I279:$V279)</f>
        <v>100</v>
      </c>
      <c r="CJ279" s="8" cm="1">
        <f t="array" ref="CJ279">SUMPRODUCT(TRANSPOSE(CJ$2:CJ$15),$I279:$V279)</f>
        <v>150</v>
      </c>
      <c r="CK279" s="8" cm="1">
        <f t="array" ref="CK279">SUMPRODUCT(TRANSPOSE(CK$2:CK$15),$I279:$V279)</f>
        <v>250</v>
      </c>
      <c r="CL279" s="8" cm="1">
        <f t="array" ref="CL279">SUMPRODUCT(TRANSPOSE(CL$2:CL$15),$I279:$V279)</f>
        <v>220</v>
      </c>
      <c r="CM279" s="8" cm="1">
        <f t="array" ref="CM279">SUMPRODUCT(TRANSPOSE(CM$2:CM$15),$I279:$V279)</f>
        <v>200</v>
      </c>
      <c r="CN279" s="8" cm="1">
        <f t="array" ref="CN279">SUMPRODUCT(TRANSPOSE(CN$2:CN$15),$I279:$V279)</f>
        <v>150</v>
      </c>
      <c r="CO279" s="8" cm="1">
        <f t="array" ref="CO279">SUMPRODUCT(TRANSPOSE(CO$2:CO$15),$I279:$V279)</f>
        <v>240</v>
      </c>
      <c r="CP279" s="8" cm="1">
        <f t="array" ref="CP279">SUMPRODUCT(TRANSPOSE(CP$2:CP$15),$I279:$V279)</f>
        <v>240</v>
      </c>
      <c r="CQ279" s="8" cm="1">
        <f t="array" ref="CQ279">SUMPRODUCT(TRANSPOSE(CQ$2:CQ$15),$I279:$V279)</f>
        <v>0</v>
      </c>
    </row>
    <row r="280" spans="1:95" s="6" customFormat="1" x14ac:dyDescent="0.25">
      <c r="A280" s="1">
        <v>59</v>
      </c>
      <c r="B280" s="11" t="s">
        <v>700</v>
      </c>
      <c r="C280" s="1" t="s">
        <v>41</v>
      </c>
      <c r="D280" s="1">
        <v>405960186</v>
      </c>
      <c r="F280" s="1" t="s">
        <v>699</v>
      </c>
      <c r="G280" s="1" t="s">
        <v>35</v>
      </c>
      <c r="H280" s="1">
        <v>1</v>
      </c>
      <c r="I280" s="1">
        <v>0</v>
      </c>
      <c r="J280" s="1">
        <v>1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f>SUMPRODUCT(I280:V280,$I$13:$V$13)</f>
        <v>1550</v>
      </c>
      <c r="X280" s="6">
        <f t="shared" si="6"/>
        <v>0.6</v>
      </c>
      <c r="Y280" s="1" t="str">
        <f>VLOOKUP(D280,[1]PARTS!$A$1:$G$65536,7,0)</f>
        <v/>
      </c>
      <c r="Z280" s="1">
        <v>1</v>
      </c>
      <c r="AA280" s="1">
        <f>CEILING(W280,Z280)</f>
        <v>1550</v>
      </c>
      <c r="AB280" s="1" t="s">
        <v>36</v>
      </c>
      <c r="AC280" s="1">
        <f>VLOOKUP(D280,[2]pareto!$D$12:$AX$306,47,0)</f>
        <v>0.6</v>
      </c>
      <c r="AD280" s="1" t="s">
        <v>686</v>
      </c>
      <c r="AE280" s="1" t="s">
        <v>687</v>
      </c>
      <c r="AF280" s="12" t="s">
        <v>688</v>
      </c>
      <c r="AG280" s="1" t="s">
        <v>689</v>
      </c>
      <c r="AH280" s="1"/>
      <c r="BG280" s="8">
        <f>SUM($BB280,$AI280:AI280)-SUM($BY280:BZ280)</f>
        <v>0</v>
      </c>
      <c r="BH280" s="8">
        <f>SUM($BB280,$AI280:AJ280)-SUM($BY280:CA280)</f>
        <v>0</v>
      </c>
      <c r="BI280" s="8">
        <f>SUM($BB280,$AI280:AK280)-SUM($BY280:CB280)</f>
        <v>0</v>
      </c>
      <c r="BJ280" s="8">
        <f>SUM($BB280,$AI280:AL280)-SUM($BY280:CC280)</f>
        <v>0</v>
      </c>
      <c r="BK280" s="8">
        <f>SUM($BB280,$AI280:AM280)-SUM($BY280:CD280)</f>
        <v>0</v>
      </c>
      <c r="BL280" s="8">
        <f>SUM($BB280,$AI280:AN280)-SUM($BY280:CE280)</f>
        <v>0</v>
      </c>
      <c r="BM280" s="8">
        <f>SUM($BB280,$AI280:AO280)-SUM($BY280:CF280)</f>
        <v>0</v>
      </c>
      <c r="BN280" s="8">
        <f>SUM($BB280,$AI280:AP280)-SUM($BY280:CG280)</f>
        <v>0</v>
      </c>
      <c r="BO280" s="8">
        <f>SUM($BB280,$AI280:AQ280)-SUM($BY280:CH280)</f>
        <v>0</v>
      </c>
      <c r="BP280" s="8">
        <f>SUM($BB280,$AI280:AR280)-SUM($BY280:CI280)</f>
        <v>-100</v>
      </c>
      <c r="BQ280" s="8">
        <f>SUM($BB280,$AI280:AS280)-SUM($BY280:CJ280)</f>
        <v>-250</v>
      </c>
      <c r="BR280" s="8">
        <f>SUM($BB280,$AI280:AT280)-SUM($BY280:CK280)</f>
        <v>-500</v>
      </c>
      <c r="BS280" s="8">
        <f>SUM($BB280,$AI280:AU280)-SUM($BY280:CL280)</f>
        <v>-720</v>
      </c>
      <c r="BT280" s="8">
        <f>SUM($BB280,$AI280:AV280)-SUM($BY280:CM280)</f>
        <v>-920</v>
      </c>
      <c r="BU280" s="8">
        <f>SUM($BB280,$AI280:AW280)-SUM($BY280:CN280)</f>
        <v>-1070</v>
      </c>
      <c r="BV280" s="8">
        <f>SUM($BB280,$AI280:AX280)-SUM($BY280:CO280)</f>
        <v>-1310</v>
      </c>
      <c r="BW280" s="8">
        <f>SUM($BB280,$AI280:AY280)-SUM($BY280:CP280)</f>
        <v>-1550</v>
      </c>
      <c r="BX280" s="8">
        <f>SUM($BB280,$AI280:AZ280)-SUM($BY280:CQ280)</f>
        <v>-1550</v>
      </c>
      <c r="BY280" s="8" cm="1">
        <f t="array" ref="BY280">SUMPRODUCT(TRANSPOSE(BY$2:BY$15),$I280:$V280)</f>
        <v>0</v>
      </c>
      <c r="BZ280" s="8" cm="1">
        <f t="array" ref="BZ280">SUMPRODUCT(TRANSPOSE(BZ$2:BZ$15),$I280:$V280)</f>
        <v>0</v>
      </c>
      <c r="CA280" s="8" cm="1">
        <f t="array" ref="CA280">SUMPRODUCT(TRANSPOSE(CA$2:CA$15),$I280:$V280)</f>
        <v>0</v>
      </c>
      <c r="CB280" s="8" cm="1">
        <f t="array" ref="CB280">SUMPRODUCT(TRANSPOSE(CB$2:CB$15),$I280:$V280)</f>
        <v>0</v>
      </c>
      <c r="CC280" s="8" cm="1">
        <f t="array" ref="CC280">SUMPRODUCT(TRANSPOSE(CC$2:CC$15),$I280:$V280)</f>
        <v>0</v>
      </c>
      <c r="CD280" s="8" cm="1">
        <f t="array" ref="CD280">SUMPRODUCT(TRANSPOSE(CD$2:CD$15),$I280:$V280)</f>
        <v>0</v>
      </c>
      <c r="CE280" s="8" cm="1">
        <f t="array" ref="CE280">SUMPRODUCT(TRANSPOSE(CE$2:CE$15),$I280:$V280)</f>
        <v>0</v>
      </c>
      <c r="CF280" s="8" cm="1">
        <f t="array" ref="CF280">SUMPRODUCT(TRANSPOSE(CF$2:CF$15),$I280:$V280)</f>
        <v>0</v>
      </c>
      <c r="CG280" s="8" cm="1">
        <f t="array" ref="CG280">SUMPRODUCT(TRANSPOSE(CG$2:CG$15),$I280:$V280)</f>
        <v>0</v>
      </c>
      <c r="CH280" s="8" cm="1">
        <f t="array" ref="CH280">SUMPRODUCT(TRANSPOSE(CH$2:CH$15),$I280:$V280)</f>
        <v>0</v>
      </c>
      <c r="CI280" s="8" cm="1">
        <f t="array" ref="CI280">SUMPRODUCT(TRANSPOSE(CI$2:CI$15),$I280:$V280)</f>
        <v>100</v>
      </c>
      <c r="CJ280" s="8" cm="1">
        <f t="array" ref="CJ280">SUMPRODUCT(TRANSPOSE(CJ$2:CJ$15),$I280:$V280)</f>
        <v>150</v>
      </c>
      <c r="CK280" s="8" cm="1">
        <f t="array" ref="CK280">SUMPRODUCT(TRANSPOSE(CK$2:CK$15),$I280:$V280)</f>
        <v>250</v>
      </c>
      <c r="CL280" s="8" cm="1">
        <f t="array" ref="CL280">SUMPRODUCT(TRANSPOSE(CL$2:CL$15),$I280:$V280)</f>
        <v>220</v>
      </c>
      <c r="CM280" s="8" cm="1">
        <f t="array" ref="CM280">SUMPRODUCT(TRANSPOSE(CM$2:CM$15),$I280:$V280)</f>
        <v>200</v>
      </c>
      <c r="CN280" s="8" cm="1">
        <f t="array" ref="CN280">SUMPRODUCT(TRANSPOSE(CN$2:CN$15),$I280:$V280)</f>
        <v>150</v>
      </c>
      <c r="CO280" s="8" cm="1">
        <f t="array" ref="CO280">SUMPRODUCT(TRANSPOSE(CO$2:CO$15),$I280:$V280)</f>
        <v>240</v>
      </c>
      <c r="CP280" s="8" cm="1">
        <f t="array" ref="CP280">SUMPRODUCT(TRANSPOSE(CP$2:CP$15),$I280:$V280)</f>
        <v>240</v>
      </c>
      <c r="CQ280" s="8" cm="1">
        <f t="array" ref="CQ280">SUMPRODUCT(TRANSPOSE(CQ$2:CQ$15),$I280:$V280)</f>
        <v>0</v>
      </c>
    </row>
    <row r="281" spans="1:95" s="6" customFormat="1" x14ac:dyDescent="0.25">
      <c r="A281" s="1">
        <v>293</v>
      </c>
      <c r="B281" s="11" t="s">
        <v>701</v>
      </c>
      <c r="C281" s="1" t="s">
        <v>49</v>
      </c>
      <c r="D281" s="1">
        <v>411011051</v>
      </c>
      <c r="F281" s="1" t="s">
        <v>702</v>
      </c>
      <c r="G281" s="1" t="s">
        <v>35</v>
      </c>
      <c r="H281" s="1">
        <v>2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2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f>SUMPRODUCT(I281:V281,$I$13:$V$13)</f>
        <v>3320</v>
      </c>
      <c r="X281" s="6">
        <f t="shared" si="6"/>
        <v>0.6</v>
      </c>
      <c r="Y281" s="1" t="str">
        <f>VLOOKUP(D281,[1]PARTS!$A$1:$G$65536,7,0)</f>
        <v>VISHAY - SILICONIX</v>
      </c>
      <c r="Z281" s="1">
        <v>3000</v>
      </c>
      <c r="AA281" s="1">
        <v>3280</v>
      </c>
      <c r="AB281" s="1">
        <f>CEILING(W281,Z281)</f>
        <v>6000</v>
      </c>
      <c r="AC281" s="1">
        <f>VLOOKUP(D281,[2]pareto!$D$12:$AX$306,47,0)</f>
        <v>0.3</v>
      </c>
      <c r="AD281" s="1" t="s">
        <v>250</v>
      </c>
      <c r="AE281" s="1" t="s">
        <v>251</v>
      </c>
      <c r="AF281" s="19" t="s">
        <v>252</v>
      </c>
      <c r="AG281" s="1" t="s">
        <v>253</v>
      </c>
      <c r="AH281" s="1"/>
      <c r="BG281" s="8">
        <f>SUM($BB281,$AI281:AI281)-SUM($BY281:BZ281)</f>
        <v>0</v>
      </c>
      <c r="BH281" s="8">
        <f>SUM($BB281,$AI281:AJ281)-SUM($BY281:CA281)</f>
        <v>0</v>
      </c>
      <c r="BI281" s="8">
        <f>SUM($BB281,$AI281:AK281)-SUM($BY281:CB281)</f>
        <v>0</v>
      </c>
      <c r="BJ281" s="8">
        <f>SUM($BB281,$AI281:AL281)-SUM($BY281:CC281)</f>
        <v>0</v>
      </c>
      <c r="BK281" s="8">
        <f>SUM($BB281,$AI281:AM281)-SUM($BY281:CD281)</f>
        <v>0</v>
      </c>
      <c r="BL281" s="8">
        <f>SUM($BB281,$AI281:AN281)-SUM($BY281:CE281)</f>
        <v>0</v>
      </c>
      <c r="BM281" s="8">
        <f>SUM($BB281,$AI281:AO281)-SUM($BY281:CF281)</f>
        <v>0</v>
      </c>
      <c r="BN281" s="8">
        <f>SUM($BB281,$AI281:AP281)-SUM($BY281:CG281)</f>
        <v>-200</v>
      </c>
      <c r="BO281" s="8">
        <f>SUM($BB281,$AI281:AQ281)-SUM($BY281:CH281)</f>
        <v>-500</v>
      </c>
      <c r="BP281" s="8">
        <f>SUM($BB281,$AI281:AR281)-SUM($BY281:CI281)</f>
        <v>-1000</v>
      </c>
      <c r="BQ281" s="8">
        <f>SUM($BB281,$AI281:AS281)-SUM($BY281:CJ281)</f>
        <v>-1400</v>
      </c>
      <c r="BR281" s="8">
        <f>SUM($BB281,$AI281:AT281)-SUM($BY281:CK281)</f>
        <v>-1800</v>
      </c>
      <c r="BS281" s="8">
        <f>SUM($BB281,$AI281:AU281)-SUM($BY281:CL281)</f>
        <v>-2200</v>
      </c>
      <c r="BT281" s="8">
        <f>SUM($BB281,$AI281:AV281)-SUM($BY281:CM281)</f>
        <v>-2800</v>
      </c>
      <c r="BU281" s="8">
        <f>SUM($BB281,$AI281:AW281)-SUM($BY281:CN281)</f>
        <v>-3320</v>
      </c>
      <c r="BV281" s="8">
        <f>SUM($BB281,$AI281:AX281)-SUM($BY281:CO281)</f>
        <v>-3320</v>
      </c>
      <c r="BW281" s="8">
        <f>SUM($BB281,$AI281:AY281)-SUM($BY281:CP281)</f>
        <v>-3320</v>
      </c>
      <c r="BX281" s="8">
        <f>SUM($BB281,$AI281:AZ281)-SUM($BY281:CQ281)</f>
        <v>-3320</v>
      </c>
      <c r="BY281" s="8" cm="1">
        <f t="array" ref="BY281">SUMPRODUCT(TRANSPOSE(BY$2:BY$15),$I281:$V281)</f>
        <v>0</v>
      </c>
      <c r="BZ281" s="8" cm="1">
        <f t="array" ref="BZ281">SUMPRODUCT(TRANSPOSE(BZ$2:BZ$15),$I281:$V281)</f>
        <v>0</v>
      </c>
      <c r="CA281" s="8" cm="1">
        <f t="array" ref="CA281">SUMPRODUCT(TRANSPOSE(CA$2:CA$15),$I281:$V281)</f>
        <v>0</v>
      </c>
      <c r="CB281" s="8" cm="1">
        <f t="array" ref="CB281">SUMPRODUCT(TRANSPOSE(CB$2:CB$15),$I281:$V281)</f>
        <v>0</v>
      </c>
      <c r="CC281" s="8" cm="1">
        <f t="array" ref="CC281">SUMPRODUCT(TRANSPOSE(CC$2:CC$15),$I281:$V281)</f>
        <v>0</v>
      </c>
      <c r="CD281" s="8" cm="1">
        <f t="array" ref="CD281">SUMPRODUCT(TRANSPOSE(CD$2:CD$15),$I281:$V281)</f>
        <v>0</v>
      </c>
      <c r="CE281" s="8" cm="1">
        <f t="array" ref="CE281">SUMPRODUCT(TRANSPOSE(CE$2:CE$15),$I281:$V281)</f>
        <v>0</v>
      </c>
      <c r="CF281" s="8" cm="1">
        <f t="array" ref="CF281">SUMPRODUCT(TRANSPOSE(CF$2:CF$15),$I281:$V281)</f>
        <v>0</v>
      </c>
      <c r="CG281" s="8" cm="1">
        <f t="array" ref="CG281">SUMPRODUCT(TRANSPOSE(CG$2:CG$15),$I281:$V281)</f>
        <v>200</v>
      </c>
      <c r="CH281" s="8" cm="1">
        <f t="array" ref="CH281">SUMPRODUCT(TRANSPOSE(CH$2:CH$15),$I281:$V281)</f>
        <v>300</v>
      </c>
      <c r="CI281" s="8" cm="1">
        <f t="array" ref="CI281">SUMPRODUCT(TRANSPOSE(CI$2:CI$15),$I281:$V281)</f>
        <v>500</v>
      </c>
      <c r="CJ281" s="8" cm="1">
        <f t="array" ref="CJ281">SUMPRODUCT(TRANSPOSE(CJ$2:CJ$15),$I281:$V281)</f>
        <v>400</v>
      </c>
      <c r="CK281" s="8" cm="1">
        <f t="array" ref="CK281">SUMPRODUCT(TRANSPOSE(CK$2:CK$15),$I281:$V281)</f>
        <v>400</v>
      </c>
      <c r="CL281" s="8" cm="1">
        <f t="array" ref="CL281">SUMPRODUCT(TRANSPOSE(CL$2:CL$15),$I281:$V281)</f>
        <v>400</v>
      </c>
      <c r="CM281" s="8" cm="1">
        <f t="array" ref="CM281">SUMPRODUCT(TRANSPOSE(CM$2:CM$15),$I281:$V281)</f>
        <v>600</v>
      </c>
      <c r="CN281" s="8" cm="1">
        <f t="array" ref="CN281">SUMPRODUCT(TRANSPOSE(CN$2:CN$15),$I281:$V281)</f>
        <v>520</v>
      </c>
      <c r="CO281" s="8" cm="1">
        <f t="array" ref="CO281">SUMPRODUCT(TRANSPOSE(CO$2:CO$15),$I281:$V281)</f>
        <v>0</v>
      </c>
      <c r="CP281" s="8" cm="1">
        <f t="array" ref="CP281">SUMPRODUCT(TRANSPOSE(CP$2:CP$15),$I281:$V281)</f>
        <v>0</v>
      </c>
      <c r="CQ281" s="8" cm="1">
        <f t="array" ref="CQ281">SUMPRODUCT(TRANSPOSE(CQ$2:CQ$15),$I281:$V281)</f>
        <v>0</v>
      </c>
    </row>
    <row r="282" spans="1:95" s="6" customFormat="1" x14ac:dyDescent="0.25">
      <c r="A282" s="1">
        <v>201</v>
      </c>
      <c r="B282" s="11" t="s">
        <v>703</v>
      </c>
      <c r="C282" s="1" t="s">
        <v>49</v>
      </c>
      <c r="D282" s="1">
        <v>400292801</v>
      </c>
      <c r="E282" s="6" t="str">
        <f>VLOOKUP(D282,FFF!$A$2:$B$674,2,)</f>
        <v>FFF003967</v>
      </c>
      <c r="F282" s="1" t="s">
        <v>704</v>
      </c>
      <c r="G282" s="1" t="s">
        <v>35</v>
      </c>
      <c r="H282" s="1">
        <v>1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1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f>SUMPRODUCT(I282:V282,$I$13:$V$13)</f>
        <v>1660</v>
      </c>
      <c r="X282" s="6">
        <f t="shared" si="6"/>
        <v>4.2938999999999998E-2</v>
      </c>
      <c r="Y282" s="1" t="str">
        <f>VLOOKUP(D282,[1]PARTS!$A$1:$G$65536,7,0)</f>
        <v>VISHAY RESISTIVE SYSTEMS</v>
      </c>
      <c r="Z282" s="1">
        <f>VLOOKUP(D282,[2]pareto!$D$12:$AX$306,44,0)</f>
        <v>5000</v>
      </c>
      <c r="AA282" s="1">
        <f>VLOOKUP(D282,[2]pareto!$D$12:$AX$306,45,0)</f>
        <v>5000</v>
      </c>
      <c r="AB282" s="1">
        <f>CEILING(W282,Z282)</f>
        <v>5000</v>
      </c>
      <c r="AC282" s="1">
        <f>VLOOKUP(D282,[2]pareto!$D$12:$AX$306,47,0)</f>
        <v>4.2938999999999998E-2</v>
      </c>
      <c r="AD282" s="1" t="s">
        <v>85</v>
      </c>
      <c r="AE282" s="1" t="s">
        <v>86</v>
      </c>
      <c r="AF282" s="19" t="s">
        <v>87</v>
      </c>
      <c r="AG282" s="1" t="s">
        <v>88</v>
      </c>
      <c r="AH282" s="1"/>
      <c r="BG282" s="8">
        <f>SUM($BB282,$AI282:AI282)-SUM($BY282:BZ282)</f>
        <v>0</v>
      </c>
      <c r="BH282" s="8">
        <f>SUM($BB282,$AI282:AJ282)-SUM($BY282:CA282)</f>
        <v>0</v>
      </c>
      <c r="BI282" s="8">
        <f>SUM($BB282,$AI282:AK282)-SUM($BY282:CB282)</f>
        <v>0</v>
      </c>
      <c r="BJ282" s="8">
        <f>SUM($BB282,$AI282:AL282)-SUM($BY282:CC282)</f>
        <v>0</v>
      </c>
      <c r="BK282" s="8">
        <f>SUM($BB282,$AI282:AM282)-SUM($BY282:CD282)</f>
        <v>0</v>
      </c>
      <c r="BL282" s="8">
        <f>SUM($BB282,$AI282:AN282)-SUM($BY282:CE282)</f>
        <v>0</v>
      </c>
      <c r="BM282" s="8">
        <f>SUM($BB282,$AI282:AO282)-SUM($BY282:CF282)</f>
        <v>0</v>
      </c>
      <c r="BN282" s="8">
        <f>SUM($BB282,$AI282:AP282)-SUM($BY282:CG282)</f>
        <v>-100</v>
      </c>
      <c r="BO282" s="8">
        <f>SUM($BB282,$AI282:AQ282)-SUM($BY282:CH282)</f>
        <v>-250</v>
      </c>
      <c r="BP282" s="8">
        <f>SUM($BB282,$AI282:AR282)-SUM($BY282:CI282)</f>
        <v>-500</v>
      </c>
      <c r="BQ282" s="8">
        <f>SUM($BB282,$AI282:AS282)-SUM($BY282:CJ282)</f>
        <v>-700</v>
      </c>
      <c r="BR282" s="8">
        <f>SUM($BB282,$AI282:AT282)-SUM($BY282:CK282)</f>
        <v>-900</v>
      </c>
      <c r="BS282" s="8">
        <f>SUM($BB282,$AI282:AU282)-SUM($BY282:CL282)</f>
        <v>-1100</v>
      </c>
      <c r="BT282" s="8">
        <f>SUM($BB282,$AI282:AV282)-SUM($BY282:CM282)</f>
        <v>-1400</v>
      </c>
      <c r="BU282" s="8">
        <f>SUM($BB282,$AI282:AW282)-SUM($BY282:CN282)</f>
        <v>-1660</v>
      </c>
      <c r="BV282" s="8">
        <f>SUM($BB282,$AI282:AX282)-SUM($BY282:CO282)</f>
        <v>-1660</v>
      </c>
      <c r="BW282" s="8">
        <f>SUM($BB282,$AI282:AY282)-SUM($BY282:CP282)</f>
        <v>-1660</v>
      </c>
      <c r="BX282" s="8">
        <f>SUM($BB282,$AI282:AZ282)-SUM($BY282:CQ282)</f>
        <v>-1660</v>
      </c>
      <c r="BY282" s="8" cm="1">
        <f t="array" ref="BY282">SUMPRODUCT(TRANSPOSE(BY$2:BY$15),$I282:$V282)</f>
        <v>0</v>
      </c>
      <c r="BZ282" s="8" cm="1">
        <f t="array" ref="BZ282">SUMPRODUCT(TRANSPOSE(BZ$2:BZ$15),$I282:$V282)</f>
        <v>0</v>
      </c>
      <c r="CA282" s="8" cm="1">
        <f t="array" ref="CA282">SUMPRODUCT(TRANSPOSE(CA$2:CA$15),$I282:$V282)</f>
        <v>0</v>
      </c>
      <c r="CB282" s="8" cm="1">
        <f t="array" ref="CB282">SUMPRODUCT(TRANSPOSE(CB$2:CB$15),$I282:$V282)</f>
        <v>0</v>
      </c>
      <c r="CC282" s="8" cm="1">
        <f t="array" ref="CC282">SUMPRODUCT(TRANSPOSE(CC$2:CC$15),$I282:$V282)</f>
        <v>0</v>
      </c>
      <c r="CD282" s="8" cm="1">
        <f t="array" ref="CD282">SUMPRODUCT(TRANSPOSE(CD$2:CD$15),$I282:$V282)</f>
        <v>0</v>
      </c>
      <c r="CE282" s="8" cm="1">
        <f t="array" ref="CE282">SUMPRODUCT(TRANSPOSE(CE$2:CE$15),$I282:$V282)</f>
        <v>0</v>
      </c>
      <c r="CF282" s="8" cm="1">
        <f t="array" ref="CF282">SUMPRODUCT(TRANSPOSE(CF$2:CF$15),$I282:$V282)</f>
        <v>0</v>
      </c>
      <c r="CG282" s="8" cm="1">
        <f t="array" ref="CG282">SUMPRODUCT(TRANSPOSE(CG$2:CG$15),$I282:$V282)</f>
        <v>100</v>
      </c>
      <c r="CH282" s="8" cm="1">
        <f t="array" ref="CH282">SUMPRODUCT(TRANSPOSE(CH$2:CH$15),$I282:$V282)</f>
        <v>150</v>
      </c>
      <c r="CI282" s="8" cm="1">
        <f t="array" ref="CI282">SUMPRODUCT(TRANSPOSE(CI$2:CI$15),$I282:$V282)</f>
        <v>250</v>
      </c>
      <c r="CJ282" s="8" cm="1">
        <f t="array" ref="CJ282">SUMPRODUCT(TRANSPOSE(CJ$2:CJ$15),$I282:$V282)</f>
        <v>200</v>
      </c>
      <c r="CK282" s="8" cm="1">
        <f t="array" ref="CK282">SUMPRODUCT(TRANSPOSE(CK$2:CK$15),$I282:$V282)</f>
        <v>200</v>
      </c>
      <c r="CL282" s="8" cm="1">
        <f t="array" ref="CL282">SUMPRODUCT(TRANSPOSE(CL$2:CL$15),$I282:$V282)</f>
        <v>200</v>
      </c>
      <c r="CM282" s="8" cm="1">
        <f t="array" ref="CM282">SUMPRODUCT(TRANSPOSE(CM$2:CM$15),$I282:$V282)</f>
        <v>300</v>
      </c>
      <c r="CN282" s="8" cm="1">
        <f t="array" ref="CN282">SUMPRODUCT(TRANSPOSE(CN$2:CN$15),$I282:$V282)</f>
        <v>260</v>
      </c>
      <c r="CO282" s="8" cm="1">
        <f t="array" ref="CO282">SUMPRODUCT(TRANSPOSE(CO$2:CO$15),$I282:$V282)</f>
        <v>0</v>
      </c>
      <c r="CP282" s="8" cm="1">
        <f t="array" ref="CP282">SUMPRODUCT(TRANSPOSE(CP$2:CP$15),$I282:$V282)</f>
        <v>0</v>
      </c>
      <c r="CQ282" s="8" cm="1">
        <f t="array" ref="CQ282">SUMPRODUCT(TRANSPOSE(CQ$2:CQ$15),$I282:$V282)</f>
        <v>0</v>
      </c>
    </row>
    <row r="283" spans="1:95" s="6" customFormat="1" x14ac:dyDescent="0.25">
      <c r="A283" s="1">
        <v>194</v>
      </c>
      <c r="B283" s="11" t="s">
        <v>705</v>
      </c>
      <c r="C283" s="1" t="s">
        <v>49</v>
      </c>
      <c r="D283" s="1">
        <v>400265766</v>
      </c>
      <c r="E283" s="6" t="str">
        <f>VLOOKUP(D283,FFF!$A$2:$B$674,2,)</f>
        <v>FFF004327</v>
      </c>
      <c r="F283" s="1" t="s">
        <v>706</v>
      </c>
      <c r="G283" s="1" t="s">
        <v>35</v>
      </c>
      <c r="H283" s="1">
        <v>2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2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f>SUMPRODUCT(I283:V283,$I$13:$V$13)</f>
        <v>3320</v>
      </c>
      <c r="X283" s="6">
        <f t="shared" si="6"/>
        <v>8.0000000000000002E-3</v>
      </c>
      <c r="Y283" s="1" t="str">
        <f>VLOOKUP(D283,[1]PARTS!$A$1:$G$65536,7,0)</f>
        <v>VISHAY RESISTIVE SYSTEMS</v>
      </c>
      <c r="Z283" s="1">
        <v>5000</v>
      </c>
      <c r="AA283" s="1">
        <v>3280</v>
      </c>
      <c r="AB283" s="1">
        <f>CEILING(W283,Z283)</f>
        <v>5000</v>
      </c>
      <c r="AC283" s="1">
        <v>4.0000000000000001E-3</v>
      </c>
      <c r="AD283" s="1" t="s">
        <v>250</v>
      </c>
      <c r="AE283" s="1" t="s">
        <v>251</v>
      </c>
      <c r="AF283" s="12" t="s">
        <v>252</v>
      </c>
      <c r="AG283" s="1" t="s">
        <v>253</v>
      </c>
      <c r="AH283" s="1"/>
      <c r="BG283" s="8">
        <f>SUM($BB283,$AI283:AI283)-SUM($BY283:BZ283)</f>
        <v>0</v>
      </c>
      <c r="BH283" s="8">
        <f>SUM($BB283,$AI283:AJ283)-SUM($BY283:CA283)</f>
        <v>0</v>
      </c>
      <c r="BI283" s="8">
        <f>SUM($BB283,$AI283:AK283)-SUM($BY283:CB283)</f>
        <v>0</v>
      </c>
      <c r="BJ283" s="8">
        <f>SUM($BB283,$AI283:AL283)-SUM($BY283:CC283)</f>
        <v>0</v>
      </c>
      <c r="BK283" s="8">
        <f>SUM($BB283,$AI283:AM283)-SUM($BY283:CD283)</f>
        <v>0</v>
      </c>
      <c r="BL283" s="8">
        <f>SUM($BB283,$AI283:AN283)-SUM($BY283:CE283)</f>
        <v>0</v>
      </c>
      <c r="BM283" s="8">
        <f>SUM($BB283,$AI283:AO283)-SUM($BY283:CF283)</f>
        <v>0</v>
      </c>
      <c r="BN283" s="8">
        <f>SUM($BB283,$AI283:AP283)-SUM($BY283:CG283)</f>
        <v>-200</v>
      </c>
      <c r="BO283" s="8">
        <f>SUM($BB283,$AI283:AQ283)-SUM($BY283:CH283)</f>
        <v>-500</v>
      </c>
      <c r="BP283" s="8">
        <f>SUM($BB283,$AI283:AR283)-SUM($BY283:CI283)</f>
        <v>-1000</v>
      </c>
      <c r="BQ283" s="8">
        <f>SUM($BB283,$AI283:AS283)-SUM($BY283:CJ283)</f>
        <v>-1400</v>
      </c>
      <c r="BR283" s="8">
        <f>SUM($BB283,$AI283:AT283)-SUM($BY283:CK283)</f>
        <v>-1800</v>
      </c>
      <c r="BS283" s="8">
        <f>SUM($BB283,$AI283:AU283)-SUM($BY283:CL283)</f>
        <v>-2200</v>
      </c>
      <c r="BT283" s="8">
        <f>SUM($BB283,$AI283:AV283)-SUM($BY283:CM283)</f>
        <v>-2800</v>
      </c>
      <c r="BU283" s="8">
        <f>SUM($BB283,$AI283:AW283)-SUM($BY283:CN283)</f>
        <v>-3320</v>
      </c>
      <c r="BV283" s="8">
        <f>SUM($BB283,$AI283:AX283)-SUM($BY283:CO283)</f>
        <v>-3320</v>
      </c>
      <c r="BW283" s="8">
        <f>SUM($BB283,$AI283:AY283)-SUM($BY283:CP283)</f>
        <v>-3320</v>
      </c>
      <c r="BX283" s="8">
        <f>SUM($BB283,$AI283:AZ283)-SUM($BY283:CQ283)</f>
        <v>-3320</v>
      </c>
      <c r="BY283" s="8" cm="1">
        <f t="array" ref="BY283">SUMPRODUCT(TRANSPOSE(BY$2:BY$15),$I283:$V283)</f>
        <v>0</v>
      </c>
      <c r="BZ283" s="8" cm="1">
        <f t="array" ref="BZ283">SUMPRODUCT(TRANSPOSE(BZ$2:BZ$15),$I283:$V283)</f>
        <v>0</v>
      </c>
      <c r="CA283" s="8" cm="1">
        <f t="array" ref="CA283">SUMPRODUCT(TRANSPOSE(CA$2:CA$15),$I283:$V283)</f>
        <v>0</v>
      </c>
      <c r="CB283" s="8" cm="1">
        <f t="array" ref="CB283">SUMPRODUCT(TRANSPOSE(CB$2:CB$15),$I283:$V283)</f>
        <v>0</v>
      </c>
      <c r="CC283" s="8" cm="1">
        <f t="array" ref="CC283">SUMPRODUCT(TRANSPOSE(CC$2:CC$15),$I283:$V283)</f>
        <v>0</v>
      </c>
      <c r="CD283" s="8" cm="1">
        <f t="array" ref="CD283">SUMPRODUCT(TRANSPOSE(CD$2:CD$15),$I283:$V283)</f>
        <v>0</v>
      </c>
      <c r="CE283" s="8" cm="1">
        <f t="array" ref="CE283">SUMPRODUCT(TRANSPOSE(CE$2:CE$15),$I283:$V283)</f>
        <v>0</v>
      </c>
      <c r="CF283" s="8" cm="1">
        <f t="array" ref="CF283">SUMPRODUCT(TRANSPOSE(CF$2:CF$15),$I283:$V283)</f>
        <v>0</v>
      </c>
      <c r="CG283" s="8" cm="1">
        <f t="array" ref="CG283">SUMPRODUCT(TRANSPOSE(CG$2:CG$15),$I283:$V283)</f>
        <v>200</v>
      </c>
      <c r="CH283" s="8" cm="1">
        <f t="array" ref="CH283">SUMPRODUCT(TRANSPOSE(CH$2:CH$15),$I283:$V283)</f>
        <v>300</v>
      </c>
      <c r="CI283" s="8" cm="1">
        <f t="array" ref="CI283">SUMPRODUCT(TRANSPOSE(CI$2:CI$15),$I283:$V283)</f>
        <v>500</v>
      </c>
      <c r="CJ283" s="8" cm="1">
        <f t="array" ref="CJ283">SUMPRODUCT(TRANSPOSE(CJ$2:CJ$15),$I283:$V283)</f>
        <v>400</v>
      </c>
      <c r="CK283" s="8" cm="1">
        <f t="array" ref="CK283">SUMPRODUCT(TRANSPOSE(CK$2:CK$15),$I283:$V283)</f>
        <v>400</v>
      </c>
      <c r="CL283" s="8" cm="1">
        <f t="array" ref="CL283">SUMPRODUCT(TRANSPOSE(CL$2:CL$15),$I283:$V283)</f>
        <v>400</v>
      </c>
      <c r="CM283" s="8" cm="1">
        <f t="array" ref="CM283">SUMPRODUCT(TRANSPOSE(CM$2:CM$15),$I283:$V283)</f>
        <v>600</v>
      </c>
      <c r="CN283" s="8" cm="1">
        <f t="array" ref="CN283">SUMPRODUCT(TRANSPOSE(CN$2:CN$15),$I283:$V283)</f>
        <v>520</v>
      </c>
      <c r="CO283" s="8" cm="1">
        <f t="array" ref="CO283">SUMPRODUCT(TRANSPOSE(CO$2:CO$15),$I283:$V283)</f>
        <v>0</v>
      </c>
      <c r="CP283" s="8" cm="1">
        <f t="array" ref="CP283">SUMPRODUCT(TRANSPOSE(CP$2:CP$15),$I283:$V283)</f>
        <v>0</v>
      </c>
      <c r="CQ283" s="8" cm="1">
        <f t="array" ref="CQ283">SUMPRODUCT(TRANSPOSE(CQ$2:CQ$15),$I283:$V283)</f>
        <v>0</v>
      </c>
    </row>
    <row r="284" spans="1:95" s="6" customFormat="1" x14ac:dyDescent="0.25">
      <c r="A284" s="1">
        <v>178</v>
      </c>
      <c r="B284" s="11" t="s">
        <v>707</v>
      </c>
      <c r="C284" s="1" t="s">
        <v>49</v>
      </c>
      <c r="D284" s="1">
        <v>400264055</v>
      </c>
      <c r="E284" s="6" t="str">
        <f>VLOOKUP(D284,FFF!$A$2:$B$674,2,)</f>
        <v>FFF004105</v>
      </c>
      <c r="F284" s="1" t="s">
        <v>708</v>
      </c>
      <c r="G284" s="1" t="s">
        <v>35</v>
      </c>
      <c r="H284" s="1">
        <v>1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1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f>SUMPRODUCT(I284:V284,$I$13:$V$13)</f>
        <v>1660</v>
      </c>
      <c r="X284" s="6">
        <f t="shared" si="6"/>
        <v>4.0000000000000001E-3</v>
      </c>
      <c r="Y284" s="1" t="str">
        <f>VLOOKUP(D284,[1]PARTS!$A$1:$G$65536,7,0)</f>
        <v>VISHAY RESISTIVE SYSTEMS</v>
      </c>
      <c r="Z284" s="1">
        <v>5000</v>
      </c>
      <c r="AA284" s="1">
        <v>1640</v>
      </c>
      <c r="AB284" s="1">
        <f>CEILING(W284,Z284)</f>
        <v>5000</v>
      </c>
      <c r="AC284" s="1">
        <v>4.0000000000000001E-3</v>
      </c>
      <c r="AD284" s="1" t="s">
        <v>250</v>
      </c>
      <c r="AE284" s="1" t="s">
        <v>251</v>
      </c>
      <c r="AF284" s="12" t="s">
        <v>252</v>
      </c>
      <c r="AG284" s="1" t="s">
        <v>253</v>
      </c>
      <c r="AH284" s="1" t="s">
        <v>709</v>
      </c>
      <c r="BG284" s="8">
        <f>SUM($BB284,$AI284:AI284)-SUM($BY284:BZ284)</f>
        <v>0</v>
      </c>
      <c r="BH284" s="8">
        <f>SUM($BB284,$AI284:AJ284)-SUM($BY284:CA284)</f>
        <v>0</v>
      </c>
      <c r="BI284" s="8">
        <f>SUM($BB284,$AI284:AK284)-SUM($BY284:CB284)</f>
        <v>0</v>
      </c>
      <c r="BJ284" s="8">
        <f>SUM($BB284,$AI284:AL284)-SUM($BY284:CC284)</f>
        <v>0</v>
      </c>
      <c r="BK284" s="8">
        <f>SUM($BB284,$AI284:AM284)-SUM($BY284:CD284)</f>
        <v>0</v>
      </c>
      <c r="BL284" s="8">
        <f>SUM($BB284,$AI284:AN284)-SUM($BY284:CE284)</f>
        <v>0</v>
      </c>
      <c r="BM284" s="8">
        <f>SUM($BB284,$AI284:AO284)-SUM($BY284:CF284)</f>
        <v>0</v>
      </c>
      <c r="BN284" s="8">
        <f>SUM($BB284,$AI284:AP284)-SUM($BY284:CG284)</f>
        <v>-100</v>
      </c>
      <c r="BO284" s="8">
        <f>SUM($BB284,$AI284:AQ284)-SUM($BY284:CH284)</f>
        <v>-250</v>
      </c>
      <c r="BP284" s="8">
        <f>SUM($BB284,$AI284:AR284)-SUM($BY284:CI284)</f>
        <v>-500</v>
      </c>
      <c r="BQ284" s="8">
        <f>SUM($BB284,$AI284:AS284)-SUM($BY284:CJ284)</f>
        <v>-700</v>
      </c>
      <c r="BR284" s="8">
        <f>SUM($BB284,$AI284:AT284)-SUM($BY284:CK284)</f>
        <v>-900</v>
      </c>
      <c r="BS284" s="8">
        <f>SUM($BB284,$AI284:AU284)-SUM($BY284:CL284)</f>
        <v>-1100</v>
      </c>
      <c r="BT284" s="8">
        <f>SUM($BB284,$AI284:AV284)-SUM($BY284:CM284)</f>
        <v>-1400</v>
      </c>
      <c r="BU284" s="8">
        <f>SUM($BB284,$AI284:AW284)-SUM($BY284:CN284)</f>
        <v>-1660</v>
      </c>
      <c r="BV284" s="8">
        <f>SUM($BB284,$AI284:AX284)-SUM($BY284:CO284)</f>
        <v>-1660</v>
      </c>
      <c r="BW284" s="8">
        <f>SUM($BB284,$AI284:AY284)-SUM($BY284:CP284)</f>
        <v>-1660</v>
      </c>
      <c r="BX284" s="8">
        <f>SUM($BB284,$AI284:AZ284)-SUM($BY284:CQ284)</f>
        <v>-1660</v>
      </c>
      <c r="BY284" s="8" cm="1">
        <f t="array" ref="BY284">SUMPRODUCT(TRANSPOSE(BY$2:BY$15),$I284:$V284)</f>
        <v>0</v>
      </c>
      <c r="BZ284" s="8" cm="1">
        <f t="array" ref="BZ284">SUMPRODUCT(TRANSPOSE(BZ$2:BZ$15),$I284:$V284)</f>
        <v>0</v>
      </c>
      <c r="CA284" s="8" cm="1">
        <f t="array" ref="CA284">SUMPRODUCT(TRANSPOSE(CA$2:CA$15),$I284:$V284)</f>
        <v>0</v>
      </c>
      <c r="CB284" s="8" cm="1">
        <f t="array" ref="CB284">SUMPRODUCT(TRANSPOSE(CB$2:CB$15),$I284:$V284)</f>
        <v>0</v>
      </c>
      <c r="CC284" s="8" cm="1">
        <f t="array" ref="CC284">SUMPRODUCT(TRANSPOSE(CC$2:CC$15),$I284:$V284)</f>
        <v>0</v>
      </c>
      <c r="CD284" s="8" cm="1">
        <f t="array" ref="CD284">SUMPRODUCT(TRANSPOSE(CD$2:CD$15),$I284:$V284)</f>
        <v>0</v>
      </c>
      <c r="CE284" s="8" cm="1">
        <f t="array" ref="CE284">SUMPRODUCT(TRANSPOSE(CE$2:CE$15),$I284:$V284)</f>
        <v>0</v>
      </c>
      <c r="CF284" s="8" cm="1">
        <f t="array" ref="CF284">SUMPRODUCT(TRANSPOSE(CF$2:CF$15),$I284:$V284)</f>
        <v>0</v>
      </c>
      <c r="CG284" s="8" cm="1">
        <f t="array" ref="CG284">SUMPRODUCT(TRANSPOSE(CG$2:CG$15),$I284:$V284)</f>
        <v>100</v>
      </c>
      <c r="CH284" s="8" cm="1">
        <f t="array" ref="CH284">SUMPRODUCT(TRANSPOSE(CH$2:CH$15),$I284:$V284)</f>
        <v>150</v>
      </c>
      <c r="CI284" s="8" cm="1">
        <f t="array" ref="CI284">SUMPRODUCT(TRANSPOSE(CI$2:CI$15),$I284:$V284)</f>
        <v>250</v>
      </c>
      <c r="CJ284" s="8" cm="1">
        <f t="array" ref="CJ284">SUMPRODUCT(TRANSPOSE(CJ$2:CJ$15),$I284:$V284)</f>
        <v>200</v>
      </c>
      <c r="CK284" s="8" cm="1">
        <f t="array" ref="CK284">SUMPRODUCT(TRANSPOSE(CK$2:CK$15),$I284:$V284)</f>
        <v>200</v>
      </c>
      <c r="CL284" s="8" cm="1">
        <f t="array" ref="CL284">SUMPRODUCT(TRANSPOSE(CL$2:CL$15),$I284:$V284)</f>
        <v>200</v>
      </c>
      <c r="CM284" s="8" cm="1">
        <f t="array" ref="CM284">SUMPRODUCT(TRANSPOSE(CM$2:CM$15),$I284:$V284)</f>
        <v>300</v>
      </c>
      <c r="CN284" s="8" cm="1">
        <f t="array" ref="CN284">SUMPRODUCT(TRANSPOSE(CN$2:CN$15),$I284:$V284)</f>
        <v>260</v>
      </c>
      <c r="CO284" s="8" cm="1">
        <f t="array" ref="CO284">SUMPRODUCT(TRANSPOSE(CO$2:CO$15),$I284:$V284)</f>
        <v>0</v>
      </c>
      <c r="CP284" s="8" cm="1">
        <f t="array" ref="CP284">SUMPRODUCT(TRANSPOSE(CP$2:CP$15),$I284:$V284)</f>
        <v>0</v>
      </c>
      <c r="CQ284" s="8" cm="1">
        <f t="array" ref="CQ284">SUMPRODUCT(TRANSPOSE(CQ$2:CQ$15),$I284:$V284)</f>
        <v>0</v>
      </c>
    </row>
    <row r="285" spans="1:95" s="6" customFormat="1" x14ac:dyDescent="0.25">
      <c r="A285" s="1">
        <v>144</v>
      </c>
      <c r="B285" s="11" t="s">
        <v>710</v>
      </c>
      <c r="C285" s="1" t="s">
        <v>49</v>
      </c>
      <c r="D285" s="1">
        <v>417983116</v>
      </c>
      <c r="E285" s="6" t="str">
        <f>VLOOKUP(D285,FFF!$A$2:$B$674,2,)</f>
        <v>FFF004709</v>
      </c>
      <c r="F285" s="1" t="s">
        <v>711</v>
      </c>
      <c r="G285" s="1" t="s">
        <v>35</v>
      </c>
      <c r="H285" s="1">
        <v>8</v>
      </c>
      <c r="I285" s="1">
        <v>0</v>
      </c>
      <c r="J285" s="1">
        <v>0</v>
      </c>
      <c r="K285" s="1">
        <v>0</v>
      </c>
      <c r="L285" s="1">
        <v>0</v>
      </c>
      <c r="M285" s="1">
        <v>4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4</v>
      </c>
      <c r="W285" s="1">
        <f>SUMPRODUCT(I285:V285,$I$13:$V$13)</f>
        <v>12840</v>
      </c>
      <c r="X285" s="6">
        <f t="shared" si="6"/>
        <v>2.9951999999999999E-2</v>
      </c>
      <c r="Y285" s="1" t="str">
        <f>VLOOKUP(D285,[1]PARTS!$A$1:$G$65536,7,0)</f>
        <v>SAMSUNG</v>
      </c>
      <c r="Z285" s="1">
        <f>VLOOKUP(D285,[2]pareto!$D$12:$AX$306,44,0)</f>
        <v>4000</v>
      </c>
      <c r="AA285" s="1">
        <f>VLOOKUP(D285,[2]pareto!$D$12:$AX$306,45,0)</f>
        <v>4000</v>
      </c>
      <c r="AB285" s="1">
        <f>CEILING(W285,Z285)</f>
        <v>16000</v>
      </c>
      <c r="AC285" s="1">
        <f>VLOOKUP(D285,[2]pareto!$D$12:$AX$306,47,0)</f>
        <v>3.7439999999999999E-3</v>
      </c>
      <c r="AD285" s="1" t="s">
        <v>85</v>
      </c>
      <c r="AE285" s="1" t="s">
        <v>86</v>
      </c>
      <c r="AF285" s="19" t="s">
        <v>87</v>
      </c>
      <c r="AG285" s="1" t="s">
        <v>88</v>
      </c>
      <c r="AH285" s="1"/>
      <c r="BG285" s="8">
        <f>SUM($BB285,$AI285:AI285)-SUM($BY285:BZ285)</f>
        <v>0</v>
      </c>
      <c r="BH285" s="8">
        <f>SUM($BB285,$AI285:AJ285)-SUM($BY285:CA285)</f>
        <v>0</v>
      </c>
      <c r="BI285" s="8">
        <f>SUM($BB285,$AI285:AK285)-SUM($BY285:CB285)</f>
        <v>0</v>
      </c>
      <c r="BJ285" s="8">
        <f>SUM($BB285,$AI285:AL285)-SUM($BY285:CC285)</f>
        <v>0</v>
      </c>
      <c r="BK285" s="8">
        <f>SUM($BB285,$AI285:AM285)-SUM($BY285:CD285)</f>
        <v>0</v>
      </c>
      <c r="BL285" s="8">
        <f>SUM($BB285,$AI285:AN285)-SUM($BY285:CE285)</f>
        <v>0</v>
      </c>
      <c r="BM285" s="8">
        <f>SUM($BB285,$AI285:AO285)-SUM($BY285:CF285)</f>
        <v>0</v>
      </c>
      <c r="BN285" s="8">
        <f>SUM($BB285,$AI285:AP285)-SUM($BY285:CG285)</f>
        <v>-400</v>
      </c>
      <c r="BO285" s="8">
        <f>SUM($BB285,$AI285:AQ285)-SUM($BY285:CH285)</f>
        <v>-1400</v>
      </c>
      <c r="BP285" s="8">
        <f>SUM($BB285,$AI285:AR285)-SUM($BY285:CI285)</f>
        <v>-3000</v>
      </c>
      <c r="BQ285" s="8">
        <f>SUM($BB285,$AI285:AS285)-SUM($BY285:CJ285)</f>
        <v>-4880</v>
      </c>
      <c r="BR285" s="8">
        <f>SUM($BB285,$AI285:AT285)-SUM($BY285:CK285)</f>
        <v>-6480</v>
      </c>
      <c r="BS285" s="8">
        <f>SUM($BB285,$AI285:AU285)-SUM($BY285:CL285)</f>
        <v>-7880</v>
      </c>
      <c r="BT285" s="8">
        <f>SUM($BB285,$AI285:AV285)-SUM($BY285:CM285)</f>
        <v>-9640</v>
      </c>
      <c r="BU285" s="8">
        <f>SUM($BB285,$AI285:AW285)-SUM($BY285:CN285)</f>
        <v>-11800</v>
      </c>
      <c r="BV285" s="8">
        <f>SUM($BB285,$AI285:AX285)-SUM($BY285:CO285)</f>
        <v>-12840</v>
      </c>
      <c r="BW285" s="8">
        <f>SUM($BB285,$AI285:AY285)-SUM($BY285:CP285)</f>
        <v>-12840</v>
      </c>
      <c r="BX285" s="8">
        <f>SUM($BB285,$AI285:AZ285)-SUM($BY285:CQ285)</f>
        <v>-12840</v>
      </c>
      <c r="BY285" s="8" cm="1">
        <f t="array" ref="BY285">SUMPRODUCT(TRANSPOSE(BY$2:BY$15),$I285:$V285)</f>
        <v>0</v>
      </c>
      <c r="BZ285" s="8" cm="1">
        <f t="array" ref="BZ285">SUMPRODUCT(TRANSPOSE(BZ$2:BZ$15),$I285:$V285)</f>
        <v>0</v>
      </c>
      <c r="CA285" s="8" cm="1">
        <f t="array" ref="CA285">SUMPRODUCT(TRANSPOSE(CA$2:CA$15),$I285:$V285)</f>
        <v>0</v>
      </c>
      <c r="CB285" s="8" cm="1">
        <f t="array" ref="CB285">SUMPRODUCT(TRANSPOSE(CB$2:CB$15),$I285:$V285)</f>
        <v>0</v>
      </c>
      <c r="CC285" s="8" cm="1">
        <f t="array" ref="CC285">SUMPRODUCT(TRANSPOSE(CC$2:CC$15),$I285:$V285)</f>
        <v>0</v>
      </c>
      <c r="CD285" s="8" cm="1">
        <f t="array" ref="CD285">SUMPRODUCT(TRANSPOSE(CD$2:CD$15),$I285:$V285)</f>
        <v>0</v>
      </c>
      <c r="CE285" s="8" cm="1">
        <f t="array" ref="CE285">SUMPRODUCT(TRANSPOSE(CE$2:CE$15),$I285:$V285)</f>
        <v>0</v>
      </c>
      <c r="CF285" s="8" cm="1">
        <f t="array" ref="CF285">SUMPRODUCT(TRANSPOSE(CF$2:CF$15),$I285:$V285)</f>
        <v>0</v>
      </c>
      <c r="CG285" s="8" cm="1">
        <f t="array" ref="CG285">SUMPRODUCT(TRANSPOSE(CG$2:CG$15),$I285:$V285)</f>
        <v>400</v>
      </c>
      <c r="CH285" s="8" cm="1">
        <f t="array" ref="CH285">SUMPRODUCT(TRANSPOSE(CH$2:CH$15),$I285:$V285)</f>
        <v>1000</v>
      </c>
      <c r="CI285" s="8" cm="1">
        <f t="array" ref="CI285">SUMPRODUCT(TRANSPOSE(CI$2:CI$15),$I285:$V285)</f>
        <v>1600</v>
      </c>
      <c r="CJ285" s="8" cm="1">
        <f t="array" ref="CJ285">SUMPRODUCT(TRANSPOSE(CJ$2:CJ$15),$I285:$V285)</f>
        <v>1880</v>
      </c>
      <c r="CK285" s="8" cm="1">
        <f t="array" ref="CK285">SUMPRODUCT(TRANSPOSE(CK$2:CK$15),$I285:$V285)</f>
        <v>1600</v>
      </c>
      <c r="CL285" s="8" cm="1">
        <f t="array" ref="CL285">SUMPRODUCT(TRANSPOSE(CL$2:CL$15),$I285:$V285)</f>
        <v>1400</v>
      </c>
      <c r="CM285" s="8" cm="1">
        <f t="array" ref="CM285">SUMPRODUCT(TRANSPOSE(CM$2:CM$15),$I285:$V285)</f>
        <v>1760</v>
      </c>
      <c r="CN285" s="8" cm="1">
        <f t="array" ref="CN285">SUMPRODUCT(TRANSPOSE(CN$2:CN$15),$I285:$V285)</f>
        <v>2160</v>
      </c>
      <c r="CO285" s="8" cm="1">
        <f t="array" ref="CO285">SUMPRODUCT(TRANSPOSE(CO$2:CO$15),$I285:$V285)</f>
        <v>1040</v>
      </c>
      <c r="CP285" s="8" cm="1">
        <f t="array" ref="CP285">SUMPRODUCT(TRANSPOSE(CP$2:CP$15),$I285:$V285)</f>
        <v>0</v>
      </c>
      <c r="CQ285" s="8" cm="1">
        <f t="array" ref="CQ285">SUMPRODUCT(TRANSPOSE(CQ$2:CQ$15),$I285:$V285)</f>
        <v>0</v>
      </c>
    </row>
    <row r="286" spans="1:95" s="6" customFormat="1" x14ac:dyDescent="0.25">
      <c r="A286" s="1">
        <v>124</v>
      </c>
      <c r="B286" s="11" t="s">
        <v>712</v>
      </c>
      <c r="C286" s="1" t="s">
        <v>49</v>
      </c>
      <c r="D286" s="1">
        <v>401225087</v>
      </c>
      <c r="E286" s="6">
        <f>VLOOKUP(D286,FFF!$A$2:$B$674,2,)</f>
        <v>400481211</v>
      </c>
      <c r="F286" s="1" t="s">
        <v>713</v>
      </c>
      <c r="G286" s="1" t="s">
        <v>35</v>
      </c>
      <c r="H286" s="1">
        <v>6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6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f>SUMPRODUCT(I286:V286,$I$13:$V$13)</f>
        <v>9960</v>
      </c>
      <c r="X286" s="6">
        <f t="shared" si="6"/>
        <v>1.8000000000000002E-2</v>
      </c>
      <c r="Y286" s="1" t="str">
        <f>VLOOKUP(D286,[1]PARTS!$A$1:$G$65536,7,0)</f>
        <v>KEMET ELECTRONICS S A</v>
      </c>
      <c r="Z286" s="1">
        <v>10000</v>
      </c>
      <c r="AA286" s="1">
        <f>VLOOKUP(D286,[2]pareto!$D$12:$AX$306,45,0)</f>
        <v>10000</v>
      </c>
      <c r="AB286" s="1">
        <f>CEILING(W286,Z286)</f>
        <v>10000</v>
      </c>
      <c r="AC286" s="1">
        <f>VLOOKUP(D286,[2]pareto!$D$12:$AX$306,47,0)</f>
        <v>3.0000000000000001E-3</v>
      </c>
      <c r="AD286" s="1" t="s">
        <v>119</v>
      </c>
      <c r="AE286" s="1" t="s">
        <v>243</v>
      </c>
      <c r="AF286" s="19" t="s">
        <v>244</v>
      </c>
      <c r="AG286" s="1" t="s">
        <v>245</v>
      </c>
      <c r="AH286" s="1"/>
      <c r="BG286" s="8">
        <f>SUM($BB286,$AI286:AI286)-SUM($BY286:BZ286)</f>
        <v>0</v>
      </c>
      <c r="BH286" s="8">
        <f>SUM($BB286,$AI286:AJ286)-SUM($BY286:CA286)</f>
        <v>0</v>
      </c>
      <c r="BI286" s="8">
        <f>SUM($BB286,$AI286:AK286)-SUM($BY286:CB286)</f>
        <v>0</v>
      </c>
      <c r="BJ286" s="8">
        <f>SUM($BB286,$AI286:AL286)-SUM($BY286:CC286)</f>
        <v>0</v>
      </c>
      <c r="BK286" s="8">
        <f>SUM($BB286,$AI286:AM286)-SUM($BY286:CD286)</f>
        <v>0</v>
      </c>
      <c r="BL286" s="8">
        <f>SUM($BB286,$AI286:AN286)-SUM($BY286:CE286)</f>
        <v>0</v>
      </c>
      <c r="BM286" s="8">
        <f>SUM($BB286,$AI286:AO286)-SUM($BY286:CF286)</f>
        <v>0</v>
      </c>
      <c r="BN286" s="8">
        <f>SUM($BB286,$AI286:AP286)-SUM($BY286:CG286)</f>
        <v>-600</v>
      </c>
      <c r="BO286" s="8">
        <f>SUM($BB286,$AI286:AQ286)-SUM($BY286:CH286)</f>
        <v>-1500</v>
      </c>
      <c r="BP286" s="8">
        <f>SUM($BB286,$AI286:AR286)-SUM($BY286:CI286)</f>
        <v>-3000</v>
      </c>
      <c r="BQ286" s="8">
        <f>SUM($BB286,$AI286:AS286)-SUM($BY286:CJ286)</f>
        <v>-4200</v>
      </c>
      <c r="BR286" s="8">
        <f>SUM($BB286,$AI286:AT286)-SUM($BY286:CK286)</f>
        <v>-5400</v>
      </c>
      <c r="BS286" s="8">
        <f>SUM($BB286,$AI286:AU286)-SUM($BY286:CL286)</f>
        <v>-6600</v>
      </c>
      <c r="BT286" s="8">
        <f>SUM($BB286,$AI286:AV286)-SUM($BY286:CM286)</f>
        <v>-8400</v>
      </c>
      <c r="BU286" s="8">
        <f>SUM($BB286,$AI286:AW286)-SUM($BY286:CN286)</f>
        <v>-9960</v>
      </c>
      <c r="BV286" s="8">
        <f>SUM($BB286,$AI286:AX286)-SUM($BY286:CO286)</f>
        <v>-9960</v>
      </c>
      <c r="BW286" s="8">
        <f>SUM($BB286,$AI286:AY286)-SUM($BY286:CP286)</f>
        <v>-9960</v>
      </c>
      <c r="BX286" s="8">
        <f>SUM($BB286,$AI286:AZ286)-SUM($BY286:CQ286)</f>
        <v>-9960</v>
      </c>
      <c r="BY286" s="8" cm="1">
        <f t="array" ref="BY286">SUMPRODUCT(TRANSPOSE(BY$2:BY$15),$I286:$V286)</f>
        <v>0</v>
      </c>
      <c r="BZ286" s="8" cm="1">
        <f t="array" ref="BZ286">SUMPRODUCT(TRANSPOSE(BZ$2:BZ$15),$I286:$V286)</f>
        <v>0</v>
      </c>
      <c r="CA286" s="8" cm="1">
        <f t="array" ref="CA286">SUMPRODUCT(TRANSPOSE(CA$2:CA$15),$I286:$V286)</f>
        <v>0</v>
      </c>
      <c r="CB286" s="8" cm="1">
        <f t="array" ref="CB286">SUMPRODUCT(TRANSPOSE(CB$2:CB$15),$I286:$V286)</f>
        <v>0</v>
      </c>
      <c r="CC286" s="8" cm="1">
        <f t="array" ref="CC286">SUMPRODUCT(TRANSPOSE(CC$2:CC$15),$I286:$V286)</f>
        <v>0</v>
      </c>
      <c r="CD286" s="8" cm="1">
        <f t="array" ref="CD286">SUMPRODUCT(TRANSPOSE(CD$2:CD$15),$I286:$V286)</f>
        <v>0</v>
      </c>
      <c r="CE286" s="8" cm="1">
        <f t="array" ref="CE286">SUMPRODUCT(TRANSPOSE(CE$2:CE$15),$I286:$V286)</f>
        <v>0</v>
      </c>
      <c r="CF286" s="8" cm="1">
        <f t="array" ref="CF286">SUMPRODUCT(TRANSPOSE(CF$2:CF$15),$I286:$V286)</f>
        <v>0</v>
      </c>
      <c r="CG286" s="8" cm="1">
        <f t="array" ref="CG286">SUMPRODUCT(TRANSPOSE(CG$2:CG$15),$I286:$V286)</f>
        <v>600</v>
      </c>
      <c r="CH286" s="8" cm="1">
        <f t="array" ref="CH286">SUMPRODUCT(TRANSPOSE(CH$2:CH$15),$I286:$V286)</f>
        <v>900</v>
      </c>
      <c r="CI286" s="8" cm="1">
        <f t="array" ref="CI286">SUMPRODUCT(TRANSPOSE(CI$2:CI$15),$I286:$V286)</f>
        <v>1500</v>
      </c>
      <c r="CJ286" s="8" cm="1">
        <f t="array" ref="CJ286">SUMPRODUCT(TRANSPOSE(CJ$2:CJ$15),$I286:$V286)</f>
        <v>1200</v>
      </c>
      <c r="CK286" s="8" cm="1">
        <f t="array" ref="CK286">SUMPRODUCT(TRANSPOSE(CK$2:CK$15),$I286:$V286)</f>
        <v>1200</v>
      </c>
      <c r="CL286" s="8" cm="1">
        <f t="array" ref="CL286">SUMPRODUCT(TRANSPOSE(CL$2:CL$15),$I286:$V286)</f>
        <v>1200</v>
      </c>
      <c r="CM286" s="8" cm="1">
        <f t="array" ref="CM286">SUMPRODUCT(TRANSPOSE(CM$2:CM$15),$I286:$V286)</f>
        <v>1800</v>
      </c>
      <c r="CN286" s="8" cm="1">
        <f t="array" ref="CN286">SUMPRODUCT(TRANSPOSE(CN$2:CN$15),$I286:$V286)</f>
        <v>1560</v>
      </c>
      <c r="CO286" s="8" cm="1">
        <f t="array" ref="CO286">SUMPRODUCT(TRANSPOSE(CO$2:CO$15),$I286:$V286)</f>
        <v>0</v>
      </c>
      <c r="CP286" s="8" cm="1">
        <f t="array" ref="CP286">SUMPRODUCT(TRANSPOSE(CP$2:CP$15),$I286:$V286)</f>
        <v>0</v>
      </c>
      <c r="CQ286" s="8" cm="1">
        <f t="array" ref="CQ286">SUMPRODUCT(TRANSPOSE(CQ$2:CQ$15),$I286:$V286)</f>
        <v>0</v>
      </c>
    </row>
    <row r="287" spans="1:95" s="6" customFormat="1" x14ac:dyDescent="0.25">
      <c r="A287" s="1">
        <v>139</v>
      </c>
      <c r="B287" s="11" t="s">
        <v>714</v>
      </c>
      <c r="C287" s="1" t="s">
        <v>49</v>
      </c>
      <c r="D287" s="1">
        <v>417983111</v>
      </c>
      <c r="E287" s="6">
        <f>VLOOKUP(D287,FFF!$A$2:$B$674,2,)</f>
        <v>400481213</v>
      </c>
      <c r="F287" s="1" t="s">
        <v>715</v>
      </c>
      <c r="G287" s="1" t="s">
        <v>35</v>
      </c>
      <c r="H287" s="1">
        <v>28</v>
      </c>
      <c r="I287" s="1">
        <v>0</v>
      </c>
      <c r="J287" s="1">
        <v>0</v>
      </c>
      <c r="K287" s="1">
        <v>0</v>
      </c>
      <c r="L287" s="1">
        <v>28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f>SUMPRODUCT(I287:V287,$I$13:$V$13)</f>
        <v>43400</v>
      </c>
      <c r="X287" s="6">
        <f t="shared" si="6"/>
        <v>6.1600000000000002E-2</v>
      </c>
      <c r="Y287" s="1" t="str">
        <f>VLOOKUP(D287,[1]PARTS!$A$1:$G$65536,7,0)</f>
        <v>SAMSUNG</v>
      </c>
      <c r="Z287" s="1">
        <f>VLOOKUP(D287,[2]pareto!$D$12:$AX$306,44,0)</f>
        <v>10000</v>
      </c>
      <c r="AA287" s="1">
        <v>42840</v>
      </c>
      <c r="AB287" s="1">
        <f>CEILING(W287,Z287)</f>
        <v>50000</v>
      </c>
      <c r="AC287" s="1">
        <f>VLOOKUP(D287,[2]pareto!$D$12:$AX$306,47,0)</f>
        <v>2.2000000000000001E-3</v>
      </c>
      <c r="AD287" s="1" t="s">
        <v>430</v>
      </c>
      <c r="AE287" s="1" t="s">
        <v>431</v>
      </c>
      <c r="AF287" s="12" t="s">
        <v>432</v>
      </c>
      <c r="AG287" s="1" t="s">
        <v>433</v>
      </c>
      <c r="AH287" s="1"/>
      <c r="BG287" s="8">
        <f>SUM($BB287,$AI287:AI287)-SUM($BY287:BZ287)</f>
        <v>0</v>
      </c>
      <c r="BH287" s="8">
        <f>SUM($BB287,$AI287:AJ287)-SUM($BY287:CA287)</f>
        <v>0</v>
      </c>
      <c r="BI287" s="8">
        <f>SUM($BB287,$AI287:AK287)-SUM($BY287:CB287)</f>
        <v>0</v>
      </c>
      <c r="BJ287" s="8">
        <f>SUM($BB287,$AI287:AL287)-SUM($BY287:CC287)</f>
        <v>0</v>
      </c>
      <c r="BK287" s="8">
        <f>SUM($BB287,$AI287:AM287)-SUM($BY287:CD287)</f>
        <v>0</v>
      </c>
      <c r="BL287" s="8">
        <f>SUM($BB287,$AI287:AN287)-SUM($BY287:CE287)</f>
        <v>0</v>
      </c>
      <c r="BM287" s="8">
        <f>SUM($BB287,$AI287:AO287)-SUM($BY287:CF287)</f>
        <v>0</v>
      </c>
      <c r="BN287" s="8">
        <f>SUM($BB287,$AI287:AP287)-SUM($BY287:CG287)</f>
        <v>-2800</v>
      </c>
      <c r="BO287" s="8">
        <f>SUM($BB287,$AI287:AQ287)-SUM($BY287:CH287)</f>
        <v>-7000</v>
      </c>
      <c r="BP287" s="8">
        <f>SUM($BB287,$AI287:AR287)-SUM($BY287:CI287)</f>
        <v>-14000</v>
      </c>
      <c r="BQ287" s="8">
        <f>SUM($BB287,$AI287:AS287)-SUM($BY287:CJ287)</f>
        <v>-20160</v>
      </c>
      <c r="BR287" s="8">
        <f>SUM($BB287,$AI287:AT287)-SUM($BY287:CK287)</f>
        <v>-25760</v>
      </c>
      <c r="BS287" s="8">
        <f>SUM($BB287,$AI287:AU287)-SUM($BY287:CL287)</f>
        <v>-29960</v>
      </c>
      <c r="BT287" s="8">
        <f>SUM($BB287,$AI287:AV287)-SUM($BY287:CM287)</f>
        <v>-36680</v>
      </c>
      <c r="BU287" s="8">
        <f>SUM($BB287,$AI287:AW287)-SUM($BY287:CN287)</f>
        <v>-43400</v>
      </c>
      <c r="BV287" s="8">
        <f>SUM($BB287,$AI287:AX287)-SUM($BY287:CO287)</f>
        <v>-43400</v>
      </c>
      <c r="BW287" s="8">
        <f>SUM($BB287,$AI287:AY287)-SUM($BY287:CP287)</f>
        <v>-43400</v>
      </c>
      <c r="BX287" s="8">
        <f>SUM($BB287,$AI287:AZ287)-SUM($BY287:CQ287)</f>
        <v>-43400</v>
      </c>
      <c r="BY287" s="8" cm="1">
        <f t="array" ref="BY287">SUMPRODUCT(TRANSPOSE(BY$2:BY$15),$I287:$V287)</f>
        <v>0</v>
      </c>
      <c r="BZ287" s="8" cm="1">
        <f t="array" ref="BZ287">SUMPRODUCT(TRANSPOSE(BZ$2:BZ$15),$I287:$V287)</f>
        <v>0</v>
      </c>
      <c r="CA287" s="8" cm="1">
        <f t="array" ref="CA287">SUMPRODUCT(TRANSPOSE(CA$2:CA$15),$I287:$V287)</f>
        <v>0</v>
      </c>
      <c r="CB287" s="8" cm="1">
        <f t="array" ref="CB287">SUMPRODUCT(TRANSPOSE(CB$2:CB$15),$I287:$V287)</f>
        <v>0</v>
      </c>
      <c r="CC287" s="8" cm="1">
        <f t="array" ref="CC287">SUMPRODUCT(TRANSPOSE(CC$2:CC$15),$I287:$V287)</f>
        <v>0</v>
      </c>
      <c r="CD287" s="8" cm="1">
        <f t="array" ref="CD287">SUMPRODUCT(TRANSPOSE(CD$2:CD$15),$I287:$V287)</f>
        <v>0</v>
      </c>
      <c r="CE287" s="8" cm="1">
        <f t="array" ref="CE287">SUMPRODUCT(TRANSPOSE(CE$2:CE$15),$I287:$V287)</f>
        <v>0</v>
      </c>
      <c r="CF287" s="8" cm="1">
        <f t="array" ref="CF287">SUMPRODUCT(TRANSPOSE(CF$2:CF$15),$I287:$V287)</f>
        <v>0</v>
      </c>
      <c r="CG287" s="8" cm="1">
        <f t="array" ref="CG287">SUMPRODUCT(TRANSPOSE(CG$2:CG$15),$I287:$V287)</f>
        <v>2800</v>
      </c>
      <c r="CH287" s="8" cm="1">
        <f t="array" ref="CH287">SUMPRODUCT(TRANSPOSE(CH$2:CH$15),$I287:$V287)</f>
        <v>4200</v>
      </c>
      <c r="CI287" s="8" cm="1">
        <f t="array" ref="CI287">SUMPRODUCT(TRANSPOSE(CI$2:CI$15),$I287:$V287)</f>
        <v>7000</v>
      </c>
      <c r="CJ287" s="8" cm="1">
        <f t="array" ref="CJ287">SUMPRODUCT(TRANSPOSE(CJ$2:CJ$15),$I287:$V287)</f>
        <v>6160</v>
      </c>
      <c r="CK287" s="8" cm="1">
        <f t="array" ref="CK287">SUMPRODUCT(TRANSPOSE(CK$2:CK$15),$I287:$V287)</f>
        <v>5600</v>
      </c>
      <c r="CL287" s="8" cm="1">
        <f t="array" ref="CL287">SUMPRODUCT(TRANSPOSE(CL$2:CL$15),$I287:$V287)</f>
        <v>4200</v>
      </c>
      <c r="CM287" s="8" cm="1">
        <f t="array" ref="CM287">SUMPRODUCT(TRANSPOSE(CM$2:CM$15),$I287:$V287)</f>
        <v>6720</v>
      </c>
      <c r="CN287" s="8" cm="1">
        <f t="array" ref="CN287">SUMPRODUCT(TRANSPOSE(CN$2:CN$15),$I287:$V287)</f>
        <v>6720</v>
      </c>
      <c r="CO287" s="8" cm="1">
        <f t="array" ref="CO287">SUMPRODUCT(TRANSPOSE(CO$2:CO$15),$I287:$V287)</f>
        <v>0</v>
      </c>
      <c r="CP287" s="8" cm="1">
        <f t="array" ref="CP287">SUMPRODUCT(TRANSPOSE(CP$2:CP$15),$I287:$V287)</f>
        <v>0</v>
      </c>
      <c r="CQ287" s="8" cm="1">
        <f t="array" ref="CQ287">SUMPRODUCT(TRANSPOSE(CQ$2:CQ$15),$I287:$V287)</f>
        <v>0</v>
      </c>
    </row>
    <row r="288" spans="1:95" s="6" customFormat="1" x14ac:dyDescent="0.25">
      <c r="A288" s="1">
        <v>141</v>
      </c>
      <c r="B288" s="11" t="s">
        <v>716</v>
      </c>
      <c r="C288" s="1" t="s">
        <v>49</v>
      </c>
      <c r="D288" s="1">
        <v>417983120</v>
      </c>
      <c r="E288" s="6" t="str">
        <f>VLOOKUP(D288,FFF!$A$2:$B$674,2,)</f>
        <v>FFF004739</v>
      </c>
      <c r="F288" s="1" t="s">
        <v>717</v>
      </c>
      <c r="G288" s="1" t="s">
        <v>35</v>
      </c>
      <c r="H288" s="1">
        <v>50</v>
      </c>
      <c r="I288" s="1">
        <v>0</v>
      </c>
      <c r="J288" s="1">
        <v>0</v>
      </c>
      <c r="K288" s="1">
        <v>0</v>
      </c>
      <c r="L288" s="1">
        <v>0</v>
      </c>
      <c r="M288" s="1">
        <v>25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25</v>
      </c>
      <c r="W288" s="1">
        <f>SUMPRODUCT(I288:V288,$I$13:$V$13)</f>
        <v>80250</v>
      </c>
      <c r="X288" s="6">
        <f t="shared" si="6"/>
        <v>0.1</v>
      </c>
      <c r="Y288" s="1" t="str">
        <f>VLOOKUP(D288,[1]PARTS!$A$1:$G$65536,7,0)</f>
        <v>SAMSUNG</v>
      </c>
      <c r="Z288" s="1">
        <f>VLOOKUP(D288,[2]pareto!$D$12:$AX$306,44,0)</f>
        <v>4000</v>
      </c>
      <c r="AA288" s="1">
        <f>VLOOKUP(D288,[2]pareto!$D$12:$AX$306,45,0)</f>
        <v>4000</v>
      </c>
      <c r="AB288" s="1">
        <f>CEILING(W288,Z288)</f>
        <v>84000</v>
      </c>
      <c r="AC288" s="1">
        <f>VLOOKUP(D288,[2]pareto!$D$12:$AX$306,47,0)</f>
        <v>2E-3</v>
      </c>
      <c r="AD288" s="1" t="s">
        <v>430</v>
      </c>
      <c r="AE288" s="1" t="s">
        <v>431</v>
      </c>
      <c r="AF288" s="12" t="s">
        <v>432</v>
      </c>
      <c r="AG288" s="1" t="s">
        <v>433</v>
      </c>
      <c r="AH288" s="1"/>
      <c r="BG288" s="8">
        <f>SUM($BB288,$AI288:AI288)-SUM($BY288:BZ288)</f>
        <v>0</v>
      </c>
      <c r="BH288" s="8">
        <f>SUM($BB288,$AI288:AJ288)-SUM($BY288:CA288)</f>
        <v>0</v>
      </c>
      <c r="BI288" s="8">
        <f>SUM($BB288,$AI288:AK288)-SUM($BY288:CB288)</f>
        <v>0</v>
      </c>
      <c r="BJ288" s="8">
        <f>SUM($BB288,$AI288:AL288)-SUM($BY288:CC288)</f>
        <v>0</v>
      </c>
      <c r="BK288" s="8">
        <f>SUM($BB288,$AI288:AM288)-SUM($BY288:CD288)</f>
        <v>0</v>
      </c>
      <c r="BL288" s="8">
        <f>SUM($BB288,$AI288:AN288)-SUM($BY288:CE288)</f>
        <v>0</v>
      </c>
      <c r="BM288" s="8">
        <f>SUM($BB288,$AI288:AO288)-SUM($BY288:CF288)</f>
        <v>0</v>
      </c>
      <c r="BN288" s="8">
        <f>SUM($BB288,$AI288:AP288)-SUM($BY288:CG288)</f>
        <v>-2500</v>
      </c>
      <c r="BO288" s="8">
        <f>SUM($BB288,$AI288:AQ288)-SUM($BY288:CH288)</f>
        <v>-8750</v>
      </c>
      <c r="BP288" s="8">
        <f>SUM($BB288,$AI288:AR288)-SUM($BY288:CI288)</f>
        <v>-18750</v>
      </c>
      <c r="BQ288" s="8">
        <f>SUM($BB288,$AI288:AS288)-SUM($BY288:CJ288)</f>
        <v>-30500</v>
      </c>
      <c r="BR288" s="8">
        <f>SUM($BB288,$AI288:AT288)-SUM($BY288:CK288)</f>
        <v>-40500</v>
      </c>
      <c r="BS288" s="8">
        <f>SUM($BB288,$AI288:AU288)-SUM($BY288:CL288)</f>
        <v>-49250</v>
      </c>
      <c r="BT288" s="8">
        <f>SUM($BB288,$AI288:AV288)-SUM($BY288:CM288)</f>
        <v>-60250</v>
      </c>
      <c r="BU288" s="8">
        <f>SUM($BB288,$AI288:AW288)-SUM($BY288:CN288)</f>
        <v>-73750</v>
      </c>
      <c r="BV288" s="8">
        <f>SUM($BB288,$AI288:AX288)-SUM($BY288:CO288)</f>
        <v>-80250</v>
      </c>
      <c r="BW288" s="8">
        <f>SUM($BB288,$AI288:AY288)-SUM($BY288:CP288)</f>
        <v>-80250</v>
      </c>
      <c r="BX288" s="8">
        <f>SUM($BB288,$AI288:AZ288)-SUM($BY288:CQ288)</f>
        <v>-80250</v>
      </c>
      <c r="BY288" s="8" cm="1">
        <f t="array" ref="BY288">SUMPRODUCT(TRANSPOSE(BY$2:BY$15),$I288:$V288)</f>
        <v>0</v>
      </c>
      <c r="BZ288" s="8" cm="1">
        <f t="array" ref="BZ288">SUMPRODUCT(TRANSPOSE(BZ$2:BZ$15),$I288:$V288)</f>
        <v>0</v>
      </c>
      <c r="CA288" s="8" cm="1">
        <f t="array" ref="CA288">SUMPRODUCT(TRANSPOSE(CA$2:CA$15),$I288:$V288)</f>
        <v>0</v>
      </c>
      <c r="CB288" s="8" cm="1">
        <f t="array" ref="CB288">SUMPRODUCT(TRANSPOSE(CB$2:CB$15),$I288:$V288)</f>
        <v>0</v>
      </c>
      <c r="CC288" s="8" cm="1">
        <f t="array" ref="CC288">SUMPRODUCT(TRANSPOSE(CC$2:CC$15),$I288:$V288)</f>
        <v>0</v>
      </c>
      <c r="CD288" s="8" cm="1">
        <f t="array" ref="CD288">SUMPRODUCT(TRANSPOSE(CD$2:CD$15),$I288:$V288)</f>
        <v>0</v>
      </c>
      <c r="CE288" s="8" cm="1">
        <f t="array" ref="CE288">SUMPRODUCT(TRANSPOSE(CE$2:CE$15),$I288:$V288)</f>
        <v>0</v>
      </c>
      <c r="CF288" s="8" cm="1">
        <f t="array" ref="CF288">SUMPRODUCT(TRANSPOSE(CF$2:CF$15),$I288:$V288)</f>
        <v>0</v>
      </c>
      <c r="CG288" s="8" cm="1">
        <f t="array" ref="CG288">SUMPRODUCT(TRANSPOSE(CG$2:CG$15),$I288:$V288)</f>
        <v>2500</v>
      </c>
      <c r="CH288" s="8" cm="1">
        <f t="array" ref="CH288">SUMPRODUCT(TRANSPOSE(CH$2:CH$15),$I288:$V288)</f>
        <v>6250</v>
      </c>
      <c r="CI288" s="8" cm="1">
        <f t="array" ref="CI288">SUMPRODUCT(TRANSPOSE(CI$2:CI$15),$I288:$V288)</f>
        <v>10000</v>
      </c>
      <c r="CJ288" s="8" cm="1">
        <f t="array" ref="CJ288">SUMPRODUCT(TRANSPOSE(CJ$2:CJ$15),$I288:$V288)</f>
        <v>11750</v>
      </c>
      <c r="CK288" s="8" cm="1">
        <f t="array" ref="CK288">SUMPRODUCT(TRANSPOSE(CK$2:CK$15),$I288:$V288)</f>
        <v>10000</v>
      </c>
      <c r="CL288" s="8" cm="1">
        <f t="array" ref="CL288">SUMPRODUCT(TRANSPOSE(CL$2:CL$15),$I288:$V288)</f>
        <v>8750</v>
      </c>
      <c r="CM288" s="8" cm="1">
        <f t="array" ref="CM288">SUMPRODUCT(TRANSPOSE(CM$2:CM$15),$I288:$V288)</f>
        <v>11000</v>
      </c>
      <c r="CN288" s="8" cm="1">
        <f t="array" ref="CN288">SUMPRODUCT(TRANSPOSE(CN$2:CN$15),$I288:$V288)</f>
        <v>13500</v>
      </c>
      <c r="CO288" s="8" cm="1">
        <f t="array" ref="CO288">SUMPRODUCT(TRANSPOSE(CO$2:CO$15),$I288:$V288)</f>
        <v>6500</v>
      </c>
      <c r="CP288" s="8" cm="1">
        <f t="array" ref="CP288">SUMPRODUCT(TRANSPOSE(CP$2:CP$15),$I288:$V288)</f>
        <v>0</v>
      </c>
      <c r="CQ288" s="8" cm="1">
        <f t="array" ref="CQ288">SUMPRODUCT(TRANSPOSE(CQ$2:CQ$15),$I288:$V288)</f>
        <v>0</v>
      </c>
    </row>
    <row r="289" spans="1:95" s="6" customFormat="1" x14ac:dyDescent="0.25">
      <c r="A289" s="6">
        <v>14</v>
      </c>
      <c r="B289" s="7" t="s">
        <v>19</v>
      </c>
      <c r="C289" s="6">
        <v>-1</v>
      </c>
      <c r="D289" s="6">
        <v>404810931</v>
      </c>
      <c r="F289" s="6" t="s">
        <v>718</v>
      </c>
      <c r="G289" s="6" t="s">
        <v>35</v>
      </c>
      <c r="H289" s="6">
        <v>1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1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f>SUMPRODUCT(I289:V289,$I$13:$V$13)</f>
        <v>1660</v>
      </c>
      <c r="X289" s="6">
        <f t="shared" si="6"/>
        <v>0</v>
      </c>
      <c r="Y289" s="6" t="s">
        <v>36</v>
      </c>
      <c r="Z289" s="6" t="s">
        <v>36</v>
      </c>
      <c r="AA289" s="6" t="s">
        <v>36</v>
      </c>
      <c r="AB289" s="6" t="s">
        <v>36</v>
      </c>
      <c r="AC289" s="6">
        <v>0</v>
      </c>
      <c r="AD289" s="6" t="s">
        <v>36</v>
      </c>
      <c r="AE289" s="6" t="s">
        <v>36</v>
      </c>
      <c r="AF289" s="6" t="s">
        <v>36</v>
      </c>
      <c r="AG289" s="6" t="s">
        <v>36</v>
      </c>
      <c r="BG289" s="8">
        <f>SUM($BB289,$AI289:AI289)-SUM($BY289:BZ289)</f>
        <v>0</v>
      </c>
      <c r="BH289" s="8">
        <f>SUM($BB289,$AI289:AJ289)-SUM($BY289:CA289)</f>
        <v>0</v>
      </c>
      <c r="BI289" s="8">
        <f>SUM($BB289,$AI289:AK289)-SUM($BY289:CB289)</f>
        <v>0</v>
      </c>
      <c r="BJ289" s="8">
        <f>SUM($BB289,$AI289:AL289)-SUM($BY289:CC289)</f>
        <v>0</v>
      </c>
      <c r="BK289" s="8">
        <f>SUM($BB289,$AI289:AM289)-SUM($BY289:CD289)</f>
        <v>0</v>
      </c>
      <c r="BL289" s="8">
        <f>SUM($BB289,$AI289:AN289)-SUM($BY289:CE289)</f>
        <v>0</v>
      </c>
      <c r="BM289" s="8">
        <f>SUM($BB289,$AI289:AO289)-SUM($BY289:CF289)</f>
        <v>0</v>
      </c>
      <c r="BN289" s="8">
        <f>SUM($BB289,$AI289:AP289)-SUM($BY289:CG289)</f>
        <v>0</v>
      </c>
      <c r="BO289" s="8">
        <f>SUM($BB289,$AI289:AQ289)-SUM($BY289:CH289)</f>
        <v>-100</v>
      </c>
      <c r="BP289" s="8">
        <f>SUM($BB289,$AI289:AR289)-SUM($BY289:CI289)</f>
        <v>-250</v>
      </c>
      <c r="BQ289" s="8">
        <f>SUM($BB289,$AI289:AS289)-SUM($BY289:CJ289)</f>
        <v>-500</v>
      </c>
      <c r="BR289" s="8">
        <f>SUM($BB289,$AI289:AT289)-SUM($BY289:CK289)</f>
        <v>-700</v>
      </c>
      <c r="BS289" s="8">
        <f>SUM($BB289,$AI289:AU289)-SUM($BY289:CL289)</f>
        <v>-900</v>
      </c>
      <c r="BT289" s="8">
        <f>SUM($BB289,$AI289:AV289)-SUM($BY289:CM289)</f>
        <v>-1100</v>
      </c>
      <c r="BU289" s="8">
        <f>SUM($BB289,$AI289:AW289)-SUM($BY289:CN289)</f>
        <v>-1400</v>
      </c>
      <c r="BV289" s="8">
        <f>SUM($BB289,$AI289:AX289)-SUM($BY289:CO289)</f>
        <v>-1660</v>
      </c>
      <c r="BW289" s="8">
        <f>SUM($BB289,$AI289:AY289)-SUM($BY289:CP289)</f>
        <v>-1660</v>
      </c>
      <c r="BX289" s="8">
        <f>SUM($BB289,$AI289:AZ289)-SUM($BY289:CQ289)</f>
        <v>-1660</v>
      </c>
      <c r="BY289" s="8" cm="1">
        <f t="array" ref="BY289">SUMPRODUCT(TRANSPOSE(BY$2:BY$15),$I289:$V289)</f>
        <v>0</v>
      </c>
      <c r="BZ289" s="8" cm="1">
        <f t="array" ref="BZ289">SUMPRODUCT(TRANSPOSE(BZ$2:BZ$15),$I289:$V289)</f>
        <v>0</v>
      </c>
      <c r="CA289" s="8" cm="1">
        <f t="array" ref="CA289">SUMPRODUCT(TRANSPOSE(CA$2:CA$15),$I289:$V289)</f>
        <v>0</v>
      </c>
      <c r="CB289" s="8" cm="1">
        <f t="array" ref="CB289">SUMPRODUCT(TRANSPOSE(CB$2:CB$15),$I289:$V289)</f>
        <v>0</v>
      </c>
      <c r="CC289" s="8" cm="1">
        <f t="array" ref="CC289">SUMPRODUCT(TRANSPOSE(CC$2:CC$15),$I289:$V289)</f>
        <v>0</v>
      </c>
      <c r="CD289" s="8" cm="1">
        <f t="array" ref="CD289">SUMPRODUCT(TRANSPOSE(CD$2:CD$15),$I289:$V289)</f>
        <v>0</v>
      </c>
      <c r="CE289" s="8" cm="1">
        <f t="array" ref="CE289">SUMPRODUCT(TRANSPOSE(CE$2:CE$15),$I289:$V289)</f>
        <v>0</v>
      </c>
      <c r="CF289" s="8" cm="1">
        <f t="array" ref="CF289">SUMPRODUCT(TRANSPOSE(CF$2:CF$15),$I289:$V289)</f>
        <v>0</v>
      </c>
      <c r="CG289" s="8" cm="1">
        <f t="array" ref="CG289">SUMPRODUCT(TRANSPOSE(CG$2:CG$15),$I289:$V289)</f>
        <v>0</v>
      </c>
      <c r="CH289" s="8" cm="1">
        <f t="array" ref="CH289">SUMPRODUCT(TRANSPOSE(CH$2:CH$15),$I289:$V289)</f>
        <v>100</v>
      </c>
      <c r="CI289" s="8" cm="1">
        <f t="array" ref="CI289">SUMPRODUCT(TRANSPOSE(CI$2:CI$15),$I289:$V289)</f>
        <v>150</v>
      </c>
      <c r="CJ289" s="8" cm="1">
        <f t="array" ref="CJ289">SUMPRODUCT(TRANSPOSE(CJ$2:CJ$15),$I289:$V289)</f>
        <v>250</v>
      </c>
      <c r="CK289" s="8" cm="1">
        <f t="array" ref="CK289">SUMPRODUCT(TRANSPOSE(CK$2:CK$15),$I289:$V289)</f>
        <v>200</v>
      </c>
      <c r="CL289" s="8" cm="1">
        <f t="array" ref="CL289">SUMPRODUCT(TRANSPOSE(CL$2:CL$15),$I289:$V289)</f>
        <v>200</v>
      </c>
      <c r="CM289" s="8" cm="1">
        <f t="array" ref="CM289">SUMPRODUCT(TRANSPOSE(CM$2:CM$15),$I289:$V289)</f>
        <v>200</v>
      </c>
      <c r="CN289" s="8" cm="1">
        <f t="array" ref="CN289">SUMPRODUCT(TRANSPOSE(CN$2:CN$15),$I289:$V289)</f>
        <v>300</v>
      </c>
      <c r="CO289" s="8" cm="1">
        <f t="array" ref="CO289">SUMPRODUCT(TRANSPOSE(CO$2:CO$15),$I289:$V289)</f>
        <v>260</v>
      </c>
      <c r="CP289" s="8" cm="1">
        <f t="array" ref="CP289">SUMPRODUCT(TRANSPOSE(CP$2:CP$15),$I289:$V289)</f>
        <v>0</v>
      </c>
      <c r="CQ289" s="8" cm="1">
        <f t="array" ref="CQ289">SUMPRODUCT(TRANSPOSE(CQ$2:CQ$15),$I289:$V289)</f>
        <v>0</v>
      </c>
    </row>
    <row r="290" spans="1:95" s="6" customFormat="1" x14ac:dyDescent="0.25">
      <c r="A290" s="6">
        <v>23</v>
      </c>
      <c r="B290" s="7" t="s">
        <v>20</v>
      </c>
      <c r="C290" s="6">
        <v>-3</v>
      </c>
      <c r="D290" s="6">
        <v>415645120</v>
      </c>
      <c r="F290" s="6" t="s">
        <v>719</v>
      </c>
      <c r="G290" s="6" t="s">
        <v>35</v>
      </c>
      <c r="H290" s="6">
        <v>1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1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f>SUMPRODUCT(I290:V290,$I$13:$V$13)</f>
        <v>1660</v>
      </c>
      <c r="X290" s="6">
        <f t="shared" si="6"/>
        <v>0</v>
      </c>
      <c r="Y290" s="6" t="s">
        <v>36</v>
      </c>
      <c r="Z290" s="6" t="s">
        <v>36</v>
      </c>
      <c r="AA290" s="6" t="s">
        <v>36</v>
      </c>
      <c r="AB290" s="6" t="s">
        <v>36</v>
      </c>
      <c r="AC290" s="6">
        <v>0</v>
      </c>
      <c r="AD290" s="6" t="s">
        <v>36</v>
      </c>
      <c r="AE290" s="6" t="s">
        <v>36</v>
      </c>
      <c r="AF290" s="6" t="s">
        <v>36</v>
      </c>
      <c r="AG290" s="6" t="s">
        <v>36</v>
      </c>
      <c r="BG290" s="8">
        <f>SUM($BB290,$AI290:AI290)-SUM($BY290:BZ290)</f>
        <v>0</v>
      </c>
      <c r="BH290" s="8">
        <f>SUM($BB290,$AI290:AJ290)-SUM($BY290:CA290)</f>
        <v>0</v>
      </c>
      <c r="BI290" s="8">
        <f>SUM($BB290,$AI290:AK290)-SUM($BY290:CB290)</f>
        <v>0</v>
      </c>
      <c r="BJ290" s="8">
        <f>SUM($BB290,$AI290:AL290)-SUM($BY290:CC290)</f>
        <v>0</v>
      </c>
      <c r="BK290" s="8">
        <f>SUM($BB290,$AI290:AM290)-SUM($BY290:CD290)</f>
        <v>0</v>
      </c>
      <c r="BL290" s="8">
        <f>SUM($BB290,$AI290:AN290)-SUM($BY290:CE290)</f>
        <v>0</v>
      </c>
      <c r="BM290" s="8">
        <f>SUM($BB290,$AI290:AO290)-SUM($BY290:CF290)</f>
        <v>0</v>
      </c>
      <c r="BN290" s="8">
        <f>SUM($BB290,$AI290:AP290)-SUM($BY290:CG290)</f>
        <v>0</v>
      </c>
      <c r="BO290" s="8">
        <f>SUM($BB290,$AI290:AQ290)-SUM($BY290:CH290)</f>
        <v>0</v>
      </c>
      <c r="BP290" s="8">
        <f>SUM($BB290,$AI290:AR290)-SUM($BY290:CI290)</f>
        <v>-100</v>
      </c>
      <c r="BQ290" s="8">
        <f>SUM($BB290,$AI290:AS290)-SUM($BY290:CJ290)</f>
        <v>-250</v>
      </c>
      <c r="BR290" s="8">
        <f>SUM($BB290,$AI290:AT290)-SUM($BY290:CK290)</f>
        <v>-500</v>
      </c>
      <c r="BS290" s="8">
        <f>SUM($BB290,$AI290:AU290)-SUM($BY290:CL290)</f>
        <v>-700</v>
      </c>
      <c r="BT290" s="8">
        <f>SUM($BB290,$AI290:AV290)-SUM($BY290:CM290)</f>
        <v>-900</v>
      </c>
      <c r="BU290" s="8">
        <f>SUM($BB290,$AI290:AW290)-SUM($BY290:CN290)</f>
        <v>-1100</v>
      </c>
      <c r="BV290" s="8">
        <f>SUM($BB290,$AI290:AX290)-SUM($BY290:CO290)</f>
        <v>-1400</v>
      </c>
      <c r="BW290" s="8">
        <f>SUM($BB290,$AI290:AY290)-SUM($BY290:CP290)</f>
        <v>-1660</v>
      </c>
      <c r="BX290" s="8">
        <f>SUM($BB290,$AI290:AZ290)-SUM($BY290:CQ290)</f>
        <v>-1660</v>
      </c>
      <c r="BY290" s="8" cm="1">
        <f t="array" ref="BY290">SUMPRODUCT(TRANSPOSE(BY$2:BY$15),$I290:$V290)</f>
        <v>0</v>
      </c>
      <c r="BZ290" s="8" cm="1">
        <f t="array" ref="BZ290">SUMPRODUCT(TRANSPOSE(BZ$2:BZ$15),$I290:$V290)</f>
        <v>0</v>
      </c>
      <c r="CA290" s="8" cm="1">
        <f t="array" ref="CA290">SUMPRODUCT(TRANSPOSE(CA$2:CA$15),$I290:$V290)</f>
        <v>0</v>
      </c>
      <c r="CB290" s="8" cm="1">
        <f t="array" ref="CB290">SUMPRODUCT(TRANSPOSE(CB$2:CB$15),$I290:$V290)</f>
        <v>0</v>
      </c>
      <c r="CC290" s="8" cm="1">
        <f t="array" ref="CC290">SUMPRODUCT(TRANSPOSE(CC$2:CC$15),$I290:$V290)</f>
        <v>0</v>
      </c>
      <c r="CD290" s="8" cm="1">
        <f t="array" ref="CD290">SUMPRODUCT(TRANSPOSE(CD$2:CD$15),$I290:$V290)</f>
        <v>0</v>
      </c>
      <c r="CE290" s="8" cm="1">
        <f t="array" ref="CE290">SUMPRODUCT(TRANSPOSE(CE$2:CE$15),$I290:$V290)</f>
        <v>0</v>
      </c>
      <c r="CF290" s="8" cm="1">
        <f t="array" ref="CF290">SUMPRODUCT(TRANSPOSE(CF$2:CF$15),$I290:$V290)</f>
        <v>0</v>
      </c>
      <c r="CG290" s="8" cm="1">
        <f t="array" ref="CG290">SUMPRODUCT(TRANSPOSE(CG$2:CG$15),$I290:$V290)</f>
        <v>0</v>
      </c>
      <c r="CH290" s="8" cm="1">
        <f t="array" ref="CH290">SUMPRODUCT(TRANSPOSE(CH$2:CH$15),$I290:$V290)</f>
        <v>0</v>
      </c>
      <c r="CI290" s="8" cm="1">
        <f t="array" ref="CI290">SUMPRODUCT(TRANSPOSE(CI$2:CI$15),$I290:$V290)</f>
        <v>100</v>
      </c>
      <c r="CJ290" s="8" cm="1">
        <f t="array" ref="CJ290">SUMPRODUCT(TRANSPOSE(CJ$2:CJ$15),$I290:$V290)</f>
        <v>150</v>
      </c>
      <c r="CK290" s="8" cm="1">
        <f t="array" ref="CK290">SUMPRODUCT(TRANSPOSE(CK$2:CK$15),$I290:$V290)</f>
        <v>250</v>
      </c>
      <c r="CL290" s="8" cm="1">
        <f t="array" ref="CL290">SUMPRODUCT(TRANSPOSE(CL$2:CL$15),$I290:$V290)</f>
        <v>200</v>
      </c>
      <c r="CM290" s="8" cm="1">
        <f t="array" ref="CM290">SUMPRODUCT(TRANSPOSE(CM$2:CM$15),$I290:$V290)</f>
        <v>200</v>
      </c>
      <c r="CN290" s="8" cm="1">
        <f t="array" ref="CN290">SUMPRODUCT(TRANSPOSE(CN$2:CN$15),$I290:$V290)</f>
        <v>200</v>
      </c>
      <c r="CO290" s="8" cm="1">
        <f t="array" ref="CO290">SUMPRODUCT(TRANSPOSE(CO$2:CO$15),$I290:$V290)</f>
        <v>300</v>
      </c>
      <c r="CP290" s="8" cm="1">
        <f t="array" ref="CP290">SUMPRODUCT(TRANSPOSE(CP$2:CP$15),$I290:$V290)</f>
        <v>260</v>
      </c>
      <c r="CQ290" s="8" cm="1">
        <f t="array" ref="CQ290">SUMPRODUCT(TRANSPOSE(CQ$2:CQ$15),$I290:$V290)</f>
        <v>0</v>
      </c>
    </row>
    <row r="291" spans="1:95" s="6" customFormat="1" x14ac:dyDescent="0.25">
      <c r="A291" s="6">
        <v>30</v>
      </c>
      <c r="B291" s="7" t="s">
        <v>14</v>
      </c>
      <c r="C291" s="6" t="s">
        <v>720</v>
      </c>
      <c r="D291" s="6">
        <v>418735800</v>
      </c>
      <c r="F291" s="6" t="s">
        <v>34</v>
      </c>
      <c r="G291" s="6" t="s">
        <v>35</v>
      </c>
      <c r="H291" s="6">
        <v>1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1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f>SUMPRODUCT(I291:V291,$I$13:$V$13)</f>
        <v>1660</v>
      </c>
      <c r="X291" s="6">
        <f t="shared" si="6"/>
        <v>0</v>
      </c>
      <c r="Y291" s="6" t="s">
        <v>36</v>
      </c>
      <c r="Z291" s="6" t="s">
        <v>36</v>
      </c>
      <c r="AA291" s="6" t="s">
        <v>36</v>
      </c>
      <c r="AB291" s="6" t="s">
        <v>36</v>
      </c>
      <c r="AC291" s="6">
        <v>0</v>
      </c>
      <c r="AD291" s="6" t="s">
        <v>36</v>
      </c>
      <c r="AE291" s="6" t="s">
        <v>36</v>
      </c>
      <c r="AF291" s="6" t="s">
        <v>36</v>
      </c>
      <c r="AG291" s="6" t="s">
        <v>36</v>
      </c>
      <c r="BG291" s="8">
        <f>SUM($BB291,$AI291:AI291)-SUM($BY291:BZ291)</f>
        <v>0</v>
      </c>
      <c r="BH291" s="8">
        <f>SUM($BB291,$AI291:AJ291)-SUM($BY291:CA291)</f>
        <v>0</v>
      </c>
      <c r="BI291" s="8">
        <f>SUM($BB291,$AI291:AK291)-SUM($BY291:CB291)</f>
        <v>0</v>
      </c>
      <c r="BJ291" s="8">
        <f>SUM($BB291,$AI291:AL291)-SUM($BY291:CC291)</f>
        <v>0</v>
      </c>
      <c r="BK291" s="8">
        <f>SUM($BB291,$AI291:AM291)-SUM($BY291:CD291)</f>
        <v>0</v>
      </c>
      <c r="BL291" s="8">
        <f>SUM($BB291,$AI291:AN291)-SUM($BY291:CE291)</f>
        <v>0</v>
      </c>
      <c r="BM291" s="8">
        <f>SUM($BB291,$AI291:AO291)-SUM($BY291:CF291)</f>
        <v>0</v>
      </c>
      <c r="BN291" s="8">
        <f>SUM($BB291,$AI291:AP291)-SUM($BY291:CG291)</f>
        <v>0</v>
      </c>
      <c r="BO291" s="8">
        <f>SUM($BB291,$AI291:AQ291)-SUM($BY291:CH291)</f>
        <v>0</v>
      </c>
      <c r="BP291" s="8">
        <f>SUM($BB291,$AI291:AR291)-SUM($BY291:CI291)</f>
        <v>-100</v>
      </c>
      <c r="BQ291" s="8">
        <f>SUM($BB291,$AI291:AS291)-SUM($BY291:CJ291)</f>
        <v>-250</v>
      </c>
      <c r="BR291" s="8">
        <f>SUM($BB291,$AI291:AT291)-SUM($BY291:CK291)</f>
        <v>-500</v>
      </c>
      <c r="BS291" s="8">
        <f>SUM($BB291,$AI291:AU291)-SUM($BY291:CL291)</f>
        <v>-700</v>
      </c>
      <c r="BT291" s="8">
        <f>SUM($BB291,$AI291:AV291)-SUM($BY291:CM291)</f>
        <v>-900</v>
      </c>
      <c r="BU291" s="8">
        <f>SUM($BB291,$AI291:AW291)-SUM($BY291:CN291)</f>
        <v>-1100</v>
      </c>
      <c r="BV291" s="8">
        <f>SUM($BB291,$AI291:AX291)-SUM($BY291:CO291)</f>
        <v>-1400</v>
      </c>
      <c r="BW291" s="8">
        <f>SUM($BB291,$AI291:AY291)-SUM($BY291:CP291)</f>
        <v>-1660</v>
      </c>
      <c r="BX291" s="8">
        <f>SUM($BB291,$AI291:AZ291)-SUM($BY291:CQ291)</f>
        <v>-1660</v>
      </c>
      <c r="BY291" s="8" cm="1">
        <f t="array" ref="BY291">SUMPRODUCT(TRANSPOSE(BY$2:BY$15),$I291:$V291)</f>
        <v>0</v>
      </c>
      <c r="BZ291" s="8" cm="1">
        <f t="array" ref="BZ291">SUMPRODUCT(TRANSPOSE(BZ$2:BZ$15),$I291:$V291)</f>
        <v>0</v>
      </c>
      <c r="CA291" s="8" cm="1">
        <f t="array" ref="CA291">SUMPRODUCT(TRANSPOSE(CA$2:CA$15),$I291:$V291)</f>
        <v>0</v>
      </c>
      <c r="CB291" s="8" cm="1">
        <f t="array" ref="CB291">SUMPRODUCT(TRANSPOSE(CB$2:CB$15),$I291:$V291)</f>
        <v>0</v>
      </c>
      <c r="CC291" s="8" cm="1">
        <f t="array" ref="CC291">SUMPRODUCT(TRANSPOSE(CC$2:CC$15),$I291:$V291)</f>
        <v>0</v>
      </c>
      <c r="CD291" s="8" cm="1">
        <f t="array" ref="CD291">SUMPRODUCT(TRANSPOSE(CD$2:CD$15),$I291:$V291)</f>
        <v>0</v>
      </c>
      <c r="CE291" s="8" cm="1">
        <f t="array" ref="CE291">SUMPRODUCT(TRANSPOSE(CE$2:CE$15),$I291:$V291)</f>
        <v>0</v>
      </c>
      <c r="CF291" s="8" cm="1">
        <f t="array" ref="CF291">SUMPRODUCT(TRANSPOSE(CF$2:CF$15),$I291:$V291)</f>
        <v>0</v>
      </c>
      <c r="CG291" s="8" cm="1">
        <f t="array" ref="CG291">SUMPRODUCT(TRANSPOSE(CG$2:CG$15),$I291:$V291)</f>
        <v>0</v>
      </c>
      <c r="CH291" s="8" cm="1">
        <f t="array" ref="CH291">SUMPRODUCT(TRANSPOSE(CH$2:CH$15),$I291:$V291)</f>
        <v>0</v>
      </c>
      <c r="CI291" s="8" cm="1">
        <f t="array" ref="CI291">SUMPRODUCT(TRANSPOSE(CI$2:CI$15),$I291:$V291)</f>
        <v>100</v>
      </c>
      <c r="CJ291" s="8" cm="1">
        <f t="array" ref="CJ291">SUMPRODUCT(TRANSPOSE(CJ$2:CJ$15),$I291:$V291)</f>
        <v>150</v>
      </c>
      <c r="CK291" s="8" cm="1">
        <f t="array" ref="CK291">SUMPRODUCT(TRANSPOSE(CK$2:CK$15),$I291:$V291)</f>
        <v>250</v>
      </c>
      <c r="CL291" s="8" cm="1">
        <f t="array" ref="CL291">SUMPRODUCT(TRANSPOSE(CL$2:CL$15),$I291:$V291)</f>
        <v>200</v>
      </c>
      <c r="CM291" s="8" cm="1">
        <f t="array" ref="CM291">SUMPRODUCT(TRANSPOSE(CM$2:CM$15),$I291:$V291)</f>
        <v>200</v>
      </c>
      <c r="CN291" s="8" cm="1">
        <f t="array" ref="CN291">SUMPRODUCT(TRANSPOSE(CN$2:CN$15),$I291:$V291)</f>
        <v>200</v>
      </c>
      <c r="CO291" s="8" cm="1">
        <f t="array" ref="CO291">SUMPRODUCT(TRANSPOSE(CO$2:CO$15),$I291:$V291)</f>
        <v>300</v>
      </c>
      <c r="CP291" s="8" cm="1">
        <f t="array" ref="CP291">SUMPRODUCT(TRANSPOSE(CP$2:CP$15),$I291:$V291)</f>
        <v>260</v>
      </c>
      <c r="CQ291" s="8" cm="1">
        <f t="array" ref="CQ291">SUMPRODUCT(TRANSPOSE(CQ$2:CQ$15),$I291:$V291)</f>
        <v>0</v>
      </c>
    </row>
    <row r="292" spans="1:95" s="6" customFormat="1" x14ac:dyDescent="0.25">
      <c r="A292" s="6">
        <v>32</v>
      </c>
      <c r="B292" s="7" t="s">
        <v>18</v>
      </c>
      <c r="C292" s="6" t="s">
        <v>41</v>
      </c>
      <c r="D292" s="6">
        <v>408272431</v>
      </c>
      <c r="F292" s="6" t="s">
        <v>721</v>
      </c>
      <c r="G292" s="6" t="s">
        <v>35</v>
      </c>
      <c r="H292" s="6">
        <v>1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1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f>SUMPRODUCT(I292:V292,$I$13:$V$13)</f>
        <v>1660</v>
      </c>
      <c r="X292" s="6">
        <f t="shared" si="6"/>
        <v>0</v>
      </c>
      <c r="Y292" s="6" t="s">
        <v>36</v>
      </c>
      <c r="Z292" s="6" t="s">
        <v>36</v>
      </c>
      <c r="AA292" s="6" t="s">
        <v>36</v>
      </c>
      <c r="AB292" s="6" t="s">
        <v>36</v>
      </c>
      <c r="AC292" s="6">
        <v>0</v>
      </c>
      <c r="AD292" s="6" t="s">
        <v>36</v>
      </c>
      <c r="AE292" s="6" t="s">
        <v>36</v>
      </c>
      <c r="AF292" s="6" t="s">
        <v>36</v>
      </c>
      <c r="AG292" s="6" t="s">
        <v>36</v>
      </c>
      <c r="BG292" s="8">
        <f>SUM($BB292,$AI292:AI292)-SUM($BY292:BZ292)</f>
        <v>0</v>
      </c>
      <c r="BH292" s="8">
        <f>SUM($BB292,$AI292:AJ292)-SUM($BY292:CA292)</f>
        <v>0</v>
      </c>
      <c r="BI292" s="8">
        <f>SUM($BB292,$AI292:AK292)-SUM($BY292:CB292)</f>
        <v>0</v>
      </c>
      <c r="BJ292" s="8">
        <f>SUM($BB292,$AI292:AL292)-SUM($BY292:CC292)</f>
        <v>0</v>
      </c>
      <c r="BK292" s="8">
        <f>SUM($BB292,$AI292:AM292)-SUM($BY292:CD292)</f>
        <v>0</v>
      </c>
      <c r="BL292" s="8">
        <f>SUM($BB292,$AI292:AN292)-SUM($BY292:CE292)</f>
        <v>0</v>
      </c>
      <c r="BM292" s="8">
        <f>SUM($BB292,$AI292:AO292)-SUM($BY292:CF292)</f>
        <v>0</v>
      </c>
      <c r="BN292" s="8">
        <f>SUM($BB292,$AI292:AP292)-SUM($BY292:CG292)</f>
        <v>0</v>
      </c>
      <c r="BO292" s="8">
        <f>SUM($BB292,$AI292:AQ292)-SUM($BY292:CH292)</f>
        <v>-100</v>
      </c>
      <c r="BP292" s="8">
        <f>SUM($BB292,$AI292:AR292)-SUM($BY292:CI292)</f>
        <v>-250</v>
      </c>
      <c r="BQ292" s="8">
        <f>SUM($BB292,$AI292:AS292)-SUM($BY292:CJ292)</f>
        <v>-500</v>
      </c>
      <c r="BR292" s="8">
        <f>SUM($BB292,$AI292:AT292)-SUM($BY292:CK292)</f>
        <v>-700</v>
      </c>
      <c r="BS292" s="8">
        <f>SUM($BB292,$AI292:AU292)-SUM($BY292:CL292)</f>
        <v>-900</v>
      </c>
      <c r="BT292" s="8">
        <f>SUM($BB292,$AI292:AV292)-SUM($BY292:CM292)</f>
        <v>-1100</v>
      </c>
      <c r="BU292" s="8">
        <f>SUM($BB292,$AI292:AW292)-SUM($BY292:CN292)</f>
        <v>-1400</v>
      </c>
      <c r="BV292" s="8">
        <f>SUM($BB292,$AI292:AX292)-SUM($BY292:CO292)</f>
        <v>-1660</v>
      </c>
      <c r="BW292" s="8">
        <f>SUM($BB292,$AI292:AY292)-SUM($BY292:CP292)</f>
        <v>-1660</v>
      </c>
      <c r="BX292" s="8">
        <f>SUM($BB292,$AI292:AZ292)-SUM($BY292:CQ292)</f>
        <v>-1660</v>
      </c>
      <c r="BY292" s="8" cm="1">
        <f t="array" ref="BY292">SUMPRODUCT(TRANSPOSE(BY$2:BY$15),$I292:$V292)</f>
        <v>0</v>
      </c>
      <c r="BZ292" s="8" cm="1">
        <f t="array" ref="BZ292">SUMPRODUCT(TRANSPOSE(BZ$2:BZ$15),$I292:$V292)</f>
        <v>0</v>
      </c>
      <c r="CA292" s="8" cm="1">
        <f t="array" ref="CA292">SUMPRODUCT(TRANSPOSE(CA$2:CA$15),$I292:$V292)</f>
        <v>0</v>
      </c>
      <c r="CB292" s="8" cm="1">
        <f t="array" ref="CB292">SUMPRODUCT(TRANSPOSE(CB$2:CB$15),$I292:$V292)</f>
        <v>0</v>
      </c>
      <c r="CC292" s="8" cm="1">
        <f t="array" ref="CC292">SUMPRODUCT(TRANSPOSE(CC$2:CC$15),$I292:$V292)</f>
        <v>0</v>
      </c>
      <c r="CD292" s="8" cm="1">
        <f t="array" ref="CD292">SUMPRODUCT(TRANSPOSE(CD$2:CD$15),$I292:$V292)</f>
        <v>0</v>
      </c>
      <c r="CE292" s="8" cm="1">
        <f t="array" ref="CE292">SUMPRODUCT(TRANSPOSE(CE$2:CE$15),$I292:$V292)</f>
        <v>0</v>
      </c>
      <c r="CF292" s="8" cm="1">
        <f t="array" ref="CF292">SUMPRODUCT(TRANSPOSE(CF$2:CF$15),$I292:$V292)</f>
        <v>0</v>
      </c>
      <c r="CG292" s="8" cm="1">
        <f t="array" ref="CG292">SUMPRODUCT(TRANSPOSE(CG$2:CG$15),$I292:$V292)</f>
        <v>0</v>
      </c>
      <c r="CH292" s="8" cm="1">
        <f t="array" ref="CH292">SUMPRODUCT(TRANSPOSE(CH$2:CH$15),$I292:$V292)</f>
        <v>100</v>
      </c>
      <c r="CI292" s="8" cm="1">
        <f t="array" ref="CI292">SUMPRODUCT(TRANSPOSE(CI$2:CI$15),$I292:$V292)</f>
        <v>150</v>
      </c>
      <c r="CJ292" s="8" cm="1">
        <f t="array" ref="CJ292">SUMPRODUCT(TRANSPOSE(CJ$2:CJ$15),$I292:$V292)</f>
        <v>250</v>
      </c>
      <c r="CK292" s="8" cm="1">
        <f t="array" ref="CK292">SUMPRODUCT(TRANSPOSE(CK$2:CK$15),$I292:$V292)</f>
        <v>200</v>
      </c>
      <c r="CL292" s="8" cm="1">
        <f t="array" ref="CL292">SUMPRODUCT(TRANSPOSE(CL$2:CL$15),$I292:$V292)</f>
        <v>200</v>
      </c>
      <c r="CM292" s="8" cm="1">
        <f t="array" ref="CM292">SUMPRODUCT(TRANSPOSE(CM$2:CM$15),$I292:$V292)</f>
        <v>200</v>
      </c>
      <c r="CN292" s="8" cm="1">
        <f t="array" ref="CN292">SUMPRODUCT(TRANSPOSE(CN$2:CN$15),$I292:$V292)</f>
        <v>300</v>
      </c>
      <c r="CO292" s="8" cm="1">
        <f t="array" ref="CO292">SUMPRODUCT(TRANSPOSE(CO$2:CO$15),$I292:$V292)</f>
        <v>260</v>
      </c>
      <c r="CP292" s="8" cm="1">
        <f t="array" ref="CP292">SUMPRODUCT(TRANSPOSE(CP$2:CP$15),$I292:$V292)</f>
        <v>0</v>
      </c>
      <c r="CQ292" s="8" cm="1">
        <f t="array" ref="CQ292">SUMPRODUCT(TRANSPOSE(CQ$2:CQ$15),$I292:$V292)</f>
        <v>0</v>
      </c>
    </row>
    <row r="293" spans="1:95" s="6" customFormat="1" x14ac:dyDescent="0.25">
      <c r="A293" s="6">
        <v>48</v>
      </c>
      <c r="B293" s="7" t="s">
        <v>21</v>
      </c>
      <c r="C293" s="6" t="s">
        <v>37</v>
      </c>
      <c r="D293" s="6">
        <v>415942201</v>
      </c>
      <c r="F293" s="6" t="s">
        <v>722</v>
      </c>
      <c r="G293" s="6" t="s">
        <v>35</v>
      </c>
      <c r="H293" s="6">
        <v>1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1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f>SUMPRODUCT(I293:V293,$I$13:$V$13)</f>
        <v>1660</v>
      </c>
      <c r="X293" s="6">
        <f t="shared" si="6"/>
        <v>0</v>
      </c>
      <c r="Y293" s="6" t="s">
        <v>36</v>
      </c>
      <c r="Z293" s="6" t="s">
        <v>36</v>
      </c>
      <c r="AA293" s="6" t="s">
        <v>36</v>
      </c>
      <c r="AB293" s="6" t="s">
        <v>36</v>
      </c>
      <c r="AC293" s="6">
        <v>0</v>
      </c>
      <c r="AD293" s="6" t="s">
        <v>36</v>
      </c>
      <c r="AE293" s="6" t="s">
        <v>36</v>
      </c>
      <c r="AF293" s="6" t="s">
        <v>36</v>
      </c>
      <c r="AG293" s="6" t="s">
        <v>36</v>
      </c>
      <c r="BG293" s="8">
        <f>SUM($BB293,$AI293:AI293)-SUM($BY293:BZ293)</f>
        <v>0</v>
      </c>
      <c r="BH293" s="8">
        <f>SUM($BB293,$AI293:AJ293)-SUM($BY293:CA293)</f>
        <v>0</v>
      </c>
      <c r="BI293" s="8">
        <f>SUM($BB293,$AI293:AK293)-SUM($BY293:CB293)</f>
        <v>0</v>
      </c>
      <c r="BJ293" s="8">
        <f>SUM($BB293,$AI293:AL293)-SUM($BY293:CC293)</f>
        <v>0</v>
      </c>
      <c r="BK293" s="8">
        <f>SUM($BB293,$AI293:AM293)-SUM($BY293:CD293)</f>
        <v>0</v>
      </c>
      <c r="BL293" s="8">
        <f>SUM($BB293,$AI293:AN293)-SUM($BY293:CE293)</f>
        <v>0</v>
      </c>
      <c r="BM293" s="8">
        <f>SUM($BB293,$AI293:AO293)-SUM($BY293:CF293)</f>
        <v>0</v>
      </c>
      <c r="BN293" s="8">
        <f>SUM($BB293,$AI293:AP293)-SUM($BY293:CG293)</f>
        <v>0</v>
      </c>
      <c r="BO293" s="8">
        <f>SUM($BB293,$AI293:AQ293)-SUM($BY293:CH293)</f>
        <v>0</v>
      </c>
      <c r="BP293" s="8">
        <f>SUM($BB293,$AI293:AR293)-SUM($BY293:CI293)</f>
        <v>-100</v>
      </c>
      <c r="BQ293" s="8">
        <f>SUM($BB293,$AI293:AS293)-SUM($BY293:CJ293)</f>
        <v>-250</v>
      </c>
      <c r="BR293" s="8">
        <f>SUM($BB293,$AI293:AT293)-SUM($BY293:CK293)</f>
        <v>-500</v>
      </c>
      <c r="BS293" s="8">
        <f>SUM($BB293,$AI293:AU293)-SUM($BY293:CL293)</f>
        <v>-700</v>
      </c>
      <c r="BT293" s="8">
        <f>SUM($BB293,$AI293:AV293)-SUM($BY293:CM293)</f>
        <v>-900</v>
      </c>
      <c r="BU293" s="8">
        <f>SUM($BB293,$AI293:AW293)-SUM($BY293:CN293)</f>
        <v>-1100</v>
      </c>
      <c r="BV293" s="8">
        <f>SUM($BB293,$AI293:AX293)-SUM($BY293:CO293)</f>
        <v>-1400</v>
      </c>
      <c r="BW293" s="8">
        <f>SUM($BB293,$AI293:AY293)-SUM($BY293:CP293)</f>
        <v>-1660</v>
      </c>
      <c r="BX293" s="8">
        <f>SUM($BB293,$AI293:AZ293)-SUM($BY293:CQ293)</f>
        <v>-1660</v>
      </c>
      <c r="BY293" s="8" cm="1">
        <f t="array" ref="BY293">SUMPRODUCT(TRANSPOSE(BY$2:BY$15),$I293:$V293)</f>
        <v>0</v>
      </c>
      <c r="BZ293" s="8" cm="1">
        <f t="array" ref="BZ293">SUMPRODUCT(TRANSPOSE(BZ$2:BZ$15),$I293:$V293)</f>
        <v>0</v>
      </c>
      <c r="CA293" s="8" cm="1">
        <f t="array" ref="CA293">SUMPRODUCT(TRANSPOSE(CA$2:CA$15),$I293:$V293)</f>
        <v>0</v>
      </c>
      <c r="CB293" s="8" cm="1">
        <f t="array" ref="CB293">SUMPRODUCT(TRANSPOSE(CB$2:CB$15),$I293:$V293)</f>
        <v>0</v>
      </c>
      <c r="CC293" s="8" cm="1">
        <f t="array" ref="CC293">SUMPRODUCT(TRANSPOSE(CC$2:CC$15),$I293:$V293)</f>
        <v>0</v>
      </c>
      <c r="CD293" s="8" cm="1">
        <f t="array" ref="CD293">SUMPRODUCT(TRANSPOSE(CD$2:CD$15),$I293:$V293)</f>
        <v>0</v>
      </c>
      <c r="CE293" s="8" cm="1">
        <f t="array" ref="CE293">SUMPRODUCT(TRANSPOSE(CE$2:CE$15),$I293:$V293)</f>
        <v>0</v>
      </c>
      <c r="CF293" s="8" cm="1">
        <f t="array" ref="CF293">SUMPRODUCT(TRANSPOSE(CF$2:CF$15),$I293:$V293)</f>
        <v>0</v>
      </c>
      <c r="CG293" s="8" cm="1">
        <f t="array" ref="CG293">SUMPRODUCT(TRANSPOSE(CG$2:CG$15),$I293:$V293)</f>
        <v>0</v>
      </c>
      <c r="CH293" s="8" cm="1">
        <f t="array" ref="CH293">SUMPRODUCT(TRANSPOSE(CH$2:CH$15),$I293:$V293)</f>
        <v>0</v>
      </c>
      <c r="CI293" s="8" cm="1">
        <f t="array" ref="CI293">SUMPRODUCT(TRANSPOSE(CI$2:CI$15),$I293:$V293)</f>
        <v>100</v>
      </c>
      <c r="CJ293" s="8" cm="1">
        <f t="array" ref="CJ293">SUMPRODUCT(TRANSPOSE(CJ$2:CJ$15),$I293:$V293)</f>
        <v>150</v>
      </c>
      <c r="CK293" s="8" cm="1">
        <f t="array" ref="CK293">SUMPRODUCT(TRANSPOSE(CK$2:CK$15),$I293:$V293)</f>
        <v>250</v>
      </c>
      <c r="CL293" s="8" cm="1">
        <f t="array" ref="CL293">SUMPRODUCT(TRANSPOSE(CL$2:CL$15),$I293:$V293)</f>
        <v>200</v>
      </c>
      <c r="CM293" s="8" cm="1">
        <f t="array" ref="CM293">SUMPRODUCT(TRANSPOSE(CM$2:CM$15),$I293:$V293)</f>
        <v>200</v>
      </c>
      <c r="CN293" s="8" cm="1">
        <f t="array" ref="CN293">SUMPRODUCT(TRANSPOSE(CN$2:CN$15),$I293:$V293)</f>
        <v>200</v>
      </c>
      <c r="CO293" s="8" cm="1">
        <f t="array" ref="CO293">SUMPRODUCT(TRANSPOSE(CO$2:CO$15),$I293:$V293)</f>
        <v>300</v>
      </c>
      <c r="CP293" s="8" cm="1">
        <f t="array" ref="CP293">SUMPRODUCT(TRANSPOSE(CP$2:CP$15),$I293:$V293)</f>
        <v>260</v>
      </c>
      <c r="CQ293" s="8" cm="1">
        <f t="array" ref="CQ293">SUMPRODUCT(TRANSPOSE(CQ$2:CQ$15),$I293:$V293)</f>
        <v>0</v>
      </c>
    </row>
    <row r="294" spans="1:95" s="9" customFormat="1" x14ac:dyDescent="0.25">
      <c r="A294" s="6">
        <v>54</v>
      </c>
      <c r="B294" s="7" t="s">
        <v>12</v>
      </c>
      <c r="C294" s="6" t="s">
        <v>41</v>
      </c>
      <c r="D294" s="6">
        <v>422348364</v>
      </c>
      <c r="E294" s="6"/>
      <c r="F294" s="6" t="s">
        <v>723</v>
      </c>
      <c r="G294" s="6" t="s">
        <v>35</v>
      </c>
      <c r="H294" s="6">
        <v>1</v>
      </c>
      <c r="I294" s="6">
        <v>0</v>
      </c>
      <c r="J294" s="6">
        <v>1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f>SUMPRODUCT(I294:V294,$I$13:$V$13)</f>
        <v>1550</v>
      </c>
      <c r="X294" s="6">
        <f t="shared" si="6"/>
        <v>0</v>
      </c>
      <c r="Y294" s="6" t="s">
        <v>36</v>
      </c>
      <c r="Z294" s="6" t="s">
        <v>36</v>
      </c>
      <c r="AA294" s="6" t="s">
        <v>36</v>
      </c>
      <c r="AB294" s="6" t="s">
        <v>36</v>
      </c>
      <c r="AC294" s="6">
        <v>0</v>
      </c>
      <c r="AD294" s="6" t="s">
        <v>36</v>
      </c>
      <c r="AE294" s="6" t="s">
        <v>36</v>
      </c>
      <c r="AF294" s="6" t="s">
        <v>36</v>
      </c>
      <c r="AG294" s="6" t="s">
        <v>36</v>
      </c>
      <c r="AH294" s="6"/>
      <c r="BG294" s="8">
        <f>SUM($BB294,$AI294:AI294)-SUM($BY294:BZ294)</f>
        <v>0</v>
      </c>
      <c r="BH294" s="8">
        <f>SUM($BB294,$AI294:AJ294)-SUM($BY294:CA294)</f>
        <v>0</v>
      </c>
      <c r="BI294" s="8">
        <f>SUM($BB294,$AI294:AK294)-SUM($BY294:CB294)</f>
        <v>0</v>
      </c>
      <c r="BJ294" s="8">
        <f>SUM($BB294,$AI294:AL294)-SUM($BY294:CC294)</f>
        <v>0</v>
      </c>
      <c r="BK294" s="8">
        <f>SUM($BB294,$AI294:AM294)-SUM($BY294:CD294)</f>
        <v>0</v>
      </c>
      <c r="BL294" s="8">
        <f>SUM($BB294,$AI294:AN294)-SUM($BY294:CE294)</f>
        <v>0</v>
      </c>
      <c r="BM294" s="8">
        <f>SUM($BB294,$AI294:AO294)-SUM($BY294:CF294)</f>
        <v>0</v>
      </c>
      <c r="BN294" s="8">
        <f>SUM($BB294,$AI294:AP294)-SUM($BY294:CG294)</f>
        <v>0</v>
      </c>
      <c r="BO294" s="8">
        <f>SUM($BB294,$AI294:AQ294)-SUM($BY294:CH294)</f>
        <v>0</v>
      </c>
      <c r="BP294" s="8">
        <f>SUM($BB294,$AI294:AR294)-SUM($BY294:CI294)</f>
        <v>-100</v>
      </c>
      <c r="BQ294" s="8">
        <f>SUM($BB294,$AI294:AS294)-SUM($BY294:CJ294)</f>
        <v>-250</v>
      </c>
      <c r="BR294" s="8">
        <f>SUM($BB294,$AI294:AT294)-SUM($BY294:CK294)</f>
        <v>-500</v>
      </c>
      <c r="BS294" s="8">
        <f>SUM($BB294,$AI294:AU294)-SUM($BY294:CL294)</f>
        <v>-720</v>
      </c>
      <c r="BT294" s="8">
        <f>SUM($BB294,$AI294:AV294)-SUM($BY294:CM294)</f>
        <v>-920</v>
      </c>
      <c r="BU294" s="8">
        <f>SUM($BB294,$AI294:AW294)-SUM($BY294:CN294)</f>
        <v>-1070</v>
      </c>
      <c r="BV294" s="8">
        <f>SUM($BB294,$AI294:AX294)-SUM($BY294:CO294)</f>
        <v>-1310</v>
      </c>
      <c r="BW294" s="8">
        <f>SUM($BB294,$AI294:AY294)-SUM($BY294:CP294)</f>
        <v>-1550</v>
      </c>
      <c r="BX294" s="8">
        <f>SUM($BB294,$AI294:AZ294)-SUM($BY294:CQ294)</f>
        <v>-1550</v>
      </c>
      <c r="BY294" s="8" cm="1">
        <f t="array" ref="BY294">SUMPRODUCT(TRANSPOSE(BY$2:BY$15),$I294:$V294)</f>
        <v>0</v>
      </c>
      <c r="BZ294" s="8" cm="1">
        <f t="array" ref="BZ294">SUMPRODUCT(TRANSPOSE(BZ$2:BZ$15),$I294:$V294)</f>
        <v>0</v>
      </c>
      <c r="CA294" s="8" cm="1">
        <f t="array" ref="CA294">SUMPRODUCT(TRANSPOSE(CA$2:CA$15),$I294:$V294)</f>
        <v>0</v>
      </c>
      <c r="CB294" s="8" cm="1">
        <f t="array" ref="CB294">SUMPRODUCT(TRANSPOSE(CB$2:CB$15),$I294:$V294)</f>
        <v>0</v>
      </c>
      <c r="CC294" s="8" cm="1">
        <f t="array" ref="CC294">SUMPRODUCT(TRANSPOSE(CC$2:CC$15),$I294:$V294)</f>
        <v>0</v>
      </c>
      <c r="CD294" s="8" cm="1">
        <f t="array" ref="CD294">SUMPRODUCT(TRANSPOSE(CD$2:CD$15),$I294:$V294)</f>
        <v>0</v>
      </c>
      <c r="CE294" s="8" cm="1">
        <f t="array" ref="CE294">SUMPRODUCT(TRANSPOSE(CE$2:CE$15),$I294:$V294)</f>
        <v>0</v>
      </c>
      <c r="CF294" s="8" cm="1">
        <f t="array" ref="CF294">SUMPRODUCT(TRANSPOSE(CF$2:CF$15),$I294:$V294)</f>
        <v>0</v>
      </c>
      <c r="CG294" s="8" cm="1">
        <f t="array" ref="CG294">SUMPRODUCT(TRANSPOSE(CG$2:CG$15),$I294:$V294)</f>
        <v>0</v>
      </c>
      <c r="CH294" s="8" cm="1">
        <f t="array" ref="CH294">SUMPRODUCT(TRANSPOSE(CH$2:CH$15),$I294:$V294)</f>
        <v>0</v>
      </c>
      <c r="CI294" s="8" cm="1">
        <f t="array" ref="CI294">SUMPRODUCT(TRANSPOSE(CI$2:CI$15),$I294:$V294)</f>
        <v>100</v>
      </c>
      <c r="CJ294" s="8" cm="1">
        <f t="array" ref="CJ294">SUMPRODUCT(TRANSPOSE(CJ$2:CJ$15),$I294:$V294)</f>
        <v>150</v>
      </c>
      <c r="CK294" s="8" cm="1">
        <f t="array" ref="CK294">SUMPRODUCT(TRANSPOSE(CK$2:CK$15),$I294:$V294)</f>
        <v>250</v>
      </c>
      <c r="CL294" s="8" cm="1">
        <f t="array" ref="CL294">SUMPRODUCT(TRANSPOSE(CL$2:CL$15),$I294:$V294)</f>
        <v>220</v>
      </c>
      <c r="CM294" s="8" cm="1">
        <f t="array" ref="CM294">SUMPRODUCT(TRANSPOSE(CM$2:CM$15),$I294:$V294)</f>
        <v>200</v>
      </c>
      <c r="CN294" s="8" cm="1">
        <f t="array" ref="CN294">SUMPRODUCT(TRANSPOSE(CN$2:CN$15),$I294:$V294)</f>
        <v>150</v>
      </c>
      <c r="CO294" s="8" cm="1">
        <f t="array" ref="CO294">SUMPRODUCT(TRANSPOSE(CO$2:CO$15),$I294:$V294)</f>
        <v>240</v>
      </c>
      <c r="CP294" s="8" cm="1">
        <f t="array" ref="CP294">SUMPRODUCT(TRANSPOSE(CP$2:CP$15),$I294:$V294)</f>
        <v>240</v>
      </c>
      <c r="CQ294" s="8" cm="1">
        <f t="array" ref="CQ294">SUMPRODUCT(TRANSPOSE(CQ$2:CQ$15),$I294:$V294)</f>
        <v>0</v>
      </c>
    </row>
    <row r="295" spans="1:95" s="9" customFormat="1" x14ac:dyDescent="0.25">
      <c r="A295" s="6">
        <v>56</v>
      </c>
      <c r="B295" s="7" t="s">
        <v>9</v>
      </c>
      <c r="C295" s="6" t="s">
        <v>724</v>
      </c>
      <c r="D295" s="6">
        <v>408113890</v>
      </c>
      <c r="E295" s="6"/>
      <c r="F295" s="6" t="s">
        <v>38</v>
      </c>
      <c r="G295" s="6" t="s">
        <v>35</v>
      </c>
      <c r="H295" s="6">
        <v>1</v>
      </c>
      <c r="I295" s="6">
        <v>1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f>SUMPRODUCT(I295:V295,$I$13:$V$13)</f>
        <v>1550</v>
      </c>
      <c r="X295" s="6">
        <f t="shared" si="6"/>
        <v>0</v>
      </c>
      <c r="Y295" s="6" t="s">
        <v>36</v>
      </c>
      <c r="Z295" s="6" t="s">
        <v>36</v>
      </c>
      <c r="AA295" s="6" t="s">
        <v>36</v>
      </c>
      <c r="AB295" s="6" t="s">
        <v>36</v>
      </c>
      <c r="AC295" s="6">
        <v>0</v>
      </c>
      <c r="AD295" s="6" t="s">
        <v>36</v>
      </c>
      <c r="AE295" s="6" t="s">
        <v>36</v>
      </c>
      <c r="AF295" s="6" t="s">
        <v>36</v>
      </c>
      <c r="AG295" s="6" t="s">
        <v>36</v>
      </c>
      <c r="AH295" s="6"/>
      <c r="BG295" s="8">
        <f>SUM($BB295,$AI295:AI295)-SUM($BY295:BZ295)</f>
        <v>0</v>
      </c>
      <c r="BH295" s="8">
        <f>SUM($BB295,$AI295:AJ295)-SUM($BY295:CA295)</f>
        <v>0</v>
      </c>
      <c r="BI295" s="8">
        <f>SUM($BB295,$AI295:AK295)-SUM($BY295:CB295)</f>
        <v>0</v>
      </c>
      <c r="BJ295" s="8">
        <f>SUM($BB295,$AI295:AL295)-SUM($BY295:CC295)</f>
        <v>0</v>
      </c>
      <c r="BK295" s="8">
        <f>SUM($BB295,$AI295:AM295)-SUM($BY295:CD295)</f>
        <v>0</v>
      </c>
      <c r="BL295" s="8">
        <f>SUM($BB295,$AI295:AN295)-SUM($BY295:CE295)</f>
        <v>0</v>
      </c>
      <c r="BM295" s="8">
        <f>SUM($BB295,$AI295:AO295)-SUM($BY295:CF295)</f>
        <v>0</v>
      </c>
      <c r="BN295" s="8">
        <f>SUM($BB295,$AI295:AP295)-SUM($BY295:CG295)</f>
        <v>0</v>
      </c>
      <c r="BO295" s="8">
        <f>SUM($BB295,$AI295:AQ295)-SUM($BY295:CH295)</f>
        <v>0</v>
      </c>
      <c r="BP295" s="8">
        <f>SUM($BB295,$AI295:AR295)-SUM($BY295:CI295)</f>
        <v>-100</v>
      </c>
      <c r="BQ295" s="8">
        <f>SUM($BB295,$AI295:AS295)-SUM($BY295:CJ295)</f>
        <v>-250</v>
      </c>
      <c r="BR295" s="8">
        <f>SUM($BB295,$AI295:AT295)-SUM($BY295:CK295)</f>
        <v>-500</v>
      </c>
      <c r="BS295" s="8">
        <f>SUM($BB295,$AI295:AU295)-SUM($BY295:CL295)</f>
        <v>-720</v>
      </c>
      <c r="BT295" s="8">
        <f>SUM($BB295,$AI295:AV295)-SUM($BY295:CM295)</f>
        <v>-920</v>
      </c>
      <c r="BU295" s="8">
        <f>SUM($BB295,$AI295:AW295)-SUM($BY295:CN295)</f>
        <v>-1070</v>
      </c>
      <c r="BV295" s="8">
        <f>SUM($BB295,$AI295:AX295)-SUM($BY295:CO295)</f>
        <v>-1310</v>
      </c>
      <c r="BW295" s="8">
        <f>SUM($BB295,$AI295:AY295)-SUM($BY295:CP295)</f>
        <v>-1550</v>
      </c>
      <c r="BX295" s="8">
        <f>SUM($BB295,$AI295:AZ295)-SUM($BY295:CQ295)</f>
        <v>-1550</v>
      </c>
      <c r="BY295" s="8" cm="1">
        <f t="array" ref="BY295">SUMPRODUCT(TRANSPOSE(BY$2:BY$15),$I295:$V295)</f>
        <v>0</v>
      </c>
      <c r="BZ295" s="8" cm="1">
        <f t="array" ref="BZ295">SUMPRODUCT(TRANSPOSE(BZ$2:BZ$15),$I295:$V295)</f>
        <v>0</v>
      </c>
      <c r="CA295" s="8" cm="1">
        <f t="array" ref="CA295">SUMPRODUCT(TRANSPOSE(CA$2:CA$15),$I295:$V295)</f>
        <v>0</v>
      </c>
      <c r="CB295" s="8" cm="1">
        <f t="array" ref="CB295">SUMPRODUCT(TRANSPOSE(CB$2:CB$15),$I295:$V295)</f>
        <v>0</v>
      </c>
      <c r="CC295" s="8" cm="1">
        <f t="array" ref="CC295">SUMPRODUCT(TRANSPOSE(CC$2:CC$15),$I295:$V295)</f>
        <v>0</v>
      </c>
      <c r="CD295" s="8" cm="1">
        <f t="array" ref="CD295">SUMPRODUCT(TRANSPOSE(CD$2:CD$15),$I295:$V295)</f>
        <v>0</v>
      </c>
      <c r="CE295" s="8" cm="1">
        <f t="array" ref="CE295">SUMPRODUCT(TRANSPOSE(CE$2:CE$15),$I295:$V295)</f>
        <v>0</v>
      </c>
      <c r="CF295" s="8" cm="1">
        <f t="array" ref="CF295">SUMPRODUCT(TRANSPOSE(CF$2:CF$15),$I295:$V295)</f>
        <v>0</v>
      </c>
      <c r="CG295" s="8" cm="1">
        <f t="array" ref="CG295">SUMPRODUCT(TRANSPOSE(CG$2:CG$15),$I295:$V295)</f>
        <v>0</v>
      </c>
      <c r="CH295" s="8" cm="1">
        <f t="array" ref="CH295">SUMPRODUCT(TRANSPOSE(CH$2:CH$15),$I295:$V295)</f>
        <v>0</v>
      </c>
      <c r="CI295" s="8" cm="1">
        <f t="array" ref="CI295">SUMPRODUCT(TRANSPOSE(CI$2:CI$15),$I295:$V295)</f>
        <v>100</v>
      </c>
      <c r="CJ295" s="8" cm="1">
        <f t="array" ref="CJ295">SUMPRODUCT(TRANSPOSE(CJ$2:CJ$15),$I295:$V295)</f>
        <v>150</v>
      </c>
      <c r="CK295" s="8" cm="1">
        <f t="array" ref="CK295">SUMPRODUCT(TRANSPOSE(CK$2:CK$15),$I295:$V295)</f>
        <v>250</v>
      </c>
      <c r="CL295" s="8" cm="1">
        <f t="array" ref="CL295">SUMPRODUCT(TRANSPOSE(CL$2:CL$15),$I295:$V295)</f>
        <v>220</v>
      </c>
      <c r="CM295" s="8" cm="1">
        <f t="array" ref="CM295">SUMPRODUCT(TRANSPOSE(CM$2:CM$15),$I295:$V295)</f>
        <v>200</v>
      </c>
      <c r="CN295" s="8" cm="1">
        <f t="array" ref="CN295">SUMPRODUCT(TRANSPOSE(CN$2:CN$15),$I295:$V295)</f>
        <v>150</v>
      </c>
      <c r="CO295" s="8" cm="1">
        <f t="array" ref="CO295">SUMPRODUCT(TRANSPOSE(CO$2:CO$15),$I295:$V295)</f>
        <v>240</v>
      </c>
      <c r="CP295" s="8" cm="1">
        <f t="array" ref="CP295">SUMPRODUCT(TRANSPOSE(CP$2:CP$15),$I295:$V295)</f>
        <v>240</v>
      </c>
      <c r="CQ295" s="8" cm="1">
        <f t="array" ref="CQ295">SUMPRODUCT(TRANSPOSE(CQ$2:CQ$15),$I295:$V295)</f>
        <v>0</v>
      </c>
    </row>
    <row r="296" spans="1:95" s="9" customFormat="1" x14ac:dyDescent="0.25">
      <c r="A296" s="6">
        <v>57</v>
      </c>
      <c r="B296" s="7" t="s">
        <v>10</v>
      </c>
      <c r="C296" s="6" t="s">
        <v>725</v>
      </c>
      <c r="D296" s="6">
        <v>411263672</v>
      </c>
      <c r="E296" s="6"/>
      <c r="F296" s="6" t="s">
        <v>726</v>
      </c>
      <c r="G296" s="6" t="s">
        <v>35</v>
      </c>
      <c r="H296" s="6">
        <v>1</v>
      </c>
      <c r="I296" s="6">
        <v>0</v>
      </c>
      <c r="J296" s="6">
        <v>1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f>SUMPRODUCT(I296:V296,$I$13:$V$13)</f>
        <v>1550</v>
      </c>
      <c r="X296" s="6">
        <f t="shared" si="6"/>
        <v>0</v>
      </c>
      <c r="Y296" s="6" t="s">
        <v>36</v>
      </c>
      <c r="Z296" s="6" t="s">
        <v>36</v>
      </c>
      <c r="AA296" s="6" t="s">
        <v>36</v>
      </c>
      <c r="AB296" s="6" t="s">
        <v>36</v>
      </c>
      <c r="AC296" s="6">
        <v>0</v>
      </c>
      <c r="AD296" s="6" t="s">
        <v>36</v>
      </c>
      <c r="AE296" s="6" t="s">
        <v>36</v>
      </c>
      <c r="AF296" s="6" t="s">
        <v>36</v>
      </c>
      <c r="AG296" s="6" t="s">
        <v>36</v>
      </c>
      <c r="AH296" s="6"/>
      <c r="BG296" s="8">
        <f>SUM($BB296,$AI296:AI296)-SUM($BY296:BZ296)</f>
        <v>0</v>
      </c>
      <c r="BH296" s="8">
        <f>SUM($BB296,$AI296:AJ296)-SUM($BY296:CA296)</f>
        <v>0</v>
      </c>
      <c r="BI296" s="8">
        <f>SUM($BB296,$AI296:AK296)-SUM($BY296:CB296)</f>
        <v>0</v>
      </c>
      <c r="BJ296" s="8">
        <f>SUM($BB296,$AI296:AL296)-SUM($BY296:CC296)</f>
        <v>0</v>
      </c>
      <c r="BK296" s="8">
        <f>SUM($BB296,$AI296:AM296)-SUM($BY296:CD296)</f>
        <v>0</v>
      </c>
      <c r="BL296" s="8">
        <f>SUM($BB296,$AI296:AN296)-SUM($BY296:CE296)</f>
        <v>0</v>
      </c>
      <c r="BM296" s="8">
        <f>SUM($BB296,$AI296:AO296)-SUM($BY296:CF296)</f>
        <v>0</v>
      </c>
      <c r="BN296" s="8">
        <f>SUM($BB296,$AI296:AP296)-SUM($BY296:CG296)</f>
        <v>0</v>
      </c>
      <c r="BO296" s="8">
        <f>SUM($BB296,$AI296:AQ296)-SUM($BY296:CH296)</f>
        <v>0</v>
      </c>
      <c r="BP296" s="8">
        <f>SUM($BB296,$AI296:AR296)-SUM($BY296:CI296)</f>
        <v>-100</v>
      </c>
      <c r="BQ296" s="8">
        <f>SUM($BB296,$AI296:AS296)-SUM($BY296:CJ296)</f>
        <v>-250</v>
      </c>
      <c r="BR296" s="8">
        <f>SUM($BB296,$AI296:AT296)-SUM($BY296:CK296)</f>
        <v>-500</v>
      </c>
      <c r="BS296" s="8">
        <f>SUM($BB296,$AI296:AU296)-SUM($BY296:CL296)</f>
        <v>-720</v>
      </c>
      <c r="BT296" s="8">
        <f>SUM($BB296,$AI296:AV296)-SUM($BY296:CM296)</f>
        <v>-920</v>
      </c>
      <c r="BU296" s="8">
        <f>SUM($BB296,$AI296:AW296)-SUM($BY296:CN296)</f>
        <v>-1070</v>
      </c>
      <c r="BV296" s="8">
        <f>SUM($BB296,$AI296:AX296)-SUM($BY296:CO296)</f>
        <v>-1310</v>
      </c>
      <c r="BW296" s="8">
        <f>SUM($BB296,$AI296:AY296)-SUM($BY296:CP296)</f>
        <v>-1550</v>
      </c>
      <c r="BX296" s="8">
        <f>SUM($BB296,$AI296:AZ296)-SUM($BY296:CQ296)</f>
        <v>-1550</v>
      </c>
      <c r="BY296" s="8" cm="1">
        <f t="array" ref="BY296">SUMPRODUCT(TRANSPOSE(BY$2:BY$15),$I296:$V296)</f>
        <v>0</v>
      </c>
      <c r="BZ296" s="8" cm="1">
        <f t="array" ref="BZ296">SUMPRODUCT(TRANSPOSE(BZ$2:BZ$15),$I296:$V296)</f>
        <v>0</v>
      </c>
      <c r="CA296" s="8" cm="1">
        <f t="array" ref="CA296">SUMPRODUCT(TRANSPOSE(CA$2:CA$15),$I296:$V296)</f>
        <v>0</v>
      </c>
      <c r="CB296" s="8" cm="1">
        <f t="array" ref="CB296">SUMPRODUCT(TRANSPOSE(CB$2:CB$15),$I296:$V296)</f>
        <v>0</v>
      </c>
      <c r="CC296" s="8" cm="1">
        <f t="array" ref="CC296">SUMPRODUCT(TRANSPOSE(CC$2:CC$15),$I296:$V296)</f>
        <v>0</v>
      </c>
      <c r="CD296" s="8" cm="1">
        <f t="array" ref="CD296">SUMPRODUCT(TRANSPOSE(CD$2:CD$15),$I296:$V296)</f>
        <v>0</v>
      </c>
      <c r="CE296" s="8" cm="1">
        <f t="array" ref="CE296">SUMPRODUCT(TRANSPOSE(CE$2:CE$15),$I296:$V296)</f>
        <v>0</v>
      </c>
      <c r="CF296" s="8" cm="1">
        <f t="array" ref="CF296">SUMPRODUCT(TRANSPOSE(CF$2:CF$15),$I296:$V296)</f>
        <v>0</v>
      </c>
      <c r="CG296" s="8" cm="1">
        <f t="array" ref="CG296">SUMPRODUCT(TRANSPOSE(CG$2:CG$15),$I296:$V296)</f>
        <v>0</v>
      </c>
      <c r="CH296" s="8" cm="1">
        <f t="array" ref="CH296">SUMPRODUCT(TRANSPOSE(CH$2:CH$15),$I296:$V296)</f>
        <v>0</v>
      </c>
      <c r="CI296" s="8" cm="1">
        <f t="array" ref="CI296">SUMPRODUCT(TRANSPOSE(CI$2:CI$15),$I296:$V296)</f>
        <v>100</v>
      </c>
      <c r="CJ296" s="8" cm="1">
        <f t="array" ref="CJ296">SUMPRODUCT(TRANSPOSE(CJ$2:CJ$15),$I296:$V296)</f>
        <v>150</v>
      </c>
      <c r="CK296" s="8" cm="1">
        <f t="array" ref="CK296">SUMPRODUCT(TRANSPOSE(CK$2:CK$15),$I296:$V296)</f>
        <v>250</v>
      </c>
      <c r="CL296" s="8" cm="1">
        <f t="array" ref="CL296">SUMPRODUCT(TRANSPOSE(CL$2:CL$15),$I296:$V296)</f>
        <v>220</v>
      </c>
      <c r="CM296" s="8" cm="1">
        <f t="array" ref="CM296">SUMPRODUCT(TRANSPOSE(CM$2:CM$15),$I296:$V296)</f>
        <v>200</v>
      </c>
      <c r="CN296" s="8" cm="1">
        <f t="array" ref="CN296">SUMPRODUCT(TRANSPOSE(CN$2:CN$15),$I296:$V296)</f>
        <v>150</v>
      </c>
      <c r="CO296" s="8" cm="1">
        <f t="array" ref="CO296">SUMPRODUCT(TRANSPOSE(CO$2:CO$15),$I296:$V296)</f>
        <v>240</v>
      </c>
      <c r="CP296" s="8" cm="1">
        <f t="array" ref="CP296">SUMPRODUCT(TRANSPOSE(CP$2:CP$15),$I296:$V296)</f>
        <v>240</v>
      </c>
      <c r="CQ296" s="8" cm="1">
        <f t="array" ref="CQ296">SUMPRODUCT(TRANSPOSE(CQ$2:CQ$15),$I296:$V296)</f>
        <v>0</v>
      </c>
    </row>
    <row r="297" spans="1:95" s="9" customFormat="1" x14ac:dyDescent="0.25">
      <c r="A297" s="6">
        <v>65</v>
      </c>
      <c r="B297" s="7" t="s">
        <v>17</v>
      </c>
      <c r="C297" s="6" t="s">
        <v>68</v>
      </c>
      <c r="D297" s="6">
        <v>418238655</v>
      </c>
      <c r="E297" s="6"/>
      <c r="F297" s="6" t="s">
        <v>727</v>
      </c>
      <c r="G297" s="6" t="s">
        <v>35</v>
      </c>
      <c r="H297" s="6">
        <v>1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1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f>SUMPRODUCT(I297:V297,$I$13:$V$13)</f>
        <v>1660</v>
      </c>
      <c r="X297" s="6">
        <f t="shared" si="6"/>
        <v>0</v>
      </c>
      <c r="Y297" s="6" t="s">
        <v>36</v>
      </c>
      <c r="Z297" s="6" t="s">
        <v>36</v>
      </c>
      <c r="AA297" s="6" t="s">
        <v>36</v>
      </c>
      <c r="AB297" s="6" t="s">
        <v>36</v>
      </c>
      <c r="AC297" s="6">
        <v>0</v>
      </c>
      <c r="AD297" s="6" t="s">
        <v>36</v>
      </c>
      <c r="AE297" s="6" t="s">
        <v>36</v>
      </c>
      <c r="AF297" s="6" t="s">
        <v>36</v>
      </c>
      <c r="AG297" s="6" t="s">
        <v>36</v>
      </c>
      <c r="AH297" s="6"/>
      <c r="BG297" s="8">
        <f>SUM($BB297,$AI297:AI297)-SUM($BY297:BZ297)</f>
        <v>0</v>
      </c>
      <c r="BH297" s="8">
        <f>SUM($BB297,$AI297:AJ297)-SUM($BY297:CA297)</f>
        <v>0</v>
      </c>
      <c r="BI297" s="8">
        <f>SUM($BB297,$AI297:AK297)-SUM($BY297:CB297)</f>
        <v>0</v>
      </c>
      <c r="BJ297" s="8">
        <f>SUM($BB297,$AI297:AL297)-SUM($BY297:CC297)</f>
        <v>0</v>
      </c>
      <c r="BK297" s="8">
        <f>SUM($BB297,$AI297:AM297)-SUM($BY297:CD297)</f>
        <v>0</v>
      </c>
      <c r="BL297" s="8">
        <f>SUM($BB297,$AI297:AN297)-SUM($BY297:CE297)</f>
        <v>0</v>
      </c>
      <c r="BM297" s="8">
        <f>SUM($BB297,$AI297:AO297)-SUM($BY297:CF297)</f>
        <v>0</v>
      </c>
      <c r="BN297" s="8">
        <f>SUM($BB297,$AI297:AP297)-SUM($BY297:CG297)</f>
        <v>-100</v>
      </c>
      <c r="BO297" s="8">
        <f>SUM($BB297,$AI297:AQ297)-SUM($BY297:CH297)</f>
        <v>-250</v>
      </c>
      <c r="BP297" s="8">
        <f>SUM($BB297,$AI297:AR297)-SUM($BY297:CI297)</f>
        <v>-500</v>
      </c>
      <c r="BQ297" s="8">
        <f>SUM($BB297,$AI297:AS297)-SUM($BY297:CJ297)</f>
        <v>-700</v>
      </c>
      <c r="BR297" s="8">
        <f>SUM($BB297,$AI297:AT297)-SUM($BY297:CK297)</f>
        <v>-900</v>
      </c>
      <c r="BS297" s="8">
        <f>SUM($BB297,$AI297:AU297)-SUM($BY297:CL297)</f>
        <v>-1100</v>
      </c>
      <c r="BT297" s="8">
        <f>SUM($BB297,$AI297:AV297)-SUM($BY297:CM297)</f>
        <v>-1400</v>
      </c>
      <c r="BU297" s="8">
        <f>SUM($BB297,$AI297:AW297)-SUM($BY297:CN297)</f>
        <v>-1660</v>
      </c>
      <c r="BV297" s="8">
        <f>SUM($BB297,$AI297:AX297)-SUM($BY297:CO297)</f>
        <v>-1660</v>
      </c>
      <c r="BW297" s="8">
        <f>SUM($BB297,$AI297:AY297)-SUM($BY297:CP297)</f>
        <v>-1660</v>
      </c>
      <c r="BX297" s="8">
        <f>SUM($BB297,$AI297:AZ297)-SUM($BY297:CQ297)</f>
        <v>-1660</v>
      </c>
      <c r="BY297" s="8" cm="1">
        <f t="array" ref="BY297">SUMPRODUCT(TRANSPOSE(BY$2:BY$15),$I297:$V297)</f>
        <v>0</v>
      </c>
      <c r="BZ297" s="8" cm="1">
        <f t="array" ref="BZ297">SUMPRODUCT(TRANSPOSE(BZ$2:BZ$15),$I297:$V297)</f>
        <v>0</v>
      </c>
      <c r="CA297" s="8" cm="1">
        <f t="array" ref="CA297">SUMPRODUCT(TRANSPOSE(CA$2:CA$15),$I297:$V297)</f>
        <v>0</v>
      </c>
      <c r="CB297" s="8" cm="1">
        <f t="array" ref="CB297">SUMPRODUCT(TRANSPOSE(CB$2:CB$15),$I297:$V297)</f>
        <v>0</v>
      </c>
      <c r="CC297" s="8" cm="1">
        <f t="array" ref="CC297">SUMPRODUCT(TRANSPOSE(CC$2:CC$15),$I297:$V297)</f>
        <v>0</v>
      </c>
      <c r="CD297" s="8" cm="1">
        <f t="array" ref="CD297">SUMPRODUCT(TRANSPOSE(CD$2:CD$15),$I297:$V297)</f>
        <v>0</v>
      </c>
      <c r="CE297" s="8" cm="1">
        <f t="array" ref="CE297">SUMPRODUCT(TRANSPOSE(CE$2:CE$15),$I297:$V297)</f>
        <v>0</v>
      </c>
      <c r="CF297" s="8" cm="1">
        <f t="array" ref="CF297">SUMPRODUCT(TRANSPOSE(CF$2:CF$15),$I297:$V297)</f>
        <v>0</v>
      </c>
      <c r="CG297" s="8" cm="1">
        <f t="array" ref="CG297">SUMPRODUCT(TRANSPOSE(CG$2:CG$15),$I297:$V297)</f>
        <v>100</v>
      </c>
      <c r="CH297" s="8" cm="1">
        <f t="array" ref="CH297">SUMPRODUCT(TRANSPOSE(CH$2:CH$15),$I297:$V297)</f>
        <v>150</v>
      </c>
      <c r="CI297" s="8" cm="1">
        <f t="array" ref="CI297">SUMPRODUCT(TRANSPOSE(CI$2:CI$15),$I297:$V297)</f>
        <v>250</v>
      </c>
      <c r="CJ297" s="8" cm="1">
        <f t="array" ref="CJ297">SUMPRODUCT(TRANSPOSE(CJ$2:CJ$15),$I297:$V297)</f>
        <v>200</v>
      </c>
      <c r="CK297" s="8" cm="1">
        <f t="array" ref="CK297">SUMPRODUCT(TRANSPOSE(CK$2:CK$15),$I297:$V297)</f>
        <v>200</v>
      </c>
      <c r="CL297" s="8" cm="1">
        <f t="array" ref="CL297">SUMPRODUCT(TRANSPOSE(CL$2:CL$15),$I297:$V297)</f>
        <v>200</v>
      </c>
      <c r="CM297" s="8" cm="1">
        <f t="array" ref="CM297">SUMPRODUCT(TRANSPOSE(CM$2:CM$15),$I297:$V297)</f>
        <v>300</v>
      </c>
      <c r="CN297" s="8" cm="1">
        <f t="array" ref="CN297">SUMPRODUCT(TRANSPOSE(CN$2:CN$15),$I297:$V297)</f>
        <v>260</v>
      </c>
      <c r="CO297" s="8" cm="1">
        <f t="array" ref="CO297">SUMPRODUCT(TRANSPOSE(CO$2:CO$15),$I297:$V297)</f>
        <v>0</v>
      </c>
      <c r="CP297" s="8" cm="1">
        <f t="array" ref="CP297">SUMPRODUCT(TRANSPOSE(CP$2:CP$15),$I297:$V297)</f>
        <v>0</v>
      </c>
      <c r="CQ297" s="8" cm="1">
        <f t="array" ref="CQ297">SUMPRODUCT(TRANSPOSE(CQ$2:CQ$15),$I297:$V297)</f>
        <v>0</v>
      </c>
    </row>
    <row r="298" spans="1:95" x14ac:dyDescent="0.25">
      <c r="W298" s="1"/>
    </row>
    <row r="299" spans="1:95" x14ac:dyDescent="0.25">
      <c r="W299" s="1"/>
    </row>
    <row r="300" spans="1:95" x14ac:dyDescent="0.25">
      <c r="I300" s="1" t="s">
        <v>38</v>
      </c>
      <c r="J300" s="1" t="s">
        <v>38</v>
      </c>
      <c r="K300" s="1" t="s">
        <v>726</v>
      </c>
      <c r="L300" s="1" t="s">
        <v>39</v>
      </c>
      <c r="M300" s="1" t="s">
        <v>723</v>
      </c>
      <c r="N300" s="1" t="s">
        <v>34</v>
      </c>
      <c r="O300" s="1" t="s">
        <v>34</v>
      </c>
      <c r="P300" s="1" t="s">
        <v>72</v>
      </c>
      <c r="Q300" s="1" t="s">
        <v>75</v>
      </c>
      <c r="R300" s="1" t="s">
        <v>727</v>
      </c>
      <c r="S300" s="1" t="s">
        <v>721</v>
      </c>
      <c r="T300" s="1" t="s">
        <v>718</v>
      </c>
      <c r="U300" s="1" t="s">
        <v>719</v>
      </c>
      <c r="V300" s="1" t="s">
        <v>722</v>
      </c>
      <c r="W300" s="1"/>
    </row>
    <row r="301" spans="1:95" x14ac:dyDescent="0.25">
      <c r="I301" s="1">
        <v>0</v>
      </c>
      <c r="J301" s="1">
        <v>1</v>
      </c>
      <c r="K301" s="1">
        <v>2</v>
      </c>
      <c r="L301" s="1">
        <v>3</v>
      </c>
      <c r="M301" s="1">
        <v>2</v>
      </c>
      <c r="N301" s="1">
        <v>0</v>
      </c>
      <c r="O301" s="1">
        <v>1</v>
      </c>
      <c r="P301" s="1">
        <v>2</v>
      </c>
      <c r="Q301" s="1">
        <v>3</v>
      </c>
      <c r="R301" s="1">
        <v>4</v>
      </c>
      <c r="S301" s="1">
        <v>3</v>
      </c>
      <c r="T301" s="1">
        <v>3</v>
      </c>
      <c r="U301" s="1">
        <v>2</v>
      </c>
      <c r="V301" s="1">
        <v>2</v>
      </c>
      <c r="W301" s="1"/>
    </row>
    <row r="302" spans="1:95" ht="15.6" x14ac:dyDescent="0.25">
      <c r="I302" s="21">
        <f ca="1">SUMPRODUCT($AC$18:$AC$297,SUBTOTAL(9,OFFSET(I18:I297,ROW(I18:I297)-MIN(ROW(I18:I297)),0,1)))</f>
        <v>2.0409999999999999</v>
      </c>
      <c r="J302" s="21">
        <f t="shared" ref="J302:V302" ca="1" si="7">SUMPRODUCT($AC$18:$AC$297,SUBTOTAL(9,OFFSET(J18:J297,ROW(J18:J297)-MIN(ROW(J18:J297)),0,1)))</f>
        <v>129.88240000000002</v>
      </c>
      <c r="K302" s="21">
        <f t="shared" ca="1" si="7"/>
        <v>94.40652</v>
      </c>
      <c r="L302" s="21">
        <f t="shared" ca="1" si="7"/>
        <v>1528.6727695999991</v>
      </c>
      <c r="M302" s="21">
        <f t="shared" ca="1" si="7"/>
        <v>199.62002459999997</v>
      </c>
      <c r="N302" s="21">
        <f t="shared" ca="1" si="7"/>
        <v>2.0409999999999999</v>
      </c>
      <c r="O302" s="21">
        <f t="shared" ca="1" si="7"/>
        <v>105.2824</v>
      </c>
      <c r="P302" s="21">
        <f t="shared" ca="1" si="7"/>
        <v>552.98789500000009</v>
      </c>
      <c r="Q302" s="21">
        <f t="shared" ca="1" si="7"/>
        <v>3031.3201431999992</v>
      </c>
      <c r="R302" s="21">
        <f t="shared" ca="1" si="7"/>
        <v>7.64</v>
      </c>
      <c r="S302" s="21">
        <f t="shared" ca="1" si="7"/>
        <v>1.1100000000000001</v>
      </c>
      <c r="T302" s="21">
        <f t="shared" ca="1" si="7"/>
        <v>298</v>
      </c>
      <c r="U302" s="21">
        <f t="shared" ca="1" si="7"/>
        <v>37.1905</v>
      </c>
      <c r="V302" s="21">
        <f t="shared" ca="1" si="7"/>
        <v>227.62002459999997</v>
      </c>
      <c r="W302" s="1"/>
    </row>
    <row r="303" spans="1:95" ht="16.2" thickBot="1" x14ac:dyDescent="0.3">
      <c r="I303" s="22" t="s">
        <v>8</v>
      </c>
      <c r="J303" s="22" t="s">
        <v>9</v>
      </c>
      <c r="K303" s="22" t="s">
        <v>10</v>
      </c>
      <c r="L303" s="22" t="s">
        <v>11</v>
      </c>
      <c r="M303" s="22" t="s">
        <v>12</v>
      </c>
      <c r="N303" s="22" t="s">
        <v>13</v>
      </c>
      <c r="O303" s="22" t="s">
        <v>14</v>
      </c>
      <c r="P303" s="22" t="s">
        <v>15</v>
      </c>
      <c r="Q303" s="22" t="s">
        <v>16</v>
      </c>
      <c r="R303" s="23" t="s">
        <v>17</v>
      </c>
      <c r="S303" s="22" t="s">
        <v>18</v>
      </c>
      <c r="T303" s="22" t="s">
        <v>19</v>
      </c>
      <c r="U303" s="22" t="s">
        <v>20</v>
      </c>
      <c r="V303" s="22" t="s">
        <v>21</v>
      </c>
      <c r="W303" s="1"/>
    </row>
  </sheetData>
  <autoFilter ref="A17:CX17" xr:uid="{81988C34-04CA-4695-8B98-8AF689A4EF4E}"/>
  <mergeCells count="3">
    <mergeCell ref="BC1:BX1"/>
    <mergeCell ref="AI1:BA1"/>
    <mergeCell ref="BY1:CQ1"/>
  </mergeCells>
  <conditionalFormatting sqref="BF18:BX297">
    <cfRule type="cellIs" dxfId="3" priority="2" operator="greaterThanOrEqual">
      <formula>0</formula>
    </cfRule>
    <cfRule type="cellIs" dxfId="2" priority="1" operator="lessThan">
      <formula>0</formula>
    </cfRule>
  </conditionalFormatting>
  <hyperlinks>
    <hyperlink ref="B18" r:id="rId1" display="http://eltweb04.elta.iai/pls/iman_Production/link_to_iman?item_id=1094N740-001" xr:uid="{13BC8133-9537-4D4A-99C2-DFAE7965E926}"/>
    <hyperlink ref="B19" r:id="rId2" display="http://eltweb04.elta.iai/pls/iman_Production/link_to_iman?item_id=1094T030-002" xr:uid="{6FB420DC-CEDA-491E-AA0B-308EEFEF73BE}"/>
    <hyperlink ref="B36" r:id="rId3" display="http://eltweb04.elta.iai/pls/iman_Production/link_to_iman?item_id=000800-0826" xr:uid="{A18B1438-136D-4F78-B3B0-574AA8942C04}"/>
    <hyperlink ref="B163" r:id="rId4" display="http://eltweb04.elta.iai/pls/iman_Production/link_to_iman?item_id=04021J0R3PBSTR" xr:uid="{8D1E8E69-B6A1-4185-8D87-1BB3ACF757F0}"/>
    <hyperlink ref="B183" r:id="rId5" display="http://eltweb04.elta.iai/pls/iman_Production/link_to_iman?item_id=0402CS-5N6XGRW" xr:uid="{510C04BB-F42E-47FE-AFC8-02EA31045F4D}"/>
    <hyperlink ref="B276" r:id="rId6" display="http://eltweb04.elta.iai/pls/iman_Production/link_to_iman?item_id=0505P4R7BW151XTV" xr:uid="{1D0BA248-B781-4F48-BE8A-18AF4CBE867E}"/>
    <hyperlink ref="B161" r:id="rId7" display="http://eltweb04.elta.iai/pls/iman_Production/link_to_iman?item_id=0603CS-15NXGRW" xr:uid="{F4CEBDC7-2D64-41D7-A258-178FB61F409F}"/>
    <hyperlink ref="B204" r:id="rId8" display="http://eltweb04.elta.iai/pls/iman_Production/link_to_iman?item_id=0603CS-8N7XGLW" xr:uid="{2620F906-97D3-49D7-A3F7-9D7F77F92EE0}"/>
    <hyperlink ref="B148" r:id="rId9" display="http://eltweb04.elta.iai/pls/iman_Production/link_to_iman?item_id=0805ZC106KAT2A" xr:uid="{CF5F61D6-3655-42A5-9B49-A82ED054D986}"/>
    <hyperlink ref="B111" r:id="rId10" display="http://eltweb04.elta.iai/pls/iman_Production/link_to_iman?item_id=097-0227-893" xr:uid="{839D9F20-0109-4CDB-9564-19703B48F603}"/>
    <hyperlink ref="B289" r:id="rId11" display="http://eltweb04.elta.iai/pls/iman_Production/link_to_iman?item_id=1093G277-001" xr:uid="{D8F1F976-B36B-486C-84D0-76B88FDCBD86}"/>
    <hyperlink ref="B99" r:id="rId12" display="http://eltweb04.elta.iai/pls/iman_Production/link_to_iman?item_id=1093H504-001" xr:uid="{00A32E17-52B5-47D6-9A00-F409EEBBED6E}"/>
    <hyperlink ref="B137" r:id="rId13" display="http://eltweb04.elta.iai/pls/iman_Production/link_to_iman?item_id=1093J361-002" xr:uid="{928BDF1A-C782-4BC6-945F-BCE0CD967EBB}"/>
    <hyperlink ref="B130" r:id="rId14" display="http://eltweb04.elta.iai/pls/iman_Production/link_to_iman?item_id=1093J364-002" xr:uid="{946B9AB0-EE7E-4112-935F-590ADD16E9B9}"/>
    <hyperlink ref="B156" r:id="rId15" display="http://eltweb04.elta.iai/pls/iman_Production/link_to_iman?item_id=1093J365-002" xr:uid="{CDAB6E4C-B0E0-478E-986B-3D663D3320FD}"/>
    <hyperlink ref="B58" r:id="rId16" display="http://eltweb04.elta.iai/pls/iman_Production/link_to_iman?item_id=1093L791-001" xr:uid="{94777CFC-A08B-4C1C-94BD-24D6029AD206}"/>
    <hyperlink ref="B31" r:id="rId17" display="http://eltweb04.elta.iai/pls/iman_Production/link_to_iman?item_id=1093N721-001" xr:uid="{AB8391E0-DD90-47AD-A6F0-51687540EE87}"/>
    <hyperlink ref="B290" r:id="rId18" display="http://eltweb04.elta.iai/pls/iman_Production/link_to_iman?item_id=1093N746-001" xr:uid="{635666E5-AC0D-4FED-8D69-CB4B2F3DA55F}"/>
    <hyperlink ref="B45" r:id="rId19" display="http://eltweb04.elta.iai/pls/iman_Production/link_to_iman?item_id=1094B532-001" xr:uid="{F85D85BF-7806-4A5A-90F6-0A45A5BFC424}"/>
    <hyperlink ref="B79" r:id="rId20" display="http://eltweb04.elta.iai/pls/iman_Production/link_to_iman?item_id=1094L913-001" xr:uid="{AB33C509-D5C5-400D-A5AB-144981FDB203}"/>
    <hyperlink ref="B73" r:id="rId21" display="http://eltweb04.elta.iai/pls/iman_Production/link_to_iman?item_id=1094L925-001" xr:uid="{477C148C-90EF-46E3-AD14-654C638BBE76}"/>
    <hyperlink ref="B92" r:id="rId22" display="http://eltweb04.elta.iai/pls/iman_Production/link_to_iman?item_id=1094L926-001" xr:uid="{705C385E-1D54-4979-8BB3-C8463A669310}"/>
    <hyperlink ref="B69" r:id="rId23" display="http://eltweb04.elta.iai/pls/iman_Production/link_to_iman?item_id=1094L935-001" xr:uid="{2B5EE4FB-2EC4-4641-B180-B0CE161D61FF}"/>
    <hyperlink ref="B274" r:id="rId24" display="http://eltweb04.elta.iai/pls/iman_Production/link_to_iman?item_id=1094N749-001" xr:uid="{FA55F310-5C2E-47C5-9877-467ECC62DF14}"/>
    <hyperlink ref="B291" r:id="rId25" display="http://eltweb04.elta.iai/pls/iman_Production/link_to_iman?item_id=1094N750-003" xr:uid="{B330E6E8-B3F1-4013-95A8-1C000B2E9B08}"/>
    <hyperlink ref="B292" r:id="rId26" display="http://eltweb04.elta.iai/pls/iman_Production/link_to_iman?item_id=1094N754-001" xr:uid="{2404F6C7-198F-448D-A987-68AE68BBA822}"/>
    <hyperlink ref="B277" r:id="rId27" display="http://eltweb04.elta.iai/pls/iman_Production/link_to_iman?item_id=1094N759-001" xr:uid="{073CC346-A5D6-4FD8-A4C9-F52E9104EB70}"/>
    <hyperlink ref="B29" r:id="rId28" display="http://eltweb04.elta.iai/pls/iman_Production/link_to_iman?item_id=1094N761-002" xr:uid="{ABE76504-DC96-4B23-96A3-1ACE2F9837F2}"/>
    <hyperlink ref="B52" r:id="rId29" display="http://eltweb04.elta.iai/pls/iman_Production/link_to_iman?item_id=1094N762-001" xr:uid="{D7512BEA-1FC5-4C91-AB0D-978556BF6949}"/>
    <hyperlink ref="B72" r:id="rId30" display="http://eltweb04.elta.iai/pls/iman_Production/link_to_iman?item_id=1094N764-001" xr:uid="{E4A31B1C-58C5-4319-AB26-68175F9C08F7}"/>
    <hyperlink ref="B71" r:id="rId31" display="http://eltweb04.elta.iai/pls/iman_Production/link_to_iman?item_id=1094N765-001" xr:uid="{07E2610C-DBDE-400F-B352-777F81CE933B}"/>
    <hyperlink ref="B278" r:id="rId32" display="http://eltweb04.elta.iai/pls/iman_Production/link_to_iman?item_id=1094N766-001" xr:uid="{4916623B-C550-4D38-8D4A-ABBA8C3540A0}"/>
    <hyperlink ref="B78" r:id="rId33" display="http://eltweb04.elta.iai/pls/iman_Production/link_to_iman?item_id=1094N769-001" xr:uid="{6D6EFE86-DD40-475A-81EC-7583D89F9D74}"/>
    <hyperlink ref="B34" r:id="rId34" display="http://eltweb04.elta.iai/pls/iman_Production/link_to_iman?item_id=1094N771-001" xr:uid="{8F07A3DC-4D39-4C38-BA0A-165FCA4A42CB}"/>
    <hyperlink ref="B60" r:id="rId35" display="http://eltweb04.elta.iai/pls/iman_Production/link_to_iman?item_id=1094N772-001" xr:uid="{616D842D-66D4-4843-9E71-338C6116ACA3}"/>
    <hyperlink ref="B39" r:id="rId36" display="http://eltweb04.elta.iai/pls/iman_Production/link_to_iman?item_id=1094N773-003" xr:uid="{EDEBA88A-E032-48E7-A4EE-7969FFE316F8}"/>
    <hyperlink ref="B107" r:id="rId37" display="http://eltweb04.elta.iai/pls/iman_Production/link_to_iman?item_id=1094N776-001" xr:uid="{14E80868-EFE4-467A-9213-58D5B2D6CBAC}"/>
    <hyperlink ref="B86" r:id="rId38" display="http://eltweb04.elta.iai/pls/iman_Production/link_to_iman?item_id=1094N777-001" xr:uid="{897E86AA-9FE0-48B0-BEDD-A80D4F8D19A9}"/>
    <hyperlink ref="B30" r:id="rId39" display="http://eltweb04.elta.iai/pls/iman_Production/link_to_iman?item_id=1094N781-005" xr:uid="{FEAC4B9B-6550-49C9-B668-50F5B2962176}"/>
    <hyperlink ref="B23" r:id="rId40" display="http://eltweb04.elta.iai/pls/iman_Production/link_to_iman?item_id=1094N782-003" xr:uid="{5ECEE841-CC0B-421B-BB86-558BD191231D}"/>
    <hyperlink ref="B293" r:id="rId41" display="http://eltweb04.elta.iai/pls/iman_Production/link_to_iman?item_id=1094N790-003" xr:uid="{82DBA791-8B43-417E-B1BA-F148749D41F0}"/>
    <hyperlink ref="B59" r:id="rId42" display="http://eltweb04.elta.iai/pls/iman_Production/link_to_iman?item_id=1094N791-002" xr:uid="{0A159279-76DF-4832-A6F7-C3B4F4582992}"/>
    <hyperlink ref="B41" r:id="rId43" display="http://eltweb04.elta.iai/pls/iman_Production/link_to_iman?item_id=1094N792-002" xr:uid="{3F5C5473-09E1-491A-A1D8-B6A60FF624B8}"/>
    <hyperlink ref="B93" r:id="rId44" display="http://eltweb04.elta.iai/pls/iman_Production/link_to_iman?item_id=1094N795-001" xr:uid="{84FBD1F8-C059-4BFF-8837-107DE68C3F41}"/>
    <hyperlink ref="B146" r:id="rId45" display="http://eltweb04.elta.iai/pls/iman_Production/link_to_iman?item_id=1094N799-001" xr:uid="{544D4C46-679A-48C7-88A0-640F0D5F7E95}"/>
    <hyperlink ref="B76" r:id="rId46" display="http://eltweb04.elta.iai/pls/iman_Production/link_to_iman?item_id=1094N993-001" xr:uid="{9D5B500E-5CCA-4B09-9689-07141AECEC84}"/>
    <hyperlink ref="B294" r:id="rId47" display="http://eltweb04.elta.iai/pls/iman_Production/link_to_iman?item_id=1094T037-001" xr:uid="{4E0DBCD1-BAEA-45A8-A514-432B3C804221}"/>
    <hyperlink ref="B275" r:id="rId48" display="http://eltweb04.elta.iai/pls/iman_Production/link_to_iman?item_id=1094T039-002" xr:uid="{E72228CB-B425-4C1C-A63F-95700C1FD308}"/>
    <hyperlink ref="B295" r:id="rId49" display="http://eltweb04.elta.iai/pls/iman_Production/link_to_iman?item_id=1094T040-001" xr:uid="{C4A8A852-9884-435A-9A39-61AB202D1E7C}"/>
    <hyperlink ref="B296" r:id="rId50" display="http://eltweb04.elta.iai/pls/iman_Production/link_to_iman?item_id=1094T050-002" xr:uid="{9E387BD4-ED16-487E-936E-610C77C3EE9B}"/>
    <hyperlink ref="B279" r:id="rId51" display="http://eltweb04.elta.iai/pls/iman_Production/link_to_iman?item_id=1094T051-001" xr:uid="{05F9DABA-3C3B-409D-ADA8-B31D7FA367AF}"/>
    <hyperlink ref="B280" r:id="rId52" display="http://eltweb04.elta.iai/pls/iman_Production/link_to_iman?item_id=1094T052-001" xr:uid="{C94BC355-71C4-4DD6-A0FE-A8AAC5CADE0C}"/>
    <hyperlink ref="B20" r:id="rId53" display="http://eltweb04.elta.iai/pls/iman_Production/link_to_iman?item_id=1094T060-002" xr:uid="{E6D8A362-16E5-41A4-9BAD-6010BF351BB9}"/>
    <hyperlink ref="B28" r:id="rId54" display="http://eltweb04.elta.iai/pls/iman_Production/link_to_iman?item_id=1094T062-002" xr:uid="{B39A8AB3-1D0B-439B-9B5C-DF6F46B4BD08}"/>
    <hyperlink ref="B65" r:id="rId55" display="http://eltweb04.elta.iai/pls/iman_Production/link_to_iman?item_id=1094Y026-001" xr:uid="{93EA12A8-72C3-41DA-B6B6-4B402505E659}"/>
    <hyperlink ref="B32" r:id="rId56" display="http://eltweb04.elta.iai/pls/iman_Production/link_to_iman?item_id=1094Y030-002" xr:uid="{7B1E103D-5836-42CA-B718-1C42F79B353B}"/>
    <hyperlink ref="B297" r:id="rId57" display="http://eltweb04.elta.iai/pls/iman_Production/link_to_iman?item_id=1094Y038-001" xr:uid="{4395E865-B520-46DD-B2E0-6A6DD6450D4A}"/>
    <hyperlink ref="B21" r:id="rId58" display="http://eltweb04.elta.iai/pls/iman_Production/link_to_iman?item_id=1097U145-001" xr:uid="{1C131F53-019C-4151-83FE-373CC4861B75}"/>
    <hyperlink ref="B22" r:id="rId59" display="http://eltweb04.elta.iai/pls/iman_Production/link_to_iman?item_id=1097U147-001" xr:uid="{82E695D1-94BD-4DEC-B750-8A2B238FEEE7}"/>
    <hyperlink ref="B25" r:id="rId60" display="http://eltweb04.elta.iai/pls/iman_Production/link_to_iman?item_id=1097U217-001" xr:uid="{FD021BE9-3C63-45EC-9FD6-29B2ED1193C0}"/>
    <hyperlink ref="B26" r:id="rId61" display="http://eltweb04.elta.iai/pls/iman_Production/link_to_iman?item_id=1097U219-001" xr:uid="{CDA2E186-8DE9-450C-B9D6-F7C56979AFEE}"/>
    <hyperlink ref="B70" r:id="rId62" display="http://eltweb04.elta.iai/pls/iman_Production/link_to_iman?item_id=10S519-S60N3" xr:uid="{E5DC5FCA-04C8-4A8E-B664-2BA375BCF79F}"/>
    <hyperlink ref="B46" r:id="rId63" display="http://eltweb04.elta.iai/pls/iman_Production/link_to_iman?item_id=10S523-8H0S5" xr:uid="{964780BD-7116-403D-B0D9-DC851D651339}"/>
    <hyperlink ref="B56" r:id="rId64" display="http://eltweb04.elta.iai/pls/iman_Production/link_to_iman?item_id=145-A01H/118" xr:uid="{9B97B390-0C5B-4BA6-8D43-84B447A96919}"/>
    <hyperlink ref="B42" r:id="rId65" display="http://eltweb04.elta.iai/pls/iman_Production/link_to_iman?item_id=160-A62Q/188(SF162)" xr:uid="{C54FF8EC-2DD8-4390-A0B5-85B57AC4BFDA}"/>
    <hyperlink ref="B77" r:id="rId66" display="http://eltweb04.elta.iai/pls/iman_Production/link_to_iman?item_id=19S16D-400L5" xr:uid="{6D3C0023-BA85-4188-ACB9-F3479CB9EA55}"/>
    <hyperlink ref="B216" r:id="rId67" display="http://eltweb04.elta.iai/pls/iman_Production/link_to_iman?item_id=293D106X9016A2TE3" xr:uid="{46D9C92D-9920-4AC5-ADBB-B7A064505700}"/>
    <hyperlink ref="B200" r:id="rId68" display="http://eltweb04.elta.iai/pls/iman_Production/link_to_iman?item_id=293D475X9016A2TE3" xr:uid="{83E0B26F-A67B-47A7-8134-F2EA2075C0DF}"/>
    <hyperlink ref="B181" r:id="rId69" display="http://eltweb04.elta.iai/pls/iman_Production/link_to_iman?item_id=293D476X0010B2TE3" xr:uid="{CB1CCC84-2ED3-4DED-B3A2-40484C8EE286}"/>
    <hyperlink ref="B157" r:id="rId70" display="http://eltweb04.elta.iai/pls/iman_Production/link_to_iman?item_id=3550LP14A300T" xr:uid="{7490B5B5-A7B7-4556-A940-91B0A77D3434}"/>
    <hyperlink ref="B251" r:id="rId71" display="http://eltweb04.elta.iai/pls/iman_Production/link_to_iman?item_id=55A0111-18-0" xr:uid="{B42C47AF-1364-4AD9-9E7B-46A289B46B6A}"/>
    <hyperlink ref="B254" r:id="rId72" display="http://eltweb04.elta.iai/pls/iman_Production/link_to_iman?item_id=55A0111-18-9" xr:uid="{7FF24A96-5C59-450D-97AC-6C8407960891}"/>
    <hyperlink ref="B89" r:id="rId73" display="http://eltweb04.elta.iai/pls/iman_Production/link_to_iman?item_id=597D227X0020R2T" xr:uid="{8E39B199-9244-4611-B500-888422CBD548}"/>
    <hyperlink ref="B38" r:id="rId74" display="http://eltweb04.elta.iai/pls/iman_Production/link_to_iman?item_id=5CEFA4U19I7" xr:uid="{B5669EE5-484C-4D2B-B71A-2437CB4A7AE1}"/>
    <hyperlink ref="B171" r:id="rId75" display="http://eltweb04.elta.iai/pls/iman_Production/link_to_iman?item_id=600L1R0AW200T" xr:uid="{A1C11F86-F09F-4D7D-9CE4-7D3AE58268DE}"/>
    <hyperlink ref="B98" r:id="rId76" display="http://eltweb04.elta.iai/pls/iman_Production/link_to_iman?item_id=600L4R7BW200T" xr:uid="{1A60A066-41B9-4DC4-87D9-891CCC7122AE}"/>
    <hyperlink ref="B120" r:id="rId77" display="http://eltweb04.elta.iai/pls/iman_Production/link_to_iman?item_id=980-0064-005" xr:uid="{154561B7-357C-472A-9128-30B4DA3DA3A5}"/>
    <hyperlink ref="B187" r:id="rId78" display="http://eltweb04.elta.iai/pls/iman_Production/link_to_iman?item_id=A04TGLC" xr:uid="{DDBF649E-27F1-4A77-BE49-382412B56F62}"/>
    <hyperlink ref="B143" r:id="rId79" display="http://eltweb04.elta.iai/pls/iman_Production/link_to_iman?item_id=A2015AC-58" xr:uid="{81F0F72C-BD09-4D5F-AB2E-5D662D3A4061}"/>
    <hyperlink ref="B80" r:id="rId80" display="http://eltweb04.elta.iai/pls/iman_Production/link_to_iman?item_id=AD7928BRUZ-REEL7" xr:uid="{490FD3D0-4556-47C9-ADB3-EA015A9CC01C}"/>
    <hyperlink ref="B97" r:id="rId81" display="http://eltweb04.elta.iai/pls/iman_Production/link_to_iman?item_id=AD823ARZ-R7" xr:uid="{98BBC140-3F86-4797-808D-BBA9737F3EE0}"/>
    <hyperlink ref="B50" r:id="rId82" display="http://eltweb04.elta.iai/pls/iman_Production/link_to_iman?item_id=ADN4650BRSZ-RL7" xr:uid="{C2202105-2CCE-4307-B1C2-CC9169BBD1C8}"/>
    <hyperlink ref="B136" r:id="rId83" display="http://eltweb04.elta.iai/pls/iman_Production/link_to_iman?item_id=AM26LV32EMDREP" xr:uid="{9C09CEE7-0FA4-43D5-B600-7D78F3225547}"/>
    <hyperlink ref="B121" r:id="rId84" display="http://eltweb04.elta.iai/pls/iman_Production/link_to_iman?item_id=AQ125A102KAJME/500V" xr:uid="{CF4B54CF-925D-4660-9A14-9935EC8599C8}"/>
    <hyperlink ref="B140" r:id="rId85" display="http://eltweb04.elta.iai/pls/iman_Production/link_to_iman?item_id=AQ12EM1R1BAJME/500V" xr:uid="{E83DAAFC-C1AD-488E-8545-A88970783946}"/>
    <hyperlink ref="B177" r:id="rId86" display="http://eltweb04.elta.iai/pls/iman_Production/link_to_iman?item_id=AQ12EM1R2BAJME/500V" xr:uid="{5DC8D89E-208B-47DB-9C26-95EC9BA1DC6A}"/>
    <hyperlink ref="B174" r:id="rId87" display="http://eltweb04.elta.iai/pls/iman_Production/link_to_iman?item_id=AQ12EM1R3BAJME/500V" xr:uid="{7AFD9513-7E7D-48EA-8DA4-25E64F66CA7D}"/>
    <hyperlink ref="B173" r:id="rId88" display="http://eltweb04.elta.iai/pls/iman_Production/link_to_iman?item_id=AQ12EM1R4BAJME/500V" xr:uid="{D4E1CE75-20C9-4CAB-975F-600D21F1BE65}"/>
    <hyperlink ref="B178" r:id="rId89" display="http://eltweb04.elta.iai/pls/iman_Production/link_to_iman?item_id=AQ12EM1R5BAJME/500V" xr:uid="{1710BEAA-EA3D-4EB8-B11B-43491C0CA453}"/>
    <hyperlink ref="B175" r:id="rId90" display="http://eltweb04.elta.iai/pls/iman_Production/link_to_iman?item_id=AQ12EM1R6BAJME/500V" xr:uid="{913EB700-D984-458A-B560-122EF5826D77}"/>
    <hyperlink ref="B66" r:id="rId91" display="http://eltweb04.elta.iai/pls/iman_Production/link_to_iman?item_id=ASP-200323-01" xr:uid="{B07D7068-8663-4CB6-A913-B8AC46A59381}"/>
    <hyperlink ref="B182" r:id="rId92" display="http://eltweb04.elta.iai/pls/iman_Production/link_to_iman?item_id=ATC600S4R7BW250XTV" xr:uid="{54AD1844-D15A-4043-AA69-809B126F6799}"/>
    <hyperlink ref="B267" r:id="rId93" display="http://eltweb04.elta.iai/pls/iman_Production/link_to_iman?item_id=ATUM 4/1-0" xr:uid="{96054195-5793-47B5-AD15-D8D1895992FC}"/>
    <hyperlink ref="B191" r:id="rId94" display="http://eltweb04.elta.iai/pls/iman_Production/link_to_iman?item_id=AVERY MPI 3041" xr:uid="{8A1630A2-3706-4317-9588-4360C44CA60C}"/>
    <hyperlink ref="B75" r:id="rId95" display="http://eltweb04.elta.iai/pls/iman_Production/link_to_iman?item_id=BFCN-3115+" xr:uid="{87868419-1A80-43E8-A63E-D66CF41CC9A5}"/>
    <hyperlink ref="B166" r:id="rId96" display="http://eltweb04.elta.iai/pls/iman_Production/link_to_iman?item_id=BLM18SG260TN1D" xr:uid="{781E6999-CDE8-453F-85B6-FE8F810340BE}"/>
    <hyperlink ref="B134" r:id="rId97" display="http://eltweb04.elta.iai/pls/iman_Production/link_to_iman?item_id=BLM31PG500SN1L" xr:uid="{1B85698F-0491-4E27-9DD4-800A9D55B0B5}"/>
    <hyperlink ref="B209" r:id="rId98" display="http://eltweb04.elta.iai/pls/iman_Production/link_to_iman?item_id=C0402C101J3GACTU" xr:uid="{08816100-B876-4134-867E-3C02C7520518}"/>
    <hyperlink ref="B207" r:id="rId99" display="http://eltweb04.elta.iai/pls/iman_Production/link_to_iman?item_id=C0402C102K5RAC7867" xr:uid="{2209C4CF-9064-4B29-AD1B-A71FC9571CCA}"/>
    <hyperlink ref="B256" r:id="rId100" display="http://eltweb04.elta.iai/pls/iman_Production/link_to_iman?item_id=C0402C103K3RAC7867" xr:uid="{7731E020-EA9C-4AD8-B5DF-77C78D32FDCE}"/>
    <hyperlink ref="B122" r:id="rId101" display="http://eltweb04.elta.iai/pls/iman_Production/link_to_iman?item_id=C0402C103K5RALTU" xr:uid="{A3A8BA03-5B30-4ED2-8294-CA8E3B5A1138}"/>
    <hyperlink ref="B198" r:id="rId102" display="http://eltweb04.elta.iai/pls/iman_Production/link_to_iman?item_id=C0402C279C5GACTU" xr:uid="{3BF2EA0C-A9FC-4EF0-ADDE-608A6F54BE47}"/>
    <hyperlink ref="B286" r:id="rId103" display="http://eltweb04.elta.iai/pls/iman_Production/link_to_iman?item_id=C0402C472K3RAC7867" xr:uid="{722B8773-572A-4E26-A792-97AF39CCB270}"/>
    <hyperlink ref="B139" r:id="rId104" display="http://eltweb04.elta.iai/pls/iman_Production/link_to_iman?item_id=C0603C102K2RACTU" xr:uid="{6FC75BAB-E5D7-4B07-BD2E-50BFBE0B97E6}"/>
    <hyperlink ref="B188" r:id="rId105" display="http://eltweb04.elta.iai/pls/iman_Production/link_to_iman?item_id=C0603C103K2RAL7867" xr:uid="{FCCABCE9-BACA-4784-8451-224ECB6FCDD9}"/>
    <hyperlink ref="B208" r:id="rId106" display="http://eltweb04.elta.iai/pls/iman_Production/link_to_iman?item_id=C0603C104K5RAC7867" xr:uid="{8E4ADC0A-95AA-4C1A-A981-F4F5E47C29C1}"/>
    <hyperlink ref="B141" r:id="rId107" display="http://eltweb04.elta.iai/pls/iman_Production/link_to_iman?item_id=C0603C105K3RACTU" xr:uid="{2C833B77-9D01-464E-B630-B7726E9D6561}"/>
    <hyperlink ref="B220" r:id="rId108" display="http://eltweb04.elta.iai/pls/iman_Production/link_to_iman?item_id=C0603C123K4RACTU" xr:uid="{0C0254A5-DAD3-4EC4-A8EC-B7F0FF83FC09}"/>
    <hyperlink ref="B221" r:id="rId109" display="http://eltweb04.elta.iai/pls/iman_Production/link_to_iman?item_id=C0603C272K5RACTU" xr:uid="{403F7260-5D3E-4FAC-9772-3AAE4C85958C}"/>
    <hyperlink ref="B142" r:id="rId110" display="http://eltweb04.elta.iai/pls/iman_Production/link_to_iman?item_id=C0603C474K4RAL7867" xr:uid="{A3062D18-88BB-4225-AE89-E45B1BDDF84B}"/>
    <hyperlink ref="B176" r:id="rId111" display="http://eltweb04.elta.iai/pls/iman_Production/link_to_iman?item_id=C0805C104K1RAC7025" xr:uid="{B92E0F24-E17D-4137-AB92-0C08878307EF}"/>
    <hyperlink ref="B213" r:id="rId112" display="http://eltweb04.elta.iai/pls/iman_Production/link_to_iman?item_id=C0805C104K5RACTU" xr:uid="{408C0E89-08D4-49F9-AEC4-94E526727941}"/>
    <hyperlink ref="B138" r:id="rId113" display="http://eltweb04.elta.iai/pls/iman_Production/link_to_iman?item_id=C0805C475K4RAC7025" xr:uid="{8E56190E-7351-4459-893B-6A7FE91E800D}"/>
    <hyperlink ref="B87" r:id="rId114" display="http://eltweb04.elta.iai/pls/iman_Production/link_to_iman?item_id=C1210C106K5RACTU" xr:uid="{EA84CE93-403E-4C64-A185-DC0BFD273AE0}"/>
    <hyperlink ref="B43" r:id="rId115" display="http://eltweb04.elta.iai/pls/iman_Production/link_to_iman?item_id=CGHV35060MP" xr:uid="{4EBB9FDF-F2D2-49D0-A63F-94AE46AD1AB3}"/>
    <hyperlink ref="B24" r:id="rId116" display="http://eltweb04.elta.iai/pls/iman_Production/link_to_iman?item_id=CGHV35400F1" xr:uid="{BC7940B6-38E9-4102-875A-376EA263FCDE}"/>
    <hyperlink ref="B243" r:id="rId117" display="http://eltweb04.elta.iai/pls/iman_Production/link_to_iman?item_id=CL05B682KB5NNNC" xr:uid="{F1223ED1-8FC8-4D0F-920C-407B9B6088DB}"/>
    <hyperlink ref="B287" r:id="rId118" display="http://eltweb04.elta.iai/pls/iman_Production/link_to_iman?item_id=CL05C4R7CB5NNNC" xr:uid="{A798E72C-BC0D-42CF-BA07-CC3C76C6F0E3}"/>
    <hyperlink ref="B288" r:id="rId119" display="http://eltweb04.elta.iai/pls/iman_Production/link_to_iman?item_id=CL10B102KD8NNNC" xr:uid="{8D6ED01D-6C0F-4964-88C6-A1DF941D1A3F}"/>
    <hyperlink ref="B255" r:id="rId120" display="http://eltweb04.elta.iai/pls/iman_Production/link_to_iman?item_id=CL10B153KB8NNNC" xr:uid="{A8A07372-D245-4BEA-BB68-5022A23B6A54}"/>
    <hyperlink ref="B233" r:id="rId121" display="http://eltweb04.elta.iai/pls/iman_Production/link_to_iman?item_id=CL10B472KC8NNNC" xr:uid="{34178533-9483-4916-9FB1-383E26020B7E}"/>
    <hyperlink ref="B285" r:id="rId122" display="http://eltweb04.elta.iai/pls/iman_Production/link_to_iman?item_id=CL10C101JB8NNNC" xr:uid="{036DE44C-6365-48F0-AF6F-EC47C221694C}"/>
    <hyperlink ref="B214" r:id="rId123" display="http://eltweb04.elta.iai/pls/iman_Production/link_to_iman?item_id=CL31B105KAHNNNE" xr:uid="{D7C0E24D-3C32-4BBD-A70C-D523BF1573DC}"/>
    <hyperlink ref="B155" r:id="rId124" display="http://eltweb04.elta.iai/pls/iman_Production/link_to_iman?item_id=CL31B106KOHNNNE" xr:uid="{BB5226B8-7A48-45A8-B493-2D8A628C2A4E}"/>
    <hyperlink ref="B228" r:id="rId125" display="http://eltweb04.elta.iai/pls/iman_Production/link_to_iman?item_id=CL31B225KOHNNNE" xr:uid="{8608440C-2B8B-4CA2-9163-9931C7871E7C}"/>
    <hyperlink ref="B149" r:id="rId126" display="http://eltweb04.elta.iai/pls/iman_Production/link_to_iman?item_id=CRCW04020000ZSED" xr:uid="{8C193F38-E1D3-4499-81D5-5EA66A018035}"/>
    <hyperlink ref="B230" r:id="rId127" display="http://eltweb04.elta.iai/pls/iman_Production/link_to_iman?item_id=CRCW0402100KFKED" xr:uid="{AEFD2ADB-2E1A-4672-BEA3-D129FE14D344}"/>
    <hyperlink ref="B194" r:id="rId128" display="http://eltweb04.elta.iai/pls/iman_Production/link_to_iman?item_id=CRCW0402100RFKED" xr:uid="{3D05BA99-ECEF-44B5-B175-853B20D8B738}"/>
    <hyperlink ref="B151" r:id="rId129" display="http://eltweb04.elta.iai/pls/iman_Production/link_to_iman?item_id=CRCW040210K0FKED" xr:uid="{A873FB89-F1B4-4C4B-BB6E-D24ACE12E1E7}"/>
    <hyperlink ref="B264" r:id="rId130" display="http://eltweb04.elta.iai/pls/iman_Production/link_to_iman?item_id=CRCW0402150RFKED" xr:uid="{892AFB3B-2E52-471B-AC60-74CA2545D4D8}"/>
    <hyperlink ref="B250" r:id="rId131" display="http://eltweb04.elta.iai/pls/iman_Production/link_to_iman?item_id=CRCW040218K2FKED" xr:uid="{BC37FBF0-EBF0-46CF-BB50-E3650C78394E}"/>
    <hyperlink ref="B158" r:id="rId132" display="http://eltweb04.elta.iai/pls/iman_Production/link_to_iman?item_id=CRCW04021K00FKED" xr:uid="{3ABBB52F-EFC3-4A83-ADFA-30E1A1F0D7E1}"/>
    <hyperlink ref="B265" r:id="rId133" display="http://eltweb04.elta.iai/pls/iman_Production/link_to_iman?item_id=CRCW04021K21FKED" xr:uid="{C78AD3D2-3FC6-41A9-B421-3B4AA30EB5D6}"/>
    <hyperlink ref="B167" r:id="rId134" display="http://eltweb04.elta.iai/pls/iman_Production/link_to_iman?item_id=CRCW04021K40FKED" xr:uid="{4DEEDD9A-A63B-43B7-92E3-33CAAB5EE381}"/>
    <hyperlink ref="B266" r:id="rId135" display="http://eltweb04.elta.iai/pls/iman_Production/link_to_iman?item_id=CRCW0402200RFKED" xr:uid="{D6C92684-C18A-4A8E-9CF7-A050598E0EE3}"/>
    <hyperlink ref="B172" r:id="rId136" display="http://eltweb04.elta.iai/pls/iman_Production/link_to_iman?item_id=CRCW040224R3FKED" xr:uid="{F43D8126-F4DF-43E4-92B8-86DCC09FB8B5}"/>
    <hyperlink ref="B225" r:id="rId137" display="http://eltweb04.elta.iai/pls/iman_Production/link_to_iman?item_id=CRCW04022K00FKED" xr:uid="{26F8FD5D-E83B-4032-8E82-0A6FF9B0E4AA}"/>
    <hyperlink ref="B244" r:id="rId138" display="http://eltweb04.elta.iai/pls/iman_Production/link_to_iman?item_id=CRCW0402332RFKED" xr:uid="{25AF8C4F-8EB6-443F-8FA6-69725B2F8F26}"/>
    <hyperlink ref="B154" r:id="rId139" display="http://eltweb04.elta.iai/pls/iman_Production/link_to_iman?item_id=CRCW04023K09FKED" xr:uid="{32BB6EED-7146-4FBC-8C0F-35C36C302E3E}"/>
    <hyperlink ref="B229" r:id="rId140" display="http://eltweb04.elta.iai/pls/iman_Production/link_to_iman?item_id=CRCW040249R9FKED" xr:uid="{F1058F8D-7FD5-46C9-B542-5C12A48368C6}"/>
    <hyperlink ref="B262" r:id="rId141" display="http://eltweb04.elta.iai/pls/iman_Production/link_to_iman?item_id=CRCW04024K02FKED" xr:uid="{DDB57C09-897A-4DFD-851B-797995B18344}"/>
    <hyperlink ref="B263" r:id="rId142" display="http://eltweb04.elta.iai/pls/iman_Production/link_to_iman?item_id=CRCW04024K75FKED" xr:uid="{03278029-09B0-4CCD-87AA-B8F08A47B20B}"/>
    <hyperlink ref="B245" r:id="rId143" display="http://eltweb04.elta.iai/pls/iman_Production/link_to_iman?item_id=CRCW04024K99FKED" xr:uid="{4442C16B-F93E-42D7-947F-CE1EB35CDC14}"/>
    <hyperlink ref="B246" r:id="rId144" display="http://eltweb04.elta.iai/pls/iman_Production/link_to_iman?item_id=CRCW0402511RFKED" xr:uid="{D3D81807-9014-4393-9BC7-714699AE7115}"/>
    <hyperlink ref="B247" r:id="rId145" display="http://eltweb04.elta.iai/pls/iman_Production/link_to_iman?item_id=CRCW04025K11FKED" xr:uid="{98686B34-267A-4AC7-9E46-AC0ABF9B4C48}"/>
    <hyperlink ref="B248" r:id="rId146" display="http://eltweb04.elta.iai/pls/iman_Production/link_to_iman?item_id=CRCW0402681RFKED" xr:uid="{48CDC350-7102-4F0D-AD92-12622549CA32}"/>
    <hyperlink ref="B249" r:id="rId147" display="http://eltweb04.elta.iai/pls/iman_Production/link_to_iman?item_id=CRCW0402732RFKED" xr:uid="{638E925F-FCC5-49AA-855E-3A72F0E09EB6}"/>
    <hyperlink ref="B218" r:id="rId148" display="http://eltweb04.elta.iai/pls/iman_Production/link_to_iman?item_id=CRCW040282R5FKED" xr:uid="{C17F2A91-36A1-4405-AE20-7976B09754F1}"/>
    <hyperlink ref="B203" r:id="rId149" display="http://eltweb04.elta.iai/pls/iman_Production/link_to_iman?item_id=CRCW06030000Z0EA" xr:uid="{6C7CD26E-9D6F-489B-A822-C60F710F5F97}"/>
    <hyperlink ref="B269" r:id="rId150" display="http://eltweb04.elta.iai/pls/iman_Production/link_to_iman?item_id=CRCW0603100KFKEA" xr:uid="{90BAC012-BBC3-4325-BE87-BC1F980F0CC2}"/>
    <hyperlink ref="B202" r:id="rId151" display="http://eltweb04.elta.iai/pls/iman_Production/link_to_iman?item_id=CRCW060310K0FKEA" xr:uid="{3953EE14-C223-4F1D-9E67-693BF6309ACC}"/>
    <hyperlink ref="B270" r:id="rId152" display="http://eltweb04.elta.iai/pls/iman_Production/link_to_iman?item_id=CRCW060310R0FKEA" xr:uid="{B59A9D15-07CE-4836-84C1-88CBE43B5D19}"/>
    <hyperlink ref="B234" r:id="rId153" display="http://eltweb04.elta.iai/pls/iman_Production/link_to_iman?item_id=CRCW060311K5FKEA" xr:uid="{168CE452-3CBF-4D75-AAAD-441EF078DE03}"/>
    <hyperlink ref="B271" r:id="rId154" display="http://eltweb04.elta.iai/pls/iman_Production/link_to_iman?item_id=CRCW060312K1FKEA" xr:uid="{F53C198F-DA79-43E9-8CFC-D28110ECEE18}"/>
    <hyperlink ref="B235" r:id="rId155" display="http://eltweb04.elta.iai/pls/iman_Production/link_to_iman?item_id=CRCW060312R1FKEA" xr:uid="{49B2A692-38B4-419B-8325-D088561A7161}"/>
    <hyperlink ref="B284" r:id="rId156" display="http://eltweb04.elta.iai/pls/iman_Production/link_to_iman?item_id=CRCW060313K3FKTA" xr:uid="{1BF4CA94-0A7D-4B4B-A3D5-38D7859785C6}"/>
    <hyperlink ref="B231" r:id="rId157" display="http://eltweb04.elta.iai/pls/iman_Production/link_to_iman?item_id=CRCW06031K00FKEA" xr:uid="{F3044C74-F34D-40E3-8954-66A016A33F0C}"/>
    <hyperlink ref="B222" r:id="rId158" display="http://eltweb04.elta.iai/pls/iman_Production/link_to_iman?item_id=CRCW06031K30FKEA" xr:uid="{1EE7AEE5-3295-4787-AAF9-E58896C08A3F}"/>
    <hyperlink ref="B272" r:id="rId159" display="http://eltweb04.elta.iai/pls/iman_Production/link_to_iman?item_id=CRCW0603200KFKEA" xr:uid="{DFD49D3E-4440-4893-84D8-E511B2597F0B}"/>
    <hyperlink ref="B223" r:id="rId160" display="http://eltweb04.elta.iai/pls/iman_Production/link_to_iman?item_id=CRCW0603200RFKEA" xr:uid="{81C37FD4-ADBF-42F7-BCA5-AE1A42C0E535}"/>
    <hyperlink ref="B236" r:id="rId161" display="http://eltweb04.elta.iai/pls/iman_Production/link_to_iman?item_id=CRCW0603287KFKEA" xr:uid="{739EDF7A-BD4B-4F85-8BB2-337225B5475F}"/>
    <hyperlink ref="B237" r:id="rId162" display="http://eltweb04.elta.iai/pls/iman_Production/link_to_iman?item_id=CRCW06032K49FKEA" xr:uid="{71C374DA-9C34-457E-BE3B-B7F9434FBC71}"/>
    <hyperlink ref="B238" r:id="rId163" display="http://eltweb04.elta.iai/pls/iman_Production/link_to_iman?item_id=CRCW060333K2FKEA" xr:uid="{371D7BD8-A11E-49B8-8E39-686249573F50}"/>
    <hyperlink ref="B268" r:id="rId164" display="http://eltweb04.elta.iai/pls/iman_Production/link_to_iman?item_id=CRCW0603383KFKTA" xr:uid="{759BAB42-B982-4BAF-815C-36EACC46E3FF}"/>
    <hyperlink ref="B239" r:id="rId165" display="http://eltweb04.elta.iai/pls/iman_Production/link_to_iman?item_id=CRCW060338K3FKEA" xr:uid="{90A892D6-0CFC-4198-A83B-51E26E6C9753}"/>
    <hyperlink ref="B240" r:id="rId166" display="http://eltweb04.elta.iai/pls/iman_Production/link_to_iman?item_id=CRCW06033K16FKEA" xr:uid="{8E7D30C9-7D5E-4A9E-BE98-840FA660BAE7}"/>
    <hyperlink ref="B257" r:id="rId167" display="http://eltweb04.elta.iai/pls/iman_Production/link_to_iman?item_id=CRCW06033K32FKEA" xr:uid="{85102367-1B2D-4539-AA0D-DEBCABFD3FA5}"/>
    <hyperlink ref="B258" r:id="rId168" display="http://eltweb04.elta.iai/pls/iman_Production/link_to_iman?item_id=CRCW060343R2FKEA" xr:uid="{D0F18BC5-F3DC-41E5-8CA4-4DFA90C4D06F}"/>
    <hyperlink ref="B241" r:id="rId169" display="http://eltweb04.elta.iai/pls/iman_Production/link_to_iman?item_id=CRCW060349R9FKEA" xr:uid="{477224EF-AC7D-4DDE-B37C-F04A0DD9A257}"/>
    <hyperlink ref="B273" r:id="rId170" display="http://eltweb04.elta.iai/pls/iman_Production/link_to_iman?item_id=CRCW06034K75FKEA" xr:uid="{BEB14D89-F678-465D-BF1E-646B5F503C6A}"/>
    <hyperlink ref="B232" r:id="rId171" display="http://eltweb04.elta.iai/pls/iman_Production/link_to_iman?item_id=CRCW06034K99FKEA" xr:uid="{E7E7B0DB-0DCA-40B0-A3DE-7EF55C610ED6}"/>
    <hyperlink ref="B283" r:id="rId172" display="http://eltweb04.elta.iai/pls/iman_Production/link_to_iman?item_id=CRCW0603511RFKTA" xr:uid="{42C11C7E-33C5-4668-9EBC-531B47A0E7B5}"/>
    <hyperlink ref="B242" r:id="rId173" display="http://eltweb04.elta.iai/pls/iman_Production/link_to_iman?item_id=CRCW060353K6FKEA" xr:uid="{9499334A-44BC-434D-B5C4-B1971FD81F22}"/>
    <hyperlink ref="B259" r:id="rId174" display="http://eltweb04.elta.iai/pls/iman_Production/link_to_iman?item_id=CRCW060354R9FKEA" xr:uid="{4F6BF53A-346F-4B34-BF39-25101A919B92}"/>
    <hyperlink ref="B217" r:id="rId175" display="http://eltweb04.elta.iai/pls/iman_Production/link_to_iman?item_id=CRCW060356K2FKEA" xr:uid="{10BCE81B-C00A-4285-BFAE-FBAA4DC40084}"/>
    <hyperlink ref="B260" r:id="rId176" display="http://eltweb04.elta.iai/pls/iman_Production/link_to_iman?item_id=CRCW060371R5FKEA" xr:uid="{3AC9664A-C6D8-4130-9F97-39A69B98407F}"/>
    <hyperlink ref="B261" r:id="rId177" display="http://eltweb04.elta.iai/pls/iman_Production/link_to_iman?item_id=CRCW060375R0FKEA" xr:uid="{43CAD1E0-3C3C-44DF-A9D7-AB3065577DF9}"/>
    <hyperlink ref="B224" r:id="rId178" display="http://eltweb04.elta.iai/pls/iman_Production/link_to_iman?item_id=CRCW0603806RFKEA" xr:uid="{322B6EED-8706-49FB-9CC9-6E20A455EB1C}"/>
    <hyperlink ref="B282" r:id="rId179" display="http://eltweb04.elta.iai/pls/iman_Production/link_to_iman?item_id=CRCW12067K15FKTA" xr:uid="{1AD8C46D-D445-4722-9BBC-359F7EBE6838}"/>
    <hyperlink ref="B205" r:id="rId180" display="http://eltweb04.elta.iai/pls/iman_Production/link_to_iman?item_id=CRCW251275R0FKEG" xr:uid="{ED00DA3A-8021-4871-B97D-0CEBB1DAE5E8}"/>
    <hyperlink ref="B125" r:id="rId181" display="http://eltweb04.elta.iai/pls/iman_Production/link_to_iman?item_id=DAC0808LCMX/NOPB" xr:uid="{3AE6384B-C74F-49B0-B50F-CB6522EC5D8F}"/>
    <hyperlink ref="B68" r:id="rId182" display="http://eltweb04.elta.iai/pls/iman_Production/link_to_iman?item_id=DS620U+TR" xr:uid="{E42CF715-621B-4FF8-9D51-D6DD4E8FE2A2}"/>
    <hyperlink ref="B95" r:id="rId183" display="http://eltweb04.elta.iai/pls/iman_Production/link_to_iman?item_id=EPCQ64ASI16N" xr:uid="{68B3035A-DD5B-4E2E-AEF8-E69529195333}"/>
    <hyperlink ref="B35" r:id="rId184" display="http://eltweb04.elta.iai/pls/iman_Production/link_to_iman?item_id=FM25V20A-DG" xr:uid="{0393DDFE-96DC-4EDC-8E08-DBA1781D28E9}"/>
    <hyperlink ref="B113" r:id="rId185" display="http://eltweb04.elta.iai/pls/iman_Production/link_to_iman?item_id=GQM2195G2H4R7WB12D" xr:uid="{1210A029-0B2F-4FF5-9548-9146F4407E75}"/>
    <hyperlink ref="B190" r:id="rId186" display="http://eltweb04.elta.iai/pls/iman_Production/link_to_iman?item_id=GRM155R70J105KA12D" xr:uid="{A1A3ECB4-8459-4BE6-B81B-649E956B9ED4}"/>
    <hyperlink ref="B132" r:id="rId187" display="http://eltweb04.elta.iai/pls/iman_Production/link_to_iman?item_id=GRM155R71C104KA88D" xr:uid="{39AEB5E4-4F7F-4D2D-B3C2-07EE3EC9C2D3}"/>
    <hyperlink ref="B195" r:id="rId188" display="http://eltweb04.elta.iai/pls/iman_Production/link_to_iman?item_id=GRM21BZ71A226ME15L" xr:uid="{4A436416-230B-4578-9912-E9C57EE2C6EB}"/>
    <hyperlink ref="B109" r:id="rId189" display="http://eltweb04.elta.iai/pls/iman_Production/link_to_iman?item_id=GRM32EC72A106KE05L" xr:uid="{B88F9322-190A-4CED-B16F-7DBB72DD7260}"/>
    <hyperlink ref="B106" r:id="rId190" display="http://eltweb04.elta.iai/pls/iman_Production/link_to_iman?item_id=GRM32ER71E226KE15L" xr:uid="{7C22DC65-6CC0-4059-BB42-357B16DB7520}"/>
    <hyperlink ref="B94" r:id="rId191" display="http://eltweb04.elta.iai/pls/iman_Production/link_to_iman?item_id=GRM32ER71K475KE14L" xr:uid="{9E300036-54CB-40EE-B530-2CFDEBDB52FF}"/>
    <hyperlink ref="B128" r:id="rId192" display="http://eltweb04.elta.iai/pls/iman_Production/link_to_iman?item_id=HFCN-2700+TR" xr:uid="{E88FDC55-8298-4DAE-AD0F-592E61A2CAFD}"/>
    <hyperlink ref="B115" r:id="rId193" display="http://eltweb04.elta.iai/pls/iman_Production/link_to_iman?item_id=HMC349ALP4CETR" xr:uid="{3A5B4943-0310-41A1-A60C-880EE46C79EF}"/>
    <hyperlink ref="B184" r:id="rId194" display="http://eltweb04.elta.iai/pls/iman_Production/link_to_iman?item_id=HSMC-C120" xr:uid="{E7CAA613-828B-4B00-9282-3D90F6FF7AED}"/>
    <hyperlink ref="B170" r:id="rId195" display="http://eltweb04.elta.iai/pls/iman_Production/link_to_iman?item_id=HSMG-C150" xr:uid="{AD26E3BE-C0BE-4374-BC31-17D34928C602}"/>
    <hyperlink ref="B168" r:id="rId196" display="http://eltweb04.elta.iai/pls/iman_Production/link_to_iman?item_id=IHLP2525CZER1R0M01" xr:uid="{4E1F7D84-AF7A-4ECD-90DB-12F8ABD76845}"/>
    <hyperlink ref="B27" r:id="rId197" display="http://eltweb04.elta.iai/pls/iman_Production/link_to_iman?item_id=IHQ2063942" xr:uid="{64CCB16C-D40C-4F7F-B1E1-10DC99F4725D}"/>
    <hyperlink ref="B123" r:id="rId198" display="http://eltweb04.elta.iai/pls/iman_Production/link_to_iman?item_id=IRLB4030PBF" xr:uid="{6C6C792C-FEB0-4916-B428-2DFAFF5BB159}"/>
    <hyperlink ref="B74" r:id="rId199" display="http://eltweb04.elta.iai/pls/iman_Production/link_to_iman?item_id=ISPPACPOWR1014A01TN48ITR" xr:uid="{7C53B6F9-33B7-42D6-9AE8-1F5A31431796}"/>
    <hyperlink ref="B54" r:id="rId200" display="http://eltweb04.elta.iai/pls/iman_Production/link_to_iman?item_id=JCM3100T3500S10-ASC" xr:uid="{BEDB8CBA-82E8-4CE6-8D1C-C60A2BF29C17}"/>
    <hyperlink ref="B55" r:id="rId201" display="http://eltweb04.elta.iai/pls/iman_Production/link_to_iman?item_id=JCM3100T3500S10C-ASC" xr:uid="{BAB40F6B-7AE4-4A6D-8576-131977479E9A}"/>
    <hyperlink ref="B62" r:id="rId202" display="http://eltweb04.elta.iai/pls/iman_Production/link_to_iman?item_id=JCM3100T3500VM5R-ASC" xr:uid="{20570825-3034-4032-93F5-9A81D2C30C9D}"/>
    <hyperlink ref="B63" r:id="rId203" display="http://eltweb04.elta.iai/pls/iman_Production/link_to_iman?item_id=JCM3100T3500VM5RC-ASC" xr:uid="{6708C3C9-0EE3-4B42-99B5-89F90921F12F}"/>
    <hyperlink ref="B84" r:id="rId204" display="http://eltweb04.elta.iai/pls/iman_Production/link_to_iman?item_id=LM5113SDE/NOPB" xr:uid="{1CA324A5-1EC3-4E5C-BB67-C378EC27610B}"/>
    <hyperlink ref="B104" r:id="rId205" display="http://eltweb04.elta.iai/pls/iman_Production/link_to_iman?item_id=LOCTITE 222-50CC" xr:uid="{EA8EC88C-D291-4C69-9A9E-486DDE65E453}"/>
    <hyperlink ref="B117" r:id="rId206" display="http://eltweb04.elta.iai/pls/iman_Production/link_to_iman?item_id=LOCTITE 263-50CC" xr:uid="{6BFEF185-6D24-414C-97A1-7D47E4582074}"/>
    <hyperlink ref="B215" r:id="rId207" display="http://eltweb04.elta.iai/pls/iman_Production/link_to_iman?item_id=LQW15AN15NG80D" xr:uid="{09E24231-6C06-407B-883B-90BDD4486B97}"/>
    <hyperlink ref="B40" r:id="rId208" location="TRPBF" display="http://eltweb04.elta.iai/pls/iman_Production/link_to_iman?item_id=LT1764EQ#TRPBF" xr:uid="{2DA114F7-E812-4B44-97E1-53DB9721660F}"/>
    <hyperlink ref="B102" r:id="rId209" location="PBF" display="http://eltweb04.elta.iai/pls/iman_Production/link_to_iman?item_id=LT4363MPS-2#PBF" xr:uid="{25B8C152-8152-445D-A1F9-9BE2CE9184C2}"/>
    <hyperlink ref="B96" r:id="rId210" location="TRPBF" display="http://eltweb04.elta.iai/pls/iman_Production/link_to_iman?item_id=LTC4444HMS8E-5#TRPBF" xr:uid="{54A189A4-55A4-4B02-881C-775D4FF7F7D2}"/>
    <hyperlink ref="B101" r:id="rId211" display="http://eltweb04.elta.iai/pls/iman_Production/link_to_iman?item_id=M80-331" xr:uid="{B8CE8F42-0553-428F-B43C-AAF45419120C}"/>
    <hyperlink ref="B53" r:id="rId212" display="http://eltweb04.elta.iai/pls/iman_Production/link_to_iman?item_id=MADP-011104-TR0500" xr:uid="{6AC3361F-3CB2-47DB-82C2-39401B00178B}"/>
    <hyperlink ref="B44" r:id="rId213" display="http://eltweb04.elta.iai/pls/iman_Production/link_to_iman?item_id=MBT10644" xr:uid="{42707EB2-A87A-4545-AF69-846FFE9F06C3}"/>
    <hyperlink ref="B133" r:id="rId214" display="http://eltweb04.elta.iai/pls/iman_Production/link_to_iman?item_id=MI0603J601R-10" xr:uid="{85A7FE13-AAD1-473B-BD20-DD837D6B257D}"/>
    <hyperlink ref="B144" r:id="rId215" display="http://eltweb04.elta.iai/pls/iman_Production/link_to_iman?item_id=MIC4427YM TR" xr:uid="{0F56F7E8-7469-4504-8020-46744AAFFA6F}"/>
    <hyperlink ref="B227" r:id="rId216" display="http://eltweb04.elta.iai/pls/iman_Production/link_to_iman?item_id=MM3Z5V1T1G" xr:uid="{6BFA7344-28AD-4BAE-9687-4403BAD37C40}"/>
    <hyperlink ref="B180" r:id="rId217" display="http://eltweb04.elta.iai/pls/iman_Production/link_to_iman?item_id=MS16995-1" xr:uid="{D474531C-6C64-44F7-99EB-55993B0223D6}"/>
    <hyperlink ref="B150" r:id="rId218" display="http://eltweb04.elta.iai/pls/iman_Production/link_to_iman?item_id=MS16995-3" xr:uid="{AC09F506-F828-4D00-B2E7-719C6797ACB2}"/>
    <hyperlink ref="B147" r:id="rId219" display="http://eltweb04.elta.iai/pls/iman_Production/link_to_iman?item_id=MS35338-134" xr:uid="{65FE8F43-7F3E-4117-AB28-0885927D809D}"/>
    <hyperlink ref="B193" r:id="rId220" display="http://eltweb04.elta.iai/pls/iman_Production/link_to_iman?item_id=MS35338-135" xr:uid="{1A9A039B-2DBD-4A0A-A3A9-091D1E4CBBC1}"/>
    <hyperlink ref="B119" r:id="rId221" display="http://eltweb04.elta.iai/pls/iman_Production/link_to_iman?item_id=MS51957-141" xr:uid="{D6FB0731-CCE2-4DAA-980E-31EB990B0286}"/>
    <hyperlink ref="B160" r:id="rId222" display="http://eltweb04.elta.iai/pls/iman_Production/link_to_iman?item_id=MS51957-15" xr:uid="{E9C968AB-9B03-4F1B-B7A1-4AC2DE43931C}"/>
    <hyperlink ref="B164" r:id="rId223" display="http://eltweb04.elta.iai/pls/iman_Production/link_to_iman?item_id=MS51957-3" xr:uid="{7F92804A-5537-432A-8877-B594C17EFE36}"/>
    <hyperlink ref="B212" r:id="rId224" display="http://eltweb04.elta.iai/pls/iman_Production/link_to_iman?item_id=MS51957-4" xr:uid="{2632F3B8-F724-4A3A-9727-DADA88BCBE56}"/>
    <hyperlink ref="B252" r:id="rId225" display="http://eltweb04.elta.iai/pls/iman_Production/link_to_iman?item_id=MS51957-5" xr:uid="{C1376122-A2D1-4807-8C82-22A02159E338}"/>
    <hyperlink ref="B189" r:id="rId226" display="http://eltweb04.elta.iai/pls/iman_Production/link_to_iman?item_id=MS51957-6" xr:uid="{F0B8B1F8-727F-40C5-91C3-FB991A67FF15}"/>
    <hyperlink ref="B226" r:id="rId227" display="http://eltweb04.elta.iai/pls/iman_Production/link_to_iman?item_id=MS51957-7" xr:uid="{310DAFAF-85E2-4715-990C-DE046F893BBC}"/>
    <hyperlink ref="B49" r:id="rId228" display="http://eltweb04.elta.iai/pls/iman_Production/link_to_iman?item_id=MT28EW01GABA1HPC-0SIT" xr:uid="{C5D0FA95-3095-4305-9688-C3BCCF18CCC4}"/>
    <hyperlink ref="B131" r:id="rId229" display="http://eltweb04.elta.iai/pls/iman_Production/link_to_iman?item_id=NAS1291C04M" xr:uid="{202B12F6-9C85-45EA-9850-9D9AB282AB40}"/>
    <hyperlink ref="B185" r:id="rId230" display="http://eltweb04.elta.iai/pls/iman_Production/link_to_iman?item_id=NAS1640-0" xr:uid="{9607B93E-6B9B-4DED-9560-BAFA12830712}"/>
    <hyperlink ref="B165" r:id="rId231" display="http://eltweb04.elta.iai/pls/iman_Production/link_to_iman?item_id=NAS1676C2" xr:uid="{8FB1187C-A1CC-4561-9444-565157C86A67}"/>
    <hyperlink ref="B219" r:id="rId232" display="http://eltweb04.elta.iai/pls/iman_Production/link_to_iman?item_id=NAS620-0" xr:uid="{47DD5068-2F65-45E4-B4A2-C1D543F01102}"/>
    <hyperlink ref="B114" r:id="rId233" display="http://eltweb04.elta.iai/pls/iman_Production/link_to_iman?item_id=NAS620C2" xr:uid="{259CF527-55D5-4272-A876-9CFAEB24E783}"/>
    <hyperlink ref="B153" r:id="rId234" display="http://eltweb04.elta.iai/pls/iman_Production/link_to_iman?item_id=NAS620C4" xr:uid="{289D253B-6D08-4087-86E8-A58F7804A9AA}"/>
    <hyperlink ref="B253" r:id="rId235" display="http://eltweb04.elta.iai/pls/iman_Production/link_to_iman?item_id=NAS620C6" xr:uid="{161AE956-BC77-4C3F-8290-1175CAA2FA4C}"/>
    <hyperlink ref="B210" r:id="rId236" display="http://eltweb04.elta.iai/pls/iman_Production/link_to_iman?item_id=NAS662C0R5" xr:uid="{30BF8BCE-6CDB-4C27-92FB-9653F3DBCA69}"/>
    <hyperlink ref="B129" r:id="rId237" display="http://eltweb04.elta.iai/pls/iman_Production/link_to_iman?item_id=NC7SZ04P5X" xr:uid="{E508B020-98C4-434D-9C13-297F25F05A37}"/>
    <hyperlink ref="B206" r:id="rId238" display="http://eltweb04.elta.iai/pls/iman_Production/link_to_iman?item_id=NC7SZ08M5X" xr:uid="{A5200316-D227-4292-8E63-276CE6610BFC}"/>
    <hyperlink ref="B211" r:id="rId239" display="http://eltweb04.elta.iai/pls/iman_Production/link_to_iman?item_id=NC7SZ08M5X-L22090" xr:uid="{B860D070-1409-434A-996B-4E1D2BD245CC}"/>
    <hyperlink ref="B48" r:id="rId240" display="http://eltweb04.elta.iai/pls/iman_Production/link_to_iman?item_id=NFL18ST207X1C3D" xr:uid="{FB7CD46F-F269-439C-907A-644A827A26D7}"/>
    <hyperlink ref="B47" r:id="rId241" display="http://eltweb04.elta.iai/pls/iman_Production/link_to_iman?item_id=NFL18ST507X1C3D" xr:uid="{F69295FE-2F4E-4B53-B659-E5C1C1257869}"/>
    <hyperlink ref="B135" r:id="rId242" display="http://eltweb04.elta.iai/pls/iman_Production/link_to_iman?item_id=NFM18PC225B1A3D" xr:uid="{2607DD5B-57B2-46AB-8841-49D1E5662F21}"/>
    <hyperlink ref="B124" r:id="rId243" display="http://eltweb04.elta.iai/pls/iman_Production/link_to_iman?item_id=NFM31KC104R2A3L" xr:uid="{9BB0058A-9C0E-4FCE-AC23-BBDCF356F6C5}"/>
    <hyperlink ref="B105" r:id="rId244" display="http://eltweb04.elta.iai/pls/iman_Production/link_to_iman?item_id=NFM41PC155B1H3L" xr:uid="{25805FE3-8358-4B2B-8818-0E8F85CE3C70}"/>
    <hyperlink ref="B110" r:id="rId245" display="http://eltweb04.elta.iai/pls/iman_Production/link_to_iman?item_id=NGC-1206CS50R0G" xr:uid="{5AF7563D-3CDC-4748-BFEC-60568E583E2E}"/>
    <hyperlink ref="B145" r:id="rId246" display="http://eltweb04.elta.iai/pls/iman_Production/link_to_iman?item_id=NRVBM2H100T3G" xr:uid="{2B96C5D5-F98F-435E-83CA-843FCE4C2841}"/>
    <hyperlink ref="B186" r:id="rId247" display="http://eltweb04.elta.iai/pls/iman_Production/link_to_iman?item_id=PTL-9-724" xr:uid="{C2FFBE9B-F363-4CB1-915A-9D1F5740F241}"/>
    <hyperlink ref="B67" r:id="rId248" display="http://eltweb04.elta.iai/pls/iman_Production/link_to_iman?item_id=RCP3500Q03" xr:uid="{1A5B2C8A-4B9E-4723-8E20-CB5B11B665A6}"/>
    <hyperlink ref="B88" r:id="rId249" display="http://eltweb04.elta.iai/pls/iman_Production/link_to_iman?item_id=REF192ESZ-REEL7" xr:uid="{B8786220-0952-4935-BCB5-E7D9564C2AE7}"/>
    <hyperlink ref="B118" r:id="rId250" display="http://eltweb04.elta.iai/pls/iman_Production/link_to_iman?item_id=RTV 167-2.8 FL/OZ" xr:uid="{7F1B2114-1D93-43F3-B36F-1F963E38F3AD}"/>
    <hyperlink ref="B126" r:id="rId251" display="http://eltweb04.elta.iai/pls/iman_Production/link_to_iman?item_id=SI4559ADY-T1-GE3" xr:uid="{604D70A8-AAF5-417D-B978-C0B89F1FE3F2}"/>
    <hyperlink ref="B127" r:id="rId252" display="http://eltweb04.elta.iai/pls/iman_Production/link_to_iman?item_id=SI7252DP-T1-GE3" xr:uid="{7A828E9F-0FC9-40CD-A1A5-ECEE1A357216}"/>
    <hyperlink ref="B281" r:id="rId253" display="http://eltweb04.elta.iai/pls/iman_Production/link_to_iman?item_id=SIZ340DT-T1-GE3" xr:uid="{F975D616-D4AF-4F69-9B1E-D4DC274FB7E7}"/>
    <hyperlink ref="B196" r:id="rId254" display="http://eltweb04.elta.iai/pls/iman_Production/link_to_iman?item_id=SMBJ5.0AE3/52" xr:uid="{B8EBEAD9-8CE6-4E55-8A83-10C52E1A9014}"/>
    <hyperlink ref="B197" r:id="rId255" display="http://eltweb04.elta.iai/pls/iman_Production/link_to_iman?item_id=SMBJ8.0A-E3/52" xr:uid="{B58AF3EE-237A-4DB3-B4C7-DA5C88DA5D36}"/>
    <hyperlink ref="B199" r:id="rId256" display="http://eltweb04.elta.iai/pls/iman_Production/link_to_iman?item_id=SMF45A" xr:uid="{6C15BEC3-9169-47B8-8409-95C42213DB04}"/>
    <hyperlink ref="B201" r:id="rId257" display="http://eltweb04.elta.iai/pls/iman_Production/link_to_iman?item_id=SMMBT2222ALT1G" xr:uid="{E19033AF-82EE-4A75-95AA-DBE1E7924099}"/>
    <hyperlink ref="B116" r:id="rId258" display="http://eltweb04.elta.iai/pls/iman_Production/link_to_iman?item_id=SMT2010TALN" xr:uid="{EEEEA689-9788-494C-B9FC-C8491310503A}"/>
    <hyperlink ref="B112" r:id="rId259" display="http://eltweb04.elta.iai/pls/iman_Production/link_to_iman?item_id=SMT252503ALN2F" xr:uid="{235A7644-7C69-49E1-83CE-A476145A468D}"/>
    <hyperlink ref="B179" r:id="rId260" display="http://eltweb04.elta.iai/pls/iman_Production/link_to_iman?item_id=SN74LV4T125PWR" xr:uid="{C231AE60-7C8B-4059-B56D-6D5FEBFF4E62}"/>
    <hyperlink ref="B169" r:id="rId261" display="http://eltweb04.elta.iai/pls/iman_Production/link_to_iman?item_id=SN74LVCH244APW" xr:uid="{C8D3D7D8-E5FD-493F-8AE3-AEDF921E0CB3}"/>
    <hyperlink ref="B81" r:id="rId262" display="http://eltweb04.elta.iai/pls/iman_Production/link_to_iman?item_id=SOLC-125-02-S-Q-A-K-TR" xr:uid="{A5AAE8BF-DE7F-4038-A287-A224F3002587}"/>
    <hyperlink ref="B90" r:id="rId263" display="http://eltweb04.elta.iai/pls/iman_Production/link_to_iman?item_id=SS4155 1PT" xr:uid="{17E81CFA-1B86-4553-B954-892E0BD5C566}"/>
    <hyperlink ref="B162" r:id="rId264" display="http://eltweb04.elta.iai/pls/iman_Production/link_to_iman?item_id=T55B107M6R3C0040" xr:uid="{06756875-D79C-4AF2-AF6C-B32745072B2A}"/>
    <hyperlink ref="B51" r:id="rId265" display="http://eltweb04.elta.iai/pls/iman_Production/link_to_iman?item_id=TBJV227K016LSLC0H24" xr:uid="{97718D04-DCD9-4261-83D5-D5A00121460D}"/>
    <hyperlink ref="B61" r:id="rId266" display="http://eltweb04.elta.iai/pls/iman_Production/link_to_iman?item_id=TGA2731-SM" xr:uid="{91464490-BF56-4253-9F40-67918389AC45}"/>
    <hyperlink ref="B33" r:id="rId267" display="http://eltweb04.elta.iai/pls/iman_Production/link_to_iman?item_id=TGL2927-SM" xr:uid="{96A83BF0-1785-4642-A231-BAECCE8CE63F}"/>
    <hyperlink ref="B103" r:id="rId268" display="http://eltweb04.elta.iai/pls/iman_Production/link_to_iman?item_id=TPS7A3001DGNT" xr:uid="{F977C129-9DE5-48A1-B792-68863C9F35B5}"/>
    <hyperlink ref="B152" r:id="rId269" display="http://eltweb04.elta.iai/pls/iman_Production/link_to_iman?item_id=TPS7A8001DRBR" xr:uid="{468DF3FC-8C28-460F-8B6C-40E83B2821D2}"/>
    <hyperlink ref="B108" r:id="rId270" display="http://eltweb04.elta.iai/pls/iman_Production/link_to_iman?item_id=TQL9092" xr:uid="{CBA893AD-9264-414D-9645-0A43701D23DA}"/>
    <hyperlink ref="B100" r:id="rId271" display="http://eltweb04.elta.iai/pls/iman_Production/link_to_iman?item_id=TS0301W3" xr:uid="{8B684F66-8A07-4B36-B2D5-8FE03F7DA192}"/>
    <hyperlink ref="B91" r:id="rId272" display="http://eltweb04.elta.iai/pls/iman_Production/link_to_iman?item_id=TS0302W3" xr:uid="{0166D371-DC64-4633-BD9B-965E5B5B521D}"/>
    <hyperlink ref="B82" r:id="rId273" display="http://eltweb04.elta.iai/pls/iman_Production/link_to_iman?item_id=TS0501W3S/TR" xr:uid="{1A405AE4-015F-400B-A53D-AC72964E724C}"/>
    <hyperlink ref="B57" r:id="rId274" display="http://eltweb04.elta.iai/pls/iman_Production/link_to_iman?item_id=TS0502W3S" xr:uid="{417C56D2-4E35-481B-AD61-9F7E0BB3A255}"/>
    <hyperlink ref="B85" r:id="rId275" display="http://eltweb04.elta.iai/pls/iman_Production/link_to_iman?item_id=TS0503W3S" xr:uid="{C54B1CD3-89BF-466A-9689-5F99A198CC62}"/>
    <hyperlink ref="B83" r:id="rId276" display="http://eltweb04.elta.iai/pls/iman_Production/link_to_iman?item_id=TS0506W3S" xr:uid="{26728022-C9CA-48F0-AAE3-B2A7EC451E9A}"/>
    <hyperlink ref="B192" r:id="rId277" display="http://eltweb04.elta.iai/pls/iman_Production/link_to_iman?item_id=VJ1210Y334KXBAT" xr:uid="{BE422FC9-AD4A-47E6-BB1D-92D1A26374F8}"/>
    <hyperlink ref="B159" r:id="rId278" display="http://eltweb04.elta.iai/pls/iman_Production/link_to_iman?item_id=WSL25125L000FTA" xr:uid="{67B9E490-0DFC-415B-BCBB-20CFC8E84D41}"/>
    <hyperlink ref="AF279" r:id="rId279" xr:uid="{1A649CF5-FFEA-4427-97A6-81CB78F84009}"/>
    <hyperlink ref="AF280" r:id="rId280" xr:uid="{A52F8D1B-78FC-4051-ACB6-8BE8D9D99A1C}"/>
    <hyperlink ref="AF278" r:id="rId281" xr:uid="{72E7E4C1-8A71-4A9D-992C-32B2D0426659}"/>
    <hyperlink ref="AF140" r:id="rId282" xr:uid="{D60C9BE8-F6EB-49D0-A025-6B58D4A30539}"/>
    <hyperlink ref="AF283" r:id="rId283" xr:uid="{D1599195-6713-4FBF-81E3-5AC2C16FD31A}"/>
    <hyperlink ref="AF284" r:id="rId284" xr:uid="{82AF8192-3DCF-4B3F-9D05-91AE2A416AAD}"/>
    <hyperlink ref="AF268" r:id="rId285" xr:uid="{A522C5EF-C92B-4FB9-91E9-2E4CC03DDB27}"/>
    <hyperlink ref="AF192" r:id="rId286" xr:uid="{8629232A-7A7D-4F54-A8A8-0E6E0932203D}"/>
    <hyperlink ref="AF274" r:id="rId287" xr:uid="{A90F1259-70B7-47BE-87CE-8C2CF859CA28}"/>
    <hyperlink ref="AF275" r:id="rId288" xr:uid="{74B385D2-3EED-4D3B-8E58-68823011E876}"/>
    <hyperlink ref="AF51" r:id="rId289" xr:uid="{80F83678-67A5-4B00-A435-70F7667F7134}"/>
    <hyperlink ref="AF95" r:id="rId290" xr:uid="{A37591A2-E928-4282-8883-85C02FD22970}"/>
    <hyperlink ref="AF125" r:id="rId291" xr:uid="{E5AB47B0-10DB-4E07-9910-18F4099BB67D}"/>
    <hyperlink ref="AF161" r:id="rId292" xr:uid="{A5A42751-E344-4833-818B-AD7C1B0C7290}"/>
    <hyperlink ref="AF205" r:id="rId293" xr:uid="{4FA90BB5-528D-415A-B8B9-0C4D427692DA}"/>
    <hyperlink ref="AF40" r:id="rId294" xr:uid="{6CC41252-3B6E-4AA8-ADED-AA299D8B2F31}"/>
    <hyperlink ref="AF132" r:id="rId295" xr:uid="{81C7B8DA-00B5-43DB-962C-8D57307F55F4}"/>
    <hyperlink ref="AF137" r:id="rId296" xr:uid="{FC86649E-203B-444C-AD7A-2958C37EE53E}"/>
    <hyperlink ref="AF101" r:id="rId297" xr:uid="{6BDDD8FA-7BD8-47EA-B848-4EE7C07D72E3}"/>
    <hyperlink ref="AF147" r:id="rId298" xr:uid="{D0E95D86-AB1E-4A56-93FC-F75B8BF1D923}"/>
    <hyperlink ref="AF193" r:id="rId299" xr:uid="{084A9A65-8EF7-4487-B383-9BBDB531C4AE}"/>
    <hyperlink ref="AF160" r:id="rId300" xr:uid="{3C69FBD2-7A37-434A-9876-363659FC88BE}"/>
    <hyperlink ref="AF189" r:id="rId301" xr:uid="{5DDDC717-185C-4655-8FAB-CB9756F61E79}"/>
    <hyperlink ref="AF212" r:id="rId302" xr:uid="{10A5D1FE-9904-43E8-87E7-87BBB96AA9D7}"/>
    <hyperlink ref="AF226" r:id="rId303" xr:uid="{447CBE78-3706-41EF-A14E-497BF31EBD91}"/>
    <hyperlink ref="AF252" r:id="rId304" xr:uid="{B53B7CD9-B562-45B6-A431-AFC6CF8DF5FF}"/>
    <hyperlink ref="AF143" r:id="rId305" xr:uid="{4FAB81AC-ACFC-4862-BFDF-99D1016E0DA1}"/>
    <hyperlink ref="AF67" r:id="rId306" xr:uid="{98F59A4F-FF76-446C-AF4C-3BFE42854D7C}"/>
    <hyperlink ref="AF276" r:id="rId307" xr:uid="{2931DBD1-0ECC-47B0-8C92-9F6550FA799F}"/>
    <hyperlink ref="AF163" r:id="rId308" xr:uid="{22306466-AD05-47C2-A877-4D1888E156B1}"/>
    <hyperlink ref="AF288" r:id="rId309" xr:uid="{74A2390C-9A68-4610-A5E0-E96909C37379}"/>
    <hyperlink ref="AF155" r:id="rId310" xr:uid="{1EDC0DB2-7D2B-48C8-AC13-08CF755C7AED}"/>
    <hyperlink ref="AF287" r:id="rId311" xr:uid="{45B389A1-A8C3-407F-82CB-2CD7E385D41F}"/>
    <hyperlink ref="AF243" r:id="rId312" xr:uid="{D440C375-204B-4B69-BE24-FD9704F349A8}"/>
    <hyperlink ref="AF214" r:id="rId313" xr:uid="{CAB501DC-3503-4430-8434-55370A589D10}"/>
    <hyperlink ref="AF228" r:id="rId314" xr:uid="{8716A9F0-32BD-44C8-B6E1-D83BAE928789}"/>
    <hyperlink ref="AF105" r:id="rId315" xr:uid="{B6797BFD-1E49-4DB0-B11F-D91EC177BB2E}"/>
    <hyperlink ref="AF215" r:id="rId316" xr:uid="{056F4D0E-AA93-4F2E-8486-1EF8448DF07D}"/>
    <hyperlink ref="AF110" r:id="rId317" xr:uid="{FEF7CB75-6564-4520-B5A6-DB64006C80E0}"/>
    <hyperlink ref="AF141" r:id="rId318" xr:uid="{FE120DB9-57FB-4A22-B637-A532158B9952}"/>
    <hyperlink ref="AE186" r:id="rId319" display="sales@avdor.com" xr:uid="{254FB2CD-59C3-4867-82F4-B9E8DD967BAA}"/>
    <hyperlink ref="AF186" r:id="rId320" xr:uid="{8C449E51-E43E-4212-8478-D55A6DD18F98}"/>
    <hyperlink ref="AF27" r:id="rId321" xr:uid="{9FC40BBA-ECF2-4C0C-B656-D2E4A5EAC334}"/>
    <hyperlink ref="AF114" r:id="rId322" xr:uid="{DFDF2BE4-A0DD-4F31-BCC1-89431D506F10}"/>
    <hyperlink ref="AF35" r:id="rId323" xr:uid="{D9F51E03-DFEB-42C2-9FB7-610D0C7CAFA3}"/>
    <hyperlink ref="AF157" r:id="rId324" xr:uid="{ED20A53C-F88B-4194-BCFC-39B2273BBEF0}"/>
    <hyperlink ref="AF184" r:id="rId325" xr:uid="{98E6DC1E-709C-4082-A530-62F20903D64D}"/>
    <hyperlink ref="AF70" r:id="rId326" xr:uid="{3373AF05-A9D8-4333-9647-37DE50FE62DB}"/>
    <hyperlink ref="AF46" r:id="rId327" xr:uid="{209EE9C0-E0F1-4826-98CC-8B3F591BF7DC}"/>
    <hyperlink ref="AF77" r:id="rId328" xr:uid="{33D758B8-3633-4E04-B28E-D8CE894158A6}"/>
    <hyperlink ref="AF44" r:id="rId329" xr:uid="{7635E489-DFEE-483C-BC8C-039DE4AF83F8}"/>
    <hyperlink ref="AF72" r:id="rId330" xr:uid="{148AA331-8399-46A6-9E1A-69A0717E14BE}"/>
    <hyperlink ref="AF71" r:id="rId331" xr:uid="{4FCE4601-BEC9-4E67-B906-4A7A396FC52E}"/>
    <hyperlink ref="AF277" r:id="rId332" xr:uid="{58197F2C-E942-475A-AA86-05506A39034A}"/>
    <hyperlink ref="AF253" r:id="rId333" xr:uid="{D680A0EC-16BC-4351-9A47-9F07DBCC3EEB}"/>
    <hyperlink ref="AF57" r:id="rId334" xr:uid="{32D36EDE-65C5-4F2D-A709-978BB8CC44D8}"/>
    <hyperlink ref="AF177" r:id="rId335" xr:uid="{44B50981-9BEA-416C-8B5B-F572FD46EEF7}"/>
    <hyperlink ref="AF111" r:id="rId336" xr:uid="{81F6A74C-0699-404B-AE72-FF957A721C15}"/>
    <hyperlink ref="AF120" r:id="rId337" xr:uid="{EC8A2223-F937-4F40-901D-092D1558AB3E}"/>
    <hyperlink ref="AF36" r:id="rId338" xr:uid="{DEC41C18-D458-4C8D-9CE8-5F623AB5585C}"/>
    <hyperlink ref="AF129" r:id="rId339" xr:uid="{29746C1D-F055-48A6-B27D-57AC9CCF647F}"/>
    <hyperlink ref="AF201" r:id="rId340" xr:uid="{6CD86CD0-0ECF-4C50-90FE-17B31D77901B}"/>
    <hyperlink ref="AF43" r:id="rId341" xr:uid="{ECC0E455-7EEF-43A4-A952-B54E1A43250B}"/>
    <hyperlink ref="AF75" r:id="rId342" xr:uid="{2CC28424-7CF8-486F-85B1-CAE7F3A29878}"/>
    <hyperlink ref="AF128" r:id="rId343" xr:uid="{160251EC-3F53-431F-8EAC-FCE604CC8049}"/>
    <hyperlink ref="AF170" r:id="rId344" xr:uid="{F71F6672-A9CF-458D-A39D-734F6207169D}"/>
    <hyperlink ref="AF171" r:id="rId345" xr:uid="{A1026AF6-B36A-41EA-8B78-CD4D117DE546}"/>
    <hyperlink ref="AF251" r:id="rId346" xr:uid="{E25D7F6C-F4EE-420D-88CE-CF591CA65530}"/>
    <hyperlink ref="AF254" r:id="rId347" xr:uid="{A0C1A4F6-8757-4C58-984C-B6D64A86B703}"/>
    <hyperlink ref="AF267" r:id="rId348" xr:uid="{95B41327-BC53-4163-BE43-F345A91C5B41}"/>
    <hyperlink ref="AF24" r:id="rId349" xr:uid="{AF348E6E-6F34-4E86-8944-3F8B4040EE5D}"/>
    <hyperlink ref="AF145" r:id="rId350" xr:uid="{C0EF1333-4DE1-400E-8EFB-602FF55F7836}"/>
    <hyperlink ref="AF199" r:id="rId351" xr:uid="{2E2C9EFB-7806-4218-A2DF-5C7EA944A6B2}"/>
    <hyperlink ref="AF123" r:id="rId352" xr:uid="{28BE6360-B829-4689-9B26-1B16B7A19B17}"/>
    <hyperlink ref="B64" r:id="rId353" display="http://eltweb04.elta.iai/pls/iman_Production/link_to_iman?item_id=MAX8556ETE+T" xr:uid="{24F9A0C3-D652-4201-9B82-C4F93700EA08}"/>
    <hyperlink ref="J17" r:id="rId354" display="http://eltweb04.elta.iai/pls/iman_Production/link_to_iman?item_id=1094T040-001" xr:uid="{7C7D08BC-B8EE-454F-AAB6-1C75B2364B18}"/>
  </hyperlinks>
  <printOptions gridLines="1" gridLinesSet="0"/>
  <pageMargins left="0.75" right="0.75" top="1" bottom="1" header="0.5" footer="0.5"/>
  <pageSetup paperSize="9" fitToWidth="0" fitToHeight="0" orientation="portrait" r:id="rId35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36F52-AE94-4071-9EA6-112E5A2D10A8}">
  <sheetPr codeName="Sheet1"/>
  <dimension ref="A1:E674"/>
  <sheetViews>
    <sheetView topLeftCell="A648" workbookViewId="0">
      <selection activeCell="C11" sqref="C11"/>
    </sheetView>
  </sheetViews>
  <sheetFormatPr defaultRowHeight="13.8" x14ac:dyDescent="0.25"/>
  <cols>
    <col min="1" max="2" width="10.19921875" bestFit="1" customWidth="1"/>
    <col min="3" max="3" width="48.09765625" bestFit="1" customWidth="1"/>
    <col min="4" max="5" width="27.796875" bestFit="1" customWidth="1"/>
  </cols>
  <sheetData>
    <row r="1" spans="1:5" x14ac:dyDescent="0.25">
      <c r="A1" t="s">
        <v>1716</v>
      </c>
      <c r="B1" t="s">
        <v>4</v>
      </c>
      <c r="C1" t="s">
        <v>1717</v>
      </c>
      <c r="D1" t="s">
        <v>1718</v>
      </c>
      <c r="E1" t="s">
        <v>1719</v>
      </c>
    </row>
    <row r="2" spans="1:5" x14ac:dyDescent="0.25">
      <c r="A2">
        <v>400263993</v>
      </c>
      <c r="B2">
        <v>400005121</v>
      </c>
      <c r="C2" t="s">
        <v>728</v>
      </c>
      <c r="D2" t="s">
        <v>729</v>
      </c>
      <c r="E2" t="s">
        <v>580</v>
      </c>
    </row>
    <row r="3" spans="1:5" x14ac:dyDescent="0.25">
      <c r="A3">
        <v>400658323</v>
      </c>
      <c r="B3">
        <v>400005121</v>
      </c>
      <c r="C3" t="s">
        <v>581</v>
      </c>
      <c r="D3" t="s">
        <v>580</v>
      </c>
      <c r="E3" t="s">
        <v>730</v>
      </c>
    </row>
    <row r="4" spans="1:5" x14ac:dyDescent="0.25">
      <c r="A4">
        <v>411170089</v>
      </c>
      <c r="B4">
        <v>400005121</v>
      </c>
      <c r="C4" t="s">
        <v>728</v>
      </c>
      <c r="D4" t="s">
        <v>743</v>
      </c>
      <c r="E4" t="s">
        <v>580</v>
      </c>
    </row>
    <row r="5" spans="1:5" x14ac:dyDescent="0.25">
      <c r="A5">
        <v>414865984</v>
      </c>
      <c r="B5">
        <v>400005121</v>
      </c>
      <c r="C5" t="s">
        <v>731</v>
      </c>
      <c r="D5" t="s">
        <v>732</v>
      </c>
      <c r="E5" t="s">
        <v>580</v>
      </c>
    </row>
    <row r="6" spans="1:5" x14ac:dyDescent="0.25">
      <c r="A6" t="s">
        <v>733</v>
      </c>
      <c r="B6">
        <v>400005121</v>
      </c>
      <c r="C6" t="s">
        <v>734</v>
      </c>
      <c r="D6" t="s">
        <v>735</v>
      </c>
      <c r="E6" t="s">
        <v>580</v>
      </c>
    </row>
    <row r="7" spans="1:5" x14ac:dyDescent="0.25">
      <c r="A7" t="s">
        <v>736</v>
      </c>
      <c r="B7">
        <v>400005121</v>
      </c>
      <c r="C7" t="s">
        <v>734</v>
      </c>
      <c r="D7" t="s">
        <v>737</v>
      </c>
      <c r="E7" t="s">
        <v>580</v>
      </c>
    </row>
    <row r="8" spans="1:5" x14ac:dyDescent="0.25">
      <c r="A8" t="s">
        <v>738</v>
      </c>
      <c r="B8">
        <v>400005121</v>
      </c>
      <c r="C8" t="s">
        <v>739</v>
      </c>
      <c r="D8" t="s">
        <v>740</v>
      </c>
      <c r="E8" t="s">
        <v>580</v>
      </c>
    </row>
    <row r="9" spans="1:5" x14ac:dyDescent="0.25">
      <c r="A9" t="s">
        <v>741</v>
      </c>
      <c r="B9">
        <v>400005121</v>
      </c>
      <c r="C9" t="s">
        <v>739</v>
      </c>
      <c r="D9" t="s">
        <v>742</v>
      </c>
      <c r="E9" t="s">
        <v>580</v>
      </c>
    </row>
    <row r="10" spans="1:5" x14ac:dyDescent="0.25">
      <c r="A10">
        <v>400908745</v>
      </c>
      <c r="B10">
        <v>400007534</v>
      </c>
      <c r="C10" t="s">
        <v>744</v>
      </c>
      <c r="D10" t="s">
        <v>745</v>
      </c>
      <c r="E10" t="s">
        <v>631</v>
      </c>
    </row>
    <row r="11" spans="1:5" x14ac:dyDescent="0.25">
      <c r="A11">
        <v>425994123</v>
      </c>
      <c r="B11">
        <v>400007534</v>
      </c>
      <c r="C11" t="s">
        <v>744</v>
      </c>
      <c r="D11" t="s">
        <v>631</v>
      </c>
      <c r="E11" t="s">
        <v>730</v>
      </c>
    </row>
    <row r="12" spans="1:5" x14ac:dyDescent="0.25">
      <c r="A12">
        <v>400306768</v>
      </c>
      <c r="B12">
        <v>400095447</v>
      </c>
      <c r="C12" t="s">
        <v>394</v>
      </c>
      <c r="D12" t="s">
        <v>746</v>
      </c>
      <c r="E12" t="s">
        <v>558</v>
      </c>
    </row>
    <row r="13" spans="1:5" x14ac:dyDescent="0.25">
      <c r="A13">
        <v>400333655</v>
      </c>
      <c r="B13">
        <v>400095447</v>
      </c>
      <c r="C13" t="s">
        <v>394</v>
      </c>
      <c r="D13" t="s">
        <v>747</v>
      </c>
      <c r="E13" t="s">
        <v>558</v>
      </c>
    </row>
    <row r="14" spans="1:5" x14ac:dyDescent="0.25">
      <c r="A14">
        <v>400550612</v>
      </c>
      <c r="B14">
        <v>400095447</v>
      </c>
      <c r="C14" t="s">
        <v>394</v>
      </c>
      <c r="D14" t="s">
        <v>758</v>
      </c>
      <c r="E14" t="s">
        <v>558</v>
      </c>
    </row>
    <row r="15" spans="1:5" x14ac:dyDescent="0.25">
      <c r="A15">
        <v>400551283</v>
      </c>
      <c r="B15">
        <v>400095447</v>
      </c>
      <c r="C15" t="s">
        <v>394</v>
      </c>
      <c r="D15" t="s">
        <v>748</v>
      </c>
      <c r="E15" t="s">
        <v>558</v>
      </c>
    </row>
    <row r="16" spans="1:5" x14ac:dyDescent="0.25">
      <c r="A16">
        <v>400604068</v>
      </c>
      <c r="B16">
        <v>400095447</v>
      </c>
      <c r="C16" t="s">
        <v>749</v>
      </c>
      <c r="D16" t="s">
        <v>750</v>
      </c>
      <c r="E16" t="s">
        <v>558</v>
      </c>
    </row>
    <row r="17" spans="1:5" x14ac:dyDescent="0.25">
      <c r="A17">
        <v>400607521</v>
      </c>
      <c r="B17">
        <v>400095447</v>
      </c>
      <c r="C17" t="s">
        <v>394</v>
      </c>
      <c r="D17" t="s">
        <v>751</v>
      </c>
      <c r="E17" t="s">
        <v>558</v>
      </c>
    </row>
    <row r="18" spans="1:5" x14ac:dyDescent="0.25">
      <c r="A18">
        <v>402020886</v>
      </c>
      <c r="B18">
        <v>400095447</v>
      </c>
      <c r="C18" t="s">
        <v>394</v>
      </c>
      <c r="D18" t="s">
        <v>752</v>
      </c>
      <c r="E18" t="s">
        <v>558</v>
      </c>
    </row>
    <row r="19" spans="1:5" x14ac:dyDescent="0.25">
      <c r="A19">
        <v>417983138</v>
      </c>
      <c r="B19">
        <v>400095447</v>
      </c>
      <c r="C19" t="s">
        <v>394</v>
      </c>
      <c r="D19" t="s">
        <v>558</v>
      </c>
      <c r="E19" t="s">
        <v>730</v>
      </c>
    </row>
    <row r="20" spans="1:5" x14ac:dyDescent="0.25">
      <c r="A20" t="s">
        <v>753</v>
      </c>
      <c r="B20">
        <v>400095447</v>
      </c>
      <c r="C20" t="s">
        <v>754</v>
      </c>
      <c r="D20" t="s">
        <v>755</v>
      </c>
      <c r="E20" t="s">
        <v>558</v>
      </c>
    </row>
    <row r="21" spans="1:5" x14ac:dyDescent="0.25">
      <c r="A21" t="s">
        <v>759</v>
      </c>
      <c r="B21">
        <v>400095447</v>
      </c>
      <c r="C21" t="s">
        <v>760</v>
      </c>
      <c r="D21" t="s">
        <v>761</v>
      </c>
      <c r="E21" t="s">
        <v>558</v>
      </c>
    </row>
    <row r="22" spans="1:5" x14ac:dyDescent="0.25">
      <c r="A22" t="s">
        <v>756</v>
      </c>
      <c r="B22">
        <v>400095447</v>
      </c>
      <c r="C22" t="s">
        <v>754</v>
      </c>
      <c r="D22" t="s">
        <v>757</v>
      </c>
      <c r="E22" t="s">
        <v>558</v>
      </c>
    </row>
    <row r="23" spans="1:5" x14ac:dyDescent="0.25">
      <c r="A23">
        <v>400017449</v>
      </c>
      <c r="B23">
        <v>400095450</v>
      </c>
      <c r="C23" t="s">
        <v>762</v>
      </c>
      <c r="D23" t="s">
        <v>763</v>
      </c>
      <c r="E23" t="s">
        <v>766</v>
      </c>
    </row>
    <row r="24" spans="1:5" x14ac:dyDescent="0.25">
      <c r="A24">
        <v>400249752</v>
      </c>
      <c r="B24">
        <v>400095450</v>
      </c>
      <c r="C24" t="s">
        <v>764</v>
      </c>
      <c r="D24" t="s">
        <v>765</v>
      </c>
      <c r="E24" t="s">
        <v>766</v>
      </c>
    </row>
    <row r="25" spans="1:5" x14ac:dyDescent="0.25">
      <c r="A25">
        <v>400709578</v>
      </c>
      <c r="B25">
        <v>400095450</v>
      </c>
      <c r="C25" t="s">
        <v>417</v>
      </c>
      <c r="D25" t="s">
        <v>416</v>
      </c>
      <c r="E25" t="s">
        <v>766</v>
      </c>
    </row>
    <row r="26" spans="1:5" x14ac:dyDescent="0.25">
      <c r="A26">
        <v>401197118</v>
      </c>
      <c r="B26">
        <v>400095450</v>
      </c>
      <c r="C26" t="s">
        <v>764</v>
      </c>
      <c r="D26" t="s">
        <v>766</v>
      </c>
      <c r="E26" t="s">
        <v>730</v>
      </c>
    </row>
    <row r="27" spans="1:5" x14ac:dyDescent="0.25">
      <c r="A27">
        <v>411170044</v>
      </c>
      <c r="B27">
        <v>400095450</v>
      </c>
      <c r="C27" t="s">
        <v>764</v>
      </c>
      <c r="D27" t="s">
        <v>781</v>
      </c>
      <c r="E27" t="s">
        <v>766</v>
      </c>
    </row>
    <row r="28" spans="1:5" x14ac:dyDescent="0.25">
      <c r="A28" t="s">
        <v>775</v>
      </c>
      <c r="B28">
        <v>400095450</v>
      </c>
      <c r="C28" t="s">
        <v>776</v>
      </c>
      <c r="D28" t="s">
        <v>777</v>
      </c>
      <c r="E28" t="s">
        <v>766</v>
      </c>
    </row>
    <row r="29" spans="1:5" x14ac:dyDescent="0.25">
      <c r="A29" t="s">
        <v>768</v>
      </c>
      <c r="B29">
        <v>400095450</v>
      </c>
      <c r="C29" t="s">
        <v>417</v>
      </c>
      <c r="D29" t="s">
        <v>769</v>
      </c>
      <c r="E29" t="s">
        <v>766</v>
      </c>
    </row>
    <row r="30" spans="1:5" x14ac:dyDescent="0.25">
      <c r="A30" t="s">
        <v>782</v>
      </c>
      <c r="B30">
        <v>400095450</v>
      </c>
      <c r="C30" t="s">
        <v>783</v>
      </c>
      <c r="D30" t="s">
        <v>784</v>
      </c>
      <c r="E30" t="s">
        <v>766</v>
      </c>
    </row>
    <row r="31" spans="1:5" x14ac:dyDescent="0.25">
      <c r="A31" t="s">
        <v>770</v>
      </c>
      <c r="B31">
        <v>400095450</v>
      </c>
      <c r="C31" t="s">
        <v>771</v>
      </c>
      <c r="D31" t="s">
        <v>772</v>
      </c>
      <c r="E31" t="s">
        <v>766</v>
      </c>
    </row>
    <row r="32" spans="1:5" x14ac:dyDescent="0.25">
      <c r="A32" t="s">
        <v>778</v>
      </c>
      <c r="B32">
        <v>400095450</v>
      </c>
      <c r="C32" t="s">
        <v>779</v>
      </c>
      <c r="D32" t="s">
        <v>780</v>
      </c>
      <c r="E32" t="s">
        <v>766</v>
      </c>
    </row>
    <row r="33" spans="1:5" x14ac:dyDescent="0.25">
      <c r="A33" t="s">
        <v>773</v>
      </c>
      <c r="B33">
        <v>400095450</v>
      </c>
      <c r="C33" t="s">
        <v>771</v>
      </c>
      <c r="D33" t="s">
        <v>774</v>
      </c>
      <c r="E33" t="s">
        <v>766</v>
      </c>
    </row>
    <row r="34" spans="1:5" x14ac:dyDescent="0.25">
      <c r="A34">
        <v>400272334</v>
      </c>
      <c r="B34">
        <v>400274911</v>
      </c>
      <c r="C34" t="s">
        <v>618</v>
      </c>
      <c r="D34" t="s">
        <v>785</v>
      </c>
      <c r="E34" t="s">
        <v>617</v>
      </c>
    </row>
    <row r="35" spans="1:5" x14ac:dyDescent="0.25">
      <c r="A35">
        <v>413012036</v>
      </c>
      <c r="B35">
        <v>400274911</v>
      </c>
      <c r="C35" t="s">
        <v>618</v>
      </c>
      <c r="D35" t="s">
        <v>617</v>
      </c>
      <c r="E35" t="s">
        <v>730</v>
      </c>
    </row>
    <row r="36" spans="1:5" x14ac:dyDescent="0.25">
      <c r="A36" t="s">
        <v>786</v>
      </c>
      <c r="B36">
        <v>400274911</v>
      </c>
      <c r="C36" t="s">
        <v>787</v>
      </c>
      <c r="D36" t="s">
        <v>788</v>
      </c>
      <c r="E36" t="s">
        <v>617</v>
      </c>
    </row>
    <row r="37" spans="1:5" x14ac:dyDescent="0.25">
      <c r="A37">
        <v>400263980</v>
      </c>
      <c r="B37">
        <v>400275213</v>
      </c>
      <c r="C37" t="s">
        <v>789</v>
      </c>
      <c r="D37" t="s">
        <v>790</v>
      </c>
      <c r="E37" t="s">
        <v>593</v>
      </c>
    </row>
    <row r="38" spans="1:5" x14ac:dyDescent="0.25">
      <c r="A38">
        <v>400656752</v>
      </c>
      <c r="B38">
        <v>400275213</v>
      </c>
      <c r="C38" t="s">
        <v>594</v>
      </c>
      <c r="D38" t="s">
        <v>593</v>
      </c>
      <c r="E38" t="s">
        <v>730</v>
      </c>
    </row>
    <row r="39" spans="1:5" x14ac:dyDescent="0.25">
      <c r="A39">
        <v>411170045</v>
      </c>
      <c r="B39">
        <v>400275213</v>
      </c>
      <c r="C39" t="s">
        <v>789</v>
      </c>
      <c r="D39" t="s">
        <v>796</v>
      </c>
      <c r="E39" t="s">
        <v>593</v>
      </c>
    </row>
    <row r="40" spans="1:5" x14ac:dyDescent="0.25">
      <c r="A40">
        <v>414865977</v>
      </c>
      <c r="B40">
        <v>400275213</v>
      </c>
      <c r="C40" t="s">
        <v>791</v>
      </c>
      <c r="D40" t="s">
        <v>792</v>
      </c>
      <c r="E40" t="s">
        <v>593</v>
      </c>
    </row>
    <row r="41" spans="1:5" x14ac:dyDescent="0.25">
      <c r="A41" t="s">
        <v>793</v>
      </c>
      <c r="B41">
        <v>400275213</v>
      </c>
      <c r="C41" t="s">
        <v>794</v>
      </c>
      <c r="D41" t="s">
        <v>795</v>
      </c>
      <c r="E41" t="s">
        <v>593</v>
      </c>
    </row>
    <row r="42" spans="1:5" x14ac:dyDescent="0.25">
      <c r="A42">
        <v>400249775</v>
      </c>
      <c r="B42">
        <v>400275214</v>
      </c>
      <c r="C42" t="s">
        <v>797</v>
      </c>
      <c r="D42" t="s">
        <v>798</v>
      </c>
      <c r="E42" t="s">
        <v>520</v>
      </c>
    </row>
    <row r="43" spans="1:5" x14ac:dyDescent="0.25">
      <c r="A43">
        <v>400656753</v>
      </c>
      <c r="B43">
        <v>400275214</v>
      </c>
      <c r="C43" t="s">
        <v>521</v>
      </c>
      <c r="D43" t="s">
        <v>520</v>
      </c>
      <c r="E43" t="s">
        <v>730</v>
      </c>
    </row>
    <row r="44" spans="1:5" x14ac:dyDescent="0.25">
      <c r="A44">
        <v>411170046</v>
      </c>
      <c r="B44">
        <v>400275214</v>
      </c>
      <c r="C44" t="s">
        <v>797</v>
      </c>
      <c r="D44" t="s">
        <v>802</v>
      </c>
      <c r="E44" t="s">
        <v>520</v>
      </c>
    </row>
    <row r="45" spans="1:5" x14ac:dyDescent="0.25">
      <c r="A45" t="s">
        <v>799</v>
      </c>
      <c r="B45">
        <v>400275214</v>
      </c>
      <c r="C45" t="s">
        <v>800</v>
      </c>
      <c r="D45" t="s">
        <v>801</v>
      </c>
      <c r="E45" t="s">
        <v>520</v>
      </c>
    </row>
    <row r="46" spans="1:5" x14ac:dyDescent="0.25">
      <c r="A46">
        <v>400027603</v>
      </c>
      <c r="B46">
        <v>400275219</v>
      </c>
      <c r="C46" t="s">
        <v>808</v>
      </c>
      <c r="D46" t="s">
        <v>809</v>
      </c>
      <c r="E46" t="s">
        <v>664</v>
      </c>
    </row>
    <row r="47" spans="1:5" x14ac:dyDescent="0.25">
      <c r="A47">
        <v>400263990</v>
      </c>
      <c r="B47">
        <v>400275219</v>
      </c>
      <c r="C47" t="s">
        <v>665</v>
      </c>
      <c r="D47" t="s">
        <v>803</v>
      </c>
      <c r="E47" t="s">
        <v>664</v>
      </c>
    </row>
    <row r="48" spans="1:5" x14ac:dyDescent="0.25">
      <c r="A48">
        <v>401234957</v>
      </c>
      <c r="B48">
        <v>400275219</v>
      </c>
      <c r="C48" t="s">
        <v>665</v>
      </c>
      <c r="D48" t="s">
        <v>664</v>
      </c>
      <c r="E48" t="s">
        <v>730</v>
      </c>
    </row>
    <row r="49" spans="1:5" x14ac:dyDescent="0.25">
      <c r="A49">
        <v>411170068</v>
      </c>
      <c r="B49">
        <v>400275219</v>
      </c>
      <c r="C49" t="s">
        <v>665</v>
      </c>
      <c r="D49" t="s">
        <v>810</v>
      </c>
      <c r="E49" t="s">
        <v>664</v>
      </c>
    </row>
    <row r="50" spans="1:5" x14ac:dyDescent="0.25">
      <c r="A50">
        <v>417221873</v>
      </c>
      <c r="B50">
        <v>400275219</v>
      </c>
      <c r="C50" t="s">
        <v>665</v>
      </c>
      <c r="D50" t="s">
        <v>804</v>
      </c>
      <c r="E50" t="s">
        <v>664</v>
      </c>
    </row>
    <row r="51" spans="1:5" x14ac:dyDescent="0.25">
      <c r="A51" t="s">
        <v>805</v>
      </c>
      <c r="B51">
        <v>400275219</v>
      </c>
      <c r="C51" t="s">
        <v>806</v>
      </c>
      <c r="D51" t="s">
        <v>807</v>
      </c>
      <c r="E51" t="s">
        <v>664</v>
      </c>
    </row>
    <row r="52" spans="1:5" x14ac:dyDescent="0.25">
      <c r="A52">
        <v>400032405</v>
      </c>
      <c r="B52">
        <v>400275407</v>
      </c>
      <c r="C52" t="s">
        <v>816</v>
      </c>
      <c r="D52" t="s">
        <v>817</v>
      </c>
      <c r="E52" t="s">
        <v>666</v>
      </c>
    </row>
    <row r="53" spans="1:5" x14ac:dyDescent="0.25">
      <c r="A53">
        <v>400271563</v>
      </c>
      <c r="B53">
        <v>400275407</v>
      </c>
      <c r="C53" t="s">
        <v>811</v>
      </c>
      <c r="D53" t="s">
        <v>812</v>
      </c>
      <c r="E53" t="s">
        <v>666</v>
      </c>
    </row>
    <row r="54" spans="1:5" x14ac:dyDescent="0.25">
      <c r="A54">
        <v>400658318</v>
      </c>
      <c r="B54">
        <v>400275407</v>
      </c>
      <c r="C54" t="s">
        <v>667</v>
      </c>
      <c r="D54" t="s">
        <v>666</v>
      </c>
      <c r="E54" t="s">
        <v>730</v>
      </c>
    </row>
    <row r="55" spans="1:5" x14ac:dyDescent="0.25">
      <c r="A55">
        <v>411170077</v>
      </c>
      <c r="B55">
        <v>400275407</v>
      </c>
      <c r="C55" t="s">
        <v>811</v>
      </c>
      <c r="D55" t="s">
        <v>818</v>
      </c>
      <c r="E55" t="s">
        <v>666</v>
      </c>
    </row>
    <row r="56" spans="1:5" x14ac:dyDescent="0.25">
      <c r="A56" t="s">
        <v>813</v>
      </c>
      <c r="B56">
        <v>400275407</v>
      </c>
      <c r="C56" t="s">
        <v>814</v>
      </c>
      <c r="D56" t="s">
        <v>815</v>
      </c>
      <c r="E56" t="s">
        <v>666</v>
      </c>
    </row>
    <row r="57" spans="1:5" x14ac:dyDescent="0.25">
      <c r="A57">
        <v>400274376</v>
      </c>
      <c r="B57">
        <v>400275409</v>
      </c>
      <c r="C57" t="s">
        <v>819</v>
      </c>
      <c r="D57" t="s">
        <v>820</v>
      </c>
      <c r="E57" t="s">
        <v>633</v>
      </c>
    </row>
    <row r="58" spans="1:5" x14ac:dyDescent="0.25">
      <c r="A58">
        <v>401481540</v>
      </c>
      <c r="B58">
        <v>400275409</v>
      </c>
      <c r="C58" t="s">
        <v>819</v>
      </c>
      <c r="D58" t="s">
        <v>633</v>
      </c>
      <c r="E58" t="s">
        <v>730</v>
      </c>
    </row>
    <row r="59" spans="1:5" x14ac:dyDescent="0.25">
      <c r="A59" t="s">
        <v>821</v>
      </c>
      <c r="B59">
        <v>400275409</v>
      </c>
      <c r="C59" t="s">
        <v>822</v>
      </c>
      <c r="D59" t="s">
        <v>823</v>
      </c>
      <c r="E59" t="s">
        <v>633</v>
      </c>
    </row>
    <row r="60" spans="1:5" x14ac:dyDescent="0.25">
      <c r="A60">
        <v>400292466</v>
      </c>
      <c r="B60">
        <v>400275509</v>
      </c>
      <c r="C60" t="s">
        <v>474</v>
      </c>
      <c r="D60" t="s">
        <v>824</v>
      </c>
      <c r="E60" t="s">
        <v>473</v>
      </c>
    </row>
    <row r="61" spans="1:5" x14ac:dyDescent="0.25">
      <c r="A61">
        <v>405295603</v>
      </c>
      <c r="B61">
        <v>400275509</v>
      </c>
      <c r="C61" t="s">
        <v>474</v>
      </c>
      <c r="D61" t="s">
        <v>473</v>
      </c>
      <c r="E61" t="s">
        <v>730</v>
      </c>
    </row>
    <row r="62" spans="1:5" x14ac:dyDescent="0.25">
      <c r="A62">
        <v>411170084</v>
      </c>
      <c r="B62">
        <v>400275509</v>
      </c>
      <c r="C62" t="s">
        <v>474</v>
      </c>
      <c r="D62" t="s">
        <v>825</v>
      </c>
      <c r="E62" t="s">
        <v>473</v>
      </c>
    </row>
    <row r="63" spans="1:5" x14ac:dyDescent="0.25">
      <c r="A63">
        <v>417221868</v>
      </c>
      <c r="B63">
        <v>400275509</v>
      </c>
      <c r="C63" t="s">
        <v>474</v>
      </c>
      <c r="D63" t="s">
        <v>826</v>
      </c>
      <c r="E63" t="s">
        <v>473</v>
      </c>
    </row>
    <row r="64" spans="1:5" x14ac:dyDescent="0.25">
      <c r="A64" t="s">
        <v>827</v>
      </c>
      <c r="B64">
        <v>400275509</v>
      </c>
      <c r="C64" t="s">
        <v>828</v>
      </c>
      <c r="D64" t="s">
        <v>829</v>
      </c>
      <c r="E64" t="s">
        <v>473</v>
      </c>
    </row>
    <row r="65" spans="1:5" x14ac:dyDescent="0.25">
      <c r="A65" t="s">
        <v>830</v>
      </c>
      <c r="B65">
        <v>400275509</v>
      </c>
      <c r="C65" t="s">
        <v>828</v>
      </c>
      <c r="D65" t="s">
        <v>831</v>
      </c>
      <c r="E65" t="s">
        <v>473</v>
      </c>
    </row>
    <row r="66" spans="1:5" x14ac:dyDescent="0.25">
      <c r="A66">
        <v>400264006</v>
      </c>
      <c r="B66">
        <v>400275524</v>
      </c>
      <c r="C66" t="s">
        <v>832</v>
      </c>
      <c r="D66" t="s">
        <v>833</v>
      </c>
      <c r="E66" t="s">
        <v>621</v>
      </c>
    </row>
    <row r="67" spans="1:5" x14ac:dyDescent="0.25">
      <c r="A67">
        <v>400658325</v>
      </c>
      <c r="B67">
        <v>400275524</v>
      </c>
      <c r="C67" t="s">
        <v>622</v>
      </c>
      <c r="D67" t="s">
        <v>621</v>
      </c>
      <c r="E67" t="s">
        <v>730</v>
      </c>
    </row>
    <row r="68" spans="1:5" x14ac:dyDescent="0.25">
      <c r="A68">
        <v>411170097</v>
      </c>
      <c r="B68">
        <v>400275524</v>
      </c>
      <c r="C68" t="s">
        <v>832</v>
      </c>
      <c r="D68" t="s">
        <v>837</v>
      </c>
      <c r="E68" t="s">
        <v>621</v>
      </c>
    </row>
    <row r="69" spans="1:5" x14ac:dyDescent="0.25">
      <c r="A69" t="s">
        <v>838</v>
      </c>
      <c r="B69">
        <v>400275524</v>
      </c>
      <c r="C69" t="s">
        <v>835</v>
      </c>
      <c r="D69" t="s">
        <v>839</v>
      </c>
      <c r="E69" t="s">
        <v>621</v>
      </c>
    </row>
    <row r="70" spans="1:5" x14ac:dyDescent="0.25">
      <c r="A70" t="s">
        <v>834</v>
      </c>
      <c r="B70">
        <v>400275524</v>
      </c>
      <c r="C70" t="s">
        <v>835</v>
      </c>
      <c r="D70" t="s">
        <v>836</v>
      </c>
      <c r="E70" t="s">
        <v>621</v>
      </c>
    </row>
    <row r="71" spans="1:5" x14ac:dyDescent="0.25">
      <c r="A71">
        <v>400271675</v>
      </c>
      <c r="B71">
        <v>400275589</v>
      </c>
      <c r="C71" t="s">
        <v>840</v>
      </c>
      <c r="D71" t="s">
        <v>841</v>
      </c>
      <c r="E71" t="s">
        <v>660</v>
      </c>
    </row>
    <row r="72" spans="1:5" x14ac:dyDescent="0.25">
      <c r="A72">
        <v>401308902</v>
      </c>
      <c r="B72">
        <v>400275589</v>
      </c>
      <c r="C72" t="s">
        <v>661</v>
      </c>
      <c r="D72" t="s">
        <v>660</v>
      </c>
      <c r="E72" t="s">
        <v>730</v>
      </c>
    </row>
    <row r="73" spans="1:5" x14ac:dyDescent="0.25">
      <c r="A73">
        <v>411170123</v>
      </c>
      <c r="B73">
        <v>400275589</v>
      </c>
      <c r="C73" t="s">
        <v>840</v>
      </c>
      <c r="D73" t="s">
        <v>847</v>
      </c>
      <c r="E73" t="s">
        <v>660</v>
      </c>
    </row>
    <row r="74" spans="1:5" x14ac:dyDescent="0.25">
      <c r="A74">
        <v>414507964</v>
      </c>
      <c r="B74">
        <v>400275589</v>
      </c>
      <c r="C74" t="s">
        <v>842</v>
      </c>
      <c r="D74" t="s">
        <v>843</v>
      </c>
      <c r="E74" t="s">
        <v>660</v>
      </c>
    </row>
    <row r="75" spans="1:5" x14ac:dyDescent="0.25">
      <c r="A75" t="s">
        <v>844</v>
      </c>
      <c r="B75">
        <v>400275589</v>
      </c>
      <c r="C75" t="s">
        <v>845</v>
      </c>
      <c r="D75" t="s">
        <v>846</v>
      </c>
      <c r="E75" t="s">
        <v>660</v>
      </c>
    </row>
    <row r="76" spans="1:5" x14ac:dyDescent="0.25">
      <c r="A76" t="s">
        <v>848</v>
      </c>
      <c r="B76">
        <v>400275589</v>
      </c>
      <c r="C76" t="s">
        <v>845</v>
      </c>
      <c r="D76" t="s">
        <v>849</v>
      </c>
      <c r="E76" t="s">
        <v>660</v>
      </c>
    </row>
    <row r="77" spans="1:5" x14ac:dyDescent="0.25">
      <c r="A77">
        <v>400276784</v>
      </c>
      <c r="B77">
        <v>400275598</v>
      </c>
      <c r="C77" t="s">
        <v>850</v>
      </c>
      <c r="D77" t="s">
        <v>851</v>
      </c>
      <c r="E77" t="s">
        <v>623</v>
      </c>
    </row>
    <row r="78" spans="1:5" x14ac:dyDescent="0.25">
      <c r="A78">
        <v>400658331</v>
      </c>
      <c r="B78">
        <v>400275598</v>
      </c>
      <c r="C78" t="s">
        <v>624</v>
      </c>
      <c r="D78" t="s">
        <v>623</v>
      </c>
      <c r="E78" t="s">
        <v>730</v>
      </c>
    </row>
    <row r="79" spans="1:5" x14ac:dyDescent="0.25">
      <c r="A79">
        <v>411170124</v>
      </c>
      <c r="B79">
        <v>400275598</v>
      </c>
      <c r="C79" t="s">
        <v>850</v>
      </c>
      <c r="D79" t="s">
        <v>855</v>
      </c>
      <c r="E79" t="s">
        <v>623</v>
      </c>
    </row>
    <row r="80" spans="1:5" x14ac:dyDescent="0.25">
      <c r="A80" t="s">
        <v>852</v>
      </c>
      <c r="B80">
        <v>400275598</v>
      </c>
      <c r="C80" t="s">
        <v>853</v>
      </c>
      <c r="D80" t="s">
        <v>854</v>
      </c>
      <c r="E80" t="s">
        <v>623</v>
      </c>
    </row>
    <row r="81" spans="1:5" x14ac:dyDescent="0.25">
      <c r="A81">
        <v>400027536</v>
      </c>
      <c r="B81">
        <v>400275755</v>
      </c>
      <c r="C81" t="s">
        <v>862</v>
      </c>
      <c r="D81" t="s">
        <v>863</v>
      </c>
      <c r="E81" t="s">
        <v>591</v>
      </c>
    </row>
    <row r="82" spans="1:5" x14ac:dyDescent="0.25">
      <c r="A82">
        <v>400264010</v>
      </c>
      <c r="B82">
        <v>400275755</v>
      </c>
      <c r="C82" t="s">
        <v>856</v>
      </c>
      <c r="D82" t="s">
        <v>857</v>
      </c>
      <c r="E82" t="s">
        <v>591</v>
      </c>
    </row>
    <row r="83" spans="1:5" x14ac:dyDescent="0.25">
      <c r="A83">
        <v>400658330</v>
      </c>
      <c r="B83">
        <v>400275755</v>
      </c>
      <c r="C83" t="s">
        <v>592</v>
      </c>
      <c r="D83" t="s">
        <v>591</v>
      </c>
      <c r="E83" t="s">
        <v>730</v>
      </c>
    </row>
    <row r="84" spans="1:5" x14ac:dyDescent="0.25">
      <c r="A84">
        <v>411170118</v>
      </c>
      <c r="B84">
        <v>400275755</v>
      </c>
      <c r="C84" t="s">
        <v>856</v>
      </c>
      <c r="D84" t="s">
        <v>858</v>
      </c>
      <c r="E84" t="s">
        <v>591</v>
      </c>
    </row>
    <row r="85" spans="1:5" x14ac:dyDescent="0.25">
      <c r="A85" t="s">
        <v>859</v>
      </c>
      <c r="B85">
        <v>400275755</v>
      </c>
      <c r="C85" t="s">
        <v>860</v>
      </c>
      <c r="D85" t="s">
        <v>861</v>
      </c>
      <c r="E85" t="s">
        <v>591</v>
      </c>
    </row>
    <row r="86" spans="1:5" x14ac:dyDescent="0.25">
      <c r="A86">
        <v>400271666</v>
      </c>
      <c r="B86">
        <v>400275761</v>
      </c>
      <c r="C86" t="s">
        <v>659</v>
      </c>
      <c r="D86" t="s">
        <v>864</v>
      </c>
      <c r="E86" t="s">
        <v>658</v>
      </c>
    </row>
    <row r="87" spans="1:5" x14ac:dyDescent="0.25">
      <c r="A87">
        <v>401246030</v>
      </c>
      <c r="B87">
        <v>400275761</v>
      </c>
      <c r="C87" t="s">
        <v>659</v>
      </c>
      <c r="D87" t="s">
        <v>658</v>
      </c>
      <c r="E87" t="s">
        <v>730</v>
      </c>
    </row>
    <row r="88" spans="1:5" x14ac:dyDescent="0.25">
      <c r="A88">
        <v>411170119</v>
      </c>
      <c r="B88">
        <v>400275761</v>
      </c>
      <c r="C88" t="s">
        <v>659</v>
      </c>
      <c r="D88" t="s">
        <v>868</v>
      </c>
      <c r="E88" t="s">
        <v>658</v>
      </c>
    </row>
    <row r="89" spans="1:5" x14ac:dyDescent="0.25">
      <c r="A89" t="s">
        <v>865</v>
      </c>
      <c r="B89">
        <v>400275761</v>
      </c>
      <c r="C89" t="s">
        <v>866</v>
      </c>
      <c r="D89" t="s">
        <v>867</v>
      </c>
      <c r="E89" t="s">
        <v>658</v>
      </c>
    </row>
    <row r="90" spans="1:5" x14ac:dyDescent="0.25">
      <c r="A90">
        <v>400271684</v>
      </c>
      <c r="B90">
        <v>400275764</v>
      </c>
      <c r="C90" t="s">
        <v>626</v>
      </c>
      <c r="D90" t="s">
        <v>869</v>
      </c>
      <c r="E90" t="s">
        <v>625</v>
      </c>
    </row>
    <row r="91" spans="1:5" x14ac:dyDescent="0.25">
      <c r="A91">
        <v>401193607</v>
      </c>
      <c r="B91">
        <v>400275764</v>
      </c>
      <c r="C91" t="s">
        <v>626</v>
      </c>
      <c r="D91" t="s">
        <v>625</v>
      </c>
      <c r="E91" t="s">
        <v>730</v>
      </c>
    </row>
    <row r="92" spans="1:5" x14ac:dyDescent="0.25">
      <c r="A92">
        <v>411170127</v>
      </c>
      <c r="B92">
        <v>400275764</v>
      </c>
      <c r="C92" t="s">
        <v>626</v>
      </c>
      <c r="D92" t="s">
        <v>876</v>
      </c>
      <c r="E92" t="s">
        <v>625</v>
      </c>
    </row>
    <row r="93" spans="1:5" x14ac:dyDescent="0.25">
      <c r="A93">
        <v>417221878</v>
      </c>
      <c r="B93">
        <v>400275764</v>
      </c>
      <c r="C93" t="s">
        <v>626</v>
      </c>
      <c r="D93" t="s">
        <v>870</v>
      </c>
      <c r="E93" t="s">
        <v>625</v>
      </c>
    </row>
    <row r="94" spans="1:5" x14ac:dyDescent="0.25">
      <c r="A94" t="s">
        <v>877</v>
      </c>
      <c r="B94">
        <v>400275764</v>
      </c>
      <c r="C94" t="s">
        <v>878</v>
      </c>
      <c r="D94" t="s">
        <v>879</v>
      </c>
      <c r="E94" t="s">
        <v>625</v>
      </c>
    </row>
    <row r="95" spans="1:5" x14ac:dyDescent="0.25">
      <c r="A95" t="s">
        <v>871</v>
      </c>
      <c r="B95">
        <v>400275764</v>
      </c>
      <c r="C95" t="s">
        <v>872</v>
      </c>
      <c r="D95" t="s">
        <v>873</v>
      </c>
      <c r="E95" t="s">
        <v>625</v>
      </c>
    </row>
    <row r="96" spans="1:5" x14ac:dyDescent="0.25">
      <c r="A96" t="s">
        <v>874</v>
      </c>
      <c r="B96">
        <v>400275764</v>
      </c>
      <c r="C96" t="s">
        <v>872</v>
      </c>
      <c r="D96" t="s">
        <v>875</v>
      </c>
      <c r="E96" t="s">
        <v>625</v>
      </c>
    </row>
    <row r="97" spans="1:5" x14ac:dyDescent="0.25">
      <c r="A97">
        <v>400271693</v>
      </c>
      <c r="B97">
        <v>400275765</v>
      </c>
      <c r="C97" t="s">
        <v>880</v>
      </c>
      <c r="D97" t="s">
        <v>881</v>
      </c>
      <c r="E97" t="s">
        <v>627</v>
      </c>
    </row>
    <row r="98" spans="1:5" x14ac:dyDescent="0.25">
      <c r="A98">
        <v>401193608</v>
      </c>
      <c r="B98">
        <v>400275765</v>
      </c>
      <c r="C98" t="s">
        <v>880</v>
      </c>
      <c r="D98" t="s">
        <v>627</v>
      </c>
      <c r="E98" t="s">
        <v>730</v>
      </c>
    </row>
    <row r="99" spans="1:5" x14ac:dyDescent="0.25">
      <c r="A99">
        <v>411170135</v>
      </c>
      <c r="B99">
        <v>400275765</v>
      </c>
      <c r="C99" t="s">
        <v>880</v>
      </c>
      <c r="D99" t="s">
        <v>887</v>
      </c>
      <c r="E99" t="s">
        <v>627</v>
      </c>
    </row>
    <row r="100" spans="1:5" x14ac:dyDescent="0.25">
      <c r="A100">
        <v>414865983</v>
      </c>
      <c r="B100">
        <v>400275765</v>
      </c>
      <c r="C100" t="s">
        <v>882</v>
      </c>
      <c r="D100" t="s">
        <v>883</v>
      </c>
      <c r="E100" t="s">
        <v>627</v>
      </c>
    </row>
    <row r="101" spans="1:5" x14ac:dyDescent="0.25">
      <c r="A101" t="s">
        <v>884</v>
      </c>
      <c r="B101">
        <v>400275765</v>
      </c>
      <c r="C101" t="s">
        <v>885</v>
      </c>
      <c r="D101" t="s">
        <v>886</v>
      </c>
      <c r="E101" t="s">
        <v>627</v>
      </c>
    </row>
    <row r="102" spans="1:5" x14ac:dyDescent="0.25">
      <c r="A102">
        <v>400271699</v>
      </c>
      <c r="B102">
        <v>400275791</v>
      </c>
      <c r="C102" t="s">
        <v>888</v>
      </c>
      <c r="D102" t="s">
        <v>889</v>
      </c>
      <c r="E102" t="s">
        <v>629</v>
      </c>
    </row>
    <row r="103" spans="1:5" x14ac:dyDescent="0.25">
      <c r="A103">
        <v>401554157</v>
      </c>
      <c r="B103">
        <v>400275791</v>
      </c>
      <c r="C103" t="s">
        <v>888</v>
      </c>
      <c r="D103" t="s">
        <v>629</v>
      </c>
      <c r="E103" t="s">
        <v>730</v>
      </c>
    </row>
    <row r="104" spans="1:5" x14ac:dyDescent="0.25">
      <c r="A104" t="s">
        <v>890</v>
      </c>
      <c r="B104">
        <v>400275791</v>
      </c>
      <c r="C104" t="s">
        <v>891</v>
      </c>
      <c r="D104" t="s">
        <v>892</v>
      </c>
      <c r="E104" t="s">
        <v>629</v>
      </c>
    </row>
    <row r="105" spans="1:5" x14ac:dyDescent="0.25">
      <c r="A105">
        <v>400292418</v>
      </c>
      <c r="B105">
        <v>400294083</v>
      </c>
      <c r="C105" t="s">
        <v>663</v>
      </c>
      <c r="D105" t="s">
        <v>893</v>
      </c>
      <c r="E105" t="s">
        <v>662</v>
      </c>
    </row>
    <row r="106" spans="1:5" x14ac:dyDescent="0.25">
      <c r="A106">
        <v>401281030</v>
      </c>
      <c r="B106">
        <v>400294083</v>
      </c>
      <c r="C106" t="s">
        <v>663</v>
      </c>
      <c r="D106" t="s">
        <v>662</v>
      </c>
      <c r="E106" t="s">
        <v>730</v>
      </c>
    </row>
    <row r="107" spans="1:5" x14ac:dyDescent="0.25">
      <c r="A107">
        <v>411170057</v>
      </c>
      <c r="B107">
        <v>400294083</v>
      </c>
      <c r="C107" t="s">
        <v>663</v>
      </c>
      <c r="D107" t="s">
        <v>897</v>
      </c>
      <c r="E107" t="s">
        <v>662</v>
      </c>
    </row>
    <row r="108" spans="1:5" x14ac:dyDescent="0.25">
      <c r="A108" t="s">
        <v>894</v>
      </c>
      <c r="B108">
        <v>400294083</v>
      </c>
      <c r="C108" t="s">
        <v>895</v>
      </c>
      <c r="D108" t="s">
        <v>896</v>
      </c>
      <c r="E108" t="s">
        <v>662</v>
      </c>
    </row>
    <row r="109" spans="1:5" x14ac:dyDescent="0.25">
      <c r="A109">
        <v>400292486</v>
      </c>
      <c r="B109">
        <v>400294252</v>
      </c>
      <c r="C109" t="s">
        <v>567</v>
      </c>
      <c r="D109" t="s">
        <v>898</v>
      </c>
      <c r="E109" t="s">
        <v>566</v>
      </c>
    </row>
    <row r="110" spans="1:5" x14ac:dyDescent="0.25">
      <c r="A110">
        <v>401679598</v>
      </c>
      <c r="B110">
        <v>400294252</v>
      </c>
      <c r="C110" t="s">
        <v>567</v>
      </c>
      <c r="D110" t="s">
        <v>566</v>
      </c>
      <c r="E110" t="s">
        <v>730</v>
      </c>
    </row>
    <row r="111" spans="1:5" x14ac:dyDescent="0.25">
      <c r="A111" t="s">
        <v>899</v>
      </c>
      <c r="B111">
        <v>400294252</v>
      </c>
      <c r="C111" t="s">
        <v>900</v>
      </c>
      <c r="D111" t="s">
        <v>901</v>
      </c>
      <c r="E111" t="s">
        <v>566</v>
      </c>
    </row>
    <row r="112" spans="1:5" x14ac:dyDescent="0.25">
      <c r="A112">
        <v>400326162</v>
      </c>
      <c r="B112">
        <v>400326574</v>
      </c>
      <c r="C112" t="s">
        <v>902</v>
      </c>
      <c r="D112" t="s">
        <v>903</v>
      </c>
      <c r="E112" t="s">
        <v>551</v>
      </c>
    </row>
    <row r="113" spans="1:5" x14ac:dyDescent="0.25">
      <c r="A113">
        <v>400536577</v>
      </c>
      <c r="B113">
        <v>400326574</v>
      </c>
      <c r="C113" t="s">
        <v>902</v>
      </c>
      <c r="D113" t="s">
        <v>551</v>
      </c>
      <c r="E113" t="s">
        <v>730</v>
      </c>
    </row>
    <row r="114" spans="1:5" x14ac:dyDescent="0.25">
      <c r="A114">
        <v>416022258</v>
      </c>
      <c r="B114">
        <v>400326574</v>
      </c>
      <c r="C114" t="s">
        <v>902</v>
      </c>
      <c r="D114" t="s">
        <v>907</v>
      </c>
      <c r="E114" t="s">
        <v>551</v>
      </c>
    </row>
    <row r="115" spans="1:5" x14ac:dyDescent="0.25">
      <c r="A115">
        <v>417103903</v>
      </c>
      <c r="B115">
        <v>400326574</v>
      </c>
      <c r="C115" t="s">
        <v>902</v>
      </c>
      <c r="D115" t="s">
        <v>908</v>
      </c>
      <c r="E115" t="s">
        <v>551</v>
      </c>
    </row>
    <row r="116" spans="1:5" x14ac:dyDescent="0.25">
      <c r="A116">
        <v>417350134</v>
      </c>
      <c r="B116">
        <v>400326574</v>
      </c>
      <c r="C116" t="s">
        <v>902</v>
      </c>
      <c r="D116" t="s">
        <v>909</v>
      </c>
      <c r="E116" t="s">
        <v>551</v>
      </c>
    </row>
    <row r="117" spans="1:5" x14ac:dyDescent="0.25">
      <c r="A117" t="s">
        <v>910</v>
      </c>
      <c r="B117">
        <v>400326574</v>
      </c>
      <c r="C117" t="s">
        <v>911</v>
      </c>
      <c r="D117" t="s">
        <v>912</v>
      </c>
      <c r="E117" t="s">
        <v>551</v>
      </c>
    </row>
    <row r="118" spans="1:5" x14ac:dyDescent="0.25">
      <c r="A118" t="s">
        <v>904</v>
      </c>
      <c r="B118">
        <v>400326574</v>
      </c>
      <c r="C118" t="s">
        <v>905</v>
      </c>
      <c r="D118" t="s">
        <v>906</v>
      </c>
      <c r="E118" t="s">
        <v>551</v>
      </c>
    </row>
    <row r="119" spans="1:5" x14ac:dyDescent="0.25">
      <c r="A119">
        <v>400270501</v>
      </c>
      <c r="B119">
        <v>400326577</v>
      </c>
      <c r="C119" t="s">
        <v>913</v>
      </c>
      <c r="D119" t="s">
        <v>914</v>
      </c>
      <c r="E119" t="s">
        <v>547</v>
      </c>
    </row>
    <row r="120" spans="1:5" x14ac:dyDescent="0.25">
      <c r="A120">
        <v>400302724</v>
      </c>
      <c r="B120">
        <v>400326577</v>
      </c>
      <c r="C120" t="s">
        <v>913</v>
      </c>
      <c r="D120" t="s">
        <v>916</v>
      </c>
      <c r="E120" t="s">
        <v>547</v>
      </c>
    </row>
    <row r="121" spans="1:5" x14ac:dyDescent="0.25">
      <c r="A121">
        <v>400515201</v>
      </c>
      <c r="B121">
        <v>400326577</v>
      </c>
      <c r="C121" t="s">
        <v>548</v>
      </c>
      <c r="D121" t="s">
        <v>917</v>
      </c>
      <c r="E121" t="s">
        <v>547</v>
      </c>
    </row>
    <row r="122" spans="1:5" x14ac:dyDescent="0.25">
      <c r="A122">
        <v>400604072</v>
      </c>
      <c r="B122">
        <v>400326577</v>
      </c>
      <c r="C122" t="s">
        <v>918</v>
      </c>
      <c r="D122" t="s">
        <v>915</v>
      </c>
      <c r="E122" t="s">
        <v>547</v>
      </c>
    </row>
    <row r="123" spans="1:5" x14ac:dyDescent="0.25">
      <c r="A123">
        <v>400984937</v>
      </c>
      <c r="B123">
        <v>400326577</v>
      </c>
      <c r="C123" t="s">
        <v>548</v>
      </c>
      <c r="D123" t="s">
        <v>547</v>
      </c>
      <c r="E123" t="s">
        <v>730</v>
      </c>
    </row>
    <row r="124" spans="1:5" x14ac:dyDescent="0.25">
      <c r="A124">
        <v>417103904</v>
      </c>
      <c r="B124">
        <v>400326577</v>
      </c>
      <c r="C124" t="s">
        <v>548</v>
      </c>
      <c r="D124" t="s">
        <v>922</v>
      </c>
      <c r="E124" t="s">
        <v>547</v>
      </c>
    </row>
    <row r="125" spans="1:5" x14ac:dyDescent="0.25">
      <c r="A125">
        <v>417350115</v>
      </c>
      <c r="B125">
        <v>400326577</v>
      </c>
      <c r="C125" t="s">
        <v>548</v>
      </c>
      <c r="D125" t="s">
        <v>923</v>
      </c>
      <c r="E125" t="s">
        <v>547</v>
      </c>
    </row>
    <row r="126" spans="1:5" x14ac:dyDescent="0.25">
      <c r="A126">
        <v>417350135</v>
      </c>
      <c r="B126">
        <v>400326577</v>
      </c>
      <c r="C126" t="s">
        <v>548</v>
      </c>
      <c r="D126" t="s">
        <v>924</v>
      </c>
      <c r="E126" t="s">
        <v>547</v>
      </c>
    </row>
    <row r="127" spans="1:5" x14ac:dyDescent="0.25">
      <c r="A127">
        <v>417508737</v>
      </c>
      <c r="B127">
        <v>400326577</v>
      </c>
      <c r="C127" t="s">
        <v>548</v>
      </c>
      <c r="D127" t="s">
        <v>925</v>
      </c>
      <c r="E127" t="s">
        <v>547</v>
      </c>
    </row>
    <row r="128" spans="1:5" x14ac:dyDescent="0.25">
      <c r="A128" t="s">
        <v>919</v>
      </c>
      <c r="B128">
        <v>400326577</v>
      </c>
      <c r="C128" t="s">
        <v>920</v>
      </c>
      <c r="D128" t="s">
        <v>921</v>
      </c>
      <c r="E128" t="s">
        <v>547</v>
      </c>
    </row>
    <row r="129" spans="1:5" x14ac:dyDescent="0.25">
      <c r="A129">
        <v>400326164</v>
      </c>
      <c r="B129">
        <v>400326579</v>
      </c>
      <c r="C129" t="s">
        <v>926</v>
      </c>
      <c r="D129" t="s">
        <v>927</v>
      </c>
      <c r="E129" t="s">
        <v>619</v>
      </c>
    </row>
    <row r="130" spans="1:5" x14ac:dyDescent="0.25">
      <c r="A130">
        <v>400538374</v>
      </c>
      <c r="B130">
        <v>400326579</v>
      </c>
      <c r="C130" t="s">
        <v>926</v>
      </c>
      <c r="D130" t="s">
        <v>928</v>
      </c>
      <c r="E130" t="s">
        <v>619</v>
      </c>
    </row>
    <row r="131" spans="1:5" x14ac:dyDescent="0.25">
      <c r="A131">
        <v>417983113</v>
      </c>
      <c r="B131">
        <v>400326579</v>
      </c>
      <c r="C131" t="s">
        <v>926</v>
      </c>
      <c r="D131" t="s">
        <v>619</v>
      </c>
      <c r="E131" t="s">
        <v>730</v>
      </c>
    </row>
    <row r="132" spans="1:5" x14ac:dyDescent="0.25">
      <c r="A132" t="s">
        <v>929</v>
      </c>
      <c r="B132">
        <v>400326579</v>
      </c>
      <c r="C132" t="s">
        <v>926</v>
      </c>
      <c r="D132" t="s">
        <v>930</v>
      </c>
      <c r="E132" t="s">
        <v>619</v>
      </c>
    </row>
    <row r="133" spans="1:5" x14ac:dyDescent="0.25">
      <c r="A133">
        <v>400097800</v>
      </c>
      <c r="B133">
        <v>400326580</v>
      </c>
      <c r="C133" t="s">
        <v>940</v>
      </c>
      <c r="D133" t="s">
        <v>941</v>
      </c>
      <c r="E133" t="s">
        <v>646</v>
      </c>
    </row>
    <row r="134" spans="1:5" x14ac:dyDescent="0.25">
      <c r="A134">
        <v>400270706</v>
      </c>
      <c r="B134">
        <v>400326580</v>
      </c>
      <c r="C134" t="s">
        <v>931</v>
      </c>
      <c r="D134" t="s">
        <v>932</v>
      </c>
      <c r="E134" t="s">
        <v>646</v>
      </c>
    </row>
    <row r="135" spans="1:5" x14ac:dyDescent="0.25">
      <c r="A135">
        <v>400302723</v>
      </c>
      <c r="B135">
        <v>400326580</v>
      </c>
      <c r="C135" t="s">
        <v>931</v>
      </c>
      <c r="D135" t="s">
        <v>934</v>
      </c>
      <c r="E135" t="s">
        <v>646</v>
      </c>
    </row>
    <row r="136" spans="1:5" x14ac:dyDescent="0.25">
      <c r="A136">
        <v>400538373</v>
      </c>
      <c r="B136">
        <v>400326580</v>
      </c>
      <c r="C136" t="s">
        <v>931</v>
      </c>
      <c r="D136" t="s">
        <v>935</v>
      </c>
      <c r="E136" t="s">
        <v>646</v>
      </c>
    </row>
    <row r="137" spans="1:5" x14ac:dyDescent="0.25">
      <c r="A137">
        <v>400630378</v>
      </c>
      <c r="B137">
        <v>400326580</v>
      </c>
      <c r="C137" t="s">
        <v>931</v>
      </c>
      <c r="D137" t="s">
        <v>933</v>
      </c>
      <c r="E137" t="s">
        <v>646</v>
      </c>
    </row>
    <row r="138" spans="1:5" x14ac:dyDescent="0.25">
      <c r="A138">
        <v>401246012</v>
      </c>
      <c r="B138">
        <v>400326580</v>
      </c>
      <c r="C138" t="s">
        <v>931</v>
      </c>
      <c r="D138" t="s">
        <v>646</v>
      </c>
      <c r="E138" t="s">
        <v>730</v>
      </c>
    </row>
    <row r="139" spans="1:5" x14ac:dyDescent="0.25">
      <c r="A139">
        <v>404795320</v>
      </c>
      <c r="B139">
        <v>400326580</v>
      </c>
      <c r="C139" t="s">
        <v>931</v>
      </c>
      <c r="D139" t="s">
        <v>942</v>
      </c>
      <c r="E139" t="s">
        <v>646</v>
      </c>
    </row>
    <row r="140" spans="1:5" x14ac:dyDescent="0.25">
      <c r="A140">
        <v>414572347</v>
      </c>
      <c r="B140">
        <v>400326580</v>
      </c>
      <c r="C140" t="s">
        <v>931</v>
      </c>
      <c r="D140" t="s">
        <v>936</v>
      </c>
      <c r="E140" t="s">
        <v>646</v>
      </c>
    </row>
    <row r="141" spans="1:5" x14ac:dyDescent="0.25">
      <c r="A141">
        <v>417103905</v>
      </c>
      <c r="B141">
        <v>400326580</v>
      </c>
      <c r="C141" t="s">
        <v>931</v>
      </c>
      <c r="D141" t="s">
        <v>943</v>
      </c>
      <c r="E141" t="s">
        <v>646</v>
      </c>
    </row>
    <row r="142" spans="1:5" x14ac:dyDescent="0.25">
      <c r="A142">
        <v>417350116</v>
      </c>
      <c r="B142">
        <v>400326580</v>
      </c>
      <c r="C142" t="s">
        <v>931</v>
      </c>
      <c r="D142" t="s">
        <v>944</v>
      </c>
      <c r="E142" t="s">
        <v>646</v>
      </c>
    </row>
    <row r="143" spans="1:5" x14ac:dyDescent="0.25">
      <c r="A143">
        <v>417350136</v>
      </c>
      <c r="B143">
        <v>400326580</v>
      </c>
      <c r="C143" t="s">
        <v>931</v>
      </c>
      <c r="D143" t="s">
        <v>945</v>
      </c>
      <c r="E143" t="s">
        <v>646</v>
      </c>
    </row>
    <row r="144" spans="1:5" x14ac:dyDescent="0.25">
      <c r="A144" t="s">
        <v>937</v>
      </c>
      <c r="B144">
        <v>400326580</v>
      </c>
      <c r="C144" t="s">
        <v>938</v>
      </c>
      <c r="D144" t="s">
        <v>939</v>
      </c>
      <c r="E144" t="s">
        <v>646</v>
      </c>
    </row>
    <row r="145" spans="1:5" x14ac:dyDescent="0.25">
      <c r="A145">
        <v>400048692</v>
      </c>
      <c r="B145">
        <v>400326581</v>
      </c>
      <c r="C145" t="s">
        <v>946</v>
      </c>
      <c r="D145" t="s">
        <v>947</v>
      </c>
      <c r="E145" t="s">
        <v>372</v>
      </c>
    </row>
    <row r="146" spans="1:5" x14ac:dyDescent="0.25">
      <c r="A146">
        <v>400302725</v>
      </c>
      <c r="B146">
        <v>400326581</v>
      </c>
      <c r="C146" t="s">
        <v>949</v>
      </c>
      <c r="D146" t="s">
        <v>950</v>
      </c>
      <c r="E146" t="s">
        <v>372</v>
      </c>
    </row>
    <row r="147" spans="1:5" x14ac:dyDescent="0.25">
      <c r="A147">
        <v>400536575</v>
      </c>
      <c r="B147">
        <v>400326581</v>
      </c>
      <c r="C147" t="s">
        <v>949</v>
      </c>
      <c r="D147" t="s">
        <v>951</v>
      </c>
      <c r="E147" t="s">
        <v>372</v>
      </c>
    </row>
    <row r="148" spans="1:5" x14ac:dyDescent="0.25">
      <c r="A148">
        <v>400603894</v>
      </c>
      <c r="B148">
        <v>400326581</v>
      </c>
      <c r="C148" t="s">
        <v>949</v>
      </c>
      <c r="D148" t="s">
        <v>952</v>
      </c>
      <c r="E148" t="s">
        <v>372</v>
      </c>
    </row>
    <row r="149" spans="1:5" x14ac:dyDescent="0.25">
      <c r="A149">
        <v>401047158</v>
      </c>
      <c r="B149">
        <v>400326581</v>
      </c>
      <c r="C149" t="s">
        <v>949</v>
      </c>
      <c r="D149" t="s">
        <v>948</v>
      </c>
      <c r="E149" t="s">
        <v>372</v>
      </c>
    </row>
    <row r="150" spans="1:5" x14ac:dyDescent="0.25">
      <c r="A150">
        <v>415646833</v>
      </c>
      <c r="B150">
        <v>400326581</v>
      </c>
      <c r="C150" t="s">
        <v>949</v>
      </c>
      <c r="D150" t="s">
        <v>953</v>
      </c>
      <c r="E150" t="s">
        <v>372</v>
      </c>
    </row>
    <row r="151" spans="1:5" x14ac:dyDescent="0.25">
      <c r="A151">
        <v>415727389</v>
      </c>
      <c r="B151">
        <v>400326581</v>
      </c>
      <c r="C151" t="s">
        <v>717</v>
      </c>
      <c r="D151" t="s">
        <v>954</v>
      </c>
      <c r="E151" t="s">
        <v>372</v>
      </c>
    </row>
    <row r="152" spans="1:5" x14ac:dyDescent="0.25">
      <c r="A152">
        <v>416807313</v>
      </c>
      <c r="B152">
        <v>400326581</v>
      </c>
      <c r="C152" t="s">
        <v>949</v>
      </c>
      <c r="D152" t="s">
        <v>955</v>
      </c>
      <c r="E152" t="s">
        <v>372</v>
      </c>
    </row>
    <row r="153" spans="1:5" x14ac:dyDescent="0.25">
      <c r="A153">
        <v>417049490</v>
      </c>
      <c r="B153">
        <v>400326581</v>
      </c>
      <c r="C153" t="s">
        <v>949</v>
      </c>
      <c r="D153" t="s">
        <v>372</v>
      </c>
      <c r="E153" t="s">
        <v>730</v>
      </c>
    </row>
    <row r="154" spans="1:5" x14ac:dyDescent="0.25">
      <c r="A154">
        <v>417103906</v>
      </c>
      <c r="B154">
        <v>400326581</v>
      </c>
      <c r="C154" t="s">
        <v>949</v>
      </c>
      <c r="D154" t="s">
        <v>956</v>
      </c>
      <c r="E154" t="s">
        <v>372</v>
      </c>
    </row>
    <row r="155" spans="1:5" x14ac:dyDescent="0.25">
      <c r="A155">
        <v>417983105</v>
      </c>
      <c r="B155">
        <v>400326581</v>
      </c>
      <c r="C155" t="s">
        <v>949</v>
      </c>
      <c r="D155" t="s">
        <v>957</v>
      </c>
      <c r="E155" t="s">
        <v>372</v>
      </c>
    </row>
    <row r="156" spans="1:5" x14ac:dyDescent="0.25">
      <c r="A156">
        <v>400326298</v>
      </c>
      <c r="B156">
        <v>400326624</v>
      </c>
      <c r="C156" t="s">
        <v>573</v>
      </c>
      <c r="D156" t="s">
        <v>958</v>
      </c>
      <c r="E156" t="s">
        <v>572</v>
      </c>
    </row>
    <row r="157" spans="1:5" x14ac:dyDescent="0.25">
      <c r="A157">
        <v>400538389</v>
      </c>
      <c r="B157">
        <v>400326624</v>
      </c>
      <c r="C157" t="s">
        <v>573</v>
      </c>
      <c r="D157" t="s">
        <v>572</v>
      </c>
      <c r="E157" t="s">
        <v>730</v>
      </c>
    </row>
    <row r="158" spans="1:5" x14ac:dyDescent="0.25">
      <c r="A158">
        <v>400630830</v>
      </c>
      <c r="B158">
        <v>400326624</v>
      </c>
      <c r="C158" t="s">
        <v>573</v>
      </c>
      <c r="D158" t="s">
        <v>959</v>
      </c>
      <c r="E158" t="s">
        <v>572</v>
      </c>
    </row>
    <row r="159" spans="1:5" x14ac:dyDescent="0.25">
      <c r="A159">
        <v>401173257</v>
      </c>
      <c r="B159">
        <v>400326624</v>
      </c>
      <c r="C159" t="s">
        <v>573</v>
      </c>
      <c r="D159" t="s">
        <v>960</v>
      </c>
      <c r="E159" t="s">
        <v>572</v>
      </c>
    </row>
    <row r="160" spans="1:5" x14ac:dyDescent="0.25">
      <c r="A160">
        <v>417983128</v>
      </c>
      <c r="B160">
        <v>400326624</v>
      </c>
      <c r="C160" t="s">
        <v>573</v>
      </c>
      <c r="D160" t="s">
        <v>964</v>
      </c>
      <c r="E160" t="s">
        <v>572</v>
      </c>
    </row>
    <row r="161" spans="1:5" x14ac:dyDescent="0.25">
      <c r="A161" t="s">
        <v>961</v>
      </c>
      <c r="B161">
        <v>400326624</v>
      </c>
      <c r="C161" t="s">
        <v>962</v>
      </c>
      <c r="D161" t="s">
        <v>963</v>
      </c>
      <c r="E161" t="s">
        <v>572</v>
      </c>
    </row>
    <row r="162" spans="1:5" x14ac:dyDescent="0.25">
      <c r="A162">
        <v>400033911</v>
      </c>
      <c r="B162">
        <v>400326635</v>
      </c>
      <c r="C162" t="s">
        <v>645</v>
      </c>
      <c r="D162" t="s">
        <v>965</v>
      </c>
      <c r="E162" t="s">
        <v>644</v>
      </c>
    </row>
    <row r="163" spans="1:5" x14ac:dyDescent="0.25">
      <c r="A163">
        <v>400326295</v>
      </c>
      <c r="B163">
        <v>400326635</v>
      </c>
      <c r="C163" t="s">
        <v>645</v>
      </c>
      <c r="D163" t="s">
        <v>967</v>
      </c>
      <c r="E163" t="s">
        <v>644</v>
      </c>
    </row>
    <row r="164" spans="1:5" x14ac:dyDescent="0.25">
      <c r="A164">
        <v>400738541</v>
      </c>
      <c r="B164">
        <v>400326635</v>
      </c>
      <c r="C164" t="s">
        <v>968</v>
      </c>
      <c r="D164" t="s">
        <v>966</v>
      </c>
      <c r="E164" t="s">
        <v>644</v>
      </c>
    </row>
    <row r="165" spans="1:5" x14ac:dyDescent="0.25">
      <c r="A165">
        <v>401173261</v>
      </c>
      <c r="B165">
        <v>400326635</v>
      </c>
      <c r="C165" t="s">
        <v>968</v>
      </c>
      <c r="D165" t="s">
        <v>969</v>
      </c>
      <c r="E165" t="s">
        <v>644</v>
      </c>
    </row>
    <row r="166" spans="1:5" x14ac:dyDescent="0.25">
      <c r="A166">
        <v>417983123</v>
      </c>
      <c r="B166">
        <v>400326635</v>
      </c>
      <c r="C166" t="s">
        <v>645</v>
      </c>
      <c r="D166" t="s">
        <v>644</v>
      </c>
      <c r="E166" t="s">
        <v>730</v>
      </c>
    </row>
    <row r="167" spans="1:5" x14ac:dyDescent="0.25">
      <c r="A167">
        <v>400124470</v>
      </c>
      <c r="B167">
        <v>400326667</v>
      </c>
      <c r="C167" t="s">
        <v>970</v>
      </c>
      <c r="D167" t="s">
        <v>971</v>
      </c>
      <c r="E167" t="s">
        <v>428</v>
      </c>
    </row>
    <row r="168" spans="1:5" x14ac:dyDescent="0.25">
      <c r="A168">
        <v>400306767</v>
      </c>
      <c r="B168">
        <v>400326667</v>
      </c>
      <c r="C168" t="s">
        <v>970</v>
      </c>
      <c r="D168" t="s">
        <v>972</v>
      </c>
      <c r="E168" t="s">
        <v>428</v>
      </c>
    </row>
    <row r="169" spans="1:5" x14ac:dyDescent="0.25">
      <c r="A169">
        <v>400663400</v>
      </c>
      <c r="B169">
        <v>400326667</v>
      </c>
      <c r="C169" t="s">
        <v>970</v>
      </c>
      <c r="D169" t="s">
        <v>973</v>
      </c>
      <c r="E169" t="s">
        <v>428</v>
      </c>
    </row>
    <row r="170" spans="1:5" x14ac:dyDescent="0.25">
      <c r="A170">
        <v>400668890</v>
      </c>
      <c r="B170">
        <v>400326667</v>
      </c>
      <c r="C170" t="s">
        <v>974</v>
      </c>
      <c r="D170" t="s">
        <v>975</v>
      </c>
      <c r="E170" t="s">
        <v>428</v>
      </c>
    </row>
    <row r="171" spans="1:5" x14ac:dyDescent="0.25">
      <c r="A171">
        <v>401194640</v>
      </c>
      <c r="B171">
        <v>400326667</v>
      </c>
      <c r="C171" t="s">
        <v>974</v>
      </c>
      <c r="D171" t="s">
        <v>976</v>
      </c>
      <c r="E171" t="s">
        <v>428</v>
      </c>
    </row>
    <row r="172" spans="1:5" x14ac:dyDescent="0.25">
      <c r="A172">
        <v>401544151</v>
      </c>
      <c r="B172">
        <v>400326667</v>
      </c>
      <c r="C172" t="s">
        <v>970</v>
      </c>
      <c r="D172" t="s">
        <v>980</v>
      </c>
      <c r="E172" t="s">
        <v>428</v>
      </c>
    </row>
    <row r="173" spans="1:5" x14ac:dyDescent="0.25">
      <c r="A173">
        <v>412788138</v>
      </c>
      <c r="B173">
        <v>400326667</v>
      </c>
      <c r="C173" t="s">
        <v>970</v>
      </c>
      <c r="D173" t="s">
        <v>977</v>
      </c>
      <c r="E173" t="s">
        <v>428</v>
      </c>
    </row>
    <row r="174" spans="1:5" x14ac:dyDescent="0.25">
      <c r="A174">
        <v>413424997</v>
      </c>
      <c r="B174">
        <v>400326667</v>
      </c>
      <c r="C174" t="s">
        <v>970</v>
      </c>
      <c r="D174" t="s">
        <v>978</v>
      </c>
      <c r="E174" t="s">
        <v>428</v>
      </c>
    </row>
    <row r="175" spans="1:5" x14ac:dyDescent="0.25">
      <c r="A175">
        <v>414202270</v>
      </c>
      <c r="B175">
        <v>400326667</v>
      </c>
      <c r="C175" t="s">
        <v>970</v>
      </c>
      <c r="D175" t="s">
        <v>979</v>
      </c>
      <c r="E175" t="s">
        <v>428</v>
      </c>
    </row>
    <row r="176" spans="1:5" x14ac:dyDescent="0.25">
      <c r="A176">
        <v>415577620</v>
      </c>
      <c r="B176">
        <v>400326667</v>
      </c>
      <c r="C176" t="s">
        <v>970</v>
      </c>
      <c r="D176" t="s">
        <v>981</v>
      </c>
      <c r="E176" t="s">
        <v>428</v>
      </c>
    </row>
    <row r="177" spans="1:5" x14ac:dyDescent="0.25">
      <c r="A177">
        <v>417103922</v>
      </c>
      <c r="B177">
        <v>400326667</v>
      </c>
      <c r="C177" t="s">
        <v>974</v>
      </c>
      <c r="D177" t="s">
        <v>982</v>
      </c>
      <c r="E177" t="s">
        <v>428</v>
      </c>
    </row>
    <row r="178" spans="1:5" x14ac:dyDescent="0.25">
      <c r="A178">
        <v>417350128</v>
      </c>
      <c r="B178">
        <v>400326667</v>
      </c>
      <c r="C178" t="s">
        <v>974</v>
      </c>
      <c r="D178" t="s">
        <v>983</v>
      </c>
      <c r="E178" t="s">
        <v>428</v>
      </c>
    </row>
    <row r="179" spans="1:5" x14ac:dyDescent="0.25">
      <c r="A179">
        <v>417983139</v>
      </c>
      <c r="B179">
        <v>400326667</v>
      </c>
      <c r="C179" t="s">
        <v>970</v>
      </c>
      <c r="D179" t="s">
        <v>428</v>
      </c>
      <c r="E179" t="s">
        <v>730</v>
      </c>
    </row>
    <row r="180" spans="1:5" x14ac:dyDescent="0.25">
      <c r="A180">
        <v>400072493</v>
      </c>
      <c r="B180">
        <v>400341717</v>
      </c>
      <c r="C180" t="s">
        <v>533</v>
      </c>
      <c r="D180" t="s">
        <v>984</v>
      </c>
      <c r="E180" t="s">
        <v>532</v>
      </c>
    </row>
    <row r="181" spans="1:5" x14ac:dyDescent="0.25">
      <c r="A181">
        <v>400345429</v>
      </c>
      <c r="B181">
        <v>400341717</v>
      </c>
      <c r="C181" t="s">
        <v>533</v>
      </c>
      <c r="D181" t="s">
        <v>985</v>
      </c>
      <c r="E181" t="s">
        <v>532</v>
      </c>
    </row>
    <row r="182" spans="1:5" x14ac:dyDescent="0.25">
      <c r="A182">
        <v>417531784</v>
      </c>
      <c r="B182">
        <v>400341717</v>
      </c>
      <c r="C182" t="s">
        <v>533</v>
      </c>
      <c r="D182" t="s">
        <v>532</v>
      </c>
      <c r="E182" t="s">
        <v>730</v>
      </c>
    </row>
    <row r="183" spans="1:5" x14ac:dyDescent="0.25">
      <c r="A183" t="s">
        <v>986</v>
      </c>
      <c r="B183">
        <v>400341717</v>
      </c>
      <c r="C183" t="s">
        <v>987</v>
      </c>
      <c r="D183" t="s">
        <v>988</v>
      </c>
      <c r="E183" t="s">
        <v>532</v>
      </c>
    </row>
    <row r="184" spans="1:5" x14ac:dyDescent="0.25">
      <c r="A184">
        <v>400973894</v>
      </c>
      <c r="B184">
        <v>400481171</v>
      </c>
      <c r="C184" t="s">
        <v>492</v>
      </c>
      <c r="D184" t="s">
        <v>989</v>
      </c>
      <c r="E184" t="s">
        <v>491</v>
      </c>
    </row>
    <row r="185" spans="1:5" x14ac:dyDescent="0.25">
      <c r="A185">
        <v>417531783</v>
      </c>
      <c r="B185">
        <v>400481171</v>
      </c>
      <c r="C185" t="s">
        <v>492</v>
      </c>
      <c r="D185" t="s">
        <v>491</v>
      </c>
      <c r="E185" t="s">
        <v>730</v>
      </c>
    </row>
    <row r="186" spans="1:5" x14ac:dyDescent="0.25">
      <c r="A186">
        <v>400013184</v>
      </c>
      <c r="B186">
        <v>400481211</v>
      </c>
      <c r="C186" t="s">
        <v>990</v>
      </c>
      <c r="D186" t="s">
        <v>991</v>
      </c>
      <c r="E186" t="s">
        <v>712</v>
      </c>
    </row>
    <row r="187" spans="1:5" x14ac:dyDescent="0.25">
      <c r="A187">
        <v>400326166</v>
      </c>
      <c r="B187">
        <v>400481211</v>
      </c>
      <c r="C187" t="s">
        <v>990</v>
      </c>
      <c r="D187" t="s">
        <v>993</v>
      </c>
      <c r="E187" t="s">
        <v>712</v>
      </c>
    </row>
    <row r="188" spans="1:5" x14ac:dyDescent="0.25">
      <c r="A188">
        <v>400536571</v>
      </c>
      <c r="B188">
        <v>400481211</v>
      </c>
      <c r="C188" t="s">
        <v>990</v>
      </c>
      <c r="D188" t="s">
        <v>994</v>
      </c>
      <c r="E188" t="s">
        <v>712</v>
      </c>
    </row>
    <row r="189" spans="1:5" x14ac:dyDescent="0.25">
      <c r="A189">
        <v>401225087</v>
      </c>
      <c r="B189">
        <v>400481211</v>
      </c>
      <c r="C189" t="s">
        <v>990</v>
      </c>
      <c r="D189" t="s">
        <v>712</v>
      </c>
      <c r="E189" t="s">
        <v>730</v>
      </c>
    </row>
    <row r="190" spans="1:5" x14ac:dyDescent="0.25">
      <c r="A190">
        <v>417221843</v>
      </c>
      <c r="B190">
        <v>400481211</v>
      </c>
      <c r="C190" t="s">
        <v>990</v>
      </c>
      <c r="D190" t="s">
        <v>996</v>
      </c>
      <c r="E190" t="s">
        <v>712</v>
      </c>
    </row>
    <row r="191" spans="1:5" x14ac:dyDescent="0.25">
      <c r="A191">
        <v>417221857</v>
      </c>
      <c r="B191">
        <v>400481211</v>
      </c>
      <c r="C191" t="s">
        <v>992</v>
      </c>
      <c r="D191" t="s">
        <v>997</v>
      </c>
      <c r="E191" t="s">
        <v>712</v>
      </c>
    </row>
    <row r="192" spans="1:5" x14ac:dyDescent="0.25">
      <c r="A192">
        <v>417221883</v>
      </c>
      <c r="B192">
        <v>400481211</v>
      </c>
      <c r="C192" t="s">
        <v>992</v>
      </c>
      <c r="D192" t="s">
        <v>995</v>
      </c>
      <c r="E192" t="s">
        <v>712</v>
      </c>
    </row>
    <row r="193" spans="1:5" x14ac:dyDescent="0.25">
      <c r="A193">
        <v>400035595</v>
      </c>
      <c r="B193">
        <v>400481213</v>
      </c>
      <c r="C193" t="s">
        <v>998</v>
      </c>
      <c r="D193" t="s">
        <v>999</v>
      </c>
      <c r="E193" t="s">
        <v>714</v>
      </c>
    </row>
    <row r="194" spans="1:5" x14ac:dyDescent="0.25">
      <c r="A194">
        <v>400210358</v>
      </c>
      <c r="B194">
        <v>400481213</v>
      </c>
      <c r="C194" t="s">
        <v>998</v>
      </c>
      <c r="D194" t="s">
        <v>1001</v>
      </c>
      <c r="E194" t="s">
        <v>714</v>
      </c>
    </row>
    <row r="195" spans="1:5" x14ac:dyDescent="0.25">
      <c r="A195">
        <v>400464397</v>
      </c>
      <c r="B195">
        <v>400481213</v>
      </c>
      <c r="C195" t="s">
        <v>998</v>
      </c>
      <c r="D195" t="s">
        <v>1000</v>
      </c>
      <c r="E195" t="s">
        <v>714</v>
      </c>
    </row>
    <row r="196" spans="1:5" x14ac:dyDescent="0.25">
      <c r="A196">
        <v>416881473</v>
      </c>
      <c r="B196">
        <v>400481213</v>
      </c>
      <c r="C196" t="s">
        <v>1002</v>
      </c>
      <c r="D196" t="s">
        <v>1003</v>
      </c>
      <c r="E196" t="s">
        <v>714</v>
      </c>
    </row>
    <row r="197" spans="1:5" x14ac:dyDescent="0.25">
      <c r="A197">
        <v>417221844</v>
      </c>
      <c r="B197">
        <v>400481213</v>
      </c>
      <c r="C197" t="s">
        <v>998</v>
      </c>
      <c r="D197" t="s">
        <v>1004</v>
      </c>
      <c r="E197" t="s">
        <v>714</v>
      </c>
    </row>
    <row r="198" spans="1:5" x14ac:dyDescent="0.25">
      <c r="A198">
        <v>417983111</v>
      </c>
      <c r="B198">
        <v>400481213</v>
      </c>
      <c r="C198" t="s">
        <v>998</v>
      </c>
      <c r="D198" t="s">
        <v>714</v>
      </c>
      <c r="E198" t="s">
        <v>730</v>
      </c>
    </row>
    <row r="199" spans="1:5" x14ac:dyDescent="0.25">
      <c r="A199">
        <v>400041951</v>
      </c>
      <c r="B199">
        <v>400481224</v>
      </c>
      <c r="C199" t="s">
        <v>1005</v>
      </c>
      <c r="D199" t="s">
        <v>1006</v>
      </c>
      <c r="E199" t="s">
        <v>388</v>
      </c>
    </row>
    <row r="200" spans="1:5" x14ac:dyDescent="0.25">
      <c r="A200">
        <v>400256354</v>
      </c>
      <c r="B200">
        <v>400481224</v>
      </c>
      <c r="C200" t="s">
        <v>1005</v>
      </c>
      <c r="D200" t="s">
        <v>1008</v>
      </c>
      <c r="E200" t="s">
        <v>388</v>
      </c>
    </row>
    <row r="201" spans="1:5" x14ac:dyDescent="0.25">
      <c r="A201">
        <v>400302848</v>
      </c>
      <c r="B201">
        <v>400481224</v>
      </c>
      <c r="C201" t="s">
        <v>1005</v>
      </c>
      <c r="D201" t="s">
        <v>1009</v>
      </c>
      <c r="E201" t="s">
        <v>388</v>
      </c>
    </row>
    <row r="202" spans="1:5" x14ac:dyDescent="0.25">
      <c r="A202">
        <v>400664922</v>
      </c>
      <c r="B202">
        <v>400481224</v>
      </c>
      <c r="C202" t="s">
        <v>1005</v>
      </c>
      <c r="D202" t="s">
        <v>388</v>
      </c>
      <c r="E202" t="s">
        <v>730</v>
      </c>
    </row>
    <row r="203" spans="1:5" x14ac:dyDescent="0.25">
      <c r="A203">
        <v>400950681</v>
      </c>
      <c r="B203">
        <v>400481224</v>
      </c>
      <c r="C203" t="s">
        <v>1005</v>
      </c>
      <c r="D203" t="s">
        <v>1007</v>
      </c>
      <c r="E203" t="s">
        <v>388</v>
      </c>
    </row>
    <row r="204" spans="1:5" x14ac:dyDescent="0.25">
      <c r="A204">
        <v>404933579</v>
      </c>
      <c r="B204">
        <v>400481224</v>
      </c>
      <c r="C204" t="s">
        <v>1005</v>
      </c>
      <c r="D204" t="s">
        <v>1010</v>
      </c>
      <c r="E204" t="s">
        <v>388</v>
      </c>
    </row>
    <row r="205" spans="1:5" x14ac:dyDescent="0.25">
      <c r="A205">
        <v>417983117</v>
      </c>
      <c r="B205">
        <v>400481224</v>
      </c>
      <c r="C205" t="s">
        <v>1005</v>
      </c>
      <c r="D205" t="s">
        <v>1011</v>
      </c>
      <c r="E205" t="s">
        <v>388</v>
      </c>
    </row>
    <row r="206" spans="1:5" x14ac:dyDescent="0.25">
      <c r="A206">
        <v>400033864</v>
      </c>
      <c r="B206">
        <v>400481229</v>
      </c>
      <c r="C206" t="s">
        <v>550</v>
      </c>
      <c r="D206" t="s">
        <v>1012</v>
      </c>
      <c r="E206" t="s">
        <v>549</v>
      </c>
    </row>
    <row r="207" spans="1:5" x14ac:dyDescent="0.25">
      <c r="A207">
        <v>400033868</v>
      </c>
      <c r="B207">
        <v>400481229</v>
      </c>
      <c r="C207" t="s">
        <v>550</v>
      </c>
      <c r="D207" t="s">
        <v>1014</v>
      </c>
      <c r="E207" t="s">
        <v>549</v>
      </c>
    </row>
    <row r="208" spans="1:5" x14ac:dyDescent="0.25">
      <c r="A208">
        <v>400302916</v>
      </c>
      <c r="B208">
        <v>400481229</v>
      </c>
      <c r="C208" t="s">
        <v>550</v>
      </c>
      <c r="D208" t="s">
        <v>1015</v>
      </c>
      <c r="E208" t="s">
        <v>549</v>
      </c>
    </row>
    <row r="209" spans="1:5" x14ac:dyDescent="0.25">
      <c r="A209">
        <v>400539548</v>
      </c>
      <c r="B209">
        <v>400481229</v>
      </c>
      <c r="C209" t="s">
        <v>1016</v>
      </c>
      <c r="D209" t="s">
        <v>1017</v>
      </c>
      <c r="E209" t="s">
        <v>549</v>
      </c>
    </row>
    <row r="210" spans="1:5" x14ac:dyDescent="0.25">
      <c r="A210">
        <v>400603892</v>
      </c>
      <c r="B210">
        <v>400481229</v>
      </c>
      <c r="C210" t="s">
        <v>550</v>
      </c>
      <c r="D210" t="s">
        <v>1013</v>
      </c>
      <c r="E210" t="s">
        <v>549</v>
      </c>
    </row>
    <row r="211" spans="1:5" x14ac:dyDescent="0.25">
      <c r="A211">
        <v>400713754</v>
      </c>
      <c r="B211">
        <v>400481229</v>
      </c>
      <c r="C211" t="s">
        <v>550</v>
      </c>
      <c r="D211" t="s">
        <v>549</v>
      </c>
      <c r="E211" t="s">
        <v>730</v>
      </c>
    </row>
    <row r="212" spans="1:5" x14ac:dyDescent="0.25">
      <c r="A212">
        <v>401060222</v>
      </c>
      <c r="B212">
        <v>400481229</v>
      </c>
      <c r="C212" t="s">
        <v>1023</v>
      </c>
      <c r="D212" t="s">
        <v>1024</v>
      </c>
      <c r="E212" t="s">
        <v>549</v>
      </c>
    </row>
    <row r="213" spans="1:5" x14ac:dyDescent="0.25">
      <c r="A213">
        <v>412788093</v>
      </c>
      <c r="B213">
        <v>400481229</v>
      </c>
      <c r="C213" t="s">
        <v>550</v>
      </c>
      <c r="D213" t="s">
        <v>1018</v>
      </c>
      <c r="E213" t="s">
        <v>549</v>
      </c>
    </row>
    <row r="214" spans="1:5" x14ac:dyDescent="0.25">
      <c r="A214">
        <v>414596423</v>
      </c>
      <c r="B214">
        <v>400481229</v>
      </c>
      <c r="C214" t="s">
        <v>1016</v>
      </c>
      <c r="D214" t="s">
        <v>1019</v>
      </c>
      <c r="E214" t="s">
        <v>549</v>
      </c>
    </row>
    <row r="215" spans="1:5" x14ac:dyDescent="0.25">
      <c r="A215">
        <v>414612604</v>
      </c>
      <c r="B215">
        <v>400481229</v>
      </c>
      <c r="C215" t="s">
        <v>1016</v>
      </c>
      <c r="D215" t="s">
        <v>1020</v>
      </c>
      <c r="E215" t="s">
        <v>549</v>
      </c>
    </row>
    <row r="216" spans="1:5" x14ac:dyDescent="0.25">
      <c r="A216">
        <v>416022312</v>
      </c>
      <c r="B216">
        <v>400481229</v>
      </c>
      <c r="C216" t="s">
        <v>1016</v>
      </c>
      <c r="D216" t="s">
        <v>1025</v>
      </c>
      <c r="E216" t="s">
        <v>549</v>
      </c>
    </row>
    <row r="217" spans="1:5" x14ac:dyDescent="0.25">
      <c r="A217">
        <v>416095923</v>
      </c>
      <c r="B217">
        <v>400481229</v>
      </c>
      <c r="C217" t="s">
        <v>550</v>
      </c>
      <c r="D217" t="s">
        <v>1021</v>
      </c>
      <c r="E217" t="s">
        <v>549</v>
      </c>
    </row>
    <row r="218" spans="1:5" x14ac:dyDescent="0.25">
      <c r="A218">
        <v>416295985</v>
      </c>
      <c r="B218">
        <v>400481229</v>
      </c>
      <c r="C218" t="s">
        <v>1016</v>
      </c>
      <c r="D218" t="s">
        <v>1022</v>
      </c>
      <c r="E218" t="s">
        <v>549</v>
      </c>
    </row>
    <row r="219" spans="1:5" x14ac:dyDescent="0.25">
      <c r="A219">
        <v>417103910</v>
      </c>
      <c r="B219">
        <v>400481229</v>
      </c>
      <c r="C219" t="s">
        <v>550</v>
      </c>
      <c r="D219" t="s">
        <v>1026</v>
      </c>
      <c r="E219" t="s">
        <v>549</v>
      </c>
    </row>
    <row r="220" spans="1:5" x14ac:dyDescent="0.25">
      <c r="A220">
        <v>417334974</v>
      </c>
      <c r="B220">
        <v>400481229</v>
      </c>
      <c r="C220" t="s">
        <v>550</v>
      </c>
      <c r="D220" t="s">
        <v>1027</v>
      </c>
      <c r="E220" t="s">
        <v>549</v>
      </c>
    </row>
    <row r="221" spans="1:5" x14ac:dyDescent="0.25">
      <c r="A221">
        <v>417350120</v>
      </c>
      <c r="B221">
        <v>400481229</v>
      </c>
      <c r="C221" t="s">
        <v>550</v>
      </c>
      <c r="D221" t="s">
        <v>1028</v>
      </c>
      <c r="E221" t="s">
        <v>549</v>
      </c>
    </row>
    <row r="222" spans="1:5" x14ac:dyDescent="0.25">
      <c r="A222">
        <v>400253577</v>
      </c>
      <c r="B222">
        <v>400481258</v>
      </c>
      <c r="C222" t="s">
        <v>1029</v>
      </c>
      <c r="D222" t="s">
        <v>1030</v>
      </c>
      <c r="E222" t="s">
        <v>395</v>
      </c>
    </row>
    <row r="223" spans="1:5" x14ac:dyDescent="0.25">
      <c r="A223">
        <v>400305966</v>
      </c>
      <c r="B223">
        <v>400481258</v>
      </c>
      <c r="C223" t="s">
        <v>1031</v>
      </c>
      <c r="D223" t="s">
        <v>1032</v>
      </c>
      <c r="E223" t="s">
        <v>395</v>
      </c>
    </row>
    <row r="224" spans="1:5" x14ac:dyDescent="0.25">
      <c r="A224">
        <v>400448419</v>
      </c>
      <c r="B224">
        <v>400481258</v>
      </c>
      <c r="C224" t="s">
        <v>1031</v>
      </c>
      <c r="D224" t="s">
        <v>1033</v>
      </c>
      <c r="E224" t="s">
        <v>395</v>
      </c>
    </row>
    <row r="225" spans="1:5" x14ac:dyDescent="0.25">
      <c r="A225">
        <v>400668882</v>
      </c>
      <c r="B225">
        <v>400481258</v>
      </c>
      <c r="C225" t="s">
        <v>1034</v>
      </c>
      <c r="D225" t="s">
        <v>1035</v>
      </c>
      <c r="E225" t="s">
        <v>395</v>
      </c>
    </row>
    <row r="226" spans="1:5" x14ac:dyDescent="0.25">
      <c r="A226">
        <v>400950741</v>
      </c>
      <c r="B226">
        <v>400481258</v>
      </c>
      <c r="C226" t="s">
        <v>1031</v>
      </c>
      <c r="D226" t="s">
        <v>395</v>
      </c>
      <c r="E226" t="s">
        <v>730</v>
      </c>
    </row>
    <row r="227" spans="1:5" x14ac:dyDescent="0.25">
      <c r="A227">
        <v>401567045</v>
      </c>
      <c r="B227">
        <v>400481258</v>
      </c>
      <c r="C227" t="s">
        <v>1031</v>
      </c>
      <c r="D227" t="s">
        <v>1036</v>
      </c>
      <c r="E227" t="s">
        <v>395</v>
      </c>
    </row>
    <row r="228" spans="1:5" x14ac:dyDescent="0.25">
      <c r="A228">
        <v>412788118</v>
      </c>
      <c r="B228">
        <v>400481258</v>
      </c>
      <c r="C228" t="s">
        <v>1031</v>
      </c>
      <c r="D228" t="s">
        <v>1037</v>
      </c>
      <c r="E228" t="s">
        <v>395</v>
      </c>
    </row>
    <row r="229" spans="1:5" x14ac:dyDescent="0.25">
      <c r="A229">
        <v>413424999</v>
      </c>
      <c r="B229">
        <v>400481258</v>
      </c>
      <c r="C229" t="s">
        <v>1031</v>
      </c>
      <c r="D229" t="s">
        <v>1038</v>
      </c>
      <c r="E229" t="s">
        <v>395</v>
      </c>
    </row>
    <row r="230" spans="1:5" x14ac:dyDescent="0.25">
      <c r="A230">
        <v>416955786</v>
      </c>
      <c r="B230">
        <v>400481258</v>
      </c>
      <c r="C230" t="s">
        <v>1039</v>
      </c>
      <c r="D230" t="s">
        <v>1040</v>
      </c>
      <c r="E230" t="s">
        <v>395</v>
      </c>
    </row>
    <row r="231" spans="1:5" x14ac:dyDescent="0.25">
      <c r="A231">
        <v>417221859</v>
      </c>
      <c r="B231">
        <v>400481258</v>
      </c>
      <c r="C231" t="s">
        <v>1041</v>
      </c>
      <c r="D231" t="s">
        <v>1042</v>
      </c>
      <c r="E231" t="s">
        <v>395</v>
      </c>
    </row>
    <row r="232" spans="1:5" x14ac:dyDescent="0.25">
      <c r="A232">
        <v>400156798</v>
      </c>
      <c r="B232">
        <v>400481299</v>
      </c>
      <c r="C232" t="s">
        <v>1043</v>
      </c>
      <c r="D232" t="s">
        <v>1044</v>
      </c>
      <c r="E232" t="s">
        <v>482</v>
      </c>
    </row>
    <row r="233" spans="1:5" x14ac:dyDescent="0.25">
      <c r="A233">
        <v>400291998</v>
      </c>
      <c r="B233">
        <v>400481299</v>
      </c>
      <c r="C233" t="s">
        <v>1043</v>
      </c>
      <c r="D233" t="s">
        <v>1046</v>
      </c>
      <c r="E233" t="s">
        <v>482</v>
      </c>
    </row>
    <row r="234" spans="1:5" x14ac:dyDescent="0.25">
      <c r="A234">
        <v>400306068</v>
      </c>
      <c r="B234">
        <v>400481299</v>
      </c>
      <c r="C234" t="s">
        <v>1043</v>
      </c>
      <c r="D234" t="s">
        <v>1045</v>
      </c>
      <c r="E234" t="s">
        <v>482</v>
      </c>
    </row>
    <row r="235" spans="1:5" x14ac:dyDescent="0.25">
      <c r="A235">
        <v>400756198</v>
      </c>
      <c r="B235">
        <v>400481299</v>
      </c>
      <c r="C235" t="s">
        <v>1043</v>
      </c>
      <c r="D235" t="s">
        <v>1047</v>
      </c>
      <c r="E235" t="s">
        <v>482</v>
      </c>
    </row>
    <row r="236" spans="1:5" x14ac:dyDescent="0.25">
      <c r="A236">
        <v>400892465</v>
      </c>
      <c r="B236">
        <v>400481299</v>
      </c>
      <c r="C236" t="s">
        <v>1043</v>
      </c>
      <c r="D236" t="s">
        <v>1048</v>
      </c>
      <c r="E236" t="s">
        <v>482</v>
      </c>
    </row>
    <row r="237" spans="1:5" x14ac:dyDescent="0.25">
      <c r="A237">
        <v>401217770</v>
      </c>
      <c r="B237">
        <v>400481299</v>
      </c>
      <c r="C237" t="s">
        <v>1043</v>
      </c>
      <c r="D237" t="s">
        <v>1049</v>
      </c>
      <c r="E237" t="s">
        <v>482</v>
      </c>
    </row>
    <row r="238" spans="1:5" x14ac:dyDescent="0.25">
      <c r="A238">
        <v>401775380</v>
      </c>
      <c r="B238">
        <v>400481299</v>
      </c>
      <c r="C238" t="s">
        <v>1043</v>
      </c>
      <c r="D238" t="s">
        <v>482</v>
      </c>
      <c r="E238" t="s">
        <v>730</v>
      </c>
    </row>
    <row r="239" spans="1:5" x14ac:dyDescent="0.25">
      <c r="A239">
        <v>417103916</v>
      </c>
      <c r="B239">
        <v>400481299</v>
      </c>
      <c r="C239" t="s">
        <v>1043</v>
      </c>
      <c r="D239" t="s">
        <v>1051</v>
      </c>
      <c r="E239" t="s">
        <v>482</v>
      </c>
    </row>
    <row r="240" spans="1:5" x14ac:dyDescent="0.25">
      <c r="A240">
        <v>417350124</v>
      </c>
      <c r="B240">
        <v>400481299</v>
      </c>
      <c r="C240" t="s">
        <v>1043</v>
      </c>
      <c r="D240" t="s">
        <v>1052</v>
      </c>
      <c r="E240" t="s">
        <v>482</v>
      </c>
    </row>
    <row r="241" spans="1:5" x14ac:dyDescent="0.25">
      <c r="A241">
        <v>417350143</v>
      </c>
      <c r="B241">
        <v>400481299</v>
      </c>
      <c r="C241" t="s">
        <v>1043</v>
      </c>
      <c r="D241" t="s">
        <v>1050</v>
      </c>
      <c r="E241" t="s">
        <v>482</v>
      </c>
    </row>
    <row r="242" spans="1:5" x14ac:dyDescent="0.25">
      <c r="A242">
        <v>400042066</v>
      </c>
      <c r="B242">
        <v>400481357</v>
      </c>
      <c r="C242" t="s">
        <v>1053</v>
      </c>
      <c r="D242" t="s">
        <v>1054</v>
      </c>
      <c r="E242" t="s">
        <v>510</v>
      </c>
    </row>
    <row r="243" spans="1:5" x14ac:dyDescent="0.25">
      <c r="A243">
        <v>400465004</v>
      </c>
      <c r="B243">
        <v>400481357</v>
      </c>
      <c r="C243" t="s">
        <v>1053</v>
      </c>
      <c r="D243" t="s">
        <v>1055</v>
      </c>
      <c r="E243" t="s">
        <v>510</v>
      </c>
    </row>
    <row r="244" spans="1:5" x14ac:dyDescent="0.25">
      <c r="A244">
        <v>400950685</v>
      </c>
      <c r="B244">
        <v>400481357</v>
      </c>
      <c r="C244" t="s">
        <v>1053</v>
      </c>
      <c r="D244" t="s">
        <v>510</v>
      </c>
      <c r="E244" t="s">
        <v>730</v>
      </c>
    </row>
    <row r="245" spans="1:5" x14ac:dyDescent="0.25">
      <c r="A245">
        <v>401011031</v>
      </c>
      <c r="B245">
        <v>400481357</v>
      </c>
      <c r="C245" t="s">
        <v>1053</v>
      </c>
      <c r="D245" t="s">
        <v>1056</v>
      </c>
      <c r="E245" t="s">
        <v>510</v>
      </c>
    </row>
    <row r="246" spans="1:5" x14ac:dyDescent="0.25">
      <c r="A246">
        <v>401203575</v>
      </c>
      <c r="B246">
        <v>400481357</v>
      </c>
      <c r="C246" t="s">
        <v>1053</v>
      </c>
      <c r="D246" t="s">
        <v>1057</v>
      </c>
      <c r="E246" t="s">
        <v>510</v>
      </c>
    </row>
    <row r="247" spans="1:5" x14ac:dyDescent="0.25">
      <c r="A247">
        <v>401524708</v>
      </c>
      <c r="B247">
        <v>400481357</v>
      </c>
      <c r="C247" t="s">
        <v>1053</v>
      </c>
      <c r="D247" t="s">
        <v>1058</v>
      </c>
      <c r="E247" t="s">
        <v>510</v>
      </c>
    </row>
    <row r="248" spans="1:5" x14ac:dyDescent="0.25">
      <c r="A248">
        <v>400464992</v>
      </c>
      <c r="B248">
        <v>400481360</v>
      </c>
      <c r="C248" t="s">
        <v>1059</v>
      </c>
      <c r="D248" t="s">
        <v>1060</v>
      </c>
      <c r="E248" t="s">
        <v>570</v>
      </c>
    </row>
    <row r="249" spans="1:5" x14ac:dyDescent="0.25">
      <c r="A249">
        <v>400603411</v>
      </c>
      <c r="B249">
        <v>400481360</v>
      </c>
      <c r="C249" t="s">
        <v>1059</v>
      </c>
      <c r="D249" t="s">
        <v>1061</v>
      </c>
      <c r="E249" t="s">
        <v>570</v>
      </c>
    </row>
    <row r="250" spans="1:5" x14ac:dyDescent="0.25">
      <c r="A250">
        <v>417983121</v>
      </c>
      <c r="B250">
        <v>400481360</v>
      </c>
      <c r="C250" t="s">
        <v>1059</v>
      </c>
      <c r="D250" t="s">
        <v>1065</v>
      </c>
      <c r="E250" t="s">
        <v>570</v>
      </c>
    </row>
    <row r="251" spans="1:5" x14ac:dyDescent="0.25">
      <c r="A251">
        <v>422206914</v>
      </c>
      <c r="B251">
        <v>400481360</v>
      </c>
      <c r="C251" t="s">
        <v>1059</v>
      </c>
      <c r="D251" t="s">
        <v>570</v>
      </c>
      <c r="E251" t="s">
        <v>730</v>
      </c>
    </row>
    <row r="252" spans="1:5" x14ac:dyDescent="0.25">
      <c r="A252" t="s">
        <v>1062</v>
      </c>
      <c r="B252">
        <v>400481360</v>
      </c>
      <c r="C252" t="s">
        <v>1063</v>
      </c>
      <c r="D252" t="s">
        <v>1064</v>
      </c>
      <c r="E252" t="s">
        <v>570</v>
      </c>
    </row>
    <row r="253" spans="1:5" x14ac:dyDescent="0.25">
      <c r="A253">
        <v>400011244</v>
      </c>
      <c r="B253">
        <v>400481527</v>
      </c>
      <c r="C253" t="s">
        <v>518</v>
      </c>
      <c r="D253" t="s">
        <v>1066</v>
      </c>
      <c r="E253" t="s">
        <v>1071</v>
      </c>
    </row>
    <row r="254" spans="1:5" x14ac:dyDescent="0.25">
      <c r="A254">
        <v>400085250</v>
      </c>
      <c r="B254">
        <v>400481527</v>
      </c>
      <c r="C254" t="s">
        <v>1068</v>
      </c>
      <c r="D254" t="s">
        <v>1069</v>
      </c>
      <c r="E254" t="s">
        <v>1071</v>
      </c>
    </row>
    <row r="255" spans="1:5" x14ac:dyDescent="0.25">
      <c r="A255">
        <v>400306711</v>
      </c>
      <c r="B255">
        <v>400481527</v>
      </c>
      <c r="C255" t="s">
        <v>518</v>
      </c>
      <c r="D255" t="s">
        <v>1067</v>
      </c>
      <c r="E255" t="s">
        <v>1071</v>
      </c>
    </row>
    <row r="256" spans="1:5" x14ac:dyDescent="0.25">
      <c r="A256">
        <v>400550616</v>
      </c>
      <c r="B256">
        <v>400481527</v>
      </c>
      <c r="C256" t="s">
        <v>1072</v>
      </c>
      <c r="D256" t="s">
        <v>1073</v>
      </c>
      <c r="E256" t="s">
        <v>1071</v>
      </c>
    </row>
    <row r="257" spans="1:5" x14ac:dyDescent="0.25">
      <c r="A257">
        <v>400551293</v>
      </c>
      <c r="B257">
        <v>400481527</v>
      </c>
      <c r="C257" t="s">
        <v>518</v>
      </c>
      <c r="D257" t="s">
        <v>1074</v>
      </c>
      <c r="E257" t="s">
        <v>1071</v>
      </c>
    </row>
    <row r="258" spans="1:5" x14ac:dyDescent="0.25">
      <c r="A258">
        <v>400950659</v>
      </c>
      <c r="B258">
        <v>400481527</v>
      </c>
      <c r="C258" t="s">
        <v>518</v>
      </c>
      <c r="D258" t="s">
        <v>1070</v>
      </c>
      <c r="E258" t="s">
        <v>1071</v>
      </c>
    </row>
    <row r="259" spans="1:5" x14ac:dyDescent="0.25">
      <c r="A259">
        <v>417983143</v>
      </c>
      <c r="B259">
        <v>400481527</v>
      </c>
      <c r="C259" t="s">
        <v>518</v>
      </c>
      <c r="D259" t="s">
        <v>1071</v>
      </c>
      <c r="E259" t="s">
        <v>730</v>
      </c>
    </row>
    <row r="260" spans="1:5" x14ac:dyDescent="0.25">
      <c r="A260">
        <v>418094626</v>
      </c>
      <c r="B260">
        <v>400481527</v>
      </c>
      <c r="C260" t="s">
        <v>518</v>
      </c>
      <c r="D260" t="s">
        <v>517</v>
      </c>
      <c r="E260" t="s">
        <v>1071</v>
      </c>
    </row>
    <row r="261" spans="1:5" x14ac:dyDescent="0.25">
      <c r="A261">
        <v>400479535</v>
      </c>
      <c r="B261">
        <v>400481605</v>
      </c>
      <c r="C261" t="s">
        <v>1075</v>
      </c>
      <c r="D261" t="s">
        <v>461</v>
      </c>
      <c r="E261" t="s">
        <v>730</v>
      </c>
    </row>
    <row r="262" spans="1:5" x14ac:dyDescent="0.25">
      <c r="A262" t="s">
        <v>1076</v>
      </c>
      <c r="B262">
        <v>400481605</v>
      </c>
      <c r="C262" t="s">
        <v>1077</v>
      </c>
      <c r="D262" t="s">
        <v>1078</v>
      </c>
      <c r="E262" t="s">
        <v>461</v>
      </c>
    </row>
    <row r="263" spans="1:5" x14ac:dyDescent="0.25">
      <c r="A263">
        <v>400280614</v>
      </c>
      <c r="B263">
        <v>400481611</v>
      </c>
      <c r="C263" t="s">
        <v>535</v>
      </c>
      <c r="D263" t="s">
        <v>1079</v>
      </c>
      <c r="E263" t="s">
        <v>534</v>
      </c>
    </row>
    <row r="264" spans="1:5" x14ac:dyDescent="0.25">
      <c r="A264">
        <v>413256946</v>
      </c>
      <c r="B264">
        <v>400481611</v>
      </c>
      <c r="C264" t="s">
        <v>535</v>
      </c>
      <c r="D264" t="s">
        <v>534</v>
      </c>
      <c r="E264" t="s">
        <v>730</v>
      </c>
    </row>
    <row r="265" spans="1:5" x14ac:dyDescent="0.25">
      <c r="A265" t="s">
        <v>1080</v>
      </c>
      <c r="B265">
        <v>400481611</v>
      </c>
      <c r="C265" t="s">
        <v>1081</v>
      </c>
      <c r="D265" t="s">
        <v>1082</v>
      </c>
      <c r="E265" t="s">
        <v>534</v>
      </c>
    </row>
    <row r="266" spans="1:5" x14ac:dyDescent="0.25">
      <c r="A266">
        <v>400687676</v>
      </c>
      <c r="B266">
        <v>400481628</v>
      </c>
      <c r="C266" t="s">
        <v>1083</v>
      </c>
      <c r="D266" t="s">
        <v>1084</v>
      </c>
      <c r="E266" t="s">
        <v>274</v>
      </c>
    </row>
    <row r="267" spans="1:5" x14ac:dyDescent="0.25">
      <c r="A267">
        <v>401039812</v>
      </c>
      <c r="B267">
        <v>400481628</v>
      </c>
      <c r="C267" t="s">
        <v>1085</v>
      </c>
      <c r="D267" t="s">
        <v>274</v>
      </c>
      <c r="E267" t="s">
        <v>730</v>
      </c>
    </row>
    <row r="268" spans="1:5" x14ac:dyDescent="0.25">
      <c r="A268">
        <v>400048227</v>
      </c>
      <c r="B268">
        <v>400508538</v>
      </c>
      <c r="C268" t="s">
        <v>230</v>
      </c>
      <c r="D268" t="s">
        <v>229</v>
      </c>
      <c r="E268" t="s">
        <v>730</v>
      </c>
    </row>
    <row r="269" spans="1:5" x14ac:dyDescent="0.25">
      <c r="A269" t="s">
        <v>1086</v>
      </c>
      <c r="B269">
        <v>400508538</v>
      </c>
      <c r="C269" t="s">
        <v>1087</v>
      </c>
      <c r="D269" t="s">
        <v>1088</v>
      </c>
      <c r="E269" t="s">
        <v>229</v>
      </c>
    </row>
    <row r="270" spans="1:5" x14ac:dyDescent="0.25">
      <c r="A270">
        <v>400145824</v>
      </c>
      <c r="B270">
        <v>400510825</v>
      </c>
      <c r="C270" t="s">
        <v>106</v>
      </c>
      <c r="D270" t="s">
        <v>1089</v>
      </c>
      <c r="E270" t="s">
        <v>104</v>
      </c>
    </row>
    <row r="271" spans="1:5" x14ac:dyDescent="0.25">
      <c r="A271">
        <v>401196672</v>
      </c>
      <c r="B271">
        <v>400510825</v>
      </c>
      <c r="C271" t="s">
        <v>1091</v>
      </c>
      <c r="D271" t="s">
        <v>1092</v>
      </c>
      <c r="E271" t="s">
        <v>104</v>
      </c>
    </row>
    <row r="272" spans="1:5" x14ac:dyDescent="0.25">
      <c r="A272">
        <v>401359639</v>
      </c>
      <c r="B272">
        <v>400510825</v>
      </c>
      <c r="C272" t="s">
        <v>106</v>
      </c>
      <c r="D272" t="s">
        <v>104</v>
      </c>
      <c r="E272" t="s">
        <v>730</v>
      </c>
    </row>
    <row r="273" spans="1:5" x14ac:dyDescent="0.25">
      <c r="A273" t="s">
        <v>1093</v>
      </c>
      <c r="B273">
        <v>400510825</v>
      </c>
      <c r="C273" t="s">
        <v>1094</v>
      </c>
      <c r="D273" t="s">
        <v>1090</v>
      </c>
      <c r="E273" t="s">
        <v>104</v>
      </c>
    </row>
    <row r="274" spans="1:5" x14ac:dyDescent="0.25">
      <c r="A274">
        <v>407374949</v>
      </c>
      <c r="B274">
        <v>400525702</v>
      </c>
      <c r="C274" t="s">
        <v>546</v>
      </c>
      <c r="D274" t="s">
        <v>555</v>
      </c>
      <c r="E274" t="s">
        <v>544</v>
      </c>
    </row>
    <row r="275" spans="1:5" x14ac:dyDescent="0.25">
      <c r="A275" t="s">
        <v>1095</v>
      </c>
      <c r="B275">
        <v>400525702</v>
      </c>
      <c r="C275" t="s">
        <v>1096</v>
      </c>
      <c r="D275" t="s">
        <v>1097</v>
      </c>
      <c r="E275" t="s">
        <v>544</v>
      </c>
    </row>
    <row r="276" spans="1:5" x14ac:dyDescent="0.25">
      <c r="A276" t="s">
        <v>545</v>
      </c>
      <c r="B276">
        <v>400525702</v>
      </c>
      <c r="C276" t="s">
        <v>546</v>
      </c>
      <c r="D276" t="s">
        <v>544</v>
      </c>
      <c r="E276" t="s">
        <v>730</v>
      </c>
    </row>
    <row r="277" spans="1:5" x14ac:dyDescent="0.25">
      <c r="A277">
        <v>400547671</v>
      </c>
      <c r="B277">
        <v>400548944</v>
      </c>
      <c r="C277" t="s">
        <v>590</v>
      </c>
      <c r="D277" t="s">
        <v>1098</v>
      </c>
      <c r="E277" t="s">
        <v>589</v>
      </c>
    </row>
    <row r="278" spans="1:5" x14ac:dyDescent="0.25">
      <c r="A278">
        <v>400848205</v>
      </c>
      <c r="B278">
        <v>400548944</v>
      </c>
      <c r="C278" t="s">
        <v>590</v>
      </c>
      <c r="D278" t="s">
        <v>1099</v>
      </c>
      <c r="E278" t="s">
        <v>589</v>
      </c>
    </row>
    <row r="279" spans="1:5" x14ac:dyDescent="0.25">
      <c r="A279">
        <v>417562446</v>
      </c>
      <c r="B279">
        <v>400548944</v>
      </c>
      <c r="C279" t="s">
        <v>590</v>
      </c>
      <c r="D279" t="s">
        <v>1100</v>
      </c>
      <c r="E279" t="s">
        <v>589</v>
      </c>
    </row>
    <row r="280" spans="1:5" x14ac:dyDescent="0.25">
      <c r="A280">
        <v>417983140</v>
      </c>
      <c r="B280">
        <v>400548944</v>
      </c>
      <c r="C280" t="s">
        <v>590</v>
      </c>
      <c r="D280" t="s">
        <v>589</v>
      </c>
      <c r="E280" t="s">
        <v>730</v>
      </c>
    </row>
    <row r="281" spans="1:5" x14ac:dyDescent="0.25">
      <c r="A281">
        <v>400584805</v>
      </c>
      <c r="B281">
        <v>400632302</v>
      </c>
      <c r="C281" t="s">
        <v>1101</v>
      </c>
      <c r="D281" t="s">
        <v>1102</v>
      </c>
      <c r="E281" t="s">
        <v>542</v>
      </c>
    </row>
    <row r="282" spans="1:5" x14ac:dyDescent="0.25">
      <c r="A282">
        <v>417983248</v>
      </c>
      <c r="B282">
        <v>400632302</v>
      </c>
      <c r="C282" t="s">
        <v>1101</v>
      </c>
      <c r="D282" t="s">
        <v>542</v>
      </c>
      <c r="E282" t="s">
        <v>730</v>
      </c>
    </row>
    <row r="283" spans="1:5" x14ac:dyDescent="0.25">
      <c r="A283" t="s">
        <v>1103</v>
      </c>
      <c r="B283">
        <v>400632302</v>
      </c>
      <c r="C283" t="s">
        <v>1101</v>
      </c>
      <c r="D283" t="s">
        <v>1104</v>
      </c>
      <c r="E283" t="s">
        <v>542</v>
      </c>
    </row>
    <row r="284" spans="1:5" x14ac:dyDescent="0.25">
      <c r="A284">
        <v>400584360</v>
      </c>
      <c r="B284">
        <v>400856302</v>
      </c>
      <c r="C284" t="s">
        <v>343</v>
      </c>
      <c r="D284" t="s">
        <v>342</v>
      </c>
      <c r="E284" t="s">
        <v>1107</v>
      </c>
    </row>
    <row r="285" spans="1:5" x14ac:dyDescent="0.25">
      <c r="A285">
        <v>400824254</v>
      </c>
      <c r="B285">
        <v>400856302</v>
      </c>
      <c r="C285" t="s">
        <v>343</v>
      </c>
      <c r="D285" t="s">
        <v>1105</v>
      </c>
      <c r="E285" t="s">
        <v>1107</v>
      </c>
    </row>
    <row r="286" spans="1:5" x14ac:dyDescent="0.25">
      <c r="A286">
        <v>401031844</v>
      </c>
      <c r="B286">
        <v>400856302</v>
      </c>
      <c r="C286" t="s">
        <v>343</v>
      </c>
      <c r="D286" t="s">
        <v>1106</v>
      </c>
      <c r="E286" t="s">
        <v>1107</v>
      </c>
    </row>
    <row r="287" spans="1:5" x14ac:dyDescent="0.25">
      <c r="A287">
        <v>401191575</v>
      </c>
      <c r="B287">
        <v>400856302</v>
      </c>
      <c r="C287" t="s">
        <v>343</v>
      </c>
      <c r="D287" t="s">
        <v>1107</v>
      </c>
      <c r="E287" t="s">
        <v>730</v>
      </c>
    </row>
    <row r="288" spans="1:5" x14ac:dyDescent="0.25">
      <c r="A288">
        <v>414572348</v>
      </c>
      <c r="B288">
        <v>400856302</v>
      </c>
      <c r="C288" t="s">
        <v>343</v>
      </c>
      <c r="D288" t="s">
        <v>1108</v>
      </c>
      <c r="E288" t="s">
        <v>1107</v>
      </c>
    </row>
    <row r="289" spans="1:5" x14ac:dyDescent="0.25">
      <c r="A289">
        <v>417221860</v>
      </c>
      <c r="B289">
        <v>400856302</v>
      </c>
      <c r="C289" t="s">
        <v>343</v>
      </c>
      <c r="D289" t="s">
        <v>1110</v>
      </c>
      <c r="E289" t="s">
        <v>1107</v>
      </c>
    </row>
    <row r="290" spans="1:5" x14ac:dyDescent="0.25">
      <c r="A290">
        <v>417221884</v>
      </c>
      <c r="B290">
        <v>400856302</v>
      </c>
      <c r="C290" t="s">
        <v>343</v>
      </c>
      <c r="D290" t="s">
        <v>1109</v>
      </c>
      <c r="E290" t="s">
        <v>1107</v>
      </c>
    </row>
    <row r="291" spans="1:5" x14ac:dyDescent="0.25">
      <c r="A291">
        <v>400030171</v>
      </c>
      <c r="B291">
        <v>400856507</v>
      </c>
      <c r="C291" t="s">
        <v>1111</v>
      </c>
      <c r="D291" t="s">
        <v>1112</v>
      </c>
      <c r="E291" t="s">
        <v>246</v>
      </c>
    </row>
    <row r="292" spans="1:5" x14ac:dyDescent="0.25">
      <c r="A292">
        <v>400567121</v>
      </c>
      <c r="B292">
        <v>400856507</v>
      </c>
      <c r="C292" t="s">
        <v>247</v>
      </c>
      <c r="D292" t="s">
        <v>246</v>
      </c>
      <c r="E292" t="s">
        <v>730</v>
      </c>
    </row>
    <row r="293" spans="1:5" x14ac:dyDescent="0.25">
      <c r="A293" t="s">
        <v>1113</v>
      </c>
      <c r="B293">
        <v>400856507</v>
      </c>
      <c r="C293" t="s">
        <v>1114</v>
      </c>
      <c r="D293" t="s">
        <v>1115</v>
      </c>
      <c r="E293" t="s">
        <v>246</v>
      </c>
    </row>
    <row r="294" spans="1:5" x14ac:dyDescent="0.25">
      <c r="A294">
        <v>400068581</v>
      </c>
      <c r="B294">
        <v>400856511</v>
      </c>
      <c r="C294" t="s">
        <v>588</v>
      </c>
      <c r="D294" t="s">
        <v>587</v>
      </c>
      <c r="E294" t="s">
        <v>730</v>
      </c>
    </row>
    <row r="295" spans="1:5" x14ac:dyDescent="0.25">
      <c r="A295" t="s">
        <v>1117</v>
      </c>
      <c r="B295">
        <v>400856511</v>
      </c>
      <c r="C295" t="s">
        <v>1118</v>
      </c>
      <c r="D295" t="s">
        <v>1116</v>
      </c>
      <c r="E295" t="s">
        <v>587</v>
      </c>
    </row>
    <row r="296" spans="1:5" x14ac:dyDescent="0.25">
      <c r="A296">
        <v>400599824</v>
      </c>
      <c r="B296">
        <v>400905890</v>
      </c>
      <c r="C296" t="s">
        <v>1119</v>
      </c>
      <c r="D296" t="s">
        <v>440</v>
      </c>
      <c r="E296" t="s">
        <v>1120</v>
      </c>
    </row>
    <row r="297" spans="1:5" x14ac:dyDescent="0.25">
      <c r="A297">
        <v>421658517</v>
      </c>
      <c r="B297">
        <v>400905890</v>
      </c>
      <c r="C297" t="s">
        <v>1119</v>
      </c>
      <c r="D297" t="s">
        <v>1120</v>
      </c>
      <c r="E297" t="s">
        <v>730</v>
      </c>
    </row>
    <row r="298" spans="1:5" x14ac:dyDescent="0.25">
      <c r="A298" t="s">
        <v>1121</v>
      </c>
      <c r="B298">
        <v>400905890</v>
      </c>
      <c r="C298" t="s">
        <v>1122</v>
      </c>
      <c r="D298" t="s">
        <v>1123</v>
      </c>
      <c r="E298" t="s">
        <v>1120</v>
      </c>
    </row>
    <row r="299" spans="1:5" x14ac:dyDescent="0.25">
      <c r="A299">
        <v>400828412</v>
      </c>
      <c r="B299">
        <v>400930961</v>
      </c>
      <c r="C299" t="s">
        <v>1124</v>
      </c>
      <c r="D299" t="s">
        <v>1125</v>
      </c>
      <c r="E299" t="s">
        <v>199</v>
      </c>
    </row>
    <row r="300" spans="1:5" x14ac:dyDescent="0.25">
      <c r="A300">
        <v>400923650</v>
      </c>
      <c r="B300">
        <v>400930961</v>
      </c>
      <c r="C300" t="s">
        <v>1126</v>
      </c>
      <c r="D300" t="s">
        <v>1127</v>
      </c>
      <c r="E300" t="s">
        <v>199</v>
      </c>
    </row>
    <row r="301" spans="1:5" x14ac:dyDescent="0.25">
      <c r="A301">
        <v>400929924</v>
      </c>
      <c r="B301">
        <v>400930961</v>
      </c>
      <c r="C301" t="s">
        <v>200</v>
      </c>
      <c r="D301" t="s">
        <v>199</v>
      </c>
      <c r="E301" t="s">
        <v>730</v>
      </c>
    </row>
    <row r="302" spans="1:5" x14ac:dyDescent="0.25">
      <c r="A302">
        <v>400479373</v>
      </c>
      <c r="B302">
        <v>401240059</v>
      </c>
      <c r="C302" t="s">
        <v>1128</v>
      </c>
      <c r="D302" t="s">
        <v>1129</v>
      </c>
      <c r="E302" t="s">
        <v>459</v>
      </c>
    </row>
    <row r="303" spans="1:5" x14ac:dyDescent="0.25">
      <c r="A303">
        <v>401308899</v>
      </c>
      <c r="B303">
        <v>401240059</v>
      </c>
      <c r="C303" t="s">
        <v>460</v>
      </c>
      <c r="D303" t="s">
        <v>459</v>
      </c>
      <c r="E303" t="s">
        <v>730</v>
      </c>
    </row>
    <row r="304" spans="1:5" x14ac:dyDescent="0.25">
      <c r="A304">
        <v>411170069</v>
      </c>
      <c r="B304">
        <v>401240059</v>
      </c>
      <c r="C304" t="s">
        <v>1128</v>
      </c>
      <c r="D304" t="s">
        <v>1130</v>
      </c>
      <c r="E304" t="s">
        <v>459</v>
      </c>
    </row>
    <row r="305" spans="1:5" x14ac:dyDescent="0.25">
      <c r="A305">
        <v>400124389</v>
      </c>
      <c r="B305">
        <v>401349439</v>
      </c>
      <c r="C305" t="s">
        <v>406</v>
      </c>
      <c r="D305" t="s">
        <v>1131</v>
      </c>
      <c r="E305" t="s">
        <v>405</v>
      </c>
    </row>
    <row r="306" spans="1:5" x14ac:dyDescent="0.25">
      <c r="A306">
        <v>401348252</v>
      </c>
      <c r="B306">
        <v>401349439</v>
      </c>
      <c r="C306" t="s">
        <v>406</v>
      </c>
      <c r="D306" t="s">
        <v>405</v>
      </c>
      <c r="E306" t="s">
        <v>730</v>
      </c>
    </row>
    <row r="307" spans="1:5" x14ac:dyDescent="0.25">
      <c r="A307">
        <v>400632633</v>
      </c>
      <c r="B307">
        <v>401424469</v>
      </c>
      <c r="C307" t="s">
        <v>1132</v>
      </c>
      <c r="D307" t="s">
        <v>1133</v>
      </c>
      <c r="E307" t="s">
        <v>308</v>
      </c>
    </row>
    <row r="308" spans="1:5" x14ac:dyDescent="0.25">
      <c r="A308">
        <v>401354460</v>
      </c>
      <c r="B308">
        <v>401424469</v>
      </c>
      <c r="C308" t="s">
        <v>309</v>
      </c>
      <c r="D308" t="s">
        <v>308</v>
      </c>
      <c r="E308" t="s">
        <v>730</v>
      </c>
    </row>
    <row r="309" spans="1:5" x14ac:dyDescent="0.25">
      <c r="A309">
        <v>400661728</v>
      </c>
      <c r="B309">
        <v>401502358</v>
      </c>
      <c r="C309" t="s">
        <v>600</v>
      </c>
      <c r="D309" t="s">
        <v>1134</v>
      </c>
      <c r="E309" t="s">
        <v>1136</v>
      </c>
    </row>
    <row r="310" spans="1:5" x14ac:dyDescent="0.25">
      <c r="A310">
        <v>401538961</v>
      </c>
      <c r="B310">
        <v>401502358</v>
      </c>
      <c r="C310" t="s">
        <v>1135</v>
      </c>
      <c r="D310" t="s">
        <v>1136</v>
      </c>
      <c r="E310" t="s">
        <v>730</v>
      </c>
    </row>
    <row r="311" spans="1:5" x14ac:dyDescent="0.25">
      <c r="A311">
        <v>417983133</v>
      </c>
      <c r="B311">
        <v>401502358</v>
      </c>
      <c r="C311" t="s">
        <v>600</v>
      </c>
      <c r="D311" t="s">
        <v>599</v>
      </c>
      <c r="E311" t="s">
        <v>1136</v>
      </c>
    </row>
    <row r="312" spans="1:5" x14ac:dyDescent="0.25">
      <c r="A312">
        <v>401190240</v>
      </c>
      <c r="B312">
        <v>401502386</v>
      </c>
      <c r="C312" t="s">
        <v>394</v>
      </c>
      <c r="D312" t="s">
        <v>1137</v>
      </c>
      <c r="E312" t="s">
        <v>393</v>
      </c>
    </row>
    <row r="313" spans="1:5" x14ac:dyDescent="0.25">
      <c r="A313">
        <v>401504556</v>
      </c>
      <c r="B313">
        <v>401502386</v>
      </c>
      <c r="C313" t="s">
        <v>394</v>
      </c>
      <c r="D313" t="s">
        <v>393</v>
      </c>
      <c r="E313" t="s">
        <v>730</v>
      </c>
    </row>
    <row r="314" spans="1:5" x14ac:dyDescent="0.25">
      <c r="A314">
        <v>401507372</v>
      </c>
      <c r="B314">
        <v>401502386</v>
      </c>
      <c r="C314" t="s">
        <v>394</v>
      </c>
      <c r="D314" t="s">
        <v>1138</v>
      </c>
      <c r="E314" t="s">
        <v>393</v>
      </c>
    </row>
    <row r="315" spans="1:5" x14ac:dyDescent="0.25">
      <c r="A315">
        <v>412788094</v>
      </c>
      <c r="B315">
        <v>401502386</v>
      </c>
      <c r="C315" t="s">
        <v>394</v>
      </c>
      <c r="D315" t="s">
        <v>1139</v>
      </c>
      <c r="E315" t="s">
        <v>393</v>
      </c>
    </row>
    <row r="316" spans="1:5" x14ac:dyDescent="0.25">
      <c r="A316">
        <v>417103911</v>
      </c>
      <c r="B316">
        <v>401502386</v>
      </c>
      <c r="C316" t="s">
        <v>394</v>
      </c>
      <c r="D316" t="s">
        <v>1141</v>
      </c>
      <c r="E316" t="s">
        <v>393</v>
      </c>
    </row>
    <row r="317" spans="1:5" x14ac:dyDescent="0.25">
      <c r="A317">
        <v>417350121</v>
      </c>
      <c r="B317">
        <v>401502386</v>
      </c>
      <c r="C317" t="s">
        <v>394</v>
      </c>
      <c r="D317" t="s">
        <v>1142</v>
      </c>
      <c r="E317" t="s">
        <v>393</v>
      </c>
    </row>
    <row r="318" spans="1:5" x14ac:dyDescent="0.25">
      <c r="A318">
        <v>417350140</v>
      </c>
      <c r="B318">
        <v>401502386</v>
      </c>
      <c r="C318" t="s">
        <v>394</v>
      </c>
      <c r="D318" t="s">
        <v>1140</v>
      </c>
      <c r="E318" t="s">
        <v>393</v>
      </c>
    </row>
    <row r="319" spans="1:5" x14ac:dyDescent="0.25">
      <c r="A319">
        <v>401494941</v>
      </c>
      <c r="B319">
        <v>401502387</v>
      </c>
      <c r="C319" t="s">
        <v>1143</v>
      </c>
      <c r="D319" t="s">
        <v>1144</v>
      </c>
      <c r="E319" t="s">
        <v>414</v>
      </c>
    </row>
    <row r="320" spans="1:5" x14ac:dyDescent="0.25">
      <c r="A320">
        <v>401507373</v>
      </c>
      <c r="B320">
        <v>401502387</v>
      </c>
      <c r="C320" t="s">
        <v>1143</v>
      </c>
      <c r="D320" t="s">
        <v>1145</v>
      </c>
      <c r="E320" t="s">
        <v>414</v>
      </c>
    </row>
    <row r="321" spans="1:5" x14ac:dyDescent="0.25">
      <c r="A321">
        <v>401507374</v>
      </c>
      <c r="B321">
        <v>401502387</v>
      </c>
      <c r="C321" t="s">
        <v>1143</v>
      </c>
      <c r="D321" t="s">
        <v>1146</v>
      </c>
      <c r="E321" t="s">
        <v>414</v>
      </c>
    </row>
    <row r="322" spans="1:5" x14ac:dyDescent="0.25">
      <c r="A322">
        <v>401523089</v>
      </c>
      <c r="B322">
        <v>401502387</v>
      </c>
      <c r="C322" t="s">
        <v>1143</v>
      </c>
      <c r="D322" t="s">
        <v>1147</v>
      </c>
      <c r="E322" t="s">
        <v>414</v>
      </c>
    </row>
    <row r="323" spans="1:5" x14ac:dyDescent="0.25">
      <c r="A323">
        <v>414202262</v>
      </c>
      <c r="B323">
        <v>401502387</v>
      </c>
      <c r="C323" t="s">
        <v>1143</v>
      </c>
      <c r="D323" t="s">
        <v>414</v>
      </c>
      <c r="E323" t="s">
        <v>730</v>
      </c>
    </row>
    <row r="324" spans="1:5" x14ac:dyDescent="0.25">
      <c r="A324">
        <v>417103920</v>
      </c>
      <c r="B324">
        <v>401502387</v>
      </c>
      <c r="C324" t="s">
        <v>1143</v>
      </c>
      <c r="D324" t="s">
        <v>1149</v>
      </c>
      <c r="E324" t="s">
        <v>414</v>
      </c>
    </row>
    <row r="325" spans="1:5" x14ac:dyDescent="0.25">
      <c r="A325">
        <v>417221852</v>
      </c>
      <c r="B325">
        <v>401502387</v>
      </c>
      <c r="C325" t="s">
        <v>1143</v>
      </c>
      <c r="D325" t="s">
        <v>1150</v>
      </c>
      <c r="E325" t="s">
        <v>414</v>
      </c>
    </row>
    <row r="326" spans="1:5" x14ac:dyDescent="0.25">
      <c r="A326">
        <v>417531787</v>
      </c>
      <c r="B326">
        <v>401502387</v>
      </c>
      <c r="C326" t="s">
        <v>1143</v>
      </c>
      <c r="D326" t="s">
        <v>1148</v>
      </c>
      <c r="E326" t="s">
        <v>414</v>
      </c>
    </row>
    <row r="327" spans="1:5" x14ac:dyDescent="0.25">
      <c r="A327">
        <v>401503301</v>
      </c>
      <c r="B327">
        <v>401502404</v>
      </c>
      <c r="C327" t="s">
        <v>387</v>
      </c>
      <c r="D327" t="s">
        <v>1151</v>
      </c>
      <c r="E327" t="s">
        <v>386</v>
      </c>
    </row>
    <row r="328" spans="1:5" x14ac:dyDescent="0.25">
      <c r="A328">
        <v>401511485</v>
      </c>
      <c r="B328">
        <v>401502404</v>
      </c>
      <c r="C328" t="s">
        <v>387</v>
      </c>
      <c r="D328" t="s">
        <v>1152</v>
      </c>
      <c r="E328" t="s">
        <v>386</v>
      </c>
    </row>
    <row r="329" spans="1:5" x14ac:dyDescent="0.25">
      <c r="A329">
        <v>401554938</v>
      </c>
      <c r="B329">
        <v>401502404</v>
      </c>
      <c r="C329" t="s">
        <v>387</v>
      </c>
      <c r="D329" t="s">
        <v>386</v>
      </c>
      <c r="E329" t="s">
        <v>730</v>
      </c>
    </row>
    <row r="330" spans="1:5" x14ac:dyDescent="0.25">
      <c r="A330">
        <v>402004734</v>
      </c>
      <c r="B330">
        <v>401502404</v>
      </c>
      <c r="C330" t="s">
        <v>387</v>
      </c>
      <c r="D330" t="s">
        <v>1153</v>
      </c>
      <c r="E330" t="s">
        <v>386</v>
      </c>
    </row>
    <row r="331" spans="1:5" x14ac:dyDescent="0.25">
      <c r="A331">
        <v>417103921</v>
      </c>
      <c r="B331">
        <v>401502404</v>
      </c>
      <c r="C331" t="s">
        <v>387</v>
      </c>
      <c r="D331" t="s">
        <v>1154</v>
      </c>
      <c r="E331" t="s">
        <v>386</v>
      </c>
    </row>
    <row r="332" spans="1:5" x14ac:dyDescent="0.25">
      <c r="A332">
        <v>417350080</v>
      </c>
      <c r="B332">
        <v>401502404</v>
      </c>
      <c r="C332" t="s">
        <v>387</v>
      </c>
      <c r="D332" t="s">
        <v>1155</v>
      </c>
      <c r="E332" t="s">
        <v>386</v>
      </c>
    </row>
    <row r="333" spans="1:5" x14ac:dyDescent="0.25">
      <c r="A333">
        <v>401516870</v>
      </c>
      <c r="B333">
        <v>401502416</v>
      </c>
      <c r="C333" t="s">
        <v>529</v>
      </c>
      <c r="D333" t="s">
        <v>1156</v>
      </c>
      <c r="E333" t="s">
        <v>528</v>
      </c>
    </row>
    <row r="334" spans="1:5" x14ac:dyDescent="0.25">
      <c r="A334">
        <v>405592612</v>
      </c>
      <c r="B334">
        <v>401502416</v>
      </c>
      <c r="C334" t="s">
        <v>529</v>
      </c>
      <c r="D334" t="s">
        <v>528</v>
      </c>
      <c r="E334" t="s">
        <v>730</v>
      </c>
    </row>
    <row r="335" spans="1:5" x14ac:dyDescent="0.25">
      <c r="A335">
        <v>417983109</v>
      </c>
      <c r="B335">
        <v>401502416</v>
      </c>
      <c r="C335" t="s">
        <v>529</v>
      </c>
      <c r="D335" t="s">
        <v>1157</v>
      </c>
      <c r="E335" t="s">
        <v>528</v>
      </c>
    </row>
    <row r="336" spans="1:5" x14ac:dyDescent="0.25">
      <c r="A336">
        <v>401533494</v>
      </c>
      <c r="B336">
        <v>401534525</v>
      </c>
      <c r="C336" t="s">
        <v>527</v>
      </c>
      <c r="D336" t="s">
        <v>526</v>
      </c>
      <c r="E336" t="s">
        <v>730</v>
      </c>
    </row>
    <row r="337" spans="1:5" x14ac:dyDescent="0.25">
      <c r="A337" t="s">
        <v>1158</v>
      </c>
      <c r="B337">
        <v>401534525</v>
      </c>
      <c r="C337" t="s">
        <v>1159</v>
      </c>
      <c r="D337" t="s">
        <v>1160</v>
      </c>
      <c r="E337" t="s">
        <v>526</v>
      </c>
    </row>
    <row r="338" spans="1:5" x14ac:dyDescent="0.25">
      <c r="A338">
        <v>400178372</v>
      </c>
      <c r="B338">
        <v>402527757</v>
      </c>
      <c r="C338" t="s">
        <v>1161</v>
      </c>
      <c r="D338" t="s">
        <v>1162</v>
      </c>
      <c r="E338" t="s">
        <v>463</v>
      </c>
    </row>
    <row r="339" spans="1:5" x14ac:dyDescent="0.25">
      <c r="A339">
        <v>400332707</v>
      </c>
      <c r="B339">
        <v>402527757</v>
      </c>
      <c r="C339" t="s">
        <v>1161</v>
      </c>
      <c r="D339" t="s">
        <v>1163</v>
      </c>
      <c r="E339" t="s">
        <v>463</v>
      </c>
    </row>
    <row r="340" spans="1:5" x14ac:dyDescent="0.25">
      <c r="A340">
        <v>400570109</v>
      </c>
      <c r="B340">
        <v>402527757</v>
      </c>
      <c r="C340" t="s">
        <v>1161</v>
      </c>
      <c r="D340" t="s">
        <v>1164</v>
      </c>
      <c r="E340" t="s">
        <v>463</v>
      </c>
    </row>
    <row r="341" spans="1:5" x14ac:dyDescent="0.25">
      <c r="A341">
        <v>402509311</v>
      </c>
      <c r="B341">
        <v>402527757</v>
      </c>
      <c r="C341" t="s">
        <v>1161</v>
      </c>
      <c r="D341" t="s">
        <v>1165</v>
      </c>
      <c r="E341" t="s">
        <v>463</v>
      </c>
    </row>
    <row r="342" spans="1:5" x14ac:dyDescent="0.25">
      <c r="A342">
        <v>405072786</v>
      </c>
      <c r="B342">
        <v>402527757</v>
      </c>
      <c r="C342" t="s">
        <v>464</v>
      </c>
      <c r="D342" t="s">
        <v>463</v>
      </c>
      <c r="E342" t="s">
        <v>730</v>
      </c>
    </row>
    <row r="343" spans="1:5" x14ac:dyDescent="0.25">
      <c r="A343">
        <v>418661056</v>
      </c>
      <c r="B343">
        <v>402527757</v>
      </c>
      <c r="C343" t="s">
        <v>1161</v>
      </c>
      <c r="D343" t="s">
        <v>1166</v>
      </c>
      <c r="E343" t="s">
        <v>463</v>
      </c>
    </row>
    <row r="344" spans="1:5" x14ac:dyDescent="0.25">
      <c r="A344">
        <v>400169928</v>
      </c>
      <c r="B344">
        <v>403175049</v>
      </c>
      <c r="C344" t="s">
        <v>1167</v>
      </c>
      <c r="D344" t="s">
        <v>1168</v>
      </c>
      <c r="E344" t="s">
        <v>241</v>
      </c>
    </row>
    <row r="345" spans="1:5" x14ac:dyDescent="0.25">
      <c r="A345">
        <v>401354469</v>
      </c>
      <c r="B345">
        <v>403175049</v>
      </c>
      <c r="C345" t="s">
        <v>1167</v>
      </c>
      <c r="D345" t="s">
        <v>1170</v>
      </c>
      <c r="E345" t="s">
        <v>241</v>
      </c>
    </row>
    <row r="346" spans="1:5" x14ac:dyDescent="0.25">
      <c r="A346">
        <v>402192622</v>
      </c>
      <c r="B346">
        <v>403175049</v>
      </c>
      <c r="C346" t="s">
        <v>1167</v>
      </c>
      <c r="D346" t="s">
        <v>1171</v>
      </c>
      <c r="E346" t="s">
        <v>241</v>
      </c>
    </row>
    <row r="347" spans="1:5" x14ac:dyDescent="0.25">
      <c r="A347">
        <v>404482072</v>
      </c>
      <c r="B347">
        <v>403175049</v>
      </c>
      <c r="C347" t="s">
        <v>1167</v>
      </c>
      <c r="D347" t="s">
        <v>1169</v>
      </c>
      <c r="E347" t="s">
        <v>241</v>
      </c>
    </row>
    <row r="348" spans="1:5" x14ac:dyDescent="0.25">
      <c r="A348">
        <v>405656805</v>
      </c>
      <c r="B348">
        <v>403175049</v>
      </c>
      <c r="C348" t="s">
        <v>1167</v>
      </c>
      <c r="D348" t="s">
        <v>241</v>
      </c>
      <c r="E348" t="s">
        <v>730</v>
      </c>
    </row>
    <row r="349" spans="1:5" x14ac:dyDescent="0.25">
      <c r="A349">
        <v>403834743</v>
      </c>
      <c r="B349">
        <v>403846544</v>
      </c>
      <c r="C349" t="s">
        <v>476</v>
      </c>
      <c r="D349" t="s">
        <v>475</v>
      </c>
      <c r="E349" t="s">
        <v>1172</v>
      </c>
    </row>
    <row r="350" spans="1:5" x14ac:dyDescent="0.25">
      <c r="A350">
        <v>411063847</v>
      </c>
      <c r="B350">
        <v>403846544</v>
      </c>
      <c r="C350" t="s">
        <v>1173</v>
      </c>
      <c r="D350" t="s">
        <v>1172</v>
      </c>
      <c r="E350" t="s">
        <v>730</v>
      </c>
    </row>
    <row r="351" spans="1:5" x14ac:dyDescent="0.25">
      <c r="A351">
        <v>424270748</v>
      </c>
      <c r="B351">
        <v>403846544</v>
      </c>
      <c r="C351" t="s">
        <v>476</v>
      </c>
      <c r="D351" t="s">
        <v>1174</v>
      </c>
      <c r="E351" t="s">
        <v>1172</v>
      </c>
    </row>
    <row r="352" spans="1:5" x14ac:dyDescent="0.25">
      <c r="A352" t="s">
        <v>1175</v>
      </c>
      <c r="B352">
        <v>403846544</v>
      </c>
      <c r="C352" t="s">
        <v>476</v>
      </c>
      <c r="D352" t="s">
        <v>1176</v>
      </c>
      <c r="E352" t="s">
        <v>1172</v>
      </c>
    </row>
    <row r="353" spans="1:5" x14ac:dyDescent="0.25">
      <c r="A353">
        <v>403834702</v>
      </c>
      <c r="B353">
        <v>403846606</v>
      </c>
      <c r="C353" t="s">
        <v>1177</v>
      </c>
      <c r="D353" t="s">
        <v>1178</v>
      </c>
      <c r="E353" t="s">
        <v>692</v>
      </c>
    </row>
    <row r="354" spans="1:5" x14ac:dyDescent="0.25">
      <c r="A354">
        <v>411063876</v>
      </c>
      <c r="B354">
        <v>403846606</v>
      </c>
      <c r="C354" t="s">
        <v>693</v>
      </c>
      <c r="D354" t="s">
        <v>692</v>
      </c>
      <c r="E354" t="s">
        <v>730</v>
      </c>
    </row>
    <row r="355" spans="1:5" x14ac:dyDescent="0.25">
      <c r="A355">
        <v>417983168</v>
      </c>
      <c r="B355">
        <v>403846606</v>
      </c>
      <c r="C355" t="s">
        <v>1177</v>
      </c>
      <c r="D355" t="s">
        <v>1179</v>
      </c>
      <c r="E355" t="s">
        <v>692</v>
      </c>
    </row>
    <row r="356" spans="1:5" x14ac:dyDescent="0.25">
      <c r="A356" t="s">
        <v>1180</v>
      </c>
      <c r="B356">
        <v>403846606</v>
      </c>
      <c r="C356" t="s">
        <v>1177</v>
      </c>
      <c r="D356" t="s">
        <v>1181</v>
      </c>
      <c r="E356" t="s">
        <v>692</v>
      </c>
    </row>
    <row r="357" spans="1:5" x14ac:dyDescent="0.25">
      <c r="A357">
        <v>418688952</v>
      </c>
      <c r="B357">
        <v>404396922</v>
      </c>
      <c r="C357" t="s">
        <v>235</v>
      </c>
      <c r="D357" t="s">
        <v>1182</v>
      </c>
      <c r="E357" t="s">
        <v>730</v>
      </c>
    </row>
    <row r="358" spans="1:5" x14ac:dyDescent="0.25">
      <c r="A358">
        <v>421088944</v>
      </c>
      <c r="B358">
        <v>404396922</v>
      </c>
      <c r="C358" t="s">
        <v>235</v>
      </c>
      <c r="D358" t="s">
        <v>234</v>
      </c>
      <c r="E358" t="s">
        <v>1182</v>
      </c>
    </row>
    <row r="359" spans="1:5" x14ac:dyDescent="0.25">
      <c r="A359">
        <v>403776060</v>
      </c>
      <c r="B359">
        <v>405046714</v>
      </c>
      <c r="C359" t="s">
        <v>84</v>
      </c>
      <c r="D359" t="s">
        <v>1183</v>
      </c>
      <c r="E359" t="s">
        <v>83</v>
      </c>
    </row>
    <row r="360" spans="1:5" x14ac:dyDescent="0.25">
      <c r="A360">
        <v>405043942</v>
      </c>
      <c r="B360">
        <v>405046714</v>
      </c>
      <c r="C360" t="s">
        <v>84</v>
      </c>
      <c r="D360" t="s">
        <v>83</v>
      </c>
      <c r="E360" t="s">
        <v>730</v>
      </c>
    </row>
    <row r="361" spans="1:5" x14ac:dyDescent="0.25">
      <c r="A361">
        <v>400019835</v>
      </c>
      <c r="B361">
        <v>405536567</v>
      </c>
      <c r="C361" t="s">
        <v>1184</v>
      </c>
      <c r="D361" t="s">
        <v>1185</v>
      </c>
      <c r="E361" t="s">
        <v>1186</v>
      </c>
    </row>
    <row r="362" spans="1:5" x14ac:dyDescent="0.25">
      <c r="A362">
        <v>405530594</v>
      </c>
      <c r="B362">
        <v>405536567</v>
      </c>
      <c r="C362" t="s">
        <v>502</v>
      </c>
      <c r="D362" t="s">
        <v>501</v>
      </c>
      <c r="E362" t="s">
        <v>1186</v>
      </c>
    </row>
    <row r="363" spans="1:5" x14ac:dyDescent="0.25">
      <c r="A363">
        <v>407968290</v>
      </c>
      <c r="B363">
        <v>405536567</v>
      </c>
      <c r="C363" t="s">
        <v>1187</v>
      </c>
      <c r="D363" t="s">
        <v>1186</v>
      </c>
      <c r="E363" t="s">
        <v>730</v>
      </c>
    </row>
    <row r="364" spans="1:5" x14ac:dyDescent="0.25">
      <c r="A364">
        <v>401461708</v>
      </c>
      <c r="B364">
        <v>405816828</v>
      </c>
      <c r="C364" t="s">
        <v>290</v>
      </c>
      <c r="D364" t="s">
        <v>289</v>
      </c>
      <c r="E364" t="s">
        <v>730</v>
      </c>
    </row>
    <row r="365" spans="1:5" x14ac:dyDescent="0.25">
      <c r="A365">
        <v>409210799</v>
      </c>
      <c r="B365">
        <v>405816828</v>
      </c>
      <c r="C365" t="s">
        <v>290</v>
      </c>
      <c r="D365" t="s">
        <v>1188</v>
      </c>
      <c r="E365" t="s">
        <v>289</v>
      </c>
    </row>
    <row r="366" spans="1:5" x14ac:dyDescent="0.25">
      <c r="A366">
        <v>400976945</v>
      </c>
      <c r="B366">
        <v>405876630</v>
      </c>
      <c r="C366" t="s">
        <v>1189</v>
      </c>
      <c r="D366" t="s">
        <v>1190</v>
      </c>
      <c r="E366" t="s">
        <v>212</v>
      </c>
    </row>
    <row r="367" spans="1:5" x14ac:dyDescent="0.25">
      <c r="A367">
        <v>405852894</v>
      </c>
      <c r="B367">
        <v>405876630</v>
      </c>
      <c r="C367" t="s">
        <v>213</v>
      </c>
      <c r="D367" t="s">
        <v>212</v>
      </c>
      <c r="E367" t="s">
        <v>730</v>
      </c>
    </row>
    <row r="368" spans="1:5" x14ac:dyDescent="0.25">
      <c r="A368">
        <v>406318150</v>
      </c>
      <c r="B368">
        <v>406426682</v>
      </c>
      <c r="C368" t="s">
        <v>1191</v>
      </c>
      <c r="D368" t="s">
        <v>1192</v>
      </c>
      <c r="E368" t="s">
        <v>358</v>
      </c>
    </row>
    <row r="369" spans="1:5" x14ac:dyDescent="0.25">
      <c r="A369" t="s">
        <v>359</v>
      </c>
      <c r="B369">
        <v>406426682</v>
      </c>
      <c r="C369" t="s">
        <v>360</v>
      </c>
      <c r="D369" t="s">
        <v>358</v>
      </c>
      <c r="E369" t="s">
        <v>730</v>
      </c>
    </row>
    <row r="370" spans="1:5" x14ac:dyDescent="0.25">
      <c r="A370">
        <v>401214473</v>
      </c>
      <c r="B370">
        <v>406483066</v>
      </c>
      <c r="C370" t="s">
        <v>1193</v>
      </c>
      <c r="D370" t="s">
        <v>1194</v>
      </c>
      <c r="E370" t="s">
        <v>488</v>
      </c>
    </row>
    <row r="371" spans="1:5" x14ac:dyDescent="0.25">
      <c r="A371">
        <v>402098063</v>
      </c>
      <c r="B371">
        <v>406483066</v>
      </c>
      <c r="C371" t="s">
        <v>1195</v>
      </c>
      <c r="D371" t="s">
        <v>1196</v>
      </c>
      <c r="E371" t="s">
        <v>488</v>
      </c>
    </row>
    <row r="372" spans="1:5" x14ac:dyDescent="0.25">
      <c r="A372">
        <v>405584339</v>
      </c>
      <c r="B372">
        <v>406483066</v>
      </c>
      <c r="C372" t="s">
        <v>489</v>
      </c>
      <c r="D372" t="s">
        <v>488</v>
      </c>
      <c r="E372" t="s">
        <v>730</v>
      </c>
    </row>
    <row r="373" spans="1:5" x14ac:dyDescent="0.25">
      <c r="A373">
        <v>406473526</v>
      </c>
      <c r="B373">
        <v>406483066</v>
      </c>
      <c r="C373" t="s">
        <v>1195</v>
      </c>
      <c r="D373" t="s">
        <v>1197</v>
      </c>
      <c r="E373" t="s">
        <v>488</v>
      </c>
    </row>
    <row r="374" spans="1:5" x14ac:dyDescent="0.25">
      <c r="A374">
        <v>401181696</v>
      </c>
      <c r="B374">
        <v>406565026</v>
      </c>
      <c r="C374" t="s">
        <v>423</v>
      </c>
      <c r="D374" t="s">
        <v>1198</v>
      </c>
      <c r="E374" t="s">
        <v>422</v>
      </c>
    </row>
    <row r="375" spans="1:5" x14ac:dyDescent="0.25">
      <c r="A375">
        <v>406564380</v>
      </c>
      <c r="B375">
        <v>406565026</v>
      </c>
      <c r="C375" t="s">
        <v>423</v>
      </c>
      <c r="D375" t="s">
        <v>422</v>
      </c>
      <c r="E375" t="s">
        <v>730</v>
      </c>
    </row>
    <row r="376" spans="1:5" x14ac:dyDescent="0.25">
      <c r="A376">
        <v>400605229</v>
      </c>
      <c r="B376">
        <v>407186491</v>
      </c>
      <c r="C376" t="s">
        <v>1199</v>
      </c>
      <c r="D376" t="s">
        <v>1200</v>
      </c>
      <c r="E376" t="s">
        <v>444</v>
      </c>
    </row>
    <row r="377" spans="1:5" x14ac:dyDescent="0.25">
      <c r="A377">
        <v>407184523</v>
      </c>
      <c r="B377">
        <v>407186491</v>
      </c>
      <c r="C377" t="s">
        <v>1199</v>
      </c>
      <c r="D377" t="s">
        <v>444</v>
      </c>
      <c r="E377" t="s">
        <v>730</v>
      </c>
    </row>
    <row r="378" spans="1:5" x14ac:dyDescent="0.25">
      <c r="A378">
        <v>401273525</v>
      </c>
      <c r="B378">
        <v>408269977</v>
      </c>
      <c r="C378" t="s">
        <v>1201</v>
      </c>
      <c r="D378" t="s">
        <v>1202</v>
      </c>
      <c r="E378" t="s">
        <v>495</v>
      </c>
    </row>
    <row r="379" spans="1:5" x14ac:dyDescent="0.25">
      <c r="A379">
        <v>408260904</v>
      </c>
      <c r="B379">
        <v>408269977</v>
      </c>
      <c r="C379" t="s">
        <v>1203</v>
      </c>
      <c r="D379" t="s">
        <v>495</v>
      </c>
      <c r="E379" t="s">
        <v>730</v>
      </c>
    </row>
    <row r="380" spans="1:5" x14ac:dyDescent="0.25">
      <c r="A380">
        <v>400675977</v>
      </c>
      <c r="B380">
        <v>411160889</v>
      </c>
      <c r="C380" t="s">
        <v>1204</v>
      </c>
      <c r="D380" t="s">
        <v>1205</v>
      </c>
      <c r="E380" t="s">
        <v>450</v>
      </c>
    </row>
    <row r="381" spans="1:5" x14ac:dyDescent="0.25">
      <c r="A381">
        <v>411142198</v>
      </c>
      <c r="B381">
        <v>411160889</v>
      </c>
      <c r="C381" t="s">
        <v>1204</v>
      </c>
      <c r="D381" t="s">
        <v>1206</v>
      </c>
      <c r="E381" t="s">
        <v>450</v>
      </c>
    </row>
    <row r="382" spans="1:5" x14ac:dyDescent="0.25">
      <c r="A382">
        <v>417531785</v>
      </c>
      <c r="B382">
        <v>411160889</v>
      </c>
      <c r="C382" t="s">
        <v>1204</v>
      </c>
      <c r="D382" t="s">
        <v>450</v>
      </c>
      <c r="E382" t="s">
        <v>730</v>
      </c>
    </row>
    <row r="383" spans="1:5" x14ac:dyDescent="0.25">
      <c r="A383">
        <v>413047332</v>
      </c>
      <c r="B383">
        <v>413064801</v>
      </c>
      <c r="C383" t="s">
        <v>150</v>
      </c>
      <c r="D383" t="s">
        <v>149</v>
      </c>
      <c r="E383" t="s">
        <v>730</v>
      </c>
    </row>
    <row r="384" spans="1:5" x14ac:dyDescent="0.25">
      <c r="A384">
        <v>421895127</v>
      </c>
      <c r="B384">
        <v>413064801</v>
      </c>
      <c r="C384" t="s">
        <v>1207</v>
      </c>
      <c r="D384" t="s">
        <v>1208</v>
      </c>
      <c r="E384" t="s">
        <v>149</v>
      </c>
    </row>
    <row r="385" spans="1:5" x14ac:dyDescent="0.25">
      <c r="A385">
        <v>512217308</v>
      </c>
      <c r="B385">
        <v>413820561</v>
      </c>
      <c r="C385" t="s">
        <v>419</v>
      </c>
      <c r="D385" t="s">
        <v>1209</v>
      </c>
      <c r="E385" t="s">
        <v>418</v>
      </c>
    </row>
    <row r="386" spans="1:5" x14ac:dyDescent="0.25">
      <c r="A386">
        <v>512306770</v>
      </c>
      <c r="B386">
        <v>413820561</v>
      </c>
      <c r="C386" t="s">
        <v>419</v>
      </c>
      <c r="D386" t="s">
        <v>418</v>
      </c>
      <c r="E386" t="s">
        <v>730</v>
      </c>
    </row>
    <row r="387" spans="1:5" x14ac:dyDescent="0.25">
      <c r="A387">
        <v>414282400</v>
      </c>
      <c r="B387">
        <v>414290600</v>
      </c>
      <c r="C387" t="s">
        <v>137</v>
      </c>
      <c r="D387" t="s">
        <v>136</v>
      </c>
      <c r="E387" t="s">
        <v>730</v>
      </c>
    </row>
    <row r="388" spans="1:5" x14ac:dyDescent="0.25">
      <c r="A388">
        <v>421058963</v>
      </c>
      <c r="B388">
        <v>414290600</v>
      </c>
      <c r="C388" t="s">
        <v>1210</v>
      </c>
      <c r="D388" t="s">
        <v>1211</v>
      </c>
      <c r="E388" t="s">
        <v>136</v>
      </c>
    </row>
    <row r="389" spans="1:5" x14ac:dyDescent="0.25">
      <c r="A389">
        <v>400257863</v>
      </c>
      <c r="B389">
        <v>415712344</v>
      </c>
      <c r="C389" t="s">
        <v>1212</v>
      </c>
      <c r="D389" t="s">
        <v>1213</v>
      </c>
      <c r="E389" t="s">
        <v>203</v>
      </c>
    </row>
    <row r="390" spans="1:5" x14ac:dyDescent="0.25">
      <c r="A390">
        <v>404179667</v>
      </c>
      <c r="B390">
        <v>415712344</v>
      </c>
      <c r="C390" t="s">
        <v>204</v>
      </c>
      <c r="D390" t="s">
        <v>203</v>
      </c>
      <c r="E390" t="s">
        <v>730</v>
      </c>
    </row>
    <row r="391" spans="1:5" x14ac:dyDescent="0.25">
      <c r="A391">
        <v>400118821</v>
      </c>
      <c r="B391">
        <v>415895808</v>
      </c>
      <c r="C391" t="s">
        <v>1214</v>
      </c>
      <c r="D391" t="s">
        <v>1215</v>
      </c>
      <c r="E391" t="s">
        <v>132</v>
      </c>
    </row>
    <row r="392" spans="1:5" x14ac:dyDescent="0.25">
      <c r="A392">
        <v>400359927</v>
      </c>
      <c r="B392">
        <v>415895808</v>
      </c>
      <c r="C392" t="s">
        <v>133</v>
      </c>
      <c r="D392" t="s">
        <v>132</v>
      </c>
      <c r="E392" t="s">
        <v>730</v>
      </c>
    </row>
    <row r="393" spans="1:5" x14ac:dyDescent="0.25">
      <c r="A393">
        <v>400416555</v>
      </c>
      <c r="B393">
        <v>417372705</v>
      </c>
      <c r="C393" t="s">
        <v>300</v>
      </c>
      <c r="D393" t="s">
        <v>299</v>
      </c>
      <c r="E393" t="s">
        <v>730</v>
      </c>
    </row>
    <row r="394" spans="1:5" x14ac:dyDescent="0.25">
      <c r="A394">
        <v>417372612</v>
      </c>
      <c r="B394">
        <v>417372705</v>
      </c>
      <c r="C394" t="s">
        <v>300</v>
      </c>
      <c r="D394" t="s">
        <v>1216</v>
      </c>
      <c r="E394" t="s">
        <v>299</v>
      </c>
    </row>
    <row r="395" spans="1:5" x14ac:dyDescent="0.25">
      <c r="A395">
        <v>402125924</v>
      </c>
      <c r="B395">
        <v>417493482</v>
      </c>
      <c r="C395" t="s">
        <v>514</v>
      </c>
      <c r="D395" t="s">
        <v>513</v>
      </c>
      <c r="E395" t="s">
        <v>730</v>
      </c>
    </row>
    <row r="396" spans="1:5" x14ac:dyDescent="0.25">
      <c r="A396">
        <v>417350130</v>
      </c>
      <c r="B396">
        <v>417493482</v>
      </c>
      <c r="C396" t="s">
        <v>514</v>
      </c>
      <c r="D396" t="s">
        <v>1217</v>
      </c>
      <c r="E396" t="s">
        <v>513</v>
      </c>
    </row>
    <row r="397" spans="1:5" x14ac:dyDescent="0.25">
      <c r="A397">
        <v>417350145</v>
      </c>
      <c r="B397">
        <v>417493482</v>
      </c>
      <c r="C397" t="s">
        <v>514</v>
      </c>
      <c r="D397" t="s">
        <v>1218</v>
      </c>
      <c r="E397" t="s">
        <v>513</v>
      </c>
    </row>
    <row r="398" spans="1:5" x14ac:dyDescent="0.25">
      <c r="A398">
        <v>400460295</v>
      </c>
      <c r="B398">
        <v>418062769</v>
      </c>
      <c r="C398" t="s">
        <v>563</v>
      </c>
      <c r="D398" t="s">
        <v>1219</v>
      </c>
      <c r="E398" t="s">
        <v>562</v>
      </c>
    </row>
    <row r="399" spans="1:5" x14ac:dyDescent="0.25">
      <c r="A399">
        <v>417983177</v>
      </c>
      <c r="B399">
        <v>418062769</v>
      </c>
      <c r="C399" t="s">
        <v>563</v>
      </c>
      <c r="D399" t="s">
        <v>562</v>
      </c>
      <c r="E399" t="s">
        <v>730</v>
      </c>
    </row>
    <row r="400" spans="1:5" x14ac:dyDescent="0.25">
      <c r="A400">
        <v>400306995</v>
      </c>
      <c r="B400">
        <v>421264894</v>
      </c>
      <c r="C400" t="s">
        <v>531</v>
      </c>
      <c r="D400" t="s">
        <v>1220</v>
      </c>
      <c r="E400" t="s">
        <v>530</v>
      </c>
    </row>
    <row r="401" spans="1:5" x14ac:dyDescent="0.25">
      <c r="A401">
        <v>421264840</v>
      </c>
      <c r="B401">
        <v>421264894</v>
      </c>
      <c r="C401" t="s">
        <v>531</v>
      </c>
      <c r="D401" t="s">
        <v>530</v>
      </c>
      <c r="E401" t="s">
        <v>730</v>
      </c>
    </row>
    <row r="402" spans="1:5" x14ac:dyDescent="0.25">
      <c r="A402">
        <v>401349548</v>
      </c>
      <c r="B402">
        <v>421403401</v>
      </c>
      <c r="C402" t="s">
        <v>226</v>
      </c>
      <c r="D402" t="s">
        <v>225</v>
      </c>
      <c r="E402" t="s">
        <v>730</v>
      </c>
    </row>
    <row r="403" spans="1:5" x14ac:dyDescent="0.25">
      <c r="A403">
        <v>402415464</v>
      </c>
      <c r="B403">
        <v>421403401</v>
      </c>
      <c r="C403" t="s">
        <v>226</v>
      </c>
      <c r="D403" t="s">
        <v>1221</v>
      </c>
      <c r="E403" t="s">
        <v>225</v>
      </c>
    </row>
    <row r="404" spans="1:5" x14ac:dyDescent="0.25">
      <c r="A404">
        <v>421375264</v>
      </c>
      <c r="B404">
        <v>421403401</v>
      </c>
      <c r="C404" t="s">
        <v>1222</v>
      </c>
      <c r="D404" t="s">
        <v>1223</v>
      </c>
      <c r="E404" t="s">
        <v>225</v>
      </c>
    </row>
    <row r="405" spans="1:5" x14ac:dyDescent="0.25">
      <c r="A405">
        <v>401033906</v>
      </c>
      <c r="B405">
        <v>422391275</v>
      </c>
      <c r="C405" t="s">
        <v>1224</v>
      </c>
      <c r="D405" t="s">
        <v>1225</v>
      </c>
      <c r="E405" t="s">
        <v>426</v>
      </c>
    </row>
    <row r="406" spans="1:5" x14ac:dyDescent="0.25">
      <c r="A406">
        <v>402215679</v>
      </c>
      <c r="B406">
        <v>422391275</v>
      </c>
      <c r="C406" t="s">
        <v>1224</v>
      </c>
      <c r="D406" t="s">
        <v>426</v>
      </c>
      <c r="E406" t="s">
        <v>730</v>
      </c>
    </row>
    <row r="407" spans="1:5" x14ac:dyDescent="0.25">
      <c r="A407">
        <v>401244497</v>
      </c>
      <c r="B407" t="s">
        <v>1226</v>
      </c>
      <c r="C407" t="s">
        <v>1233</v>
      </c>
      <c r="D407" t="s">
        <v>1234</v>
      </c>
      <c r="E407" t="s">
        <v>524</v>
      </c>
    </row>
    <row r="408" spans="1:5" x14ac:dyDescent="0.25">
      <c r="A408">
        <v>401480774</v>
      </c>
      <c r="B408" t="s">
        <v>1226</v>
      </c>
      <c r="C408" t="s">
        <v>525</v>
      </c>
      <c r="D408" t="s">
        <v>524</v>
      </c>
      <c r="E408" t="s">
        <v>730</v>
      </c>
    </row>
    <row r="409" spans="1:5" x14ac:dyDescent="0.25">
      <c r="A409" t="s">
        <v>1228</v>
      </c>
      <c r="B409" t="s">
        <v>1226</v>
      </c>
      <c r="C409" t="s">
        <v>1229</v>
      </c>
      <c r="D409" t="s">
        <v>1230</v>
      </c>
      <c r="E409" t="s">
        <v>524</v>
      </c>
    </row>
    <row r="410" spans="1:5" x14ac:dyDescent="0.25">
      <c r="A410" t="s">
        <v>1231</v>
      </c>
      <c r="B410" t="s">
        <v>1226</v>
      </c>
      <c r="C410" t="s">
        <v>1232</v>
      </c>
      <c r="D410" t="s">
        <v>1227</v>
      </c>
      <c r="E410" t="s">
        <v>524</v>
      </c>
    </row>
    <row r="411" spans="1:5" x14ac:dyDescent="0.25">
      <c r="A411">
        <v>400264050</v>
      </c>
      <c r="B411" t="s">
        <v>1235</v>
      </c>
      <c r="C411" t="s">
        <v>679</v>
      </c>
      <c r="D411" t="s">
        <v>1236</v>
      </c>
      <c r="E411" t="s">
        <v>678</v>
      </c>
    </row>
    <row r="412" spans="1:5" x14ac:dyDescent="0.25">
      <c r="A412">
        <v>400700883</v>
      </c>
      <c r="B412" t="s">
        <v>1235</v>
      </c>
      <c r="C412" t="s">
        <v>679</v>
      </c>
      <c r="D412" t="s">
        <v>678</v>
      </c>
      <c r="E412" t="s">
        <v>730</v>
      </c>
    </row>
    <row r="413" spans="1:5" x14ac:dyDescent="0.25">
      <c r="A413">
        <v>411170165</v>
      </c>
      <c r="B413" t="s">
        <v>1235</v>
      </c>
      <c r="C413" t="s">
        <v>679</v>
      </c>
      <c r="D413" t="s">
        <v>1242</v>
      </c>
      <c r="E413" t="s">
        <v>678</v>
      </c>
    </row>
    <row r="414" spans="1:5" x14ac:dyDescent="0.25">
      <c r="A414" t="s">
        <v>1237</v>
      </c>
      <c r="B414" t="s">
        <v>1235</v>
      </c>
      <c r="C414" t="s">
        <v>1238</v>
      </c>
      <c r="D414" t="s">
        <v>1239</v>
      </c>
      <c r="E414" t="s">
        <v>678</v>
      </c>
    </row>
    <row r="415" spans="1:5" x14ac:dyDescent="0.25">
      <c r="A415" t="s">
        <v>1240</v>
      </c>
      <c r="B415" t="s">
        <v>1235</v>
      </c>
      <c r="C415" t="s">
        <v>1238</v>
      </c>
      <c r="D415" t="s">
        <v>1241</v>
      </c>
      <c r="E415" t="s">
        <v>678</v>
      </c>
    </row>
    <row r="416" spans="1:5" x14ac:dyDescent="0.25">
      <c r="A416">
        <v>400264019</v>
      </c>
      <c r="B416" t="s">
        <v>1243</v>
      </c>
      <c r="C416" t="s">
        <v>537</v>
      </c>
      <c r="D416" t="s">
        <v>1244</v>
      </c>
      <c r="E416" t="s">
        <v>536</v>
      </c>
    </row>
    <row r="417" spans="1:5" x14ac:dyDescent="0.25">
      <c r="A417">
        <v>401053474</v>
      </c>
      <c r="B417" t="s">
        <v>1243</v>
      </c>
      <c r="C417" t="s">
        <v>537</v>
      </c>
      <c r="D417" t="s">
        <v>536</v>
      </c>
      <c r="E417" t="s">
        <v>730</v>
      </c>
    </row>
    <row r="418" spans="1:5" x14ac:dyDescent="0.25">
      <c r="A418">
        <v>401467134</v>
      </c>
      <c r="B418" t="s">
        <v>1243</v>
      </c>
      <c r="C418" t="s">
        <v>1256</v>
      </c>
      <c r="D418" t="s">
        <v>1257</v>
      </c>
      <c r="E418" t="s">
        <v>536</v>
      </c>
    </row>
    <row r="419" spans="1:5" x14ac:dyDescent="0.25">
      <c r="A419" t="s">
        <v>1245</v>
      </c>
      <c r="B419" t="s">
        <v>1243</v>
      </c>
      <c r="C419" t="s">
        <v>1246</v>
      </c>
      <c r="D419" t="s">
        <v>1247</v>
      </c>
      <c r="E419" t="s">
        <v>536</v>
      </c>
    </row>
    <row r="420" spans="1:5" x14ac:dyDescent="0.25">
      <c r="A420" t="s">
        <v>1248</v>
      </c>
      <c r="B420" t="s">
        <v>1243</v>
      </c>
      <c r="C420" t="s">
        <v>1249</v>
      </c>
      <c r="D420" t="s">
        <v>1250</v>
      </c>
      <c r="E420" t="s">
        <v>536</v>
      </c>
    </row>
    <row r="421" spans="1:5" x14ac:dyDescent="0.25">
      <c r="A421" t="s">
        <v>1251</v>
      </c>
      <c r="B421" t="s">
        <v>1243</v>
      </c>
      <c r="C421" t="s">
        <v>1252</v>
      </c>
      <c r="D421" t="s">
        <v>1253</v>
      </c>
      <c r="E421" t="s">
        <v>536</v>
      </c>
    </row>
    <row r="422" spans="1:5" x14ac:dyDescent="0.25">
      <c r="A422" t="s">
        <v>1254</v>
      </c>
      <c r="B422" t="s">
        <v>1243</v>
      </c>
      <c r="C422" t="s">
        <v>1252</v>
      </c>
      <c r="D422" t="s">
        <v>1255</v>
      </c>
      <c r="E422" t="s">
        <v>536</v>
      </c>
    </row>
    <row r="423" spans="1:5" x14ac:dyDescent="0.25">
      <c r="A423" t="s">
        <v>1258</v>
      </c>
      <c r="B423" t="s">
        <v>1243</v>
      </c>
      <c r="C423" t="s">
        <v>1259</v>
      </c>
      <c r="D423" t="s">
        <v>1260</v>
      </c>
      <c r="E423" t="s">
        <v>536</v>
      </c>
    </row>
    <row r="424" spans="1:5" x14ac:dyDescent="0.25">
      <c r="A424">
        <v>400249797</v>
      </c>
      <c r="B424" t="s">
        <v>1261</v>
      </c>
      <c r="C424" t="s">
        <v>677</v>
      </c>
      <c r="D424" t="s">
        <v>1262</v>
      </c>
      <c r="E424" t="s">
        <v>676</v>
      </c>
    </row>
    <row r="425" spans="1:5" x14ac:dyDescent="0.25">
      <c r="A425">
        <v>401235096</v>
      </c>
      <c r="B425" t="s">
        <v>1261</v>
      </c>
      <c r="C425" t="s">
        <v>677</v>
      </c>
      <c r="D425" t="s">
        <v>676</v>
      </c>
      <c r="E425" t="s">
        <v>730</v>
      </c>
    </row>
    <row r="426" spans="1:5" x14ac:dyDescent="0.25">
      <c r="A426">
        <v>411170160</v>
      </c>
      <c r="B426" t="s">
        <v>1261</v>
      </c>
      <c r="C426" t="s">
        <v>677</v>
      </c>
      <c r="D426" t="s">
        <v>1273</v>
      </c>
      <c r="E426" t="s">
        <v>676</v>
      </c>
    </row>
    <row r="427" spans="1:5" x14ac:dyDescent="0.25">
      <c r="A427" t="s">
        <v>1263</v>
      </c>
      <c r="B427" t="s">
        <v>1261</v>
      </c>
      <c r="C427" t="s">
        <v>1264</v>
      </c>
      <c r="D427" t="s">
        <v>1265</v>
      </c>
      <c r="E427" t="s">
        <v>676</v>
      </c>
    </row>
    <row r="428" spans="1:5" x14ac:dyDescent="0.25">
      <c r="A428" t="s">
        <v>1266</v>
      </c>
      <c r="B428" t="s">
        <v>1261</v>
      </c>
      <c r="C428" t="s">
        <v>1267</v>
      </c>
      <c r="D428" t="s">
        <v>1268</v>
      </c>
      <c r="E428" t="s">
        <v>676</v>
      </c>
    </row>
    <row r="429" spans="1:5" x14ac:dyDescent="0.25">
      <c r="A429" t="s">
        <v>1269</v>
      </c>
      <c r="B429" t="s">
        <v>1261</v>
      </c>
      <c r="C429" t="s">
        <v>1264</v>
      </c>
      <c r="D429" t="s">
        <v>1270</v>
      </c>
      <c r="E429" t="s">
        <v>676</v>
      </c>
    </row>
    <row r="430" spans="1:5" x14ac:dyDescent="0.25">
      <c r="A430" t="s">
        <v>1271</v>
      </c>
      <c r="B430" t="s">
        <v>1261</v>
      </c>
      <c r="C430" t="s">
        <v>1264</v>
      </c>
      <c r="D430" t="s">
        <v>1272</v>
      </c>
      <c r="E430" t="s">
        <v>676</v>
      </c>
    </row>
    <row r="431" spans="1:5" x14ac:dyDescent="0.25">
      <c r="A431" t="s">
        <v>1274</v>
      </c>
      <c r="B431" t="s">
        <v>1261</v>
      </c>
      <c r="C431" t="s">
        <v>1275</v>
      </c>
      <c r="D431" t="s">
        <v>1276</v>
      </c>
      <c r="E431" t="s">
        <v>676</v>
      </c>
    </row>
    <row r="432" spans="1:5" x14ac:dyDescent="0.25">
      <c r="A432">
        <v>400292509</v>
      </c>
      <c r="B432" t="s">
        <v>1277</v>
      </c>
      <c r="C432" t="s">
        <v>651</v>
      </c>
      <c r="D432" t="s">
        <v>1278</v>
      </c>
      <c r="E432" t="s">
        <v>650</v>
      </c>
    </row>
    <row r="433" spans="1:5" x14ac:dyDescent="0.25">
      <c r="A433">
        <v>401519147</v>
      </c>
      <c r="B433" t="s">
        <v>1277</v>
      </c>
      <c r="C433" t="s">
        <v>651</v>
      </c>
      <c r="D433" t="s">
        <v>650</v>
      </c>
      <c r="E433" t="s">
        <v>730</v>
      </c>
    </row>
    <row r="434" spans="1:5" x14ac:dyDescent="0.25">
      <c r="A434">
        <v>411170275</v>
      </c>
      <c r="B434" t="s">
        <v>1277</v>
      </c>
      <c r="C434" t="s">
        <v>651</v>
      </c>
      <c r="D434" t="s">
        <v>1282</v>
      </c>
      <c r="E434" t="s">
        <v>650</v>
      </c>
    </row>
    <row r="435" spans="1:5" x14ac:dyDescent="0.25">
      <c r="A435" t="s">
        <v>1279</v>
      </c>
      <c r="B435" t="s">
        <v>1277</v>
      </c>
      <c r="C435" t="s">
        <v>1280</v>
      </c>
      <c r="D435" t="s">
        <v>1281</v>
      </c>
      <c r="E435" t="s">
        <v>650</v>
      </c>
    </row>
    <row r="436" spans="1:5" x14ac:dyDescent="0.25">
      <c r="A436" t="s">
        <v>1283</v>
      </c>
      <c r="B436" t="s">
        <v>1277</v>
      </c>
      <c r="C436" t="s">
        <v>1280</v>
      </c>
      <c r="D436" t="s">
        <v>1284</v>
      </c>
      <c r="E436" t="s">
        <v>650</v>
      </c>
    </row>
    <row r="437" spans="1:5" x14ac:dyDescent="0.25">
      <c r="A437">
        <v>400264052</v>
      </c>
      <c r="B437" t="s">
        <v>1285</v>
      </c>
      <c r="C437" t="s">
        <v>604</v>
      </c>
      <c r="D437" t="s">
        <v>1286</v>
      </c>
      <c r="E437" t="s">
        <v>603</v>
      </c>
    </row>
    <row r="438" spans="1:5" x14ac:dyDescent="0.25">
      <c r="A438">
        <v>401466051</v>
      </c>
      <c r="B438" t="s">
        <v>1285</v>
      </c>
      <c r="C438" t="s">
        <v>604</v>
      </c>
      <c r="D438" t="s">
        <v>603</v>
      </c>
      <c r="E438" t="s">
        <v>730</v>
      </c>
    </row>
    <row r="439" spans="1:5" x14ac:dyDescent="0.25">
      <c r="A439">
        <v>411170167</v>
      </c>
      <c r="B439" t="s">
        <v>1285</v>
      </c>
      <c r="C439" t="s">
        <v>604</v>
      </c>
      <c r="D439" t="s">
        <v>1292</v>
      </c>
      <c r="E439" t="s">
        <v>603</v>
      </c>
    </row>
    <row r="440" spans="1:5" x14ac:dyDescent="0.25">
      <c r="A440">
        <v>417221867</v>
      </c>
      <c r="B440" t="s">
        <v>1285</v>
      </c>
      <c r="C440" t="s">
        <v>604</v>
      </c>
      <c r="D440" t="s">
        <v>1293</v>
      </c>
      <c r="E440" t="s">
        <v>603</v>
      </c>
    </row>
    <row r="441" spans="1:5" x14ac:dyDescent="0.25">
      <c r="A441" t="s">
        <v>1287</v>
      </c>
      <c r="B441" t="s">
        <v>1285</v>
      </c>
      <c r="C441" t="s">
        <v>1288</v>
      </c>
      <c r="D441" t="s">
        <v>1289</v>
      </c>
      <c r="E441" t="s">
        <v>603</v>
      </c>
    </row>
    <row r="442" spans="1:5" x14ac:dyDescent="0.25">
      <c r="A442" t="s">
        <v>1290</v>
      </c>
      <c r="B442" t="s">
        <v>1285</v>
      </c>
      <c r="C442" t="s">
        <v>1288</v>
      </c>
      <c r="D442" t="s">
        <v>1291</v>
      </c>
      <c r="E442" t="s">
        <v>603</v>
      </c>
    </row>
    <row r="443" spans="1:5" x14ac:dyDescent="0.25">
      <c r="A443" t="s">
        <v>1294</v>
      </c>
      <c r="B443" t="s">
        <v>1285</v>
      </c>
      <c r="C443" t="s">
        <v>1295</v>
      </c>
      <c r="D443" t="s">
        <v>1296</v>
      </c>
      <c r="E443" t="s">
        <v>603</v>
      </c>
    </row>
    <row r="444" spans="1:5" x14ac:dyDescent="0.25">
      <c r="A444">
        <v>400002641</v>
      </c>
      <c r="B444" t="s">
        <v>1297</v>
      </c>
      <c r="C444" t="s">
        <v>1298</v>
      </c>
      <c r="D444" t="s">
        <v>1299</v>
      </c>
      <c r="E444" t="s">
        <v>648</v>
      </c>
    </row>
    <row r="445" spans="1:5" x14ac:dyDescent="0.25">
      <c r="A445">
        <v>400265711</v>
      </c>
      <c r="B445" t="s">
        <v>1297</v>
      </c>
      <c r="C445" t="s">
        <v>1301</v>
      </c>
      <c r="D445" t="s">
        <v>1300</v>
      </c>
      <c r="E445" t="s">
        <v>648</v>
      </c>
    </row>
    <row r="446" spans="1:5" x14ac:dyDescent="0.25">
      <c r="A446">
        <v>400658343</v>
      </c>
      <c r="B446" t="s">
        <v>1297</v>
      </c>
      <c r="C446" t="s">
        <v>649</v>
      </c>
      <c r="D446" t="s">
        <v>648</v>
      </c>
      <c r="E446" t="s">
        <v>730</v>
      </c>
    </row>
    <row r="447" spans="1:5" x14ac:dyDescent="0.25">
      <c r="A447">
        <v>411170262</v>
      </c>
      <c r="B447" t="s">
        <v>1297</v>
      </c>
      <c r="C447" t="s">
        <v>1301</v>
      </c>
      <c r="D447" t="s">
        <v>1311</v>
      </c>
      <c r="E447" t="s">
        <v>648</v>
      </c>
    </row>
    <row r="448" spans="1:5" x14ac:dyDescent="0.25">
      <c r="A448">
        <v>417221880</v>
      </c>
      <c r="B448" t="s">
        <v>1297</v>
      </c>
      <c r="C448" t="s">
        <v>649</v>
      </c>
      <c r="D448" t="s">
        <v>1302</v>
      </c>
      <c r="E448" t="s">
        <v>648</v>
      </c>
    </row>
    <row r="449" spans="1:5" x14ac:dyDescent="0.25">
      <c r="A449" t="s">
        <v>1303</v>
      </c>
      <c r="B449" t="s">
        <v>1297</v>
      </c>
      <c r="C449" t="s">
        <v>1304</v>
      </c>
      <c r="D449" t="s">
        <v>1305</v>
      </c>
      <c r="E449" t="s">
        <v>648</v>
      </c>
    </row>
    <row r="450" spans="1:5" x14ac:dyDescent="0.25">
      <c r="A450" t="s">
        <v>1306</v>
      </c>
      <c r="B450" t="s">
        <v>1297</v>
      </c>
      <c r="C450" t="s">
        <v>1307</v>
      </c>
      <c r="D450" t="s">
        <v>1308</v>
      </c>
      <c r="E450" t="s">
        <v>648</v>
      </c>
    </row>
    <row r="451" spans="1:5" x14ac:dyDescent="0.25">
      <c r="A451" t="s">
        <v>1309</v>
      </c>
      <c r="B451" t="s">
        <v>1297</v>
      </c>
      <c r="C451" t="s">
        <v>1304</v>
      </c>
      <c r="D451" t="s">
        <v>1310</v>
      </c>
      <c r="E451" t="s">
        <v>648</v>
      </c>
    </row>
    <row r="452" spans="1:5" x14ac:dyDescent="0.25">
      <c r="A452">
        <v>400265733</v>
      </c>
      <c r="B452" t="s">
        <v>1312</v>
      </c>
      <c r="C452" t="s">
        <v>616</v>
      </c>
      <c r="D452" t="s">
        <v>1313</v>
      </c>
      <c r="E452" t="s">
        <v>615</v>
      </c>
    </row>
    <row r="453" spans="1:5" x14ac:dyDescent="0.25">
      <c r="A453">
        <v>400693204</v>
      </c>
      <c r="B453" t="s">
        <v>1312</v>
      </c>
      <c r="C453" t="s">
        <v>616</v>
      </c>
      <c r="D453" t="s">
        <v>615</v>
      </c>
      <c r="E453" t="s">
        <v>730</v>
      </c>
    </row>
    <row r="454" spans="1:5" x14ac:dyDescent="0.25">
      <c r="A454">
        <v>411170284</v>
      </c>
      <c r="B454" t="s">
        <v>1312</v>
      </c>
      <c r="C454" t="s">
        <v>616</v>
      </c>
      <c r="D454" t="s">
        <v>1322</v>
      </c>
      <c r="E454" t="s">
        <v>615</v>
      </c>
    </row>
    <row r="455" spans="1:5" x14ac:dyDescent="0.25">
      <c r="A455" t="s">
        <v>1314</v>
      </c>
      <c r="B455" t="s">
        <v>1312</v>
      </c>
      <c r="C455" t="s">
        <v>1315</v>
      </c>
      <c r="D455" t="s">
        <v>1316</v>
      </c>
      <c r="E455" t="s">
        <v>615</v>
      </c>
    </row>
    <row r="456" spans="1:5" x14ac:dyDescent="0.25">
      <c r="A456" t="s">
        <v>1317</v>
      </c>
      <c r="B456" t="s">
        <v>1312</v>
      </c>
      <c r="C456" t="s">
        <v>1315</v>
      </c>
      <c r="D456" t="s">
        <v>1318</v>
      </c>
      <c r="E456" t="s">
        <v>615</v>
      </c>
    </row>
    <row r="457" spans="1:5" x14ac:dyDescent="0.25">
      <c r="A457" t="s">
        <v>1319</v>
      </c>
      <c r="B457" t="s">
        <v>1312</v>
      </c>
      <c r="C457" t="s">
        <v>1320</v>
      </c>
      <c r="D457" t="s">
        <v>1321</v>
      </c>
      <c r="E457" t="s">
        <v>615</v>
      </c>
    </row>
    <row r="458" spans="1:5" x14ac:dyDescent="0.25">
      <c r="A458">
        <v>400292801</v>
      </c>
      <c r="B458" t="s">
        <v>1323</v>
      </c>
      <c r="C458" t="s">
        <v>704</v>
      </c>
      <c r="D458" t="s">
        <v>703</v>
      </c>
      <c r="E458" t="s">
        <v>1324</v>
      </c>
    </row>
    <row r="459" spans="1:5" x14ac:dyDescent="0.25">
      <c r="A459">
        <v>401464830</v>
      </c>
      <c r="B459" t="s">
        <v>1323</v>
      </c>
      <c r="C459" t="s">
        <v>704</v>
      </c>
      <c r="D459" t="s">
        <v>1324</v>
      </c>
      <c r="E459" t="s">
        <v>730</v>
      </c>
    </row>
    <row r="460" spans="1:5" x14ac:dyDescent="0.25">
      <c r="A460" t="s">
        <v>1325</v>
      </c>
      <c r="B460" t="s">
        <v>1323</v>
      </c>
      <c r="C460" t="s">
        <v>1326</v>
      </c>
      <c r="D460" t="s">
        <v>1327</v>
      </c>
      <c r="E460" t="s">
        <v>1324</v>
      </c>
    </row>
    <row r="461" spans="1:5" x14ac:dyDescent="0.25">
      <c r="A461" t="s">
        <v>1328</v>
      </c>
      <c r="B461" t="s">
        <v>1323</v>
      </c>
      <c r="C461" t="s">
        <v>1326</v>
      </c>
      <c r="D461" t="s">
        <v>1329</v>
      </c>
      <c r="E461" t="s">
        <v>1324</v>
      </c>
    </row>
    <row r="462" spans="1:5" x14ac:dyDescent="0.25">
      <c r="A462">
        <v>400265784</v>
      </c>
      <c r="B462" t="s">
        <v>1330</v>
      </c>
      <c r="C462" t="s">
        <v>655</v>
      </c>
      <c r="D462" t="s">
        <v>1331</v>
      </c>
      <c r="E462" t="s">
        <v>654</v>
      </c>
    </row>
    <row r="463" spans="1:5" x14ac:dyDescent="0.25">
      <c r="A463">
        <v>409286444</v>
      </c>
      <c r="B463" t="s">
        <v>1330</v>
      </c>
      <c r="C463" t="s">
        <v>655</v>
      </c>
      <c r="D463" t="s">
        <v>654</v>
      </c>
      <c r="E463" t="s">
        <v>730</v>
      </c>
    </row>
    <row r="464" spans="1:5" x14ac:dyDescent="0.25">
      <c r="A464">
        <v>411160657</v>
      </c>
      <c r="B464" t="s">
        <v>1330</v>
      </c>
      <c r="C464" t="s">
        <v>655</v>
      </c>
      <c r="D464" t="s">
        <v>1340</v>
      </c>
      <c r="E464" t="s">
        <v>654</v>
      </c>
    </row>
    <row r="465" spans="1:5" x14ac:dyDescent="0.25">
      <c r="A465" t="s">
        <v>1332</v>
      </c>
      <c r="B465" t="s">
        <v>1330</v>
      </c>
      <c r="C465" t="s">
        <v>1333</v>
      </c>
      <c r="D465" t="s">
        <v>1334</v>
      </c>
      <c r="E465" t="s">
        <v>654</v>
      </c>
    </row>
    <row r="466" spans="1:5" x14ac:dyDescent="0.25">
      <c r="A466" t="s">
        <v>1335</v>
      </c>
      <c r="B466" t="s">
        <v>1330</v>
      </c>
      <c r="C466" t="s">
        <v>1336</v>
      </c>
      <c r="D466" t="s">
        <v>1337</v>
      </c>
      <c r="E466" t="s">
        <v>654</v>
      </c>
    </row>
    <row r="467" spans="1:5" x14ac:dyDescent="0.25">
      <c r="A467" t="s">
        <v>1338</v>
      </c>
      <c r="B467" t="s">
        <v>1330</v>
      </c>
      <c r="C467" t="s">
        <v>1333</v>
      </c>
      <c r="D467" t="s">
        <v>1339</v>
      </c>
      <c r="E467" t="s">
        <v>654</v>
      </c>
    </row>
    <row r="468" spans="1:5" x14ac:dyDescent="0.25">
      <c r="A468">
        <v>400265702</v>
      </c>
      <c r="B468" t="s">
        <v>1341</v>
      </c>
      <c r="C468" t="s">
        <v>672</v>
      </c>
      <c r="D468" t="s">
        <v>671</v>
      </c>
      <c r="E468" t="s">
        <v>1342</v>
      </c>
    </row>
    <row r="469" spans="1:5" x14ac:dyDescent="0.25">
      <c r="A469">
        <v>401229464</v>
      </c>
      <c r="B469" t="s">
        <v>1341</v>
      </c>
      <c r="C469" t="s">
        <v>672</v>
      </c>
      <c r="D469" t="s">
        <v>1342</v>
      </c>
      <c r="E469" t="s">
        <v>730</v>
      </c>
    </row>
    <row r="470" spans="1:5" x14ac:dyDescent="0.25">
      <c r="A470" t="s">
        <v>1343</v>
      </c>
      <c r="B470" t="s">
        <v>1341</v>
      </c>
      <c r="C470" t="s">
        <v>1344</v>
      </c>
      <c r="D470" t="s">
        <v>1345</v>
      </c>
      <c r="E470" t="s">
        <v>1342</v>
      </c>
    </row>
    <row r="471" spans="1:5" x14ac:dyDescent="0.25">
      <c r="A471">
        <v>400264055</v>
      </c>
      <c r="B471" t="s">
        <v>1346</v>
      </c>
      <c r="C471" t="s">
        <v>1347</v>
      </c>
      <c r="D471" t="s">
        <v>707</v>
      </c>
      <c r="E471" t="s">
        <v>1348</v>
      </c>
    </row>
    <row r="472" spans="1:5" x14ac:dyDescent="0.25">
      <c r="A472">
        <v>401225496</v>
      </c>
      <c r="B472" t="s">
        <v>1346</v>
      </c>
      <c r="C472" t="s">
        <v>1347</v>
      </c>
      <c r="D472" t="s">
        <v>1348</v>
      </c>
      <c r="E472" t="s">
        <v>730</v>
      </c>
    </row>
    <row r="473" spans="1:5" x14ac:dyDescent="0.25">
      <c r="A473" t="s">
        <v>1349</v>
      </c>
      <c r="B473" t="s">
        <v>1346</v>
      </c>
      <c r="C473" t="s">
        <v>1350</v>
      </c>
      <c r="D473" t="s">
        <v>1351</v>
      </c>
      <c r="E473" t="s">
        <v>1348</v>
      </c>
    </row>
    <row r="474" spans="1:5" x14ac:dyDescent="0.25">
      <c r="A474">
        <v>400272399</v>
      </c>
      <c r="B474" t="s">
        <v>1352</v>
      </c>
      <c r="C474" t="s">
        <v>579</v>
      </c>
      <c r="D474" t="s">
        <v>1353</v>
      </c>
      <c r="E474" t="s">
        <v>578</v>
      </c>
    </row>
    <row r="475" spans="1:5" x14ac:dyDescent="0.25">
      <c r="A475">
        <v>401282464</v>
      </c>
      <c r="B475" t="s">
        <v>1352</v>
      </c>
      <c r="C475" t="s">
        <v>579</v>
      </c>
      <c r="D475" t="s">
        <v>578</v>
      </c>
      <c r="E475" t="s">
        <v>730</v>
      </c>
    </row>
    <row r="476" spans="1:5" x14ac:dyDescent="0.25">
      <c r="A476" t="s">
        <v>1354</v>
      </c>
      <c r="B476" t="s">
        <v>1352</v>
      </c>
      <c r="C476" t="s">
        <v>1355</v>
      </c>
      <c r="D476" t="s">
        <v>1356</v>
      </c>
      <c r="E476" t="s">
        <v>578</v>
      </c>
    </row>
    <row r="477" spans="1:5" x14ac:dyDescent="0.25">
      <c r="A477" t="s">
        <v>1357</v>
      </c>
      <c r="B477" t="s">
        <v>1352</v>
      </c>
      <c r="C477" t="s">
        <v>1355</v>
      </c>
      <c r="D477" t="s">
        <v>1358</v>
      </c>
      <c r="E477" t="s">
        <v>578</v>
      </c>
    </row>
    <row r="478" spans="1:5" x14ac:dyDescent="0.25">
      <c r="A478">
        <v>400265764</v>
      </c>
      <c r="B478" t="s">
        <v>1359</v>
      </c>
      <c r="C478" t="s">
        <v>1360</v>
      </c>
      <c r="D478" t="s">
        <v>1361</v>
      </c>
      <c r="E478" t="s">
        <v>597</v>
      </c>
    </row>
    <row r="479" spans="1:5" x14ac:dyDescent="0.25">
      <c r="A479">
        <v>400658345</v>
      </c>
      <c r="B479" t="s">
        <v>1359</v>
      </c>
      <c r="C479" t="s">
        <v>598</v>
      </c>
      <c r="D479" t="s">
        <v>597</v>
      </c>
      <c r="E479" t="s">
        <v>730</v>
      </c>
    </row>
    <row r="480" spans="1:5" x14ac:dyDescent="0.25">
      <c r="A480">
        <v>411160631</v>
      </c>
      <c r="B480" t="s">
        <v>1359</v>
      </c>
      <c r="C480" t="s">
        <v>598</v>
      </c>
      <c r="D480" t="s">
        <v>1362</v>
      </c>
      <c r="E480" t="s">
        <v>597</v>
      </c>
    </row>
    <row r="481" spans="1:5" x14ac:dyDescent="0.25">
      <c r="A481">
        <v>411160632</v>
      </c>
      <c r="B481" t="s">
        <v>1359</v>
      </c>
      <c r="C481" t="s">
        <v>1373</v>
      </c>
      <c r="D481" t="s">
        <v>1374</v>
      </c>
      <c r="E481" t="s">
        <v>597</v>
      </c>
    </row>
    <row r="482" spans="1:5" x14ac:dyDescent="0.25">
      <c r="A482" t="s">
        <v>1363</v>
      </c>
      <c r="B482" t="s">
        <v>1359</v>
      </c>
      <c r="C482" t="s">
        <v>1364</v>
      </c>
      <c r="D482" t="s">
        <v>1365</v>
      </c>
      <c r="E482" t="s">
        <v>597</v>
      </c>
    </row>
    <row r="483" spans="1:5" x14ac:dyDescent="0.25">
      <c r="A483" t="s">
        <v>1366</v>
      </c>
      <c r="B483" t="s">
        <v>1359</v>
      </c>
      <c r="C483" t="s">
        <v>1367</v>
      </c>
      <c r="D483" t="s">
        <v>1368</v>
      </c>
      <c r="E483" t="s">
        <v>597</v>
      </c>
    </row>
    <row r="484" spans="1:5" x14ac:dyDescent="0.25">
      <c r="A484" t="s">
        <v>1369</v>
      </c>
      <c r="B484" t="s">
        <v>1359</v>
      </c>
      <c r="C484" t="s">
        <v>1367</v>
      </c>
      <c r="D484" t="s">
        <v>1370</v>
      </c>
      <c r="E484" t="s">
        <v>597</v>
      </c>
    </row>
    <row r="485" spans="1:5" x14ac:dyDescent="0.25">
      <c r="A485" t="s">
        <v>1371</v>
      </c>
      <c r="B485" t="s">
        <v>1359</v>
      </c>
      <c r="C485" t="s">
        <v>1364</v>
      </c>
      <c r="D485" t="s">
        <v>1372</v>
      </c>
      <c r="E485" t="s">
        <v>597</v>
      </c>
    </row>
    <row r="486" spans="1:5" x14ac:dyDescent="0.25">
      <c r="A486">
        <v>400265710</v>
      </c>
      <c r="B486" t="s">
        <v>1375</v>
      </c>
      <c r="C486" t="s">
        <v>614</v>
      </c>
      <c r="D486" t="s">
        <v>1376</v>
      </c>
      <c r="E486" t="s">
        <v>613</v>
      </c>
    </row>
    <row r="487" spans="1:5" x14ac:dyDescent="0.25">
      <c r="A487">
        <v>401195892</v>
      </c>
      <c r="B487" t="s">
        <v>1375</v>
      </c>
      <c r="C487" t="s">
        <v>614</v>
      </c>
      <c r="D487" t="s">
        <v>613</v>
      </c>
      <c r="E487" t="s">
        <v>730</v>
      </c>
    </row>
    <row r="488" spans="1:5" x14ac:dyDescent="0.25">
      <c r="A488">
        <v>419795085</v>
      </c>
      <c r="B488" t="s">
        <v>1375</v>
      </c>
      <c r="C488" t="s">
        <v>614</v>
      </c>
      <c r="D488" t="s">
        <v>1377</v>
      </c>
      <c r="E488" t="s">
        <v>613</v>
      </c>
    </row>
    <row r="489" spans="1:5" x14ac:dyDescent="0.25">
      <c r="A489" t="s">
        <v>1378</v>
      </c>
      <c r="B489" t="s">
        <v>1375</v>
      </c>
      <c r="C489" t="s">
        <v>1379</v>
      </c>
      <c r="D489" t="s">
        <v>1380</v>
      </c>
      <c r="E489" t="s">
        <v>613</v>
      </c>
    </row>
    <row r="490" spans="1:5" x14ac:dyDescent="0.25">
      <c r="A490" t="s">
        <v>1381</v>
      </c>
      <c r="B490" t="s">
        <v>1375</v>
      </c>
      <c r="C490" t="s">
        <v>1379</v>
      </c>
      <c r="D490" t="s">
        <v>1382</v>
      </c>
      <c r="E490" t="s">
        <v>613</v>
      </c>
    </row>
    <row r="491" spans="1:5" x14ac:dyDescent="0.25">
      <c r="A491">
        <v>400265763</v>
      </c>
      <c r="B491" t="s">
        <v>1383</v>
      </c>
      <c r="C491" t="s">
        <v>683</v>
      </c>
      <c r="D491" t="s">
        <v>1384</v>
      </c>
      <c r="E491" t="s">
        <v>682</v>
      </c>
    </row>
    <row r="492" spans="1:5" x14ac:dyDescent="0.25">
      <c r="A492">
        <v>401053377</v>
      </c>
      <c r="B492" t="s">
        <v>1383</v>
      </c>
      <c r="C492" t="s">
        <v>683</v>
      </c>
      <c r="D492" t="s">
        <v>682</v>
      </c>
      <c r="E492" t="s">
        <v>730</v>
      </c>
    </row>
    <row r="493" spans="1:5" x14ac:dyDescent="0.25">
      <c r="A493">
        <v>411170291</v>
      </c>
      <c r="B493" t="s">
        <v>1383</v>
      </c>
      <c r="C493" t="s">
        <v>683</v>
      </c>
      <c r="D493" t="s">
        <v>1393</v>
      </c>
      <c r="E493" t="s">
        <v>682</v>
      </c>
    </row>
    <row r="494" spans="1:5" x14ac:dyDescent="0.25">
      <c r="A494" t="s">
        <v>1385</v>
      </c>
      <c r="B494" t="s">
        <v>1383</v>
      </c>
      <c r="C494" t="s">
        <v>1386</v>
      </c>
      <c r="D494" t="s">
        <v>1387</v>
      </c>
      <c r="E494" t="s">
        <v>682</v>
      </c>
    </row>
    <row r="495" spans="1:5" x14ac:dyDescent="0.25">
      <c r="A495" t="s">
        <v>1388</v>
      </c>
      <c r="B495" t="s">
        <v>1383</v>
      </c>
      <c r="C495" t="s">
        <v>1386</v>
      </c>
      <c r="D495" t="s">
        <v>1389</v>
      </c>
      <c r="E495" t="s">
        <v>682</v>
      </c>
    </row>
    <row r="496" spans="1:5" x14ac:dyDescent="0.25">
      <c r="A496" t="s">
        <v>1390</v>
      </c>
      <c r="B496" t="s">
        <v>1383</v>
      </c>
      <c r="C496" t="s">
        <v>1391</v>
      </c>
      <c r="D496" t="s">
        <v>1392</v>
      </c>
      <c r="E496" t="s">
        <v>682</v>
      </c>
    </row>
    <row r="497" spans="1:5" x14ac:dyDescent="0.25">
      <c r="A497">
        <v>400249794</v>
      </c>
      <c r="B497" t="s">
        <v>1394</v>
      </c>
      <c r="C497" t="s">
        <v>675</v>
      </c>
      <c r="D497" t="s">
        <v>1395</v>
      </c>
      <c r="E497" t="s">
        <v>674</v>
      </c>
    </row>
    <row r="498" spans="1:5" x14ac:dyDescent="0.25">
      <c r="A498">
        <v>400693196</v>
      </c>
      <c r="B498" t="s">
        <v>1394</v>
      </c>
      <c r="C498" t="s">
        <v>675</v>
      </c>
      <c r="D498" t="s">
        <v>674</v>
      </c>
      <c r="E498" t="s">
        <v>730</v>
      </c>
    </row>
    <row r="499" spans="1:5" x14ac:dyDescent="0.25">
      <c r="A499" t="s">
        <v>1396</v>
      </c>
      <c r="B499" t="s">
        <v>1394</v>
      </c>
      <c r="C499" t="s">
        <v>1397</v>
      </c>
      <c r="D499" t="s">
        <v>1398</v>
      </c>
      <c r="E499" t="s">
        <v>674</v>
      </c>
    </row>
    <row r="500" spans="1:5" x14ac:dyDescent="0.25">
      <c r="A500" t="s">
        <v>1399</v>
      </c>
      <c r="B500" t="s">
        <v>1394</v>
      </c>
      <c r="C500" t="s">
        <v>1397</v>
      </c>
      <c r="D500" t="s">
        <v>1400</v>
      </c>
      <c r="E500" t="s">
        <v>674</v>
      </c>
    </row>
    <row r="501" spans="1:5" x14ac:dyDescent="0.25">
      <c r="A501" t="s">
        <v>1401</v>
      </c>
      <c r="B501" t="s">
        <v>1394</v>
      </c>
      <c r="C501" t="s">
        <v>1402</v>
      </c>
      <c r="D501" t="s">
        <v>1403</v>
      </c>
      <c r="E501" t="s">
        <v>674</v>
      </c>
    </row>
    <row r="502" spans="1:5" x14ac:dyDescent="0.25">
      <c r="A502" t="s">
        <v>1404</v>
      </c>
      <c r="B502" t="s">
        <v>1394</v>
      </c>
      <c r="C502" t="s">
        <v>1402</v>
      </c>
      <c r="D502" t="s">
        <v>1405</v>
      </c>
      <c r="E502" t="s">
        <v>674</v>
      </c>
    </row>
    <row r="503" spans="1:5" x14ac:dyDescent="0.25">
      <c r="A503">
        <v>400272235</v>
      </c>
      <c r="B503" t="s">
        <v>1406</v>
      </c>
      <c r="C503" t="s">
        <v>1407</v>
      </c>
      <c r="D503" t="s">
        <v>1408</v>
      </c>
      <c r="E503" t="s">
        <v>611</v>
      </c>
    </row>
    <row r="504" spans="1:5" x14ac:dyDescent="0.25">
      <c r="A504">
        <v>401234951</v>
      </c>
      <c r="B504" t="s">
        <v>1406</v>
      </c>
      <c r="C504" t="s">
        <v>1407</v>
      </c>
      <c r="D504" t="s">
        <v>611</v>
      </c>
      <c r="E504" t="s">
        <v>730</v>
      </c>
    </row>
    <row r="505" spans="1:5" x14ac:dyDescent="0.25">
      <c r="A505">
        <v>411170256</v>
      </c>
      <c r="B505" t="s">
        <v>1406</v>
      </c>
      <c r="C505" t="s">
        <v>1407</v>
      </c>
      <c r="D505" t="s">
        <v>1409</v>
      </c>
      <c r="E505" t="s">
        <v>611</v>
      </c>
    </row>
    <row r="506" spans="1:5" x14ac:dyDescent="0.25">
      <c r="A506" t="s">
        <v>1410</v>
      </c>
      <c r="B506" t="s">
        <v>1406</v>
      </c>
      <c r="C506" t="s">
        <v>1411</v>
      </c>
      <c r="D506" t="s">
        <v>1412</v>
      </c>
      <c r="E506" t="s">
        <v>611</v>
      </c>
    </row>
    <row r="507" spans="1:5" x14ac:dyDescent="0.25">
      <c r="A507">
        <v>400271870</v>
      </c>
      <c r="B507" t="s">
        <v>1413</v>
      </c>
      <c r="C507" t="s">
        <v>602</v>
      </c>
      <c r="D507" t="s">
        <v>1414</v>
      </c>
      <c r="E507" t="s">
        <v>601</v>
      </c>
    </row>
    <row r="508" spans="1:5" x14ac:dyDescent="0.25">
      <c r="A508">
        <v>401382482</v>
      </c>
      <c r="B508" t="s">
        <v>1413</v>
      </c>
      <c r="C508" t="s">
        <v>602</v>
      </c>
      <c r="D508" t="s">
        <v>601</v>
      </c>
      <c r="E508" t="s">
        <v>730</v>
      </c>
    </row>
    <row r="509" spans="1:5" x14ac:dyDescent="0.25">
      <c r="A509" t="s">
        <v>1415</v>
      </c>
      <c r="B509" t="s">
        <v>1413</v>
      </c>
      <c r="C509" t="s">
        <v>1416</v>
      </c>
      <c r="D509" t="s">
        <v>1417</v>
      </c>
      <c r="E509" t="s">
        <v>601</v>
      </c>
    </row>
    <row r="510" spans="1:5" x14ac:dyDescent="0.25">
      <c r="A510">
        <v>400264257</v>
      </c>
      <c r="B510" t="s">
        <v>1418</v>
      </c>
      <c r="C510" t="s">
        <v>1419</v>
      </c>
      <c r="D510" t="s">
        <v>1420</v>
      </c>
      <c r="E510" t="s">
        <v>576</v>
      </c>
    </row>
    <row r="511" spans="1:5" x14ac:dyDescent="0.25">
      <c r="A511">
        <v>400658342</v>
      </c>
      <c r="B511" t="s">
        <v>1418</v>
      </c>
      <c r="C511" t="s">
        <v>577</v>
      </c>
      <c r="D511" t="s">
        <v>576</v>
      </c>
      <c r="E511" t="s">
        <v>730</v>
      </c>
    </row>
    <row r="512" spans="1:5" x14ac:dyDescent="0.25">
      <c r="A512">
        <v>414708033</v>
      </c>
      <c r="B512" t="s">
        <v>1418</v>
      </c>
      <c r="C512" t="s">
        <v>1419</v>
      </c>
      <c r="D512" t="s">
        <v>1421</v>
      </c>
      <c r="E512" t="s">
        <v>576</v>
      </c>
    </row>
    <row r="513" spans="1:5" x14ac:dyDescent="0.25">
      <c r="A513" t="s">
        <v>1422</v>
      </c>
      <c r="B513" t="s">
        <v>1418</v>
      </c>
      <c r="C513" t="s">
        <v>1423</v>
      </c>
      <c r="D513" t="s">
        <v>1424</v>
      </c>
      <c r="E513" t="s">
        <v>576</v>
      </c>
    </row>
    <row r="514" spans="1:5" x14ac:dyDescent="0.25">
      <c r="A514" t="s">
        <v>1427</v>
      </c>
      <c r="B514" t="s">
        <v>1418</v>
      </c>
      <c r="C514" t="s">
        <v>1428</v>
      </c>
      <c r="D514" t="s">
        <v>1429</v>
      </c>
      <c r="E514" t="s">
        <v>576</v>
      </c>
    </row>
    <row r="515" spans="1:5" x14ac:dyDescent="0.25">
      <c r="A515" t="s">
        <v>1425</v>
      </c>
      <c r="B515" t="s">
        <v>1418</v>
      </c>
      <c r="C515" t="s">
        <v>1423</v>
      </c>
      <c r="D515" t="s">
        <v>1426</v>
      </c>
      <c r="E515" t="s">
        <v>576</v>
      </c>
    </row>
    <row r="516" spans="1:5" x14ac:dyDescent="0.25">
      <c r="A516">
        <v>400265687</v>
      </c>
      <c r="B516" t="s">
        <v>1430</v>
      </c>
      <c r="C516" t="s">
        <v>610</v>
      </c>
      <c r="D516" t="s">
        <v>1431</v>
      </c>
      <c r="E516" t="s">
        <v>609</v>
      </c>
    </row>
    <row r="517" spans="1:5" x14ac:dyDescent="0.25">
      <c r="A517">
        <v>401235524</v>
      </c>
      <c r="B517" t="s">
        <v>1430</v>
      </c>
      <c r="C517" t="s">
        <v>610</v>
      </c>
      <c r="D517" t="s">
        <v>609</v>
      </c>
      <c r="E517" t="s">
        <v>730</v>
      </c>
    </row>
    <row r="518" spans="1:5" x14ac:dyDescent="0.25">
      <c r="A518" t="s">
        <v>1432</v>
      </c>
      <c r="B518" t="s">
        <v>1430</v>
      </c>
      <c r="C518" t="s">
        <v>1433</v>
      </c>
      <c r="D518" t="s">
        <v>1434</v>
      </c>
      <c r="E518" t="s">
        <v>609</v>
      </c>
    </row>
    <row r="519" spans="1:5" x14ac:dyDescent="0.25">
      <c r="A519" t="s">
        <v>1435</v>
      </c>
      <c r="B519" t="s">
        <v>1430</v>
      </c>
      <c r="C519" t="s">
        <v>1433</v>
      </c>
      <c r="D519" t="s">
        <v>1436</v>
      </c>
      <c r="E519" t="s">
        <v>609</v>
      </c>
    </row>
    <row r="520" spans="1:5" x14ac:dyDescent="0.25">
      <c r="A520">
        <v>400272346</v>
      </c>
      <c r="B520" t="s">
        <v>1437</v>
      </c>
      <c r="C520" t="s">
        <v>565</v>
      </c>
      <c r="D520" t="s">
        <v>1438</v>
      </c>
      <c r="E520" t="s">
        <v>564</v>
      </c>
    </row>
    <row r="521" spans="1:5" x14ac:dyDescent="0.25">
      <c r="A521">
        <v>401234952</v>
      </c>
      <c r="B521" t="s">
        <v>1437</v>
      </c>
      <c r="C521" t="s">
        <v>565</v>
      </c>
      <c r="D521" t="s">
        <v>564</v>
      </c>
      <c r="E521" t="s">
        <v>730</v>
      </c>
    </row>
    <row r="522" spans="1:5" x14ac:dyDescent="0.25">
      <c r="A522">
        <v>411160637</v>
      </c>
      <c r="B522" t="s">
        <v>1437</v>
      </c>
      <c r="C522" t="s">
        <v>565</v>
      </c>
      <c r="D522" t="s">
        <v>1444</v>
      </c>
      <c r="E522" t="s">
        <v>564</v>
      </c>
    </row>
    <row r="523" spans="1:5" x14ac:dyDescent="0.25">
      <c r="A523" t="s">
        <v>1439</v>
      </c>
      <c r="B523" t="s">
        <v>1437</v>
      </c>
      <c r="C523" t="s">
        <v>1440</v>
      </c>
      <c r="D523" t="s">
        <v>1441</v>
      </c>
      <c r="E523" t="s">
        <v>564</v>
      </c>
    </row>
    <row r="524" spans="1:5" x14ac:dyDescent="0.25">
      <c r="A524" t="s">
        <v>1442</v>
      </c>
      <c r="B524" t="s">
        <v>1437</v>
      </c>
      <c r="C524" t="s">
        <v>1440</v>
      </c>
      <c r="D524" t="s">
        <v>1443</v>
      </c>
      <c r="E524" t="s">
        <v>564</v>
      </c>
    </row>
    <row r="525" spans="1:5" x14ac:dyDescent="0.25">
      <c r="A525">
        <v>400248731</v>
      </c>
      <c r="B525" t="s">
        <v>1445</v>
      </c>
      <c r="C525" t="s">
        <v>681</v>
      </c>
      <c r="D525" t="s">
        <v>1446</v>
      </c>
      <c r="E525" t="s">
        <v>680</v>
      </c>
    </row>
    <row r="526" spans="1:5" x14ac:dyDescent="0.25">
      <c r="A526">
        <v>401466052</v>
      </c>
      <c r="B526" t="s">
        <v>1445</v>
      </c>
      <c r="C526" t="s">
        <v>681</v>
      </c>
      <c r="D526" t="s">
        <v>680</v>
      </c>
      <c r="E526" t="s">
        <v>730</v>
      </c>
    </row>
    <row r="527" spans="1:5" x14ac:dyDescent="0.25">
      <c r="A527">
        <v>411170201</v>
      </c>
      <c r="B527" t="s">
        <v>1445</v>
      </c>
      <c r="C527" t="s">
        <v>681</v>
      </c>
      <c r="D527" t="s">
        <v>1454</v>
      </c>
      <c r="E527" t="s">
        <v>680</v>
      </c>
    </row>
    <row r="528" spans="1:5" x14ac:dyDescent="0.25">
      <c r="A528">
        <v>417221874</v>
      </c>
      <c r="B528" t="s">
        <v>1445</v>
      </c>
      <c r="C528" t="s">
        <v>681</v>
      </c>
      <c r="D528" t="s">
        <v>1448</v>
      </c>
      <c r="E528" t="s">
        <v>680</v>
      </c>
    </row>
    <row r="529" spans="1:5" x14ac:dyDescent="0.25">
      <c r="A529" t="s">
        <v>1449</v>
      </c>
      <c r="B529" t="s">
        <v>1445</v>
      </c>
      <c r="C529" t="s">
        <v>1450</v>
      </c>
      <c r="D529" t="s">
        <v>1451</v>
      </c>
      <c r="E529" t="s">
        <v>680</v>
      </c>
    </row>
    <row r="530" spans="1:5" x14ac:dyDescent="0.25">
      <c r="A530" t="s">
        <v>1452</v>
      </c>
      <c r="B530" t="s">
        <v>1445</v>
      </c>
      <c r="C530" t="s">
        <v>1453</v>
      </c>
      <c r="D530" t="s">
        <v>1447</v>
      </c>
      <c r="E530" t="s">
        <v>680</v>
      </c>
    </row>
    <row r="531" spans="1:5" x14ac:dyDescent="0.25">
      <c r="A531" t="s">
        <v>1455</v>
      </c>
      <c r="B531" t="s">
        <v>1445</v>
      </c>
      <c r="C531" t="s">
        <v>1450</v>
      </c>
      <c r="D531" t="s">
        <v>1456</v>
      </c>
      <c r="E531" t="s">
        <v>680</v>
      </c>
    </row>
    <row r="532" spans="1:5" x14ac:dyDescent="0.25">
      <c r="A532">
        <v>400264202</v>
      </c>
      <c r="B532" t="s">
        <v>1457</v>
      </c>
      <c r="C532" t="s">
        <v>596</v>
      </c>
      <c r="D532" t="s">
        <v>1458</v>
      </c>
      <c r="E532" t="s">
        <v>595</v>
      </c>
    </row>
    <row r="533" spans="1:5" x14ac:dyDescent="0.25">
      <c r="A533">
        <v>400931576</v>
      </c>
      <c r="B533" t="s">
        <v>1457</v>
      </c>
      <c r="C533" t="s">
        <v>596</v>
      </c>
      <c r="D533" t="s">
        <v>595</v>
      </c>
      <c r="E533" t="s">
        <v>730</v>
      </c>
    </row>
    <row r="534" spans="1:5" x14ac:dyDescent="0.25">
      <c r="A534">
        <v>411170191</v>
      </c>
      <c r="B534" t="s">
        <v>1457</v>
      </c>
      <c r="C534" t="s">
        <v>596</v>
      </c>
      <c r="D534" t="s">
        <v>1459</v>
      </c>
      <c r="E534" t="s">
        <v>595</v>
      </c>
    </row>
    <row r="535" spans="1:5" x14ac:dyDescent="0.25">
      <c r="A535" t="s">
        <v>1460</v>
      </c>
      <c r="B535" t="s">
        <v>1457</v>
      </c>
      <c r="C535" t="s">
        <v>596</v>
      </c>
      <c r="D535" t="s">
        <v>1461</v>
      </c>
      <c r="E535" t="s">
        <v>595</v>
      </c>
    </row>
    <row r="536" spans="1:5" x14ac:dyDescent="0.25">
      <c r="A536" t="s">
        <v>1462</v>
      </c>
      <c r="B536" t="s">
        <v>1457</v>
      </c>
      <c r="C536" t="s">
        <v>1463</v>
      </c>
      <c r="D536" t="s">
        <v>1464</v>
      </c>
      <c r="E536" t="s">
        <v>595</v>
      </c>
    </row>
    <row r="537" spans="1:5" x14ac:dyDescent="0.25">
      <c r="A537" t="s">
        <v>1466</v>
      </c>
      <c r="B537" t="s">
        <v>1457</v>
      </c>
      <c r="C537" t="s">
        <v>1465</v>
      </c>
      <c r="D537" t="s">
        <v>1467</v>
      </c>
      <c r="E537" t="s">
        <v>595</v>
      </c>
    </row>
    <row r="538" spans="1:5" x14ac:dyDescent="0.25">
      <c r="A538" t="s">
        <v>1468</v>
      </c>
      <c r="B538" t="s">
        <v>1457</v>
      </c>
      <c r="C538" t="s">
        <v>1469</v>
      </c>
      <c r="D538" t="s">
        <v>1470</v>
      </c>
      <c r="E538" t="s">
        <v>595</v>
      </c>
    </row>
    <row r="539" spans="1:5" x14ac:dyDescent="0.25">
      <c r="A539">
        <v>400272175</v>
      </c>
      <c r="B539" t="s">
        <v>1471</v>
      </c>
      <c r="C539" t="s">
        <v>1472</v>
      </c>
      <c r="D539" t="s">
        <v>1473</v>
      </c>
      <c r="E539" t="s">
        <v>605</v>
      </c>
    </row>
    <row r="540" spans="1:5" x14ac:dyDescent="0.25">
      <c r="A540">
        <v>401226566</v>
      </c>
      <c r="B540" t="s">
        <v>1471</v>
      </c>
      <c r="C540" t="s">
        <v>1472</v>
      </c>
      <c r="D540" t="s">
        <v>605</v>
      </c>
      <c r="E540" t="s">
        <v>730</v>
      </c>
    </row>
    <row r="541" spans="1:5" x14ac:dyDescent="0.25">
      <c r="A541" t="s">
        <v>1474</v>
      </c>
      <c r="B541" t="s">
        <v>1471</v>
      </c>
      <c r="C541" t="s">
        <v>1475</v>
      </c>
      <c r="D541" t="s">
        <v>1476</v>
      </c>
      <c r="E541" t="s">
        <v>605</v>
      </c>
    </row>
    <row r="542" spans="1:5" x14ac:dyDescent="0.25">
      <c r="A542" t="s">
        <v>1477</v>
      </c>
      <c r="B542" t="s">
        <v>1471</v>
      </c>
      <c r="C542" t="s">
        <v>1475</v>
      </c>
      <c r="D542" t="s">
        <v>1478</v>
      </c>
      <c r="E542" t="s">
        <v>605</v>
      </c>
    </row>
    <row r="543" spans="1:5" x14ac:dyDescent="0.25">
      <c r="A543">
        <v>400265766</v>
      </c>
      <c r="B543" t="s">
        <v>1479</v>
      </c>
      <c r="C543" t="s">
        <v>706</v>
      </c>
      <c r="D543" t="s">
        <v>705</v>
      </c>
      <c r="E543" t="s">
        <v>1480</v>
      </c>
    </row>
    <row r="544" spans="1:5" x14ac:dyDescent="0.25">
      <c r="A544">
        <v>401197282</v>
      </c>
      <c r="B544" t="s">
        <v>1479</v>
      </c>
      <c r="C544" t="s">
        <v>706</v>
      </c>
      <c r="D544" t="s">
        <v>1480</v>
      </c>
      <c r="E544" t="s">
        <v>730</v>
      </c>
    </row>
    <row r="545" spans="1:5" x14ac:dyDescent="0.25">
      <c r="A545" t="s">
        <v>1481</v>
      </c>
      <c r="B545" t="s">
        <v>1479</v>
      </c>
      <c r="C545" t="s">
        <v>1482</v>
      </c>
      <c r="D545" t="s">
        <v>1483</v>
      </c>
      <c r="E545" t="s">
        <v>1480</v>
      </c>
    </row>
    <row r="546" spans="1:5" x14ac:dyDescent="0.25">
      <c r="A546" t="s">
        <v>1484</v>
      </c>
      <c r="B546" t="s">
        <v>1479</v>
      </c>
      <c r="C546" t="s">
        <v>1485</v>
      </c>
      <c r="D546" t="s">
        <v>1486</v>
      </c>
      <c r="E546" t="s">
        <v>1480</v>
      </c>
    </row>
    <row r="547" spans="1:5" x14ac:dyDescent="0.25">
      <c r="A547" t="s">
        <v>1487</v>
      </c>
      <c r="B547" t="s">
        <v>1479</v>
      </c>
      <c r="C547" t="s">
        <v>1482</v>
      </c>
      <c r="D547" t="s">
        <v>1488</v>
      </c>
      <c r="E547" t="s">
        <v>1480</v>
      </c>
    </row>
    <row r="548" spans="1:5" x14ac:dyDescent="0.25">
      <c r="A548">
        <v>400371666</v>
      </c>
      <c r="B548" t="s">
        <v>1489</v>
      </c>
      <c r="C548" t="s">
        <v>1490</v>
      </c>
      <c r="D548" t="s">
        <v>1491</v>
      </c>
      <c r="E548" t="s">
        <v>574</v>
      </c>
    </row>
    <row r="549" spans="1:5" x14ac:dyDescent="0.25">
      <c r="A549">
        <v>402515066</v>
      </c>
      <c r="B549" t="s">
        <v>1489</v>
      </c>
      <c r="C549" t="s">
        <v>1490</v>
      </c>
      <c r="D549" t="s">
        <v>574</v>
      </c>
      <c r="E549" t="s">
        <v>730</v>
      </c>
    </row>
    <row r="550" spans="1:5" x14ac:dyDescent="0.25">
      <c r="A550" t="s">
        <v>1493</v>
      </c>
      <c r="B550" t="s">
        <v>1489</v>
      </c>
      <c r="C550" t="s">
        <v>1494</v>
      </c>
      <c r="D550" t="s">
        <v>1495</v>
      </c>
      <c r="E550" t="s">
        <v>574</v>
      </c>
    </row>
    <row r="551" spans="1:5" x14ac:dyDescent="0.25">
      <c r="A551" t="s">
        <v>1496</v>
      </c>
      <c r="B551" t="s">
        <v>1489</v>
      </c>
      <c r="C551" t="s">
        <v>1497</v>
      </c>
      <c r="D551" t="s">
        <v>1492</v>
      </c>
      <c r="E551" t="s">
        <v>574</v>
      </c>
    </row>
    <row r="552" spans="1:5" x14ac:dyDescent="0.25">
      <c r="A552">
        <v>400249973</v>
      </c>
      <c r="B552" t="s">
        <v>1498</v>
      </c>
      <c r="C552" t="s">
        <v>657</v>
      </c>
      <c r="D552" t="s">
        <v>1499</v>
      </c>
      <c r="E552" t="s">
        <v>656</v>
      </c>
    </row>
    <row r="553" spans="1:5" x14ac:dyDescent="0.25">
      <c r="A553">
        <v>401414922</v>
      </c>
      <c r="B553" t="s">
        <v>1498</v>
      </c>
      <c r="C553" t="s">
        <v>657</v>
      </c>
      <c r="D553" t="s">
        <v>656</v>
      </c>
      <c r="E553" t="s">
        <v>730</v>
      </c>
    </row>
    <row r="554" spans="1:5" x14ac:dyDescent="0.25">
      <c r="A554">
        <v>411160660</v>
      </c>
      <c r="B554" t="s">
        <v>1498</v>
      </c>
      <c r="C554" t="s">
        <v>657</v>
      </c>
      <c r="D554" t="s">
        <v>1508</v>
      </c>
      <c r="E554" t="s">
        <v>656</v>
      </c>
    </row>
    <row r="555" spans="1:5" x14ac:dyDescent="0.25">
      <c r="A555">
        <v>417221872</v>
      </c>
      <c r="B555" t="s">
        <v>1498</v>
      </c>
      <c r="C555" t="s">
        <v>657</v>
      </c>
      <c r="D555" t="s">
        <v>1500</v>
      </c>
      <c r="E555" t="s">
        <v>656</v>
      </c>
    </row>
    <row r="556" spans="1:5" x14ac:dyDescent="0.25">
      <c r="A556" t="s">
        <v>1501</v>
      </c>
      <c r="B556" t="s">
        <v>1498</v>
      </c>
      <c r="C556" t="s">
        <v>1502</v>
      </c>
      <c r="D556" t="s">
        <v>1503</v>
      </c>
      <c r="E556" t="s">
        <v>656</v>
      </c>
    </row>
    <row r="557" spans="1:5" x14ac:dyDescent="0.25">
      <c r="A557" t="s">
        <v>1504</v>
      </c>
      <c r="B557" t="s">
        <v>1498</v>
      </c>
      <c r="C557" t="s">
        <v>1502</v>
      </c>
      <c r="D557" t="s">
        <v>1505</v>
      </c>
      <c r="E557" t="s">
        <v>656</v>
      </c>
    </row>
    <row r="558" spans="1:5" x14ac:dyDescent="0.25">
      <c r="A558" t="s">
        <v>1506</v>
      </c>
      <c r="B558" t="s">
        <v>1498</v>
      </c>
      <c r="C558" t="s">
        <v>1502</v>
      </c>
      <c r="D558" t="s">
        <v>1507</v>
      </c>
      <c r="E558" t="s">
        <v>656</v>
      </c>
    </row>
    <row r="559" spans="1:5" x14ac:dyDescent="0.25">
      <c r="A559" t="s">
        <v>1509</v>
      </c>
      <c r="B559" t="s">
        <v>1498</v>
      </c>
      <c r="C559" t="s">
        <v>1510</v>
      </c>
      <c r="D559" t="s">
        <v>1511</v>
      </c>
      <c r="E559" t="s">
        <v>656</v>
      </c>
    </row>
    <row r="560" spans="1:5" x14ac:dyDescent="0.25">
      <c r="A560">
        <v>400249781</v>
      </c>
      <c r="B560" t="s">
        <v>1512</v>
      </c>
      <c r="C560" t="s">
        <v>1515</v>
      </c>
      <c r="D560" t="s">
        <v>1514</v>
      </c>
      <c r="E560" t="s">
        <v>438</v>
      </c>
    </row>
    <row r="561" spans="1:5" x14ac:dyDescent="0.25">
      <c r="A561">
        <v>400656760</v>
      </c>
      <c r="B561" t="s">
        <v>1512</v>
      </c>
      <c r="C561" t="s">
        <v>439</v>
      </c>
      <c r="D561" t="s">
        <v>438</v>
      </c>
      <c r="E561" t="s">
        <v>730</v>
      </c>
    </row>
    <row r="562" spans="1:5" x14ac:dyDescent="0.25">
      <c r="A562">
        <v>411170066</v>
      </c>
      <c r="B562" t="s">
        <v>1512</v>
      </c>
      <c r="C562" t="s">
        <v>1515</v>
      </c>
      <c r="D562" t="s">
        <v>1523</v>
      </c>
      <c r="E562" t="s">
        <v>438</v>
      </c>
    </row>
    <row r="563" spans="1:5" x14ac:dyDescent="0.25">
      <c r="A563" t="s">
        <v>1516</v>
      </c>
      <c r="B563" t="s">
        <v>1512</v>
      </c>
      <c r="C563" t="s">
        <v>1517</v>
      </c>
      <c r="D563" t="s">
        <v>1518</v>
      </c>
      <c r="E563" t="s">
        <v>438</v>
      </c>
    </row>
    <row r="564" spans="1:5" x14ac:dyDescent="0.25">
      <c r="A564" t="s">
        <v>1519</v>
      </c>
      <c r="B564" t="s">
        <v>1512</v>
      </c>
      <c r="C564" t="s">
        <v>1515</v>
      </c>
      <c r="D564" t="s">
        <v>1520</v>
      </c>
      <c r="E564" t="s">
        <v>438</v>
      </c>
    </row>
    <row r="565" spans="1:5" x14ac:dyDescent="0.25">
      <c r="A565" t="s">
        <v>1521</v>
      </c>
      <c r="B565" t="s">
        <v>1512</v>
      </c>
      <c r="C565" t="s">
        <v>1513</v>
      </c>
      <c r="D565" t="s">
        <v>1522</v>
      </c>
      <c r="E565" t="s">
        <v>438</v>
      </c>
    </row>
    <row r="566" spans="1:5" x14ac:dyDescent="0.25">
      <c r="A566">
        <v>400269417</v>
      </c>
      <c r="B566" t="s">
        <v>1524</v>
      </c>
      <c r="C566" t="s">
        <v>1525</v>
      </c>
      <c r="D566" t="s">
        <v>1526</v>
      </c>
      <c r="E566" t="s">
        <v>652</v>
      </c>
    </row>
    <row r="567" spans="1:5" x14ac:dyDescent="0.25">
      <c r="A567">
        <v>414137917</v>
      </c>
      <c r="B567" t="s">
        <v>1524</v>
      </c>
      <c r="C567" t="s">
        <v>1525</v>
      </c>
      <c r="D567" t="s">
        <v>652</v>
      </c>
      <c r="E567" t="s">
        <v>730</v>
      </c>
    </row>
    <row r="568" spans="1:5" x14ac:dyDescent="0.25">
      <c r="A568" t="s">
        <v>1528</v>
      </c>
      <c r="B568" t="s">
        <v>1524</v>
      </c>
      <c r="C568" t="s">
        <v>1529</v>
      </c>
      <c r="D568" t="s">
        <v>1530</v>
      </c>
      <c r="E568" t="s">
        <v>652</v>
      </c>
    </row>
    <row r="569" spans="1:5" x14ac:dyDescent="0.25">
      <c r="A569" t="s">
        <v>1531</v>
      </c>
      <c r="B569" t="s">
        <v>1524</v>
      </c>
      <c r="C569" t="s">
        <v>1532</v>
      </c>
      <c r="D569" t="s">
        <v>1527</v>
      </c>
      <c r="E569" t="s">
        <v>652</v>
      </c>
    </row>
    <row r="570" spans="1:5" x14ac:dyDescent="0.25">
      <c r="A570">
        <v>400249778</v>
      </c>
      <c r="B570" t="s">
        <v>1533</v>
      </c>
      <c r="C570" t="s">
        <v>1536</v>
      </c>
      <c r="D570" t="s">
        <v>1535</v>
      </c>
      <c r="E570" t="s">
        <v>420</v>
      </c>
    </row>
    <row r="571" spans="1:5" x14ac:dyDescent="0.25">
      <c r="A571">
        <v>400656755</v>
      </c>
      <c r="B571" t="s">
        <v>1533</v>
      </c>
      <c r="C571" t="s">
        <v>421</v>
      </c>
      <c r="D571" t="s">
        <v>420</v>
      </c>
      <c r="E571" t="s">
        <v>730</v>
      </c>
    </row>
    <row r="572" spans="1:5" x14ac:dyDescent="0.25">
      <c r="A572">
        <v>411170047</v>
      </c>
      <c r="B572" t="s">
        <v>1533</v>
      </c>
      <c r="C572" t="s">
        <v>421</v>
      </c>
      <c r="D572" t="s">
        <v>1543</v>
      </c>
      <c r="E572" t="s">
        <v>420</v>
      </c>
    </row>
    <row r="573" spans="1:5" x14ac:dyDescent="0.25">
      <c r="A573" t="s">
        <v>1544</v>
      </c>
      <c r="B573" t="s">
        <v>1533</v>
      </c>
      <c r="C573" t="s">
        <v>1545</v>
      </c>
      <c r="D573" t="s">
        <v>1546</v>
      </c>
      <c r="E573" t="s">
        <v>420</v>
      </c>
    </row>
    <row r="574" spans="1:5" x14ac:dyDescent="0.25">
      <c r="A574" t="s">
        <v>1537</v>
      </c>
      <c r="B574" t="s">
        <v>1533</v>
      </c>
      <c r="C574" t="s">
        <v>1534</v>
      </c>
      <c r="D574" t="s">
        <v>1538</v>
      </c>
      <c r="E574" t="s">
        <v>420</v>
      </c>
    </row>
    <row r="575" spans="1:5" x14ac:dyDescent="0.25">
      <c r="A575" t="s">
        <v>1539</v>
      </c>
      <c r="B575" t="s">
        <v>1533</v>
      </c>
      <c r="C575" t="s">
        <v>1534</v>
      </c>
      <c r="D575" t="s">
        <v>1540</v>
      </c>
      <c r="E575" t="s">
        <v>420</v>
      </c>
    </row>
    <row r="576" spans="1:5" x14ac:dyDescent="0.25">
      <c r="A576" t="s">
        <v>1541</v>
      </c>
      <c r="B576" t="s">
        <v>1533</v>
      </c>
      <c r="C576" t="s">
        <v>1534</v>
      </c>
      <c r="D576" t="s">
        <v>1542</v>
      </c>
      <c r="E576" t="s">
        <v>420</v>
      </c>
    </row>
    <row r="577" spans="1:5" x14ac:dyDescent="0.25">
      <c r="A577">
        <v>400265673</v>
      </c>
      <c r="B577" t="s">
        <v>1547</v>
      </c>
      <c r="C577" t="s">
        <v>608</v>
      </c>
      <c r="D577" t="s">
        <v>1548</v>
      </c>
      <c r="E577" t="s">
        <v>607</v>
      </c>
    </row>
    <row r="578" spans="1:5" x14ac:dyDescent="0.25">
      <c r="A578">
        <v>401485719</v>
      </c>
      <c r="B578" t="s">
        <v>1547</v>
      </c>
      <c r="C578" t="s">
        <v>608</v>
      </c>
      <c r="D578" t="s">
        <v>607</v>
      </c>
      <c r="E578" t="s">
        <v>730</v>
      </c>
    </row>
    <row r="579" spans="1:5" x14ac:dyDescent="0.25">
      <c r="A579">
        <v>411170229</v>
      </c>
      <c r="B579" t="s">
        <v>1547</v>
      </c>
      <c r="C579" t="s">
        <v>608</v>
      </c>
      <c r="D579" t="s">
        <v>1556</v>
      </c>
      <c r="E579" t="s">
        <v>607</v>
      </c>
    </row>
    <row r="580" spans="1:5" x14ac:dyDescent="0.25">
      <c r="A580">
        <v>417221876</v>
      </c>
      <c r="B580" t="s">
        <v>1547</v>
      </c>
      <c r="C580" t="s">
        <v>608</v>
      </c>
      <c r="D580" t="s">
        <v>1549</v>
      </c>
      <c r="E580" t="s">
        <v>607</v>
      </c>
    </row>
    <row r="581" spans="1:5" x14ac:dyDescent="0.25">
      <c r="A581" t="s">
        <v>1550</v>
      </c>
      <c r="B581" t="s">
        <v>1547</v>
      </c>
      <c r="C581" t="s">
        <v>1551</v>
      </c>
      <c r="D581" t="s">
        <v>1552</v>
      </c>
      <c r="E581" t="s">
        <v>607</v>
      </c>
    </row>
    <row r="582" spans="1:5" x14ac:dyDescent="0.25">
      <c r="A582" t="s">
        <v>1554</v>
      </c>
      <c r="B582" t="s">
        <v>1547</v>
      </c>
      <c r="C582" t="s">
        <v>1553</v>
      </c>
      <c r="D582" t="s">
        <v>1555</v>
      </c>
      <c r="E582" t="s">
        <v>607</v>
      </c>
    </row>
    <row r="583" spans="1:5" x14ac:dyDescent="0.25">
      <c r="A583">
        <v>403834737</v>
      </c>
      <c r="B583" t="s">
        <v>1557</v>
      </c>
      <c r="C583" t="s">
        <v>479</v>
      </c>
      <c r="D583" t="s">
        <v>478</v>
      </c>
      <c r="E583" t="s">
        <v>1558</v>
      </c>
    </row>
    <row r="584" spans="1:5" x14ac:dyDescent="0.25">
      <c r="A584">
        <v>411063846</v>
      </c>
      <c r="B584" t="s">
        <v>1557</v>
      </c>
      <c r="C584" t="s">
        <v>1559</v>
      </c>
      <c r="D584" t="s">
        <v>1558</v>
      </c>
      <c r="E584" t="s">
        <v>730</v>
      </c>
    </row>
    <row r="585" spans="1:5" x14ac:dyDescent="0.25">
      <c r="A585">
        <v>424270795</v>
      </c>
      <c r="B585" t="s">
        <v>1557</v>
      </c>
      <c r="C585" t="s">
        <v>479</v>
      </c>
      <c r="D585" t="s">
        <v>1560</v>
      </c>
      <c r="E585" t="s">
        <v>1558</v>
      </c>
    </row>
    <row r="586" spans="1:5" x14ac:dyDescent="0.25">
      <c r="A586" t="s">
        <v>1561</v>
      </c>
      <c r="B586" t="s">
        <v>1557</v>
      </c>
      <c r="C586" t="s">
        <v>1562</v>
      </c>
      <c r="D586" t="s">
        <v>1563</v>
      </c>
      <c r="E586" t="s">
        <v>1558</v>
      </c>
    </row>
    <row r="587" spans="1:5" x14ac:dyDescent="0.25">
      <c r="A587" t="s">
        <v>1564</v>
      </c>
      <c r="B587" t="s">
        <v>1557</v>
      </c>
      <c r="C587" t="s">
        <v>479</v>
      </c>
      <c r="D587" t="s">
        <v>1565</v>
      </c>
      <c r="E587" t="s">
        <v>1558</v>
      </c>
    </row>
    <row r="588" spans="1:5" x14ac:dyDescent="0.25">
      <c r="A588" t="s">
        <v>1566</v>
      </c>
      <c r="B588" t="s">
        <v>1557</v>
      </c>
      <c r="C588" t="s">
        <v>1562</v>
      </c>
      <c r="D588" t="s">
        <v>1567</v>
      </c>
      <c r="E588" t="s">
        <v>1558</v>
      </c>
    </row>
    <row r="589" spans="1:5" x14ac:dyDescent="0.25">
      <c r="A589">
        <v>403834728</v>
      </c>
      <c r="B589" t="s">
        <v>1568</v>
      </c>
      <c r="C589" t="s">
        <v>485</v>
      </c>
      <c r="D589" t="s">
        <v>484</v>
      </c>
      <c r="E589" t="s">
        <v>1569</v>
      </c>
    </row>
    <row r="590" spans="1:5" x14ac:dyDescent="0.25">
      <c r="A590">
        <v>411063845</v>
      </c>
      <c r="B590" t="s">
        <v>1568</v>
      </c>
      <c r="C590" t="s">
        <v>1570</v>
      </c>
      <c r="D590" t="s">
        <v>1569</v>
      </c>
      <c r="E590" t="s">
        <v>730</v>
      </c>
    </row>
    <row r="591" spans="1:5" x14ac:dyDescent="0.25">
      <c r="A591">
        <v>417983163</v>
      </c>
      <c r="B591" t="s">
        <v>1568</v>
      </c>
      <c r="C591" t="s">
        <v>485</v>
      </c>
      <c r="D591" t="s">
        <v>1571</v>
      </c>
      <c r="E591" t="s">
        <v>1569</v>
      </c>
    </row>
    <row r="592" spans="1:5" x14ac:dyDescent="0.25">
      <c r="A592" t="s">
        <v>1572</v>
      </c>
      <c r="B592" t="s">
        <v>1568</v>
      </c>
      <c r="C592" t="s">
        <v>1573</v>
      </c>
      <c r="D592" t="s">
        <v>1574</v>
      </c>
      <c r="E592" t="s">
        <v>1569</v>
      </c>
    </row>
    <row r="593" spans="1:5" x14ac:dyDescent="0.25">
      <c r="A593" t="s">
        <v>1575</v>
      </c>
      <c r="B593" t="s">
        <v>1568</v>
      </c>
      <c r="C593" t="s">
        <v>485</v>
      </c>
      <c r="D593" t="s">
        <v>1576</v>
      </c>
      <c r="E593" t="s">
        <v>1569</v>
      </c>
    </row>
    <row r="594" spans="1:5" x14ac:dyDescent="0.25">
      <c r="A594" t="s">
        <v>1577</v>
      </c>
      <c r="B594" t="s">
        <v>1568</v>
      </c>
      <c r="C594" t="s">
        <v>1573</v>
      </c>
      <c r="D594" t="s">
        <v>1578</v>
      </c>
      <c r="E594" t="s">
        <v>1569</v>
      </c>
    </row>
    <row r="595" spans="1:5" x14ac:dyDescent="0.25">
      <c r="A595" t="s">
        <v>1579</v>
      </c>
      <c r="B595" t="s">
        <v>1568</v>
      </c>
      <c r="C595" t="s">
        <v>1573</v>
      </c>
      <c r="D595" t="s">
        <v>1580</v>
      </c>
      <c r="E595" t="s">
        <v>1569</v>
      </c>
    </row>
    <row r="596" spans="1:5" x14ac:dyDescent="0.25">
      <c r="A596">
        <v>403834726</v>
      </c>
      <c r="B596" t="s">
        <v>1581</v>
      </c>
      <c r="C596" t="s">
        <v>391</v>
      </c>
      <c r="D596" t="s">
        <v>390</v>
      </c>
      <c r="E596" t="s">
        <v>1582</v>
      </c>
    </row>
    <row r="597" spans="1:5" x14ac:dyDescent="0.25">
      <c r="A597">
        <v>411063844</v>
      </c>
      <c r="B597" t="s">
        <v>1581</v>
      </c>
      <c r="C597" t="s">
        <v>1583</v>
      </c>
      <c r="D597" t="s">
        <v>1582</v>
      </c>
      <c r="E597" t="s">
        <v>730</v>
      </c>
    </row>
    <row r="598" spans="1:5" x14ac:dyDescent="0.25">
      <c r="A598">
        <v>424270787</v>
      </c>
      <c r="B598" t="s">
        <v>1581</v>
      </c>
      <c r="C598" t="s">
        <v>391</v>
      </c>
      <c r="D598" t="s">
        <v>1584</v>
      </c>
      <c r="E598" t="s">
        <v>1582</v>
      </c>
    </row>
    <row r="599" spans="1:5" x14ac:dyDescent="0.25">
      <c r="A599" t="s">
        <v>1585</v>
      </c>
      <c r="B599" t="s">
        <v>1581</v>
      </c>
      <c r="C599" t="s">
        <v>1586</v>
      </c>
      <c r="D599" t="s">
        <v>1587</v>
      </c>
      <c r="E599" t="s">
        <v>1582</v>
      </c>
    </row>
    <row r="600" spans="1:5" x14ac:dyDescent="0.25">
      <c r="A600" t="s">
        <v>1588</v>
      </c>
      <c r="B600" t="s">
        <v>1581</v>
      </c>
      <c r="C600" t="s">
        <v>391</v>
      </c>
      <c r="D600" t="s">
        <v>1589</v>
      </c>
      <c r="E600" t="s">
        <v>1582</v>
      </c>
    </row>
    <row r="601" spans="1:5" x14ac:dyDescent="0.25">
      <c r="A601" t="s">
        <v>1590</v>
      </c>
      <c r="B601" t="s">
        <v>1581</v>
      </c>
      <c r="C601" t="s">
        <v>1586</v>
      </c>
      <c r="D601" t="s">
        <v>1591</v>
      </c>
      <c r="E601" t="s">
        <v>1582</v>
      </c>
    </row>
    <row r="602" spans="1:5" x14ac:dyDescent="0.25">
      <c r="A602">
        <v>400302789</v>
      </c>
      <c r="B602" t="s">
        <v>1592</v>
      </c>
      <c r="C602" t="s">
        <v>1594</v>
      </c>
      <c r="D602" t="s">
        <v>1595</v>
      </c>
      <c r="E602" t="s">
        <v>710</v>
      </c>
    </row>
    <row r="603" spans="1:5" x14ac:dyDescent="0.25">
      <c r="A603">
        <v>400539559</v>
      </c>
      <c r="B603" t="s">
        <v>1592</v>
      </c>
      <c r="C603" t="s">
        <v>1594</v>
      </c>
      <c r="D603" t="s">
        <v>1596</v>
      </c>
      <c r="E603" t="s">
        <v>710</v>
      </c>
    </row>
    <row r="604" spans="1:5" x14ac:dyDescent="0.25">
      <c r="A604">
        <v>400590232</v>
      </c>
      <c r="B604" t="s">
        <v>1592</v>
      </c>
      <c r="C604" t="s">
        <v>1597</v>
      </c>
      <c r="D604" t="s">
        <v>1593</v>
      </c>
      <c r="E604" t="s">
        <v>710</v>
      </c>
    </row>
    <row r="605" spans="1:5" x14ac:dyDescent="0.25">
      <c r="A605">
        <v>401221669</v>
      </c>
      <c r="B605" t="s">
        <v>1592</v>
      </c>
      <c r="C605" t="s">
        <v>711</v>
      </c>
      <c r="D605" t="s">
        <v>1598</v>
      </c>
      <c r="E605" t="s">
        <v>710</v>
      </c>
    </row>
    <row r="606" spans="1:5" x14ac:dyDescent="0.25">
      <c r="A606">
        <v>417274840</v>
      </c>
      <c r="B606" t="s">
        <v>1592</v>
      </c>
      <c r="C606" t="s">
        <v>711</v>
      </c>
      <c r="D606" t="s">
        <v>1604</v>
      </c>
      <c r="E606" t="s">
        <v>710</v>
      </c>
    </row>
    <row r="607" spans="1:5" x14ac:dyDescent="0.25">
      <c r="A607">
        <v>417983116</v>
      </c>
      <c r="B607" t="s">
        <v>1592</v>
      </c>
      <c r="C607" t="s">
        <v>711</v>
      </c>
      <c r="D607" t="s">
        <v>710</v>
      </c>
      <c r="E607" t="s">
        <v>730</v>
      </c>
    </row>
    <row r="608" spans="1:5" x14ac:dyDescent="0.25">
      <c r="A608" t="s">
        <v>1599</v>
      </c>
      <c r="B608" t="s">
        <v>1592</v>
      </c>
      <c r="C608" t="s">
        <v>1600</v>
      </c>
      <c r="D608" t="s">
        <v>1601</v>
      </c>
      <c r="E608" t="s">
        <v>710</v>
      </c>
    </row>
    <row r="609" spans="1:5" x14ac:dyDescent="0.25">
      <c r="A609" t="s">
        <v>1602</v>
      </c>
      <c r="B609" t="s">
        <v>1592</v>
      </c>
      <c r="C609" t="s">
        <v>1600</v>
      </c>
      <c r="D609" t="s">
        <v>1603</v>
      </c>
      <c r="E609" t="s">
        <v>710</v>
      </c>
    </row>
    <row r="610" spans="1:5" x14ac:dyDescent="0.25">
      <c r="A610">
        <v>400084725</v>
      </c>
      <c r="B610" t="s">
        <v>1605</v>
      </c>
      <c r="C610" t="s">
        <v>1606</v>
      </c>
      <c r="D610" t="s">
        <v>1607</v>
      </c>
      <c r="E610" t="s">
        <v>557</v>
      </c>
    </row>
    <row r="611" spans="1:5" x14ac:dyDescent="0.25">
      <c r="A611">
        <v>400306072</v>
      </c>
      <c r="B611" t="s">
        <v>1605</v>
      </c>
      <c r="C611" t="s">
        <v>550</v>
      </c>
      <c r="D611" t="s">
        <v>1609</v>
      </c>
      <c r="E611" t="s">
        <v>557</v>
      </c>
    </row>
    <row r="612" spans="1:5" x14ac:dyDescent="0.25">
      <c r="A612">
        <v>400539517</v>
      </c>
      <c r="B612" t="s">
        <v>1605</v>
      </c>
      <c r="C612" t="s">
        <v>550</v>
      </c>
      <c r="D612" t="s">
        <v>557</v>
      </c>
      <c r="E612" t="s">
        <v>730</v>
      </c>
    </row>
    <row r="613" spans="1:5" x14ac:dyDescent="0.25">
      <c r="A613">
        <v>400630377</v>
      </c>
      <c r="B613" t="s">
        <v>1605</v>
      </c>
      <c r="C613" t="s">
        <v>550</v>
      </c>
      <c r="D613" t="s">
        <v>1608</v>
      </c>
      <c r="E613" t="s">
        <v>557</v>
      </c>
    </row>
    <row r="614" spans="1:5" x14ac:dyDescent="0.25">
      <c r="A614">
        <v>400706176</v>
      </c>
      <c r="B614" t="s">
        <v>1605</v>
      </c>
      <c r="C614" t="s">
        <v>550</v>
      </c>
      <c r="D614" t="s">
        <v>1610</v>
      </c>
      <c r="E614" t="s">
        <v>557</v>
      </c>
    </row>
    <row r="615" spans="1:5" x14ac:dyDescent="0.25">
      <c r="A615">
        <v>417103917</v>
      </c>
      <c r="B615" t="s">
        <v>1605</v>
      </c>
      <c r="C615" t="s">
        <v>550</v>
      </c>
      <c r="D615" t="s">
        <v>1617</v>
      </c>
      <c r="E615" t="s">
        <v>557</v>
      </c>
    </row>
    <row r="616" spans="1:5" x14ac:dyDescent="0.25">
      <c r="A616">
        <v>417350125</v>
      </c>
      <c r="B616" t="s">
        <v>1605</v>
      </c>
      <c r="C616" t="s">
        <v>550</v>
      </c>
      <c r="D616" t="s">
        <v>1618</v>
      </c>
      <c r="E616" t="s">
        <v>557</v>
      </c>
    </row>
    <row r="617" spans="1:5" x14ac:dyDescent="0.25">
      <c r="A617">
        <v>417350144</v>
      </c>
      <c r="B617" t="s">
        <v>1605</v>
      </c>
      <c r="C617" t="s">
        <v>550</v>
      </c>
      <c r="D617" t="s">
        <v>1611</v>
      </c>
      <c r="E617" t="s">
        <v>557</v>
      </c>
    </row>
    <row r="618" spans="1:5" x14ac:dyDescent="0.25">
      <c r="A618" t="s">
        <v>1612</v>
      </c>
      <c r="B618" t="s">
        <v>1605</v>
      </c>
      <c r="C618" t="s">
        <v>1613</v>
      </c>
      <c r="D618" t="s">
        <v>1614</v>
      </c>
      <c r="E618" t="s">
        <v>557</v>
      </c>
    </row>
    <row r="619" spans="1:5" x14ac:dyDescent="0.25">
      <c r="A619" t="s">
        <v>1615</v>
      </c>
      <c r="B619" t="s">
        <v>1605</v>
      </c>
      <c r="C619" t="s">
        <v>1613</v>
      </c>
      <c r="D619" t="s">
        <v>1616</v>
      </c>
      <c r="E619" t="s">
        <v>557</v>
      </c>
    </row>
    <row r="620" spans="1:5" x14ac:dyDescent="0.25">
      <c r="A620">
        <v>400302901</v>
      </c>
      <c r="B620" t="s">
        <v>1619</v>
      </c>
      <c r="C620" t="s">
        <v>717</v>
      </c>
      <c r="D620" t="s">
        <v>1621</v>
      </c>
      <c r="E620" t="s">
        <v>716</v>
      </c>
    </row>
    <row r="621" spans="1:5" x14ac:dyDescent="0.25">
      <c r="A621">
        <v>400539538</v>
      </c>
      <c r="B621" t="s">
        <v>1619</v>
      </c>
      <c r="C621" t="s">
        <v>717</v>
      </c>
      <c r="D621" t="s">
        <v>1628</v>
      </c>
      <c r="E621" t="s">
        <v>716</v>
      </c>
    </row>
    <row r="622" spans="1:5" x14ac:dyDescent="0.25">
      <c r="A622">
        <v>400607544</v>
      </c>
      <c r="B622" t="s">
        <v>1619</v>
      </c>
      <c r="C622" t="s">
        <v>717</v>
      </c>
      <c r="D622" t="s">
        <v>1620</v>
      </c>
      <c r="E622" t="s">
        <v>716</v>
      </c>
    </row>
    <row r="623" spans="1:5" x14ac:dyDescent="0.25">
      <c r="A623">
        <v>400624125</v>
      </c>
      <c r="B623" t="s">
        <v>1619</v>
      </c>
      <c r="C623" t="s">
        <v>717</v>
      </c>
      <c r="D623" t="s">
        <v>1622</v>
      </c>
      <c r="E623" t="s">
        <v>716</v>
      </c>
    </row>
    <row r="624" spans="1:5" x14ac:dyDescent="0.25">
      <c r="A624">
        <v>417357625</v>
      </c>
      <c r="B624" t="s">
        <v>1619</v>
      </c>
      <c r="C624" t="s">
        <v>1624</v>
      </c>
      <c r="D624" t="s">
        <v>1629</v>
      </c>
      <c r="E624" t="s">
        <v>716</v>
      </c>
    </row>
    <row r="625" spans="1:5" x14ac:dyDescent="0.25">
      <c r="A625">
        <v>417983120</v>
      </c>
      <c r="B625" t="s">
        <v>1619</v>
      </c>
      <c r="C625" t="s">
        <v>717</v>
      </c>
      <c r="D625" t="s">
        <v>716</v>
      </c>
      <c r="E625" t="s">
        <v>730</v>
      </c>
    </row>
    <row r="626" spans="1:5" x14ac:dyDescent="0.25">
      <c r="A626" t="s">
        <v>1623</v>
      </c>
      <c r="B626" t="s">
        <v>1619</v>
      </c>
      <c r="C626" t="s">
        <v>1624</v>
      </c>
      <c r="D626" t="s">
        <v>1625</v>
      </c>
      <c r="E626" t="s">
        <v>716</v>
      </c>
    </row>
    <row r="627" spans="1:5" x14ac:dyDescent="0.25">
      <c r="A627" t="s">
        <v>1626</v>
      </c>
      <c r="B627" t="s">
        <v>1619</v>
      </c>
      <c r="C627" t="s">
        <v>1624</v>
      </c>
      <c r="D627" t="s">
        <v>1627</v>
      </c>
      <c r="E627" t="s">
        <v>716</v>
      </c>
    </row>
    <row r="628" spans="1:5" x14ac:dyDescent="0.25">
      <c r="A628">
        <v>400012861</v>
      </c>
      <c r="B628" t="s">
        <v>1630</v>
      </c>
      <c r="C628" t="s">
        <v>1631</v>
      </c>
      <c r="D628" t="s">
        <v>1632</v>
      </c>
      <c r="E628" t="s">
        <v>538</v>
      </c>
    </row>
    <row r="629" spans="1:5" x14ac:dyDescent="0.25">
      <c r="A629">
        <v>400264013</v>
      </c>
      <c r="B629" t="s">
        <v>1630</v>
      </c>
      <c r="C629" t="s">
        <v>1631</v>
      </c>
      <c r="D629" t="s">
        <v>1633</v>
      </c>
      <c r="E629" t="s">
        <v>538</v>
      </c>
    </row>
    <row r="630" spans="1:5" x14ac:dyDescent="0.25">
      <c r="A630">
        <v>400679613</v>
      </c>
      <c r="B630" t="s">
        <v>1630</v>
      </c>
      <c r="C630" t="s">
        <v>1634</v>
      </c>
      <c r="D630" t="s">
        <v>538</v>
      </c>
      <c r="E630" t="s">
        <v>730</v>
      </c>
    </row>
    <row r="631" spans="1:5" x14ac:dyDescent="0.25">
      <c r="A631">
        <v>411170156</v>
      </c>
      <c r="B631" t="s">
        <v>1630</v>
      </c>
      <c r="C631" t="s">
        <v>539</v>
      </c>
      <c r="D631" t="s">
        <v>1651</v>
      </c>
      <c r="E631" t="s">
        <v>538</v>
      </c>
    </row>
    <row r="632" spans="1:5" x14ac:dyDescent="0.25">
      <c r="A632">
        <v>414700143</v>
      </c>
      <c r="B632" t="s">
        <v>1630</v>
      </c>
      <c r="C632" t="s">
        <v>767</v>
      </c>
      <c r="D632" t="s">
        <v>1652</v>
      </c>
      <c r="E632" t="s">
        <v>538</v>
      </c>
    </row>
    <row r="633" spans="1:5" x14ac:dyDescent="0.25">
      <c r="A633" t="s">
        <v>1648</v>
      </c>
      <c r="B633" t="s">
        <v>1630</v>
      </c>
      <c r="C633" t="s">
        <v>1649</v>
      </c>
      <c r="D633" t="s">
        <v>1650</v>
      </c>
      <c r="E633" t="s">
        <v>538</v>
      </c>
    </row>
    <row r="634" spans="1:5" x14ac:dyDescent="0.25">
      <c r="A634" t="s">
        <v>1635</v>
      </c>
      <c r="B634" t="s">
        <v>1630</v>
      </c>
      <c r="C634" t="s">
        <v>1636</v>
      </c>
      <c r="D634" t="s">
        <v>1637</v>
      </c>
      <c r="E634" t="s">
        <v>538</v>
      </c>
    </row>
    <row r="635" spans="1:5" x14ac:dyDescent="0.25">
      <c r="A635" t="s">
        <v>1638</v>
      </c>
      <c r="B635" t="s">
        <v>1630</v>
      </c>
      <c r="C635" t="s">
        <v>1639</v>
      </c>
      <c r="D635" t="s">
        <v>1640</v>
      </c>
      <c r="E635" t="s">
        <v>538</v>
      </c>
    </row>
    <row r="636" spans="1:5" x14ac:dyDescent="0.25">
      <c r="A636" t="s">
        <v>1641</v>
      </c>
      <c r="B636" t="s">
        <v>1630</v>
      </c>
      <c r="C636" t="s">
        <v>1639</v>
      </c>
      <c r="D636" t="s">
        <v>1642</v>
      </c>
      <c r="E636" t="s">
        <v>538</v>
      </c>
    </row>
    <row r="637" spans="1:5" x14ac:dyDescent="0.25">
      <c r="A637" t="s">
        <v>1643</v>
      </c>
      <c r="B637" t="s">
        <v>1630</v>
      </c>
      <c r="C637" t="s">
        <v>1644</v>
      </c>
      <c r="D637" t="s">
        <v>1645</v>
      </c>
      <c r="E637" t="s">
        <v>538</v>
      </c>
    </row>
    <row r="638" spans="1:5" x14ac:dyDescent="0.25">
      <c r="A638" t="s">
        <v>1646</v>
      </c>
      <c r="B638" t="s">
        <v>1630</v>
      </c>
      <c r="C638" t="s">
        <v>1631</v>
      </c>
      <c r="D638" t="s">
        <v>1647</v>
      </c>
      <c r="E638" t="s">
        <v>538</v>
      </c>
    </row>
    <row r="639" spans="1:5" x14ac:dyDescent="0.25">
      <c r="A639" t="s">
        <v>643</v>
      </c>
      <c r="B639" t="s">
        <v>1653</v>
      </c>
      <c r="C639" t="s">
        <v>637</v>
      </c>
      <c r="D639" t="s">
        <v>642</v>
      </c>
      <c r="E639" t="s">
        <v>730</v>
      </c>
    </row>
    <row r="640" spans="1:5" x14ac:dyDescent="0.25">
      <c r="A640" t="s">
        <v>1654</v>
      </c>
      <c r="B640" t="s">
        <v>1653</v>
      </c>
      <c r="C640" t="s">
        <v>1655</v>
      </c>
      <c r="D640" t="s">
        <v>1656</v>
      </c>
      <c r="E640" t="s">
        <v>642</v>
      </c>
    </row>
    <row r="641" spans="1:5" x14ac:dyDescent="0.25">
      <c r="A641" t="s">
        <v>1657</v>
      </c>
      <c r="B641" t="s">
        <v>1653</v>
      </c>
      <c r="C641" t="s">
        <v>1655</v>
      </c>
      <c r="D641" t="s">
        <v>1658</v>
      </c>
      <c r="E641" t="s">
        <v>642</v>
      </c>
    </row>
    <row r="642" spans="1:5" x14ac:dyDescent="0.25">
      <c r="A642" t="s">
        <v>1659</v>
      </c>
      <c r="B642" t="s">
        <v>1653</v>
      </c>
      <c r="C642" t="s">
        <v>1660</v>
      </c>
      <c r="D642" t="s">
        <v>1661</v>
      </c>
      <c r="E642" t="s">
        <v>642</v>
      </c>
    </row>
    <row r="643" spans="1:5" x14ac:dyDescent="0.25">
      <c r="A643" t="s">
        <v>636</v>
      </c>
      <c r="B643" t="s">
        <v>1662</v>
      </c>
      <c r="C643" t="s">
        <v>637</v>
      </c>
      <c r="D643" t="s">
        <v>635</v>
      </c>
      <c r="E643" t="s">
        <v>730</v>
      </c>
    </row>
    <row r="644" spans="1:5" x14ac:dyDescent="0.25">
      <c r="A644" t="s">
        <v>1663</v>
      </c>
      <c r="B644" t="s">
        <v>1662</v>
      </c>
      <c r="C644" t="s">
        <v>1664</v>
      </c>
      <c r="D644" t="s">
        <v>1665</v>
      </c>
      <c r="E644" t="s">
        <v>635</v>
      </c>
    </row>
    <row r="645" spans="1:5" x14ac:dyDescent="0.25">
      <c r="A645" t="s">
        <v>1666</v>
      </c>
      <c r="B645" t="s">
        <v>1662</v>
      </c>
      <c r="C645" t="s">
        <v>1664</v>
      </c>
      <c r="D645" t="s">
        <v>1667</v>
      </c>
      <c r="E645" t="s">
        <v>635</v>
      </c>
    </row>
    <row r="646" spans="1:5" x14ac:dyDescent="0.25">
      <c r="A646" t="s">
        <v>1668</v>
      </c>
      <c r="B646" t="s">
        <v>1662</v>
      </c>
      <c r="C646" t="s">
        <v>1664</v>
      </c>
      <c r="D646" t="s">
        <v>1669</v>
      </c>
      <c r="E646" t="s">
        <v>635</v>
      </c>
    </row>
    <row r="647" spans="1:5" x14ac:dyDescent="0.25">
      <c r="A647">
        <v>401020862</v>
      </c>
      <c r="B647" t="s">
        <v>1670</v>
      </c>
      <c r="C647" t="s">
        <v>333</v>
      </c>
      <c r="D647" t="s">
        <v>332</v>
      </c>
      <c r="E647" t="s">
        <v>730</v>
      </c>
    </row>
    <row r="648" spans="1:5" x14ac:dyDescent="0.25">
      <c r="A648">
        <v>732602420</v>
      </c>
      <c r="B648" t="s">
        <v>1670</v>
      </c>
      <c r="C648" t="s">
        <v>1671</v>
      </c>
      <c r="D648" t="s">
        <v>1672</v>
      </c>
      <c r="E648" t="s">
        <v>332</v>
      </c>
    </row>
    <row r="649" spans="1:5" x14ac:dyDescent="0.25">
      <c r="A649">
        <v>732613658</v>
      </c>
      <c r="B649" t="s">
        <v>1670</v>
      </c>
      <c r="C649" t="s">
        <v>1673</v>
      </c>
      <c r="D649" t="s">
        <v>1674</v>
      </c>
      <c r="E649" t="s">
        <v>332</v>
      </c>
    </row>
    <row r="650" spans="1:5" x14ac:dyDescent="0.25">
      <c r="A650">
        <v>400021899</v>
      </c>
      <c r="B650" t="s">
        <v>1675</v>
      </c>
      <c r="C650" t="s">
        <v>1679</v>
      </c>
      <c r="D650" t="s">
        <v>1679</v>
      </c>
      <c r="E650" t="s">
        <v>291</v>
      </c>
    </row>
    <row r="651" spans="1:5" x14ac:dyDescent="0.25">
      <c r="A651">
        <v>402855098</v>
      </c>
      <c r="B651" t="s">
        <v>1675</v>
      </c>
      <c r="C651" t="s">
        <v>292</v>
      </c>
      <c r="D651" t="s">
        <v>1678</v>
      </c>
      <c r="E651" t="s">
        <v>291</v>
      </c>
    </row>
    <row r="652" spans="1:5" x14ac:dyDescent="0.25">
      <c r="A652">
        <v>732609516</v>
      </c>
      <c r="B652" t="s">
        <v>1675</v>
      </c>
      <c r="C652" t="s">
        <v>1677</v>
      </c>
      <c r="D652">
        <v>22231</v>
      </c>
      <c r="E652" t="s">
        <v>291</v>
      </c>
    </row>
    <row r="653" spans="1:5" x14ac:dyDescent="0.25">
      <c r="A653">
        <v>732609557</v>
      </c>
      <c r="B653" t="s">
        <v>1675</v>
      </c>
      <c r="C653" t="s">
        <v>292</v>
      </c>
      <c r="D653" t="s">
        <v>1676</v>
      </c>
      <c r="E653" t="s">
        <v>291</v>
      </c>
    </row>
    <row r="654" spans="1:5" x14ac:dyDescent="0.25">
      <c r="A654">
        <v>732684436</v>
      </c>
      <c r="B654" t="s">
        <v>1675</v>
      </c>
      <c r="C654" t="s">
        <v>292</v>
      </c>
      <c r="D654" t="s">
        <v>291</v>
      </c>
      <c r="E654" t="s">
        <v>730</v>
      </c>
    </row>
    <row r="655" spans="1:5" x14ac:dyDescent="0.25">
      <c r="A655">
        <v>403834699</v>
      </c>
      <c r="B655" t="s">
        <v>1680</v>
      </c>
      <c r="C655" t="s">
        <v>1681</v>
      </c>
      <c r="D655" t="s">
        <v>340</v>
      </c>
      <c r="E655" t="s">
        <v>1682</v>
      </c>
    </row>
    <row r="656" spans="1:5" x14ac:dyDescent="0.25">
      <c r="A656">
        <v>408364341</v>
      </c>
      <c r="B656" t="s">
        <v>1680</v>
      </c>
      <c r="C656" t="s">
        <v>1683</v>
      </c>
      <c r="D656" t="s">
        <v>1684</v>
      </c>
      <c r="E656" t="s">
        <v>1682</v>
      </c>
    </row>
    <row r="657" spans="1:5" x14ac:dyDescent="0.25">
      <c r="A657">
        <v>417103900</v>
      </c>
      <c r="B657" t="s">
        <v>1680</v>
      </c>
      <c r="C657" t="s">
        <v>1681</v>
      </c>
      <c r="D657" t="s">
        <v>1685</v>
      </c>
      <c r="E657" t="s">
        <v>1682</v>
      </c>
    </row>
    <row r="658" spans="1:5" x14ac:dyDescent="0.25">
      <c r="A658">
        <v>417983155</v>
      </c>
      <c r="B658" t="s">
        <v>1680</v>
      </c>
      <c r="C658" t="s">
        <v>1681</v>
      </c>
      <c r="D658" t="s">
        <v>1682</v>
      </c>
      <c r="E658" t="s">
        <v>730</v>
      </c>
    </row>
    <row r="659" spans="1:5" x14ac:dyDescent="0.25">
      <c r="A659" t="s">
        <v>1686</v>
      </c>
      <c r="B659" t="s">
        <v>1680</v>
      </c>
      <c r="C659" t="s">
        <v>1687</v>
      </c>
      <c r="D659" t="s">
        <v>1688</v>
      </c>
      <c r="E659" t="s">
        <v>1682</v>
      </c>
    </row>
    <row r="660" spans="1:5" x14ac:dyDescent="0.25">
      <c r="A660" t="s">
        <v>1689</v>
      </c>
      <c r="B660" t="s">
        <v>1680</v>
      </c>
      <c r="C660" t="s">
        <v>1687</v>
      </c>
      <c r="D660" t="s">
        <v>1690</v>
      </c>
      <c r="E660" t="s">
        <v>1682</v>
      </c>
    </row>
    <row r="661" spans="1:5" x14ac:dyDescent="0.25">
      <c r="A661" t="s">
        <v>1691</v>
      </c>
      <c r="B661" t="s">
        <v>1680</v>
      </c>
      <c r="C661" t="s">
        <v>1681</v>
      </c>
      <c r="D661" t="s">
        <v>1692</v>
      </c>
      <c r="E661" t="s">
        <v>1682</v>
      </c>
    </row>
    <row r="662" spans="1:5" x14ac:dyDescent="0.25">
      <c r="A662" t="s">
        <v>1693</v>
      </c>
      <c r="B662" t="s">
        <v>1680</v>
      </c>
      <c r="C662" t="s">
        <v>1687</v>
      </c>
      <c r="D662" t="s">
        <v>1694</v>
      </c>
      <c r="E662" t="s">
        <v>1682</v>
      </c>
    </row>
    <row r="663" spans="1:5" x14ac:dyDescent="0.25">
      <c r="A663">
        <v>403834713</v>
      </c>
      <c r="B663" t="s">
        <v>1695</v>
      </c>
      <c r="C663" t="s">
        <v>481</v>
      </c>
      <c r="D663" t="s">
        <v>480</v>
      </c>
      <c r="E663" t="s">
        <v>1696</v>
      </c>
    </row>
    <row r="664" spans="1:5" x14ac:dyDescent="0.25">
      <c r="A664">
        <v>411063850</v>
      </c>
      <c r="B664" t="s">
        <v>1695</v>
      </c>
      <c r="C664" t="s">
        <v>1697</v>
      </c>
      <c r="D664" t="s">
        <v>1696</v>
      </c>
      <c r="E664" t="s">
        <v>730</v>
      </c>
    </row>
    <row r="665" spans="1:5" x14ac:dyDescent="0.25">
      <c r="A665">
        <v>417103901</v>
      </c>
      <c r="B665" t="s">
        <v>1695</v>
      </c>
      <c r="C665" t="s">
        <v>481</v>
      </c>
      <c r="D665" t="s">
        <v>1698</v>
      </c>
      <c r="E665" t="s">
        <v>1696</v>
      </c>
    </row>
    <row r="666" spans="1:5" x14ac:dyDescent="0.25">
      <c r="A666">
        <v>417983164</v>
      </c>
      <c r="B666" t="s">
        <v>1695</v>
      </c>
      <c r="C666" t="s">
        <v>481</v>
      </c>
      <c r="D666" t="s">
        <v>1699</v>
      </c>
      <c r="E666" t="s">
        <v>1696</v>
      </c>
    </row>
    <row r="667" spans="1:5" x14ac:dyDescent="0.25">
      <c r="A667" t="s">
        <v>1700</v>
      </c>
      <c r="B667" t="s">
        <v>1695</v>
      </c>
      <c r="C667" t="s">
        <v>1701</v>
      </c>
      <c r="D667" t="s">
        <v>1702</v>
      </c>
      <c r="E667" t="s">
        <v>1696</v>
      </c>
    </row>
    <row r="668" spans="1:5" x14ac:dyDescent="0.25">
      <c r="A668" t="s">
        <v>1703</v>
      </c>
      <c r="B668" t="s">
        <v>1695</v>
      </c>
      <c r="C668" t="s">
        <v>481</v>
      </c>
      <c r="D668" t="s">
        <v>1704</v>
      </c>
      <c r="E668" t="s">
        <v>1696</v>
      </c>
    </row>
    <row r="669" spans="1:5" x14ac:dyDescent="0.25">
      <c r="A669">
        <v>403834732</v>
      </c>
      <c r="B669" t="s">
        <v>1705</v>
      </c>
      <c r="C669" t="s">
        <v>487</v>
      </c>
      <c r="D669" t="s">
        <v>486</v>
      </c>
      <c r="E669" t="s">
        <v>1706</v>
      </c>
    </row>
    <row r="670" spans="1:5" x14ac:dyDescent="0.25">
      <c r="A670">
        <v>411063848</v>
      </c>
      <c r="B670" t="s">
        <v>1705</v>
      </c>
      <c r="C670" t="s">
        <v>1707</v>
      </c>
      <c r="D670" t="s">
        <v>1706</v>
      </c>
      <c r="E670" t="s">
        <v>730</v>
      </c>
    </row>
    <row r="671" spans="1:5" x14ac:dyDescent="0.25">
      <c r="A671">
        <v>424270790</v>
      </c>
      <c r="B671" t="s">
        <v>1705</v>
      </c>
      <c r="C671" t="s">
        <v>487</v>
      </c>
      <c r="D671" t="s">
        <v>1708</v>
      </c>
      <c r="E671" t="s">
        <v>1706</v>
      </c>
    </row>
    <row r="672" spans="1:5" x14ac:dyDescent="0.25">
      <c r="A672" t="s">
        <v>1709</v>
      </c>
      <c r="B672" t="s">
        <v>1705</v>
      </c>
      <c r="C672" t="s">
        <v>1710</v>
      </c>
      <c r="D672" t="s">
        <v>1711</v>
      </c>
      <c r="E672" t="s">
        <v>1706</v>
      </c>
    </row>
    <row r="673" spans="1:5" x14ac:dyDescent="0.25">
      <c r="A673" t="s">
        <v>1712</v>
      </c>
      <c r="B673" t="s">
        <v>1705</v>
      </c>
      <c r="C673" t="s">
        <v>487</v>
      </c>
      <c r="D673" t="s">
        <v>1713</v>
      </c>
      <c r="E673" t="s">
        <v>1706</v>
      </c>
    </row>
    <row r="674" spans="1:5" x14ac:dyDescent="0.25">
      <c r="A674" t="s">
        <v>1714</v>
      </c>
      <c r="B674" t="s">
        <v>1705</v>
      </c>
      <c r="C674" t="s">
        <v>1710</v>
      </c>
      <c r="D674" t="s">
        <v>1715</v>
      </c>
      <c r="E674" t="s">
        <v>1706</v>
      </c>
    </row>
  </sheetData>
  <autoFilter ref="B1:E674" xr:uid="{12D36F52-AE94-4071-9EA6-112E5A2D10A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AVL</vt:lpstr>
      <vt:lpstr>FFF</vt:lpstr>
    </vt:vector>
  </TitlesOfParts>
  <Company>Elta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Amram Oren ELT 76571,71482</dc:creator>
  <cp:lastModifiedBy>Amram Oren ELT 76571,71482</cp:lastModifiedBy>
  <dcterms:created xsi:type="dcterms:W3CDTF">2026-06-11T12:19:54Z</dcterms:created>
  <dcterms:modified xsi:type="dcterms:W3CDTF">2026-06-11T12:56:39Z</dcterms:modified>
</cp:coreProperties>
</file>